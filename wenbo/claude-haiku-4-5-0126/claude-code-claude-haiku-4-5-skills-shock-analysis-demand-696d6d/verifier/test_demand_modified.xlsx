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T Calc" sheetId="2" state="visible" r:id="rId4"/>
    <sheet name="SUPPLY" sheetId="3" state="visible" r:id="rId5"/>
    <sheet name="USE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<sst xmlns="http://schemas.openxmlformats.org/spreadsheetml/2006/main" count="383" uniqueCount="168">
  <si>
    <t xml:space="preserve">Year</t>
  </si>
  <si>
    <t xml:space="preserve">Real GDP Growth (%)</t>
  </si>
  <si>
    <t xml:space="preserve">Nominal GDP (USD mn)</t>
  </si>
  <si>
    <t xml:space="preserve">GDP Deflator</t>
  </si>
  <si>
    <t xml:space="preserve">$B$8</t>
  </si>
  <si>
    <t xml:space="preserve">Supply and Use Table Calculations</t>
  </si>
  <si>
    <t xml:space="preserve">Product/Industry</t>
  </si>
  <si>
    <t xml:space="preserve">Code</t>
  </si>
  <si>
    <t xml:space="preserve">Supply (GEL mn)</t>
  </si>
  <si>
    <t xml:space="preserve">Use (GEL mn)</t>
  </si>
  <si>
    <t xml:space="preserve">Net Exports (GEL mn)</t>
  </si>
  <si>
    <t xml:space="preserve">Import Content (%)</t>
  </si>
  <si>
    <t xml:space="preserve">Domestic Content (%)</t>
  </si>
  <si>
    <t xml:space="preserve">Total Supply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</si>
  <si>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</si>
  <si>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</si>
  <si>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</si>
  <si>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</si>
  <si>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</si>
  <si>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</si>
  <si>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</si>
  <si>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</si>
  <si>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</si>
  <si>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</si>
  <si>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</si>
  <si>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</si>
  <si>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</si>
  <si>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</si>
  <si>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</si>
  <si>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</si>
  <si>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</si>
  <si>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</si>
  <si>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</si>
  <si>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</si>
  <si>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</si>
  <si>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</si>
  <si>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</si>
  <si>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</si>
  <si>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</si>
  <si>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</si>
  <si>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</si>
  <si>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</si>
  <si>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</si>
  <si>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</si>
  <si>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</si>
  <si>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</si>
  <si>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</si>
  <si>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</si>
  <si>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</si>
  <si>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</si>
  <si>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</si>
  <si>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</si>
  <si>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Product 40</t>
  </si>
  <si>
    <t xml:space="preserve">Product 41</t>
  </si>
  <si>
    <t xml:space="preserve">Import Content Share (Total)</t>
  </si>
  <si>
    <t xml:space="preserve">SUPPLY TABLE (38x38 Products x Industries)</t>
  </si>
  <si>
    <t xml:space="preserve">Source: Geostat, National Accounts</t>
  </si>
  <si>
    <t xml:space="preserve">Product Code</t>
  </si>
  <si>
    <t xml:space="preserve">Product Name</t>
  </si>
  <si>
    <t xml:space="preserve">Ind1</t>
  </si>
  <si>
    <t xml:space="preserve">Ind2</t>
  </si>
  <si>
    <t xml:space="preserve">Ind3</t>
  </si>
  <si>
    <t xml:space="preserve">Ind4</t>
  </si>
  <si>
    <t xml:space="preserve">Ind5</t>
  </si>
  <si>
    <t xml:space="preserve">Ind6</t>
  </si>
  <si>
    <t xml:space="preserve">Ind7</t>
  </si>
  <si>
    <t xml:space="preserve">Ind8</t>
  </si>
  <si>
    <t xml:space="preserve">Ind9</t>
  </si>
  <si>
    <t xml:space="preserve">Ind10</t>
  </si>
  <si>
    <t xml:space="preserve">Ind11</t>
  </si>
  <si>
    <t xml:space="preserve">Ind12</t>
  </si>
  <si>
    <t xml:space="preserve">Ind13</t>
  </si>
  <si>
    <t xml:space="preserve">Ind14</t>
  </si>
  <si>
    <t xml:space="preserve">Ind15</t>
  </si>
  <si>
    <t xml:space="preserve">Ind16</t>
  </si>
  <si>
    <t xml:space="preserve">Ind17</t>
  </si>
  <si>
    <t xml:space="preserve">Ind18</t>
  </si>
  <si>
    <t xml:space="preserve">Ind19</t>
  </si>
  <si>
    <t xml:space="preserve">Ind20</t>
  </si>
  <si>
    <t xml:space="preserve">Ind21</t>
  </si>
  <si>
    <t xml:space="preserve">Ind22</t>
  </si>
  <si>
    <t xml:space="preserve">Ind23</t>
  </si>
  <si>
    <t xml:space="preserve">Ind24</t>
  </si>
  <si>
    <t xml:space="preserve">Ind25</t>
  </si>
  <si>
    <t xml:space="preserve">Ind26</t>
  </si>
  <si>
    <t xml:space="preserve">Ind27</t>
  </si>
  <si>
    <t xml:space="preserve">Ind28</t>
  </si>
  <si>
    <t xml:space="preserve">Ind29</t>
  </si>
  <si>
    <t xml:space="preserve">Ind30</t>
  </si>
  <si>
    <t xml:space="preserve">Ind31</t>
  </si>
  <si>
    <t xml:space="preserve">Ind32</t>
  </si>
  <si>
    <t xml:space="preserve">Ind33</t>
  </si>
  <si>
    <t xml:space="preserve">Ind34</t>
  </si>
  <si>
    <t xml:space="preserve">Ind35</t>
  </si>
  <si>
    <t xml:space="preserve">Ind36</t>
  </si>
  <si>
    <t xml:space="preserve">Ind37</t>
  </si>
  <si>
    <t xml:space="preserve">Ind38</t>
  </si>
  <si>
    <t xml:space="preserve">Agriculture</t>
  </si>
  <si>
    <t xml:space="preserve">Mining</t>
  </si>
  <si>
    <t xml:space="preserve">Food &amp; Beverages</t>
  </si>
  <si>
    <t xml:space="preserve">Textiles</t>
  </si>
  <si>
    <t xml:space="preserve">Wood Products</t>
  </si>
  <si>
    <t xml:space="preserve">Paper &amp; Publishing</t>
  </si>
  <si>
    <t xml:space="preserve">Fuel &amp; Energy</t>
  </si>
  <si>
    <t xml:space="preserve">Chemicals</t>
  </si>
  <si>
    <t xml:space="preserve">Pharmaceuticals</t>
  </si>
  <si>
    <t xml:space="preserve">Rubber &amp; Plastics</t>
  </si>
  <si>
    <t xml:space="preserve">Non-metallic</t>
  </si>
  <si>
    <t xml:space="preserve">Metals</t>
  </si>
  <si>
    <t xml:space="preserve">Machinery</t>
  </si>
  <si>
    <t xml:space="preserve">Electrical Equipment</t>
  </si>
  <si>
    <t xml:space="preserve">Transport Equipment</t>
  </si>
  <si>
    <t xml:space="preserve">Furniture &amp; Other</t>
  </si>
  <si>
    <t xml:space="preserve">Electricity</t>
  </si>
  <si>
    <t xml:space="preserve">Gas &amp; Water</t>
  </si>
  <si>
    <t xml:space="preserve">Construction</t>
  </si>
  <si>
    <t xml:space="preserve">Trade</t>
  </si>
  <si>
    <t xml:space="preserve">Transport</t>
  </si>
  <si>
    <t xml:space="preserve">Accommodation</t>
  </si>
  <si>
    <t xml:space="preserve">Telecom</t>
  </si>
  <si>
    <t xml:space="preserve">Finance</t>
  </si>
  <si>
    <t xml:space="preserve">Real Estate</t>
  </si>
  <si>
    <t xml:space="preserve">Professional Services</t>
  </si>
  <si>
    <t xml:space="preserve">Admin Services</t>
  </si>
  <si>
    <t xml:space="preserve">Public Administration</t>
  </si>
  <si>
    <t xml:space="preserve">Education</t>
  </si>
  <si>
    <t xml:space="preserve">Health</t>
  </si>
  <si>
    <t xml:space="preserve">Arts &amp; Entertainment</t>
  </si>
  <si>
    <t xml:space="preserve">Other Services</t>
  </si>
  <si>
    <t xml:space="preserve">Repairs</t>
  </si>
  <si>
    <t xml:space="preserve">Installation</t>
  </si>
  <si>
    <t xml:space="preserve">Waste</t>
  </si>
  <si>
    <t xml:space="preserve">Coke &amp; Petroleum</t>
  </si>
  <si>
    <t xml:space="preserve">Basic Metals</t>
  </si>
  <si>
    <t xml:space="preserve">Fabricated Metals</t>
  </si>
  <si>
    <t xml:space="preserve">TOTAL</t>
  </si>
  <si>
    <t xml:space="preserve">USE TABLE (38x38 Products x Industries)</t>
  </si>
  <si>
    <t xml:space="preserve">Total Use</t>
  </si>
  <si>
    <t xml:space="preserve">Imports</t>
  </si>
  <si>
    <t xml:space="preserve">Investment Spending Shock Analysis - National Accounts Framework</t>
  </si>
  <si>
    <t xml:space="preserve">SCENARIO 1: Base Case (Demand Multiplier = 0.8)</t>
  </si>
  <si>
    <t xml:space="preserve">Key Assumptions:</t>
  </si>
  <si>
    <t xml:space="preserve">Total Investment (USD mn):</t>
  </si>
  <si>
    <t xml:space="preserve">Import Content Share (from SUT):</t>
  </si>
  <si>
    <t xml:space="preserve">Investment Period:</t>
  </si>
  <si>
    <t xml:space="preserve">2026-2033</t>
  </si>
  <si>
    <t xml:space="preserve">Exchange Rate (GEL/USD):</t>
  </si>
  <si>
    <t xml:space="preserve">Demand Multiplier:</t>
  </si>
  <si>
    <t xml:space="preserve">Allocation Pattern:</t>
  </si>
  <si>
    <t xml:space="preserve">Bell Curve</t>
  </si>
  <si>
    <t xml:space="preserve">Investment (GEL mn)</t>
  </si>
  <si>
    <t xml:space="preserve">Investment Allocation (%)</t>
  </si>
  <si>
    <t xml:space="preserve">Demand Effect</t>
  </si>
  <si>
    <t xml:space="preserve">Import Content</t>
  </si>
  <si>
    <t xml:space="preserve">Domestic Demand Effect</t>
  </si>
  <si>
    <t xml:space="preserve">GDP Impact (GEL mn)</t>
  </si>
  <si>
    <t xml:space="preserve">GDP Impact (USD mn)</t>
  </si>
  <si>
    <t xml:space="preserve">Cumulative GDP Impact (GEL mn)</t>
  </si>
  <si>
    <t xml:space="preserve">Cumulative GDP Impact (USD mn)</t>
  </si>
  <si>
    <t xml:space="preserve">SCENARIO 2: Higher Demand Multiplier = 1.0</t>
  </si>
  <si>
    <t xml:space="preserve">Key Assumption Change:</t>
  </si>
  <si>
    <t xml:space="preserve">Demand Multiplier = 1.0 (vs 0.8 in Scenario 1)</t>
  </si>
  <si>
    <t xml:space="preserve">D30: User Input</t>
  </si>
  <si>
    <t xml:space="preserve">D31: User Input</t>
  </si>
  <si>
    <t xml:space="preserve">D32: User Input</t>
  </si>
  <si>
    <t xml:space="preserve">D33: User Input</t>
  </si>
  <si>
    <t xml:space="preserve">SCENARIO 3: Higher Import Content = 0.5</t>
  </si>
  <si>
    <t xml:space="preserve">Import Content Share Override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</si>
</sst>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"/>
    <numFmt numFmtId="167" formatCode="0.00"/>
    <numFmt numFmtId="168" formatCode="General"/>
    <numFmt numFmtId="169" formatCode="0.00%"/>
    <numFmt numFmtId="170" formatCode="0.000"/>
    <numFmt numFmtId="171" formatCode="0.0"/>
    <numFmt numFmtId="172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9"/>
      <name val="Cambria"/>
      <family val="0"/>
      <charset val="1"/>
    </font>
    <font>
      <sz val="8"/>
      <name val="Cambria"/>
      <family val="0"/>
      <charset val="1"/>
    </font>
    <font>
      <sz val="8"/>
      <color rgb="FF000000"/>
      <name val="Cambria"/>
      <family val="0"/>
      <charset val="1"/>
    </font>
    <font>
      <b val="true"/>
      <sz val="8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D3D3D3"/>
        <bgColor rgb="FFCCCCCC"/>
      </patternFill>
    </fill>
    <fill>
      <patternFill patternType="solid">
        <fgColor rgb="FF366092"/>
        <bgColor rgb="FF333399"/>
      </patternFill>
    </fill>
    <fill>
      <patternFill patternType="solid">
        <fgColor rgb="FFE7E6E6"/>
        <bgColor rgb="FFD3D3D3"/>
      </patternFill>
    </fill>
    <fill>
      <patternFill patternType="solid">
        <fgColor rgb="FF70AD47"/>
        <bgColor rgb="FF339966"/>
      </patternFill>
    </fill>
    <fill>
      <patternFill patternType="solid">
        <fgColor rgb="FFC55A11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1" t="n">
        <v>2020</v>
      </c>
      <c r="B2" s="3" t="n">
        <v>1.5</v>
      </c>
      <c r="C2" s="4" t="n">
        <v>15180</v>
      </c>
      <c r="D2" s="5" t="n">
        <v>98.2</v>
      </c>
    </row>
    <row r="3" customFormat="false" ht="15" hidden="false" customHeight="true" outlineLevel="0" collapsed="false">
      <c r="A3" s="1" t="n">
        <v>2021</v>
      </c>
      <c r="B3" s="3" t="n">
        <v>1.2</v>
      </c>
      <c r="C3" s="4" t="n">
        <v>15617</v>
      </c>
      <c r="D3" s="5" t="n">
        <v>99.4</v>
      </c>
    </row>
    <row r="4" customFormat="false" ht="15" hidden="false" customHeight="true" outlineLevel="0" collapsed="false">
      <c r="A4" s="1" t="n">
        <v>2022</v>
      </c>
      <c r="B4" s="3" t="n">
        <v>11.2</v>
      </c>
      <c r="C4" s="4" t="n">
        <v>17286</v>
      </c>
      <c r="D4" s="5" t="n">
        <v>102.6</v>
      </c>
    </row>
    <row r="5" customFormat="false" ht="15" hidden="false" customHeight="true" outlineLevel="0" collapsed="false">
      <c r="A5" s="1" t="n">
        <v>2023</v>
      </c>
      <c r="B5" s="3" t="n">
        <v>10.6</v>
      </c>
      <c r="C5" s="4" t="n">
        <v>20121</v>
      </c>
      <c r="D5" s="5" t="n">
        <v>106.8</v>
      </c>
    </row>
    <row r="6" customFormat="false" ht="15" hidden="false" customHeight="true" outlineLevel="0" collapsed="false">
      <c r="A6" s="1" t="n">
        <v>2024</v>
      </c>
      <c r="B6" s="3" t="n">
        <v>4.7</v>
      </c>
      <c r="C6" s="4" t="n">
        <v>22195</v>
      </c>
      <c r="D6" s="5" t="n">
        <v>109.5</v>
      </c>
    </row>
    <row r="7" customFormat="false" ht="15" hidden="false" customHeight="true" outlineLevel="0" collapsed="false">
      <c r="A7" s="1" t="n">
        <v>2025</v>
      </c>
      <c r="B7" s="3" t="n">
        <v>3.5</v>
      </c>
      <c r="C7" s="4" t="n">
        <v>23564</v>
      </c>
      <c r="D7" s="5" t="n">
        <v>112.1</v>
      </c>
    </row>
    <row r="8" customFormat="false" ht="15" hidden="false" customHeight="true" outlineLevel="0" collapsed="false">
      <c r="A8" s="1" t="n">
        <v>2026</v>
      </c>
      <c r="B8" s="3" t="n">
        <v>0.035</v>
      </c>
      <c r="C8" s="6" t="n">
        <f aca="false">C7*(1+$B$8)</f>
        <v>24388.74</v>
      </c>
      <c r="D8" s="7" t="n">
        <f aca="false">D7*(1+0.023148)</f>
        <v>114.6948908</v>
      </c>
    </row>
    <row r="9" customFormat="false" ht="15" hidden="false" customHeight="true" outlineLevel="0" collapsed="false">
      <c r="A9" s="1" t="n">
        <v>2027</v>
      </c>
      <c r="B9" s="8" t="s">
        <v>4</v>
      </c>
      <c r="C9" s="6" t="n">
        <f aca="false">C8*(1+$B$8)</f>
        <v>25242.3459</v>
      </c>
      <c r="D9" s="7" t="n">
        <f aca="false">D8*(1+0.023148)</f>
        <v>117.349848132238</v>
      </c>
    </row>
    <row r="10" customFormat="false" ht="15" hidden="false" customHeight="true" outlineLevel="0" collapsed="false">
      <c r="A10" s="1" t="n">
        <v>2028</v>
      </c>
      <c r="B10" s="8" t="s">
        <v>4</v>
      </c>
      <c r="C10" s="6" t="n">
        <f aca="false">C9*(1+$B$8)</f>
        <v>26125.8280065</v>
      </c>
      <c r="D10" s="7" t="n">
        <f aca="false">D9*(1+0.023148)</f>
        <v>120.066262416803</v>
      </c>
    </row>
    <row r="11" customFormat="false" ht="15" hidden="false" customHeight="true" outlineLevel="0" collapsed="false">
      <c r="A11" s="1" t="n">
        <v>2029</v>
      </c>
      <c r="B11" s="8" t="s">
        <v>4</v>
      </c>
      <c r="C11" s="6" t="n">
        <f aca="false">C10*(1+$B$8)</f>
        <v>27040.2319867275</v>
      </c>
      <c r="D11" s="7" t="n">
        <f aca="false">D10*(1+0.023148)</f>
        <v>122.845556259228</v>
      </c>
    </row>
    <row r="12" customFormat="false" ht="15" hidden="false" customHeight="true" outlineLevel="0" collapsed="false">
      <c r="A12" s="1" t="n">
        <v>2030</v>
      </c>
      <c r="B12" s="8" t="s">
        <v>4</v>
      </c>
      <c r="C12" s="6" t="n">
        <f aca="false">C11*(1+$B$8)</f>
        <v>27986.640106263</v>
      </c>
      <c r="D12" s="7" t="n">
        <f aca="false">D11*(1+0.023148)</f>
        <v>125.689185195516</v>
      </c>
    </row>
    <row r="13" customFormat="false" ht="15" hidden="false" customHeight="true" outlineLevel="0" collapsed="false">
      <c r="A13" s="1" t="n">
        <v>2031</v>
      </c>
      <c r="B13" s="8" t="s">
        <v>4</v>
      </c>
      <c r="C13" s="6" t="n">
        <f aca="false">C12*(1+$B$8)</f>
        <v>28966.1725099822</v>
      </c>
      <c r="D13" s="7" t="n">
        <f aca="false">D12*(1+0.023148)</f>
        <v>128.598638454422</v>
      </c>
    </row>
    <row r="14" customFormat="false" ht="15" hidden="false" customHeight="true" outlineLevel="0" collapsed="false">
      <c r="A14" s="1" t="n">
        <v>2032</v>
      </c>
      <c r="B14" s="8" t="s">
        <v>4</v>
      </c>
      <c r="C14" s="6" t="n">
        <f aca="false">C13*(1+$B$8)</f>
        <v>29979.9885478315</v>
      </c>
      <c r="D14" s="7" t="n">
        <f aca="false">D13*(1+0.023148)</f>
        <v>131.575439737365</v>
      </c>
    </row>
    <row r="15" customFormat="false" ht="15" hidden="false" customHeight="true" outlineLevel="0" collapsed="false">
      <c r="A15" s="1" t="n">
        <v>2033</v>
      </c>
      <c r="B15" s="8" t="s">
        <v>4</v>
      </c>
      <c r="C15" s="6" t="n">
        <f aca="false">C14*(1+$B$8)</f>
        <v>31029.2881470056</v>
      </c>
      <c r="D15" s="7" t="n">
        <f aca="false">D14*(1+0.023148)</f>
        <v>134.621148016405</v>
      </c>
    </row>
    <row r="16" customFormat="false" ht="15" hidden="false" customHeight="true" outlineLevel="0" collapsed="false">
      <c r="A16" s="1" t="n">
        <v>2034</v>
      </c>
      <c r="B16" s="8" t="s">
        <v>4</v>
      </c>
      <c r="C16" s="6" t="n">
        <f aca="false">C15*(1+$B$8)</f>
        <v>32115.3132321508</v>
      </c>
      <c r="D16" s="7" t="n">
        <f aca="false">D15*(1+0.023148)</f>
        <v>137.737358350689</v>
      </c>
    </row>
    <row r="17" customFormat="false" ht="15" hidden="false" customHeight="true" outlineLevel="0" collapsed="false">
      <c r="A17" s="1" t="n">
        <v>2035</v>
      </c>
      <c r="B17" s="8" t="s">
        <v>4</v>
      </c>
      <c r="C17" s="6" t="n">
        <f aca="false">C16*(1+$B$8)</f>
        <v>33239.3491952761</v>
      </c>
      <c r="D17" s="7" t="n">
        <f aca="false">D16*(1+0.023148)</f>
        <v>140.925702721791</v>
      </c>
    </row>
    <row r="18" customFormat="false" ht="15" hidden="false" customHeight="true" outlineLevel="0" collapsed="false">
      <c r="A18" s="1" t="n">
        <v>2036</v>
      </c>
      <c r="B18" s="8" t="s">
        <v>4</v>
      </c>
      <c r="C18" s="6" t="n">
        <f aca="false">C17*(1+$B$8)</f>
        <v>34402.7264171108</v>
      </c>
      <c r="D18" s="7" t="n">
        <f aca="false">D17*(1+0.023148)</f>
        <v>144.187850888395</v>
      </c>
    </row>
    <row r="19" customFormat="false" ht="15" hidden="false" customHeight="true" outlineLevel="0" collapsed="false">
      <c r="A19" s="1" t="n">
        <v>2037</v>
      </c>
      <c r="B19" s="8" t="s">
        <v>4</v>
      </c>
      <c r="C19" s="6" t="n">
        <f aca="false">C18*(1+$B$8)</f>
        <v>35606.8218417096</v>
      </c>
      <c r="D19" s="7" t="n">
        <f aca="false">D18*(1+0.023148)</f>
        <v>147.52551126076</v>
      </c>
    </row>
    <row r="20" customFormat="false" ht="15" hidden="false" customHeight="true" outlineLevel="0" collapsed="false">
      <c r="A20" s="1" t="n">
        <v>2038</v>
      </c>
      <c r="B20" s="8" t="s">
        <v>4</v>
      </c>
      <c r="C20" s="6" t="n">
        <f aca="false">C19*(1+$B$8)</f>
        <v>36853.0606061695</v>
      </c>
      <c r="D20" s="7" t="n">
        <f aca="false">D19*(1+0.023148)</f>
        <v>150.940431795424</v>
      </c>
    </row>
    <row r="21" customFormat="false" ht="15" hidden="false" customHeight="true" outlineLevel="0" collapsed="false">
      <c r="A21" s="1" t="n">
        <v>2039</v>
      </c>
      <c r="B21" s="8" t="s">
        <v>4</v>
      </c>
      <c r="C21" s="6" t="n">
        <f aca="false">C20*(1+$B$8)</f>
        <v>38142.9177273854</v>
      </c>
      <c r="D21" s="7" t="n">
        <f aca="false">D20*(1+0.023148)</f>
        <v>154.434400910624</v>
      </c>
    </row>
    <row r="22" customFormat="false" ht="15" hidden="false" customHeight="true" outlineLevel="0" collapsed="false">
      <c r="A22" s="1" t="n">
        <v>2040</v>
      </c>
      <c r="B22" s="8" t="s">
        <v>4</v>
      </c>
      <c r="C22" s="6" t="n">
        <f aca="false">C21*(1+$B$8)</f>
        <v>39477.9198478439</v>
      </c>
      <c r="D22" s="7" t="n">
        <f aca="false">D21*(1+0.023148)</f>
        <v>158.009248422903</v>
      </c>
    </row>
    <row r="23" customFormat="false" ht="15" hidden="false" customHeight="true" outlineLevel="0" collapsed="false">
      <c r="A23" s="1" t="n">
        <v>2041</v>
      </c>
      <c r="B23" s="8" t="s">
        <v>4</v>
      </c>
      <c r="C23" s="6" t="n">
        <f aca="false">C22*(1+$B$8)</f>
        <v>40859.6470425184</v>
      </c>
      <c r="D23" s="7" t="n">
        <f aca="false">D22*(1+0.023148)</f>
        <v>161.666846505397</v>
      </c>
    </row>
    <row r="24" customFormat="false" ht="15" hidden="false" customHeight="true" outlineLevel="0" collapsed="false">
      <c r="A24" s="1" t="n">
        <v>2042</v>
      </c>
      <c r="B24" s="8" t="s">
        <v>4</v>
      </c>
      <c r="C24" s="6" t="n">
        <f aca="false">C23*(1+$B$8)</f>
        <v>42289.7346890066</v>
      </c>
      <c r="D24" s="7" t="n">
        <f aca="false">D23*(1+0.023148)</f>
        <v>165.409110668303</v>
      </c>
    </row>
    <row r="25" customFormat="false" ht="15" hidden="false" customHeight="true" outlineLevel="0" collapsed="false">
      <c r="A25" s="1" t="n">
        <v>2043</v>
      </c>
      <c r="B25" s="8" t="s">
        <v>4</v>
      </c>
      <c r="C25" s="6" t="n">
        <f aca="false">C24*(1+$B$8)</f>
        <v>43769.8754031218</v>
      </c>
      <c r="D25" s="7" t="n">
        <f aca="false">D24*(1+0.023148)</f>
        <v>169.238000762053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8" min="2" style="1" width="15"/>
  </cols>
  <sheetData>
    <row r="1" customFormat="false" ht="15" hidden="false" customHeight="true" outlineLevel="0" collapsed="false">
      <c r="A1" s="9" t="s">
        <v>5</v>
      </c>
    </row>
    <row r="3" customFormat="false" ht="1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customFormat="false" ht="15" hidden="false" customHeight="true" outlineLevel="0" collapsed="false">
      <c r="A4" s="1" t="s">
        <v>14</v>
      </c>
      <c r="B4" s="10" t="str">
        <f aca="false">SUPPLY!B5</f>
        <v>Agriculture</v>
      </c>
      <c r="C4" s="11" t="n">
        <f aca="false">SUPPLY!AO5</f>
        <v>14345</v>
      </c>
      <c r="D4" s="11" t="n">
        <f aca="false">USE!AO5</f>
        <v>11476</v>
      </c>
      <c r="E4" s="6" t="n">
        <f aca="false">C4-D4</f>
        <v>2869</v>
      </c>
      <c r="F4" s="8" t="n">
        <f aca="false">IF(D4=0,0,USE!AP5/D4)</f>
        <v>0.25</v>
      </c>
      <c r="G4" s="8" t="n">
        <f aca="false">IF(F4=0,1,(1-F4))</f>
        <v>0.75</v>
      </c>
      <c r="H4" s="6" t="n">
        <f aca="false">C4</f>
        <v>14345</v>
      </c>
    </row>
    <row r="5" customFormat="false" ht="15" hidden="false" customHeight="true" outlineLevel="0" collapsed="false">
      <c r="A5" s="1" t="s">
        <v>15</v>
      </c>
      <c r="B5" s="10" t="str">
        <f aca="false">SUPPLY!B6</f>
        <v>Mining</v>
      </c>
      <c r="C5" s="11" t="n">
        <f aca="false">SUPPLY!AO6</f>
        <v>16615.5</v>
      </c>
      <c r="D5" s="11" t="n">
        <f aca="false">USE!AO6</f>
        <v>13132.8</v>
      </c>
      <c r="E5" s="6" t="n">
        <f aca="false">C5-D5</f>
        <v>3482.7</v>
      </c>
      <c r="F5" s="8" t="n">
        <f aca="false">IF(D5=0,0,USE!AP6/D5)</f>
        <v>0.25</v>
      </c>
      <c r="G5" s="8" t="n">
        <f aca="false">IF(F5=0,1,(1-F5))</f>
        <v>0.75</v>
      </c>
      <c r="H5" s="6" t="n">
        <f aca="false">C5</f>
        <v>16615.5</v>
      </c>
    </row>
    <row r="6" customFormat="false" ht="15" hidden="false" customHeight="true" outlineLevel="0" collapsed="false">
      <c r="A6" s="1" t="s">
        <v>16</v>
      </c>
      <c r="B6" s="10" t="str">
        <f aca="false">SUPPLY!B7</f>
        <v>Food &amp; Beverages</v>
      </c>
      <c r="C6" s="11" t="n">
        <f aca="false">SUPPLY!AO7</f>
        <v>19038</v>
      </c>
      <c r="D6" s="11" t="n">
        <f aca="false">USE!AO7</f>
        <v>14899.04</v>
      </c>
      <c r="E6" s="6" t="n">
        <f aca="false">C6-D6</f>
        <v>4138.96</v>
      </c>
      <c r="F6" s="8" t="n">
        <f aca="false">IF(D6=0,0,USE!AP7/D6)</f>
        <v>0.25</v>
      </c>
      <c r="G6" s="8" t="n">
        <f aca="false">IF(F6=0,1,(1-F6))</f>
        <v>0.75</v>
      </c>
      <c r="H6" s="6" t="n">
        <f aca="false">C6</f>
        <v>19038</v>
      </c>
    </row>
    <row r="7" customFormat="false" ht="15" hidden="false" customHeight="true" outlineLevel="0" collapsed="false">
      <c r="A7" s="1" t="s">
        <v>17</v>
      </c>
      <c r="B7" s="10" t="str">
        <f aca="false">SUPPLY!B8</f>
        <v>Textiles</v>
      </c>
      <c r="C7" s="11" t="n">
        <f aca="false">SUPPLY!AO8</f>
        <v>21612.5</v>
      </c>
      <c r="D7" s="11" t="n">
        <f aca="false">USE!AO8</f>
        <v>16774.72</v>
      </c>
      <c r="E7" s="6" t="n">
        <f aca="false">C7-D7</f>
        <v>4837.78</v>
      </c>
      <c r="F7" s="8" t="n">
        <f aca="false">IF(D7=0,0,USE!AP8/D7)</f>
        <v>0.25</v>
      </c>
      <c r="G7" s="8" t="n">
        <f aca="false">IF(F7=0,1,(1-F7))</f>
        <v>0.75</v>
      </c>
      <c r="H7" s="6" t="n">
        <f aca="false">C7</f>
        <v>21612.5</v>
      </c>
    </row>
    <row r="8" customFormat="false" ht="15" hidden="false" customHeight="true" outlineLevel="0" collapsed="false">
      <c r="A8" s="1" t="s">
        <v>18</v>
      </c>
      <c r="B8" s="10" t="str">
        <f aca="false">SUPPLY!B9</f>
        <v>Wood Products</v>
      </c>
      <c r="C8" s="11" t="n">
        <f aca="false">SUPPLY!AO9</f>
        <v>24339</v>
      </c>
      <c r="D8" s="11" t="n">
        <f aca="false">USE!AO9</f>
        <v>18759.84</v>
      </c>
      <c r="E8" s="6" t="n">
        <f aca="false">C8-D8</f>
        <v>5579.16</v>
      </c>
      <c r="F8" s="8" t="n">
        <f aca="false">IF(D8=0,0,USE!AP9/D8)</f>
        <v>0.25</v>
      </c>
      <c r="G8" s="8" t="n">
        <f aca="false">IF(F8=0,1,(1-F8))</f>
        <v>0.75</v>
      </c>
      <c r="H8" s="6" t="n">
        <f aca="false">C8</f>
        <v>24339</v>
      </c>
    </row>
    <row r="9" customFormat="false" ht="15" hidden="false" customHeight="true" outlineLevel="0" collapsed="false">
      <c r="A9" s="1" t="s">
        <v>19</v>
      </c>
      <c r="B9" s="10" t="str">
        <f aca="false">SUPPLY!B10</f>
        <v>Paper &amp; Publishing</v>
      </c>
      <c r="C9" s="11" t="n">
        <f aca="false">SUPPLY!AO10</f>
        <v>18145</v>
      </c>
      <c r="D9" s="11" t="n">
        <f aca="false">USE!AO10</f>
        <v>14896</v>
      </c>
      <c r="E9" s="6" t="n">
        <f aca="false">C9-D9</f>
        <v>3249</v>
      </c>
      <c r="F9" s="8" t="n">
        <f aca="false">IF(D9=0,0,USE!AP10/D9)</f>
        <v>0.25</v>
      </c>
      <c r="G9" s="8" t="n">
        <f aca="false">IF(F9=0,1,(1-F9))</f>
        <v>0.75</v>
      </c>
      <c r="H9" s="6" t="n">
        <f aca="false">C9</f>
        <v>18145</v>
      </c>
    </row>
    <row r="10" customFormat="false" ht="15" hidden="false" customHeight="true" outlineLevel="0" collapsed="false">
      <c r="A10" s="1" t="s">
        <v>20</v>
      </c>
      <c r="B10" s="10" t="str">
        <f aca="false">SUPPLY!B11</f>
        <v>Fuel &amp; Energy</v>
      </c>
      <c r="C10" s="11" t="n">
        <f aca="false">SUPPLY!AO11</f>
        <v>20795.5</v>
      </c>
      <c r="D10" s="11" t="n">
        <f aca="false">USE!AO11</f>
        <v>16826.4</v>
      </c>
      <c r="E10" s="6" t="n">
        <f aca="false">C10-D10</f>
        <v>3969.1</v>
      </c>
      <c r="F10" s="8" t="n">
        <f aca="false">IF(D10=0,0,USE!AP11/D10)</f>
        <v>0.25</v>
      </c>
      <c r="G10" s="8" t="n">
        <f aca="false">IF(F10=0,1,(1-F10))</f>
        <v>0.75</v>
      </c>
      <c r="H10" s="6" t="n">
        <f aca="false">C10</f>
        <v>20795.5</v>
      </c>
    </row>
    <row r="11" customFormat="false" ht="15" hidden="false" customHeight="true" outlineLevel="0" collapsed="false">
      <c r="A11" s="1" t="s">
        <v>21</v>
      </c>
      <c r="B11" s="10" t="str">
        <f aca="false">SUPPLY!B12</f>
        <v>Chemicals</v>
      </c>
      <c r="C11" s="11" t="n">
        <f aca="false">SUPPLY!AO12</f>
        <v>23598</v>
      </c>
      <c r="D11" s="11" t="n">
        <f aca="false">USE!AO12</f>
        <v>18866.24</v>
      </c>
      <c r="E11" s="6" t="n">
        <f aca="false">C11-D11</f>
        <v>4731.76</v>
      </c>
      <c r="F11" s="8" t="n">
        <f aca="false">IF(D11=0,0,USE!AP12/D11)</f>
        <v>0.25</v>
      </c>
      <c r="G11" s="8" t="n">
        <f aca="false">IF(F11=0,1,(1-F11))</f>
        <v>0.75</v>
      </c>
      <c r="H11" s="6" t="n">
        <f aca="false">C11</f>
        <v>23598</v>
      </c>
    </row>
    <row r="12" customFormat="false" ht="15" hidden="false" customHeight="true" outlineLevel="0" collapsed="false">
      <c r="A12" s="1" t="s">
        <v>22</v>
      </c>
      <c r="B12" s="10" t="str">
        <f aca="false">SUPPLY!B13</f>
        <v>Pharmaceuticals</v>
      </c>
      <c r="C12" s="11" t="n">
        <f aca="false">SUPPLY!AO13</f>
        <v>26552.5</v>
      </c>
      <c r="D12" s="11" t="n">
        <f aca="false">USE!AO13</f>
        <v>21015.52</v>
      </c>
      <c r="E12" s="6" t="n">
        <f aca="false">C12-D12</f>
        <v>5536.98</v>
      </c>
      <c r="F12" s="8" t="n">
        <f aca="false">IF(D12=0,0,USE!AP13/D12)</f>
        <v>0.25</v>
      </c>
      <c r="G12" s="8" t="n">
        <f aca="false">IF(F12=0,1,(1-F12))</f>
        <v>0.75</v>
      </c>
      <c r="H12" s="6" t="n">
        <f aca="false">C12</f>
        <v>26552.5</v>
      </c>
    </row>
    <row r="13" customFormat="false" ht="15" hidden="false" customHeight="true" outlineLevel="0" collapsed="false">
      <c r="A13" s="1" t="s">
        <v>23</v>
      </c>
      <c r="B13" s="10" t="str">
        <f aca="false">SUPPLY!B14</f>
        <v>Rubber &amp; Plastics</v>
      </c>
      <c r="C13" s="11" t="n">
        <f aca="false">SUPPLY!AO14</f>
        <v>29659</v>
      </c>
      <c r="D13" s="11" t="n">
        <f aca="false">USE!AO14</f>
        <v>23274.24</v>
      </c>
      <c r="E13" s="6" t="n">
        <f aca="false">C13-D13</f>
        <v>6384.76</v>
      </c>
      <c r="F13" s="8" t="n">
        <f aca="false">IF(D13=0,0,USE!AP14/D13)</f>
        <v>0.25</v>
      </c>
      <c r="G13" s="8" t="n">
        <f aca="false">IF(F13=0,1,(1-F13))</f>
        <v>0.75</v>
      </c>
      <c r="H13" s="6" t="n">
        <f aca="false">C13</f>
        <v>29659</v>
      </c>
    </row>
    <row r="14" customFormat="false" ht="15" hidden="false" customHeight="true" outlineLevel="0" collapsed="false">
      <c r="A14" s="1" t="s">
        <v>24</v>
      </c>
      <c r="B14" s="10" t="str">
        <f aca="false">SUPPLY!B15</f>
        <v>Non-metallic</v>
      </c>
      <c r="C14" s="11" t="n">
        <f aca="false">SUPPLY!AO15</f>
        <v>21945</v>
      </c>
      <c r="D14" s="11" t="n">
        <f aca="false">USE!AO15</f>
        <v>18316</v>
      </c>
      <c r="E14" s="6" t="n">
        <f aca="false">C14-D14</f>
        <v>3629</v>
      </c>
      <c r="F14" s="8" t="n">
        <f aca="false">IF(D14=0,0,USE!AP15/D14)</f>
        <v>0.25</v>
      </c>
      <c r="G14" s="8" t="n">
        <f aca="false">IF(F14=0,1,(1-F14))</f>
        <v>0.75</v>
      </c>
      <c r="H14" s="6" t="n">
        <f aca="false">C14</f>
        <v>21945</v>
      </c>
    </row>
    <row r="15" customFormat="false" ht="15" hidden="false" customHeight="true" outlineLevel="0" collapsed="false">
      <c r="A15" s="1" t="s">
        <v>25</v>
      </c>
      <c r="B15" s="10" t="str">
        <f aca="false">SUPPLY!B16</f>
        <v>Metals</v>
      </c>
      <c r="C15" s="11" t="n">
        <f aca="false">SUPPLY!AO16</f>
        <v>24975.5</v>
      </c>
      <c r="D15" s="11" t="n">
        <f aca="false">USE!AO16</f>
        <v>20520</v>
      </c>
      <c r="E15" s="6" t="n">
        <f aca="false">C15-D15</f>
        <v>4455.5</v>
      </c>
      <c r="F15" s="8" t="n">
        <f aca="false">IF(D15=0,0,USE!AP16/D15)</f>
        <v>0.25</v>
      </c>
      <c r="G15" s="8" t="n">
        <f aca="false">IF(F15=0,1,(1-F15))</f>
        <v>0.75</v>
      </c>
      <c r="H15" s="6" t="n">
        <f aca="false">C15</f>
        <v>24975.5</v>
      </c>
    </row>
    <row r="16" customFormat="false" ht="15" hidden="false" customHeight="true" outlineLevel="0" collapsed="false">
      <c r="A16" s="1" t="s">
        <v>26</v>
      </c>
      <c r="B16" s="10" t="str">
        <f aca="false">SUPPLY!B17</f>
        <v>Machinery</v>
      </c>
      <c r="C16" s="11" t="n">
        <f aca="false">SUPPLY!AO17</f>
        <v>28158</v>
      </c>
      <c r="D16" s="11" t="n">
        <f aca="false">USE!AO17</f>
        <v>22833.44</v>
      </c>
      <c r="E16" s="6" t="n">
        <f aca="false">C16-D16</f>
        <v>5324.56</v>
      </c>
      <c r="F16" s="8" t="n">
        <f aca="false">IF(D16=0,0,USE!AP17/D16)</f>
        <v>0.25</v>
      </c>
      <c r="G16" s="8" t="n">
        <f aca="false">IF(F16=0,1,(1-F16))</f>
        <v>0.75</v>
      </c>
      <c r="H16" s="6" t="n">
        <f aca="false">C16</f>
        <v>28158</v>
      </c>
    </row>
    <row r="17" customFormat="false" ht="15" hidden="false" customHeight="true" outlineLevel="0" collapsed="false">
      <c r="A17" s="1" t="s">
        <v>27</v>
      </c>
      <c r="B17" s="10" t="str">
        <f aca="false">SUPPLY!B18</f>
        <v>Electrical Equipment</v>
      </c>
      <c r="C17" s="11" t="n">
        <f aca="false">SUPPLY!AO18</f>
        <v>31492.5</v>
      </c>
      <c r="D17" s="11" t="n">
        <f aca="false">USE!AO18</f>
        <v>25256.32</v>
      </c>
      <c r="E17" s="6" t="n">
        <f aca="false">C17-D17</f>
        <v>6236.18</v>
      </c>
      <c r="F17" s="8" t="n">
        <f aca="false">IF(D17=0,0,USE!AP18/D17)</f>
        <v>0.25</v>
      </c>
      <c r="G17" s="8" t="n">
        <f aca="false">IF(F17=0,1,(1-F17))</f>
        <v>0.75</v>
      </c>
      <c r="H17" s="6" t="n">
        <f aca="false">C17</f>
        <v>31492.5</v>
      </c>
    </row>
    <row r="18" customFormat="false" ht="15" hidden="false" customHeight="true" outlineLevel="0" collapsed="false">
      <c r="A18" s="1" t="s">
        <v>28</v>
      </c>
      <c r="B18" s="10" t="str">
        <f aca="false">SUPPLY!B19</f>
        <v>Transport Equipment</v>
      </c>
      <c r="C18" s="11" t="n">
        <f aca="false">SUPPLY!AO19</f>
        <v>34979</v>
      </c>
      <c r="D18" s="11" t="n">
        <f aca="false">USE!AO19</f>
        <v>27788.64</v>
      </c>
      <c r="E18" s="6" t="n">
        <f aca="false">C18-D18</f>
        <v>7190.36</v>
      </c>
      <c r="F18" s="8" t="n">
        <f aca="false">IF(D18=0,0,USE!AP19/D18)</f>
        <v>0.25</v>
      </c>
      <c r="G18" s="8" t="n">
        <f aca="false">IF(F18=0,1,(1-F18))</f>
        <v>0.75</v>
      </c>
      <c r="H18" s="6" t="n">
        <f aca="false">C18</f>
        <v>34979</v>
      </c>
    </row>
    <row r="19" customFormat="false" ht="15" hidden="false" customHeight="true" outlineLevel="0" collapsed="false">
      <c r="A19" s="1" t="s">
        <v>29</v>
      </c>
      <c r="B19" s="10" t="str">
        <f aca="false">SUPPLY!B20</f>
        <v>Furniture &amp; Other</v>
      </c>
      <c r="C19" s="11" t="n">
        <f aca="false">SUPPLY!AO20</f>
        <v>25745</v>
      </c>
      <c r="D19" s="11" t="n">
        <f aca="false">USE!AO20</f>
        <v>21736</v>
      </c>
      <c r="E19" s="6" t="n">
        <f aca="false">C19-D19</f>
        <v>4009</v>
      </c>
      <c r="F19" s="8" t="n">
        <f aca="false">IF(D19=0,0,USE!AP20/D19)</f>
        <v>0.25</v>
      </c>
      <c r="G19" s="8" t="n">
        <f aca="false">IF(F19=0,1,(1-F19))</f>
        <v>0.75</v>
      </c>
      <c r="H19" s="6" t="n">
        <f aca="false">C19</f>
        <v>25745</v>
      </c>
    </row>
    <row r="20" customFormat="false" ht="15" hidden="false" customHeight="true" outlineLevel="0" collapsed="false">
      <c r="A20" s="1" t="s">
        <v>30</v>
      </c>
      <c r="B20" s="10" t="str">
        <f aca="false">SUPPLY!B21</f>
        <v>Electricity</v>
      </c>
      <c r="C20" s="11" t="n">
        <f aca="false">SUPPLY!AO21</f>
        <v>29155.5</v>
      </c>
      <c r="D20" s="11" t="n">
        <f aca="false">USE!AO21</f>
        <v>24213.6</v>
      </c>
      <c r="E20" s="6" t="n">
        <f aca="false">C20-D20</f>
        <v>4941.9</v>
      </c>
      <c r="F20" s="8" t="n">
        <f aca="false">IF(D20=0,0,USE!AP21/D20)</f>
        <v>0.25</v>
      </c>
      <c r="G20" s="8" t="n">
        <f aca="false">IF(F20=0,1,(1-F20))</f>
        <v>0.75</v>
      </c>
      <c r="H20" s="6" t="n">
        <f aca="false">C20</f>
        <v>29155.5</v>
      </c>
    </row>
    <row r="21" customFormat="false" ht="15" hidden="false" customHeight="true" outlineLevel="0" collapsed="false">
      <c r="A21" s="1" t="s">
        <v>31</v>
      </c>
      <c r="B21" s="10" t="str">
        <f aca="false">SUPPLY!B22</f>
        <v>Gas &amp; Water</v>
      </c>
      <c r="C21" s="11" t="n">
        <f aca="false">SUPPLY!AO22</f>
        <v>32718</v>
      </c>
      <c r="D21" s="11" t="n">
        <f aca="false">USE!AO22</f>
        <v>26800.64</v>
      </c>
      <c r="E21" s="6" t="n">
        <f aca="false">C21-D21</f>
        <v>5917.36</v>
      </c>
      <c r="F21" s="8" t="n">
        <f aca="false">IF(D21=0,0,USE!AP22/D21)</f>
        <v>0.25</v>
      </c>
      <c r="G21" s="8" t="n">
        <f aca="false">IF(F21=0,1,(1-F21))</f>
        <v>0.75</v>
      </c>
      <c r="H21" s="6" t="n">
        <f aca="false">C21</f>
        <v>32718</v>
      </c>
    </row>
    <row r="22" customFormat="false" ht="15" hidden="false" customHeight="true" outlineLevel="0" collapsed="false">
      <c r="A22" s="1" t="s">
        <v>32</v>
      </c>
      <c r="B22" s="10" t="str">
        <f aca="false">SUPPLY!B23</f>
        <v>Construction</v>
      </c>
      <c r="C22" s="11" t="n">
        <f aca="false">SUPPLY!AO23</f>
        <v>36432.5</v>
      </c>
      <c r="D22" s="11" t="n">
        <f aca="false">USE!AO23</f>
        <v>29497.12</v>
      </c>
      <c r="E22" s="6" t="n">
        <f aca="false">C22-D22</f>
        <v>6935.38</v>
      </c>
      <c r="F22" s="8" t="n">
        <f aca="false">IF(D22=0,0,USE!AP23/D22)</f>
        <v>0.25</v>
      </c>
      <c r="G22" s="8" t="n">
        <f aca="false">IF(F22=0,1,(1-F22))</f>
        <v>0.75</v>
      </c>
      <c r="H22" s="6" t="n">
        <f aca="false">C22</f>
        <v>36432.5</v>
      </c>
    </row>
    <row r="23" customFormat="false" ht="15" hidden="false" customHeight="true" outlineLevel="0" collapsed="false">
      <c r="A23" s="1" t="s">
        <v>33</v>
      </c>
      <c r="B23" s="10" t="str">
        <f aca="false">SUPPLY!B24</f>
        <v>Trade</v>
      </c>
      <c r="C23" s="11" t="n">
        <f aca="false">SUPPLY!AO24</f>
        <v>40299</v>
      </c>
      <c r="D23" s="11" t="n">
        <f aca="false">USE!AO24</f>
        <v>32303.04</v>
      </c>
      <c r="E23" s="6" t="n">
        <f aca="false">C23-D23</f>
        <v>7995.96</v>
      </c>
      <c r="F23" s="8" t="n">
        <f aca="false">IF(D23=0,0,USE!AP24/D23)</f>
        <v>0.25</v>
      </c>
      <c r="G23" s="8" t="n">
        <f aca="false">IF(F23=0,1,(1-F23))</f>
        <v>0.75</v>
      </c>
      <c r="H23" s="6" t="n">
        <f aca="false">C23</f>
        <v>40299</v>
      </c>
    </row>
    <row r="24" customFormat="false" ht="15" hidden="false" customHeight="true" outlineLevel="0" collapsed="false">
      <c r="A24" s="1" t="s">
        <v>34</v>
      </c>
      <c r="B24" s="10" t="str">
        <f aca="false">SUPPLY!B25</f>
        <v>Transport</v>
      </c>
      <c r="C24" s="11" t="n">
        <f aca="false">SUPPLY!AO25</f>
        <v>29545</v>
      </c>
      <c r="D24" s="11" t="n">
        <f aca="false">USE!AO25</f>
        <v>25156</v>
      </c>
      <c r="E24" s="6" t="n">
        <f aca="false">C24-D24</f>
        <v>4389</v>
      </c>
      <c r="F24" s="8" t="n">
        <f aca="false">IF(D24=0,0,USE!AP25/D24)</f>
        <v>0.25</v>
      </c>
      <c r="G24" s="8" t="n">
        <f aca="false">IF(F24=0,1,(1-F24))</f>
        <v>0.75</v>
      </c>
      <c r="H24" s="6" t="n">
        <f aca="false">C24</f>
        <v>29545</v>
      </c>
    </row>
    <row r="25" customFormat="false" ht="15" hidden="false" customHeight="true" outlineLevel="0" collapsed="false">
      <c r="A25" s="1" t="s">
        <v>35</v>
      </c>
      <c r="B25" s="10" t="str">
        <f aca="false">SUPPLY!B26</f>
        <v>Accommodation</v>
      </c>
      <c r="C25" s="11" t="n">
        <f aca="false">SUPPLY!AO26</f>
        <v>33335.5</v>
      </c>
      <c r="D25" s="11" t="n">
        <f aca="false">USE!AO26</f>
        <v>27907.2</v>
      </c>
      <c r="E25" s="6" t="n">
        <f aca="false">C25-D25</f>
        <v>5428.3</v>
      </c>
      <c r="F25" s="8" t="n">
        <f aca="false">IF(D25=0,0,USE!AP26/D25)</f>
        <v>0.25</v>
      </c>
      <c r="G25" s="8" t="n">
        <f aca="false">IF(F25=0,1,(1-F25))</f>
        <v>0.75</v>
      </c>
      <c r="H25" s="6" t="n">
        <f aca="false">C25</f>
        <v>33335.5</v>
      </c>
    </row>
    <row r="26" customFormat="false" ht="15" hidden="false" customHeight="true" outlineLevel="0" collapsed="false">
      <c r="A26" s="1" t="s">
        <v>36</v>
      </c>
      <c r="B26" s="10" t="str">
        <f aca="false">SUPPLY!B27</f>
        <v>Telecom</v>
      </c>
      <c r="C26" s="11" t="n">
        <f aca="false">SUPPLY!AO27</f>
        <v>37278</v>
      </c>
      <c r="D26" s="11" t="n">
        <f aca="false">USE!AO27</f>
        <v>30767.84</v>
      </c>
      <c r="E26" s="6" t="n">
        <f aca="false">C26-D26</f>
        <v>6510.16</v>
      </c>
      <c r="F26" s="8" t="n">
        <f aca="false">IF(D26=0,0,USE!AP27/D26)</f>
        <v>0.25</v>
      </c>
      <c r="G26" s="8" t="n">
        <f aca="false">IF(F26=0,1,(1-F26))</f>
        <v>0.75</v>
      </c>
      <c r="H26" s="6" t="n">
        <f aca="false">C26</f>
        <v>37278</v>
      </c>
    </row>
    <row r="27" customFormat="false" ht="15" hidden="false" customHeight="true" outlineLevel="0" collapsed="false">
      <c r="A27" s="1" t="s">
        <v>37</v>
      </c>
      <c r="B27" s="10" t="str">
        <f aca="false">SUPPLY!B28</f>
        <v>Finance</v>
      </c>
      <c r="C27" s="11" t="n">
        <f aca="false">SUPPLY!AO28</f>
        <v>41372.5</v>
      </c>
      <c r="D27" s="11" t="n">
        <f aca="false">USE!AO28</f>
        <v>33737.92</v>
      </c>
      <c r="E27" s="6" t="n">
        <f aca="false">C27-D27</f>
        <v>7634.58</v>
      </c>
      <c r="F27" s="8" t="n">
        <f aca="false">IF(D27=0,0,USE!AP28/D27)</f>
        <v>0.25</v>
      </c>
      <c r="G27" s="8" t="n">
        <f aca="false">IF(F27=0,1,(1-F27))</f>
        <v>0.75</v>
      </c>
      <c r="H27" s="6" t="n">
        <f aca="false">C27</f>
        <v>41372.5</v>
      </c>
    </row>
    <row r="28" customFormat="false" ht="15" hidden="false" customHeight="true" outlineLevel="0" collapsed="false">
      <c r="A28" s="1" t="s">
        <v>38</v>
      </c>
      <c r="B28" s="10" t="str">
        <f aca="false">SUPPLY!B29</f>
        <v>Real Estate</v>
      </c>
      <c r="C28" s="11" t="n">
        <f aca="false">SUPPLY!AO29</f>
        <v>45619</v>
      </c>
      <c r="D28" s="11" t="n">
        <f aca="false">USE!AO29</f>
        <v>36817.44</v>
      </c>
      <c r="E28" s="6" t="n">
        <f aca="false">C28-D28</f>
        <v>8801.56000000001</v>
      </c>
      <c r="F28" s="8" t="n">
        <f aca="false">IF(D28=0,0,USE!AP29/D28)</f>
        <v>0.25</v>
      </c>
      <c r="G28" s="8" t="n">
        <f aca="false">IF(F28=0,1,(1-F28))</f>
        <v>0.75</v>
      </c>
      <c r="H28" s="6" t="n">
        <f aca="false">C28</f>
        <v>45619</v>
      </c>
    </row>
    <row r="29" customFormat="false" ht="15" hidden="false" customHeight="true" outlineLevel="0" collapsed="false">
      <c r="A29" s="1" t="s">
        <v>39</v>
      </c>
      <c r="B29" s="10" t="str">
        <f aca="false">SUPPLY!B30</f>
        <v>Professional Services</v>
      </c>
      <c r="C29" s="11" t="n">
        <f aca="false">SUPPLY!AO30</f>
        <v>33345</v>
      </c>
      <c r="D29" s="11" t="n">
        <f aca="false">USE!AO30</f>
        <v>28576</v>
      </c>
      <c r="E29" s="6" t="n">
        <f aca="false">C29-D29</f>
        <v>4769</v>
      </c>
      <c r="F29" s="8" t="n">
        <f aca="false">IF(D29=0,0,USE!AP30/D29)</f>
        <v>0.25</v>
      </c>
      <c r="G29" s="8" t="n">
        <f aca="false">IF(F29=0,1,(1-F29))</f>
        <v>0.75</v>
      </c>
      <c r="H29" s="6" t="n">
        <f aca="false">C29</f>
        <v>33345</v>
      </c>
    </row>
    <row r="30" customFormat="false" ht="15" hidden="false" customHeight="true" outlineLevel="0" collapsed="false">
      <c r="A30" s="1" t="s">
        <v>40</v>
      </c>
      <c r="B30" s="10" t="str">
        <f aca="false">SUPPLY!B31</f>
        <v>Admin Services</v>
      </c>
      <c r="C30" s="11" t="n">
        <f aca="false">SUPPLY!AO31</f>
        <v>37515.5</v>
      </c>
      <c r="D30" s="11" t="n">
        <f aca="false">USE!AO31</f>
        <v>31600.8</v>
      </c>
      <c r="E30" s="6" t="n">
        <f aca="false">C30-D30</f>
        <v>5914.7</v>
      </c>
      <c r="F30" s="8" t="n">
        <f aca="false">IF(D30=0,0,USE!AP31/D30)</f>
        <v>0.25</v>
      </c>
      <c r="G30" s="8" t="n">
        <f aca="false">IF(F30=0,1,(1-F30))</f>
        <v>0.75</v>
      </c>
      <c r="H30" s="6" t="n">
        <f aca="false">C30</f>
        <v>37515.5</v>
      </c>
    </row>
    <row r="31" customFormat="false" ht="15" hidden="false" customHeight="true" outlineLevel="0" collapsed="false">
      <c r="A31" s="1" t="s">
        <v>41</v>
      </c>
      <c r="B31" s="10" t="str">
        <f aca="false">SUPPLY!B32</f>
        <v>Public Administration</v>
      </c>
      <c r="C31" s="11" t="n">
        <f aca="false">SUPPLY!AO32</f>
        <v>41838</v>
      </c>
      <c r="D31" s="11" t="n">
        <f aca="false">USE!AO32</f>
        <v>34735.04</v>
      </c>
      <c r="E31" s="6" t="n">
        <f aca="false">C31-D31</f>
        <v>7102.96</v>
      </c>
      <c r="F31" s="8" t="n">
        <f aca="false">IF(D31=0,0,USE!AP32/D31)</f>
        <v>0.25</v>
      </c>
      <c r="G31" s="8" t="n">
        <f aca="false">IF(F31=0,1,(1-F31))</f>
        <v>0.75</v>
      </c>
      <c r="H31" s="6" t="n">
        <f aca="false">C31</f>
        <v>41838</v>
      </c>
    </row>
    <row r="32" customFormat="false" ht="15" hidden="false" customHeight="true" outlineLevel="0" collapsed="false">
      <c r="A32" s="1" t="s">
        <v>42</v>
      </c>
      <c r="B32" s="10" t="str">
        <f aca="false">SUPPLY!B33</f>
        <v>Education</v>
      </c>
      <c r="C32" s="11" t="n">
        <f aca="false">SUPPLY!AO33</f>
        <v>46312.5</v>
      </c>
      <c r="D32" s="11" t="n">
        <f aca="false">USE!AO33</f>
        <v>37978.72</v>
      </c>
      <c r="E32" s="6" t="n">
        <f aca="false">C32-D32</f>
        <v>8333.78</v>
      </c>
      <c r="F32" s="8" t="n">
        <f aca="false">IF(D32=0,0,USE!AP33/D32)</f>
        <v>0.25</v>
      </c>
      <c r="G32" s="8" t="n">
        <f aca="false">IF(F32=0,1,(1-F32))</f>
        <v>0.75</v>
      </c>
      <c r="H32" s="6" t="n">
        <f aca="false">C32</f>
        <v>46312.5</v>
      </c>
    </row>
    <row r="33" customFormat="false" ht="15" hidden="false" customHeight="true" outlineLevel="0" collapsed="false">
      <c r="A33" s="1" t="s">
        <v>43</v>
      </c>
      <c r="B33" s="10" t="str">
        <f aca="false">SUPPLY!B34</f>
        <v>Health</v>
      </c>
      <c r="C33" s="11" t="n">
        <f aca="false">SUPPLY!AO34</f>
        <v>50939</v>
      </c>
      <c r="D33" s="11" t="n">
        <f aca="false">USE!AO34</f>
        <v>41331.84</v>
      </c>
      <c r="E33" s="6" t="n">
        <f aca="false">C33-D33</f>
        <v>9607.16</v>
      </c>
      <c r="F33" s="8" t="n">
        <f aca="false">IF(D33=0,0,USE!AP34/D33)</f>
        <v>0.25</v>
      </c>
      <c r="G33" s="8" t="n">
        <f aca="false">IF(F33=0,1,(1-F33))</f>
        <v>0.75</v>
      </c>
      <c r="H33" s="6" t="n">
        <f aca="false">C33</f>
        <v>50939</v>
      </c>
    </row>
    <row r="34" customFormat="false" ht="15" hidden="false" customHeight="true" outlineLevel="0" collapsed="false">
      <c r="A34" s="1" t="s">
        <v>44</v>
      </c>
      <c r="B34" s="10" t="str">
        <f aca="false">SUPPLY!B35</f>
        <v>Arts &amp; Entertainment</v>
      </c>
      <c r="C34" s="11" t="n">
        <f aca="false">SUPPLY!AO35</f>
        <v>37145</v>
      </c>
      <c r="D34" s="11" t="n">
        <f aca="false">USE!AO35</f>
        <v>31996</v>
      </c>
      <c r="E34" s="6" t="n">
        <f aca="false">C34-D34</f>
        <v>5149</v>
      </c>
      <c r="F34" s="8" t="n">
        <f aca="false">IF(D34=0,0,USE!AP35/D34)</f>
        <v>0.25</v>
      </c>
      <c r="G34" s="8" t="n">
        <f aca="false">IF(F34=0,1,(1-F34))</f>
        <v>0.75</v>
      </c>
      <c r="H34" s="6" t="n">
        <f aca="false">C34</f>
        <v>37145</v>
      </c>
    </row>
    <row r="35" customFormat="false" ht="15" hidden="false" customHeight="true" outlineLevel="0" collapsed="false">
      <c r="A35" s="1" t="s">
        <v>45</v>
      </c>
      <c r="B35" s="10" t="str">
        <f aca="false">SUPPLY!B36</f>
        <v>Other Services</v>
      </c>
      <c r="C35" s="11" t="n">
        <f aca="false">SUPPLY!AO36</f>
        <v>41695.5</v>
      </c>
      <c r="D35" s="11" t="n">
        <f aca="false">USE!AO36</f>
        <v>35294.4</v>
      </c>
      <c r="E35" s="6" t="n">
        <f aca="false">C35-D35</f>
        <v>6401.10000000001</v>
      </c>
      <c r="F35" s="8" t="n">
        <f aca="false">IF(D35=0,0,USE!AP36/D35)</f>
        <v>0.25</v>
      </c>
      <c r="G35" s="8" t="n">
        <f aca="false">IF(F35=0,1,(1-F35))</f>
        <v>0.75</v>
      </c>
      <c r="H35" s="6" t="n">
        <f aca="false">C35</f>
        <v>41695.5</v>
      </c>
    </row>
    <row r="36" customFormat="false" ht="15" hidden="false" customHeight="true" outlineLevel="0" collapsed="false">
      <c r="A36" s="1" t="s">
        <v>46</v>
      </c>
      <c r="B36" s="10" t="str">
        <f aca="false">SUPPLY!B37</f>
        <v>Repairs</v>
      </c>
      <c r="C36" s="11" t="n">
        <f aca="false">SUPPLY!AO37</f>
        <v>46398</v>
      </c>
      <c r="D36" s="11" t="n">
        <f aca="false">USE!AO37</f>
        <v>38702.24</v>
      </c>
      <c r="E36" s="6" t="n">
        <f aca="false">C36-D36</f>
        <v>7695.76</v>
      </c>
      <c r="F36" s="8" t="n">
        <f aca="false">IF(D36=0,0,USE!AP37/D36)</f>
        <v>0.25</v>
      </c>
      <c r="G36" s="8" t="n">
        <f aca="false">IF(F36=0,1,(1-F36))</f>
        <v>0.75</v>
      </c>
      <c r="H36" s="6" t="n">
        <f aca="false">C36</f>
        <v>46398</v>
      </c>
    </row>
    <row r="37" customFormat="false" ht="15" hidden="false" customHeight="true" outlineLevel="0" collapsed="false">
      <c r="A37" s="1" t="s">
        <v>47</v>
      </c>
      <c r="B37" s="10" t="str">
        <f aca="false">SUPPLY!B38</f>
        <v>Installation</v>
      </c>
      <c r="C37" s="11" t="n">
        <f aca="false">SUPPLY!AO38</f>
        <v>51252.5</v>
      </c>
      <c r="D37" s="11" t="n">
        <f aca="false">USE!AO38</f>
        <v>42219.52</v>
      </c>
      <c r="E37" s="6" t="n">
        <f aca="false">C37-D37</f>
        <v>9032.98</v>
      </c>
      <c r="F37" s="8" t="n">
        <f aca="false">IF(D37=0,0,USE!AP38/D37)</f>
        <v>0.25</v>
      </c>
      <c r="G37" s="8" t="n">
        <f aca="false">IF(F37=0,1,(1-F37))</f>
        <v>0.75</v>
      </c>
      <c r="H37" s="6" t="n">
        <f aca="false">C37</f>
        <v>51252.5</v>
      </c>
    </row>
    <row r="38" customFormat="false" ht="15" hidden="false" customHeight="true" outlineLevel="0" collapsed="false">
      <c r="A38" s="1" t="s">
        <v>48</v>
      </c>
      <c r="B38" s="10" t="str">
        <f aca="false">SUPPLY!B39</f>
        <v>Waste</v>
      </c>
      <c r="C38" s="11" t="n">
        <f aca="false">SUPPLY!AO39</f>
        <v>56259</v>
      </c>
      <c r="D38" s="11" t="n">
        <f aca="false">USE!AO39</f>
        <v>45846.24</v>
      </c>
      <c r="E38" s="6" t="n">
        <f aca="false">C38-D38</f>
        <v>10412.76</v>
      </c>
      <c r="F38" s="8" t="n">
        <f aca="false">IF(D38=0,0,USE!AP39/D38)</f>
        <v>0.25</v>
      </c>
      <c r="G38" s="8" t="n">
        <f aca="false">IF(F38=0,1,(1-F38))</f>
        <v>0.75</v>
      </c>
      <c r="H38" s="6" t="n">
        <f aca="false">C38</f>
        <v>56259</v>
      </c>
    </row>
    <row r="39" customFormat="false" ht="15" hidden="false" customHeight="true" outlineLevel="0" collapsed="false">
      <c r="A39" s="1" t="s">
        <v>49</v>
      </c>
      <c r="B39" s="10" t="str">
        <f aca="false">SUPPLY!B40</f>
        <v>Coke &amp; Petroleum</v>
      </c>
      <c r="C39" s="11" t="n">
        <f aca="false">SUPPLY!AO40</f>
        <v>40945</v>
      </c>
      <c r="D39" s="11" t="n">
        <f aca="false">USE!AO40</f>
        <v>35416</v>
      </c>
      <c r="E39" s="6" t="n">
        <f aca="false">C39-D39</f>
        <v>5529</v>
      </c>
      <c r="F39" s="8" t="n">
        <f aca="false">IF(D39=0,0,USE!AP40/D39)</f>
        <v>0.25</v>
      </c>
      <c r="G39" s="8" t="n">
        <f aca="false">IF(F39=0,1,(1-F39))</f>
        <v>0.75</v>
      </c>
      <c r="H39" s="6" t="n">
        <f aca="false">C39</f>
        <v>40945</v>
      </c>
    </row>
    <row r="40" customFormat="false" ht="15" hidden="false" customHeight="true" outlineLevel="0" collapsed="false">
      <c r="A40" s="1" t="s">
        <v>50</v>
      </c>
      <c r="B40" s="10" t="str">
        <f aca="false">SUPPLY!B41</f>
        <v>Basic Metals</v>
      </c>
      <c r="C40" s="11" t="n">
        <f aca="false">SUPPLY!AO41</f>
        <v>45875.5</v>
      </c>
      <c r="D40" s="11" t="n">
        <f aca="false">USE!AO41</f>
        <v>38988</v>
      </c>
      <c r="E40" s="6" t="n">
        <f aca="false">C40-D40</f>
        <v>6887.5</v>
      </c>
      <c r="F40" s="8" t="n">
        <f aca="false">IF(D40=0,0,USE!AP41/D40)</f>
        <v>0.25</v>
      </c>
      <c r="G40" s="8" t="n">
        <f aca="false">IF(F40=0,1,(1-F40))</f>
        <v>0.75</v>
      </c>
      <c r="H40" s="6" t="n">
        <f aca="false">C40</f>
        <v>45875.5</v>
      </c>
    </row>
    <row r="41" customFormat="false" ht="15" hidden="false" customHeight="true" outlineLevel="0" collapsed="false">
      <c r="A41" s="1" t="s">
        <v>51</v>
      </c>
      <c r="B41" s="10" t="str">
        <f aca="false">SUPPLY!B42</f>
        <v>Fabricated Metals</v>
      </c>
      <c r="C41" s="11" t="n">
        <f aca="false">SUPPLY!AO42</f>
        <v>50958</v>
      </c>
      <c r="D41" s="11" t="n">
        <f aca="false">USE!AO42</f>
        <v>42669.44</v>
      </c>
      <c r="E41" s="6" t="n">
        <f aca="false">C41-D41</f>
        <v>8288.56</v>
      </c>
      <c r="F41" s="8" t="n">
        <f aca="false">IF(D41=0,0,USE!AP42/D41)</f>
        <v>0.25</v>
      </c>
      <c r="G41" s="8" t="n">
        <f aca="false">IF(F41=0,1,(1-F41))</f>
        <v>0.75</v>
      </c>
      <c r="H41" s="6" t="n">
        <f aca="false">C41</f>
        <v>50958</v>
      </c>
    </row>
    <row r="42" customFormat="false" ht="15" hidden="false" customHeight="true" outlineLevel="0" collapsed="false">
      <c r="A42" s="12" t="n">
        <f aca="false">SUM(A4:A41)</f>
        <v>0</v>
      </c>
      <c r="B42" s="12" t="n">
        <f aca="false">SUM(B4:B41)</f>
        <v>0</v>
      </c>
      <c r="C42" s="13" t="n">
        <f aca="false">SUM(C4:C41)</f>
        <v>1288228.5</v>
      </c>
      <c r="D42" s="13" t="n">
        <f aca="false">SUM(D4:D41)</f>
        <v>1058926.24</v>
      </c>
      <c r="E42" s="13" t="n">
        <f aca="false">SUM(E4:E41)</f>
        <v>229302.26</v>
      </c>
      <c r="F42" s="14" t="n">
        <f aca="false">SUM(F4:F41)</f>
        <v>9.5</v>
      </c>
      <c r="G42" s="15" t="n">
        <f aca="false">SUM(G4:G41)</f>
        <v>28.5</v>
      </c>
      <c r="H42" s="13" t="n">
        <f aca="false">SUM(H4:H41)</f>
        <v>1288228.5</v>
      </c>
    </row>
    <row r="43" customFormat="false" ht="15" hidden="false" customHeight="true" outlineLevel="0" collapsed="false">
      <c r="A43" s="1" t="s">
        <v>52</v>
      </c>
      <c r="G43" s="16" t="n">
        <f aca="false">100-F43</f>
        <v>100</v>
      </c>
      <c r="H43" s="16" t="n">
        <f aca="false">C43+D43+E43</f>
        <v>0</v>
      </c>
    </row>
    <row r="44" customFormat="false" ht="15" hidden="false" customHeight="true" outlineLevel="0" collapsed="false">
      <c r="A44" s="1" t="s">
        <v>53</v>
      </c>
      <c r="G44" s="16" t="n">
        <f aca="false">100-F44</f>
        <v>100</v>
      </c>
      <c r="H44" s="16" t="n">
        <f aca="false">C44+D44+E44</f>
        <v>0</v>
      </c>
    </row>
    <row r="46" customFormat="false" ht="15" hidden="false" customHeight="true" outlineLevel="0" collapsed="false">
      <c r="A46" s="17" t="s">
        <v>54</v>
      </c>
      <c r="C46" s="18" t="n">
        <f aca="false">SUMPRODUCT(D4:D41,F4:F41)/SUM(D4:D41)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2" min="3" style="1" width="7"/>
  </cols>
  <sheetData>
    <row r="1" customFormat="false" ht="15" hidden="false" customHeight="true" outlineLevel="0" collapsed="false">
      <c r="A1" s="17" t="s">
        <v>55</v>
      </c>
    </row>
    <row r="2" customFormat="false" ht="15" hidden="false" customHeight="true" outlineLevel="0" collapsed="false">
      <c r="A2" s="19" t="s">
        <v>56</v>
      </c>
    </row>
    <row r="4" customFormat="false" ht="15" hidden="false" customHeight="true" outlineLevel="0" collapsed="false">
      <c r="A4" s="20" t="s">
        <v>57</v>
      </c>
      <c r="B4" s="20" t="s">
        <v>58</v>
      </c>
      <c r="C4" s="20" t="s">
        <v>59</v>
      </c>
      <c r="D4" s="20" t="s">
        <v>60</v>
      </c>
      <c r="E4" s="20" t="s">
        <v>61</v>
      </c>
      <c r="F4" s="20" t="s">
        <v>62</v>
      </c>
      <c r="G4" s="20" t="s">
        <v>63</v>
      </c>
      <c r="H4" s="20" t="s">
        <v>64</v>
      </c>
      <c r="I4" s="20" t="s">
        <v>65</v>
      </c>
      <c r="J4" s="20" t="s">
        <v>66</v>
      </c>
      <c r="K4" s="20" t="s">
        <v>67</v>
      </c>
      <c r="L4" s="20" t="s">
        <v>68</v>
      </c>
      <c r="M4" s="20" t="s">
        <v>69</v>
      </c>
      <c r="N4" s="20" t="s">
        <v>70</v>
      </c>
      <c r="O4" s="20" t="s">
        <v>71</v>
      </c>
      <c r="P4" s="20" t="s">
        <v>72</v>
      </c>
      <c r="Q4" s="20" t="s">
        <v>73</v>
      </c>
      <c r="R4" s="20" t="s">
        <v>74</v>
      </c>
      <c r="S4" s="20" t="s">
        <v>75</v>
      </c>
      <c r="T4" s="20" t="s">
        <v>76</v>
      </c>
      <c r="U4" s="20" t="s">
        <v>77</v>
      </c>
      <c r="V4" s="20" t="s">
        <v>78</v>
      </c>
      <c r="W4" s="20" t="s">
        <v>79</v>
      </c>
      <c r="X4" s="20" t="s">
        <v>80</v>
      </c>
      <c r="Y4" s="20" t="s">
        <v>81</v>
      </c>
      <c r="Z4" s="20" t="s">
        <v>82</v>
      </c>
      <c r="AA4" s="20" t="s">
        <v>83</v>
      </c>
      <c r="AB4" s="20" t="s">
        <v>84</v>
      </c>
      <c r="AC4" s="20" t="s">
        <v>85</v>
      </c>
      <c r="AD4" s="20" t="s">
        <v>86</v>
      </c>
      <c r="AE4" s="20" t="s">
        <v>87</v>
      </c>
      <c r="AF4" s="20" t="s">
        <v>88</v>
      </c>
      <c r="AG4" s="20" t="s">
        <v>89</v>
      </c>
      <c r="AH4" s="20" t="s">
        <v>90</v>
      </c>
      <c r="AI4" s="20" t="s">
        <v>91</v>
      </c>
      <c r="AJ4" s="20" t="s">
        <v>92</v>
      </c>
      <c r="AK4" s="20" t="s">
        <v>93</v>
      </c>
      <c r="AL4" s="20" t="s">
        <v>94</v>
      </c>
      <c r="AM4" s="20" t="s">
        <v>95</v>
      </c>
      <c r="AN4" s="20" t="s">
        <v>96</v>
      </c>
      <c r="AO4" s="20" t="s">
        <v>13</v>
      </c>
    </row>
    <row r="5" customFormat="false" ht="15" hidden="false" customHeight="true" outlineLevel="0" collapsed="false">
      <c r="A5" s="1" t="s">
        <v>14</v>
      </c>
      <c r="B5" s="1" t="s">
        <v>97</v>
      </c>
      <c r="C5" s="21" t="n">
        <v>100</v>
      </c>
      <c r="D5" s="21" t="n">
        <v>115</v>
      </c>
      <c r="E5" s="21" t="n">
        <v>130</v>
      </c>
      <c r="F5" s="21" t="n">
        <v>145</v>
      </c>
      <c r="G5" s="21" t="n">
        <v>160</v>
      </c>
      <c r="H5" s="21" t="n">
        <v>175</v>
      </c>
      <c r="I5" s="21" t="n">
        <v>190</v>
      </c>
      <c r="J5" s="21" t="n">
        <v>205</v>
      </c>
      <c r="K5" s="21" t="n">
        <v>220</v>
      </c>
      <c r="L5" s="21" t="n">
        <v>235</v>
      </c>
      <c r="M5" s="21" t="n">
        <v>250</v>
      </c>
      <c r="N5" s="21" t="n">
        <v>265</v>
      </c>
      <c r="O5" s="21" t="n">
        <v>280</v>
      </c>
      <c r="P5" s="21" t="n">
        <v>295</v>
      </c>
      <c r="Q5" s="21" t="n">
        <v>310</v>
      </c>
      <c r="R5" s="21" t="n">
        <v>325</v>
      </c>
      <c r="S5" s="21" t="n">
        <v>340</v>
      </c>
      <c r="T5" s="21" t="n">
        <v>355</v>
      </c>
      <c r="U5" s="21" t="n">
        <v>370</v>
      </c>
      <c r="V5" s="21" t="n">
        <v>385</v>
      </c>
      <c r="W5" s="21" t="n">
        <v>400</v>
      </c>
      <c r="X5" s="21" t="n">
        <v>415</v>
      </c>
      <c r="Y5" s="21" t="n">
        <v>430</v>
      </c>
      <c r="Z5" s="21" t="n">
        <v>445</v>
      </c>
      <c r="AA5" s="21" t="n">
        <v>460</v>
      </c>
      <c r="AB5" s="21" t="n">
        <v>475</v>
      </c>
      <c r="AC5" s="21" t="n">
        <v>490</v>
      </c>
      <c r="AD5" s="21" t="n">
        <v>505</v>
      </c>
      <c r="AE5" s="21" t="n">
        <v>520</v>
      </c>
      <c r="AF5" s="21" t="n">
        <v>535</v>
      </c>
      <c r="AG5" s="21" t="n">
        <v>550</v>
      </c>
      <c r="AH5" s="21" t="n">
        <v>565</v>
      </c>
      <c r="AI5" s="21" t="n">
        <v>580</v>
      </c>
      <c r="AJ5" s="21" t="n">
        <v>595</v>
      </c>
      <c r="AK5" s="21" t="n">
        <v>610</v>
      </c>
      <c r="AL5" s="21" t="n">
        <v>625</v>
      </c>
      <c r="AM5" s="21" t="n">
        <v>640</v>
      </c>
      <c r="AN5" s="21" t="n">
        <v>655</v>
      </c>
      <c r="AO5" s="22" t="n">
        <f aca="false">SUM(C5:AN5)</f>
        <v>14345</v>
      </c>
    </row>
    <row r="6" customFormat="false" ht="15" hidden="false" customHeight="true" outlineLevel="0" collapsed="false">
      <c r="A6" s="1" t="s">
        <v>15</v>
      </c>
      <c r="B6" s="1" t="s">
        <v>98</v>
      </c>
      <c r="C6" s="21" t="n">
        <v>132</v>
      </c>
      <c r="D6" s="21" t="n">
        <v>148.5</v>
      </c>
      <c r="E6" s="21" t="n">
        <v>165</v>
      </c>
      <c r="F6" s="21" t="n">
        <v>181.5</v>
      </c>
      <c r="G6" s="21" t="n">
        <v>198</v>
      </c>
      <c r="H6" s="21" t="n">
        <v>214.5</v>
      </c>
      <c r="I6" s="21" t="n">
        <v>231</v>
      </c>
      <c r="J6" s="21" t="n">
        <v>247.5</v>
      </c>
      <c r="K6" s="21" t="n">
        <v>264</v>
      </c>
      <c r="L6" s="21" t="n">
        <v>280.5</v>
      </c>
      <c r="M6" s="21" t="n">
        <v>297</v>
      </c>
      <c r="N6" s="21" t="n">
        <v>313.5</v>
      </c>
      <c r="O6" s="21" t="n">
        <v>330</v>
      </c>
      <c r="P6" s="21" t="n">
        <v>346.5</v>
      </c>
      <c r="Q6" s="21" t="n">
        <v>363</v>
      </c>
      <c r="R6" s="21" t="n">
        <v>379.5</v>
      </c>
      <c r="S6" s="21" t="n">
        <v>396</v>
      </c>
      <c r="T6" s="21" t="n">
        <v>412.5</v>
      </c>
      <c r="U6" s="21" t="n">
        <v>429</v>
      </c>
      <c r="V6" s="21" t="n">
        <v>445.5</v>
      </c>
      <c r="W6" s="21" t="n">
        <v>462</v>
      </c>
      <c r="X6" s="21" t="n">
        <v>478.5</v>
      </c>
      <c r="Y6" s="21" t="n">
        <v>495</v>
      </c>
      <c r="Z6" s="21" t="n">
        <v>511.5</v>
      </c>
      <c r="AA6" s="21" t="n">
        <v>528</v>
      </c>
      <c r="AB6" s="21" t="n">
        <v>544.5</v>
      </c>
      <c r="AC6" s="21" t="n">
        <v>561</v>
      </c>
      <c r="AD6" s="21" t="n">
        <v>577.5</v>
      </c>
      <c r="AE6" s="21" t="n">
        <v>594</v>
      </c>
      <c r="AF6" s="21" t="n">
        <v>610.5</v>
      </c>
      <c r="AG6" s="21" t="n">
        <v>627</v>
      </c>
      <c r="AH6" s="21" t="n">
        <v>643.5</v>
      </c>
      <c r="AI6" s="21" t="n">
        <v>660</v>
      </c>
      <c r="AJ6" s="21" t="n">
        <v>676.5</v>
      </c>
      <c r="AK6" s="21" t="n">
        <v>693</v>
      </c>
      <c r="AL6" s="21" t="n">
        <v>709.5</v>
      </c>
      <c r="AM6" s="21" t="n">
        <v>726</v>
      </c>
      <c r="AN6" s="21" t="n">
        <v>742.5</v>
      </c>
      <c r="AO6" s="22" t="n">
        <f aca="false">SUM(C6:AN6)</f>
        <v>16615.5</v>
      </c>
    </row>
    <row r="7" customFormat="false" ht="15" hidden="false" customHeight="true" outlineLevel="0" collapsed="false">
      <c r="A7" s="1" t="s">
        <v>16</v>
      </c>
      <c r="B7" s="1" t="s">
        <v>99</v>
      </c>
      <c r="C7" s="21" t="n">
        <v>168</v>
      </c>
      <c r="D7" s="21" t="n">
        <v>186</v>
      </c>
      <c r="E7" s="21" t="n">
        <v>204</v>
      </c>
      <c r="F7" s="21" t="n">
        <v>222</v>
      </c>
      <c r="G7" s="21" t="n">
        <v>240</v>
      </c>
      <c r="H7" s="21" t="n">
        <v>258</v>
      </c>
      <c r="I7" s="21" t="n">
        <v>276</v>
      </c>
      <c r="J7" s="21" t="n">
        <v>294</v>
      </c>
      <c r="K7" s="21" t="n">
        <v>312</v>
      </c>
      <c r="L7" s="21" t="n">
        <v>330</v>
      </c>
      <c r="M7" s="21" t="n">
        <v>348</v>
      </c>
      <c r="N7" s="21" t="n">
        <v>366</v>
      </c>
      <c r="O7" s="21" t="n">
        <v>384</v>
      </c>
      <c r="P7" s="21" t="n">
        <v>402</v>
      </c>
      <c r="Q7" s="21" t="n">
        <v>420</v>
      </c>
      <c r="R7" s="21" t="n">
        <v>438</v>
      </c>
      <c r="S7" s="21" t="n">
        <v>456</v>
      </c>
      <c r="T7" s="21" t="n">
        <v>474</v>
      </c>
      <c r="U7" s="21" t="n">
        <v>492</v>
      </c>
      <c r="V7" s="21" t="n">
        <v>510</v>
      </c>
      <c r="W7" s="21" t="n">
        <v>528</v>
      </c>
      <c r="X7" s="21" t="n">
        <v>546</v>
      </c>
      <c r="Y7" s="21" t="n">
        <v>564</v>
      </c>
      <c r="Z7" s="21" t="n">
        <v>582</v>
      </c>
      <c r="AA7" s="21" t="n">
        <v>600</v>
      </c>
      <c r="AB7" s="21" t="n">
        <v>618</v>
      </c>
      <c r="AC7" s="21" t="n">
        <v>636</v>
      </c>
      <c r="AD7" s="21" t="n">
        <v>654</v>
      </c>
      <c r="AE7" s="21" t="n">
        <v>672</v>
      </c>
      <c r="AF7" s="21" t="n">
        <v>690</v>
      </c>
      <c r="AG7" s="21" t="n">
        <v>708</v>
      </c>
      <c r="AH7" s="21" t="n">
        <v>726</v>
      </c>
      <c r="AI7" s="21" t="n">
        <v>744</v>
      </c>
      <c r="AJ7" s="21" t="n">
        <v>762</v>
      </c>
      <c r="AK7" s="21" t="n">
        <v>780</v>
      </c>
      <c r="AL7" s="21" t="n">
        <v>798</v>
      </c>
      <c r="AM7" s="21" t="n">
        <v>816</v>
      </c>
      <c r="AN7" s="21" t="n">
        <v>834</v>
      </c>
      <c r="AO7" s="22" t="n">
        <f aca="false">SUM(C7:AN7)</f>
        <v>19038</v>
      </c>
    </row>
    <row r="8" customFormat="false" ht="15" hidden="false" customHeight="true" outlineLevel="0" collapsed="false">
      <c r="A8" s="1" t="s">
        <v>17</v>
      </c>
      <c r="B8" s="1" t="s">
        <v>100</v>
      </c>
      <c r="C8" s="21" t="n">
        <v>208</v>
      </c>
      <c r="D8" s="21" t="n">
        <v>227.5</v>
      </c>
      <c r="E8" s="21" t="n">
        <v>247</v>
      </c>
      <c r="F8" s="21" t="n">
        <v>266.5</v>
      </c>
      <c r="G8" s="21" t="n">
        <v>286</v>
      </c>
      <c r="H8" s="21" t="n">
        <v>305.5</v>
      </c>
      <c r="I8" s="21" t="n">
        <v>325</v>
      </c>
      <c r="J8" s="21" t="n">
        <v>344.5</v>
      </c>
      <c r="K8" s="21" t="n">
        <v>364</v>
      </c>
      <c r="L8" s="21" t="n">
        <v>383.5</v>
      </c>
      <c r="M8" s="21" t="n">
        <v>403</v>
      </c>
      <c r="N8" s="21" t="n">
        <v>422.5</v>
      </c>
      <c r="O8" s="21" t="n">
        <v>442</v>
      </c>
      <c r="P8" s="21" t="n">
        <v>461.5</v>
      </c>
      <c r="Q8" s="21" t="n">
        <v>481</v>
      </c>
      <c r="R8" s="21" t="n">
        <v>500.5</v>
      </c>
      <c r="S8" s="21" t="n">
        <v>520</v>
      </c>
      <c r="T8" s="21" t="n">
        <v>539.5</v>
      </c>
      <c r="U8" s="21" t="n">
        <v>559</v>
      </c>
      <c r="V8" s="21" t="n">
        <v>578.5</v>
      </c>
      <c r="W8" s="21" t="n">
        <v>598</v>
      </c>
      <c r="X8" s="21" t="n">
        <v>617.5</v>
      </c>
      <c r="Y8" s="21" t="n">
        <v>637</v>
      </c>
      <c r="Z8" s="21" t="n">
        <v>656.5</v>
      </c>
      <c r="AA8" s="21" t="n">
        <v>676</v>
      </c>
      <c r="AB8" s="21" t="n">
        <v>695.5</v>
      </c>
      <c r="AC8" s="21" t="n">
        <v>715</v>
      </c>
      <c r="AD8" s="21" t="n">
        <v>734.5</v>
      </c>
      <c r="AE8" s="21" t="n">
        <v>754</v>
      </c>
      <c r="AF8" s="21" t="n">
        <v>773.5</v>
      </c>
      <c r="AG8" s="21" t="n">
        <v>793</v>
      </c>
      <c r="AH8" s="21" t="n">
        <v>812.5</v>
      </c>
      <c r="AI8" s="21" t="n">
        <v>832</v>
      </c>
      <c r="AJ8" s="21" t="n">
        <v>851.5</v>
      </c>
      <c r="AK8" s="21" t="n">
        <v>871</v>
      </c>
      <c r="AL8" s="21" t="n">
        <v>890.5</v>
      </c>
      <c r="AM8" s="21" t="n">
        <v>910</v>
      </c>
      <c r="AN8" s="21" t="n">
        <v>929.5</v>
      </c>
      <c r="AO8" s="22" t="n">
        <f aca="false">SUM(C8:AN8)</f>
        <v>21612.5</v>
      </c>
    </row>
    <row r="9" customFormat="false" ht="15" hidden="false" customHeight="true" outlineLevel="0" collapsed="false">
      <c r="A9" s="1" t="s">
        <v>18</v>
      </c>
      <c r="B9" s="1" t="s">
        <v>101</v>
      </c>
      <c r="C9" s="21" t="n">
        <v>252</v>
      </c>
      <c r="D9" s="21" t="n">
        <v>273</v>
      </c>
      <c r="E9" s="21" t="n">
        <v>294</v>
      </c>
      <c r="F9" s="21" t="n">
        <v>315</v>
      </c>
      <c r="G9" s="21" t="n">
        <v>336</v>
      </c>
      <c r="H9" s="21" t="n">
        <v>357</v>
      </c>
      <c r="I9" s="21" t="n">
        <v>378</v>
      </c>
      <c r="J9" s="21" t="n">
        <v>399</v>
      </c>
      <c r="K9" s="21" t="n">
        <v>420</v>
      </c>
      <c r="L9" s="21" t="n">
        <v>441</v>
      </c>
      <c r="M9" s="21" t="n">
        <v>462</v>
      </c>
      <c r="N9" s="21" t="n">
        <v>483</v>
      </c>
      <c r="O9" s="21" t="n">
        <v>504</v>
      </c>
      <c r="P9" s="21" t="n">
        <v>525</v>
      </c>
      <c r="Q9" s="21" t="n">
        <v>546</v>
      </c>
      <c r="R9" s="21" t="n">
        <v>567</v>
      </c>
      <c r="S9" s="21" t="n">
        <v>588</v>
      </c>
      <c r="T9" s="21" t="n">
        <v>609</v>
      </c>
      <c r="U9" s="21" t="n">
        <v>630</v>
      </c>
      <c r="V9" s="21" t="n">
        <v>651</v>
      </c>
      <c r="W9" s="21" t="n">
        <v>672</v>
      </c>
      <c r="X9" s="21" t="n">
        <v>693</v>
      </c>
      <c r="Y9" s="21" t="n">
        <v>714</v>
      </c>
      <c r="Z9" s="21" t="n">
        <v>735</v>
      </c>
      <c r="AA9" s="21" t="n">
        <v>756</v>
      </c>
      <c r="AB9" s="21" t="n">
        <v>777</v>
      </c>
      <c r="AC9" s="21" t="n">
        <v>798</v>
      </c>
      <c r="AD9" s="21" t="n">
        <v>819</v>
      </c>
      <c r="AE9" s="21" t="n">
        <v>840</v>
      </c>
      <c r="AF9" s="21" t="n">
        <v>861</v>
      </c>
      <c r="AG9" s="21" t="n">
        <v>882</v>
      </c>
      <c r="AH9" s="21" t="n">
        <v>903</v>
      </c>
      <c r="AI9" s="21" t="n">
        <v>924</v>
      </c>
      <c r="AJ9" s="21" t="n">
        <v>945</v>
      </c>
      <c r="AK9" s="21" t="n">
        <v>966</v>
      </c>
      <c r="AL9" s="21" t="n">
        <v>987</v>
      </c>
      <c r="AM9" s="21" t="n">
        <v>1008</v>
      </c>
      <c r="AN9" s="21" t="n">
        <v>1029</v>
      </c>
      <c r="AO9" s="22" t="n">
        <f aca="false">SUM(C9:AN9)</f>
        <v>24339</v>
      </c>
    </row>
    <row r="10" customFormat="false" ht="15" hidden="false" customHeight="true" outlineLevel="0" collapsed="false">
      <c r="A10" s="1" t="s">
        <v>19</v>
      </c>
      <c r="B10" s="1" t="s">
        <v>102</v>
      </c>
      <c r="C10" s="21" t="n">
        <v>200</v>
      </c>
      <c r="D10" s="21" t="n">
        <v>215</v>
      </c>
      <c r="E10" s="21" t="n">
        <v>230</v>
      </c>
      <c r="F10" s="21" t="n">
        <v>245</v>
      </c>
      <c r="G10" s="21" t="n">
        <v>260</v>
      </c>
      <c r="H10" s="21" t="n">
        <v>275</v>
      </c>
      <c r="I10" s="21" t="n">
        <v>290</v>
      </c>
      <c r="J10" s="21" t="n">
        <v>305</v>
      </c>
      <c r="K10" s="21" t="n">
        <v>320</v>
      </c>
      <c r="L10" s="21" t="n">
        <v>335</v>
      </c>
      <c r="M10" s="21" t="n">
        <v>350</v>
      </c>
      <c r="N10" s="21" t="n">
        <v>365</v>
      </c>
      <c r="O10" s="21" t="n">
        <v>380</v>
      </c>
      <c r="P10" s="21" t="n">
        <v>395</v>
      </c>
      <c r="Q10" s="21" t="n">
        <v>410</v>
      </c>
      <c r="R10" s="21" t="n">
        <v>425</v>
      </c>
      <c r="S10" s="21" t="n">
        <v>440</v>
      </c>
      <c r="T10" s="21" t="n">
        <v>455</v>
      </c>
      <c r="U10" s="21" t="n">
        <v>470</v>
      </c>
      <c r="V10" s="21" t="n">
        <v>485</v>
      </c>
      <c r="W10" s="21" t="n">
        <v>500</v>
      </c>
      <c r="X10" s="21" t="n">
        <v>515</v>
      </c>
      <c r="Y10" s="21" t="n">
        <v>530</v>
      </c>
      <c r="Z10" s="21" t="n">
        <v>545</v>
      </c>
      <c r="AA10" s="21" t="n">
        <v>560</v>
      </c>
      <c r="AB10" s="21" t="n">
        <v>575</v>
      </c>
      <c r="AC10" s="21" t="n">
        <v>590</v>
      </c>
      <c r="AD10" s="21" t="n">
        <v>605</v>
      </c>
      <c r="AE10" s="21" t="n">
        <v>620</v>
      </c>
      <c r="AF10" s="21" t="n">
        <v>635</v>
      </c>
      <c r="AG10" s="21" t="n">
        <v>650</v>
      </c>
      <c r="AH10" s="21" t="n">
        <v>665</v>
      </c>
      <c r="AI10" s="21" t="n">
        <v>680</v>
      </c>
      <c r="AJ10" s="21" t="n">
        <v>695</v>
      </c>
      <c r="AK10" s="21" t="n">
        <v>710</v>
      </c>
      <c r="AL10" s="21" t="n">
        <v>725</v>
      </c>
      <c r="AM10" s="21" t="n">
        <v>740</v>
      </c>
      <c r="AN10" s="21" t="n">
        <v>755</v>
      </c>
      <c r="AO10" s="22" t="n">
        <f aca="false">SUM(C10:AN10)</f>
        <v>18145</v>
      </c>
    </row>
    <row r="11" customFormat="false" ht="15" hidden="false" customHeight="true" outlineLevel="0" collapsed="false">
      <c r="A11" s="1" t="s">
        <v>20</v>
      </c>
      <c r="B11" s="1" t="s">
        <v>103</v>
      </c>
      <c r="C11" s="21" t="n">
        <v>242</v>
      </c>
      <c r="D11" s="21" t="n">
        <v>258.5</v>
      </c>
      <c r="E11" s="21" t="n">
        <v>275</v>
      </c>
      <c r="F11" s="21" t="n">
        <v>291.5</v>
      </c>
      <c r="G11" s="21" t="n">
        <v>308</v>
      </c>
      <c r="H11" s="21" t="n">
        <v>324.5</v>
      </c>
      <c r="I11" s="21" t="n">
        <v>341</v>
      </c>
      <c r="J11" s="21" t="n">
        <v>357.5</v>
      </c>
      <c r="K11" s="21" t="n">
        <v>374</v>
      </c>
      <c r="L11" s="21" t="n">
        <v>390.5</v>
      </c>
      <c r="M11" s="21" t="n">
        <v>407</v>
      </c>
      <c r="N11" s="21" t="n">
        <v>423.5</v>
      </c>
      <c r="O11" s="21" t="n">
        <v>440</v>
      </c>
      <c r="P11" s="21" t="n">
        <v>456.5</v>
      </c>
      <c r="Q11" s="21" t="n">
        <v>473</v>
      </c>
      <c r="R11" s="21" t="n">
        <v>489.5</v>
      </c>
      <c r="S11" s="21" t="n">
        <v>506</v>
      </c>
      <c r="T11" s="21" t="n">
        <v>522.5</v>
      </c>
      <c r="U11" s="21" t="n">
        <v>539</v>
      </c>
      <c r="V11" s="21" t="n">
        <v>555.5</v>
      </c>
      <c r="W11" s="21" t="n">
        <v>572</v>
      </c>
      <c r="X11" s="21" t="n">
        <v>588.5</v>
      </c>
      <c r="Y11" s="21" t="n">
        <v>605</v>
      </c>
      <c r="Z11" s="21" t="n">
        <v>621.5</v>
      </c>
      <c r="AA11" s="21" t="n">
        <v>638</v>
      </c>
      <c r="AB11" s="21" t="n">
        <v>654.5</v>
      </c>
      <c r="AC11" s="21" t="n">
        <v>671</v>
      </c>
      <c r="AD11" s="21" t="n">
        <v>687.5</v>
      </c>
      <c r="AE11" s="21" t="n">
        <v>704</v>
      </c>
      <c r="AF11" s="21" t="n">
        <v>720.5</v>
      </c>
      <c r="AG11" s="21" t="n">
        <v>737</v>
      </c>
      <c r="AH11" s="21" t="n">
        <v>753.5</v>
      </c>
      <c r="AI11" s="21" t="n">
        <v>770</v>
      </c>
      <c r="AJ11" s="21" t="n">
        <v>786.5</v>
      </c>
      <c r="AK11" s="21" t="n">
        <v>803</v>
      </c>
      <c r="AL11" s="21" t="n">
        <v>819.5</v>
      </c>
      <c r="AM11" s="21" t="n">
        <v>836</v>
      </c>
      <c r="AN11" s="21" t="n">
        <v>852.5</v>
      </c>
      <c r="AO11" s="22" t="n">
        <f aca="false">SUM(C11:AN11)</f>
        <v>20795.5</v>
      </c>
    </row>
    <row r="12" customFormat="false" ht="15" hidden="false" customHeight="true" outlineLevel="0" collapsed="false">
      <c r="A12" s="1" t="s">
        <v>21</v>
      </c>
      <c r="B12" s="1" t="s">
        <v>104</v>
      </c>
      <c r="C12" s="21" t="n">
        <v>288</v>
      </c>
      <c r="D12" s="21" t="n">
        <v>306</v>
      </c>
      <c r="E12" s="21" t="n">
        <v>324</v>
      </c>
      <c r="F12" s="21" t="n">
        <v>342</v>
      </c>
      <c r="G12" s="21" t="n">
        <v>360</v>
      </c>
      <c r="H12" s="21" t="n">
        <v>378</v>
      </c>
      <c r="I12" s="21" t="n">
        <v>396</v>
      </c>
      <c r="J12" s="21" t="n">
        <v>414</v>
      </c>
      <c r="K12" s="21" t="n">
        <v>432</v>
      </c>
      <c r="L12" s="21" t="n">
        <v>450</v>
      </c>
      <c r="M12" s="21" t="n">
        <v>468</v>
      </c>
      <c r="N12" s="21" t="n">
        <v>486</v>
      </c>
      <c r="O12" s="21" t="n">
        <v>504</v>
      </c>
      <c r="P12" s="21" t="n">
        <v>522</v>
      </c>
      <c r="Q12" s="21" t="n">
        <v>540</v>
      </c>
      <c r="R12" s="21" t="n">
        <v>558</v>
      </c>
      <c r="S12" s="21" t="n">
        <v>576</v>
      </c>
      <c r="T12" s="21" t="n">
        <v>594</v>
      </c>
      <c r="U12" s="21" t="n">
        <v>612</v>
      </c>
      <c r="V12" s="21" t="n">
        <v>630</v>
      </c>
      <c r="W12" s="21" t="n">
        <v>648</v>
      </c>
      <c r="X12" s="21" t="n">
        <v>666</v>
      </c>
      <c r="Y12" s="21" t="n">
        <v>684</v>
      </c>
      <c r="Z12" s="21" t="n">
        <v>702</v>
      </c>
      <c r="AA12" s="21" t="n">
        <v>720</v>
      </c>
      <c r="AB12" s="21" t="n">
        <v>738</v>
      </c>
      <c r="AC12" s="21" t="n">
        <v>756</v>
      </c>
      <c r="AD12" s="21" t="n">
        <v>774</v>
      </c>
      <c r="AE12" s="21" t="n">
        <v>792</v>
      </c>
      <c r="AF12" s="21" t="n">
        <v>810</v>
      </c>
      <c r="AG12" s="21" t="n">
        <v>828</v>
      </c>
      <c r="AH12" s="21" t="n">
        <v>846</v>
      </c>
      <c r="AI12" s="21" t="n">
        <v>864</v>
      </c>
      <c r="AJ12" s="21" t="n">
        <v>882</v>
      </c>
      <c r="AK12" s="21" t="n">
        <v>900</v>
      </c>
      <c r="AL12" s="21" t="n">
        <v>918</v>
      </c>
      <c r="AM12" s="21" t="n">
        <v>936</v>
      </c>
      <c r="AN12" s="21" t="n">
        <v>954</v>
      </c>
      <c r="AO12" s="22" t="n">
        <f aca="false">SUM(C12:AN12)</f>
        <v>23598</v>
      </c>
    </row>
    <row r="13" customFormat="false" ht="15" hidden="false" customHeight="true" outlineLevel="0" collapsed="false">
      <c r="A13" s="1" t="s">
        <v>22</v>
      </c>
      <c r="B13" s="1" t="s">
        <v>105</v>
      </c>
      <c r="C13" s="21" t="n">
        <v>338</v>
      </c>
      <c r="D13" s="21" t="n">
        <v>357.5</v>
      </c>
      <c r="E13" s="21" t="n">
        <v>377</v>
      </c>
      <c r="F13" s="21" t="n">
        <v>396.5</v>
      </c>
      <c r="G13" s="21" t="n">
        <v>416</v>
      </c>
      <c r="H13" s="21" t="n">
        <v>435.5</v>
      </c>
      <c r="I13" s="21" t="n">
        <v>455</v>
      </c>
      <c r="J13" s="21" t="n">
        <v>474.5</v>
      </c>
      <c r="K13" s="21" t="n">
        <v>494</v>
      </c>
      <c r="L13" s="21" t="n">
        <v>513.5</v>
      </c>
      <c r="M13" s="21" t="n">
        <v>533</v>
      </c>
      <c r="N13" s="21" t="n">
        <v>552.5</v>
      </c>
      <c r="O13" s="21" t="n">
        <v>572</v>
      </c>
      <c r="P13" s="21" t="n">
        <v>591.5</v>
      </c>
      <c r="Q13" s="21" t="n">
        <v>611</v>
      </c>
      <c r="R13" s="21" t="n">
        <v>630.5</v>
      </c>
      <c r="S13" s="21" t="n">
        <v>650</v>
      </c>
      <c r="T13" s="21" t="n">
        <v>669.5</v>
      </c>
      <c r="U13" s="21" t="n">
        <v>689</v>
      </c>
      <c r="V13" s="21" t="n">
        <v>708.5</v>
      </c>
      <c r="W13" s="21" t="n">
        <v>728</v>
      </c>
      <c r="X13" s="21" t="n">
        <v>747.5</v>
      </c>
      <c r="Y13" s="21" t="n">
        <v>767</v>
      </c>
      <c r="Z13" s="21" t="n">
        <v>786.5</v>
      </c>
      <c r="AA13" s="21" t="n">
        <v>806</v>
      </c>
      <c r="AB13" s="21" t="n">
        <v>825.5</v>
      </c>
      <c r="AC13" s="21" t="n">
        <v>845</v>
      </c>
      <c r="AD13" s="21" t="n">
        <v>864.5</v>
      </c>
      <c r="AE13" s="21" t="n">
        <v>884</v>
      </c>
      <c r="AF13" s="21" t="n">
        <v>903.5</v>
      </c>
      <c r="AG13" s="21" t="n">
        <v>923</v>
      </c>
      <c r="AH13" s="21" t="n">
        <v>942.5</v>
      </c>
      <c r="AI13" s="21" t="n">
        <v>962</v>
      </c>
      <c r="AJ13" s="21" t="n">
        <v>981.5</v>
      </c>
      <c r="AK13" s="21" t="n">
        <v>1001</v>
      </c>
      <c r="AL13" s="21" t="n">
        <v>1020.5</v>
      </c>
      <c r="AM13" s="21" t="n">
        <v>1040</v>
      </c>
      <c r="AN13" s="21" t="n">
        <v>1059.5</v>
      </c>
      <c r="AO13" s="22" t="n">
        <f aca="false">SUM(C13:AN13)</f>
        <v>26552.5</v>
      </c>
    </row>
    <row r="14" customFormat="false" ht="15" hidden="false" customHeight="true" outlineLevel="0" collapsed="false">
      <c r="A14" s="1" t="s">
        <v>23</v>
      </c>
      <c r="B14" s="1" t="s">
        <v>106</v>
      </c>
      <c r="C14" s="21" t="n">
        <v>392</v>
      </c>
      <c r="D14" s="21" t="n">
        <v>413</v>
      </c>
      <c r="E14" s="21" t="n">
        <v>434</v>
      </c>
      <c r="F14" s="21" t="n">
        <v>455</v>
      </c>
      <c r="G14" s="21" t="n">
        <v>476</v>
      </c>
      <c r="H14" s="21" t="n">
        <v>497</v>
      </c>
      <c r="I14" s="21" t="n">
        <v>518</v>
      </c>
      <c r="J14" s="21" t="n">
        <v>539</v>
      </c>
      <c r="K14" s="21" t="n">
        <v>560</v>
      </c>
      <c r="L14" s="21" t="n">
        <v>581</v>
      </c>
      <c r="M14" s="21" t="n">
        <v>602</v>
      </c>
      <c r="N14" s="21" t="n">
        <v>623</v>
      </c>
      <c r="O14" s="21" t="n">
        <v>644</v>
      </c>
      <c r="P14" s="21" t="n">
        <v>665</v>
      </c>
      <c r="Q14" s="21" t="n">
        <v>686</v>
      </c>
      <c r="R14" s="21" t="n">
        <v>707</v>
      </c>
      <c r="S14" s="21" t="n">
        <v>728</v>
      </c>
      <c r="T14" s="21" t="n">
        <v>749</v>
      </c>
      <c r="U14" s="21" t="n">
        <v>770</v>
      </c>
      <c r="V14" s="21" t="n">
        <v>791</v>
      </c>
      <c r="W14" s="21" t="n">
        <v>812</v>
      </c>
      <c r="X14" s="21" t="n">
        <v>833</v>
      </c>
      <c r="Y14" s="21" t="n">
        <v>854</v>
      </c>
      <c r="Z14" s="21" t="n">
        <v>875</v>
      </c>
      <c r="AA14" s="21" t="n">
        <v>896</v>
      </c>
      <c r="AB14" s="21" t="n">
        <v>917</v>
      </c>
      <c r="AC14" s="21" t="n">
        <v>938</v>
      </c>
      <c r="AD14" s="21" t="n">
        <v>959</v>
      </c>
      <c r="AE14" s="21" t="n">
        <v>980</v>
      </c>
      <c r="AF14" s="21" t="n">
        <v>1001</v>
      </c>
      <c r="AG14" s="21" t="n">
        <v>1022</v>
      </c>
      <c r="AH14" s="21" t="n">
        <v>1043</v>
      </c>
      <c r="AI14" s="21" t="n">
        <v>1064</v>
      </c>
      <c r="AJ14" s="21" t="n">
        <v>1085</v>
      </c>
      <c r="AK14" s="21" t="n">
        <v>1106</v>
      </c>
      <c r="AL14" s="21" t="n">
        <v>1127</v>
      </c>
      <c r="AM14" s="21" t="n">
        <v>1148</v>
      </c>
      <c r="AN14" s="21" t="n">
        <v>1169</v>
      </c>
      <c r="AO14" s="22" t="n">
        <f aca="false">SUM(C14:AN14)</f>
        <v>29659</v>
      </c>
    </row>
    <row r="15" customFormat="false" ht="15" hidden="false" customHeight="true" outlineLevel="0" collapsed="false">
      <c r="A15" s="1" t="s">
        <v>24</v>
      </c>
      <c r="B15" s="1" t="s">
        <v>107</v>
      </c>
      <c r="C15" s="21" t="n">
        <v>300</v>
      </c>
      <c r="D15" s="21" t="n">
        <v>315</v>
      </c>
      <c r="E15" s="21" t="n">
        <v>330</v>
      </c>
      <c r="F15" s="21" t="n">
        <v>345</v>
      </c>
      <c r="G15" s="21" t="n">
        <v>360</v>
      </c>
      <c r="H15" s="21" t="n">
        <v>375</v>
      </c>
      <c r="I15" s="21" t="n">
        <v>390</v>
      </c>
      <c r="J15" s="21" t="n">
        <v>405</v>
      </c>
      <c r="K15" s="21" t="n">
        <v>420</v>
      </c>
      <c r="L15" s="21" t="n">
        <v>435</v>
      </c>
      <c r="M15" s="21" t="n">
        <v>450</v>
      </c>
      <c r="N15" s="21" t="n">
        <v>465</v>
      </c>
      <c r="O15" s="21" t="n">
        <v>480</v>
      </c>
      <c r="P15" s="21" t="n">
        <v>495</v>
      </c>
      <c r="Q15" s="21" t="n">
        <v>510</v>
      </c>
      <c r="R15" s="21" t="n">
        <v>525</v>
      </c>
      <c r="S15" s="21" t="n">
        <v>540</v>
      </c>
      <c r="T15" s="21" t="n">
        <v>555</v>
      </c>
      <c r="U15" s="21" t="n">
        <v>570</v>
      </c>
      <c r="V15" s="21" t="n">
        <v>585</v>
      </c>
      <c r="W15" s="21" t="n">
        <v>600</v>
      </c>
      <c r="X15" s="21" t="n">
        <v>615</v>
      </c>
      <c r="Y15" s="21" t="n">
        <v>630</v>
      </c>
      <c r="Z15" s="21" t="n">
        <v>645</v>
      </c>
      <c r="AA15" s="21" t="n">
        <v>660</v>
      </c>
      <c r="AB15" s="21" t="n">
        <v>675</v>
      </c>
      <c r="AC15" s="21" t="n">
        <v>690</v>
      </c>
      <c r="AD15" s="21" t="n">
        <v>705</v>
      </c>
      <c r="AE15" s="21" t="n">
        <v>720</v>
      </c>
      <c r="AF15" s="21" t="n">
        <v>735</v>
      </c>
      <c r="AG15" s="21" t="n">
        <v>750</v>
      </c>
      <c r="AH15" s="21" t="n">
        <v>765</v>
      </c>
      <c r="AI15" s="21" t="n">
        <v>780</v>
      </c>
      <c r="AJ15" s="21" t="n">
        <v>795</v>
      </c>
      <c r="AK15" s="21" t="n">
        <v>810</v>
      </c>
      <c r="AL15" s="21" t="n">
        <v>825</v>
      </c>
      <c r="AM15" s="21" t="n">
        <v>840</v>
      </c>
      <c r="AN15" s="21" t="n">
        <v>855</v>
      </c>
      <c r="AO15" s="22" t="n">
        <f aca="false">SUM(C15:AN15)</f>
        <v>21945</v>
      </c>
    </row>
    <row r="16" customFormat="false" ht="15" hidden="false" customHeight="true" outlineLevel="0" collapsed="false">
      <c r="A16" s="1" t="s">
        <v>25</v>
      </c>
      <c r="B16" s="1" t="s">
        <v>108</v>
      </c>
      <c r="C16" s="21" t="n">
        <v>352</v>
      </c>
      <c r="D16" s="21" t="n">
        <v>368.5</v>
      </c>
      <c r="E16" s="21" t="n">
        <v>385</v>
      </c>
      <c r="F16" s="21" t="n">
        <v>401.5</v>
      </c>
      <c r="G16" s="21" t="n">
        <v>418</v>
      </c>
      <c r="H16" s="21" t="n">
        <v>434.5</v>
      </c>
      <c r="I16" s="21" t="n">
        <v>451</v>
      </c>
      <c r="J16" s="21" t="n">
        <v>467.5</v>
      </c>
      <c r="K16" s="21" t="n">
        <v>484</v>
      </c>
      <c r="L16" s="21" t="n">
        <v>500.5</v>
      </c>
      <c r="M16" s="21" t="n">
        <v>517</v>
      </c>
      <c r="N16" s="21" t="n">
        <v>533.5</v>
      </c>
      <c r="O16" s="21" t="n">
        <v>550</v>
      </c>
      <c r="P16" s="21" t="n">
        <v>566.5</v>
      </c>
      <c r="Q16" s="21" t="n">
        <v>583</v>
      </c>
      <c r="R16" s="21" t="n">
        <v>599.5</v>
      </c>
      <c r="S16" s="21" t="n">
        <v>616</v>
      </c>
      <c r="T16" s="21" t="n">
        <v>632.5</v>
      </c>
      <c r="U16" s="21" t="n">
        <v>649</v>
      </c>
      <c r="V16" s="21" t="n">
        <v>665.5</v>
      </c>
      <c r="W16" s="21" t="n">
        <v>682</v>
      </c>
      <c r="X16" s="21" t="n">
        <v>698.5</v>
      </c>
      <c r="Y16" s="21" t="n">
        <v>715</v>
      </c>
      <c r="Z16" s="21" t="n">
        <v>731.5</v>
      </c>
      <c r="AA16" s="21" t="n">
        <v>748</v>
      </c>
      <c r="AB16" s="21" t="n">
        <v>764.5</v>
      </c>
      <c r="AC16" s="21" t="n">
        <v>781</v>
      </c>
      <c r="AD16" s="21" t="n">
        <v>797.5</v>
      </c>
      <c r="AE16" s="21" t="n">
        <v>814</v>
      </c>
      <c r="AF16" s="21" t="n">
        <v>830.5</v>
      </c>
      <c r="AG16" s="21" t="n">
        <v>847</v>
      </c>
      <c r="AH16" s="21" t="n">
        <v>863.5</v>
      </c>
      <c r="AI16" s="21" t="n">
        <v>880</v>
      </c>
      <c r="AJ16" s="21" t="n">
        <v>896.5</v>
      </c>
      <c r="AK16" s="21" t="n">
        <v>913</v>
      </c>
      <c r="AL16" s="21" t="n">
        <v>929.5</v>
      </c>
      <c r="AM16" s="21" t="n">
        <v>946</v>
      </c>
      <c r="AN16" s="21" t="n">
        <v>962.5</v>
      </c>
      <c r="AO16" s="22" t="n">
        <f aca="false">SUM(C16:AN16)</f>
        <v>24975.5</v>
      </c>
    </row>
    <row r="17" customFormat="false" ht="15" hidden="false" customHeight="true" outlineLevel="0" collapsed="false">
      <c r="A17" s="1" t="s">
        <v>26</v>
      </c>
      <c r="B17" s="1" t="s">
        <v>109</v>
      </c>
      <c r="C17" s="21" t="n">
        <v>408</v>
      </c>
      <c r="D17" s="21" t="n">
        <v>426</v>
      </c>
      <c r="E17" s="21" t="n">
        <v>444</v>
      </c>
      <c r="F17" s="21" t="n">
        <v>462</v>
      </c>
      <c r="G17" s="21" t="n">
        <v>480</v>
      </c>
      <c r="H17" s="21" t="n">
        <v>498</v>
      </c>
      <c r="I17" s="21" t="n">
        <v>516</v>
      </c>
      <c r="J17" s="21" t="n">
        <v>534</v>
      </c>
      <c r="K17" s="21" t="n">
        <v>552</v>
      </c>
      <c r="L17" s="21" t="n">
        <v>570</v>
      </c>
      <c r="M17" s="21" t="n">
        <v>588</v>
      </c>
      <c r="N17" s="21" t="n">
        <v>606</v>
      </c>
      <c r="O17" s="21" t="n">
        <v>624</v>
      </c>
      <c r="P17" s="21" t="n">
        <v>642</v>
      </c>
      <c r="Q17" s="21" t="n">
        <v>660</v>
      </c>
      <c r="R17" s="21" t="n">
        <v>678</v>
      </c>
      <c r="S17" s="21" t="n">
        <v>696</v>
      </c>
      <c r="T17" s="21" t="n">
        <v>714</v>
      </c>
      <c r="U17" s="21" t="n">
        <v>732</v>
      </c>
      <c r="V17" s="21" t="n">
        <v>750</v>
      </c>
      <c r="W17" s="21" t="n">
        <v>768</v>
      </c>
      <c r="X17" s="21" t="n">
        <v>786</v>
      </c>
      <c r="Y17" s="21" t="n">
        <v>804</v>
      </c>
      <c r="Z17" s="21" t="n">
        <v>822</v>
      </c>
      <c r="AA17" s="21" t="n">
        <v>840</v>
      </c>
      <c r="AB17" s="21" t="n">
        <v>858</v>
      </c>
      <c r="AC17" s="21" t="n">
        <v>876</v>
      </c>
      <c r="AD17" s="21" t="n">
        <v>894</v>
      </c>
      <c r="AE17" s="21" t="n">
        <v>912</v>
      </c>
      <c r="AF17" s="21" t="n">
        <v>930</v>
      </c>
      <c r="AG17" s="21" t="n">
        <v>948</v>
      </c>
      <c r="AH17" s="21" t="n">
        <v>966</v>
      </c>
      <c r="AI17" s="21" t="n">
        <v>984</v>
      </c>
      <c r="AJ17" s="21" t="n">
        <v>1002</v>
      </c>
      <c r="AK17" s="21" t="n">
        <v>1020</v>
      </c>
      <c r="AL17" s="21" t="n">
        <v>1038</v>
      </c>
      <c r="AM17" s="21" t="n">
        <v>1056</v>
      </c>
      <c r="AN17" s="21" t="n">
        <v>1074</v>
      </c>
      <c r="AO17" s="22" t="n">
        <f aca="false">SUM(C17:AN17)</f>
        <v>28158</v>
      </c>
    </row>
    <row r="18" customFormat="false" ht="15" hidden="false" customHeight="true" outlineLevel="0" collapsed="false">
      <c r="A18" s="1" t="s">
        <v>27</v>
      </c>
      <c r="B18" s="1" t="s">
        <v>110</v>
      </c>
      <c r="C18" s="21" t="n">
        <v>468</v>
      </c>
      <c r="D18" s="21" t="n">
        <v>487.5</v>
      </c>
      <c r="E18" s="21" t="n">
        <v>507</v>
      </c>
      <c r="F18" s="21" t="n">
        <v>526.5</v>
      </c>
      <c r="G18" s="21" t="n">
        <v>546</v>
      </c>
      <c r="H18" s="21" t="n">
        <v>565.5</v>
      </c>
      <c r="I18" s="21" t="n">
        <v>585</v>
      </c>
      <c r="J18" s="21" t="n">
        <v>604.5</v>
      </c>
      <c r="K18" s="21" t="n">
        <v>624</v>
      </c>
      <c r="L18" s="21" t="n">
        <v>643.5</v>
      </c>
      <c r="M18" s="21" t="n">
        <v>663</v>
      </c>
      <c r="N18" s="21" t="n">
        <v>682.5</v>
      </c>
      <c r="O18" s="21" t="n">
        <v>702</v>
      </c>
      <c r="P18" s="21" t="n">
        <v>721.5</v>
      </c>
      <c r="Q18" s="21" t="n">
        <v>741</v>
      </c>
      <c r="R18" s="21" t="n">
        <v>760.5</v>
      </c>
      <c r="S18" s="21" t="n">
        <v>780</v>
      </c>
      <c r="T18" s="21" t="n">
        <v>799.5</v>
      </c>
      <c r="U18" s="21" t="n">
        <v>819</v>
      </c>
      <c r="V18" s="21" t="n">
        <v>838.5</v>
      </c>
      <c r="W18" s="21" t="n">
        <v>858</v>
      </c>
      <c r="X18" s="21" t="n">
        <v>877.5</v>
      </c>
      <c r="Y18" s="21" t="n">
        <v>897</v>
      </c>
      <c r="Z18" s="21" t="n">
        <v>916.5</v>
      </c>
      <c r="AA18" s="21" t="n">
        <v>936</v>
      </c>
      <c r="AB18" s="21" t="n">
        <v>955.5</v>
      </c>
      <c r="AC18" s="21" t="n">
        <v>975</v>
      </c>
      <c r="AD18" s="21" t="n">
        <v>994.5</v>
      </c>
      <c r="AE18" s="21" t="n">
        <v>1014</v>
      </c>
      <c r="AF18" s="21" t="n">
        <v>1033.5</v>
      </c>
      <c r="AG18" s="21" t="n">
        <v>1053</v>
      </c>
      <c r="AH18" s="21" t="n">
        <v>1072.5</v>
      </c>
      <c r="AI18" s="21" t="n">
        <v>1092</v>
      </c>
      <c r="AJ18" s="21" t="n">
        <v>1111.5</v>
      </c>
      <c r="AK18" s="21" t="n">
        <v>1131</v>
      </c>
      <c r="AL18" s="21" t="n">
        <v>1150.5</v>
      </c>
      <c r="AM18" s="21" t="n">
        <v>1170</v>
      </c>
      <c r="AN18" s="21" t="n">
        <v>1189.5</v>
      </c>
      <c r="AO18" s="22" t="n">
        <f aca="false">SUM(C18:AN18)</f>
        <v>31492.5</v>
      </c>
    </row>
    <row r="19" customFormat="false" ht="15" hidden="false" customHeight="true" outlineLevel="0" collapsed="false">
      <c r="A19" s="1" t="s">
        <v>28</v>
      </c>
      <c r="B19" s="1" t="s">
        <v>111</v>
      </c>
      <c r="C19" s="21" t="n">
        <v>532</v>
      </c>
      <c r="D19" s="21" t="n">
        <v>553</v>
      </c>
      <c r="E19" s="21" t="n">
        <v>574</v>
      </c>
      <c r="F19" s="21" t="n">
        <v>595</v>
      </c>
      <c r="G19" s="21" t="n">
        <v>616</v>
      </c>
      <c r="H19" s="21" t="n">
        <v>637</v>
      </c>
      <c r="I19" s="21" t="n">
        <v>658</v>
      </c>
      <c r="J19" s="21" t="n">
        <v>679</v>
      </c>
      <c r="K19" s="21" t="n">
        <v>700</v>
      </c>
      <c r="L19" s="21" t="n">
        <v>721</v>
      </c>
      <c r="M19" s="21" t="n">
        <v>742</v>
      </c>
      <c r="N19" s="21" t="n">
        <v>763</v>
      </c>
      <c r="O19" s="21" t="n">
        <v>784</v>
      </c>
      <c r="P19" s="21" t="n">
        <v>805</v>
      </c>
      <c r="Q19" s="21" t="n">
        <v>826</v>
      </c>
      <c r="R19" s="21" t="n">
        <v>847</v>
      </c>
      <c r="S19" s="21" t="n">
        <v>868</v>
      </c>
      <c r="T19" s="21" t="n">
        <v>889</v>
      </c>
      <c r="U19" s="21" t="n">
        <v>910</v>
      </c>
      <c r="V19" s="21" t="n">
        <v>931</v>
      </c>
      <c r="W19" s="21" t="n">
        <v>952</v>
      </c>
      <c r="X19" s="21" t="n">
        <v>973</v>
      </c>
      <c r="Y19" s="21" t="n">
        <v>994</v>
      </c>
      <c r="Z19" s="21" t="n">
        <v>1015</v>
      </c>
      <c r="AA19" s="21" t="n">
        <v>1036</v>
      </c>
      <c r="AB19" s="21" t="n">
        <v>1057</v>
      </c>
      <c r="AC19" s="21" t="n">
        <v>1078</v>
      </c>
      <c r="AD19" s="21" t="n">
        <v>1099</v>
      </c>
      <c r="AE19" s="21" t="n">
        <v>1120</v>
      </c>
      <c r="AF19" s="21" t="n">
        <v>1141</v>
      </c>
      <c r="AG19" s="21" t="n">
        <v>1162</v>
      </c>
      <c r="AH19" s="21" t="n">
        <v>1183</v>
      </c>
      <c r="AI19" s="21" t="n">
        <v>1204</v>
      </c>
      <c r="AJ19" s="21" t="n">
        <v>1225</v>
      </c>
      <c r="AK19" s="21" t="n">
        <v>1246</v>
      </c>
      <c r="AL19" s="21" t="n">
        <v>1267</v>
      </c>
      <c r="AM19" s="21" t="n">
        <v>1288</v>
      </c>
      <c r="AN19" s="21" t="n">
        <v>1309</v>
      </c>
      <c r="AO19" s="22" t="n">
        <f aca="false">SUM(C19:AN19)</f>
        <v>34979</v>
      </c>
    </row>
    <row r="20" customFormat="false" ht="15" hidden="false" customHeight="true" outlineLevel="0" collapsed="false">
      <c r="A20" s="1" t="s">
        <v>29</v>
      </c>
      <c r="B20" s="1" t="s">
        <v>112</v>
      </c>
      <c r="C20" s="21" t="n">
        <v>400</v>
      </c>
      <c r="D20" s="21" t="n">
        <v>415</v>
      </c>
      <c r="E20" s="21" t="n">
        <v>430</v>
      </c>
      <c r="F20" s="21" t="n">
        <v>445</v>
      </c>
      <c r="G20" s="21" t="n">
        <v>460</v>
      </c>
      <c r="H20" s="21" t="n">
        <v>475</v>
      </c>
      <c r="I20" s="21" t="n">
        <v>490</v>
      </c>
      <c r="J20" s="21" t="n">
        <v>505</v>
      </c>
      <c r="K20" s="21" t="n">
        <v>520</v>
      </c>
      <c r="L20" s="21" t="n">
        <v>535</v>
      </c>
      <c r="M20" s="21" t="n">
        <v>550</v>
      </c>
      <c r="N20" s="21" t="n">
        <v>565</v>
      </c>
      <c r="O20" s="21" t="n">
        <v>580</v>
      </c>
      <c r="P20" s="21" t="n">
        <v>595</v>
      </c>
      <c r="Q20" s="21" t="n">
        <v>610</v>
      </c>
      <c r="R20" s="21" t="n">
        <v>625</v>
      </c>
      <c r="S20" s="21" t="n">
        <v>640</v>
      </c>
      <c r="T20" s="21" t="n">
        <v>655</v>
      </c>
      <c r="U20" s="21" t="n">
        <v>670</v>
      </c>
      <c r="V20" s="21" t="n">
        <v>685</v>
      </c>
      <c r="W20" s="21" t="n">
        <v>700</v>
      </c>
      <c r="X20" s="21" t="n">
        <v>715</v>
      </c>
      <c r="Y20" s="21" t="n">
        <v>730</v>
      </c>
      <c r="Z20" s="21" t="n">
        <v>745</v>
      </c>
      <c r="AA20" s="21" t="n">
        <v>760</v>
      </c>
      <c r="AB20" s="21" t="n">
        <v>775</v>
      </c>
      <c r="AC20" s="21" t="n">
        <v>790</v>
      </c>
      <c r="AD20" s="21" t="n">
        <v>805</v>
      </c>
      <c r="AE20" s="21" t="n">
        <v>820</v>
      </c>
      <c r="AF20" s="21" t="n">
        <v>835</v>
      </c>
      <c r="AG20" s="21" t="n">
        <v>850</v>
      </c>
      <c r="AH20" s="21" t="n">
        <v>865</v>
      </c>
      <c r="AI20" s="21" t="n">
        <v>880</v>
      </c>
      <c r="AJ20" s="21" t="n">
        <v>895</v>
      </c>
      <c r="AK20" s="21" t="n">
        <v>910</v>
      </c>
      <c r="AL20" s="21" t="n">
        <v>925</v>
      </c>
      <c r="AM20" s="21" t="n">
        <v>940</v>
      </c>
      <c r="AN20" s="21" t="n">
        <v>955</v>
      </c>
      <c r="AO20" s="22" t="n">
        <f aca="false">SUM(C20:AN20)</f>
        <v>25745</v>
      </c>
    </row>
    <row r="21" customFormat="false" ht="15" hidden="false" customHeight="true" outlineLevel="0" collapsed="false">
      <c r="A21" s="1" t="s">
        <v>30</v>
      </c>
      <c r="B21" s="1" t="s">
        <v>113</v>
      </c>
      <c r="C21" s="21" t="n">
        <v>462</v>
      </c>
      <c r="D21" s="21" t="n">
        <v>478.5</v>
      </c>
      <c r="E21" s="21" t="n">
        <v>495</v>
      </c>
      <c r="F21" s="21" t="n">
        <v>511.5</v>
      </c>
      <c r="G21" s="21" t="n">
        <v>528</v>
      </c>
      <c r="H21" s="21" t="n">
        <v>544.5</v>
      </c>
      <c r="I21" s="21" t="n">
        <v>561</v>
      </c>
      <c r="J21" s="21" t="n">
        <v>577.5</v>
      </c>
      <c r="K21" s="21" t="n">
        <v>594</v>
      </c>
      <c r="L21" s="21" t="n">
        <v>610.5</v>
      </c>
      <c r="M21" s="21" t="n">
        <v>627</v>
      </c>
      <c r="N21" s="21" t="n">
        <v>643.5</v>
      </c>
      <c r="O21" s="21" t="n">
        <v>660</v>
      </c>
      <c r="P21" s="21" t="n">
        <v>676.5</v>
      </c>
      <c r="Q21" s="21" t="n">
        <v>693</v>
      </c>
      <c r="R21" s="21" t="n">
        <v>709.5</v>
      </c>
      <c r="S21" s="21" t="n">
        <v>726</v>
      </c>
      <c r="T21" s="21" t="n">
        <v>742.5</v>
      </c>
      <c r="U21" s="21" t="n">
        <v>759</v>
      </c>
      <c r="V21" s="21" t="n">
        <v>775.5</v>
      </c>
      <c r="W21" s="21" t="n">
        <v>792</v>
      </c>
      <c r="X21" s="21" t="n">
        <v>808.5</v>
      </c>
      <c r="Y21" s="21" t="n">
        <v>825</v>
      </c>
      <c r="Z21" s="21" t="n">
        <v>841.5</v>
      </c>
      <c r="AA21" s="21" t="n">
        <v>858</v>
      </c>
      <c r="AB21" s="21" t="n">
        <v>874.5</v>
      </c>
      <c r="AC21" s="21" t="n">
        <v>891</v>
      </c>
      <c r="AD21" s="21" t="n">
        <v>907.5</v>
      </c>
      <c r="AE21" s="21" t="n">
        <v>924</v>
      </c>
      <c r="AF21" s="21" t="n">
        <v>940.5</v>
      </c>
      <c r="AG21" s="21" t="n">
        <v>957</v>
      </c>
      <c r="AH21" s="21" t="n">
        <v>973.5</v>
      </c>
      <c r="AI21" s="21" t="n">
        <v>990</v>
      </c>
      <c r="AJ21" s="21" t="n">
        <v>1006.5</v>
      </c>
      <c r="AK21" s="21" t="n">
        <v>1023</v>
      </c>
      <c r="AL21" s="21" t="n">
        <v>1039.5</v>
      </c>
      <c r="AM21" s="21" t="n">
        <v>1056</v>
      </c>
      <c r="AN21" s="21" t="n">
        <v>1072.5</v>
      </c>
      <c r="AO21" s="22" t="n">
        <f aca="false">SUM(C21:AN21)</f>
        <v>29155.5</v>
      </c>
    </row>
    <row r="22" customFormat="false" ht="15" hidden="false" customHeight="true" outlineLevel="0" collapsed="false">
      <c r="A22" s="1" t="s">
        <v>31</v>
      </c>
      <c r="B22" s="1" t="s">
        <v>114</v>
      </c>
      <c r="C22" s="21" t="n">
        <v>528</v>
      </c>
      <c r="D22" s="21" t="n">
        <v>546</v>
      </c>
      <c r="E22" s="21" t="n">
        <v>564</v>
      </c>
      <c r="F22" s="21" t="n">
        <v>582</v>
      </c>
      <c r="G22" s="21" t="n">
        <v>600</v>
      </c>
      <c r="H22" s="21" t="n">
        <v>618</v>
      </c>
      <c r="I22" s="21" t="n">
        <v>636</v>
      </c>
      <c r="J22" s="21" t="n">
        <v>654</v>
      </c>
      <c r="K22" s="21" t="n">
        <v>672</v>
      </c>
      <c r="L22" s="21" t="n">
        <v>690</v>
      </c>
      <c r="M22" s="21" t="n">
        <v>708</v>
      </c>
      <c r="N22" s="21" t="n">
        <v>726</v>
      </c>
      <c r="O22" s="21" t="n">
        <v>744</v>
      </c>
      <c r="P22" s="21" t="n">
        <v>762</v>
      </c>
      <c r="Q22" s="21" t="n">
        <v>780</v>
      </c>
      <c r="R22" s="21" t="n">
        <v>798</v>
      </c>
      <c r="S22" s="21" t="n">
        <v>816</v>
      </c>
      <c r="T22" s="21" t="n">
        <v>834</v>
      </c>
      <c r="U22" s="21" t="n">
        <v>852</v>
      </c>
      <c r="V22" s="21" t="n">
        <v>870</v>
      </c>
      <c r="W22" s="21" t="n">
        <v>888</v>
      </c>
      <c r="X22" s="21" t="n">
        <v>906</v>
      </c>
      <c r="Y22" s="21" t="n">
        <v>924</v>
      </c>
      <c r="Z22" s="21" t="n">
        <v>942</v>
      </c>
      <c r="AA22" s="21" t="n">
        <v>960</v>
      </c>
      <c r="AB22" s="21" t="n">
        <v>978</v>
      </c>
      <c r="AC22" s="21" t="n">
        <v>996</v>
      </c>
      <c r="AD22" s="21" t="n">
        <v>1014</v>
      </c>
      <c r="AE22" s="21" t="n">
        <v>1032</v>
      </c>
      <c r="AF22" s="21" t="n">
        <v>1050</v>
      </c>
      <c r="AG22" s="21" t="n">
        <v>1068</v>
      </c>
      <c r="AH22" s="21" t="n">
        <v>1086</v>
      </c>
      <c r="AI22" s="21" t="n">
        <v>1104</v>
      </c>
      <c r="AJ22" s="21" t="n">
        <v>1122</v>
      </c>
      <c r="AK22" s="21" t="n">
        <v>1140</v>
      </c>
      <c r="AL22" s="21" t="n">
        <v>1158</v>
      </c>
      <c r="AM22" s="21" t="n">
        <v>1176</v>
      </c>
      <c r="AN22" s="21" t="n">
        <v>1194</v>
      </c>
      <c r="AO22" s="22" t="n">
        <f aca="false">SUM(C22:AN22)</f>
        <v>32718</v>
      </c>
    </row>
    <row r="23" customFormat="false" ht="15" hidden="false" customHeight="true" outlineLevel="0" collapsed="false">
      <c r="A23" s="1" t="s">
        <v>32</v>
      </c>
      <c r="B23" s="1" t="s">
        <v>115</v>
      </c>
      <c r="C23" s="21" t="n">
        <v>598</v>
      </c>
      <c r="D23" s="21" t="n">
        <v>617.5</v>
      </c>
      <c r="E23" s="21" t="n">
        <v>637</v>
      </c>
      <c r="F23" s="21" t="n">
        <v>656.5</v>
      </c>
      <c r="G23" s="21" t="n">
        <v>676</v>
      </c>
      <c r="H23" s="21" t="n">
        <v>695.5</v>
      </c>
      <c r="I23" s="21" t="n">
        <v>715</v>
      </c>
      <c r="J23" s="21" t="n">
        <v>734.5</v>
      </c>
      <c r="K23" s="21" t="n">
        <v>754</v>
      </c>
      <c r="L23" s="21" t="n">
        <v>773.5</v>
      </c>
      <c r="M23" s="21" t="n">
        <v>793</v>
      </c>
      <c r="N23" s="21" t="n">
        <v>812.5</v>
      </c>
      <c r="O23" s="21" t="n">
        <v>832</v>
      </c>
      <c r="P23" s="21" t="n">
        <v>851.5</v>
      </c>
      <c r="Q23" s="21" t="n">
        <v>871</v>
      </c>
      <c r="R23" s="21" t="n">
        <v>890.5</v>
      </c>
      <c r="S23" s="21" t="n">
        <v>910</v>
      </c>
      <c r="T23" s="21" t="n">
        <v>929.5</v>
      </c>
      <c r="U23" s="21" t="n">
        <v>949</v>
      </c>
      <c r="V23" s="21" t="n">
        <v>968.5</v>
      </c>
      <c r="W23" s="21" t="n">
        <v>988</v>
      </c>
      <c r="X23" s="21" t="n">
        <v>1007.5</v>
      </c>
      <c r="Y23" s="21" t="n">
        <v>1027</v>
      </c>
      <c r="Z23" s="21" t="n">
        <v>1046.5</v>
      </c>
      <c r="AA23" s="21" t="n">
        <v>1066</v>
      </c>
      <c r="AB23" s="21" t="n">
        <v>1085.5</v>
      </c>
      <c r="AC23" s="21" t="n">
        <v>1105</v>
      </c>
      <c r="AD23" s="21" t="n">
        <v>1124.5</v>
      </c>
      <c r="AE23" s="21" t="n">
        <v>1144</v>
      </c>
      <c r="AF23" s="21" t="n">
        <v>1163.5</v>
      </c>
      <c r="AG23" s="21" t="n">
        <v>1183</v>
      </c>
      <c r="AH23" s="21" t="n">
        <v>1202.5</v>
      </c>
      <c r="AI23" s="21" t="n">
        <v>1222</v>
      </c>
      <c r="AJ23" s="21" t="n">
        <v>1241.5</v>
      </c>
      <c r="AK23" s="21" t="n">
        <v>1261</v>
      </c>
      <c r="AL23" s="21" t="n">
        <v>1280.5</v>
      </c>
      <c r="AM23" s="21" t="n">
        <v>1300</v>
      </c>
      <c r="AN23" s="21" t="n">
        <v>1319.5</v>
      </c>
      <c r="AO23" s="22" t="n">
        <f aca="false">SUM(C23:AN23)</f>
        <v>36432.5</v>
      </c>
    </row>
    <row r="24" customFormat="false" ht="15" hidden="false" customHeight="true" outlineLevel="0" collapsed="false">
      <c r="A24" s="1" t="s">
        <v>33</v>
      </c>
      <c r="B24" s="1" t="s">
        <v>116</v>
      </c>
      <c r="C24" s="21" t="n">
        <v>672</v>
      </c>
      <c r="D24" s="21" t="n">
        <v>693</v>
      </c>
      <c r="E24" s="21" t="n">
        <v>714</v>
      </c>
      <c r="F24" s="21" t="n">
        <v>735</v>
      </c>
      <c r="G24" s="21" t="n">
        <v>756</v>
      </c>
      <c r="H24" s="21" t="n">
        <v>777</v>
      </c>
      <c r="I24" s="21" t="n">
        <v>798</v>
      </c>
      <c r="J24" s="21" t="n">
        <v>819</v>
      </c>
      <c r="K24" s="21" t="n">
        <v>840</v>
      </c>
      <c r="L24" s="21" t="n">
        <v>861</v>
      </c>
      <c r="M24" s="21" t="n">
        <v>882</v>
      </c>
      <c r="N24" s="21" t="n">
        <v>903</v>
      </c>
      <c r="O24" s="21" t="n">
        <v>924</v>
      </c>
      <c r="P24" s="21" t="n">
        <v>945</v>
      </c>
      <c r="Q24" s="21" t="n">
        <v>966</v>
      </c>
      <c r="R24" s="21" t="n">
        <v>987</v>
      </c>
      <c r="S24" s="21" t="n">
        <v>1008</v>
      </c>
      <c r="T24" s="21" t="n">
        <v>1029</v>
      </c>
      <c r="U24" s="21" t="n">
        <v>1050</v>
      </c>
      <c r="V24" s="21" t="n">
        <v>1071</v>
      </c>
      <c r="W24" s="21" t="n">
        <v>1092</v>
      </c>
      <c r="X24" s="21" t="n">
        <v>1113</v>
      </c>
      <c r="Y24" s="21" t="n">
        <v>1134</v>
      </c>
      <c r="Z24" s="21" t="n">
        <v>1155</v>
      </c>
      <c r="AA24" s="21" t="n">
        <v>1176</v>
      </c>
      <c r="AB24" s="21" t="n">
        <v>1197</v>
      </c>
      <c r="AC24" s="21" t="n">
        <v>1218</v>
      </c>
      <c r="AD24" s="21" t="n">
        <v>1239</v>
      </c>
      <c r="AE24" s="21" t="n">
        <v>1260</v>
      </c>
      <c r="AF24" s="21" t="n">
        <v>1281</v>
      </c>
      <c r="AG24" s="21" t="n">
        <v>1302</v>
      </c>
      <c r="AH24" s="21" t="n">
        <v>1323</v>
      </c>
      <c r="AI24" s="21" t="n">
        <v>1344</v>
      </c>
      <c r="AJ24" s="21" t="n">
        <v>1365</v>
      </c>
      <c r="AK24" s="21" t="n">
        <v>1386</v>
      </c>
      <c r="AL24" s="21" t="n">
        <v>1407</v>
      </c>
      <c r="AM24" s="21" t="n">
        <v>1428</v>
      </c>
      <c r="AN24" s="21" t="n">
        <v>1449</v>
      </c>
      <c r="AO24" s="22" t="n">
        <f aca="false">SUM(C24:AN24)</f>
        <v>40299</v>
      </c>
    </row>
    <row r="25" customFormat="false" ht="15" hidden="false" customHeight="true" outlineLevel="0" collapsed="false">
      <c r="A25" s="1" t="s">
        <v>34</v>
      </c>
      <c r="B25" s="1" t="s">
        <v>117</v>
      </c>
      <c r="C25" s="21" t="n">
        <v>500</v>
      </c>
      <c r="D25" s="21" t="n">
        <v>515</v>
      </c>
      <c r="E25" s="21" t="n">
        <v>530</v>
      </c>
      <c r="F25" s="21" t="n">
        <v>545</v>
      </c>
      <c r="G25" s="21" t="n">
        <v>560</v>
      </c>
      <c r="H25" s="21" t="n">
        <v>575</v>
      </c>
      <c r="I25" s="21" t="n">
        <v>590</v>
      </c>
      <c r="J25" s="21" t="n">
        <v>605</v>
      </c>
      <c r="K25" s="21" t="n">
        <v>620</v>
      </c>
      <c r="L25" s="21" t="n">
        <v>635</v>
      </c>
      <c r="M25" s="21" t="n">
        <v>650</v>
      </c>
      <c r="N25" s="21" t="n">
        <v>665</v>
      </c>
      <c r="O25" s="21" t="n">
        <v>680</v>
      </c>
      <c r="P25" s="21" t="n">
        <v>695</v>
      </c>
      <c r="Q25" s="21" t="n">
        <v>710</v>
      </c>
      <c r="R25" s="21" t="n">
        <v>725</v>
      </c>
      <c r="S25" s="21" t="n">
        <v>740</v>
      </c>
      <c r="T25" s="21" t="n">
        <v>755</v>
      </c>
      <c r="U25" s="21" t="n">
        <v>770</v>
      </c>
      <c r="V25" s="21" t="n">
        <v>785</v>
      </c>
      <c r="W25" s="21" t="n">
        <v>800</v>
      </c>
      <c r="X25" s="21" t="n">
        <v>815</v>
      </c>
      <c r="Y25" s="21" t="n">
        <v>830</v>
      </c>
      <c r="Z25" s="21" t="n">
        <v>845</v>
      </c>
      <c r="AA25" s="21" t="n">
        <v>860</v>
      </c>
      <c r="AB25" s="21" t="n">
        <v>875</v>
      </c>
      <c r="AC25" s="21" t="n">
        <v>890</v>
      </c>
      <c r="AD25" s="21" t="n">
        <v>905</v>
      </c>
      <c r="AE25" s="21" t="n">
        <v>920</v>
      </c>
      <c r="AF25" s="21" t="n">
        <v>935</v>
      </c>
      <c r="AG25" s="21" t="n">
        <v>950</v>
      </c>
      <c r="AH25" s="21" t="n">
        <v>965</v>
      </c>
      <c r="AI25" s="21" t="n">
        <v>980</v>
      </c>
      <c r="AJ25" s="21" t="n">
        <v>995</v>
      </c>
      <c r="AK25" s="21" t="n">
        <v>1010</v>
      </c>
      <c r="AL25" s="21" t="n">
        <v>1025</v>
      </c>
      <c r="AM25" s="21" t="n">
        <v>1040</v>
      </c>
      <c r="AN25" s="21" t="n">
        <v>1055</v>
      </c>
      <c r="AO25" s="22" t="n">
        <f aca="false">SUM(C25:AN25)</f>
        <v>29545</v>
      </c>
    </row>
    <row r="26" customFormat="false" ht="15" hidden="false" customHeight="true" outlineLevel="0" collapsed="false">
      <c r="A26" s="1" t="s">
        <v>35</v>
      </c>
      <c r="B26" s="1" t="s">
        <v>118</v>
      </c>
      <c r="C26" s="21" t="n">
        <v>572</v>
      </c>
      <c r="D26" s="21" t="n">
        <v>588.5</v>
      </c>
      <c r="E26" s="21" t="n">
        <v>605</v>
      </c>
      <c r="F26" s="21" t="n">
        <v>621.5</v>
      </c>
      <c r="G26" s="21" t="n">
        <v>638</v>
      </c>
      <c r="H26" s="21" t="n">
        <v>654.5</v>
      </c>
      <c r="I26" s="21" t="n">
        <v>671</v>
      </c>
      <c r="J26" s="21" t="n">
        <v>687.5</v>
      </c>
      <c r="K26" s="21" t="n">
        <v>704</v>
      </c>
      <c r="L26" s="21" t="n">
        <v>720.5</v>
      </c>
      <c r="M26" s="21" t="n">
        <v>737</v>
      </c>
      <c r="N26" s="21" t="n">
        <v>753.5</v>
      </c>
      <c r="O26" s="21" t="n">
        <v>770</v>
      </c>
      <c r="P26" s="21" t="n">
        <v>786.5</v>
      </c>
      <c r="Q26" s="21" t="n">
        <v>803</v>
      </c>
      <c r="R26" s="21" t="n">
        <v>819.5</v>
      </c>
      <c r="S26" s="21" t="n">
        <v>836</v>
      </c>
      <c r="T26" s="21" t="n">
        <v>852.5</v>
      </c>
      <c r="U26" s="21" t="n">
        <v>869</v>
      </c>
      <c r="V26" s="21" t="n">
        <v>885.5</v>
      </c>
      <c r="W26" s="21" t="n">
        <v>902</v>
      </c>
      <c r="X26" s="21" t="n">
        <v>918.5</v>
      </c>
      <c r="Y26" s="21" t="n">
        <v>935</v>
      </c>
      <c r="Z26" s="21" t="n">
        <v>951.5</v>
      </c>
      <c r="AA26" s="21" t="n">
        <v>968</v>
      </c>
      <c r="AB26" s="21" t="n">
        <v>984.5</v>
      </c>
      <c r="AC26" s="21" t="n">
        <v>1001</v>
      </c>
      <c r="AD26" s="21" t="n">
        <v>1017.5</v>
      </c>
      <c r="AE26" s="21" t="n">
        <v>1034</v>
      </c>
      <c r="AF26" s="21" t="n">
        <v>1050.5</v>
      </c>
      <c r="AG26" s="21" t="n">
        <v>1067</v>
      </c>
      <c r="AH26" s="21" t="n">
        <v>1083.5</v>
      </c>
      <c r="AI26" s="21" t="n">
        <v>1100</v>
      </c>
      <c r="AJ26" s="21" t="n">
        <v>1116.5</v>
      </c>
      <c r="AK26" s="21" t="n">
        <v>1133</v>
      </c>
      <c r="AL26" s="21" t="n">
        <v>1149.5</v>
      </c>
      <c r="AM26" s="21" t="n">
        <v>1166</v>
      </c>
      <c r="AN26" s="21" t="n">
        <v>1182.5</v>
      </c>
      <c r="AO26" s="22" t="n">
        <f aca="false">SUM(C26:AN26)</f>
        <v>33335.5</v>
      </c>
    </row>
    <row r="27" customFormat="false" ht="15" hidden="false" customHeight="true" outlineLevel="0" collapsed="false">
      <c r="A27" s="1" t="s">
        <v>36</v>
      </c>
      <c r="B27" s="1" t="s">
        <v>119</v>
      </c>
      <c r="C27" s="21" t="n">
        <v>648</v>
      </c>
      <c r="D27" s="21" t="n">
        <v>666</v>
      </c>
      <c r="E27" s="21" t="n">
        <v>684</v>
      </c>
      <c r="F27" s="21" t="n">
        <v>702</v>
      </c>
      <c r="G27" s="21" t="n">
        <v>720</v>
      </c>
      <c r="H27" s="21" t="n">
        <v>738</v>
      </c>
      <c r="I27" s="21" t="n">
        <v>756</v>
      </c>
      <c r="J27" s="21" t="n">
        <v>774</v>
      </c>
      <c r="K27" s="21" t="n">
        <v>792</v>
      </c>
      <c r="L27" s="21" t="n">
        <v>810</v>
      </c>
      <c r="M27" s="21" t="n">
        <v>828</v>
      </c>
      <c r="N27" s="21" t="n">
        <v>846</v>
      </c>
      <c r="O27" s="21" t="n">
        <v>864</v>
      </c>
      <c r="P27" s="21" t="n">
        <v>882</v>
      </c>
      <c r="Q27" s="21" t="n">
        <v>900</v>
      </c>
      <c r="R27" s="21" t="n">
        <v>918</v>
      </c>
      <c r="S27" s="21" t="n">
        <v>936</v>
      </c>
      <c r="T27" s="21" t="n">
        <v>954</v>
      </c>
      <c r="U27" s="21" t="n">
        <v>972</v>
      </c>
      <c r="V27" s="21" t="n">
        <v>990</v>
      </c>
      <c r="W27" s="21" t="n">
        <v>1008</v>
      </c>
      <c r="X27" s="21" t="n">
        <v>1026</v>
      </c>
      <c r="Y27" s="21" t="n">
        <v>1044</v>
      </c>
      <c r="Z27" s="21" t="n">
        <v>1062</v>
      </c>
      <c r="AA27" s="21" t="n">
        <v>1080</v>
      </c>
      <c r="AB27" s="21" t="n">
        <v>1098</v>
      </c>
      <c r="AC27" s="21" t="n">
        <v>1116</v>
      </c>
      <c r="AD27" s="21" t="n">
        <v>1134</v>
      </c>
      <c r="AE27" s="21" t="n">
        <v>1152</v>
      </c>
      <c r="AF27" s="21" t="n">
        <v>1170</v>
      </c>
      <c r="AG27" s="21" t="n">
        <v>1188</v>
      </c>
      <c r="AH27" s="21" t="n">
        <v>1206</v>
      </c>
      <c r="AI27" s="21" t="n">
        <v>1224</v>
      </c>
      <c r="AJ27" s="21" t="n">
        <v>1242</v>
      </c>
      <c r="AK27" s="21" t="n">
        <v>1260</v>
      </c>
      <c r="AL27" s="21" t="n">
        <v>1278</v>
      </c>
      <c r="AM27" s="21" t="n">
        <v>1296</v>
      </c>
      <c r="AN27" s="21" t="n">
        <v>1314</v>
      </c>
      <c r="AO27" s="22" t="n">
        <f aca="false">SUM(C27:AN27)</f>
        <v>37278</v>
      </c>
    </row>
    <row r="28" customFormat="false" ht="15" hidden="false" customHeight="true" outlineLevel="0" collapsed="false">
      <c r="A28" s="1" t="s">
        <v>37</v>
      </c>
      <c r="B28" s="1" t="s">
        <v>120</v>
      </c>
      <c r="C28" s="21" t="n">
        <v>728</v>
      </c>
      <c r="D28" s="21" t="n">
        <v>747.5</v>
      </c>
      <c r="E28" s="21" t="n">
        <v>767</v>
      </c>
      <c r="F28" s="21" t="n">
        <v>786.5</v>
      </c>
      <c r="G28" s="21" t="n">
        <v>806</v>
      </c>
      <c r="H28" s="21" t="n">
        <v>825.5</v>
      </c>
      <c r="I28" s="21" t="n">
        <v>845</v>
      </c>
      <c r="J28" s="21" t="n">
        <v>864.5</v>
      </c>
      <c r="K28" s="21" t="n">
        <v>884</v>
      </c>
      <c r="L28" s="21" t="n">
        <v>903.5</v>
      </c>
      <c r="M28" s="21" t="n">
        <v>923</v>
      </c>
      <c r="N28" s="21" t="n">
        <v>942.5</v>
      </c>
      <c r="O28" s="21" t="n">
        <v>962</v>
      </c>
      <c r="P28" s="21" t="n">
        <v>981.5</v>
      </c>
      <c r="Q28" s="21" t="n">
        <v>1001</v>
      </c>
      <c r="R28" s="21" t="n">
        <v>1020.5</v>
      </c>
      <c r="S28" s="21" t="n">
        <v>1040</v>
      </c>
      <c r="T28" s="21" t="n">
        <v>1059.5</v>
      </c>
      <c r="U28" s="21" t="n">
        <v>1079</v>
      </c>
      <c r="V28" s="21" t="n">
        <v>1098.5</v>
      </c>
      <c r="W28" s="21" t="n">
        <v>1118</v>
      </c>
      <c r="X28" s="21" t="n">
        <v>1137.5</v>
      </c>
      <c r="Y28" s="21" t="n">
        <v>1157</v>
      </c>
      <c r="Z28" s="21" t="n">
        <v>1176.5</v>
      </c>
      <c r="AA28" s="21" t="n">
        <v>1196</v>
      </c>
      <c r="AB28" s="21" t="n">
        <v>1215.5</v>
      </c>
      <c r="AC28" s="21" t="n">
        <v>1235</v>
      </c>
      <c r="AD28" s="21" t="n">
        <v>1254.5</v>
      </c>
      <c r="AE28" s="21" t="n">
        <v>1274</v>
      </c>
      <c r="AF28" s="21" t="n">
        <v>1293.5</v>
      </c>
      <c r="AG28" s="21" t="n">
        <v>1313</v>
      </c>
      <c r="AH28" s="21" t="n">
        <v>1332.5</v>
      </c>
      <c r="AI28" s="21" t="n">
        <v>1352</v>
      </c>
      <c r="AJ28" s="21" t="n">
        <v>1371.5</v>
      </c>
      <c r="AK28" s="21" t="n">
        <v>1391</v>
      </c>
      <c r="AL28" s="21" t="n">
        <v>1410.5</v>
      </c>
      <c r="AM28" s="21" t="n">
        <v>1430</v>
      </c>
      <c r="AN28" s="21" t="n">
        <v>1449.5</v>
      </c>
      <c r="AO28" s="22" t="n">
        <f aca="false">SUM(C28:AN28)</f>
        <v>41372.5</v>
      </c>
    </row>
    <row r="29" customFormat="false" ht="15" hidden="false" customHeight="true" outlineLevel="0" collapsed="false">
      <c r="A29" s="1" t="s">
        <v>38</v>
      </c>
      <c r="B29" s="1" t="s">
        <v>121</v>
      </c>
      <c r="C29" s="21" t="n">
        <v>812</v>
      </c>
      <c r="D29" s="21" t="n">
        <v>833</v>
      </c>
      <c r="E29" s="21" t="n">
        <v>854</v>
      </c>
      <c r="F29" s="21" t="n">
        <v>875</v>
      </c>
      <c r="G29" s="21" t="n">
        <v>896</v>
      </c>
      <c r="H29" s="21" t="n">
        <v>917</v>
      </c>
      <c r="I29" s="21" t="n">
        <v>938</v>
      </c>
      <c r="J29" s="21" t="n">
        <v>959</v>
      </c>
      <c r="K29" s="21" t="n">
        <v>980</v>
      </c>
      <c r="L29" s="21" t="n">
        <v>1001</v>
      </c>
      <c r="M29" s="21" t="n">
        <v>1022</v>
      </c>
      <c r="N29" s="21" t="n">
        <v>1043</v>
      </c>
      <c r="O29" s="21" t="n">
        <v>1064</v>
      </c>
      <c r="P29" s="21" t="n">
        <v>1085</v>
      </c>
      <c r="Q29" s="21" t="n">
        <v>1106</v>
      </c>
      <c r="R29" s="21" t="n">
        <v>1127</v>
      </c>
      <c r="S29" s="21" t="n">
        <v>1148</v>
      </c>
      <c r="T29" s="21" t="n">
        <v>1169</v>
      </c>
      <c r="U29" s="21" t="n">
        <v>1190</v>
      </c>
      <c r="V29" s="21" t="n">
        <v>1211</v>
      </c>
      <c r="W29" s="21" t="n">
        <v>1232</v>
      </c>
      <c r="X29" s="21" t="n">
        <v>1253</v>
      </c>
      <c r="Y29" s="21" t="n">
        <v>1274</v>
      </c>
      <c r="Z29" s="21" t="n">
        <v>1295</v>
      </c>
      <c r="AA29" s="21" t="n">
        <v>1316</v>
      </c>
      <c r="AB29" s="21" t="n">
        <v>1337</v>
      </c>
      <c r="AC29" s="21" t="n">
        <v>1358</v>
      </c>
      <c r="AD29" s="21" t="n">
        <v>1379</v>
      </c>
      <c r="AE29" s="21" t="n">
        <v>1400</v>
      </c>
      <c r="AF29" s="21" t="n">
        <v>1421</v>
      </c>
      <c r="AG29" s="21" t="n">
        <v>1442</v>
      </c>
      <c r="AH29" s="21" t="n">
        <v>1463</v>
      </c>
      <c r="AI29" s="21" t="n">
        <v>1484</v>
      </c>
      <c r="AJ29" s="21" t="n">
        <v>1505</v>
      </c>
      <c r="AK29" s="21" t="n">
        <v>1526</v>
      </c>
      <c r="AL29" s="21" t="n">
        <v>1547</v>
      </c>
      <c r="AM29" s="21" t="n">
        <v>1568</v>
      </c>
      <c r="AN29" s="21" t="n">
        <v>1589</v>
      </c>
      <c r="AO29" s="22" t="n">
        <f aca="false">SUM(C29:AN29)</f>
        <v>45619</v>
      </c>
    </row>
    <row r="30" customFormat="false" ht="15" hidden="false" customHeight="true" outlineLevel="0" collapsed="false">
      <c r="A30" s="1" t="s">
        <v>39</v>
      </c>
      <c r="B30" s="1" t="s">
        <v>122</v>
      </c>
      <c r="C30" s="21" t="n">
        <v>600</v>
      </c>
      <c r="D30" s="21" t="n">
        <v>615</v>
      </c>
      <c r="E30" s="21" t="n">
        <v>630</v>
      </c>
      <c r="F30" s="21" t="n">
        <v>645</v>
      </c>
      <c r="G30" s="21" t="n">
        <v>660</v>
      </c>
      <c r="H30" s="21" t="n">
        <v>675</v>
      </c>
      <c r="I30" s="21" t="n">
        <v>690</v>
      </c>
      <c r="J30" s="21" t="n">
        <v>705</v>
      </c>
      <c r="K30" s="21" t="n">
        <v>720</v>
      </c>
      <c r="L30" s="21" t="n">
        <v>735</v>
      </c>
      <c r="M30" s="21" t="n">
        <v>750</v>
      </c>
      <c r="N30" s="21" t="n">
        <v>765</v>
      </c>
      <c r="O30" s="21" t="n">
        <v>780</v>
      </c>
      <c r="P30" s="21" t="n">
        <v>795</v>
      </c>
      <c r="Q30" s="21" t="n">
        <v>810</v>
      </c>
      <c r="R30" s="21" t="n">
        <v>825</v>
      </c>
      <c r="S30" s="21" t="n">
        <v>840</v>
      </c>
      <c r="T30" s="21" t="n">
        <v>855</v>
      </c>
      <c r="U30" s="21" t="n">
        <v>870</v>
      </c>
      <c r="V30" s="21" t="n">
        <v>885</v>
      </c>
      <c r="W30" s="21" t="n">
        <v>900</v>
      </c>
      <c r="X30" s="21" t="n">
        <v>915</v>
      </c>
      <c r="Y30" s="21" t="n">
        <v>930</v>
      </c>
      <c r="Z30" s="21" t="n">
        <v>945</v>
      </c>
      <c r="AA30" s="21" t="n">
        <v>960</v>
      </c>
      <c r="AB30" s="21" t="n">
        <v>975</v>
      </c>
      <c r="AC30" s="21" t="n">
        <v>990</v>
      </c>
      <c r="AD30" s="21" t="n">
        <v>1005</v>
      </c>
      <c r="AE30" s="21" t="n">
        <v>1020</v>
      </c>
      <c r="AF30" s="21" t="n">
        <v>1035</v>
      </c>
      <c r="AG30" s="21" t="n">
        <v>1050</v>
      </c>
      <c r="AH30" s="21" t="n">
        <v>1065</v>
      </c>
      <c r="AI30" s="21" t="n">
        <v>1080</v>
      </c>
      <c r="AJ30" s="21" t="n">
        <v>1095</v>
      </c>
      <c r="AK30" s="21" t="n">
        <v>1110</v>
      </c>
      <c r="AL30" s="21" t="n">
        <v>1125</v>
      </c>
      <c r="AM30" s="21" t="n">
        <v>1140</v>
      </c>
      <c r="AN30" s="21" t="n">
        <v>1155</v>
      </c>
      <c r="AO30" s="22" t="n">
        <f aca="false">SUM(C30:AN30)</f>
        <v>33345</v>
      </c>
    </row>
    <row r="31" customFormat="false" ht="15" hidden="false" customHeight="true" outlineLevel="0" collapsed="false">
      <c r="A31" s="1" t="s">
        <v>40</v>
      </c>
      <c r="B31" s="1" t="s">
        <v>123</v>
      </c>
      <c r="C31" s="21" t="n">
        <v>682</v>
      </c>
      <c r="D31" s="21" t="n">
        <v>698.5</v>
      </c>
      <c r="E31" s="21" t="n">
        <v>715</v>
      </c>
      <c r="F31" s="21" t="n">
        <v>731.5</v>
      </c>
      <c r="G31" s="21" t="n">
        <v>748</v>
      </c>
      <c r="H31" s="21" t="n">
        <v>764.5</v>
      </c>
      <c r="I31" s="21" t="n">
        <v>781</v>
      </c>
      <c r="J31" s="21" t="n">
        <v>797.5</v>
      </c>
      <c r="K31" s="21" t="n">
        <v>814</v>
      </c>
      <c r="L31" s="21" t="n">
        <v>830.5</v>
      </c>
      <c r="M31" s="21" t="n">
        <v>847</v>
      </c>
      <c r="N31" s="21" t="n">
        <v>863.5</v>
      </c>
      <c r="O31" s="21" t="n">
        <v>880</v>
      </c>
      <c r="P31" s="21" t="n">
        <v>896.5</v>
      </c>
      <c r="Q31" s="21" t="n">
        <v>913</v>
      </c>
      <c r="R31" s="21" t="n">
        <v>929.5</v>
      </c>
      <c r="S31" s="21" t="n">
        <v>946</v>
      </c>
      <c r="T31" s="21" t="n">
        <v>962.5</v>
      </c>
      <c r="U31" s="21" t="n">
        <v>979</v>
      </c>
      <c r="V31" s="21" t="n">
        <v>995.5</v>
      </c>
      <c r="W31" s="21" t="n">
        <v>1012</v>
      </c>
      <c r="X31" s="21" t="n">
        <v>1028.5</v>
      </c>
      <c r="Y31" s="21" t="n">
        <v>1045</v>
      </c>
      <c r="Z31" s="21" t="n">
        <v>1061.5</v>
      </c>
      <c r="AA31" s="21" t="n">
        <v>1078</v>
      </c>
      <c r="AB31" s="21" t="n">
        <v>1094.5</v>
      </c>
      <c r="AC31" s="21" t="n">
        <v>1111</v>
      </c>
      <c r="AD31" s="21" t="n">
        <v>1127.5</v>
      </c>
      <c r="AE31" s="21" t="n">
        <v>1144</v>
      </c>
      <c r="AF31" s="21" t="n">
        <v>1160.5</v>
      </c>
      <c r="AG31" s="21" t="n">
        <v>1177</v>
      </c>
      <c r="AH31" s="21" t="n">
        <v>1193.5</v>
      </c>
      <c r="AI31" s="21" t="n">
        <v>1210</v>
      </c>
      <c r="AJ31" s="21" t="n">
        <v>1226.5</v>
      </c>
      <c r="AK31" s="21" t="n">
        <v>1243</v>
      </c>
      <c r="AL31" s="21" t="n">
        <v>1259.5</v>
      </c>
      <c r="AM31" s="21" t="n">
        <v>1276</v>
      </c>
      <c r="AN31" s="21" t="n">
        <v>1292.5</v>
      </c>
      <c r="AO31" s="22" t="n">
        <f aca="false">SUM(C31:AN31)</f>
        <v>37515.5</v>
      </c>
    </row>
    <row r="32" customFormat="false" ht="15" hidden="false" customHeight="true" outlineLevel="0" collapsed="false">
      <c r="A32" s="1" t="s">
        <v>41</v>
      </c>
      <c r="B32" s="1" t="s">
        <v>124</v>
      </c>
      <c r="C32" s="21" t="n">
        <v>768</v>
      </c>
      <c r="D32" s="21" t="n">
        <v>786</v>
      </c>
      <c r="E32" s="21" t="n">
        <v>804</v>
      </c>
      <c r="F32" s="21" t="n">
        <v>822</v>
      </c>
      <c r="G32" s="21" t="n">
        <v>840</v>
      </c>
      <c r="H32" s="21" t="n">
        <v>858</v>
      </c>
      <c r="I32" s="21" t="n">
        <v>876</v>
      </c>
      <c r="J32" s="21" t="n">
        <v>894</v>
      </c>
      <c r="K32" s="21" t="n">
        <v>912</v>
      </c>
      <c r="L32" s="21" t="n">
        <v>930</v>
      </c>
      <c r="M32" s="21" t="n">
        <v>948</v>
      </c>
      <c r="N32" s="21" t="n">
        <v>966</v>
      </c>
      <c r="O32" s="21" t="n">
        <v>984</v>
      </c>
      <c r="P32" s="21" t="n">
        <v>1002</v>
      </c>
      <c r="Q32" s="21" t="n">
        <v>1020</v>
      </c>
      <c r="R32" s="21" t="n">
        <v>1038</v>
      </c>
      <c r="S32" s="21" t="n">
        <v>1056</v>
      </c>
      <c r="T32" s="21" t="n">
        <v>1074</v>
      </c>
      <c r="U32" s="21" t="n">
        <v>1092</v>
      </c>
      <c r="V32" s="21" t="n">
        <v>1110</v>
      </c>
      <c r="W32" s="21" t="n">
        <v>1128</v>
      </c>
      <c r="X32" s="21" t="n">
        <v>1146</v>
      </c>
      <c r="Y32" s="21" t="n">
        <v>1164</v>
      </c>
      <c r="Z32" s="21" t="n">
        <v>1182</v>
      </c>
      <c r="AA32" s="21" t="n">
        <v>1200</v>
      </c>
      <c r="AB32" s="21" t="n">
        <v>1218</v>
      </c>
      <c r="AC32" s="21" t="n">
        <v>1236</v>
      </c>
      <c r="AD32" s="21" t="n">
        <v>1254</v>
      </c>
      <c r="AE32" s="21" t="n">
        <v>1272</v>
      </c>
      <c r="AF32" s="21" t="n">
        <v>1290</v>
      </c>
      <c r="AG32" s="21" t="n">
        <v>1308</v>
      </c>
      <c r="AH32" s="21" t="n">
        <v>1326</v>
      </c>
      <c r="AI32" s="21" t="n">
        <v>1344</v>
      </c>
      <c r="AJ32" s="21" t="n">
        <v>1362</v>
      </c>
      <c r="AK32" s="21" t="n">
        <v>1380</v>
      </c>
      <c r="AL32" s="21" t="n">
        <v>1398</v>
      </c>
      <c r="AM32" s="21" t="n">
        <v>1416</v>
      </c>
      <c r="AN32" s="21" t="n">
        <v>1434</v>
      </c>
      <c r="AO32" s="22" t="n">
        <f aca="false">SUM(C32:AN32)</f>
        <v>41838</v>
      </c>
    </row>
    <row r="33" customFormat="false" ht="15" hidden="false" customHeight="true" outlineLevel="0" collapsed="false">
      <c r="A33" s="1" t="s">
        <v>42</v>
      </c>
      <c r="B33" s="1" t="s">
        <v>125</v>
      </c>
      <c r="C33" s="21" t="n">
        <v>858</v>
      </c>
      <c r="D33" s="21" t="n">
        <v>877.5</v>
      </c>
      <c r="E33" s="21" t="n">
        <v>897</v>
      </c>
      <c r="F33" s="21" t="n">
        <v>916.5</v>
      </c>
      <c r="G33" s="21" t="n">
        <v>936</v>
      </c>
      <c r="H33" s="21" t="n">
        <v>955.5</v>
      </c>
      <c r="I33" s="21" t="n">
        <v>975</v>
      </c>
      <c r="J33" s="21" t="n">
        <v>994.5</v>
      </c>
      <c r="K33" s="21" t="n">
        <v>1014</v>
      </c>
      <c r="L33" s="21" t="n">
        <v>1033.5</v>
      </c>
      <c r="M33" s="21" t="n">
        <v>1053</v>
      </c>
      <c r="N33" s="21" t="n">
        <v>1072.5</v>
      </c>
      <c r="O33" s="21" t="n">
        <v>1092</v>
      </c>
      <c r="P33" s="21" t="n">
        <v>1111.5</v>
      </c>
      <c r="Q33" s="21" t="n">
        <v>1131</v>
      </c>
      <c r="R33" s="21" t="n">
        <v>1150.5</v>
      </c>
      <c r="S33" s="21" t="n">
        <v>1170</v>
      </c>
      <c r="T33" s="21" t="n">
        <v>1189.5</v>
      </c>
      <c r="U33" s="21" t="n">
        <v>1209</v>
      </c>
      <c r="V33" s="21" t="n">
        <v>1228.5</v>
      </c>
      <c r="W33" s="21" t="n">
        <v>1248</v>
      </c>
      <c r="X33" s="21" t="n">
        <v>1267.5</v>
      </c>
      <c r="Y33" s="21" t="n">
        <v>1287</v>
      </c>
      <c r="Z33" s="21" t="n">
        <v>1306.5</v>
      </c>
      <c r="AA33" s="21" t="n">
        <v>1326</v>
      </c>
      <c r="AB33" s="21" t="n">
        <v>1345.5</v>
      </c>
      <c r="AC33" s="21" t="n">
        <v>1365</v>
      </c>
      <c r="AD33" s="21" t="n">
        <v>1384.5</v>
      </c>
      <c r="AE33" s="21" t="n">
        <v>1404</v>
      </c>
      <c r="AF33" s="21" t="n">
        <v>1423.5</v>
      </c>
      <c r="AG33" s="21" t="n">
        <v>1443</v>
      </c>
      <c r="AH33" s="21" t="n">
        <v>1462.5</v>
      </c>
      <c r="AI33" s="21" t="n">
        <v>1482</v>
      </c>
      <c r="AJ33" s="21" t="n">
        <v>1501.5</v>
      </c>
      <c r="AK33" s="21" t="n">
        <v>1521</v>
      </c>
      <c r="AL33" s="21" t="n">
        <v>1540.5</v>
      </c>
      <c r="AM33" s="21" t="n">
        <v>1560</v>
      </c>
      <c r="AN33" s="21" t="n">
        <v>1579.5</v>
      </c>
      <c r="AO33" s="22" t="n">
        <f aca="false">SUM(C33:AN33)</f>
        <v>46312.5</v>
      </c>
    </row>
    <row r="34" customFormat="false" ht="15" hidden="false" customHeight="true" outlineLevel="0" collapsed="false">
      <c r="A34" s="1" t="s">
        <v>43</v>
      </c>
      <c r="B34" s="1" t="s">
        <v>126</v>
      </c>
      <c r="C34" s="21" t="n">
        <v>952</v>
      </c>
      <c r="D34" s="21" t="n">
        <v>973</v>
      </c>
      <c r="E34" s="21" t="n">
        <v>994</v>
      </c>
      <c r="F34" s="21" t="n">
        <v>1015</v>
      </c>
      <c r="G34" s="21" t="n">
        <v>1036</v>
      </c>
      <c r="H34" s="21" t="n">
        <v>1057</v>
      </c>
      <c r="I34" s="21" t="n">
        <v>1078</v>
      </c>
      <c r="J34" s="21" t="n">
        <v>1099</v>
      </c>
      <c r="K34" s="21" t="n">
        <v>1120</v>
      </c>
      <c r="L34" s="21" t="n">
        <v>1141</v>
      </c>
      <c r="M34" s="21" t="n">
        <v>1162</v>
      </c>
      <c r="N34" s="21" t="n">
        <v>1183</v>
      </c>
      <c r="O34" s="21" t="n">
        <v>1204</v>
      </c>
      <c r="P34" s="21" t="n">
        <v>1225</v>
      </c>
      <c r="Q34" s="21" t="n">
        <v>1246</v>
      </c>
      <c r="R34" s="21" t="n">
        <v>1267</v>
      </c>
      <c r="S34" s="21" t="n">
        <v>1288</v>
      </c>
      <c r="T34" s="21" t="n">
        <v>1309</v>
      </c>
      <c r="U34" s="21" t="n">
        <v>1330</v>
      </c>
      <c r="V34" s="21" t="n">
        <v>1351</v>
      </c>
      <c r="W34" s="21" t="n">
        <v>1372</v>
      </c>
      <c r="X34" s="21" t="n">
        <v>1393</v>
      </c>
      <c r="Y34" s="21" t="n">
        <v>1414</v>
      </c>
      <c r="Z34" s="21" t="n">
        <v>1435</v>
      </c>
      <c r="AA34" s="21" t="n">
        <v>1456</v>
      </c>
      <c r="AB34" s="21" t="n">
        <v>1477</v>
      </c>
      <c r="AC34" s="21" t="n">
        <v>1498</v>
      </c>
      <c r="AD34" s="21" t="n">
        <v>1519</v>
      </c>
      <c r="AE34" s="21" t="n">
        <v>1540</v>
      </c>
      <c r="AF34" s="21" t="n">
        <v>1561</v>
      </c>
      <c r="AG34" s="21" t="n">
        <v>1582</v>
      </c>
      <c r="AH34" s="21" t="n">
        <v>1603</v>
      </c>
      <c r="AI34" s="21" t="n">
        <v>1624</v>
      </c>
      <c r="AJ34" s="21" t="n">
        <v>1645</v>
      </c>
      <c r="AK34" s="21" t="n">
        <v>1666</v>
      </c>
      <c r="AL34" s="21" t="n">
        <v>1687</v>
      </c>
      <c r="AM34" s="21" t="n">
        <v>1708</v>
      </c>
      <c r="AN34" s="21" t="n">
        <v>1729</v>
      </c>
      <c r="AO34" s="22" t="n">
        <f aca="false">SUM(C34:AN34)</f>
        <v>50939</v>
      </c>
    </row>
    <row r="35" customFormat="false" ht="15" hidden="false" customHeight="true" outlineLevel="0" collapsed="false">
      <c r="A35" s="1" t="s">
        <v>44</v>
      </c>
      <c r="B35" s="1" t="s">
        <v>127</v>
      </c>
      <c r="C35" s="21" t="n">
        <v>700</v>
      </c>
      <c r="D35" s="21" t="n">
        <v>715</v>
      </c>
      <c r="E35" s="21" t="n">
        <v>730</v>
      </c>
      <c r="F35" s="21" t="n">
        <v>745</v>
      </c>
      <c r="G35" s="21" t="n">
        <v>760</v>
      </c>
      <c r="H35" s="21" t="n">
        <v>775</v>
      </c>
      <c r="I35" s="21" t="n">
        <v>790</v>
      </c>
      <c r="J35" s="21" t="n">
        <v>805</v>
      </c>
      <c r="K35" s="21" t="n">
        <v>820</v>
      </c>
      <c r="L35" s="21" t="n">
        <v>835</v>
      </c>
      <c r="M35" s="21" t="n">
        <v>850</v>
      </c>
      <c r="N35" s="21" t="n">
        <v>865</v>
      </c>
      <c r="O35" s="21" t="n">
        <v>880</v>
      </c>
      <c r="P35" s="21" t="n">
        <v>895</v>
      </c>
      <c r="Q35" s="21" t="n">
        <v>910</v>
      </c>
      <c r="R35" s="21" t="n">
        <v>925</v>
      </c>
      <c r="S35" s="21" t="n">
        <v>940</v>
      </c>
      <c r="T35" s="21" t="n">
        <v>955</v>
      </c>
      <c r="U35" s="21" t="n">
        <v>970</v>
      </c>
      <c r="V35" s="21" t="n">
        <v>985</v>
      </c>
      <c r="W35" s="21" t="n">
        <v>1000</v>
      </c>
      <c r="X35" s="21" t="n">
        <v>1015</v>
      </c>
      <c r="Y35" s="21" t="n">
        <v>1030</v>
      </c>
      <c r="Z35" s="21" t="n">
        <v>1045</v>
      </c>
      <c r="AA35" s="21" t="n">
        <v>1060</v>
      </c>
      <c r="AB35" s="21" t="n">
        <v>1075</v>
      </c>
      <c r="AC35" s="21" t="n">
        <v>1090</v>
      </c>
      <c r="AD35" s="21" t="n">
        <v>1105</v>
      </c>
      <c r="AE35" s="21" t="n">
        <v>1120</v>
      </c>
      <c r="AF35" s="21" t="n">
        <v>1135</v>
      </c>
      <c r="AG35" s="21" t="n">
        <v>1150</v>
      </c>
      <c r="AH35" s="21" t="n">
        <v>1165</v>
      </c>
      <c r="AI35" s="21" t="n">
        <v>1180</v>
      </c>
      <c r="AJ35" s="21" t="n">
        <v>1195</v>
      </c>
      <c r="AK35" s="21" t="n">
        <v>1210</v>
      </c>
      <c r="AL35" s="21" t="n">
        <v>1225</v>
      </c>
      <c r="AM35" s="21" t="n">
        <v>1240</v>
      </c>
      <c r="AN35" s="21" t="n">
        <v>1255</v>
      </c>
      <c r="AO35" s="22" t="n">
        <f aca="false">SUM(C35:AN35)</f>
        <v>37145</v>
      </c>
    </row>
    <row r="36" customFormat="false" ht="15" hidden="false" customHeight="true" outlineLevel="0" collapsed="false">
      <c r="A36" s="1" t="s">
        <v>45</v>
      </c>
      <c r="B36" s="1" t="s">
        <v>128</v>
      </c>
      <c r="C36" s="21" t="n">
        <v>792</v>
      </c>
      <c r="D36" s="21" t="n">
        <v>808.5</v>
      </c>
      <c r="E36" s="21" t="n">
        <v>825</v>
      </c>
      <c r="F36" s="21" t="n">
        <v>841.5</v>
      </c>
      <c r="G36" s="21" t="n">
        <v>858</v>
      </c>
      <c r="H36" s="21" t="n">
        <v>874.5</v>
      </c>
      <c r="I36" s="21" t="n">
        <v>891</v>
      </c>
      <c r="J36" s="21" t="n">
        <v>907.5</v>
      </c>
      <c r="K36" s="21" t="n">
        <v>924</v>
      </c>
      <c r="L36" s="21" t="n">
        <v>940.5</v>
      </c>
      <c r="M36" s="21" t="n">
        <v>957</v>
      </c>
      <c r="N36" s="21" t="n">
        <v>973.5</v>
      </c>
      <c r="O36" s="21" t="n">
        <v>990</v>
      </c>
      <c r="P36" s="21" t="n">
        <v>1006.5</v>
      </c>
      <c r="Q36" s="21" t="n">
        <v>1023</v>
      </c>
      <c r="R36" s="21" t="n">
        <v>1039.5</v>
      </c>
      <c r="S36" s="21" t="n">
        <v>1056</v>
      </c>
      <c r="T36" s="21" t="n">
        <v>1072.5</v>
      </c>
      <c r="U36" s="21" t="n">
        <v>1089</v>
      </c>
      <c r="V36" s="21" t="n">
        <v>1105.5</v>
      </c>
      <c r="W36" s="21" t="n">
        <v>1122</v>
      </c>
      <c r="X36" s="21" t="n">
        <v>1138.5</v>
      </c>
      <c r="Y36" s="21" t="n">
        <v>1155</v>
      </c>
      <c r="Z36" s="21" t="n">
        <v>1171.5</v>
      </c>
      <c r="AA36" s="21" t="n">
        <v>1188</v>
      </c>
      <c r="AB36" s="21" t="n">
        <v>1204.5</v>
      </c>
      <c r="AC36" s="21" t="n">
        <v>1221</v>
      </c>
      <c r="AD36" s="21" t="n">
        <v>1237.5</v>
      </c>
      <c r="AE36" s="21" t="n">
        <v>1254</v>
      </c>
      <c r="AF36" s="21" t="n">
        <v>1270.5</v>
      </c>
      <c r="AG36" s="21" t="n">
        <v>1287</v>
      </c>
      <c r="AH36" s="21" t="n">
        <v>1303.5</v>
      </c>
      <c r="AI36" s="21" t="n">
        <v>1320</v>
      </c>
      <c r="AJ36" s="21" t="n">
        <v>1336.5</v>
      </c>
      <c r="AK36" s="21" t="n">
        <v>1353</v>
      </c>
      <c r="AL36" s="21" t="n">
        <v>1369.5</v>
      </c>
      <c r="AM36" s="21" t="n">
        <v>1386</v>
      </c>
      <c r="AN36" s="21" t="n">
        <v>1402.5</v>
      </c>
      <c r="AO36" s="22" t="n">
        <f aca="false">SUM(C36:AN36)</f>
        <v>41695.5</v>
      </c>
    </row>
    <row r="37" customFormat="false" ht="15" hidden="false" customHeight="true" outlineLevel="0" collapsed="false">
      <c r="A37" s="1" t="s">
        <v>46</v>
      </c>
      <c r="B37" s="1" t="s">
        <v>129</v>
      </c>
      <c r="C37" s="21" t="n">
        <v>888</v>
      </c>
      <c r="D37" s="21" t="n">
        <v>906</v>
      </c>
      <c r="E37" s="21" t="n">
        <v>924</v>
      </c>
      <c r="F37" s="21" t="n">
        <v>942</v>
      </c>
      <c r="G37" s="21" t="n">
        <v>960</v>
      </c>
      <c r="H37" s="21" t="n">
        <v>978</v>
      </c>
      <c r="I37" s="21" t="n">
        <v>996</v>
      </c>
      <c r="J37" s="21" t="n">
        <v>1014</v>
      </c>
      <c r="K37" s="21" t="n">
        <v>1032</v>
      </c>
      <c r="L37" s="21" t="n">
        <v>1050</v>
      </c>
      <c r="M37" s="21" t="n">
        <v>1068</v>
      </c>
      <c r="N37" s="21" t="n">
        <v>1086</v>
      </c>
      <c r="O37" s="21" t="n">
        <v>1104</v>
      </c>
      <c r="P37" s="21" t="n">
        <v>1122</v>
      </c>
      <c r="Q37" s="21" t="n">
        <v>1140</v>
      </c>
      <c r="R37" s="21" t="n">
        <v>1158</v>
      </c>
      <c r="S37" s="21" t="n">
        <v>1176</v>
      </c>
      <c r="T37" s="21" t="n">
        <v>1194</v>
      </c>
      <c r="U37" s="21" t="n">
        <v>1212</v>
      </c>
      <c r="V37" s="21" t="n">
        <v>1230</v>
      </c>
      <c r="W37" s="21" t="n">
        <v>1248</v>
      </c>
      <c r="X37" s="21" t="n">
        <v>1266</v>
      </c>
      <c r="Y37" s="21" t="n">
        <v>1284</v>
      </c>
      <c r="Z37" s="21" t="n">
        <v>1302</v>
      </c>
      <c r="AA37" s="21" t="n">
        <v>1320</v>
      </c>
      <c r="AB37" s="21" t="n">
        <v>1338</v>
      </c>
      <c r="AC37" s="21" t="n">
        <v>1356</v>
      </c>
      <c r="AD37" s="21" t="n">
        <v>1374</v>
      </c>
      <c r="AE37" s="21" t="n">
        <v>1392</v>
      </c>
      <c r="AF37" s="21" t="n">
        <v>1410</v>
      </c>
      <c r="AG37" s="21" t="n">
        <v>1428</v>
      </c>
      <c r="AH37" s="21" t="n">
        <v>1446</v>
      </c>
      <c r="AI37" s="21" t="n">
        <v>1464</v>
      </c>
      <c r="AJ37" s="21" t="n">
        <v>1482</v>
      </c>
      <c r="AK37" s="21" t="n">
        <v>1500</v>
      </c>
      <c r="AL37" s="21" t="n">
        <v>1518</v>
      </c>
      <c r="AM37" s="21" t="n">
        <v>1536</v>
      </c>
      <c r="AN37" s="21" t="n">
        <v>1554</v>
      </c>
      <c r="AO37" s="22" t="n">
        <f aca="false">SUM(C37:AN37)</f>
        <v>46398</v>
      </c>
    </row>
    <row r="38" customFormat="false" ht="15" hidden="false" customHeight="true" outlineLevel="0" collapsed="false">
      <c r="A38" s="1" t="s">
        <v>47</v>
      </c>
      <c r="B38" s="1" t="s">
        <v>130</v>
      </c>
      <c r="C38" s="21" t="n">
        <v>988</v>
      </c>
      <c r="D38" s="21" t="n">
        <v>1007.5</v>
      </c>
      <c r="E38" s="21" t="n">
        <v>1027</v>
      </c>
      <c r="F38" s="21" t="n">
        <v>1046.5</v>
      </c>
      <c r="G38" s="21" t="n">
        <v>1066</v>
      </c>
      <c r="H38" s="21" t="n">
        <v>1085.5</v>
      </c>
      <c r="I38" s="21" t="n">
        <v>1105</v>
      </c>
      <c r="J38" s="21" t="n">
        <v>1124.5</v>
      </c>
      <c r="K38" s="21" t="n">
        <v>1144</v>
      </c>
      <c r="L38" s="21" t="n">
        <v>1163.5</v>
      </c>
      <c r="M38" s="21" t="n">
        <v>1183</v>
      </c>
      <c r="N38" s="21" t="n">
        <v>1202.5</v>
      </c>
      <c r="O38" s="21" t="n">
        <v>1222</v>
      </c>
      <c r="P38" s="21" t="n">
        <v>1241.5</v>
      </c>
      <c r="Q38" s="21" t="n">
        <v>1261</v>
      </c>
      <c r="R38" s="21" t="n">
        <v>1280.5</v>
      </c>
      <c r="S38" s="21" t="n">
        <v>1300</v>
      </c>
      <c r="T38" s="21" t="n">
        <v>1319.5</v>
      </c>
      <c r="U38" s="21" t="n">
        <v>1339</v>
      </c>
      <c r="V38" s="21" t="n">
        <v>1358.5</v>
      </c>
      <c r="W38" s="21" t="n">
        <v>1378</v>
      </c>
      <c r="X38" s="21" t="n">
        <v>1397.5</v>
      </c>
      <c r="Y38" s="21" t="n">
        <v>1417</v>
      </c>
      <c r="Z38" s="21" t="n">
        <v>1436.5</v>
      </c>
      <c r="AA38" s="21" t="n">
        <v>1456</v>
      </c>
      <c r="AB38" s="21" t="n">
        <v>1475.5</v>
      </c>
      <c r="AC38" s="21" t="n">
        <v>1495</v>
      </c>
      <c r="AD38" s="21" t="n">
        <v>1514.5</v>
      </c>
      <c r="AE38" s="21" t="n">
        <v>1534</v>
      </c>
      <c r="AF38" s="21" t="n">
        <v>1553.5</v>
      </c>
      <c r="AG38" s="21" t="n">
        <v>1573</v>
      </c>
      <c r="AH38" s="21" t="n">
        <v>1592.5</v>
      </c>
      <c r="AI38" s="21" t="n">
        <v>1612</v>
      </c>
      <c r="AJ38" s="21" t="n">
        <v>1631.5</v>
      </c>
      <c r="AK38" s="21" t="n">
        <v>1651</v>
      </c>
      <c r="AL38" s="21" t="n">
        <v>1670.5</v>
      </c>
      <c r="AM38" s="21" t="n">
        <v>1690</v>
      </c>
      <c r="AN38" s="21" t="n">
        <v>1709.5</v>
      </c>
      <c r="AO38" s="22" t="n">
        <f aca="false">SUM(C38:AN38)</f>
        <v>51252.5</v>
      </c>
    </row>
    <row r="39" customFormat="false" ht="15" hidden="false" customHeight="true" outlineLevel="0" collapsed="false">
      <c r="A39" s="1" t="s">
        <v>48</v>
      </c>
      <c r="B39" s="1" t="s">
        <v>131</v>
      </c>
      <c r="C39" s="21" t="n">
        <v>1092</v>
      </c>
      <c r="D39" s="21" t="n">
        <v>1113</v>
      </c>
      <c r="E39" s="21" t="n">
        <v>1134</v>
      </c>
      <c r="F39" s="21" t="n">
        <v>1155</v>
      </c>
      <c r="G39" s="21" t="n">
        <v>1176</v>
      </c>
      <c r="H39" s="21" t="n">
        <v>1197</v>
      </c>
      <c r="I39" s="21" t="n">
        <v>1218</v>
      </c>
      <c r="J39" s="21" t="n">
        <v>1239</v>
      </c>
      <c r="K39" s="21" t="n">
        <v>1260</v>
      </c>
      <c r="L39" s="21" t="n">
        <v>1281</v>
      </c>
      <c r="M39" s="21" t="n">
        <v>1302</v>
      </c>
      <c r="N39" s="21" t="n">
        <v>1323</v>
      </c>
      <c r="O39" s="21" t="n">
        <v>1344</v>
      </c>
      <c r="P39" s="21" t="n">
        <v>1365</v>
      </c>
      <c r="Q39" s="21" t="n">
        <v>1386</v>
      </c>
      <c r="R39" s="21" t="n">
        <v>1407</v>
      </c>
      <c r="S39" s="21" t="n">
        <v>1428</v>
      </c>
      <c r="T39" s="21" t="n">
        <v>1449</v>
      </c>
      <c r="U39" s="21" t="n">
        <v>1470</v>
      </c>
      <c r="V39" s="21" t="n">
        <v>1491</v>
      </c>
      <c r="W39" s="21" t="n">
        <v>1512</v>
      </c>
      <c r="X39" s="21" t="n">
        <v>1533</v>
      </c>
      <c r="Y39" s="21" t="n">
        <v>1554</v>
      </c>
      <c r="Z39" s="21" t="n">
        <v>1575</v>
      </c>
      <c r="AA39" s="21" t="n">
        <v>1596</v>
      </c>
      <c r="AB39" s="21" t="n">
        <v>1617</v>
      </c>
      <c r="AC39" s="21" t="n">
        <v>1638</v>
      </c>
      <c r="AD39" s="21" t="n">
        <v>1659</v>
      </c>
      <c r="AE39" s="21" t="n">
        <v>1680</v>
      </c>
      <c r="AF39" s="21" t="n">
        <v>1701</v>
      </c>
      <c r="AG39" s="21" t="n">
        <v>1722</v>
      </c>
      <c r="AH39" s="21" t="n">
        <v>1743</v>
      </c>
      <c r="AI39" s="21" t="n">
        <v>1764</v>
      </c>
      <c r="AJ39" s="21" t="n">
        <v>1785</v>
      </c>
      <c r="AK39" s="21" t="n">
        <v>1806</v>
      </c>
      <c r="AL39" s="21" t="n">
        <v>1827</v>
      </c>
      <c r="AM39" s="21" t="n">
        <v>1848</v>
      </c>
      <c r="AN39" s="21" t="n">
        <v>1869</v>
      </c>
      <c r="AO39" s="22" t="n">
        <f aca="false">SUM(C39:AN39)</f>
        <v>56259</v>
      </c>
    </row>
    <row r="40" customFormat="false" ht="15" hidden="false" customHeight="true" outlineLevel="0" collapsed="false">
      <c r="A40" s="1" t="s">
        <v>49</v>
      </c>
      <c r="B40" s="1" t="s">
        <v>132</v>
      </c>
      <c r="C40" s="21" t="n">
        <v>800</v>
      </c>
      <c r="D40" s="21" t="n">
        <v>815</v>
      </c>
      <c r="E40" s="21" t="n">
        <v>830</v>
      </c>
      <c r="F40" s="21" t="n">
        <v>845</v>
      </c>
      <c r="G40" s="21" t="n">
        <v>860</v>
      </c>
      <c r="H40" s="21" t="n">
        <v>875</v>
      </c>
      <c r="I40" s="21" t="n">
        <v>890</v>
      </c>
      <c r="J40" s="21" t="n">
        <v>905</v>
      </c>
      <c r="K40" s="21" t="n">
        <v>920</v>
      </c>
      <c r="L40" s="21" t="n">
        <v>935</v>
      </c>
      <c r="M40" s="21" t="n">
        <v>950</v>
      </c>
      <c r="N40" s="21" t="n">
        <v>965</v>
      </c>
      <c r="O40" s="21" t="n">
        <v>980</v>
      </c>
      <c r="P40" s="21" t="n">
        <v>995</v>
      </c>
      <c r="Q40" s="21" t="n">
        <v>1010</v>
      </c>
      <c r="R40" s="21" t="n">
        <v>1025</v>
      </c>
      <c r="S40" s="21" t="n">
        <v>1040</v>
      </c>
      <c r="T40" s="21" t="n">
        <v>1055</v>
      </c>
      <c r="U40" s="21" t="n">
        <v>1070</v>
      </c>
      <c r="V40" s="21" t="n">
        <v>1085</v>
      </c>
      <c r="W40" s="21" t="n">
        <v>1100</v>
      </c>
      <c r="X40" s="21" t="n">
        <v>1115</v>
      </c>
      <c r="Y40" s="21" t="n">
        <v>1130</v>
      </c>
      <c r="Z40" s="21" t="n">
        <v>1145</v>
      </c>
      <c r="AA40" s="21" t="n">
        <v>1160</v>
      </c>
      <c r="AB40" s="21" t="n">
        <v>1175</v>
      </c>
      <c r="AC40" s="21" t="n">
        <v>1190</v>
      </c>
      <c r="AD40" s="21" t="n">
        <v>1205</v>
      </c>
      <c r="AE40" s="21" t="n">
        <v>1220</v>
      </c>
      <c r="AF40" s="21" t="n">
        <v>1235</v>
      </c>
      <c r="AG40" s="21" t="n">
        <v>1250</v>
      </c>
      <c r="AH40" s="21" t="n">
        <v>1265</v>
      </c>
      <c r="AI40" s="21" t="n">
        <v>1280</v>
      </c>
      <c r="AJ40" s="21" t="n">
        <v>1295</v>
      </c>
      <c r="AK40" s="21" t="n">
        <v>1310</v>
      </c>
      <c r="AL40" s="21" t="n">
        <v>1325</v>
      </c>
      <c r="AM40" s="21" t="n">
        <v>1340</v>
      </c>
      <c r="AN40" s="21" t="n">
        <v>1355</v>
      </c>
      <c r="AO40" s="22" t="n">
        <f aca="false">SUM(C40:AN40)</f>
        <v>40945</v>
      </c>
    </row>
    <row r="41" customFormat="false" ht="15" hidden="false" customHeight="true" outlineLevel="0" collapsed="false">
      <c r="A41" s="1" t="s">
        <v>50</v>
      </c>
      <c r="B41" s="1" t="s">
        <v>133</v>
      </c>
      <c r="C41" s="21" t="n">
        <v>902</v>
      </c>
      <c r="D41" s="21" t="n">
        <v>918.5</v>
      </c>
      <c r="E41" s="21" t="n">
        <v>935</v>
      </c>
      <c r="F41" s="21" t="n">
        <v>951.5</v>
      </c>
      <c r="G41" s="21" t="n">
        <v>968</v>
      </c>
      <c r="H41" s="21" t="n">
        <v>984.5</v>
      </c>
      <c r="I41" s="21" t="n">
        <v>1001</v>
      </c>
      <c r="J41" s="21" t="n">
        <v>1017.5</v>
      </c>
      <c r="K41" s="21" t="n">
        <v>1034</v>
      </c>
      <c r="L41" s="21" t="n">
        <v>1050.5</v>
      </c>
      <c r="M41" s="21" t="n">
        <v>1067</v>
      </c>
      <c r="N41" s="21" t="n">
        <v>1083.5</v>
      </c>
      <c r="O41" s="21" t="n">
        <v>1100</v>
      </c>
      <c r="P41" s="21" t="n">
        <v>1116.5</v>
      </c>
      <c r="Q41" s="21" t="n">
        <v>1133</v>
      </c>
      <c r="R41" s="21" t="n">
        <v>1149.5</v>
      </c>
      <c r="S41" s="21" t="n">
        <v>1166</v>
      </c>
      <c r="T41" s="21" t="n">
        <v>1182.5</v>
      </c>
      <c r="U41" s="21" t="n">
        <v>1199</v>
      </c>
      <c r="V41" s="21" t="n">
        <v>1215.5</v>
      </c>
      <c r="W41" s="21" t="n">
        <v>1232</v>
      </c>
      <c r="X41" s="21" t="n">
        <v>1248.5</v>
      </c>
      <c r="Y41" s="21" t="n">
        <v>1265</v>
      </c>
      <c r="Z41" s="21" t="n">
        <v>1281.5</v>
      </c>
      <c r="AA41" s="21" t="n">
        <v>1298</v>
      </c>
      <c r="AB41" s="21" t="n">
        <v>1314.5</v>
      </c>
      <c r="AC41" s="21" t="n">
        <v>1331</v>
      </c>
      <c r="AD41" s="21" t="n">
        <v>1347.5</v>
      </c>
      <c r="AE41" s="21" t="n">
        <v>1364</v>
      </c>
      <c r="AF41" s="21" t="n">
        <v>1380.5</v>
      </c>
      <c r="AG41" s="21" t="n">
        <v>1397</v>
      </c>
      <c r="AH41" s="21" t="n">
        <v>1413.5</v>
      </c>
      <c r="AI41" s="21" t="n">
        <v>1430</v>
      </c>
      <c r="AJ41" s="21" t="n">
        <v>1446.5</v>
      </c>
      <c r="AK41" s="21" t="n">
        <v>1463</v>
      </c>
      <c r="AL41" s="21" t="n">
        <v>1479.5</v>
      </c>
      <c r="AM41" s="21" t="n">
        <v>1496</v>
      </c>
      <c r="AN41" s="21" t="n">
        <v>1512.5</v>
      </c>
      <c r="AO41" s="22" t="n">
        <f aca="false">SUM(C41:AN41)</f>
        <v>45875.5</v>
      </c>
    </row>
    <row r="42" customFormat="false" ht="15" hidden="false" customHeight="true" outlineLevel="0" collapsed="false">
      <c r="A42" s="1" t="s">
        <v>51</v>
      </c>
      <c r="B42" s="1" t="s">
        <v>134</v>
      </c>
      <c r="C42" s="21" t="n">
        <v>1008</v>
      </c>
      <c r="D42" s="21" t="n">
        <v>1026</v>
      </c>
      <c r="E42" s="21" t="n">
        <v>1044</v>
      </c>
      <c r="F42" s="21" t="n">
        <v>1062</v>
      </c>
      <c r="G42" s="21" t="n">
        <v>1080</v>
      </c>
      <c r="H42" s="21" t="n">
        <v>1098</v>
      </c>
      <c r="I42" s="21" t="n">
        <v>1116</v>
      </c>
      <c r="J42" s="21" t="n">
        <v>1134</v>
      </c>
      <c r="K42" s="21" t="n">
        <v>1152</v>
      </c>
      <c r="L42" s="21" t="n">
        <v>1170</v>
      </c>
      <c r="M42" s="21" t="n">
        <v>1188</v>
      </c>
      <c r="N42" s="21" t="n">
        <v>1206</v>
      </c>
      <c r="O42" s="21" t="n">
        <v>1224</v>
      </c>
      <c r="P42" s="21" t="n">
        <v>1242</v>
      </c>
      <c r="Q42" s="21" t="n">
        <v>1260</v>
      </c>
      <c r="R42" s="21" t="n">
        <v>1278</v>
      </c>
      <c r="S42" s="21" t="n">
        <v>1296</v>
      </c>
      <c r="T42" s="21" t="n">
        <v>1314</v>
      </c>
      <c r="U42" s="21" t="n">
        <v>1332</v>
      </c>
      <c r="V42" s="21" t="n">
        <v>1350</v>
      </c>
      <c r="W42" s="21" t="n">
        <v>1368</v>
      </c>
      <c r="X42" s="21" t="n">
        <v>1386</v>
      </c>
      <c r="Y42" s="21" t="n">
        <v>1404</v>
      </c>
      <c r="Z42" s="21" t="n">
        <v>1422</v>
      </c>
      <c r="AA42" s="21" t="n">
        <v>1440</v>
      </c>
      <c r="AB42" s="21" t="n">
        <v>1458</v>
      </c>
      <c r="AC42" s="21" t="n">
        <v>1476</v>
      </c>
      <c r="AD42" s="21" t="n">
        <v>1494</v>
      </c>
      <c r="AE42" s="21" t="n">
        <v>1512</v>
      </c>
      <c r="AF42" s="21" t="n">
        <v>1530</v>
      </c>
      <c r="AG42" s="21" t="n">
        <v>1548</v>
      </c>
      <c r="AH42" s="21" t="n">
        <v>1566</v>
      </c>
      <c r="AI42" s="21" t="n">
        <v>1584</v>
      </c>
      <c r="AJ42" s="21" t="n">
        <v>1602</v>
      </c>
      <c r="AK42" s="21" t="n">
        <v>1620</v>
      </c>
      <c r="AL42" s="21" t="n">
        <v>1638</v>
      </c>
      <c r="AM42" s="21" t="n">
        <v>1656</v>
      </c>
      <c r="AN42" s="21" t="n">
        <v>1674</v>
      </c>
      <c r="AO42" s="22" t="n">
        <f aca="false">SUM(C42:AN42)</f>
        <v>50958</v>
      </c>
    </row>
    <row r="43" customFormat="false" ht="15" hidden="false" customHeight="true" outlineLevel="0" collapsed="false">
      <c r="A43" s="1" t="s">
        <v>135</v>
      </c>
      <c r="B43" s="1" t="s">
        <v>13</v>
      </c>
      <c r="C43" s="23" t="n">
        <f aca="false">SUM(C5:C42)</f>
        <v>21330</v>
      </c>
      <c r="D43" s="23" t="n">
        <f aca="false">SUM(D5:D42)</f>
        <v>22009.5</v>
      </c>
      <c r="E43" s="23" t="n">
        <f aca="false">SUM(E5:E42)</f>
        <v>22689</v>
      </c>
      <c r="F43" s="23" t="n">
        <f aca="false">SUM(F5:F42)</f>
        <v>23368.5</v>
      </c>
      <c r="G43" s="23" t="n">
        <f aca="false">SUM(G5:G42)</f>
        <v>24048</v>
      </c>
      <c r="H43" s="23" t="n">
        <f aca="false">SUM(H5:H42)</f>
        <v>24727.5</v>
      </c>
      <c r="I43" s="23" t="n">
        <f aca="false">SUM(I5:I42)</f>
        <v>25407</v>
      </c>
      <c r="J43" s="23" t="n">
        <f aca="false">SUM(J5:J42)</f>
        <v>26086.5</v>
      </c>
      <c r="K43" s="23" t="n">
        <f aca="false">SUM(K5:K42)</f>
        <v>26766</v>
      </c>
      <c r="L43" s="23" t="n">
        <f aca="false">SUM(L5:L42)</f>
        <v>27445.5</v>
      </c>
      <c r="M43" s="23" t="n">
        <f aca="false">SUM(M5:M42)</f>
        <v>28125</v>
      </c>
      <c r="N43" s="23" t="n">
        <f aca="false">SUM(N5:N42)</f>
        <v>28804.5</v>
      </c>
      <c r="O43" s="23" t="n">
        <f aca="false">SUM(O5:O42)</f>
        <v>29484</v>
      </c>
      <c r="P43" s="23" t="n">
        <f aca="false">SUM(P5:P42)</f>
        <v>30163.5</v>
      </c>
      <c r="Q43" s="23" t="n">
        <f aca="false">SUM(Q5:Q42)</f>
        <v>30843</v>
      </c>
      <c r="R43" s="23" t="n">
        <f aca="false">SUM(R5:R42)</f>
        <v>31522.5</v>
      </c>
      <c r="S43" s="23" t="n">
        <f aca="false">SUM(S5:S42)</f>
        <v>32202</v>
      </c>
      <c r="T43" s="23" t="n">
        <f aca="false">SUM(T5:T42)</f>
        <v>32881.5</v>
      </c>
      <c r="U43" s="23" t="n">
        <f aca="false">SUM(U5:U42)</f>
        <v>33561</v>
      </c>
      <c r="V43" s="23" t="n">
        <f aca="false">SUM(V5:V42)</f>
        <v>34240.5</v>
      </c>
      <c r="W43" s="23" t="n">
        <f aca="false">SUM(W5:W42)</f>
        <v>34920</v>
      </c>
      <c r="X43" s="23" t="n">
        <f aca="false">SUM(X5:X42)</f>
        <v>35599.5</v>
      </c>
      <c r="Y43" s="23" t="n">
        <f aca="false">SUM(Y5:Y42)</f>
        <v>36279</v>
      </c>
      <c r="Z43" s="23" t="n">
        <f aca="false">SUM(Z5:Z42)</f>
        <v>36958.5</v>
      </c>
      <c r="AA43" s="23" t="n">
        <f aca="false">SUM(AA5:AA42)</f>
        <v>37638</v>
      </c>
      <c r="AB43" s="23" t="n">
        <f aca="false">SUM(AB5:AB42)</f>
        <v>38317.5</v>
      </c>
      <c r="AC43" s="23" t="n">
        <f aca="false">SUM(AC5:AC42)</f>
        <v>38997</v>
      </c>
      <c r="AD43" s="23" t="n">
        <f aca="false">SUM(AD5:AD42)</f>
        <v>39676.5</v>
      </c>
      <c r="AE43" s="23" t="n">
        <f aca="false">SUM(AE5:AE42)</f>
        <v>40356</v>
      </c>
      <c r="AF43" s="23" t="n">
        <f aca="false">SUM(AF5:AF42)</f>
        <v>41035.5</v>
      </c>
      <c r="AG43" s="23" t="n">
        <f aca="false">SUM(AG5:AG42)</f>
        <v>41715</v>
      </c>
      <c r="AH43" s="23" t="n">
        <f aca="false">SUM(AH5:AH42)</f>
        <v>42394.5</v>
      </c>
      <c r="AI43" s="23" t="n">
        <f aca="false">SUM(AI5:AI42)</f>
        <v>43074</v>
      </c>
      <c r="AJ43" s="23" t="n">
        <f aca="false">SUM(AJ5:AJ42)</f>
        <v>43753.5</v>
      </c>
      <c r="AK43" s="23" t="n">
        <f aca="false">SUM(AK5:AK42)</f>
        <v>44433</v>
      </c>
      <c r="AL43" s="23" t="n">
        <f aca="false">SUM(AL5:AL42)</f>
        <v>45112.5</v>
      </c>
      <c r="AM43" s="23" t="n">
        <f aca="false">SUM(AM5:AM42)</f>
        <v>45792</v>
      </c>
      <c r="AN43" s="23" t="n">
        <f aca="false">SUM(AN5:AN42)</f>
        <v>46471.5</v>
      </c>
      <c r="AO43" s="23" t="n">
        <f aca="false">SUM(AO5:AO42)</f>
        <v>1288228.5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2" min="3" style="1" width="7"/>
  </cols>
  <sheetData>
    <row r="1" customFormat="false" ht="15" hidden="false" customHeight="true" outlineLevel="0" collapsed="false">
      <c r="A1" s="17" t="s">
        <v>136</v>
      </c>
    </row>
    <row r="2" customFormat="false" ht="15" hidden="false" customHeight="true" outlineLevel="0" collapsed="false">
      <c r="A2" s="19" t="s">
        <v>56</v>
      </c>
    </row>
    <row r="4" customFormat="false" ht="15" hidden="false" customHeight="true" outlineLevel="0" collapsed="false">
      <c r="A4" s="20" t="s">
        <v>57</v>
      </c>
      <c r="B4" s="20" t="s">
        <v>58</v>
      </c>
      <c r="C4" s="20" t="s">
        <v>59</v>
      </c>
      <c r="D4" s="20" t="s">
        <v>60</v>
      </c>
      <c r="E4" s="20" t="s">
        <v>61</v>
      </c>
      <c r="F4" s="20" t="s">
        <v>62</v>
      </c>
      <c r="G4" s="20" t="s">
        <v>63</v>
      </c>
      <c r="H4" s="20" t="s">
        <v>64</v>
      </c>
      <c r="I4" s="20" t="s">
        <v>65</v>
      </c>
      <c r="J4" s="20" t="s">
        <v>66</v>
      </c>
      <c r="K4" s="20" t="s">
        <v>67</v>
      </c>
      <c r="L4" s="20" t="s">
        <v>68</v>
      </c>
      <c r="M4" s="20" t="s">
        <v>69</v>
      </c>
      <c r="N4" s="20" t="s">
        <v>70</v>
      </c>
      <c r="O4" s="20" t="s">
        <v>71</v>
      </c>
      <c r="P4" s="20" t="s">
        <v>72</v>
      </c>
      <c r="Q4" s="20" t="s">
        <v>73</v>
      </c>
      <c r="R4" s="20" t="s">
        <v>74</v>
      </c>
      <c r="S4" s="20" t="s">
        <v>75</v>
      </c>
      <c r="T4" s="20" t="s">
        <v>76</v>
      </c>
      <c r="U4" s="20" t="s">
        <v>77</v>
      </c>
      <c r="V4" s="20" t="s">
        <v>78</v>
      </c>
      <c r="W4" s="20" t="s">
        <v>79</v>
      </c>
      <c r="X4" s="20" t="s">
        <v>80</v>
      </c>
      <c r="Y4" s="20" t="s">
        <v>81</v>
      </c>
      <c r="Z4" s="20" t="s">
        <v>82</v>
      </c>
      <c r="AA4" s="20" t="s">
        <v>83</v>
      </c>
      <c r="AB4" s="20" t="s">
        <v>84</v>
      </c>
      <c r="AC4" s="20" t="s">
        <v>85</v>
      </c>
      <c r="AD4" s="20" t="s">
        <v>86</v>
      </c>
      <c r="AE4" s="20" t="s">
        <v>87</v>
      </c>
      <c r="AF4" s="20" t="s">
        <v>88</v>
      </c>
      <c r="AG4" s="20" t="s">
        <v>89</v>
      </c>
      <c r="AH4" s="20" t="s">
        <v>90</v>
      </c>
      <c r="AI4" s="20" t="s">
        <v>91</v>
      </c>
      <c r="AJ4" s="20" t="s">
        <v>92</v>
      </c>
      <c r="AK4" s="20" t="s">
        <v>93</v>
      </c>
      <c r="AL4" s="20" t="s">
        <v>94</v>
      </c>
      <c r="AM4" s="20" t="s">
        <v>95</v>
      </c>
      <c r="AN4" s="20" t="s">
        <v>96</v>
      </c>
      <c r="AO4" s="20" t="s">
        <v>137</v>
      </c>
      <c r="AP4" s="20" t="s">
        <v>138</v>
      </c>
    </row>
    <row r="5" customFormat="false" ht="15" hidden="false" customHeight="true" outlineLevel="0" collapsed="false">
      <c r="A5" s="1" t="s">
        <v>14</v>
      </c>
      <c r="B5" s="1" t="s">
        <v>97</v>
      </c>
      <c r="C5" s="21" t="n">
        <v>80</v>
      </c>
      <c r="D5" s="21" t="n">
        <v>92</v>
      </c>
      <c r="E5" s="21" t="n">
        <v>104</v>
      </c>
      <c r="F5" s="21" t="n">
        <v>116</v>
      </c>
      <c r="G5" s="21" t="n">
        <v>128</v>
      </c>
      <c r="H5" s="21" t="n">
        <v>140</v>
      </c>
      <c r="I5" s="21" t="n">
        <v>152</v>
      </c>
      <c r="J5" s="21" t="n">
        <v>164</v>
      </c>
      <c r="K5" s="21" t="n">
        <v>176</v>
      </c>
      <c r="L5" s="21" t="n">
        <v>188</v>
      </c>
      <c r="M5" s="21" t="n">
        <v>200</v>
      </c>
      <c r="N5" s="21" t="n">
        <v>212</v>
      </c>
      <c r="O5" s="21" t="n">
        <v>224</v>
      </c>
      <c r="P5" s="21" t="n">
        <v>236</v>
      </c>
      <c r="Q5" s="21" t="n">
        <v>248</v>
      </c>
      <c r="R5" s="21" t="n">
        <v>260</v>
      </c>
      <c r="S5" s="21" t="n">
        <v>272</v>
      </c>
      <c r="T5" s="21" t="n">
        <v>284</v>
      </c>
      <c r="U5" s="21" t="n">
        <v>296</v>
      </c>
      <c r="V5" s="21" t="n">
        <v>308</v>
      </c>
      <c r="W5" s="21" t="n">
        <v>320</v>
      </c>
      <c r="X5" s="21" t="n">
        <v>332</v>
      </c>
      <c r="Y5" s="21" t="n">
        <v>344</v>
      </c>
      <c r="Z5" s="21" t="n">
        <v>356</v>
      </c>
      <c r="AA5" s="21" t="n">
        <v>368</v>
      </c>
      <c r="AB5" s="21" t="n">
        <v>380</v>
      </c>
      <c r="AC5" s="21" t="n">
        <v>392</v>
      </c>
      <c r="AD5" s="21" t="n">
        <v>404</v>
      </c>
      <c r="AE5" s="21" t="n">
        <v>416</v>
      </c>
      <c r="AF5" s="21" t="n">
        <v>428</v>
      </c>
      <c r="AG5" s="21" t="n">
        <v>440</v>
      </c>
      <c r="AH5" s="21" t="n">
        <v>452</v>
      </c>
      <c r="AI5" s="21" t="n">
        <v>464</v>
      </c>
      <c r="AJ5" s="21" t="n">
        <v>476</v>
      </c>
      <c r="AK5" s="21" t="n">
        <v>488</v>
      </c>
      <c r="AL5" s="21" t="n">
        <v>500</v>
      </c>
      <c r="AM5" s="21" t="n">
        <v>512</v>
      </c>
      <c r="AN5" s="21" t="n">
        <v>524</v>
      </c>
      <c r="AO5" s="22" t="n">
        <f aca="false">SUM(C5:AN5)</f>
        <v>11476</v>
      </c>
      <c r="AP5" s="22" t="n">
        <f aca="false">AO5*0.25</f>
        <v>2869</v>
      </c>
    </row>
    <row r="6" customFormat="false" ht="15" hidden="false" customHeight="true" outlineLevel="0" collapsed="false">
      <c r="A6" s="1" t="s">
        <v>15</v>
      </c>
      <c r="B6" s="1" t="s">
        <v>98</v>
      </c>
      <c r="C6" s="21" t="n">
        <v>105.84</v>
      </c>
      <c r="D6" s="21" t="n">
        <v>118.8</v>
      </c>
      <c r="E6" s="21" t="n">
        <v>131.76</v>
      </c>
      <c r="F6" s="21" t="n">
        <v>144.72</v>
      </c>
      <c r="G6" s="21" t="n">
        <v>157.68</v>
      </c>
      <c r="H6" s="21" t="n">
        <v>170.64</v>
      </c>
      <c r="I6" s="21" t="n">
        <v>183.6</v>
      </c>
      <c r="J6" s="21" t="n">
        <v>196.56</v>
      </c>
      <c r="K6" s="21" t="n">
        <v>209.52</v>
      </c>
      <c r="L6" s="21" t="n">
        <v>222.48</v>
      </c>
      <c r="M6" s="21" t="n">
        <v>235.44</v>
      </c>
      <c r="N6" s="21" t="n">
        <v>248.4</v>
      </c>
      <c r="O6" s="21" t="n">
        <v>261.36</v>
      </c>
      <c r="P6" s="21" t="n">
        <v>274.32</v>
      </c>
      <c r="Q6" s="21" t="n">
        <v>287.28</v>
      </c>
      <c r="R6" s="21" t="n">
        <v>300.24</v>
      </c>
      <c r="S6" s="21" t="n">
        <v>313.2</v>
      </c>
      <c r="T6" s="21" t="n">
        <v>326.16</v>
      </c>
      <c r="U6" s="21" t="n">
        <v>339.12</v>
      </c>
      <c r="V6" s="21" t="n">
        <v>352.08</v>
      </c>
      <c r="W6" s="21" t="n">
        <v>365.04</v>
      </c>
      <c r="X6" s="21" t="n">
        <v>378</v>
      </c>
      <c r="Y6" s="21" t="n">
        <v>390.96</v>
      </c>
      <c r="Z6" s="21" t="n">
        <v>403.92</v>
      </c>
      <c r="AA6" s="21" t="n">
        <v>416.88</v>
      </c>
      <c r="AB6" s="21" t="n">
        <v>429.84</v>
      </c>
      <c r="AC6" s="21" t="n">
        <v>442.8</v>
      </c>
      <c r="AD6" s="21" t="n">
        <v>455.76</v>
      </c>
      <c r="AE6" s="21" t="n">
        <v>468.72</v>
      </c>
      <c r="AF6" s="21" t="n">
        <v>481.68</v>
      </c>
      <c r="AG6" s="21" t="n">
        <v>494.64</v>
      </c>
      <c r="AH6" s="21" t="n">
        <v>507.6</v>
      </c>
      <c r="AI6" s="21" t="n">
        <v>520.56</v>
      </c>
      <c r="AJ6" s="21" t="n">
        <v>533.52</v>
      </c>
      <c r="AK6" s="21" t="n">
        <v>546.48</v>
      </c>
      <c r="AL6" s="21" t="n">
        <v>559.44</v>
      </c>
      <c r="AM6" s="21" t="n">
        <v>572.4</v>
      </c>
      <c r="AN6" s="21" t="n">
        <v>585.36</v>
      </c>
      <c r="AO6" s="22" t="n">
        <f aca="false">SUM(C6:AN6)</f>
        <v>13132.8</v>
      </c>
      <c r="AP6" s="22" t="n">
        <f aca="false">AO6*0.25</f>
        <v>3283.2</v>
      </c>
    </row>
    <row r="7" customFormat="false" ht="15" hidden="false" customHeight="true" outlineLevel="0" collapsed="false">
      <c r="A7" s="1" t="s">
        <v>16</v>
      </c>
      <c r="B7" s="1" t="s">
        <v>99</v>
      </c>
      <c r="C7" s="21" t="n">
        <v>134.56</v>
      </c>
      <c r="D7" s="21" t="n">
        <v>148.48</v>
      </c>
      <c r="E7" s="21" t="n">
        <v>162.4</v>
      </c>
      <c r="F7" s="21" t="n">
        <v>176.32</v>
      </c>
      <c r="G7" s="21" t="n">
        <v>190.24</v>
      </c>
      <c r="H7" s="21" t="n">
        <v>204.16</v>
      </c>
      <c r="I7" s="21" t="n">
        <v>218.08</v>
      </c>
      <c r="J7" s="21" t="n">
        <v>232</v>
      </c>
      <c r="K7" s="21" t="n">
        <v>245.92</v>
      </c>
      <c r="L7" s="21" t="n">
        <v>259.84</v>
      </c>
      <c r="M7" s="21" t="n">
        <v>273.76</v>
      </c>
      <c r="N7" s="21" t="n">
        <v>287.68</v>
      </c>
      <c r="O7" s="21" t="n">
        <v>301.6</v>
      </c>
      <c r="P7" s="21" t="n">
        <v>315.52</v>
      </c>
      <c r="Q7" s="21" t="n">
        <v>329.44</v>
      </c>
      <c r="R7" s="21" t="n">
        <v>343.36</v>
      </c>
      <c r="S7" s="21" t="n">
        <v>357.28</v>
      </c>
      <c r="T7" s="21" t="n">
        <v>371.2</v>
      </c>
      <c r="U7" s="21" t="n">
        <v>385.12</v>
      </c>
      <c r="V7" s="21" t="n">
        <v>399.04</v>
      </c>
      <c r="W7" s="21" t="n">
        <v>412.96</v>
      </c>
      <c r="X7" s="21" t="n">
        <v>426.88</v>
      </c>
      <c r="Y7" s="21" t="n">
        <v>440.8</v>
      </c>
      <c r="Z7" s="21" t="n">
        <v>454.72</v>
      </c>
      <c r="AA7" s="21" t="n">
        <v>468.64</v>
      </c>
      <c r="AB7" s="21" t="n">
        <v>482.56</v>
      </c>
      <c r="AC7" s="21" t="n">
        <v>496.48</v>
      </c>
      <c r="AD7" s="21" t="n">
        <v>510.4</v>
      </c>
      <c r="AE7" s="21" t="n">
        <v>524.32</v>
      </c>
      <c r="AF7" s="21" t="n">
        <v>538.24</v>
      </c>
      <c r="AG7" s="21" t="n">
        <v>552.16</v>
      </c>
      <c r="AH7" s="21" t="n">
        <v>566.08</v>
      </c>
      <c r="AI7" s="21" t="n">
        <v>580</v>
      </c>
      <c r="AJ7" s="21" t="n">
        <v>593.92</v>
      </c>
      <c r="AK7" s="21" t="n">
        <v>607.84</v>
      </c>
      <c r="AL7" s="21" t="n">
        <v>621.76</v>
      </c>
      <c r="AM7" s="21" t="n">
        <v>635.68</v>
      </c>
      <c r="AN7" s="21" t="n">
        <v>649.6</v>
      </c>
      <c r="AO7" s="22" t="n">
        <f aca="false">SUM(C7:AN7)</f>
        <v>14899.04</v>
      </c>
      <c r="AP7" s="22" t="n">
        <f aca="false">AO7*0.25</f>
        <v>3724.76</v>
      </c>
    </row>
    <row r="8" customFormat="false" ht="15" hidden="false" customHeight="true" outlineLevel="0" collapsed="false">
      <c r="A8" s="1" t="s">
        <v>17</v>
      </c>
      <c r="B8" s="1" t="s">
        <v>100</v>
      </c>
      <c r="C8" s="21" t="n">
        <v>166.16</v>
      </c>
      <c r="D8" s="21" t="n">
        <v>181.04</v>
      </c>
      <c r="E8" s="21" t="n">
        <v>195.92</v>
      </c>
      <c r="F8" s="21" t="n">
        <v>210.8</v>
      </c>
      <c r="G8" s="21" t="n">
        <v>225.68</v>
      </c>
      <c r="H8" s="21" t="n">
        <v>240.56</v>
      </c>
      <c r="I8" s="21" t="n">
        <v>255.44</v>
      </c>
      <c r="J8" s="21" t="n">
        <v>270.32</v>
      </c>
      <c r="K8" s="21" t="n">
        <v>285.2</v>
      </c>
      <c r="L8" s="21" t="n">
        <v>300.08</v>
      </c>
      <c r="M8" s="21" t="n">
        <v>314.96</v>
      </c>
      <c r="N8" s="21" t="n">
        <v>329.84</v>
      </c>
      <c r="O8" s="21" t="n">
        <v>344.72</v>
      </c>
      <c r="P8" s="21" t="n">
        <v>359.6</v>
      </c>
      <c r="Q8" s="21" t="n">
        <v>374.48</v>
      </c>
      <c r="R8" s="21" t="n">
        <v>389.36</v>
      </c>
      <c r="S8" s="21" t="n">
        <v>404.24</v>
      </c>
      <c r="T8" s="21" t="n">
        <v>419.12</v>
      </c>
      <c r="U8" s="21" t="n">
        <v>434</v>
      </c>
      <c r="V8" s="21" t="n">
        <v>448.88</v>
      </c>
      <c r="W8" s="21" t="n">
        <v>463.76</v>
      </c>
      <c r="X8" s="21" t="n">
        <v>478.64</v>
      </c>
      <c r="Y8" s="21" t="n">
        <v>493.52</v>
      </c>
      <c r="Z8" s="21" t="n">
        <v>508.4</v>
      </c>
      <c r="AA8" s="21" t="n">
        <v>523.28</v>
      </c>
      <c r="AB8" s="21" t="n">
        <v>538.16</v>
      </c>
      <c r="AC8" s="21" t="n">
        <v>553.04</v>
      </c>
      <c r="AD8" s="21" t="n">
        <v>567.92</v>
      </c>
      <c r="AE8" s="21" t="n">
        <v>582.8</v>
      </c>
      <c r="AF8" s="21" t="n">
        <v>597.68</v>
      </c>
      <c r="AG8" s="21" t="n">
        <v>612.56</v>
      </c>
      <c r="AH8" s="21" t="n">
        <v>627.44</v>
      </c>
      <c r="AI8" s="21" t="n">
        <v>642.32</v>
      </c>
      <c r="AJ8" s="21" t="n">
        <v>657.2</v>
      </c>
      <c r="AK8" s="21" t="n">
        <v>672.08</v>
      </c>
      <c r="AL8" s="21" t="n">
        <v>686.96</v>
      </c>
      <c r="AM8" s="21" t="n">
        <v>701.84</v>
      </c>
      <c r="AN8" s="21" t="n">
        <v>716.72</v>
      </c>
      <c r="AO8" s="22" t="n">
        <f aca="false">SUM(C8:AN8)</f>
        <v>16774.72</v>
      </c>
      <c r="AP8" s="22" t="n">
        <f aca="false">AO8*0.25</f>
        <v>4193.68</v>
      </c>
    </row>
    <row r="9" customFormat="false" ht="15" hidden="false" customHeight="true" outlineLevel="0" collapsed="false">
      <c r="A9" s="1" t="s">
        <v>18</v>
      </c>
      <c r="B9" s="1" t="s">
        <v>101</v>
      </c>
      <c r="C9" s="21" t="n">
        <v>200.64</v>
      </c>
      <c r="D9" s="21" t="n">
        <v>216.48</v>
      </c>
      <c r="E9" s="21" t="n">
        <v>232.32</v>
      </c>
      <c r="F9" s="21" t="n">
        <v>248.16</v>
      </c>
      <c r="G9" s="21" t="n">
        <v>264</v>
      </c>
      <c r="H9" s="21" t="n">
        <v>279.84</v>
      </c>
      <c r="I9" s="21" t="n">
        <v>295.68</v>
      </c>
      <c r="J9" s="21" t="n">
        <v>311.52</v>
      </c>
      <c r="K9" s="21" t="n">
        <v>327.36</v>
      </c>
      <c r="L9" s="21" t="n">
        <v>343.2</v>
      </c>
      <c r="M9" s="21" t="n">
        <v>359.04</v>
      </c>
      <c r="N9" s="21" t="n">
        <v>374.88</v>
      </c>
      <c r="O9" s="21" t="n">
        <v>390.72</v>
      </c>
      <c r="P9" s="21" t="n">
        <v>406.56</v>
      </c>
      <c r="Q9" s="21" t="n">
        <v>422.4</v>
      </c>
      <c r="R9" s="21" t="n">
        <v>438.24</v>
      </c>
      <c r="S9" s="21" t="n">
        <v>454.08</v>
      </c>
      <c r="T9" s="21" t="n">
        <v>469.92</v>
      </c>
      <c r="U9" s="21" t="n">
        <v>485.76</v>
      </c>
      <c r="V9" s="21" t="n">
        <v>501.6</v>
      </c>
      <c r="W9" s="21" t="n">
        <v>517.44</v>
      </c>
      <c r="X9" s="21" t="n">
        <v>533.28</v>
      </c>
      <c r="Y9" s="21" t="n">
        <v>549.12</v>
      </c>
      <c r="Z9" s="21" t="n">
        <v>564.96</v>
      </c>
      <c r="AA9" s="21" t="n">
        <v>580.8</v>
      </c>
      <c r="AB9" s="21" t="n">
        <v>596.64</v>
      </c>
      <c r="AC9" s="21" t="n">
        <v>612.48</v>
      </c>
      <c r="AD9" s="21" t="n">
        <v>628.32</v>
      </c>
      <c r="AE9" s="21" t="n">
        <v>644.16</v>
      </c>
      <c r="AF9" s="21" t="n">
        <v>660</v>
      </c>
      <c r="AG9" s="21" t="n">
        <v>675.84</v>
      </c>
      <c r="AH9" s="21" t="n">
        <v>691.68</v>
      </c>
      <c r="AI9" s="21" t="n">
        <v>707.52</v>
      </c>
      <c r="AJ9" s="21" t="n">
        <v>723.36</v>
      </c>
      <c r="AK9" s="21" t="n">
        <v>739.2</v>
      </c>
      <c r="AL9" s="21" t="n">
        <v>755.04</v>
      </c>
      <c r="AM9" s="21" t="n">
        <v>770.88</v>
      </c>
      <c r="AN9" s="21" t="n">
        <v>786.72</v>
      </c>
      <c r="AO9" s="22" t="n">
        <f aca="false">SUM(C9:AN9)</f>
        <v>18759.84</v>
      </c>
      <c r="AP9" s="22" t="n">
        <f aca="false">AO9*0.25</f>
        <v>4689.96</v>
      </c>
    </row>
    <row r="10" customFormat="false" ht="15" hidden="false" customHeight="true" outlineLevel="0" collapsed="false">
      <c r="A10" s="1" t="s">
        <v>19</v>
      </c>
      <c r="B10" s="1" t="s">
        <v>102</v>
      </c>
      <c r="C10" s="21" t="n">
        <v>170</v>
      </c>
      <c r="D10" s="21" t="n">
        <v>182</v>
      </c>
      <c r="E10" s="21" t="n">
        <v>194</v>
      </c>
      <c r="F10" s="21" t="n">
        <v>206</v>
      </c>
      <c r="G10" s="21" t="n">
        <v>218</v>
      </c>
      <c r="H10" s="21" t="n">
        <v>230</v>
      </c>
      <c r="I10" s="21" t="n">
        <v>242</v>
      </c>
      <c r="J10" s="21" t="n">
        <v>254</v>
      </c>
      <c r="K10" s="21" t="n">
        <v>266</v>
      </c>
      <c r="L10" s="21" t="n">
        <v>278</v>
      </c>
      <c r="M10" s="21" t="n">
        <v>290</v>
      </c>
      <c r="N10" s="21" t="n">
        <v>302</v>
      </c>
      <c r="O10" s="21" t="n">
        <v>314</v>
      </c>
      <c r="P10" s="21" t="n">
        <v>326</v>
      </c>
      <c r="Q10" s="21" t="n">
        <v>338</v>
      </c>
      <c r="R10" s="21" t="n">
        <v>350</v>
      </c>
      <c r="S10" s="21" t="n">
        <v>362</v>
      </c>
      <c r="T10" s="21" t="n">
        <v>374</v>
      </c>
      <c r="U10" s="21" t="n">
        <v>386</v>
      </c>
      <c r="V10" s="21" t="n">
        <v>398</v>
      </c>
      <c r="W10" s="21" t="n">
        <v>410</v>
      </c>
      <c r="X10" s="21" t="n">
        <v>422</v>
      </c>
      <c r="Y10" s="21" t="n">
        <v>434</v>
      </c>
      <c r="Z10" s="21" t="n">
        <v>446</v>
      </c>
      <c r="AA10" s="21" t="n">
        <v>458</v>
      </c>
      <c r="AB10" s="21" t="n">
        <v>470</v>
      </c>
      <c r="AC10" s="21" t="n">
        <v>482</v>
      </c>
      <c r="AD10" s="21" t="n">
        <v>494</v>
      </c>
      <c r="AE10" s="21" t="n">
        <v>506</v>
      </c>
      <c r="AF10" s="21" t="n">
        <v>518</v>
      </c>
      <c r="AG10" s="21" t="n">
        <v>530</v>
      </c>
      <c r="AH10" s="21" t="n">
        <v>542</v>
      </c>
      <c r="AI10" s="21" t="n">
        <v>554</v>
      </c>
      <c r="AJ10" s="21" t="n">
        <v>566</v>
      </c>
      <c r="AK10" s="21" t="n">
        <v>578</v>
      </c>
      <c r="AL10" s="21" t="n">
        <v>590</v>
      </c>
      <c r="AM10" s="21" t="n">
        <v>602</v>
      </c>
      <c r="AN10" s="21" t="n">
        <v>614</v>
      </c>
      <c r="AO10" s="22" t="n">
        <f aca="false">SUM(C10:AN10)</f>
        <v>14896</v>
      </c>
      <c r="AP10" s="22" t="n">
        <f aca="false">AO10*0.25</f>
        <v>3724</v>
      </c>
    </row>
    <row r="11" customFormat="false" ht="15" hidden="false" customHeight="true" outlineLevel="0" collapsed="false">
      <c r="A11" s="1" t="s">
        <v>20</v>
      </c>
      <c r="B11" s="1" t="s">
        <v>103</v>
      </c>
      <c r="C11" s="21" t="n">
        <v>203.04</v>
      </c>
      <c r="D11" s="21" t="n">
        <v>216</v>
      </c>
      <c r="E11" s="21" t="n">
        <v>228.96</v>
      </c>
      <c r="F11" s="21" t="n">
        <v>241.92</v>
      </c>
      <c r="G11" s="21" t="n">
        <v>254.88</v>
      </c>
      <c r="H11" s="21" t="n">
        <v>267.84</v>
      </c>
      <c r="I11" s="21" t="n">
        <v>280.8</v>
      </c>
      <c r="J11" s="21" t="n">
        <v>293.76</v>
      </c>
      <c r="K11" s="21" t="n">
        <v>306.72</v>
      </c>
      <c r="L11" s="21" t="n">
        <v>319.68</v>
      </c>
      <c r="M11" s="21" t="n">
        <v>332.64</v>
      </c>
      <c r="N11" s="21" t="n">
        <v>345.6</v>
      </c>
      <c r="O11" s="21" t="n">
        <v>358.56</v>
      </c>
      <c r="P11" s="21" t="n">
        <v>371.52</v>
      </c>
      <c r="Q11" s="21" t="n">
        <v>384.48</v>
      </c>
      <c r="R11" s="21" t="n">
        <v>397.44</v>
      </c>
      <c r="S11" s="21" t="n">
        <v>410.4</v>
      </c>
      <c r="T11" s="21" t="n">
        <v>423.36</v>
      </c>
      <c r="U11" s="21" t="n">
        <v>436.32</v>
      </c>
      <c r="V11" s="21" t="n">
        <v>449.28</v>
      </c>
      <c r="W11" s="21" t="n">
        <v>462.24</v>
      </c>
      <c r="X11" s="21" t="n">
        <v>475.2</v>
      </c>
      <c r="Y11" s="21" t="n">
        <v>488.16</v>
      </c>
      <c r="Z11" s="21" t="n">
        <v>501.12</v>
      </c>
      <c r="AA11" s="21" t="n">
        <v>514.08</v>
      </c>
      <c r="AB11" s="21" t="n">
        <v>527.04</v>
      </c>
      <c r="AC11" s="21" t="n">
        <v>540</v>
      </c>
      <c r="AD11" s="21" t="n">
        <v>552.96</v>
      </c>
      <c r="AE11" s="21" t="n">
        <v>565.92</v>
      </c>
      <c r="AF11" s="21" t="n">
        <v>578.88</v>
      </c>
      <c r="AG11" s="21" t="n">
        <v>591.84</v>
      </c>
      <c r="AH11" s="21" t="n">
        <v>604.8</v>
      </c>
      <c r="AI11" s="21" t="n">
        <v>617.76</v>
      </c>
      <c r="AJ11" s="21" t="n">
        <v>630.72</v>
      </c>
      <c r="AK11" s="21" t="n">
        <v>643.68</v>
      </c>
      <c r="AL11" s="21" t="n">
        <v>656.64</v>
      </c>
      <c r="AM11" s="21" t="n">
        <v>669.6</v>
      </c>
      <c r="AN11" s="21" t="n">
        <v>682.56</v>
      </c>
      <c r="AO11" s="22" t="n">
        <f aca="false">SUM(C11:AN11)</f>
        <v>16826.4</v>
      </c>
      <c r="AP11" s="22" t="n">
        <f aca="false">AO11*0.25</f>
        <v>4206.6</v>
      </c>
    </row>
    <row r="12" customFormat="false" ht="15" hidden="false" customHeight="true" outlineLevel="0" collapsed="false">
      <c r="A12" s="1" t="s">
        <v>21</v>
      </c>
      <c r="B12" s="1" t="s">
        <v>104</v>
      </c>
      <c r="C12" s="21" t="n">
        <v>238.96</v>
      </c>
      <c r="D12" s="21" t="n">
        <v>252.88</v>
      </c>
      <c r="E12" s="21" t="n">
        <v>266.8</v>
      </c>
      <c r="F12" s="21" t="n">
        <v>280.72</v>
      </c>
      <c r="G12" s="21" t="n">
        <v>294.64</v>
      </c>
      <c r="H12" s="21" t="n">
        <v>308.56</v>
      </c>
      <c r="I12" s="21" t="n">
        <v>322.48</v>
      </c>
      <c r="J12" s="21" t="n">
        <v>336.4</v>
      </c>
      <c r="K12" s="21" t="n">
        <v>350.32</v>
      </c>
      <c r="L12" s="21" t="n">
        <v>364.24</v>
      </c>
      <c r="M12" s="21" t="n">
        <v>378.16</v>
      </c>
      <c r="N12" s="21" t="n">
        <v>392.08</v>
      </c>
      <c r="O12" s="21" t="n">
        <v>406</v>
      </c>
      <c r="P12" s="21" t="n">
        <v>419.92</v>
      </c>
      <c r="Q12" s="21" t="n">
        <v>433.84</v>
      </c>
      <c r="R12" s="21" t="n">
        <v>447.76</v>
      </c>
      <c r="S12" s="21" t="n">
        <v>461.68</v>
      </c>
      <c r="T12" s="21" t="n">
        <v>475.6</v>
      </c>
      <c r="U12" s="21" t="n">
        <v>489.52</v>
      </c>
      <c r="V12" s="21" t="n">
        <v>503.44</v>
      </c>
      <c r="W12" s="21" t="n">
        <v>517.36</v>
      </c>
      <c r="X12" s="21" t="n">
        <v>531.28</v>
      </c>
      <c r="Y12" s="21" t="n">
        <v>545.2</v>
      </c>
      <c r="Z12" s="21" t="n">
        <v>559.12</v>
      </c>
      <c r="AA12" s="21" t="n">
        <v>573.04</v>
      </c>
      <c r="AB12" s="21" t="n">
        <v>586.96</v>
      </c>
      <c r="AC12" s="21" t="n">
        <v>600.88</v>
      </c>
      <c r="AD12" s="21" t="n">
        <v>614.8</v>
      </c>
      <c r="AE12" s="21" t="n">
        <v>628.72</v>
      </c>
      <c r="AF12" s="21" t="n">
        <v>642.64</v>
      </c>
      <c r="AG12" s="21" t="n">
        <v>656.56</v>
      </c>
      <c r="AH12" s="21" t="n">
        <v>670.48</v>
      </c>
      <c r="AI12" s="21" t="n">
        <v>684.4</v>
      </c>
      <c r="AJ12" s="21" t="n">
        <v>698.32</v>
      </c>
      <c r="AK12" s="21" t="n">
        <v>712.24</v>
      </c>
      <c r="AL12" s="21" t="n">
        <v>726.16</v>
      </c>
      <c r="AM12" s="21" t="n">
        <v>740.08</v>
      </c>
      <c r="AN12" s="21" t="n">
        <v>754</v>
      </c>
      <c r="AO12" s="22" t="n">
        <f aca="false">SUM(C12:AN12)</f>
        <v>18866.24</v>
      </c>
      <c r="AP12" s="22" t="n">
        <f aca="false">AO12*0.25</f>
        <v>4716.56</v>
      </c>
    </row>
    <row r="13" customFormat="false" ht="15" hidden="false" customHeight="true" outlineLevel="0" collapsed="false">
      <c r="A13" s="1" t="s">
        <v>22</v>
      </c>
      <c r="B13" s="1" t="s">
        <v>105</v>
      </c>
      <c r="C13" s="21" t="n">
        <v>277.76</v>
      </c>
      <c r="D13" s="21" t="n">
        <v>292.64</v>
      </c>
      <c r="E13" s="21" t="n">
        <v>307.52</v>
      </c>
      <c r="F13" s="21" t="n">
        <v>322.4</v>
      </c>
      <c r="G13" s="21" t="n">
        <v>337.28</v>
      </c>
      <c r="H13" s="21" t="n">
        <v>352.16</v>
      </c>
      <c r="I13" s="21" t="n">
        <v>367.04</v>
      </c>
      <c r="J13" s="21" t="n">
        <v>381.92</v>
      </c>
      <c r="K13" s="21" t="n">
        <v>396.8</v>
      </c>
      <c r="L13" s="21" t="n">
        <v>411.68</v>
      </c>
      <c r="M13" s="21" t="n">
        <v>426.56</v>
      </c>
      <c r="N13" s="21" t="n">
        <v>441.44</v>
      </c>
      <c r="O13" s="21" t="n">
        <v>456.32</v>
      </c>
      <c r="P13" s="21" t="n">
        <v>471.2</v>
      </c>
      <c r="Q13" s="21" t="n">
        <v>486.08</v>
      </c>
      <c r="R13" s="21" t="n">
        <v>500.96</v>
      </c>
      <c r="S13" s="21" t="n">
        <v>515.84</v>
      </c>
      <c r="T13" s="21" t="n">
        <v>530.72</v>
      </c>
      <c r="U13" s="21" t="n">
        <v>545.6</v>
      </c>
      <c r="V13" s="21" t="n">
        <v>560.48</v>
      </c>
      <c r="W13" s="21" t="n">
        <v>575.36</v>
      </c>
      <c r="X13" s="21" t="n">
        <v>590.24</v>
      </c>
      <c r="Y13" s="21" t="n">
        <v>605.12</v>
      </c>
      <c r="Z13" s="21" t="n">
        <v>620</v>
      </c>
      <c r="AA13" s="21" t="n">
        <v>634.88</v>
      </c>
      <c r="AB13" s="21" t="n">
        <v>649.76</v>
      </c>
      <c r="AC13" s="21" t="n">
        <v>664.64</v>
      </c>
      <c r="AD13" s="21" t="n">
        <v>679.52</v>
      </c>
      <c r="AE13" s="21" t="n">
        <v>694.4</v>
      </c>
      <c r="AF13" s="21" t="n">
        <v>709.28</v>
      </c>
      <c r="AG13" s="21" t="n">
        <v>724.16</v>
      </c>
      <c r="AH13" s="21" t="n">
        <v>739.04</v>
      </c>
      <c r="AI13" s="21" t="n">
        <v>753.92</v>
      </c>
      <c r="AJ13" s="21" t="n">
        <v>768.8</v>
      </c>
      <c r="AK13" s="21" t="n">
        <v>783.68</v>
      </c>
      <c r="AL13" s="21" t="n">
        <v>798.56</v>
      </c>
      <c r="AM13" s="21" t="n">
        <v>813.44</v>
      </c>
      <c r="AN13" s="21" t="n">
        <v>828.32</v>
      </c>
      <c r="AO13" s="22" t="n">
        <f aca="false">SUM(C13:AN13)</f>
        <v>21015.52</v>
      </c>
      <c r="AP13" s="22" t="n">
        <f aca="false">AO13*0.25</f>
        <v>5253.88</v>
      </c>
    </row>
    <row r="14" customFormat="false" ht="15" hidden="false" customHeight="true" outlineLevel="0" collapsed="false">
      <c r="A14" s="1" t="s">
        <v>23</v>
      </c>
      <c r="B14" s="1" t="s">
        <v>106</v>
      </c>
      <c r="C14" s="21" t="n">
        <v>319.44</v>
      </c>
      <c r="D14" s="21" t="n">
        <v>335.28</v>
      </c>
      <c r="E14" s="21" t="n">
        <v>351.12</v>
      </c>
      <c r="F14" s="21" t="n">
        <v>366.96</v>
      </c>
      <c r="G14" s="21" t="n">
        <v>382.8</v>
      </c>
      <c r="H14" s="21" t="n">
        <v>398.64</v>
      </c>
      <c r="I14" s="21" t="n">
        <v>414.48</v>
      </c>
      <c r="J14" s="21" t="n">
        <v>430.32</v>
      </c>
      <c r="K14" s="21" t="n">
        <v>446.16</v>
      </c>
      <c r="L14" s="21" t="n">
        <v>462</v>
      </c>
      <c r="M14" s="21" t="n">
        <v>477.84</v>
      </c>
      <c r="N14" s="21" t="n">
        <v>493.68</v>
      </c>
      <c r="O14" s="21" t="n">
        <v>509.52</v>
      </c>
      <c r="P14" s="21" t="n">
        <v>525.36</v>
      </c>
      <c r="Q14" s="21" t="n">
        <v>541.2</v>
      </c>
      <c r="R14" s="21" t="n">
        <v>557.04</v>
      </c>
      <c r="S14" s="21" t="n">
        <v>572.88</v>
      </c>
      <c r="T14" s="21" t="n">
        <v>588.72</v>
      </c>
      <c r="U14" s="21" t="n">
        <v>604.56</v>
      </c>
      <c r="V14" s="21" t="n">
        <v>620.4</v>
      </c>
      <c r="W14" s="21" t="n">
        <v>636.24</v>
      </c>
      <c r="X14" s="21" t="n">
        <v>652.08</v>
      </c>
      <c r="Y14" s="21" t="n">
        <v>667.92</v>
      </c>
      <c r="Z14" s="21" t="n">
        <v>683.76</v>
      </c>
      <c r="AA14" s="21" t="n">
        <v>699.6</v>
      </c>
      <c r="AB14" s="21" t="n">
        <v>715.44</v>
      </c>
      <c r="AC14" s="21" t="n">
        <v>731.28</v>
      </c>
      <c r="AD14" s="21" t="n">
        <v>747.12</v>
      </c>
      <c r="AE14" s="21" t="n">
        <v>762.96</v>
      </c>
      <c r="AF14" s="21" t="n">
        <v>778.8</v>
      </c>
      <c r="AG14" s="21" t="n">
        <v>794.64</v>
      </c>
      <c r="AH14" s="21" t="n">
        <v>810.48</v>
      </c>
      <c r="AI14" s="21" t="n">
        <v>826.32</v>
      </c>
      <c r="AJ14" s="21" t="n">
        <v>842.16</v>
      </c>
      <c r="AK14" s="21" t="n">
        <v>858</v>
      </c>
      <c r="AL14" s="21" t="n">
        <v>873.84</v>
      </c>
      <c r="AM14" s="21" t="n">
        <v>889.68</v>
      </c>
      <c r="AN14" s="21" t="n">
        <v>905.52</v>
      </c>
      <c r="AO14" s="22" t="n">
        <f aca="false">SUM(C14:AN14)</f>
        <v>23274.24</v>
      </c>
      <c r="AP14" s="22" t="n">
        <f aca="false">AO14*0.25</f>
        <v>5818.56</v>
      </c>
    </row>
    <row r="15" customFormat="false" ht="15" hidden="false" customHeight="true" outlineLevel="0" collapsed="false">
      <c r="A15" s="1" t="s">
        <v>24</v>
      </c>
      <c r="B15" s="1" t="s">
        <v>107</v>
      </c>
      <c r="C15" s="21" t="n">
        <v>260</v>
      </c>
      <c r="D15" s="21" t="n">
        <v>272</v>
      </c>
      <c r="E15" s="21" t="n">
        <v>284</v>
      </c>
      <c r="F15" s="21" t="n">
        <v>296</v>
      </c>
      <c r="G15" s="21" t="n">
        <v>308</v>
      </c>
      <c r="H15" s="21" t="n">
        <v>320</v>
      </c>
      <c r="I15" s="21" t="n">
        <v>332</v>
      </c>
      <c r="J15" s="21" t="n">
        <v>344</v>
      </c>
      <c r="K15" s="21" t="n">
        <v>356</v>
      </c>
      <c r="L15" s="21" t="n">
        <v>368</v>
      </c>
      <c r="M15" s="21" t="n">
        <v>380</v>
      </c>
      <c r="N15" s="21" t="n">
        <v>392</v>
      </c>
      <c r="O15" s="21" t="n">
        <v>404</v>
      </c>
      <c r="P15" s="21" t="n">
        <v>416</v>
      </c>
      <c r="Q15" s="21" t="n">
        <v>428</v>
      </c>
      <c r="R15" s="21" t="n">
        <v>440</v>
      </c>
      <c r="S15" s="21" t="n">
        <v>452</v>
      </c>
      <c r="T15" s="21" t="n">
        <v>464</v>
      </c>
      <c r="U15" s="21" t="n">
        <v>476</v>
      </c>
      <c r="V15" s="21" t="n">
        <v>488</v>
      </c>
      <c r="W15" s="21" t="n">
        <v>500</v>
      </c>
      <c r="X15" s="21" t="n">
        <v>512</v>
      </c>
      <c r="Y15" s="21" t="n">
        <v>524</v>
      </c>
      <c r="Z15" s="21" t="n">
        <v>536</v>
      </c>
      <c r="AA15" s="21" t="n">
        <v>548</v>
      </c>
      <c r="AB15" s="21" t="n">
        <v>560</v>
      </c>
      <c r="AC15" s="21" t="n">
        <v>572</v>
      </c>
      <c r="AD15" s="21" t="n">
        <v>584</v>
      </c>
      <c r="AE15" s="21" t="n">
        <v>596</v>
      </c>
      <c r="AF15" s="21" t="n">
        <v>608</v>
      </c>
      <c r="AG15" s="21" t="n">
        <v>620</v>
      </c>
      <c r="AH15" s="21" t="n">
        <v>632</v>
      </c>
      <c r="AI15" s="21" t="n">
        <v>644</v>
      </c>
      <c r="AJ15" s="21" t="n">
        <v>656</v>
      </c>
      <c r="AK15" s="21" t="n">
        <v>668</v>
      </c>
      <c r="AL15" s="21" t="n">
        <v>680</v>
      </c>
      <c r="AM15" s="21" t="n">
        <v>692</v>
      </c>
      <c r="AN15" s="21" t="n">
        <v>704</v>
      </c>
      <c r="AO15" s="22" t="n">
        <f aca="false">SUM(C15:AN15)</f>
        <v>18316</v>
      </c>
      <c r="AP15" s="22" t="n">
        <f aca="false">AO15*0.25</f>
        <v>4579</v>
      </c>
    </row>
    <row r="16" customFormat="false" ht="15" hidden="false" customHeight="true" outlineLevel="0" collapsed="false">
      <c r="A16" s="1" t="s">
        <v>25</v>
      </c>
      <c r="B16" s="1" t="s">
        <v>108</v>
      </c>
      <c r="C16" s="21" t="n">
        <v>300.24</v>
      </c>
      <c r="D16" s="21" t="n">
        <v>313.2</v>
      </c>
      <c r="E16" s="21" t="n">
        <v>326.16</v>
      </c>
      <c r="F16" s="21" t="n">
        <v>339.12</v>
      </c>
      <c r="G16" s="21" t="n">
        <v>352.08</v>
      </c>
      <c r="H16" s="21" t="n">
        <v>365.04</v>
      </c>
      <c r="I16" s="21" t="n">
        <v>378</v>
      </c>
      <c r="J16" s="21" t="n">
        <v>390.96</v>
      </c>
      <c r="K16" s="21" t="n">
        <v>403.92</v>
      </c>
      <c r="L16" s="21" t="n">
        <v>416.88</v>
      </c>
      <c r="M16" s="21" t="n">
        <v>429.84</v>
      </c>
      <c r="N16" s="21" t="n">
        <v>442.8</v>
      </c>
      <c r="O16" s="21" t="n">
        <v>455.76</v>
      </c>
      <c r="P16" s="21" t="n">
        <v>468.72</v>
      </c>
      <c r="Q16" s="21" t="n">
        <v>481.68</v>
      </c>
      <c r="R16" s="21" t="n">
        <v>494.64</v>
      </c>
      <c r="S16" s="21" t="n">
        <v>507.6</v>
      </c>
      <c r="T16" s="21" t="n">
        <v>520.56</v>
      </c>
      <c r="U16" s="21" t="n">
        <v>533.52</v>
      </c>
      <c r="V16" s="21" t="n">
        <v>546.48</v>
      </c>
      <c r="W16" s="21" t="n">
        <v>559.44</v>
      </c>
      <c r="X16" s="21" t="n">
        <v>572.4</v>
      </c>
      <c r="Y16" s="21" t="n">
        <v>585.36</v>
      </c>
      <c r="Z16" s="21" t="n">
        <v>598.32</v>
      </c>
      <c r="AA16" s="21" t="n">
        <v>611.28</v>
      </c>
      <c r="AB16" s="21" t="n">
        <v>624.24</v>
      </c>
      <c r="AC16" s="21" t="n">
        <v>637.2</v>
      </c>
      <c r="AD16" s="21" t="n">
        <v>650.16</v>
      </c>
      <c r="AE16" s="21" t="n">
        <v>663.12</v>
      </c>
      <c r="AF16" s="21" t="n">
        <v>676.08</v>
      </c>
      <c r="AG16" s="21" t="n">
        <v>689.04</v>
      </c>
      <c r="AH16" s="21" t="n">
        <v>702</v>
      </c>
      <c r="AI16" s="21" t="n">
        <v>714.96</v>
      </c>
      <c r="AJ16" s="21" t="n">
        <v>727.92</v>
      </c>
      <c r="AK16" s="21" t="n">
        <v>740.88</v>
      </c>
      <c r="AL16" s="21" t="n">
        <v>753.84</v>
      </c>
      <c r="AM16" s="21" t="n">
        <v>766.8</v>
      </c>
      <c r="AN16" s="21" t="n">
        <v>779.76</v>
      </c>
      <c r="AO16" s="22" t="n">
        <f aca="false">SUM(C16:AN16)</f>
        <v>20520</v>
      </c>
      <c r="AP16" s="22" t="n">
        <f aca="false">AO16*0.25</f>
        <v>5130</v>
      </c>
    </row>
    <row r="17" customFormat="false" ht="15" hidden="false" customHeight="true" outlineLevel="0" collapsed="false">
      <c r="A17" s="1" t="s">
        <v>26</v>
      </c>
      <c r="B17" s="1" t="s">
        <v>109</v>
      </c>
      <c r="C17" s="21" t="n">
        <v>343.36</v>
      </c>
      <c r="D17" s="21" t="n">
        <v>357.28</v>
      </c>
      <c r="E17" s="21" t="n">
        <v>371.2</v>
      </c>
      <c r="F17" s="21" t="n">
        <v>385.12</v>
      </c>
      <c r="G17" s="21" t="n">
        <v>399.04</v>
      </c>
      <c r="H17" s="21" t="n">
        <v>412.96</v>
      </c>
      <c r="I17" s="21" t="n">
        <v>426.88</v>
      </c>
      <c r="J17" s="21" t="n">
        <v>440.8</v>
      </c>
      <c r="K17" s="21" t="n">
        <v>454.72</v>
      </c>
      <c r="L17" s="21" t="n">
        <v>468.64</v>
      </c>
      <c r="M17" s="21" t="n">
        <v>482.56</v>
      </c>
      <c r="N17" s="21" t="n">
        <v>496.48</v>
      </c>
      <c r="O17" s="21" t="n">
        <v>510.4</v>
      </c>
      <c r="P17" s="21" t="n">
        <v>524.32</v>
      </c>
      <c r="Q17" s="21" t="n">
        <v>538.24</v>
      </c>
      <c r="R17" s="21" t="n">
        <v>552.16</v>
      </c>
      <c r="S17" s="21" t="n">
        <v>566.08</v>
      </c>
      <c r="T17" s="21" t="n">
        <v>580</v>
      </c>
      <c r="U17" s="21" t="n">
        <v>593.92</v>
      </c>
      <c r="V17" s="21" t="n">
        <v>607.84</v>
      </c>
      <c r="W17" s="21" t="n">
        <v>621.76</v>
      </c>
      <c r="X17" s="21" t="n">
        <v>635.68</v>
      </c>
      <c r="Y17" s="21" t="n">
        <v>649.6</v>
      </c>
      <c r="Z17" s="21" t="n">
        <v>663.52</v>
      </c>
      <c r="AA17" s="21" t="n">
        <v>677.44</v>
      </c>
      <c r="AB17" s="21" t="n">
        <v>691.36</v>
      </c>
      <c r="AC17" s="21" t="n">
        <v>705.28</v>
      </c>
      <c r="AD17" s="21" t="n">
        <v>719.2</v>
      </c>
      <c r="AE17" s="21" t="n">
        <v>733.12</v>
      </c>
      <c r="AF17" s="21" t="n">
        <v>747.04</v>
      </c>
      <c r="AG17" s="21" t="n">
        <v>760.96</v>
      </c>
      <c r="AH17" s="21" t="n">
        <v>774.88</v>
      </c>
      <c r="AI17" s="21" t="n">
        <v>788.8</v>
      </c>
      <c r="AJ17" s="21" t="n">
        <v>802.72</v>
      </c>
      <c r="AK17" s="21" t="n">
        <v>816.64</v>
      </c>
      <c r="AL17" s="21" t="n">
        <v>830.56</v>
      </c>
      <c r="AM17" s="21" t="n">
        <v>844.48</v>
      </c>
      <c r="AN17" s="21" t="n">
        <v>858.4</v>
      </c>
      <c r="AO17" s="22" t="n">
        <f aca="false">SUM(C17:AN17)</f>
        <v>22833.44</v>
      </c>
      <c r="AP17" s="22" t="n">
        <f aca="false">AO17*0.25</f>
        <v>5708.36</v>
      </c>
    </row>
    <row r="18" customFormat="false" ht="15" hidden="false" customHeight="true" outlineLevel="0" collapsed="false">
      <c r="A18" s="1" t="s">
        <v>27</v>
      </c>
      <c r="B18" s="1" t="s">
        <v>110</v>
      </c>
      <c r="C18" s="21" t="n">
        <v>389.36</v>
      </c>
      <c r="D18" s="21" t="n">
        <v>404.24</v>
      </c>
      <c r="E18" s="21" t="n">
        <v>419.12</v>
      </c>
      <c r="F18" s="21" t="n">
        <v>434</v>
      </c>
      <c r="G18" s="21" t="n">
        <v>448.88</v>
      </c>
      <c r="H18" s="21" t="n">
        <v>463.76</v>
      </c>
      <c r="I18" s="21" t="n">
        <v>478.64</v>
      </c>
      <c r="J18" s="21" t="n">
        <v>493.52</v>
      </c>
      <c r="K18" s="21" t="n">
        <v>508.4</v>
      </c>
      <c r="L18" s="21" t="n">
        <v>523.28</v>
      </c>
      <c r="M18" s="21" t="n">
        <v>538.16</v>
      </c>
      <c r="N18" s="21" t="n">
        <v>553.04</v>
      </c>
      <c r="O18" s="21" t="n">
        <v>567.92</v>
      </c>
      <c r="P18" s="21" t="n">
        <v>582.8</v>
      </c>
      <c r="Q18" s="21" t="n">
        <v>597.68</v>
      </c>
      <c r="R18" s="21" t="n">
        <v>612.56</v>
      </c>
      <c r="S18" s="21" t="n">
        <v>627.44</v>
      </c>
      <c r="T18" s="21" t="n">
        <v>642.32</v>
      </c>
      <c r="U18" s="21" t="n">
        <v>657.2</v>
      </c>
      <c r="V18" s="21" t="n">
        <v>672.08</v>
      </c>
      <c r="W18" s="21" t="n">
        <v>686.96</v>
      </c>
      <c r="X18" s="21" t="n">
        <v>701.84</v>
      </c>
      <c r="Y18" s="21" t="n">
        <v>716.72</v>
      </c>
      <c r="Z18" s="21" t="n">
        <v>731.6</v>
      </c>
      <c r="AA18" s="21" t="n">
        <v>746.48</v>
      </c>
      <c r="AB18" s="21" t="n">
        <v>761.36</v>
      </c>
      <c r="AC18" s="21" t="n">
        <v>776.24</v>
      </c>
      <c r="AD18" s="21" t="n">
        <v>791.12</v>
      </c>
      <c r="AE18" s="21" t="n">
        <v>806</v>
      </c>
      <c r="AF18" s="21" t="n">
        <v>820.88</v>
      </c>
      <c r="AG18" s="21" t="n">
        <v>835.76</v>
      </c>
      <c r="AH18" s="21" t="n">
        <v>850.64</v>
      </c>
      <c r="AI18" s="21" t="n">
        <v>865.52</v>
      </c>
      <c r="AJ18" s="21" t="n">
        <v>880.4</v>
      </c>
      <c r="AK18" s="21" t="n">
        <v>895.28</v>
      </c>
      <c r="AL18" s="21" t="n">
        <v>910.16</v>
      </c>
      <c r="AM18" s="21" t="n">
        <v>925.04</v>
      </c>
      <c r="AN18" s="21" t="n">
        <v>939.92</v>
      </c>
      <c r="AO18" s="22" t="n">
        <f aca="false">SUM(C18:AN18)</f>
        <v>25256.32</v>
      </c>
      <c r="AP18" s="22" t="n">
        <f aca="false">AO18*0.25</f>
        <v>6314.08</v>
      </c>
    </row>
    <row r="19" customFormat="false" ht="15" hidden="false" customHeight="true" outlineLevel="0" collapsed="false">
      <c r="A19" s="1" t="s">
        <v>28</v>
      </c>
      <c r="B19" s="1" t="s">
        <v>111</v>
      </c>
      <c r="C19" s="21" t="n">
        <v>438.24</v>
      </c>
      <c r="D19" s="21" t="n">
        <v>454.08</v>
      </c>
      <c r="E19" s="21" t="n">
        <v>469.92</v>
      </c>
      <c r="F19" s="21" t="n">
        <v>485.76</v>
      </c>
      <c r="G19" s="21" t="n">
        <v>501.6</v>
      </c>
      <c r="H19" s="21" t="n">
        <v>517.44</v>
      </c>
      <c r="I19" s="21" t="n">
        <v>533.28</v>
      </c>
      <c r="J19" s="21" t="n">
        <v>549.12</v>
      </c>
      <c r="K19" s="21" t="n">
        <v>564.96</v>
      </c>
      <c r="L19" s="21" t="n">
        <v>580.8</v>
      </c>
      <c r="M19" s="21" t="n">
        <v>596.64</v>
      </c>
      <c r="N19" s="21" t="n">
        <v>612.48</v>
      </c>
      <c r="O19" s="21" t="n">
        <v>628.32</v>
      </c>
      <c r="P19" s="21" t="n">
        <v>644.16</v>
      </c>
      <c r="Q19" s="21" t="n">
        <v>660</v>
      </c>
      <c r="R19" s="21" t="n">
        <v>675.84</v>
      </c>
      <c r="S19" s="21" t="n">
        <v>691.68</v>
      </c>
      <c r="T19" s="21" t="n">
        <v>707.52</v>
      </c>
      <c r="U19" s="21" t="n">
        <v>723.36</v>
      </c>
      <c r="V19" s="21" t="n">
        <v>739.2</v>
      </c>
      <c r="W19" s="21" t="n">
        <v>755.04</v>
      </c>
      <c r="X19" s="21" t="n">
        <v>770.88</v>
      </c>
      <c r="Y19" s="21" t="n">
        <v>786.72</v>
      </c>
      <c r="Z19" s="21" t="n">
        <v>802.56</v>
      </c>
      <c r="AA19" s="21" t="n">
        <v>818.4</v>
      </c>
      <c r="AB19" s="21" t="n">
        <v>834.24</v>
      </c>
      <c r="AC19" s="21" t="n">
        <v>850.08</v>
      </c>
      <c r="AD19" s="21" t="n">
        <v>865.92</v>
      </c>
      <c r="AE19" s="21" t="n">
        <v>881.76</v>
      </c>
      <c r="AF19" s="21" t="n">
        <v>897.6</v>
      </c>
      <c r="AG19" s="21" t="n">
        <v>913.44</v>
      </c>
      <c r="AH19" s="21" t="n">
        <v>929.28</v>
      </c>
      <c r="AI19" s="21" t="n">
        <v>945.12</v>
      </c>
      <c r="AJ19" s="21" t="n">
        <v>960.96</v>
      </c>
      <c r="AK19" s="21" t="n">
        <v>976.8</v>
      </c>
      <c r="AL19" s="21" t="n">
        <v>992.64</v>
      </c>
      <c r="AM19" s="21" t="n">
        <v>1008.48</v>
      </c>
      <c r="AN19" s="21" t="n">
        <v>1024.32</v>
      </c>
      <c r="AO19" s="22" t="n">
        <f aca="false">SUM(C19:AN19)</f>
        <v>27788.64</v>
      </c>
      <c r="AP19" s="22" t="n">
        <f aca="false">AO19*0.25</f>
        <v>6947.16</v>
      </c>
    </row>
    <row r="20" customFormat="false" ht="15" hidden="false" customHeight="true" outlineLevel="0" collapsed="false">
      <c r="A20" s="1" t="s">
        <v>29</v>
      </c>
      <c r="B20" s="1" t="s">
        <v>112</v>
      </c>
      <c r="C20" s="21" t="n">
        <v>350</v>
      </c>
      <c r="D20" s="21" t="n">
        <v>362</v>
      </c>
      <c r="E20" s="21" t="n">
        <v>374</v>
      </c>
      <c r="F20" s="21" t="n">
        <v>386</v>
      </c>
      <c r="G20" s="21" t="n">
        <v>398</v>
      </c>
      <c r="H20" s="21" t="n">
        <v>410</v>
      </c>
      <c r="I20" s="21" t="n">
        <v>422</v>
      </c>
      <c r="J20" s="21" t="n">
        <v>434</v>
      </c>
      <c r="K20" s="21" t="n">
        <v>446</v>
      </c>
      <c r="L20" s="21" t="n">
        <v>458</v>
      </c>
      <c r="M20" s="21" t="n">
        <v>470</v>
      </c>
      <c r="N20" s="21" t="n">
        <v>482</v>
      </c>
      <c r="O20" s="21" t="n">
        <v>494</v>
      </c>
      <c r="P20" s="21" t="n">
        <v>506</v>
      </c>
      <c r="Q20" s="21" t="n">
        <v>518</v>
      </c>
      <c r="R20" s="21" t="n">
        <v>530</v>
      </c>
      <c r="S20" s="21" t="n">
        <v>542</v>
      </c>
      <c r="T20" s="21" t="n">
        <v>554</v>
      </c>
      <c r="U20" s="21" t="n">
        <v>566</v>
      </c>
      <c r="V20" s="21" t="n">
        <v>578</v>
      </c>
      <c r="W20" s="21" t="n">
        <v>590</v>
      </c>
      <c r="X20" s="21" t="n">
        <v>602</v>
      </c>
      <c r="Y20" s="21" t="n">
        <v>614</v>
      </c>
      <c r="Z20" s="21" t="n">
        <v>626</v>
      </c>
      <c r="AA20" s="21" t="n">
        <v>638</v>
      </c>
      <c r="AB20" s="21" t="n">
        <v>650</v>
      </c>
      <c r="AC20" s="21" t="n">
        <v>662</v>
      </c>
      <c r="AD20" s="21" t="n">
        <v>674</v>
      </c>
      <c r="AE20" s="21" t="n">
        <v>686</v>
      </c>
      <c r="AF20" s="21" t="n">
        <v>698</v>
      </c>
      <c r="AG20" s="21" t="n">
        <v>710</v>
      </c>
      <c r="AH20" s="21" t="n">
        <v>722</v>
      </c>
      <c r="AI20" s="21" t="n">
        <v>734</v>
      </c>
      <c r="AJ20" s="21" t="n">
        <v>746</v>
      </c>
      <c r="AK20" s="21" t="n">
        <v>758</v>
      </c>
      <c r="AL20" s="21" t="n">
        <v>770</v>
      </c>
      <c r="AM20" s="21" t="n">
        <v>782</v>
      </c>
      <c r="AN20" s="21" t="n">
        <v>794</v>
      </c>
      <c r="AO20" s="22" t="n">
        <f aca="false">SUM(C20:AN20)</f>
        <v>21736</v>
      </c>
      <c r="AP20" s="22" t="n">
        <f aca="false">AO20*0.25</f>
        <v>5434</v>
      </c>
    </row>
    <row r="21" customFormat="false" ht="15" hidden="false" customHeight="true" outlineLevel="0" collapsed="false">
      <c r="A21" s="1" t="s">
        <v>30</v>
      </c>
      <c r="B21" s="1" t="s">
        <v>113</v>
      </c>
      <c r="C21" s="21" t="n">
        <v>397.44</v>
      </c>
      <c r="D21" s="21" t="n">
        <v>410.4</v>
      </c>
      <c r="E21" s="21" t="n">
        <v>423.36</v>
      </c>
      <c r="F21" s="21" t="n">
        <v>436.32</v>
      </c>
      <c r="G21" s="21" t="n">
        <v>449.28</v>
      </c>
      <c r="H21" s="21" t="n">
        <v>462.24</v>
      </c>
      <c r="I21" s="21" t="n">
        <v>475.2</v>
      </c>
      <c r="J21" s="21" t="n">
        <v>488.16</v>
      </c>
      <c r="K21" s="21" t="n">
        <v>501.12</v>
      </c>
      <c r="L21" s="21" t="n">
        <v>514.08</v>
      </c>
      <c r="M21" s="21" t="n">
        <v>527.04</v>
      </c>
      <c r="N21" s="21" t="n">
        <v>540</v>
      </c>
      <c r="O21" s="21" t="n">
        <v>552.96</v>
      </c>
      <c r="P21" s="21" t="n">
        <v>565.92</v>
      </c>
      <c r="Q21" s="21" t="n">
        <v>578.88</v>
      </c>
      <c r="R21" s="21" t="n">
        <v>591.84</v>
      </c>
      <c r="S21" s="21" t="n">
        <v>604.8</v>
      </c>
      <c r="T21" s="21" t="n">
        <v>617.76</v>
      </c>
      <c r="U21" s="21" t="n">
        <v>630.72</v>
      </c>
      <c r="V21" s="21" t="n">
        <v>643.68</v>
      </c>
      <c r="W21" s="21" t="n">
        <v>656.64</v>
      </c>
      <c r="X21" s="21" t="n">
        <v>669.6</v>
      </c>
      <c r="Y21" s="21" t="n">
        <v>682.56</v>
      </c>
      <c r="Z21" s="21" t="n">
        <v>695.52</v>
      </c>
      <c r="AA21" s="21" t="n">
        <v>708.48</v>
      </c>
      <c r="AB21" s="21" t="n">
        <v>721.44</v>
      </c>
      <c r="AC21" s="21" t="n">
        <v>734.4</v>
      </c>
      <c r="AD21" s="21" t="n">
        <v>747.36</v>
      </c>
      <c r="AE21" s="21" t="n">
        <v>760.32</v>
      </c>
      <c r="AF21" s="21" t="n">
        <v>773.28</v>
      </c>
      <c r="AG21" s="21" t="n">
        <v>786.24</v>
      </c>
      <c r="AH21" s="21" t="n">
        <v>799.2</v>
      </c>
      <c r="AI21" s="21" t="n">
        <v>812.16</v>
      </c>
      <c r="AJ21" s="21" t="n">
        <v>825.12</v>
      </c>
      <c r="AK21" s="21" t="n">
        <v>838.08</v>
      </c>
      <c r="AL21" s="21" t="n">
        <v>851.04</v>
      </c>
      <c r="AM21" s="21" t="n">
        <v>864</v>
      </c>
      <c r="AN21" s="21" t="n">
        <v>876.96</v>
      </c>
      <c r="AO21" s="22" t="n">
        <f aca="false">SUM(C21:AN21)</f>
        <v>24213.6</v>
      </c>
      <c r="AP21" s="22" t="n">
        <f aca="false">AO21*0.25</f>
        <v>6053.4</v>
      </c>
    </row>
    <row r="22" customFormat="false" ht="15" hidden="false" customHeight="true" outlineLevel="0" collapsed="false">
      <c r="A22" s="1" t="s">
        <v>31</v>
      </c>
      <c r="B22" s="1" t="s">
        <v>114</v>
      </c>
      <c r="C22" s="21" t="n">
        <v>447.76</v>
      </c>
      <c r="D22" s="21" t="n">
        <v>461.68</v>
      </c>
      <c r="E22" s="21" t="n">
        <v>475.6</v>
      </c>
      <c r="F22" s="21" t="n">
        <v>489.52</v>
      </c>
      <c r="G22" s="21" t="n">
        <v>503.44</v>
      </c>
      <c r="H22" s="21" t="n">
        <v>517.36</v>
      </c>
      <c r="I22" s="21" t="n">
        <v>531.28</v>
      </c>
      <c r="J22" s="21" t="n">
        <v>545.2</v>
      </c>
      <c r="K22" s="21" t="n">
        <v>559.12</v>
      </c>
      <c r="L22" s="21" t="n">
        <v>573.04</v>
      </c>
      <c r="M22" s="21" t="n">
        <v>586.96</v>
      </c>
      <c r="N22" s="21" t="n">
        <v>600.88</v>
      </c>
      <c r="O22" s="21" t="n">
        <v>614.8</v>
      </c>
      <c r="P22" s="21" t="n">
        <v>628.72</v>
      </c>
      <c r="Q22" s="21" t="n">
        <v>642.64</v>
      </c>
      <c r="R22" s="21" t="n">
        <v>656.56</v>
      </c>
      <c r="S22" s="21" t="n">
        <v>670.48</v>
      </c>
      <c r="T22" s="21" t="n">
        <v>684.4</v>
      </c>
      <c r="U22" s="21" t="n">
        <v>698.32</v>
      </c>
      <c r="V22" s="21" t="n">
        <v>712.24</v>
      </c>
      <c r="W22" s="21" t="n">
        <v>726.16</v>
      </c>
      <c r="X22" s="21" t="n">
        <v>740.08</v>
      </c>
      <c r="Y22" s="21" t="n">
        <v>754</v>
      </c>
      <c r="Z22" s="21" t="n">
        <v>767.92</v>
      </c>
      <c r="AA22" s="21" t="n">
        <v>781.84</v>
      </c>
      <c r="AB22" s="21" t="n">
        <v>795.76</v>
      </c>
      <c r="AC22" s="21" t="n">
        <v>809.68</v>
      </c>
      <c r="AD22" s="21" t="n">
        <v>823.6</v>
      </c>
      <c r="AE22" s="21" t="n">
        <v>837.52</v>
      </c>
      <c r="AF22" s="21" t="n">
        <v>851.44</v>
      </c>
      <c r="AG22" s="21" t="n">
        <v>865.36</v>
      </c>
      <c r="AH22" s="21" t="n">
        <v>879.28</v>
      </c>
      <c r="AI22" s="21" t="n">
        <v>893.2</v>
      </c>
      <c r="AJ22" s="21" t="n">
        <v>907.12</v>
      </c>
      <c r="AK22" s="21" t="n">
        <v>921.04</v>
      </c>
      <c r="AL22" s="21" t="n">
        <v>934.96</v>
      </c>
      <c r="AM22" s="21" t="n">
        <v>948.88</v>
      </c>
      <c r="AN22" s="21" t="n">
        <v>962.8</v>
      </c>
      <c r="AO22" s="22" t="n">
        <f aca="false">SUM(C22:AN22)</f>
        <v>26800.64</v>
      </c>
      <c r="AP22" s="22" t="n">
        <f aca="false">AO22*0.25</f>
        <v>6700.16</v>
      </c>
    </row>
    <row r="23" customFormat="false" ht="15" hidden="false" customHeight="true" outlineLevel="0" collapsed="false">
      <c r="A23" s="1" t="s">
        <v>32</v>
      </c>
      <c r="B23" s="1" t="s">
        <v>115</v>
      </c>
      <c r="C23" s="21" t="n">
        <v>500.96</v>
      </c>
      <c r="D23" s="21" t="n">
        <v>515.84</v>
      </c>
      <c r="E23" s="21" t="n">
        <v>530.72</v>
      </c>
      <c r="F23" s="21" t="n">
        <v>545.6</v>
      </c>
      <c r="G23" s="21" t="n">
        <v>560.48</v>
      </c>
      <c r="H23" s="21" t="n">
        <v>575.36</v>
      </c>
      <c r="I23" s="21" t="n">
        <v>590.24</v>
      </c>
      <c r="J23" s="21" t="n">
        <v>605.12</v>
      </c>
      <c r="K23" s="21" t="n">
        <v>620</v>
      </c>
      <c r="L23" s="21" t="n">
        <v>634.88</v>
      </c>
      <c r="M23" s="21" t="n">
        <v>649.76</v>
      </c>
      <c r="N23" s="21" t="n">
        <v>664.64</v>
      </c>
      <c r="O23" s="21" t="n">
        <v>679.52</v>
      </c>
      <c r="P23" s="21" t="n">
        <v>694.4</v>
      </c>
      <c r="Q23" s="21" t="n">
        <v>709.28</v>
      </c>
      <c r="R23" s="21" t="n">
        <v>724.16</v>
      </c>
      <c r="S23" s="21" t="n">
        <v>739.04</v>
      </c>
      <c r="T23" s="21" t="n">
        <v>753.92</v>
      </c>
      <c r="U23" s="21" t="n">
        <v>768.8</v>
      </c>
      <c r="V23" s="21" t="n">
        <v>783.68</v>
      </c>
      <c r="W23" s="21" t="n">
        <v>798.56</v>
      </c>
      <c r="X23" s="21" t="n">
        <v>813.44</v>
      </c>
      <c r="Y23" s="21" t="n">
        <v>828.32</v>
      </c>
      <c r="Z23" s="21" t="n">
        <v>843.2</v>
      </c>
      <c r="AA23" s="21" t="n">
        <v>858.08</v>
      </c>
      <c r="AB23" s="21" t="n">
        <v>872.96</v>
      </c>
      <c r="AC23" s="21" t="n">
        <v>887.84</v>
      </c>
      <c r="AD23" s="21" t="n">
        <v>902.72</v>
      </c>
      <c r="AE23" s="21" t="n">
        <v>917.6</v>
      </c>
      <c r="AF23" s="21" t="n">
        <v>932.48</v>
      </c>
      <c r="AG23" s="21" t="n">
        <v>947.36</v>
      </c>
      <c r="AH23" s="21" t="n">
        <v>962.24</v>
      </c>
      <c r="AI23" s="21" t="n">
        <v>977.12</v>
      </c>
      <c r="AJ23" s="21" t="n">
        <v>992</v>
      </c>
      <c r="AK23" s="21" t="n">
        <v>1006.88</v>
      </c>
      <c r="AL23" s="21" t="n">
        <v>1021.76</v>
      </c>
      <c r="AM23" s="21" t="n">
        <v>1036.64</v>
      </c>
      <c r="AN23" s="21" t="n">
        <v>1051.52</v>
      </c>
      <c r="AO23" s="22" t="n">
        <f aca="false">SUM(C23:AN23)</f>
        <v>29497.12</v>
      </c>
      <c r="AP23" s="22" t="n">
        <f aca="false">AO23*0.25</f>
        <v>7374.28</v>
      </c>
    </row>
    <row r="24" customFormat="false" ht="15" hidden="false" customHeight="true" outlineLevel="0" collapsed="false">
      <c r="A24" s="1" t="s">
        <v>33</v>
      </c>
      <c r="B24" s="1" t="s">
        <v>116</v>
      </c>
      <c r="C24" s="21" t="n">
        <v>557.04</v>
      </c>
      <c r="D24" s="21" t="n">
        <v>572.88</v>
      </c>
      <c r="E24" s="21" t="n">
        <v>588.72</v>
      </c>
      <c r="F24" s="21" t="n">
        <v>604.56</v>
      </c>
      <c r="G24" s="21" t="n">
        <v>620.4</v>
      </c>
      <c r="H24" s="21" t="n">
        <v>636.24</v>
      </c>
      <c r="I24" s="21" t="n">
        <v>652.08</v>
      </c>
      <c r="J24" s="21" t="n">
        <v>667.92</v>
      </c>
      <c r="K24" s="21" t="n">
        <v>683.76</v>
      </c>
      <c r="L24" s="21" t="n">
        <v>699.6</v>
      </c>
      <c r="M24" s="21" t="n">
        <v>715.44</v>
      </c>
      <c r="N24" s="21" t="n">
        <v>731.28</v>
      </c>
      <c r="O24" s="21" t="n">
        <v>747.12</v>
      </c>
      <c r="P24" s="21" t="n">
        <v>762.96</v>
      </c>
      <c r="Q24" s="21" t="n">
        <v>778.8</v>
      </c>
      <c r="R24" s="21" t="n">
        <v>794.64</v>
      </c>
      <c r="S24" s="21" t="n">
        <v>810.48</v>
      </c>
      <c r="T24" s="21" t="n">
        <v>826.32</v>
      </c>
      <c r="U24" s="21" t="n">
        <v>842.16</v>
      </c>
      <c r="V24" s="21" t="n">
        <v>858</v>
      </c>
      <c r="W24" s="21" t="n">
        <v>873.84</v>
      </c>
      <c r="X24" s="21" t="n">
        <v>889.68</v>
      </c>
      <c r="Y24" s="21" t="n">
        <v>905.52</v>
      </c>
      <c r="Z24" s="21" t="n">
        <v>921.36</v>
      </c>
      <c r="AA24" s="21" t="n">
        <v>937.2</v>
      </c>
      <c r="AB24" s="21" t="n">
        <v>953.04</v>
      </c>
      <c r="AC24" s="21" t="n">
        <v>968.88</v>
      </c>
      <c r="AD24" s="21" t="n">
        <v>984.72</v>
      </c>
      <c r="AE24" s="21" t="n">
        <v>1000.56</v>
      </c>
      <c r="AF24" s="21" t="n">
        <v>1016.4</v>
      </c>
      <c r="AG24" s="21" t="n">
        <v>1032.24</v>
      </c>
      <c r="AH24" s="21" t="n">
        <v>1048.08</v>
      </c>
      <c r="AI24" s="21" t="n">
        <v>1063.92</v>
      </c>
      <c r="AJ24" s="21" t="n">
        <v>1079.76</v>
      </c>
      <c r="AK24" s="21" t="n">
        <v>1095.6</v>
      </c>
      <c r="AL24" s="21" t="n">
        <v>1111.44</v>
      </c>
      <c r="AM24" s="21" t="n">
        <v>1127.28</v>
      </c>
      <c r="AN24" s="21" t="n">
        <v>1143.12</v>
      </c>
      <c r="AO24" s="22" t="n">
        <f aca="false">SUM(C24:AN24)</f>
        <v>32303.04</v>
      </c>
      <c r="AP24" s="22" t="n">
        <f aca="false">AO24*0.25</f>
        <v>8075.76</v>
      </c>
    </row>
    <row r="25" customFormat="false" ht="15" hidden="false" customHeight="true" outlineLevel="0" collapsed="false">
      <c r="A25" s="1" t="s">
        <v>34</v>
      </c>
      <c r="B25" s="1" t="s">
        <v>117</v>
      </c>
      <c r="C25" s="21" t="n">
        <v>440</v>
      </c>
      <c r="D25" s="21" t="n">
        <v>452</v>
      </c>
      <c r="E25" s="21" t="n">
        <v>464</v>
      </c>
      <c r="F25" s="21" t="n">
        <v>476</v>
      </c>
      <c r="G25" s="21" t="n">
        <v>488</v>
      </c>
      <c r="H25" s="21" t="n">
        <v>500</v>
      </c>
      <c r="I25" s="21" t="n">
        <v>512</v>
      </c>
      <c r="J25" s="21" t="n">
        <v>524</v>
      </c>
      <c r="K25" s="21" t="n">
        <v>536</v>
      </c>
      <c r="L25" s="21" t="n">
        <v>548</v>
      </c>
      <c r="M25" s="21" t="n">
        <v>560</v>
      </c>
      <c r="N25" s="21" t="n">
        <v>572</v>
      </c>
      <c r="O25" s="21" t="n">
        <v>584</v>
      </c>
      <c r="P25" s="21" t="n">
        <v>596</v>
      </c>
      <c r="Q25" s="21" t="n">
        <v>608</v>
      </c>
      <c r="R25" s="21" t="n">
        <v>620</v>
      </c>
      <c r="S25" s="21" t="n">
        <v>632</v>
      </c>
      <c r="T25" s="21" t="n">
        <v>644</v>
      </c>
      <c r="U25" s="21" t="n">
        <v>656</v>
      </c>
      <c r="V25" s="21" t="n">
        <v>668</v>
      </c>
      <c r="W25" s="21" t="n">
        <v>680</v>
      </c>
      <c r="X25" s="21" t="n">
        <v>692</v>
      </c>
      <c r="Y25" s="21" t="n">
        <v>704</v>
      </c>
      <c r="Z25" s="21" t="n">
        <v>716</v>
      </c>
      <c r="AA25" s="21" t="n">
        <v>728</v>
      </c>
      <c r="AB25" s="21" t="n">
        <v>740</v>
      </c>
      <c r="AC25" s="21" t="n">
        <v>752</v>
      </c>
      <c r="AD25" s="21" t="n">
        <v>764</v>
      </c>
      <c r="AE25" s="21" t="n">
        <v>776</v>
      </c>
      <c r="AF25" s="21" t="n">
        <v>788</v>
      </c>
      <c r="AG25" s="21" t="n">
        <v>800</v>
      </c>
      <c r="AH25" s="21" t="n">
        <v>812</v>
      </c>
      <c r="AI25" s="21" t="n">
        <v>824</v>
      </c>
      <c r="AJ25" s="21" t="n">
        <v>836</v>
      </c>
      <c r="AK25" s="21" t="n">
        <v>848</v>
      </c>
      <c r="AL25" s="21" t="n">
        <v>860</v>
      </c>
      <c r="AM25" s="21" t="n">
        <v>872</v>
      </c>
      <c r="AN25" s="21" t="n">
        <v>884</v>
      </c>
      <c r="AO25" s="22" t="n">
        <f aca="false">SUM(C25:AN25)</f>
        <v>25156</v>
      </c>
      <c r="AP25" s="22" t="n">
        <f aca="false">AO25*0.25</f>
        <v>6289</v>
      </c>
    </row>
    <row r="26" customFormat="false" ht="15" hidden="false" customHeight="true" outlineLevel="0" collapsed="false">
      <c r="A26" s="1" t="s">
        <v>35</v>
      </c>
      <c r="B26" s="1" t="s">
        <v>118</v>
      </c>
      <c r="C26" s="21" t="n">
        <v>494.64</v>
      </c>
      <c r="D26" s="21" t="n">
        <v>507.6</v>
      </c>
      <c r="E26" s="21" t="n">
        <v>520.56</v>
      </c>
      <c r="F26" s="21" t="n">
        <v>533.52</v>
      </c>
      <c r="G26" s="21" t="n">
        <v>546.48</v>
      </c>
      <c r="H26" s="21" t="n">
        <v>559.44</v>
      </c>
      <c r="I26" s="21" t="n">
        <v>572.4</v>
      </c>
      <c r="J26" s="21" t="n">
        <v>585.36</v>
      </c>
      <c r="K26" s="21" t="n">
        <v>598.32</v>
      </c>
      <c r="L26" s="21" t="n">
        <v>611.28</v>
      </c>
      <c r="M26" s="21" t="n">
        <v>624.24</v>
      </c>
      <c r="N26" s="21" t="n">
        <v>637.2</v>
      </c>
      <c r="O26" s="21" t="n">
        <v>650.16</v>
      </c>
      <c r="P26" s="21" t="n">
        <v>663.12</v>
      </c>
      <c r="Q26" s="21" t="n">
        <v>676.08</v>
      </c>
      <c r="R26" s="21" t="n">
        <v>689.04</v>
      </c>
      <c r="S26" s="21" t="n">
        <v>702</v>
      </c>
      <c r="T26" s="21" t="n">
        <v>714.96</v>
      </c>
      <c r="U26" s="21" t="n">
        <v>727.92</v>
      </c>
      <c r="V26" s="21" t="n">
        <v>740.88</v>
      </c>
      <c r="W26" s="21" t="n">
        <v>753.84</v>
      </c>
      <c r="X26" s="21" t="n">
        <v>766.8</v>
      </c>
      <c r="Y26" s="21" t="n">
        <v>779.76</v>
      </c>
      <c r="Z26" s="21" t="n">
        <v>792.72</v>
      </c>
      <c r="AA26" s="21" t="n">
        <v>805.68</v>
      </c>
      <c r="AB26" s="21" t="n">
        <v>818.64</v>
      </c>
      <c r="AC26" s="21" t="n">
        <v>831.6</v>
      </c>
      <c r="AD26" s="21" t="n">
        <v>844.56</v>
      </c>
      <c r="AE26" s="21" t="n">
        <v>857.52</v>
      </c>
      <c r="AF26" s="21" t="n">
        <v>870.48</v>
      </c>
      <c r="AG26" s="21" t="n">
        <v>883.44</v>
      </c>
      <c r="AH26" s="21" t="n">
        <v>896.4</v>
      </c>
      <c r="AI26" s="21" t="n">
        <v>909.36</v>
      </c>
      <c r="AJ26" s="21" t="n">
        <v>922.32</v>
      </c>
      <c r="AK26" s="21" t="n">
        <v>935.28</v>
      </c>
      <c r="AL26" s="21" t="n">
        <v>948.24</v>
      </c>
      <c r="AM26" s="21" t="n">
        <v>961.2</v>
      </c>
      <c r="AN26" s="21" t="n">
        <v>974.16</v>
      </c>
      <c r="AO26" s="22" t="n">
        <f aca="false">SUM(C26:AN26)</f>
        <v>27907.2</v>
      </c>
      <c r="AP26" s="22" t="n">
        <f aca="false">AO26*0.25</f>
        <v>6976.8</v>
      </c>
    </row>
    <row r="27" customFormat="false" ht="15" hidden="false" customHeight="true" outlineLevel="0" collapsed="false">
      <c r="A27" s="1" t="s">
        <v>36</v>
      </c>
      <c r="B27" s="1" t="s">
        <v>119</v>
      </c>
      <c r="C27" s="21" t="n">
        <v>552.16</v>
      </c>
      <c r="D27" s="21" t="n">
        <v>566.08</v>
      </c>
      <c r="E27" s="21" t="n">
        <v>580</v>
      </c>
      <c r="F27" s="21" t="n">
        <v>593.92</v>
      </c>
      <c r="G27" s="21" t="n">
        <v>607.84</v>
      </c>
      <c r="H27" s="21" t="n">
        <v>621.76</v>
      </c>
      <c r="I27" s="21" t="n">
        <v>635.68</v>
      </c>
      <c r="J27" s="21" t="n">
        <v>649.6</v>
      </c>
      <c r="K27" s="21" t="n">
        <v>663.52</v>
      </c>
      <c r="L27" s="21" t="n">
        <v>677.44</v>
      </c>
      <c r="M27" s="21" t="n">
        <v>691.36</v>
      </c>
      <c r="N27" s="21" t="n">
        <v>705.28</v>
      </c>
      <c r="O27" s="21" t="n">
        <v>719.2</v>
      </c>
      <c r="P27" s="21" t="n">
        <v>733.12</v>
      </c>
      <c r="Q27" s="21" t="n">
        <v>747.04</v>
      </c>
      <c r="R27" s="21" t="n">
        <v>760.96</v>
      </c>
      <c r="S27" s="21" t="n">
        <v>774.88</v>
      </c>
      <c r="T27" s="21" t="n">
        <v>788.8</v>
      </c>
      <c r="U27" s="21" t="n">
        <v>802.72</v>
      </c>
      <c r="V27" s="21" t="n">
        <v>816.64</v>
      </c>
      <c r="W27" s="21" t="n">
        <v>830.56</v>
      </c>
      <c r="X27" s="21" t="n">
        <v>844.48</v>
      </c>
      <c r="Y27" s="21" t="n">
        <v>858.4</v>
      </c>
      <c r="Z27" s="21" t="n">
        <v>872.32</v>
      </c>
      <c r="AA27" s="21" t="n">
        <v>886.24</v>
      </c>
      <c r="AB27" s="21" t="n">
        <v>900.16</v>
      </c>
      <c r="AC27" s="21" t="n">
        <v>914.08</v>
      </c>
      <c r="AD27" s="21" t="n">
        <v>928</v>
      </c>
      <c r="AE27" s="21" t="n">
        <v>941.92</v>
      </c>
      <c r="AF27" s="21" t="n">
        <v>955.84</v>
      </c>
      <c r="AG27" s="21" t="n">
        <v>969.76</v>
      </c>
      <c r="AH27" s="21" t="n">
        <v>983.68</v>
      </c>
      <c r="AI27" s="21" t="n">
        <v>997.6</v>
      </c>
      <c r="AJ27" s="21" t="n">
        <v>1011.52</v>
      </c>
      <c r="AK27" s="21" t="n">
        <v>1025.44</v>
      </c>
      <c r="AL27" s="21" t="n">
        <v>1039.36</v>
      </c>
      <c r="AM27" s="21" t="n">
        <v>1053.28</v>
      </c>
      <c r="AN27" s="21" t="n">
        <v>1067.2</v>
      </c>
      <c r="AO27" s="22" t="n">
        <f aca="false">SUM(C27:AN27)</f>
        <v>30767.84</v>
      </c>
      <c r="AP27" s="22" t="n">
        <f aca="false">AO27*0.25</f>
        <v>7691.96</v>
      </c>
    </row>
    <row r="28" customFormat="false" ht="15" hidden="false" customHeight="true" outlineLevel="0" collapsed="false">
      <c r="A28" s="1" t="s">
        <v>37</v>
      </c>
      <c r="B28" s="1" t="s">
        <v>120</v>
      </c>
      <c r="C28" s="21" t="n">
        <v>612.56</v>
      </c>
      <c r="D28" s="21" t="n">
        <v>627.44</v>
      </c>
      <c r="E28" s="21" t="n">
        <v>642.32</v>
      </c>
      <c r="F28" s="21" t="n">
        <v>657.2</v>
      </c>
      <c r="G28" s="21" t="n">
        <v>672.08</v>
      </c>
      <c r="H28" s="21" t="n">
        <v>686.96</v>
      </c>
      <c r="I28" s="21" t="n">
        <v>701.84</v>
      </c>
      <c r="J28" s="21" t="n">
        <v>716.72</v>
      </c>
      <c r="K28" s="21" t="n">
        <v>731.6</v>
      </c>
      <c r="L28" s="21" t="n">
        <v>746.48</v>
      </c>
      <c r="M28" s="21" t="n">
        <v>761.36</v>
      </c>
      <c r="N28" s="21" t="n">
        <v>776.24</v>
      </c>
      <c r="O28" s="21" t="n">
        <v>791.12</v>
      </c>
      <c r="P28" s="21" t="n">
        <v>806</v>
      </c>
      <c r="Q28" s="21" t="n">
        <v>820.88</v>
      </c>
      <c r="R28" s="21" t="n">
        <v>835.76</v>
      </c>
      <c r="S28" s="21" t="n">
        <v>850.64</v>
      </c>
      <c r="T28" s="21" t="n">
        <v>865.52</v>
      </c>
      <c r="U28" s="21" t="n">
        <v>880.4</v>
      </c>
      <c r="V28" s="21" t="n">
        <v>895.28</v>
      </c>
      <c r="W28" s="21" t="n">
        <v>910.16</v>
      </c>
      <c r="X28" s="21" t="n">
        <v>925.04</v>
      </c>
      <c r="Y28" s="21" t="n">
        <v>939.92</v>
      </c>
      <c r="Z28" s="21" t="n">
        <v>954.8</v>
      </c>
      <c r="AA28" s="21" t="n">
        <v>969.68</v>
      </c>
      <c r="AB28" s="21" t="n">
        <v>984.56</v>
      </c>
      <c r="AC28" s="21" t="n">
        <v>999.44</v>
      </c>
      <c r="AD28" s="21" t="n">
        <v>1014.32</v>
      </c>
      <c r="AE28" s="21" t="n">
        <v>1029.2</v>
      </c>
      <c r="AF28" s="21" t="n">
        <v>1044.08</v>
      </c>
      <c r="AG28" s="21" t="n">
        <v>1058.96</v>
      </c>
      <c r="AH28" s="21" t="n">
        <v>1073.84</v>
      </c>
      <c r="AI28" s="21" t="n">
        <v>1088.72</v>
      </c>
      <c r="AJ28" s="21" t="n">
        <v>1103.6</v>
      </c>
      <c r="AK28" s="21" t="n">
        <v>1118.48</v>
      </c>
      <c r="AL28" s="21" t="n">
        <v>1133.36</v>
      </c>
      <c r="AM28" s="21" t="n">
        <v>1148.24</v>
      </c>
      <c r="AN28" s="21" t="n">
        <v>1163.12</v>
      </c>
      <c r="AO28" s="22" t="n">
        <f aca="false">SUM(C28:AN28)</f>
        <v>33737.92</v>
      </c>
      <c r="AP28" s="22" t="n">
        <f aca="false">AO28*0.25</f>
        <v>8434.48</v>
      </c>
    </row>
    <row r="29" customFormat="false" ht="15" hidden="false" customHeight="true" outlineLevel="0" collapsed="false">
      <c r="A29" s="1" t="s">
        <v>38</v>
      </c>
      <c r="B29" s="1" t="s">
        <v>121</v>
      </c>
      <c r="C29" s="21" t="n">
        <v>675.84</v>
      </c>
      <c r="D29" s="21" t="n">
        <v>691.68</v>
      </c>
      <c r="E29" s="21" t="n">
        <v>707.52</v>
      </c>
      <c r="F29" s="21" t="n">
        <v>723.36</v>
      </c>
      <c r="G29" s="21" t="n">
        <v>739.2</v>
      </c>
      <c r="H29" s="21" t="n">
        <v>755.04</v>
      </c>
      <c r="I29" s="21" t="n">
        <v>770.88</v>
      </c>
      <c r="J29" s="21" t="n">
        <v>786.72</v>
      </c>
      <c r="K29" s="21" t="n">
        <v>802.56</v>
      </c>
      <c r="L29" s="21" t="n">
        <v>818.4</v>
      </c>
      <c r="M29" s="21" t="n">
        <v>834.24</v>
      </c>
      <c r="N29" s="21" t="n">
        <v>850.08</v>
      </c>
      <c r="O29" s="21" t="n">
        <v>865.92</v>
      </c>
      <c r="P29" s="21" t="n">
        <v>881.76</v>
      </c>
      <c r="Q29" s="21" t="n">
        <v>897.6</v>
      </c>
      <c r="R29" s="21" t="n">
        <v>913.44</v>
      </c>
      <c r="S29" s="21" t="n">
        <v>929.28</v>
      </c>
      <c r="T29" s="21" t="n">
        <v>945.12</v>
      </c>
      <c r="U29" s="21" t="n">
        <v>960.96</v>
      </c>
      <c r="V29" s="21" t="n">
        <v>976.8</v>
      </c>
      <c r="W29" s="21" t="n">
        <v>992.64</v>
      </c>
      <c r="X29" s="21" t="n">
        <v>1008.48</v>
      </c>
      <c r="Y29" s="21" t="n">
        <v>1024.32</v>
      </c>
      <c r="Z29" s="21" t="n">
        <v>1040.16</v>
      </c>
      <c r="AA29" s="21" t="n">
        <v>1056</v>
      </c>
      <c r="AB29" s="21" t="n">
        <v>1071.84</v>
      </c>
      <c r="AC29" s="21" t="n">
        <v>1087.68</v>
      </c>
      <c r="AD29" s="21" t="n">
        <v>1103.52</v>
      </c>
      <c r="AE29" s="21" t="n">
        <v>1119.36</v>
      </c>
      <c r="AF29" s="21" t="n">
        <v>1135.2</v>
      </c>
      <c r="AG29" s="21" t="n">
        <v>1151.04</v>
      </c>
      <c r="AH29" s="21" t="n">
        <v>1166.88</v>
      </c>
      <c r="AI29" s="21" t="n">
        <v>1182.72</v>
      </c>
      <c r="AJ29" s="21" t="n">
        <v>1198.56</v>
      </c>
      <c r="AK29" s="21" t="n">
        <v>1214.4</v>
      </c>
      <c r="AL29" s="21" t="n">
        <v>1230.24</v>
      </c>
      <c r="AM29" s="21" t="n">
        <v>1246.08</v>
      </c>
      <c r="AN29" s="21" t="n">
        <v>1261.92</v>
      </c>
      <c r="AO29" s="22" t="n">
        <f aca="false">SUM(C29:AN29)</f>
        <v>36817.44</v>
      </c>
      <c r="AP29" s="22" t="n">
        <f aca="false">AO29*0.25</f>
        <v>9204.36</v>
      </c>
    </row>
    <row r="30" customFormat="false" ht="15" hidden="false" customHeight="true" outlineLevel="0" collapsed="false">
      <c r="A30" s="1" t="s">
        <v>39</v>
      </c>
      <c r="B30" s="1" t="s">
        <v>122</v>
      </c>
      <c r="C30" s="21" t="n">
        <v>530</v>
      </c>
      <c r="D30" s="21" t="n">
        <v>542</v>
      </c>
      <c r="E30" s="21" t="n">
        <v>554</v>
      </c>
      <c r="F30" s="21" t="n">
        <v>566</v>
      </c>
      <c r="G30" s="21" t="n">
        <v>578</v>
      </c>
      <c r="H30" s="21" t="n">
        <v>590</v>
      </c>
      <c r="I30" s="21" t="n">
        <v>602</v>
      </c>
      <c r="J30" s="21" t="n">
        <v>614</v>
      </c>
      <c r="K30" s="21" t="n">
        <v>626</v>
      </c>
      <c r="L30" s="21" t="n">
        <v>638</v>
      </c>
      <c r="M30" s="21" t="n">
        <v>650</v>
      </c>
      <c r="N30" s="21" t="n">
        <v>662</v>
      </c>
      <c r="O30" s="21" t="n">
        <v>674</v>
      </c>
      <c r="P30" s="21" t="n">
        <v>686</v>
      </c>
      <c r="Q30" s="21" t="n">
        <v>698</v>
      </c>
      <c r="R30" s="21" t="n">
        <v>710</v>
      </c>
      <c r="S30" s="21" t="n">
        <v>722</v>
      </c>
      <c r="T30" s="21" t="n">
        <v>734</v>
      </c>
      <c r="U30" s="21" t="n">
        <v>746</v>
      </c>
      <c r="V30" s="21" t="n">
        <v>758</v>
      </c>
      <c r="W30" s="21" t="n">
        <v>770</v>
      </c>
      <c r="X30" s="21" t="n">
        <v>782</v>
      </c>
      <c r="Y30" s="21" t="n">
        <v>794</v>
      </c>
      <c r="Z30" s="21" t="n">
        <v>806</v>
      </c>
      <c r="AA30" s="21" t="n">
        <v>818</v>
      </c>
      <c r="AB30" s="21" t="n">
        <v>830</v>
      </c>
      <c r="AC30" s="21" t="n">
        <v>842</v>
      </c>
      <c r="AD30" s="21" t="n">
        <v>854</v>
      </c>
      <c r="AE30" s="21" t="n">
        <v>866</v>
      </c>
      <c r="AF30" s="21" t="n">
        <v>878</v>
      </c>
      <c r="AG30" s="21" t="n">
        <v>890</v>
      </c>
      <c r="AH30" s="21" t="n">
        <v>902</v>
      </c>
      <c r="AI30" s="21" t="n">
        <v>914</v>
      </c>
      <c r="AJ30" s="21" t="n">
        <v>926</v>
      </c>
      <c r="AK30" s="21" t="n">
        <v>938</v>
      </c>
      <c r="AL30" s="21" t="n">
        <v>950</v>
      </c>
      <c r="AM30" s="21" t="n">
        <v>962</v>
      </c>
      <c r="AN30" s="21" t="n">
        <v>974</v>
      </c>
      <c r="AO30" s="22" t="n">
        <f aca="false">SUM(C30:AN30)</f>
        <v>28576</v>
      </c>
      <c r="AP30" s="22" t="n">
        <f aca="false">AO30*0.25</f>
        <v>7144</v>
      </c>
    </row>
    <row r="31" customFormat="false" ht="15" hidden="false" customHeight="true" outlineLevel="0" collapsed="false">
      <c r="A31" s="1" t="s">
        <v>40</v>
      </c>
      <c r="B31" s="1" t="s">
        <v>123</v>
      </c>
      <c r="C31" s="21" t="n">
        <v>591.84</v>
      </c>
      <c r="D31" s="21" t="n">
        <v>604.8</v>
      </c>
      <c r="E31" s="21" t="n">
        <v>617.76</v>
      </c>
      <c r="F31" s="21" t="n">
        <v>630.72</v>
      </c>
      <c r="G31" s="21" t="n">
        <v>643.68</v>
      </c>
      <c r="H31" s="21" t="n">
        <v>656.64</v>
      </c>
      <c r="I31" s="21" t="n">
        <v>669.6</v>
      </c>
      <c r="J31" s="21" t="n">
        <v>682.56</v>
      </c>
      <c r="K31" s="21" t="n">
        <v>695.52</v>
      </c>
      <c r="L31" s="21" t="n">
        <v>708.48</v>
      </c>
      <c r="M31" s="21" t="n">
        <v>721.44</v>
      </c>
      <c r="N31" s="21" t="n">
        <v>734.4</v>
      </c>
      <c r="O31" s="21" t="n">
        <v>747.36</v>
      </c>
      <c r="P31" s="21" t="n">
        <v>760.32</v>
      </c>
      <c r="Q31" s="21" t="n">
        <v>773.28</v>
      </c>
      <c r="R31" s="21" t="n">
        <v>786.24</v>
      </c>
      <c r="S31" s="21" t="n">
        <v>799.2</v>
      </c>
      <c r="T31" s="21" t="n">
        <v>812.16</v>
      </c>
      <c r="U31" s="21" t="n">
        <v>825.12</v>
      </c>
      <c r="V31" s="21" t="n">
        <v>838.08</v>
      </c>
      <c r="W31" s="21" t="n">
        <v>851.04</v>
      </c>
      <c r="X31" s="21" t="n">
        <v>864</v>
      </c>
      <c r="Y31" s="21" t="n">
        <v>876.96</v>
      </c>
      <c r="Z31" s="21" t="n">
        <v>889.92</v>
      </c>
      <c r="AA31" s="21" t="n">
        <v>902.88</v>
      </c>
      <c r="AB31" s="21" t="n">
        <v>915.84</v>
      </c>
      <c r="AC31" s="21" t="n">
        <v>928.8</v>
      </c>
      <c r="AD31" s="21" t="n">
        <v>941.76</v>
      </c>
      <c r="AE31" s="21" t="n">
        <v>954.72</v>
      </c>
      <c r="AF31" s="21" t="n">
        <v>967.68</v>
      </c>
      <c r="AG31" s="21" t="n">
        <v>980.64</v>
      </c>
      <c r="AH31" s="21" t="n">
        <v>993.6</v>
      </c>
      <c r="AI31" s="21" t="n">
        <v>1006.56</v>
      </c>
      <c r="AJ31" s="21" t="n">
        <v>1019.52</v>
      </c>
      <c r="AK31" s="21" t="n">
        <v>1032.48</v>
      </c>
      <c r="AL31" s="21" t="n">
        <v>1045.44</v>
      </c>
      <c r="AM31" s="21" t="n">
        <v>1058.4</v>
      </c>
      <c r="AN31" s="21" t="n">
        <v>1071.36</v>
      </c>
      <c r="AO31" s="22" t="n">
        <f aca="false">SUM(C31:AN31)</f>
        <v>31600.8</v>
      </c>
      <c r="AP31" s="22" t="n">
        <f aca="false">AO31*0.25</f>
        <v>7900.2</v>
      </c>
    </row>
    <row r="32" customFormat="false" ht="15" hidden="false" customHeight="true" outlineLevel="0" collapsed="false">
      <c r="A32" s="1" t="s">
        <v>41</v>
      </c>
      <c r="B32" s="1" t="s">
        <v>124</v>
      </c>
      <c r="C32" s="21" t="n">
        <v>656.56</v>
      </c>
      <c r="D32" s="21" t="n">
        <v>670.48</v>
      </c>
      <c r="E32" s="21" t="n">
        <v>684.4</v>
      </c>
      <c r="F32" s="21" t="n">
        <v>698.32</v>
      </c>
      <c r="G32" s="21" t="n">
        <v>712.24</v>
      </c>
      <c r="H32" s="21" t="n">
        <v>726.16</v>
      </c>
      <c r="I32" s="21" t="n">
        <v>740.08</v>
      </c>
      <c r="J32" s="21" t="n">
        <v>754</v>
      </c>
      <c r="K32" s="21" t="n">
        <v>767.92</v>
      </c>
      <c r="L32" s="21" t="n">
        <v>781.84</v>
      </c>
      <c r="M32" s="21" t="n">
        <v>795.76</v>
      </c>
      <c r="N32" s="21" t="n">
        <v>809.68</v>
      </c>
      <c r="O32" s="21" t="n">
        <v>823.6</v>
      </c>
      <c r="P32" s="21" t="n">
        <v>837.52</v>
      </c>
      <c r="Q32" s="21" t="n">
        <v>851.44</v>
      </c>
      <c r="R32" s="21" t="n">
        <v>865.36</v>
      </c>
      <c r="S32" s="21" t="n">
        <v>879.28</v>
      </c>
      <c r="T32" s="21" t="n">
        <v>893.2</v>
      </c>
      <c r="U32" s="21" t="n">
        <v>907.12</v>
      </c>
      <c r="V32" s="21" t="n">
        <v>921.04</v>
      </c>
      <c r="W32" s="21" t="n">
        <v>934.96</v>
      </c>
      <c r="X32" s="21" t="n">
        <v>948.88</v>
      </c>
      <c r="Y32" s="21" t="n">
        <v>962.8</v>
      </c>
      <c r="Z32" s="21" t="n">
        <v>976.72</v>
      </c>
      <c r="AA32" s="21" t="n">
        <v>990.64</v>
      </c>
      <c r="AB32" s="21" t="n">
        <v>1004.56</v>
      </c>
      <c r="AC32" s="21" t="n">
        <v>1018.48</v>
      </c>
      <c r="AD32" s="21" t="n">
        <v>1032.4</v>
      </c>
      <c r="AE32" s="21" t="n">
        <v>1046.32</v>
      </c>
      <c r="AF32" s="21" t="n">
        <v>1060.24</v>
      </c>
      <c r="AG32" s="21" t="n">
        <v>1074.16</v>
      </c>
      <c r="AH32" s="21" t="n">
        <v>1088.08</v>
      </c>
      <c r="AI32" s="21" t="n">
        <v>1102</v>
      </c>
      <c r="AJ32" s="21" t="n">
        <v>1115.92</v>
      </c>
      <c r="AK32" s="21" t="n">
        <v>1129.84</v>
      </c>
      <c r="AL32" s="21" t="n">
        <v>1143.76</v>
      </c>
      <c r="AM32" s="21" t="n">
        <v>1157.68</v>
      </c>
      <c r="AN32" s="21" t="n">
        <v>1171.6</v>
      </c>
      <c r="AO32" s="22" t="n">
        <f aca="false">SUM(C32:AN32)</f>
        <v>34735.04</v>
      </c>
      <c r="AP32" s="22" t="n">
        <f aca="false">AO32*0.25</f>
        <v>8683.76</v>
      </c>
    </row>
    <row r="33" customFormat="false" ht="15" hidden="false" customHeight="true" outlineLevel="0" collapsed="false">
      <c r="A33" s="1" t="s">
        <v>42</v>
      </c>
      <c r="B33" s="1" t="s">
        <v>125</v>
      </c>
      <c r="C33" s="21" t="n">
        <v>724.16</v>
      </c>
      <c r="D33" s="21" t="n">
        <v>739.04</v>
      </c>
      <c r="E33" s="21" t="n">
        <v>753.92</v>
      </c>
      <c r="F33" s="21" t="n">
        <v>768.8</v>
      </c>
      <c r="G33" s="21" t="n">
        <v>783.68</v>
      </c>
      <c r="H33" s="21" t="n">
        <v>798.56</v>
      </c>
      <c r="I33" s="21" t="n">
        <v>813.44</v>
      </c>
      <c r="J33" s="21" t="n">
        <v>828.32</v>
      </c>
      <c r="K33" s="21" t="n">
        <v>843.2</v>
      </c>
      <c r="L33" s="21" t="n">
        <v>858.08</v>
      </c>
      <c r="M33" s="21" t="n">
        <v>872.96</v>
      </c>
      <c r="N33" s="21" t="n">
        <v>887.84</v>
      </c>
      <c r="O33" s="21" t="n">
        <v>902.72</v>
      </c>
      <c r="P33" s="21" t="n">
        <v>917.6</v>
      </c>
      <c r="Q33" s="21" t="n">
        <v>932.48</v>
      </c>
      <c r="R33" s="21" t="n">
        <v>947.36</v>
      </c>
      <c r="S33" s="21" t="n">
        <v>962.24</v>
      </c>
      <c r="T33" s="21" t="n">
        <v>977.12</v>
      </c>
      <c r="U33" s="21" t="n">
        <v>992</v>
      </c>
      <c r="V33" s="21" t="n">
        <v>1006.88</v>
      </c>
      <c r="W33" s="21" t="n">
        <v>1021.76</v>
      </c>
      <c r="X33" s="21" t="n">
        <v>1036.64</v>
      </c>
      <c r="Y33" s="21" t="n">
        <v>1051.52</v>
      </c>
      <c r="Z33" s="21" t="n">
        <v>1066.4</v>
      </c>
      <c r="AA33" s="21" t="n">
        <v>1081.28</v>
      </c>
      <c r="AB33" s="21" t="n">
        <v>1096.16</v>
      </c>
      <c r="AC33" s="21" t="n">
        <v>1111.04</v>
      </c>
      <c r="AD33" s="21" t="n">
        <v>1125.92</v>
      </c>
      <c r="AE33" s="21" t="n">
        <v>1140.8</v>
      </c>
      <c r="AF33" s="21" t="n">
        <v>1155.68</v>
      </c>
      <c r="AG33" s="21" t="n">
        <v>1170.56</v>
      </c>
      <c r="AH33" s="21" t="n">
        <v>1185.44</v>
      </c>
      <c r="AI33" s="21" t="n">
        <v>1200.32</v>
      </c>
      <c r="AJ33" s="21" t="n">
        <v>1215.2</v>
      </c>
      <c r="AK33" s="21" t="n">
        <v>1230.08</v>
      </c>
      <c r="AL33" s="21" t="n">
        <v>1244.96</v>
      </c>
      <c r="AM33" s="21" t="n">
        <v>1259.84</v>
      </c>
      <c r="AN33" s="21" t="n">
        <v>1274.72</v>
      </c>
      <c r="AO33" s="22" t="n">
        <f aca="false">SUM(C33:AN33)</f>
        <v>37978.72</v>
      </c>
      <c r="AP33" s="22" t="n">
        <f aca="false">AO33*0.25</f>
        <v>9494.68</v>
      </c>
    </row>
    <row r="34" customFormat="false" ht="15" hidden="false" customHeight="true" outlineLevel="0" collapsed="false">
      <c r="A34" s="1" t="s">
        <v>43</v>
      </c>
      <c r="B34" s="1" t="s">
        <v>126</v>
      </c>
      <c r="C34" s="21" t="n">
        <v>794.64</v>
      </c>
      <c r="D34" s="21" t="n">
        <v>810.48</v>
      </c>
      <c r="E34" s="21" t="n">
        <v>826.32</v>
      </c>
      <c r="F34" s="21" t="n">
        <v>842.16</v>
      </c>
      <c r="G34" s="21" t="n">
        <v>858</v>
      </c>
      <c r="H34" s="21" t="n">
        <v>873.84</v>
      </c>
      <c r="I34" s="21" t="n">
        <v>889.68</v>
      </c>
      <c r="J34" s="21" t="n">
        <v>905.52</v>
      </c>
      <c r="K34" s="21" t="n">
        <v>921.36</v>
      </c>
      <c r="L34" s="21" t="n">
        <v>937.2</v>
      </c>
      <c r="M34" s="21" t="n">
        <v>953.04</v>
      </c>
      <c r="N34" s="21" t="n">
        <v>968.88</v>
      </c>
      <c r="O34" s="21" t="n">
        <v>984.72</v>
      </c>
      <c r="P34" s="21" t="n">
        <v>1000.56</v>
      </c>
      <c r="Q34" s="21" t="n">
        <v>1016.4</v>
      </c>
      <c r="R34" s="21" t="n">
        <v>1032.24</v>
      </c>
      <c r="S34" s="21" t="n">
        <v>1048.08</v>
      </c>
      <c r="T34" s="21" t="n">
        <v>1063.92</v>
      </c>
      <c r="U34" s="21" t="n">
        <v>1079.76</v>
      </c>
      <c r="V34" s="21" t="n">
        <v>1095.6</v>
      </c>
      <c r="W34" s="21" t="n">
        <v>1111.44</v>
      </c>
      <c r="X34" s="21" t="n">
        <v>1127.28</v>
      </c>
      <c r="Y34" s="21" t="n">
        <v>1143.12</v>
      </c>
      <c r="Z34" s="21" t="n">
        <v>1158.96</v>
      </c>
      <c r="AA34" s="21" t="n">
        <v>1174.8</v>
      </c>
      <c r="AB34" s="21" t="n">
        <v>1190.64</v>
      </c>
      <c r="AC34" s="21" t="n">
        <v>1206.48</v>
      </c>
      <c r="AD34" s="21" t="n">
        <v>1222.32</v>
      </c>
      <c r="AE34" s="21" t="n">
        <v>1238.16</v>
      </c>
      <c r="AF34" s="21" t="n">
        <v>1254</v>
      </c>
      <c r="AG34" s="21" t="n">
        <v>1269.84</v>
      </c>
      <c r="AH34" s="21" t="n">
        <v>1285.68</v>
      </c>
      <c r="AI34" s="21" t="n">
        <v>1301.52</v>
      </c>
      <c r="AJ34" s="21" t="n">
        <v>1317.36</v>
      </c>
      <c r="AK34" s="21" t="n">
        <v>1333.2</v>
      </c>
      <c r="AL34" s="21" t="n">
        <v>1349.04</v>
      </c>
      <c r="AM34" s="21" t="n">
        <v>1364.88</v>
      </c>
      <c r="AN34" s="21" t="n">
        <v>1380.72</v>
      </c>
      <c r="AO34" s="22" t="n">
        <f aca="false">SUM(C34:AN34)</f>
        <v>41331.84</v>
      </c>
      <c r="AP34" s="22" t="n">
        <f aca="false">AO34*0.25</f>
        <v>10332.96</v>
      </c>
    </row>
    <row r="35" customFormat="false" ht="15" hidden="false" customHeight="true" outlineLevel="0" collapsed="false">
      <c r="A35" s="1" t="s">
        <v>44</v>
      </c>
      <c r="B35" s="1" t="s">
        <v>127</v>
      </c>
      <c r="C35" s="21" t="n">
        <v>620</v>
      </c>
      <c r="D35" s="21" t="n">
        <v>632</v>
      </c>
      <c r="E35" s="21" t="n">
        <v>644</v>
      </c>
      <c r="F35" s="21" t="n">
        <v>656</v>
      </c>
      <c r="G35" s="21" t="n">
        <v>668</v>
      </c>
      <c r="H35" s="21" t="n">
        <v>680</v>
      </c>
      <c r="I35" s="21" t="n">
        <v>692</v>
      </c>
      <c r="J35" s="21" t="n">
        <v>704</v>
      </c>
      <c r="K35" s="21" t="n">
        <v>716</v>
      </c>
      <c r="L35" s="21" t="n">
        <v>728</v>
      </c>
      <c r="M35" s="21" t="n">
        <v>740</v>
      </c>
      <c r="N35" s="21" t="n">
        <v>752</v>
      </c>
      <c r="O35" s="21" t="n">
        <v>764</v>
      </c>
      <c r="P35" s="21" t="n">
        <v>776</v>
      </c>
      <c r="Q35" s="21" t="n">
        <v>788</v>
      </c>
      <c r="R35" s="21" t="n">
        <v>800</v>
      </c>
      <c r="S35" s="21" t="n">
        <v>812</v>
      </c>
      <c r="T35" s="21" t="n">
        <v>824</v>
      </c>
      <c r="U35" s="21" t="n">
        <v>836</v>
      </c>
      <c r="V35" s="21" t="n">
        <v>848</v>
      </c>
      <c r="W35" s="21" t="n">
        <v>860</v>
      </c>
      <c r="X35" s="21" t="n">
        <v>872</v>
      </c>
      <c r="Y35" s="21" t="n">
        <v>884</v>
      </c>
      <c r="Z35" s="21" t="n">
        <v>896</v>
      </c>
      <c r="AA35" s="21" t="n">
        <v>908</v>
      </c>
      <c r="AB35" s="21" t="n">
        <v>920</v>
      </c>
      <c r="AC35" s="21" t="n">
        <v>932</v>
      </c>
      <c r="AD35" s="21" t="n">
        <v>944</v>
      </c>
      <c r="AE35" s="21" t="n">
        <v>956</v>
      </c>
      <c r="AF35" s="21" t="n">
        <v>968</v>
      </c>
      <c r="AG35" s="21" t="n">
        <v>980</v>
      </c>
      <c r="AH35" s="21" t="n">
        <v>992</v>
      </c>
      <c r="AI35" s="21" t="n">
        <v>1004</v>
      </c>
      <c r="AJ35" s="21" t="n">
        <v>1016</v>
      </c>
      <c r="AK35" s="21" t="n">
        <v>1028</v>
      </c>
      <c r="AL35" s="21" t="n">
        <v>1040</v>
      </c>
      <c r="AM35" s="21" t="n">
        <v>1052</v>
      </c>
      <c r="AN35" s="21" t="n">
        <v>1064</v>
      </c>
      <c r="AO35" s="22" t="n">
        <f aca="false">SUM(C35:AN35)</f>
        <v>31996</v>
      </c>
      <c r="AP35" s="22" t="n">
        <f aca="false">AO35*0.25</f>
        <v>7999</v>
      </c>
    </row>
    <row r="36" customFormat="false" ht="15" hidden="false" customHeight="true" outlineLevel="0" collapsed="false">
      <c r="A36" s="1" t="s">
        <v>45</v>
      </c>
      <c r="B36" s="1" t="s">
        <v>128</v>
      </c>
      <c r="C36" s="21" t="n">
        <v>689.04</v>
      </c>
      <c r="D36" s="21" t="n">
        <v>702</v>
      </c>
      <c r="E36" s="21" t="n">
        <v>714.96</v>
      </c>
      <c r="F36" s="21" t="n">
        <v>727.92</v>
      </c>
      <c r="G36" s="21" t="n">
        <v>740.88</v>
      </c>
      <c r="H36" s="21" t="n">
        <v>753.84</v>
      </c>
      <c r="I36" s="21" t="n">
        <v>766.8</v>
      </c>
      <c r="J36" s="21" t="n">
        <v>779.76</v>
      </c>
      <c r="K36" s="21" t="n">
        <v>792.72</v>
      </c>
      <c r="L36" s="21" t="n">
        <v>805.68</v>
      </c>
      <c r="M36" s="21" t="n">
        <v>818.64</v>
      </c>
      <c r="N36" s="21" t="n">
        <v>831.6</v>
      </c>
      <c r="O36" s="21" t="n">
        <v>844.56</v>
      </c>
      <c r="P36" s="21" t="n">
        <v>857.52</v>
      </c>
      <c r="Q36" s="21" t="n">
        <v>870.48</v>
      </c>
      <c r="R36" s="21" t="n">
        <v>883.44</v>
      </c>
      <c r="S36" s="21" t="n">
        <v>896.4</v>
      </c>
      <c r="T36" s="21" t="n">
        <v>909.36</v>
      </c>
      <c r="U36" s="21" t="n">
        <v>922.32</v>
      </c>
      <c r="V36" s="21" t="n">
        <v>935.28</v>
      </c>
      <c r="W36" s="21" t="n">
        <v>948.24</v>
      </c>
      <c r="X36" s="21" t="n">
        <v>961.2</v>
      </c>
      <c r="Y36" s="21" t="n">
        <v>974.16</v>
      </c>
      <c r="Z36" s="21" t="n">
        <v>987.12</v>
      </c>
      <c r="AA36" s="21" t="n">
        <v>1000.08</v>
      </c>
      <c r="AB36" s="21" t="n">
        <v>1013.04</v>
      </c>
      <c r="AC36" s="21" t="n">
        <v>1026</v>
      </c>
      <c r="AD36" s="21" t="n">
        <v>1038.96</v>
      </c>
      <c r="AE36" s="21" t="n">
        <v>1051.92</v>
      </c>
      <c r="AF36" s="21" t="n">
        <v>1064.88</v>
      </c>
      <c r="AG36" s="21" t="n">
        <v>1077.84</v>
      </c>
      <c r="AH36" s="21" t="n">
        <v>1090.8</v>
      </c>
      <c r="AI36" s="21" t="n">
        <v>1103.76</v>
      </c>
      <c r="AJ36" s="21" t="n">
        <v>1116.72</v>
      </c>
      <c r="AK36" s="21" t="n">
        <v>1129.68</v>
      </c>
      <c r="AL36" s="21" t="n">
        <v>1142.64</v>
      </c>
      <c r="AM36" s="21" t="n">
        <v>1155.6</v>
      </c>
      <c r="AN36" s="21" t="n">
        <v>1168.56</v>
      </c>
      <c r="AO36" s="22" t="n">
        <f aca="false">SUM(C36:AN36)</f>
        <v>35294.4</v>
      </c>
      <c r="AP36" s="22" t="n">
        <f aca="false">AO36*0.25</f>
        <v>8823.6</v>
      </c>
    </row>
    <row r="37" customFormat="false" ht="15" hidden="false" customHeight="true" outlineLevel="0" collapsed="false">
      <c r="A37" s="1" t="s">
        <v>46</v>
      </c>
      <c r="B37" s="1" t="s">
        <v>129</v>
      </c>
      <c r="C37" s="21" t="n">
        <v>760.96</v>
      </c>
      <c r="D37" s="21" t="n">
        <v>774.88</v>
      </c>
      <c r="E37" s="21" t="n">
        <v>788.8</v>
      </c>
      <c r="F37" s="21" t="n">
        <v>802.72</v>
      </c>
      <c r="G37" s="21" t="n">
        <v>816.64</v>
      </c>
      <c r="H37" s="21" t="n">
        <v>830.56</v>
      </c>
      <c r="I37" s="21" t="n">
        <v>844.48</v>
      </c>
      <c r="J37" s="21" t="n">
        <v>858.4</v>
      </c>
      <c r="K37" s="21" t="n">
        <v>872.32</v>
      </c>
      <c r="L37" s="21" t="n">
        <v>886.24</v>
      </c>
      <c r="M37" s="21" t="n">
        <v>900.16</v>
      </c>
      <c r="N37" s="21" t="n">
        <v>914.08</v>
      </c>
      <c r="O37" s="21" t="n">
        <v>928</v>
      </c>
      <c r="P37" s="21" t="n">
        <v>941.92</v>
      </c>
      <c r="Q37" s="21" t="n">
        <v>955.84</v>
      </c>
      <c r="R37" s="21" t="n">
        <v>969.76</v>
      </c>
      <c r="S37" s="21" t="n">
        <v>983.68</v>
      </c>
      <c r="T37" s="21" t="n">
        <v>997.6</v>
      </c>
      <c r="U37" s="21" t="n">
        <v>1011.52</v>
      </c>
      <c r="V37" s="21" t="n">
        <v>1025.44</v>
      </c>
      <c r="W37" s="21" t="n">
        <v>1039.36</v>
      </c>
      <c r="X37" s="21" t="n">
        <v>1053.28</v>
      </c>
      <c r="Y37" s="21" t="n">
        <v>1067.2</v>
      </c>
      <c r="Z37" s="21" t="n">
        <v>1081.12</v>
      </c>
      <c r="AA37" s="21" t="n">
        <v>1095.04</v>
      </c>
      <c r="AB37" s="21" t="n">
        <v>1108.96</v>
      </c>
      <c r="AC37" s="21" t="n">
        <v>1122.88</v>
      </c>
      <c r="AD37" s="21" t="n">
        <v>1136.8</v>
      </c>
      <c r="AE37" s="21" t="n">
        <v>1150.72</v>
      </c>
      <c r="AF37" s="21" t="n">
        <v>1164.64</v>
      </c>
      <c r="AG37" s="21" t="n">
        <v>1178.56</v>
      </c>
      <c r="AH37" s="21" t="n">
        <v>1192.48</v>
      </c>
      <c r="AI37" s="21" t="n">
        <v>1206.4</v>
      </c>
      <c r="AJ37" s="21" t="n">
        <v>1220.32</v>
      </c>
      <c r="AK37" s="21" t="n">
        <v>1234.24</v>
      </c>
      <c r="AL37" s="21" t="n">
        <v>1248.16</v>
      </c>
      <c r="AM37" s="21" t="n">
        <v>1262.08</v>
      </c>
      <c r="AN37" s="21" t="n">
        <v>1276</v>
      </c>
      <c r="AO37" s="22" t="n">
        <f aca="false">SUM(C37:AN37)</f>
        <v>38702.24</v>
      </c>
      <c r="AP37" s="22" t="n">
        <f aca="false">AO37*0.25</f>
        <v>9675.56</v>
      </c>
    </row>
    <row r="38" customFormat="false" ht="15" hidden="false" customHeight="true" outlineLevel="0" collapsed="false">
      <c r="A38" s="1" t="s">
        <v>47</v>
      </c>
      <c r="B38" s="1" t="s">
        <v>130</v>
      </c>
      <c r="C38" s="21" t="n">
        <v>835.76</v>
      </c>
      <c r="D38" s="21" t="n">
        <v>850.64</v>
      </c>
      <c r="E38" s="21" t="n">
        <v>865.52</v>
      </c>
      <c r="F38" s="21" t="n">
        <v>880.4</v>
      </c>
      <c r="G38" s="21" t="n">
        <v>895.28</v>
      </c>
      <c r="H38" s="21" t="n">
        <v>910.16</v>
      </c>
      <c r="I38" s="21" t="n">
        <v>925.04</v>
      </c>
      <c r="J38" s="21" t="n">
        <v>939.92</v>
      </c>
      <c r="K38" s="21" t="n">
        <v>954.8</v>
      </c>
      <c r="L38" s="21" t="n">
        <v>969.68</v>
      </c>
      <c r="M38" s="21" t="n">
        <v>984.56</v>
      </c>
      <c r="N38" s="21" t="n">
        <v>999.44</v>
      </c>
      <c r="O38" s="21" t="n">
        <v>1014.32</v>
      </c>
      <c r="P38" s="21" t="n">
        <v>1029.2</v>
      </c>
      <c r="Q38" s="21" t="n">
        <v>1044.08</v>
      </c>
      <c r="R38" s="21" t="n">
        <v>1058.96</v>
      </c>
      <c r="S38" s="21" t="n">
        <v>1073.84</v>
      </c>
      <c r="T38" s="21" t="n">
        <v>1088.72</v>
      </c>
      <c r="U38" s="21" t="n">
        <v>1103.6</v>
      </c>
      <c r="V38" s="21" t="n">
        <v>1118.48</v>
      </c>
      <c r="W38" s="21" t="n">
        <v>1133.36</v>
      </c>
      <c r="X38" s="21" t="n">
        <v>1148.24</v>
      </c>
      <c r="Y38" s="21" t="n">
        <v>1163.12</v>
      </c>
      <c r="Z38" s="21" t="n">
        <v>1178</v>
      </c>
      <c r="AA38" s="21" t="n">
        <v>1192.88</v>
      </c>
      <c r="AB38" s="21" t="n">
        <v>1207.76</v>
      </c>
      <c r="AC38" s="21" t="n">
        <v>1222.64</v>
      </c>
      <c r="AD38" s="21" t="n">
        <v>1237.52</v>
      </c>
      <c r="AE38" s="21" t="n">
        <v>1252.4</v>
      </c>
      <c r="AF38" s="21" t="n">
        <v>1267.28</v>
      </c>
      <c r="AG38" s="21" t="n">
        <v>1282.16</v>
      </c>
      <c r="AH38" s="21" t="n">
        <v>1297.04</v>
      </c>
      <c r="AI38" s="21" t="n">
        <v>1311.92</v>
      </c>
      <c r="AJ38" s="21" t="n">
        <v>1326.8</v>
      </c>
      <c r="AK38" s="21" t="n">
        <v>1341.68</v>
      </c>
      <c r="AL38" s="21" t="n">
        <v>1356.56</v>
      </c>
      <c r="AM38" s="21" t="n">
        <v>1371.44</v>
      </c>
      <c r="AN38" s="21" t="n">
        <v>1386.32</v>
      </c>
      <c r="AO38" s="22" t="n">
        <f aca="false">SUM(C38:AN38)</f>
        <v>42219.52</v>
      </c>
      <c r="AP38" s="22" t="n">
        <f aca="false">AO38*0.25</f>
        <v>10554.88</v>
      </c>
    </row>
    <row r="39" customFormat="false" ht="15" hidden="false" customHeight="true" outlineLevel="0" collapsed="false">
      <c r="A39" s="1" t="s">
        <v>48</v>
      </c>
      <c r="B39" s="1" t="s">
        <v>131</v>
      </c>
      <c r="C39" s="21" t="n">
        <v>913.44</v>
      </c>
      <c r="D39" s="21" t="n">
        <v>929.28</v>
      </c>
      <c r="E39" s="21" t="n">
        <v>945.12</v>
      </c>
      <c r="F39" s="21" t="n">
        <v>960.96</v>
      </c>
      <c r="G39" s="21" t="n">
        <v>976.8</v>
      </c>
      <c r="H39" s="21" t="n">
        <v>992.64</v>
      </c>
      <c r="I39" s="21" t="n">
        <v>1008.48</v>
      </c>
      <c r="J39" s="21" t="n">
        <v>1024.32</v>
      </c>
      <c r="K39" s="21" t="n">
        <v>1040.16</v>
      </c>
      <c r="L39" s="21" t="n">
        <v>1056</v>
      </c>
      <c r="M39" s="21" t="n">
        <v>1071.84</v>
      </c>
      <c r="N39" s="21" t="n">
        <v>1087.68</v>
      </c>
      <c r="O39" s="21" t="n">
        <v>1103.52</v>
      </c>
      <c r="P39" s="21" t="n">
        <v>1119.36</v>
      </c>
      <c r="Q39" s="21" t="n">
        <v>1135.2</v>
      </c>
      <c r="R39" s="21" t="n">
        <v>1151.04</v>
      </c>
      <c r="S39" s="21" t="n">
        <v>1166.88</v>
      </c>
      <c r="T39" s="21" t="n">
        <v>1182.72</v>
      </c>
      <c r="U39" s="21" t="n">
        <v>1198.56</v>
      </c>
      <c r="V39" s="21" t="n">
        <v>1214.4</v>
      </c>
      <c r="W39" s="21" t="n">
        <v>1230.24</v>
      </c>
      <c r="X39" s="21" t="n">
        <v>1246.08</v>
      </c>
      <c r="Y39" s="21" t="n">
        <v>1261.92</v>
      </c>
      <c r="Z39" s="21" t="n">
        <v>1277.76</v>
      </c>
      <c r="AA39" s="21" t="n">
        <v>1293.6</v>
      </c>
      <c r="AB39" s="21" t="n">
        <v>1309.44</v>
      </c>
      <c r="AC39" s="21" t="n">
        <v>1325.28</v>
      </c>
      <c r="AD39" s="21" t="n">
        <v>1341.12</v>
      </c>
      <c r="AE39" s="21" t="n">
        <v>1356.96</v>
      </c>
      <c r="AF39" s="21" t="n">
        <v>1372.8</v>
      </c>
      <c r="AG39" s="21" t="n">
        <v>1388.64</v>
      </c>
      <c r="AH39" s="21" t="n">
        <v>1404.48</v>
      </c>
      <c r="AI39" s="21" t="n">
        <v>1420.32</v>
      </c>
      <c r="AJ39" s="21" t="n">
        <v>1436.16</v>
      </c>
      <c r="AK39" s="21" t="n">
        <v>1452</v>
      </c>
      <c r="AL39" s="21" t="n">
        <v>1467.84</v>
      </c>
      <c r="AM39" s="21" t="n">
        <v>1483.68</v>
      </c>
      <c r="AN39" s="21" t="n">
        <v>1499.52</v>
      </c>
      <c r="AO39" s="22" t="n">
        <f aca="false">SUM(C39:AN39)</f>
        <v>45846.24</v>
      </c>
      <c r="AP39" s="22" t="n">
        <f aca="false">AO39*0.25</f>
        <v>11461.56</v>
      </c>
    </row>
    <row r="40" customFormat="false" ht="15" hidden="false" customHeight="true" outlineLevel="0" collapsed="false">
      <c r="A40" s="1" t="s">
        <v>49</v>
      </c>
      <c r="B40" s="1" t="s">
        <v>132</v>
      </c>
      <c r="C40" s="21" t="n">
        <v>710</v>
      </c>
      <c r="D40" s="21" t="n">
        <v>722</v>
      </c>
      <c r="E40" s="21" t="n">
        <v>734</v>
      </c>
      <c r="F40" s="21" t="n">
        <v>746</v>
      </c>
      <c r="G40" s="21" t="n">
        <v>758</v>
      </c>
      <c r="H40" s="21" t="n">
        <v>770</v>
      </c>
      <c r="I40" s="21" t="n">
        <v>782</v>
      </c>
      <c r="J40" s="21" t="n">
        <v>794</v>
      </c>
      <c r="K40" s="21" t="n">
        <v>806</v>
      </c>
      <c r="L40" s="21" t="n">
        <v>818</v>
      </c>
      <c r="M40" s="21" t="n">
        <v>830</v>
      </c>
      <c r="N40" s="21" t="n">
        <v>842</v>
      </c>
      <c r="O40" s="21" t="n">
        <v>854</v>
      </c>
      <c r="P40" s="21" t="n">
        <v>866</v>
      </c>
      <c r="Q40" s="21" t="n">
        <v>878</v>
      </c>
      <c r="R40" s="21" t="n">
        <v>890</v>
      </c>
      <c r="S40" s="21" t="n">
        <v>902</v>
      </c>
      <c r="T40" s="21" t="n">
        <v>914</v>
      </c>
      <c r="U40" s="21" t="n">
        <v>926</v>
      </c>
      <c r="V40" s="21" t="n">
        <v>938</v>
      </c>
      <c r="W40" s="21" t="n">
        <v>950</v>
      </c>
      <c r="X40" s="21" t="n">
        <v>962</v>
      </c>
      <c r="Y40" s="21" t="n">
        <v>974</v>
      </c>
      <c r="Z40" s="21" t="n">
        <v>986</v>
      </c>
      <c r="AA40" s="21" t="n">
        <v>998</v>
      </c>
      <c r="AB40" s="21" t="n">
        <v>1010</v>
      </c>
      <c r="AC40" s="21" t="n">
        <v>1022</v>
      </c>
      <c r="AD40" s="21" t="n">
        <v>1034</v>
      </c>
      <c r="AE40" s="21" t="n">
        <v>1046</v>
      </c>
      <c r="AF40" s="21" t="n">
        <v>1058</v>
      </c>
      <c r="AG40" s="21" t="n">
        <v>1070</v>
      </c>
      <c r="AH40" s="21" t="n">
        <v>1082</v>
      </c>
      <c r="AI40" s="21" t="n">
        <v>1094</v>
      </c>
      <c r="AJ40" s="21" t="n">
        <v>1106</v>
      </c>
      <c r="AK40" s="21" t="n">
        <v>1118</v>
      </c>
      <c r="AL40" s="21" t="n">
        <v>1130</v>
      </c>
      <c r="AM40" s="21" t="n">
        <v>1142</v>
      </c>
      <c r="AN40" s="21" t="n">
        <v>1154</v>
      </c>
      <c r="AO40" s="22" t="n">
        <f aca="false">SUM(C40:AN40)</f>
        <v>35416</v>
      </c>
      <c r="AP40" s="22" t="n">
        <f aca="false">AO40*0.25</f>
        <v>8854</v>
      </c>
    </row>
    <row r="41" customFormat="false" ht="15" hidden="false" customHeight="true" outlineLevel="0" collapsed="false">
      <c r="A41" s="1" t="s">
        <v>50</v>
      </c>
      <c r="B41" s="1" t="s">
        <v>133</v>
      </c>
      <c r="C41" s="21" t="n">
        <v>786.24</v>
      </c>
      <c r="D41" s="21" t="n">
        <v>799.2</v>
      </c>
      <c r="E41" s="21" t="n">
        <v>812.16</v>
      </c>
      <c r="F41" s="21" t="n">
        <v>825.12</v>
      </c>
      <c r="G41" s="21" t="n">
        <v>838.08</v>
      </c>
      <c r="H41" s="21" t="n">
        <v>851.04</v>
      </c>
      <c r="I41" s="21" t="n">
        <v>864</v>
      </c>
      <c r="J41" s="21" t="n">
        <v>876.96</v>
      </c>
      <c r="K41" s="21" t="n">
        <v>889.92</v>
      </c>
      <c r="L41" s="21" t="n">
        <v>902.88</v>
      </c>
      <c r="M41" s="21" t="n">
        <v>915.84</v>
      </c>
      <c r="N41" s="21" t="n">
        <v>928.8</v>
      </c>
      <c r="O41" s="21" t="n">
        <v>941.76</v>
      </c>
      <c r="P41" s="21" t="n">
        <v>954.72</v>
      </c>
      <c r="Q41" s="21" t="n">
        <v>967.68</v>
      </c>
      <c r="R41" s="21" t="n">
        <v>980.64</v>
      </c>
      <c r="S41" s="21" t="n">
        <v>993.6</v>
      </c>
      <c r="T41" s="21" t="n">
        <v>1006.56</v>
      </c>
      <c r="U41" s="21" t="n">
        <v>1019.52</v>
      </c>
      <c r="V41" s="21" t="n">
        <v>1032.48</v>
      </c>
      <c r="W41" s="21" t="n">
        <v>1045.44</v>
      </c>
      <c r="X41" s="21" t="n">
        <v>1058.4</v>
      </c>
      <c r="Y41" s="21" t="n">
        <v>1071.36</v>
      </c>
      <c r="Z41" s="21" t="n">
        <v>1084.32</v>
      </c>
      <c r="AA41" s="21" t="n">
        <v>1097.28</v>
      </c>
      <c r="AB41" s="21" t="n">
        <v>1110.24</v>
      </c>
      <c r="AC41" s="21" t="n">
        <v>1123.2</v>
      </c>
      <c r="AD41" s="21" t="n">
        <v>1136.16</v>
      </c>
      <c r="AE41" s="21" t="n">
        <v>1149.12</v>
      </c>
      <c r="AF41" s="21" t="n">
        <v>1162.08</v>
      </c>
      <c r="AG41" s="21" t="n">
        <v>1175.04</v>
      </c>
      <c r="AH41" s="21" t="n">
        <v>1188</v>
      </c>
      <c r="AI41" s="21" t="n">
        <v>1200.96</v>
      </c>
      <c r="AJ41" s="21" t="n">
        <v>1213.92</v>
      </c>
      <c r="AK41" s="21" t="n">
        <v>1226.88</v>
      </c>
      <c r="AL41" s="21" t="n">
        <v>1239.84</v>
      </c>
      <c r="AM41" s="21" t="n">
        <v>1252.8</v>
      </c>
      <c r="AN41" s="21" t="n">
        <v>1265.76</v>
      </c>
      <c r="AO41" s="22" t="n">
        <f aca="false">SUM(C41:AN41)</f>
        <v>38988</v>
      </c>
      <c r="AP41" s="22" t="n">
        <f aca="false">AO41*0.25</f>
        <v>9747</v>
      </c>
    </row>
    <row r="42" customFormat="false" ht="15" hidden="false" customHeight="true" outlineLevel="0" collapsed="false">
      <c r="A42" s="1" t="s">
        <v>51</v>
      </c>
      <c r="B42" s="1" t="s">
        <v>134</v>
      </c>
      <c r="C42" s="21" t="n">
        <v>865.36</v>
      </c>
      <c r="D42" s="21" t="n">
        <v>879.28</v>
      </c>
      <c r="E42" s="21" t="n">
        <v>893.2</v>
      </c>
      <c r="F42" s="21" t="n">
        <v>907.12</v>
      </c>
      <c r="G42" s="21" t="n">
        <v>921.04</v>
      </c>
      <c r="H42" s="21" t="n">
        <v>934.96</v>
      </c>
      <c r="I42" s="21" t="n">
        <v>948.88</v>
      </c>
      <c r="J42" s="21" t="n">
        <v>962.8</v>
      </c>
      <c r="K42" s="21" t="n">
        <v>976.72</v>
      </c>
      <c r="L42" s="21" t="n">
        <v>990.64</v>
      </c>
      <c r="M42" s="21" t="n">
        <v>1004.56</v>
      </c>
      <c r="N42" s="21" t="n">
        <v>1018.48</v>
      </c>
      <c r="O42" s="21" t="n">
        <v>1032.4</v>
      </c>
      <c r="P42" s="21" t="n">
        <v>1046.32</v>
      </c>
      <c r="Q42" s="21" t="n">
        <v>1060.24</v>
      </c>
      <c r="R42" s="21" t="n">
        <v>1074.16</v>
      </c>
      <c r="S42" s="21" t="n">
        <v>1088.08</v>
      </c>
      <c r="T42" s="21" t="n">
        <v>1102</v>
      </c>
      <c r="U42" s="21" t="n">
        <v>1115.92</v>
      </c>
      <c r="V42" s="21" t="n">
        <v>1129.84</v>
      </c>
      <c r="W42" s="21" t="n">
        <v>1143.76</v>
      </c>
      <c r="X42" s="21" t="n">
        <v>1157.68</v>
      </c>
      <c r="Y42" s="21" t="n">
        <v>1171.6</v>
      </c>
      <c r="Z42" s="21" t="n">
        <v>1185.52</v>
      </c>
      <c r="AA42" s="21" t="n">
        <v>1199.44</v>
      </c>
      <c r="AB42" s="21" t="n">
        <v>1213.36</v>
      </c>
      <c r="AC42" s="21" t="n">
        <v>1227.28</v>
      </c>
      <c r="AD42" s="21" t="n">
        <v>1241.2</v>
      </c>
      <c r="AE42" s="21" t="n">
        <v>1255.12</v>
      </c>
      <c r="AF42" s="21" t="n">
        <v>1269.04</v>
      </c>
      <c r="AG42" s="21" t="n">
        <v>1282.96</v>
      </c>
      <c r="AH42" s="21" t="n">
        <v>1296.88</v>
      </c>
      <c r="AI42" s="21" t="n">
        <v>1310.8</v>
      </c>
      <c r="AJ42" s="21" t="n">
        <v>1324.72</v>
      </c>
      <c r="AK42" s="21" t="n">
        <v>1338.64</v>
      </c>
      <c r="AL42" s="21" t="n">
        <v>1352.56</v>
      </c>
      <c r="AM42" s="21" t="n">
        <v>1366.48</v>
      </c>
      <c r="AN42" s="21" t="n">
        <v>1380.4</v>
      </c>
      <c r="AO42" s="22" t="n">
        <f aca="false">SUM(C42:AN42)</f>
        <v>42669.44</v>
      </c>
      <c r="AP42" s="22" t="n">
        <f aca="false">AO42*0.25</f>
        <v>10667.36</v>
      </c>
    </row>
    <row r="43" customFormat="false" ht="15" hidden="false" customHeight="true" outlineLevel="0" collapsed="false">
      <c r="A43" s="1" t="s">
        <v>135</v>
      </c>
      <c r="B43" s="1" t="s">
        <v>137</v>
      </c>
      <c r="C43" s="23" t="n">
        <f aca="false">SUM(C5:C42)</f>
        <v>18134</v>
      </c>
      <c r="D43" s="23" t="n">
        <f aca="false">SUM(D5:D42)</f>
        <v>18660.08</v>
      </c>
      <c r="E43" s="23" t="n">
        <f aca="false">SUM(E5:E42)</f>
        <v>19186.16</v>
      </c>
      <c r="F43" s="23" t="n">
        <f aca="false">SUM(F5:F42)</f>
        <v>19712.24</v>
      </c>
      <c r="G43" s="23" t="n">
        <f aca="false">SUM(G5:G42)</f>
        <v>20238.32</v>
      </c>
      <c r="H43" s="23" t="n">
        <f aca="false">SUM(H5:H42)</f>
        <v>20764.4</v>
      </c>
      <c r="I43" s="23" t="n">
        <f aca="false">SUM(I5:I42)</f>
        <v>21290.48</v>
      </c>
      <c r="J43" s="23" t="n">
        <f aca="false">SUM(J5:J42)</f>
        <v>21816.56</v>
      </c>
      <c r="K43" s="23" t="n">
        <f aca="false">SUM(K5:K42)</f>
        <v>22342.64</v>
      </c>
      <c r="L43" s="23" t="n">
        <f aca="false">SUM(L5:L42)</f>
        <v>22868.72</v>
      </c>
      <c r="M43" s="23" t="n">
        <f aca="false">SUM(M5:M42)</f>
        <v>23394.8</v>
      </c>
      <c r="N43" s="23" t="n">
        <f aca="false">SUM(N5:N42)</f>
        <v>23920.88</v>
      </c>
      <c r="O43" s="23" t="n">
        <f aca="false">SUM(O5:O42)</f>
        <v>24446.96</v>
      </c>
      <c r="P43" s="23" t="n">
        <f aca="false">SUM(P5:P42)</f>
        <v>24973.04</v>
      </c>
      <c r="Q43" s="23" t="n">
        <f aca="false">SUM(Q5:Q42)</f>
        <v>25499.12</v>
      </c>
      <c r="R43" s="23" t="n">
        <f aca="false">SUM(R5:R42)</f>
        <v>26025.2</v>
      </c>
      <c r="S43" s="23" t="n">
        <f aca="false">SUM(S5:S42)</f>
        <v>26551.28</v>
      </c>
      <c r="T43" s="23" t="n">
        <f aca="false">SUM(T5:T42)</f>
        <v>27077.36</v>
      </c>
      <c r="U43" s="23" t="n">
        <f aca="false">SUM(U5:U42)</f>
        <v>27603.44</v>
      </c>
      <c r="V43" s="23" t="n">
        <f aca="false">SUM(V5:V42)</f>
        <v>28129.52</v>
      </c>
      <c r="W43" s="23" t="n">
        <f aca="false">SUM(W5:W42)</f>
        <v>28655.6</v>
      </c>
      <c r="X43" s="23" t="n">
        <f aca="false">SUM(X5:X42)</f>
        <v>29181.68</v>
      </c>
      <c r="Y43" s="23" t="n">
        <f aca="false">SUM(Y5:Y42)</f>
        <v>29707.76</v>
      </c>
      <c r="Z43" s="23" t="n">
        <f aca="false">SUM(Z5:Z42)</f>
        <v>30233.84</v>
      </c>
      <c r="AA43" s="23" t="n">
        <f aca="false">SUM(AA5:AA42)</f>
        <v>30759.92</v>
      </c>
      <c r="AB43" s="23" t="n">
        <f aca="false">SUM(AB5:AB42)</f>
        <v>31286</v>
      </c>
      <c r="AC43" s="23" t="n">
        <f aca="false">SUM(AC5:AC42)</f>
        <v>31812.08</v>
      </c>
      <c r="AD43" s="23" t="n">
        <f aca="false">SUM(AD5:AD42)</f>
        <v>32338.16</v>
      </c>
      <c r="AE43" s="23" t="n">
        <f aca="false">SUM(AE5:AE42)</f>
        <v>32864.24</v>
      </c>
      <c r="AF43" s="23" t="n">
        <f aca="false">SUM(AF5:AF42)</f>
        <v>33390.32</v>
      </c>
      <c r="AG43" s="23" t="n">
        <f aca="false">SUM(AG5:AG42)</f>
        <v>33916.4</v>
      </c>
      <c r="AH43" s="23" t="n">
        <f aca="false">SUM(AH5:AH42)</f>
        <v>34442.48</v>
      </c>
      <c r="AI43" s="23" t="n">
        <f aca="false">SUM(AI5:AI42)</f>
        <v>34968.56</v>
      </c>
      <c r="AJ43" s="23" t="n">
        <f aca="false">SUM(AJ5:AJ42)</f>
        <v>35494.64</v>
      </c>
      <c r="AK43" s="23" t="n">
        <f aca="false">SUM(AK5:AK42)</f>
        <v>36020.72</v>
      </c>
      <c r="AL43" s="23" t="n">
        <f aca="false">SUM(AL5:AL42)</f>
        <v>36546.8</v>
      </c>
      <c r="AM43" s="23" t="n">
        <f aca="false">SUM(AM5:AM42)</f>
        <v>37072.88</v>
      </c>
      <c r="AN43" s="23" t="n">
        <f aca="false">SUM(AN5:AN42)</f>
        <v>37598.96</v>
      </c>
      <c r="AO43" s="23" t="n">
        <f aca="false">SUM(AO5:AO42)</f>
        <v>1058926.24</v>
      </c>
      <c r="AP43" s="23" t="n">
        <f aca="false">SUM(AP5:AP42)</f>
        <v>264731.56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0" min="2" style="1" width="12"/>
  </cols>
  <sheetData>
    <row r="1" customFormat="false" ht="15" hidden="false" customHeight="true" outlineLevel="0" collapsed="false">
      <c r="A1" s="9" t="s">
        <v>139</v>
      </c>
    </row>
    <row r="3" customFormat="false" ht="15" hidden="false" customHeight="true" outlineLevel="0" collapsed="false">
      <c r="A3" s="24" t="s">
        <v>140</v>
      </c>
    </row>
    <row r="5" customFormat="false" ht="15" hidden="false" customHeight="true" outlineLevel="0" collapsed="false">
      <c r="A5" s="17" t="s">
        <v>141</v>
      </c>
    </row>
    <row r="6" customFormat="false" ht="15" hidden="false" customHeight="true" outlineLevel="0" collapsed="false">
      <c r="A6" s="1" t="s">
        <v>142</v>
      </c>
      <c r="B6" s="25" t="n">
        <v>6500</v>
      </c>
      <c r="D6" s="17" t="s">
        <v>143</v>
      </c>
      <c r="E6" s="26" t="n">
        <f aca="false">'SUT Calc'!C46</f>
        <v>0.25</v>
      </c>
    </row>
    <row r="7" customFormat="false" ht="15" hidden="false" customHeight="true" outlineLevel="0" collapsed="false">
      <c r="A7" s="1" t="s">
        <v>144</v>
      </c>
      <c r="B7" s="27" t="s">
        <v>145</v>
      </c>
      <c r="D7" s="26" t="n">
        <f aca="false">'SUT Calc'!C46</f>
        <v>0.25</v>
      </c>
    </row>
    <row r="8" customFormat="false" ht="15" hidden="false" customHeight="true" outlineLevel="0" collapsed="false">
      <c r="A8" s="1" t="s">
        <v>146</v>
      </c>
      <c r="B8" s="28" t="n">
        <v>2.746</v>
      </c>
    </row>
    <row r="9" customFormat="false" ht="15" hidden="false" customHeight="true" outlineLevel="0" collapsed="false">
      <c r="A9" s="1" t="s">
        <v>147</v>
      </c>
      <c r="B9" s="29" t="n">
        <v>0.8</v>
      </c>
    </row>
    <row r="10" customFormat="false" ht="15" hidden="false" customHeight="true" outlineLevel="0" collapsed="false">
      <c r="A10" s="1" t="s">
        <v>148</v>
      </c>
      <c r="B10" s="27" t="s">
        <v>149</v>
      </c>
    </row>
    <row r="12" customFormat="false" ht="15" hidden="false" customHeight="true" outlineLevel="0" collapsed="false">
      <c r="A12" s="30" t="s">
        <v>0</v>
      </c>
      <c r="B12" s="31" t="n">
        <v>2025</v>
      </c>
      <c r="C12" s="31" t="n">
        <v>2026</v>
      </c>
      <c r="D12" s="31" t="n">
        <v>2027</v>
      </c>
      <c r="E12" s="31" t="n">
        <v>2028</v>
      </c>
      <c r="F12" s="31" t="n">
        <v>2029</v>
      </c>
      <c r="G12" s="31" t="n">
        <v>2030</v>
      </c>
      <c r="H12" s="31" t="n">
        <v>2031</v>
      </c>
      <c r="I12" s="31" t="n">
        <v>2032</v>
      </c>
      <c r="J12" s="31" t="n">
        <v>2033</v>
      </c>
      <c r="K12" s="31" t="n">
        <v>2034</v>
      </c>
      <c r="L12" s="31" t="n">
        <v>2035</v>
      </c>
      <c r="M12" s="31" t="n">
        <v>2036</v>
      </c>
      <c r="N12" s="31" t="n">
        <v>2037</v>
      </c>
      <c r="O12" s="31" t="n">
        <v>2038</v>
      </c>
      <c r="P12" s="31" t="n">
        <v>2039</v>
      </c>
      <c r="Q12" s="31" t="n">
        <v>2040</v>
      </c>
      <c r="R12" s="31" t="n">
        <v>2041</v>
      </c>
      <c r="S12" s="31" t="n">
        <v>2042</v>
      </c>
      <c r="T12" s="31" t="n">
        <v>2043</v>
      </c>
    </row>
    <row r="13" customFormat="false" ht="15" hidden="false" customHeight="true" outlineLevel="0" collapsed="false">
      <c r="A13" s="32" t="s">
        <v>150</v>
      </c>
      <c r="B13" s="33" t="n">
        <v>0</v>
      </c>
      <c r="C13" s="33" t="n">
        <f aca="false">6500*0.125*$B$8</f>
        <v>2231.125</v>
      </c>
      <c r="D13" s="33" t="n">
        <f aca="false">6500*0.25*$B$8</f>
        <v>4462.25</v>
      </c>
      <c r="E13" s="33" t="n">
        <f aca="false">6500*0.25*$B$8</f>
        <v>4462.25</v>
      </c>
      <c r="F13" s="33" t="n">
        <f aca="false">6500*0.25*$B$8</f>
        <v>4462.25</v>
      </c>
      <c r="G13" s="33" t="n">
        <f aca="false">6500*0.125*$B$8</f>
        <v>2231.125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3" t="n">
        <v>0</v>
      </c>
      <c r="R13" s="33" t="n">
        <v>0</v>
      </c>
      <c r="S13" s="33" t="n">
        <v>0</v>
      </c>
      <c r="T13" s="33" t="n">
        <v>0</v>
      </c>
    </row>
    <row r="14" customFormat="false" ht="15" hidden="false" customHeight="true" outlineLevel="0" collapsed="false">
      <c r="A14" s="32" t="s">
        <v>151</v>
      </c>
      <c r="B14" s="8" t="n">
        <f aca="false">IF(B13=0,0,B13/SUM($C$13:$U$13))</f>
        <v>0</v>
      </c>
      <c r="C14" s="8" t="n">
        <f aca="false">IF(C13=0,0,C13/SUM($C$13:$U$13))</f>
        <v>0.125</v>
      </c>
      <c r="D14" s="8" t="n">
        <f aca="false">IF(D13=0,0,D13/SUM($C$13:$U$13))</f>
        <v>0.25</v>
      </c>
      <c r="E14" s="8" t="n">
        <f aca="false">IF(E13=0,0,E13/SUM($C$13:$U$13))</f>
        <v>0.25</v>
      </c>
      <c r="F14" s="8" t="n">
        <f aca="false">IF(F13=0,0,F13/SUM($C$13:$U$13))</f>
        <v>0.25</v>
      </c>
      <c r="G14" s="8" t="n">
        <f aca="false">IF(G13=0,0,G13/SUM($C$13:$U$13))</f>
        <v>0.125</v>
      </c>
      <c r="H14" s="8" t="n">
        <f aca="false">IF(H13=0,0,H13/SUM($C$13:$U$13))</f>
        <v>0</v>
      </c>
      <c r="I14" s="8" t="n">
        <f aca="false">IF(I13=0,0,I13/SUM($C$13:$U$13))</f>
        <v>0</v>
      </c>
      <c r="J14" s="8" t="n">
        <f aca="false">IF(J13=0,0,J13/SUM($C$13:$U$13))</f>
        <v>0</v>
      </c>
      <c r="K14" s="8" t="n">
        <f aca="false">IF(K13=0,0,K13/SUM($C$13:$U$13))</f>
        <v>0</v>
      </c>
      <c r="L14" s="8" t="n">
        <f aca="false">IF(L13=0,0,L13/SUM($C$13:$U$13))</f>
        <v>0</v>
      </c>
      <c r="M14" s="8" t="n">
        <f aca="false">IF(M13=0,0,M13/SUM($C$13:$U$13))</f>
        <v>0</v>
      </c>
      <c r="N14" s="8" t="n">
        <f aca="false">IF(N13=0,0,N13/SUM($C$13:$U$13))</f>
        <v>0</v>
      </c>
      <c r="O14" s="8" t="n">
        <f aca="false">IF(O13=0,0,O13/SUM($C$13:$U$13))</f>
        <v>0</v>
      </c>
      <c r="P14" s="8" t="n">
        <f aca="false">IF(P13=0,0,P13/SUM($C$13:$U$13))</f>
        <v>0</v>
      </c>
      <c r="Q14" s="8" t="n">
        <f aca="false">IF(Q13=0,0,Q13/SUM($C$13:$U$13))</f>
        <v>0</v>
      </c>
      <c r="R14" s="8" t="n">
        <f aca="false">IF(R13=0,0,R13/SUM($C$13:$U$13))</f>
        <v>0</v>
      </c>
      <c r="S14" s="8" t="n">
        <f aca="false">IF(S13=0,0,S13/SUM($C$13:$U$13))</f>
        <v>0</v>
      </c>
      <c r="T14" s="8" t="n">
        <f aca="false">IF(T13=0,0,T13/SUM($C$13:$U$13))</f>
        <v>0</v>
      </c>
    </row>
    <row r="15" customFormat="false" ht="15" hidden="false" customHeight="true" outlineLevel="0" collapsed="false">
      <c r="A15" s="32" t="s">
        <v>152</v>
      </c>
      <c r="B15" s="33" t="n">
        <f aca="false">B13*$B$9</f>
        <v>0</v>
      </c>
      <c r="C15" s="33" t="n">
        <f aca="false">C13*$B$9</f>
        <v>1784.9</v>
      </c>
      <c r="D15" s="33" t="n">
        <f aca="false">D13*$B$9</f>
        <v>3569.8</v>
      </c>
      <c r="E15" s="33" t="n">
        <f aca="false">E13*$B$9</f>
        <v>3569.8</v>
      </c>
      <c r="F15" s="33" t="n">
        <f aca="false">F13*$B$9</f>
        <v>3569.8</v>
      </c>
      <c r="G15" s="33" t="n">
        <f aca="false">G13*$B$9</f>
        <v>1784.9</v>
      </c>
      <c r="H15" s="33" t="n">
        <f aca="false">H13*$B$9</f>
        <v>0</v>
      </c>
      <c r="I15" s="33" t="n">
        <f aca="false">I13*$B$9</f>
        <v>0</v>
      </c>
      <c r="J15" s="33" t="n">
        <f aca="false">J13*$B$9</f>
        <v>0</v>
      </c>
      <c r="K15" s="33" t="n">
        <f aca="false">K13*$B$9</f>
        <v>0</v>
      </c>
      <c r="L15" s="33" t="n">
        <f aca="false">L13*$B$9</f>
        <v>0</v>
      </c>
      <c r="M15" s="33" t="n">
        <f aca="false">M13*$B$9</f>
        <v>0</v>
      </c>
      <c r="N15" s="33" t="n">
        <f aca="false">N13*$B$9</f>
        <v>0</v>
      </c>
      <c r="O15" s="33" t="n">
        <f aca="false">O13*$B$9</f>
        <v>0</v>
      </c>
      <c r="P15" s="33" t="n">
        <f aca="false">P13*$B$9</f>
        <v>0</v>
      </c>
      <c r="Q15" s="33" t="n">
        <f aca="false">Q13*$B$9</f>
        <v>0</v>
      </c>
      <c r="R15" s="33" t="n">
        <f aca="false">R13*$B$9</f>
        <v>0</v>
      </c>
      <c r="S15" s="33" t="n">
        <f aca="false">S13*$B$9</f>
        <v>0</v>
      </c>
      <c r="T15" s="33" t="n">
        <f aca="false">T13*$B$9</f>
        <v>0</v>
      </c>
    </row>
    <row r="16" customFormat="false" ht="15" hidden="false" customHeight="true" outlineLevel="0" collapsed="false">
      <c r="A16" s="32" t="s">
        <v>153</v>
      </c>
      <c r="B16" s="33" t="n">
        <f aca="false">B15*'SUT Calc'!$C$46</f>
        <v>0</v>
      </c>
      <c r="C16" s="33" t="n">
        <f aca="false">C15*'SUT Calc'!$C$46</f>
        <v>446.225</v>
      </c>
      <c r="D16" s="33" t="n">
        <f aca="false">D15*'SUT Calc'!$C$46</f>
        <v>892.45</v>
      </c>
      <c r="E16" s="33" t="n">
        <f aca="false">E15*'SUT Calc'!$C$46</f>
        <v>892.45</v>
      </c>
      <c r="F16" s="33" t="n">
        <f aca="false">F15*'SUT Calc'!$C$46</f>
        <v>892.45</v>
      </c>
      <c r="G16" s="33" t="n">
        <f aca="false">G15*'SUT Calc'!$C$46</f>
        <v>446.225</v>
      </c>
      <c r="H16" s="33" t="n">
        <f aca="false">H15*'SUT Calc'!$C$46</f>
        <v>0</v>
      </c>
      <c r="I16" s="33" t="n">
        <f aca="false">I15*'SUT Calc'!$C$46</f>
        <v>0</v>
      </c>
      <c r="J16" s="33" t="n">
        <f aca="false">J15*'SUT Calc'!$C$46</f>
        <v>0</v>
      </c>
      <c r="K16" s="33" t="n">
        <f aca="false">K15*'SUT Calc'!$C$46</f>
        <v>0</v>
      </c>
      <c r="L16" s="33" t="n">
        <f aca="false">L15*'SUT Calc'!$C$46</f>
        <v>0</v>
      </c>
      <c r="M16" s="33" t="n">
        <f aca="false">M15*'SUT Calc'!$C$46</f>
        <v>0</v>
      </c>
      <c r="N16" s="33" t="n">
        <f aca="false">N15*'SUT Calc'!$C$46</f>
        <v>0</v>
      </c>
      <c r="O16" s="33" t="n">
        <f aca="false">O15*'SUT Calc'!$C$46</f>
        <v>0</v>
      </c>
      <c r="P16" s="33" t="n">
        <f aca="false">P15*'SUT Calc'!$C$46</f>
        <v>0</v>
      </c>
      <c r="Q16" s="33" t="n">
        <f aca="false">Q15*'SUT Calc'!$C$46</f>
        <v>0</v>
      </c>
      <c r="R16" s="33" t="n">
        <f aca="false">R15*'SUT Calc'!$C$46</f>
        <v>0</v>
      </c>
      <c r="S16" s="33" t="n">
        <f aca="false">S15*'SUT Calc'!$C$46</f>
        <v>0</v>
      </c>
      <c r="T16" s="33" t="n">
        <f aca="false">T15*'SUT Calc'!$C$46</f>
        <v>0</v>
      </c>
    </row>
    <row r="17" customFormat="false" ht="15" hidden="false" customHeight="true" outlineLevel="0" collapsed="false">
      <c r="A17" s="32" t="s">
        <v>154</v>
      </c>
      <c r="B17" s="33" t="n">
        <f aca="false">B15-B16</f>
        <v>0</v>
      </c>
      <c r="C17" s="33" t="n">
        <f aca="false">C15-C16</f>
        <v>1338.675</v>
      </c>
      <c r="D17" s="33" t="n">
        <f aca="false">D15-D16</f>
        <v>2677.35</v>
      </c>
      <c r="E17" s="33" t="n">
        <f aca="false">E15-E16</f>
        <v>2677.35</v>
      </c>
      <c r="F17" s="33" t="n">
        <f aca="false">F15-F16</f>
        <v>2677.35</v>
      </c>
      <c r="G17" s="33" t="n">
        <f aca="false">G15-G16</f>
        <v>1338.675</v>
      </c>
      <c r="H17" s="33" t="n">
        <f aca="false">H15-H16</f>
        <v>0</v>
      </c>
      <c r="I17" s="33" t="n">
        <f aca="false">I15-I16</f>
        <v>0</v>
      </c>
      <c r="J17" s="33" t="n">
        <f aca="false">J15-J16</f>
        <v>0</v>
      </c>
      <c r="K17" s="33" t="n">
        <f aca="false">K15-K16</f>
        <v>0</v>
      </c>
      <c r="L17" s="33" t="n">
        <f aca="false">L15-L16</f>
        <v>0</v>
      </c>
      <c r="M17" s="33" t="n">
        <f aca="false">M15-M16</f>
        <v>0</v>
      </c>
      <c r="N17" s="33" t="n">
        <f aca="false">N15-N16</f>
        <v>0</v>
      </c>
      <c r="O17" s="33" t="n">
        <f aca="false">O15-O16</f>
        <v>0</v>
      </c>
      <c r="P17" s="33" t="n">
        <f aca="false">P15-P16</f>
        <v>0</v>
      </c>
      <c r="Q17" s="33" t="n">
        <f aca="false">Q15-Q16</f>
        <v>0</v>
      </c>
      <c r="R17" s="33" t="n">
        <f aca="false">R15-R16</f>
        <v>0</v>
      </c>
      <c r="S17" s="33" t="n">
        <f aca="false">S15-S16</f>
        <v>0</v>
      </c>
      <c r="T17" s="33" t="n">
        <f aca="false">T15-T16</f>
        <v>0</v>
      </c>
    </row>
    <row r="18" customFormat="false" ht="15" hidden="false" customHeight="true" outlineLevel="0" collapsed="false">
      <c r="A18" s="32" t="s">
        <v>155</v>
      </c>
      <c r="B18" s="33" t="n">
        <f aca="false">B17</f>
        <v>0</v>
      </c>
      <c r="C18" s="33" t="n">
        <f aca="false">C17</f>
        <v>1338.675</v>
      </c>
      <c r="D18" s="33" t="n">
        <f aca="false">D17</f>
        <v>2677.35</v>
      </c>
      <c r="E18" s="33" t="n">
        <f aca="false">E17</f>
        <v>2677.35</v>
      </c>
      <c r="F18" s="33" t="n">
        <f aca="false">F17</f>
        <v>2677.35</v>
      </c>
      <c r="G18" s="33" t="n">
        <f aca="false">G17</f>
        <v>1338.675</v>
      </c>
      <c r="H18" s="33" t="n">
        <f aca="false">H17</f>
        <v>0</v>
      </c>
      <c r="I18" s="33" t="n">
        <f aca="false">I17</f>
        <v>0</v>
      </c>
      <c r="J18" s="33" t="n">
        <f aca="false">J17</f>
        <v>0</v>
      </c>
      <c r="K18" s="33" t="n">
        <f aca="false">K17</f>
        <v>0</v>
      </c>
      <c r="L18" s="33" t="n">
        <f aca="false">L17</f>
        <v>0</v>
      </c>
      <c r="M18" s="33" t="n">
        <f aca="false">M17</f>
        <v>0</v>
      </c>
      <c r="N18" s="33" t="n">
        <f aca="false">N17</f>
        <v>0</v>
      </c>
      <c r="O18" s="33" t="n">
        <f aca="false">O17</f>
        <v>0</v>
      </c>
      <c r="P18" s="33" t="n">
        <f aca="false">P17</f>
        <v>0</v>
      </c>
      <c r="Q18" s="33" t="n">
        <f aca="false">Q17</f>
        <v>0</v>
      </c>
      <c r="R18" s="33" t="n">
        <f aca="false">R17</f>
        <v>0</v>
      </c>
      <c r="S18" s="33" t="n">
        <f aca="false">S17</f>
        <v>0</v>
      </c>
      <c r="T18" s="33" t="n">
        <f aca="false">T17</f>
        <v>0</v>
      </c>
    </row>
    <row r="19" customFormat="false" ht="15" hidden="false" customHeight="true" outlineLevel="0" collapsed="false">
      <c r="A19" s="32" t="s">
        <v>156</v>
      </c>
      <c r="B19" s="33" t="n">
        <f aca="false">B18/$B$8</f>
        <v>0</v>
      </c>
      <c r="C19" s="33" t="n">
        <f aca="false">C18/$B$8</f>
        <v>487.5</v>
      </c>
      <c r="D19" s="33" t="n">
        <f aca="false">D18/$B$8</f>
        <v>975</v>
      </c>
      <c r="E19" s="33" t="n">
        <f aca="false">E18/$B$8</f>
        <v>975</v>
      </c>
      <c r="F19" s="33" t="n">
        <f aca="false">F18/$B$8</f>
        <v>975</v>
      </c>
      <c r="G19" s="33" t="n">
        <f aca="false">G18/$B$8</f>
        <v>487.5</v>
      </c>
      <c r="H19" s="33" t="n">
        <f aca="false">H18/$B$8</f>
        <v>0</v>
      </c>
      <c r="I19" s="33" t="n">
        <f aca="false">I18/$B$8</f>
        <v>0</v>
      </c>
      <c r="J19" s="33" t="n">
        <f aca="false">J18/$B$8</f>
        <v>0</v>
      </c>
      <c r="K19" s="33" t="n">
        <f aca="false">K18/$B$8</f>
        <v>0</v>
      </c>
      <c r="L19" s="33" t="n">
        <f aca="false">L18/$B$8</f>
        <v>0</v>
      </c>
      <c r="M19" s="33" t="n">
        <f aca="false">M18/$B$8</f>
        <v>0</v>
      </c>
      <c r="N19" s="33" t="n">
        <f aca="false">N18/$B$8</f>
        <v>0</v>
      </c>
      <c r="O19" s="33" t="n">
        <f aca="false">O18/$B$8</f>
        <v>0</v>
      </c>
      <c r="P19" s="33" t="n">
        <f aca="false">P18/$B$8</f>
        <v>0</v>
      </c>
      <c r="Q19" s="33" t="n">
        <f aca="false">Q18/$B$8</f>
        <v>0</v>
      </c>
      <c r="R19" s="33" t="n">
        <f aca="false">R18/$B$8</f>
        <v>0</v>
      </c>
      <c r="S19" s="33" t="n">
        <f aca="false">S18/$B$8</f>
        <v>0</v>
      </c>
      <c r="T19" s="33" t="n">
        <f aca="false">T18/$B$8</f>
        <v>0</v>
      </c>
    </row>
    <row r="20" customFormat="false" ht="15" hidden="false" customHeight="true" outlineLevel="0" collapsed="false">
      <c r="A20" s="32" t="s">
        <v>157</v>
      </c>
      <c r="B20" s="33" t="n">
        <v>0</v>
      </c>
      <c r="C20" s="33" t="n">
        <f aca="false">B20+C18</f>
        <v>1338.675</v>
      </c>
      <c r="D20" s="33" t="n">
        <f aca="false">C20+D18</f>
        <v>4016.025</v>
      </c>
      <c r="E20" s="33" t="n">
        <f aca="false">D20+E18</f>
        <v>6693.375</v>
      </c>
      <c r="F20" s="33" t="n">
        <f aca="false">E20+F18</f>
        <v>9370.725</v>
      </c>
      <c r="G20" s="33" t="n">
        <f aca="false">F20+G18</f>
        <v>10709.4</v>
      </c>
      <c r="H20" s="33" t="n">
        <f aca="false">G20+H18</f>
        <v>10709.4</v>
      </c>
      <c r="I20" s="33" t="n">
        <f aca="false">H20+I18</f>
        <v>10709.4</v>
      </c>
      <c r="J20" s="33" t="n">
        <f aca="false">I20+J18</f>
        <v>10709.4</v>
      </c>
      <c r="K20" s="33" t="n">
        <f aca="false">J20+K18</f>
        <v>10709.4</v>
      </c>
      <c r="L20" s="33" t="n">
        <f aca="false">K20+L18</f>
        <v>10709.4</v>
      </c>
      <c r="M20" s="33" t="n">
        <f aca="false">L20+M18</f>
        <v>10709.4</v>
      </c>
      <c r="N20" s="33" t="n">
        <f aca="false">M20+N18</f>
        <v>10709.4</v>
      </c>
      <c r="O20" s="33" t="n">
        <f aca="false">N20+O18</f>
        <v>10709.4</v>
      </c>
      <c r="P20" s="33" t="n">
        <f aca="false">O20+P18</f>
        <v>10709.4</v>
      </c>
      <c r="Q20" s="33" t="n">
        <f aca="false">P20+Q18</f>
        <v>10709.4</v>
      </c>
      <c r="R20" s="33" t="n">
        <f aca="false">Q20+R18</f>
        <v>10709.4</v>
      </c>
      <c r="S20" s="33" t="n">
        <f aca="false">R20+S18</f>
        <v>10709.4</v>
      </c>
      <c r="T20" s="33" t="n">
        <f aca="false">S20+T18</f>
        <v>10709.4</v>
      </c>
    </row>
    <row r="21" customFormat="false" ht="15" hidden="false" customHeight="true" outlineLevel="0" collapsed="false">
      <c r="A21" s="32" t="s">
        <v>158</v>
      </c>
      <c r="B21" s="33" t="n">
        <f aca="false">B20/$B$8</f>
        <v>0</v>
      </c>
      <c r="C21" s="33" t="n">
        <f aca="false">C20/$B$8</f>
        <v>487.5</v>
      </c>
      <c r="D21" s="33" t="n">
        <f aca="false">D20/$B$8</f>
        <v>1462.5</v>
      </c>
      <c r="E21" s="33" t="n">
        <f aca="false">E20/$B$8</f>
        <v>2437.5</v>
      </c>
      <c r="F21" s="33" t="n">
        <f aca="false">F20/$B$8</f>
        <v>3412.5</v>
      </c>
      <c r="G21" s="33" t="n">
        <f aca="false">G20/$B$8</f>
        <v>3900</v>
      </c>
      <c r="H21" s="33" t="n">
        <f aca="false">H20/$B$8</f>
        <v>3900</v>
      </c>
      <c r="I21" s="33" t="n">
        <f aca="false">I20/$B$8</f>
        <v>3900</v>
      </c>
      <c r="J21" s="33" t="n">
        <f aca="false">J20/$B$8</f>
        <v>3900</v>
      </c>
      <c r="K21" s="33" t="n">
        <f aca="false">K20/$B$8</f>
        <v>3900</v>
      </c>
      <c r="L21" s="33" t="n">
        <f aca="false">L20/$B$8</f>
        <v>3900</v>
      </c>
      <c r="M21" s="33" t="n">
        <f aca="false">M20/$B$8</f>
        <v>3900</v>
      </c>
      <c r="N21" s="33" t="n">
        <f aca="false">N20/$B$8</f>
        <v>3900</v>
      </c>
      <c r="O21" s="33" t="n">
        <f aca="false">O20/$B$8</f>
        <v>3900</v>
      </c>
      <c r="P21" s="33" t="n">
        <f aca="false">P20/$B$8</f>
        <v>3900</v>
      </c>
      <c r="Q21" s="33" t="n">
        <f aca="false">Q20/$B$8</f>
        <v>3900</v>
      </c>
      <c r="R21" s="33" t="n">
        <f aca="false">R20/$B$8</f>
        <v>3900</v>
      </c>
      <c r="S21" s="33" t="n">
        <f aca="false">S20/$B$8</f>
        <v>3900</v>
      </c>
      <c r="T21" s="33" t="n">
        <f aca="false">T20/$B$8</f>
        <v>3900</v>
      </c>
    </row>
    <row r="24" customFormat="false" ht="15" hidden="false" customHeight="true" outlineLevel="0" collapsed="false">
      <c r="A24" s="34" t="s">
        <v>159</v>
      </c>
      <c r="B24" s="30" t="n">
        <v>2025</v>
      </c>
      <c r="C24" s="30" t="n">
        <v>2026</v>
      </c>
      <c r="D24" s="30" t="n">
        <v>2027</v>
      </c>
      <c r="E24" s="30" t="n">
        <v>2028</v>
      </c>
      <c r="F24" s="30" t="n">
        <v>2029</v>
      </c>
      <c r="G24" s="30" t="n">
        <v>2030</v>
      </c>
      <c r="H24" s="30" t="n">
        <v>2031</v>
      </c>
      <c r="I24" s="30" t="n">
        <v>2032</v>
      </c>
      <c r="J24" s="30" t="n">
        <v>2033</v>
      </c>
      <c r="K24" s="30" t="n">
        <v>2034</v>
      </c>
      <c r="L24" s="30" t="n">
        <v>2035</v>
      </c>
      <c r="M24" s="30" t="n">
        <v>2036</v>
      </c>
      <c r="N24" s="30" t="n">
        <v>2037</v>
      </c>
      <c r="O24" s="30" t="n">
        <v>2038</v>
      </c>
      <c r="P24" s="30" t="n">
        <v>2039</v>
      </c>
      <c r="Q24" s="30" t="n">
        <v>2040</v>
      </c>
      <c r="R24" s="30" t="n">
        <v>2041</v>
      </c>
      <c r="S24" s="30" t="n">
        <v>2042</v>
      </c>
      <c r="T24" s="30" t="n">
        <v>2043</v>
      </c>
    </row>
    <row r="25" customFormat="false" ht="15" hidden="false" customHeight="true" outlineLevel="0" collapsed="false">
      <c r="A25" s="17" t="s">
        <v>150</v>
      </c>
    </row>
    <row r="26" customFormat="false" ht="15" hidden="false" customHeight="true" outlineLevel="0" collapsed="false">
      <c r="A26" s="17" t="s">
        <v>160</v>
      </c>
      <c r="B26" s="27" t="s">
        <v>161</v>
      </c>
    </row>
    <row r="27" customFormat="false" ht="15" hidden="false" customHeight="true" outlineLevel="0" collapsed="false">
      <c r="A27" s="17" t="s">
        <v>152</v>
      </c>
    </row>
    <row r="28" customFormat="false" ht="15" hidden="false" customHeight="true" outlineLevel="0" collapsed="false">
      <c r="A28" s="17" t="s">
        <v>153</v>
      </c>
    </row>
    <row r="29" customFormat="false" ht="15" hidden="false" customHeight="true" outlineLevel="0" collapsed="false">
      <c r="A29" s="17" t="s">
        <v>154</v>
      </c>
    </row>
    <row r="30" customFormat="false" ht="15" hidden="false" customHeight="true" outlineLevel="0" collapsed="false">
      <c r="A30" s="17" t="s">
        <v>155</v>
      </c>
      <c r="D30" s="35" t="s">
        <v>162</v>
      </c>
    </row>
    <row r="31" customFormat="false" ht="15" hidden="false" customHeight="true" outlineLevel="0" collapsed="false">
      <c r="A31" s="17" t="s">
        <v>156</v>
      </c>
      <c r="D31" s="35" t="s">
        <v>163</v>
      </c>
    </row>
    <row r="32" customFormat="false" ht="15" hidden="false" customHeight="true" outlineLevel="0" collapsed="false">
      <c r="A32" s="17" t="s">
        <v>157</v>
      </c>
      <c r="D32" s="35" t="s">
        <v>164</v>
      </c>
    </row>
    <row r="33" customFormat="false" ht="15" hidden="false" customHeight="true" outlineLevel="0" collapsed="false">
      <c r="A33" s="17" t="s">
        <v>158</v>
      </c>
      <c r="D33" s="35" t="s">
        <v>165</v>
      </c>
    </row>
    <row r="35" customFormat="false" ht="15" hidden="false" customHeight="true" outlineLevel="0" collapsed="false">
      <c r="A35" s="30" t="s">
        <v>0</v>
      </c>
      <c r="B35" s="30" t="n">
        <v>2025</v>
      </c>
      <c r="C35" s="30" t="n">
        <v>2026</v>
      </c>
      <c r="D35" s="30" t="n">
        <v>2027</v>
      </c>
      <c r="E35" s="30" t="n">
        <v>2028</v>
      </c>
      <c r="F35" s="30" t="n">
        <v>2029</v>
      </c>
      <c r="G35" s="30" t="n">
        <v>2030</v>
      </c>
      <c r="H35" s="30" t="n">
        <v>2031</v>
      </c>
      <c r="I35" s="30" t="n">
        <v>2032</v>
      </c>
      <c r="J35" s="30" t="n">
        <v>2033</v>
      </c>
      <c r="K35" s="30" t="n">
        <v>2034</v>
      </c>
      <c r="L35" s="30" t="n">
        <v>2035</v>
      </c>
      <c r="M35" s="30" t="n">
        <v>2036</v>
      </c>
      <c r="N35" s="30" t="n">
        <v>2037</v>
      </c>
      <c r="O35" s="30" t="n">
        <v>2038</v>
      </c>
      <c r="P35" s="30" t="n">
        <v>2039</v>
      </c>
      <c r="Q35" s="30" t="n">
        <v>2040</v>
      </c>
      <c r="R35" s="30" t="n">
        <v>2041</v>
      </c>
      <c r="S35" s="30" t="n">
        <v>2042</v>
      </c>
      <c r="T35" s="30" t="n">
        <v>2043</v>
      </c>
    </row>
    <row r="36" customFormat="false" ht="15" hidden="false" customHeight="true" outlineLevel="0" collapsed="false">
      <c r="A36" s="36" t="s">
        <v>0</v>
      </c>
      <c r="B36" s="37" t="n">
        <v>1</v>
      </c>
      <c r="C36" s="36" t="n">
        <v>2026</v>
      </c>
      <c r="D36" s="36" t="n">
        <v>2027</v>
      </c>
      <c r="E36" s="36" t="n">
        <v>2028</v>
      </c>
      <c r="F36" s="36" t="n">
        <v>2029</v>
      </c>
      <c r="G36" s="36" t="n">
        <v>2030</v>
      </c>
      <c r="H36" s="36" t="n">
        <v>2031</v>
      </c>
      <c r="I36" s="36" t="n">
        <v>2032</v>
      </c>
      <c r="J36" s="36" t="n">
        <v>2033</v>
      </c>
      <c r="K36" s="36" t="n">
        <v>2034</v>
      </c>
      <c r="L36" s="36" t="n">
        <v>2035</v>
      </c>
      <c r="M36" s="36" t="n">
        <v>2036</v>
      </c>
      <c r="N36" s="36" t="n">
        <v>2037</v>
      </c>
      <c r="O36" s="36" t="n">
        <v>2038</v>
      </c>
      <c r="P36" s="36" t="n">
        <v>2039</v>
      </c>
      <c r="Q36" s="36" t="n">
        <v>2040</v>
      </c>
      <c r="R36" s="36" t="n">
        <v>2041</v>
      </c>
      <c r="S36" s="36" t="n">
        <v>2042</v>
      </c>
      <c r="T36" s="36" t="n">
        <v>2043</v>
      </c>
    </row>
    <row r="37" customFormat="false" ht="15" hidden="false" customHeight="true" outlineLevel="0" collapsed="false">
      <c r="A37" s="38" t="s">
        <v>150</v>
      </c>
      <c r="B37" s="33" t="n">
        <v>0</v>
      </c>
      <c r="C37" s="33" t="n">
        <f aca="false">6500*0.125*$B$8</f>
        <v>2231.125</v>
      </c>
      <c r="D37" s="33" t="n">
        <f aca="false">6500*0.25*$B$8</f>
        <v>4462.25</v>
      </c>
      <c r="E37" s="33" t="n">
        <f aca="false">6500*0.25*$B$8</f>
        <v>4462.25</v>
      </c>
      <c r="F37" s="33" t="n">
        <f aca="false">6500*0.25*$B$8</f>
        <v>4462.25</v>
      </c>
      <c r="G37" s="33" t="n">
        <f aca="false">6500*0.125*$B$8</f>
        <v>2231.125</v>
      </c>
      <c r="H37" s="33" t="n">
        <v>0</v>
      </c>
      <c r="I37" s="33" t="n">
        <v>0</v>
      </c>
      <c r="J37" s="33" t="n">
        <v>0</v>
      </c>
      <c r="K37" s="33" t="n">
        <v>0</v>
      </c>
      <c r="L37" s="33" t="n">
        <v>0</v>
      </c>
      <c r="M37" s="33" t="n">
        <v>0</v>
      </c>
      <c r="N37" s="33" t="n">
        <v>0</v>
      </c>
      <c r="O37" s="33" t="n">
        <v>0</v>
      </c>
      <c r="P37" s="33" t="n">
        <v>0</v>
      </c>
      <c r="Q37" s="33" t="n">
        <v>0</v>
      </c>
      <c r="R37" s="33" t="n">
        <v>0</v>
      </c>
      <c r="S37" s="33" t="n">
        <v>0</v>
      </c>
      <c r="T37" s="33" t="n">
        <v>0</v>
      </c>
    </row>
    <row r="38" customFormat="false" ht="15" hidden="false" customHeight="true" outlineLevel="0" collapsed="false">
      <c r="A38" s="38" t="s">
        <v>151</v>
      </c>
      <c r="B38" s="8" t="n">
        <f aca="false">IF(B37=0,0,B37/SUM($C$37:$U$37))</f>
        <v>0</v>
      </c>
      <c r="C38" s="8" t="n">
        <f aca="false">IF(C37=0,0,C37/SUM($C$37:$U$37))</f>
        <v>0.125</v>
      </c>
      <c r="D38" s="8" t="n">
        <f aca="false">IF(D37=0,0,D37/SUM($C$37:$U$37))</f>
        <v>0.25</v>
      </c>
      <c r="E38" s="8" t="n">
        <f aca="false">IF(E37=0,0,E37/SUM($C$37:$U$37))</f>
        <v>0.25</v>
      </c>
      <c r="F38" s="8" t="n">
        <f aca="false">IF(F37=0,0,F37/SUM($C$37:$U$37))</f>
        <v>0.25</v>
      </c>
      <c r="G38" s="8" t="n">
        <f aca="false">IF(G37=0,0,G37/SUM($C$37:$U$37))</f>
        <v>0.125</v>
      </c>
      <c r="H38" s="8" t="n">
        <f aca="false">IF(H37=0,0,H37/SUM($C$37:$U$37))</f>
        <v>0</v>
      </c>
      <c r="I38" s="8" t="n">
        <f aca="false">IF(I37=0,0,I37/SUM($C$37:$U$37))</f>
        <v>0</v>
      </c>
      <c r="J38" s="8" t="n">
        <f aca="false">IF(J37=0,0,J37/SUM($C$37:$U$37))</f>
        <v>0</v>
      </c>
      <c r="K38" s="8" t="n">
        <f aca="false">IF(K37=0,0,K37/SUM($C$37:$U$37))</f>
        <v>0</v>
      </c>
      <c r="L38" s="8" t="n">
        <f aca="false">IF(L37=0,0,L37/SUM($C$37:$U$37))</f>
        <v>0</v>
      </c>
      <c r="M38" s="8" t="n">
        <f aca="false">IF(M37=0,0,M37/SUM($C$37:$U$37))</f>
        <v>0</v>
      </c>
      <c r="N38" s="8" t="n">
        <f aca="false">IF(N37=0,0,N37/SUM($C$37:$U$37))</f>
        <v>0</v>
      </c>
      <c r="O38" s="8" t="n">
        <f aca="false">IF(O37=0,0,O37/SUM($C$37:$U$37))</f>
        <v>0</v>
      </c>
      <c r="P38" s="8" t="n">
        <f aca="false">IF(P37=0,0,P37/SUM($C$37:$U$37))</f>
        <v>0</v>
      </c>
      <c r="Q38" s="8" t="n">
        <f aca="false">IF(Q37=0,0,Q37/SUM($C$37:$U$37))</f>
        <v>0</v>
      </c>
      <c r="R38" s="8" t="n">
        <f aca="false">IF(R37=0,0,R37/SUM($C$37:$U$37))</f>
        <v>0</v>
      </c>
      <c r="S38" s="8" t="n">
        <f aca="false">IF(S37=0,0,S37/SUM($C$37:$U$37))</f>
        <v>0</v>
      </c>
      <c r="T38" s="8" t="n">
        <f aca="false">IF(T37=0,0,T37/SUM($C$37:$U$37))</f>
        <v>0</v>
      </c>
    </row>
    <row r="39" customFormat="false" ht="15" hidden="false" customHeight="true" outlineLevel="0" collapsed="false">
      <c r="A39" s="38" t="s">
        <v>152</v>
      </c>
      <c r="B39" s="33" t="n">
        <f aca="false">B37*$B$36</f>
        <v>0</v>
      </c>
      <c r="C39" s="33" t="n">
        <f aca="false">C37*$B$36</f>
        <v>2231.125</v>
      </c>
      <c r="D39" s="33" t="n">
        <f aca="false">D37*$B$36</f>
        <v>4462.25</v>
      </c>
      <c r="E39" s="33" t="n">
        <f aca="false">E37*$B$36</f>
        <v>4462.25</v>
      </c>
      <c r="F39" s="33" t="n">
        <f aca="false">F37*$B$36</f>
        <v>4462.25</v>
      </c>
      <c r="G39" s="33" t="n">
        <f aca="false">G37*$B$36</f>
        <v>2231.125</v>
      </c>
      <c r="H39" s="33" t="n">
        <f aca="false">H37*$B$36</f>
        <v>0</v>
      </c>
      <c r="I39" s="33" t="n">
        <f aca="false">I37*$B$36</f>
        <v>0</v>
      </c>
      <c r="J39" s="33" t="n">
        <f aca="false">J37*$B$36</f>
        <v>0</v>
      </c>
      <c r="K39" s="33" t="n">
        <f aca="false">K37*$B$36</f>
        <v>0</v>
      </c>
      <c r="L39" s="33" t="n">
        <f aca="false">L37*$B$36</f>
        <v>0</v>
      </c>
      <c r="M39" s="33" t="n">
        <f aca="false">M37*$B$36</f>
        <v>0</v>
      </c>
      <c r="N39" s="33" t="n">
        <f aca="false">N37*$B$36</f>
        <v>0</v>
      </c>
      <c r="O39" s="33" t="n">
        <f aca="false">O37*$B$36</f>
        <v>0</v>
      </c>
      <c r="P39" s="33" t="n">
        <f aca="false">P37*$B$36</f>
        <v>0</v>
      </c>
      <c r="Q39" s="33" t="n">
        <f aca="false">Q37*$B$36</f>
        <v>0</v>
      </c>
      <c r="R39" s="33" t="n">
        <f aca="false">R37*$B$36</f>
        <v>0</v>
      </c>
      <c r="S39" s="33" t="n">
        <f aca="false">S37*$B$36</f>
        <v>0</v>
      </c>
      <c r="T39" s="33" t="n">
        <f aca="false">T37*$B$36</f>
        <v>0</v>
      </c>
    </row>
    <row r="40" customFormat="false" ht="15" hidden="false" customHeight="true" outlineLevel="0" collapsed="false">
      <c r="A40" s="38" t="s">
        <v>153</v>
      </c>
      <c r="B40" s="33" t="n">
        <f aca="false">B39*'SUT Calc'!$C$46</f>
        <v>0</v>
      </c>
      <c r="C40" s="33" t="n">
        <f aca="false">C39*'SUT Calc'!$C$46</f>
        <v>557.78125</v>
      </c>
      <c r="D40" s="33" t="n">
        <f aca="false">D39*'SUT Calc'!$C$46</f>
        <v>1115.5625</v>
      </c>
      <c r="E40" s="33" t="n">
        <f aca="false">E39*'SUT Calc'!$C$46</f>
        <v>1115.5625</v>
      </c>
      <c r="F40" s="33" t="n">
        <f aca="false">F39*'SUT Calc'!$C$46</f>
        <v>1115.5625</v>
      </c>
      <c r="G40" s="33" t="n">
        <f aca="false">G39*'SUT Calc'!$C$46</f>
        <v>557.78125</v>
      </c>
      <c r="H40" s="33" t="n">
        <f aca="false">H39*'SUT Calc'!$C$46</f>
        <v>0</v>
      </c>
      <c r="I40" s="33" t="n">
        <f aca="false">I39*'SUT Calc'!$C$46</f>
        <v>0</v>
      </c>
      <c r="J40" s="33" t="n">
        <f aca="false">J39*'SUT Calc'!$C$46</f>
        <v>0</v>
      </c>
      <c r="K40" s="33" t="n">
        <f aca="false">K39*'SUT Calc'!$C$46</f>
        <v>0</v>
      </c>
      <c r="L40" s="33" t="n">
        <f aca="false">L39*'SUT Calc'!$C$46</f>
        <v>0</v>
      </c>
      <c r="M40" s="33" t="n">
        <f aca="false">M39*'SUT Calc'!$C$46</f>
        <v>0</v>
      </c>
      <c r="N40" s="33" t="n">
        <f aca="false">N39*'SUT Calc'!$C$46</f>
        <v>0</v>
      </c>
      <c r="O40" s="33" t="n">
        <f aca="false">O39*'SUT Calc'!$C$46</f>
        <v>0</v>
      </c>
      <c r="P40" s="33" t="n">
        <f aca="false">P39*'SUT Calc'!$C$46</f>
        <v>0</v>
      </c>
      <c r="Q40" s="33" t="n">
        <f aca="false">Q39*'SUT Calc'!$C$46</f>
        <v>0</v>
      </c>
      <c r="R40" s="33" t="n">
        <f aca="false">R39*'SUT Calc'!$C$46</f>
        <v>0</v>
      </c>
      <c r="S40" s="33" t="n">
        <f aca="false">S39*'SUT Calc'!$C$46</f>
        <v>0</v>
      </c>
      <c r="T40" s="33" t="n">
        <f aca="false">T39*'SUT Calc'!$C$46</f>
        <v>0</v>
      </c>
    </row>
    <row r="41" customFormat="false" ht="15" hidden="false" customHeight="true" outlineLevel="0" collapsed="false">
      <c r="A41" s="38" t="s">
        <v>154</v>
      </c>
      <c r="B41" s="33" t="n">
        <f aca="false">B39-B40</f>
        <v>0</v>
      </c>
      <c r="C41" s="33" t="n">
        <f aca="false">C39-C40</f>
        <v>1673.34375</v>
      </c>
      <c r="D41" s="33" t="n">
        <f aca="false">D39-D40</f>
        <v>3346.6875</v>
      </c>
      <c r="E41" s="33" t="n">
        <f aca="false">E39-E40</f>
        <v>3346.6875</v>
      </c>
      <c r="F41" s="33" t="n">
        <f aca="false">F39-F40</f>
        <v>3346.6875</v>
      </c>
      <c r="G41" s="33" t="n">
        <f aca="false">G39-G40</f>
        <v>1673.34375</v>
      </c>
      <c r="H41" s="33" t="n">
        <f aca="false">H39-H40</f>
        <v>0</v>
      </c>
      <c r="I41" s="33" t="n">
        <f aca="false">I39-I40</f>
        <v>0</v>
      </c>
      <c r="J41" s="33" t="n">
        <f aca="false">J39-J40</f>
        <v>0</v>
      </c>
      <c r="K41" s="33" t="n">
        <f aca="false">K39-K40</f>
        <v>0</v>
      </c>
      <c r="L41" s="33" t="n">
        <f aca="false">L39-L40</f>
        <v>0</v>
      </c>
      <c r="M41" s="33" t="n">
        <f aca="false">M39-M40</f>
        <v>0</v>
      </c>
      <c r="N41" s="33" t="n">
        <f aca="false">N39-N40</f>
        <v>0</v>
      </c>
      <c r="O41" s="33" t="n">
        <f aca="false">O39-O40</f>
        <v>0</v>
      </c>
      <c r="P41" s="33" t="n">
        <f aca="false">P39-P40</f>
        <v>0</v>
      </c>
      <c r="Q41" s="33" t="n">
        <f aca="false">Q39-Q40</f>
        <v>0</v>
      </c>
      <c r="R41" s="33" t="n">
        <f aca="false">R39-R40</f>
        <v>0</v>
      </c>
      <c r="S41" s="33" t="n">
        <f aca="false">S39-S40</f>
        <v>0</v>
      </c>
      <c r="T41" s="33" t="n">
        <f aca="false">T39-T40</f>
        <v>0</v>
      </c>
    </row>
    <row r="42" customFormat="false" ht="15" hidden="false" customHeight="true" outlineLevel="0" collapsed="false">
      <c r="A42" s="38" t="s">
        <v>155</v>
      </c>
      <c r="B42" s="33" t="n">
        <f aca="false">B41</f>
        <v>0</v>
      </c>
      <c r="C42" s="33" t="n">
        <f aca="false">C41</f>
        <v>1673.34375</v>
      </c>
      <c r="D42" s="33" t="n">
        <f aca="false">D41</f>
        <v>3346.6875</v>
      </c>
      <c r="E42" s="33" t="n">
        <f aca="false">E41</f>
        <v>3346.6875</v>
      </c>
      <c r="F42" s="33" t="n">
        <f aca="false">F41</f>
        <v>3346.6875</v>
      </c>
      <c r="G42" s="33" t="n">
        <f aca="false">G41</f>
        <v>1673.34375</v>
      </c>
      <c r="H42" s="33" t="n">
        <f aca="false">H41</f>
        <v>0</v>
      </c>
      <c r="I42" s="33" t="n">
        <f aca="false">I41</f>
        <v>0</v>
      </c>
      <c r="J42" s="33" t="n">
        <f aca="false">J41</f>
        <v>0</v>
      </c>
      <c r="K42" s="33" t="n">
        <f aca="false">K41</f>
        <v>0</v>
      </c>
      <c r="L42" s="33" t="n">
        <f aca="false">L41</f>
        <v>0</v>
      </c>
      <c r="M42" s="33" t="n">
        <f aca="false">M41</f>
        <v>0</v>
      </c>
      <c r="N42" s="33" t="n">
        <f aca="false">N41</f>
        <v>0</v>
      </c>
      <c r="O42" s="33" t="n">
        <f aca="false">O41</f>
        <v>0</v>
      </c>
      <c r="P42" s="33" t="n">
        <f aca="false">P41</f>
        <v>0</v>
      </c>
      <c r="Q42" s="33" t="n">
        <f aca="false">Q41</f>
        <v>0</v>
      </c>
      <c r="R42" s="33" t="n">
        <f aca="false">R41</f>
        <v>0</v>
      </c>
      <c r="S42" s="33" t="n">
        <f aca="false">S41</f>
        <v>0</v>
      </c>
      <c r="T42" s="33" t="n">
        <f aca="false">T41</f>
        <v>0</v>
      </c>
    </row>
    <row r="43" customFormat="false" ht="15" hidden="false" customHeight="true" outlineLevel="0" collapsed="false">
      <c r="A43" s="38" t="s">
        <v>156</v>
      </c>
      <c r="B43" s="33" t="n">
        <f aca="false">B42/$B$8</f>
        <v>0</v>
      </c>
      <c r="C43" s="33" t="n">
        <f aca="false">C42/$B$8</f>
        <v>609.375</v>
      </c>
      <c r="D43" s="33" t="n">
        <f aca="false">D42/$B$8</f>
        <v>1218.75</v>
      </c>
      <c r="E43" s="33" t="n">
        <f aca="false">E42/$B$8</f>
        <v>1218.75</v>
      </c>
      <c r="F43" s="33" t="n">
        <f aca="false">F42/$B$8</f>
        <v>1218.75</v>
      </c>
      <c r="G43" s="33" t="n">
        <f aca="false">G42/$B$8</f>
        <v>609.375</v>
      </c>
      <c r="H43" s="33" t="n">
        <f aca="false">H42/$B$8</f>
        <v>0</v>
      </c>
      <c r="I43" s="33" t="n">
        <f aca="false">I42/$B$8</f>
        <v>0</v>
      </c>
      <c r="J43" s="33" t="n">
        <f aca="false">J42/$B$8</f>
        <v>0</v>
      </c>
      <c r="K43" s="33" t="n">
        <f aca="false">K42/$B$8</f>
        <v>0</v>
      </c>
      <c r="L43" s="33" t="n">
        <f aca="false">L42/$B$8</f>
        <v>0</v>
      </c>
      <c r="M43" s="33" t="n">
        <f aca="false">M42/$B$8</f>
        <v>0</v>
      </c>
      <c r="N43" s="33" t="n">
        <f aca="false">N42/$B$8</f>
        <v>0</v>
      </c>
      <c r="O43" s="33" t="n">
        <f aca="false">O42/$B$8</f>
        <v>0</v>
      </c>
      <c r="P43" s="33" t="n">
        <f aca="false">P42/$B$8</f>
        <v>0</v>
      </c>
      <c r="Q43" s="33" t="n">
        <f aca="false">Q42/$B$8</f>
        <v>0</v>
      </c>
      <c r="R43" s="33" t="n">
        <f aca="false">R42/$B$8</f>
        <v>0</v>
      </c>
      <c r="S43" s="33" t="n">
        <f aca="false">S42/$B$8</f>
        <v>0</v>
      </c>
      <c r="T43" s="33" t="n">
        <f aca="false">T42/$B$8</f>
        <v>0</v>
      </c>
    </row>
    <row r="44" customFormat="false" ht="15" hidden="false" customHeight="true" outlineLevel="0" collapsed="false">
      <c r="A44" s="38" t="s">
        <v>157</v>
      </c>
      <c r="B44" s="33" t="n">
        <v>0</v>
      </c>
      <c r="C44" s="33" t="n">
        <f aca="false">B44+C42</f>
        <v>1673.34375</v>
      </c>
      <c r="D44" s="33" t="n">
        <f aca="false">C44+D42</f>
        <v>5020.03125</v>
      </c>
      <c r="E44" s="33" t="n">
        <f aca="false">D44+E42</f>
        <v>8366.71875</v>
      </c>
      <c r="F44" s="33" t="n">
        <f aca="false">E44+F42</f>
        <v>11713.40625</v>
      </c>
      <c r="G44" s="33" t="n">
        <f aca="false">F44+G42</f>
        <v>13386.75</v>
      </c>
      <c r="H44" s="33" t="n">
        <f aca="false">G44+H42</f>
        <v>13386.75</v>
      </c>
      <c r="I44" s="33" t="n">
        <f aca="false">H44+I42</f>
        <v>13386.75</v>
      </c>
      <c r="J44" s="33" t="n">
        <f aca="false">I44+J42</f>
        <v>13386.75</v>
      </c>
      <c r="K44" s="33" t="n">
        <f aca="false">J44+K42</f>
        <v>13386.75</v>
      </c>
      <c r="L44" s="33" t="n">
        <f aca="false">K44+L42</f>
        <v>13386.75</v>
      </c>
      <c r="M44" s="33" t="n">
        <f aca="false">L44+M42</f>
        <v>13386.75</v>
      </c>
      <c r="N44" s="33" t="n">
        <f aca="false">M44+N42</f>
        <v>13386.75</v>
      </c>
      <c r="O44" s="33" t="n">
        <f aca="false">N44+O42</f>
        <v>13386.75</v>
      </c>
      <c r="P44" s="33" t="n">
        <f aca="false">O44+P42</f>
        <v>13386.75</v>
      </c>
      <c r="Q44" s="33" t="n">
        <f aca="false">P44+Q42</f>
        <v>13386.75</v>
      </c>
      <c r="R44" s="33" t="n">
        <f aca="false">Q44+R42</f>
        <v>13386.75</v>
      </c>
      <c r="S44" s="33" t="n">
        <f aca="false">R44+S42</f>
        <v>13386.75</v>
      </c>
      <c r="T44" s="33" t="n">
        <f aca="false">S44+T42</f>
        <v>13386.75</v>
      </c>
    </row>
    <row r="45" customFormat="false" ht="15" hidden="false" customHeight="true" outlineLevel="0" collapsed="false">
      <c r="A45" s="38" t="s">
        <v>158</v>
      </c>
      <c r="B45" s="33" t="n">
        <f aca="false">B44/$B$8</f>
        <v>0</v>
      </c>
      <c r="C45" s="33" t="n">
        <f aca="false">C44/$B$8</f>
        <v>609.375</v>
      </c>
      <c r="D45" s="33" t="n">
        <f aca="false">D44/$B$8</f>
        <v>1828.125</v>
      </c>
      <c r="E45" s="33" t="n">
        <f aca="false">E44/$B$8</f>
        <v>3046.875</v>
      </c>
      <c r="F45" s="33" t="n">
        <f aca="false">F44/$B$8</f>
        <v>4265.625</v>
      </c>
      <c r="G45" s="33" t="n">
        <f aca="false">G44/$B$8</f>
        <v>4875</v>
      </c>
      <c r="H45" s="33" t="n">
        <f aca="false">H44/$B$8</f>
        <v>4875</v>
      </c>
      <c r="I45" s="33" t="n">
        <f aca="false">I44/$B$8</f>
        <v>4875</v>
      </c>
      <c r="J45" s="33" t="n">
        <f aca="false">J44/$B$8</f>
        <v>4875</v>
      </c>
      <c r="K45" s="33" t="n">
        <f aca="false">K44/$B$8</f>
        <v>4875</v>
      </c>
      <c r="L45" s="33" t="n">
        <f aca="false">L44/$B$8</f>
        <v>4875</v>
      </c>
      <c r="M45" s="33" t="n">
        <f aca="false">M44/$B$8</f>
        <v>4875</v>
      </c>
      <c r="N45" s="33" t="n">
        <f aca="false">N44/$B$8</f>
        <v>4875</v>
      </c>
      <c r="O45" s="33" t="n">
        <f aca="false">O44/$B$8</f>
        <v>4875</v>
      </c>
      <c r="P45" s="33" t="n">
        <f aca="false">P44/$B$8</f>
        <v>4875</v>
      </c>
      <c r="Q45" s="33" t="n">
        <f aca="false">Q44/$B$8</f>
        <v>4875</v>
      </c>
      <c r="R45" s="33" t="n">
        <f aca="false">R44/$B$8</f>
        <v>4875</v>
      </c>
      <c r="S45" s="33" t="n">
        <f aca="false">S44/$B$8</f>
        <v>4875</v>
      </c>
      <c r="T45" s="33" t="n">
        <f aca="false">T44/$B$8</f>
        <v>4875</v>
      </c>
    </row>
    <row r="47" customFormat="false" ht="15" hidden="false" customHeight="true" outlineLevel="0" collapsed="false">
      <c r="A47" s="39" t="s">
        <v>166</v>
      </c>
    </row>
    <row r="48" customFormat="false" ht="15" hidden="false" customHeight="true" outlineLevel="0" collapsed="false">
      <c r="A48" s="1" t="s">
        <v>0</v>
      </c>
      <c r="B48" s="35" t="n">
        <v>0.5</v>
      </c>
      <c r="C48" s="1" t="n">
        <v>2026</v>
      </c>
      <c r="D48" s="1" t="n">
        <v>2027</v>
      </c>
      <c r="E48" s="1" t="n">
        <v>2028</v>
      </c>
      <c r="F48" s="1" t="n">
        <v>2029</v>
      </c>
      <c r="G48" s="1" t="n">
        <v>2030</v>
      </c>
      <c r="H48" s="1" t="n">
        <v>2031</v>
      </c>
      <c r="I48" s="1" t="n">
        <v>2032</v>
      </c>
      <c r="J48" s="1" t="n">
        <v>2033</v>
      </c>
      <c r="K48" s="1" t="n">
        <v>2034</v>
      </c>
      <c r="L48" s="1" t="n">
        <v>2035</v>
      </c>
      <c r="M48" s="1" t="n">
        <v>2036</v>
      </c>
      <c r="N48" s="1" t="n">
        <v>2037</v>
      </c>
      <c r="O48" s="1" t="n">
        <v>2038</v>
      </c>
      <c r="P48" s="1" t="n">
        <v>2039</v>
      </c>
      <c r="Q48" s="1" t="n">
        <v>2040</v>
      </c>
      <c r="R48" s="1" t="n">
        <v>2041</v>
      </c>
      <c r="S48" s="1" t="n">
        <v>2042</v>
      </c>
      <c r="T48" s="1" t="n">
        <v>2043</v>
      </c>
    </row>
    <row r="49" customFormat="false" ht="15" hidden="false" customHeight="true" outlineLevel="0" collapsed="false">
      <c r="A49" s="17" t="s">
        <v>167</v>
      </c>
      <c r="B49" s="40" t="n">
        <v>0.5</v>
      </c>
      <c r="C49" s="33" t="n">
        <f aca="false">6500*0.125*$B$8</f>
        <v>2231.125</v>
      </c>
      <c r="D49" s="33" t="n">
        <f aca="false">6500*0.25*$B$8</f>
        <v>4462.25</v>
      </c>
      <c r="E49" s="33" t="n">
        <f aca="false">6500*0.25*$B$8</f>
        <v>4462.25</v>
      </c>
      <c r="F49" s="33" t="n">
        <f aca="false">6500*0.25*$B$8</f>
        <v>4462.25</v>
      </c>
      <c r="G49" s="33" t="n">
        <f aca="false">6500*0.125*$B$8</f>
        <v>2231.125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</row>
    <row r="50" customFormat="false" ht="15" hidden="false" customHeight="true" outlineLevel="0" collapsed="false">
      <c r="A50" s="17" t="s">
        <v>150</v>
      </c>
      <c r="B50" s="8" t="n">
        <v>0</v>
      </c>
      <c r="C50" s="8" t="n">
        <f aca="false">6500*0.125*$B$8</f>
        <v>2231.125</v>
      </c>
      <c r="D50" s="8" t="n">
        <f aca="false">6500*0.25*$B$8</f>
        <v>4462.25</v>
      </c>
      <c r="E50" s="8" t="n">
        <f aca="false">6500*0.25*$B$8</f>
        <v>4462.25</v>
      </c>
      <c r="F50" s="8" t="n">
        <f aca="false">6500*0.25*$B$8</f>
        <v>4462.25</v>
      </c>
      <c r="G50" s="8" t="n">
        <f aca="false">6500*0.125*$B$8</f>
        <v>2231.125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</row>
    <row r="51" customFormat="false" ht="15" hidden="false" customHeight="true" outlineLevel="0" collapsed="false">
      <c r="A51" s="17" t="s">
        <v>151</v>
      </c>
      <c r="B51" s="33" t="n">
        <f aca="false">IF(B50=0,0,B50/SUM($C$50:$U$50))</f>
        <v>0</v>
      </c>
      <c r="C51" s="33" t="n">
        <f aca="false">IF(C50=0,0,C50/SUM($C$50:$U$50))</f>
        <v>0.125</v>
      </c>
      <c r="D51" s="33" t="n">
        <f aca="false">IF(D50=0,0,D50/SUM($C$50:$U$50))</f>
        <v>0.25</v>
      </c>
      <c r="E51" s="33" t="n">
        <f aca="false">IF(E50=0,0,E50/SUM($C$50:$U$50))</f>
        <v>0.25</v>
      </c>
      <c r="F51" s="33" t="n">
        <f aca="false">IF(F50=0,0,F50/SUM($C$50:$U$50))</f>
        <v>0.25</v>
      </c>
      <c r="G51" s="33" t="n">
        <f aca="false">IF(G50=0,0,G50/SUM($C$50:$U$50))</f>
        <v>0.125</v>
      </c>
      <c r="H51" s="33" t="n">
        <f aca="false">IF(H50=0,0,H50/SUM($C$50:$U$50))</f>
        <v>0</v>
      </c>
      <c r="I51" s="33" t="n">
        <f aca="false">IF(I50=0,0,I50/SUM($C$50:$U$50))</f>
        <v>0</v>
      </c>
      <c r="J51" s="33" t="n">
        <f aca="false">IF(J50=0,0,J50/SUM($C$50:$U$50))</f>
        <v>0</v>
      </c>
      <c r="K51" s="33" t="n">
        <f aca="false">IF(K50=0,0,K50/SUM($C$50:$U$50))</f>
        <v>0</v>
      </c>
      <c r="L51" s="33" t="n">
        <f aca="false">IF(L50=0,0,L50/SUM($C$50:$U$50))</f>
        <v>0</v>
      </c>
      <c r="M51" s="33" t="n">
        <f aca="false">IF(M50=0,0,M50/SUM($C$50:$U$50))</f>
        <v>0</v>
      </c>
      <c r="N51" s="33" t="n">
        <f aca="false">IF(N50=0,0,N50/SUM($C$50:$U$50))</f>
        <v>0</v>
      </c>
      <c r="O51" s="33" t="n">
        <f aca="false">IF(O50=0,0,O50/SUM($C$50:$U$50))</f>
        <v>0</v>
      </c>
      <c r="P51" s="33" t="n">
        <f aca="false">IF(P50=0,0,P50/SUM($C$50:$U$50))</f>
        <v>0</v>
      </c>
      <c r="Q51" s="33" t="n">
        <f aca="false">IF(Q50=0,0,Q50/SUM($C$50:$U$50))</f>
        <v>0</v>
      </c>
      <c r="R51" s="33" t="n">
        <f aca="false">IF(R50=0,0,R50/SUM($C$50:$U$50))</f>
        <v>0</v>
      </c>
      <c r="S51" s="33" t="n">
        <f aca="false">IF(S50=0,0,S50/SUM($C$50:$U$50))</f>
        <v>0</v>
      </c>
      <c r="T51" s="33" t="n">
        <f aca="false">IF(T50=0,0,T50/SUM($C$50:$U$50))</f>
        <v>0</v>
      </c>
    </row>
    <row r="52" customFormat="false" ht="15" hidden="false" customHeight="true" outlineLevel="0" collapsed="false">
      <c r="A52" s="17" t="s">
        <v>152</v>
      </c>
      <c r="B52" s="33" t="n">
        <f aca="false">B50*$B$9</f>
        <v>0</v>
      </c>
      <c r="C52" s="33" t="n">
        <f aca="false">C50*$B$9</f>
        <v>1784.9</v>
      </c>
      <c r="D52" s="33" t="n">
        <f aca="false">D50*$B$9</f>
        <v>3569.8</v>
      </c>
      <c r="E52" s="33" t="n">
        <f aca="false">E50*$B$9</f>
        <v>3569.8</v>
      </c>
      <c r="F52" s="33" t="n">
        <f aca="false">F50*$B$9</f>
        <v>3569.8</v>
      </c>
      <c r="G52" s="33" t="n">
        <f aca="false">G50*$B$9</f>
        <v>1784.9</v>
      </c>
      <c r="H52" s="33" t="n">
        <f aca="false">H50*$B$9</f>
        <v>0</v>
      </c>
      <c r="I52" s="33" t="n">
        <f aca="false">I50*$B$9</f>
        <v>0</v>
      </c>
      <c r="J52" s="33" t="n">
        <f aca="false">J50*$B$9</f>
        <v>0</v>
      </c>
      <c r="K52" s="33" t="n">
        <f aca="false">K50*$B$9</f>
        <v>0</v>
      </c>
      <c r="L52" s="33" t="n">
        <f aca="false">L50*$B$9</f>
        <v>0</v>
      </c>
      <c r="M52" s="33" t="n">
        <f aca="false">M50*$B$9</f>
        <v>0</v>
      </c>
      <c r="N52" s="33" t="n">
        <f aca="false">N50*$B$9</f>
        <v>0</v>
      </c>
      <c r="O52" s="33" t="n">
        <f aca="false">O50*$B$9</f>
        <v>0</v>
      </c>
      <c r="P52" s="33" t="n">
        <f aca="false">P50*$B$9</f>
        <v>0</v>
      </c>
      <c r="Q52" s="33" t="n">
        <f aca="false">Q50*$B$9</f>
        <v>0</v>
      </c>
      <c r="R52" s="33" t="n">
        <f aca="false">R50*$B$9</f>
        <v>0</v>
      </c>
      <c r="S52" s="33" t="n">
        <f aca="false">S50*$B$9</f>
        <v>0</v>
      </c>
      <c r="T52" s="33" t="n">
        <f aca="false">T50*$B$9</f>
        <v>0</v>
      </c>
    </row>
    <row r="53" customFormat="false" ht="15" hidden="false" customHeight="true" outlineLevel="0" collapsed="false">
      <c r="A53" s="17" t="s">
        <v>153</v>
      </c>
      <c r="B53" s="33" t="n">
        <f aca="false">B52*$B$49</f>
        <v>0</v>
      </c>
      <c r="C53" s="33" t="n">
        <f aca="false">C52*$B$49</f>
        <v>892.45</v>
      </c>
      <c r="D53" s="33" t="n">
        <f aca="false">D52*$B$49</f>
        <v>1784.9</v>
      </c>
      <c r="E53" s="33" t="n">
        <f aca="false">E52*$B$49</f>
        <v>1784.9</v>
      </c>
      <c r="F53" s="33" t="n">
        <f aca="false">F52*$B$49</f>
        <v>1784.9</v>
      </c>
      <c r="G53" s="33" t="n">
        <f aca="false">G52*$B$49</f>
        <v>892.45</v>
      </c>
      <c r="H53" s="33" t="n">
        <f aca="false">H52*$B$49</f>
        <v>0</v>
      </c>
      <c r="I53" s="33" t="n">
        <f aca="false">I52*$B$49</f>
        <v>0</v>
      </c>
      <c r="J53" s="33" t="n">
        <f aca="false">J52*$B$49</f>
        <v>0</v>
      </c>
      <c r="K53" s="33" t="n">
        <f aca="false">K52*$B$49</f>
        <v>0</v>
      </c>
      <c r="L53" s="33" t="n">
        <f aca="false">L52*$B$49</f>
        <v>0</v>
      </c>
      <c r="M53" s="33" t="n">
        <f aca="false">M52*$B$49</f>
        <v>0</v>
      </c>
      <c r="N53" s="33" t="n">
        <f aca="false">N52*$B$49</f>
        <v>0</v>
      </c>
      <c r="O53" s="33" t="n">
        <f aca="false">O52*$B$49</f>
        <v>0</v>
      </c>
      <c r="P53" s="33" t="n">
        <f aca="false">P52*$B$49</f>
        <v>0</v>
      </c>
      <c r="Q53" s="33" t="n">
        <f aca="false">Q52*$B$49</f>
        <v>0</v>
      </c>
      <c r="R53" s="33" t="n">
        <f aca="false">R52*$B$49</f>
        <v>0</v>
      </c>
      <c r="S53" s="33" t="n">
        <f aca="false">S52*$B$49</f>
        <v>0</v>
      </c>
      <c r="T53" s="33" t="n">
        <f aca="false">T52*$B$49</f>
        <v>0</v>
      </c>
    </row>
    <row r="54" customFormat="false" ht="15" hidden="false" customHeight="true" outlineLevel="0" collapsed="false">
      <c r="A54" s="17" t="s">
        <v>154</v>
      </c>
      <c r="B54" s="33" t="n">
        <f aca="false">B52-B53</f>
        <v>0</v>
      </c>
      <c r="C54" s="33" t="n">
        <f aca="false">C52-C53</f>
        <v>892.45</v>
      </c>
      <c r="D54" s="33" t="n">
        <f aca="false">D52-D53</f>
        <v>1784.9</v>
      </c>
      <c r="E54" s="33" t="n">
        <f aca="false">E52-E53</f>
        <v>1784.9</v>
      </c>
      <c r="F54" s="33" t="n">
        <f aca="false">F52-F53</f>
        <v>1784.9</v>
      </c>
      <c r="G54" s="33" t="n">
        <f aca="false">G52-G53</f>
        <v>892.45</v>
      </c>
      <c r="H54" s="33" t="n">
        <f aca="false">H52-H53</f>
        <v>0</v>
      </c>
      <c r="I54" s="33" t="n">
        <f aca="false">I52-I53</f>
        <v>0</v>
      </c>
      <c r="J54" s="33" t="n">
        <f aca="false">J52-J53</f>
        <v>0</v>
      </c>
      <c r="K54" s="33" t="n">
        <f aca="false">K52-K53</f>
        <v>0</v>
      </c>
      <c r="L54" s="33" t="n">
        <f aca="false">L52-L53</f>
        <v>0</v>
      </c>
      <c r="M54" s="33" t="n">
        <f aca="false">M52-M53</f>
        <v>0</v>
      </c>
      <c r="N54" s="33" t="n">
        <f aca="false">N52-N53</f>
        <v>0</v>
      </c>
      <c r="O54" s="33" t="n">
        <f aca="false">O52-O53</f>
        <v>0</v>
      </c>
      <c r="P54" s="33" t="n">
        <f aca="false">P52-P53</f>
        <v>0</v>
      </c>
      <c r="Q54" s="33" t="n">
        <f aca="false">Q52-Q53</f>
        <v>0</v>
      </c>
      <c r="R54" s="33" t="n">
        <f aca="false">R52-R53</f>
        <v>0</v>
      </c>
      <c r="S54" s="33" t="n">
        <f aca="false">S52-S53</f>
        <v>0</v>
      </c>
      <c r="T54" s="33" t="n">
        <f aca="false">T52-T53</f>
        <v>0</v>
      </c>
    </row>
    <row r="55" customFormat="false" ht="15" hidden="false" customHeight="true" outlineLevel="0" collapsed="false">
      <c r="A55" s="17" t="s">
        <v>155</v>
      </c>
      <c r="B55" s="33" t="n">
        <f aca="false">B54</f>
        <v>0</v>
      </c>
      <c r="C55" s="33" t="n">
        <f aca="false">C54</f>
        <v>892.45</v>
      </c>
      <c r="D55" s="33" t="n">
        <f aca="false">D54</f>
        <v>1784.9</v>
      </c>
      <c r="E55" s="33" t="n">
        <f aca="false">E54</f>
        <v>1784.9</v>
      </c>
      <c r="F55" s="33" t="n">
        <f aca="false">F54</f>
        <v>1784.9</v>
      </c>
      <c r="G55" s="33" t="n">
        <f aca="false">G54</f>
        <v>892.45</v>
      </c>
      <c r="H55" s="33" t="n">
        <f aca="false">H54</f>
        <v>0</v>
      </c>
      <c r="I55" s="33" t="n">
        <f aca="false">I54</f>
        <v>0</v>
      </c>
      <c r="J55" s="33" t="n">
        <f aca="false">J54</f>
        <v>0</v>
      </c>
      <c r="K55" s="33" t="n">
        <f aca="false">K54</f>
        <v>0</v>
      </c>
      <c r="L55" s="33" t="n">
        <f aca="false">L54</f>
        <v>0</v>
      </c>
      <c r="M55" s="33" t="n">
        <f aca="false">M54</f>
        <v>0</v>
      </c>
      <c r="N55" s="33" t="n">
        <f aca="false">N54</f>
        <v>0</v>
      </c>
      <c r="O55" s="33" t="n">
        <f aca="false">O54</f>
        <v>0</v>
      </c>
      <c r="P55" s="33" t="n">
        <f aca="false">P54</f>
        <v>0</v>
      </c>
      <c r="Q55" s="33" t="n">
        <f aca="false">Q54</f>
        <v>0</v>
      </c>
      <c r="R55" s="33" t="n">
        <f aca="false">R54</f>
        <v>0</v>
      </c>
      <c r="S55" s="33" t="n">
        <f aca="false">S54</f>
        <v>0</v>
      </c>
      <c r="T55" s="33" t="n">
        <f aca="false">T54</f>
        <v>0</v>
      </c>
    </row>
    <row r="56" customFormat="false" ht="15" hidden="false" customHeight="true" outlineLevel="0" collapsed="false">
      <c r="A56" s="17" t="s">
        <v>156</v>
      </c>
      <c r="B56" s="33" t="n">
        <f aca="false">B55/$B$8</f>
        <v>0</v>
      </c>
      <c r="C56" s="33" t="n">
        <f aca="false">C55/$B$8</f>
        <v>325</v>
      </c>
      <c r="D56" s="33" t="n">
        <f aca="false">D55/$B$8</f>
        <v>650</v>
      </c>
      <c r="E56" s="33" t="n">
        <f aca="false">E55/$B$8</f>
        <v>650</v>
      </c>
      <c r="F56" s="33" t="n">
        <f aca="false">F55/$B$8</f>
        <v>650</v>
      </c>
      <c r="G56" s="33" t="n">
        <f aca="false">G55/$B$8</f>
        <v>325</v>
      </c>
      <c r="H56" s="33" t="n">
        <f aca="false">H55/$B$8</f>
        <v>0</v>
      </c>
      <c r="I56" s="33" t="n">
        <f aca="false">I55/$B$8</f>
        <v>0</v>
      </c>
      <c r="J56" s="33" t="n">
        <f aca="false">J55/$B$8</f>
        <v>0</v>
      </c>
      <c r="K56" s="33" t="n">
        <f aca="false">K55/$B$8</f>
        <v>0</v>
      </c>
      <c r="L56" s="33" t="n">
        <f aca="false">L55/$B$8</f>
        <v>0</v>
      </c>
      <c r="M56" s="33" t="n">
        <f aca="false">M55/$B$8</f>
        <v>0</v>
      </c>
      <c r="N56" s="33" t="n">
        <f aca="false">N55/$B$8</f>
        <v>0</v>
      </c>
      <c r="O56" s="33" t="n">
        <f aca="false">O55/$B$8</f>
        <v>0</v>
      </c>
      <c r="P56" s="33" t="n">
        <f aca="false">P55/$B$8</f>
        <v>0</v>
      </c>
      <c r="Q56" s="33" t="n">
        <f aca="false">Q55/$B$8</f>
        <v>0</v>
      </c>
      <c r="R56" s="33" t="n">
        <f aca="false">R55/$B$8</f>
        <v>0</v>
      </c>
      <c r="S56" s="33" t="n">
        <f aca="false">S55/$B$8</f>
        <v>0</v>
      </c>
      <c r="T56" s="33" t="n">
        <f aca="false">T55/$B$8</f>
        <v>0</v>
      </c>
    </row>
    <row r="57" customFormat="false" ht="15" hidden="false" customHeight="true" outlineLevel="0" collapsed="false">
      <c r="A57" s="17" t="s">
        <v>157</v>
      </c>
      <c r="B57" s="33" t="n">
        <v>0</v>
      </c>
      <c r="C57" s="33" t="n">
        <f aca="false">B57+C55</f>
        <v>892.45</v>
      </c>
      <c r="D57" s="33" t="n">
        <f aca="false">C57+D55</f>
        <v>2677.35</v>
      </c>
      <c r="E57" s="33" t="n">
        <f aca="false">D57+E55</f>
        <v>4462.25</v>
      </c>
      <c r="F57" s="33" t="n">
        <f aca="false">E57+F55</f>
        <v>6247.15</v>
      </c>
      <c r="G57" s="33" t="n">
        <f aca="false">F57+G55</f>
        <v>7139.6</v>
      </c>
      <c r="H57" s="33" t="n">
        <f aca="false">G57+H55</f>
        <v>7139.6</v>
      </c>
      <c r="I57" s="33" t="n">
        <f aca="false">H57+I55</f>
        <v>7139.6</v>
      </c>
      <c r="J57" s="33" t="n">
        <f aca="false">I57+J55</f>
        <v>7139.6</v>
      </c>
      <c r="K57" s="33" t="n">
        <f aca="false">J57+K55</f>
        <v>7139.6</v>
      </c>
      <c r="L57" s="33" t="n">
        <f aca="false">K57+L55</f>
        <v>7139.6</v>
      </c>
      <c r="M57" s="33" t="n">
        <f aca="false">L57+M55</f>
        <v>7139.6</v>
      </c>
      <c r="N57" s="33" t="n">
        <f aca="false">M57+N55</f>
        <v>7139.6</v>
      </c>
      <c r="O57" s="33" t="n">
        <f aca="false">N57+O55</f>
        <v>7139.6</v>
      </c>
      <c r="P57" s="33" t="n">
        <f aca="false">O57+P55</f>
        <v>7139.6</v>
      </c>
      <c r="Q57" s="33" t="n">
        <f aca="false">P57+Q55</f>
        <v>7139.6</v>
      </c>
      <c r="R57" s="33" t="n">
        <f aca="false">Q57+R55</f>
        <v>7139.6</v>
      </c>
      <c r="S57" s="33" t="n">
        <f aca="false">R57+S55</f>
        <v>7139.6</v>
      </c>
      <c r="T57" s="33" t="n">
        <f aca="false">S57+T55</f>
        <v>7139.6</v>
      </c>
    </row>
    <row r="58" customFormat="false" ht="15" hidden="false" customHeight="false" outlineLevel="0" collapsed="false">
      <c r="A58" s="1" t="s">
        <v>158</v>
      </c>
      <c r="B58" s="1" t="n">
        <f aca="false">B57/$B$8</f>
        <v>0</v>
      </c>
      <c r="C58" s="1" t="n">
        <f aca="false">C57/$B$8</f>
        <v>325</v>
      </c>
      <c r="D58" s="1" t="n">
        <f aca="false">D57/$B$8</f>
        <v>975</v>
      </c>
      <c r="E58" s="1" t="n">
        <f aca="false">E57/$B$8</f>
        <v>1625</v>
      </c>
      <c r="F58" s="1" t="n">
        <f aca="false">F57/$B$8</f>
        <v>2275</v>
      </c>
      <c r="G58" s="1" t="n">
        <f aca="false">G57/$B$8</f>
        <v>2600</v>
      </c>
      <c r="H58" s="1" t="n">
        <f aca="false">H57/$B$8</f>
        <v>2600</v>
      </c>
      <c r="I58" s="1" t="n">
        <f aca="false">I57/$B$8</f>
        <v>2600</v>
      </c>
      <c r="J58" s="1" t="n">
        <f aca="false">J57/$B$8</f>
        <v>2600</v>
      </c>
      <c r="K58" s="1" t="n">
        <f aca="false">K57/$B$8</f>
        <v>2600</v>
      </c>
      <c r="L58" s="1" t="n">
        <f aca="false">L57/$B$8</f>
        <v>2600</v>
      </c>
      <c r="M58" s="1" t="n">
        <f aca="false">M57/$B$8</f>
        <v>2600</v>
      </c>
      <c r="N58" s="1" t="n">
        <f aca="false">N57/$B$8</f>
        <v>2600</v>
      </c>
      <c r="O58" s="1" t="n">
        <f aca="false">O57/$B$8</f>
        <v>2600</v>
      </c>
      <c r="P58" s="1" t="n">
        <f aca="false">P57/$B$8</f>
        <v>2600</v>
      </c>
      <c r="Q58" s="1" t="n">
        <f aca="false">Q57/$B$8</f>
        <v>2600</v>
      </c>
      <c r="R58" s="1" t="n">
        <f aca="false">R57/$B$8</f>
        <v>2600</v>
      </c>
      <c r="S58" s="1" t="n">
        <f aca="false">S57/$B$8</f>
        <v>2600</v>
      </c>
      <c r="T58" s="1" t="n">
        <f aca="false">T57/$B$8</f>
        <v>2600</v>
      </c>
    </row>
    <row r="59" customFormat="false" ht="15" hidden="false" customHeight="true" outlineLevel="0" collapsed="false">
      <c r="A59" s="36" t="s">
        <v>0</v>
      </c>
      <c r="B59" s="37" t="n">
        <v>0.5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customFormat="false" ht="15" hidden="false" customHeight="true" outlineLevel="0" collapsed="false">
      <c r="A60" s="38" t="s">
        <v>150</v>
      </c>
    </row>
    <row r="61" customFormat="false" ht="15" hidden="false" customHeight="true" outlineLevel="0" collapsed="false">
      <c r="A61" s="38" t="s">
        <v>151</v>
      </c>
    </row>
    <row r="62" customFormat="false" ht="15" hidden="false" customHeight="true" outlineLevel="0" collapsed="false">
      <c r="A62" s="38" t="s">
        <v>152</v>
      </c>
    </row>
    <row r="63" customFormat="false" ht="15" hidden="false" customHeight="true" outlineLevel="0" collapsed="false">
      <c r="A63" s="38" t="s">
        <v>153</v>
      </c>
    </row>
    <row r="64" customFormat="false" ht="15" hidden="false" customHeight="true" outlineLevel="0" collapsed="false">
      <c r="A64" s="38" t="s">
        <v>154</v>
      </c>
    </row>
    <row r="65" customFormat="false" ht="15" hidden="false" customHeight="true" outlineLevel="0" collapsed="false">
      <c r="A65" s="38" t="s">
        <v>155</v>
      </c>
    </row>
    <row r="66" customFormat="false" ht="15" hidden="false" customHeight="true" outlineLevel="0" collapsed="false">
      <c r="A66" s="38" t="s">
        <v>156</v>
      </c>
    </row>
    <row r="67" customFormat="false" ht="15" hidden="false" customHeight="true" outlineLevel="0" collapsed="false">
      <c r="A67" s="38" t="s">
        <v>157</v>
      </c>
    </row>
    <row r="68" customFormat="false" ht="15" hidden="false" customHeight="true" outlineLevel="0" collapsed="false">
      <c r="A68" s="38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2026-01-26T19:44:46Z</dcterms:created>
  <dc:creator>openpyxl</dc:creator>
  <dc:description/>
  <dc:language>en-US</dc:language>
  <cp:lastModifiedBy/>
  <dcterms:modified xsi:type="dcterms:W3CDTF">2026-01-26T19:47:03Z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