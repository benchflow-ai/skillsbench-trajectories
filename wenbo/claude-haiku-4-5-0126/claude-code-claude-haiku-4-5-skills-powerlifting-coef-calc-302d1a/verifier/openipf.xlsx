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<sst xmlns="http://schemas.openxmlformats.org/spreadsheetml/2006/main" count="473" uniqueCount="183">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</sst>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0"/>
    <col collapsed="false" customWidth="true" hidden="false" outlineLevel="0" max="2" min="2" style="4" width="8"/>
    <col collapsed="false" customWidth="true" hidden="false" outlineLevel="0" max="3" min="3" style="4" width="14"/>
    <col collapsed="false" customWidth="true" hidden="false" outlineLevel="0" max="6" min="4" style="4" width="15"/>
    <col collapsed="false" customWidth="true" hidden="false" outlineLevel="0" max="8" min="7" style="4" width="12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true" outlineLevel="0" collapsed="false">
      <c r="A2" s="4" t="s">
        <v>25</v>
      </c>
      <c r="B2" s="4" t="s">
        <v>26</v>
      </c>
      <c r="C2" s="5" t="n">
        <v>82.25</v>
      </c>
      <c r="D2" s="5" t="n">
        <v>215</v>
      </c>
      <c r="E2" s="5" t="n">
        <v>132.5</v>
      </c>
      <c r="F2" s="5" t="n">
        <v>260</v>
      </c>
      <c r="G2" s="5" t="n">
        <f aca="false">D2+E2+F2</f>
        <v>607.5</v>
      </c>
      <c r="H2" s="5" t="n">
        <f aca="false">IF(B2="M", 500/23.3*LOG10(0.8714*G2), 500/16.2*LOG10(0.4948*G2))</f>
        <v>58.4498677654525</v>
      </c>
    </row>
    <row r="3" customFormat="false" ht="15" hidden="false" customHeight="true" outlineLevel="0" collapsed="false">
      <c r="A3" s="4" t="s">
        <v>43</v>
      </c>
      <c r="B3" s="4" t="s">
        <v>26</v>
      </c>
      <c r="C3" s="5" t="n">
        <v>82.9</v>
      </c>
      <c r="D3" s="5" t="n">
        <v>205</v>
      </c>
      <c r="E3" s="5" t="n">
        <v>130</v>
      </c>
      <c r="F3" s="5" t="n">
        <v>227.5</v>
      </c>
      <c r="G3" s="5" t="n">
        <f aca="false">D3+E3+F3</f>
        <v>562.5</v>
      </c>
      <c r="H3" s="5" t="n">
        <f aca="false">IF(B3="M", 500/23.3*LOG10(0.8714*G3), 500/16.2*LOG10(0.4948*G3))</f>
        <v>57.7326197936295</v>
      </c>
    </row>
    <row r="4" customFormat="false" ht="15" hidden="false" customHeight="true" outlineLevel="0" collapsed="false">
      <c r="A4" s="4" t="s">
        <v>53</v>
      </c>
      <c r="B4" s="4" t="s">
        <v>26</v>
      </c>
      <c r="C4" s="5" t="n">
        <v>122.4</v>
      </c>
      <c r="D4" s="5" t="n">
        <v>275</v>
      </c>
      <c r="E4" s="5" t="n">
        <v>142.5</v>
      </c>
      <c r="F4" s="5" t="n">
        <v>235</v>
      </c>
      <c r="G4" s="5" t="n">
        <f aca="false">D4+E4+F4</f>
        <v>652.5</v>
      </c>
      <c r="H4" s="5" t="n">
        <f aca="false">IF(B4="M", 500/23.3*LOG10(0.8714*G4), 500/16.2*LOG10(0.4948*G4))</f>
        <v>59.1158384465677</v>
      </c>
    </row>
    <row r="5" customFormat="false" ht="15" hidden="false" customHeight="true" outlineLevel="0" collapsed="false">
      <c r="A5" s="4" t="s">
        <v>62</v>
      </c>
      <c r="B5" s="4" t="s">
        <v>63</v>
      </c>
      <c r="C5" s="5" t="n">
        <v>96.8</v>
      </c>
      <c r="D5" s="5" t="n">
        <v>102.5</v>
      </c>
      <c r="E5" s="5" t="n">
        <v>50</v>
      </c>
      <c r="F5" s="5" t="n">
        <v>137.5</v>
      </c>
      <c r="G5" s="5" t="n">
        <f aca="false">D5+E5+F5</f>
        <v>290</v>
      </c>
      <c r="H5" s="5" t="n">
        <f aca="false">IF(B5="M", 500/23.3*LOG10(0.8714*G5), 500/16.2*LOG10(0.4948*G5))</f>
        <v>66.5687558288901</v>
      </c>
    </row>
    <row r="6" customFormat="false" ht="15" hidden="false" customHeight="true" outlineLevel="0" collapsed="false">
      <c r="A6" s="4" t="s">
        <v>73</v>
      </c>
      <c r="B6" s="4" t="s">
        <v>63</v>
      </c>
      <c r="C6" s="5" t="n">
        <v>130.82</v>
      </c>
      <c r="D6" s="5" t="n">
        <v>62.5</v>
      </c>
      <c r="E6" s="5" t="n">
        <v>57.5</v>
      </c>
      <c r="F6" s="5" t="n">
        <v>117.5</v>
      </c>
      <c r="G6" s="5" t="n">
        <f aca="false">D6+E6+F6</f>
        <v>237.5</v>
      </c>
      <c r="H6" s="5" t="n">
        <f aca="false">IF(B6="M", 500/23.3*LOG10(0.8714*G6), 500/16.2*LOG10(0.4948*G6))</f>
        <v>63.8917686703077</v>
      </c>
    </row>
    <row r="7" customFormat="false" ht="15" hidden="false" customHeight="true" outlineLevel="0" collapsed="false">
      <c r="A7" s="4" t="s">
        <v>81</v>
      </c>
      <c r="B7" s="4" t="s">
        <v>26</v>
      </c>
      <c r="C7" s="5" t="n">
        <v>103.94</v>
      </c>
      <c r="D7" s="5" t="n">
        <v>255</v>
      </c>
      <c r="E7" s="5" t="n">
        <v>165</v>
      </c>
      <c r="F7" s="5" t="n">
        <v>292.5</v>
      </c>
      <c r="G7" s="5" t="n">
        <f aca="false">D7+E7+F7</f>
        <v>712.5</v>
      </c>
      <c r="H7" s="5" t="n">
        <f aca="false">IF(B7="M", 500/23.3*LOG10(0.8714*G7), 500/16.2*LOG10(0.4948*G7))</f>
        <v>59.9356743407786</v>
      </c>
    </row>
    <row r="8" customFormat="false" ht="15" hidden="false" customHeight="true" outlineLevel="0" collapsed="false">
      <c r="A8" s="4" t="s">
        <v>91</v>
      </c>
      <c r="B8" s="4" t="s">
        <v>63</v>
      </c>
      <c r="C8" s="5" t="n">
        <v>58.2</v>
      </c>
      <c r="D8" s="5" t="n">
        <v>82.5</v>
      </c>
      <c r="E8" s="5" t="n">
        <v>47.5</v>
      </c>
      <c r="F8" s="5" t="n">
        <v>130</v>
      </c>
      <c r="G8" s="5" t="n">
        <f aca="false">D8+E8+F8</f>
        <v>260</v>
      </c>
      <c r="H8" s="5" t="n">
        <f aca="false">IF(B8="M", 500/23.3*LOG10(0.8714*G8), 500/16.2*LOG10(0.4948*G8))</f>
        <v>65.105032065676</v>
      </c>
    </row>
    <row r="9" customFormat="false" ht="15" hidden="false" customHeight="true" outlineLevel="0" collapsed="false">
      <c r="A9" s="4" t="s">
        <v>98</v>
      </c>
      <c r="B9" s="4" t="s">
        <v>26</v>
      </c>
      <c r="C9" s="5" t="n">
        <v>81.8</v>
      </c>
      <c r="D9" s="5" t="n">
        <v>200</v>
      </c>
      <c r="E9" s="5" t="n">
        <v>130</v>
      </c>
      <c r="F9" s="5" t="n">
        <v>237.5</v>
      </c>
      <c r="G9" s="5" t="n">
        <f aca="false">D9+E9+F9</f>
        <v>567.5</v>
      </c>
      <c r="H9" s="5" t="n">
        <f aca="false">IF(B9="M", 500/23.3*LOG10(0.8714*G9), 500/16.2*LOG10(0.4948*G9))</f>
        <v>57.8150948812209</v>
      </c>
    </row>
    <row r="10" customFormat="false" ht="15" hidden="false" customHeight="true" outlineLevel="0" collapsed="false">
      <c r="A10" s="4" t="s">
        <v>106</v>
      </c>
      <c r="B10" s="4" t="s">
        <v>26</v>
      </c>
      <c r="C10" s="5" t="n">
        <v>90.5</v>
      </c>
      <c r="D10" s="5" t="n">
        <v>242.5</v>
      </c>
      <c r="E10" s="5" t="n">
        <v>132.5</v>
      </c>
      <c r="F10" s="5" t="n">
        <v>232.5</v>
      </c>
      <c r="G10" s="5" t="n">
        <f aca="false">D10+E10+F10</f>
        <v>607.5</v>
      </c>
      <c r="H10" s="5" t="n">
        <f aca="false">IF(B10="M", 500/23.3*LOG10(0.8714*G10), 500/16.2*LOG10(0.4948*G10))</f>
        <v>58.4498677654525</v>
      </c>
    </row>
    <row r="11" customFormat="false" ht="15" hidden="false" customHeight="true" outlineLevel="0" collapsed="false">
      <c r="A11" s="4" t="s">
        <v>113</v>
      </c>
      <c r="B11" s="4" t="s">
        <v>63</v>
      </c>
      <c r="C11" s="5" t="n">
        <v>75.9</v>
      </c>
      <c r="D11" s="5" t="n">
        <v>137.5</v>
      </c>
      <c r="E11" s="5" t="n">
        <v>75</v>
      </c>
      <c r="F11" s="5" t="n">
        <v>167.5</v>
      </c>
      <c r="G11" s="5" t="n">
        <f aca="false">D11+E11+F11</f>
        <v>380</v>
      </c>
      <c r="H11" s="5" t="n">
        <f aca="false">IF(B11="M", 500/23.3*LOG10(0.8714*G11), 500/16.2*LOG10(0.4948*G11))</f>
        <v>70.1917681349967</v>
      </c>
    </row>
    <row r="12" customFormat="false" ht="15" hidden="false" customHeight="true" outlineLevel="0" collapsed="false">
      <c r="A12" s="4" t="s">
        <v>120</v>
      </c>
      <c r="B12" s="4" t="s">
        <v>63</v>
      </c>
      <c r="C12" s="5" t="n">
        <v>79.3</v>
      </c>
      <c r="D12" s="5" t="n">
        <v>107.5</v>
      </c>
      <c r="E12" s="5" t="n">
        <v>50</v>
      </c>
      <c r="F12" s="5" t="n">
        <v>140</v>
      </c>
      <c r="G12" s="5" t="n">
        <f aca="false">D12+E12+F12</f>
        <v>297.5</v>
      </c>
      <c r="H12" s="5" t="n">
        <f aca="false">IF(B12="M", 500/23.3*LOG10(0.8714*G12), 500/16.2*LOG10(0.4948*G12))</f>
        <v>66.9110080562238</v>
      </c>
    </row>
    <row r="13" customFormat="false" ht="15" hidden="false" customHeight="true" outlineLevel="0" collapsed="false">
      <c r="A13" s="4" t="s">
        <v>127</v>
      </c>
      <c r="B13" s="4" t="s">
        <v>63</v>
      </c>
      <c r="C13" s="5" t="n">
        <v>61.81</v>
      </c>
      <c r="D13" s="5" t="n">
        <v>107.5</v>
      </c>
      <c r="E13" s="5" t="n">
        <v>52.5</v>
      </c>
      <c r="F13" s="5" t="n">
        <v>130</v>
      </c>
      <c r="G13" s="5" t="n">
        <f aca="false">D13+E13+F13</f>
        <v>290</v>
      </c>
      <c r="H13" s="5" t="n">
        <f aca="false">IF(B13="M", 500/23.3*LOG10(0.8714*G13), 500/16.2*LOG10(0.4948*G13))</f>
        <v>66.5687558288901</v>
      </c>
    </row>
    <row r="14" customFormat="false" ht="15" hidden="false" customHeight="true" outlineLevel="0" collapsed="false">
      <c r="A14" s="4" t="s">
        <v>136</v>
      </c>
      <c r="B14" s="4" t="s">
        <v>26</v>
      </c>
      <c r="C14" s="5" t="n">
        <v>72.5</v>
      </c>
      <c r="D14" s="5" t="n">
        <v>245</v>
      </c>
      <c r="E14" s="5" t="n">
        <v>152.5</v>
      </c>
      <c r="F14" s="5" t="n">
        <v>290</v>
      </c>
      <c r="G14" s="5" t="n">
        <f aca="false">D14+E14+F14</f>
        <v>687.5</v>
      </c>
      <c r="H14" s="5" t="n">
        <f aca="false">IF(B14="M", 500/23.3*LOG10(0.8714*G14), 500/16.2*LOG10(0.4948*G14))</f>
        <v>59.6027952382411</v>
      </c>
    </row>
    <row r="15" customFormat="false" ht="15" hidden="false" customHeight="true" outlineLevel="0" collapsed="false">
      <c r="A15" s="4" t="s">
        <v>142</v>
      </c>
      <c r="B15" s="4" t="s">
        <v>63</v>
      </c>
      <c r="C15" s="5" t="n">
        <v>46.1</v>
      </c>
      <c r="D15" s="5" t="n">
        <v>82.5</v>
      </c>
      <c r="E15" s="5" t="n">
        <v>52.5</v>
      </c>
      <c r="F15" s="5" t="n">
        <v>125.5</v>
      </c>
      <c r="G15" s="5" t="n">
        <f aca="false">D15+E15+F15</f>
        <v>260.5</v>
      </c>
      <c r="H15" s="5" t="n">
        <f aca="false">IF(B15="M", 500/23.3*LOG10(0.8714*G15), 500/16.2*LOG10(0.4948*G15))</f>
        <v>65.1307845244638</v>
      </c>
    </row>
    <row r="16" customFormat="false" ht="15" hidden="false" customHeight="true" outlineLevel="0" collapsed="false">
      <c r="A16" s="4" t="s">
        <v>148</v>
      </c>
      <c r="B16" s="4" t="s">
        <v>63</v>
      </c>
      <c r="C16" s="5" t="n">
        <v>74.2</v>
      </c>
      <c r="D16" s="5" t="n">
        <v>170</v>
      </c>
      <c r="E16" s="5" t="n">
        <v>85</v>
      </c>
      <c r="F16" s="5" t="n">
        <v>197.5</v>
      </c>
      <c r="G16" s="5" t="n">
        <f aca="false">D16+E16+F16</f>
        <v>452.5</v>
      </c>
      <c r="H16" s="5" t="n">
        <f aca="false">IF(B16="M", 500/23.3*LOG10(0.8714*G16), 500/16.2*LOG10(0.4948*G16))</f>
        <v>72.5323541511823</v>
      </c>
    </row>
    <row r="17" customFormat="false" ht="15" hidden="false" customHeight="true" outlineLevel="0" collapsed="false">
      <c r="A17" s="4" t="s">
        <v>156</v>
      </c>
      <c r="B17" s="4" t="s">
        <v>26</v>
      </c>
      <c r="C17" s="5" t="n">
        <v>92.8</v>
      </c>
      <c r="D17" s="5" t="n">
        <v>255</v>
      </c>
      <c r="E17" s="5" t="n">
        <v>182.5</v>
      </c>
      <c r="F17" s="5" t="n">
        <v>245</v>
      </c>
      <c r="G17" s="5" t="n">
        <f aca="false">D17+E17+F17</f>
        <v>682.5</v>
      </c>
      <c r="H17" s="5" t="n">
        <f aca="false">IF(B17="M", 500/23.3*LOG10(0.8714*G17), 500/16.2*LOG10(0.4948*G17))</f>
        <v>59.5347684831015</v>
      </c>
    </row>
    <row r="18" customFormat="false" ht="15" hidden="false" customHeight="true" outlineLevel="0" collapsed="false">
      <c r="A18" s="4" t="s">
        <v>160</v>
      </c>
      <c r="B18" s="4" t="s">
        <v>63</v>
      </c>
      <c r="C18" s="5" t="n">
        <v>61.8</v>
      </c>
      <c r="D18" s="5" t="n">
        <v>87.5</v>
      </c>
      <c r="E18" s="5" t="n">
        <v>57.5</v>
      </c>
      <c r="F18" s="5" t="n">
        <v>110</v>
      </c>
      <c r="G18" s="5" t="n">
        <f aca="false">D18+E18+F18</f>
        <v>255</v>
      </c>
      <c r="H18" s="5" t="n">
        <f aca="false">IF(B18="M", 500/23.3*LOG10(0.8714*G18), 500/16.2*LOG10(0.4948*G18))</f>
        <v>64.8447491170074</v>
      </c>
    </row>
    <row r="19" customFormat="false" ht="15" hidden="false" customHeight="true" outlineLevel="0" collapsed="false">
      <c r="A19" s="4" t="s">
        <v>163</v>
      </c>
      <c r="B19" s="4" t="s">
        <v>63</v>
      </c>
      <c r="C19" s="5" t="n">
        <v>71.1</v>
      </c>
      <c r="D19" s="5" t="n">
        <v>107.5</v>
      </c>
      <c r="E19" s="5" t="n">
        <v>65</v>
      </c>
      <c r="F19" s="5" t="n">
        <v>115</v>
      </c>
      <c r="G19" s="5" t="n">
        <f aca="false">D19+E19+F19</f>
        <v>287.5</v>
      </c>
      <c r="H19" s="5" t="n">
        <f aca="false">IF(B19="M", 500/23.3*LOG10(0.8714*G19), 500/16.2*LOG10(0.4948*G19))</f>
        <v>66.4527018513189</v>
      </c>
    </row>
    <row r="20" customFormat="false" ht="15" hidden="false" customHeight="true" outlineLevel="0" collapsed="false">
      <c r="A20" s="4" t="s">
        <v>169</v>
      </c>
      <c r="B20" s="4" t="s">
        <v>26</v>
      </c>
      <c r="C20" s="5" t="n">
        <v>80.2</v>
      </c>
      <c r="D20" s="5" t="n">
        <v>162.5</v>
      </c>
      <c r="E20" s="5" t="n">
        <v>102.5</v>
      </c>
      <c r="F20" s="5" t="n">
        <v>205</v>
      </c>
      <c r="G20" s="5" t="n">
        <f aca="false">D20+E20+F20</f>
        <v>470</v>
      </c>
      <c r="H20" s="5" t="n">
        <f aca="false">IF(B20="M", 500/23.3*LOG10(0.8714*G20), 500/16.2*LOG10(0.4948*G20))</f>
        <v>56.0582706767265</v>
      </c>
    </row>
    <row r="21" customFormat="false" ht="15" hidden="false" customHeight="true" outlineLevel="0" collapsed="false">
      <c r="A21" s="4" t="s">
        <v>174</v>
      </c>
      <c r="B21" s="4" t="s">
        <v>26</v>
      </c>
      <c r="C21" s="5" t="n">
        <v>108.98</v>
      </c>
      <c r="D21" s="5" t="n">
        <v>226.8</v>
      </c>
      <c r="E21" s="5" t="n">
        <v>165.56</v>
      </c>
      <c r="F21" s="5" t="n">
        <v>242.67</v>
      </c>
      <c r="G21" s="5" t="n">
        <f aca="false">D21+E21+F21</f>
        <v>635.03</v>
      </c>
      <c r="H21" s="5" t="n">
        <f aca="false">IF(B21="M", 500/23.3*LOG10(0.8714*G21), 500/16.2*LOG10(0.4948*G21))</f>
        <v>58.8629141256779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2026-01-26T19:16:06Z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