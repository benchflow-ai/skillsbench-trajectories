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Investment" sheetId="4" state="visible" r:id="rId4"/>
    <sheet name="Produc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color rgb="FF008000"/>
      <sz val="11"/>
    </font>
    <font>
      <name val="Cambria"/>
      <charset val="1"/>
      <family val="0"/>
      <b val="1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7" min="1" max="19"/>
  </cols>
  <sheetData>
    <row r="1" ht="15" customHeight="1" s="8">
      <c r="A1" s="9" t="inlineStr">
        <is>
          <t>Year</t>
        </is>
      </c>
      <c r="B1" s="9" t="inlineStr">
        <is>
          <t>rnna (Capital Stock, mil 2021USD)</t>
        </is>
      </c>
      <c r="C1" s="9" t="inlineStr">
        <is>
          <t>labsh (Labor Share)</t>
        </is>
      </c>
      <c r="D1" s="9" t="inlineStr">
        <is>
          <t>delta (Depreciation Rate)</t>
        </is>
      </c>
    </row>
    <row r="2" ht="15" customHeight="1" s="8">
      <c r="A2" s="7" t="n">
        <v>2002</v>
      </c>
      <c r="B2" s="7" t="n">
        <v>303592.625</v>
      </c>
      <c r="C2" s="7" t="n">
        <v>0.317676</v>
      </c>
      <c r="D2" s="7" t="n">
        <v>0.031598</v>
      </c>
    </row>
    <row r="3" ht="15" customHeight="1" s="8">
      <c r="A3" s="7" t="n">
        <v>2003</v>
      </c>
      <c r="B3" s="7" t="n">
        <v>307310.28125</v>
      </c>
      <c r="C3" s="7" t="n">
        <v>0.236238</v>
      </c>
      <c r="D3" s="7" t="n">
        <v>0.031264</v>
      </c>
    </row>
    <row r="4" ht="15" customHeight="1" s="8">
      <c r="A4" s="7" t="n">
        <v>2004</v>
      </c>
      <c r="B4" s="7" t="n">
        <v>311984.28125</v>
      </c>
      <c r="C4" s="7" t="n">
        <v>0.216803</v>
      </c>
      <c r="D4" s="7" t="n">
        <v>0.031688</v>
      </c>
    </row>
    <row r="5" ht="15" customHeight="1" s="8">
      <c r="A5" s="7" t="n">
        <v>2005</v>
      </c>
      <c r="B5" s="7" t="n">
        <v>317837.8125</v>
      </c>
      <c r="C5" s="7" t="n">
        <v>0.222547</v>
      </c>
      <c r="D5" s="7" t="n">
        <v>0.032939</v>
      </c>
    </row>
    <row r="6" ht="15" customHeight="1" s="8">
      <c r="A6" s="7" t="n">
        <v>2006</v>
      </c>
      <c r="B6" s="7" t="n">
        <v>322943.65625</v>
      </c>
      <c r="C6" s="7" t="n">
        <v>0.206202</v>
      </c>
      <c r="D6" s="7" t="n">
        <v>0.034444</v>
      </c>
    </row>
    <row r="7" ht="15" customHeight="1" s="8">
      <c r="A7" s="7" t="n">
        <v>2007</v>
      </c>
      <c r="B7" s="7" t="n">
        <v>329445.875</v>
      </c>
      <c r="C7" s="7" t="n">
        <v>0.236618</v>
      </c>
      <c r="D7" s="7" t="n">
        <v>0.036063</v>
      </c>
    </row>
    <row r="8" ht="15" customHeight="1" s="8">
      <c r="A8" s="7" t="n">
        <v>2008</v>
      </c>
      <c r="B8" s="7" t="n">
        <v>332604.46875</v>
      </c>
      <c r="C8" s="7" t="n">
        <v>0.286898</v>
      </c>
      <c r="D8" s="7" t="n">
        <v>0.037338</v>
      </c>
    </row>
    <row r="9" ht="15" customHeight="1" s="8">
      <c r="A9" s="7" t="n">
        <v>2009</v>
      </c>
      <c r="B9" s="7" t="n">
        <v>330608.28125</v>
      </c>
      <c r="C9" s="7" t="n">
        <v>0.362255</v>
      </c>
      <c r="D9" s="7" t="n">
        <v>0.037524</v>
      </c>
    </row>
    <row r="10" ht="15" customHeight="1" s="8">
      <c r="A10" s="7" t="n">
        <v>2010</v>
      </c>
      <c r="B10" s="7" t="n">
        <v>332551.53125</v>
      </c>
      <c r="C10" s="7" t="n">
        <v>0.321065</v>
      </c>
      <c r="D10" s="7" t="n">
        <v>0.037224</v>
      </c>
    </row>
    <row r="11" ht="15" customHeight="1" s="8">
      <c r="A11" s="7" t="n">
        <v>2011</v>
      </c>
      <c r="B11" s="7" t="n">
        <v>336560.28125</v>
      </c>
      <c r="C11" s="7" t="n">
        <v>0.340802</v>
      </c>
      <c r="D11" s="7" t="n">
        <v>0.037187</v>
      </c>
    </row>
    <row r="12" ht="15" customHeight="1" s="8">
      <c r="A12" s="7" t="n">
        <v>2012</v>
      </c>
      <c r="B12" s="7" t="n">
        <v>341471.1875</v>
      </c>
      <c r="C12" s="7" t="n">
        <v>0.364898</v>
      </c>
      <c r="D12" s="7" t="n">
        <v>0.037189</v>
      </c>
    </row>
    <row r="13" ht="15" customHeight="1" s="8">
      <c r="A13" s="7" t="n">
        <v>2013</v>
      </c>
      <c r="B13" s="7" t="n">
        <v>344239.03125</v>
      </c>
      <c r="C13" s="7" t="n">
        <v>0.385636</v>
      </c>
      <c r="D13" s="7" t="n">
        <v>0.037237</v>
      </c>
    </row>
    <row r="14" ht="15" customHeight="1" s="8">
      <c r="A14" s="7" t="n">
        <v>2014</v>
      </c>
      <c r="B14" s="7" t="n">
        <v>350962.15625</v>
      </c>
      <c r="C14" s="7" t="n">
        <v>0.381862</v>
      </c>
      <c r="D14" s="7" t="n">
        <v>0.037559</v>
      </c>
    </row>
    <row r="15" ht="15" customHeight="1" s="8">
      <c r="A15" s="7" t="n">
        <v>2015</v>
      </c>
      <c r="B15" s="7" t="n">
        <v>360259.8125</v>
      </c>
      <c r="C15" s="7" t="n">
        <v>0.393653</v>
      </c>
      <c r="D15" s="7" t="n">
        <v>0.038327</v>
      </c>
    </row>
    <row r="16" ht="15" customHeight="1" s="8">
      <c r="A16" s="7" t="n">
        <v>2016</v>
      </c>
      <c r="B16" s="7" t="n">
        <v>370547.65625</v>
      </c>
      <c r="C16" s="7" t="n">
        <v>0.422907</v>
      </c>
      <c r="D16" s="7" t="n">
        <v>0.03931</v>
      </c>
    </row>
    <row r="17" ht="15" customHeight="1" s="8">
      <c r="A17" s="7" t="n">
        <v>2017</v>
      </c>
      <c r="B17" s="7" t="n">
        <v>380655.78125</v>
      </c>
      <c r="C17" s="7" t="n">
        <v>0.426571</v>
      </c>
      <c r="D17" s="7" t="n">
        <v>0.040425</v>
      </c>
    </row>
    <row r="18" ht="15" customHeight="1" s="8">
      <c r="A18" s="7" t="n">
        <v>2018</v>
      </c>
      <c r="B18" s="7" t="n">
        <v>390625.1875</v>
      </c>
      <c r="C18" s="7" t="n">
        <v>0.432555</v>
      </c>
      <c r="D18" s="7" t="n">
        <v>0.041259</v>
      </c>
    </row>
    <row r="19" ht="15" customHeight="1" s="8">
      <c r="A19" s="7" t="n">
        <v>2019</v>
      </c>
      <c r="B19" s="7" t="n">
        <v>399934.28125</v>
      </c>
      <c r="C19" s="7" t="n">
        <v>0.448765</v>
      </c>
      <c r="D19" s="7" t="n">
        <v>0.042063</v>
      </c>
    </row>
    <row r="20" ht="15" customHeight="1" s="8">
      <c r="A20" s="7" t="n">
        <v>2020</v>
      </c>
      <c r="B20" s="7" t="n">
        <v>405156.15625</v>
      </c>
      <c r="C20" s="7" t="n">
        <v>0.442575</v>
      </c>
      <c r="D20" s="7" t="n">
        <v>0.042959</v>
      </c>
    </row>
    <row r="21" ht="15" customHeight="1" s="8">
      <c r="A21" s="7" t="n">
        <v>2021</v>
      </c>
      <c r="B21" s="7" t="n">
        <v>409189.75</v>
      </c>
      <c r="C21" s="7" t="n">
        <v>0.432894</v>
      </c>
      <c r="D21" s="7" t="n">
        <v>0.043357</v>
      </c>
    </row>
    <row r="22" ht="15" customHeight="1" s="8">
      <c r="A22" s="7" t="n">
        <v>2022</v>
      </c>
      <c r="B22" s="7" t="n">
        <v>415085.84375</v>
      </c>
      <c r="C22" s="7" t="n">
        <v>0.437597</v>
      </c>
      <c r="D22" s="7" t="n">
        <v>0.043608</v>
      </c>
    </row>
    <row r="23" ht="15" customHeight="1" s="8">
      <c r="A23" s="7" t="n">
        <v>2023</v>
      </c>
      <c r="B23" s="7" t="n">
        <v>426190.5</v>
      </c>
      <c r="C23" s="7" t="n">
        <v>0.466998</v>
      </c>
      <c r="D23" s="7" t="n">
        <v>0.044489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7" min="1" max="19"/>
  </cols>
  <sheetData>
    <row r="1" ht="15" customHeight="1" s="8">
      <c r="A1" s="9" t="inlineStr">
        <is>
          <t>Year</t>
        </is>
      </c>
      <c r="B1" s="9" t="inlineStr">
        <is>
          <t>Real GDP Growth Rate (%)</t>
        </is>
      </c>
      <c r="C1" s="9" t="inlineStr">
        <is>
          <t>Real GDP Level (mil 2021USD)</t>
        </is>
      </c>
    </row>
    <row r="2" ht="15" customHeight="1" s="8">
      <c r="A2" s="7" t="n">
        <v>2000</v>
      </c>
      <c r="B2" s="7" t="n">
        <v>1.9</v>
      </c>
      <c r="C2" s="7" t="n">
        <v>25425.167969</v>
      </c>
    </row>
    <row r="3" ht="15" customHeight="1" s="8">
      <c r="A3" s="7" t="n">
        <v>2001</v>
      </c>
      <c r="B3" s="7" t="n">
        <v>4.8</v>
      </c>
      <c r="C3" s="7">
        <f>C2*(1+B3/100)</f>
        <v/>
      </c>
    </row>
    <row r="4" ht="15" customHeight="1" s="8">
      <c r="A4" s="7" t="n">
        <v>2002</v>
      </c>
      <c r="B4" s="7" t="n">
        <v>5.5</v>
      </c>
      <c r="C4" s="7">
        <f>C3*(1+B4/100)</f>
        <v/>
      </c>
    </row>
    <row r="5" ht="15" customHeight="1" s="8">
      <c r="A5" s="7" t="n">
        <v>2003</v>
      </c>
      <c r="B5" s="7" t="n">
        <v>11.2</v>
      </c>
      <c r="C5" s="7">
        <f>C4*(1+B5/100)</f>
        <v/>
      </c>
    </row>
    <row r="6" ht="15" customHeight="1" s="8">
      <c r="A6" s="7" t="n">
        <v>2004</v>
      </c>
      <c r="B6" s="7" t="n">
        <v>5.8</v>
      </c>
      <c r="C6" s="7">
        <f>C5*(1+B6/100)</f>
        <v/>
      </c>
    </row>
    <row r="7" ht="15" customHeight="1" s="8">
      <c r="A7" s="7" t="n">
        <v>2005</v>
      </c>
      <c r="B7" s="7" t="n">
        <v>9.6</v>
      </c>
      <c r="C7" s="7">
        <f>C6*(1+B7/100)</f>
        <v/>
      </c>
    </row>
    <row r="8" ht="15" customHeight="1" s="8">
      <c r="A8" s="7" t="n">
        <v>2006</v>
      </c>
      <c r="B8" s="7" t="n">
        <v>9.4</v>
      </c>
      <c r="C8" s="7">
        <f>C7*(1+B8/100)</f>
        <v/>
      </c>
    </row>
    <row r="9" ht="15" customHeight="1" s="8">
      <c r="A9" s="7" t="n">
        <v>2007</v>
      </c>
      <c r="B9" s="7" t="n">
        <v>12.6</v>
      </c>
      <c r="C9" s="7">
        <f>C8*(1+B9/100)</f>
        <v/>
      </c>
    </row>
    <row r="10" ht="15" customHeight="1" s="8">
      <c r="A10" s="7" t="n">
        <v>2008</v>
      </c>
      <c r="B10" s="7" t="n">
        <v>2.4</v>
      </c>
      <c r="C10" s="7">
        <f>C9*(1+B10/100)</f>
        <v/>
      </c>
    </row>
    <row r="11" ht="15" customHeight="1" s="8">
      <c r="A11" s="7" t="n">
        <v>2009</v>
      </c>
      <c r="B11" s="7" t="n">
        <v>-3.7</v>
      </c>
      <c r="C11" s="7">
        <f>C10*(1+B11/100)</f>
        <v/>
      </c>
    </row>
    <row r="12" ht="15" customHeight="1" s="8">
      <c r="A12" s="7" t="n">
        <v>2010</v>
      </c>
      <c r="B12" s="7" t="n">
        <v>6.9</v>
      </c>
      <c r="C12" s="7">
        <f>C11*(1+B12/100)</f>
        <v/>
      </c>
    </row>
    <row r="13" ht="15" customHeight="1" s="8">
      <c r="A13" s="7" t="n">
        <v>2011</v>
      </c>
      <c r="B13" s="7" t="n">
        <v>7.9</v>
      </c>
      <c r="C13" s="7">
        <f>C12*(1+B13/100)</f>
        <v/>
      </c>
    </row>
    <row r="14" ht="15" customHeight="1" s="8">
      <c r="A14" s="7" t="n">
        <v>2012</v>
      </c>
      <c r="B14" s="7" t="n">
        <v>6.6</v>
      </c>
      <c r="C14" s="7">
        <f>C13*(1+B14/100)</f>
        <v/>
      </c>
    </row>
    <row r="15" ht="15" customHeight="1" s="8">
      <c r="A15" s="7" t="n">
        <v>2013</v>
      </c>
      <c r="B15" s="7" t="n">
        <v>5.1</v>
      </c>
      <c r="C15" s="7">
        <f>C14*(1+B15/100)</f>
        <v/>
      </c>
    </row>
    <row r="16" ht="15" customHeight="1" s="8">
      <c r="A16" s="7" t="n">
        <v>2014</v>
      </c>
      <c r="B16" s="7" t="n">
        <v>4.1</v>
      </c>
      <c r="C16" s="7">
        <f>C15*(1+B16/100)</f>
        <v/>
      </c>
    </row>
    <row r="17" ht="15" customHeight="1" s="8">
      <c r="A17" s="7" t="n">
        <v>2015</v>
      </c>
      <c r="B17" s="7" t="n">
        <v>3.4</v>
      </c>
      <c r="C17" s="7">
        <f>C16*(1+B17/100)</f>
        <v/>
      </c>
    </row>
    <row r="18" ht="15" customHeight="1" s="8">
      <c r="A18" s="7" t="n">
        <v>2016</v>
      </c>
      <c r="B18" s="7" t="n">
        <v>3.4</v>
      </c>
      <c r="C18" s="7">
        <f>C17*(1+B18/100)</f>
        <v/>
      </c>
    </row>
    <row r="19" ht="15" customHeight="1" s="8">
      <c r="A19" s="7" t="n">
        <v>2017</v>
      </c>
      <c r="B19" s="7" t="n">
        <v>5.2</v>
      </c>
      <c r="C19" s="7">
        <f>C18*(1+B19/100)</f>
        <v/>
      </c>
    </row>
    <row r="20" ht="15" customHeight="1" s="8">
      <c r="A20" s="7" t="n">
        <v>2018</v>
      </c>
      <c r="B20" s="7" t="n">
        <v>6.1</v>
      </c>
      <c r="C20" s="7">
        <f>C19*(1+B20/100)</f>
        <v/>
      </c>
    </row>
    <row r="21" ht="15" customHeight="1" s="8">
      <c r="A21" s="7" t="n">
        <v>2019</v>
      </c>
      <c r="B21" s="7" t="n">
        <v>5.4</v>
      </c>
      <c r="C21" s="7">
        <f>C20*(1+B21/100)</f>
        <v/>
      </c>
    </row>
    <row r="22" ht="15" customHeight="1" s="8">
      <c r="A22" s="7" t="n">
        <v>2020</v>
      </c>
      <c r="B22" s="7" t="n">
        <v>-6.3</v>
      </c>
      <c r="C22" s="7">
        <f>C21*(1+B22/100)</f>
        <v/>
      </c>
    </row>
    <row r="23" ht="15" customHeight="1" s="8">
      <c r="A23" s="7" t="n">
        <v>2021</v>
      </c>
      <c r="B23" s="7" t="n">
        <v>10.6</v>
      </c>
      <c r="C23" s="7">
        <f>C22*(1+B23/100)</f>
        <v/>
      </c>
    </row>
    <row r="24" ht="15" customHeight="1" s="8">
      <c r="A24" s="7" t="n">
        <v>2022</v>
      </c>
      <c r="B24" s="7" t="n">
        <v>11</v>
      </c>
      <c r="C24" s="7">
        <f>C23*(1+B24/100)</f>
        <v/>
      </c>
    </row>
    <row r="25" ht="15" customHeight="1" s="8">
      <c r="A25" s="7" t="n">
        <v>2023</v>
      </c>
      <c r="B25" s="7" t="n">
        <v>7.8</v>
      </c>
      <c r="C25" s="7">
        <f>C24*(1+B25/100)</f>
        <v/>
      </c>
    </row>
    <row r="26" ht="15" customHeight="1" s="8">
      <c r="A26" s="7" t="n">
        <v>2024</v>
      </c>
      <c r="B26" s="7" t="n">
        <v>9.4</v>
      </c>
      <c r="C26" s="7">
        <f>C25*(1+B26/100)</f>
        <v/>
      </c>
    </row>
    <row r="27" ht="15" customHeight="1" s="8">
      <c r="A27" s="7" t="n">
        <v>2025</v>
      </c>
      <c r="B27" s="7" t="n">
        <v>7.2</v>
      </c>
      <c r="C27" s="7">
        <f>C26*(1+B27/100)</f>
        <v/>
      </c>
    </row>
    <row r="28" ht="15" customHeight="1" s="8">
      <c r="A28" s="7" t="n">
        <v>2026</v>
      </c>
      <c r="B28" s="7" t="n">
        <v>5.3</v>
      </c>
      <c r="C28" s="7">
        <f>C27*(1+B28/100)</f>
        <v/>
      </c>
    </row>
    <row r="29" ht="15" customHeight="1" s="8">
      <c r="A29" s="7" t="n">
        <v>2027</v>
      </c>
      <c r="B29" s="7" t="n">
        <v>5</v>
      </c>
      <c r="C29" s="7">
        <f>C28*(1+B29/100)</f>
        <v/>
      </c>
    </row>
    <row r="30" ht="15" customHeight="1" s="8">
      <c r="A30" s="7" t="n">
        <v>2028</v>
      </c>
      <c r="B30" s="7" t="n">
        <v>5</v>
      </c>
      <c r="C30" s="7">
        <f>C29*(1+B30/100)</f>
        <v/>
      </c>
    </row>
    <row r="31" ht="15" customHeight="1" s="8">
      <c r="A31" s="7" t="n">
        <v>2029</v>
      </c>
      <c r="B31" s="7" t="n">
        <v>5</v>
      </c>
      <c r="C31" s="7">
        <f>C30*(1+B31/100)</f>
        <v/>
      </c>
    </row>
    <row r="32" ht="15" customHeight="1" s="8">
      <c r="A32" s="7" t="n">
        <v>2030</v>
      </c>
      <c r="B32" s="7" t="n">
        <v>5</v>
      </c>
      <c r="C32" s="7">
        <f>C31*(1+B32/100)</f>
        <v/>
      </c>
    </row>
    <row r="33" ht="15" customHeight="1" s="8">
      <c r="A33" s="7" t="n">
        <v>2031</v>
      </c>
      <c r="B33" s="7" t="n">
        <v>5</v>
      </c>
      <c r="C33" s="7">
        <f>C32*(1+B33/100)</f>
        <v/>
      </c>
    </row>
    <row r="34" ht="15" customHeight="1" s="8">
      <c r="A34" s="7" t="n">
        <v>2032</v>
      </c>
      <c r="B34" s="7" t="n">
        <v>5</v>
      </c>
      <c r="C34" s="7">
        <f>C33*(1+B34/100)</f>
        <v/>
      </c>
    </row>
    <row r="35" ht="15" customHeight="1" s="8">
      <c r="A35" s="7" t="n">
        <v>2033</v>
      </c>
      <c r="B35" s="7" t="n">
        <v>5</v>
      </c>
      <c r="C35" s="7">
        <f>C34*(1+B35/100)</f>
        <v/>
      </c>
    </row>
    <row r="36" ht="15" customHeight="1" s="8">
      <c r="A36" s="7" t="n">
        <v>2034</v>
      </c>
      <c r="B36" s="7" t="n">
        <v>5</v>
      </c>
      <c r="C36" s="7">
        <f>C35*(1+B36/100)</f>
        <v/>
      </c>
    </row>
    <row r="37" ht="15" customHeight="1" s="8">
      <c r="A37" s="7" t="n">
        <v>2035</v>
      </c>
      <c r="B37" s="7" t="n">
        <v>5</v>
      </c>
      <c r="C37" s="7">
        <f>C36*(1+B37/100)</f>
        <v/>
      </c>
    </row>
    <row r="38" ht="15" customHeight="1" s="8">
      <c r="A38" s="7" t="n">
        <v>2036</v>
      </c>
      <c r="B38" s="7" t="n">
        <v>5</v>
      </c>
      <c r="C38" s="7">
        <f>C37*(1+B38/100)</f>
        <v/>
      </c>
    </row>
    <row r="39" ht="15" customHeight="1" s="8">
      <c r="A39" s="7" t="n">
        <v>2037</v>
      </c>
      <c r="B39" s="7" t="n">
        <v>5</v>
      </c>
      <c r="C39" s="7">
        <f>C38*(1+B39/100)</f>
        <v/>
      </c>
    </row>
    <row r="40" ht="15" customHeight="1" s="8">
      <c r="A40" s="7" t="n">
        <v>2038</v>
      </c>
      <c r="B40" s="7" t="n">
        <v>5</v>
      </c>
      <c r="C40" s="7">
        <f>C39*(1+B40/100)</f>
        <v/>
      </c>
    </row>
    <row r="41" ht="15" customHeight="1" s="8">
      <c r="A41" s="7" t="n">
        <v>2039</v>
      </c>
      <c r="B41" s="7" t="n">
        <v>5</v>
      </c>
      <c r="C41" s="7">
        <f>C40*(1+B41/100)</f>
        <v/>
      </c>
    </row>
    <row r="42" ht="15" customHeight="1" s="8">
      <c r="A42" s="7" t="n">
        <v>2040</v>
      </c>
      <c r="B42" s="7" t="n">
        <v>5</v>
      </c>
      <c r="C42" s="7">
        <f>C41*(1+B42/100)</f>
        <v/>
      </c>
    </row>
    <row r="43" ht="15" customHeight="1" s="8">
      <c r="A43" s="7" t="n">
        <v>2041</v>
      </c>
      <c r="B43" s="7" t="n">
        <v>5</v>
      </c>
      <c r="C43" s="7">
        <f>C42*(1+B43/100)</f>
        <v/>
      </c>
    </row>
    <row r="44" ht="15" customHeight="1" s="8">
      <c r="A44" s="7" t="n">
        <v>2042</v>
      </c>
      <c r="B44" s="7" t="n">
        <v>5</v>
      </c>
      <c r="C44" s="7">
        <f>C43*(1+B44/100)</f>
        <v/>
      </c>
    </row>
    <row r="45" ht="15" customHeight="1" s="8">
      <c r="A45" s="7" t="n">
        <v>2043</v>
      </c>
      <c r="B45" s="7" t="n">
        <v>5</v>
      </c>
      <c r="C45" s="7">
        <f>C44*(1+B45/100)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7" min="1" max="19"/>
  </cols>
  <sheetData>
    <row r="1" ht="15" customHeight="1" s="8">
      <c r="A1" s="9" t="inlineStr">
        <is>
          <t>Year</t>
        </is>
      </c>
      <c r="B1" s="9" t="inlineStr">
        <is>
          <t>Source</t>
        </is>
      </c>
      <c r="C1" s="9" t="inlineStr">
        <is>
          <t>CFC (Millions GEL)</t>
        </is>
      </c>
      <c r="D1" s="9" t="inlineStr">
        <is>
          <t>Capital Stock (PWT)</t>
        </is>
      </c>
      <c r="E1" s="9" t="inlineStr">
        <is>
          <t>Depreciation Rate (PWT)</t>
        </is>
      </c>
    </row>
    <row r="2" ht="15" customHeight="1" s="8">
      <c r="A2" s="7" t="n">
        <v>2002</v>
      </c>
      <c r="B2" s="7" t="inlineStr">
        <is>
          <t>ECB</t>
        </is>
      </c>
      <c r="C2" s="7" t="n">
        <v>790.1125651999999</v>
      </c>
      <c r="D2" s="10">
        <f>PWT!B2</f>
        <v/>
      </c>
      <c r="E2" s="10">
        <f>PWT!D2</f>
        <v/>
      </c>
    </row>
    <row r="3" ht="15" customHeight="1" s="8">
      <c r="A3" s="7" t="n">
        <v>2003</v>
      </c>
      <c r="B3" s="7" t="inlineStr">
        <is>
          <t>ECB</t>
        </is>
      </c>
      <c r="C3" s="7" t="n">
        <v>932.91621967</v>
      </c>
      <c r="D3" s="10">
        <f>PWT!B3</f>
        <v/>
      </c>
      <c r="E3" s="10">
        <f>PWT!D3</f>
        <v/>
      </c>
    </row>
    <row r="4" ht="15" customHeight="1" s="8">
      <c r="A4" s="7" t="n">
        <v>2004</v>
      </c>
      <c r="B4" s="7" t="inlineStr">
        <is>
          <t>ECB</t>
        </is>
      </c>
      <c r="C4" s="7" t="n">
        <v>976.8185377999999</v>
      </c>
      <c r="D4" s="10">
        <f>PWT!B4</f>
        <v/>
      </c>
      <c r="E4" s="10">
        <f>PWT!D4</f>
        <v/>
      </c>
    </row>
    <row r="5" ht="15" customHeight="1" s="8">
      <c r="A5" s="7" t="n">
        <v>2005</v>
      </c>
      <c r="B5" s="7" t="inlineStr">
        <is>
          <t>ECB</t>
        </is>
      </c>
      <c r="C5" s="7" t="n">
        <v>1113.45005859</v>
      </c>
      <c r="D5" s="10">
        <f>PWT!B5</f>
        <v/>
      </c>
      <c r="E5" s="10">
        <f>PWT!D5</f>
        <v/>
      </c>
    </row>
    <row r="6" ht="15" customHeight="1" s="8">
      <c r="A6" s="7" t="n">
        <v>2006</v>
      </c>
      <c r="B6" s="7" t="inlineStr">
        <is>
          <t>ECB</t>
        </is>
      </c>
      <c r="C6" s="7" t="n">
        <v>1306.37308413</v>
      </c>
      <c r="D6" s="10">
        <f>PWT!B6</f>
        <v/>
      </c>
      <c r="E6" s="10">
        <f>PWT!D6</f>
        <v/>
      </c>
    </row>
    <row r="7" ht="15" customHeight="1" s="8">
      <c r="A7" s="7" t="n">
        <v>2007</v>
      </c>
      <c r="B7" s="7" t="inlineStr">
        <is>
          <t>ECB</t>
        </is>
      </c>
      <c r="C7" s="7" t="n">
        <v>1617.02996626</v>
      </c>
      <c r="D7" s="10">
        <f>PWT!B7</f>
        <v/>
      </c>
      <c r="E7" s="10">
        <f>PWT!D7</f>
        <v/>
      </c>
    </row>
    <row r="8" ht="15" customHeight="1" s="8">
      <c r="A8" s="7" t="n">
        <v>2008</v>
      </c>
      <c r="B8" s="7" t="inlineStr">
        <is>
          <t>ECB</t>
        </is>
      </c>
      <c r="C8" s="7" t="n">
        <v>1758.04926767</v>
      </c>
      <c r="D8" s="10">
        <f>PWT!B8</f>
        <v/>
      </c>
      <c r="E8" s="10">
        <f>PWT!D8</f>
        <v/>
      </c>
    </row>
    <row r="9" ht="15" customHeight="1" s="8">
      <c r="A9" s="7" t="n">
        <v>2009</v>
      </c>
      <c r="B9" s="7" t="inlineStr">
        <is>
          <t>ECB</t>
        </is>
      </c>
      <c r="C9" s="7" t="n">
        <v>1751.36668488</v>
      </c>
      <c r="D9" s="10">
        <f>PWT!B9</f>
        <v/>
      </c>
      <c r="E9" s="10">
        <f>PWT!D9</f>
        <v/>
      </c>
    </row>
    <row r="10" ht="15" customHeight="1" s="8">
      <c r="A10" s="7" t="n">
        <v>2010</v>
      </c>
      <c r="B10" s="7" t="inlineStr">
        <is>
          <t>ECB</t>
        </is>
      </c>
      <c r="C10" s="7" t="n">
        <v>2046.41323467</v>
      </c>
      <c r="D10" s="10">
        <f>PWT!B10</f>
        <v/>
      </c>
      <c r="E10" s="10">
        <f>PWT!D10</f>
        <v/>
      </c>
    </row>
    <row r="11" ht="15" customHeight="1" s="8">
      <c r="A11" s="7" t="n">
        <v>2011</v>
      </c>
      <c r="B11" s="7" t="inlineStr">
        <is>
          <t>ECB</t>
        </is>
      </c>
      <c r="C11" s="7" t="n">
        <v>2350.51240591</v>
      </c>
      <c r="D11" s="10">
        <f>PWT!B11</f>
        <v/>
      </c>
      <c r="E11" s="10">
        <f>PWT!D11</f>
        <v/>
      </c>
    </row>
    <row r="12" ht="15" customHeight="1" s="8">
      <c r="A12" s="7" t="n">
        <v>2012</v>
      </c>
      <c r="B12" s="7" t="inlineStr">
        <is>
          <t>ECB</t>
        </is>
      </c>
      <c r="C12" s="7" t="n">
        <v>2643.60288797</v>
      </c>
      <c r="D12" s="10">
        <f>PWT!B12</f>
        <v/>
      </c>
      <c r="E12" s="10">
        <f>PWT!D12</f>
        <v/>
      </c>
    </row>
    <row r="13" ht="15" customHeight="1" s="8">
      <c r="A13" s="7" t="n">
        <v>2013</v>
      </c>
      <c r="B13" s="7" t="inlineStr">
        <is>
          <t>ECB</t>
        </is>
      </c>
      <c r="C13" s="7" t="n">
        <v>1555.93215232</v>
      </c>
      <c r="D13" s="10">
        <f>PWT!B13</f>
        <v/>
      </c>
      <c r="E13" s="10">
        <f>PWT!D13</f>
        <v/>
      </c>
    </row>
    <row r="14" ht="15" customHeight="1" s="8">
      <c r="A14" s="7" t="n">
        <v>2014</v>
      </c>
      <c r="B14" s="7" t="inlineStr">
        <is>
          <t>ECB</t>
        </is>
      </c>
      <c r="C14" s="7" t="n">
        <v>2984.89046869</v>
      </c>
      <c r="D14" s="10">
        <f>PWT!B14</f>
        <v/>
      </c>
      <c r="E14" s="10">
        <f>PWT!D14</f>
        <v/>
      </c>
    </row>
    <row r="15" ht="15" customHeight="1" s="8">
      <c r="A15" s="7" t="n">
        <v>2015</v>
      </c>
      <c r="B15" s="7" t="inlineStr">
        <is>
          <t>ECB</t>
        </is>
      </c>
      <c r="C15" s="7" t="n">
        <v>3657.28067254</v>
      </c>
      <c r="D15" s="10">
        <f>PWT!B15</f>
        <v/>
      </c>
      <c r="E15" s="10">
        <f>PWT!D15</f>
        <v/>
      </c>
    </row>
    <row r="16" ht="15" customHeight="1" s="8">
      <c r="A16" s="7" t="n">
        <v>2016</v>
      </c>
      <c r="B16" s="7" t="inlineStr">
        <is>
          <t>ECB</t>
        </is>
      </c>
      <c r="C16" s="7" t="n">
        <v>4004.82871985</v>
      </c>
      <c r="D16" s="10">
        <f>PWT!B16</f>
        <v/>
      </c>
      <c r="E16" s="10">
        <f>PWT!D16</f>
        <v/>
      </c>
    </row>
    <row r="17" ht="15" customHeight="1" s="8">
      <c r="A17" s="7" t="n">
        <v>2017</v>
      </c>
      <c r="B17" s="7" t="inlineStr">
        <is>
          <t>ECB</t>
        </is>
      </c>
      <c r="C17" s="7" t="n">
        <v>4492.92133491</v>
      </c>
      <c r="D17" s="10">
        <f>PWT!B17</f>
        <v/>
      </c>
      <c r="E17" s="10">
        <f>PWT!D17</f>
        <v/>
      </c>
    </row>
    <row r="18" ht="15" customHeight="1" s="8">
      <c r="A18" s="7" t="n">
        <v>2018</v>
      </c>
      <c r="B18" s="7" t="inlineStr">
        <is>
          <t>ECB</t>
        </is>
      </c>
      <c r="C18" s="7" t="n">
        <v>4843.61644029</v>
      </c>
      <c r="D18" s="10">
        <f>PWT!B18</f>
        <v/>
      </c>
      <c r="E18" s="10">
        <f>PWT!D18</f>
        <v/>
      </c>
    </row>
    <row r="19" ht="15" customHeight="1" s="8">
      <c r="A19" s="7" t="n">
        <v>2019</v>
      </c>
      <c r="B19" s="7" t="inlineStr">
        <is>
          <t>ECB</t>
        </is>
      </c>
      <c r="C19" s="7" t="n">
        <v>5452.95737935</v>
      </c>
      <c r="D19" s="10">
        <f>PWT!B19</f>
        <v/>
      </c>
      <c r="E19" s="10">
        <f>PWT!D19</f>
        <v/>
      </c>
    </row>
    <row r="20" ht="15" customHeight="1" s="8">
      <c r="A20" s="7" t="n">
        <v>2020</v>
      </c>
      <c r="B20" s="7" t="inlineStr">
        <is>
          <t>ECB</t>
        </is>
      </c>
      <c r="C20" s="7" t="n">
        <v>6152.76926162</v>
      </c>
      <c r="D20" s="10">
        <f>PWT!B20</f>
        <v/>
      </c>
      <c r="E20" s="10">
        <f>PWT!D20</f>
        <v/>
      </c>
    </row>
    <row r="21" ht="15" customHeight="1" s="8">
      <c r="A21" s="7" t="n">
        <v>2021</v>
      </c>
      <c r="B21" s="7" t="inlineStr">
        <is>
          <t>ECB</t>
        </is>
      </c>
      <c r="C21" s="7" t="n">
        <v>7072.6253489</v>
      </c>
      <c r="D21" s="10">
        <f>PWT!B21</f>
        <v/>
      </c>
      <c r="E21" s="10">
        <f>PWT!D21</f>
        <v/>
      </c>
    </row>
    <row r="22" ht="15" customHeight="1" s="8">
      <c r="A22" s="7" t="n">
        <v>2022</v>
      </c>
      <c r="B22" s="7" t="inlineStr">
        <is>
          <t>ECB</t>
        </is>
      </c>
      <c r="C22" s="7" t="n">
        <v>7661.44847488</v>
      </c>
      <c r="D22" s="10">
        <f>PWT!B22</f>
        <v/>
      </c>
      <c r="E22" s="10">
        <f>PWT!D22</f>
        <v/>
      </c>
    </row>
    <row r="23" ht="15" customHeight="1" s="8">
      <c r="A23" s="7" t="n">
        <v>2023</v>
      </c>
      <c r="B23" s="7" t="inlineStr">
        <is>
          <t>ECB</t>
        </is>
      </c>
      <c r="C23" s="7" t="n">
        <v>9410.65784371</v>
      </c>
      <c r="D23" s="10">
        <f>PWT!B23</f>
        <v/>
      </c>
      <c r="E23" s="10">
        <f>PWT!D23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7" min="1" max="19"/>
  </cols>
  <sheetData>
    <row r="1" ht="15" customHeight="1" s="8">
      <c r="A1" s="9" t="inlineStr">
        <is>
          <t>Year</t>
        </is>
      </c>
      <c r="B1" s="9" t="inlineStr">
        <is>
          <t>Investment (USD Billions)</t>
        </is>
      </c>
      <c r="C1" s="9" t="inlineStr">
        <is>
          <t>Investment (USD Millions)</t>
        </is>
      </c>
    </row>
    <row r="2" ht="15" customHeight="1" s="8">
      <c r="A2" s="7" t="n">
        <v>2020</v>
      </c>
      <c r="B2" s="7" t="n">
        <v>0</v>
      </c>
      <c r="C2" s="7" t="n">
        <v>0</v>
      </c>
    </row>
    <row r="3" ht="15" customHeight="1" s="8">
      <c r="A3" s="7" t="n">
        <v>2021</v>
      </c>
      <c r="B3" s="7" t="n">
        <v>0</v>
      </c>
      <c r="C3" s="7" t="n">
        <v>0</v>
      </c>
    </row>
    <row r="4" ht="15" customHeight="1" s="8">
      <c r="A4" s="7" t="n">
        <v>2022</v>
      </c>
      <c r="B4" s="7" t="n">
        <v>0</v>
      </c>
      <c r="C4" s="7" t="n">
        <v>0</v>
      </c>
    </row>
    <row r="5" ht="15" customHeight="1" s="8">
      <c r="A5" s="7" t="n">
        <v>2023</v>
      </c>
      <c r="B5" s="7" t="n">
        <v>0</v>
      </c>
      <c r="C5" s="7" t="n">
        <v>0</v>
      </c>
    </row>
    <row r="6" ht="15" customHeight="1" s="8">
      <c r="A6" s="7" t="n">
        <v>2024</v>
      </c>
      <c r="B6" s="7" t="n">
        <v>0</v>
      </c>
      <c r="C6" s="7" t="n">
        <v>0</v>
      </c>
    </row>
    <row r="7" ht="15" customHeight="1" s="8">
      <c r="A7" s="7" t="n">
        <v>2025</v>
      </c>
      <c r="B7" s="7" t="n">
        <v>0</v>
      </c>
      <c r="C7" s="7" t="n">
        <v>0</v>
      </c>
    </row>
    <row r="8" ht="15" customHeight="1" s="8">
      <c r="A8" s="7" t="n">
        <v>2026</v>
      </c>
      <c r="B8" s="7" t="n">
        <v>0.8125</v>
      </c>
      <c r="C8" s="7">
        <f>B8*1000</f>
        <v/>
      </c>
    </row>
    <row r="9" ht="15" customHeight="1" s="8">
      <c r="A9" s="7" t="n">
        <v>2027</v>
      </c>
      <c r="B9" s="7" t="n">
        <v>0.8125</v>
      </c>
      <c r="C9" s="7">
        <f>B9*1000</f>
        <v/>
      </c>
    </row>
    <row r="10" ht="15" customHeight="1" s="8">
      <c r="A10" s="7" t="n">
        <v>2028</v>
      </c>
      <c r="B10" s="7" t="n">
        <v>0.8125</v>
      </c>
      <c r="C10" s="7">
        <f>B10*1000</f>
        <v/>
      </c>
    </row>
    <row r="11" ht="15" customHeight="1" s="8">
      <c r="A11" s="7" t="n">
        <v>2029</v>
      </c>
      <c r="B11" s="7" t="n">
        <v>0.8125</v>
      </c>
      <c r="C11" s="7">
        <f>B11*1000</f>
        <v/>
      </c>
    </row>
    <row r="12" ht="15" customHeight="1" s="8">
      <c r="A12" s="7" t="n">
        <v>2030</v>
      </c>
      <c r="B12" s="7" t="n">
        <v>0.8125</v>
      </c>
      <c r="C12" s="7">
        <f>B12*1000</f>
        <v/>
      </c>
    </row>
    <row r="13" ht="15" customHeight="1" s="8">
      <c r="A13" s="7" t="n">
        <v>2031</v>
      </c>
      <c r="B13" s="7" t="n">
        <v>0.8125</v>
      </c>
      <c r="C13" s="7">
        <f>B13*1000</f>
        <v/>
      </c>
    </row>
    <row r="14" ht="15" customHeight="1" s="8">
      <c r="A14" s="7" t="n">
        <v>2032</v>
      </c>
      <c r="B14" s="7" t="n">
        <v>0.8125</v>
      </c>
      <c r="C14" s="7">
        <f>B14*1000</f>
        <v/>
      </c>
    </row>
    <row r="15" ht="15" customHeight="1" s="8">
      <c r="A15" s="7" t="n">
        <v>2033</v>
      </c>
      <c r="B15" s="7" t="n">
        <v>0.8125</v>
      </c>
      <c r="C15" s="7">
        <f>B15*1000</f>
        <v/>
      </c>
    </row>
    <row r="16" ht="15" customHeight="1" s="8">
      <c r="A16" s="7" t="n">
        <v>2034</v>
      </c>
      <c r="B16" s="7" t="n">
        <v>0</v>
      </c>
      <c r="C16" s="7" t="n">
        <v>0</v>
      </c>
    </row>
    <row r="17" ht="15" customHeight="1" s="8">
      <c r="A17" s="7" t="n">
        <v>2035</v>
      </c>
      <c r="B17" s="7" t="n">
        <v>0</v>
      </c>
      <c r="C17" s="7" t="n">
        <v>0</v>
      </c>
    </row>
    <row r="18" ht="15" customHeight="1" s="8">
      <c r="A18" s="7" t="n">
        <v>2036</v>
      </c>
      <c r="B18" s="7" t="n">
        <v>0</v>
      </c>
      <c r="C18" s="7" t="n">
        <v>0</v>
      </c>
    </row>
    <row r="19" ht="15" customHeight="1" s="8">
      <c r="A19" s="7" t="n">
        <v>2037</v>
      </c>
      <c r="B19" s="7" t="n">
        <v>0</v>
      </c>
      <c r="C19" s="7" t="n">
        <v>0</v>
      </c>
    </row>
    <row r="20" ht="15" customHeight="1" s="8">
      <c r="A20" s="7" t="n">
        <v>2038</v>
      </c>
      <c r="B20" s="7" t="n">
        <v>0</v>
      </c>
      <c r="C20" s="7" t="n">
        <v>0</v>
      </c>
    </row>
    <row r="21" ht="15" customHeight="1" s="8">
      <c r="A21" s="7" t="n">
        <v>2039</v>
      </c>
      <c r="B21" s="7" t="n">
        <v>0</v>
      </c>
      <c r="C21" s="7" t="n">
        <v>0</v>
      </c>
    </row>
    <row r="22" ht="15" customHeight="1" s="8">
      <c r="A22" s="7" t="n">
        <v>2040</v>
      </c>
      <c r="B22" s="7" t="n">
        <v>0</v>
      </c>
      <c r="C22" s="7" t="n">
        <v>0</v>
      </c>
    </row>
    <row r="23" ht="15" customHeight="1" s="8">
      <c r="A23" s="7" t="n">
        <v>2041</v>
      </c>
      <c r="B23" s="7" t="n">
        <v>0</v>
      </c>
      <c r="C23" s="7" t="n">
        <v>0</v>
      </c>
    </row>
    <row r="24" ht="15" customHeight="1" s="8">
      <c r="A24" s="7" t="n">
        <v>2042</v>
      </c>
      <c r="B24" s="7" t="n">
        <v>0</v>
      </c>
      <c r="C24" s="7" t="n">
        <v>0</v>
      </c>
    </row>
    <row r="25" ht="15" customHeight="1" s="8">
      <c r="A25" s="7" t="n">
        <v>2043</v>
      </c>
      <c r="B25" s="7" t="n">
        <v>0</v>
      </c>
      <c r="C25" s="7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U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7" min="1" max="19"/>
  </cols>
  <sheetData>
    <row r="1" ht="15" customHeight="1" s="8">
      <c r="A1" s="11" t="inlineStr">
        <is>
          <t>Parameters</t>
        </is>
      </c>
    </row>
    <row r="2" ht="15" customHeight="1" s="8">
      <c r="A2" s="7" t="inlineStr">
        <is>
          <t>HP Filter Lambda</t>
        </is>
      </c>
      <c r="B2" s="7" t="n">
        <v>100</v>
      </c>
    </row>
    <row r="3" ht="15" customHeight="1" s="8">
      <c r="A3" s="7" t="inlineStr">
        <is>
          <t>Annual Depreciation Rate</t>
        </is>
      </c>
      <c r="B3" s="10">
        <f>AVERAGE(PWT!D17:D23)</f>
        <v/>
      </c>
    </row>
    <row r="4" ht="15" customHeight="1" s="8">
      <c r="N4" s="12" t="inlineStr">
        <is>
          <t>HP FILTER SOLVER SETUP</t>
        </is>
      </c>
    </row>
    <row r="5" ht="15" customHeight="1" s="8">
      <c r="A5" s="9" t="inlineStr">
        <is>
          <t>Year</t>
        </is>
      </c>
      <c r="B5" s="9" t="inlineStr">
        <is>
          <t>K (PWT)</t>
        </is>
      </c>
      <c r="C5" s="9" t="inlineStr">
        <is>
          <t>Y (WEO)</t>
        </is>
      </c>
      <c r="D5" s="9" t="inlineStr">
        <is>
          <t>LnK</t>
        </is>
      </c>
      <c r="E5" s="9" t="inlineStr">
        <is>
          <t>LnY</t>
        </is>
      </c>
      <c r="F5" s="9" t="inlineStr">
        <is>
          <t>LnZ (actual)</t>
        </is>
      </c>
      <c r="G5" s="9" t="inlineStr">
        <is>
          <t>LnZ_HP (Solver)</t>
        </is>
      </c>
      <c r="H5" s="9" t="inlineStr">
        <is>
          <t>dLnZ_HP</t>
        </is>
      </c>
      <c r="I5" s="9" t="inlineStr">
        <is>
          <t>d2LnZ_HP</t>
        </is>
      </c>
      <c r="J5" s="9" t="inlineStr">
        <is>
          <t>LnZ-Trend</t>
        </is>
      </c>
      <c r="K5" s="9" t="inlineStr">
        <is>
          <t>Lambda*(d2)^2</t>
        </is>
      </c>
      <c r="L5" s="9" t="inlineStr">
        <is>
          <t>(LnZ-Trend)^2</t>
        </is>
      </c>
      <c r="N5" s="9" t="inlineStr">
        <is>
          <t>Objective:</t>
        </is>
      </c>
      <c r="O5" s="7">
        <f>SUM(K6:K27)+SUM(L6:L27)</f>
        <v/>
      </c>
    </row>
    <row r="6" ht="15" customHeight="1" s="8">
      <c r="A6" s="7" t="n">
        <v>2002</v>
      </c>
      <c r="B6" s="10">
        <f>PWT!B2</f>
        <v/>
      </c>
      <c r="C6" s="10">
        <f>WEO_Data!C4</f>
        <v/>
      </c>
      <c r="D6" s="7">
        <f>LN(B6)</f>
        <v/>
      </c>
      <c r="E6" s="7">
        <f>LN(C6)</f>
        <v/>
      </c>
      <c r="F6" s="7">
        <f>E6-(1-PWT!C2)*D6</f>
        <v/>
      </c>
      <c r="G6" s="13" t="n">
        <v>0.620344436008844</v>
      </c>
      <c r="J6" s="7">
        <f>F6-G6</f>
        <v/>
      </c>
      <c r="K6" s="7" t="n">
        <v>0</v>
      </c>
      <c r="L6" s="7">
        <f>J6^2</f>
        <v/>
      </c>
      <c r="N6" s="7" t="inlineStr">
        <is>
          <t>To optimize HP Filter:</t>
        </is>
      </c>
    </row>
    <row r="7" ht="15" customHeight="1" s="8">
      <c r="A7" s="7" t="n">
        <v>2003</v>
      </c>
      <c r="B7" s="10">
        <f>PWT!B3</f>
        <v/>
      </c>
      <c r="C7" s="10">
        <f>WEO_Data!C5</f>
        <v/>
      </c>
      <c r="D7" s="7">
        <f>LN(B7)</f>
        <v/>
      </c>
      <c r="E7" s="7">
        <f>LN(C7)</f>
        <v/>
      </c>
      <c r="F7" s="7">
        <f>E7-(1-PWT!C3)*D7</f>
        <v/>
      </c>
      <c r="G7" s="13" t="n">
        <v>0.751691256287141</v>
      </c>
      <c r="H7" s="7">
        <f>G7-G6</f>
        <v/>
      </c>
      <c r="J7" s="7">
        <f>F7-G7</f>
        <v/>
      </c>
      <c r="K7" s="7" t="n">
        <v>0</v>
      </c>
      <c r="L7" s="7">
        <f>J7^2</f>
        <v/>
      </c>
      <c r="N7" s="7" t="inlineStr">
        <is>
          <t>1. Data &gt; Solver</t>
        </is>
      </c>
    </row>
    <row r="8" ht="15" customHeight="1" s="8">
      <c r="A8" s="7" t="n">
        <v>2004</v>
      </c>
      <c r="B8" s="10">
        <f>PWT!B4</f>
        <v/>
      </c>
      <c r="C8" s="10">
        <f>WEO_Data!C6</f>
        <v/>
      </c>
      <c r="D8" s="7">
        <f>LN(B8)</f>
        <v/>
      </c>
      <c r="E8" s="7">
        <f>LN(C8)</f>
        <v/>
      </c>
      <c r="F8" s="7">
        <f>E8-(1-PWT!C4)*D8</f>
        <v/>
      </c>
      <c r="G8" s="13" t="n">
        <v>0.893141049394074</v>
      </c>
      <c r="H8" s="7">
        <f>G8-G7</f>
        <v/>
      </c>
      <c r="I8" s="7">
        <f>H8-H7</f>
        <v/>
      </c>
      <c r="J8" s="7">
        <f>F8-G8</f>
        <v/>
      </c>
      <c r="K8" s="7">
        <f>$B$2*I8^2</f>
        <v/>
      </c>
      <c r="L8" s="7">
        <f>J8^2</f>
        <v/>
      </c>
      <c r="N8" s="7" t="inlineStr">
        <is>
          <t>2. Objective: $O$5</t>
        </is>
      </c>
    </row>
    <row r="9" ht="15" customHeight="1" s="8">
      <c r="A9" s="7" t="n">
        <v>2005</v>
      </c>
      <c r="B9" s="10">
        <f>PWT!B5</f>
        <v/>
      </c>
      <c r="C9" s="10">
        <f>WEO_Data!C7</f>
        <v/>
      </c>
      <c r="D9" s="7">
        <f>LN(B9)</f>
        <v/>
      </c>
      <c r="E9" s="7">
        <f>LN(C9)</f>
        <v/>
      </c>
      <c r="F9" s="7">
        <f>E9-(1-PWT!C5)*D9</f>
        <v/>
      </c>
      <c r="G9" s="13" t="n">
        <v>1.05427465723415</v>
      </c>
      <c r="H9" s="7">
        <f>G9-G8</f>
        <v/>
      </c>
      <c r="I9" s="7">
        <f>H9-H8</f>
        <v/>
      </c>
      <c r="J9" s="7">
        <f>F9-G9</f>
        <v/>
      </c>
      <c r="K9" s="7">
        <f>$B$2*I9^2</f>
        <v/>
      </c>
      <c r="L9" s="7">
        <f>J9^2</f>
        <v/>
      </c>
      <c r="N9" s="7" t="inlineStr">
        <is>
          <t>3. To: Min</t>
        </is>
      </c>
    </row>
    <row r="10" ht="15" customHeight="1" s="8">
      <c r="A10" s="7" t="n">
        <v>2006</v>
      </c>
      <c r="B10" s="10">
        <f>PWT!B6</f>
        <v/>
      </c>
      <c r="C10" s="10">
        <f>WEO_Data!C8</f>
        <v/>
      </c>
      <c r="D10" s="7">
        <f>LN(B10)</f>
        <v/>
      </c>
      <c r="E10" s="7">
        <f>LN(C10)</f>
        <v/>
      </c>
      <c r="F10" s="7">
        <f>E10-(1-PWT!C6)*D10</f>
        <v/>
      </c>
      <c r="G10" s="13" t="n">
        <v>1.24072614211249</v>
      </c>
      <c r="H10" s="7">
        <f>G10-G9</f>
        <v/>
      </c>
      <c r="I10" s="7">
        <f>H10-H9</f>
        <v/>
      </c>
      <c r="J10" s="7">
        <f>F10-G10</f>
        <v/>
      </c>
      <c r="K10" s="7">
        <f>$B$2*I10^2</f>
        <v/>
      </c>
      <c r="L10" s="7">
        <f>J10^2</f>
        <v/>
      </c>
      <c r="N10" s="7" t="inlineStr">
        <is>
          <t>4. By Changing: $G$6:$G$27</t>
        </is>
      </c>
    </row>
    <row r="11" ht="15" customHeight="1" s="8">
      <c r="A11" s="7" t="n">
        <v>2007</v>
      </c>
      <c r="B11" s="10">
        <f>PWT!B7</f>
        <v/>
      </c>
      <c r="C11" s="10">
        <f>WEO_Data!C9</f>
        <v/>
      </c>
      <c r="D11" s="7">
        <f>LN(B11)</f>
        <v/>
      </c>
      <c r="E11" s="7">
        <f>LN(C11)</f>
        <v/>
      </c>
      <c r="F11" s="7">
        <f>E11-(1-PWT!C7)*D11</f>
        <v/>
      </c>
      <c r="G11" s="13" t="n">
        <v>1.45407026296063</v>
      </c>
      <c r="H11" s="7">
        <f>G11-G10</f>
        <v/>
      </c>
      <c r="I11" s="7">
        <f>H11-H10</f>
        <v/>
      </c>
      <c r="J11" s="7">
        <f>F11-G11</f>
        <v/>
      </c>
      <c r="K11" s="7">
        <f>$B$2*I11^2</f>
        <v/>
      </c>
      <c r="L11" s="7">
        <f>J11^2</f>
        <v/>
      </c>
      <c r="N11" s="7" t="inlineStr">
        <is>
          <t>5. Click Solve</t>
        </is>
      </c>
    </row>
    <row r="12" ht="15" customHeight="1" s="8">
      <c r="A12" s="7" t="n">
        <v>2008</v>
      </c>
      <c r="B12" s="10">
        <f>PWT!B8</f>
        <v/>
      </c>
      <c r="C12" s="10">
        <f>WEO_Data!C10</f>
        <v/>
      </c>
      <c r="D12" s="7">
        <f>LN(B12)</f>
        <v/>
      </c>
      <c r="E12" s="7">
        <f>LN(C12)</f>
        <v/>
      </c>
      <c r="F12" s="7">
        <f>E12-(1-PWT!C8)*D12</f>
        <v/>
      </c>
      <c r="G12" s="13" t="n">
        <v>1.68865906628335</v>
      </c>
      <c r="H12" s="7">
        <f>G12-G11</f>
        <v/>
      </c>
      <c r="I12" s="7">
        <f>H12-H11</f>
        <v/>
      </c>
      <c r="J12" s="7">
        <f>F12-G12</f>
        <v/>
      </c>
      <c r="K12" s="7">
        <f>$B$2*I12^2</f>
        <v/>
      </c>
      <c r="L12" s="7">
        <f>J12^2</f>
        <v/>
      </c>
    </row>
    <row r="13" ht="15" customHeight="1" s="8">
      <c r="A13" s="7" t="n">
        <v>2009</v>
      </c>
      <c r="B13" s="10">
        <f>PWT!B9</f>
        <v/>
      </c>
      <c r="C13" s="10">
        <f>WEO_Data!C11</f>
        <v/>
      </c>
      <c r="D13" s="7">
        <f>LN(B13)</f>
        <v/>
      </c>
      <c r="E13" s="7">
        <f>LN(C13)</f>
        <v/>
      </c>
      <c r="F13" s="7">
        <f>E13-(1-PWT!C9)*D13</f>
        <v/>
      </c>
      <c r="G13" s="13" t="n">
        <v>1.93438132661169</v>
      </c>
      <c r="H13" s="7">
        <f>G13-G12</f>
        <v/>
      </c>
      <c r="I13" s="7">
        <f>H13-H12</f>
        <v/>
      </c>
      <c r="J13" s="7">
        <f>F13-G13</f>
        <v/>
      </c>
      <c r="K13" s="7">
        <f>$B$2*I13^2</f>
        <v/>
      </c>
      <c r="L13" s="7">
        <f>J13^2</f>
        <v/>
      </c>
    </row>
    <row r="14" ht="15" customHeight="1" s="8">
      <c r="A14" s="7" t="n">
        <v>2010</v>
      </c>
      <c r="B14" s="10">
        <f>PWT!B10</f>
        <v/>
      </c>
      <c r="C14" s="10">
        <f>WEO_Data!C12</f>
        <v/>
      </c>
      <c r="D14" s="7">
        <f>LN(B14)</f>
        <v/>
      </c>
      <c r="E14" s="7">
        <f>LN(C14)</f>
        <v/>
      </c>
      <c r="F14" s="7">
        <f>E14-(1-PWT!C10)*D14</f>
        <v/>
      </c>
      <c r="G14" s="13" t="n">
        <v>2.18087393821651</v>
      </c>
      <c r="H14" s="7">
        <f>G14-G13</f>
        <v/>
      </c>
      <c r="I14" s="7">
        <f>H14-H13</f>
        <v/>
      </c>
      <c r="J14" s="7">
        <f>F14-G14</f>
        <v/>
      </c>
      <c r="K14" s="7">
        <f>$B$2*I14^2</f>
        <v/>
      </c>
      <c r="L14" s="7">
        <f>J14^2</f>
        <v/>
      </c>
    </row>
    <row r="15" ht="15" customHeight="1" s="8">
      <c r="A15" s="7" t="n">
        <v>2011</v>
      </c>
      <c r="B15" s="10">
        <f>PWT!B11</f>
        <v/>
      </c>
      <c r="C15" s="10">
        <f>WEO_Data!C13</f>
        <v/>
      </c>
      <c r="D15" s="7">
        <f>LN(B15)</f>
        <v/>
      </c>
      <c r="E15" s="7">
        <f>LN(C15)</f>
        <v/>
      </c>
      <c r="F15" s="7">
        <f>E15-(1-PWT!C11)*D15</f>
        <v/>
      </c>
      <c r="G15" s="13" t="n">
        <v>2.42430748807772</v>
      </c>
      <c r="H15" s="7">
        <f>G15-G14</f>
        <v/>
      </c>
      <c r="I15" s="7">
        <f>H15-H14</f>
        <v/>
      </c>
      <c r="J15" s="7">
        <f>F15-G15</f>
        <v/>
      </c>
      <c r="K15" s="7">
        <f>$B$2*I15^2</f>
        <v/>
      </c>
      <c r="L15" s="7">
        <f>J15^2</f>
        <v/>
      </c>
    </row>
    <row r="16" ht="15" customHeight="1" s="8">
      <c r="A16" s="7" t="n">
        <v>2012</v>
      </c>
      <c r="B16" s="10">
        <f>PWT!B12</f>
        <v/>
      </c>
      <c r="C16" s="10">
        <f>WEO_Data!C14</f>
        <v/>
      </c>
      <c r="D16" s="7">
        <f>LN(B16)</f>
        <v/>
      </c>
      <c r="E16" s="7">
        <f>LN(C16)</f>
        <v/>
      </c>
      <c r="F16" s="7">
        <f>E16-(1-PWT!C12)*D16</f>
        <v/>
      </c>
      <c r="G16" s="13" t="n">
        <v>2.66031406724699</v>
      </c>
      <c r="H16" s="7">
        <f>G16-G15</f>
        <v/>
      </c>
      <c r="I16" s="7">
        <f>H16-H15</f>
        <v/>
      </c>
      <c r="J16" s="7">
        <f>F16-G16</f>
        <v/>
      </c>
      <c r="K16" s="7">
        <f>$B$2*I16^2</f>
        <v/>
      </c>
      <c r="L16" s="7">
        <f>J16^2</f>
        <v/>
      </c>
    </row>
    <row r="17" ht="15" customHeight="1" s="8">
      <c r="A17" s="7" t="n">
        <v>2013</v>
      </c>
      <c r="B17" s="10">
        <f>PWT!B13</f>
        <v/>
      </c>
      <c r="C17" s="10">
        <f>WEO_Data!C15</f>
        <v/>
      </c>
      <c r="D17" s="7">
        <f>LN(B17)</f>
        <v/>
      </c>
      <c r="E17" s="7">
        <f>LN(C17)</f>
        <v/>
      </c>
      <c r="F17" s="7">
        <f>E17-(1-PWT!C13)*D17</f>
        <v/>
      </c>
      <c r="G17" s="13" t="n">
        <v>2.88474376492474</v>
      </c>
      <c r="H17" s="7">
        <f>G17-G16</f>
        <v/>
      </c>
      <c r="I17" s="7">
        <f>H17-H16</f>
        <v/>
      </c>
      <c r="J17" s="7">
        <f>F17-G17</f>
        <v/>
      </c>
      <c r="K17" s="7">
        <f>$B$2*I17^2</f>
        <v/>
      </c>
      <c r="L17" s="7">
        <f>J17^2</f>
        <v/>
      </c>
    </row>
    <row r="18" ht="15" customHeight="1" s="8">
      <c r="A18" s="7" t="n">
        <v>2014</v>
      </c>
      <c r="B18" s="10">
        <f>PWT!B14</f>
        <v/>
      </c>
      <c r="C18" s="10">
        <f>WEO_Data!C16</f>
        <v/>
      </c>
      <c r="D18" s="7">
        <f>LN(B18)</f>
        <v/>
      </c>
      <c r="E18" s="7">
        <f>LN(C18)</f>
        <v/>
      </c>
      <c r="F18" s="7">
        <f>E18-(1-PWT!C14)*D18</f>
        <v/>
      </c>
      <c r="G18" s="13" t="n">
        <v>3.09491832014322</v>
      </c>
      <c r="H18" s="7">
        <f>G18-G17</f>
        <v/>
      </c>
      <c r="I18" s="7">
        <f>H18-H17</f>
        <v/>
      </c>
      <c r="J18" s="7">
        <f>F18-G18</f>
        <v/>
      </c>
      <c r="K18" s="7">
        <f>$B$2*I18^2</f>
        <v/>
      </c>
      <c r="L18" s="7">
        <f>J18^2</f>
        <v/>
      </c>
    </row>
    <row r="19" ht="15" customHeight="1" s="8">
      <c r="A19" s="7" t="n">
        <v>2015</v>
      </c>
      <c r="B19" s="10">
        <f>PWT!B15</f>
        <v/>
      </c>
      <c r="C19" s="10">
        <f>WEO_Data!C17</f>
        <v/>
      </c>
      <c r="D19" s="7">
        <f>LN(B19)</f>
        <v/>
      </c>
      <c r="E19" s="7">
        <f>LN(C19)</f>
        <v/>
      </c>
      <c r="F19" s="7">
        <f>E19-(1-PWT!C15)*D19</f>
        <v/>
      </c>
      <c r="G19" s="13" t="n">
        <v>3.29047688072544</v>
      </c>
      <c r="H19" s="7">
        <f>G19-G18</f>
        <v/>
      </c>
      <c r="I19" s="7">
        <f>H19-H18</f>
        <v/>
      </c>
      <c r="J19" s="7">
        <f>F19-G19</f>
        <v/>
      </c>
      <c r="K19" s="7">
        <f>$B$2*I19^2</f>
        <v/>
      </c>
      <c r="L19" s="7">
        <f>J19^2</f>
        <v/>
      </c>
    </row>
    <row r="20" ht="15" customHeight="1" s="8">
      <c r="A20" s="7" t="n">
        <v>2016</v>
      </c>
      <c r="B20" s="10">
        <f>PWT!B16</f>
        <v/>
      </c>
      <c r="C20" s="10">
        <f>WEO_Data!C18</f>
        <v/>
      </c>
      <c r="D20" s="7">
        <f>LN(B20)</f>
        <v/>
      </c>
      <c r="E20" s="7">
        <f>LN(C20)</f>
        <v/>
      </c>
      <c r="F20" s="7">
        <f>E20-(1-PWT!C16)*D20</f>
        <v/>
      </c>
      <c r="G20" s="13" t="n">
        <v>3.47107536388105</v>
      </c>
      <c r="H20" s="7">
        <f>G20-G19</f>
        <v/>
      </c>
      <c r="I20" s="7">
        <f>H20-H19</f>
        <v/>
      </c>
      <c r="J20" s="7">
        <f>F20-G20</f>
        <v/>
      </c>
      <c r="K20" s="7">
        <f>$B$2*I20^2</f>
        <v/>
      </c>
      <c r="L20" s="7">
        <f>J20^2</f>
        <v/>
      </c>
    </row>
    <row r="21" ht="15" customHeight="1" s="8">
      <c r="A21" s="7" t="n">
        <v>2017</v>
      </c>
      <c r="B21" s="10">
        <f>PWT!B17</f>
        <v/>
      </c>
      <c r="C21" s="10">
        <f>WEO_Data!C19</f>
        <v/>
      </c>
      <c r="D21" s="7">
        <f>LN(B21)</f>
        <v/>
      </c>
      <c r="E21" s="7">
        <f>LN(C21)</f>
        <v/>
      </c>
      <c r="F21" s="7">
        <f>E21-(1-PWT!C17)*D21</f>
        <v/>
      </c>
      <c r="G21" s="13" t="n">
        <v>3.63611220239093</v>
      </c>
      <c r="H21" s="7">
        <f>G21-G20</f>
        <v/>
      </c>
      <c r="I21" s="7">
        <f>H21-H20</f>
        <v/>
      </c>
      <c r="J21" s="7">
        <f>F21-G21</f>
        <v/>
      </c>
      <c r="K21" s="7">
        <f>$B$2*I21^2</f>
        <v/>
      </c>
      <c r="L21" s="7">
        <f>J21^2</f>
        <v/>
      </c>
    </row>
    <row r="22" ht="15" customHeight="1" s="8">
      <c r="A22" s="7" t="n">
        <v>2018</v>
      </c>
      <c r="B22" s="10">
        <f>PWT!B18</f>
        <v/>
      </c>
      <c r="C22" s="10">
        <f>WEO_Data!C20</f>
        <v/>
      </c>
      <c r="D22" s="7">
        <f>LN(B22)</f>
        <v/>
      </c>
      <c r="E22" s="7">
        <f>LN(C22)</f>
        <v/>
      </c>
      <c r="F22" s="7">
        <f>E22-(1-PWT!C18)*D22</f>
        <v/>
      </c>
      <c r="G22" s="13" t="n">
        <v>3.78683714447511</v>
      </c>
      <c r="H22" s="7">
        <f>G22-G21</f>
        <v/>
      </c>
      <c r="I22" s="7">
        <f>H22-H21</f>
        <v/>
      </c>
      <c r="J22" s="7">
        <f>F22-G22</f>
        <v/>
      </c>
      <c r="K22" s="7">
        <f>$B$2*I22^2</f>
        <v/>
      </c>
      <c r="L22" s="7">
        <f>J22^2</f>
        <v/>
      </c>
    </row>
    <row r="23" ht="15" customHeight="1" s="8">
      <c r="A23" s="7" t="n">
        <v>2019</v>
      </c>
      <c r="B23" s="10">
        <f>PWT!B19</f>
        <v/>
      </c>
      <c r="C23" s="10">
        <f>WEO_Data!C21</f>
        <v/>
      </c>
      <c r="D23" s="7">
        <f>LN(B23)</f>
        <v/>
      </c>
      <c r="E23" s="7">
        <f>LN(C23)</f>
        <v/>
      </c>
      <c r="F23" s="7">
        <f>E23-(1-PWT!C19)*D23</f>
        <v/>
      </c>
      <c r="G23" s="13" t="n">
        <v>3.92552331216481</v>
      </c>
      <c r="H23" s="7">
        <f>G23-G22</f>
        <v/>
      </c>
      <c r="I23" s="7">
        <f>H23-H22</f>
        <v/>
      </c>
      <c r="J23" s="7">
        <f>F23-G23</f>
        <v/>
      </c>
      <c r="K23" s="7">
        <f>$B$2*I23^2</f>
        <v/>
      </c>
      <c r="L23" s="7">
        <f>J23^2</f>
        <v/>
      </c>
    </row>
    <row r="24" ht="15" customHeight="1" s="8">
      <c r="A24" s="7" t="n">
        <v>2020</v>
      </c>
      <c r="B24" s="10">
        <f>PWT!B20</f>
        <v/>
      </c>
      <c r="C24" s="10">
        <f>WEO_Data!C22</f>
        <v/>
      </c>
      <c r="D24" s="7">
        <f>LN(B24)</f>
        <v/>
      </c>
      <c r="E24" s="7">
        <f>LN(C24)</f>
        <v/>
      </c>
      <c r="F24" s="7">
        <f>E24-(1-PWT!C20)*D24</f>
        <v/>
      </c>
      <c r="G24" s="13" t="n">
        <v>4.05517429205332</v>
      </c>
      <c r="H24" s="7">
        <f>G24-G23</f>
        <v/>
      </c>
      <c r="I24" s="7">
        <f>H24-H23</f>
        <v/>
      </c>
      <c r="J24" s="7">
        <f>F24-G24</f>
        <v/>
      </c>
      <c r="K24" s="7">
        <f>$B$2*I24^2</f>
        <v/>
      </c>
      <c r="L24" s="7">
        <f>J24^2</f>
        <v/>
      </c>
    </row>
    <row r="25" ht="15" customHeight="1" s="8">
      <c r="A25" s="7" t="n">
        <v>2021</v>
      </c>
      <c r="B25" s="10">
        <f>PWT!B21</f>
        <v/>
      </c>
      <c r="C25" s="10">
        <f>WEO_Data!C23</f>
        <v/>
      </c>
      <c r="D25" s="7">
        <f>LN(B25)</f>
        <v/>
      </c>
      <c r="E25" s="7">
        <f>LN(C25)</f>
        <v/>
      </c>
      <c r="F25" s="7">
        <f>E25-(1-PWT!C21)*D25</f>
        <v/>
      </c>
      <c r="G25" s="13" t="n">
        <v>4.18062049186963</v>
      </c>
      <c r="H25" s="7">
        <f>G25-G24</f>
        <v/>
      </c>
      <c r="I25" s="7">
        <f>H25-H24</f>
        <v/>
      </c>
      <c r="J25" s="7">
        <f>F25-G25</f>
        <v/>
      </c>
      <c r="K25" s="7">
        <f>$B$2*I25^2</f>
        <v/>
      </c>
      <c r="L25" s="7">
        <f>J25^2</f>
        <v/>
      </c>
    </row>
    <row r="26" ht="15" customHeight="1" s="8">
      <c r="A26" s="7" t="n">
        <v>2022</v>
      </c>
      <c r="B26" s="10">
        <f>PWT!B22</f>
        <v/>
      </c>
      <c r="C26" s="10">
        <f>WEO_Data!C24</f>
        <v/>
      </c>
      <c r="D26" s="7">
        <f>LN(B26)</f>
        <v/>
      </c>
      <c r="E26" s="7">
        <f>LN(C26)</f>
        <v/>
      </c>
      <c r="F26" s="7">
        <f>E26-(1-PWT!C22)*D26</f>
        <v/>
      </c>
      <c r="G26" s="13" t="n">
        <v>4.30570114818166</v>
      </c>
      <c r="H26" s="7">
        <f>G26-G25</f>
        <v/>
      </c>
      <c r="I26" s="7">
        <f>H26-H25</f>
        <v/>
      </c>
      <c r="J26" s="7">
        <f>F26-G26</f>
        <v/>
      </c>
      <c r="K26" s="7">
        <f>$B$2*I26^2</f>
        <v/>
      </c>
      <c r="L26" s="7">
        <f>J26^2</f>
        <v/>
      </c>
    </row>
    <row r="27" ht="15" customHeight="1" s="8">
      <c r="A27" s="7" t="n">
        <v>2023</v>
      </c>
      <c r="B27" s="10">
        <f>PWT!B23</f>
        <v/>
      </c>
      <c r="C27" s="10">
        <f>WEO_Data!C25</f>
        <v/>
      </c>
      <c r="D27" s="7">
        <f>LN(B27)</f>
        <v/>
      </c>
      <c r="E27" s="7">
        <f>LN(C27)</f>
        <v/>
      </c>
      <c r="F27" s="7">
        <f>E27-(1-PWT!C23)*D27</f>
        <v/>
      </c>
      <c r="G27" s="13" t="n">
        <v>4.43171117010516</v>
      </c>
      <c r="H27" s="7">
        <f>G27-G26</f>
        <v/>
      </c>
      <c r="I27" s="7">
        <f>H27-H26</f>
        <v/>
      </c>
      <c r="J27" s="7">
        <f>F27-G27</f>
        <v/>
      </c>
      <c r="K27" s="7">
        <f>$B$2*I27^2</f>
        <v/>
      </c>
      <c r="L27" s="7">
        <f>J27^2</f>
        <v/>
      </c>
    </row>
    <row r="30" ht="15" customHeight="1" s="8">
      <c r="A30" s="11" t="inlineStr">
        <is>
          <t>Production Function Analysis</t>
        </is>
      </c>
    </row>
    <row r="31" ht="15" customHeight="1" s="8">
      <c r="A31" s="9" t="inlineStr">
        <is>
          <t>Year</t>
        </is>
      </c>
      <c r="B31" s="9" t="inlineStr">
        <is>
          <t>K</t>
        </is>
      </c>
      <c r="C31" s="9" t="inlineStr">
        <is>
          <t>Y</t>
        </is>
      </c>
      <c r="D31" s="9" t="inlineStr">
        <is>
          <t>K/Y</t>
        </is>
      </c>
      <c r="E31" s="9" t="inlineStr">
        <is>
          <t>K_Extended</t>
        </is>
      </c>
      <c r="F31" s="9" t="inlineStr">
        <is>
          <t>Y_Extended</t>
        </is>
      </c>
      <c r="G31" s="9" t="inlineStr">
        <is>
          <t>LnZ_Trend</t>
        </is>
      </c>
      <c r="H31" s="9" t="inlineStr">
        <is>
          <t>Ystar_base</t>
        </is>
      </c>
      <c r="I31" s="9" t="inlineStr">
        <is>
          <t>Investment</t>
        </is>
      </c>
      <c r="J31" s="9" t="inlineStr">
        <is>
          <t>deltaK</t>
        </is>
      </c>
      <c r="K31" s="9" t="inlineStr">
        <is>
          <t>K_With</t>
        </is>
      </c>
      <c r="L31" s="9" t="inlineStr">
        <is>
          <t>Ystar_With</t>
        </is>
      </c>
      <c r="M31" s="9" t="inlineStr">
        <is>
          <t>Gap_base</t>
        </is>
      </c>
      <c r="N31" s="9" t="inlineStr">
        <is>
          <t>Gap_with</t>
        </is>
      </c>
      <c r="O31" s="9" t="inlineStr">
        <is>
          <t>Impact</t>
        </is>
      </c>
      <c r="P31" s="9" t="inlineStr">
        <is>
          <t>extra_K</t>
        </is>
      </c>
      <c r="R31" s="9" t="inlineStr">
        <is>
          <t>Avg K/Y (2015-2023):</t>
        </is>
      </c>
      <c r="S31" s="7">
        <f>AVERAGE(D46:D54)</f>
        <v/>
      </c>
      <c r="T31" t="inlineStr">
        <is>
          <t>Avg Capital Share:</t>
        </is>
      </c>
      <c r="U31">
        <f>1-AVERAGE(PWT!C18:C23)</f>
        <v/>
      </c>
    </row>
    <row r="32" ht="15" customHeight="1" s="8">
      <c r="A32" s="7" t="n">
        <v>2002</v>
      </c>
      <c r="B32" s="10">
        <f>PWT!B2</f>
        <v/>
      </c>
      <c r="C32" s="10">
        <f>WEO_Data!C4</f>
        <v/>
      </c>
      <c r="D32" s="7">
        <f>B32/C32</f>
        <v/>
      </c>
      <c r="E32" s="7">
        <f>B32</f>
        <v/>
      </c>
      <c r="F32" s="10">
        <f>WEO_Data!C4</f>
        <v/>
      </c>
      <c r="G32" s="10">
        <f>Production!G6</f>
        <v/>
      </c>
      <c r="H32" s="7">
        <f>EXP(G32+(1-PWT!C2)*LN(E32))</f>
        <v/>
      </c>
      <c r="I32" s="7" t="n">
        <v>0</v>
      </c>
      <c r="J32" s="7" t="n">
        <v>0</v>
      </c>
      <c r="K32" s="7">
        <f>E32</f>
        <v/>
      </c>
      <c r="L32" s="7">
        <f>EXP(G32+(1-PWT!C2)*LN(K32))</f>
        <v/>
      </c>
      <c r="M32" s="7">
        <f>(F32-H32)/H32</f>
        <v/>
      </c>
      <c r="N32" s="7">
        <f>(F32-L32)/L32</f>
        <v/>
      </c>
      <c r="O32" s="7">
        <f>N32-M32</f>
        <v/>
      </c>
      <c r="P32" s="7" t="n">
        <v>0</v>
      </c>
    </row>
    <row r="33" ht="15" customHeight="1" s="8">
      <c r="A33" s="7" t="n">
        <v>2003</v>
      </c>
      <c r="B33" s="10">
        <f>PWT!B3</f>
        <v/>
      </c>
      <c r="C33" s="10">
        <f>WEO_Data!C5</f>
        <v/>
      </c>
      <c r="D33" s="7">
        <f>B33/C33</f>
        <v/>
      </c>
      <c r="E33" s="7">
        <f>B33</f>
        <v/>
      </c>
      <c r="F33" s="10">
        <f>WEO_Data!C5</f>
        <v/>
      </c>
      <c r="G33" s="10">
        <f>Production!G7</f>
        <v/>
      </c>
      <c r="H33" s="7">
        <f>EXP(G33+(1-PWT!C3)*LN(E33))</f>
        <v/>
      </c>
      <c r="I33" s="7" t="n">
        <v>0</v>
      </c>
      <c r="J33" s="7">
        <f>I33-$B$3*K32</f>
        <v/>
      </c>
      <c r="K33" s="7">
        <f>E33</f>
        <v/>
      </c>
      <c r="L33" s="7">
        <f>EXP(G33+(1-PWT!C3)*LN(K33))</f>
        <v/>
      </c>
      <c r="M33" s="7">
        <f>(F33-H33)/H33</f>
        <v/>
      </c>
      <c r="N33" s="7">
        <f>(F33-L33)/L33</f>
        <v/>
      </c>
      <c r="O33" s="7">
        <f>N33-M33</f>
        <v/>
      </c>
      <c r="P33" s="7" t="n">
        <v>0</v>
      </c>
    </row>
    <row r="34" ht="15" customHeight="1" s="8">
      <c r="A34" s="7" t="n">
        <v>2004</v>
      </c>
      <c r="B34" s="10">
        <f>PWT!B4</f>
        <v/>
      </c>
      <c r="C34" s="10">
        <f>WEO_Data!C6</f>
        <v/>
      </c>
      <c r="D34" s="7">
        <f>B34/C34</f>
        <v/>
      </c>
      <c r="E34" s="7">
        <f>B34</f>
        <v/>
      </c>
      <c r="F34" s="10">
        <f>WEO_Data!C6</f>
        <v/>
      </c>
      <c r="G34" s="10">
        <f>Production!G8</f>
        <v/>
      </c>
      <c r="H34" s="7">
        <f>EXP(G34+(1-PWT!C4)*LN(E34))</f>
        <v/>
      </c>
      <c r="I34" s="7" t="n">
        <v>0</v>
      </c>
      <c r="J34" s="7">
        <f>I34-$B$3*K33</f>
        <v/>
      </c>
      <c r="K34" s="7">
        <f>E34</f>
        <v/>
      </c>
      <c r="L34" s="7">
        <f>EXP(G34+(1-PWT!C4)*LN(K34))</f>
        <v/>
      </c>
      <c r="M34" s="7">
        <f>(F34-H34)/H34</f>
        <v/>
      </c>
      <c r="N34" s="7">
        <f>(F34-L34)/L34</f>
        <v/>
      </c>
      <c r="O34" s="7">
        <f>N34-M34</f>
        <v/>
      </c>
      <c r="P34" s="7" t="n">
        <v>0</v>
      </c>
    </row>
    <row r="35" ht="15" customHeight="1" s="8">
      <c r="A35" s="7" t="n">
        <v>2005</v>
      </c>
      <c r="B35" s="10">
        <f>PWT!B5</f>
        <v/>
      </c>
      <c r="C35" s="10">
        <f>WEO_Data!C7</f>
        <v/>
      </c>
      <c r="D35" s="7">
        <f>B35/C35</f>
        <v/>
      </c>
      <c r="E35" s="7">
        <f>B35</f>
        <v/>
      </c>
      <c r="F35" s="10">
        <f>WEO_Data!C7</f>
        <v/>
      </c>
      <c r="G35" s="10">
        <f>Production!G9</f>
        <v/>
      </c>
      <c r="H35" s="7">
        <f>EXP(G35+(1-PWT!C5)*LN(E35))</f>
        <v/>
      </c>
      <c r="I35" s="7" t="n">
        <v>0</v>
      </c>
      <c r="J35" s="7">
        <f>I35-$B$3*K34</f>
        <v/>
      </c>
      <c r="K35" s="7">
        <f>E35</f>
        <v/>
      </c>
      <c r="L35" s="7">
        <f>EXP(G35+(1-PWT!C5)*LN(K35))</f>
        <v/>
      </c>
      <c r="M35" s="7">
        <f>(F35-H35)/H35</f>
        <v/>
      </c>
      <c r="N35" s="7">
        <f>(F35-L35)/L35</f>
        <v/>
      </c>
      <c r="O35" s="7">
        <f>N35-M35</f>
        <v/>
      </c>
      <c r="P35" s="7" t="n">
        <v>0</v>
      </c>
    </row>
    <row r="36" ht="15" customHeight="1" s="8">
      <c r="A36" s="7" t="n">
        <v>2006</v>
      </c>
      <c r="B36" s="10">
        <f>PWT!B6</f>
        <v/>
      </c>
      <c r="C36" s="10">
        <f>WEO_Data!C8</f>
        <v/>
      </c>
      <c r="D36" s="7">
        <f>B36/C36</f>
        <v/>
      </c>
      <c r="E36" s="7">
        <f>B36</f>
        <v/>
      </c>
      <c r="F36" s="10">
        <f>WEO_Data!C8</f>
        <v/>
      </c>
      <c r="G36" s="10">
        <f>Production!G10</f>
        <v/>
      </c>
      <c r="H36" s="7">
        <f>EXP(G36+(1-PWT!C6)*LN(E36))</f>
        <v/>
      </c>
      <c r="I36" s="7" t="n">
        <v>0</v>
      </c>
      <c r="J36" s="7">
        <f>I36-$B$3*K35</f>
        <v/>
      </c>
      <c r="K36" s="7">
        <f>E36</f>
        <v/>
      </c>
      <c r="L36" s="7">
        <f>EXP(G36+(1-PWT!C6)*LN(K36))</f>
        <v/>
      </c>
      <c r="M36" s="7">
        <f>(F36-H36)/H36</f>
        <v/>
      </c>
      <c r="N36" s="7">
        <f>(F36-L36)/L36</f>
        <v/>
      </c>
      <c r="O36" s="7">
        <f>N36-M36</f>
        <v/>
      </c>
      <c r="P36" s="7" t="n">
        <v>0</v>
      </c>
    </row>
    <row r="37" ht="15" customHeight="1" s="8">
      <c r="A37" s="7" t="n">
        <v>2007</v>
      </c>
      <c r="B37" s="10">
        <f>PWT!B7</f>
        <v/>
      </c>
      <c r="C37" s="10">
        <f>WEO_Data!C9</f>
        <v/>
      </c>
      <c r="D37" s="7">
        <f>B37/C37</f>
        <v/>
      </c>
      <c r="E37" s="7">
        <f>B37</f>
        <v/>
      </c>
      <c r="F37" s="10">
        <f>WEO_Data!C9</f>
        <v/>
      </c>
      <c r="G37" s="10">
        <f>Production!G11</f>
        <v/>
      </c>
      <c r="H37" s="7">
        <f>EXP(G37+(1-PWT!C7)*LN(E37))</f>
        <v/>
      </c>
      <c r="I37" s="7" t="n">
        <v>0</v>
      </c>
      <c r="J37" s="7">
        <f>I37-$B$3*K36</f>
        <v/>
      </c>
      <c r="K37" s="7">
        <f>E37</f>
        <v/>
      </c>
      <c r="L37" s="7">
        <f>EXP(G37+(1-PWT!C7)*LN(K37))</f>
        <v/>
      </c>
      <c r="M37" s="7">
        <f>(F37-H37)/H37</f>
        <v/>
      </c>
      <c r="N37" s="7">
        <f>(F37-L37)/L37</f>
        <v/>
      </c>
      <c r="O37" s="7">
        <f>N37-M37</f>
        <v/>
      </c>
      <c r="P37" s="7" t="n">
        <v>0</v>
      </c>
    </row>
    <row r="38" ht="15" customHeight="1" s="8">
      <c r="A38" s="7" t="n">
        <v>2008</v>
      </c>
      <c r="B38" s="10">
        <f>PWT!B8</f>
        <v/>
      </c>
      <c r="C38" s="10">
        <f>WEO_Data!C10</f>
        <v/>
      </c>
      <c r="D38" s="7">
        <f>B38/C38</f>
        <v/>
      </c>
      <c r="E38" s="7">
        <f>B38</f>
        <v/>
      </c>
      <c r="F38" s="10">
        <f>WEO_Data!C10</f>
        <v/>
      </c>
      <c r="G38" s="10">
        <f>Production!G12</f>
        <v/>
      </c>
      <c r="H38" s="7">
        <f>EXP(G38+(1-PWT!C8)*LN(E38))</f>
        <v/>
      </c>
      <c r="I38" s="7" t="n">
        <v>0</v>
      </c>
      <c r="J38" s="7">
        <f>I38-$B$3*K37</f>
        <v/>
      </c>
      <c r="K38" s="7">
        <f>E38</f>
        <v/>
      </c>
      <c r="L38" s="7">
        <f>EXP(G38+(1-PWT!C8)*LN(K38))</f>
        <v/>
      </c>
      <c r="M38" s="7">
        <f>(F38-H38)/H38</f>
        <v/>
      </c>
      <c r="N38" s="7">
        <f>(F38-L38)/L38</f>
        <v/>
      </c>
      <c r="O38" s="7">
        <f>N38-M38</f>
        <v/>
      </c>
      <c r="P38" s="7" t="n">
        <v>0</v>
      </c>
    </row>
    <row r="39" ht="15" customHeight="1" s="8">
      <c r="A39" s="7" t="n">
        <v>2009</v>
      </c>
      <c r="B39" s="10">
        <f>PWT!B9</f>
        <v/>
      </c>
      <c r="C39" s="10">
        <f>WEO_Data!C11</f>
        <v/>
      </c>
      <c r="D39" s="7">
        <f>B39/C39</f>
        <v/>
      </c>
      <c r="E39" s="7">
        <f>B39</f>
        <v/>
      </c>
      <c r="F39" s="10">
        <f>WEO_Data!C11</f>
        <v/>
      </c>
      <c r="G39" s="10">
        <f>Production!G13</f>
        <v/>
      </c>
      <c r="H39" s="7">
        <f>EXP(G39+(1-PWT!C9)*LN(E39))</f>
        <v/>
      </c>
      <c r="I39" s="7" t="n">
        <v>0</v>
      </c>
      <c r="J39" s="7">
        <f>I39-$B$3*K38</f>
        <v/>
      </c>
      <c r="K39" s="7">
        <f>E39</f>
        <v/>
      </c>
      <c r="L39" s="7">
        <f>EXP(G39+(1-PWT!C9)*LN(K39))</f>
        <v/>
      </c>
      <c r="M39" s="7">
        <f>(F39-H39)/H39</f>
        <v/>
      </c>
      <c r="N39" s="7">
        <f>(F39-L39)/L39</f>
        <v/>
      </c>
      <c r="O39" s="7">
        <f>N39-M39</f>
        <v/>
      </c>
      <c r="P39" s="7" t="n">
        <v>0</v>
      </c>
    </row>
    <row r="40" ht="15" customHeight="1" s="8">
      <c r="A40" s="7" t="n">
        <v>2010</v>
      </c>
      <c r="B40" s="10">
        <f>PWT!B10</f>
        <v/>
      </c>
      <c r="C40" s="10">
        <f>WEO_Data!C12</f>
        <v/>
      </c>
      <c r="D40" s="7">
        <f>B40/C40</f>
        <v/>
      </c>
      <c r="E40" s="7">
        <f>B40</f>
        <v/>
      </c>
      <c r="F40" s="10">
        <f>WEO_Data!C12</f>
        <v/>
      </c>
      <c r="G40" s="10">
        <f>Production!G14</f>
        <v/>
      </c>
      <c r="H40" s="7">
        <f>EXP(G40+(1-PWT!C10)*LN(E40))</f>
        <v/>
      </c>
      <c r="I40" s="7" t="n">
        <v>0</v>
      </c>
      <c r="J40" s="7">
        <f>I40-$B$3*K39</f>
        <v/>
      </c>
      <c r="K40" s="7">
        <f>E40</f>
        <v/>
      </c>
      <c r="L40" s="7">
        <f>EXP(G40+(1-PWT!C10)*LN(K40))</f>
        <v/>
      </c>
      <c r="M40" s="7">
        <f>(F40-H40)/H40</f>
        <v/>
      </c>
      <c r="N40" s="7">
        <f>(F40-L40)/L40</f>
        <v/>
      </c>
      <c r="O40" s="7">
        <f>N40-M40</f>
        <v/>
      </c>
      <c r="P40" s="7" t="n">
        <v>0</v>
      </c>
    </row>
    <row r="41" ht="15" customHeight="1" s="8">
      <c r="A41" s="7" t="n">
        <v>2011</v>
      </c>
      <c r="B41" s="10">
        <f>PWT!B11</f>
        <v/>
      </c>
      <c r="C41" s="10">
        <f>WEO_Data!C13</f>
        <v/>
      </c>
      <c r="D41" s="7">
        <f>B41/C41</f>
        <v/>
      </c>
      <c r="E41" s="7">
        <f>B41</f>
        <v/>
      </c>
      <c r="F41" s="10">
        <f>WEO_Data!C13</f>
        <v/>
      </c>
      <c r="G41" s="10">
        <f>Production!G15</f>
        <v/>
      </c>
      <c r="H41" s="7">
        <f>EXP(G41+(1-PWT!C11)*LN(E41))</f>
        <v/>
      </c>
      <c r="I41" s="7" t="n">
        <v>0</v>
      </c>
      <c r="J41" s="7">
        <f>I41-$B$3*K40</f>
        <v/>
      </c>
      <c r="K41" s="7">
        <f>E41</f>
        <v/>
      </c>
      <c r="L41" s="7">
        <f>EXP(G41+(1-PWT!C11)*LN(K41))</f>
        <v/>
      </c>
      <c r="M41" s="7">
        <f>(F41-H41)/H41</f>
        <v/>
      </c>
      <c r="N41" s="7">
        <f>(F41-L41)/L41</f>
        <v/>
      </c>
      <c r="O41" s="7">
        <f>N41-M41</f>
        <v/>
      </c>
      <c r="P41" s="7" t="n">
        <v>0</v>
      </c>
    </row>
    <row r="42" ht="15" customHeight="1" s="8">
      <c r="A42" s="7" t="n">
        <v>2012</v>
      </c>
      <c r="B42" s="10">
        <f>PWT!B12</f>
        <v/>
      </c>
      <c r="C42" s="10">
        <f>WEO_Data!C14</f>
        <v/>
      </c>
      <c r="D42" s="7">
        <f>B42/C42</f>
        <v/>
      </c>
      <c r="E42" s="7">
        <f>B42</f>
        <v/>
      </c>
      <c r="F42" s="10">
        <f>WEO_Data!C14</f>
        <v/>
      </c>
      <c r="G42" s="10">
        <f>Production!G16</f>
        <v/>
      </c>
      <c r="H42" s="7">
        <f>EXP(G42+(1-PWT!C12)*LN(E42))</f>
        <v/>
      </c>
      <c r="I42" s="7" t="n">
        <v>0</v>
      </c>
      <c r="J42" s="7">
        <f>I42-$B$3*K41</f>
        <v/>
      </c>
      <c r="K42" s="7">
        <f>E42</f>
        <v/>
      </c>
      <c r="L42" s="7">
        <f>EXP(G42+(1-PWT!C12)*LN(K42))</f>
        <v/>
      </c>
      <c r="M42" s="7">
        <f>(F42-H42)/H42</f>
        <v/>
      </c>
      <c r="N42" s="7">
        <f>(F42-L42)/L42</f>
        <v/>
      </c>
      <c r="O42" s="7">
        <f>N42-M42</f>
        <v/>
      </c>
      <c r="P42" s="7" t="n">
        <v>0</v>
      </c>
    </row>
    <row r="43" ht="15" customHeight="1" s="8">
      <c r="A43" s="7" t="n">
        <v>2013</v>
      </c>
      <c r="B43" s="10">
        <f>PWT!B13</f>
        <v/>
      </c>
      <c r="C43" s="10">
        <f>WEO_Data!C15</f>
        <v/>
      </c>
      <c r="D43" s="7">
        <f>B43/C43</f>
        <v/>
      </c>
      <c r="E43" s="7">
        <f>B43</f>
        <v/>
      </c>
      <c r="F43" s="10">
        <f>WEO_Data!C15</f>
        <v/>
      </c>
      <c r="G43" s="10">
        <f>Production!G17</f>
        <v/>
      </c>
      <c r="H43" s="7">
        <f>EXP(G43+(1-PWT!C13)*LN(E43))</f>
        <v/>
      </c>
      <c r="I43" s="7" t="n">
        <v>0</v>
      </c>
      <c r="J43" s="7">
        <f>I43-$B$3*K42</f>
        <v/>
      </c>
      <c r="K43" s="7">
        <f>E43</f>
        <v/>
      </c>
      <c r="L43" s="7">
        <f>EXP(G43+(1-PWT!C13)*LN(K43))</f>
        <v/>
      </c>
      <c r="M43" s="7">
        <f>(F43-H43)/H43</f>
        <v/>
      </c>
      <c r="N43" s="7">
        <f>(F43-L43)/L43</f>
        <v/>
      </c>
      <c r="O43" s="7">
        <f>N43-M43</f>
        <v/>
      </c>
      <c r="P43" s="7" t="n">
        <v>0</v>
      </c>
    </row>
    <row r="44" ht="15" customHeight="1" s="8">
      <c r="A44" s="7" t="n">
        <v>2014</v>
      </c>
      <c r="B44" s="10">
        <f>PWT!B14</f>
        <v/>
      </c>
      <c r="C44" s="10">
        <f>WEO_Data!C16</f>
        <v/>
      </c>
      <c r="D44" s="7">
        <f>B44/C44</f>
        <v/>
      </c>
      <c r="E44" s="7">
        <f>B44</f>
        <v/>
      </c>
      <c r="F44" s="10">
        <f>WEO_Data!C16</f>
        <v/>
      </c>
      <c r="G44" s="10">
        <f>Production!G18</f>
        <v/>
      </c>
      <c r="H44" s="7">
        <f>EXP(G44+(1-PWT!C14)*LN(E44))</f>
        <v/>
      </c>
      <c r="I44" s="7" t="n">
        <v>0</v>
      </c>
      <c r="J44" s="7">
        <f>I44-$B$3*K43</f>
        <v/>
      </c>
      <c r="K44" s="7">
        <f>E44</f>
        <v/>
      </c>
      <c r="L44" s="7">
        <f>EXP(G44+(1-PWT!C14)*LN(K44))</f>
        <v/>
      </c>
      <c r="M44" s="7">
        <f>(F44-H44)/H44</f>
        <v/>
      </c>
      <c r="N44" s="7">
        <f>(F44-L44)/L44</f>
        <v/>
      </c>
      <c r="O44" s="7">
        <f>N44-M44</f>
        <v/>
      </c>
      <c r="P44" s="7" t="n">
        <v>0</v>
      </c>
    </row>
    <row r="45" ht="15" customHeight="1" s="8">
      <c r="A45" s="7" t="n">
        <v>2015</v>
      </c>
      <c r="B45" s="10">
        <f>PWT!B15</f>
        <v/>
      </c>
      <c r="C45" s="10">
        <f>WEO_Data!C17</f>
        <v/>
      </c>
      <c r="D45" s="7">
        <f>B45/C45</f>
        <v/>
      </c>
      <c r="E45" s="7">
        <f>B45</f>
        <v/>
      </c>
      <c r="F45" s="10">
        <f>WEO_Data!C17</f>
        <v/>
      </c>
      <c r="G45" s="10">
        <f>Production!G19</f>
        <v/>
      </c>
      <c r="H45" s="7">
        <f>EXP(G45+(1-PWT!C15)*LN(E45))</f>
        <v/>
      </c>
      <c r="I45" s="7" t="n">
        <v>0</v>
      </c>
      <c r="J45" s="7">
        <f>I45-$B$3*K44</f>
        <v/>
      </c>
      <c r="K45" s="7">
        <f>E45</f>
        <v/>
      </c>
      <c r="L45" s="7">
        <f>EXP(G45+(1-PWT!C15)*LN(K45))</f>
        <v/>
      </c>
      <c r="M45" s="7">
        <f>(F45-H45)/H45</f>
        <v/>
      </c>
      <c r="N45" s="7">
        <f>(F45-L45)/L45</f>
        <v/>
      </c>
      <c r="O45" s="7">
        <f>N45-M45</f>
        <v/>
      </c>
      <c r="P45" s="7" t="n">
        <v>0</v>
      </c>
    </row>
    <row r="46" ht="15" customHeight="1" s="8">
      <c r="A46" s="7" t="n">
        <v>2016</v>
      </c>
      <c r="B46" s="10">
        <f>PWT!B16</f>
        <v/>
      </c>
      <c r="C46" s="10">
        <f>WEO_Data!C18</f>
        <v/>
      </c>
      <c r="D46" s="7">
        <f>B46/C46</f>
        <v/>
      </c>
      <c r="E46" s="7">
        <f>B46</f>
        <v/>
      </c>
      <c r="F46" s="10">
        <f>WEO_Data!C18</f>
        <v/>
      </c>
      <c r="G46" s="10">
        <f>Production!G20</f>
        <v/>
      </c>
      <c r="H46" s="7">
        <f>EXP(G46+(1-PWT!C16)*LN(E46))</f>
        <v/>
      </c>
      <c r="I46" s="7" t="n">
        <v>0</v>
      </c>
      <c r="J46" s="7">
        <f>I46-$B$3*K45</f>
        <v/>
      </c>
      <c r="K46" s="7">
        <f>E46</f>
        <v/>
      </c>
      <c r="L46" s="7">
        <f>EXP(G46+(1-PWT!C16)*LN(K46))</f>
        <v/>
      </c>
      <c r="M46" s="7">
        <f>(F46-H46)/H46</f>
        <v/>
      </c>
      <c r="N46" s="7">
        <f>(F46-L46)/L46</f>
        <v/>
      </c>
      <c r="O46" s="7">
        <f>N46-M46</f>
        <v/>
      </c>
      <c r="P46" s="7" t="n">
        <v>0</v>
      </c>
    </row>
    <row r="47" ht="15" customHeight="1" s="8">
      <c r="A47" s="7" t="n">
        <v>2017</v>
      </c>
      <c r="B47" s="10">
        <f>PWT!B17</f>
        <v/>
      </c>
      <c r="C47" s="10">
        <f>WEO_Data!C19</f>
        <v/>
      </c>
      <c r="D47" s="7">
        <f>B47/C47</f>
        <v/>
      </c>
      <c r="E47" s="7">
        <f>B47</f>
        <v/>
      </c>
      <c r="F47" s="10">
        <f>WEO_Data!C19</f>
        <v/>
      </c>
      <c r="G47" s="10">
        <f>Production!G21</f>
        <v/>
      </c>
      <c r="H47" s="7">
        <f>EXP(G47+(1-PWT!C17)*LN(E47))</f>
        <v/>
      </c>
      <c r="I47" s="7" t="n">
        <v>0</v>
      </c>
      <c r="J47" s="7">
        <f>I47-$B$3*K46</f>
        <v/>
      </c>
      <c r="K47" s="7">
        <f>E47</f>
        <v/>
      </c>
      <c r="L47" s="7">
        <f>EXP(G47+(1-PWT!C17)*LN(K47))</f>
        <v/>
      </c>
      <c r="M47" s="7">
        <f>(F47-H47)/H47</f>
        <v/>
      </c>
      <c r="N47" s="7">
        <f>(F47-L47)/L47</f>
        <v/>
      </c>
      <c r="O47" s="7">
        <f>N47-M47</f>
        <v/>
      </c>
      <c r="P47" s="7" t="n">
        <v>0</v>
      </c>
    </row>
    <row r="48" ht="15" customHeight="1" s="8">
      <c r="A48" s="7" t="n">
        <v>2018</v>
      </c>
      <c r="B48" s="10">
        <f>PWT!B18</f>
        <v/>
      </c>
      <c r="C48" s="10">
        <f>WEO_Data!C20</f>
        <v/>
      </c>
      <c r="D48" s="7">
        <f>B48/C48</f>
        <v/>
      </c>
      <c r="E48" s="7">
        <f>B48</f>
        <v/>
      </c>
      <c r="F48" s="10">
        <f>WEO_Data!C20</f>
        <v/>
      </c>
      <c r="G48" s="10">
        <f>Production!G22</f>
        <v/>
      </c>
      <c r="H48" s="7">
        <f>EXP(G48+(1-PWT!C18)*LN(E48))</f>
        <v/>
      </c>
      <c r="I48" s="7" t="n">
        <v>0</v>
      </c>
      <c r="J48" s="7">
        <f>I48-$B$3*K47</f>
        <v/>
      </c>
      <c r="K48" s="7">
        <f>E48</f>
        <v/>
      </c>
      <c r="L48" s="7">
        <f>EXP(G48+(1-PWT!C18)*LN(K48))</f>
        <v/>
      </c>
      <c r="M48" s="7">
        <f>(F48-H48)/H48</f>
        <v/>
      </c>
      <c r="N48" s="7">
        <f>(F48-L48)/L48</f>
        <v/>
      </c>
      <c r="O48" s="7">
        <f>N48-M48</f>
        <v/>
      </c>
      <c r="P48" s="7" t="n">
        <v>0</v>
      </c>
    </row>
    <row r="49" ht="15" customHeight="1" s="8">
      <c r="A49" s="7" t="n">
        <v>2019</v>
      </c>
      <c r="B49" s="10">
        <f>PWT!B19</f>
        <v/>
      </c>
      <c r="C49" s="10">
        <f>WEO_Data!C21</f>
        <v/>
      </c>
      <c r="D49" s="7">
        <f>B49/C49</f>
        <v/>
      </c>
      <c r="E49" s="7">
        <f>B49</f>
        <v/>
      </c>
      <c r="F49" s="10">
        <f>WEO_Data!C21</f>
        <v/>
      </c>
      <c r="G49" s="10">
        <f>Production!G23</f>
        <v/>
      </c>
      <c r="H49" s="7">
        <f>EXP(G49+(1-PWT!C19)*LN(E49))</f>
        <v/>
      </c>
      <c r="I49" s="7" t="n">
        <v>0</v>
      </c>
      <c r="J49" s="7">
        <f>I49-$B$3*K48</f>
        <v/>
      </c>
      <c r="K49" s="7">
        <f>E49</f>
        <v/>
      </c>
      <c r="L49" s="7">
        <f>EXP(G49+(1-PWT!C19)*LN(K49))</f>
        <v/>
      </c>
      <c r="M49" s="7">
        <f>(F49-H49)/H49</f>
        <v/>
      </c>
      <c r="N49" s="7">
        <f>(F49-L49)/L49</f>
        <v/>
      </c>
      <c r="O49" s="7">
        <f>N49-M49</f>
        <v/>
      </c>
      <c r="P49" s="7" t="n">
        <v>0</v>
      </c>
    </row>
    <row r="50" ht="15" customHeight="1" s="8">
      <c r="A50" s="7" t="n">
        <v>2020</v>
      </c>
      <c r="B50" s="10">
        <f>PWT!B20</f>
        <v/>
      </c>
      <c r="C50" s="10">
        <f>WEO_Data!C22</f>
        <v/>
      </c>
      <c r="D50" s="7">
        <f>B50/C50</f>
        <v/>
      </c>
      <c r="E50" s="7">
        <f>B50</f>
        <v/>
      </c>
      <c r="F50" s="10">
        <f>WEO_Data!C22</f>
        <v/>
      </c>
      <c r="G50" s="10">
        <f>Production!G24</f>
        <v/>
      </c>
      <c r="H50" s="7">
        <f>EXP(G50+(1-PWT!C20)*LN(E50))</f>
        <v/>
      </c>
      <c r="I50" s="10">
        <f>Investment!C2</f>
        <v/>
      </c>
      <c r="J50" s="7">
        <f>I50-$B$3*K49</f>
        <v/>
      </c>
      <c r="K50" s="7">
        <f>E50</f>
        <v/>
      </c>
      <c r="L50" s="7">
        <f>EXP(G50+(1-PWT!C20)*LN(K50))</f>
        <v/>
      </c>
      <c r="M50" s="7">
        <f>(F50-H50)/H50</f>
        <v/>
      </c>
      <c r="N50" s="7">
        <f>(F50-L50)/L50</f>
        <v/>
      </c>
      <c r="O50" s="7">
        <f>N50-M50</f>
        <v/>
      </c>
      <c r="P50" s="7" t="n">
        <v>0</v>
      </c>
    </row>
    <row r="51" ht="15" customHeight="1" s="8">
      <c r="A51" s="7" t="n">
        <v>2021</v>
      </c>
      <c r="B51" s="10">
        <f>PWT!B21</f>
        <v/>
      </c>
      <c r="C51" s="10">
        <f>WEO_Data!C23</f>
        <v/>
      </c>
      <c r="D51" s="7">
        <f>B51/C51</f>
        <v/>
      </c>
      <c r="E51" s="7">
        <f>B51</f>
        <v/>
      </c>
      <c r="F51" s="10">
        <f>WEO_Data!C23</f>
        <v/>
      </c>
      <c r="G51" s="10">
        <f>Production!G25</f>
        <v/>
      </c>
      <c r="H51" s="7">
        <f>EXP(G51+(1-PWT!C21)*LN(E51))</f>
        <v/>
      </c>
      <c r="I51" s="10">
        <f>Investment!C3</f>
        <v/>
      </c>
      <c r="J51" s="7">
        <f>I51-$B$3*K50</f>
        <v/>
      </c>
      <c r="K51" s="7">
        <f>E51</f>
        <v/>
      </c>
      <c r="L51" s="7">
        <f>EXP(G51+(1-PWT!C21)*LN(K51))</f>
        <v/>
      </c>
      <c r="M51" s="7">
        <f>(F51-H51)/H51</f>
        <v/>
      </c>
      <c r="N51" s="7">
        <f>(F51-L51)/L51</f>
        <v/>
      </c>
      <c r="O51" s="7">
        <f>N51-M51</f>
        <v/>
      </c>
      <c r="P51" s="7" t="n">
        <v>0</v>
      </c>
    </row>
    <row r="52" ht="15" customHeight="1" s="8">
      <c r="A52" s="7" t="n">
        <v>2022</v>
      </c>
      <c r="B52" s="10">
        <f>PWT!B22</f>
        <v/>
      </c>
      <c r="C52" s="10">
        <f>WEO_Data!C24</f>
        <v/>
      </c>
      <c r="D52" s="7">
        <f>B52/C52</f>
        <v/>
      </c>
      <c r="E52" s="7">
        <f>B52</f>
        <v/>
      </c>
      <c r="F52" s="10">
        <f>WEO_Data!C24</f>
        <v/>
      </c>
      <c r="G52" s="10">
        <f>Production!G26</f>
        <v/>
      </c>
      <c r="H52" s="7">
        <f>EXP(G52+(1-PWT!C22)*LN(E52))</f>
        <v/>
      </c>
      <c r="I52" s="10">
        <f>Investment!C4</f>
        <v/>
      </c>
      <c r="J52" s="7">
        <f>I52-$B$3*K51</f>
        <v/>
      </c>
      <c r="K52" s="7">
        <f>E52</f>
        <v/>
      </c>
      <c r="L52" s="7">
        <f>EXP(G52+(1-PWT!C22)*LN(K52))</f>
        <v/>
      </c>
      <c r="M52" s="7">
        <f>(F52-H52)/H52</f>
        <v/>
      </c>
      <c r="N52" s="7">
        <f>(F52-L52)/L52</f>
        <v/>
      </c>
      <c r="O52" s="7">
        <f>N52-M52</f>
        <v/>
      </c>
      <c r="P52" s="7" t="n">
        <v>0</v>
      </c>
    </row>
    <row r="53" ht="15" customHeight="1" s="8">
      <c r="A53" s="7" t="n">
        <v>2023</v>
      </c>
      <c r="B53" s="10">
        <f>PWT!B23</f>
        <v/>
      </c>
      <c r="C53" s="10">
        <f>WEO_Data!C25</f>
        <v/>
      </c>
      <c r="D53" s="7">
        <f>B53/C53</f>
        <v/>
      </c>
      <c r="E53" s="7">
        <f>B53</f>
        <v/>
      </c>
      <c r="F53" s="10">
        <f>WEO_Data!C25</f>
        <v/>
      </c>
      <c r="G53" s="10">
        <f>Production!G27</f>
        <v/>
      </c>
      <c r="H53" s="7">
        <f>EXP(G53+(1-PWT!C23)*LN(E53))</f>
        <v/>
      </c>
      <c r="I53" s="10">
        <f>Investment!C5</f>
        <v/>
      </c>
      <c r="J53" s="7">
        <f>I53-$B$3*K52</f>
        <v/>
      </c>
      <c r="K53" s="7">
        <f>E53</f>
        <v/>
      </c>
      <c r="L53" s="7">
        <f>EXP(G53+(1-PWT!C23)*LN(K53))</f>
        <v/>
      </c>
      <c r="M53" s="7">
        <f>(F53-H53)/H53</f>
        <v/>
      </c>
      <c r="N53" s="7">
        <f>(F53-L53)/L53</f>
        <v/>
      </c>
      <c r="O53" s="7">
        <f>N53-M53</f>
        <v/>
      </c>
      <c r="P53" s="7" t="n">
        <v>0</v>
      </c>
    </row>
    <row r="54" ht="15" customHeight="1" s="8">
      <c r="A54" s="7" t="n">
        <v>2024</v>
      </c>
      <c r="C54" s="10">
        <f>WEO_Data!C26</f>
        <v/>
      </c>
      <c r="E54" s="7">
        <f>F54*$S$31</f>
        <v/>
      </c>
      <c r="F54" s="10">
        <f>WEO_Data!C26</f>
        <v/>
      </c>
      <c r="G54" s="7">
        <f>TREND($G$32:$G$53,$A$32:$A$53,A54)</f>
        <v/>
      </c>
      <c r="H54" s="7">
        <f>EXP(G54+$U$31*LN(E54))</f>
        <v/>
      </c>
      <c r="I54" s="10">
        <f>Investment!C6</f>
        <v/>
      </c>
      <c r="J54" s="7">
        <f>I54-$B$3*K53</f>
        <v/>
      </c>
      <c r="K54" s="7">
        <f>E54</f>
        <v/>
      </c>
      <c r="L54" s="7">
        <f>EXP(G54+$U$31*LN(K54))</f>
        <v/>
      </c>
      <c r="M54" s="7">
        <f>(F54-H54)/H54</f>
        <v/>
      </c>
      <c r="N54" s="7">
        <f>(F54-L54)/L54</f>
        <v/>
      </c>
      <c r="O54" s="7">
        <f>N54-M54</f>
        <v/>
      </c>
      <c r="P54" s="7" t="n">
        <v>0</v>
      </c>
    </row>
    <row r="55" ht="15" customHeight="1" s="8">
      <c r="A55" s="7" t="n">
        <v>2025</v>
      </c>
      <c r="C55" s="10">
        <f>WEO_Data!C27</f>
        <v/>
      </c>
      <c r="E55" s="7">
        <f>F55*$S$31</f>
        <v/>
      </c>
      <c r="F55" s="10">
        <f>WEO_Data!C27</f>
        <v/>
      </c>
      <c r="G55" s="7">
        <f>TREND($G$32:$G$53,$A$32:$A$53,A55)</f>
        <v/>
      </c>
      <c r="H55" s="7">
        <f>EXP(G55+$U$31*LN(E55))</f>
        <v/>
      </c>
      <c r="I55" s="10">
        <f>Investment!C7</f>
        <v/>
      </c>
      <c r="J55" s="7">
        <f>I55-$B$3*K54</f>
        <v/>
      </c>
      <c r="K55" s="7">
        <f>E55</f>
        <v/>
      </c>
      <c r="L55" s="7">
        <f>EXP(G55+$U$31*LN(K55))</f>
        <v/>
      </c>
      <c r="M55" s="7">
        <f>(F55-H55)/H55</f>
        <v/>
      </c>
      <c r="N55" s="7">
        <f>(F55-L55)/L55</f>
        <v/>
      </c>
      <c r="O55" s="7">
        <f>N55-M55</f>
        <v/>
      </c>
      <c r="P55" s="7" t="n">
        <v>0</v>
      </c>
    </row>
    <row r="56" ht="15" customHeight="1" s="8">
      <c r="A56" s="7" t="n">
        <v>2026</v>
      </c>
      <c r="E56" s="7">
        <f>F56*$S$31</f>
        <v/>
      </c>
      <c r="F56" s="10">
        <f>WEO_Data!C28</f>
        <v/>
      </c>
      <c r="G56" s="7">
        <f>TREND($G$32:$G$53,$A$32:$A$53,A56)</f>
        <v/>
      </c>
      <c r="H56" s="7">
        <f>EXP(G56+$U$31*LN(E56))</f>
        <v/>
      </c>
      <c r="I56" s="10">
        <f>Investment!C8</f>
        <v/>
      </c>
      <c r="J56" s="7">
        <f>I56-$B$3*K55</f>
        <v/>
      </c>
      <c r="K56" s="7">
        <f>E56+P56</f>
        <v/>
      </c>
      <c r="L56" s="7">
        <f>EXP(G56+$U$31*LN(K56))</f>
        <v/>
      </c>
      <c r="M56" s="7">
        <f>(F56-H56)/H56</f>
        <v/>
      </c>
      <c r="N56" s="7">
        <f>(F56-L56)/L56</f>
        <v/>
      </c>
      <c r="O56" s="7">
        <f>N56-M56</f>
        <v/>
      </c>
      <c r="P56" s="7">
        <f>P55*(1-$B$3)+I56</f>
        <v/>
      </c>
    </row>
    <row r="57" ht="15" customHeight="1" s="8">
      <c r="A57" s="7" t="n">
        <v>2027</v>
      </c>
      <c r="E57" s="7">
        <f>F57*$S$31</f>
        <v/>
      </c>
      <c r="F57" s="10">
        <f>WEO_Data!C29</f>
        <v/>
      </c>
      <c r="G57" s="7">
        <f>TREND($G$32:$G$53,$A$32:$A$53,A57)</f>
        <v/>
      </c>
      <c r="H57" s="7">
        <f>EXP(G57+$U$31*LN(E57))</f>
        <v/>
      </c>
      <c r="I57" s="10">
        <f>Investment!C9</f>
        <v/>
      </c>
      <c r="J57" s="7">
        <f>I57-$B$3*K56</f>
        <v/>
      </c>
      <c r="K57" s="7">
        <f>E57+P57</f>
        <v/>
      </c>
      <c r="L57" s="7">
        <f>EXP(G57+$U$31*LN(K57))</f>
        <v/>
      </c>
      <c r="M57" s="7">
        <f>(F57-H57)/H57</f>
        <v/>
      </c>
      <c r="N57" s="7">
        <f>(F57-L57)/L57</f>
        <v/>
      </c>
      <c r="O57" s="7">
        <f>N57-M57</f>
        <v/>
      </c>
      <c r="P57" s="7">
        <f>P56*(1-$B$3)+I57</f>
        <v/>
      </c>
    </row>
    <row r="58" ht="15" customHeight="1" s="8">
      <c r="A58" s="7" t="n">
        <v>2028</v>
      </c>
      <c r="E58" s="7">
        <f>F58*$S$31</f>
        <v/>
      </c>
      <c r="F58" s="10">
        <f>WEO_Data!C30</f>
        <v/>
      </c>
      <c r="G58" s="7">
        <f>TREND($G$32:$G$53,$A$32:$A$53,A58)</f>
        <v/>
      </c>
      <c r="H58" s="7">
        <f>EXP(G58+$U$31*LN(E58))</f>
        <v/>
      </c>
      <c r="I58" s="10">
        <f>Investment!C10</f>
        <v/>
      </c>
      <c r="J58" s="7">
        <f>I58-$B$3*K57</f>
        <v/>
      </c>
      <c r="K58" s="7">
        <f>E58+P58</f>
        <v/>
      </c>
      <c r="L58" s="7">
        <f>EXP(G58+$U$31*LN(K58))</f>
        <v/>
      </c>
      <c r="M58" s="7">
        <f>(F58-H58)/H58</f>
        <v/>
      </c>
      <c r="N58" s="7">
        <f>(F58-L58)/L58</f>
        <v/>
      </c>
      <c r="O58" s="7">
        <f>N58-M58</f>
        <v/>
      </c>
      <c r="P58" s="7">
        <f>P57*(1-$B$3)+I58</f>
        <v/>
      </c>
    </row>
    <row r="59" ht="15" customHeight="1" s="8">
      <c r="A59" s="7" t="n">
        <v>2029</v>
      </c>
      <c r="E59" s="7">
        <f>F59*$S$31</f>
        <v/>
      </c>
      <c r="F59" s="10">
        <f>WEO_Data!C31</f>
        <v/>
      </c>
      <c r="G59" s="7">
        <f>TREND($G$32:$G$53,$A$32:$A$53,A59)</f>
        <v/>
      </c>
      <c r="H59" s="7">
        <f>EXP(G59+$U$31*LN(E59))</f>
        <v/>
      </c>
      <c r="I59" s="10">
        <f>Investment!C11</f>
        <v/>
      </c>
      <c r="J59" s="7">
        <f>I59-$B$3*K58</f>
        <v/>
      </c>
      <c r="K59" s="7">
        <f>E59+P59</f>
        <v/>
      </c>
      <c r="L59" s="7">
        <f>EXP(G59+$U$31*LN(K59))</f>
        <v/>
      </c>
      <c r="M59" s="7">
        <f>(F59-H59)/H59</f>
        <v/>
      </c>
      <c r="N59" s="7">
        <f>(F59-L59)/L59</f>
        <v/>
      </c>
      <c r="O59" s="7">
        <f>N59-M59</f>
        <v/>
      </c>
      <c r="P59" s="7">
        <f>P58*(1-$B$3)+I59</f>
        <v/>
      </c>
    </row>
    <row r="60" ht="15" customHeight="1" s="8">
      <c r="A60" s="7" t="n">
        <v>2030</v>
      </c>
      <c r="E60" s="7">
        <f>F60*$S$31</f>
        <v/>
      </c>
      <c r="F60" s="10">
        <f>WEO_Data!C32</f>
        <v/>
      </c>
      <c r="G60" s="7">
        <f>TREND($G$32:$G$53,$A$32:$A$53,A60)</f>
        <v/>
      </c>
      <c r="H60" s="7">
        <f>EXP(G60+$U$31*LN(E60))</f>
        <v/>
      </c>
      <c r="I60" s="10">
        <f>Investment!C12</f>
        <v/>
      </c>
      <c r="J60" s="7">
        <f>I60-$B$3*K59</f>
        <v/>
      </c>
      <c r="K60" s="7">
        <f>E60+P60</f>
        <v/>
      </c>
      <c r="L60" s="7">
        <f>EXP(G60+$U$31*LN(K60))</f>
        <v/>
      </c>
      <c r="M60" s="7">
        <f>(F60-H60)/H60</f>
        <v/>
      </c>
      <c r="N60" s="7">
        <f>(F60-L60)/L60</f>
        <v/>
      </c>
      <c r="O60" s="7">
        <f>N60-M60</f>
        <v/>
      </c>
      <c r="P60" s="7">
        <f>P59*(1-$B$3)+I60</f>
        <v/>
      </c>
    </row>
    <row r="61" ht="15" customHeight="1" s="8">
      <c r="A61" s="7" t="n">
        <v>2031</v>
      </c>
      <c r="E61" s="7">
        <f>F61*$S$31</f>
        <v/>
      </c>
      <c r="F61" s="10">
        <f>WEO_Data!C33</f>
        <v/>
      </c>
      <c r="G61" s="7">
        <f>TREND($G$32:$G$53,$A$32:$A$53,A61)</f>
        <v/>
      </c>
      <c r="H61" s="7">
        <f>EXP(G61+$U$31*LN(E61))</f>
        <v/>
      </c>
      <c r="I61" s="10">
        <f>Investment!C13</f>
        <v/>
      </c>
      <c r="J61" s="7">
        <f>I61-$B$3*K60</f>
        <v/>
      </c>
      <c r="K61" s="7">
        <f>E61+P61</f>
        <v/>
      </c>
      <c r="L61" s="7">
        <f>EXP(G61+$U$31*LN(K61))</f>
        <v/>
      </c>
      <c r="M61" s="7">
        <f>(F61-H61)/H61</f>
        <v/>
      </c>
      <c r="N61" s="7">
        <f>(F61-L61)/L61</f>
        <v/>
      </c>
      <c r="O61" s="7">
        <f>N61-M61</f>
        <v/>
      </c>
      <c r="P61" s="7">
        <f>P60*(1-$B$3)+I61</f>
        <v/>
      </c>
    </row>
    <row r="62" ht="15" customHeight="1" s="8">
      <c r="A62" s="7" t="n">
        <v>2032</v>
      </c>
      <c r="E62" s="7">
        <f>F62*$S$31</f>
        <v/>
      </c>
      <c r="F62" s="10">
        <f>WEO_Data!C34</f>
        <v/>
      </c>
      <c r="G62" s="7">
        <f>TREND($G$32:$G$53,$A$32:$A$53,A62)</f>
        <v/>
      </c>
      <c r="H62" s="7">
        <f>EXP(G62+$U$31*LN(E62))</f>
        <v/>
      </c>
      <c r="I62" s="10">
        <f>Investment!C14</f>
        <v/>
      </c>
      <c r="J62" s="7">
        <f>I62-$B$3*K61</f>
        <v/>
      </c>
      <c r="K62" s="7">
        <f>E62+P62</f>
        <v/>
      </c>
      <c r="L62" s="7">
        <f>EXP(G62+$U$31*LN(K62))</f>
        <v/>
      </c>
      <c r="M62" s="7">
        <f>(F62-H62)/H62</f>
        <v/>
      </c>
      <c r="N62" s="7">
        <f>(F62-L62)/L62</f>
        <v/>
      </c>
      <c r="O62" s="7">
        <f>N62-M62</f>
        <v/>
      </c>
      <c r="P62" s="7">
        <f>P61*(1-$B$3)+I62</f>
        <v/>
      </c>
    </row>
    <row r="63" ht="15" customHeight="1" s="8">
      <c r="A63" s="7" t="n">
        <v>2033</v>
      </c>
      <c r="E63" s="7">
        <f>F63*$S$31</f>
        <v/>
      </c>
      <c r="F63" s="10">
        <f>WEO_Data!C35</f>
        <v/>
      </c>
      <c r="G63" s="7">
        <f>TREND($G$32:$G$53,$A$32:$A$53,A63)</f>
        <v/>
      </c>
      <c r="H63" s="7">
        <f>EXP(G63+$U$31*LN(E63))</f>
        <v/>
      </c>
      <c r="I63" s="10">
        <f>Investment!C15</f>
        <v/>
      </c>
      <c r="J63" s="7">
        <f>I63-$B$3*K62</f>
        <v/>
      </c>
      <c r="K63" s="7">
        <f>E63+P63</f>
        <v/>
      </c>
      <c r="L63" s="7">
        <f>EXP(G63+$U$31*LN(K63))</f>
        <v/>
      </c>
      <c r="M63" s="7">
        <f>(F63-H63)/H63</f>
        <v/>
      </c>
      <c r="N63" s="7">
        <f>(F63-L63)/L63</f>
        <v/>
      </c>
      <c r="O63" s="7">
        <f>N63-M63</f>
        <v/>
      </c>
      <c r="P63" s="7">
        <f>P62*(1-$B$3)+I63</f>
        <v/>
      </c>
    </row>
    <row r="64" ht="15" customHeight="1" s="8">
      <c r="A64" s="7" t="n">
        <v>2034</v>
      </c>
      <c r="E64" s="7">
        <f>F64*$S$31</f>
        <v/>
      </c>
      <c r="F64" s="10">
        <f>WEO_Data!C36</f>
        <v/>
      </c>
      <c r="G64" s="7">
        <f>TREND($G$32:$G$53,$A$32:$A$53,A64)</f>
        <v/>
      </c>
      <c r="H64" s="7">
        <f>EXP(G64+$U$31*LN(E64))</f>
        <v/>
      </c>
      <c r="I64" s="10">
        <f>Investment!C16</f>
        <v/>
      </c>
      <c r="J64" s="7">
        <f>I64-$B$3*K63</f>
        <v/>
      </c>
      <c r="K64" s="7">
        <f>E64+P64</f>
        <v/>
      </c>
      <c r="L64" s="7">
        <f>EXP(G64+$U$31*LN(K64))</f>
        <v/>
      </c>
      <c r="M64" s="7">
        <f>(F64-H64)/H64</f>
        <v/>
      </c>
      <c r="N64" s="7">
        <f>(F64-L64)/L64</f>
        <v/>
      </c>
      <c r="O64" s="7">
        <f>N64-M64</f>
        <v/>
      </c>
      <c r="P64" s="7">
        <f>P63*(1-$B$3)+I64</f>
        <v/>
      </c>
    </row>
    <row r="65" ht="15" customHeight="1" s="8">
      <c r="A65" s="7" t="n">
        <v>2035</v>
      </c>
      <c r="E65" s="7">
        <f>F65*$S$31</f>
        <v/>
      </c>
      <c r="F65" s="10">
        <f>WEO_Data!C37</f>
        <v/>
      </c>
      <c r="G65" s="7">
        <f>TREND($G$32:$G$53,$A$32:$A$53,A65)</f>
        <v/>
      </c>
      <c r="H65" s="7">
        <f>EXP(G65+$U$31*LN(E65))</f>
        <v/>
      </c>
      <c r="I65" s="10">
        <f>Investment!C17</f>
        <v/>
      </c>
      <c r="J65" s="7">
        <f>I65-$B$3*K64</f>
        <v/>
      </c>
      <c r="K65" s="7">
        <f>E65+P65</f>
        <v/>
      </c>
      <c r="L65" s="7">
        <f>EXP(G65+$U$31*LN(K65))</f>
        <v/>
      </c>
      <c r="M65" s="7">
        <f>(F65-H65)/H65</f>
        <v/>
      </c>
      <c r="N65" s="7">
        <f>(F65-L65)/L65</f>
        <v/>
      </c>
      <c r="O65" s="7">
        <f>N65-M65</f>
        <v/>
      </c>
      <c r="P65" s="7">
        <f>P64*(1-$B$3)+I65</f>
        <v/>
      </c>
    </row>
    <row r="66" ht="15" customHeight="1" s="8">
      <c r="A66" s="7" t="n">
        <v>2036</v>
      </c>
      <c r="E66" s="7">
        <f>F66*$S$31</f>
        <v/>
      </c>
      <c r="F66" s="10">
        <f>WEO_Data!C38</f>
        <v/>
      </c>
      <c r="G66" s="7">
        <f>TREND($G$32:$G$53,$A$32:$A$53,A66)</f>
        <v/>
      </c>
      <c r="H66" s="7">
        <f>EXP(G66+$U$31*LN(E66))</f>
        <v/>
      </c>
      <c r="I66" s="10">
        <f>Investment!C18</f>
        <v/>
      </c>
      <c r="J66" s="7">
        <f>I66-$B$3*K65</f>
        <v/>
      </c>
      <c r="K66" s="7">
        <f>E66+P66</f>
        <v/>
      </c>
      <c r="L66" s="7">
        <f>EXP(G66+$U$31*LN(K66))</f>
        <v/>
      </c>
      <c r="M66" s="7">
        <f>(F66-H66)/H66</f>
        <v/>
      </c>
      <c r="N66" s="7">
        <f>(F66-L66)/L66</f>
        <v/>
      </c>
      <c r="O66" s="7">
        <f>N66-M66</f>
        <v/>
      </c>
      <c r="P66" s="7">
        <f>P65*(1-$B$3)+I66</f>
        <v/>
      </c>
    </row>
    <row r="67" ht="15" customHeight="1" s="8">
      <c r="A67" s="7" t="n">
        <v>2037</v>
      </c>
      <c r="E67" s="7">
        <f>F67*$S$31</f>
        <v/>
      </c>
      <c r="F67" s="10">
        <f>WEO_Data!C39</f>
        <v/>
      </c>
      <c r="G67" s="7">
        <f>TREND($G$32:$G$53,$A$32:$A$53,A67)</f>
        <v/>
      </c>
      <c r="H67" s="7">
        <f>EXP(G67+$U$31*LN(E67))</f>
        <v/>
      </c>
      <c r="I67" s="10">
        <f>Investment!C19</f>
        <v/>
      </c>
      <c r="J67" s="7">
        <f>I67-$B$3*K66</f>
        <v/>
      </c>
      <c r="K67" s="7">
        <f>E67+P67</f>
        <v/>
      </c>
      <c r="L67" s="7">
        <f>EXP(G67+$U$31*LN(K67))</f>
        <v/>
      </c>
      <c r="M67" s="7">
        <f>(F67-H67)/H67</f>
        <v/>
      </c>
      <c r="N67" s="7">
        <f>(F67-L67)/L67</f>
        <v/>
      </c>
      <c r="O67" s="7">
        <f>N67-M67</f>
        <v/>
      </c>
      <c r="P67" s="7">
        <f>P66*(1-$B$3)+I67</f>
        <v/>
      </c>
    </row>
    <row r="68" ht="15" customHeight="1" s="8">
      <c r="A68" s="7" t="n">
        <v>2038</v>
      </c>
      <c r="E68" s="7">
        <f>F68*$S$31</f>
        <v/>
      </c>
      <c r="F68" s="10">
        <f>WEO_Data!C40</f>
        <v/>
      </c>
      <c r="G68" s="7">
        <f>TREND($G$32:$G$53,$A$32:$A$53,A68)</f>
        <v/>
      </c>
      <c r="H68" s="7">
        <f>EXP(G68+$U$31*LN(E68))</f>
        <v/>
      </c>
      <c r="I68" s="10">
        <f>Investment!C20</f>
        <v/>
      </c>
      <c r="J68" s="7">
        <f>I68-$B$3*K67</f>
        <v/>
      </c>
      <c r="K68" s="7">
        <f>E68+P68</f>
        <v/>
      </c>
      <c r="L68" s="7">
        <f>EXP(G68+$U$31*LN(K68))</f>
        <v/>
      </c>
      <c r="M68" s="7">
        <f>(F68-H68)/H68</f>
        <v/>
      </c>
      <c r="N68" s="7">
        <f>(F68-L68)/L68</f>
        <v/>
      </c>
      <c r="O68" s="7">
        <f>N68-M68</f>
        <v/>
      </c>
      <c r="P68" s="7">
        <f>P67*(1-$B$3)+I68</f>
        <v/>
      </c>
    </row>
    <row r="69" ht="15" customHeight="1" s="8">
      <c r="A69" s="7" t="n">
        <v>2039</v>
      </c>
      <c r="E69" s="7">
        <f>F69*$S$31</f>
        <v/>
      </c>
      <c r="F69" s="10">
        <f>WEO_Data!C41</f>
        <v/>
      </c>
      <c r="G69" s="7">
        <f>TREND($G$32:$G$53,$A$32:$A$53,A69)</f>
        <v/>
      </c>
      <c r="H69" s="7">
        <f>EXP(G69+$U$31*LN(E69))</f>
        <v/>
      </c>
      <c r="I69" s="10">
        <f>Investment!C21</f>
        <v/>
      </c>
      <c r="J69" s="7">
        <f>I69-$B$3*K68</f>
        <v/>
      </c>
      <c r="K69" s="7">
        <f>E69+P69</f>
        <v/>
      </c>
      <c r="L69" s="7">
        <f>EXP(G69+$U$31*LN(K69))</f>
        <v/>
      </c>
      <c r="M69" s="7">
        <f>(F69-H69)/H69</f>
        <v/>
      </c>
      <c r="N69" s="7">
        <f>(F69-L69)/L69</f>
        <v/>
      </c>
      <c r="O69" s="7">
        <f>N69-M69</f>
        <v/>
      </c>
      <c r="P69" s="7">
        <f>P68*(1-$B$3)+I69</f>
        <v/>
      </c>
    </row>
    <row r="70" ht="15" customHeight="1" s="8">
      <c r="A70" s="7" t="n">
        <v>2040</v>
      </c>
      <c r="E70" s="7">
        <f>F70*$S$31</f>
        <v/>
      </c>
      <c r="F70" s="10">
        <f>WEO_Data!C42</f>
        <v/>
      </c>
      <c r="G70" s="7">
        <f>TREND($G$32:$G$53,$A$32:$A$53,A70)</f>
        <v/>
      </c>
      <c r="H70" s="7">
        <f>EXP(G70+$U$31*LN(E70))</f>
        <v/>
      </c>
      <c r="I70" s="10">
        <f>Investment!C22</f>
        <v/>
      </c>
      <c r="J70" s="7">
        <f>I70-$B$3*K69</f>
        <v/>
      </c>
      <c r="K70" s="7">
        <f>E70+P70</f>
        <v/>
      </c>
      <c r="L70" s="7">
        <f>EXP(G70+$U$31*LN(K70))</f>
        <v/>
      </c>
      <c r="M70" s="7">
        <f>(F70-H70)/H70</f>
        <v/>
      </c>
      <c r="N70" s="7">
        <f>(F70-L70)/L70</f>
        <v/>
      </c>
      <c r="O70" s="7">
        <f>N70-M70</f>
        <v/>
      </c>
      <c r="P70" s="7">
        <f>P69*(1-$B$3)+I70</f>
        <v/>
      </c>
    </row>
    <row r="71" ht="15" customHeight="1" s="8">
      <c r="A71" s="7" t="n">
        <v>2041</v>
      </c>
      <c r="E71" s="7">
        <f>F71*$S$31</f>
        <v/>
      </c>
      <c r="F71" s="10">
        <f>WEO_Data!C43</f>
        <v/>
      </c>
      <c r="G71" s="7">
        <f>TREND($G$32:$G$53,$A$32:$A$53,A71)</f>
        <v/>
      </c>
      <c r="H71" s="7">
        <f>EXP(G71+$U$31*LN(E71))</f>
        <v/>
      </c>
      <c r="I71" s="10">
        <f>Investment!C23</f>
        <v/>
      </c>
      <c r="J71" s="7">
        <f>I71-$B$3*K70</f>
        <v/>
      </c>
      <c r="K71" s="7">
        <f>E71+P71</f>
        <v/>
      </c>
      <c r="L71" s="7">
        <f>EXP(G71+$U$31*LN(K71))</f>
        <v/>
      </c>
      <c r="M71" s="7">
        <f>(F71-H71)/H71</f>
        <v/>
      </c>
      <c r="N71" s="7">
        <f>(F71-L71)/L71</f>
        <v/>
      </c>
      <c r="O71" s="7">
        <f>N71-M71</f>
        <v/>
      </c>
      <c r="P71" s="7">
        <f>P70*(1-$B$3)+I71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2026-01-26T03:56:02Z</dcterms:created>
  <dcterms:modified xsi:type="dcterms:W3CDTF">2026-01-26T03:57:12Z</dcterms:modified>
  <cp:revision>0</cp:revision>
</cp:coreProperties>
</file>