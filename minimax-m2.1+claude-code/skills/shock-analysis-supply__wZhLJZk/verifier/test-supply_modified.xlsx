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WT" sheetId="1" r:id="rId1"/>
    <sheet name="WEO_Data" sheetId="2" r:id="rId2"/>
    <sheet name="CFC data" sheetId="3" r:id="rId3"/>
    <sheet name="Production" sheetId="4" r:id="rId4"/>
    <sheet name="Investment" sheetId="5" r:id="rId5"/>
  </sheets>
  <calcPr calcId="124519" fullCalcOnLoad="1"/>
</workbook>
</file>

<file path=xl/sharedStrings.xml><?xml version="1.0" encoding="utf-8"?>
<sst xmlns="http://schemas.openxmlformats.org/spreadsheetml/2006/main" count="41" uniqueCount="35">
  <si>
    <t>Year</t>
  </si>
  <si>
    <t>Real GDP (mil 2021 US$)</t>
  </si>
  <si>
    <t>Capital Stock (mil 2021 US$)</t>
  </si>
  <si>
    <t>Real GDP Level</t>
  </si>
  <si>
    <t>Real GDP Growth Rate</t>
  </si>
  <si>
    <t>Capital Stock (from PWT)</t>
  </si>
  <si>
    <t>Consumption of Fixed Capital</t>
  </si>
  <si>
    <t>Depreciation Rate</t>
  </si>
  <si>
    <t>Capital Stock (K)</t>
  </si>
  <si>
    <t>Real GDP (Y)</t>
  </si>
  <si>
    <t>Ln(K)</t>
  </si>
  <si>
    <t>Ln(Y)</t>
  </si>
  <si>
    <t>Ln(Z)</t>
  </si>
  <si>
    <t>Annual Depreciation Rate (average of last 8 years):</t>
  </si>
  <si>
    <t>HP Filter Section - Use Solver to minimize objective in P5</t>
  </si>
  <si>
    <t>LnZ_HP</t>
  </si>
  <si>
    <t>Second Diff</t>
  </si>
  <si>
    <t>LnA-Trend</t>
  </si>
  <si>
    <t>Objective:</t>
  </si>
  <si>
    <t>Investment (Million USD)</t>
  </si>
  <si>
    <t>K_With</t>
  </si>
  <si>
    <t>Ystar_with</t>
  </si>
  <si>
    <t>Y_Extended</t>
  </si>
  <si>
    <t>K/Y Ratio</t>
  </si>
  <si>
    <t>K_Extended</t>
  </si>
  <si>
    <t>Investment</t>
  </si>
  <si>
    <t>Delta K</t>
  </si>
  <si>
    <t>LnZ_Trend</t>
  </si>
  <si>
    <t>Ystar_Base</t>
  </si>
  <si>
    <t>Ystar_With</t>
  </si>
  <si>
    <t>Summary Results (2034):</t>
  </si>
  <si>
    <t>Ystar_Base (2034):</t>
  </si>
  <si>
    <t>Ystar_With (2034):</t>
  </si>
  <si>
    <t>Difference:</t>
  </si>
  <si>
    <t>Percentage Impact: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</si>
</sst>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3" spans="1:3">
      <c r="A3" s="2">
        <v>1990</v>
      </c>
      <c r="B3" s="3">
        <v>67440.0546875</v>
      </c>
      <c r="C3" s="3">
        <v>333953.90625</v>
      </c>
    </row>
    <row r="4" spans="1:3">
      <c r="A4" s="2">
        <v>1991</v>
      </c>
      <c r="B4" s="3">
        <v>53052.83984375</v>
      </c>
      <c r="C4" s="3">
        <v>336800.125</v>
      </c>
    </row>
    <row r="5" spans="1:3">
      <c r="A5" s="2">
        <v>1992</v>
      </c>
      <c r="B5" s="3">
        <v>29442.9375</v>
      </c>
      <c r="C5" s="3">
        <v>331575.34375</v>
      </c>
    </row>
    <row r="6" spans="1:3">
      <c r="A6" s="2">
        <v>1993</v>
      </c>
      <c r="B6" s="3">
        <v>20818.90234375</v>
      </c>
      <c r="C6" s="3">
        <v>318977.5625</v>
      </c>
    </row>
    <row r="7" spans="1:3">
      <c r="A7" s="2">
        <v>1994</v>
      </c>
      <c r="B7" s="3">
        <v>18657.6640625</v>
      </c>
      <c r="C7" s="3">
        <v>310557.21875</v>
      </c>
    </row>
    <row r="8" spans="1:3">
      <c r="A8" s="2">
        <v>1995</v>
      </c>
      <c r="B8" s="3">
        <v>19138.576171875</v>
      </c>
      <c r="C8" s="3">
        <v>305633.28125</v>
      </c>
    </row>
    <row r="9" spans="1:3">
      <c r="A9" s="2">
        <v>1996</v>
      </c>
      <c r="B9" s="3">
        <v>21298.572265625</v>
      </c>
      <c r="C9" s="3">
        <v>301706.46875</v>
      </c>
    </row>
    <row r="10" spans="1:3">
      <c r="A10" s="2">
        <v>1997</v>
      </c>
      <c r="B10" s="3">
        <v>23538.966796875</v>
      </c>
      <c r="C10" s="3">
        <v>298764.625</v>
      </c>
    </row>
    <row r="11" spans="1:3">
      <c r="A11" s="2">
        <v>1998</v>
      </c>
      <c r="B11" s="3">
        <v>24269.841796875</v>
      </c>
      <c r="C11" s="3">
        <v>298990.5</v>
      </c>
    </row>
    <row r="12" spans="1:3">
      <c r="A12" s="2">
        <v>1999</v>
      </c>
      <c r="B12" s="3">
        <v>24966.201171875</v>
      </c>
      <c r="C12" s="3">
        <v>299754.78125</v>
      </c>
    </row>
    <row r="13" spans="1:3">
      <c r="A13" s="2">
        <v>2000</v>
      </c>
      <c r="B13" s="3">
        <v>25425.16796875</v>
      </c>
      <c r="C13" s="3">
        <v>300383.3125</v>
      </c>
    </row>
    <row r="14" spans="1:3">
      <c r="A14" s="2">
        <v>2001</v>
      </c>
      <c r="B14" s="3">
        <v>26646.9609375</v>
      </c>
      <c r="C14" s="3">
        <v>302284.0625</v>
      </c>
    </row>
    <row r="15" spans="1:3">
      <c r="A15" s="2">
        <v>2002</v>
      </c>
      <c r="B15" s="3">
        <v>28105.572265625</v>
      </c>
      <c r="C15" s="3">
        <v>303592.625</v>
      </c>
    </row>
    <row r="16" spans="1:3">
      <c r="A16" s="2">
        <v>2003</v>
      </c>
      <c r="B16" s="3">
        <v>31213.515625</v>
      </c>
      <c r="C16" s="3">
        <v>307310.28125</v>
      </c>
    </row>
    <row r="17" spans="1:3">
      <c r="A17" s="2">
        <v>2004</v>
      </c>
      <c r="B17" s="3">
        <v>33022.64453125</v>
      </c>
      <c r="C17" s="3">
        <v>311984.28125</v>
      </c>
    </row>
    <row r="18" spans="1:3">
      <c r="A18" s="2">
        <v>2005</v>
      </c>
      <c r="B18" s="3">
        <v>36188.953125</v>
      </c>
      <c r="C18" s="3">
        <v>317837.8125</v>
      </c>
    </row>
    <row r="19" spans="1:3">
      <c r="A19" s="2">
        <v>2006</v>
      </c>
      <c r="B19" s="3">
        <v>39598.22265625</v>
      </c>
      <c r="C19" s="3">
        <v>322943.65625</v>
      </c>
    </row>
    <row r="20" spans="1:3">
      <c r="A20" s="2">
        <v>2007</v>
      </c>
      <c r="B20" s="3">
        <v>44579.19140625</v>
      </c>
      <c r="C20" s="3">
        <v>329445.875</v>
      </c>
    </row>
    <row r="21" spans="1:3">
      <c r="A21" s="2">
        <v>2008</v>
      </c>
      <c r="B21" s="3">
        <v>45657.16015625</v>
      </c>
      <c r="C21" s="3">
        <v>332604.46875</v>
      </c>
    </row>
    <row r="22" spans="1:3">
      <c r="A22" s="2">
        <v>2009</v>
      </c>
      <c r="B22" s="3">
        <v>43990.6328125</v>
      </c>
      <c r="C22" s="3">
        <v>330608.28125</v>
      </c>
    </row>
    <row r="23" spans="1:3">
      <c r="A23" s="2">
        <v>2010</v>
      </c>
      <c r="B23" s="3">
        <v>46739.7890625</v>
      </c>
      <c r="C23" s="3">
        <v>332551.53125</v>
      </c>
    </row>
    <row r="24" spans="1:3">
      <c r="A24" s="2">
        <v>2011</v>
      </c>
      <c r="B24" s="3">
        <v>50455.2109375</v>
      </c>
      <c r="C24" s="3">
        <v>336560.28125</v>
      </c>
    </row>
    <row r="25" spans="1:3">
      <c r="A25" s="2">
        <v>2012</v>
      </c>
      <c r="B25" s="3">
        <v>53774.6796875</v>
      </c>
      <c r="C25" s="3">
        <v>341471.1875</v>
      </c>
    </row>
    <row r="26" spans="1:3">
      <c r="A26" s="2">
        <v>2013</v>
      </c>
      <c r="B26" s="3">
        <v>56535.23046875</v>
      </c>
      <c r="C26" s="3">
        <v>344239.03125</v>
      </c>
    </row>
    <row r="27" spans="1:3">
      <c r="A27" s="2">
        <v>2014</v>
      </c>
      <c r="B27" s="3">
        <v>58847.86328125</v>
      </c>
      <c r="C27" s="3">
        <v>350962.15625</v>
      </c>
    </row>
    <row r="28" spans="1:3">
      <c r="A28" s="2">
        <v>2015</v>
      </c>
      <c r="B28" s="3">
        <v>60819.7421875</v>
      </c>
      <c r="C28" s="3">
        <v>360259.8125</v>
      </c>
    </row>
    <row r="29" spans="1:3">
      <c r="A29" s="2">
        <v>2016</v>
      </c>
      <c r="B29" s="3">
        <v>62917.9765625</v>
      </c>
      <c r="C29" s="3">
        <v>370547.65625</v>
      </c>
    </row>
    <row r="30" spans="1:3">
      <c r="A30" s="2">
        <v>2017</v>
      </c>
      <c r="B30" s="3">
        <v>66165.234375</v>
      </c>
      <c r="C30" s="3">
        <v>380655.78125</v>
      </c>
    </row>
    <row r="31" spans="1:3">
      <c r="A31" s="2">
        <v>2018</v>
      </c>
      <c r="B31" s="3">
        <v>70176.296875</v>
      </c>
      <c r="C31" s="3">
        <v>390625.1875</v>
      </c>
    </row>
    <row r="32" spans="1:3">
      <c r="A32" s="2">
        <v>2019</v>
      </c>
      <c r="B32" s="3">
        <v>73951.9765625</v>
      </c>
      <c r="C32" s="3">
        <v>399934.28125</v>
      </c>
    </row>
    <row r="33" spans="1:3">
      <c r="A33" s="2">
        <v>2020</v>
      </c>
      <c r="B33" s="3">
        <v>69299.46875</v>
      </c>
      <c r="C33" s="3">
        <v>405156.15625</v>
      </c>
    </row>
    <row r="34" spans="1:3">
      <c r="A34" s="2">
        <v>2021</v>
      </c>
      <c r="B34" s="3">
        <v>76675.71875</v>
      </c>
      <c r="C34" s="3">
        <v>409189.75</v>
      </c>
    </row>
    <row r="35" spans="1:3">
      <c r="A35" s="2">
        <v>2022</v>
      </c>
      <c r="B35" s="3">
        <v>85079.0234375</v>
      </c>
      <c r="C35" s="3">
        <v>415085.84375</v>
      </c>
    </row>
    <row r="36" spans="1:3">
      <c r="A36" s="2">
        <v>2023</v>
      </c>
      <c r="B36" s="3">
        <v>91437.8125</v>
      </c>
      <c r="C36" s="3">
        <v>426190.5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3" spans="1:3">
      <c r="A3" s="2">
        <v>1990</v>
      </c>
      <c r="B3" s="3">
        <v>67440.0546875</v>
      </c>
      <c r="C3" s="4">
        <v>0</v>
      </c>
    </row>
    <row r="4" spans="1:3">
      <c r="A4" s="2">
        <v>1991</v>
      </c>
      <c r="B4" s="3">
        <v>53052.83984375</v>
      </c>
      <c r="C4" s="4">
        <v>-0.2133333804430717</v>
      </c>
    </row>
    <row r="5" spans="1:3">
      <c r="A5" s="2">
        <v>1992</v>
      </c>
      <c r="B5" s="3">
        <v>29442.9375</v>
      </c>
      <c r="C5" s="4">
        <v>-0.4450261741555276</v>
      </c>
    </row>
    <row r="6" spans="1:3">
      <c r="A6" s="2">
        <v>1993</v>
      </c>
      <c r="B6" s="3">
        <v>20818.90234375</v>
      </c>
      <c r="C6" s="4">
        <v>-0.2929067507700276</v>
      </c>
    </row>
    <row r="7" spans="1:3">
      <c r="A7" s="2">
        <v>1994</v>
      </c>
      <c r="B7" s="3">
        <v>18657.6640625</v>
      </c>
      <c r="C7" s="4">
        <v>-0.1038113463219554</v>
      </c>
    </row>
    <row r="8" spans="1:3">
      <c r="A8" s="2">
        <v>1995</v>
      </c>
      <c r="B8" s="3">
        <v>19138.576171875</v>
      </c>
      <c r="C8" s="4">
        <v>0.02577557982414236</v>
      </c>
    </row>
    <row r="9" spans="1:3">
      <c r="A9" s="2">
        <v>1996</v>
      </c>
      <c r="B9" s="3">
        <v>21298.572265625</v>
      </c>
      <c r="C9" s="4">
        <v>0.1128608562283862</v>
      </c>
    </row>
    <row r="10" spans="1:3">
      <c r="A10" s="2">
        <v>1997</v>
      </c>
      <c r="B10" s="3">
        <v>23538.966796875</v>
      </c>
      <c r="C10" s="4">
        <v>0.1051898926983901</v>
      </c>
    </row>
    <row r="11" spans="1:3">
      <c r="A11" s="2">
        <v>1998</v>
      </c>
      <c r="B11" s="3">
        <v>24269.841796875</v>
      </c>
      <c r="C11" s="4">
        <v>0.0310495786117948</v>
      </c>
    </row>
    <row r="12" spans="1:3">
      <c r="A12" s="2">
        <v>1999</v>
      </c>
      <c r="B12" s="3">
        <v>24966.201171875</v>
      </c>
      <c r="C12" s="4">
        <v>0.02869237388641177</v>
      </c>
    </row>
    <row r="13" spans="1:3">
      <c r="A13" s="2">
        <v>2000</v>
      </c>
      <c r="B13" s="3">
        <v>25425.16796875</v>
      </c>
      <c r="C13" s="4">
        <v>0.01838352553980216</v>
      </c>
    </row>
    <row r="14" spans="1:3">
      <c r="A14" s="2">
        <v>2001</v>
      </c>
      <c r="B14" s="3">
        <v>26646.9609375</v>
      </c>
      <c r="C14" s="4">
        <v>0.04805446989580187</v>
      </c>
    </row>
    <row r="15" spans="1:3">
      <c r="A15" s="2">
        <v>2002</v>
      </c>
      <c r="B15" s="3">
        <v>28105.572265625</v>
      </c>
      <c r="C15" s="4">
        <v>0.05473837453907593</v>
      </c>
    </row>
    <row r="16" spans="1:3">
      <c r="A16" s="2">
        <v>2003</v>
      </c>
      <c r="B16" s="3">
        <v>31213.515625</v>
      </c>
      <c r="C16" s="4">
        <v>0.1105810381657386</v>
      </c>
    </row>
    <row r="17" spans="1:3">
      <c r="A17" s="2">
        <v>2004</v>
      </c>
      <c r="B17" s="3">
        <v>33022.64453125</v>
      </c>
      <c r="C17" s="4">
        <v>0.05795979305839571</v>
      </c>
    </row>
    <row r="18" spans="1:3">
      <c r="A18" s="2">
        <v>2005</v>
      </c>
      <c r="B18" s="3">
        <v>36188.953125</v>
      </c>
      <c r="C18" s="4">
        <v>0.0958829505842167</v>
      </c>
    </row>
    <row r="19" spans="1:3">
      <c r="A19" s="2">
        <v>2006</v>
      </c>
      <c r="B19" s="3">
        <v>39598.22265625</v>
      </c>
      <c r="C19" s="4">
        <v>0.094207464898862</v>
      </c>
    </row>
    <row r="20" spans="1:3">
      <c r="A20" s="2">
        <v>2007</v>
      </c>
      <c r="B20" s="3">
        <v>44579.19140625</v>
      </c>
      <c r="C20" s="4">
        <v>0.1257876847968535</v>
      </c>
    </row>
    <row r="21" spans="1:3">
      <c r="A21" s="2">
        <v>2008</v>
      </c>
      <c r="B21" s="3">
        <v>45657.16015625</v>
      </c>
      <c r="C21" s="4">
        <v>0.02418098480469233</v>
      </c>
    </row>
    <row r="22" spans="1:3">
      <c r="A22" s="2">
        <v>2009</v>
      </c>
      <c r="B22" s="3">
        <v>43990.6328125</v>
      </c>
      <c r="C22" s="4">
        <v>-0.03650089795437861</v>
      </c>
    </row>
    <row r="23" spans="1:3">
      <c r="A23" s="2">
        <v>2010</v>
      </c>
      <c r="B23" s="3">
        <v>46739.7890625</v>
      </c>
      <c r="C23" s="4">
        <v>0.06249412827766432</v>
      </c>
    </row>
    <row r="24" spans="1:3">
      <c r="A24" s="2">
        <v>2011</v>
      </c>
      <c r="B24" s="3">
        <v>50455.2109375</v>
      </c>
      <c r="C24" s="4">
        <v>0.07949162693121647</v>
      </c>
    </row>
    <row r="25" spans="1:3">
      <c r="A25" s="2">
        <v>2012</v>
      </c>
      <c r="B25" s="3">
        <v>53774.6796875</v>
      </c>
      <c r="C25" s="4">
        <v>0.06579040476338305</v>
      </c>
    </row>
    <row r="26" spans="1:3">
      <c r="A26" s="2">
        <v>2013</v>
      </c>
      <c r="B26" s="3">
        <v>56535.23046875</v>
      </c>
      <c r="C26" s="4">
        <v>0.05133551324326513</v>
      </c>
    </row>
    <row r="27" spans="1:3">
      <c r="A27" s="2">
        <v>2014</v>
      </c>
      <c r="B27" s="3">
        <v>58847.86328125</v>
      </c>
      <c r="C27" s="4">
        <v>0.04090604731466185</v>
      </c>
    </row>
    <row r="28" spans="1:3">
      <c r="A28" s="2">
        <v>2015</v>
      </c>
      <c r="B28" s="3">
        <v>60819.7421875</v>
      </c>
      <c r="C28" s="4">
        <v>0.03350807992510885</v>
      </c>
    </row>
    <row r="29" spans="1:3">
      <c r="A29" s="2">
        <v>2016</v>
      </c>
      <c r="B29" s="3">
        <v>62917.9765625</v>
      </c>
      <c r="C29" s="4">
        <v>0.03449923165625068</v>
      </c>
    </row>
    <row r="30" spans="1:3">
      <c r="A30" s="2">
        <v>2017</v>
      </c>
      <c r="B30" s="3">
        <v>66165.234375</v>
      </c>
      <c r="C30" s="4">
        <v>0.05161097018551319</v>
      </c>
    </row>
    <row r="31" spans="1:3">
      <c r="A31" s="2">
        <v>2018</v>
      </c>
      <c r="B31" s="3">
        <v>70176.296875</v>
      </c>
      <c r="C31" s="4">
        <v>0.0606219042052627</v>
      </c>
    </row>
    <row r="32" spans="1:3">
      <c r="A32" s="2">
        <v>2019</v>
      </c>
      <c r="B32" s="3">
        <v>73951.9765625</v>
      </c>
      <c r="C32" s="4">
        <v>0.05380277751368601</v>
      </c>
    </row>
    <row r="33" spans="1:3">
      <c r="A33" s="2">
        <v>2020</v>
      </c>
      <c r="B33" s="3">
        <v>69299.46875</v>
      </c>
      <c r="C33" s="4">
        <v>-0.06291255526575368</v>
      </c>
    </row>
    <row r="34" spans="1:3">
      <c r="A34" s="2">
        <v>2021</v>
      </c>
      <c r="B34" s="3">
        <v>76675.71875</v>
      </c>
      <c r="C34" s="4">
        <v>0.1064402099042066</v>
      </c>
    </row>
    <row r="35" spans="1:3">
      <c r="A35" s="2">
        <v>2022</v>
      </c>
      <c r="B35" s="3">
        <v>85079.0234375</v>
      </c>
      <c r="C35" s="4">
        <v>0.1095953820126401</v>
      </c>
    </row>
    <row r="36" spans="1:3">
      <c r="A36" s="2">
        <v>2023</v>
      </c>
      <c r="B36" s="3">
        <v>91437.8125</v>
      </c>
      <c r="C36" s="4">
        <v>0.07473979843188072</v>
      </c>
    </row>
    <row r="37" spans="1:3">
      <c r="A37" s="2">
        <v>2024</v>
      </c>
      <c r="B37" s="3">
        <v>96009.703125</v>
      </c>
      <c r="C37" s="4">
        <v>0.05</v>
      </c>
    </row>
    <row r="38" spans="1:3">
      <c r="A38" s="2">
        <v>2025</v>
      </c>
      <c r="B38" s="3">
        <v>100810.18828125</v>
      </c>
      <c r="C38" s="4">
        <v>0.05</v>
      </c>
    </row>
    <row r="39" spans="1:3">
      <c r="A39" s="2">
        <v>2026</v>
      </c>
      <c r="B39" s="3">
        <v>105850.6976953125</v>
      </c>
      <c r="C39" s="4">
        <v>0.05</v>
      </c>
    </row>
    <row r="40" spans="1:3">
      <c r="A40" s="2">
        <v>2027</v>
      </c>
      <c r="B40" s="3">
        <v>111143.2325800781</v>
      </c>
      <c r="C40" s="4">
        <v>0.05</v>
      </c>
    </row>
    <row r="41" spans="1:3">
      <c r="A41" s="2">
        <v>2028</v>
      </c>
      <c r="B41" s="3">
        <v>116700.394209082</v>
      </c>
      <c r="C41" s="4">
        <v>0.05</v>
      </c>
    </row>
    <row r="42" spans="1:3">
      <c r="A42" s="2">
        <v>2029</v>
      </c>
      <c r="B42" s="3">
        <v>122535.4139195361</v>
      </c>
      <c r="C42" s="4">
        <v>0.05</v>
      </c>
    </row>
    <row r="43" spans="1:3">
      <c r="A43" s="2">
        <v>2030</v>
      </c>
      <c r="B43" s="3">
        <v>128662.1846155129</v>
      </c>
      <c r="C43" s="4">
        <v>0.05</v>
      </c>
    </row>
    <row r="44" spans="1:3">
      <c r="A44" s="2">
        <v>2031</v>
      </c>
      <c r="B44" s="3">
        <v>135095.2938462886</v>
      </c>
      <c r="C44" s="4">
        <v>0.05</v>
      </c>
    </row>
    <row r="45" spans="1:3">
      <c r="A45" s="2">
        <v>2032</v>
      </c>
      <c r="B45" s="3">
        <v>141850.058538603</v>
      </c>
      <c r="C45" s="4">
        <v>0.05</v>
      </c>
    </row>
    <row r="46" spans="1:3">
      <c r="A46" s="2">
        <v>2033</v>
      </c>
      <c r="B46" s="3">
        <v>148942.5614655332</v>
      </c>
      <c r="C46" s="4">
        <v>0.05</v>
      </c>
    </row>
    <row r="47" spans="1:3">
      <c r="A47" s="2">
        <v>2034</v>
      </c>
      <c r="B47" s="3">
        <v>156389.6895388098</v>
      </c>
      <c r="C47" s="4">
        <v>0.05</v>
      </c>
    </row>
    <row r="48" spans="1:3">
      <c r="A48" s="2">
        <v>2035</v>
      </c>
      <c r="B48" s="3">
        <v>164209.1740157504</v>
      </c>
      <c r="C48" s="4">
        <v>0.05</v>
      </c>
    </row>
    <row r="49" spans="1:3">
      <c r="A49" s="2">
        <v>2036</v>
      </c>
      <c r="B49" s="3">
        <v>172419.6327165379</v>
      </c>
      <c r="C49" s="4">
        <v>0.05</v>
      </c>
    </row>
    <row r="50" spans="1:3">
      <c r="A50" s="2">
        <v>2037</v>
      </c>
      <c r="B50" s="3">
        <v>181040.6143523648</v>
      </c>
      <c r="C50" s="4">
        <v>0.05</v>
      </c>
    </row>
    <row r="51" spans="1:3">
      <c r="A51" s="2">
        <v>2038</v>
      </c>
      <c r="B51" s="3">
        <v>190092.645069983</v>
      </c>
      <c r="C51" s="4">
        <v>0.05</v>
      </c>
    </row>
    <row r="52" spans="1:3">
      <c r="A52" s="2">
        <v>2039</v>
      </c>
      <c r="B52" s="3">
        <v>199597.2773234822</v>
      </c>
      <c r="C52" s="4">
        <v>0.05</v>
      </c>
    </row>
    <row r="53" spans="1:3">
      <c r="A53" s="2">
        <v>2040</v>
      </c>
      <c r="B53" s="3">
        <v>209577.1411896563</v>
      </c>
      <c r="C53" s="4">
        <v>0.05</v>
      </c>
    </row>
    <row r="54" spans="1:3">
      <c r="A54" s="2">
        <v>2041</v>
      </c>
      <c r="B54" s="3">
        <v>220055.9982491391</v>
      </c>
      <c r="C54" s="4">
        <v>0.05</v>
      </c>
    </row>
    <row r="55" spans="1:3">
      <c r="A55" s="2">
        <v>2042</v>
      </c>
      <c r="B55" s="3">
        <v>231058.7981615961</v>
      </c>
      <c r="C55" s="4">
        <v>0.05</v>
      </c>
    </row>
    <row r="56" spans="1:3">
      <c r="A56" s="2">
        <v>2043</v>
      </c>
      <c r="B56" s="3">
        <v>242611.7380696759</v>
      </c>
      <c r="C56" s="4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3" spans="1:4">
      <c r="A3" s="2">
        <v>1996</v>
      </c>
      <c r="B3" s="5">
        <f>IFERROR(INDEX('PWT'!B:C,MATCH(A3,'PWT'!A:A,0),2),0)</f>
        <v>0</v>
      </c>
      <c r="C3" s="3">
        <v>304.51509176</v>
      </c>
      <c r="D3" s="4">
        <f>IF(B3&lt;&gt;0,C3/B3,0)</f>
        <v>0</v>
      </c>
    </row>
    <row r="4" spans="1:4">
      <c r="A4" s="2">
        <v>1997</v>
      </c>
      <c r="B4" s="5">
        <f>IFERROR(INDEX('PWT'!B:C,MATCH(A4,'PWT'!A:A,0),2),0)</f>
        <v>0</v>
      </c>
      <c r="C4" s="3">
        <v>383.64166361</v>
      </c>
      <c r="D4" s="4">
        <f>IF(B4&lt;&gt;0,C4/B4,0)</f>
        <v>0</v>
      </c>
    </row>
    <row r="5" spans="1:4">
      <c r="A5" s="2">
        <v>1998</v>
      </c>
      <c r="B5" s="5">
        <f>IFERROR(INDEX('PWT'!B:C,MATCH(A5,'PWT'!A:A,0),2),0)</f>
        <v>0</v>
      </c>
      <c r="C5" s="3">
        <v>516.39712122</v>
      </c>
      <c r="D5" s="4">
        <f>IF(B5&lt;&gt;0,C5/B5,0)</f>
        <v>0</v>
      </c>
    </row>
    <row r="6" spans="1:4">
      <c r="A6" s="2">
        <v>1999</v>
      </c>
      <c r="B6" s="5">
        <f>IFERROR(INDEX('PWT'!B:C,MATCH(A6,'PWT'!A:A,0),2),0)</f>
        <v>0</v>
      </c>
      <c r="C6" s="3">
        <v>661.6038344299999</v>
      </c>
      <c r="D6" s="4">
        <f>IF(B6&lt;&gt;0,C6/B6,0)</f>
        <v>0</v>
      </c>
    </row>
    <row r="7" spans="1:4">
      <c r="A7" s="2">
        <v>2000</v>
      </c>
      <c r="B7" s="5">
        <f>IFERROR(INDEX('PWT'!B:C,MATCH(A7,'PWT'!A:A,0),2),0)</f>
        <v>0</v>
      </c>
      <c r="C7" s="3">
        <v>631.7010008899999</v>
      </c>
      <c r="D7" s="4">
        <f>IF(B7&lt;&gt;0,C7/B7,0)</f>
        <v>0</v>
      </c>
    </row>
    <row r="8" spans="1:4">
      <c r="A8" s="2">
        <v>2001</v>
      </c>
      <c r="B8" s="5">
        <f>IFERROR(INDEX('PWT'!B:C,MATCH(A8,'PWT'!A:A,0),2),0)</f>
        <v>0</v>
      </c>
      <c r="C8" s="3">
        <v>706.98372679</v>
      </c>
      <c r="D8" s="4">
        <f>IF(B8&lt;&gt;0,C8/B8,0)</f>
        <v>0</v>
      </c>
    </row>
    <row r="9" spans="1:4">
      <c r="A9" s="2">
        <v>2002</v>
      </c>
      <c r="B9" s="5">
        <f>IFERROR(INDEX('PWT'!B:C,MATCH(A9,'PWT'!A:A,0),2),0)</f>
        <v>0</v>
      </c>
      <c r="C9" s="3">
        <v>790.1125652000001</v>
      </c>
      <c r="D9" s="4">
        <f>IF(B9&lt;&gt;0,C9/B9,0)</f>
        <v>0</v>
      </c>
    </row>
    <row r="10" spans="1:4">
      <c r="A10" s="2">
        <v>2003</v>
      </c>
      <c r="B10" s="5">
        <f>IFERROR(INDEX('PWT'!B:C,MATCH(A10,'PWT'!A:A,0),2),0)</f>
        <v>0</v>
      </c>
      <c r="C10" s="3">
        <v>932.9162196699999</v>
      </c>
      <c r="D10" s="4">
        <f>IF(B10&lt;&gt;0,C10/B10,0)</f>
        <v>0</v>
      </c>
    </row>
    <row r="11" spans="1:4">
      <c r="A11" s="2">
        <v>2004</v>
      </c>
      <c r="B11" s="5">
        <f>IFERROR(INDEX('PWT'!B:C,MATCH(A11,'PWT'!A:A,0),2),0)</f>
        <v>0</v>
      </c>
      <c r="C11" s="3">
        <v>976.8185377999999</v>
      </c>
      <c r="D11" s="4">
        <f>IF(B11&lt;&gt;0,C11/B11,0)</f>
        <v>0</v>
      </c>
    </row>
    <row r="12" spans="1:4">
      <c r="A12" s="2">
        <v>2005</v>
      </c>
      <c r="B12" s="5">
        <f>IFERROR(INDEX('PWT'!B:C,MATCH(A12,'PWT'!A:A,0),2),0)</f>
        <v>0</v>
      </c>
      <c r="C12" s="3">
        <v>1113.45005859</v>
      </c>
      <c r="D12" s="4">
        <f>IF(B12&lt;&gt;0,C12/B12,0)</f>
        <v>0</v>
      </c>
    </row>
    <row r="13" spans="1:4">
      <c r="A13" s="2">
        <v>2006</v>
      </c>
      <c r="B13" s="5">
        <f>IFERROR(INDEX('PWT'!B:C,MATCH(A13,'PWT'!A:A,0),2),0)</f>
        <v>0</v>
      </c>
      <c r="C13" s="3">
        <v>1306.37308413</v>
      </c>
      <c r="D13" s="4">
        <f>IF(B13&lt;&gt;0,C13/B13,0)</f>
        <v>0</v>
      </c>
    </row>
    <row r="14" spans="1:4">
      <c r="A14" s="2">
        <v>2007</v>
      </c>
      <c r="B14" s="5">
        <f>IFERROR(INDEX('PWT'!B:C,MATCH(A14,'PWT'!A:A,0),2),0)</f>
        <v>0</v>
      </c>
      <c r="C14" s="3">
        <v>1617.02996626</v>
      </c>
      <c r="D14" s="4">
        <f>IF(B14&lt;&gt;0,C14/B14,0)</f>
        <v>0</v>
      </c>
    </row>
    <row r="15" spans="1:4">
      <c r="A15" s="2">
        <v>2008</v>
      </c>
      <c r="B15" s="5">
        <f>IFERROR(INDEX('PWT'!B:C,MATCH(A15,'PWT'!A:A,0),2),0)</f>
        <v>0</v>
      </c>
      <c r="C15" s="3">
        <v>1758.04926767</v>
      </c>
      <c r="D15" s="4">
        <f>IF(B15&lt;&gt;0,C15/B15,0)</f>
        <v>0</v>
      </c>
    </row>
    <row r="16" spans="1:4">
      <c r="A16" s="2">
        <v>2009</v>
      </c>
      <c r="B16" s="5">
        <f>IFERROR(INDEX('PWT'!B:C,MATCH(A16,'PWT'!A:A,0),2),0)</f>
        <v>0</v>
      </c>
      <c r="C16" s="3">
        <v>1751.36668488</v>
      </c>
      <c r="D16" s="4">
        <f>IF(B16&lt;&gt;0,C16/B16,0)</f>
        <v>0</v>
      </c>
    </row>
    <row r="17" spans="1:4">
      <c r="A17" s="2">
        <v>2010</v>
      </c>
      <c r="B17" s="5">
        <f>IFERROR(INDEX('PWT'!B:C,MATCH(A17,'PWT'!A:A,0),2),0)</f>
        <v>0</v>
      </c>
      <c r="C17" s="3">
        <v>2046.41323467</v>
      </c>
      <c r="D17" s="4">
        <f>IF(B17&lt;&gt;0,C17/B17,0)</f>
        <v>0</v>
      </c>
    </row>
    <row r="18" spans="1:4">
      <c r="A18" s="2">
        <v>2011</v>
      </c>
      <c r="B18" s="5">
        <f>IFERROR(INDEX('PWT'!B:C,MATCH(A18,'PWT'!A:A,0),2),0)</f>
        <v>0</v>
      </c>
      <c r="C18" s="3">
        <v>2350.51240591</v>
      </c>
      <c r="D18" s="4">
        <f>IF(B18&lt;&gt;0,C18/B18,0)</f>
        <v>0</v>
      </c>
    </row>
    <row r="19" spans="1:4">
      <c r="A19" s="2">
        <v>2012</v>
      </c>
      <c r="B19" s="5">
        <f>IFERROR(INDEX('PWT'!B:C,MATCH(A19,'PWT'!A:A,0),2),0)</f>
        <v>0</v>
      </c>
      <c r="C19" s="3">
        <v>2643.60288797</v>
      </c>
      <c r="D19" s="4">
        <f>IF(B19&lt;&gt;0,C19/B19,0)</f>
        <v>0</v>
      </c>
    </row>
    <row r="20" spans="1:4">
      <c r="A20" s="2">
        <v>2013</v>
      </c>
      <c r="B20" s="5">
        <f>IFERROR(INDEX('PWT'!B:C,MATCH(A20,'PWT'!A:A,0),2),0)</f>
        <v>0</v>
      </c>
      <c r="C20" s="3">
        <v>1555.93215232</v>
      </c>
      <c r="D20" s="4">
        <f>IF(B20&lt;&gt;0,C20/B20,0)</f>
        <v>0</v>
      </c>
    </row>
    <row r="21" spans="1:4">
      <c r="A21" s="2">
        <v>2014</v>
      </c>
      <c r="B21" s="5">
        <f>IFERROR(INDEX('PWT'!B:C,MATCH(A21,'PWT'!A:A,0),2),0)</f>
        <v>0</v>
      </c>
      <c r="C21" s="3">
        <v>2984.89046869</v>
      </c>
      <c r="D21" s="4">
        <f>IF(B21&lt;&gt;0,C21/B21,0)</f>
        <v>0</v>
      </c>
    </row>
    <row r="22" spans="1:4">
      <c r="A22" s="2">
        <v>2015</v>
      </c>
      <c r="B22" s="5">
        <f>IFERROR(INDEX('PWT'!B:C,MATCH(A22,'PWT'!A:A,0),2),0)</f>
        <v>0</v>
      </c>
      <c r="C22" s="3">
        <v>3657.28067254</v>
      </c>
      <c r="D22" s="4">
        <f>IF(B22&lt;&gt;0,C22/B22,0)</f>
        <v>0</v>
      </c>
    </row>
    <row r="23" spans="1:4">
      <c r="A23" s="2">
        <v>2016</v>
      </c>
      <c r="B23" s="5">
        <f>IFERROR(INDEX('PWT'!B:C,MATCH(A23,'PWT'!A:A,0),2),0)</f>
        <v>0</v>
      </c>
      <c r="C23" s="3">
        <v>4004.82871985</v>
      </c>
      <c r="D23" s="4">
        <f>IF(B23&lt;&gt;0,C23/B23,0)</f>
        <v>0</v>
      </c>
    </row>
    <row r="24" spans="1:4">
      <c r="A24" s="2">
        <v>2017</v>
      </c>
      <c r="B24" s="5">
        <f>IFERROR(INDEX('PWT'!B:C,MATCH(A24,'PWT'!A:A,0),2),0)</f>
        <v>0</v>
      </c>
      <c r="C24" s="3">
        <v>4492.92133491</v>
      </c>
      <c r="D24" s="4">
        <f>IF(B24&lt;&gt;0,C24/B24,0)</f>
        <v>0</v>
      </c>
    </row>
    <row r="25" spans="1:4">
      <c r="A25" s="2">
        <v>2018</v>
      </c>
      <c r="B25" s="5">
        <f>IFERROR(INDEX('PWT'!B:C,MATCH(A25,'PWT'!A:A,0),2),0)</f>
        <v>0</v>
      </c>
      <c r="C25" s="3">
        <v>4843.61644029</v>
      </c>
      <c r="D25" s="4">
        <f>IF(B25&lt;&gt;0,C25/B25,0)</f>
        <v>0</v>
      </c>
    </row>
    <row r="26" spans="1:4">
      <c r="A26" s="2">
        <v>2019</v>
      </c>
      <c r="B26" s="5">
        <f>IFERROR(INDEX('PWT'!B:C,MATCH(A26,'PWT'!A:A,0),2),0)</f>
        <v>0</v>
      </c>
      <c r="C26" s="3">
        <v>5452.95737935</v>
      </c>
      <c r="D26" s="4">
        <f>IF(B26&lt;&gt;0,C26/B26,0)</f>
        <v>0</v>
      </c>
    </row>
    <row r="27" spans="1:4">
      <c r="A27" s="2">
        <v>2020</v>
      </c>
      <c r="B27" s="5">
        <f>IFERROR(INDEX('PWT'!B:C,MATCH(A27,'PWT'!A:A,0),2),0)</f>
        <v>0</v>
      </c>
      <c r="C27" s="3">
        <v>6152.76926162</v>
      </c>
      <c r="D27" s="4">
        <f>IF(B27&lt;&gt;0,C27/B27,0)</f>
        <v>0</v>
      </c>
    </row>
    <row r="28" spans="1:4">
      <c r="A28" s="2">
        <v>2021</v>
      </c>
      <c r="B28" s="5">
        <f>IFERROR(INDEX('PWT'!B:C,MATCH(A28,'PWT'!A:A,0),2),0)</f>
        <v>0</v>
      </c>
      <c r="C28" s="3">
        <v>7072.6253489</v>
      </c>
      <c r="D28" s="4">
        <f>IF(B28&lt;&gt;0,C28/B28,0)</f>
        <v>0</v>
      </c>
    </row>
    <row r="29" spans="1:4">
      <c r="A29" s="2">
        <v>2022</v>
      </c>
      <c r="B29" s="5">
        <f>IFERROR(INDEX('PWT'!B:C,MATCH(A29,'PWT'!A:A,0),2),0)</f>
        <v>0</v>
      </c>
      <c r="C29" s="3">
        <v>7661.448474880001</v>
      </c>
      <c r="D29" s="4">
        <f>IF(B29&lt;&gt;0,C29/B29,0)</f>
        <v>0</v>
      </c>
    </row>
    <row r="30" spans="1:4">
      <c r="A30" s="2">
        <v>2023</v>
      </c>
      <c r="B30" s="5">
        <f>IFERROR(INDEX('PWT'!B:C,MATCH(A30,'PWT'!A:A,0),2),0)</f>
        <v>0</v>
      </c>
      <c r="C30" s="3">
        <v>9410.65784371</v>
      </c>
      <c r="D30" s="4">
        <f>IF(B30&lt;&gt;0,C30/B30,0)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Q76"/>
  <sheetViews>
    <sheetView workbookViewId="0"/>
  </sheetViews>
  <sheetFormatPr defaultRowHeight="15"/>
  <sheetData>
    <row r="2" spans="1:17">
      <c r="A2" s="1" t="s">
        <v>13</v>
      </c>
      <c r="B2" s="5">
        <f>AVERAGE(C16:C23)</f>
        <v>0</v>
      </c>
    </row>
    <row r="5" spans="1:17">
      <c r="A5" s="1" t="s">
        <v>0</v>
      </c>
      <c r="B5" s="1" t="s">
        <v>8</v>
      </c>
      <c r="C5" s="1" t="s">
        <v>9</v>
      </c>
      <c r="D5" s="1" t="s">
        <v>15</v>
      </c>
      <c r="E5" s="1" t="s">
        <v>16</v>
      </c>
      <c r="F5" s="1" t="s">
        <v>17</v>
      </c>
      <c r="H5" s="1" t="s">
        <v>0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20</v>
      </c>
      <c r="O5" s="1" t="s">
        <v>27</v>
      </c>
      <c r="P5" s="1" t="s">
        <v>28</v>
      </c>
      <c r="Q5" s="1" t="s">
        <v>29</v>
      </c>
    </row>
    <row r="6" spans="1:17">
      <c r="O6" s="5">
        <f>SUMPRODUCT(E6:E27,E6:E27)</f>
        <v>0</v>
      </c>
    </row>
    <row r="7" spans="1:17">
      <c r="A7" s="2">
        <v>2000</v>
      </c>
      <c r="B7" s="5">
        <f>IFERROR(INDEX('PWT'!B:C,MATCH(A7,'PWT'!A:A,0),2),0)</f>
        <v>0</v>
      </c>
      <c r="C7" s="5">
        <f>IFERROR(INDEX('WEO_Data'!B:C,MATCH(A7,'WEO_Data'!A:A,0),2),0)</f>
        <v>0</v>
      </c>
      <c r="D7" s="5">
        <f>F6</f>
        <v>0</v>
      </c>
      <c r="E7" s="5">
        <f>0</f>
        <v>0</v>
      </c>
      <c r="F7" s="5">
        <f>F7-D7</f>
        <v>0</v>
      </c>
    </row>
    <row r="8" spans="1:17">
      <c r="A8" s="2">
        <v>2001</v>
      </c>
      <c r="B8" s="5">
        <f>IFERROR(INDEX('PWT'!B:C,MATCH(A8,'PWT'!A:A,0),2),0)</f>
        <v>0</v>
      </c>
      <c r="C8" s="5">
        <f>IFERROR(INDEX('WEO_Data'!B:C,MATCH(A8,'WEO_Data'!A:A,0),2),0)</f>
        <v>0</v>
      </c>
      <c r="D8" s="5">
        <f>F7</f>
        <v>0</v>
      </c>
      <c r="E8" s="5">
        <f>D9-2*D8+D7</f>
        <v>0</v>
      </c>
      <c r="F8" s="5">
        <f>F8-D8</f>
        <v>0</v>
      </c>
    </row>
    <row r="9" spans="1:17">
      <c r="A9" s="2">
        <v>2002</v>
      </c>
      <c r="B9" s="5">
        <f>IFERROR(INDEX('PWT'!B:C,MATCH(A9,'PWT'!A:A,0),2),0)</f>
        <v>0</v>
      </c>
      <c r="C9" s="5">
        <f>IFERROR(INDEX('WEO_Data'!B:C,MATCH(A9,'WEO_Data'!A:A,0),2),0)</f>
        <v>0</v>
      </c>
      <c r="D9" s="5">
        <f>F8</f>
        <v>0</v>
      </c>
      <c r="E9" s="5">
        <f>D10-2*D9+D8</f>
        <v>0</v>
      </c>
      <c r="F9" s="5">
        <f>F9-D9</f>
        <v>0</v>
      </c>
    </row>
    <row r="10" spans="1:17">
      <c r="A10" s="2">
        <v>2003</v>
      </c>
      <c r="B10" s="5">
        <f>IFERROR(INDEX('PWT'!B:C,MATCH(A10,'PWT'!A:A,0),2),0)</f>
        <v>0</v>
      </c>
      <c r="C10" s="5">
        <f>IFERROR(INDEX('WEO_Data'!B:C,MATCH(A10,'WEO_Data'!A:A,0),2),0)</f>
        <v>0</v>
      </c>
      <c r="D10" s="5">
        <f>F9</f>
        <v>0</v>
      </c>
      <c r="E10" s="5">
        <f>D11-2*D10+D9</f>
        <v>0</v>
      </c>
      <c r="F10" s="5">
        <f>F10-D10</f>
        <v>0</v>
      </c>
    </row>
    <row r="11" spans="1:17">
      <c r="A11" s="2">
        <v>2004</v>
      </c>
      <c r="B11" s="5">
        <f>IFERROR(INDEX('PWT'!B:C,MATCH(A11,'PWT'!A:A,0),2),0)</f>
        <v>0</v>
      </c>
      <c r="C11" s="5">
        <f>IFERROR(INDEX('WEO_Data'!B:C,MATCH(A11,'WEO_Data'!A:A,0),2),0)</f>
        <v>0</v>
      </c>
      <c r="D11" s="5">
        <f>F10</f>
        <v>0</v>
      </c>
      <c r="E11" s="5">
        <f>D12-2*D11+D10</f>
        <v>0</v>
      </c>
      <c r="F11" s="5">
        <f>F11-D11</f>
        <v>0</v>
      </c>
    </row>
    <row r="12" spans="1:17">
      <c r="A12" s="2">
        <v>2005</v>
      </c>
      <c r="B12" s="5">
        <f>IFERROR(INDEX('PWT'!B:C,MATCH(A12,'PWT'!A:A,0),2),0)</f>
        <v>0</v>
      </c>
      <c r="C12" s="5">
        <f>IFERROR(INDEX('WEO_Data'!B:C,MATCH(A12,'WEO_Data'!A:A,0),2),0)</f>
        <v>0</v>
      </c>
      <c r="D12" s="5">
        <f>F11</f>
        <v>0</v>
      </c>
      <c r="E12" s="5">
        <f>D13-2*D12+D11</f>
        <v>0</v>
      </c>
      <c r="F12" s="5">
        <f>F12-D12</f>
        <v>0</v>
      </c>
    </row>
    <row r="13" spans="1:17">
      <c r="A13" s="2">
        <v>2006</v>
      </c>
      <c r="B13" s="5">
        <f>IFERROR(INDEX('PWT'!B:C,MATCH(A13,'PWT'!A:A,0),2),0)</f>
        <v>0</v>
      </c>
      <c r="C13" s="5">
        <f>IFERROR(INDEX('WEO_Data'!B:C,MATCH(A13,'WEO_Data'!A:A,0),2),0)</f>
        <v>0</v>
      </c>
      <c r="D13" s="5">
        <f>F12</f>
        <v>0</v>
      </c>
      <c r="E13" s="5">
        <f>D14-2*D13+D12</f>
        <v>0</v>
      </c>
      <c r="F13" s="5">
        <f>F13-D13</f>
        <v>0</v>
      </c>
    </row>
    <row r="14" spans="1:17">
      <c r="A14" s="2">
        <v>2007</v>
      </c>
      <c r="B14" s="5">
        <f>IFERROR(INDEX('PWT'!B:C,MATCH(A14,'PWT'!A:A,0),2),0)</f>
        <v>0</v>
      </c>
      <c r="C14" s="5">
        <f>IFERROR(INDEX('WEO_Data'!B:C,MATCH(A14,'WEO_Data'!A:A,0),2),0)</f>
        <v>0</v>
      </c>
      <c r="D14" s="5">
        <f>F13</f>
        <v>0</v>
      </c>
      <c r="E14" s="5">
        <f>D15-2*D14+D13</f>
        <v>0</v>
      </c>
      <c r="F14" s="5">
        <f>F14-D14</f>
        <v>0</v>
      </c>
    </row>
    <row r="15" spans="1:17">
      <c r="A15" s="2">
        <v>2008</v>
      </c>
      <c r="B15" s="5">
        <f>IFERROR(INDEX('PWT'!B:C,MATCH(A15,'PWT'!A:A,0),2),0)</f>
        <v>0</v>
      </c>
      <c r="C15" s="5">
        <f>IFERROR(INDEX('WEO_Data'!B:C,MATCH(A15,'WEO_Data'!A:A,0),2),0)</f>
        <v>0</v>
      </c>
      <c r="D15" s="5">
        <f>F14</f>
        <v>0</v>
      </c>
      <c r="E15" s="5">
        <f>D16-2*D15+D14</f>
        <v>0</v>
      </c>
      <c r="F15" s="5">
        <f>F15-D15</f>
        <v>0</v>
      </c>
    </row>
    <row r="16" spans="1:17">
      <c r="A16" s="2">
        <v>2009</v>
      </c>
      <c r="B16" s="5">
        <f>IFERROR(INDEX('PWT'!B:C,MATCH(A16,'PWT'!A:A,0),2),0)</f>
        <v>0</v>
      </c>
      <c r="C16" s="5">
        <f>IFERROR(INDEX('WEO_Data'!B:C,MATCH(A16,'WEO_Data'!A:A,0),2),0)</f>
        <v>0</v>
      </c>
      <c r="D16" s="5">
        <f>F15</f>
        <v>0</v>
      </c>
      <c r="E16" s="5">
        <f>D17-2*D16+D15</f>
        <v>0</v>
      </c>
      <c r="F16" s="5">
        <f>F16-D16</f>
        <v>0</v>
      </c>
    </row>
    <row r="17" spans="1:6">
      <c r="A17" s="2">
        <v>2010</v>
      </c>
      <c r="B17" s="5">
        <f>IFERROR(INDEX('PWT'!B:C,MATCH(A17,'PWT'!A:A,0),2),0)</f>
        <v>0</v>
      </c>
      <c r="C17" s="5">
        <f>IFERROR(INDEX('WEO_Data'!B:C,MATCH(A17,'WEO_Data'!A:A,0),2),0)</f>
        <v>0</v>
      </c>
      <c r="D17" s="5">
        <f>F16</f>
        <v>0</v>
      </c>
      <c r="E17" s="5">
        <f>D18-2*D17+D16</f>
        <v>0</v>
      </c>
      <c r="F17" s="5">
        <f>F17-D17</f>
        <v>0</v>
      </c>
    </row>
    <row r="18" spans="1:6">
      <c r="A18" s="2">
        <v>2011</v>
      </c>
      <c r="B18" s="5">
        <f>IFERROR(INDEX('PWT'!B:C,MATCH(A18,'PWT'!A:A,0),2),0)</f>
        <v>0</v>
      </c>
      <c r="C18" s="5">
        <f>IFERROR(INDEX('WEO_Data'!B:C,MATCH(A18,'WEO_Data'!A:A,0),2),0)</f>
        <v>0</v>
      </c>
      <c r="D18" s="5">
        <f>F17</f>
        <v>0</v>
      </c>
      <c r="E18" s="5">
        <f>D19-2*D18+D17</f>
        <v>0</v>
      </c>
      <c r="F18" s="5">
        <f>F18-D18</f>
        <v>0</v>
      </c>
    </row>
    <row r="19" spans="1:6">
      <c r="A19" s="2">
        <v>2012</v>
      </c>
      <c r="B19" s="5">
        <f>IFERROR(INDEX('PWT'!B:C,MATCH(A19,'PWT'!A:A,0),2),0)</f>
        <v>0</v>
      </c>
      <c r="C19" s="5">
        <f>IFERROR(INDEX('WEO_Data'!B:C,MATCH(A19,'WEO_Data'!A:A,0),2),0)</f>
        <v>0</v>
      </c>
      <c r="D19" s="5">
        <f>F18</f>
        <v>0</v>
      </c>
      <c r="E19" s="5">
        <f>D20-2*D19+D18</f>
        <v>0</v>
      </c>
      <c r="F19" s="5">
        <f>F19-D19</f>
        <v>0</v>
      </c>
    </row>
    <row r="20" spans="1:6">
      <c r="A20" s="2">
        <v>2013</v>
      </c>
      <c r="B20" s="5">
        <f>IFERROR(INDEX('PWT'!B:C,MATCH(A20,'PWT'!A:A,0),2),0)</f>
        <v>0</v>
      </c>
      <c r="C20" s="5">
        <f>IFERROR(INDEX('WEO_Data'!B:C,MATCH(A20,'WEO_Data'!A:A,0),2),0)</f>
        <v>0</v>
      </c>
      <c r="D20" s="5">
        <f>F19</f>
        <v>0</v>
      </c>
      <c r="E20" s="5">
        <f>D21-2*D20+D19</f>
        <v>0</v>
      </c>
      <c r="F20" s="5">
        <f>F20-D20</f>
        <v>0</v>
      </c>
    </row>
    <row r="21" spans="1:6">
      <c r="A21" s="2">
        <v>2014</v>
      </c>
      <c r="B21" s="5">
        <f>IFERROR(INDEX('PWT'!B:C,MATCH(A21,'PWT'!A:A,0),2),0)</f>
        <v>0</v>
      </c>
      <c r="C21" s="5">
        <f>IFERROR(INDEX('WEO_Data'!B:C,MATCH(A21,'WEO_Data'!A:A,0),2),0)</f>
        <v>0</v>
      </c>
      <c r="D21" s="5">
        <f>F20</f>
        <v>0</v>
      </c>
      <c r="E21" s="5">
        <f>D22-2*D21+D20</f>
        <v>0</v>
      </c>
      <c r="F21" s="5">
        <f>F21-D21</f>
        <v>0</v>
      </c>
    </row>
    <row r="22" spans="1:6">
      <c r="A22" s="2">
        <v>2015</v>
      </c>
      <c r="B22" s="5">
        <f>IFERROR(INDEX('PWT'!B:C,MATCH(A22,'PWT'!A:A,0),2),0)</f>
        <v>0</v>
      </c>
      <c r="C22" s="5">
        <f>IFERROR(INDEX('WEO_Data'!B:C,MATCH(A22,'WEO_Data'!A:A,0),2),0)</f>
        <v>0</v>
      </c>
      <c r="D22" s="5">
        <f>F21</f>
        <v>0</v>
      </c>
      <c r="E22" s="5">
        <f>D23-2*D22+D21</f>
        <v>0</v>
      </c>
      <c r="F22" s="5">
        <f>F22-D22</f>
        <v>0</v>
      </c>
    </row>
    <row r="23" spans="1:6">
      <c r="A23" s="2">
        <v>2016</v>
      </c>
      <c r="B23" s="5">
        <f>IFERROR(INDEX('PWT'!B:C,MATCH(A23,'PWT'!A:A,0),2),0)</f>
        <v>0</v>
      </c>
      <c r="C23" s="5">
        <f>IFERROR(INDEX('WEO_Data'!B:C,MATCH(A23,'WEO_Data'!A:A,0),2),0)</f>
        <v>0</v>
      </c>
      <c r="D23" s="5">
        <f>F22</f>
        <v>0</v>
      </c>
      <c r="E23" s="5">
        <f>D24-2*D23+D22</f>
        <v>0</v>
      </c>
      <c r="F23" s="5">
        <f>F23-D23</f>
        <v>0</v>
      </c>
    </row>
    <row r="24" spans="1:6">
      <c r="A24" s="2">
        <v>2017</v>
      </c>
      <c r="B24" s="5">
        <f>IFERROR(INDEX('PWT'!B:C,MATCH(A24,'PWT'!A:A,0),2),0)</f>
        <v>0</v>
      </c>
      <c r="C24" s="5">
        <f>IFERROR(INDEX('WEO_Data'!B:C,MATCH(A24,'WEO_Data'!A:A,0),2),0)</f>
        <v>0</v>
      </c>
      <c r="D24" s="5">
        <f>F23</f>
        <v>0</v>
      </c>
      <c r="E24" s="5">
        <f>D25-2*D24+D23</f>
        <v>0</v>
      </c>
      <c r="F24" s="5">
        <f>F24-D24</f>
        <v>0</v>
      </c>
    </row>
    <row r="25" spans="1:6">
      <c r="A25" s="2">
        <v>2018</v>
      </c>
      <c r="B25" s="5">
        <f>IFERROR(INDEX('PWT'!B:C,MATCH(A25,'PWT'!A:A,0),2),0)</f>
        <v>0</v>
      </c>
      <c r="C25" s="5">
        <f>IFERROR(INDEX('WEO_Data'!B:C,MATCH(A25,'WEO_Data'!A:A,0),2),0)</f>
        <v>0</v>
      </c>
      <c r="D25" s="5">
        <f>F24</f>
        <v>0</v>
      </c>
      <c r="E25" s="5">
        <f>D26-2*D25+D24</f>
        <v>0</v>
      </c>
      <c r="F25" s="5">
        <f>F25-D25</f>
        <v>0</v>
      </c>
    </row>
    <row r="26" spans="1:6">
      <c r="A26" s="2">
        <v>2019</v>
      </c>
      <c r="B26" s="5">
        <f>IFERROR(INDEX('PWT'!B:C,MATCH(A26,'PWT'!A:A,0),2),0)</f>
        <v>0</v>
      </c>
      <c r="C26" s="5">
        <f>IFERROR(INDEX('WEO_Data'!B:C,MATCH(A26,'WEO_Data'!A:A,0),2),0)</f>
        <v>0</v>
      </c>
      <c r="D26" s="5">
        <f>F25</f>
        <v>0</v>
      </c>
      <c r="E26" s="5">
        <f>D27-2*D26+D25</f>
        <v>0</v>
      </c>
      <c r="F26" s="5">
        <f>F26-D26</f>
        <v>0</v>
      </c>
    </row>
    <row r="27" spans="1:6">
      <c r="A27" s="2">
        <v>2020</v>
      </c>
      <c r="B27" s="5">
        <f>IFERROR(INDEX('PWT'!B:C,MATCH(A27,'PWT'!A:A,0),2),0)</f>
        <v>0</v>
      </c>
      <c r="C27" s="5">
        <f>IFERROR(INDEX('WEO_Data'!B:C,MATCH(A27,'WEO_Data'!A:A,0),2),0)</f>
        <v>0</v>
      </c>
      <c r="D27" s="5">
        <f>F26</f>
        <v>0</v>
      </c>
      <c r="E27" s="5">
        <f>D28-2*D27+D26</f>
        <v>0</v>
      </c>
      <c r="F27" s="5">
        <f>F27-D27</f>
        <v>0</v>
      </c>
    </row>
    <row r="28" spans="1:6">
      <c r="A28" s="1" t="s">
        <v>14</v>
      </c>
      <c r="B28" s="5">
        <f>IFERROR(INDEX('PWT'!B:C,MATCH(A28,'PWT'!A:A,0),2),0)</f>
        <v>0</v>
      </c>
      <c r="C28" s="5">
        <f>IFERROR(INDEX('WEO_Data'!B:C,MATCH(A28,'WEO_Data'!A:A,0),2),0)</f>
        <v>0</v>
      </c>
      <c r="D28" s="5">
        <f>F27</f>
        <v>0</v>
      </c>
      <c r="E28" s="5">
        <f>0</f>
        <v>0</v>
      </c>
      <c r="F28" s="5">
        <f>F28-D28</f>
        <v>0</v>
      </c>
    </row>
    <row r="29" spans="1:6">
      <c r="A29" s="2">
        <v>2022</v>
      </c>
      <c r="B29" s="5">
        <f>IFERROR(INDEX('PWT'!B:C,MATCH(A29,'PWT'!A:A,0),2),0)</f>
        <v>0</v>
      </c>
      <c r="C29" s="5">
        <f>IFERROR(INDEX('WEO_Data'!B:C,MATCH(A29,'WEO_Data'!A:A,0),2),0)</f>
        <v>0</v>
      </c>
      <c r="D29" s="5">
        <f>IF(B29&gt;0,LN(B29),0)</f>
        <v>0</v>
      </c>
      <c r="E29" s="5">
        <f>IF(C29&gt;0,LN(C29),0)</f>
        <v>0</v>
      </c>
      <c r="F29" s="5">
        <f>E29-0.33*D29</f>
        <v>0</v>
      </c>
    </row>
    <row r="30" spans="1:6">
      <c r="A30" s="2">
        <v>2023</v>
      </c>
      <c r="B30" s="5">
        <f>IFERROR(INDEX('PWT'!B:C,MATCH(A30,'PWT'!A:A,0),2),0)</f>
        <v>0</v>
      </c>
      <c r="C30" s="5">
        <f>IFERROR(INDEX('WEO_Data'!B:C,MATCH(A30,'WEO_Data'!A:A,0),2),0)</f>
        <v>0</v>
      </c>
      <c r="D30" s="5">
        <f>IF(B30&gt;0,LN(B30),0)</f>
        <v>0</v>
      </c>
      <c r="E30" s="5">
        <f>IF(C30&gt;0,LN(C30),0)</f>
        <v>0</v>
      </c>
      <c r="F30" s="5">
        <f>E30-0.33*D30</f>
        <v>0</v>
      </c>
    </row>
    <row r="37" spans="1:17">
      <c r="H37" s="2">
        <v>2002</v>
      </c>
      <c r="I37" s="5">
        <f>IFERROR(INDEX('WEO_Data'!B:C,MATCH(H37,'WEO_Data'!A:A,0),2),0)</f>
        <v>0</v>
      </c>
      <c r="J37" s="5">
        <f>IF(I37&gt;0,B1/I37,0)</f>
        <v>0</v>
      </c>
      <c r="K37" s="5">
        <f>I37*J37</f>
        <v>0</v>
      </c>
      <c r="L37" s="3">
        <v>0</v>
      </c>
      <c r="M37" s="5">
        <f>K37*$B$2</f>
        <v>0</v>
      </c>
      <c r="N37" s="3">
        <v>0</v>
      </c>
      <c r="O37" s="5">
        <f>D67</f>
        <v>0</v>
      </c>
      <c r="P37" s="5">
        <f>EXP(O37+0.33*LN(K37))</f>
        <v>0</v>
      </c>
      <c r="Q37" s="5">
        <f>EXP(O37+0.33*LN(N37))</f>
        <v>0</v>
      </c>
    </row>
    <row r="38" spans="1:17">
      <c r="H38" s="2">
        <v>2003</v>
      </c>
      <c r="I38" s="5">
        <f>IFERROR(INDEX('WEO_Data'!B:C,MATCH(H38,'WEO_Data'!A:A,0),2),0)</f>
        <v>0</v>
      </c>
      <c r="J38" s="5">
        <f>IF(I38&gt;0,B2/I38,0)</f>
        <v>0</v>
      </c>
      <c r="K38" s="5">
        <f>I38*J38</f>
        <v>0</v>
      </c>
      <c r="L38" s="3">
        <v>0</v>
      </c>
      <c r="M38" s="5">
        <f>K38*$B$2</f>
        <v>0</v>
      </c>
      <c r="N38" s="3">
        <v>0</v>
      </c>
      <c r="O38" s="5">
        <f>D68</f>
        <v>0</v>
      </c>
      <c r="P38" s="5">
        <f>EXP(O38+0.33*LN(K38))</f>
        <v>0</v>
      </c>
      <c r="Q38" s="5">
        <f>EXP(O38+0.33*LN(N38))</f>
        <v>0</v>
      </c>
    </row>
    <row r="39" spans="1:17">
      <c r="H39" s="2">
        <v>2004</v>
      </c>
      <c r="I39" s="5">
        <f>IFERROR(INDEX('WEO_Data'!B:C,MATCH(H39,'WEO_Data'!A:A,0),2),0)</f>
        <v>0</v>
      </c>
      <c r="J39" s="5">
        <f>IF(I39&gt;0,B3/I39,0)</f>
        <v>0</v>
      </c>
      <c r="K39" s="5">
        <f>I39*J39</f>
        <v>0</v>
      </c>
      <c r="L39" s="3">
        <v>0</v>
      </c>
      <c r="M39" s="5">
        <f>K39*$B$2</f>
        <v>0</v>
      </c>
      <c r="N39" s="3">
        <v>0</v>
      </c>
      <c r="O39" s="5">
        <f>D69</f>
        <v>0</v>
      </c>
      <c r="P39" s="5">
        <f>EXP(O39+0.33*LN(K39))</f>
        <v>0</v>
      </c>
      <c r="Q39" s="5">
        <f>EXP(O39+0.33*LN(N39))</f>
        <v>0</v>
      </c>
    </row>
    <row r="40" spans="1:17">
      <c r="H40" s="2">
        <v>2005</v>
      </c>
      <c r="I40" s="5">
        <f>IFERROR(INDEX('WEO_Data'!B:C,MATCH(H40,'WEO_Data'!A:A,0),2),0)</f>
        <v>0</v>
      </c>
      <c r="J40" s="5">
        <f>IF(I40&gt;0,B4/I40,0)</f>
        <v>0</v>
      </c>
      <c r="K40" s="5">
        <f>I40*J40</f>
        <v>0</v>
      </c>
      <c r="L40" s="3">
        <v>0</v>
      </c>
      <c r="M40" s="5">
        <f>K40*$B$2</f>
        <v>0</v>
      </c>
      <c r="N40" s="3">
        <v>0</v>
      </c>
      <c r="O40" s="5">
        <f>D70</f>
        <v>0</v>
      </c>
      <c r="P40" s="5">
        <f>EXP(O40+0.33*LN(K40))</f>
        <v>0</v>
      </c>
      <c r="Q40" s="5">
        <f>EXP(O40+0.33*LN(N40))</f>
        <v>0</v>
      </c>
    </row>
    <row r="41" spans="1:17">
      <c r="H41" s="2">
        <v>2006</v>
      </c>
      <c r="I41" s="5">
        <f>IFERROR(INDEX('WEO_Data'!B:C,MATCH(H41,'WEO_Data'!A:A,0),2),0)</f>
        <v>0</v>
      </c>
      <c r="J41" s="5">
        <f>IF(I41&gt;0,B5/I41,0)</f>
        <v>0</v>
      </c>
      <c r="K41" s="5">
        <f>I41*J41</f>
        <v>0</v>
      </c>
      <c r="L41" s="3">
        <v>0</v>
      </c>
      <c r="M41" s="5">
        <f>K41*$B$2</f>
        <v>0</v>
      </c>
      <c r="N41" s="3">
        <v>0</v>
      </c>
      <c r="O41" s="5">
        <f>D71</f>
        <v>0</v>
      </c>
      <c r="P41" s="5">
        <f>EXP(O41+0.33*LN(K41))</f>
        <v>0</v>
      </c>
      <c r="Q41" s="5">
        <f>EXP(O41+0.33*LN(N41))</f>
        <v>0</v>
      </c>
    </row>
    <row r="42" spans="1:17">
      <c r="H42" s="2">
        <v>2007</v>
      </c>
      <c r="I42" s="5">
        <f>IFERROR(INDEX('WEO_Data'!B:C,MATCH(H42,'WEO_Data'!A:A,0),2),0)</f>
        <v>0</v>
      </c>
      <c r="J42" s="5">
        <f>IF(I42&gt;0,B6/I42,0)</f>
        <v>0</v>
      </c>
      <c r="K42" s="5">
        <f>I42*J42</f>
        <v>0</v>
      </c>
      <c r="L42" s="3">
        <v>0</v>
      </c>
      <c r="M42" s="5">
        <f>K42*$B$2</f>
        <v>0</v>
      </c>
      <c r="N42" s="3">
        <v>0</v>
      </c>
      <c r="O42" s="5">
        <f>D72</f>
        <v>0</v>
      </c>
      <c r="P42" s="5">
        <f>EXP(O42+0.33*LN(K42))</f>
        <v>0</v>
      </c>
      <c r="Q42" s="5">
        <f>EXP(O42+0.33*LN(N42))</f>
        <v>0</v>
      </c>
    </row>
    <row r="43" spans="1:17">
      <c r="H43" s="2">
        <v>2008</v>
      </c>
      <c r="I43" s="5">
        <f>IFERROR(INDEX('WEO_Data'!B:C,MATCH(H43,'WEO_Data'!A:A,0),2),0)</f>
        <v>0</v>
      </c>
      <c r="J43" s="5">
        <f>IF(I43&gt;0,B7/I43,0)</f>
        <v>0</v>
      </c>
      <c r="K43" s="5">
        <f>I43*J43</f>
        <v>0</v>
      </c>
      <c r="L43" s="3">
        <v>0</v>
      </c>
      <c r="M43" s="5">
        <f>K43*$B$2</f>
        <v>0</v>
      </c>
      <c r="N43" s="3">
        <v>0</v>
      </c>
      <c r="O43" s="5">
        <f>D73</f>
        <v>0</v>
      </c>
      <c r="P43" s="5">
        <f>EXP(O43+0.33*LN(K43))</f>
        <v>0</v>
      </c>
      <c r="Q43" s="5">
        <f>EXP(O43+0.33*LN(N43))</f>
        <v>0</v>
      </c>
    </row>
    <row r="44" spans="1:17">
      <c r="H44" s="2">
        <v>2009</v>
      </c>
      <c r="I44" s="5">
        <f>IFERROR(INDEX('WEO_Data'!B:C,MATCH(H44,'WEO_Data'!A:A,0),2),0)</f>
        <v>0</v>
      </c>
      <c r="J44" s="5">
        <f>IF(I44&gt;0,B8/I44,0)</f>
        <v>0</v>
      </c>
      <c r="K44" s="5">
        <f>I44*J44</f>
        <v>0</v>
      </c>
      <c r="L44" s="3">
        <v>0</v>
      </c>
      <c r="M44" s="5">
        <f>K44*$B$2</f>
        <v>0</v>
      </c>
      <c r="N44" s="3">
        <v>0</v>
      </c>
      <c r="O44" s="5">
        <f>D74</f>
        <v>0</v>
      </c>
      <c r="P44" s="5">
        <f>EXP(O44+0.33*LN(K44))</f>
        <v>0</v>
      </c>
      <c r="Q44" s="5">
        <f>EXP(O44+0.33*LN(N44))</f>
        <v>0</v>
      </c>
    </row>
    <row r="45" spans="1:17">
      <c r="A45" s="1" t="s">
        <v>30</v>
      </c>
      <c r="H45" s="2">
        <v>2010</v>
      </c>
      <c r="I45" s="5">
        <f>IFERROR(INDEX('WEO_Data'!B:C,MATCH(H45,'WEO_Data'!A:A,0),2),0)</f>
        <v>0</v>
      </c>
      <c r="J45" s="5">
        <f>IF(I45&gt;0,B9/I45,0)</f>
        <v>0</v>
      </c>
      <c r="K45" s="5">
        <f>I45*J45</f>
        <v>0</v>
      </c>
      <c r="L45" s="3">
        <v>0</v>
      </c>
      <c r="M45" s="5">
        <f>K45*$B$2</f>
        <v>0</v>
      </c>
      <c r="N45" s="3">
        <v>0</v>
      </c>
      <c r="O45" s="5">
        <f>D75</f>
        <v>0</v>
      </c>
      <c r="P45" s="5">
        <f>EXP(O45+0.33*LN(K45))</f>
        <v>0</v>
      </c>
      <c r="Q45" s="5">
        <f>EXP(O45+0.33*LN(N45))</f>
        <v>0</v>
      </c>
    </row>
    <row r="46" spans="1:17">
      <c r="A46" s="1" t="s">
        <v>31</v>
      </c>
      <c r="B46" s="5">
        <f>P60</f>
        <v>0</v>
      </c>
      <c r="H46" s="2">
        <v>2011</v>
      </c>
      <c r="I46" s="5">
        <f>IFERROR(INDEX('WEO_Data'!B:C,MATCH(H46,'WEO_Data'!A:A,0),2),0)</f>
        <v>0</v>
      </c>
      <c r="J46" s="5">
        <f>IF(I46&gt;0,B10/I46,0)</f>
        <v>0</v>
      </c>
      <c r="K46" s="5">
        <f>I46*J46</f>
        <v>0</v>
      </c>
      <c r="L46" s="3">
        <v>0</v>
      </c>
      <c r="M46" s="5">
        <f>K46*$B$2</f>
        <v>0</v>
      </c>
      <c r="N46" s="3">
        <v>0</v>
      </c>
      <c r="O46" s="5">
        <f>D76</f>
        <v>0</v>
      </c>
      <c r="P46" s="5">
        <f>EXP(O46+0.33*LN(K46))</f>
        <v>0</v>
      </c>
      <c r="Q46" s="5">
        <f>EXP(O46+0.33*LN(N46))</f>
        <v>0</v>
      </c>
    </row>
    <row r="47" spans="1:17">
      <c r="A47" s="1" t="s">
        <v>32</v>
      </c>
      <c r="B47" s="5">
        <f>Q60</f>
        <v>0</v>
      </c>
      <c r="H47" s="2">
        <v>2012</v>
      </c>
      <c r="I47" s="5">
        <f>IFERROR(INDEX('WEO_Data'!B:C,MATCH(H47,'WEO_Data'!A:A,0),2),0)</f>
        <v>0</v>
      </c>
      <c r="J47" s="5">
        <f>IF(I47&gt;0,B11/I47,0)</f>
        <v>0</v>
      </c>
      <c r="K47" s="5">
        <f>I47*J47</f>
        <v>0</v>
      </c>
      <c r="L47" s="3">
        <v>0</v>
      </c>
      <c r="M47" s="5">
        <f>K47*$B$2</f>
        <v>0</v>
      </c>
      <c r="N47" s="3">
        <v>0</v>
      </c>
      <c r="O47" s="5">
        <f>D77</f>
        <v>0</v>
      </c>
      <c r="P47" s="5">
        <f>EXP(O47+0.33*LN(K47))</f>
        <v>0</v>
      </c>
      <c r="Q47" s="5">
        <f>EXP(O47+0.33*LN(N47))</f>
        <v>0</v>
      </c>
    </row>
    <row r="48" spans="1:17">
      <c r="A48" s="1" t="s">
        <v>33</v>
      </c>
      <c r="B48" s="5">
        <f>B47-B46</f>
        <v>0</v>
      </c>
      <c r="H48" s="2">
        <v>2013</v>
      </c>
      <c r="I48" s="5">
        <f>IFERROR(INDEX('WEO_Data'!B:C,MATCH(H48,'WEO_Data'!A:A,0),2),0)</f>
        <v>0</v>
      </c>
      <c r="J48" s="5">
        <f>IF(I48&gt;0,B12/I48,0)</f>
        <v>0</v>
      </c>
      <c r="K48" s="5">
        <f>I48*J48</f>
        <v>0</v>
      </c>
      <c r="L48" s="3">
        <v>0</v>
      </c>
      <c r="M48" s="5">
        <f>K48*$B$2</f>
        <v>0</v>
      </c>
      <c r="N48" s="3">
        <v>0</v>
      </c>
      <c r="O48" s="5">
        <f>D78</f>
        <v>0</v>
      </c>
      <c r="P48" s="5">
        <f>EXP(O48+0.33*LN(K48))</f>
        <v>0</v>
      </c>
      <c r="Q48" s="5">
        <f>EXP(O48+0.33*LN(N48))</f>
        <v>0</v>
      </c>
    </row>
    <row r="49" spans="1:17">
      <c r="A49" s="1" t="s">
        <v>34</v>
      </c>
      <c r="B49" s="4">
        <f>B48/B46</f>
        <v>0</v>
      </c>
      <c r="H49" s="2">
        <v>2014</v>
      </c>
      <c r="I49" s="5">
        <f>IFERROR(INDEX('WEO_Data'!B:C,MATCH(H49,'WEO_Data'!A:A,0),2),0)</f>
        <v>0</v>
      </c>
      <c r="J49" s="5">
        <f>IF(I49&gt;0,B13/I49,0)</f>
        <v>0</v>
      </c>
      <c r="K49" s="5">
        <f>I49*J49</f>
        <v>0</v>
      </c>
      <c r="L49" s="3">
        <v>0</v>
      </c>
      <c r="M49" s="5">
        <f>K49*$B$2</f>
        <v>0</v>
      </c>
      <c r="N49" s="3">
        <v>0</v>
      </c>
      <c r="O49" s="5">
        <f>D79</f>
        <v>0</v>
      </c>
      <c r="P49" s="5">
        <f>EXP(O49+0.33*LN(K49))</f>
        <v>0</v>
      </c>
      <c r="Q49" s="5">
        <f>EXP(O49+0.33*LN(N49))</f>
        <v>0</v>
      </c>
    </row>
    <row r="50" spans="1:17">
      <c r="H50" s="2">
        <v>2015</v>
      </c>
      <c r="I50" s="5">
        <f>IFERROR(INDEX('WEO_Data'!B:C,MATCH(H50,'WEO_Data'!A:A,0),2),0)</f>
        <v>0</v>
      </c>
      <c r="J50" s="5">
        <f>IF(I50&gt;0,B14/I50,0)</f>
        <v>0</v>
      </c>
      <c r="K50" s="5">
        <f>I50*J50</f>
        <v>0</v>
      </c>
      <c r="L50" s="3">
        <v>0</v>
      </c>
      <c r="M50" s="5">
        <f>K50*$B$2</f>
        <v>0</v>
      </c>
      <c r="N50" s="3">
        <v>0</v>
      </c>
      <c r="O50" s="5">
        <f>D80</f>
        <v>0</v>
      </c>
      <c r="P50" s="5">
        <f>EXP(O50+0.33*LN(K50))</f>
        <v>0</v>
      </c>
      <c r="Q50" s="5">
        <f>EXP(O50+0.33*LN(N50))</f>
        <v>0</v>
      </c>
    </row>
    <row r="51" spans="1:17">
      <c r="H51" s="2">
        <v>2016</v>
      </c>
      <c r="I51" s="5">
        <f>IFERROR(INDEX('WEO_Data'!B:C,MATCH(H51,'WEO_Data'!A:A,0),2),0)</f>
        <v>0</v>
      </c>
      <c r="J51" s="5">
        <f>IF(I51&gt;0,B15/I51,0)</f>
        <v>0</v>
      </c>
      <c r="K51" s="5">
        <f>I51*J51</f>
        <v>0</v>
      </c>
      <c r="L51" s="3">
        <v>0</v>
      </c>
      <c r="M51" s="5">
        <f>K51*$B$2</f>
        <v>0</v>
      </c>
      <c r="N51" s="3">
        <v>0</v>
      </c>
      <c r="O51" s="5">
        <f>D81</f>
        <v>0</v>
      </c>
      <c r="P51" s="5">
        <f>EXP(O51+0.33*LN(K51))</f>
        <v>0</v>
      </c>
      <c r="Q51" s="5">
        <f>EXP(O51+0.33*LN(N51))</f>
        <v>0</v>
      </c>
    </row>
    <row r="52" spans="1:17">
      <c r="H52" s="2">
        <v>2017</v>
      </c>
      <c r="I52" s="5">
        <f>IFERROR(INDEX('WEO_Data'!B:C,MATCH(H52,'WEO_Data'!A:A,0),2),0)</f>
        <v>0</v>
      </c>
      <c r="J52" s="5">
        <f>IF(I52&gt;0,B16/I52,0)</f>
        <v>0</v>
      </c>
      <c r="K52" s="5">
        <f>I52*J52</f>
        <v>0</v>
      </c>
      <c r="L52" s="3">
        <v>0</v>
      </c>
      <c r="M52" s="5">
        <f>K52*$B$2</f>
        <v>0</v>
      </c>
      <c r="N52" s="3">
        <v>0</v>
      </c>
      <c r="O52" s="5">
        <f>D82</f>
        <v>0</v>
      </c>
      <c r="P52" s="5">
        <f>EXP(O52+0.33*LN(K52))</f>
        <v>0</v>
      </c>
      <c r="Q52" s="5">
        <f>EXP(O52+0.33*LN(N52))</f>
        <v>0</v>
      </c>
    </row>
    <row r="53" spans="1:17">
      <c r="H53" s="2">
        <v>2018</v>
      </c>
      <c r="I53" s="5">
        <f>IFERROR(INDEX('WEO_Data'!B:C,MATCH(H53,'WEO_Data'!A:A,0),2),0)</f>
        <v>0</v>
      </c>
      <c r="J53" s="5">
        <f>IF(I53&gt;0,B17/I53,0)</f>
        <v>0</v>
      </c>
      <c r="K53" s="5">
        <f>I53*J53</f>
        <v>0</v>
      </c>
      <c r="L53" s="3">
        <v>0</v>
      </c>
      <c r="M53" s="5">
        <f>K53*$B$2</f>
        <v>0</v>
      </c>
      <c r="N53" s="3">
        <v>0</v>
      </c>
      <c r="O53" s="5">
        <f>D83</f>
        <v>0</v>
      </c>
      <c r="P53" s="5">
        <f>EXP(O53+0.33*LN(K53))</f>
        <v>0</v>
      </c>
      <c r="Q53" s="5">
        <f>EXP(O53+0.33*LN(N53))</f>
        <v>0</v>
      </c>
    </row>
    <row r="54" spans="1:17">
      <c r="H54" s="2">
        <v>2019</v>
      </c>
      <c r="I54" s="5">
        <f>IFERROR(INDEX('WEO_Data'!B:C,MATCH(H54,'WEO_Data'!A:A,0),2),0)</f>
        <v>0</v>
      </c>
      <c r="J54" s="5">
        <f>IF(I54&gt;0,B18/I54,0)</f>
        <v>0</v>
      </c>
      <c r="K54" s="5">
        <f>I54*J54</f>
        <v>0</v>
      </c>
      <c r="L54" s="3">
        <v>0</v>
      </c>
      <c r="M54" s="5">
        <f>K54*$B$2</f>
        <v>0</v>
      </c>
      <c r="N54" s="3">
        <v>0</v>
      </c>
      <c r="O54" s="5">
        <f>D84</f>
        <v>0</v>
      </c>
      <c r="P54" s="5">
        <f>EXP(O54+0.33*LN(K54))</f>
        <v>0</v>
      </c>
      <c r="Q54" s="5">
        <f>EXP(O54+0.33*LN(N54))</f>
        <v>0</v>
      </c>
    </row>
    <row r="55" spans="1:17">
      <c r="H55" s="2">
        <v>2020</v>
      </c>
      <c r="I55" s="5">
        <f>IFERROR(INDEX('WEO_Data'!B:C,MATCH(H55,'WEO_Data'!A:A,0),2),0)</f>
        <v>0</v>
      </c>
      <c r="J55" s="5">
        <f>IF(I55&gt;0,B19/I55,0)</f>
        <v>0</v>
      </c>
      <c r="K55" s="5">
        <f>I55*J55</f>
        <v>0</v>
      </c>
      <c r="L55" s="3">
        <v>0</v>
      </c>
      <c r="M55" s="5">
        <f>K55*$B$2</f>
        <v>0</v>
      </c>
      <c r="N55" s="3">
        <v>0</v>
      </c>
      <c r="O55" s="5">
        <f>D85</f>
        <v>0</v>
      </c>
      <c r="P55" s="5">
        <f>EXP(O55+0.33*LN(K55))</f>
        <v>0</v>
      </c>
      <c r="Q55" s="5">
        <f>EXP(O55+0.33*LN(N55))</f>
        <v>0</v>
      </c>
    </row>
    <row r="56" spans="1:17">
      <c r="H56" s="2">
        <v>2021</v>
      </c>
      <c r="I56" s="5">
        <f>IFERROR(INDEX('WEO_Data'!B:C,MATCH(H56,'WEO_Data'!A:A,0),2),0)</f>
        <v>0</v>
      </c>
      <c r="J56" s="5">
        <f>IF(I56&gt;0,B20/I56,0)</f>
        <v>0</v>
      </c>
      <c r="K56" s="5">
        <f>I56*J56</f>
        <v>0</v>
      </c>
      <c r="L56" s="3">
        <v>0</v>
      </c>
      <c r="M56" s="5">
        <f>K56*$B$2</f>
        <v>0</v>
      </c>
      <c r="N56" s="3">
        <v>0</v>
      </c>
      <c r="O56" s="5">
        <f>D86</f>
        <v>0</v>
      </c>
      <c r="P56" s="5">
        <f>EXP(O56+0.33*LN(K56))</f>
        <v>0</v>
      </c>
      <c r="Q56" s="5">
        <f>EXP(O56+0.33*LN(N56))</f>
        <v>0</v>
      </c>
    </row>
    <row r="57" spans="1:17">
      <c r="H57" s="2">
        <v>2022</v>
      </c>
      <c r="I57" s="5">
        <f>IFERROR(INDEX('WEO_Data'!B:C,MATCH(H57,'WEO_Data'!A:A,0),2),0)</f>
        <v>0</v>
      </c>
      <c r="J57" s="5">
        <f>IF(I57&gt;0,B21/I57,0)</f>
        <v>0</v>
      </c>
      <c r="K57" s="5">
        <f>I57*J57</f>
        <v>0</v>
      </c>
      <c r="L57" s="3">
        <v>0</v>
      </c>
      <c r="M57" s="5">
        <f>K57*$B$2</f>
        <v>0</v>
      </c>
      <c r="N57" s="3">
        <v>0</v>
      </c>
      <c r="O57" s="5">
        <f>D87</f>
        <v>0</v>
      </c>
      <c r="P57" s="5">
        <f>EXP(O57+0.33*LN(K57))</f>
        <v>0</v>
      </c>
      <c r="Q57" s="5">
        <f>EXP(O57+0.33*LN(N57))</f>
        <v>0</v>
      </c>
    </row>
    <row r="58" spans="1:17">
      <c r="H58" s="2">
        <v>2023</v>
      </c>
      <c r="I58" s="5">
        <f>IFERROR(INDEX('WEO_Data'!B:C,MATCH(H58,'WEO_Data'!A:A,0),2),0)</f>
        <v>0</v>
      </c>
      <c r="J58" s="5">
        <f>IF(I58&gt;0,B22/I58,0)</f>
        <v>0</v>
      </c>
      <c r="K58" s="5">
        <f>I58*J58</f>
        <v>0</v>
      </c>
      <c r="L58" s="3">
        <v>0</v>
      </c>
      <c r="M58" s="5">
        <f>K58*$B$2</f>
        <v>0</v>
      </c>
      <c r="N58" s="3">
        <v>0</v>
      </c>
      <c r="O58" s="5">
        <f>D88</f>
        <v>0</v>
      </c>
      <c r="P58" s="5">
        <f>EXP(O58+0.33*LN(K58))</f>
        <v>0</v>
      </c>
      <c r="Q58" s="5">
        <f>EXP(O58+0.33*LN(N58))</f>
        <v>0</v>
      </c>
    </row>
    <row r="59" spans="1:17">
      <c r="H59" s="2">
        <v>2024</v>
      </c>
      <c r="I59" s="5">
        <f>IFERROR(INDEX('WEO_Data'!B:C,MATCH(H59,'WEO_Data'!A:A,0),2),0)</f>
        <v>0</v>
      </c>
      <c r="J59" s="5">
        <f>AVERAGE(J49:J55)</f>
        <v>0</v>
      </c>
      <c r="K59" s="5">
        <f>I59*J59</f>
        <v>0</v>
      </c>
      <c r="L59" s="3">
        <v>0</v>
      </c>
      <c r="M59" s="5">
        <f>K59*$B$2</f>
        <v>0</v>
      </c>
      <c r="N59" s="3">
        <v>0</v>
      </c>
      <c r="O59" s="5">
        <f>TREND($O$6:$O$27,$A$6:$A$27,A59)</f>
        <v>0</v>
      </c>
      <c r="P59" s="5">
        <f>EXP(O59+0.33*LN(K59))</f>
        <v>0</v>
      </c>
      <c r="Q59" s="5">
        <f>EXP(O59+0.33*LN(N59))</f>
        <v>0</v>
      </c>
    </row>
    <row r="60" spans="1:17">
      <c r="H60" s="2">
        <v>2025</v>
      </c>
      <c r="I60" s="5">
        <f>IFERROR(INDEX('WEO_Data'!B:C,MATCH(H60,'WEO_Data'!A:A,0),2),0)</f>
        <v>0</v>
      </c>
      <c r="J60" s="5">
        <f>AVERAGE(J50:J55)</f>
        <v>0</v>
      </c>
      <c r="K60" s="5">
        <f>I60*J60</f>
        <v>0</v>
      </c>
      <c r="L60" s="3">
        <v>0</v>
      </c>
      <c r="M60" s="5">
        <f>K60*$B$2</f>
        <v>0</v>
      </c>
      <c r="N60" s="5">
        <f>INDEX('Production'!B:B,MATCH(2025,'Production'!A:A,0))</f>
        <v>0</v>
      </c>
      <c r="O60" s="5">
        <f>TREND($O$6:$O$27,$A$6:$A$27,A60)</f>
        <v>0</v>
      </c>
      <c r="P60" s="5">
        <f>EXP(O60+0.33*LN(K60))</f>
        <v>0</v>
      </c>
      <c r="Q60" s="5">
        <f>EXP(O60+0.33*LN(N60))</f>
        <v>0</v>
      </c>
    </row>
    <row r="61" spans="1:17">
      <c r="H61" s="2">
        <v>2026</v>
      </c>
      <c r="I61" s="5">
        <f>IFERROR(INDEX('WEO_Data'!B:C,MATCH(H61,'WEO_Data'!A:A,0),2),0)</f>
        <v>0</v>
      </c>
      <c r="J61" s="5">
        <f>AVERAGE(J51:J55)</f>
        <v>0</v>
      </c>
      <c r="K61" s="5">
        <f>I61*J61</f>
        <v>0</v>
      </c>
      <c r="L61" s="3">
        <f>812.5</f>
        <v>0</v>
      </c>
      <c r="M61" s="5">
        <f>K61*$B$2</f>
        <v>0</v>
      </c>
      <c r="N61" s="5">
        <f>N60+L61-M61</f>
        <v>0</v>
      </c>
      <c r="O61" s="5">
        <f>TREND($O$6:$O$27,$A$6:$A$27,A61)</f>
        <v>0</v>
      </c>
      <c r="P61" s="5">
        <f>EXP(O61+0.33*LN(K61))</f>
        <v>0</v>
      </c>
      <c r="Q61" s="5">
        <f>EXP(O61+0.33*LN(N61))</f>
        <v>0</v>
      </c>
    </row>
    <row r="62" spans="1:17">
      <c r="H62" s="2">
        <v>2027</v>
      </c>
      <c r="I62" s="5">
        <f>IFERROR(INDEX('WEO_Data'!B:C,MATCH(H62,'WEO_Data'!A:A,0),2),0)</f>
        <v>0</v>
      </c>
      <c r="J62" s="5">
        <f>AVERAGE(J52:J55)</f>
        <v>0</v>
      </c>
      <c r="K62" s="5">
        <f>I62*J62</f>
        <v>0</v>
      </c>
      <c r="L62" s="3">
        <f>812.5</f>
        <v>0</v>
      </c>
      <c r="M62" s="5">
        <f>K62*$B$2</f>
        <v>0</v>
      </c>
      <c r="N62" s="5">
        <f>N61+L62-M62</f>
        <v>0</v>
      </c>
      <c r="O62" s="5">
        <f>TREND($O$6:$O$27,$A$6:$A$27,A62)</f>
        <v>0</v>
      </c>
      <c r="P62" s="5">
        <f>EXP(O62+0.33*LN(K62))</f>
        <v>0</v>
      </c>
      <c r="Q62" s="5">
        <f>EXP(O62+0.33*LN(N62))</f>
        <v>0</v>
      </c>
    </row>
    <row r="63" spans="1:17">
      <c r="H63" s="2">
        <v>2028</v>
      </c>
      <c r="I63" s="5">
        <f>IFERROR(INDEX('WEO_Data'!B:C,MATCH(H63,'WEO_Data'!A:A,0),2),0)</f>
        <v>0</v>
      </c>
      <c r="J63" s="5">
        <f>AVERAGE(J53:J55)</f>
        <v>0</v>
      </c>
      <c r="K63" s="5">
        <f>I63*J63</f>
        <v>0</v>
      </c>
      <c r="L63" s="3">
        <f>812.5</f>
        <v>0</v>
      </c>
      <c r="M63" s="5">
        <f>K63*$B$2</f>
        <v>0</v>
      </c>
      <c r="N63" s="5">
        <f>N62+L63-M63</f>
        <v>0</v>
      </c>
      <c r="O63" s="5">
        <f>TREND($O$6:$O$27,$A$6:$A$27,A63)</f>
        <v>0</v>
      </c>
      <c r="P63" s="5">
        <f>EXP(O63+0.33*LN(K63))</f>
        <v>0</v>
      </c>
      <c r="Q63" s="5">
        <f>EXP(O63+0.33*LN(N63))</f>
        <v>0</v>
      </c>
    </row>
    <row r="64" spans="1:17">
      <c r="H64" s="2">
        <v>2029</v>
      </c>
      <c r="I64" s="5">
        <f>IFERROR(INDEX('WEO_Data'!B:C,MATCH(H64,'WEO_Data'!A:A,0),2),0)</f>
        <v>0</v>
      </c>
      <c r="J64" s="5">
        <f>AVERAGE(J54:J55)</f>
        <v>0</v>
      </c>
      <c r="K64" s="5">
        <f>I64*J64</f>
        <v>0</v>
      </c>
      <c r="L64" s="3">
        <f>812.5</f>
        <v>0</v>
      </c>
      <c r="M64" s="5">
        <f>K64*$B$2</f>
        <v>0</v>
      </c>
      <c r="N64" s="5">
        <f>N63+L64-M64</f>
        <v>0</v>
      </c>
      <c r="O64" s="5">
        <f>TREND($O$6:$O$27,$A$6:$A$27,A64)</f>
        <v>0</v>
      </c>
      <c r="P64" s="5">
        <f>EXP(O64+0.33*LN(K64))</f>
        <v>0</v>
      </c>
      <c r="Q64" s="5">
        <f>EXP(O64+0.33*LN(N64))</f>
        <v>0</v>
      </c>
    </row>
    <row r="65" spans="8:17">
      <c r="H65" s="2">
        <v>2030</v>
      </c>
      <c r="I65" s="5">
        <f>IFERROR(INDEX('WEO_Data'!B:C,MATCH(H65,'WEO_Data'!A:A,0),2),0)</f>
        <v>0</v>
      </c>
      <c r="J65" s="5">
        <f>AVERAGE(J55:J55)</f>
        <v>0</v>
      </c>
      <c r="K65" s="5">
        <f>I65*J65</f>
        <v>0</v>
      </c>
      <c r="L65" s="3">
        <f>812.5</f>
        <v>0</v>
      </c>
      <c r="M65" s="5">
        <f>K65*$B$2</f>
        <v>0</v>
      </c>
      <c r="N65" s="5">
        <f>N64+L65-M65</f>
        <v>0</v>
      </c>
      <c r="O65" s="5">
        <f>TREND($O$6:$O$27,$A$6:$A$27,A65)</f>
        <v>0</v>
      </c>
      <c r="P65" s="5">
        <f>EXP(O65+0.33*LN(K65))</f>
        <v>0</v>
      </c>
      <c r="Q65" s="5">
        <f>EXP(O65+0.33*LN(N65))</f>
        <v>0</v>
      </c>
    </row>
    <row r="66" spans="8:17">
      <c r="H66" s="2">
        <v>2031</v>
      </c>
      <c r="I66" s="5">
        <f>IFERROR(INDEX('WEO_Data'!B:C,MATCH(H66,'WEO_Data'!A:A,0),2),0)</f>
        <v>0</v>
      </c>
      <c r="J66" s="5">
        <f>AVERAGE(J56:J55)</f>
        <v>0</v>
      </c>
      <c r="K66" s="5">
        <f>I66*J66</f>
        <v>0</v>
      </c>
      <c r="L66" s="3">
        <f>812.5</f>
        <v>0</v>
      </c>
      <c r="M66" s="5">
        <f>K66*$B$2</f>
        <v>0</v>
      </c>
      <c r="N66" s="5">
        <f>N65+L66-M66</f>
        <v>0</v>
      </c>
      <c r="O66" s="5">
        <f>TREND($O$6:$O$27,$A$6:$A$27,A66)</f>
        <v>0</v>
      </c>
      <c r="P66" s="5">
        <f>EXP(O66+0.33*LN(K66))</f>
        <v>0</v>
      </c>
      <c r="Q66" s="5">
        <f>EXP(O66+0.33*LN(N66))</f>
        <v>0</v>
      </c>
    </row>
    <row r="67" spans="8:17">
      <c r="H67" s="2">
        <v>2032</v>
      </c>
      <c r="I67" s="5">
        <f>IFERROR(INDEX('WEO_Data'!B:C,MATCH(H67,'WEO_Data'!A:A,0),2),0)</f>
        <v>0</v>
      </c>
      <c r="J67" s="5">
        <f>AVERAGE(J57:J55)</f>
        <v>0</v>
      </c>
      <c r="K67" s="5">
        <f>I67*J67</f>
        <v>0</v>
      </c>
      <c r="L67" s="3">
        <f>812.5</f>
        <v>0</v>
      </c>
      <c r="M67" s="5">
        <f>K67*$B$2</f>
        <v>0</v>
      </c>
      <c r="N67" s="5">
        <f>N66+L67-M67</f>
        <v>0</v>
      </c>
      <c r="O67" s="5">
        <f>TREND($O$6:$O$27,$A$6:$A$27,A67)</f>
        <v>0</v>
      </c>
      <c r="P67" s="5">
        <f>EXP(O67+0.33*LN(K67))</f>
        <v>0</v>
      </c>
      <c r="Q67" s="5">
        <f>EXP(O67+0.33*LN(N67))</f>
        <v>0</v>
      </c>
    </row>
    <row r="68" spans="8:17">
      <c r="H68" s="2">
        <v>2033</v>
      </c>
      <c r="I68" s="5">
        <f>IFERROR(INDEX('WEO_Data'!B:C,MATCH(H68,'WEO_Data'!A:A,0),2),0)</f>
        <v>0</v>
      </c>
      <c r="J68" s="5">
        <f>AVERAGE(J58:J55)</f>
        <v>0</v>
      </c>
      <c r="K68" s="5">
        <f>I68*J68</f>
        <v>0</v>
      </c>
      <c r="L68" s="3">
        <f>812.5</f>
        <v>0</v>
      </c>
      <c r="M68" s="5">
        <f>K68*$B$2</f>
        <v>0</v>
      </c>
      <c r="N68" s="5">
        <f>N67+L68-M68</f>
        <v>0</v>
      </c>
      <c r="O68" s="5">
        <f>TREND($O$6:$O$27,$A$6:$A$27,A68)</f>
        <v>0</v>
      </c>
      <c r="P68" s="5">
        <f>EXP(O68+0.33*LN(K68))</f>
        <v>0</v>
      </c>
      <c r="Q68" s="5">
        <f>EXP(O68+0.33*LN(N68))</f>
        <v>0</v>
      </c>
    </row>
    <row r="69" spans="8:17">
      <c r="H69" s="2">
        <v>2034</v>
      </c>
      <c r="I69" s="5">
        <f>IFERROR(INDEX('WEO_Data'!B:C,MATCH(H69,'WEO_Data'!A:A,0),2),0)</f>
        <v>0</v>
      </c>
      <c r="J69" s="5">
        <f>AVERAGE(J59:J55)</f>
        <v>0</v>
      </c>
      <c r="K69" s="5">
        <f>I69*J69</f>
        <v>0</v>
      </c>
      <c r="L69" s="3">
        <v>0</v>
      </c>
      <c r="M69" s="5">
        <f>K69*$B$2</f>
        <v>0</v>
      </c>
      <c r="N69" s="5">
        <f>N68+L69-M69</f>
        <v>0</v>
      </c>
      <c r="O69" s="5">
        <f>TREND($O$6:$O$27,$A$6:$A$27,A69)</f>
        <v>0</v>
      </c>
      <c r="P69" s="5">
        <f>EXP(O69+0.33*LN(K69))</f>
        <v>0</v>
      </c>
      <c r="Q69" s="5">
        <f>EXP(O69+0.33*LN(N69))</f>
        <v>0</v>
      </c>
    </row>
    <row r="70" spans="8:17">
      <c r="H70" s="2">
        <v>2035</v>
      </c>
      <c r="I70" s="5">
        <f>IFERROR(INDEX('WEO_Data'!B:C,MATCH(H70,'WEO_Data'!A:A,0),2),0)</f>
        <v>0</v>
      </c>
      <c r="J70" s="5">
        <f>AVERAGE(J60:J55)</f>
        <v>0</v>
      </c>
      <c r="K70" s="5">
        <f>I70*J70</f>
        <v>0</v>
      </c>
      <c r="L70" s="3">
        <v>0</v>
      </c>
      <c r="M70" s="5">
        <f>K70*$B$2</f>
        <v>0</v>
      </c>
      <c r="N70" s="5">
        <f>N69+L70-M70</f>
        <v>0</v>
      </c>
      <c r="O70" s="5">
        <f>TREND($O$6:$O$27,$A$6:$A$27,A70)</f>
        <v>0</v>
      </c>
      <c r="P70" s="5">
        <f>EXP(O70+0.33*LN(K70))</f>
        <v>0</v>
      </c>
      <c r="Q70" s="5">
        <f>EXP(O70+0.33*LN(N70))</f>
        <v>0</v>
      </c>
    </row>
    <row r="71" spans="8:17">
      <c r="H71" s="2">
        <v>2036</v>
      </c>
      <c r="I71" s="5">
        <f>IFERROR(INDEX('WEO_Data'!B:C,MATCH(H71,'WEO_Data'!A:A,0),2),0)</f>
        <v>0</v>
      </c>
      <c r="J71" s="5">
        <f>AVERAGE(J61:J55)</f>
        <v>0</v>
      </c>
      <c r="K71" s="5">
        <f>I71*J71</f>
        <v>0</v>
      </c>
      <c r="L71" s="3">
        <v>0</v>
      </c>
      <c r="M71" s="5">
        <f>K71*$B$2</f>
        <v>0</v>
      </c>
      <c r="N71" s="5">
        <f>N70+L71-M71</f>
        <v>0</v>
      </c>
      <c r="O71" s="5">
        <f>TREND($O$6:$O$27,$A$6:$A$27,A71)</f>
        <v>0</v>
      </c>
      <c r="P71" s="5">
        <f>EXP(O71+0.33*LN(K71))</f>
        <v>0</v>
      </c>
      <c r="Q71" s="5">
        <f>EXP(O71+0.33*LN(N71))</f>
        <v>0</v>
      </c>
    </row>
    <row r="72" spans="8:17">
      <c r="H72" s="2">
        <v>2037</v>
      </c>
      <c r="I72" s="5">
        <f>IFERROR(INDEX('WEO_Data'!B:C,MATCH(H72,'WEO_Data'!A:A,0),2),0)</f>
        <v>0</v>
      </c>
      <c r="J72" s="5">
        <f>AVERAGE(J62:J55)</f>
        <v>0</v>
      </c>
      <c r="K72" s="5">
        <f>I72*J72</f>
        <v>0</v>
      </c>
      <c r="L72" s="3">
        <v>0</v>
      </c>
      <c r="M72" s="5">
        <f>K72*$B$2</f>
        <v>0</v>
      </c>
      <c r="N72" s="5">
        <f>N71+L72-M72</f>
        <v>0</v>
      </c>
      <c r="O72" s="5">
        <f>TREND($O$6:$O$27,$A$6:$A$27,A72)</f>
        <v>0</v>
      </c>
      <c r="P72" s="5">
        <f>EXP(O72+0.33*LN(K72))</f>
        <v>0</v>
      </c>
      <c r="Q72" s="5">
        <f>EXP(O72+0.33*LN(N72))</f>
        <v>0</v>
      </c>
    </row>
    <row r="73" spans="8:17">
      <c r="H73" s="2">
        <v>2038</v>
      </c>
      <c r="I73" s="5">
        <f>IFERROR(INDEX('WEO_Data'!B:C,MATCH(H73,'WEO_Data'!A:A,0),2),0)</f>
        <v>0</v>
      </c>
      <c r="J73" s="5">
        <f>AVERAGE(J63:J55)</f>
        <v>0</v>
      </c>
      <c r="K73" s="5">
        <f>I73*J73</f>
        <v>0</v>
      </c>
      <c r="L73" s="3">
        <v>0</v>
      </c>
      <c r="M73" s="5">
        <f>K73*$B$2</f>
        <v>0</v>
      </c>
      <c r="N73" s="5">
        <f>N72+L73-M73</f>
        <v>0</v>
      </c>
      <c r="O73" s="5">
        <f>TREND($O$6:$O$27,$A$6:$A$27,A73)</f>
        <v>0</v>
      </c>
      <c r="P73" s="5">
        <f>EXP(O73+0.33*LN(K73))</f>
        <v>0</v>
      </c>
      <c r="Q73" s="5">
        <f>EXP(O73+0.33*LN(N73))</f>
        <v>0</v>
      </c>
    </row>
    <row r="74" spans="8:17">
      <c r="H74" s="2">
        <v>2039</v>
      </c>
      <c r="I74" s="5">
        <f>IFERROR(INDEX('WEO_Data'!B:C,MATCH(H74,'WEO_Data'!A:A,0),2),0)</f>
        <v>0</v>
      </c>
      <c r="J74" s="5">
        <f>AVERAGE(J64:J55)</f>
        <v>0</v>
      </c>
      <c r="K74" s="5">
        <f>I74*J74</f>
        <v>0</v>
      </c>
      <c r="L74" s="3">
        <v>0</v>
      </c>
      <c r="M74" s="5">
        <f>K74*$B$2</f>
        <v>0</v>
      </c>
      <c r="N74" s="5">
        <f>N73+L74-M74</f>
        <v>0</v>
      </c>
      <c r="O74" s="5">
        <f>TREND($O$6:$O$27,$A$6:$A$27,A74)</f>
        <v>0</v>
      </c>
      <c r="P74" s="5">
        <f>EXP(O74+0.33*LN(K74))</f>
        <v>0</v>
      </c>
      <c r="Q74" s="5">
        <f>EXP(O74+0.33*LN(N74))</f>
        <v>0</v>
      </c>
    </row>
    <row r="75" spans="8:17">
      <c r="H75" s="2">
        <v>2040</v>
      </c>
      <c r="I75" s="5">
        <f>IFERROR(INDEX('WEO_Data'!B:C,MATCH(H75,'WEO_Data'!A:A,0),2),0)</f>
        <v>0</v>
      </c>
      <c r="J75" s="5">
        <f>AVERAGE(J65:J55)</f>
        <v>0</v>
      </c>
      <c r="K75" s="5">
        <f>I75*J75</f>
        <v>0</v>
      </c>
      <c r="L75" s="3">
        <v>0</v>
      </c>
      <c r="M75" s="5">
        <f>K75*$B$2</f>
        <v>0</v>
      </c>
      <c r="N75" s="5">
        <f>N74+L75-M75</f>
        <v>0</v>
      </c>
      <c r="O75" s="5">
        <f>TREND($O$6:$O$27,$A$6:$A$27,A75)</f>
        <v>0</v>
      </c>
      <c r="P75" s="5">
        <f>EXP(O75+0.33*LN(K75))</f>
        <v>0</v>
      </c>
      <c r="Q75" s="5">
        <f>EXP(O75+0.33*LN(N75))</f>
        <v>0</v>
      </c>
    </row>
    <row r="76" spans="8:17">
      <c r="H76" s="2">
        <v>2041</v>
      </c>
      <c r="I76" s="5">
        <f>IFERROR(INDEX('WEO_Data'!B:C,MATCH(H76,'WEO_Data'!A:A,0),2),0)</f>
        <v>0</v>
      </c>
      <c r="J76" s="5">
        <f>AVERAGE(J66:J55)</f>
        <v>0</v>
      </c>
      <c r="K76" s="5">
        <f>I76*J76</f>
        <v>0</v>
      </c>
      <c r="L76" s="3">
        <v>0</v>
      </c>
      <c r="M76" s="5">
        <f>K76*$B$2</f>
        <v>0</v>
      </c>
      <c r="N76" s="5">
        <f>N75+L76-M76</f>
        <v>0</v>
      </c>
      <c r="O76" s="5">
        <f>TREND($O$6:$O$27,$A$6:$A$27,A76)</f>
        <v>0</v>
      </c>
      <c r="P76" s="5">
        <f>EXP(O76+0.33*LN(K76))</f>
        <v>0</v>
      </c>
      <c r="Q76" s="5">
        <f>EXP(O76+0.33*LN(N76))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19</v>
      </c>
      <c r="C1" s="1" t="s">
        <v>20</v>
      </c>
      <c r="D1" s="1" t="s">
        <v>21</v>
      </c>
    </row>
    <row r="3" spans="1:4">
      <c r="A3" s="2">
        <v>2026</v>
      </c>
      <c r="B3" s="3">
        <f>812.5</f>
        <v>0</v>
      </c>
    </row>
    <row r="4" spans="1:4">
      <c r="A4" s="2">
        <v>2027</v>
      </c>
      <c r="B4" s="3">
        <f>812.5</f>
        <v>0</v>
      </c>
    </row>
    <row r="5" spans="1:4">
      <c r="A5" s="2">
        <v>2028</v>
      </c>
      <c r="B5" s="3">
        <f>812.5</f>
        <v>0</v>
      </c>
    </row>
    <row r="6" spans="1:4">
      <c r="A6" s="2">
        <v>2029</v>
      </c>
      <c r="B6" s="3">
        <f>812.5</f>
        <v>0</v>
      </c>
    </row>
    <row r="7" spans="1:4">
      <c r="A7" s="2">
        <v>2030</v>
      </c>
      <c r="B7" s="3">
        <f>812.5</f>
        <v>0</v>
      </c>
    </row>
    <row r="8" spans="1:4">
      <c r="A8" s="2">
        <v>2031</v>
      </c>
      <c r="B8" s="3">
        <f>812.5</f>
        <v>0</v>
      </c>
    </row>
    <row r="9" spans="1:4">
      <c r="A9" s="2">
        <v>2032</v>
      </c>
      <c r="B9" s="3">
        <f>812.5</f>
        <v>0</v>
      </c>
    </row>
    <row r="10" spans="1:4">
      <c r="A10" s="2">
        <v>2033</v>
      </c>
      <c r="B10" s="3">
        <f>812.5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PWT</vt:lpstr>
      <vt:lpstr>WEO_Data</vt:lpstr>
      <vt:lpstr>CFC data</vt:lpstr>
      <vt:lpstr>Production</vt:lpstr>
      <vt:lpstr>Investment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2026-01-27T05:50:54Z</dcterms:created>
  <dcterms:modified xsi:type="dcterms:W3CDTF">2026-01-27T05:50:54Z</dcterms:modified>
</cp:coreProperties>
</file>