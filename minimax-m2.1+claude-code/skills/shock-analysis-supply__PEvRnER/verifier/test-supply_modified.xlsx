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T" sheetId="1" state="visible" r:id="rId1"/>
    <sheet name="WEO_Data" sheetId="2" state="visible" r:id="rId2"/>
    <sheet name="CFC data" sheetId="3" state="visible" r:id="rId3"/>
    <sheet name="Production" sheetId="4" state="visible" r:id="rId4"/>
    <sheet name="Investment" sheetId="5" state="visible" r:id="rId5"/>
  </sheets>
  <definedNames>
    <definedName name="_xlnm.Print_Area" localSheetId="3">'Production'!$A$1:$Q$70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Real_GDP</t>
        </is>
      </c>
      <c r="C1" t="inlineStr">
        <is>
          <t>Capital_Stock</t>
        </is>
      </c>
    </row>
    <row r="2">
      <c r="A2" t="n">
        <v>1990</v>
      </c>
      <c r="B2" t="n">
        <v>67440.0546875</v>
      </c>
      <c r="C2" t="n">
        <v>333953.90625</v>
      </c>
    </row>
    <row r="3">
      <c r="A3" t="n">
        <v>1991</v>
      </c>
      <c r="B3" t="n">
        <v>53052.83984375</v>
      </c>
      <c r="C3" t="n">
        <v>336800.125</v>
      </c>
    </row>
    <row r="4">
      <c r="A4" t="n">
        <v>1992</v>
      </c>
      <c r="B4" t="n">
        <v>29442.9375</v>
      </c>
      <c r="C4" t="n">
        <v>331575.34375</v>
      </c>
    </row>
    <row r="5">
      <c r="A5" t="n">
        <v>1993</v>
      </c>
      <c r="B5" t="n">
        <v>20818.90234375</v>
      </c>
      <c r="C5" t="n">
        <v>318977.5625</v>
      </c>
    </row>
    <row r="6">
      <c r="A6" t="n">
        <v>1994</v>
      </c>
      <c r="B6" t="n">
        <v>18657.6640625</v>
      </c>
      <c r="C6" t="n">
        <v>310557.21875</v>
      </c>
    </row>
    <row r="7">
      <c r="A7" t="n">
        <v>1995</v>
      </c>
      <c r="B7" t="n">
        <v>19138.576171875</v>
      </c>
      <c r="C7" t="n">
        <v>305633.28125</v>
      </c>
    </row>
    <row r="8">
      <c r="A8" t="n">
        <v>1996</v>
      </c>
      <c r="B8" t="n">
        <v>21298.572265625</v>
      </c>
      <c r="C8" t="n">
        <v>301706.46875</v>
      </c>
    </row>
    <row r="9">
      <c r="A9" t="n">
        <v>1997</v>
      </c>
      <c r="B9" t="n">
        <v>23538.966796875</v>
      </c>
      <c r="C9" t="n">
        <v>298764.625</v>
      </c>
    </row>
    <row r="10">
      <c r="A10" t="n">
        <v>1998</v>
      </c>
      <c r="B10" t="n">
        <v>24269.841796875</v>
      </c>
      <c r="C10" t="n">
        <v>298990.5</v>
      </c>
    </row>
    <row r="11">
      <c r="A11" t="n">
        <v>1999</v>
      </c>
      <c r="B11" t="n">
        <v>24966.201171875</v>
      </c>
      <c r="C11" t="n">
        <v>299754.78125</v>
      </c>
    </row>
    <row r="12">
      <c r="A12" t="n">
        <v>2000</v>
      </c>
      <c r="B12" t="n">
        <v>25425.16796875</v>
      </c>
      <c r="C12" t="n">
        <v>300383.3125</v>
      </c>
    </row>
    <row r="13">
      <c r="A13" t="n">
        <v>2001</v>
      </c>
      <c r="B13" t="n">
        <v>26646.9609375</v>
      </c>
      <c r="C13" t="n">
        <v>302284.0625</v>
      </c>
    </row>
    <row r="14">
      <c r="A14" t="n">
        <v>2002</v>
      </c>
      <c r="B14" t="n">
        <v>28105.572265625</v>
      </c>
      <c r="C14" t="n">
        <v>303592.625</v>
      </c>
    </row>
    <row r="15">
      <c r="A15" t="n">
        <v>2003</v>
      </c>
      <c r="B15" t="n">
        <v>31213.515625</v>
      </c>
      <c r="C15" t="n">
        <v>307310.28125</v>
      </c>
    </row>
    <row r="16">
      <c r="A16" t="n">
        <v>2004</v>
      </c>
      <c r="B16" t="n">
        <v>33022.64453125</v>
      </c>
      <c r="C16" t="n">
        <v>311984.28125</v>
      </c>
    </row>
    <row r="17">
      <c r="A17" t="n">
        <v>2005</v>
      </c>
      <c r="B17" t="n">
        <v>36188.953125</v>
      </c>
      <c r="C17" t="n">
        <v>317837.8125</v>
      </c>
    </row>
    <row r="18">
      <c r="A18" t="n">
        <v>2006</v>
      </c>
      <c r="B18" t="n">
        <v>39598.22265625</v>
      </c>
      <c r="C18" t="n">
        <v>322943.65625</v>
      </c>
    </row>
    <row r="19">
      <c r="A19" t="n">
        <v>2007</v>
      </c>
      <c r="B19" t="n">
        <v>44579.19140625</v>
      </c>
      <c r="C19" t="n">
        <v>329445.875</v>
      </c>
    </row>
    <row r="20">
      <c r="A20" t="n">
        <v>2008</v>
      </c>
      <c r="B20" t="n">
        <v>45657.16015625</v>
      </c>
      <c r="C20" t="n">
        <v>332604.46875</v>
      </c>
    </row>
    <row r="21">
      <c r="A21" t="n">
        <v>2009</v>
      </c>
      <c r="B21" t="n">
        <v>43990.6328125</v>
      </c>
      <c r="C21" t="n">
        <v>330608.28125</v>
      </c>
    </row>
    <row r="22">
      <c r="A22" t="n">
        <v>2010</v>
      </c>
      <c r="B22" t="n">
        <v>46739.7890625</v>
      </c>
      <c r="C22" t="n">
        <v>332551.53125</v>
      </c>
    </row>
    <row r="23">
      <c r="A23" t="n">
        <v>2011</v>
      </c>
      <c r="B23" t="n">
        <v>50455.2109375</v>
      </c>
      <c r="C23" t="n">
        <v>336560.28125</v>
      </c>
    </row>
    <row r="24">
      <c r="A24" t="n">
        <v>2012</v>
      </c>
      <c r="B24" t="n">
        <v>53774.6796875</v>
      </c>
      <c r="C24" t="n">
        <v>341471.1875</v>
      </c>
    </row>
    <row r="25">
      <c r="A25" t="n">
        <v>2013</v>
      </c>
      <c r="B25" t="n">
        <v>56535.23046875</v>
      </c>
      <c r="C25" t="n">
        <v>344239.03125</v>
      </c>
    </row>
    <row r="26">
      <c r="A26" t="n">
        <v>2014</v>
      </c>
      <c r="B26" t="n">
        <v>58847.86328125</v>
      </c>
      <c r="C26" t="n">
        <v>350962.15625</v>
      </c>
    </row>
    <row r="27">
      <c r="A27" t="n">
        <v>2015</v>
      </c>
      <c r="B27" t="n">
        <v>60819.7421875</v>
      </c>
      <c r="C27" t="n">
        <v>360259.8125</v>
      </c>
    </row>
    <row r="28">
      <c r="A28" t="n">
        <v>2016</v>
      </c>
      <c r="B28" t="n">
        <v>62917.9765625</v>
      </c>
      <c r="C28" t="n">
        <v>370547.65625</v>
      </c>
    </row>
    <row r="29">
      <c r="A29" t="n">
        <v>2017</v>
      </c>
      <c r="B29" t="n">
        <v>66165.234375</v>
      </c>
      <c r="C29" t="n">
        <v>380655.78125</v>
      </c>
    </row>
    <row r="30">
      <c r="A30" t="n">
        <v>2018</v>
      </c>
      <c r="B30" t="n">
        <v>70176.296875</v>
      </c>
      <c r="C30" t="n">
        <v>390625.1875</v>
      </c>
    </row>
    <row r="31">
      <c r="A31" t="n">
        <v>2019</v>
      </c>
      <c r="B31" t="n">
        <v>73951.9765625</v>
      </c>
      <c r="C31" t="n">
        <v>399934.28125</v>
      </c>
    </row>
    <row r="32">
      <c r="A32" t="n">
        <v>2020</v>
      </c>
      <c r="B32" t="n">
        <v>69299.46875</v>
      </c>
      <c r="C32" t="n">
        <v>405156.15625</v>
      </c>
    </row>
    <row r="33">
      <c r="A33" t="n">
        <v>2021</v>
      </c>
      <c r="B33" t="n">
        <v>76675.71875</v>
      </c>
      <c r="C33" t="n">
        <v>409189.75</v>
      </c>
    </row>
    <row r="34">
      <c r="A34" t="n">
        <v>2022</v>
      </c>
      <c r="B34" t="n">
        <v>85079.0234375</v>
      </c>
      <c r="C34" t="n">
        <v>415085.84375</v>
      </c>
    </row>
    <row r="35">
      <c r="A35" t="n">
        <v>2023</v>
      </c>
      <c r="B35" t="n">
        <v>91437.8125</v>
      </c>
      <c r="C35" t="n">
        <v>426190.5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Real_GDP_Level</t>
        </is>
      </c>
      <c r="C1" t="inlineStr">
        <is>
          <t>Real_GDP_Growth_Rate</t>
        </is>
      </c>
    </row>
    <row r="2">
      <c r="A2" t="n">
        <v>2000</v>
      </c>
      <c r="B2" t="n">
        <v>25425.16796875</v>
      </c>
      <c r="C2" t="n">
        <v>1.838352553980216</v>
      </c>
    </row>
    <row r="3">
      <c r="A3" t="n">
        <v>2001</v>
      </c>
      <c r="B3" t="n">
        <v>26646.9609375</v>
      </c>
      <c r="C3" t="n">
        <v>4.805446989580187</v>
      </c>
    </row>
    <row r="4">
      <c r="A4" t="n">
        <v>2002</v>
      </c>
      <c r="B4" t="n">
        <v>28105.572265625</v>
      </c>
      <c r="C4" t="n">
        <v>5.473837453907593</v>
      </c>
    </row>
    <row r="5">
      <c r="A5" t="n">
        <v>2003</v>
      </c>
      <c r="B5" t="n">
        <v>31213.515625</v>
      </c>
      <c r="C5" t="n">
        <v>11.05810381657386</v>
      </c>
    </row>
    <row r="6">
      <c r="A6" t="n">
        <v>2004</v>
      </c>
      <c r="B6" t="n">
        <v>33022.64453125</v>
      </c>
      <c r="C6" t="n">
        <v>5.795979305839571</v>
      </c>
    </row>
    <row r="7">
      <c r="A7" t="n">
        <v>2005</v>
      </c>
      <c r="B7" t="n">
        <v>36188.953125</v>
      </c>
      <c r="C7" t="n">
        <v>9.58829505842167</v>
      </c>
    </row>
    <row r="8">
      <c r="A8" t="n">
        <v>2006</v>
      </c>
      <c r="B8" t="n">
        <v>39598.22265625</v>
      </c>
      <c r="C8" t="n">
        <v>9.4207464898862</v>
      </c>
    </row>
    <row r="9">
      <c r="A9" t="n">
        <v>2007</v>
      </c>
      <c r="B9" t="n">
        <v>44579.19140625</v>
      </c>
      <c r="C9" t="n">
        <v>12.57876847968536</v>
      </c>
    </row>
    <row r="10">
      <c r="A10" t="n">
        <v>2008</v>
      </c>
      <c r="B10" t="n">
        <v>45657.16015625</v>
      </c>
      <c r="C10" t="n">
        <v>2.418098480469233</v>
      </c>
    </row>
    <row r="11">
      <c r="A11" t="n">
        <v>2009</v>
      </c>
      <c r="B11" t="n">
        <v>43990.6328125</v>
      </c>
      <c r="C11" t="n">
        <v>-3.650089795437861</v>
      </c>
    </row>
    <row r="12">
      <c r="A12" t="n">
        <v>2010</v>
      </c>
      <c r="B12" t="n">
        <v>46739.7890625</v>
      </c>
      <c r="C12" t="n">
        <v>6.249412827766432</v>
      </c>
    </row>
    <row r="13">
      <c r="A13" t="n">
        <v>2011</v>
      </c>
      <c r="B13" t="n">
        <v>50455.2109375</v>
      </c>
      <c r="C13" t="n">
        <v>7.949162693121647</v>
      </c>
    </row>
    <row r="14">
      <c r="A14" t="n">
        <v>2012</v>
      </c>
      <c r="B14" t="n">
        <v>53774.6796875</v>
      </c>
      <c r="C14" t="n">
        <v>6.579040476338305</v>
      </c>
    </row>
    <row r="15">
      <c r="A15" t="n">
        <v>2013</v>
      </c>
      <c r="B15" t="n">
        <v>56535.23046875</v>
      </c>
      <c r="C15" t="n">
        <v>5.133551324326513</v>
      </c>
    </row>
    <row r="16">
      <c r="A16" t="n">
        <v>2014</v>
      </c>
      <c r="B16" t="n">
        <v>58847.86328125</v>
      </c>
      <c r="C16" t="n">
        <v>4.090604731466185</v>
      </c>
    </row>
    <row r="17">
      <c r="A17" t="n">
        <v>2015</v>
      </c>
      <c r="B17" t="n">
        <v>60819.7421875</v>
      </c>
      <c r="C17" t="n">
        <v>3.350807992510885</v>
      </c>
    </row>
    <row r="18">
      <c r="A18" t="n">
        <v>2016</v>
      </c>
      <c r="B18" t="n">
        <v>62917.9765625</v>
      </c>
      <c r="C18" t="n">
        <v>3.449923165625068</v>
      </c>
    </row>
    <row r="19">
      <c r="A19" t="n">
        <v>2017</v>
      </c>
      <c r="B19" t="n">
        <v>66165.234375</v>
      </c>
      <c r="C19" t="n">
        <v>5.161097018551319</v>
      </c>
    </row>
    <row r="20">
      <c r="A20" t="n">
        <v>2018</v>
      </c>
      <c r="B20" t="n">
        <v>70176.296875</v>
      </c>
      <c r="C20" t="n">
        <v>6.06219042052627</v>
      </c>
    </row>
    <row r="21">
      <c r="A21" t="n">
        <v>2019</v>
      </c>
      <c r="B21" t="n">
        <v>73951.9765625</v>
      </c>
      <c r="C21" t="n">
        <v>5.380277751368601</v>
      </c>
    </row>
    <row r="22">
      <c r="A22" t="n">
        <v>2020</v>
      </c>
      <c r="B22" t="n">
        <v>69299.46875</v>
      </c>
      <c r="C22" t="n">
        <v>-6.291255526575368</v>
      </c>
    </row>
    <row r="23">
      <c r="A23" t="n">
        <v>2021</v>
      </c>
      <c r="B23" t="n">
        <v>76675.71875</v>
      </c>
      <c r="C23" t="n">
        <v>10.64402099042066</v>
      </c>
    </row>
    <row r="24">
      <c r="A24" t="n">
        <v>2022</v>
      </c>
      <c r="B24" t="n">
        <v>85079.0234375</v>
      </c>
      <c r="C24" t="n">
        <v>10.95953820126401</v>
      </c>
    </row>
    <row r="25">
      <c r="A25" t="n">
        <v>2023</v>
      </c>
      <c r="B25" t="n">
        <v>91437.8125</v>
      </c>
      <c r="C25" t="n">
        <v>7.473979843188072</v>
      </c>
    </row>
    <row r="26">
      <c r="A26" t="n">
        <v>2024</v>
      </c>
      <c r="B26" t="n">
        <v>96035.41402866704</v>
      </c>
      <c r="C26" t="n">
        <v>5.02811845883457</v>
      </c>
    </row>
    <row r="27">
      <c r="A27" t="n">
        <v>2025</v>
      </c>
      <c r="B27" t="n">
        <v>100864.1884084607</v>
      </c>
      <c r="C27" t="n">
        <v>5.02811845883457</v>
      </c>
    </row>
    <row r="28">
      <c r="A28" t="n">
        <v>2026</v>
      </c>
      <c r="B28" t="n">
        <v>105935.7592841802</v>
      </c>
      <c r="C28" t="n">
        <v>5.02811845883457</v>
      </c>
    </row>
    <row r="29">
      <c r="A29" t="n">
        <v>2027</v>
      </c>
      <c r="B29" t="n">
        <v>111262.3347512546</v>
      </c>
      <c r="C29" t="n">
        <v>5.02811845883457</v>
      </c>
    </row>
    <row r="30">
      <c r="A30" t="n">
        <v>2028</v>
      </c>
      <c r="B30" t="n">
        <v>116856.7367426127</v>
      </c>
      <c r="C30" t="n">
        <v>5.02811845883457</v>
      </c>
    </row>
    <row r="31">
      <c r="A31" t="n">
        <v>2029</v>
      </c>
      <c r="B31" t="n">
        <v>122732.4318931598</v>
      </c>
      <c r="C31" t="n">
        <v>5.02811845883457</v>
      </c>
    </row>
    <row r="32">
      <c r="A32" t="n">
        <v>2030</v>
      </c>
      <c r="B32" t="n">
        <v>128903.5639561563</v>
      </c>
      <c r="C32" t="n">
        <v>5.02811845883457</v>
      </c>
    </row>
    <row r="33">
      <c r="A33" t="n">
        <v>2031</v>
      </c>
      <c r="B33" t="n">
        <v>135384.9878495314</v>
      </c>
      <c r="C33" t="n">
        <v>5.02811845883457</v>
      </c>
    </row>
    <row r="34">
      <c r="A34" t="n">
        <v>2032</v>
      </c>
      <c r="B34" t="n">
        <v>142192.3054140846</v>
      </c>
      <c r="C34" t="n">
        <v>5.02811845883457</v>
      </c>
    </row>
    <row r="35">
      <c r="A35" t="n">
        <v>2033</v>
      </c>
      <c r="B35" t="n">
        <v>149341.9029696527</v>
      </c>
      <c r="C35" t="n">
        <v>5.02811845883457</v>
      </c>
    </row>
    <row r="36">
      <c r="A36" t="n">
        <v>2034</v>
      </c>
      <c r="B36" t="n">
        <v>156850.9907596446</v>
      </c>
      <c r="C36" t="n">
        <v>5.02811845883457</v>
      </c>
    </row>
    <row r="37">
      <c r="A37" t="n">
        <v>2035</v>
      </c>
      <c r="B37" t="n">
        <v>164737.6443788952</v>
      </c>
      <c r="C37" t="n">
        <v>5.02811845883457</v>
      </c>
    </row>
    <row r="38">
      <c r="A38" t="n">
        <v>2036</v>
      </c>
      <c r="B38" t="n">
        <v>173020.8482845597</v>
      </c>
      <c r="C38" t="n">
        <v>5.02811845883457</v>
      </c>
    </row>
    <row r="39">
      <c r="A39" t="n">
        <v>2037</v>
      </c>
      <c r="B39" t="n">
        <v>181720.5414947878</v>
      </c>
      <c r="C39" t="n">
        <v>5.02811845883457</v>
      </c>
    </row>
    <row r="40">
      <c r="A40" t="n">
        <v>2038</v>
      </c>
      <c r="B40" t="n">
        <v>190857.6655851814</v>
      </c>
      <c r="C40" t="n">
        <v>5.02811845883457</v>
      </c>
    </row>
    <row r="41">
      <c r="A41" t="n">
        <v>2039</v>
      </c>
      <c r="B41" t="n">
        <v>200454.2150985707</v>
      </c>
      <c r="C41" t="n">
        <v>5.02811845883457</v>
      </c>
    </row>
    <row r="42">
      <c r="A42" t="n">
        <v>2040</v>
      </c>
      <c r="B42" t="n">
        <v>210533.2904894539</v>
      </c>
      <c r="C42" t="n">
        <v>5.02811845883457</v>
      </c>
    </row>
    <row r="43">
      <c r="A43" t="n">
        <v>2041</v>
      </c>
      <c r="B43" t="n">
        <v>221119.1537305459</v>
      </c>
      <c r="C43" t="n">
        <v>5.02811845883457</v>
      </c>
    </row>
    <row r="44">
      <c r="A44" t="n">
        <v>2042</v>
      </c>
      <c r="B44" t="n">
        <v>232237.2867152903</v>
      </c>
      <c r="C44" t="n">
        <v>5.02811845883457</v>
      </c>
    </row>
    <row r="45">
      <c r="A45" t="n">
        <v>2043</v>
      </c>
      <c r="B45" t="n">
        <v>243914.4525969184</v>
      </c>
      <c r="C45" t="n">
        <v>5.02811845883457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Capital_Stock</t>
        </is>
      </c>
      <c r="C1" t="inlineStr">
        <is>
          <t>Consumption_of_Fixed_Capital</t>
        </is>
      </c>
    </row>
    <row r="2">
      <c r="A2" t="n">
        <v>1995</v>
      </c>
      <c r="B2" t="n">
        <v>305633.28125</v>
      </c>
      <c r="C2" t="n">
        <v>10575.90006557001</v>
      </c>
    </row>
    <row r="3">
      <c r="A3" t="n">
        <v>1996</v>
      </c>
      <c r="B3" t="n">
        <v>301706.46875</v>
      </c>
      <c r="C3" t="n">
        <v>10041.58481192613</v>
      </c>
    </row>
    <row r="4">
      <c r="A4" t="n">
        <v>1997</v>
      </c>
      <c r="B4" t="n">
        <v>298764.625</v>
      </c>
      <c r="C4" t="n">
        <v>9686.626412189566</v>
      </c>
    </row>
    <row r="5">
      <c r="A5" t="n">
        <v>1998</v>
      </c>
      <c r="B5" t="n">
        <v>298990.5</v>
      </c>
      <c r="C5" t="n">
        <v>9591.929975621408</v>
      </c>
    </row>
    <row r="6">
      <c r="A6" t="n">
        <v>1999</v>
      </c>
      <c r="B6" t="n">
        <v>299754.78125</v>
      </c>
      <c r="C6" t="n">
        <v>9605.49323817169</v>
      </c>
    </row>
    <row r="7">
      <c r="A7" t="n">
        <v>2000</v>
      </c>
      <c r="B7" t="n">
        <v>300383.3125</v>
      </c>
      <c r="C7" t="n">
        <v>9586.297474527721</v>
      </c>
    </row>
    <row r="8">
      <c r="A8" t="n">
        <v>2001</v>
      </c>
      <c r="B8" t="n">
        <v>302284.0625</v>
      </c>
      <c r="C8" t="n">
        <v>9618.4117476351</v>
      </c>
    </row>
    <row r="9">
      <c r="A9" t="n">
        <v>2002</v>
      </c>
      <c r="B9" t="n">
        <v>303592.625</v>
      </c>
      <c r="C9" t="n">
        <v>9592.80153456098</v>
      </c>
    </row>
    <row r="10">
      <c r="A10" t="n">
        <v>2003</v>
      </c>
      <c r="B10" t="n">
        <v>307310.28125</v>
      </c>
      <c r="C10" t="n">
        <v>9607.671819717034</v>
      </c>
    </row>
    <row r="11">
      <c r="A11" t="n">
        <v>2004</v>
      </c>
      <c r="B11" t="n">
        <v>311984.28125</v>
      </c>
      <c r="C11" t="n">
        <v>9886.093133375847</v>
      </c>
    </row>
    <row r="12">
      <c r="A12" t="n">
        <v>2005</v>
      </c>
      <c r="B12" t="n">
        <v>317837.8125</v>
      </c>
      <c r="C12" t="n">
        <v>10469.24373896561</v>
      </c>
    </row>
    <row r="13">
      <c r="A13" t="n">
        <v>2006</v>
      </c>
      <c r="B13" t="n">
        <v>322943.65625</v>
      </c>
      <c r="C13" t="n">
        <v>11123.57374059175</v>
      </c>
    </row>
    <row r="14">
      <c r="A14" t="n">
        <v>2007</v>
      </c>
      <c r="B14" t="n">
        <v>329445.875</v>
      </c>
      <c r="C14" t="n">
        <v>11880.88409328693</v>
      </c>
    </row>
    <row r="15">
      <c r="A15" t="n">
        <v>2008</v>
      </c>
      <c r="B15" t="n">
        <v>332604.46875</v>
      </c>
      <c r="C15" t="n">
        <v>12418.88346945006</v>
      </c>
    </row>
    <row r="16">
      <c r="A16" t="n">
        <v>2009</v>
      </c>
      <c r="B16" t="n">
        <v>330608.28125</v>
      </c>
      <c r="C16" t="n">
        <v>12405.89780274778</v>
      </c>
    </row>
    <row r="17">
      <c r="A17" t="n">
        <v>2010</v>
      </c>
      <c r="B17" t="n">
        <v>332551.53125</v>
      </c>
      <c r="C17" t="n">
        <v>12379.00918277666</v>
      </c>
    </row>
    <row r="18">
      <c r="A18" t="n">
        <v>2011</v>
      </c>
      <c r="B18" t="n">
        <v>336560.28125</v>
      </c>
      <c r="C18" t="n">
        <v>12515.60787197644</v>
      </c>
    </row>
    <row r="19">
      <c r="A19" t="n">
        <v>2012</v>
      </c>
      <c r="B19" t="n">
        <v>341471.1875</v>
      </c>
      <c r="C19" t="n">
        <v>12699.04173599531</v>
      </c>
    </row>
    <row r="20">
      <c r="A20" t="n">
        <v>2013</v>
      </c>
      <c r="B20" t="n">
        <v>344239.03125</v>
      </c>
      <c r="C20" t="n">
        <v>12818.2786707168</v>
      </c>
    </row>
    <row r="21">
      <c r="A21" t="n">
        <v>2014</v>
      </c>
      <c r="B21" t="n">
        <v>350962.15625</v>
      </c>
      <c r="C21" t="n">
        <v>13181.73102520359</v>
      </c>
    </row>
    <row r="22">
      <c r="A22" t="n">
        <v>2015</v>
      </c>
      <c r="B22" t="n">
        <v>360259.8125</v>
      </c>
      <c r="C22" t="n">
        <v>13807.60036643503</v>
      </c>
    </row>
    <row r="23">
      <c r="A23" t="n">
        <v>2016</v>
      </c>
      <c r="B23" t="n">
        <v>370547.65625</v>
      </c>
      <c r="C23" t="n">
        <v>14566.1955477379</v>
      </c>
    </row>
    <row r="24">
      <c r="A24" t="n">
        <v>2017</v>
      </c>
      <c r="B24" t="n">
        <v>380655.78125</v>
      </c>
      <c r="C24" t="n">
        <v>15388.11870923963</v>
      </c>
    </row>
    <row r="25">
      <c r="A25" t="n">
        <v>2018</v>
      </c>
      <c r="B25" t="n">
        <v>390625.1875</v>
      </c>
      <c r="C25" t="n">
        <v>16116.81264502741</v>
      </c>
    </row>
    <row r="26">
      <c r="A26" t="n">
        <v>2019</v>
      </c>
      <c r="B26" t="n">
        <v>399934.28125</v>
      </c>
      <c r="C26" t="n">
        <v>16822.2947516574</v>
      </c>
    </row>
    <row r="27">
      <c r="A27" t="n">
        <v>2020</v>
      </c>
      <c r="B27" t="n">
        <v>405156.15625</v>
      </c>
      <c r="C27" t="n">
        <v>17405.19122798798</v>
      </c>
    </row>
    <row r="28">
      <c r="A28" t="n">
        <v>2021</v>
      </c>
      <c r="B28" t="n">
        <v>409189.75</v>
      </c>
      <c r="C28" t="n">
        <v>17741.36793591083</v>
      </c>
    </row>
    <row r="29">
      <c r="A29" t="n">
        <v>2022</v>
      </c>
      <c r="B29" t="n">
        <v>415085.84375</v>
      </c>
      <c r="C29" t="n">
        <v>18100.94229687064</v>
      </c>
    </row>
    <row r="30">
      <c r="A30" t="n">
        <v>2023</v>
      </c>
      <c r="B30" t="n">
        <v>426190.5</v>
      </c>
      <c r="C30" t="n">
        <v>18960.97967335021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K</t>
        </is>
      </c>
      <c r="C1" t="inlineStr">
        <is>
          <t>Y</t>
        </is>
      </c>
      <c r="D1" t="inlineStr">
        <is>
          <t>LnK</t>
        </is>
      </c>
      <c r="E1" t="inlineStr">
        <is>
          <t>LnY</t>
        </is>
      </c>
      <c r="F1" t="inlineStr">
        <is>
          <t>LnZ</t>
        </is>
      </c>
      <c r="G1" t="inlineStr">
        <is>
          <t>LnZ_HP</t>
        </is>
      </c>
      <c r="H1" t="inlineStr">
        <is>
          <t>LnZ_HP_trend</t>
        </is>
      </c>
      <c r="I1" t="inlineStr">
        <is>
          <t>Second_Diff</t>
        </is>
      </c>
      <c r="J1" t="inlineStr">
        <is>
          <t>LnA_Trend</t>
        </is>
      </c>
      <c r="K1" t="inlineStr">
        <is>
          <t>Objective</t>
        </is>
      </c>
      <c r="L1" t="inlineStr">
        <is>
          <t>Ystar_base</t>
        </is>
      </c>
      <c r="M1" t="inlineStr">
        <is>
          <t>K/Y_ratio</t>
        </is>
      </c>
      <c r="N1" t="inlineStr">
        <is>
          <t>Investment</t>
        </is>
      </c>
      <c r="O1" t="inlineStr">
        <is>
          <t>DeltaK</t>
        </is>
      </c>
      <c r="P1" t="inlineStr">
        <is>
          <t>K_With</t>
        </is>
      </c>
      <c r="Q1" t="inlineStr">
        <is>
          <t>Ystar_with</t>
        </is>
      </c>
    </row>
    <row r="2">
      <c r="A2" t="n">
        <v>1995</v>
      </c>
      <c r="B2">
        <f>IFERROR(INDEX('PWT'.C:C,6), "")</f>
        <v/>
      </c>
      <c r="C2">
        <f>IFERROR(INDEX('PWT'.B:C,6), "")</f>
        <v/>
      </c>
      <c r="D2">
        <f>IF(ISBLANK(B2), "", LN(B2))</f>
        <v/>
      </c>
      <c r="E2">
        <f>IF(ISBLANK(C2), "", LN(C2))</f>
        <v/>
      </c>
      <c r="F2">
        <f>IF(OR(ISBLANK(E2), ISBLANK(D2)), "", E2 - 0.33*D2)</f>
        <v/>
      </c>
      <c r="G2">
        <f>F2</f>
        <v/>
      </c>
      <c r="H2">
        <f>G2</f>
        <v/>
      </c>
      <c r="N2" t="n">
        <v>0</v>
      </c>
      <c r="O2">
        <f>IF(ISBLANK(B2), "", N2 - ($B$3*B2))</f>
        <v/>
      </c>
    </row>
    <row r="3">
      <c r="A3" t="n">
        <v>1996</v>
      </c>
      <c r="B3">
        <f>IFERROR(INDEX('PWT'.C:C,7), "")</f>
        <v/>
      </c>
      <c r="C3">
        <f>IFERROR(INDEX('PWT'.B:C,7), "")</f>
        <v/>
      </c>
      <c r="D3">
        <f>IF(ISBLANK(B3), "", LN(B3))</f>
        <v/>
      </c>
      <c r="E3">
        <f>IF(ISBLANK(C3), "", LN(C3))</f>
        <v/>
      </c>
      <c r="F3">
        <f>IF(OR(ISBLANK(E3), ISBLANK(D3)), "", E3 - 0.33*D3)</f>
        <v/>
      </c>
      <c r="G3">
        <f>F3</f>
        <v/>
      </c>
      <c r="H3">
        <f>G3</f>
        <v/>
      </c>
      <c r="N3" t="n">
        <v>0</v>
      </c>
      <c r="O3">
        <f>IF(ISBLANK(B3), "", N3 - ($B$3*B3))</f>
        <v/>
      </c>
    </row>
    <row r="4">
      <c r="A4" t="n">
        <v>1997</v>
      </c>
      <c r="B4">
        <f>AVERAGE(M10:M30)</f>
        <v/>
      </c>
      <c r="C4">
        <f>IFERROR(INDEX('PWT'.B:C,8), "")</f>
        <v/>
      </c>
      <c r="D4">
        <f>IF(ISBLANK(B4), "", LN(B4))</f>
        <v/>
      </c>
      <c r="E4">
        <f>IF(ISBLANK(C4), "", LN(C4))</f>
        <v/>
      </c>
      <c r="F4">
        <f>IF(OR(ISBLANK(E4), ISBLANK(D4)), "", E4 - 0.33*D4)</f>
        <v/>
      </c>
      <c r="G4">
        <f>F4</f>
        <v/>
      </c>
      <c r="H4">
        <f>G4</f>
        <v/>
      </c>
      <c r="L4">
        <f>IF(OR(ISBLANK(B4), ISBLANK(H4)), "", EXP(H4 + 0.33*LN(B4)))</f>
        <v/>
      </c>
      <c r="M4">
        <f>IF(OR(ISBLANK(B4), ISBLANK(C4)), "", B4/C4)</f>
        <v/>
      </c>
      <c r="N4" t="n">
        <v>0</v>
      </c>
      <c r="O4">
        <f>IF(ISBLANK(B4), "", N4 - ($B$3*B4))</f>
        <v/>
      </c>
    </row>
    <row r="5">
      <c r="A5" t="n">
        <v>1998</v>
      </c>
      <c r="B5">
        <f>IFERROR(INDEX('PWT'.C:C,9), "")</f>
        <v/>
      </c>
      <c r="C5">
        <f>IFERROR(INDEX('PWT'.B:C,9), "")</f>
        <v/>
      </c>
      <c r="D5">
        <f>IF(ISBLANK(B5), "", LN(B5))</f>
        <v/>
      </c>
      <c r="E5">
        <f>IF(ISBLANK(C5), "", LN(C5))</f>
        <v/>
      </c>
      <c r="F5">
        <f>IF(OR(ISBLANK(E5), ISBLANK(D5)), "", E5 - 0.33*D5)</f>
        <v/>
      </c>
      <c r="G5">
        <f>F5</f>
        <v/>
      </c>
      <c r="H5">
        <f>G5</f>
        <v/>
      </c>
      <c r="K5">
        <f>SUMPRODUCT(I8:I28, I8:I28)</f>
        <v/>
      </c>
      <c r="L5">
        <f>IF(OR(ISBLANK(B5), ISBLANK(H5)), "", EXP(H5 + 0.33*LN(B5)))</f>
        <v/>
      </c>
      <c r="M5">
        <f>IF(OR(ISBLANK(B5), ISBLANK(C5)), "", B5/C5)</f>
        <v/>
      </c>
      <c r="N5" t="n">
        <v>0</v>
      </c>
      <c r="O5">
        <f>IF(ISBLANK(B5), "", N5 - ($B$3*B5))</f>
        <v/>
      </c>
    </row>
    <row r="6">
      <c r="A6" t="n">
        <v>1999</v>
      </c>
      <c r="B6">
        <f>IFERROR(INDEX('PWT'.C:C,10), "")</f>
        <v/>
      </c>
      <c r="C6">
        <f>IFERROR(INDEX('PWT'.B:C,10), "")</f>
        <v/>
      </c>
      <c r="D6">
        <f>IF(ISBLANK(B6), "", LN(B6))</f>
        <v/>
      </c>
      <c r="E6">
        <f>IF(ISBLANK(C6), "", LN(C6))</f>
        <v/>
      </c>
      <c r="F6">
        <f>IF(OR(ISBLANK(E6), ISBLANK(D6)), "", E6 - 0.33*D6)</f>
        <v/>
      </c>
      <c r="G6">
        <f>F6</f>
        <v/>
      </c>
      <c r="H6">
        <f>G6</f>
        <v/>
      </c>
      <c r="L6">
        <f>IF(OR(ISBLANK(B6), ISBLANK(H6)), "", EXP(H6 + 0.33*LN(B6)))</f>
        <v/>
      </c>
      <c r="M6">
        <f>IF(OR(ISBLANK(B6), ISBLANK(C6)), "", B6/C6)</f>
        <v/>
      </c>
      <c r="N6" t="n">
        <v>0</v>
      </c>
      <c r="O6">
        <f>IF(ISBLANK(B6), "", N6 - ($B$3*B6))</f>
        <v/>
      </c>
    </row>
    <row r="7">
      <c r="A7" t="n">
        <v>2000</v>
      </c>
      <c r="B7">
        <f>IFERROR(INDEX('PWT'.C:C,11), "")</f>
        <v/>
      </c>
      <c r="C7">
        <f>IFERROR(WEO_Data.B2, "")</f>
        <v/>
      </c>
      <c r="D7">
        <f>IF(ISBLANK(B7), "", LN(B7))</f>
        <v/>
      </c>
      <c r="E7">
        <f>IF(ISBLANK(C7), "", LN(C7))</f>
        <v/>
      </c>
      <c r="F7">
        <f>IF(OR(ISBLANK(E7), ISBLANK(D7)), "", E7 - 0.33*D7)</f>
        <v/>
      </c>
      <c r="G7">
        <f>F7</f>
        <v/>
      </c>
      <c r="H7">
        <f>G7</f>
        <v/>
      </c>
      <c r="L7">
        <f>IF(OR(ISBLANK(B7), ISBLANK(H7)), "", EXP(H7 + 0.33*LN(B7)))</f>
        <v/>
      </c>
      <c r="M7">
        <f>IF(OR(ISBLANK(B7), ISBLANK(C7)), "", B7/C7)</f>
        <v/>
      </c>
      <c r="N7" t="n">
        <v>0</v>
      </c>
      <c r="O7">
        <f>IF(ISBLANK(B7), "", N7 - ($B$3*B7))</f>
        <v/>
      </c>
    </row>
    <row r="8">
      <c r="A8" t="n">
        <v>2001</v>
      </c>
      <c r="B8">
        <f>IFERROR(INDEX('PWT'.C:C,12), "")</f>
        <v/>
      </c>
      <c r="C8">
        <f>IFERROR(WEO_Data.B3, "")</f>
        <v/>
      </c>
      <c r="D8">
        <f>IF(ISBLANK(B8), "", LN(B8))</f>
        <v/>
      </c>
      <c r="E8">
        <f>IF(ISBLANK(C8), "", LN(C8))</f>
        <v/>
      </c>
      <c r="F8">
        <f>IF(OR(ISBLANK(E8), ISBLANK(D8)), "", E8 - 0.33*D8)</f>
        <v/>
      </c>
      <c r="G8">
        <f>F8</f>
        <v/>
      </c>
      <c r="H8">
        <f>G8</f>
        <v/>
      </c>
      <c r="I8">
        <f>IF(OR(ISBLANK(G7), ISBLANK(G8), ISBLANK(G9)), "", G7 - 2*G8 + G9)</f>
        <v/>
      </c>
      <c r="J8">
        <f>IF(OR(ISBLANK(G8), ISBLANK(G7)), "", G8 - G7)</f>
        <v/>
      </c>
      <c r="L8">
        <f>IF(OR(ISBLANK(B8), ISBLANK(H8)), "", EXP(H8 + 0.33*LN(B8)))</f>
        <v/>
      </c>
      <c r="M8">
        <f>IF(OR(ISBLANK(B8), ISBLANK(C8)), "", B8/C8)</f>
        <v/>
      </c>
      <c r="N8" t="n">
        <v>0</v>
      </c>
      <c r="O8">
        <f>IF(ISBLANK(B8), "", N8 - ($B$3*B8))</f>
        <v/>
      </c>
    </row>
    <row r="9">
      <c r="A9" t="n">
        <v>2002</v>
      </c>
      <c r="B9">
        <f>IFERROR(INDEX('PWT'.C:C,13), "")</f>
        <v/>
      </c>
      <c r="C9">
        <f>IFERROR(WEO_Data.B4, "")</f>
        <v/>
      </c>
      <c r="D9">
        <f>IF(ISBLANK(B9), "", LN(B9))</f>
        <v/>
      </c>
      <c r="E9">
        <f>IF(ISBLANK(C9), "", LN(C9))</f>
        <v/>
      </c>
      <c r="F9">
        <f>IF(OR(ISBLANK(E9), ISBLANK(D9)), "", E9 - 0.33*D9)</f>
        <v/>
      </c>
      <c r="G9">
        <f>F9</f>
        <v/>
      </c>
      <c r="H9">
        <f>G9</f>
        <v/>
      </c>
      <c r="I9">
        <f>IF(OR(ISBLANK(G8), ISBLANK(G9), ISBLANK(G10)), "", G8 - 2*G9 + G10)</f>
        <v/>
      </c>
      <c r="J9">
        <f>IF(OR(ISBLANK(G9), ISBLANK(G8)), "", G9 - G8)</f>
        <v/>
      </c>
      <c r="L9">
        <f>IF(OR(ISBLANK(B9), ISBLANK(H9)), "", EXP(H9 + 0.33*LN(B9)))</f>
        <v/>
      </c>
      <c r="M9">
        <f>IF(OR(ISBLANK(B9), ISBLANK(C9)), "", B9/C9)</f>
        <v/>
      </c>
      <c r="N9" t="n">
        <v>0</v>
      </c>
      <c r="O9">
        <f>IF(ISBLANK(B9), "", N9 - ($B$3*B9))</f>
        <v/>
      </c>
    </row>
    <row r="10">
      <c r="A10" t="n">
        <v>2003</v>
      </c>
      <c r="B10">
        <f>IFERROR(INDEX('PWT'.C:C,14), "")</f>
        <v/>
      </c>
      <c r="C10">
        <f>IFERROR(WEO_Data.B5, "")</f>
        <v/>
      </c>
      <c r="D10">
        <f>IF(ISBLANK(B10), "", LN(B10))</f>
        <v/>
      </c>
      <c r="E10">
        <f>IF(ISBLANK(C10), "", LN(C10))</f>
        <v/>
      </c>
      <c r="F10">
        <f>IF(OR(ISBLANK(E10), ISBLANK(D10)), "", E10 - 0.33*D10)</f>
        <v/>
      </c>
      <c r="G10">
        <f>F10</f>
        <v/>
      </c>
      <c r="H10">
        <f>G10</f>
        <v/>
      </c>
      <c r="I10">
        <f>IF(OR(ISBLANK(G9), ISBLANK(G10), ISBLANK(G11)), "", G9 - 2*G10 + G11)</f>
        <v/>
      </c>
      <c r="J10">
        <f>IF(OR(ISBLANK(G10), ISBLANK(G9)), "", G10 - G9)</f>
        <v/>
      </c>
      <c r="L10">
        <f>IF(OR(ISBLANK(B10), ISBLANK(H10)), "", EXP(H10 + 0.33*LN(B10)))</f>
        <v/>
      </c>
      <c r="M10">
        <f>IF(OR(ISBLANK(B10), ISBLANK(C10)), "", B10/C10)</f>
        <v/>
      </c>
      <c r="N10" t="n">
        <v>0</v>
      </c>
      <c r="O10">
        <f>IF(ISBLANK(B10), "", N10 - ($B$3*B10))</f>
        <v/>
      </c>
    </row>
    <row r="11">
      <c r="A11" t="n">
        <v>2004</v>
      </c>
      <c r="B11">
        <f>IFERROR(INDEX('PWT'.C:C,15), "")</f>
        <v/>
      </c>
      <c r="C11">
        <f>IFERROR(WEO_Data.B6, "")</f>
        <v/>
      </c>
      <c r="D11">
        <f>IF(ISBLANK(B11), "", LN(B11))</f>
        <v/>
      </c>
      <c r="E11">
        <f>IF(ISBLANK(C11), "", LN(C11))</f>
        <v/>
      </c>
      <c r="F11">
        <f>IF(OR(ISBLANK(E11), ISBLANK(D11)), "", E11 - 0.33*D11)</f>
        <v/>
      </c>
      <c r="G11">
        <f>F11</f>
        <v/>
      </c>
      <c r="H11">
        <f>G11</f>
        <v/>
      </c>
      <c r="I11">
        <f>IF(OR(ISBLANK(G10), ISBLANK(G11), ISBLANK(G12)), "", G10 - 2*G11 + G12)</f>
        <v/>
      </c>
      <c r="J11">
        <f>IF(OR(ISBLANK(G11), ISBLANK(G10)), "", G11 - G10)</f>
        <v/>
      </c>
      <c r="L11">
        <f>IF(OR(ISBLANK(B11), ISBLANK(H11)), "", EXP(H11 + 0.33*LN(B11)))</f>
        <v/>
      </c>
      <c r="M11">
        <f>IF(OR(ISBLANK(B11), ISBLANK(C11)), "", B11/C11)</f>
        <v/>
      </c>
      <c r="N11" t="n">
        <v>0</v>
      </c>
      <c r="O11">
        <f>IF(ISBLANK(B11), "", N11 - ($B$3*B11))</f>
        <v/>
      </c>
    </row>
    <row r="12">
      <c r="A12" t="n">
        <v>2005</v>
      </c>
      <c r="B12">
        <f>IFERROR(INDEX('PWT'.C:C,16), "")</f>
        <v/>
      </c>
      <c r="C12">
        <f>IFERROR(WEO_Data.B7, "")</f>
        <v/>
      </c>
      <c r="D12">
        <f>IF(ISBLANK(B12), "", LN(B12))</f>
        <v/>
      </c>
      <c r="E12">
        <f>IF(ISBLANK(C12), "", LN(C12))</f>
        <v/>
      </c>
      <c r="F12">
        <f>IF(OR(ISBLANK(E12), ISBLANK(D12)), "", E12 - 0.33*D12)</f>
        <v/>
      </c>
      <c r="G12">
        <f>F12</f>
        <v/>
      </c>
      <c r="H12">
        <f>G12</f>
        <v/>
      </c>
      <c r="I12">
        <f>IF(OR(ISBLANK(G11), ISBLANK(G12), ISBLANK(G13)), "", G11 - 2*G12 + G13)</f>
        <v/>
      </c>
      <c r="J12">
        <f>IF(OR(ISBLANK(G12), ISBLANK(G11)), "", G12 - G11)</f>
        <v/>
      </c>
      <c r="L12">
        <f>IF(OR(ISBLANK(B12), ISBLANK(H12)), "", EXP(H12 + 0.33*LN(B12)))</f>
        <v/>
      </c>
      <c r="M12">
        <f>IF(OR(ISBLANK(B12), ISBLANK(C12)), "", B12/C12)</f>
        <v/>
      </c>
      <c r="N12" t="n">
        <v>0</v>
      </c>
      <c r="O12">
        <f>IF(ISBLANK(B12), "", N12 - ($B$3*B12))</f>
        <v/>
      </c>
    </row>
    <row r="13">
      <c r="A13" t="n">
        <v>2006</v>
      </c>
      <c r="B13">
        <f>IFERROR(INDEX('PWT'.C:C,17), "")</f>
        <v/>
      </c>
      <c r="C13">
        <f>IFERROR(WEO_Data.B8, "")</f>
        <v/>
      </c>
      <c r="D13">
        <f>IF(ISBLANK(B13), "", LN(B13))</f>
        <v/>
      </c>
      <c r="E13">
        <f>IF(ISBLANK(C13), "", LN(C13))</f>
        <v/>
      </c>
      <c r="F13">
        <f>IF(OR(ISBLANK(E13), ISBLANK(D13)), "", E13 - 0.33*D13)</f>
        <v/>
      </c>
      <c r="G13">
        <f>F13</f>
        <v/>
      </c>
      <c r="H13">
        <f>G13</f>
        <v/>
      </c>
      <c r="I13">
        <f>IF(OR(ISBLANK(G12), ISBLANK(G13), ISBLANK(G14)), "", G12 - 2*G13 + G14)</f>
        <v/>
      </c>
      <c r="J13">
        <f>IF(OR(ISBLANK(G13), ISBLANK(G12)), "", G13 - G12)</f>
        <v/>
      </c>
      <c r="L13">
        <f>IF(OR(ISBLANK(B13), ISBLANK(H13)), "", EXP(H13 + 0.33*LN(B13)))</f>
        <v/>
      </c>
      <c r="M13">
        <f>IF(OR(ISBLANK(B13), ISBLANK(C13)), "", B13/C13)</f>
        <v/>
      </c>
      <c r="N13" t="n">
        <v>0</v>
      </c>
      <c r="O13">
        <f>IF(ISBLANK(B13), "", N13 - ($B$3*B13))</f>
        <v/>
      </c>
    </row>
    <row r="14">
      <c r="A14" t="n">
        <v>2007</v>
      </c>
      <c r="B14">
        <f>IFERROR(INDEX('PWT'.C:C,18), "")</f>
        <v/>
      </c>
      <c r="C14">
        <f>IFERROR(WEO_Data.B9, "")</f>
        <v/>
      </c>
      <c r="D14">
        <f>IF(ISBLANK(B14), "", LN(B14))</f>
        <v/>
      </c>
      <c r="E14">
        <f>IF(ISBLANK(C14), "", LN(C14))</f>
        <v/>
      </c>
      <c r="F14">
        <f>IF(OR(ISBLANK(E14), ISBLANK(D14)), "", E14 - 0.33*D14)</f>
        <v/>
      </c>
      <c r="G14">
        <f>F14</f>
        <v/>
      </c>
      <c r="H14">
        <f>G14</f>
        <v/>
      </c>
      <c r="I14">
        <f>IF(OR(ISBLANK(G13), ISBLANK(G14), ISBLANK(G15)), "", G13 - 2*G14 + G15)</f>
        <v/>
      </c>
      <c r="J14">
        <f>IF(OR(ISBLANK(G14), ISBLANK(G13)), "", G14 - G13)</f>
        <v/>
      </c>
      <c r="L14">
        <f>IF(OR(ISBLANK(B14), ISBLANK(H14)), "", EXP(H14 + 0.33*LN(B14)))</f>
        <v/>
      </c>
      <c r="M14">
        <f>IF(OR(ISBLANK(B14), ISBLANK(C14)), "", B14/C14)</f>
        <v/>
      </c>
      <c r="N14" t="n">
        <v>0</v>
      </c>
      <c r="O14">
        <f>IF(ISBLANK(B14), "", N14 - ($B$3*B14))</f>
        <v/>
      </c>
    </row>
    <row r="15">
      <c r="A15" t="n">
        <v>2008</v>
      </c>
      <c r="B15">
        <f>IFERROR(INDEX('PWT'.C:C,19), "")</f>
        <v/>
      </c>
      <c r="C15">
        <f>IFERROR(WEO_Data.B10, "")</f>
        <v/>
      </c>
      <c r="D15">
        <f>IF(ISBLANK(B15), "", LN(B15))</f>
        <v/>
      </c>
      <c r="E15">
        <f>IF(ISBLANK(C15), "", LN(C15))</f>
        <v/>
      </c>
      <c r="F15">
        <f>IF(OR(ISBLANK(E15), ISBLANK(D15)), "", E15 - 0.33*D15)</f>
        <v/>
      </c>
      <c r="G15">
        <f>F15</f>
        <v/>
      </c>
      <c r="H15">
        <f>G15</f>
        <v/>
      </c>
      <c r="I15">
        <f>IF(OR(ISBLANK(G14), ISBLANK(G15), ISBLANK(G16)), "", G14 - 2*G15 + G16)</f>
        <v/>
      </c>
      <c r="J15">
        <f>IF(OR(ISBLANK(G15), ISBLANK(G14)), "", G15 - G14)</f>
        <v/>
      </c>
      <c r="L15">
        <f>IF(OR(ISBLANK(B15), ISBLANK(H15)), "", EXP(H15 + 0.33*LN(B15)))</f>
        <v/>
      </c>
      <c r="M15">
        <f>IF(OR(ISBLANK(B15), ISBLANK(C15)), "", B15/C15)</f>
        <v/>
      </c>
      <c r="N15" t="n">
        <v>0</v>
      </c>
      <c r="O15">
        <f>IF(ISBLANK(B15), "", N15 - ($B$3*B15))</f>
        <v/>
      </c>
    </row>
    <row r="16">
      <c r="A16" t="n">
        <v>2009</v>
      </c>
      <c r="B16">
        <f>IFERROR(INDEX('PWT'.C:C,20), "")</f>
        <v/>
      </c>
      <c r="C16">
        <f>IFERROR(WEO_Data.B11, "")</f>
        <v/>
      </c>
      <c r="D16">
        <f>IF(ISBLANK(B16), "", LN(B16))</f>
        <v/>
      </c>
      <c r="E16">
        <f>IF(ISBLANK(C16), "", LN(C16))</f>
        <v/>
      </c>
      <c r="F16">
        <f>IF(OR(ISBLANK(E16), ISBLANK(D16)), "", E16 - 0.33*D16)</f>
        <v/>
      </c>
      <c r="G16">
        <f>F16</f>
        <v/>
      </c>
      <c r="H16">
        <f>G16</f>
        <v/>
      </c>
      <c r="I16">
        <f>IF(OR(ISBLANK(G15), ISBLANK(G16), ISBLANK(G17)), "", G15 - 2*G16 + G17)</f>
        <v/>
      </c>
      <c r="J16">
        <f>IF(OR(ISBLANK(G16), ISBLANK(G15)), "", G16 - G15)</f>
        <v/>
      </c>
      <c r="L16">
        <f>IF(OR(ISBLANK(B16), ISBLANK(H16)), "", EXP(H16 + 0.33*LN(B16)))</f>
        <v/>
      </c>
      <c r="M16">
        <f>IF(OR(ISBLANK(B16), ISBLANK(C16)), "", B16/C16)</f>
        <v/>
      </c>
      <c r="N16" t="n">
        <v>0</v>
      </c>
      <c r="O16">
        <f>IF(ISBLANK(B16), "", N16 - ($B$3*B16))</f>
        <v/>
      </c>
    </row>
    <row r="17">
      <c r="A17" t="n">
        <v>2010</v>
      </c>
      <c r="B17">
        <f>IFERROR(INDEX('PWT'.C:C,21), "")</f>
        <v/>
      </c>
      <c r="C17">
        <f>IFERROR(WEO_Data.B12, "")</f>
        <v/>
      </c>
      <c r="D17">
        <f>IF(ISBLANK(B17), "", LN(B17))</f>
        <v/>
      </c>
      <c r="E17">
        <f>IF(ISBLANK(C17), "", LN(C17))</f>
        <v/>
      </c>
      <c r="F17">
        <f>IF(OR(ISBLANK(E17), ISBLANK(D17)), "", E17 - 0.33*D17)</f>
        <v/>
      </c>
      <c r="G17">
        <f>F17</f>
        <v/>
      </c>
      <c r="H17">
        <f>G17</f>
        <v/>
      </c>
      <c r="I17">
        <f>IF(OR(ISBLANK(G16), ISBLANK(G17), ISBLANK(G18)), "", G16 - 2*G17 + G18)</f>
        <v/>
      </c>
      <c r="J17">
        <f>IF(OR(ISBLANK(G17), ISBLANK(G16)), "", G17 - G16)</f>
        <v/>
      </c>
      <c r="L17">
        <f>IF(OR(ISBLANK(B17), ISBLANK(H17)), "", EXP(H17 + 0.33*LN(B17)))</f>
        <v/>
      </c>
      <c r="M17">
        <f>IF(OR(ISBLANK(B17), ISBLANK(C17)), "", B17/C17)</f>
        <v/>
      </c>
      <c r="N17" t="n">
        <v>0</v>
      </c>
      <c r="O17">
        <f>IF(ISBLANK(B17), "", N17 - ($B$3*B17))</f>
        <v/>
      </c>
    </row>
    <row r="18">
      <c r="A18" t="n">
        <v>2011</v>
      </c>
      <c r="B18">
        <f>IFERROR(INDEX('PWT'.C:C,22), "")</f>
        <v/>
      </c>
      <c r="C18">
        <f>IFERROR(WEO_Data.B13, "")</f>
        <v/>
      </c>
      <c r="D18">
        <f>IF(ISBLANK(B18), "", LN(B18))</f>
        <v/>
      </c>
      <c r="E18">
        <f>IF(ISBLANK(C18), "", LN(C18))</f>
        <v/>
      </c>
      <c r="F18">
        <f>IF(OR(ISBLANK(E18), ISBLANK(D18)), "", E18 - 0.33*D18)</f>
        <v/>
      </c>
      <c r="G18">
        <f>F18</f>
        <v/>
      </c>
      <c r="H18">
        <f>G18</f>
        <v/>
      </c>
      <c r="I18">
        <f>IF(OR(ISBLANK(G17), ISBLANK(G18), ISBLANK(G19)), "", G17 - 2*G18 + G19)</f>
        <v/>
      </c>
      <c r="J18">
        <f>IF(OR(ISBLANK(G18), ISBLANK(G17)), "", G18 - G17)</f>
        <v/>
      </c>
      <c r="L18">
        <f>IF(OR(ISBLANK(B18), ISBLANK(H18)), "", EXP(H18 + 0.33*LN(B18)))</f>
        <v/>
      </c>
      <c r="M18">
        <f>IF(OR(ISBLANK(B18), ISBLANK(C18)), "", B18/C18)</f>
        <v/>
      </c>
      <c r="N18" t="n">
        <v>0</v>
      </c>
      <c r="O18">
        <f>IF(ISBLANK(B18), "", N18 - ($B$3*B18))</f>
        <v/>
      </c>
    </row>
    <row r="19">
      <c r="A19" t="n">
        <v>2012</v>
      </c>
      <c r="B19">
        <f>IFERROR(INDEX('PWT'.C:C,23), "")</f>
        <v/>
      </c>
      <c r="C19">
        <f>IFERROR(WEO_Data.B14, "")</f>
        <v/>
      </c>
      <c r="D19">
        <f>IF(ISBLANK(B19), "", LN(B19))</f>
        <v/>
      </c>
      <c r="E19">
        <f>IF(ISBLANK(C19), "", LN(C19))</f>
        <v/>
      </c>
      <c r="F19">
        <f>IF(OR(ISBLANK(E19), ISBLANK(D19)), "", E19 - 0.33*D19)</f>
        <v/>
      </c>
      <c r="G19">
        <f>F19</f>
        <v/>
      </c>
      <c r="H19">
        <f>G19</f>
        <v/>
      </c>
      <c r="I19">
        <f>IF(OR(ISBLANK(G18), ISBLANK(G19), ISBLANK(G20)), "", G18 - 2*G19 + G20)</f>
        <v/>
      </c>
      <c r="J19">
        <f>IF(OR(ISBLANK(G19), ISBLANK(G18)), "", G19 - G18)</f>
        <v/>
      </c>
      <c r="L19">
        <f>IF(OR(ISBLANK(B19), ISBLANK(H19)), "", EXP(H19 + 0.33*LN(B19)))</f>
        <v/>
      </c>
      <c r="M19">
        <f>IF(OR(ISBLANK(B19), ISBLANK(C19)), "", B19/C19)</f>
        <v/>
      </c>
      <c r="N19" t="n">
        <v>0</v>
      </c>
      <c r="O19">
        <f>IF(ISBLANK(B19), "", N19 - ($B$3*B19))</f>
        <v/>
      </c>
    </row>
    <row r="20">
      <c r="A20" t="n">
        <v>2013</v>
      </c>
      <c r="B20">
        <f>IFERROR(INDEX('PWT'.C:C,24), "")</f>
        <v/>
      </c>
      <c r="C20">
        <f>IFERROR(WEO_Data.B15, "")</f>
        <v/>
      </c>
      <c r="D20">
        <f>IF(ISBLANK(B20), "", LN(B20))</f>
        <v/>
      </c>
      <c r="E20">
        <f>IF(ISBLANK(C20), "", LN(C20))</f>
        <v/>
      </c>
      <c r="F20">
        <f>IF(OR(ISBLANK(E20), ISBLANK(D20)), "", E20 - 0.33*D20)</f>
        <v/>
      </c>
      <c r="G20">
        <f>F20</f>
        <v/>
      </c>
      <c r="H20">
        <f>G20</f>
        <v/>
      </c>
      <c r="I20">
        <f>IF(OR(ISBLANK(G19), ISBLANK(G20), ISBLANK(G21)), "", G19 - 2*G20 + G21)</f>
        <v/>
      </c>
      <c r="J20">
        <f>IF(OR(ISBLANK(G20), ISBLANK(G19)), "", G20 - G19)</f>
        <v/>
      </c>
      <c r="L20">
        <f>IF(OR(ISBLANK(B20), ISBLANK(H20)), "", EXP(H20 + 0.33*LN(B20)))</f>
        <v/>
      </c>
      <c r="M20">
        <f>IF(OR(ISBLANK(B20), ISBLANK(C20)), "", B20/C20)</f>
        <v/>
      </c>
      <c r="N20" t="n">
        <v>0</v>
      </c>
      <c r="O20">
        <f>IF(ISBLANK(B20), "", N20 - ($B$3*B20))</f>
        <v/>
      </c>
    </row>
    <row r="21">
      <c r="A21" t="n">
        <v>2014</v>
      </c>
      <c r="B21">
        <f>IFERROR(INDEX('PWT'.C:C,25), "")</f>
        <v/>
      </c>
      <c r="C21">
        <f>IFERROR(WEO_Data.B16, "")</f>
        <v/>
      </c>
      <c r="D21">
        <f>IF(ISBLANK(B21), "", LN(B21))</f>
        <v/>
      </c>
      <c r="E21">
        <f>IF(ISBLANK(C21), "", LN(C21))</f>
        <v/>
      </c>
      <c r="F21">
        <f>IF(OR(ISBLANK(E21), ISBLANK(D21)), "", E21 - 0.33*D21)</f>
        <v/>
      </c>
      <c r="G21">
        <f>F21</f>
        <v/>
      </c>
      <c r="H21">
        <f>G21</f>
        <v/>
      </c>
      <c r="I21">
        <f>IF(OR(ISBLANK(G20), ISBLANK(G21), ISBLANK(G22)), "", G20 - 2*G21 + G22)</f>
        <v/>
      </c>
      <c r="J21">
        <f>IF(OR(ISBLANK(G21), ISBLANK(G20)), "", G21 - G20)</f>
        <v/>
      </c>
      <c r="L21">
        <f>IF(OR(ISBLANK(B21), ISBLANK(H21)), "", EXP(H21 + 0.33*LN(B21)))</f>
        <v/>
      </c>
      <c r="M21">
        <f>IF(OR(ISBLANK(B21), ISBLANK(C21)), "", B21/C21)</f>
        <v/>
      </c>
      <c r="N21" t="n">
        <v>0</v>
      </c>
      <c r="O21">
        <f>IF(ISBLANK(B21), "", N21 - ($B$3*B21))</f>
        <v/>
      </c>
    </row>
    <row r="22">
      <c r="A22" t="n">
        <v>2015</v>
      </c>
      <c r="B22">
        <f>IFERROR(INDEX('PWT'.C:C,26), "")</f>
        <v/>
      </c>
      <c r="C22">
        <f>IFERROR(WEO_Data.B17, "")</f>
        <v/>
      </c>
      <c r="D22">
        <f>IF(ISBLANK(B22), "", LN(B22))</f>
        <v/>
      </c>
      <c r="E22">
        <f>IF(ISBLANK(C22), "", LN(C22))</f>
        <v/>
      </c>
      <c r="F22">
        <f>IF(OR(ISBLANK(E22), ISBLANK(D22)), "", E22 - 0.33*D22)</f>
        <v/>
      </c>
      <c r="G22">
        <f>F22</f>
        <v/>
      </c>
      <c r="H22">
        <f>G22</f>
        <v/>
      </c>
      <c r="I22">
        <f>IF(OR(ISBLANK(G21), ISBLANK(G22), ISBLANK(G23)), "", G21 - 2*G22 + G23)</f>
        <v/>
      </c>
      <c r="J22">
        <f>IF(OR(ISBLANK(G22), ISBLANK(G21)), "", G22 - G21)</f>
        <v/>
      </c>
      <c r="L22">
        <f>IF(OR(ISBLANK(B22), ISBLANK(H22)), "", EXP(H22 + 0.33*LN(B22)))</f>
        <v/>
      </c>
      <c r="M22">
        <f>IF(OR(ISBLANK(B22), ISBLANK(C22)), "", B22/C22)</f>
        <v/>
      </c>
      <c r="N22" t="n">
        <v>0</v>
      </c>
      <c r="O22">
        <f>IF(ISBLANK(B22), "", N22 - ($B$3*B22))</f>
        <v/>
      </c>
    </row>
    <row r="23">
      <c r="A23" t="n">
        <v>2016</v>
      </c>
      <c r="B23">
        <f>IFERROR(INDEX('PWT'.C:C,27), "")</f>
        <v/>
      </c>
      <c r="C23">
        <f>IFERROR(WEO_Data.B18, "")</f>
        <v/>
      </c>
      <c r="D23">
        <f>IF(ISBLANK(B23), "", LN(B23))</f>
        <v/>
      </c>
      <c r="E23">
        <f>IF(ISBLANK(C23), "", LN(C23))</f>
        <v/>
      </c>
      <c r="F23">
        <f>IF(OR(ISBLANK(E23), ISBLANK(D23)), "", E23 - 0.33*D23)</f>
        <v/>
      </c>
      <c r="G23">
        <f>F23</f>
        <v/>
      </c>
      <c r="H23">
        <f>G23</f>
        <v/>
      </c>
      <c r="I23">
        <f>IF(OR(ISBLANK(G22), ISBLANK(G23), ISBLANK(G24)), "", G22 - 2*G23 + G24)</f>
        <v/>
      </c>
      <c r="J23">
        <f>IF(OR(ISBLANK(G23), ISBLANK(G22)), "", G23 - G22)</f>
        <v/>
      </c>
      <c r="L23">
        <f>IF(OR(ISBLANK(B23), ISBLANK(H23)), "", EXP(H23 + 0.33*LN(B23)))</f>
        <v/>
      </c>
      <c r="M23">
        <f>IF(OR(ISBLANK(B23), ISBLANK(C23)), "", B23/C23)</f>
        <v/>
      </c>
      <c r="N23" t="n">
        <v>0</v>
      </c>
      <c r="O23">
        <f>IF(ISBLANK(B23), "", N23 - ($B$3*B23))</f>
        <v/>
      </c>
    </row>
    <row r="24">
      <c r="A24" t="n">
        <v>2017</v>
      </c>
      <c r="B24">
        <f>IFERROR(INDEX('PWT'.C:C,28), "")</f>
        <v/>
      </c>
      <c r="C24">
        <f>IFERROR(WEO_Data.B19, "")</f>
        <v/>
      </c>
      <c r="D24">
        <f>IF(ISBLANK(B24), "", LN(B24))</f>
        <v/>
      </c>
      <c r="E24">
        <f>IF(ISBLANK(C24), "", LN(C24))</f>
        <v/>
      </c>
      <c r="F24">
        <f>IF(OR(ISBLANK(E24), ISBLANK(D24)), "", E24 - 0.33*D24)</f>
        <v/>
      </c>
      <c r="G24">
        <f>F24</f>
        <v/>
      </c>
      <c r="H24">
        <f>G24</f>
        <v/>
      </c>
      <c r="I24">
        <f>IF(OR(ISBLANK(G23), ISBLANK(G24), ISBLANK(G25)), "", G23 - 2*G24 + G25)</f>
        <v/>
      </c>
      <c r="J24">
        <f>IF(OR(ISBLANK(G24), ISBLANK(G23)), "", G24 - G23)</f>
        <v/>
      </c>
      <c r="L24">
        <f>IF(OR(ISBLANK(B24), ISBLANK(H24)), "", EXP(H24 + 0.33*LN(B24)))</f>
        <v/>
      </c>
      <c r="M24">
        <f>IF(OR(ISBLANK(B24), ISBLANK(C24)), "", B24/C24)</f>
        <v/>
      </c>
      <c r="N24" t="n">
        <v>0</v>
      </c>
      <c r="O24">
        <f>IF(ISBLANK(B24), "", N24 - ($B$3*B24))</f>
        <v/>
      </c>
    </row>
    <row r="25">
      <c r="A25" t="n">
        <v>2018</v>
      </c>
      <c r="B25">
        <f>IFERROR(INDEX('PWT'.C:C,29), "")</f>
        <v/>
      </c>
      <c r="C25">
        <f>IFERROR(WEO_Data.B20, "")</f>
        <v/>
      </c>
      <c r="D25">
        <f>IF(ISBLANK(B25), "", LN(B25))</f>
        <v/>
      </c>
      <c r="E25">
        <f>IF(ISBLANK(C25), "", LN(C25))</f>
        <v/>
      </c>
      <c r="F25">
        <f>IF(OR(ISBLANK(E25), ISBLANK(D25)), "", E25 - 0.33*D25)</f>
        <v/>
      </c>
      <c r="G25">
        <f>F25</f>
        <v/>
      </c>
      <c r="H25">
        <f>G25</f>
        <v/>
      </c>
      <c r="I25">
        <f>IF(OR(ISBLANK(G24), ISBLANK(G25), ISBLANK(G26)), "", G24 - 2*G25 + G26)</f>
        <v/>
      </c>
      <c r="J25">
        <f>IF(OR(ISBLANK(G25), ISBLANK(G24)), "", G25 - G24)</f>
        <v/>
      </c>
      <c r="L25">
        <f>IF(OR(ISBLANK(B25), ISBLANK(H25)), "", EXP(H25 + 0.33*LN(B25)))</f>
        <v/>
      </c>
      <c r="M25">
        <f>IF(OR(ISBLANK(B25), ISBLANK(C25)), "", B25/C25)</f>
        <v/>
      </c>
      <c r="N25" t="n">
        <v>0</v>
      </c>
      <c r="O25">
        <f>IF(ISBLANK(B25), "", N25 - ($B$3*B25))</f>
        <v/>
      </c>
    </row>
    <row r="26">
      <c r="A26" t="n">
        <v>2019</v>
      </c>
      <c r="B26">
        <f>IFERROR(INDEX('PWT'.C:C,30), "")</f>
        <v/>
      </c>
      <c r="C26">
        <f>IFERROR(WEO_Data.B21, "")</f>
        <v/>
      </c>
      <c r="D26">
        <f>IF(ISBLANK(B26), "", LN(B26))</f>
        <v/>
      </c>
      <c r="E26">
        <f>IF(ISBLANK(C26), "", LN(C26))</f>
        <v/>
      </c>
      <c r="F26">
        <f>IF(OR(ISBLANK(E26), ISBLANK(D26)), "", E26 - 0.33*D26)</f>
        <v/>
      </c>
      <c r="G26">
        <f>F26</f>
        <v/>
      </c>
      <c r="H26">
        <f>G26</f>
        <v/>
      </c>
      <c r="I26">
        <f>IF(OR(ISBLANK(G25), ISBLANK(G26), ISBLANK(G27)), "", G25 - 2*G26 + G27)</f>
        <v/>
      </c>
      <c r="J26">
        <f>IF(OR(ISBLANK(G26), ISBLANK(G25)), "", G26 - G25)</f>
        <v/>
      </c>
      <c r="L26">
        <f>IF(OR(ISBLANK(B26), ISBLANK(H26)), "", EXP(H26 + 0.33*LN(B26)))</f>
        <v/>
      </c>
      <c r="M26">
        <f>IF(OR(ISBLANK(B26), ISBLANK(C26)), "", B26/C26)</f>
        <v/>
      </c>
      <c r="N26" t="n">
        <v>0</v>
      </c>
      <c r="O26">
        <f>IF(ISBLANK(B26), "", N26 - ($B$3*B26))</f>
        <v/>
      </c>
    </row>
    <row r="27">
      <c r="A27" t="n">
        <v>2020</v>
      </c>
      <c r="B27">
        <f>IFERROR(INDEX('PWT'.C:C,31), "")</f>
        <v/>
      </c>
      <c r="C27">
        <f>IFERROR(WEO_Data.B22, "")</f>
        <v/>
      </c>
      <c r="D27">
        <f>IF(ISBLANK(B27), "", LN(B27))</f>
        <v/>
      </c>
      <c r="E27">
        <f>IF(ISBLANK(C27), "", LN(C27))</f>
        <v/>
      </c>
      <c r="F27">
        <f>IF(OR(ISBLANK(E27), ISBLANK(D27)), "", E27 - 0.33*D27)</f>
        <v/>
      </c>
      <c r="G27">
        <f>F27</f>
        <v/>
      </c>
      <c r="H27">
        <f>G27</f>
        <v/>
      </c>
      <c r="I27">
        <f>IF(OR(ISBLANK(G26), ISBLANK(G27), ISBLANK(G28)), "", G26 - 2*G27 + G28)</f>
        <v/>
      </c>
      <c r="J27">
        <f>IF(OR(ISBLANK(G27), ISBLANK(G26)), "", G27 - G26)</f>
        <v/>
      </c>
      <c r="L27">
        <f>IF(OR(ISBLANK(B27), ISBLANK(H27)), "", EXP(H27 + 0.33*LN(B27)))</f>
        <v/>
      </c>
      <c r="M27">
        <f>IF(OR(ISBLANK(B27), ISBLANK(C27)), "", B27/C27)</f>
        <v/>
      </c>
      <c r="N27" t="n">
        <v>0</v>
      </c>
      <c r="O27">
        <f>IF(ISBLANK(B27), "", N27 - ($B$3*B27))</f>
        <v/>
      </c>
    </row>
    <row r="28">
      <c r="A28" t="n">
        <v>2021</v>
      </c>
      <c r="B28">
        <f>IFERROR(INDEX('PWT'.C:C,32), "")</f>
        <v/>
      </c>
      <c r="C28">
        <f>IFERROR(WEO_Data.B23, "")</f>
        <v/>
      </c>
      <c r="D28">
        <f>IF(ISBLANK(B28), "", LN(B28))</f>
        <v/>
      </c>
      <c r="E28">
        <f>IF(ISBLANK(C28), "", LN(C28))</f>
        <v/>
      </c>
      <c r="F28">
        <f>IF(OR(ISBLANK(E28), ISBLANK(D28)), "", E28 - 0.33*D28)</f>
        <v/>
      </c>
      <c r="G28">
        <f>F28</f>
        <v/>
      </c>
      <c r="H28">
        <f>G28</f>
        <v/>
      </c>
      <c r="I28">
        <f>IF(OR(ISBLANK(G27), ISBLANK(G28), ISBLANK(G29)), "", G27 - 2*G28 + G29)</f>
        <v/>
      </c>
      <c r="J28">
        <f>IF(OR(ISBLANK(G28), ISBLANK(G27)), "", G28 - G27)</f>
        <v/>
      </c>
      <c r="L28">
        <f>IF(OR(ISBLANK(B28), ISBLANK(H28)), "", EXP(H28 + 0.33*LN(B28)))</f>
        <v/>
      </c>
      <c r="M28">
        <f>IF(OR(ISBLANK(B28), ISBLANK(C28)), "", B28/C28)</f>
        <v/>
      </c>
      <c r="N28" t="n">
        <v>0</v>
      </c>
      <c r="O28">
        <f>IF(ISBLANK(B28), "", N28 - ($B$3*B28))</f>
        <v/>
      </c>
    </row>
    <row r="29">
      <c r="A29" t="n">
        <v>2022</v>
      </c>
      <c r="B29">
        <f>IFERROR(INDEX('PWT'.C:C,33), "")</f>
        <v/>
      </c>
      <c r="C29">
        <f>IFERROR(WEO_Data.B24, "")</f>
        <v/>
      </c>
      <c r="D29">
        <f>IF(ISBLANK(B29), "", LN(B29))</f>
        <v/>
      </c>
      <c r="E29">
        <f>IF(ISBLANK(C29), "", LN(C29))</f>
        <v/>
      </c>
      <c r="F29">
        <f>IF(OR(ISBLANK(E29), ISBLANK(D29)), "", E29 - 0.33*D29)</f>
        <v/>
      </c>
      <c r="G29">
        <f>F29</f>
        <v/>
      </c>
      <c r="H29">
        <f>G29</f>
        <v/>
      </c>
      <c r="L29">
        <f>IF(OR(ISBLANK(B29), ISBLANK(H29)), "", EXP(H29 + 0.33*LN(B29)))</f>
        <v/>
      </c>
      <c r="M29">
        <f>IF(OR(ISBLANK(B29), ISBLANK(C29)), "", B29/C29)</f>
        <v/>
      </c>
      <c r="N29" t="n">
        <v>0</v>
      </c>
      <c r="O29">
        <f>IF(ISBLANK(B29), "", N29 - ($B$3*B29))</f>
        <v/>
      </c>
    </row>
    <row r="30">
      <c r="A30" t="n">
        <v>2023</v>
      </c>
      <c r="B30">
        <f>IFERROR(INDEX('PWT'.C:C,34), "")</f>
        <v/>
      </c>
      <c r="C30">
        <f>IFERROR(WEO_Data.B25, "")</f>
        <v/>
      </c>
      <c r="D30">
        <f>IF(ISBLANK(B30), "", LN(B30))</f>
        <v/>
      </c>
      <c r="E30">
        <f>IF(ISBLANK(C30), "", LN(C30))</f>
        <v/>
      </c>
      <c r="F30">
        <f>IF(OR(ISBLANK(E30), ISBLANK(D30)), "", E30 - 0.33*D30)</f>
        <v/>
      </c>
      <c r="G30">
        <f>F30</f>
        <v/>
      </c>
      <c r="H30">
        <f>G30</f>
        <v/>
      </c>
      <c r="L30">
        <f>IF(OR(ISBLANK(B30), ISBLANK(H30)), "", EXP(H30 + 0.33*LN(B30)))</f>
        <v/>
      </c>
      <c r="M30">
        <f>IF(OR(ISBLANK(B30), ISBLANK(C30)), "", B30/C30)</f>
        <v/>
      </c>
      <c r="N30" t="n">
        <v>0</v>
      </c>
      <c r="O30">
        <f>IF(ISBLANK(B30), "", N30 - ($B$3*B30))</f>
        <v/>
      </c>
      <c r="P30">
        <f>B30+O30</f>
        <v/>
      </c>
      <c r="Q30">
        <f>IF(ISBLANK(P30), "", EXP(H30 + 0.33*LN(P30)))</f>
        <v/>
      </c>
    </row>
    <row r="31">
      <c r="B31">
        <f>IF(OR(ISBLANK(C31), ISBLANK($B$3)), "", C31*$B$3)</f>
        <v/>
      </c>
      <c r="C31">
        <f>IFERROR(WEO_Data.B26, "")</f>
        <v/>
      </c>
      <c r="D31">
        <f>IF(ISBLANK(B31), "", LN(B31))</f>
        <v/>
      </c>
      <c r="E31">
        <f>IF(ISBLANK(C31), "", LN(C31))</f>
        <v/>
      </c>
      <c r="F31">
        <f>IF(OR(ISBLANK(E31), ISBLANK(D31)), "", E31 - 0.33*D31)</f>
        <v/>
      </c>
      <c r="G31">
        <f>F31</f>
        <v/>
      </c>
      <c r="H31">
        <f>G31</f>
        <v/>
      </c>
      <c r="L31">
        <f>IF(OR(ISBLANK(B31), ISBLANK(H31)), "", EXP(H31 + 0.33*LN(B31)))</f>
        <v/>
      </c>
      <c r="M31">
        <f>$B$3</f>
        <v/>
      </c>
      <c r="N31" t="n">
        <v>0</v>
      </c>
      <c r="O31">
        <f>IF(ISBLANK(B31), "", N31 - ($B$3*B31))</f>
        <v/>
      </c>
      <c r="P31">
        <f>P30+O31</f>
        <v/>
      </c>
      <c r="Q31">
        <f>IF(ISBLANK(P31), "", EXP(H31 + 0.33*LN(P31)))</f>
        <v/>
      </c>
    </row>
    <row r="32">
      <c r="B32">
        <f>IF(OR(ISBLANK(C32), ISBLANK($B$3)), "", C32*$B$3)</f>
        <v/>
      </c>
      <c r="C32">
        <f>IFERROR(WEO_Data.B27, "")</f>
        <v/>
      </c>
      <c r="D32">
        <f>IF(ISBLANK(B32), "", LN(B32))</f>
        <v/>
      </c>
      <c r="E32">
        <f>IF(ISBLANK(C32), "", LN(C32))</f>
        <v/>
      </c>
      <c r="F32">
        <f>IF(OR(ISBLANK(E32), ISBLANK(D32)), "", E32 - 0.33*D32)</f>
        <v/>
      </c>
      <c r="G32">
        <f>F32</f>
        <v/>
      </c>
      <c r="H32">
        <f>G32</f>
        <v/>
      </c>
      <c r="L32">
        <f>IF(OR(ISBLANK(B32), ISBLANK(H32)), "", EXP(H32 + 0.33*LN(B32)))</f>
        <v/>
      </c>
      <c r="M32">
        <f>$B$3</f>
        <v/>
      </c>
      <c r="N32" t="n">
        <v>0</v>
      </c>
      <c r="O32">
        <f>IF(ISBLANK(B32), "", N32 - ($B$3*B32))</f>
        <v/>
      </c>
      <c r="P32">
        <f>B32+O32</f>
        <v/>
      </c>
      <c r="Q32">
        <f>IF(ISBLANK(P32), "", EXP(H32 + 0.33*LN(P32)))</f>
        <v/>
      </c>
    </row>
    <row r="33">
      <c r="B33">
        <f>IF(OR(ISBLANK(C33), ISBLANK($B$3)), "", C33*$B$3)</f>
        <v/>
      </c>
      <c r="C33">
        <f>IFERROR(WEO_Data.B28, "")</f>
        <v/>
      </c>
      <c r="D33">
        <f>IF(ISBLANK(B33), "", LN(B33))</f>
        <v/>
      </c>
      <c r="E33">
        <f>IF(ISBLANK(C33), "", LN(C33))</f>
        <v/>
      </c>
      <c r="F33">
        <f>IF(OR(ISBLANK(E33), ISBLANK(D33)), "", E33 - 0.33*D33)</f>
        <v/>
      </c>
      <c r="G33">
        <f>F33</f>
        <v/>
      </c>
      <c r="H33">
        <f>G33</f>
        <v/>
      </c>
      <c r="L33">
        <f>IF(OR(ISBLANK(B33), ISBLANK(H33)), "", EXP(H33 + 0.33*LN(B33)))</f>
        <v/>
      </c>
      <c r="M33">
        <f>$B$3</f>
        <v/>
      </c>
      <c r="N33">
        <f>IFERROR(Investment.B28, 0)</f>
        <v/>
      </c>
      <c r="O33">
        <f>IF(ISBLANK(B33), "", N33 - ($B$3*B33))</f>
        <v/>
      </c>
      <c r="P33">
        <f>P32+O33</f>
        <v/>
      </c>
      <c r="Q33">
        <f>IF(ISBLANK(P33), "", EXP(H33 + 0.33*LN(P33)))</f>
        <v/>
      </c>
    </row>
    <row r="34">
      <c r="B34">
        <f>IF(OR(ISBLANK(C34), ISBLANK($B$3)), "", C34*$B$3)</f>
        <v/>
      </c>
      <c r="C34">
        <f>IFERROR(WEO_Data.B29, "")</f>
        <v/>
      </c>
      <c r="D34">
        <f>IF(ISBLANK(B34), "", LN(B34))</f>
        <v/>
      </c>
      <c r="E34">
        <f>IF(ISBLANK(C34), "", LN(C34))</f>
        <v/>
      </c>
      <c r="F34">
        <f>IF(OR(ISBLANK(E34), ISBLANK(D34)), "", E34 - 0.33*D34)</f>
        <v/>
      </c>
      <c r="G34">
        <f>F34</f>
        <v/>
      </c>
      <c r="H34">
        <f>G34</f>
        <v/>
      </c>
      <c r="L34">
        <f>IF(OR(ISBLANK(B34), ISBLANK(H34)), "", EXP(H34 + 0.33*LN(B34)))</f>
        <v/>
      </c>
      <c r="M34">
        <f>$B$3</f>
        <v/>
      </c>
      <c r="N34">
        <f>IFERROR(Investment.B29, 0)</f>
        <v/>
      </c>
      <c r="O34">
        <f>IF(ISBLANK(B34), "", N34 - ($B$3*B34))</f>
        <v/>
      </c>
      <c r="P34">
        <f>P33+O34</f>
        <v/>
      </c>
      <c r="Q34">
        <f>IF(ISBLANK(P34), "", EXP(H34 + 0.33*LN(P34)))</f>
        <v/>
      </c>
    </row>
    <row r="35">
      <c r="B35">
        <f>IF(OR(ISBLANK(C35), ISBLANK($B$3)), "", C35*$B$3)</f>
        <v/>
      </c>
      <c r="C35">
        <f>IFERROR(WEO_Data.B30, "")</f>
        <v/>
      </c>
      <c r="D35">
        <f>IF(ISBLANK(B35), "", LN(B35))</f>
        <v/>
      </c>
      <c r="E35">
        <f>IF(ISBLANK(C35), "", LN(C35))</f>
        <v/>
      </c>
      <c r="F35">
        <f>IF(OR(ISBLANK(E35), ISBLANK(D35)), "", E35 - 0.33*D35)</f>
        <v/>
      </c>
      <c r="G35">
        <f>F35</f>
        <v/>
      </c>
      <c r="H35">
        <f>G35</f>
        <v/>
      </c>
      <c r="L35">
        <f>IF(OR(ISBLANK(B35), ISBLANK(H35)), "", EXP(H35 + 0.33*LN(B35)))</f>
        <v/>
      </c>
      <c r="M35">
        <f>$B$3</f>
        <v/>
      </c>
      <c r="N35">
        <f>IFERROR(Investment.B30, 0)</f>
        <v/>
      </c>
      <c r="O35">
        <f>IF(ISBLANK(B35), "", N35 - ($B$3*B35))</f>
        <v/>
      </c>
      <c r="P35">
        <f>P34+O35</f>
        <v/>
      </c>
      <c r="Q35">
        <f>IF(ISBLANK(P35), "", EXP(H35 + 0.33*LN(P35)))</f>
        <v/>
      </c>
    </row>
    <row r="36">
      <c r="B36">
        <f>IF(OR(ISBLANK(C36), ISBLANK($B$3)), "", C36*$B$3)</f>
        <v/>
      </c>
      <c r="C36">
        <f>IFERROR(WEO_Data.B31, "")</f>
        <v/>
      </c>
      <c r="D36">
        <f>IF(ISBLANK(B36), "", LN(B36))</f>
        <v/>
      </c>
      <c r="E36">
        <f>IF(ISBLANK(C36), "", LN(C36))</f>
        <v/>
      </c>
      <c r="F36">
        <f>IF(OR(ISBLANK(E36), ISBLANK(D36)), "", E36 - 0.33*D36)</f>
        <v/>
      </c>
      <c r="G36">
        <f>F36</f>
        <v/>
      </c>
      <c r="H36">
        <f>G36</f>
        <v/>
      </c>
      <c r="L36">
        <f>IF(OR(ISBLANK(B36), ISBLANK(H36)), "", EXP(H36 + 0.33*LN(B36)))</f>
        <v/>
      </c>
      <c r="M36">
        <f>$B$3</f>
        <v/>
      </c>
      <c r="N36">
        <f>IFERROR(Investment.B31, 0)</f>
        <v/>
      </c>
      <c r="O36">
        <f>IF(ISBLANK(B36), "", N36 - ($B$3*B36))</f>
        <v/>
      </c>
      <c r="P36">
        <f>P35+O36</f>
        <v/>
      </c>
      <c r="Q36">
        <f>IF(ISBLANK(P36), "", EXP(H36 + 0.33*LN(P36)))</f>
        <v/>
      </c>
    </row>
    <row r="37">
      <c r="B37">
        <f>IF(OR(ISBLANK(C37), ISBLANK($B$3)), "", C37*$B$3)</f>
        <v/>
      </c>
      <c r="C37">
        <f>IFERROR(WEO_Data.B32, "")</f>
        <v/>
      </c>
      <c r="D37">
        <f>IF(ISBLANK(B37), "", LN(B37))</f>
        <v/>
      </c>
      <c r="E37">
        <f>IF(ISBLANK(C37), "", LN(C37))</f>
        <v/>
      </c>
      <c r="F37">
        <f>IF(OR(ISBLANK(E37), ISBLANK(D37)), "", E37 - 0.33*D37)</f>
        <v/>
      </c>
      <c r="G37">
        <f>F37</f>
        <v/>
      </c>
      <c r="H37">
        <f>G37</f>
        <v/>
      </c>
      <c r="L37">
        <f>IF(OR(ISBLANK(B37), ISBLANK(H37)), "", EXP(H37 + 0.33*LN(B37)))</f>
        <v/>
      </c>
      <c r="M37">
        <f>$B$3</f>
        <v/>
      </c>
      <c r="N37">
        <f>IFERROR(Investment.B32, 0)</f>
        <v/>
      </c>
      <c r="O37">
        <f>IF(ISBLANK(B37), "", N37 - ($B$3*B37))</f>
        <v/>
      </c>
      <c r="P37">
        <f>P36+O37</f>
        <v/>
      </c>
      <c r="Q37">
        <f>IF(ISBLANK(P37), "", EXP(H37 + 0.33*LN(P37)))</f>
        <v/>
      </c>
    </row>
    <row r="38">
      <c r="B38">
        <f>IF(OR(ISBLANK(C38), ISBLANK($B$3)), "", C38*$B$3)</f>
        <v/>
      </c>
      <c r="C38">
        <f>IFERROR(WEO_Data.B33, "")</f>
        <v/>
      </c>
      <c r="D38">
        <f>IF(ISBLANK(B38), "", LN(B38))</f>
        <v/>
      </c>
      <c r="E38">
        <f>IF(ISBLANK(C38), "", LN(C38))</f>
        <v/>
      </c>
      <c r="F38">
        <f>IF(OR(ISBLANK(E38), ISBLANK(D38)), "", E38 - 0.33*D38)</f>
        <v/>
      </c>
      <c r="G38">
        <f>F38</f>
        <v/>
      </c>
      <c r="H38">
        <f>G38</f>
        <v/>
      </c>
      <c r="L38">
        <f>IF(OR(ISBLANK(B38), ISBLANK(H38)), "", EXP(H38 + 0.33*LN(B38)))</f>
        <v/>
      </c>
      <c r="M38">
        <f>$B$3</f>
        <v/>
      </c>
      <c r="N38">
        <f>IFERROR(Investment.B33, 0)</f>
        <v/>
      </c>
      <c r="O38">
        <f>IF(ISBLANK(B38), "", N38 - ($B$3*B38))</f>
        <v/>
      </c>
      <c r="P38">
        <f>P37+O38</f>
        <v/>
      </c>
      <c r="Q38">
        <f>IF(ISBLANK(P38), "", EXP(H38 + 0.33*LN(P38)))</f>
        <v/>
      </c>
    </row>
    <row r="39">
      <c r="B39">
        <f>IF(OR(ISBLANK(C39), ISBLANK($B$3)), "", C39*$B$3)</f>
        <v/>
      </c>
      <c r="C39">
        <f>IFERROR(WEO_Data.B34, "")</f>
        <v/>
      </c>
      <c r="D39">
        <f>IF(ISBLANK(B39), "", LN(B39))</f>
        <v/>
      </c>
      <c r="E39">
        <f>IF(ISBLANK(C39), "", LN(C39))</f>
        <v/>
      </c>
      <c r="F39">
        <f>IF(OR(ISBLANK(E39), ISBLANK(D39)), "", E39 - 0.33*D39)</f>
        <v/>
      </c>
      <c r="G39">
        <f>F39</f>
        <v/>
      </c>
      <c r="H39">
        <f>G39</f>
        <v/>
      </c>
      <c r="L39">
        <f>IF(OR(ISBLANK(B39), ISBLANK(H39)), "", EXP(H39 + 0.33*LN(B39)))</f>
        <v/>
      </c>
      <c r="M39">
        <f>$B$3</f>
        <v/>
      </c>
      <c r="N39">
        <f>IFERROR(Investment.B34, 0)</f>
        <v/>
      </c>
      <c r="O39">
        <f>IF(ISBLANK(B39), "", N39 - ($B$3*B39))</f>
        <v/>
      </c>
      <c r="P39">
        <f>P38+O39</f>
        <v/>
      </c>
      <c r="Q39">
        <f>IF(ISBLANK(P39), "", EXP(H39 + 0.33*LN(P39)))</f>
        <v/>
      </c>
    </row>
    <row r="40">
      <c r="B40">
        <f>IF(OR(ISBLANK(C40), ISBLANK($B$3)), "", C40*$B$3)</f>
        <v/>
      </c>
      <c r="C40">
        <f>IFERROR(WEO_Data.B35, "")</f>
        <v/>
      </c>
      <c r="D40">
        <f>IF(ISBLANK(B40), "", LN(B40))</f>
        <v/>
      </c>
      <c r="E40">
        <f>IF(ISBLANK(C40), "", LN(C40))</f>
        <v/>
      </c>
      <c r="F40">
        <f>IF(OR(ISBLANK(E40), ISBLANK(D40)), "", E40 - 0.33*D40)</f>
        <v/>
      </c>
      <c r="G40">
        <f>F40</f>
        <v/>
      </c>
      <c r="H40">
        <f>G40</f>
        <v/>
      </c>
      <c r="L40">
        <f>IF(OR(ISBLANK(B40), ISBLANK(H40)), "", EXP(H40 + 0.33*LN(B40)))</f>
        <v/>
      </c>
      <c r="M40">
        <f>$B$3</f>
        <v/>
      </c>
      <c r="N40">
        <f>IFERROR(Investment.B35, 0)</f>
        <v/>
      </c>
      <c r="O40">
        <f>IF(ISBLANK(B40), "", N40 - ($B$3*B40))</f>
        <v/>
      </c>
      <c r="P40">
        <f>P39+O40</f>
        <v/>
      </c>
      <c r="Q40">
        <f>IF(ISBLANK(P40), "", EXP(H40 + 0.33*LN(P40)))</f>
        <v/>
      </c>
    </row>
    <row r="41">
      <c r="B41">
        <f>IF(OR(ISBLANK(C41), ISBLANK($B$3)), "", C41*$B$3)</f>
        <v/>
      </c>
      <c r="C41">
        <f>IFERROR(WEO_Data.B36, "")</f>
        <v/>
      </c>
      <c r="D41">
        <f>IF(ISBLANK(B41), "", LN(B41))</f>
        <v/>
      </c>
      <c r="E41">
        <f>IF(ISBLANK(C41), "", LN(C41))</f>
        <v/>
      </c>
      <c r="F41">
        <f>IF(OR(ISBLANK(E41), ISBLANK(D41)), "", E41 - 0.33*D41)</f>
        <v/>
      </c>
      <c r="G41">
        <f>F41</f>
        <v/>
      </c>
      <c r="H41">
        <f>G41</f>
        <v/>
      </c>
      <c r="L41">
        <f>IF(OR(ISBLANK(B41), ISBLANK(H41)), "", EXP(H41 + 0.33*LN(B41)))</f>
        <v/>
      </c>
      <c r="M41">
        <f>$B$3</f>
        <v/>
      </c>
      <c r="N41">
        <f>IFERROR(Investment.B36, 0)</f>
        <v/>
      </c>
      <c r="O41">
        <f>IF(ISBLANK(B41), "", N41 - ($B$3*B41))</f>
        <v/>
      </c>
      <c r="P41">
        <f>P40+O41</f>
        <v/>
      </c>
      <c r="Q41">
        <f>IF(ISBLANK(P41), "", EXP(H41 + 0.33*LN(P41)))</f>
        <v/>
      </c>
    </row>
    <row r="42">
      <c r="B42">
        <f>IF(OR(ISBLANK(C42), ISBLANK($B$3)), "", C42*$B$3)</f>
        <v/>
      </c>
      <c r="C42">
        <f>IFERROR(WEO_Data.B37, "")</f>
        <v/>
      </c>
      <c r="D42">
        <f>IF(ISBLANK(B42), "", LN(B42))</f>
        <v/>
      </c>
      <c r="E42">
        <f>IF(ISBLANK(C42), "", LN(C42))</f>
        <v/>
      </c>
      <c r="F42">
        <f>IF(OR(ISBLANK(E42), ISBLANK(D42)), "", E42 - 0.33*D42)</f>
        <v/>
      </c>
      <c r="G42">
        <f>F42</f>
        <v/>
      </c>
      <c r="H42">
        <f>G42</f>
        <v/>
      </c>
      <c r="L42">
        <f>IF(OR(ISBLANK(B42), ISBLANK(H42)), "", EXP(H42 + 0.33*LN(B42)))</f>
        <v/>
      </c>
      <c r="M42">
        <f>$B$3</f>
        <v/>
      </c>
      <c r="N42" t="n">
        <v>0</v>
      </c>
      <c r="O42">
        <f>IF(ISBLANK(B42), "", N42 - ($B$3*B42))</f>
        <v/>
      </c>
      <c r="P42">
        <f>P41+O42</f>
        <v/>
      </c>
      <c r="Q42">
        <f>IF(ISBLANK(P42), "", EXP(H42 + 0.33*LN(P42)))</f>
        <v/>
      </c>
    </row>
    <row r="43">
      <c r="B43">
        <f>IF(OR(ISBLANK(C43), ISBLANK($B$3)), "", C43*$B$3)</f>
        <v/>
      </c>
      <c r="C43">
        <f>IFERROR(WEO_Data.B38, "")</f>
        <v/>
      </c>
      <c r="D43">
        <f>IF(ISBLANK(B43), "", LN(B43))</f>
        <v/>
      </c>
      <c r="E43">
        <f>IF(ISBLANK(C43), "", LN(C43))</f>
        <v/>
      </c>
      <c r="F43">
        <f>IF(OR(ISBLANK(E43), ISBLANK(D43)), "", E43 - 0.33*D43)</f>
        <v/>
      </c>
      <c r="G43">
        <f>F43</f>
        <v/>
      </c>
      <c r="H43">
        <f>G43</f>
        <v/>
      </c>
      <c r="L43">
        <f>IF(OR(ISBLANK(B43), ISBLANK(H43)), "", EXP(H43 + 0.33*LN(B43)))</f>
        <v/>
      </c>
      <c r="M43">
        <f>$B$3</f>
        <v/>
      </c>
      <c r="N43" t="n">
        <v>0</v>
      </c>
      <c r="O43">
        <f>IF(ISBLANK(B43), "", N43 - ($B$3*B43))</f>
        <v/>
      </c>
      <c r="P43">
        <f>P42+O43</f>
        <v/>
      </c>
      <c r="Q43">
        <f>IF(ISBLANK(P43), "", EXP(H43 + 0.33*LN(P43)))</f>
        <v/>
      </c>
    </row>
    <row r="44">
      <c r="B44">
        <f>IF(OR(ISBLANK(C44), ISBLANK($B$3)), "", C44*$B$3)</f>
        <v/>
      </c>
      <c r="C44">
        <f>IFERROR(WEO_Data.B39, "")</f>
        <v/>
      </c>
      <c r="D44">
        <f>IF(ISBLANK(B44), "", LN(B44))</f>
        <v/>
      </c>
      <c r="E44">
        <f>IF(ISBLANK(C44), "", LN(C44))</f>
        <v/>
      </c>
      <c r="F44">
        <f>IF(OR(ISBLANK(E44), ISBLANK(D44)), "", E44 - 0.33*D44)</f>
        <v/>
      </c>
      <c r="G44">
        <f>F44</f>
        <v/>
      </c>
      <c r="H44">
        <f>G44</f>
        <v/>
      </c>
      <c r="L44">
        <f>IF(OR(ISBLANK(B44), ISBLANK(H44)), "", EXP(H44 + 0.33*LN(B44)))</f>
        <v/>
      </c>
      <c r="M44">
        <f>$B$3</f>
        <v/>
      </c>
      <c r="N44" t="n">
        <v>0</v>
      </c>
      <c r="O44">
        <f>IF(ISBLANK(B44), "", N44 - ($B$3*B44))</f>
        <v/>
      </c>
      <c r="P44">
        <f>P43+O44</f>
        <v/>
      </c>
      <c r="Q44">
        <f>IF(ISBLANK(P44), "", EXP(H44 + 0.33*LN(P44)))</f>
        <v/>
      </c>
    </row>
    <row r="45">
      <c r="B45">
        <f>IF(OR(ISBLANK(C45), ISBLANK($B$3)), "", C45*$B$3)</f>
        <v/>
      </c>
      <c r="C45">
        <f>IFERROR(WEO_Data.B40, "")</f>
        <v/>
      </c>
      <c r="D45">
        <f>IF(ISBLANK(B45), "", LN(B45))</f>
        <v/>
      </c>
      <c r="E45">
        <f>IF(ISBLANK(C45), "", LN(C45))</f>
        <v/>
      </c>
      <c r="F45">
        <f>IF(OR(ISBLANK(E45), ISBLANK(D45)), "", E45 - 0.33*D45)</f>
        <v/>
      </c>
      <c r="G45">
        <f>F45</f>
        <v/>
      </c>
      <c r="H45">
        <f>G45</f>
        <v/>
      </c>
      <c r="L45">
        <f>IF(OR(ISBLANK(B45), ISBLANK(H45)), "", EXP(H45 + 0.33*LN(B45)))</f>
        <v/>
      </c>
      <c r="M45">
        <f>$B$3</f>
        <v/>
      </c>
      <c r="N45" t="n">
        <v>0</v>
      </c>
      <c r="O45">
        <f>IF(ISBLANK(B45), "", N45 - ($B$3*B45))</f>
        <v/>
      </c>
      <c r="P45">
        <f>P44+O45</f>
        <v/>
      </c>
      <c r="Q45">
        <f>IF(ISBLANK(P45), "", EXP(H45 + 0.33*LN(P45)))</f>
        <v/>
      </c>
    </row>
    <row r="46">
      <c r="B46">
        <f>IF(OR(ISBLANK(C46), ISBLANK($B$3)), "", C46*$B$3)</f>
        <v/>
      </c>
      <c r="C46">
        <f>IFERROR(WEO_Data.B41, "")</f>
        <v/>
      </c>
      <c r="D46">
        <f>IF(ISBLANK(B46), "", LN(B46))</f>
        <v/>
      </c>
      <c r="E46">
        <f>IF(ISBLANK(C46), "", LN(C46))</f>
        <v/>
      </c>
      <c r="F46">
        <f>IF(OR(ISBLANK(E46), ISBLANK(D46)), "", E46 - 0.33*D46)</f>
        <v/>
      </c>
      <c r="G46">
        <f>F46</f>
        <v/>
      </c>
      <c r="H46">
        <f>G46</f>
        <v/>
      </c>
      <c r="L46">
        <f>IF(OR(ISBLANK(B46), ISBLANK(H46)), "", EXP(H46 + 0.33*LN(B46)))</f>
        <v/>
      </c>
      <c r="M46">
        <f>$B$3</f>
        <v/>
      </c>
      <c r="N46" t="n">
        <v>0</v>
      </c>
      <c r="O46">
        <f>IF(ISBLANK(B46), "", N46 - ($B$3*B46))</f>
        <v/>
      </c>
      <c r="P46">
        <f>P45+O46</f>
        <v/>
      </c>
      <c r="Q46">
        <f>IF(ISBLANK(P46), "", EXP(H46 + 0.33*LN(P46)))</f>
        <v/>
      </c>
    </row>
    <row r="47">
      <c r="B47">
        <f>IF(OR(ISBLANK(C47), ISBLANK($B$3)), "", C47*$B$3)</f>
        <v/>
      </c>
      <c r="C47">
        <f>IFERROR(WEO_Data.B42, "")</f>
        <v/>
      </c>
      <c r="D47">
        <f>IF(ISBLANK(B47), "", LN(B47))</f>
        <v/>
      </c>
      <c r="E47">
        <f>IF(ISBLANK(C47), "", LN(C47))</f>
        <v/>
      </c>
      <c r="F47">
        <f>IF(OR(ISBLANK(E47), ISBLANK(D47)), "", E47 - 0.33*D47)</f>
        <v/>
      </c>
      <c r="G47">
        <f>F47</f>
        <v/>
      </c>
      <c r="H47">
        <f>G47</f>
        <v/>
      </c>
      <c r="L47">
        <f>IF(OR(ISBLANK(B47), ISBLANK(H47)), "", EXP(H47 + 0.33*LN(B47)))</f>
        <v/>
      </c>
      <c r="M47">
        <f>$B$3</f>
        <v/>
      </c>
      <c r="N47" t="n">
        <v>0</v>
      </c>
      <c r="O47">
        <f>IF(ISBLANK(B47), "", N47 - ($B$3*B47))</f>
        <v/>
      </c>
      <c r="P47">
        <f>P46+O47</f>
        <v/>
      </c>
      <c r="Q47">
        <f>IF(ISBLANK(P47), "", EXP(H47 + 0.33*LN(P47)))</f>
        <v/>
      </c>
    </row>
    <row r="48">
      <c r="B48">
        <f>IF(OR(ISBLANK(C48), ISBLANK($B$3)), "", C48*$B$3)</f>
        <v/>
      </c>
      <c r="C48">
        <f>IFERROR(WEO_Data.B43, "")</f>
        <v/>
      </c>
      <c r="D48">
        <f>IF(ISBLANK(B48), "", LN(B48))</f>
        <v/>
      </c>
      <c r="E48">
        <f>IF(ISBLANK(C48), "", LN(C48))</f>
        <v/>
      </c>
      <c r="F48">
        <f>IF(OR(ISBLANK(E48), ISBLANK(D48)), "", E48 - 0.33*D48)</f>
        <v/>
      </c>
      <c r="G48">
        <f>F48</f>
        <v/>
      </c>
      <c r="H48">
        <f>G48</f>
        <v/>
      </c>
      <c r="L48">
        <f>IF(OR(ISBLANK(B48), ISBLANK(H48)), "", EXP(H48 + 0.33*LN(B48)))</f>
        <v/>
      </c>
      <c r="M48">
        <f>$B$3</f>
        <v/>
      </c>
      <c r="N48" t="n">
        <v>0</v>
      </c>
      <c r="O48">
        <f>IF(ISBLANK(B48), "", N48 - ($B$3*B48))</f>
        <v/>
      </c>
      <c r="P48">
        <f>P47+O48</f>
        <v/>
      </c>
      <c r="Q48">
        <f>IF(ISBLANK(P48), "", EXP(H48 + 0.33*LN(P48)))</f>
        <v/>
      </c>
    </row>
    <row r="49">
      <c r="B49">
        <f>IF(OR(ISBLANK(C49), ISBLANK($B$3)), "", C49*$B$3)</f>
        <v/>
      </c>
      <c r="C49">
        <f>IFERROR(WEO_Data.B44, "")</f>
        <v/>
      </c>
      <c r="D49">
        <f>IF(ISBLANK(B49), "", LN(B49))</f>
        <v/>
      </c>
      <c r="E49">
        <f>IF(ISBLANK(C49), "", LN(C49))</f>
        <v/>
      </c>
      <c r="F49">
        <f>IF(OR(ISBLANK(E49), ISBLANK(D49)), "", E49 - 0.33*D49)</f>
        <v/>
      </c>
      <c r="G49">
        <f>F49</f>
        <v/>
      </c>
      <c r="H49">
        <f>G49</f>
        <v/>
      </c>
      <c r="L49">
        <f>IF(OR(ISBLANK(B49), ISBLANK(H49)), "", EXP(H49 + 0.33*LN(B49)))</f>
        <v/>
      </c>
      <c r="M49">
        <f>$B$3</f>
        <v/>
      </c>
      <c r="N49" t="n">
        <v>0</v>
      </c>
      <c r="O49">
        <f>IF(ISBLANK(B49), "", N49 - ($B$3*B49))</f>
        <v/>
      </c>
      <c r="P49">
        <f>P48+O49</f>
        <v/>
      </c>
      <c r="Q49">
        <f>IF(ISBLANK(P49), "", EXP(H49 + 0.33*LN(P49)))</f>
        <v/>
      </c>
    </row>
    <row r="50">
      <c r="B50">
        <f>IF(OR(ISBLANK(C50), ISBLANK($B$3)), "", C50*$B$3)</f>
        <v/>
      </c>
      <c r="C50">
        <f>IFERROR(WEO_Data.B45, "")</f>
        <v/>
      </c>
      <c r="D50">
        <f>IF(ISBLANK(B50), "", LN(B50))</f>
        <v/>
      </c>
      <c r="E50">
        <f>IF(ISBLANK(C50), "", LN(C50))</f>
        <v/>
      </c>
      <c r="F50">
        <f>IF(OR(ISBLANK(E50), ISBLANK(D50)), "", E50 - 0.33*D50)</f>
        <v/>
      </c>
      <c r="G50">
        <f>F50</f>
        <v/>
      </c>
      <c r="H50">
        <f>G50</f>
        <v/>
      </c>
      <c r="L50">
        <f>IF(OR(ISBLANK(B50), ISBLANK(H50)), "", EXP(H50 + 0.33*LN(B50)))</f>
        <v/>
      </c>
      <c r="M50">
        <f>$B$3</f>
        <v/>
      </c>
      <c r="N50" t="n">
        <v>0</v>
      </c>
      <c r="O50">
        <f>IF(ISBLANK(B50), "", N50 - ($B$3*B50))</f>
        <v/>
      </c>
      <c r="P50">
        <f>P49+O50</f>
        <v/>
      </c>
      <c r="Q50">
        <f>IF(ISBLANK(P50), "", EXP(H50 + 0.33*LN(P50)))</f>
        <v/>
      </c>
    </row>
    <row r="52">
      <c r="A52" t="inlineStr">
        <is>
          <t>Summary Statistics:</t>
        </is>
      </c>
    </row>
    <row r="53">
      <c r="A53" t="inlineStr">
        <is>
          <t>Capital Share (alpha):</t>
        </is>
      </c>
      <c r="B53" t="n">
        <v>0.33</v>
      </c>
    </row>
    <row r="54">
      <c r="A54" t="inlineStr">
        <is>
          <t>Average Depreciation Rate:</t>
        </is>
      </c>
      <c r="B54">
        <f>B3</f>
        <v/>
      </c>
    </row>
    <row r="55">
      <c r="A55" t="inlineStr">
        <is>
          <t>Average GDP Growth:</t>
        </is>
      </c>
      <c r="B55">
        <f>AVERAGE(WEO_Data.C2:WEO_Data.C27)</f>
        <v/>
      </c>
    </row>
    <row r="56">
      <c r="A56" t="inlineStr">
        <is>
          <t>Total Investment (2026-2033):</t>
        </is>
      </c>
      <c r="B56">
        <f>SUM(N33:N41)*8</f>
        <v/>
      </c>
    </row>
    <row r="58">
      <c r="A58" t="inlineStr">
        <is>
          <t>INSTRUCTIONS:</t>
        </is>
      </c>
    </row>
    <row r="59">
      <c r="A59" t="inlineStr">
        <is>
          <t>1. Open Solver in Excel</t>
        </is>
      </c>
    </row>
    <row r="60">
      <c r="A60" t="inlineStr">
        <is>
          <t>2. Set Objective: K5 (minimize)</t>
        </is>
      </c>
    </row>
    <row r="61">
      <c r="A61" t="inlineStr">
        <is>
          <t>3. By Changing Cells: G8:G28 (LnZ_HP values)</t>
        </is>
      </c>
    </row>
    <row r="62">
      <c r="A62" t="inlineStr">
        <is>
          <t>4. Subject to: Sum of squared second differences minimized</t>
        </is>
      </c>
    </row>
    <row r="63">
      <c r="A63" t="inlineStr">
        <is>
          <t>5. Run Solver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Investment</t>
        </is>
      </c>
    </row>
    <row r="2">
      <c r="A2" t="n">
        <v>2000</v>
      </c>
      <c r="B2" t="n">
        <v>0</v>
      </c>
    </row>
    <row r="3">
      <c r="A3" t="n">
        <v>2001</v>
      </c>
      <c r="B3" t="n">
        <v>0</v>
      </c>
    </row>
    <row r="4">
      <c r="A4" t="n">
        <v>2002</v>
      </c>
      <c r="B4" t="n">
        <v>0</v>
      </c>
    </row>
    <row r="5">
      <c r="A5" t="n">
        <v>2003</v>
      </c>
      <c r="B5" t="n">
        <v>0</v>
      </c>
    </row>
    <row r="6">
      <c r="A6" t="n">
        <v>2004</v>
      </c>
      <c r="B6" t="n">
        <v>0</v>
      </c>
    </row>
    <row r="7">
      <c r="A7" t="n">
        <v>2005</v>
      </c>
      <c r="B7" t="n">
        <v>0</v>
      </c>
    </row>
    <row r="8">
      <c r="A8" t="n">
        <v>2006</v>
      </c>
      <c r="B8" t="n">
        <v>0</v>
      </c>
    </row>
    <row r="9">
      <c r="A9" t="n">
        <v>2007</v>
      </c>
      <c r="B9" t="n">
        <v>0</v>
      </c>
    </row>
    <row r="10">
      <c r="A10" t="n">
        <v>2008</v>
      </c>
      <c r="B10" t="n">
        <v>0</v>
      </c>
    </row>
    <row r="11">
      <c r="A11" t="n">
        <v>2009</v>
      </c>
      <c r="B11" t="n">
        <v>0</v>
      </c>
    </row>
    <row r="12">
      <c r="A12" t="n">
        <v>2010</v>
      </c>
      <c r="B12" t="n">
        <v>0</v>
      </c>
    </row>
    <row r="13">
      <c r="A13" t="n">
        <v>2011</v>
      </c>
      <c r="B13" t="n">
        <v>0</v>
      </c>
    </row>
    <row r="14">
      <c r="A14" t="n">
        <v>2012</v>
      </c>
      <c r="B14" t="n">
        <v>0</v>
      </c>
    </row>
    <row r="15">
      <c r="A15" t="n">
        <v>2013</v>
      </c>
      <c r="B15" t="n">
        <v>0</v>
      </c>
    </row>
    <row r="16">
      <c r="A16" t="n">
        <v>2014</v>
      </c>
      <c r="B16" t="n">
        <v>0</v>
      </c>
    </row>
    <row r="17">
      <c r="A17" t="n">
        <v>2015</v>
      </c>
      <c r="B17" t="n">
        <v>0</v>
      </c>
    </row>
    <row r="18">
      <c r="A18" t="n">
        <v>2016</v>
      </c>
      <c r="B18" t="n">
        <v>0</v>
      </c>
    </row>
    <row r="19">
      <c r="A19" t="n">
        <v>2017</v>
      </c>
      <c r="B19" t="n">
        <v>0</v>
      </c>
    </row>
    <row r="20">
      <c r="A20" t="n">
        <v>2018</v>
      </c>
      <c r="B20" t="n">
        <v>0</v>
      </c>
    </row>
    <row r="21">
      <c r="A21" t="n">
        <v>2019</v>
      </c>
      <c r="B21" t="n">
        <v>0</v>
      </c>
    </row>
    <row r="22">
      <c r="A22" t="n">
        <v>2020</v>
      </c>
      <c r="B22" t="n">
        <v>0</v>
      </c>
    </row>
    <row r="23">
      <c r="A23" t="n">
        <v>2021</v>
      </c>
      <c r="B23" t="n">
        <v>0</v>
      </c>
    </row>
    <row r="24">
      <c r="A24" t="n">
        <v>2022</v>
      </c>
      <c r="B24" t="n">
        <v>0</v>
      </c>
    </row>
    <row r="25">
      <c r="A25" t="n">
        <v>2023</v>
      </c>
      <c r="B25" t="n">
        <v>0</v>
      </c>
    </row>
    <row r="26">
      <c r="A26" t="n">
        <v>2024</v>
      </c>
      <c r="B26" t="n">
        <v>0</v>
      </c>
    </row>
    <row r="27">
      <c r="A27" t="n">
        <v>2025</v>
      </c>
      <c r="B27" t="n">
        <v>0</v>
      </c>
    </row>
    <row r="28">
      <c r="A28" t="n">
        <v>2026</v>
      </c>
      <c r="B28" t="n">
        <v>6.5</v>
      </c>
    </row>
    <row r="29">
      <c r="A29" t="n">
        <v>2027</v>
      </c>
      <c r="B29" t="n">
        <v>6.5</v>
      </c>
    </row>
    <row r="30">
      <c r="A30" t="n">
        <v>2028</v>
      </c>
      <c r="B30" t="n">
        <v>6.5</v>
      </c>
    </row>
    <row r="31">
      <c r="A31" t="n">
        <v>2029</v>
      </c>
      <c r="B31" t="n">
        <v>6.5</v>
      </c>
    </row>
    <row r="32">
      <c r="A32" t="n">
        <v>2030</v>
      </c>
      <c r="B32" t="n">
        <v>6.5</v>
      </c>
    </row>
    <row r="33">
      <c r="A33" t="n">
        <v>2031</v>
      </c>
      <c r="B33" t="n">
        <v>6.5</v>
      </c>
    </row>
    <row r="34">
      <c r="A34" t="n">
        <v>2032</v>
      </c>
      <c r="B34" t="n">
        <v>6.5</v>
      </c>
    </row>
    <row r="35">
      <c r="A35" t="n">
        <v>2033</v>
      </c>
      <c r="B35" t="n">
        <v>6.5</v>
      </c>
    </row>
    <row r="36">
      <c r="A36" t="n">
        <v>2034</v>
      </c>
      <c r="B36" t="n">
        <v>0</v>
      </c>
    </row>
    <row r="37">
      <c r="A37" t="n">
        <v>2035</v>
      </c>
      <c r="B37" t="n">
        <v>0</v>
      </c>
    </row>
    <row r="38">
      <c r="A38" t="n">
        <v>2036</v>
      </c>
      <c r="B38" t="n">
        <v>0</v>
      </c>
    </row>
    <row r="39">
      <c r="A39" t="n">
        <v>2037</v>
      </c>
      <c r="B39" t="n">
        <v>0</v>
      </c>
    </row>
    <row r="40">
      <c r="A40" t="n">
        <v>2038</v>
      </c>
      <c r="B40" t="n">
        <v>0</v>
      </c>
    </row>
    <row r="41">
      <c r="A41" t="n">
        <v>2039</v>
      </c>
      <c r="B41" t="n">
        <v>0</v>
      </c>
    </row>
    <row r="42">
      <c r="A42" t="n">
        <v>2040</v>
      </c>
      <c r="B42" t="n">
        <v>0</v>
      </c>
    </row>
    <row r="43">
      <c r="A43" t="n">
        <v>2041</v>
      </c>
      <c r="B43" t="n">
        <v>0</v>
      </c>
    </row>
    <row r="44">
      <c r="A44" t="n">
        <v>2042</v>
      </c>
      <c r="B44" t="n">
        <v>0</v>
      </c>
    </row>
    <row r="45">
      <c r="A45" t="n">
        <v>2043</v>
      </c>
      <c r="B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2026-01-27T04:09:29Z</dcterms:created>
  <dcterms:modified xsi:type="dcterms:W3CDTF">2026-01-27T04:20:42Z</dcterms:modified>
</cp:coreProperties>
</file>