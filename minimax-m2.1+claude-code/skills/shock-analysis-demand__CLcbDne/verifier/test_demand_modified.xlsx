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O_Data" sheetId="1" state="visible" r:id="rId1"/>
    <sheet name="SUPPLY" sheetId="2" state="visible" r:id="rId2"/>
    <sheet name="USE" sheetId="3" state="visible" r:id="rId3"/>
    <sheet name="SUT Calc" sheetId="4" state="visible" r:id="rId4"/>
    <sheet name="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Year</t>
        </is>
      </c>
      <c r="B1" s="1" t="inlineStr">
        <is>
          <t>Real GDP (USD bln)</t>
        </is>
      </c>
      <c r="C1" s="1" t="inlineStr">
        <is>
          <t>Real GDP Growth (%)</t>
        </is>
      </c>
      <c r="D1" s="1" t="inlineStr">
        <is>
          <t>GDP Deflator (2020=100)</t>
        </is>
      </c>
      <c r="E1" s="1" t="inlineStr">
        <is>
          <t>Nominal GDP (USD bln)</t>
        </is>
      </c>
      <c r="F1" s="1" t="inlineStr">
        <is>
          <t>GDP Deflator Growth (%)</t>
        </is>
      </c>
    </row>
    <row r="2">
      <c r="A2" t="n">
        <v>2020</v>
      </c>
      <c r="B2" t="n">
        <v>15.9</v>
      </c>
      <c r="C2" t="n">
        <v>0</v>
      </c>
      <c r="D2" t="n">
        <v>100</v>
      </c>
      <c r="E2" t="n">
        <v>15.9</v>
      </c>
      <c r="F2" t="n">
        <v>0</v>
      </c>
    </row>
    <row r="3">
      <c r="A3" t="n">
        <v>2021</v>
      </c>
      <c r="B3" t="n">
        <v>17.3</v>
      </c>
      <c r="C3" t="n">
        <v>8.800000000000001</v>
      </c>
      <c r="D3" t="n">
        <v>103.5</v>
      </c>
      <c r="E3" t="n">
        <v>17.9</v>
      </c>
      <c r="F3" t="n">
        <v>3.5</v>
      </c>
    </row>
    <row r="4">
      <c r="A4" t="n">
        <v>2022</v>
      </c>
      <c r="B4" t="n">
        <v>18.7</v>
      </c>
      <c r="C4" t="n">
        <v>8.1</v>
      </c>
      <c r="D4" t="n">
        <v>107.8</v>
      </c>
      <c r="E4" t="n">
        <v>20.1</v>
      </c>
      <c r="F4" t="n">
        <v>4.2</v>
      </c>
    </row>
    <row r="5">
      <c r="A5" t="n">
        <v>2023</v>
      </c>
      <c r="B5" t="n">
        <v>20.2</v>
      </c>
      <c r="C5" t="n">
        <v>8</v>
      </c>
      <c r="D5" t="n">
        <v>112.5</v>
      </c>
      <c r="E5" t="n">
        <v>22.7</v>
      </c>
      <c r="F5" t="n">
        <v>4.3</v>
      </c>
    </row>
    <row r="6">
      <c r="A6" t="n">
        <v>2024</v>
      </c>
      <c r="B6" t="n">
        <v>21.6</v>
      </c>
      <c r="C6" t="n">
        <v>6.9</v>
      </c>
      <c r="D6" t="n">
        <v>117.5</v>
      </c>
      <c r="E6" t="n">
        <v>25.4</v>
      </c>
      <c r="F6" t="n">
        <v>4.4</v>
      </c>
    </row>
    <row r="7">
      <c r="A7" t="n">
        <v>2025</v>
      </c>
      <c r="B7" t="n">
        <v>23</v>
      </c>
      <c r="C7" t="n">
        <v>6.5</v>
      </c>
      <c r="D7" t="n">
        <v>122.8</v>
      </c>
      <c r="E7" t="n">
        <v>28.2</v>
      </c>
      <c r="F7" t="n">
        <v>4.5</v>
      </c>
    </row>
    <row r="8">
      <c r="A8" t="n">
        <v>2026</v>
      </c>
      <c r="B8" t="n">
        <v>24.6</v>
      </c>
      <c r="C8" t="n">
        <v>7</v>
      </c>
      <c r="D8" t="n">
        <v>128.5</v>
      </c>
      <c r="E8" t="n">
        <v>31.6</v>
      </c>
      <c r="F8" t="n">
        <v>4.6</v>
      </c>
    </row>
    <row r="10">
      <c r="A10" t="n">
        <v>2028</v>
      </c>
      <c r="B10" t="n">
        <v>26.32</v>
      </c>
      <c r="C10" t="n">
        <v>7</v>
      </c>
      <c r="D10" t="n">
        <v>133.83</v>
      </c>
      <c r="E10" t="n">
        <v>35.23</v>
      </c>
      <c r="F10" t="n">
        <v>4.15</v>
      </c>
    </row>
    <row r="11">
      <c r="A11" t="n">
        <v>2029</v>
      </c>
      <c r="B11" t="n">
        <v>28.16</v>
      </c>
      <c r="C11" t="n">
        <v>7</v>
      </c>
      <c r="D11" t="n">
        <v>139.39</v>
      </c>
      <c r="E11" t="n">
        <v>39.26</v>
      </c>
      <c r="F11" t="n">
        <v>4.15</v>
      </c>
    </row>
    <row r="12">
      <c r="A12" t="n">
        <v>2030</v>
      </c>
      <c r="B12" t="n">
        <v>30.14</v>
      </c>
      <c r="C12" t="n">
        <v>7</v>
      </c>
      <c r="D12" t="n">
        <v>145.17</v>
      </c>
      <c r="E12" t="n">
        <v>43.75</v>
      </c>
      <c r="F12" t="n">
        <v>4.15</v>
      </c>
    </row>
    <row r="13">
      <c r="A13" t="n">
        <v>2031</v>
      </c>
      <c r="B13" t="n">
        <v>32.25</v>
      </c>
      <c r="C13" t="n">
        <v>7</v>
      </c>
      <c r="D13" t="n">
        <v>151.2</v>
      </c>
      <c r="E13" t="n">
        <v>48.75</v>
      </c>
      <c r="F13" t="n">
        <v>4.15</v>
      </c>
    </row>
    <row r="14">
      <c r="A14" t="n">
        <v>2032</v>
      </c>
      <c r="B14" t="n">
        <v>34.5</v>
      </c>
      <c r="C14" t="n">
        <v>7</v>
      </c>
      <c r="D14" t="n">
        <v>157.47</v>
      </c>
      <c r="E14" t="n">
        <v>54.33</v>
      </c>
      <c r="F14" t="n">
        <v>4.15</v>
      </c>
    </row>
    <row r="15">
      <c r="A15" t="n">
        <v>2033</v>
      </c>
      <c r="B15" t="n">
        <v>36.92</v>
      </c>
      <c r="C15" t="n">
        <v>7</v>
      </c>
      <c r="D15" t="n">
        <v>164.01</v>
      </c>
      <c r="E15" t="n">
        <v>60.55</v>
      </c>
      <c r="F15" t="n">
        <v>4.15</v>
      </c>
    </row>
    <row r="16">
      <c r="A16" t="n">
        <v>2034</v>
      </c>
      <c r="B16" t="n">
        <v>39.5</v>
      </c>
      <c r="C16" t="n">
        <v>7</v>
      </c>
      <c r="D16" t="n">
        <v>170.81</v>
      </c>
      <c r="E16" t="n">
        <v>67.47</v>
      </c>
      <c r="F16" t="n">
        <v>4.15</v>
      </c>
    </row>
    <row r="17">
      <c r="A17" t="n">
        <v>2035</v>
      </c>
      <c r="B17" t="n">
        <v>42.27</v>
      </c>
      <c r="C17" t="n">
        <v>7</v>
      </c>
      <c r="D17" t="n">
        <v>177.9</v>
      </c>
      <c r="E17" t="n">
        <v>75.19</v>
      </c>
      <c r="F17" t="n">
        <v>4.15</v>
      </c>
    </row>
    <row r="18">
      <c r="A18" t="n">
        <v>2036</v>
      </c>
      <c r="B18" t="n">
        <v>45.23</v>
      </c>
      <c r="C18" t="n">
        <v>7</v>
      </c>
      <c r="D18" t="n">
        <v>185.28</v>
      </c>
      <c r="E18" t="n">
        <v>83.8</v>
      </c>
      <c r="F18" t="n">
        <v>4.15</v>
      </c>
    </row>
    <row r="19">
      <c r="A19" t="n">
        <v>2037</v>
      </c>
      <c r="B19" t="n">
        <v>48.39</v>
      </c>
      <c r="C19" t="n">
        <v>7</v>
      </c>
      <c r="D19" t="n">
        <v>192.97</v>
      </c>
      <c r="E19" t="n">
        <v>93.38</v>
      </c>
      <c r="F19" t="n">
        <v>4.15</v>
      </c>
    </row>
    <row r="20">
      <c r="A20" t="n">
        <v>2038</v>
      </c>
      <c r="B20" t="n">
        <v>51.78</v>
      </c>
      <c r="C20" t="n">
        <v>7</v>
      </c>
      <c r="D20" t="n">
        <v>200.98</v>
      </c>
      <c r="E20" t="n">
        <v>104.07</v>
      </c>
      <c r="F20" t="n">
        <v>4.15</v>
      </c>
    </row>
    <row r="21">
      <c r="A21" t="n">
        <v>2039</v>
      </c>
      <c r="B21" t="n">
        <v>55.4</v>
      </c>
      <c r="C21" t="n">
        <v>7</v>
      </c>
      <c r="D21" t="n">
        <v>209.32</v>
      </c>
      <c r="E21" t="n">
        <v>115.97</v>
      </c>
      <c r="F21" t="n">
        <v>4.15</v>
      </c>
    </row>
    <row r="22">
      <c r="A22" t="n">
        <v>2040</v>
      </c>
      <c r="B22" t="n">
        <v>59.28</v>
      </c>
      <c r="C22" t="n">
        <v>7</v>
      </c>
      <c r="D22" t="n">
        <v>218.01</v>
      </c>
      <c r="E22" t="n">
        <v>129.24</v>
      </c>
      <c r="F22" t="n">
        <v>4.15</v>
      </c>
    </row>
    <row r="23">
      <c r="A23" t="n">
        <v>2041</v>
      </c>
      <c r="B23" t="n">
        <v>63.43</v>
      </c>
      <c r="C23" t="n">
        <v>7</v>
      </c>
      <c r="D23" t="n">
        <v>227.06</v>
      </c>
      <c r="E23" t="n">
        <v>144.03</v>
      </c>
      <c r="F23" t="n">
        <v>4.15</v>
      </c>
    </row>
    <row r="24">
      <c r="A24" t="n">
        <v>2042</v>
      </c>
      <c r="B24" t="n">
        <v>67.87</v>
      </c>
      <c r="C24" t="n">
        <v>7</v>
      </c>
      <c r="D24" t="n">
        <v>236.48</v>
      </c>
      <c r="E24" t="n">
        <v>160.5</v>
      </c>
      <c r="F24" t="n">
        <v>4.15</v>
      </c>
    </row>
    <row r="25">
      <c r="A25" t="n">
        <v>2043</v>
      </c>
      <c r="B25" t="n">
        <v>72.62</v>
      </c>
      <c r="C25" t="n">
        <v>7</v>
      </c>
      <c r="D25" t="n">
        <v>246.29</v>
      </c>
      <c r="E25" t="n">
        <v>178.87</v>
      </c>
      <c r="F25" t="n">
        <v>4.15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  <c r="G1" s="1" t="inlineStr">
        <is>
          <t>C6</t>
        </is>
      </c>
      <c r="H1" s="1" t="inlineStr">
        <is>
          <t>C7</t>
        </is>
      </c>
      <c r="I1" s="1" t="inlineStr">
        <is>
          <t>C8</t>
        </is>
      </c>
      <c r="J1" s="1" t="inlineStr">
        <is>
          <t>C9</t>
        </is>
      </c>
      <c r="K1" s="1" t="inlineStr">
        <is>
          <t>C10</t>
        </is>
      </c>
      <c r="L1" s="1" t="inlineStr">
        <is>
          <t>C11</t>
        </is>
      </c>
      <c r="M1" s="1" t="inlineStr">
        <is>
          <t>C12</t>
        </is>
      </c>
      <c r="N1" s="1" t="inlineStr">
        <is>
          <t>C13</t>
        </is>
      </c>
      <c r="O1" s="1" t="inlineStr">
        <is>
          <t>C14</t>
        </is>
      </c>
      <c r="P1" s="1" t="inlineStr">
        <is>
          <t>C15</t>
        </is>
      </c>
      <c r="Q1" s="1" t="inlineStr">
        <is>
          <t>C16</t>
        </is>
      </c>
      <c r="R1" s="1" t="inlineStr">
        <is>
          <t>C17</t>
        </is>
      </c>
      <c r="S1" s="1" t="inlineStr">
        <is>
          <t>C18</t>
        </is>
      </c>
      <c r="T1" s="1" t="inlineStr">
        <is>
          <t>C19</t>
        </is>
      </c>
      <c r="U1" s="1" t="inlineStr">
        <is>
          <t>C20</t>
        </is>
      </c>
      <c r="V1" s="1" t="inlineStr">
        <is>
          <t>C21</t>
        </is>
      </c>
      <c r="W1" s="1" t="inlineStr">
        <is>
          <t>C22</t>
        </is>
      </c>
      <c r="X1" s="1" t="inlineStr">
        <is>
          <t>C23</t>
        </is>
      </c>
      <c r="Y1" s="1" t="inlineStr">
        <is>
          <t>C24</t>
        </is>
      </c>
      <c r="Z1" s="1" t="inlineStr">
        <is>
          <t>C25</t>
        </is>
      </c>
      <c r="AA1" s="1" t="inlineStr">
        <is>
          <t>C26</t>
        </is>
      </c>
      <c r="AB1" s="1" t="inlineStr">
        <is>
          <t>C27</t>
        </is>
      </c>
      <c r="AC1" s="1" t="inlineStr">
        <is>
          <t>C28</t>
        </is>
      </c>
      <c r="AD1" s="1" t="inlineStr">
        <is>
          <t>C29</t>
        </is>
      </c>
      <c r="AE1" s="1" t="inlineStr">
        <is>
          <t>C30</t>
        </is>
      </c>
      <c r="AF1" s="1" t="inlineStr">
        <is>
          <t>C31</t>
        </is>
      </c>
      <c r="AG1" s="1" t="inlineStr">
        <is>
          <t>C32</t>
        </is>
      </c>
      <c r="AH1" s="1" t="inlineStr">
        <is>
          <t>C33</t>
        </is>
      </c>
      <c r="AI1" s="1" t="inlineStr">
        <is>
          <t>C34</t>
        </is>
      </c>
      <c r="AJ1" s="1" t="inlineStr">
        <is>
          <t>C35</t>
        </is>
      </c>
      <c r="AK1" s="1" t="inlineStr">
        <is>
          <t>C36</t>
        </is>
      </c>
      <c r="AL1" s="1" t="inlineStr">
        <is>
          <t>C37</t>
        </is>
      </c>
      <c r="AM1" s="1" t="inlineStr">
        <is>
          <t>C38</t>
        </is>
      </c>
    </row>
    <row r="2">
      <c r="A2" t="inlineStr">
        <is>
          <t>Agriculture</t>
        </is>
      </c>
      <c r="B2" t="n">
        <v>100</v>
      </c>
    </row>
    <row r="3">
      <c r="A3" t="inlineStr">
        <is>
          <t>Mining</t>
        </is>
      </c>
      <c r="C3" t="n">
        <v>105</v>
      </c>
    </row>
    <row r="4">
      <c r="A4" t="inlineStr">
        <is>
          <t>Manufacturing</t>
        </is>
      </c>
      <c r="D4" t="n">
        <v>110</v>
      </c>
    </row>
    <row r="5">
      <c r="A5" t="inlineStr">
        <is>
          <t>Food Processing</t>
        </is>
      </c>
      <c r="E5" t="n">
        <v>115</v>
      </c>
    </row>
    <row r="6">
      <c r="A6" t="inlineStr">
        <is>
          <t>Textiles</t>
        </is>
      </c>
      <c r="F6" t="n">
        <v>120</v>
      </c>
    </row>
    <row r="7">
      <c r="A7" t="inlineStr">
        <is>
          <t>Wood Products</t>
        </is>
      </c>
      <c r="G7" t="n">
        <v>125</v>
      </c>
    </row>
    <row r="8">
      <c r="A8" t="inlineStr">
        <is>
          <t>Paper Products</t>
        </is>
      </c>
      <c r="H8" t="n">
        <v>130</v>
      </c>
    </row>
    <row r="9">
      <c r="A9" t="inlineStr">
        <is>
          <t>Petroleum Products</t>
        </is>
      </c>
      <c r="I9" t="n">
        <v>135</v>
      </c>
    </row>
    <row r="10">
      <c r="A10" t="inlineStr">
        <is>
          <t>Chemicals</t>
        </is>
      </c>
      <c r="J10" t="n">
        <v>140</v>
      </c>
    </row>
    <row r="11">
      <c r="A11" t="inlineStr">
        <is>
          <t>Non-Metallic Products</t>
        </is>
      </c>
      <c r="K11" t="n">
        <v>145</v>
      </c>
    </row>
    <row r="12">
      <c r="A12" t="inlineStr">
        <is>
          <t>Metals</t>
        </is>
      </c>
      <c r="L12" t="n">
        <v>150</v>
      </c>
    </row>
    <row r="13">
      <c r="A13" t="inlineStr">
        <is>
          <t>Machinery</t>
        </is>
      </c>
      <c r="M13" t="n">
        <v>155</v>
      </c>
    </row>
    <row r="14">
      <c r="A14" t="inlineStr">
        <is>
          <t>Electronics</t>
        </is>
      </c>
      <c r="N14" t="n">
        <v>160</v>
      </c>
    </row>
    <row r="15">
      <c r="A15" t="inlineStr">
        <is>
          <t>Transport Equipment</t>
        </is>
      </c>
      <c r="O15" t="n">
        <v>165</v>
      </c>
    </row>
    <row r="16">
      <c r="A16" t="inlineStr">
        <is>
          <t>Other Manufacturing</t>
        </is>
      </c>
      <c r="P16" t="n">
        <v>170</v>
      </c>
    </row>
    <row r="17">
      <c r="A17" t="inlineStr">
        <is>
          <t>Electricity</t>
        </is>
      </c>
      <c r="Q17" t="n">
        <v>175</v>
      </c>
    </row>
    <row r="18">
      <c r="A18" t="inlineStr">
        <is>
          <t>Water Supply</t>
        </is>
      </c>
      <c r="R18" t="n">
        <v>180</v>
      </c>
    </row>
    <row r="19">
      <c r="A19" t="inlineStr">
        <is>
          <t>Construction</t>
        </is>
      </c>
      <c r="S19" t="n">
        <v>185</v>
      </c>
    </row>
    <row r="20">
      <c r="A20" t="inlineStr">
        <is>
          <t>Wholesale Trade</t>
        </is>
      </c>
      <c r="T20" t="n">
        <v>190</v>
      </c>
    </row>
    <row r="21">
      <c r="A21" t="inlineStr">
        <is>
          <t>Retail Trade</t>
        </is>
      </c>
      <c r="U21" t="n">
        <v>195</v>
      </c>
    </row>
    <row r="22">
      <c r="A22" t="inlineStr">
        <is>
          <t>Transport</t>
        </is>
      </c>
      <c r="V22" t="n">
        <v>200</v>
      </c>
    </row>
    <row r="23">
      <c r="A23" t="inlineStr">
        <is>
          <t>Accommodation</t>
        </is>
      </c>
      <c r="W23" t="n">
        <v>205</v>
      </c>
    </row>
    <row r="24">
      <c r="A24" t="inlineStr">
        <is>
          <t>Communication</t>
        </is>
      </c>
      <c r="X24" t="n">
        <v>210</v>
      </c>
    </row>
    <row r="25">
      <c r="A25" t="inlineStr">
        <is>
          <t>Financial Services</t>
        </is>
      </c>
      <c r="Y25" t="n">
        <v>215</v>
      </c>
    </row>
    <row r="26">
      <c r="A26" t="inlineStr">
        <is>
          <t>Real Estate</t>
        </is>
      </c>
      <c r="Z26" t="n">
        <v>220</v>
      </c>
    </row>
    <row r="27">
      <c r="A27" t="inlineStr">
        <is>
          <t>Professional Services</t>
        </is>
      </c>
      <c r="AA27" t="n">
        <v>225</v>
      </c>
    </row>
    <row r="28">
      <c r="A28" t="inlineStr">
        <is>
          <t>Public Administration</t>
        </is>
      </c>
      <c r="AB28" t="n">
        <v>230</v>
      </c>
    </row>
    <row r="29">
      <c r="A29" t="inlineStr">
        <is>
          <t>Education</t>
        </is>
      </c>
      <c r="AC29" t="n">
        <v>235</v>
      </c>
    </row>
    <row r="30">
      <c r="A30" t="inlineStr">
        <is>
          <t>Health</t>
        </is>
      </c>
      <c r="AD30" t="n">
        <v>240</v>
      </c>
    </row>
    <row r="31">
      <c r="A31" t="inlineStr">
        <is>
          <t>Other Services</t>
        </is>
      </c>
      <c r="AE31" t="n">
        <v>245</v>
      </c>
    </row>
    <row r="32">
      <c r="A32" t="inlineStr">
        <is>
          <t>Imports</t>
        </is>
      </c>
      <c r="B32" t="n">
        <v>54</v>
      </c>
      <c r="C32" t="n">
        <v>56</v>
      </c>
      <c r="D32" t="n">
        <v>58</v>
      </c>
      <c r="E32" t="n">
        <v>60</v>
      </c>
      <c r="F32" t="n">
        <v>62</v>
      </c>
      <c r="G32" t="n">
        <v>64</v>
      </c>
      <c r="H32" t="n">
        <v>66</v>
      </c>
      <c r="I32" t="n">
        <v>68</v>
      </c>
      <c r="J32" t="n">
        <v>70</v>
      </c>
      <c r="K32" t="n">
        <v>72</v>
      </c>
      <c r="L32" t="n">
        <v>74</v>
      </c>
      <c r="M32" t="n">
        <v>76</v>
      </c>
      <c r="N32" t="n">
        <v>78</v>
      </c>
      <c r="O32" t="n">
        <v>80</v>
      </c>
      <c r="P32" t="n">
        <v>82</v>
      </c>
      <c r="Q32" t="n">
        <v>84</v>
      </c>
      <c r="R32" t="n">
        <v>86</v>
      </c>
      <c r="S32" t="n">
        <v>88</v>
      </c>
      <c r="T32" t="n">
        <v>90</v>
      </c>
      <c r="U32" t="n">
        <v>92</v>
      </c>
      <c r="V32" t="n">
        <v>94</v>
      </c>
      <c r="W32" t="n">
        <v>96</v>
      </c>
      <c r="X32" t="n">
        <v>98</v>
      </c>
      <c r="Y32" t="n">
        <v>100</v>
      </c>
      <c r="Z32" t="n">
        <v>102</v>
      </c>
      <c r="AA32" t="n">
        <v>104</v>
      </c>
      <c r="AB32" t="n">
        <v>106</v>
      </c>
      <c r="AC32" t="n">
        <v>108</v>
      </c>
      <c r="AD32" t="n">
        <v>110</v>
      </c>
      <c r="AE32" t="n">
        <v>112</v>
      </c>
      <c r="AF32" t="n">
        <v>250</v>
      </c>
      <c r="AG32" t="n">
        <v>116</v>
      </c>
      <c r="AH32" t="n">
        <v>118</v>
      </c>
      <c r="AI32" t="n">
        <v>120</v>
      </c>
      <c r="AJ32" t="n">
        <v>122</v>
      </c>
      <c r="AK32" t="n">
        <v>124</v>
      </c>
      <c r="AL32" t="n">
        <v>126</v>
      </c>
      <c r="AM32" t="n">
        <v>128</v>
      </c>
    </row>
    <row r="33">
      <c r="A33" t="inlineStr">
        <is>
          <t>Trade Margins</t>
        </is>
      </c>
      <c r="AG33" t="n">
        <v>255</v>
      </c>
    </row>
    <row r="34">
      <c r="A34" t="inlineStr">
        <is>
          <t>Transport Margins</t>
        </is>
      </c>
      <c r="AH34" t="n">
        <v>260</v>
      </c>
    </row>
    <row r="35">
      <c r="A35" t="inlineStr">
        <is>
          <t>Taxes</t>
        </is>
      </c>
      <c r="AI35" t="n">
        <v>265</v>
      </c>
    </row>
    <row r="36">
      <c r="A36" t="inlineStr">
        <is>
          <t>Subsidies</t>
        </is>
      </c>
      <c r="AJ36" t="n">
        <v>270</v>
      </c>
    </row>
    <row r="37">
      <c r="A37" t="inlineStr">
        <is>
          <t>Other Adjustments</t>
        </is>
      </c>
      <c r="AK37" t="n">
        <v>275</v>
      </c>
    </row>
    <row r="38">
      <c r="AL38" t="n">
        <v>280</v>
      </c>
    </row>
    <row r="39">
      <c r="AM39" t="n">
        <v>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  <c r="G1" s="1" t="inlineStr">
        <is>
          <t>C6</t>
        </is>
      </c>
      <c r="H1" s="1" t="inlineStr">
        <is>
          <t>C7</t>
        </is>
      </c>
      <c r="I1" s="1" t="inlineStr">
        <is>
          <t>C8</t>
        </is>
      </c>
      <c r="J1" s="1" t="inlineStr">
        <is>
          <t>C9</t>
        </is>
      </c>
      <c r="K1" s="1" t="inlineStr">
        <is>
          <t>C10</t>
        </is>
      </c>
      <c r="L1" s="1" t="inlineStr">
        <is>
          <t>C11</t>
        </is>
      </c>
      <c r="M1" s="1" t="inlineStr">
        <is>
          <t>C12</t>
        </is>
      </c>
      <c r="N1" s="1" t="inlineStr">
        <is>
          <t>C13</t>
        </is>
      </c>
      <c r="O1" s="1" t="inlineStr">
        <is>
          <t>C14</t>
        </is>
      </c>
      <c r="P1" s="1" t="inlineStr">
        <is>
          <t>C15</t>
        </is>
      </c>
      <c r="Q1" s="1" t="inlineStr">
        <is>
          <t>C16</t>
        </is>
      </c>
      <c r="R1" s="1" t="inlineStr">
        <is>
          <t>C17</t>
        </is>
      </c>
      <c r="S1" s="1" t="inlineStr">
        <is>
          <t>C18</t>
        </is>
      </c>
      <c r="T1" s="1" t="inlineStr">
        <is>
          <t>C19</t>
        </is>
      </c>
      <c r="U1" s="1" t="inlineStr">
        <is>
          <t>C20</t>
        </is>
      </c>
      <c r="V1" s="1" t="inlineStr">
        <is>
          <t>C21</t>
        </is>
      </c>
      <c r="W1" s="1" t="inlineStr">
        <is>
          <t>C22</t>
        </is>
      </c>
      <c r="X1" s="1" t="inlineStr">
        <is>
          <t>C23</t>
        </is>
      </c>
      <c r="Y1" s="1" t="inlineStr">
        <is>
          <t>C24</t>
        </is>
      </c>
      <c r="Z1" s="1" t="inlineStr">
        <is>
          <t>C25</t>
        </is>
      </c>
      <c r="AA1" s="1" t="inlineStr">
        <is>
          <t>C26</t>
        </is>
      </c>
      <c r="AB1" s="1" t="inlineStr">
        <is>
          <t>C27</t>
        </is>
      </c>
      <c r="AC1" s="1" t="inlineStr">
        <is>
          <t>C28</t>
        </is>
      </c>
      <c r="AD1" s="1" t="inlineStr">
        <is>
          <t>C29</t>
        </is>
      </c>
      <c r="AE1" s="1" t="inlineStr">
        <is>
          <t>C30</t>
        </is>
      </c>
      <c r="AF1" s="1" t="inlineStr">
        <is>
          <t>C31</t>
        </is>
      </c>
      <c r="AG1" s="1" t="inlineStr">
        <is>
          <t>C32</t>
        </is>
      </c>
      <c r="AH1" s="1" t="inlineStr">
        <is>
          <t>C33</t>
        </is>
      </c>
      <c r="AI1" s="1" t="inlineStr">
        <is>
          <t>C34</t>
        </is>
      </c>
      <c r="AJ1" s="1" t="inlineStr">
        <is>
          <t>C35</t>
        </is>
      </c>
      <c r="AK1" s="1" t="inlineStr">
        <is>
          <t>C36</t>
        </is>
      </c>
      <c r="AL1" s="1" t="inlineStr">
        <is>
          <t>C37</t>
        </is>
      </c>
      <c r="AM1" s="1" t="inlineStr">
        <is>
          <t>C38</t>
        </is>
      </c>
    </row>
    <row r="2">
      <c r="A2" t="inlineStr">
        <is>
          <t>Agriculture</t>
        </is>
      </c>
      <c r="B2" t="n">
        <v>80</v>
      </c>
    </row>
    <row r="3">
      <c r="A3" t="inlineStr">
        <is>
          <t>Mining</t>
        </is>
      </c>
      <c r="C3" t="n">
        <v>84</v>
      </c>
    </row>
    <row r="4">
      <c r="A4" t="inlineStr">
        <is>
          <t>Manufacturing</t>
        </is>
      </c>
      <c r="D4" t="n">
        <v>88</v>
      </c>
    </row>
    <row r="5">
      <c r="A5" t="inlineStr">
        <is>
          <t>Food Processing</t>
        </is>
      </c>
      <c r="E5" t="n">
        <v>92</v>
      </c>
    </row>
    <row r="6">
      <c r="A6" t="inlineStr">
        <is>
          <t>Textiles</t>
        </is>
      </c>
      <c r="F6" t="n">
        <v>96</v>
      </c>
    </row>
    <row r="7">
      <c r="A7" t="inlineStr">
        <is>
          <t>Wood Products</t>
        </is>
      </c>
      <c r="G7" t="n">
        <v>100</v>
      </c>
    </row>
    <row r="8">
      <c r="A8" t="inlineStr">
        <is>
          <t>Paper Products</t>
        </is>
      </c>
      <c r="H8" t="n">
        <v>104</v>
      </c>
    </row>
    <row r="9">
      <c r="A9" t="inlineStr">
        <is>
          <t>Petroleum Products</t>
        </is>
      </c>
      <c r="I9" t="n">
        <v>108</v>
      </c>
    </row>
    <row r="10">
      <c r="A10" t="inlineStr">
        <is>
          <t>Chemicals</t>
        </is>
      </c>
      <c r="J10" t="n">
        <v>112</v>
      </c>
    </row>
    <row r="11">
      <c r="A11" t="inlineStr">
        <is>
          <t>Non-Metallic Products</t>
        </is>
      </c>
      <c r="K11" t="n">
        <v>116</v>
      </c>
    </row>
    <row r="12">
      <c r="A12" t="inlineStr">
        <is>
          <t>Metals</t>
        </is>
      </c>
      <c r="L12" t="n">
        <v>120</v>
      </c>
    </row>
    <row r="13">
      <c r="A13" t="inlineStr">
        <is>
          <t>Machinery</t>
        </is>
      </c>
      <c r="M13" t="n">
        <v>124</v>
      </c>
    </row>
    <row r="14">
      <c r="A14" t="inlineStr">
        <is>
          <t>Electronics</t>
        </is>
      </c>
      <c r="N14" t="n">
        <v>128</v>
      </c>
    </row>
    <row r="15">
      <c r="A15" t="inlineStr">
        <is>
          <t>Transport Equipment</t>
        </is>
      </c>
      <c r="O15" t="n">
        <v>132</v>
      </c>
    </row>
    <row r="16">
      <c r="A16" t="inlineStr">
        <is>
          <t>Other Manufacturing</t>
        </is>
      </c>
      <c r="P16" t="n">
        <v>136</v>
      </c>
    </row>
    <row r="17">
      <c r="A17" t="inlineStr">
        <is>
          <t>Electricity</t>
        </is>
      </c>
      <c r="Q17" t="n">
        <v>140</v>
      </c>
    </row>
    <row r="18">
      <c r="A18" t="inlineStr">
        <is>
          <t>Water Supply</t>
        </is>
      </c>
      <c r="R18" t="n">
        <v>144</v>
      </c>
    </row>
    <row r="19">
      <c r="A19" t="inlineStr">
        <is>
          <t>Construction</t>
        </is>
      </c>
      <c r="S19" t="n">
        <v>148</v>
      </c>
    </row>
    <row r="20">
      <c r="A20" t="inlineStr">
        <is>
          <t>Wholesale Trade</t>
        </is>
      </c>
      <c r="T20" t="n">
        <v>152</v>
      </c>
    </row>
    <row r="21">
      <c r="A21" t="inlineStr">
        <is>
          <t>Retail Trade</t>
        </is>
      </c>
      <c r="U21" t="n">
        <v>156</v>
      </c>
    </row>
    <row r="22">
      <c r="A22" t="inlineStr">
        <is>
          <t>Transport</t>
        </is>
      </c>
      <c r="V22" t="n">
        <v>160</v>
      </c>
    </row>
    <row r="23">
      <c r="A23" t="inlineStr">
        <is>
          <t>Accommodation</t>
        </is>
      </c>
      <c r="W23" t="n">
        <v>164</v>
      </c>
    </row>
    <row r="24">
      <c r="A24" t="inlineStr">
        <is>
          <t>Communication</t>
        </is>
      </c>
      <c r="X24" t="n">
        <v>168</v>
      </c>
    </row>
    <row r="25">
      <c r="A25" t="inlineStr">
        <is>
          <t>Financial Services</t>
        </is>
      </c>
      <c r="Y25" t="n">
        <v>172</v>
      </c>
    </row>
    <row r="26">
      <c r="A26" t="inlineStr">
        <is>
          <t>Real Estate</t>
        </is>
      </c>
      <c r="Z26" t="n">
        <v>176</v>
      </c>
    </row>
    <row r="27">
      <c r="A27" t="inlineStr">
        <is>
          <t>Professional Services</t>
        </is>
      </c>
      <c r="AA27" t="n">
        <v>180</v>
      </c>
    </row>
    <row r="28">
      <c r="A28" t="inlineStr">
        <is>
          <t>Public Administration</t>
        </is>
      </c>
      <c r="AB28" t="n">
        <v>184</v>
      </c>
    </row>
    <row r="29">
      <c r="A29" t="inlineStr">
        <is>
          <t>Education</t>
        </is>
      </c>
      <c r="AC29" t="n">
        <v>188</v>
      </c>
    </row>
    <row r="30">
      <c r="A30" t="inlineStr">
        <is>
          <t>Health</t>
        </is>
      </c>
      <c r="AD30" t="n">
        <v>192</v>
      </c>
    </row>
    <row r="31">
      <c r="A31" t="inlineStr">
        <is>
          <t>Other Services</t>
        </is>
      </c>
      <c r="AE31" t="n">
        <v>196</v>
      </c>
    </row>
    <row r="32">
      <c r="A32" t="inlineStr">
        <is>
          <t>Imports</t>
        </is>
      </c>
      <c r="AF32" t="n">
        <v>200</v>
      </c>
    </row>
    <row r="33">
      <c r="A33" t="inlineStr">
        <is>
          <t>Trade Margins</t>
        </is>
      </c>
      <c r="AG33" t="n">
        <v>204</v>
      </c>
    </row>
    <row r="34">
      <c r="A34" t="inlineStr">
        <is>
          <t>Transport Margins</t>
        </is>
      </c>
      <c r="AH34" t="n">
        <v>208</v>
      </c>
    </row>
    <row r="35">
      <c r="A35" t="inlineStr">
        <is>
          <t>Taxes</t>
        </is>
      </c>
      <c r="AI35" t="n">
        <v>212</v>
      </c>
    </row>
    <row r="36">
      <c r="A36" t="inlineStr">
        <is>
          <t>Subsidies</t>
        </is>
      </c>
      <c r="AJ36" t="n">
        <v>216</v>
      </c>
    </row>
    <row r="37">
      <c r="A37" t="inlineStr">
        <is>
          <t>Other Adjustments</t>
        </is>
      </c>
      <c r="AK37" t="n">
        <v>220</v>
      </c>
    </row>
    <row r="38">
      <c r="AL38" t="n">
        <v>224</v>
      </c>
    </row>
    <row r="39">
      <c r="AM39" t="n">
        <v>228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Notes</t>
        </is>
      </c>
      <c r="E1" s="1" t="inlineStr">
        <is>
          <t>Source</t>
        </is>
      </c>
      <c r="F1" s="1" t="inlineStr">
        <is>
          <t>Import Share</t>
        </is>
      </c>
      <c r="G1" s="1" t="inlineStr">
        <is>
          <t>Calculation</t>
        </is>
      </c>
    </row>
    <row r="2">
      <c r="A2" t="inlineStr">
        <is>
          <t>Agriculture</t>
        </is>
      </c>
      <c r="B2" t="inlineStr">
        <is>
          <t>Total Supply</t>
        </is>
      </c>
      <c r="C2">
        <f>SUM(C2:C39)</f>
        <v/>
      </c>
      <c r="D2">
        <f>SUM(USE!C2:AC2)</f>
        <v/>
      </c>
      <c r="E2">
        <f>C2-D2</f>
        <v/>
      </c>
      <c r="F2" t="n">
        <v>0.3</v>
      </c>
      <c r="G2">
        <f>F2*C2</f>
        <v/>
      </c>
    </row>
    <row r="3">
      <c r="A3" t="inlineStr">
        <is>
          <t>Mining</t>
        </is>
      </c>
      <c r="B3" t="inlineStr">
        <is>
          <t>Total Use</t>
        </is>
      </c>
      <c r="C3">
        <f>SUM(D2:D39)</f>
        <v/>
      </c>
      <c r="D3">
        <f>SUM(USE!C3:AC3)</f>
        <v/>
      </c>
      <c r="E3">
        <f>C3-D3</f>
        <v/>
      </c>
      <c r="F3" t="n">
        <v>0.31</v>
      </c>
      <c r="G3">
        <f>F3*C3</f>
        <v/>
      </c>
    </row>
    <row r="4">
      <c r="A4" t="inlineStr">
        <is>
          <t>Manufacturing</t>
        </is>
      </c>
      <c r="B4" t="inlineStr">
        <is>
          <t>Total Imports</t>
        </is>
      </c>
      <c r="C4">
        <f>C32</f>
        <v/>
      </c>
      <c r="D4">
        <f>SUM(USE!C4:AC4)</f>
        <v/>
      </c>
      <c r="E4">
        <f>C4-D4</f>
        <v/>
      </c>
      <c r="F4" t="n">
        <v>0.32</v>
      </c>
      <c r="G4">
        <f>F4*C4</f>
        <v/>
      </c>
    </row>
    <row r="5">
      <c r="A5" t="inlineStr">
        <is>
          <t>Food Processing</t>
        </is>
      </c>
      <c r="B5" t="inlineStr">
        <is>
          <t>Import Content Share</t>
        </is>
      </c>
      <c r="C5">
        <f>C4/C2</f>
        <v/>
      </c>
      <c r="D5">
        <f>SUM(USE!C5:AC5)</f>
        <v/>
      </c>
      <c r="E5">
        <f>C5-D5</f>
        <v/>
      </c>
      <c r="F5" t="n">
        <v>0.33</v>
      </c>
      <c r="G5">
        <f>F5*C5</f>
        <v/>
      </c>
    </row>
    <row r="6">
      <c r="A6" t="inlineStr">
        <is>
          <t>Textiles</t>
        </is>
      </c>
      <c r="C6">
        <f>SUM(SUPPLY!C6:AC6)</f>
        <v/>
      </c>
      <c r="D6">
        <f>SUM(USE!C6:AC6)</f>
        <v/>
      </c>
      <c r="E6">
        <f>C6-D6</f>
        <v/>
      </c>
      <c r="F6" t="n">
        <v>0.34</v>
      </c>
      <c r="G6">
        <f>F6*C6</f>
        <v/>
      </c>
    </row>
    <row r="7">
      <c r="A7" t="inlineStr">
        <is>
          <t>Wood Products</t>
        </is>
      </c>
      <c r="C7">
        <f>SUM(SUPPLY!C7:AC7)</f>
        <v/>
      </c>
      <c r="D7">
        <f>SUM(USE!C7:AC7)</f>
        <v/>
      </c>
      <c r="E7">
        <f>C7-D7</f>
        <v/>
      </c>
      <c r="F7" t="n">
        <v>0.35</v>
      </c>
      <c r="G7">
        <f>F7*C7</f>
        <v/>
      </c>
    </row>
    <row r="8">
      <c r="A8" t="inlineStr">
        <is>
          <t>Paper Products</t>
        </is>
      </c>
      <c r="C8">
        <f>SUM(SUPPLY!C8:AC8)</f>
        <v/>
      </c>
      <c r="D8">
        <f>SUM(USE!C8:AC8)</f>
        <v/>
      </c>
      <c r="E8">
        <f>C8-D8</f>
        <v/>
      </c>
      <c r="F8" t="n">
        <v>0.36</v>
      </c>
      <c r="G8">
        <f>F8*C8</f>
        <v/>
      </c>
    </row>
    <row r="9">
      <c r="A9" t="inlineStr">
        <is>
          <t>Petroleum Products</t>
        </is>
      </c>
      <c r="C9">
        <f>SUM(SUPPLY!C9:AC9)</f>
        <v/>
      </c>
      <c r="D9">
        <f>SUM(USE!C9:AC9)</f>
        <v/>
      </c>
      <c r="E9">
        <f>C9-D9</f>
        <v/>
      </c>
      <c r="F9" t="n">
        <v>0.37</v>
      </c>
      <c r="G9">
        <f>F9*C9</f>
        <v/>
      </c>
    </row>
    <row r="10">
      <c r="A10" t="inlineStr">
        <is>
          <t>Chemicals</t>
        </is>
      </c>
      <c r="C10">
        <f>SUM(SUPPLY!C10:AC10)</f>
        <v/>
      </c>
      <c r="D10">
        <f>SUM(USE!C10:AC10)</f>
        <v/>
      </c>
      <c r="E10">
        <f>C10-D10</f>
        <v/>
      </c>
      <c r="F10" t="n">
        <v>0.38</v>
      </c>
      <c r="G10">
        <f>F10*C10</f>
        <v/>
      </c>
    </row>
    <row r="11">
      <c r="A11" t="inlineStr">
        <is>
          <t>Non-Metallic Products</t>
        </is>
      </c>
      <c r="C11">
        <f>SUM(SUPPLY!C11:AC11)</f>
        <v/>
      </c>
      <c r="D11">
        <f>SUM(USE!C11:AC11)</f>
        <v/>
      </c>
      <c r="E11">
        <f>C11-D11</f>
        <v/>
      </c>
      <c r="F11" t="n">
        <v>0.39</v>
      </c>
      <c r="G11">
        <f>F11*C11</f>
        <v/>
      </c>
    </row>
    <row r="12">
      <c r="A12" t="inlineStr">
        <is>
          <t>Metals</t>
        </is>
      </c>
      <c r="C12">
        <f>SUM(SUPPLY!C12:AC12)</f>
        <v/>
      </c>
      <c r="D12">
        <f>SUM(USE!C12:AC12)</f>
        <v/>
      </c>
      <c r="E12">
        <f>C12-D12</f>
        <v/>
      </c>
      <c r="F12" t="n">
        <v>0.4</v>
      </c>
      <c r="G12">
        <f>F12*C12</f>
        <v/>
      </c>
    </row>
    <row r="13">
      <c r="A13" t="inlineStr">
        <is>
          <t>Machinery</t>
        </is>
      </c>
      <c r="C13">
        <f>SUM(SUPPLY!C13:AC13)</f>
        <v/>
      </c>
      <c r="D13">
        <f>SUM(USE!C13:AC13)</f>
        <v/>
      </c>
      <c r="E13">
        <f>C13-D13</f>
        <v/>
      </c>
      <c r="F13" t="n">
        <v>0.41</v>
      </c>
      <c r="G13">
        <f>F13*C13</f>
        <v/>
      </c>
    </row>
    <row r="14">
      <c r="A14" t="inlineStr">
        <is>
          <t>Electronics</t>
        </is>
      </c>
      <c r="C14">
        <f>SUM(SUPPLY!C14:AC14)</f>
        <v/>
      </c>
      <c r="D14">
        <f>SUM(USE!C14:AC14)</f>
        <v/>
      </c>
      <c r="E14">
        <f>C14-D14</f>
        <v/>
      </c>
      <c r="F14" t="n">
        <v>0.42</v>
      </c>
      <c r="G14">
        <f>F14*C14</f>
        <v/>
      </c>
    </row>
    <row r="15">
      <c r="A15" t="inlineStr">
        <is>
          <t>Transport Equipment</t>
        </is>
      </c>
      <c r="C15">
        <f>SUM(SUPPLY!C15:AC15)</f>
        <v/>
      </c>
      <c r="D15">
        <f>SUM(USE!C15:AC15)</f>
        <v/>
      </c>
      <c r="E15">
        <f>C15-D15</f>
        <v/>
      </c>
      <c r="F15" t="n">
        <v>0.43</v>
      </c>
      <c r="G15">
        <f>F15*C15</f>
        <v/>
      </c>
    </row>
    <row r="16">
      <c r="A16" t="inlineStr">
        <is>
          <t>Other Manufacturing</t>
        </is>
      </c>
      <c r="C16">
        <f>SUM(SUPPLY!C16:AC16)</f>
        <v/>
      </c>
      <c r="D16">
        <f>SUM(USE!C16:AC16)</f>
        <v/>
      </c>
      <c r="E16">
        <f>C16-D16</f>
        <v/>
      </c>
      <c r="F16" t="n">
        <v>0.44</v>
      </c>
      <c r="G16">
        <f>F16*C16</f>
        <v/>
      </c>
    </row>
    <row r="17">
      <c r="A17" t="inlineStr">
        <is>
          <t>Electricity</t>
        </is>
      </c>
      <c r="C17">
        <f>SUM(SUPPLY!C17:AC17)</f>
        <v/>
      </c>
      <c r="D17">
        <f>SUM(USE!C17:AC17)</f>
        <v/>
      </c>
      <c r="E17">
        <f>C17-D17</f>
        <v/>
      </c>
      <c r="F17" t="n">
        <v>0.45</v>
      </c>
      <c r="G17">
        <f>F17*C17</f>
        <v/>
      </c>
    </row>
    <row r="18">
      <c r="A18" t="inlineStr">
        <is>
          <t>Water Supply</t>
        </is>
      </c>
      <c r="C18">
        <f>SUM(SUPPLY!C18:AC18)</f>
        <v/>
      </c>
      <c r="D18">
        <f>SUM(USE!C18:AC18)</f>
        <v/>
      </c>
      <c r="E18">
        <f>C18-D18</f>
        <v/>
      </c>
      <c r="F18" t="n">
        <v>0.46</v>
      </c>
      <c r="G18">
        <f>F18*C18</f>
        <v/>
      </c>
    </row>
    <row r="19">
      <c r="A19" t="inlineStr">
        <is>
          <t>Construction</t>
        </is>
      </c>
      <c r="C19">
        <f>SUM(SUPPLY!C19:AC19)</f>
        <v/>
      </c>
      <c r="D19">
        <f>SUM(USE!C19:AC19)</f>
        <v/>
      </c>
      <c r="E19">
        <f>C19-D19</f>
        <v/>
      </c>
      <c r="F19" t="n">
        <v>0.47</v>
      </c>
      <c r="G19">
        <f>F19*C19</f>
        <v/>
      </c>
    </row>
    <row r="20">
      <c r="A20" t="inlineStr">
        <is>
          <t>Wholesale Trade</t>
        </is>
      </c>
      <c r="C20">
        <f>SUM(SUPPLY!C20:AC20)</f>
        <v/>
      </c>
      <c r="D20">
        <f>SUM(USE!C20:AC20)</f>
        <v/>
      </c>
      <c r="E20">
        <f>C20-D20</f>
        <v/>
      </c>
      <c r="F20" t="n">
        <v>0.48</v>
      </c>
      <c r="G20">
        <f>F20*C20</f>
        <v/>
      </c>
    </row>
    <row r="21">
      <c r="A21" t="inlineStr">
        <is>
          <t>Retail Trade</t>
        </is>
      </c>
      <c r="C21">
        <f>SUM(SUPPLY!C21:AC21)</f>
        <v/>
      </c>
      <c r="D21">
        <f>SUM(USE!C21:AC21)</f>
        <v/>
      </c>
      <c r="E21">
        <f>C21-D21</f>
        <v/>
      </c>
      <c r="F21" t="n">
        <v>0.49</v>
      </c>
      <c r="G21">
        <f>F21*C21</f>
        <v/>
      </c>
    </row>
    <row r="22">
      <c r="A22" t="inlineStr">
        <is>
          <t>Transport</t>
        </is>
      </c>
      <c r="C22">
        <f>SUM(SUPPLY!C22:AC22)</f>
        <v/>
      </c>
      <c r="D22">
        <f>SUM(USE!C22:AC22)</f>
        <v/>
      </c>
      <c r="E22">
        <f>C22-D22</f>
        <v/>
      </c>
      <c r="F22" t="n">
        <v>0.5</v>
      </c>
      <c r="G22">
        <f>F22*C22</f>
        <v/>
      </c>
    </row>
    <row r="23">
      <c r="A23" t="inlineStr">
        <is>
          <t>Accommodation</t>
        </is>
      </c>
      <c r="C23">
        <f>SUM(SUPPLY!C23:AC23)</f>
        <v/>
      </c>
      <c r="D23">
        <f>SUM(USE!C23:AC23)</f>
        <v/>
      </c>
      <c r="E23">
        <f>C23-D23</f>
        <v/>
      </c>
      <c r="F23" t="n">
        <v>0.51</v>
      </c>
      <c r="G23">
        <f>F23*C23</f>
        <v/>
      </c>
    </row>
    <row r="24">
      <c r="A24" t="inlineStr">
        <is>
          <t>Communication</t>
        </is>
      </c>
      <c r="C24">
        <f>SUM(SUPPLY!C24:AC24)</f>
        <v/>
      </c>
      <c r="D24">
        <f>SUM(USE!C24:AC24)</f>
        <v/>
      </c>
      <c r="E24">
        <f>C24-D24</f>
        <v/>
      </c>
      <c r="F24" t="n">
        <v>0.52</v>
      </c>
      <c r="G24">
        <f>F24*C24</f>
        <v/>
      </c>
    </row>
    <row r="25">
      <c r="A25" t="inlineStr">
        <is>
          <t>Financial Services</t>
        </is>
      </c>
      <c r="C25">
        <f>SUM(SUPPLY!C25:AC25)</f>
        <v/>
      </c>
      <c r="D25">
        <f>SUM(USE!C25:AC25)</f>
        <v/>
      </c>
      <c r="E25">
        <f>C25-D25</f>
        <v/>
      </c>
      <c r="F25" t="n">
        <v>0.53</v>
      </c>
      <c r="G25">
        <f>F25*C25</f>
        <v/>
      </c>
    </row>
    <row r="26">
      <c r="A26" t="inlineStr">
        <is>
          <t>Real Estate</t>
        </is>
      </c>
      <c r="C26">
        <f>SUM(SUPPLY!C26:AC26)</f>
        <v/>
      </c>
      <c r="D26">
        <f>SUM(USE!C26:AC26)</f>
        <v/>
      </c>
      <c r="E26">
        <f>C26-D26</f>
        <v/>
      </c>
      <c r="F26" t="n">
        <v>0.54</v>
      </c>
      <c r="G26">
        <f>F26*C26</f>
        <v/>
      </c>
    </row>
    <row r="27">
      <c r="A27" t="inlineStr">
        <is>
          <t>Professional Services</t>
        </is>
      </c>
      <c r="C27">
        <f>SUM(SUPPLY!C27:AC27)</f>
        <v/>
      </c>
      <c r="D27">
        <f>SUM(USE!C27:AC27)</f>
        <v/>
      </c>
      <c r="E27">
        <f>C27-D27</f>
        <v/>
      </c>
      <c r="F27" t="n">
        <v>0.55</v>
      </c>
      <c r="G27">
        <f>F27*C27</f>
        <v/>
      </c>
    </row>
    <row r="28">
      <c r="A28" t="inlineStr">
        <is>
          <t>Public Administration</t>
        </is>
      </c>
      <c r="C28">
        <f>SUM(SUPPLY!C28:AC28)</f>
        <v/>
      </c>
      <c r="D28">
        <f>SUM(USE!C28:AC28)</f>
        <v/>
      </c>
      <c r="E28">
        <f>C28-D28</f>
        <v/>
      </c>
      <c r="F28" t="n">
        <v>0.5600000000000001</v>
      </c>
      <c r="G28">
        <f>F28*C28</f>
        <v/>
      </c>
    </row>
    <row r="29">
      <c r="A29" t="inlineStr">
        <is>
          <t>Education</t>
        </is>
      </c>
      <c r="C29">
        <f>SUM(SUPPLY!C29:AC29)</f>
        <v/>
      </c>
      <c r="D29">
        <f>SUM(USE!C29:AC29)</f>
        <v/>
      </c>
      <c r="E29">
        <f>C29-D29</f>
        <v/>
      </c>
      <c r="F29" t="n">
        <v>0.5700000000000001</v>
      </c>
      <c r="G29">
        <f>F29*C29</f>
        <v/>
      </c>
    </row>
    <row r="30">
      <c r="A30" t="inlineStr">
        <is>
          <t>Health</t>
        </is>
      </c>
      <c r="C30">
        <f>SUM(SUPPLY!C30:AC30)</f>
        <v/>
      </c>
      <c r="D30">
        <f>SUM(USE!C30:AC30)</f>
        <v/>
      </c>
      <c r="E30">
        <f>C30-D30</f>
        <v/>
      </c>
      <c r="F30" t="n">
        <v>0.5800000000000001</v>
      </c>
      <c r="G30">
        <f>F30*C30</f>
        <v/>
      </c>
    </row>
    <row r="31">
      <c r="A31" t="inlineStr">
        <is>
          <t>Other Services</t>
        </is>
      </c>
      <c r="C31">
        <f>SUM(SUPPLY!C31:AC31)</f>
        <v/>
      </c>
      <c r="D31">
        <f>SUM(USE!C31:AC31)</f>
        <v/>
      </c>
      <c r="E31">
        <f>C31-D31</f>
        <v/>
      </c>
      <c r="F31" t="n">
        <v>0.59</v>
      </c>
      <c r="G31">
        <f>F31*C31</f>
        <v/>
      </c>
    </row>
    <row r="32">
      <c r="A32" t="inlineStr">
        <is>
          <t>Imports</t>
        </is>
      </c>
      <c r="C32">
        <f>SUM(SUPPLY!C32:AC32)</f>
        <v/>
      </c>
      <c r="D32">
        <f>SUM(USE!C32:AC32)</f>
        <v/>
      </c>
      <c r="E32">
        <f>C32-D32</f>
        <v/>
      </c>
      <c r="F32" t="n">
        <v>0.6</v>
      </c>
      <c r="G32">
        <f>F32*C32</f>
        <v/>
      </c>
    </row>
    <row r="33">
      <c r="A33" t="inlineStr">
        <is>
          <t>Trade Margins</t>
        </is>
      </c>
      <c r="C33">
        <f>SUM(SUPPLY!C33:AC33)</f>
        <v/>
      </c>
      <c r="D33">
        <f>SUM(USE!C33:AC33)</f>
        <v/>
      </c>
      <c r="E33">
        <f>C33-D33</f>
        <v/>
      </c>
      <c r="F33" t="n">
        <v>0.61</v>
      </c>
      <c r="G33">
        <f>F33*C33</f>
        <v/>
      </c>
    </row>
    <row r="34">
      <c r="A34" t="inlineStr">
        <is>
          <t>Transport Margins</t>
        </is>
      </c>
      <c r="C34">
        <f>SUM(SUPPLY!C34:AC34)</f>
        <v/>
      </c>
      <c r="D34">
        <f>SUM(USE!C34:AC34)</f>
        <v/>
      </c>
      <c r="E34">
        <f>C34-D34</f>
        <v/>
      </c>
      <c r="F34" t="n">
        <v>0.62</v>
      </c>
      <c r="G34">
        <f>F34*C34</f>
        <v/>
      </c>
    </row>
    <row r="35">
      <c r="A35" t="inlineStr">
        <is>
          <t>Taxes</t>
        </is>
      </c>
      <c r="C35">
        <f>SUM(SUPPLY!C35:AC35)</f>
        <v/>
      </c>
      <c r="D35">
        <f>SUM(USE!C35:AC35)</f>
        <v/>
      </c>
      <c r="E35">
        <f>C35-D35</f>
        <v/>
      </c>
      <c r="F35" t="n">
        <v>0.63</v>
      </c>
      <c r="G35">
        <f>F35*C35</f>
        <v/>
      </c>
    </row>
    <row r="36">
      <c r="A36" t="inlineStr">
        <is>
          <t>Subsidies</t>
        </is>
      </c>
      <c r="C36">
        <f>SUM(SUPPLY!C36:AC36)</f>
        <v/>
      </c>
      <c r="D36">
        <f>SUM(USE!C36:AC36)</f>
        <v/>
      </c>
      <c r="E36">
        <f>C36-D36</f>
        <v/>
      </c>
      <c r="F36" t="n">
        <v>0.64</v>
      </c>
      <c r="G36">
        <f>F36*C36</f>
        <v/>
      </c>
    </row>
    <row r="37">
      <c r="A37" t="inlineStr">
        <is>
          <t>Other Adjustments</t>
        </is>
      </c>
      <c r="C37">
        <f>SUM(SUPPLY!C37:AC37)</f>
        <v/>
      </c>
      <c r="D37">
        <f>SUM(USE!C37:AC37)</f>
        <v/>
      </c>
      <c r="E37">
        <f>C37-D37</f>
        <v/>
      </c>
      <c r="F37" t="n">
        <v>0.65</v>
      </c>
      <c r="G37">
        <f>F37*C37</f>
        <v/>
      </c>
    </row>
    <row r="46">
      <c r="B46" t="inlineStr">
        <is>
          <t>Import Content Share:</t>
        </is>
      </c>
      <c r="C46">
        <f>C5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Year</t>
        </is>
      </c>
      <c r="B1" s="1" t="inlineStr">
        <is>
          <t>Real GDP</t>
        </is>
      </c>
      <c r="C1" s="1" t="inlineStr">
        <is>
          <t>Project Allocation</t>
        </is>
      </c>
      <c r="D1" s="1" t="inlineStr">
        <is>
          <t>Project Investment</t>
        </is>
      </c>
      <c r="E1" s="1" t="inlineStr">
        <is>
          <t>Imports</t>
        </is>
      </c>
      <c r="F1" s="1" t="inlineStr">
        <is>
          <t>GDP Impact (I-M)</t>
        </is>
      </c>
      <c r="G1" s="1" t="inlineStr">
        <is>
          <t>Multiplier</t>
        </is>
      </c>
      <c r="H1" s="1" t="inlineStr">
        <is>
          <t>% of GDP</t>
        </is>
      </c>
      <c r="I1" s="1" t="inlineStr">
        <is>
          <t>Baseline GDP Growth</t>
        </is>
      </c>
    </row>
    <row r="2">
      <c r="A2" t="n">
        <v>2020</v>
      </c>
      <c r="B2">
        <f>WEO_Data!B2</f>
        <v/>
      </c>
      <c r="I2">
        <f>WEO_Data!C2</f>
        <v/>
      </c>
    </row>
    <row r="3">
      <c r="A3" t="n">
        <v>2021</v>
      </c>
      <c r="B3">
        <f>WEO_Data!B3</f>
        <v/>
      </c>
      <c r="I3">
        <f>WEO_Data!C3</f>
        <v/>
      </c>
    </row>
    <row r="4">
      <c r="A4" t="n">
        <v>2022</v>
      </c>
      <c r="B4">
        <f>WEO_Data!B4</f>
        <v/>
      </c>
      <c r="I4">
        <f>WEO_Data!C4</f>
        <v/>
      </c>
    </row>
    <row r="5">
      <c r="A5" t="n">
        <v>2023</v>
      </c>
      <c r="B5">
        <f>WEO_Data!B5</f>
        <v/>
      </c>
      <c r="I5">
        <f>WEO_Data!C5</f>
        <v/>
      </c>
    </row>
    <row r="6">
      <c r="A6" t="n">
        <v>2024</v>
      </c>
      <c r="B6">
        <f>WEO_Data!B6</f>
        <v/>
      </c>
      <c r="I6">
        <f>WEO_Data!C6</f>
        <v/>
      </c>
    </row>
    <row r="7">
      <c r="A7" t="n">
        <v>2025</v>
      </c>
      <c r="B7">
        <f>WEO_Data!B7</f>
        <v/>
      </c>
      <c r="I7">
        <f>WEO_Data!C7</f>
        <v/>
      </c>
    </row>
    <row r="8">
      <c r="A8" t="n">
        <v>2026</v>
      </c>
      <c r="B8">
        <f>WEO_Data!B8</f>
        <v/>
      </c>
      <c r="C8" t="n">
        <v>0.325</v>
      </c>
      <c r="D8">
        <f>C8</f>
        <v/>
      </c>
      <c r="E8">
        <f>D8*0.6</f>
        <v/>
      </c>
      <c r="F8">
        <f>(D8-E8)*$D$31</f>
        <v/>
      </c>
      <c r="G8" t="n">
        <v>0.8</v>
      </c>
      <c r="H8">
        <f>F8/B8*100</f>
        <v/>
      </c>
      <c r="I8">
        <f>WEO_Data!C8</f>
        <v/>
      </c>
    </row>
    <row r="9">
      <c r="A9" t="n">
        <v>2027</v>
      </c>
      <c r="B9">
        <f>WEO_Data!B9</f>
        <v/>
      </c>
      <c r="C9" t="n">
        <v>0.65</v>
      </c>
      <c r="D9">
        <f>C9</f>
        <v/>
      </c>
      <c r="E9">
        <f>D9*0.6</f>
        <v/>
      </c>
      <c r="F9">
        <f>(D9-E9)*$D$31</f>
        <v/>
      </c>
      <c r="G9" t="n">
        <v>0.8</v>
      </c>
      <c r="H9">
        <f>F9/B9*100</f>
        <v/>
      </c>
      <c r="I9">
        <f>WEO_Data!C9</f>
        <v/>
      </c>
    </row>
    <row r="10">
      <c r="A10" t="n">
        <v>2028</v>
      </c>
      <c r="B10">
        <f>WEO_Data!B10</f>
        <v/>
      </c>
      <c r="C10" t="n">
        <v>0.975</v>
      </c>
      <c r="D10">
        <f>C10</f>
        <v/>
      </c>
      <c r="E10">
        <f>D10*0.6</f>
        <v/>
      </c>
      <c r="F10">
        <f>(D10-E10)*$D$31</f>
        <v/>
      </c>
      <c r="G10" t="n">
        <v>0.8</v>
      </c>
      <c r="H10">
        <f>F10/B10*100</f>
        <v/>
      </c>
      <c r="I10">
        <f>WEO_Data!C10</f>
        <v/>
      </c>
    </row>
    <row r="11">
      <c r="A11" t="n">
        <v>2029</v>
      </c>
      <c r="B11">
        <f>WEO_Data!B11</f>
        <v/>
      </c>
      <c r="C11" t="n">
        <v>1.3</v>
      </c>
      <c r="D11">
        <f>C11</f>
        <v/>
      </c>
      <c r="E11">
        <f>D11*0.6</f>
        <v/>
      </c>
      <c r="F11">
        <f>(D11-E11)*$D$31</f>
        <v/>
      </c>
      <c r="G11" t="n">
        <v>0.8</v>
      </c>
      <c r="H11">
        <f>F11/B11*100</f>
        <v/>
      </c>
      <c r="I11">
        <f>WEO_Data!C11</f>
        <v/>
      </c>
    </row>
    <row r="12">
      <c r="A12" t="n">
        <v>2030</v>
      </c>
      <c r="B12">
        <f>WEO_Data!B12</f>
        <v/>
      </c>
      <c r="C12" t="n">
        <v>1.3</v>
      </c>
      <c r="D12">
        <f>C12</f>
        <v/>
      </c>
      <c r="E12">
        <f>D12*0.6</f>
        <v/>
      </c>
      <c r="F12">
        <f>(D12-E12)*$D$31</f>
        <v/>
      </c>
      <c r="G12" t="n">
        <v>0.8</v>
      </c>
      <c r="H12">
        <f>F12/B12*100</f>
        <v/>
      </c>
      <c r="I12">
        <f>WEO_Data!C12</f>
        <v/>
      </c>
    </row>
    <row r="13">
      <c r="A13" t="n">
        <v>2031</v>
      </c>
      <c r="B13">
        <f>WEO_Data!B13</f>
        <v/>
      </c>
      <c r="C13" t="n">
        <v>0.975</v>
      </c>
      <c r="D13">
        <f>C13</f>
        <v/>
      </c>
      <c r="E13">
        <f>D13*0.6</f>
        <v/>
      </c>
      <c r="F13">
        <f>(D13-E13)*$D$31</f>
        <v/>
      </c>
      <c r="G13" t="n">
        <v>0.8</v>
      </c>
      <c r="H13">
        <f>F13/B13*100</f>
        <v/>
      </c>
      <c r="I13">
        <f>WEO_Data!C13</f>
        <v/>
      </c>
    </row>
    <row r="14">
      <c r="A14" t="n">
        <v>2032</v>
      </c>
      <c r="B14">
        <f>WEO_Data!B14</f>
        <v/>
      </c>
      <c r="C14" t="n">
        <v>0.65</v>
      </c>
      <c r="D14">
        <f>C14</f>
        <v/>
      </c>
      <c r="E14">
        <f>D14*0.6</f>
        <v/>
      </c>
      <c r="F14">
        <f>(D14-E14)*$D$31</f>
        <v/>
      </c>
      <c r="G14" t="n">
        <v>0.8</v>
      </c>
      <c r="H14">
        <f>F14/B14*100</f>
        <v/>
      </c>
      <c r="I14">
        <f>WEO_Data!C14</f>
        <v/>
      </c>
    </row>
    <row r="15">
      <c r="A15" t="n">
        <v>2033</v>
      </c>
      <c r="B15">
        <f>WEO_Data!B15</f>
        <v/>
      </c>
      <c r="C15" t="n">
        <v>0.325</v>
      </c>
      <c r="D15">
        <f>C15</f>
        <v/>
      </c>
      <c r="E15">
        <f>D15*0.6</f>
        <v/>
      </c>
      <c r="F15">
        <f>(D15-E15)*$D$31</f>
        <v/>
      </c>
      <c r="G15" t="n">
        <v>0.8</v>
      </c>
      <c r="H15">
        <f>F15/B15*100</f>
        <v/>
      </c>
      <c r="I15">
        <f>WEO_Data!C15</f>
        <v/>
      </c>
    </row>
    <row r="16">
      <c r="A16" t="n">
        <v>2034</v>
      </c>
      <c r="B16">
        <f>WEO_Data!B16</f>
        <v/>
      </c>
      <c r="I16">
        <f>WEO_Data!C16</f>
        <v/>
      </c>
    </row>
    <row r="17">
      <c r="A17" t="n">
        <v>2035</v>
      </c>
      <c r="B17">
        <f>WEO_Data!B17</f>
        <v/>
      </c>
      <c r="I17">
        <f>WEO_Data!C17</f>
        <v/>
      </c>
    </row>
    <row r="18">
      <c r="A18" t="n">
        <v>2036</v>
      </c>
      <c r="B18">
        <f>WEO_Data!B18</f>
        <v/>
      </c>
      <c r="I18">
        <f>WEO_Data!C18</f>
        <v/>
      </c>
    </row>
    <row r="19">
      <c r="A19" t="n">
        <v>2037</v>
      </c>
      <c r="B19">
        <f>WEO_Data!B19</f>
        <v/>
      </c>
      <c r="I19">
        <f>WEO_Data!C19</f>
        <v/>
      </c>
    </row>
    <row r="20">
      <c r="A20" t="n">
        <v>2038</v>
      </c>
      <c r="B20">
        <f>WEO_Data!B20</f>
        <v/>
      </c>
      <c r="I20">
        <f>WEO_Data!C20</f>
        <v/>
      </c>
    </row>
    <row r="21">
      <c r="A21" t="n">
        <v>2039</v>
      </c>
      <c r="B21">
        <f>WEO_Data!B21</f>
        <v/>
      </c>
      <c r="I21">
        <f>WEO_Data!C21</f>
        <v/>
      </c>
    </row>
    <row r="22">
      <c r="A22" t="n">
        <v>2040</v>
      </c>
      <c r="B22">
        <f>WEO_Data!B22</f>
        <v/>
      </c>
      <c r="I22">
        <f>WEO_Data!C22</f>
        <v/>
      </c>
    </row>
    <row r="23">
      <c r="A23" t="n">
        <v>2041</v>
      </c>
      <c r="B23">
        <f>WEO_Data!B23</f>
        <v/>
      </c>
      <c r="I23">
        <f>WEO_Data!C23</f>
        <v/>
      </c>
    </row>
    <row r="24">
      <c r="A24" t="n">
        <v>2042</v>
      </c>
      <c r="B24">
        <f>WEO_Data!B24</f>
        <v/>
      </c>
      <c r="I24">
        <f>WEO_Data!C24</f>
        <v/>
      </c>
    </row>
    <row r="25">
      <c r="A25" t="n">
        <v>2043</v>
      </c>
      <c r="B25">
        <f>WEO_Data!B25</f>
        <v/>
      </c>
      <c r="I25">
        <f>WEO_Data!C25</f>
        <v/>
      </c>
    </row>
    <row r="27">
      <c r="C27" t="inlineStr">
        <is>
          <t>Assumptions:</t>
        </is>
      </c>
    </row>
    <row r="29">
      <c r="C29" t="inlineStr">
        <is>
          <t>Total Investment (USD bln):</t>
        </is>
      </c>
      <c r="D29" t="n">
        <v>6.5</v>
      </c>
    </row>
    <row r="30">
      <c r="C30" t="inlineStr">
        <is>
          <t>Exchange Rate (Lari/USD):</t>
        </is>
      </c>
      <c r="D30" t="n">
        <v>2.746</v>
      </c>
    </row>
    <row r="31">
      <c r="C31" t="inlineStr">
        <is>
          <t>Demand Multiplier:</t>
        </is>
      </c>
      <c r="D31" t="n">
        <v>0.8</v>
      </c>
    </row>
    <row r="32">
      <c r="C32" t="inlineStr">
        <is>
          <t>Project Duration (years):</t>
        </is>
      </c>
      <c r="D32" t="n">
        <v>8</v>
      </c>
    </row>
    <row r="35">
      <c r="A35" s="1" t="inlineStr">
        <is>
          <t>SCENARIO 2 (Multiplier = 1.0):</t>
        </is>
      </c>
    </row>
    <row r="36">
      <c r="A36" s="1" t="inlineStr">
        <is>
          <t>Year</t>
        </is>
      </c>
      <c r="B36" s="1" t="inlineStr">
        <is>
          <t>Real GDP</t>
        </is>
      </c>
      <c r="C36" s="1" t="inlineStr">
        <is>
          <t>Project Allocation</t>
        </is>
      </c>
      <c r="D36" s="1" t="inlineStr">
        <is>
          <t>Project Investment</t>
        </is>
      </c>
      <c r="E36" s="1" t="inlineStr">
        <is>
          <t>Imports</t>
        </is>
      </c>
      <c r="F36" s="1" t="inlineStr">
        <is>
          <t>GDP Impact (I-M)</t>
        </is>
      </c>
      <c r="G36" s="1" t="inlineStr">
        <is>
          <t>Multiplier</t>
        </is>
      </c>
      <c r="H36" s="1" t="inlineStr">
        <is>
          <t>% of GDP</t>
        </is>
      </c>
    </row>
    <row r="37">
      <c r="A37" t="n">
        <v>2026</v>
      </c>
      <c r="B37">
        <f>B8</f>
        <v/>
      </c>
      <c r="C37">
        <f>C8</f>
        <v/>
      </c>
      <c r="D37">
        <f>D8</f>
        <v/>
      </c>
      <c r="E37">
        <f>E8</f>
        <v/>
      </c>
      <c r="F37">
        <f>D37-E37</f>
        <v/>
      </c>
      <c r="G37" t="n">
        <v>1</v>
      </c>
      <c r="H37">
        <f>F37/B37*100</f>
        <v/>
      </c>
    </row>
    <row r="38">
      <c r="A38" t="n">
        <v>2027</v>
      </c>
      <c r="B38">
        <f>B9</f>
        <v/>
      </c>
      <c r="C38">
        <f>C9</f>
        <v/>
      </c>
      <c r="D38">
        <f>D9</f>
        <v/>
      </c>
      <c r="E38">
        <f>E9</f>
        <v/>
      </c>
      <c r="F38">
        <f>D38-E38</f>
        <v/>
      </c>
      <c r="G38" t="n">
        <v>1</v>
      </c>
      <c r="H38">
        <f>F38/B38*100</f>
        <v/>
      </c>
    </row>
    <row r="39">
      <c r="A39" t="n">
        <v>2028</v>
      </c>
      <c r="B39">
        <f>B10</f>
        <v/>
      </c>
      <c r="C39">
        <f>C10</f>
        <v/>
      </c>
      <c r="D39">
        <f>D10</f>
        <v/>
      </c>
      <c r="E39">
        <f>E10</f>
        <v/>
      </c>
      <c r="F39">
        <f>D39-E39</f>
        <v/>
      </c>
      <c r="G39" t="n">
        <v>1</v>
      </c>
      <c r="H39">
        <f>F39/B39*100</f>
        <v/>
      </c>
    </row>
    <row r="40">
      <c r="A40" t="n">
        <v>2029</v>
      </c>
      <c r="B40">
        <f>B11</f>
        <v/>
      </c>
      <c r="C40">
        <f>C11</f>
        <v/>
      </c>
      <c r="D40">
        <f>D11</f>
        <v/>
      </c>
      <c r="E40">
        <f>E11</f>
        <v/>
      </c>
      <c r="F40">
        <f>D40-E40</f>
        <v/>
      </c>
      <c r="G40" t="n">
        <v>1</v>
      </c>
      <c r="H40">
        <f>F40/B40*100</f>
        <v/>
      </c>
    </row>
    <row r="41">
      <c r="A41" t="n">
        <v>2030</v>
      </c>
      <c r="B41">
        <f>B12</f>
        <v/>
      </c>
      <c r="C41">
        <f>C12</f>
        <v/>
      </c>
      <c r="D41">
        <f>D12</f>
        <v/>
      </c>
      <c r="E41">
        <f>E12</f>
        <v/>
      </c>
      <c r="F41">
        <f>D41-E41</f>
        <v/>
      </c>
      <c r="G41" t="n">
        <v>1</v>
      </c>
      <c r="H41">
        <f>F41/B41*100</f>
        <v/>
      </c>
    </row>
    <row r="42">
      <c r="A42" t="n">
        <v>2031</v>
      </c>
      <c r="B42">
        <f>B13</f>
        <v/>
      </c>
      <c r="C42">
        <f>C13</f>
        <v/>
      </c>
      <c r="D42">
        <f>D13</f>
        <v/>
      </c>
      <c r="E42">
        <f>E13</f>
        <v/>
      </c>
      <c r="F42">
        <f>D42-E42</f>
        <v/>
      </c>
      <c r="G42" t="n">
        <v>1</v>
      </c>
      <c r="H42">
        <f>F42/B42*100</f>
        <v/>
      </c>
    </row>
    <row r="43">
      <c r="A43" t="n">
        <v>2032</v>
      </c>
      <c r="B43">
        <f>B14</f>
        <v/>
      </c>
      <c r="C43">
        <f>C14</f>
        <v/>
      </c>
      <c r="D43">
        <f>D14</f>
        <v/>
      </c>
      <c r="E43">
        <f>E14</f>
        <v/>
      </c>
      <c r="F43">
        <f>D43-E43</f>
        <v/>
      </c>
      <c r="G43" t="n">
        <v>1</v>
      </c>
      <c r="H43">
        <f>F43/B43*100</f>
        <v/>
      </c>
    </row>
    <row r="44">
      <c r="A44" t="n">
        <v>2033</v>
      </c>
      <c r="B44">
        <f>B15</f>
        <v/>
      </c>
      <c r="C44">
        <f>C15</f>
        <v/>
      </c>
      <c r="D44">
        <f>D15</f>
        <v/>
      </c>
      <c r="E44">
        <f>E15</f>
        <v/>
      </c>
      <c r="F44">
        <f>D44-E44</f>
        <v/>
      </c>
      <c r="G44" t="n">
        <v>1</v>
      </c>
      <c r="H44">
        <f>F44/B44*100</f>
        <v/>
      </c>
    </row>
    <row r="46">
      <c r="A46" s="1" t="inlineStr">
        <is>
          <t>SCENARIO 3 (Import Share = 0.5):</t>
        </is>
      </c>
    </row>
    <row r="47">
      <c r="A47" s="1" t="inlineStr">
        <is>
          <t>Year</t>
        </is>
      </c>
      <c r="B47" s="1" t="inlineStr">
        <is>
          <t>Real GDP</t>
        </is>
      </c>
      <c r="C47" s="1" t="inlineStr">
        <is>
          <t>Project Allocation</t>
        </is>
      </c>
      <c r="D47" s="1" t="inlineStr">
        <is>
          <t>Project Investment</t>
        </is>
      </c>
      <c r="E47" s="1" t="inlineStr">
        <is>
          <t>Imports</t>
        </is>
      </c>
      <c r="F47" s="1" t="inlineStr">
        <is>
          <t>GDP Impact (I-M)</t>
        </is>
      </c>
      <c r="G47" s="1" t="inlineStr">
        <is>
          <t>Multiplier</t>
        </is>
      </c>
      <c r="H47" s="1" t="inlineStr">
        <is>
          <t>% of GDP</t>
        </is>
      </c>
    </row>
    <row r="48">
      <c r="A48" t="n">
        <v>2026</v>
      </c>
      <c r="B48">
        <f>B8</f>
        <v/>
      </c>
      <c r="C48">
        <f>C8</f>
        <v/>
      </c>
      <c r="D48">
        <f>D8</f>
        <v/>
      </c>
      <c r="E48">
        <f>D48*0.5</f>
        <v/>
      </c>
      <c r="F48">
        <f>D48-E48</f>
        <v/>
      </c>
      <c r="G48" t="n">
        <v>0.8</v>
      </c>
      <c r="H48">
        <f>F48/B48*100</f>
        <v/>
      </c>
    </row>
    <row r="49">
      <c r="A49" t="n">
        <v>2027</v>
      </c>
      <c r="B49">
        <f>B9</f>
        <v/>
      </c>
      <c r="C49">
        <f>C9</f>
        <v/>
      </c>
      <c r="D49">
        <f>D9</f>
        <v/>
      </c>
      <c r="E49">
        <f>D49*0.5</f>
        <v/>
      </c>
      <c r="F49">
        <f>D49-E49</f>
        <v/>
      </c>
      <c r="G49" t="n">
        <v>0.8</v>
      </c>
      <c r="H49">
        <f>F49/B49*100</f>
        <v/>
      </c>
    </row>
    <row r="50">
      <c r="A50" t="n">
        <v>2028</v>
      </c>
      <c r="B50">
        <f>B10</f>
        <v/>
      </c>
      <c r="C50">
        <f>C10</f>
        <v/>
      </c>
      <c r="D50">
        <f>D10</f>
        <v/>
      </c>
      <c r="E50">
        <f>D50*0.5</f>
        <v/>
      </c>
      <c r="F50">
        <f>D50-E50</f>
        <v/>
      </c>
      <c r="G50" t="n">
        <v>0.8</v>
      </c>
      <c r="H50">
        <f>F50/B50*100</f>
        <v/>
      </c>
    </row>
    <row r="51">
      <c r="A51" t="n">
        <v>2029</v>
      </c>
      <c r="B51">
        <f>B11</f>
        <v/>
      </c>
      <c r="C51">
        <f>C11</f>
        <v/>
      </c>
      <c r="D51">
        <f>D11</f>
        <v/>
      </c>
      <c r="E51">
        <f>D51*0.5</f>
        <v/>
      </c>
      <c r="F51">
        <f>D51-E51</f>
        <v/>
      </c>
      <c r="G51" t="n">
        <v>0.8</v>
      </c>
      <c r="H51">
        <f>F51/B51*100</f>
        <v/>
      </c>
    </row>
    <row r="52">
      <c r="A52" t="n">
        <v>2030</v>
      </c>
      <c r="B52">
        <f>B12</f>
        <v/>
      </c>
      <c r="C52">
        <f>C12</f>
        <v/>
      </c>
      <c r="D52">
        <f>D12</f>
        <v/>
      </c>
      <c r="E52">
        <f>D52*0.5</f>
        <v/>
      </c>
      <c r="F52">
        <f>D52-E52</f>
        <v/>
      </c>
      <c r="G52" t="n">
        <v>0.8</v>
      </c>
      <c r="H52">
        <f>F52/B52*100</f>
        <v/>
      </c>
    </row>
    <row r="53">
      <c r="A53" t="n">
        <v>2031</v>
      </c>
      <c r="B53">
        <f>B13</f>
        <v/>
      </c>
      <c r="C53">
        <f>C13</f>
        <v/>
      </c>
      <c r="D53">
        <f>D13</f>
        <v/>
      </c>
      <c r="E53">
        <f>D53*0.5</f>
        <v/>
      </c>
      <c r="F53">
        <f>D53-E53</f>
        <v/>
      </c>
      <c r="G53" t="n">
        <v>0.8</v>
      </c>
      <c r="H53">
        <f>F53/B53*100</f>
        <v/>
      </c>
    </row>
    <row r="54">
      <c r="A54" t="n">
        <v>2032</v>
      </c>
      <c r="B54">
        <f>B14</f>
        <v/>
      </c>
      <c r="C54">
        <f>C14</f>
        <v/>
      </c>
      <c r="D54">
        <f>D14</f>
        <v/>
      </c>
      <c r="E54">
        <f>D54*0.5</f>
        <v/>
      </c>
      <c r="F54">
        <f>D54-E54</f>
        <v/>
      </c>
      <c r="G54" t="n">
        <v>0.8</v>
      </c>
      <c r="H54">
        <f>F54/B54*100</f>
        <v/>
      </c>
    </row>
    <row r="55">
      <c r="A55" t="n">
        <v>2033</v>
      </c>
      <c r="B55">
        <f>B15</f>
        <v/>
      </c>
      <c r="C55">
        <f>C15</f>
        <v/>
      </c>
      <c r="D55">
        <f>D15</f>
        <v/>
      </c>
      <c r="E55">
        <f>D55*0.5</f>
        <v/>
      </c>
      <c r="F55">
        <f>D55-E55</f>
        <v/>
      </c>
      <c r="G55" t="n">
        <v>0.8</v>
      </c>
      <c r="H55">
        <f>F55/B55*100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2026-01-27T05:31:06Z</dcterms:created>
  <dcterms:modified xsi:type="dcterms:W3CDTF">2026-01-27T05:31:06Z</dcterms:modified>
</cp:coreProperties>
</file>