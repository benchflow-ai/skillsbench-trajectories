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<sst xmlns="http://schemas.openxmlformats.org/spreadsheetml/2006/main" count="356" uniqueCount="104">
  <si>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</si>
  <si>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</si>
  <si>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</si>
  <si>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</si>
  <si>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</si>
  <si>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</si>
  <si>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</si>
  <si>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</si>
  <si>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</si>
  <si>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</si>
  <si>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</si>
  <si>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</si>
  <si>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</si>
  <si>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</si>
  <si>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</si>
  <si>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</si>
  <si>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</si>
  <si>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</si>
  <si>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</si>
  <si>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</si>
  <si>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</si>
  <si>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</si>
  <si>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</si>
  <si>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</si>
  <si>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</si>
  <si>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</si>
  <si>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</si>
  <si>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</si>
  <si>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</si>
  <si>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</si>
  <si>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</si>
  <si>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</si>
  <si>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</si>
  <si>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</si>
  <si>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</si>
  <si>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</si>
  <si>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</si>
  <si>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</si>
  <si>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</si>
  <si>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</si>
  <si>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</si>
  <si>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Step 3: Calculate. </t>
  </si>
  <si>
    <t xml:space="preserve">Weighted mean (year by year):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</si>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</sst>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INDEX(Data!$H$21:$H$40,MATCH($D12,Data!$B$21:$B$40,0))</f>
        <v>408.496539809394</v>
      </c>
      <c r="I12" s="9" t="n">
        <f aca="false">INDEX(Data!$I$21:$I$40,MATCH($D12,Data!$B$21:$B$40,0))</f>
        <v>404.046289993193</v>
      </c>
      <c r="J12" s="9" t="n">
        <f aca="false">INDEX(Data!$J$21:$J$40,MATCH($D12,Data!$B$21:$B$40,0))</f>
        <v>350.279101429544</v>
      </c>
      <c r="K12" s="9" t="n">
        <f aca="false">INDEX(Data!$K$21:$K$40,MATCH($D12,Data!$B$21:$B$40,0))</f>
        <v>425.132743362831</v>
      </c>
      <c r="L12" s="10" t="n">
        <f aca="false">INDEX(Data!$L$21:$L$40,MATCH($D12,Data!$B$21:$B$40,0))</f>
        <v>515.279008716232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INDEX(Data!$H$21:$H$40,MATCH($D13,Data!$B$21:$B$40,0))</f>
        <v>29.9590425531915</v>
      </c>
      <c r="I13" s="14" t="n">
        <f aca="false">INDEX(Data!$I$21:$I$40,MATCH($D13,Data!$B$21:$B$40,0))</f>
        <v>29.5643617021277</v>
      </c>
      <c r="J13" s="14" t="n">
        <f aca="false">INDEX(Data!$J$21:$J$40,MATCH($D13,Data!$B$21:$B$40,0))</f>
        <v>25.2492021276596</v>
      </c>
      <c r="K13" s="14" t="n">
        <f aca="false">INDEX(Data!$K$21:$K$40,MATCH($D13,Data!$B$21:$B$40,0))</f>
        <v>35.2345744680852</v>
      </c>
      <c r="L13" s="15" t="n">
        <f aca="false">INDEX(Data!$L$21:$L$40,MATCH($D13,Data!$B$21:$B$40,0))</f>
        <v>44.5819148936171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INDEX(Data!$H$21:$H$40,MATCH($D14,Data!$B$21:$B$40,0))</f>
        <v>79.4636844371336</v>
      </c>
      <c r="I14" s="14" t="n">
        <f aca="false">INDEX(Data!$I$21:$I$40,MATCH($D14,Data!$B$21:$B$40,0))</f>
        <v>73.3299115928385</v>
      </c>
      <c r="J14" s="14" t="n">
        <f aca="false">INDEX(Data!$J$21:$J$40,MATCH($D14,Data!$B$21:$B$40,0))</f>
        <v>48.5460037554086</v>
      </c>
      <c r="K14" s="14" t="n">
        <f aca="false">INDEX(Data!$K$21:$K$40,MATCH($D14,Data!$B$21:$B$40,0))</f>
        <v>76.7375173351161</v>
      </c>
      <c r="L14" s="15" t="n">
        <f aca="false">INDEX(Data!$L$21:$L$40,MATCH($D14,Data!$B$21:$B$40,0))</f>
        <v>110.951320810177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INDEX(Data!$H$21:$H$40,MATCH($D15,Data!$B$21:$B$40,0))</f>
        <v>102.560989010989</v>
      </c>
      <c r="I15" s="14" t="n">
        <f aca="false">INDEX(Data!$I$21:$I$40,MATCH($D15,Data!$B$21:$B$40,0))</f>
        <v>92.0461538461538</v>
      </c>
      <c r="J15" s="14" t="n">
        <f aca="false">INDEX(Data!$J$21:$J$40,MATCH($D15,Data!$B$21:$B$40,0))</f>
        <v>70.9332417582417</v>
      </c>
      <c r="K15" s="14" t="n">
        <f aca="false">INDEX(Data!$K$21:$K$40,MATCH($D15,Data!$B$21:$B$40,0))</f>
        <v>105.54945054945</v>
      </c>
      <c r="L15" s="15" t="n">
        <f aca="false">INDEX(Data!$L$21:$L$40,MATCH($D15,Data!$B$21:$B$40,0))</f>
        <v>161.692857142857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INDEX(Data!$H$21:$H$40,MATCH($D16,Data!$B$21:$B$40,0))</f>
        <v>46.3213669285954</v>
      </c>
      <c r="I16" s="14" t="n">
        <f aca="false">INDEX(Data!$I$21:$I$40,MATCH($D16,Data!$B$21:$B$40,0))</f>
        <v>43.5465965960978</v>
      </c>
      <c r="J16" s="14" t="n">
        <f aca="false">INDEX(Data!$J$21:$J$40,MATCH($D16,Data!$B$21:$B$40,0))</f>
        <v>35.6913528845155</v>
      </c>
      <c r="K16" s="14" t="n">
        <f aca="false">INDEX(Data!$K$21:$K$40,MATCH($D16,Data!$B$21:$B$40,0))</f>
        <v>46.5723129604928</v>
      </c>
      <c r="L16" s="15" t="n">
        <f aca="false">INDEX(Data!$L$21:$L$40,MATCH($D16,Data!$B$21:$B$40,0))</f>
        <v>69.7011796527145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INDEX(Data!$H$21:$H$40,MATCH($D17,Data!$B$21:$B$40,0))</f>
        <v>314.9165</v>
      </c>
      <c r="I17" s="17" t="n">
        <f aca="false">INDEX(Data!$I$21:$I$40,MATCH($D17,Data!$B$21:$B$40,0))</f>
        <v>285.8599</v>
      </c>
      <c r="J17" s="17" t="n">
        <f aca="false">INDEX(Data!$J$21:$J$40,MATCH($D17,Data!$B$21:$B$40,0))</f>
        <v>182.8481</v>
      </c>
      <c r="K17" s="17" t="n">
        <f aca="false">INDEX(Data!$K$21:$K$40,MATCH($D17,Data!$B$21:$B$40,0))</f>
        <v>286.5016</v>
      </c>
      <c r="L17" s="18" t="n">
        <f aca="false">INDEX(Data!$L$21:$L$40,MATCH($D17,Data!$B$21:$B$40,0))</f>
        <v>445.8812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INDEX(Data!$H$21:$H$40,MATCH($D19,Data!$B$21:$B$40,0))</f>
        <v>322.573498927161</v>
      </c>
      <c r="I19" s="9" t="n">
        <f aca="false">INDEX(Data!$I$21:$I$40,MATCH($D19,Data!$B$21:$B$40,0))</f>
        <v>321.524846834582</v>
      </c>
      <c r="J19" s="9" t="n">
        <f aca="false">INDEX(Data!$J$21:$J$40,MATCH($D19,Data!$B$21:$B$40,0))</f>
        <v>273.682777399592</v>
      </c>
      <c r="K19" s="9" t="n">
        <f aca="false">INDEX(Data!$K$21:$K$40,MATCH($D19,Data!$B$21:$B$40,0))</f>
        <v>320.408441116406</v>
      </c>
      <c r="L19" s="10" t="n">
        <f aca="false">INDEX(Data!$L$21:$L$40,MATCH($D19,Data!$B$21:$B$40,0))</f>
        <v>389.652076242342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INDEX(Data!$H$21:$H$40,MATCH($D20,Data!$B$21:$B$40,0))</f>
        <v>27.048670212766</v>
      </c>
      <c r="I20" s="14" t="n">
        <f aca="false">INDEX(Data!$I$21:$I$40,MATCH($D20,Data!$B$21:$B$40,0))</f>
        <v>25.2077127659575</v>
      </c>
      <c r="J20" s="14" t="n">
        <f aca="false">INDEX(Data!$J$21:$J$40,MATCH($D20,Data!$B$21:$B$40,0))</f>
        <v>23.2968085106383</v>
      </c>
      <c r="K20" s="14" t="n">
        <f aca="false">INDEX(Data!$K$21:$K$40,MATCH($D20,Data!$B$21:$B$40,0))</f>
        <v>27.5773936170213</v>
      </c>
      <c r="L20" s="15" t="n">
        <f aca="false">INDEX(Data!$L$21:$L$40,MATCH($D20,Data!$B$21:$B$40,0))</f>
        <v>33.0688829787234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INDEX(Data!$H$21:$H$40,MATCH($D21,Data!$B$21:$B$40,0))</f>
        <v>63.0562700787141</v>
      </c>
      <c r="I21" s="14" t="n">
        <f aca="false">INDEX(Data!$I$21:$I$40,MATCH($D21,Data!$B$21:$B$40,0))</f>
        <v>55.8175535287385</v>
      </c>
      <c r="J21" s="14" t="n">
        <f aca="false">INDEX(Data!$J$21:$J$40,MATCH($D21,Data!$B$21:$B$40,0))</f>
        <v>42.5308188423545</v>
      </c>
      <c r="K21" s="14" t="n">
        <f aca="false">INDEX(Data!$K$21:$K$40,MATCH($D21,Data!$B$21:$B$40,0))</f>
        <v>44.9160455492262</v>
      </c>
      <c r="L21" s="15" t="n">
        <f aca="false">INDEX(Data!$L$21:$L$40,MATCH($D21,Data!$B$21:$B$40,0))</f>
        <v>55.9230974400287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INDEX(Data!$H$21:$H$40,MATCH($D22,Data!$B$21:$B$40,0))</f>
        <v>65.8109890109891</v>
      </c>
      <c r="I22" s="14" t="n">
        <f aca="false">INDEX(Data!$I$21:$I$40,MATCH($D22,Data!$B$21:$B$40,0))</f>
        <v>66.7697802197803</v>
      </c>
      <c r="J22" s="14" t="n">
        <f aca="false">INDEX(Data!$J$21:$J$40,MATCH($D22,Data!$B$21:$B$40,0))</f>
        <v>59.0645604395604</v>
      </c>
      <c r="K22" s="14" t="n">
        <f aca="false">INDEX(Data!$K$21:$K$40,MATCH($D22,Data!$B$21:$B$40,0))</f>
        <v>61.2043956043956</v>
      </c>
      <c r="L22" s="15" t="n">
        <f aca="false">INDEX(Data!$L$21:$L$40,MATCH($D22,Data!$B$21:$B$40,0))</f>
        <v>74.5200549450549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INDEX(Data!$H$21:$H$40,MATCH($D23,Data!$B$21:$B$40,0))</f>
        <v>35.6004122626741</v>
      </c>
      <c r="I23" s="14" t="n">
        <f aca="false">INDEX(Data!$I$21:$I$40,MATCH($D23,Data!$B$21:$B$40,0))</f>
        <v>32.5685552505517</v>
      </c>
      <c r="J23" s="14" t="n">
        <f aca="false">INDEX(Data!$J$21:$J$40,MATCH($D23,Data!$B$21:$B$40,0))</f>
        <v>33.8270953409951</v>
      </c>
      <c r="K23" s="14" t="n">
        <f aca="false">INDEX(Data!$K$21:$K$40,MATCH($D23,Data!$B$21:$B$40,0))</f>
        <v>37.2157374510285</v>
      </c>
      <c r="L23" s="15" t="n">
        <f aca="false">INDEX(Data!$L$21:$L$40,MATCH($D23,Data!$B$21:$B$40,0))</f>
        <v>46.3258913295439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INDEX(Data!$H$21:$H$40,MATCH($D24,Data!$B$21:$B$40,0))</f>
        <v>209.0688</v>
      </c>
      <c r="I24" s="17" t="n">
        <f aca="false">INDEX(Data!$I$21:$I$40,MATCH($D24,Data!$B$21:$B$40,0))</f>
        <v>218.9747</v>
      </c>
      <c r="J24" s="17" t="n">
        <f aca="false">INDEX(Data!$J$21:$J$40,MATCH($D24,Data!$B$21:$B$40,0))</f>
        <v>182.1837</v>
      </c>
      <c r="K24" s="17" t="n">
        <f aca="false">INDEX(Data!$K$21:$K$40,MATCH($D24,Data!$B$21:$B$40,0))</f>
        <v>213.5156</v>
      </c>
      <c r="L24" s="18" t="n">
        <f aca="false">INDEX(Data!$L$21:$L$40,MATCH($D24,Data!$B$21:$B$40,0))</f>
        <v>258.2128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INDEX(Data!$H$21:$H$40,MATCH($D26,Data!$B$21:$B$40,0))</f>
        <v>427.049421375085</v>
      </c>
      <c r="I26" s="9" t="n">
        <f aca="false">INDEX(Data!$I$21:$I$40,MATCH($D26,Data!$B$21:$B$40,0))</f>
        <v>417.989652825051</v>
      </c>
      <c r="J26" s="9" t="n">
        <f aca="false">INDEX(Data!$J$21:$J$40,MATCH($D26,Data!$B$21:$B$40,0))</f>
        <v>349.473110959837</v>
      </c>
      <c r="K26" s="9" t="n">
        <f aca="false">INDEX(Data!$K$21:$K$40,MATCH($D26,Data!$B$21:$B$40,0))</f>
        <v>415.178761061947</v>
      </c>
      <c r="L26" s="10" t="n">
        <f aca="false">INDEX(Data!$L$21:$L$40,MATCH($D26,Data!$B$21:$B$40,0))</f>
        <v>507.063852961198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INDEX(Data!$H$21:$H$40,MATCH($D27,Data!$B$21:$B$40,0))</f>
        <v>37.8019414893617</v>
      </c>
      <c r="I27" s="14" t="n">
        <f aca="false">INDEX(Data!$I$21:$I$40,MATCH($D27,Data!$B$21:$B$40,0))</f>
        <v>38.6537765957447</v>
      </c>
      <c r="J27" s="14" t="n">
        <f aca="false">INDEX(Data!$J$21:$J$40,MATCH($D27,Data!$B$21:$B$40,0))</f>
        <v>34.6217287234043</v>
      </c>
      <c r="K27" s="14" t="n">
        <f aca="false">INDEX(Data!$K$21:$K$40,MATCH($D27,Data!$B$21:$B$40,0))</f>
        <v>39.2886968085106</v>
      </c>
      <c r="L27" s="15" t="n">
        <f aca="false">INDEX(Data!$L$21:$L$40,MATCH($D27,Data!$B$21:$B$40,0))</f>
        <v>44.3832978723404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INDEX(Data!$H$21:$H$40,MATCH($D28,Data!$B$21:$B$40,0))</f>
        <v>138.211435069165</v>
      </c>
      <c r="I28" s="14" t="n">
        <f aca="false">INDEX(Data!$I$21:$I$40,MATCH($D28,Data!$B$21:$B$40,0))</f>
        <v>138.694779832957</v>
      </c>
      <c r="J28" s="14" t="n">
        <f aca="false">INDEX(Data!$J$21:$J$40,MATCH($D28,Data!$B$21:$B$40,0))</f>
        <v>107.515715568618</v>
      </c>
      <c r="K28" s="14" t="n">
        <f aca="false">INDEX(Data!$K$21:$K$40,MATCH($D28,Data!$B$21:$B$40,0))</f>
        <v>141.773126840561</v>
      </c>
      <c r="L28" s="15" t="n">
        <f aca="false">INDEX(Data!$L$21:$L$40,MATCH($D28,Data!$B$21:$B$40,0))</f>
        <v>182.846287415698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INDEX(Data!$H$21:$H$40,MATCH($D29,Data!$B$21:$B$40,0))</f>
        <v>183.334953813209</v>
      </c>
      <c r="I29" s="14" t="n">
        <f aca="false">INDEX(Data!$I$21:$I$40,MATCH($D29,Data!$B$21:$B$40,0))</f>
        <v>176.371267689082</v>
      </c>
      <c r="J29" s="14" t="n">
        <f aca="false">INDEX(Data!$J$21:$J$40,MATCH($D29,Data!$B$21:$B$40,0))</f>
        <v>144.41136334527</v>
      </c>
      <c r="K29" s="14" t="n">
        <f aca="false">INDEX(Data!$K$21:$K$40,MATCH($D29,Data!$B$21:$B$40,0))</f>
        <v>179.732142857143</v>
      </c>
      <c r="L29" s="15" t="n">
        <f aca="false">INDEX(Data!$L$21:$L$40,MATCH($D29,Data!$B$21:$B$40,0))</f>
        <v>236.258241758242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INDEX(Data!$H$21:$H$40,MATCH($D30,Data!$B$21:$B$40,0))</f>
        <v>91.5053979279602</v>
      </c>
      <c r="I30" s="14" t="n">
        <f aca="false">INDEX(Data!$I$21:$I$40,MATCH($D30,Data!$B$21:$B$40,0))</f>
        <v>88.0606849980307</v>
      </c>
      <c r="J30" s="14" t="n">
        <f aca="false">INDEX(Data!$J$21:$J$40,MATCH($D30,Data!$B$21:$B$40,0))</f>
        <v>75.9087126137841</v>
      </c>
      <c r="K30" s="14" t="n">
        <f aca="false">INDEX(Data!$K$21:$K$40,MATCH($D30,Data!$B$21:$B$40,0))</f>
        <v>88.1919375812744</v>
      </c>
      <c r="L30" s="15" t="n">
        <f aca="false">INDEX(Data!$L$21:$L$40,MATCH($D30,Data!$B$21:$B$40,0))</f>
        <v>114.666840052016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INDEX(Data!$H$21:$H$40,MATCH($D31,Data!$B$21:$B$40,0))</f>
        <v>846.584266666667</v>
      </c>
      <c r="I31" s="17" t="n">
        <f aca="false">INDEX(Data!$I$21:$I$40,MATCH($D31,Data!$B$21:$B$40,0))</f>
        <v>838.563733333333</v>
      </c>
      <c r="J31" s="17" t="n">
        <f aca="false">INDEX(Data!$J$21:$J$40,MATCH($D31,Data!$B$21:$B$40,0))</f>
        <v>734.2712</v>
      </c>
      <c r="K31" s="17" t="n">
        <f aca="false">INDEX(Data!$K$21:$K$40,MATCH($D31,Data!$B$21:$B$40,0))</f>
        <v>874.156</v>
      </c>
      <c r="L31" s="18" t="n">
        <f aca="false">INDEX(Data!$L$21:$L$40,MATCH($D31,Data!$B$21:$B$40,0))</f>
        <v>1108.572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(H$12-H$19)/H$26*100</f>
        <v>20.1201632835759</v>
      </c>
      <c r="I35" s="9" t="n">
        <f aca="false">(I$12-I$19)/I$26*100</f>
        <v>19.7424607525274</v>
      </c>
      <c r="J35" s="9" t="n">
        <f aca="false">(J$12-J$19)/J$26*100</f>
        <v>21.9176587919964</v>
      </c>
      <c r="K35" s="9" t="n">
        <f aca="false">(K$12-K$19)/K$26*100</f>
        <v>25.2239064393758</v>
      </c>
      <c r="L35" s="10" t="n">
        <f aca="false">(L$12-L$19)/L$26*100</f>
        <v>24.7753673901704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(H$13-H$20)/H$27*100</f>
        <v>7.69900228866431</v>
      </c>
      <c r="I36" s="14" t="n">
        <f aca="false">(I$13-I$20)/I$27*100</f>
        <v>11.2709528534136</v>
      </c>
      <c r="J36" s="14" t="n">
        <f aca="false">(J$13-J$20)/J$27*100</f>
        <v>5.63921470420823</v>
      </c>
      <c r="K36" s="14" t="n">
        <f aca="false">(K$13-K$20)/K$27*100</f>
        <v>19.4895261820067</v>
      </c>
      <c r="L36" s="15" t="n">
        <f aca="false">(L$13-L$20)/L$27*100</f>
        <v>25.9400100191036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(H$14-H$21)/H$28*100</f>
        <v>11.8712423108904</v>
      </c>
      <c r="I37" s="14" t="n">
        <f aca="false">(I$14-I$21)/I$28*100</f>
        <v>12.6265444778756</v>
      </c>
      <c r="J37" s="14" t="n">
        <f aca="false">(J$14-J$21)/J$28*100</f>
        <v>5.59470295225364</v>
      </c>
      <c r="K37" s="14" t="n">
        <f aca="false">(K$14-K$21)/K$28*100</f>
        <v>22.4453480677453</v>
      </c>
      <c r="L37" s="15" t="n">
        <f aca="false">(L$14-L$21)/L$28*100</f>
        <v>30.0953462867105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(H$15-H$22)/H$29*100</f>
        <v>20.0452773656259</v>
      </c>
      <c r="I38" s="14" t="n">
        <f aca="false">(I$15-I$22)/I$29*100</f>
        <v>14.3313443042958</v>
      </c>
      <c r="J38" s="14" t="n">
        <f aca="false">(J$15-J$22)/J$29*100</f>
        <v>8.21866163696878</v>
      </c>
      <c r="K38" s="14" t="n">
        <f aca="false">(K$15-K$22)/K$29*100</f>
        <v>24.672857197447</v>
      </c>
      <c r="L38" s="15" t="n">
        <f aca="false">(L$15-L$22)/L$29*100</f>
        <v>36.8972534244982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(H$16-H$23)/H$30*100</f>
        <v>11.7161991627659</v>
      </c>
      <c r="I39" s="14" t="n">
        <f aca="false">(I$16-I$23)/I$30*100</f>
        <v>12.4664500915381</v>
      </c>
      <c r="J39" s="14" t="n">
        <f aca="false">(J$16-J$23)/J$30*100</f>
        <v>2.45592038031992</v>
      </c>
      <c r="K39" s="14" t="n">
        <f aca="false">(K$16-K$23)/K$30*100</f>
        <v>10.6093320614956</v>
      </c>
      <c r="L39" s="15" t="n">
        <f aca="false">(L$16-L$23)/L$30*100</f>
        <v>20.3853950388508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(H$17-H$24)/H$31*100</f>
        <v>12.5029136693933</v>
      </c>
      <c r="I40" s="17" t="n">
        <f aca="false">(I$17-I$24)/I$31*100</f>
        <v>7.97616178011037</v>
      </c>
      <c r="J40" s="17" t="n">
        <f aca="false">(J$17-J$24)/J$31*100</f>
        <v>0.0904842788332159</v>
      </c>
      <c r="K40" s="17" t="n">
        <f aca="false">(K$17-K$24)/K$31*100</f>
        <v>8.34931064935778</v>
      </c>
      <c r="L40" s="18" t="n">
        <f aca="false">(L$17-L$24)/L$31*100</f>
        <v>16.9288417892568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n">
        <f aca="false">MIN(H35:L40)</f>
        <v>0.0904842788332159</v>
      </c>
      <c r="F42" s="3"/>
      <c r="G42" s="3"/>
      <c r="H42" s="8"/>
      <c r="I42" s="9"/>
      <c r="J42" s="9"/>
      <c r="K42" s="9"/>
      <c r="L42" s="10"/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n">
        <f aca="false">MAX(H35:L40)</f>
        <v>36.8972534244982</v>
      </c>
      <c r="F43" s="3"/>
      <c r="G43" s="3"/>
      <c r="H43" s="13"/>
      <c r="I43" s="14"/>
      <c r="J43" s="14"/>
      <c r="K43" s="14"/>
      <c r="L43" s="15"/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n">
        <f aca="false">MEDIAN(H35:L40)</f>
        <v>13.4789443910857</v>
      </c>
      <c r="F44" s="3"/>
      <c r="G44" s="3"/>
      <c r="H44" s="13"/>
      <c r="I44" s="14"/>
      <c r="J44" s="14"/>
      <c r="K44" s="14"/>
      <c r="L44" s="15"/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n">
        <f aca="false">AVERAGE(H35:L40)</f>
        <v>15.7365949877092</v>
      </c>
      <c r="F45" s="3"/>
      <c r="G45" s="3"/>
      <c r="H45" s="13"/>
      <c r="I45" s="14"/>
      <c r="J45" s="14"/>
      <c r="K45" s="14"/>
      <c r="L45" s="15"/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n">
        <f aca="false">PERCENTILE(H35:L40,0.25)</f>
        <v>8.91431600239223</v>
      </c>
      <c r="F46" s="3"/>
      <c r="G46" s="3"/>
      <c r="H46" s="13"/>
      <c r="I46" s="14"/>
      <c r="J46" s="14"/>
      <c r="K46" s="14"/>
      <c r="L46" s="15"/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n">
        <f aca="false">PERCENTILE(H35:L40,0.75)</f>
        <v>21.53459285371</v>
      </c>
      <c r="F47" s="3"/>
      <c r="G47" s="3"/>
      <c r="H47" s="16"/>
      <c r="I47" s="17"/>
      <c r="J47" s="17"/>
      <c r="K47" s="17"/>
      <c r="L47" s="18"/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41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42</v>
      </c>
      <c r="F50" s="3"/>
      <c r="G50" s="3"/>
      <c r="H50" s="22"/>
      <c r="I50" s="23"/>
      <c r="J50" s="23"/>
      <c r="K50" s="23"/>
      <c r="L50" s="24"/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 t="n">
        <f aca="false">SUMPRODUCT(H35:H40,H26:H31)/SUM(H26:H31)</f>
        <v>14.9934107837992</v>
      </c>
      <c r="F51" s="3" t="n">
        <f aca="false">SUMPRODUCT(I35:I40,I26:I31)/SUM(I26:I31)</f>
        <v>12.2196268771574</v>
      </c>
      <c r="G51" s="3" t="n">
        <f aca="false">SUMPRODUCT(J35:J40,J26:J31)/SUM(J26:J31)</f>
        <v>6.84283751316843</v>
      </c>
      <c r="H51" s="3" t="n">
        <f aca="false">SUMPRODUCT(K35:K40,K26:K31)/SUM(K26:K31)</f>
        <v>15.5834645913624</v>
      </c>
      <c r="I51" s="3" t="n">
        <f aca="false">SUMPRODUCT(L35:L40,L26:L31)/SUM(L26:L31)</f>
        <v>22.3533046476382</v>
      </c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 t="n">
        <f aca="false">AVERAGE(SUMPRODUCT(H35:H40,H26:H31)/SUM(H26:H31),SUMPRODUCT(I35:I40,I26:I31)/SUM(I26:I31),SUMPRODUCT(J35:J40,J26:J31)/SUM(J26:J31),SUMPRODUCT(K35:K40,K26:K31)/SUM(K26:K31),SUMPRODUCT(L35:L40,L26:L31)/SUM(L26:L31))</f>
        <v>14.3985288826251</v>
      </c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43</v>
      </c>
      <c r="B1" s="25" t="s">
        <v>44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45</v>
      </c>
      <c r="B4" s="27" t="s">
        <v>46</v>
      </c>
      <c r="C4" s="27" t="s">
        <v>1</v>
      </c>
      <c r="D4" s="27" t="s">
        <v>47</v>
      </c>
      <c r="E4" s="27" t="s">
        <v>48</v>
      </c>
      <c r="F4" s="27" t="s">
        <v>49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55</v>
      </c>
      <c r="C7" s="3" t="s">
        <v>51</v>
      </c>
      <c r="D7" s="3" t="s">
        <v>56</v>
      </c>
      <c r="E7" s="3" t="s">
        <v>57</v>
      </c>
      <c r="F7" s="3" t="s">
        <v>54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58</v>
      </c>
      <c r="C8" s="3" t="s">
        <v>51</v>
      </c>
      <c r="D8" s="3" t="s">
        <v>59</v>
      </c>
      <c r="E8" s="3" t="s">
        <v>60</v>
      </c>
      <c r="F8" s="3" t="s">
        <v>54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61</v>
      </c>
      <c r="C9" s="3" t="s">
        <v>51</v>
      </c>
      <c r="D9" s="3" t="s">
        <v>62</v>
      </c>
      <c r="E9" s="3" t="s">
        <v>63</v>
      </c>
      <c r="F9" s="3" t="s">
        <v>54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64</v>
      </c>
      <c r="C10" s="3" t="s">
        <v>51</v>
      </c>
      <c r="D10" s="3" t="s">
        <v>65</v>
      </c>
      <c r="E10" s="3" t="s">
        <v>66</v>
      </c>
      <c r="F10" s="3" t="s">
        <v>54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67</v>
      </c>
      <c r="C11" s="3" t="s">
        <v>51</v>
      </c>
      <c r="D11" s="3" t="s">
        <v>68</v>
      </c>
      <c r="E11" s="3" t="s">
        <v>69</v>
      </c>
      <c r="F11" s="3" t="s">
        <v>54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70</v>
      </c>
      <c r="C12" s="3" t="s">
        <v>51</v>
      </c>
      <c r="D12" s="3" t="s">
        <v>71</v>
      </c>
      <c r="E12" s="3" t="s">
        <v>72</v>
      </c>
      <c r="F12" s="3" t="s">
        <v>54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73</v>
      </c>
      <c r="C13" s="3" t="s">
        <v>51</v>
      </c>
      <c r="D13" s="3" t="s">
        <v>74</v>
      </c>
      <c r="E13" s="3" t="s">
        <v>75</v>
      </c>
      <c r="F13" s="3" t="s">
        <v>54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76</v>
      </c>
      <c r="C14" s="3" t="s">
        <v>51</v>
      </c>
      <c r="D14" s="3" t="s">
        <v>77</v>
      </c>
      <c r="E14" s="3" t="s">
        <v>78</v>
      </c>
      <c r="F14" s="3" t="s">
        <v>54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79</v>
      </c>
      <c r="C15" s="3" t="s">
        <v>51</v>
      </c>
      <c r="D15" s="3" t="s">
        <v>80</v>
      </c>
      <c r="E15" s="3" t="s">
        <v>81</v>
      </c>
      <c r="F15" s="3" t="s">
        <v>54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82</v>
      </c>
      <c r="C16" s="3" t="s">
        <v>51</v>
      </c>
      <c r="D16" s="3" t="s">
        <v>83</v>
      </c>
      <c r="E16" s="3" t="s">
        <v>84</v>
      </c>
      <c r="F16" s="3" t="s">
        <v>54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85</v>
      </c>
      <c r="C17" s="3" t="s">
        <v>51</v>
      </c>
      <c r="D17" s="3" t="s">
        <v>86</v>
      </c>
      <c r="E17" s="3" t="s">
        <v>87</v>
      </c>
      <c r="F17" s="3" t="s">
        <v>54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88</v>
      </c>
      <c r="C18" s="3" t="s">
        <v>51</v>
      </c>
      <c r="D18" s="3" t="s">
        <v>89</v>
      </c>
      <c r="E18" s="3" t="s">
        <v>90</v>
      </c>
      <c r="F18" s="3" t="s">
        <v>54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91</v>
      </c>
      <c r="E21" s="3" t="s">
        <v>92</v>
      </c>
      <c r="F21" s="3" t="s">
        <v>54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91</v>
      </c>
      <c r="E22" s="3" t="s">
        <v>92</v>
      </c>
      <c r="F22" s="3" t="s">
        <v>54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91</v>
      </c>
      <c r="E23" s="3" t="s">
        <v>92</v>
      </c>
      <c r="F23" s="3" t="s">
        <v>54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91</v>
      </c>
      <c r="E24" s="3" t="s">
        <v>92</v>
      </c>
      <c r="F24" s="3" t="s">
        <v>54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91</v>
      </c>
      <c r="E25" s="3" t="s">
        <v>92</v>
      </c>
      <c r="F25" s="3" t="s">
        <v>54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91</v>
      </c>
      <c r="E26" s="3" t="s">
        <v>92</v>
      </c>
      <c r="F26" s="3" t="s">
        <v>54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93</v>
      </c>
      <c r="E28" s="3" t="s">
        <v>94</v>
      </c>
      <c r="F28" s="3" t="s">
        <v>54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93</v>
      </c>
      <c r="E29" s="3" t="s">
        <v>94</v>
      </c>
      <c r="F29" s="3" t="s">
        <v>54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93</v>
      </c>
      <c r="E30" s="3" t="s">
        <v>94</v>
      </c>
      <c r="F30" s="3" t="s">
        <v>54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93</v>
      </c>
      <c r="E31" s="3" t="s">
        <v>94</v>
      </c>
      <c r="F31" s="3" t="s">
        <v>54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93</v>
      </c>
      <c r="E32" s="3" t="s">
        <v>94</v>
      </c>
      <c r="F32" s="3" t="s">
        <v>54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93</v>
      </c>
      <c r="E33" s="3" t="s">
        <v>94</v>
      </c>
      <c r="F33" s="3" t="s">
        <v>54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95</v>
      </c>
      <c r="E35" s="3" t="s">
        <v>30</v>
      </c>
      <c r="F35" s="3" t="s">
        <v>54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95</v>
      </c>
      <c r="E36" s="3" t="s">
        <v>30</v>
      </c>
      <c r="F36" s="3" t="s">
        <v>54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95</v>
      </c>
      <c r="E37" s="3" t="s">
        <v>30</v>
      </c>
      <c r="F37" s="3" t="s">
        <v>54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95</v>
      </c>
      <c r="E38" s="3" t="s">
        <v>30</v>
      </c>
      <c r="F38" s="3" t="s">
        <v>54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95</v>
      </c>
      <c r="E39" s="3" t="s">
        <v>30</v>
      </c>
      <c r="F39" s="3" t="s">
        <v>54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95</v>
      </c>
      <c r="E40" s="3" t="s">
        <v>30</v>
      </c>
      <c r="F40" s="3" t="s">
        <v>54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96</v>
      </c>
      <c r="C42" s="3" t="s">
        <v>12</v>
      </c>
      <c r="D42" s="3" t="s">
        <v>97</v>
      </c>
      <c r="E42" s="3" t="s">
        <v>98</v>
      </c>
      <c r="F42" s="3" t="s">
        <v>54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99</v>
      </c>
      <c r="C43" s="3" t="s">
        <v>14</v>
      </c>
      <c r="D43" s="3" t="s">
        <v>97</v>
      </c>
      <c r="E43" s="3" t="s">
        <v>98</v>
      </c>
      <c r="F43" s="3" t="s">
        <v>54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100</v>
      </c>
      <c r="C44" s="3" t="s">
        <v>18</v>
      </c>
      <c r="D44" s="3" t="s">
        <v>97</v>
      </c>
      <c r="E44" s="3" t="s">
        <v>98</v>
      </c>
      <c r="F44" s="3" t="s">
        <v>54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101</v>
      </c>
      <c r="C45" s="3" t="s">
        <v>16</v>
      </c>
      <c r="D45" s="3" t="s">
        <v>97</v>
      </c>
      <c r="E45" s="3" t="s">
        <v>98</v>
      </c>
      <c r="F45" s="3" t="s">
        <v>54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102</v>
      </c>
      <c r="C46" s="3" t="s">
        <v>20</v>
      </c>
      <c r="D46" s="3" t="s">
        <v>97</v>
      </c>
      <c r="E46" s="3" t="s">
        <v>98</v>
      </c>
      <c r="F46" s="3" t="s">
        <v>54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103</v>
      </c>
      <c r="C47" s="3" t="s">
        <v>7</v>
      </c>
      <c r="D47" s="3" t="s">
        <v>97</v>
      </c>
      <c r="E47" s="3" t="s">
        <v>98</v>
      </c>
      <c r="F47" s="3" t="s">
        <v>54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2026-01-26T15:20:35Z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