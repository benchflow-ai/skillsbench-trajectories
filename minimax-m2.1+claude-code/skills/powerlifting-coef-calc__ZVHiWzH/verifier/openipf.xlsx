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<sst xmlns="http://schemas.openxmlformats.org/spreadsheetml/2006/main" count="473" uniqueCount="183">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</sst>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0"/>
    <col collapsed="false" customWidth="true" hidden="false" outlineLevel="0" max="2" min="2" style="4" width="5"/>
    <col collapsed="false" customWidth="true" hidden="false" outlineLevel="0" max="5" min="3" style="4" width="14"/>
    <col collapsed="false" customWidth="true" hidden="false" outlineLevel="0" max="6" min="6" style="4" width="17"/>
    <col collapsed="false" customWidth="true" hidden="false" outlineLevel="0" max="7" min="7" style="4" width="14"/>
    <col collapsed="false" customWidth="true" hidden="false" outlineLevel="0" max="8" min="8" style="4" width="20"/>
  </cols>
  <sheetData>
    <row r="1" customFormat="false" ht="15" hidden="false" customHeight="true" outlineLevel="0" collapsed="false">
      <c r="A1" s="4" t="s">
        <v>0</v>
      </c>
      <c r="B1" s="4" t="s">
        <v>1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181</v>
      </c>
      <c r="H1" s="4" t="s">
        <v>182</v>
      </c>
    </row>
    <row r="2" customFormat="false" ht="15" hidden="false" customHeight="true" outlineLevel="0" collapsed="false">
      <c r="A2" s="4" t="s">
        <v>25</v>
      </c>
      <c r="B2" s="4" t="s">
        <v>26</v>
      </c>
      <c r="C2" s="5" t="n">
        <v>82.25</v>
      </c>
      <c r="D2" s="5" t="n">
        <v>215</v>
      </c>
      <c r="E2" s="5" t="n">
        <v>132.5</v>
      </c>
      <c r="F2" s="5" t="n">
        <v>260</v>
      </c>
      <c r="G2" s="4" t="n">
        <f aca="false">D2+E2+F2</f>
        <v>607.5</v>
      </c>
      <c r="H2" s="4" t="n">
        <f aca="false">IF(B2="M",500/(-83.97+216.708*LOG10(G2/C2)),500/(-59.81+191.645*LOG10(G2/C2)))</f>
        <v>4.7974757285764</v>
      </c>
    </row>
    <row r="3" customFormat="false" ht="15" hidden="false" customHeight="true" outlineLevel="0" collapsed="false">
      <c r="A3" s="4" t="s">
        <v>43</v>
      </c>
      <c r="B3" s="4" t="s">
        <v>26</v>
      </c>
      <c r="C3" s="5" t="n">
        <v>82.9</v>
      </c>
      <c r="D3" s="5" t="n">
        <v>205</v>
      </c>
      <c r="E3" s="5" t="n">
        <v>130</v>
      </c>
      <c r="F3" s="5" t="n">
        <v>227.5</v>
      </c>
      <c r="G3" s="4" t="n">
        <f aca="false">D3+E3+F3</f>
        <v>562.5</v>
      </c>
      <c r="H3" s="4" t="n">
        <f aca="false">IF(B3="M",500/(-83.97+216.708*LOG10(G3/C3)),500/(-59.81+191.645*LOG10(G3/C3)))</f>
        <v>5.19548331588985</v>
      </c>
    </row>
    <row r="4" customFormat="false" ht="15" hidden="false" customHeight="true" outlineLevel="0" collapsed="false">
      <c r="A4" s="4" t="s">
        <v>53</v>
      </c>
      <c r="B4" s="4" t="s">
        <v>26</v>
      </c>
      <c r="C4" s="5" t="n">
        <v>122.4</v>
      </c>
      <c r="D4" s="5" t="n">
        <v>275</v>
      </c>
      <c r="E4" s="5" t="n">
        <v>142.5</v>
      </c>
      <c r="F4" s="5" t="n">
        <v>235</v>
      </c>
      <c r="G4" s="4" t="n">
        <f aca="false">D4+E4+F4</f>
        <v>652.5</v>
      </c>
      <c r="H4" s="4" t="n">
        <f aca="false">IF(B4="M",500/(-83.97+216.708*LOG10(G4/C4)),500/(-59.81+191.645*LOG10(G4/C4)))</f>
        <v>6.79965162643536</v>
      </c>
    </row>
    <row r="5" customFormat="false" ht="15" hidden="false" customHeight="true" outlineLevel="0" collapsed="false">
      <c r="A5" s="4" t="s">
        <v>62</v>
      </c>
      <c r="B5" s="4" t="s">
        <v>63</v>
      </c>
      <c r="C5" s="5" t="n">
        <v>96.8</v>
      </c>
      <c r="D5" s="5" t="n">
        <v>102.5</v>
      </c>
      <c r="E5" s="5" t="n">
        <v>50</v>
      </c>
      <c r="F5" s="5" t="n">
        <v>137.5</v>
      </c>
      <c r="G5" s="4" t="n">
        <f aca="false">D5+E5+F5</f>
        <v>290</v>
      </c>
      <c r="H5" s="4" t="n">
        <f aca="false">IF(B5="M",500/(-83.97+216.708*LOG10(G5/C5)),500/(-59.81+191.645*LOG10(G5/C5)))</f>
        <v>15.8663764462647</v>
      </c>
    </row>
    <row r="6" customFormat="false" ht="15" hidden="false" customHeight="true" outlineLevel="0" collapsed="false">
      <c r="A6" s="4" t="s">
        <v>73</v>
      </c>
      <c r="B6" s="4" t="s">
        <v>63</v>
      </c>
      <c r="C6" s="5" t="n">
        <v>130.82</v>
      </c>
      <c r="D6" s="5" t="n">
        <v>62.5</v>
      </c>
      <c r="E6" s="5" t="n">
        <v>57.5</v>
      </c>
      <c r="F6" s="5" t="n">
        <v>117.5</v>
      </c>
      <c r="G6" s="4" t="n">
        <f aca="false">D6+E6+F6</f>
        <v>237.5</v>
      </c>
      <c r="H6" s="4" t="n">
        <f aca="false">IF(B6="M",500/(-83.97+216.708*LOG10(G6/C6)),500/(-59.81+191.645*LOG10(G6/C6)))</f>
        <v>-49.1353979041584</v>
      </c>
    </row>
    <row r="7" customFormat="false" ht="15" hidden="false" customHeight="true" outlineLevel="0" collapsed="false">
      <c r="A7" s="4" t="s">
        <v>81</v>
      </c>
      <c r="B7" s="4" t="s">
        <v>26</v>
      </c>
      <c r="C7" s="5" t="n">
        <v>103.94</v>
      </c>
      <c r="D7" s="5" t="n">
        <v>255</v>
      </c>
      <c r="E7" s="5" t="n">
        <v>165</v>
      </c>
      <c r="F7" s="5" t="n">
        <v>292.5</v>
      </c>
      <c r="G7" s="4" t="n">
        <f aca="false">D7+E7+F7</f>
        <v>712.5</v>
      </c>
      <c r="H7" s="4" t="n">
        <f aca="false">IF(B7="M",500/(-83.97+216.708*LOG10(G7/C7)),500/(-59.81+191.645*LOG10(G7/C7)))</f>
        <v>5.14411996622537</v>
      </c>
    </row>
    <row r="8" customFormat="false" ht="15" hidden="false" customHeight="true" outlineLevel="0" collapsed="false">
      <c r="A8" s="4" t="s">
        <v>91</v>
      </c>
      <c r="B8" s="4" t="s">
        <v>63</v>
      </c>
      <c r="C8" s="5" t="n">
        <v>58.2</v>
      </c>
      <c r="D8" s="5" t="n">
        <v>82.5</v>
      </c>
      <c r="E8" s="5" t="n">
        <v>47.5</v>
      </c>
      <c r="F8" s="5" t="n">
        <v>130</v>
      </c>
      <c r="G8" s="4" t="n">
        <f aca="false">D8+E8+F8</f>
        <v>260</v>
      </c>
      <c r="H8" s="4" t="n">
        <f aca="false">IF(B8="M",500/(-83.97+216.708*LOG10(G8/C8)),500/(-59.81+191.645*LOG10(G8/C8)))</f>
        <v>7.71975416438082</v>
      </c>
    </row>
    <row r="9" customFormat="false" ht="15" hidden="false" customHeight="true" outlineLevel="0" collapsed="false">
      <c r="A9" s="4" t="s">
        <v>98</v>
      </c>
      <c r="B9" s="4" t="s">
        <v>26</v>
      </c>
      <c r="C9" s="5" t="n">
        <v>81.8</v>
      </c>
      <c r="D9" s="5" t="n">
        <v>200</v>
      </c>
      <c r="E9" s="5" t="n">
        <v>130</v>
      </c>
      <c r="F9" s="5" t="n">
        <v>237.5</v>
      </c>
      <c r="G9" s="4" t="n">
        <f aca="false">D9+E9+F9</f>
        <v>567.5</v>
      </c>
      <c r="H9" s="4" t="n">
        <f aca="false">IF(B9="M",500/(-83.97+216.708*LOG10(G9/C9)),500/(-59.81+191.645*LOG10(G9/C9)))</f>
        <v>5.0850478355191</v>
      </c>
    </row>
    <row r="10" customFormat="false" ht="15" hidden="false" customHeight="true" outlineLevel="0" collapsed="false">
      <c r="A10" s="4" t="s">
        <v>106</v>
      </c>
      <c r="B10" s="4" t="s">
        <v>26</v>
      </c>
      <c r="C10" s="5" t="n">
        <v>90.5</v>
      </c>
      <c r="D10" s="5" t="n">
        <v>242.5</v>
      </c>
      <c r="E10" s="5" t="n">
        <v>132.5</v>
      </c>
      <c r="F10" s="5" t="n">
        <v>232.5</v>
      </c>
      <c r="G10" s="4" t="n">
        <f aca="false">D10+E10+F10</f>
        <v>607.5</v>
      </c>
      <c r="H10" s="4" t="n">
        <f aca="false">IF(B10="M",500/(-83.97+216.708*LOG10(G10/C10)),500/(-59.81+191.645*LOG10(G10/C10)))</f>
        <v>5.25070281667259</v>
      </c>
    </row>
    <row r="11" customFormat="false" ht="15" hidden="false" customHeight="true" outlineLevel="0" collapsed="false">
      <c r="A11" s="4" t="s">
        <v>113</v>
      </c>
      <c r="B11" s="4" t="s">
        <v>63</v>
      </c>
      <c r="C11" s="5" t="n">
        <v>75.9</v>
      </c>
      <c r="D11" s="5" t="n">
        <v>137.5</v>
      </c>
      <c r="E11" s="5" t="n">
        <v>75</v>
      </c>
      <c r="F11" s="5" t="n">
        <v>167.5</v>
      </c>
      <c r="G11" s="4" t="n">
        <f aca="false">D11+E11+F11</f>
        <v>380</v>
      </c>
      <c r="H11" s="4" t="n">
        <f aca="false">IF(B11="M",500/(-83.97+216.708*LOG10(G11/C11)),500/(-59.81+191.645*LOG10(G11/C11)))</f>
        <v>6.73367188848806</v>
      </c>
    </row>
    <row r="12" customFormat="false" ht="15" hidden="false" customHeight="true" outlineLevel="0" collapsed="false">
      <c r="A12" s="4" t="s">
        <v>120</v>
      </c>
      <c r="B12" s="4" t="s">
        <v>63</v>
      </c>
      <c r="C12" s="5" t="n">
        <v>79.3</v>
      </c>
      <c r="D12" s="5" t="n">
        <v>107.5</v>
      </c>
      <c r="E12" s="5" t="n">
        <v>50</v>
      </c>
      <c r="F12" s="5" t="n">
        <v>140</v>
      </c>
      <c r="G12" s="4" t="n">
        <f aca="false">D12+E12+F12</f>
        <v>297.5</v>
      </c>
      <c r="H12" s="4" t="n">
        <f aca="false">IF(B12="M",500/(-83.97+216.708*LOG10(G12/C12)),500/(-59.81+191.645*LOG10(G12/C12)))</f>
        <v>9.95318016197909</v>
      </c>
    </row>
    <row r="13" customFormat="false" ht="15" hidden="false" customHeight="true" outlineLevel="0" collapsed="false">
      <c r="A13" s="4" t="s">
        <v>127</v>
      </c>
      <c r="B13" s="4" t="s">
        <v>63</v>
      </c>
      <c r="C13" s="5" t="n">
        <v>61.81</v>
      </c>
      <c r="D13" s="5" t="n">
        <v>107.5</v>
      </c>
      <c r="E13" s="5" t="n">
        <v>52.5</v>
      </c>
      <c r="F13" s="5" t="n">
        <v>130</v>
      </c>
      <c r="G13" s="4" t="n">
        <f aca="false">D13+E13+F13</f>
        <v>290</v>
      </c>
      <c r="H13" s="4" t="n">
        <f aca="false">IF(B13="M",500/(-83.97+216.708*LOG10(G13/C13)),500/(-59.81+191.645*LOG10(G13/C13)))</f>
        <v>7.262289499167</v>
      </c>
    </row>
    <row r="14" customFormat="false" ht="15" hidden="false" customHeight="true" outlineLevel="0" collapsed="false">
      <c r="A14" s="4" t="s">
        <v>136</v>
      </c>
      <c r="B14" s="4" t="s">
        <v>26</v>
      </c>
      <c r="C14" s="5" t="n">
        <v>72.5</v>
      </c>
      <c r="D14" s="5" t="n">
        <v>245</v>
      </c>
      <c r="E14" s="5" t="n">
        <v>152.5</v>
      </c>
      <c r="F14" s="5" t="n">
        <v>290</v>
      </c>
      <c r="G14" s="4" t="n">
        <f aca="false">D14+E14+F14</f>
        <v>687.5</v>
      </c>
      <c r="H14" s="4" t="n">
        <f aca="false">IF(B14="M",500/(-83.97+216.708*LOG10(G14/C14)),500/(-59.81+191.645*LOG10(G14/C14)))</f>
        <v>3.9142140775104</v>
      </c>
    </row>
    <row r="15" customFormat="false" ht="15" hidden="false" customHeight="true" outlineLevel="0" collapsed="false">
      <c r="A15" s="4" t="s">
        <v>142</v>
      </c>
      <c r="B15" s="4" t="s">
        <v>63</v>
      </c>
      <c r="C15" s="5" t="n">
        <v>46.1</v>
      </c>
      <c r="D15" s="5" t="n">
        <v>82.5</v>
      </c>
      <c r="E15" s="5" t="n">
        <v>52.5</v>
      </c>
      <c r="F15" s="5" t="n">
        <v>125.5</v>
      </c>
      <c r="G15" s="4" t="n">
        <f aca="false">D15+E15+F15</f>
        <v>260.5</v>
      </c>
      <c r="H15" s="4" t="n">
        <f aca="false">IF(B15="M",500/(-83.97+216.708*LOG10(G15/C15)),500/(-59.81+191.645*LOG10(G15/C15)))</f>
        <v>5.92926331120501</v>
      </c>
    </row>
    <row r="16" customFormat="false" ht="15" hidden="false" customHeight="true" outlineLevel="0" collapsed="false">
      <c r="A16" s="4" t="s">
        <v>148</v>
      </c>
      <c r="B16" s="4" t="s">
        <v>63</v>
      </c>
      <c r="C16" s="5" t="n">
        <v>74.2</v>
      </c>
      <c r="D16" s="5" t="n">
        <v>170</v>
      </c>
      <c r="E16" s="5" t="n">
        <v>85</v>
      </c>
      <c r="F16" s="5" t="n">
        <v>197.5</v>
      </c>
      <c r="G16" s="4" t="n">
        <f aca="false">D16+E16+F16</f>
        <v>452.5</v>
      </c>
      <c r="H16" s="4" t="n">
        <f aca="false">IF(B16="M",500/(-83.97+216.708*LOG10(G16/C16)),500/(-59.81+191.645*LOG10(G16/C16)))</f>
        <v>5.51435310472148</v>
      </c>
    </row>
    <row r="17" customFormat="false" ht="15" hidden="false" customHeight="true" outlineLevel="0" collapsed="false">
      <c r="A17" s="4" t="s">
        <v>156</v>
      </c>
      <c r="B17" s="4" t="s">
        <v>26</v>
      </c>
      <c r="C17" s="5" t="n">
        <v>92.8</v>
      </c>
      <c r="D17" s="5" t="n">
        <v>255</v>
      </c>
      <c r="E17" s="5" t="n">
        <v>182.5</v>
      </c>
      <c r="F17" s="5" t="n">
        <v>245</v>
      </c>
      <c r="G17" s="4" t="n">
        <f aca="false">D17+E17+F17</f>
        <v>682.5</v>
      </c>
      <c r="H17" s="4" t="n">
        <f aca="false">IF(B17="M",500/(-83.97+216.708*LOG10(G17/C17)),500/(-59.81+191.645*LOG10(G17/C17)))</f>
        <v>4.81605875181502</v>
      </c>
    </row>
    <row r="18" customFormat="false" ht="15" hidden="false" customHeight="true" outlineLevel="0" collapsed="false">
      <c r="A18" s="4" t="s">
        <v>160</v>
      </c>
      <c r="B18" s="4" t="s">
        <v>63</v>
      </c>
      <c r="C18" s="5" t="n">
        <v>61.8</v>
      </c>
      <c r="D18" s="5" t="n">
        <v>87.5</v>
      </c>
      <c r="E18" s="5" t="n">
        <v>57.5</v>
      </c>
      <c r="F18" s="5" t="n">
        <v>110</v>
      </c>
      <c r="G18" s="4" t="n">
        <f aca="false">D18+E18+F18</f>
        <v>255</v>
      </c>
      <c r="H18" s="4" t="n">
        <f aca="false">IF(B18="M",500/(-83.97+216.708*LOG10(G18/C18)),500/(-59.81+191.645*LOG10(G18/C18)))</f>
        <v>8.59735723240533</v>
      </c>
    </row>
    <row r="19" customFormat="false" ht="15" hidden="false" customHeight="true" outlineLevel="0" collapsed="false">
      <c r="A19" s="4" t="s">
        <v>163</v>
      </c>
      <c r="B19" s="4" t="s">
        <v>63</v>
      </c>
      <c r="C19" s="5" t="n">
        <v>71.1</v>
      </c>
      <c r="D19" s="5" t="n">
        <v>107.5</v>
      </c>
      <c r="E19" s="5" t="n">
        <v>65</v>
      </c>
      <c r="F19" s="5" t="n">
        <v>115</v>
      </c>
      <c r="G19" s="4" t="n">
        <f aca="false">D19+E19+F19</f>
        <v>287.5</v>
      </c>
      <c r="H19" s="4" t="n">
        <f aca="false">IF(B19="M",500/(-83.97+216.708*LOG10(G19/C19)),500/(-59.81+191.645*LOG10(G19/C19)))</f>
        <v>8.85361593431862</v>
      </c>
    </row>
    <row r="20" customFormat="false" ht="15" hidden="false" customHeight="true" outlineLevel="0" collapsed="false">
      <c r="A20" s="4" t="s">
        <v>169</v>
      </c>
      <c r="B20" s="4" t="s">
        <v>26</v>
      </c>
      <c r="C20" s="5" t="n">
        <v>80.2</v>
      </c>
      <c r="D20" s="5" t="n">
        <v>162.5</v>
      </c>
      <c r="E20" s="5" t="n">
        <v>102.5</v>
      </c>
      <c r="F20" s="5" t="n">
        <v>205</v>
      </c>
      <c r="G20" s="4" t="n">
        <f aca="false">D20+E20+F20</f>
        <v>470</v>
      </c>
      <c r="H20" s="4" t="n">
        <f aca="false">IF(B20="M",500/(-83.97+216.708*LOG10(G20/C20)),500/(-59.81+191.645*LOG10(G20/C20)))</f>
        <v>6.06463712600169</v>
      </c>
    </row>
    <row r="21" customFormat="false" ht="15" hidden="false" customHeight="true" outlineLevel="0" collapsed="false">
      <c r="A21" s="4" t="s">
        <v>174</v>
      </c>
      <c r="B21" s="4" t="s">
        <v>26</v>
      </c>
      <c r="C21" s="5" t="n">
        <v>108.98</v>
      </c>
      <c r="D21" s="5" t="n">
        <v>226.8</v>
      </c>
      <c r="E21" s="5" t="n">
        <v>165.56</v>
      </c>
      <c r="F21" s="5" t="n">
        <v>242.67</v>
      </c>
      <c r="G21" s="4" t="n">
        <f aca="false">D21+E21+F21</f>
        <v>635.03</v>
      </c>
      <c r="H21" s="4" t="n">
        <f aca="false">IF(B21="M",500/(-83.97+216.708*LOG10(G21/C21)),500/(-59.81+191.645*LOG10(G21/C21)))</f>
        <v>6.10436632939865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2026-01-27T04:17:21Z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