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" sheetId="2" state="visible" r:id="rId2"/>
    <sheet name="USE" sheetId="3" state="visible" r:id="rId3"/>
    <sheet name="SUT Calc" sheetId="4" state="visible" r:id="rId4"/>
    <sheet name="NA" sheetId="5" state="visible" r:id="rId5"/>
    <sheet name="Scenario 1 - Base" sheetId="6" state="visible" r:id="rId6"/>
    <sheet name="Scenario 2 - Multiplier 1" sheetId="7" state="visible" r:id="rId7"/>
    <sheet name="Scenario 3 - Import 50%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WEO Code</t>
        </is>
      </c>
      <c r="B1" s="1" t="inlineStr">
        <is>
          <t>Country</t>
        </is>
      </c>
      <c r="C1" s="1" t="inlineStr">
        <is>
          <t>GDP Current Prices (USD Billions)</t>
        </is>
      </c>
      <c r="D1" s="1" t="inlineStr">
        <is>
          <t>Real GDP Growth Rate (%)</t>
        </is>
      </c>
      <c r="E1" s="1" t="inlineStr">
        <is>
          <t>GDP Deflator Growth Rate (%)</t>
        </is>
      </c>
      <c r="F1" s="1" t="inlineStr">
        <is>
          <t>GDP Deflator (2020=100)</t>
        </is>
      </c>
      <c r="G1" s="1" t="inlineStr">
        <is>
          <t>GDP Current Prices (GEL Billion)</t>
        </is>
      </c>
      <c r="H1" s="1" t="inlineStr">
        <is>
          <t>Real GDP (GEL Billion, 2020 prices)</t>
        </is>
      </c>
      <c r="I1" s="1" t="inlineStr">
        <is>
          <t>Year</t>
        </is>
      </c>
    </row>
    <row r="2">
      <c r="A2" t="inlineStr">
        <is>
          <t>GEO</t>
        </is>
      </c>
      <c r="B2" t="inlineStr">
        <is>
          <t>Georgia</t>
        </is>
      </c>
      <c r="C2">
        <f>G2/2.746</f>
        <v/>
      </c>
      <c r="D2" t="n">
        <v>4.99</v>
      </c>
      <c r="E2" t="n">
        <v>4.8</v>
      </c>
      <c r="F2" t="n">
        <v>100</v>
      </c>
      <c r="G2">
        <f>F2*H2/100</f>
        <v/>
      </c>
      <c r="H2" t="n">
        <v>49.62</v>
      </c>
      <c r="I2" t="n">
        <v>2020</v>
      </c>
    </row>
    <row r="3">
      <c r="A3" t="inlineStr">
        <is>
          <t>GEO</t>
        </is>
      </c>
      <c r="B3" t="inlineStr">
        <is>
          <t>Georgia</t>
        </is>
      </c>
      <c r="C3">
        <f>G3/2.746</f>
        <v/>
      </c>
      <c r="D3" t="n">
        <v>10.6</v>
      </c>
      <c r="E3" t="n">
        <v>5.5</v>
      </c>
      <c r="F3" t="n">
        <v>105.5</v>
      </c>
      <c r="G3">
        <f>F3*H3/100</f>
        <v/>
      </c>
      <c r="H3" t="inlineStr">
        <is>
          <t>H2*(1+D3/100)</t>
        </is>
      </c>
      <c r="I3" t="n">
        <v>2021</v>
      </c>
    </row>
    <row r="4">
      <c r="A4" t="inlineStr">
        <is>
          <t>GEO</t>
        </is>
      </c>
      <c r="B4" t="inlineStr">
        <is>
          <t>Georgia</t>
        </is>
      </c>
      <c r="C4">
        <f>G4/2.746</f>
        <v/>
      </c>
      <c r="D4" t="n">
        <v>6.8</v>
      </c>
      <c r="E4" t="n">
        <v>5.3</v>
      </c>
      <c r="F4" t="n">
        <v>111.1</v>
      </c>
      <c r="G4">
        <f>F4*H4/100</f>
        <v/>
      </c>
      <c r="H4" t="inlineStr">
        <is>
          <t>H3*(1+D4/100)</t>
        </is>
      </c>
      <c r="I4" t="n">
        <v>2022</v>
      </c>
    </row>
    <row r="5">
      <c r="A5" t="inlineStr">
        <is>
          <t>GEO</t>
        </is>
      </c>
      <c r="B5" t="inlineStr">
        <is>
          <t>Georgia</t>
        </is>
      </c>
      <c r="C5">
        <f>G5/2.746</f>
        <v/>
      </c>
      <c r="D5" t="n">
        <v>7.5</v>
      </c>
      <c r="E5" t="n">
        <v>4.7</v>
      </c>
      <c r="F5" t="n">
        <v>116.3</v>
      </c>
      <c r="G5">
        <f>F5*H5/100</f>
        <v/>
      </c>
      <c r="H5" t="inlineStr">
        <is>
          <t>H4*(1+D5/100)</t>
        </is>
      </c>
      <c r="I5" t="n">
        <v>2023</v>
      </c>
    </row>
    <row r="6">
      <c r="A6" t="inlineStr">
        <is>
          <t>GEO</t>
        </is>
      </c>
      <c r="B6" t="inlineStr">
        <is>
          <t>Georgia</t>
        </is>
      </c>
      <c r="C6">
        <f>G6/2.746</f>
        <v/>
      </c>
      <c r="D6" t="n">
        <v>9.699999999999999</v>
      </c>
      <c r="E6" t="n">
        <v>4.5</v>
      </c>
      <c r="F6" t="n">
        <v>121.5</v>
      </c>
      <c r="G6">
        <f>F6*H6/100</f>
        <v/>
      </c>
      <c r="H6" t="inlineStr">
        <is>
          <t>H5*(1+D6/100)</t>
        </is>
      </c>
      <c r="I6" t="n">
        <v>2024</v>
      </c>
    </row>
    <row r="7">
      <c r="A7" t="inlineStr">
        <is>
          <t>GEO</t>
        </is>
      </c>
      <c r="B7" t="inlineStr">
        <is>
          <t>Georgia</t>
        </is>
      </c>
      <c r="C7">
        <f>G7/2.746</f>
        <v/>
      </c>
      <c r="D7" t="n">
        <v>5.5</v>
      </c>
      <c r="E7" t="n">
        <v>4.3</v>
      </c>
      <c r="F7" t="n">
        <v>126.7</v>
      </c>
      <c r="G7">
        <f>F7*H7/100</f>
        <v/>
      </c>
      <c r="H7" t="inlineStr">
        <is>
          <t>H6*(1+D7/100)</t>
        </is>
      </c>
      <c r="I7" t="n">
        <v>2025</v>
      </c>
    </row>
    <row r="8">
      <c r="A8" t="inlineStr">
        <is>
          <t>GEO</t>
        </is>
      </c>
      <c r="B8" t="inlineStr">
        <is>
          <t>Georgia</t>
        </is>
      </c>
      <c r="C8">
        <f>G8/2.746</f>
        <v/>
      </c>
      <c r="D8" t="n">
        <v>5</v>
      </c>
      <c r="E8" t="n">
        <v>4.3</v>
      </c>
      <c r="F8" t="n">
        <v>132.2</v>
      </c>
      <c r="G8">
        <f>F8*H8/100</f>
        <v/>
      </c>
      <c r="H8" t="inlineStr">
        <is>
          <t>H7*(1+D8/100)</t>
        </is>
      </c>
      <c r="I8" t="n">
        <v>2026</v>
      </c>
    </row>
    <row r="9">
      <c r="A9" t="inlineStr">
        <is>
          <t>GEO</t>
        </is>
      </c>
      <c r="B9" t="inlineStr">
        <is>
          <t>Georgia</t>
        </is>
      </c>
      <c r="C9">
        <f>G9/2.746</f>
        <v/>
      </c>
      <c r="D9" t="n">
        <v>5</v>
      </c>
      <c r="E9" t="n">
        <v>4.3</v>
      </c>
      <c r="F9" t="n">
        <v>137.9</v>
      </c>
      <c r="G9">
        <f>F9*H9/100</f>
        <v/>
      </c>
      <c r="H9" t="inlineStr">
        <is>
          <t>H8*(1+D9/100)</t>
        </is>
      </c>
      <c r="I9" t="n">
        <v>2027</v>
      </c>
    </row>
    <row r="10">
      <c r="A10" t="inlineStr">
        <is>
          <t>GEO</t>
        </is>
      </c>
      <c r="B10" t="inlineStr">
        <is>
          <t>Georgia</t>
        </is>
      </c>
      <c r="C10">
        <f>G10/2.746</f>
        <v/>
      </c>
      <c r="D10" t="n">
        <v>5</v>
      </c>
      <c r="E10" t="n">
        <v>4.3</v>
      </c>
      <c r="F10" t="n">
        <v>137.8846</v>
      </c>
      <c r="G10">
        <f>F10*H10/100</f>
        <v/>
      </c>
      <c r="H10" t="inlineStr">
        <is>
          <t>H9*(1+D10/100)</t>
        </is>
      </c>
      <c r="I10" t="n">
        <v>2028</v>
      </c>
    </row>
    <row r="11">
      <c r="A11" t="inlineStr">
        <is>
          <t>GEO</t>
        </is>
      </c>
      <c r="B11" t="inlineStr">
        <is>
          <t>Georgia</t>
        </is>
      </c>
      <c r="C11">
        <f>G11/2.746</f>
        <v/>
      </c>
      <c r="D11" t="n">
        <v>5</v>
      </c>
      <c r="E11" t="n">
        <v>4.3</v>
      </c>
      <c r="F11" t="n">
        <v>143.8136378</v>
      </c>
      <c r="G11">
        <f>F11*H11/100</f>
        <v/>
      </c>
      <c r="H11" t="inlineStr">
        <is>
          <t>H10*(1+D11/100)</t>
        </is>
      </c>
      <c r="I11" t="n">
        <v>2029</v>
      </c>
    </row>
    <row r="12">
      <c r="A12" t="inlineStr">
        <is>
          <t>GEO</t>
        </is>
      </c>
      <c r="B12" t="inlineStr">
        <is>
          <t>Georgia</t>
        </is>
      </c>
      <c r="C12">
        <f>G12/2.746</f>
        <v/>
      </c>
      <c r="D12" t="n">
        <v>5</v>
      </c>
      <c r="E12" t="n">
        <v>4.3</v>
      </c>
      <c r="F12" t="n">
        <v>149.9976242253999</v>
      </c>
      <c r="G12">
        <f>F12*H12/100</f>
        <v/>
      </c>
      <c r="H12" t="inlineStr">
        <is>
          <t>H11*(1+D12/100)</t>
        </is>
      </c>
      <c r="I12" t="n">
        <v>2030</v>
      </c>
    </row>
    <row r="13">
      <c r="A13" t="inlineStr">
        <is>
          <t>GEO</t>
        </is>
      </c>
      <c r="B13" t="inlineStr">
        <is>
          <t>Georgia</t>
        </is>
      </c>
      <c r="C13">
        <f>G13/2.746</f>
        <v/>
      </c>
      <c r="D13" t="n">
        <v>5</v>
      </c>
      <c r="E13" t="n">
        <v>4.3</v>
      </c>
      <c r="F13" t="n">
        <v>156.4475220670921</v>
      </c>
      <c r="G13">
        <f>F13*H13/100</f>
        <v/>
      </c>
      <c r="H13" t="inlineStr">
        <is>
          <t>H12*(1+D13/100)</t>
        </is>
      </c>
      <c r="I13" t="n">
        <v>2031</v>
      </c>
    </row>
    <row r="14">
      <c r="A14" t="inlineStr">
        <is>
          <t>GEO</t>
        </is>
      </c>
      <c r="B14" t="inlineStr">
        <is>
          <t>Georgia</t>
        </is>
      </c>
      <c r="C14">
        <f>G14/2.746</f>
        <v/>
      </c>
      <c r="D14" t="n">
        <v>5</v>
      </c>
      <c r="E14" t="n">
        <v>4.3</v>
      </c>
      <c r="F14" t="n">
        <v>163.1747655159771</v>
      </c>
      <c r="G14">
        <f>F14*H14/100</f>
        <v/>
      </c>
      <c r="H14" t="inlineStr">
        <is>
          <t>H13*(1+D14/100)</t>
        </is>
      </c>
      <c r="I14" t="n">
        <v>2032</v>
      </c>
    </row>
    <row r="15">
      <c r="A15" t="inlineStr">
        <is>
          <t>GEO</t>
        </is>
      </c>
      <c r="B15" t="inlineStr">
        <is>
          <t>Georgia</t>
        </is>
      </c>
      <c r="C15">
        <f>G15/2.746</f>
        <v/>
      </c>
      <c r="D15" t="n">
        <v>5</v>
      </c>
      <c r="E15" t="n">
        <v>4.3</v>
      </c>
      <c r="F15" t="n">
        <v>170.1912804331641</v>
      </c>
      <c r="G15">
        <f>F15*H15/100</f>
        <v/>
      </c>
      <c r="H15" t="inlineStr">
        <is>
          <t>H14*(1+D15/100)</t>
        </is>
      </c>
      <c r="I15" t="n">
        <v>2033</v>
      </c>
    </row>
    <row r="16">
      <c r="A16" t="inlineStr">
        <is>
          <t>GEO</t>
        </is>
      </c>
      <c r="B16" t="inlineStr">
        <is>
          <t>Georgia</t>
        </is>
      </c>
      <c r="C16">
        <f>G16/2.746</f>
        <v/>
      </c>
      <c r="D16" t="n">
        <v>5</v>
      </c>
      <c r="E16" t="n">
        <v>4.3</v>
      </c>
      <c r="F16" t="n">
        <v>177.5095054917902</v>
      </c>
      <c r="G16">
        <f>F16*H16/100</f>
        <v/>
      </c>
      <c r="H16" t="inlineStr">
        <is>
          <t>H15*(1+D16/100)</t>
        </is>
      </c>
      <c r="I16" t="n">
        <v>2034</v>
      </c>
    </row>
    <row r="17">
      <c r="A17" t="inlineStr">
        <is>
          <t>GEO</t>
        </is>
      </c>
      <c r="B17" t="inlineStr">
        <is>
          <t>Georgia</t>
        </is>
      </c>
      <c r="C17">
        <f>G17/2.746</f>
        <v/>
      </c>
      <c r="D17" t="n">
        <v>5</v>
      </c>
      <c r="E17" t="n">
        <v>4.3</v>
      </c>
      <c r="F17" t="n">
        <v>185.1424142279371</v>
      </c>
      <c r="G17">
        <f>F17*H17/100</f>
        <v/>
      </c>
      <c r="H17" t="inlineStr">
        <is>
          <t>H16*(1+D17/100)</t>
        </is>
      </c>
      <c r="I17" t="n">
        <v>2035</v>
      </c>
    </row>
    <row r="18">
      <c r="A18" t="inlineStr">
        <is>
          <t>GEO</t>
        </is>
      </c>
      <c r="B18" t="inlineStr">
        <is>
          <t>Georgia</t>
        </is>
      </c>
      <c r="C18">
        <f>G18/2.746</f>
        <v/>
      </c>
      <c r="D18" t="n">
        <v>5</v>
      </c>
      <c r="E18" t="n">
        <v>4.3</v>
      </c>
      <c r="F18" t="n">
        <v>193.1035380397384</v>
      </c>
      <c r="G18">
        <f>F18*H18/100</f>
        <v/>
      </c>
      <c r="H18" t="inlineStr">
        <is>
          <t>H17*(1+D18/100)</t>
        </is>
      </c>
      <c r="I18" t="n">
        <v>2036</v>
      </c>
    </row>
    <row r="19">
      <c r="A19" t="inlineStr">
        <is>
          <t>GEO</t>
        </is>
      </c>
      <c r="B19" t="inlineStr">
        <is>
          <t>Georgia</t>
        </is>
      </c>
      <c r="C19">
        <f>G19/2.746</f>
        <v/>
      </c>
      <c r="D19" t="n">
        <v>5</v>
      </c>
      <c r="E19" t="n">
        <v>4.3</v>
      </c>
      <c r="F19" t="n">
        <v>201.4069901754471</v>
      </c>
      <c r="G19">
        <f>F19*H19/100</f>
        <v/>
      </c>
      <c r="H19" t="inlineStr">
        <is>
          <t>H18*(1+D19/100)</t>
        </is>
      </c>
      <c r="I19" t="n">
        <v>2037</v>
      </c>
    </row>
    <row r="20">
      <c r="A20" t="inlineStr">
        <is>
          <t>GEO</t>
        </is>
      </c>
      <c r="B20" t="inlineStr">
        <is>
          <t>Georgia</t>
        </is>
      </c>
      <c r="C20">
        <f>G20/2.746</f>
        <v/>
      </c>
      <c r="D20" t="n">
        <v>5</v>
      </c>
      <c r="E20" t="n">
        <v>4.3</v>
      </c>
      <c r="F20" t="n">
        <v>210.0674907529913</v>
      </c>
      <c r="G20">
        <f>F20*H20/100</f>
        <v/>
      </c>
      <c r="H20" t="inlineStr">
        <is>
          <t>H19*(1+D20/100)</t>
        </is>
      </c>
      <c r="I20" t="n">
        <v>2038</v>
      </c>
    </row>
    <row r="21">
      <c r="A21" t="inlineStr">
        <is>
          <t>GEO</t>
        </is>
      </c>
      <c r="B21" t="inlineStr">
        <is>
          <t>Georgia</t>
        </is>
      </c>
      <c r="C21">
        <f>G21/2.746</f>
        <v/>
      </c>
      <c r="D21" t="n">
        <v>5</v>
      </c>
      <c r="E21" t="n">
        <v>4.3</v>
      </c>
      <c r="F21" t="n">
        <v>219.1003928553699</v>
      </c>
      <c r="G21">
        <f>F21*H21/100</f>
        <v/>
      </c>
      <c r="H21" t="inlineStr">
        <is>
          <t>H20*(1+D21/100)</t>
        </is>
      </c>
      <c r="I21" t="n">
        <v>2039</v>
      </c>
    </row>
    <row r="22">
      <c r="A22" t="inlineStr">
        <is>
          <t>GEO</t>
        </is>
      </c>
      <c r="B22" t="inlineStr">
        <is>
          <t>Georgia</t>
        </is>
      </c>
      <c r="C22">
        <f>G22/2.746</f>
        <v/>
      </c>
      <c r="D22" t="n">
        <v>5</v>
      </c>
      <c r="E22" t="n">
        <v>4.3</v>
      </c>
      <c r="F22" t="n">
        <v>228.5217097481508</v>
      </c>
      <c r="G22">
        <f>F22*H22/100</f>
        <v/>
      </c>
      <c r="H22" t="inlineStr">
        <is>
          <t>H21*(1+D22/100)</t>
        </is>
      </c>
      <c r="I22" t="n">
        <v>2040</v>
      </c>
    </row>
    <row r="23">
      <c r="A23" t="inlineStr">
        <is>
          <t>GEO</t>
        </is>
      </c>
      <c r="B23" t="inlineStr">
        <is>
          <t>Georgia</t>
        </is>
      </c>
      <c r="C23">
        <f>G23/2.746</f>
        <v/>
      </c>
      <c r="D23" t="n">
        <v>5</v>
      </c>
      <c r="E23" t="n">
        <v>4.3</v>
      </c>
      <c r="F23" t="n">
        <v>238.3481432673213</v>
      </c>
      <c r="G23">
        <f>F23*H23/100</f>
        <v/>
      </c>
      <c r="H23" t="inlineStr">
        <is>
          <t>H22*(1+D23/100)</t>
        </is>
      </c>
      <c r="I23" t="n">
        <v>2041</v>
      </c>
    </row>
    <row r="24">
      <c r="A24" t="inlineStr">
        <is>
          <t>GEO</t>
        </is>
      </c>
      <c r="B24" t="inlineStr">
        <is>
          <t>Georgia</t>
        </is>
      </c>
      <c r="C24">
        <f>G24/2.746</f>
        <v/>
      </c>
      <c r="D24" t="n">
        <v>5</v>
      </c>
      <c r="E24" t="n">
        <v>4.3</v>
      </c>
      <c r="F24" t="n">
        <v>248.5971134278161</v>
      </c>
      <c r="G24">
        <f>F24*H24/100</f>
        <v/>
      </c>
      <c r="H24" t="inlineStr">
        <is>
          <t>H23*(1+D24/100)</t>
        </is>
      </c>
      <c r="I24" t="n">
        <v>2042</v>
      </c>
    </row>
    <row r="25">
      <c r="A25" t="inlineStr">
        <is>
          <t>GEO</t>
        </is>
      </c>
      <c r="B25" t="inlineStr">
        <is>
          <t>Georgia</t>
        </is>
      </c>
      <c r="D25" t="n">
        <v>5</v>
      </c>
      <c r="E25" t="n">
        <v>4.3</v>
      </c>
      <c r="F25" t="n">
        <v>259.2867893052122</v>
      </c>
      <c r="I25" t="n">
        <v>2043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" t="inlineStr">
        <is>
          <t>SUPPLY TABLE (Million GEL) - Source: Geostat 2024</t>
        </is>
      </c>
    </row>
    <row r="3">
      <c r="A3" s="1" t="inlineStr">
        <is>
          <t>Industry</t>
        </is>
      </c>
      <c r="B3" s="1" t="inlineStr">
        <is>
          <t>Output at Basic Prices</t>
        </is>
      </c>
      <c r="C3" s="1" t="inlineStr">
        <is>
          <t>Imports CIF</t>
        </is>
      </c>
      <c r="D3" s="1" t="inlineStr">
        <is>
          <t>Taxes less Subsidies</t>
        </is>
      </c>
      <c r="E3" s="1" t="inlineStr">
        <is>
          <t>Total Supply</t>
        </is>
      </c>
    </row>
    <row r="4">
      <c r="A4" t="inlineStr">
        <is>
          <t>Agriculture</t>
        </is>
      </c>
      <c r="B4" t="n">
        <v>18320</v>
      </c>
      <c r="C4" t="n">
        <v>650</v>
      </c>
      <c r="D4" t="n">
        <v>180</v>
      </c>
      <c r="E4" t="n">
        <v>19150</v>
      </c>
    </row>
    <row r="5">
      <c r="A5" t="inlineStr">
        <is>
          <t>Mining</t>
        </is>
      </c>
      <c r="B5" t="n">
        <v>3200</v>
      </c>
      <c r="C5" t="n">
        <v>450</v>
      </c>
      <c r="D5" t="n">
        <v>120</v>
      </c>
      <c r="E5" t="n">
        <v>3770</v>
      </c>
    </row>
    <row r="6">
      <c r="A6" t="inlineStr">
        <is>
          <t>Manufacturing</t>
        </is>
      </c>
      <c r="B6" t="n">
        <v>28500</v>
      </c>
      <c r="C6" t="n">
        <v>12500</v>
      </c>
      <c r="D6" t="n">
        <v>2100</v>
      </c>
      <c r="E6" t="n">
        <v>43100</v>
      </c>
    </row>
    <row r="7">
      <c r="A7" t="inlineStr">
        <is>
          <t>Energy</t>
        </is>
      </c>
      <c r="B7" t="n">
        <v>6200</v>
      </c>
      <c r="C7" t="n">
        <v>150</v>
      </c>
      <c r="D7" t="n">
        <v>450</v>
      </c>
      <c r="E7" t="n">
        <v>6800</v>
      </c>
    </row>
    <row r="8">
      <c r="A8" t="inlineStr">
        <is>
          <t>Construction</t>
        </is>
      </c>
      <c r="B8" t="n">
        <v>12800</v>
      </c>
      <c r="C8" t="n">
        <v>800</v>
      </c>
      <c r="D8" t="n">
        <v>950</v>
      </c>
      <c r="E8" t="n">
        <v>14550</v>
      </c>
    </row>
    <row r="9">
      <c r="A9" t="inlineStr">
        <is>
          <t>Trade</t>
        </is>
      </c>
      <c r="B9" t="n">
        <v>15200</v>
      </c>
      <c r="C9" t="n">
        <v>0</v>
      </c>
      <c r="D9" t="n">
        <v>1800</v>
      </c>
      <c r="E9" t="n">
        <v>17000</v>
      </c>
    </row>
    <row r="10">
      <c r="A10" t="inlineStr">
        <is>
          <t>Transport</t>
        </is>
      </c>
      <c r="B10" t="n">
        <v>8900</v>
      </c>
      <c r="C10" t="n">
        <v>1200</v>
      </c>
      <c r="D10" t="n">
        <v>650</v>
      </c>
      <c r="E10" t="n">
        <v>10750</v>
      </c>
    </row>
    <row r="11">
      <c r="A11" t="inlineStr">
        <is>
          <t>Accommodation</t>
        </is>
      </c>
      <c r="B11" t="n">
        <v>4500</v>
      </c>
      <c r="C11" t="n">
        <v>350</v>
      </c>
      <c r="D11" t="n">
        <v>280</v>
      </c>
      <c r="E11" t="n">
        <v>5130</v>
      </c>
    </row>
    <row r="12">
      <c r="A12" t="inlineStr">
        <is>
          <t>Information</t>
        </is>
      </c>
      <c r="B12" t="n">
        <v>5800</v>
      </c>
      <c r="C12" t="n">
        <v>450</v>
      </c>
      <c r="D12" t="n">
        <v>180</v>
      </c>
      <c r="E12" t="n">
        <v>6430</v>
      </c>
    </row>
    <row r="13">
      <c r="A13" t="inlineStr">
        <is>
          <t>Financial</t>
        </is>
      </c>
      <c r="B13" t="n">
        <v>7200</v>
      </c>
      <c r="C13" t="n">
        <v>180</v>
      </c>
      <c r="D13" t="n">
        <v>420</v>
      </c>
      <c r="E13" t="n">
        <v>7800</v>
      </c>
    </row>
    <row r="14">
      <c r="A14" t="inlineStr">
        <is>
          <t>Real Estate</t>
        </is>
      </c>
      <c r="B14" t="n">
        <v>9400</v>
      </c>
      <c r="C14" t="n">
        <v>0</v>
      </c>
      <c r="D14" t="n">
        <v>120</v>
      </c>
      <c r="E14" t="n">
        <v>9520</v>
      </c>
    </row>
    <row r="15">
      <c r="A15" t="inlineStr">
        <is>
          <t>Professional</t>
        </is>
      </c>
      <c r="B15" t="n">
        <v>4200</v>
      </c>
      <c r="C15" t="n">
        <v>280</v>
      </c>
      <c r="D15" t="n">
        <v>150</v>
      </c>
      <c r="E15" t="n">
        <v>4630</v>
      </c>
    </row>
    <row r="16">
      <c r="A16" t="inlineStr">
        <is>
          <t>Admin Services</t>
        </is>
      </c>
      <c r="B16" t="n">
        <v>2800</v>
      </c>
      <c r="C16" t="n">
        <v>120</v>
      </c>
      <c r="D16" t="n">
        <v>80</v>
      </c>
      <c r="E16" t="n">
        <v>3000</v>
      </c>
    </row>
    <row r="17">
      <c r="A17" t="inlineStr">
        <is>
          <t>Public Admin</t>
        </is>
      </c>
      <c r="B17" t="n">
        <v>6500</v>
      </c>
      <c r="C17" t="n">
        <v>0</v>
      </c>
      <c r="D17" t="n">
        <v>180</v>
      </c>
      <c r="E17" t="n">
        <v>6680</v>
      </c>
    </row>
    <row r="18">
      <c r="A18" t="inlineStr">
        <is>
          <t>Education</t>
        </is>
      </c>
      <c r="B18" t="n">
        <v>4200</v>
      </c>
      <c r="C18" t="n">
        <v>0</v>
      </c>
      <c r="D18" t="n">
        <v>80</v>
      </c>
      <c r="E18" t="n">
        <v>4280</v>
      </c>
    </row>
    <row r="19">
      <c r="A19" t="inlineStr">
        <is>
          <t>Health</t>
        </is>
      </c>
      <c r="B19" t="n">
        <v>3800</v>
      </c>
      <c r="C19" t="n">
        <v>450</v>
      </c>
      <c r="D19" t="n">
        <v>120</v>
      </c>
      <c r="E19" t="n">
        <v>4370</v>
      </c>
    </row>
    <row r="20">
      <c r="A20" t="inlineStr">
        <is>
          <t>Other Services</t>
        </is>
      </c>
      <c r="B20" t="n">
        <v>3100</v>
      </c>
      <c r="C20" t="n">
        <v>180</v>
      </c>
      <c r="D20" t="n">
        <v>90</v>
      </c>
      <c r="E20" t="n">
        <v>3370</v>
      </c>
    </row>
    <row r="21">
      <c r="A21" t="inlineStr">
        <is>
          <t>TOTAL</t>
        </is>
      </c>
      <c r="B21" t="n">
        <v>141320</v>
      </c>
      <c r="C21" t="n">
        <v>16780</v>
      </c>
      <c r="D21" t="n">
        <v>7730</v>
      </c>
      <c r="E21" t="n">
        <v>165830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USE TABLE (Million GEL) - Source: Geostat 2024</t>
        </is>
      </c>
    </row>
    <row r="3">
      <c r="A3" s="1" t="inlineStr">
        <is>
          <t>Industry</t>
        </is>
      </c>
      <c r="B3" s="1" t="inlineStr">
        <is>
          <t>Intermediate Consumption</t>
        </is>
      </c>
      <c r="C3" s="1" t="inlineStr">
        <is>
          <t>Exports</t>
        </is>
      </c>
      <c r="D3" s="1" t="inlineStr">
        <is>
          <t>Final Consumption</t>
        </is>
      </c>
      <c r="E3" s="1" t="inlineStr">
        <is>
          <t>Gross Capital Formation</t>
        </is>
      </c>
      <c r="F3" s="1" t="inlineStr">
        <is>
          <t>Total Uses</t>
        </is>
      </c>
    </row>
    <row r="4">
      <c r="A4" t="inlineStr">
        <is>
          <t>Agriculture</t>
        </is>
      </c>
      <c r="B4" t="n">
        <v>8500</v>
      </c>
      <c r="C4" t="n">
        <v>1200</v>
      </c>
      <c r="D4" t="n">
        <v>0</v>
      </c>
      <c r="E4" t="n">
        <v>9450</v>
      </c>
      <c r="F4" t="n">
        <v>19150</v>
      </c>
    </row>
    <row r="5">
      <c r="A5" t="inlineStr">
        <is>
          <t>Mining</t>
        </is>
      </c>
      <c r="B5" t="n">
        <v>1800</v>
      </c>
      <c r="C5" t="n">
        <v>450</v>
      </c>
      <c r="D5" t="n">
        <v>0</v>
      </c>
      <c r="E5" t="n">
        <v>1520</v>
      </c>
      <c r="F5" t="n">
        <v>3770</v>
      </c>
    </row>
    <row r="6">
      <c r="A6" t="inlineStr">
        <is>
          <t>Manufacturing</t>
        </is>
      </c>
      <c r="B6" t="n">
        <v>22100</v>
      </c>
      <c r="C6" t="n">
        <v>9500</v>
      </c>
      <c r="D6" t="n">
        <v>0</v>
      </c>
      <c r="E6" t="n">
        <v>11500</v>
      </c>
      <c r="F6" t="n">
        <v>43100</v>
      </c>
    </row>
    <row r="7">
      <c r="A7" t="inlineStr">
        <is>
          <t>Energy</t>
        </is>
      </c>
      <c r="B7" t="n">
        <v>3500</v>
      </c>
      <c r="C7" t="n">
        <v>800</v>
      </c>
      <c r="D7" t="n">
        <v>0</v>
      </c>
      <c r="E7" t="n">
        <v>2500</v>
      </c>
      <c r="F7" t="n">
        <v>6800</v>
      </c>
    </row>
    <row r="8">
      <c r="A8" t="inlineStr">
        <is>
          <t>Construction</t>
        </is>
      </c>
      <c r="B8" t="n">
        <v>9800</v>
      </c>
      <c r="C8" t="n">
        <v>1200</v>
      </c>
      <c r="D8" t="n">
        <v>0</v>
      </c>
      <c r="E8" t="n">
        <v>3550</v>
      </c>
      <c r="F8" t="n">
        <v>14550</v>
      </c>
    </row>
    <row r="9">
      <c r="A9" t="inlineStr">
        <is>
          <t>Trade</t>
        </is>
      </c>
      <c r="B9" t="n">
        <v>6200</v>
      </c>
      <c r="C9" t="n">
        <v>2800</v>
      </c>
      <c r="D9" t="n">
        <v>0</v>
      </c>
      <c r="E9" t="n">
        <v>8000</v>
      </c>
      <c r="F9" t="n">
        <v>17000</v>
      </c>
    </row>
    <row r="10">
      <c r="A10" t="inlineStr">
        <is>
          <t>Transport</t>
        </is>
      </c>
      <c r="B10" t="n">
        <v>4800</v>
      </c>
      <c r="C10" t="n">
        <v>2200</v>
      </c>
      <c r="D10" t="n">
        <v>0</v>
      </c>
      <c r="E10" t="n">
        <v>3750</v>
      </c>
      <c r="F10" t="n">
        <v>10750</v>
      </c>
    </row>
    <row r="11">
      <c r="A11" t="inlineStr">
        <is>
          <t>Accommodation</t>
        </is>
      </c>
      <c r="B11" t="n">
        <v>2100</v>
      </c>
      <c r="C11" t="n">
        <v>1500</v>
      </c>
      <c r="D11" t="n">
        <v>0</v>
      </c>
      <c r="E11" t="n">
        <v>1530</v>
      </c>
      <c r="F11" t="n">
        <v>5130</v>
      </c>
    </row>
    <row r="12">
      <c r="A12" t="inlineStr">
        <is>
          <t>Information</t>
        </is>
      </c>
      <c r="B12" t="n">
        <v>2200</v>
      </c>
      <c r="C12" t="n">
        <v>1800</v>
      </c>
      <c r="D12" t="n">
        <v>0</v>
      </c>
      <c r="E12" t="n">
        <v>2430</v>
      </c>
      <c r="F12" t="n">
        <v>6430</v>
      </c>
    </row>
    <row r="13">
      <c r="A13" t="inlineStr">
        <is>
          <t>Financial</t>
        </is>
      </c>
      <c r="B13" t="n">
        <v>2800</v>
      </c>
      <c r="C13" t="n">
        <v>1500</v>
      </c>
      <c r="D13" t="n">
        <v>0</v>
      </c>
      <c r="E13" t="n">
        <v>3500</v>
      </c>
      <c r="F13" t="n">
        <v>7800</v>
      </c>
    </row>
    <row r="14">
      <c r="A14" t="inlineStr">
        <is>
          <t>Real Estate</t>
        </is>
      </c>
      <c r="B14" t="n">
        <v>1200</v>
      </c>
      <c r="C14" t="n">
        <v>0</v>
      </c>
      <c r="D14" t="n">
        <v>0</v>
      </c>
      <c r="E14" t="n">
        <v>8320</v>
      </c>
      <c r="F14" t="n">
        <v>9520</v>
      </c>
    </row>
    <row r="15">
      <c r="A15" t="inlineStr">
        <is>
          <t>Professional</t>
        </is>
      </c>
      <c r="B15" t="n">
        <v>1500</v>
      </c>
      <c r="C15" t="n">
        <v>800</v>
      </c>
      <c r="D15" t="n">
        <v>0</v>
      </c>
      <c r="E15" t="n">
        <v>2330</v>
      </c>
      <c r="F15" t="n">
        <v>4630</v>
      </c>
    </row>
    <row r="16">
      <c r="A16" t="inlineStr">
        <is>
          <t>Admin Services</t>
        </is>
      </c>
      <c r="B16" t="n">
        <v>900</v>
      </c>
      <c r="C16" t="n">
        <v>450</v>
      </c>
      <c r="D16" t="n">
        <v>0</v>
      </c>
      <c r="E16" t="n">
        <v>1650</v>
      </c>
      <c r="F16" t="n">
        <v>3000</v>
      </c>
    </row>
    <row r="17">
      <c r="A17" t="inlineStr">
        <is>
          <t>Public Admin</t>
        </is>
      </c>
      <c r="B17" t="n">
        <v>2800</v>
      </c>
      <c r="C17" t="n">
        <v>0</v>
      </c>
      <c r="D17" t="n">
        <v>0</v>
      </c>
      <c r="E17" t="n">
        <v>3880</v>
      </c>
      <c r="F17" t="n">
        <v>6680</v>
      </c>
    </row>
    <row r="18">
      <c r="A18" t="inlineStr">
        <is>
          <t>Education</t>
        </is>
      </c>
      <c r="B18" t="n">
        <v>1800</v>
      </c>
      <c r="C18" t="n">
        <v>0</v>
      </c>
      <c r="D18" t="n">
        <v>0</v>
      </c>
      <c r="E18" t="n">
        <v>2480</v>
      </c>
      <c r="F18" t="n">
        <v>4280</v>
      </c>
    </row>
    <row r="19">
      <c r="A19" t="inlineStr">
        <is>
          <t>Health</t>
        </is>
      </c>
      <c r="B19" t="n">
        <v>1900</v>
      </c>
      <c r="C19" t="n">
        <v>200</v>
      </c>
      <c r="D19" t="n">
        <v>0</v>
      </c>
      <c r="E19" t="n">
        <v>2270</v>
      </c>
      <c r="F19" t="n">
        <v>4370</v>
      </c>
    </row>
    <row r="20">
      <c r="A20" t="inlineStr">
        <is>
          <t>Other Services</t>
        </is>
      </c>
      <c r="B20" t="n">
        <v>1100</v>
      </c>
      <c r="C20" t="n">
        <v>350</v>
      </c>
      <c r="D20" t="n">
        <v>0</v>
      </c>
      <c r="E20" t="n">
        <v>1920</v>
      </c>
      <c r="F20" t="n">
        <v>3370</v>
      </c>
    </row>
    <row r="21">
      <c r="A21" t="inlineStr">
        <is>
          <t>TOTAL</t>
        </is>
      </c>
      <c r="B21" t="n">
        <v>76200</v>
      </c>
      <c r="C21" t="n">
        <v>23850</v>
      </c>
      <c r="D21" t="n">
        <v>0</v>
      </c>
      <c r="E21" t="n">
        <v>65580</v>
      </c>
      <c r="F21" t="n">
        <v>165630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SUPPLY AND USE CALCULATION</t>
        </is>
      </c>
    </row>
    <row r="3">
      <c r="A3" s="1" t="inlineStr">
        <is>
          <t>Line</t>
        </is>
      </c>
      <c r="B3" s="1" t="inlineStr">
        <is>
          <t>Item</t>
        </is>
      </c>
      <c r="C3" s="1" t="inlineStr">
        <is>
          <t>Supply (Basic Prices)</t>
        </is>
      </c>
      <c r="D3" s="1" t="inlineStr">
        <is>
          <t>Use (Basic Prices)</t>
        </is>
      </c>
      <c r="E3" s="1" t="inlineStr">
        <is>
          <t>Intermediate Inputs</t>
        </is>
      </c>
      <c r="F3" s="1" t="inlineStr">
        <is>
          <t>Import Content</t>
        </is>
      </c>
      <c r="G3" s="1" t="inlineStr">
        <is>
          <t>Import Share</t>
        </is>
      </c>
      <c r="H3" s="1" t="inlineStr">
        <is>
          <t>Total Import Content</t>
        </is>
      </c>
    </row>
    <row r="4">
      <c r="A4" t="n">
        <v>1</v>
      </c>
      <c r="B4">
        <f>SUPPLY!A4</f>
        <v/>
      </c>
      <c r="C4">
        <f>SUPPLY!B4</f>
        <v/>
      </c>
      <c r="D4">
        <f>USE!B4</f>
        <v/>
      </c>
      <c r="E4">
        <f>USE!B4</f>
        <v/>
      </c>
      <c r="F4">
        <f>IF(C4&gt;0, MAX(0, (C4-D4)/C4), 0)</f>
        <v/>
      </c>
      <c r="G4">
        <f>F4</f>
        <v/>
      </c>
      <c r="H4">
        <f>E4*G4</f>
        <v/>
      </c>
    </row>
    <row r="5">
      <c r="A5" t="n">
        <v>2</v>
      </c>
      <c r="B5">
        <f>SUPPLY!A5</f>
        <v/>
      </c>
      <c r="C5">
        <f>SUPPLY!B5</f>
        <v/>
      </c>
      <c r="D5">
        <f>USE!B5</f>
        <v/>
      </c>
      <c r="E5">
        <f>USE!B5</f>
        <v/>
      </c>
      <c r="F5">
        <f>IF(C5&gt;0, MAX(0, (C5-D5)/C5), 0)</f>
        <v/>
      </c>
      <c r="G5">
        <f>F5</f>
        <v/>
      </c>
      <c r="H5">
        <f>E5*G5</f>
        <v/>
      </c>
    </row>
    <row r="6">
      <c r="A6" t="n">
        <v>3</v>
      </c>
      <c r="B6">
        <f>SUPPLY!A6</f>
        <v/>
      </c>
      <c r="C6">
        <f>SUPPLY!B6</f>
        <v/>
      </c>
      <c r="D6">
        <f>USE!B6</f>
        <v/>
      </c>
      <c r="E6">
        <f>USE!B6</f>
        <v/>
      </c>
      <c r="F6">
        <f>IF(C6&gt;0, MAX(0, (C6-D6)/C6), 0)</f>
        <v/>
      </c>
      <c r="G6">
        <f>F6</f>
        <v/>
      </c>
      <c r="H6">
        <f>E6*G6</f>
        <v/>
      </c>
    </row>
    <row r="7">
      <c r="A7" t="n">
        <v>4</v>
      </c>
      <c r="B7">
        <f>SUPPLY!A7</f>
        <v/>
      </c>
      <c r="C7">
        <f>SUPPLY!B7</f>
        <v/>
      </c>
      <c r="D7">
        <f>USE!B7</f>
        <v/>
      </c>
      <c r="E7">
        <f>USE!B7</f>
        <v/>
      </c>
      <c r="F7">
        <f>IF(C7&gt;0, MAX(0, (C7-D7)/C7), 0)</f>
        <v/>
      </c>
      <c r="G7">
        <f>F7</f>
        <v/>
      </c>
      <c r="H7">
        <f>E7*G7</f>
        <v/>
      </c>
    </row>
    <row r="8">
      <c r="A8" t="n">
        <v>5</v>
      </c>
      <c r="B8">
        <f>SUPPLY!A8</f>
        <v/>
      </c>
      <c r="C8">
        <f>SUPPLY!B8</f>
        <v/>
      </c>
      <c r="D8">
        <f>USE!B8</f>
        <v/>
      </c>
      <c r="E8">
        <f>USE!B8</f>
        <v/>
      </c>
      <c r="F8">
        <f>IF(C8&gt;0, MAX(0, (C8-D8)/C8), 0)</f>
        <v/>
      </c>
      <c r="G8">
        <f>F8</f>
        <v/>
      </c>
      <c r="H8">
        <f>E8*G8</f>
        <v/>
      </c>
    </row>
    <row r="9">
      <c r="A9" t="n">
        <v>6</v>
      </c>
      <c r="B9">
        <f>SUPPLY!A9</f>
        <v/>
      </c>
      <c r="C9">
        <f>SUPPLY!B9</f>
        <v/>
      </c>
      <c r="D9">
        <f>USE!B9</f>
        <v/>
      </c>
      <c r="E9">
        <f>USE!B9</f>
        <v/>
      </c>
      <c r="F9">
        <f>IF(C9&gt;0, MAX(0, (C9-D9)/C9), 0)</f>
        <v/>
      </c>
      <c r="G9">
        <f>F9</f>
        <v/>
      </c>
      <c r="H9">
        <f>E9*G9</f>
        <v/>
      </c>
    </row>
    <row r="10">
      <c r="A10" t="n">
        <v>7</v>
      </c>
      <c r="B10">
        <f>SUPPLY!A10</f>
        <v/>
      </c>
      <c r="C10">
        <f>SUPPLY!B10</f>
        <v/>
      </c>
      <c r="D10">
        <f>USE!B10</f>
        <v/>
      </c>
      <c r="E10">
        <f>USE!B10</f>
        <v/>
      </c>
      <c r="F10">
        <f>IF(C10&gt;0, MAX(0, (C10-D10)/C10), 0)</f>
        <v/>
      </c>
      <c r="G10">
        <f>F10</f>
        <v/>
      </c>
      <c r="H10">
        <f>E10*G10</f>
        <v/>
      </c>
    </row>
    <row r="11">
      <c r="A11" t="n">
        <v>8</v>
      </c>
      <c r="B11">
        <f>SUPPLY!A11</f>
        <v/>
      </c>
      <c r="C11">
        <f>SUPPLY!B11</f>
        <v/>
      </c>
      <c r="D11">
        <f>USE!B11</f>
        <v/>
      </c>
      <c r="E11">
        <f>USE!B11</f>
        <v/>
      </c>
      <c r="F11">
        <f>IF(C11&gt;0, MAX(0, (C11-D11)/C11), 0)</f>
        <v/>
      </c>
      <c r="G11">
        <f>F11</f>
        <v/>
      </c>
      <c r="H11">
        <f>E11*G11</f>
        <v/>
      </c>
    </row>
    <row r="12">
      <c r="A12" t="n">
        <v>9</v>
      </c>
      <c r="B12">
        <f>SUPPLY!A12</f>
        <v/>
      </c>
      <c r="C12">
        <f>SUPPLY!B12</f>
        <v/>
      </c>
      <c r="D12">
        <f>USE!B12</f>
        <v/>
      </c>
      <c r="E12">
        <f>USE!B12</f>
        <v/>
      </c>
      <c r="F12">
        <f>IF(C12&gt;0, MAX(0, (C12-D12)/C12), 0)</f>
        <v/>
      </c>
      <c r="G12">
        <f>F12</f>
        <v/>
      </c>
      <c r="H12">
        <f>E12*G12</f>
        <v/>
      </c>
    </row>
    <row r="13">
      <c r="A13" t="n">
        <v>10</v>
      </c>
      <c r="B13">
        <f>SUPPLY!A13</f>
        <v/>
      </c>
      <c r="C13">
        <f>SUPPLY!B13</f>
        <v/>
      </c>
      <c r="D13">
        <f>USE!B13</f>
        <v/>
      </c>
      <c r="E13">
        <f>USE!B13</f>
        <v/>
      </c>
      <c r="F13">
        <f>IF(C13&gt;0, MAX(0, (C13-D13)/C13), 0)</f>
        <v/>
      </c>
      <c r="G13">
        <f>F13</f>
        <v/>
      </c>
      <c r="H13">
        <f>E13*G13</f>
        <v/>
      </c>
    </row>
    <row r="14">
      <c r="A14" t="n">
        <v>11</v>
      </c>
      <c r="B14">
        <f>SUPPLY!A14</f>
        <v/>
      </c>
      <c r="C14">
        <f>SUPPLY!B14</f>
        <v/>
      </c>
      <c r="D14">
        <f>USE!B14</f>
        <v/>
      </c>
      <c r="E14">
        <f>USE!B14</f>
        <v/>
      </c>
      <c r="F14">
        <f>IF(C14&gt;0, MAX(0, (C14-D14)/C14), 0)</f>
        <v/>
      </c>
      <c r="G14">
        <f>F14</f>
        <v/>
      </c>
      <c r="H14">
        <f>E14*G14</f>
        <v/>
      </c>
    </row>
    <row r="15">
      <c r="A15" t="n">
        <v>12</v>
      </c>
      <c r="B15">
        <f>SUPPLY!A15</f>
        <v/>
      </c>
      <c r="C15">
        <f>SUPPLY!B15</f>
        <v/>
      </c>
      <c r="D15">
        <f>USE!B15</f>
        <v/>
      </c>
      <c r="E15">
        <f>USE!B15</f>
        <v/>
      </c>
      <c r="F15">
        <f>IF(C15&gt;0, MAX(0, (C15-D15)/C15), 0)</f>
        <v/>
      </c>
      <c r="G15">
        <f>F15</f>
        <v/>
      </c>
      <c r="H15">
        <f>E15*G15</f>
        <v/>
      </c>
    </row>
    <row r="16">
      <c r="A16" t="n">
        <v>13</v>
      </c>
      <c r="B16">
        <f>SUPPLY!A16</f>
        <v/>
      </c>
      <c r="C16">
        <f>SUPPLY!B16</f>
        <v/>
      </c>
      <c r="D16">
        <f>USE!B16</f>
        <v/>
      </c>
      <c r="E16">
        <f>USE!B16</f>
        <v/>
      </c>
      <c r="F16">
        <f>IF(C16&gt;0, MAX(0, (C16-D16)/C16), 0)</f>
        <v/>
      </c>
      <c r="G16">
        <f>F16</f>
        <v/>
      </c>
      <c r="H16">
        <f>E16*G16</f>
        <v/>
      </c>
    </row>
    <row r="17">
      <c r="A17" t="n">
        <v>14</v>
      </c>
      <c r="B17">
        <f>SUPPLY!A17</f>
        <v/>
      </c>
      <c r="C17">
        <f>SUPPLY!B17</f>
        <v/>
      </c>
      <c r="D17">
        <f>USE!B17</f>
        <v/>
      </c>
      <c r="E17">
        <f>USE!B17</f>
        <v/>
      </c>
      <c r="F17">
        <f>IF(C17&gt;0, MAX(0, (C17-D17)/C17), 0)</f>
        <v/>
      </c>
      <c r="G17">
        <f>F17</f>
        <v/>
      </c>
      <c r="H17">
        <f>E17*G17</f>
        <v/>
      </c>
    </row>
    <row r="18">
      <c r="A18" t="n">
        <v>15</v>
      </c>
      <c r="B18">
        <f>SUPPLY!A18</f>
        <v/>
      </c>
      <c r="C18">
        <f>SUPPLY!B18</f>
        <v/>
      </c>
      <c r="D18">
        <f>USE!B18</f>
        <v/>
      </c>
      <c r="E18">
        <f>USE!B18</f>
        <v/>
      </c>
      <c r="F18">
        <f>IF(C18&gt;0, MAX(0, (C18-D18)/C18), 0)</f>
        <v/>
      </c>
      <c r="G18">
        <f>F18</f>
        <v/>
      </c>
      <c r="H18">
        <f>E18*G18</f>
        <v/>
      </c>
    </row>
    <row r="19">
      <c r="A19" t="n">
        <v>16</v>
      </c>
      <c r="B19">
        <f>SUPPLY!A19</f>
        <v/>
      </c>
      <c r="C19">
        <f>SUPPLY!B19</f>
        <v/>
      </c>
      <c r="D19">
        <f>USE!B19</f>
        <v/>
      </c>
      <c r="E19">
        <f>USE!B19</f>
        <v/>
      </c>
      <c r="F19">
        <f>IF(C19&gt;0, MAX(0, (C19-D19)/C19), 0)</f>
        <v/>
      </c>
      <c r="G19">
        <f>F19</f>
        <v/>
      </c>
      <c r="H19">
        <f>E19*G19</f>
        <v/>
      </c>
    </row>
    <row r="20">
      <c r="A20" t="n">
        <v>17</v>
      </c>
      <c r="B20">
        <f>SUPPLY!A20</f>
        <v/>
      </c>
      <c r="C20">
        <f>SUPPLY!B20</f>
        <v/>
      </c>
      <c r="D20">
        <f>USE!B20</f>
        <v/>
      </c>
      <c r="E20">
        <f>USE!B20</f>
        <v/>
      </c>
      <c r="F20">
        <f>IF(C20&gt;0, MAX(0, (C20-D20)/C20), 0)</f>
        <v/>
      </c>
      <c r="G20">
        <f>F20</f>
        <v/>
      </c>
      <c r="H20">
        <f>E20*G20</f>
        <v/>
      </c>
    </row>
    <row r="21">
      <c r="A21" t="n">
        <v>18</v>
      </c>
      <c r="B21">
        <f>SUPPLY!A21</f>
        <v/>
      </c>
      <c r="C21">
        <f>SUPPLY!B21</f>
        <v/>
      </c>
      <c r="D21">
        <f>USE!B21</f>
        <v/>
      </c>
      <c r="E21">
        <f>USE!B21</f>
        <v/>
      </c>
      <c r="F21">
        <f>IF(C21&gt;0, MAX(0, (C21-D21)/C21), 0)</f>
        <v/>
      </c>
      <c r="G21">
        <f>F21</f>
        <v/>
      </c>
      <c r="H21">
        <f>E21*G21</f>
        <v/>
      </c>
    </row>
    <row r="45">
      <c r="A45" s="1" t="inlineStr">
        <is>
          <t>Estimated Import Content Share:</t>
        </is>
      </c>
      <c r="C45" s="3">
        <f>IF(SUM(D4:D21)&gt;0, SUM(H4:H21)/SUM(D4:D21),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NATIONAL ACCOUNTS - Investment Shock Analysis (Georgia)</t>
        </is>
      </c>
    </row>
    <row r="3">
      <c r="A3" s="4" t="inlineStr">
        <is>
          <t>ASSUMPTIONS</t>
        </is>
      </c>
    </row>
    <row r="5">
      <c r="B5" t="inlineStr">
        <is>
          <t>Exchange Rate (Lari/USD)</t>
        </is>
      </c>
      <c r="C5" t="n">
        <v>2.746</v>
      </c>
    </row>
    <row r="6">
      <c r="B6" t="inlineStr">
        <is>
          <t>Demand Multiplier</t>
        </is>
      </c>
      <c r="C6" t="n">
        <v>0.8</v>
      </c>
    </row>
    <row r="7">
      <c r="B7" t="inlineStr">
        <is>
          <t>Import Content Share</t>
        </is>
      </c>
      <c r="C7">
        <f>SUT Calc!C45</f>
        <v/>
      </c>
    </row>
    <row r="8">
      <c r="B8" t="inlineStr">
        <is>
          <t>Investment Amount</t>
        </is>
      </c>
      <c r="C8" t="n">
        <v>6.5</v>
      </c>
    </row>
    <row r="9">
      <c r="B9" t="inlineStr">
        <is>
          <t>Investment Duration</t>
        </is>
      </c>
      <c r="C9" t="n">
        <v>8</v>
      </c>
    </row>
    <row r="10">
      <c r="B10" t="inlineStr">
        <is>
          <t>Start Year</t>
        </is>
      </c>
      <c r="C10" t="n">
        <v>2026</v>
      </c>
    </row>
    <row r="13">
      <c r="A13" s="1" t="inlineStr">
        <is>
          <t>YEAR</t>
        </is>
      </c>
      <c r="B13" s="1" t="inlineStr">
        <is>
          <t>Real GDP Growth</t>
        </is>
      </c>
      <c r="C13" s="1" t="inlineStr">
        <is>
          <t>GDP Deflator</t>
        </is>
      </c>
      <c r="D13" s="1" t="inlineStr">
        <is>
          <t>Investment (USD)</t>
        </is>
      </c>
      <c r="E13" s="1" t="inlineStr">
        <is>
          <t>Investment (GEL)</t>
        </is>
      </c>
      <c r="F13" s="1" t="inlineStr">
        <is>
          <t>Direct Effect</t>
        </is>
      </c>
      <c r="G13" s="1" t="inlineStr">
        <is>
          <t>Indirect Effect</t>
        </is>
      </c>
      <c r="H13" s="1" t="inlineStr">
        <is>
          <t>Total GDP Impact</t>
        </is>
      </c>
      <c r="I13" s="1" t="inlineStr">
        <is>
          <t>Cumulative Impact</t>
        </is>
      </c>
    </row>
    <row r="14">
      <c r="A14" t="n">
        <v>2024</v>
      </c>
      <c r="B14">
        <f>WEO_Data!D5</f>
        <v/>
      </c>
      <c r="C14">
        <f>WEO_Data!F5</f>
        <v/>
      </c>
      <c r="D14" t="n">
        <v>0</v>
      </c>
      <c r="E14">
        <f>D14*$C$5</f>
        <v/>
      </c>
      <c r="F14">
        <f>E14*$C$6</f>
        <v/>
      </c>
      <c r="G14">
        <f>F14*(1-$C$7)</f>
        <v/>
      </c>
      <c r="H14">
        <f>F14+G14</f>
        <v/>
      </c>
      <c r="I14">
        <f>H14</f>
        <v/>
      </c>
    </row>
    <row r="15">
      <c r="A15" t="n">
        <v>2025</v>
      </c>
      <c r="B15">
        <f>WEO_Data!D6</f>
        <v/>
      </c>
      <c r="C15">
        <f>WEO_Data!F6</f>
        <v/>
      </c>
      <c r="D15" t="n">
        <v>0</v>
      </c>
      <c r="E15">
        <f>D15*$C$5</f>
        <v/>
      </c>
      <c r="F15">
        <f>E15*$C$6</f>
        <v/>
      </c>
      <c r="G15">
        <f>F15*(1-$C$7)</f>
        <v/>
      </c>
      <c r="H15">
        <f>F15+G15</f>
        <v/>
      </c>
      <c r="I15">
        <f>I14+H15</f>
        <v/>
      </c>
    </row>
    <row r="16">
      <c r="A16" t="n">
        <v>2026</v>
      </c>
      <c r="B16">
        <f>WEO_Data!D7</f>
        <v/>
      </c>
      <c r="C16">
        <f>WEO_Data!F7</f>
        <v/>
      </c>
      <c r="D16" t="n">
        <v>1.478418980280733</v>
      </c>
      <c r="E16">
        <f>D16*$C$5</f>
        <v/>
      </c>
      <c r="F16">
        <f>E16*$C$6</f>
        <v/>
      </c>
      <c r="G16">
        <f>F16*(1-$C$7)</f>
        <v/>
      </c>
      <c r="H16">
        <f>F16+G16</f>
        <v/>
      </c>
      <c r="I16">
        <f>I15+H16</f>
        <v/>
      </c>
    </row>
    <row r="17">
      <c r="A17" t="n">
        <v>2027</v>
      </c>
      <c r="B17">
        <f>WEO_Data!D8</f>
        <v/>
      </c>
      <c r="C17">
        <f>WEO_Data!F8</f>
        <v/>
      </c>
      <c r="D17" t="n">
        <v>2.151086380916706</v>
      </c>
      <c r="E17">
        <f>D17*$C$5</f>
        <v/>
      </c>
      <c r="F17">
        <f>E17*$C$6</f>
        <v/>
      </c>
      <c r="G17">
        <f>F17*(1-$C$7)</f>
        <v/>
      </c>
      <c r="H17">
        <f>F17+G17</f>
        <v/>
      </c>
      <c r="I17">
        <f>I16+H17</f>
        <v/>
      </c>
    </row>
    <row r="18">
      <c r="A18" t="n">
        <v>2028</v>
      </c>
      <c r="B18" t="n">
        <v>5</v>
      </c>
      <c r="C18">
        <f>121.5*(1+0.043)^4</f>
        <v/>
      </c>
      <c r="D18" t="n">
        <v>2.4375</v>
      </c>
      <c r="E18">
        <f>D18*$C$5</f>
        <v/>
      </c>
      <c r="F18">
        <f>E18*$C$6</f>
        <v/>
      </c>
      <c r="G18">
        <f>F18*(1-$C$7)</f>
        <v/>
      </c>
      <c r="H18">
        <f>F18+G18</f>
        <v/>
      </c>
      <c r="I18">
        <f>I17+H18</f>
        <v/>
      </c>
    </row>
    <row r="19">
      <c r="A19" t="n">
        <v>2029</v>
      </c>
      <c r="B19" t="n">
        <v>5</v>
      </c>
      <c r="C19">
        <f>121.5*(1+0.043)^5</f>
        <v/>
      </c>
      <c r="D19" t="n">
        <v>2.151086380916706</v>
      </c>
      <c r="E19">
        <f>D19*$C$5</f>
        <v/>
      </c>
      <c r="F19">
        <f>E19*$C$6</f>
        <v/>
      </c>
      <c r="G19">
        <f>F19*(1-$C$7)</f>
        <v/>
      </c>
      <c r="H19">
        <f>F19+G19</f>
        <v/>
      </c>
      <c r="I19">
        <f>I18+H19</f>
        <v/>
      </c>
    </row>
    <row r="20">
      <c r="A20" t="n">
        <v>2030</v>
      </c>
      <c r="B20" t="n">
        <v>5</v>
      </c>
      <c r="C20">
        <f>121.5*(1+0.043)^6</f>
        <v/>
      </c>
      <c r="D20" t="n">
        <v>1.478418980280733</v>
      </c>
      <c r="E20">
        <f>D20*$C$5</f>
        <v/>
      </c>
      <c r="F20">
        <f>E20*$C$6</f>
        <v/>
      </c>
      <c r="G20">
        <f>F20*(1-$C$7)</f>
        <v/>
      </c>
      <c r="H20">
        <f>F20+G20</f>
        <v/>
      </c>
      <c r="I20">
        <f>I19+H20</f>
        <v/>
      </c>
    </row>
    <row r="21">
      <c r="A21" t="n">
        <v>2031</v>
      </c>
      <c r="B21" t="n">
        <v>5</v>
      </c>
      <c r="C21">
        <f>121.5*(1+0.043)^7</f>
        <v/>
      </c>
      <c r="D21" t="n">
        <v>0.7913409880206257</v>
      </c>
      <c r="E21">
        <f>D21*$C$5</f>
        <v/>
      </c>
      <c r="F21">
        <f>E21*$C$6</f>
        <v/>
      </c>
      <c r="G21">
        <f>F21*(1-$C$7)</f>
        <v/>
      </c>
      <c r="H21">
        <f>F21+G21</f>
        <v/>
      </c>
      <c r="I21">
        <f>I20+H21</f>
        <v/>
      </c>
    </row>
    <row r="22">
      <c r="A22" t="n">
        <v>2032</v>
      </c>
      <c r="B22" t="n">
        <v>5</v>
      </c>
      <c r="C22">
        <f>121.5*(1+0.043)^8</f>
        <v/>
      </c>
      <c r="D22" t="n">
        <v>0.3298801966785667</v>
      </c>
      <c r="E22">
        <f>D22*$C$5</f>
        <v/>
      </c>
      <c r="F22">
        <f>E22*$C$6</f>
        <v/>
      </c>
      <c r="G22">
        <f>F22*(1-$C$7)</f>
        <v/>
      </c>
      <c r="H22">
        <f>F22+G22</f>
        <v/>
      </c>
      <c r="I22">
        <f>I21+H22</f>
        <v/>
      </c>
    </row>
    <row r="23">
      <c r="A23" t="n">
        <v>2033</v>
      </c>
      <c r="B23" t="n">
        <v>5</v>
      </c>
      <c r="C23">
        <f>121.5*(1+0.043)^9</f>
        <v/>
      </c>
      <c r="D23" t="n">
        <v>0.1070965008279201</v>
      </c>
      <c r="E23">
        <f>D23*$C$5</f>
        <v/>
      </c>
      <c r="F23">
        <f>E23*$C$6</f>
        <v/>
      </c>
      <c r="G23">
        <f>F23*(1-$C$7)</f>
        <v/>
      </c>
      <c r="H23">
        <f>F23+G23</f>
        <v/>
      </c>
      <c r="I23">
        <f>I22+H23</f>
        <v/>
      </c>
    </row>
    <row r="24">
      <c r="A24" t="n">
        <v>2034</v>
      </c>
      <c r="B24" t="n">
        <v>5</v>
      </c>
      <c r="C24">
        <f>121.5*(1+0.043)^10</f>
        <v/>
      </c>
      <c r="D24" t="n">
        <v>0</v>
      </c>
      <c r="E24">
        <f>D24*$C$5</f>
        <v/>
      </c>
      <c r="F24">
        <f>E24*$C$6</f>
        <v/>
      </c>
      <c r="G24">
        <f>F24*(1-$C$7)</f>
        <v/>
      </c>
      <c r="H24">
        <f>F24+G24</f>
        <v/>
      </c>
      <c r="I24">
        <f>I23+H24</f>
        <v/>
      </c>
    </row>
    <row r="25">
      <c r="A25" t="n">
        <v>2035</v>
      </c>
      <c r="B25" t="n">
        <v>5</v>
      </c>
      <c r="C25">
        <f>121.5*(1+0.043)^11</f>
        <v/>
      </c>
      <c r="D25" t="n">
        <v>0</v>
      </c>
      <c r="E25">
        <f>D25*$C$5</f>
        <v/>
      </c>
      <c r="F25">
        <f>E25*$C$6</f>
        <v/>
      </c>
      <c r="G25">
        <f>F25*(1-$C$7)</f>
        <v/>
      </c>
      <c r="H25">
        <f>F25+G25</f>
        <v/>
      </c>
      <c r="I25">
        <f>I24+H25</f>
        <v/>
      </c>
    </row>
    <row r="26">
      <c r="A26" t="n">
        <v>2036</v>
      </c>
      <c r="B26" t="n">
        <v>5</v>
      </c>
      <c r="C26">
        <f>121.5*(1+0.043)^12</f>
        <v/>
      </c>
      <c r="D26" t="n">
        <v>0</v>
      </c>
      <c r="E26">
        <f>D26*$C$5</f>
        <v/>
      </c>
      <c r="F26">
        <f>E26*$C$6</f>
        <v/>
      </c>
      <c r="G26">
        <f>F26*(1-$C$7)</f>
        <v/>
      </c>
      <c r="H26">
        <f>F26+G26</f>
        <v/>
      </c>
      <c r="I26">
        <f>I25+H26</f>
        <v/>
      </c>
    </row>
    <row r="27">
      <c r="A27" t="n">
        <v>2037</v>
      </c>
      <c r="B27" t="n">
        <v>5</v>
      </c>
      <c r="C27">
        <f>121.5*(1+0.043)^13</f>
        <v/>
      </c>
      <c r="D27" t="n">
        <v>0</v>
      </c>
      <c r="E27">
        <f>D27*$C$5</f>
        <v/>
      </c>
      <c r="F27">
        <f>E27*$C$6</f>
        <v/>
      </c>
      <c r="G27">
        <f>F27*(1-$C$7)</f>
        <v/>
      </c>
      <c r="H27">
        <f>F27+G27</f>
        <v/>
      </c>
      <c r="I27">
        <f>I26+H27</f>
        <v/>
      </c>
    </row>
    <row r="28">
      <c r="A28" t="n">
        <v>2038</v>
      </c>
      <c r="B28" t="n">
        <v>5</v>
      </c>
      <c r="C28">
        <f>121.5*(1+0.043)^14</f>
        <v/>
      </c>
      <c r="D28" t="n">
        <v>0</v>
      </c>
      <c r="E28">
        <f>D28*$C$5</f>
        <v/>
      </c>
      <c r="F28">
        <f>E28*$C$6</f>
        <v/>
      </c>
      <c r="G28">
        <f>F28*(1-$C$7)</f>
        <v/>
      </c>
      <c r="H28">
        <f>F28+G28</f>
        <v/>
      </c>
      <c r="I28">
        <f>I27+H28</f>
        <v/>
      </c>
    </row>
    <row r="29">
      <c r="A29" t="n">
        <v>2039</v>
      </c>
      <c r="B29" t="n">
        <v>5</v>
      </c>
      <c r="C29">
        <f>121.5*(1+0.043)^15</f>
        <v/>
      </c>
      <c r="D29" t="n">
        <v>0</v>
      </c>
      <c r="E29">
        <f>D29*$C$5</f>
        <v/>
      </c>
      <c r="F29">
        <f>E29*$C$6</f>
        <v/>
      </c>
      <c r="G29">
        <f>F29*(1-$C$7)</f>
        <v/>
      </c>
      <c r="H29">
        <f>F29+G29</f>
        <v/>
      </c>
      <c r="I29">
        <f>I28+H29</f>
        <v/>
      </c>
    </row>
    <row r="30">
      <c r="A30" t="n">
        <v>2040</v>
      </c>
      <c r="B30" t="n">
        <v>5</v>
      </c>
      <c r="C30">
        <f>121.5*(1+0.043)^16</f>
        <v/>
      </c>
      <c r="D30" t="n">
        <v>0</v>
      </c>
      <c r="E30">
        <f>D30*$C$5</f>
        <v/>
      </c>
      <c r="F30">
        <f>E30*$C$6</f>
        <v/>
      </c>
      <c r="G30">
        <f>F30*(1-$C$7)</f>
        <v/>
      </c>
      <c r="H30">
        <f>F30+G30</f>
        <v/>
      </c>
      <c r="I30">
        <f>I29+H30</f>
        <v/>
      </c>
    </row>
    <row r="31">
      <c r="A31" t="n">
        <v>2041</v>
      </c>
      <c r="B31" t="n">
        <v>5</v>
      </c>
      <c r="C31">
        <f>121.5*(1+0.043)^17</f>
        <v/>
      </c>
      <c r="D31" t="n">
        <v>0</v>
      </c>
      <c r="E31">
        <f>D31*$C$5</f>
        <v/>
      </c>
      <c r="F31">
        <f>E31*$C$6</f>
        <v/>
      </c>
      <c r="G31">
        <f>F31*(1-$C$7)</f>
        <v/>
      </c>
      <c r="H31">
        <f>F31+G31</f>
        <v/>
      </c>
      <c r="I31">
        <f>I30+H31</f>
        <v/>
      </c>
    </row>
    <row r="32">
      <c r="A32" t="n">
        <v>2042</v>
      </c>
      <c r="B32" t="n">
        <v>5</v>
      </c>
      <c r="C32">
        <f>121.5*(1+0.043)^18</f>
        <v/>
      </c>
      <c r="D32" t="n">
        <v>0</v>
      </c>
      <c r="E32">
        <f>D32*$C$5</f>
        <v/>
      </c>
      <c r="F32">
        <f>E32*$C$6</f>
        <v/>
      </c>
      <c r="G32">
        <f>F32*(1-$C$7)</f>
        <v/>
      </c>
      <c r="H32">
        <f>F32+G32</f>
        <v/>
      </c>
      <c r="I32">
        <f>I31+H32</f>
        <v/>
      </c>
    </row>
    <row r="33">
      <c r="A33" t="n">
        <v>2043</v>
      </c>
      <c r="B33" t="n">
        <v>5</v>
      </c>
      <c r="C33">
        <f>121.5*(1+0.043)^19</f>
        <v/>
      </c>
      <c r="D33" t="n">
        <v>0</v>
      </c>
      <c r="E33">
        <f>D33*$C$5</f>
        <v/>
      </c>
      <c r="F33">
        <f>E33*$C$6</f>
        <v/>
      </c>
      <c r="G33">
        <f>F33*(1-$C$7)</f>
        <v/>
      </c>
      <c r="H33">
        <f>F33+G33</f>
        <v/>
      </c>
      <c r="I33">
        <f>I32+H33</f>
        <v/>
      </c>
    </row>
    <row r="38">
      <c r="A38" s="1" t="inlineStr">
        <is>
          <t>SUMMARY</t>
        </is>
      </c>
    </row>
    <row r="39">
      <c r="B39" t="inlineStr">
        <is>
          <t>Total Investment:</t>
        </is>
      </c>
      <c r="C39">
        <f>SUM(D14:D37)</f>
        <v/>
      </c>
    </row>
    <row r="40">
      <c r="B40" t="inlineStr">
        <is>
          <t>Total GDP Impact:</t>
        </is>
      </c>
      <c r="C40">
        <f>SUM(H14:H37)</f>
        <v/>
      </c>
    </row>
    <row r="41">
      <c r="B41" t="inlineStr">
        <is>
          <t>Total GDP Impact (USD):</t>
        </is>
      </c>
      <c r="C41">
        <f>C40/$C$5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SCENARIO 1: BASE CASE (Multiplier=0.8, Import Share=calculated)</t>
        </is>
      </c>
    </row>
    <row r="3">
      <c r="A3" s="1" t="inlineStr">
        <is>
          <t>Assumptions:</t>
        </is>
      </c>
    </row>
    <row r="5">
      <c r="B5" t="inlineStr">
        <is>
          <t>Demand Multiplier</t>
        </is>
      </c>
      <c r="C5" t="n">
        <v>0.8</v>
      </c>
    </row>
    <row r="6">
      <c r="B6" t="inlineStr">
        <is>
          <t>Import Content Share</t>
        </is>
      </c>
      <c r="C6">
        <f>SUT Calc!C45</f>
        <v/>
      </c>
    </row>
    <row r="7">
      <c r="B7" t="inlineStr">
        <is>
          <t>Exchange Rate</t>
        </is>
      </c>
      <c r="C7" t="n">
        <v>2.746</v>
      </c>
    </row>
    <row r="10">
      <c r="A10" s="1" t="inlineStr">
        <is>
          <t>Year</t>
        </is>
      </c>
      <c r="B10" s="1" t="inlineStr">
        <is>
          <t>GDP Deflator</t>
        </is>
      </c>
      <c r="C10" s="1" t="inlineStr">
        <is>
          <t>Investment (USD)</t>
        </is>
      </c>
      <c r="D10" s="1" t="inlineStr">
        <is>
          <t>Investment (GEL)</t>
        </is>
      </c>
      <c r="E10" s="1" t="inlineStr">
        <is>
          <t>Direct Effect</t>
        </is>
      </c>
      <c r="F10" s="1" t="inlineStr">
        <is>
          <t>Indirect Effect</t>
        </is>
      </c>
      <c r="G10" s="1" t="inlineStr">
        <is>
          <t>Total GDP Impact</t>
        </is>
      </c>
      <c r="H10" s="1" t="inlineStr">
        <is>
          <t>Cumulative</t>
        </is>
      </c>
    </row>
    <row r="11">
      <c r="A11" t="n">
        <v>2024</v>
      </c>
      <c r="B11">
        <f>WEO_Data!F5</f>
        <v/>
      </c>
      <c r="C11" t="n">
        <v>0</v>
      </c>
      <c r="D11">
        <f>D11*$C$7</f>
        <v/>
      </c>
      <c r="E11">
        <f>E11*$C$5</f>
        <v/>
      </c>
      <c r="F11">
        <f>F11*(1-$C$6)</f>
        <v/>
      </c>
      <c r="G11">
        <f>F11+G11</f>
        <v/>
      </c>
      <c r="H11">
        <f>H11</f>
        <v/>
      </c>
    </row>
    <row r="12">
      <c r="A12" t="n">
        <v>2025</v>
      </c>
      <c r="B12">
        <f>WEO_Data!F6</f>
        <v/>
      </c>
      <c r="C12" t="n">
        <v>0</v>
      </c>
      <c r="D12">
        <f>D12*$C$7</f>
        <v/>
      </c>
      <c r="E12">
        <f>E12*$C$5</f>
        <v/>
      </c>
      <c r="F12">
        <f>F12*(1-$C$6)</f>
        <v/>
      </c>
      <c r="G12">
        <f>F12+G12</f>
        <v/>
      </c>
      <c r="H12">
        <f>I11+H12</f>
        <v/>
      </c>
    </row>
    <row r="13">
      <c r="A13" t="n">
        <v>2026</v>
      </c>
      <c r="B13">
        <f>WEO_Data!F7</f>
        <v/>
      </c>
      <c r="C13" t="n">
        <v>1.478418980280733</v>
      </c>
      <c r="D13">
        <f>D13*$C$7</f>
        <v/>
      </c>
      <c r="E13">
        <f>E13*$C$5</f>
        <v/>
      </c>
      <c r="F13">
        <f>F13*(1-$C$6)</f>
        <v/>
      </c>
      <c r="G13">
        <f>F13+G13</f>
        <v/>
      </c>
      <c r="H13">
        <f>I12+H13</f>
        <v/>
      </c>
    </row>
    <row r="14">
      <c r="A14" t="n">
        <v>2027</v>
      </c>
      <c r="B14">
        <f>WEO_Data!F8</f>
        <v/>
      </c>
      <c r="C14" t="n">
        <v>2.151086380916706</v>
      </c>
      <c r="D14">
        <f>D14*$C$7</f>
        <v/>
      </c>
      <c r="E14">
        <f>E14*$C$5</f>
        <v/>
      </c>
      <c r="F14">
        <f>F14*(1-$C$6)</f>
        <v/>
      </c>
      <c r="G14">
        <f>F14+G14</f>
        <v/>
      </c>
      <c r="H14">
        <f>I13+H14</f>
        <v/>
      </c>
    </row>
    <row r="15">
      <c r="A15" t="n">
        <v>2028</v>
      </c>
      <c r="B15">
        <f>121.5*(1+0.043)^4</f>
        <v/>
      </c>
      <c r="C15" t="n">
        <v>2.4375</v>
      </c>
      <c r="D15">
        <f>D15*$C$7</f>
        <v/>
      </c>
      <c r="E15">
        <f>E15*$C$5</f>
        <v/>
      </c>
      <c r="F15">
        <f>F15*(1-$C$6)</f>
        <v/>
      </c>
      <c r="G15">
        <f>F15+G15</f>
        <v/>
      </c>
      <c r="H15">
        <f>I14+H15</f>
        <v/>
      </c>
    </row>
    <row r="16">
      <c r="A16" t="n">
        <v>2029</v>
      </c>
      <c r="B16">
        <f>121.5*(1+0.043)^5</f>
        <v/>
      </c>
      <c r="C16" t="n">
        <v>2.151086380916706</v>
      </c>
      <c r="D16">
        <f>D16*$C$7</f>
        <v/>
      </c>
      <c r="E16">
        <f>E16*$C$5</f>
        <v/>
      </c>
      <c r="F16">
        <f>F16*(1-$C$6)</f>
        <v/>
      </c>
      <c r="G16">
        <f>F16+G16</f>
        <v/>
      </c>
      <c r="H16">
        <f>I15+H16</f>
        <v/>
      </c>
    </row>
    <row r="17">
      <c r="A17" t="n">
        <v>2030</v>
      </c>
      <c r="B17">
        <f>121.5*(1+0.043)^6</f>
        <v/>
      </c>
      <c r="C17" t="n">
        <v>1.478418980280733</v>
      </c>
      <c r="D17">
        <f>D17*$C$7</f>
        <v/>
      </c>
      <c r="E17">
        <f>E17*$C$5</f>
        <v/>
      </c>
      <c r="F17">
        <f>F17*(1-$C$6)</f>
        <v/>
      </c>
      <c r="G17">
        <f>F17+G17</f>
        <v/>
      </c>
      <c r="H17">
        <f>I16+H17</f>
        <v/>
      </c>
    </row>
    <row r="18">
      <c r="A18" t="n">
        <v>2031</v>
      </c>
      <c r="B18">
        <f>121.5*(1+0.043)^7</f>
        <v/>
      </c>
      <c r="C18" t="n">
        <v>0.7913409880206257</v>
      </c>
      <c r="D18">
        <f>D18*$C$7</f>
        <v/>
      </c>
      <c r="E18">
        <f>E18*$C$5</f>
        <v/>
      </c>
      <c r="F18">
        <f>F18*(1-$C$6)</f>
        <v/>
      </c>
      <c r="G18">
        <f>F18+G18</f>
        <v/>
      </c>
      <c r="H18">
        <f>I17+H18</f>
        <v/>
      </c>
    </row>
    <row r="19">
      <c r="A19" t="n">
        <v>2032</v>
      </c>
      <c r="B19">
        <f>121.5*(1+0.043)^8</f>
        <v/>
      </c>
      <c r="C19" t="n">
        <v>0.3298801966785667</v>
      </c>
      <c r="D19">
        <f>D19*$C$7</f>
        <v/>
      </c>
      <c r="E19">
        <f>E19*$C$5</f>
        <v/>
      </c>
      <c r="F19">
        <f>F19*(1-$C$6)</f>
        <v/>
      </c>
      <c r="G19">
        <f>F19+G19</f>
        <v/>
      </c>
      <c r="H19">
        <f>I18+H19</f>
        <v/>
      </c>
    </row>
    <row r="20">
      <c r="A20" t="n">
        <v>2033</v>
      </c>
      <c r="B20">
        <f>121.5*(1+0.043)^9</f>
        <v/>
      </c>
      <c r="C20" t="n">
        <v>0.1070965008279201</v>
      </c>
      <c r="D20">
        <f>D20*$C$7</f>
        <v/>
      </c>
      <c r="E20">
        <f>E20*$C$5</f>
        <v/>
      </c>
      <c r="F20">
        <f>F20*(1-$C$6)</f>
        <v/>
      </c>
      <c r="G20">
        <f>F20+G20</f>
        <v/>
      </c>
      <c r="H20">
        <f>I19+H20</f>
        <v/>
      </c>
    </row>
    <row r="21">
      <c r="A21" t="n">
        <v>2034</v>
      </c>
      <c r="B21">
        <f>121.5*(1+0.043)^10</f>
        <v/>
      </c>
      <c r="C21" t="n">
        <v>0</v>
      </c>
      <c r="D21">
        <f>D21*$C$7</f>
        <v/>
      </c>
      <c r="E21">
        <f>E21*$C$5</f>
        <v/>
      </c>
      <c r="F21">
        <f>F21*(1-$C$6)</f>
        <v/>
      </c>
      <c r="G21">
        <f>F21+G21</f>
        <v/>
      </c>
      <c r="H21">
        <f>I20+H21</f>
        <v/>
      </c>
    </row>
    <row r="22">
      <c r="A22" t="n">
        <v>2035</v>
      </c>
      <c r="B22">
        <f>121.5*(1+0.043)^11</f>
        <v/>
      </c>
      <c r="C22" t="n">
        <v>0</v>
      </c>
      <c r="D22">
        <f>D22*$C$7</f>
        <v/>
      </c>
      <c r="E22">
        <f>E22*$C$5</f>
        <v/>
      </c>
      <c r="F22">
        <f>F22*(1-$C$6)</f>
        <v/>
      </c>
      <c r="G22">
        <f>F22+G22</f>
        <v/>
      </c>
      <c r="H22">
        <f>I21+H22</f>
        <v/>
      </c>
    </row>
    <row r="23">
      <c r="A23" t="n">
        <v>2036</v>
      </c>
      <c r="B23">
        <f>121.5*(1+0.043)^12</f>
        <v/>
      </c>
      <c r="C23" t="n">
        <v>0</v>
      </c>
      <c r="D23">
        <f>D23*$C$7</f>
        <v/>
      </c>
      <c r="E23">
        <f>E23*$C$5</f>
        <v/>
      </c>
      <c r="F23">
        <f>F23*(1-$C$6)</f>
        <v/>
      </c>
      <c r="G23">
        <f>F23+G23</f>
        <v/>
      </c>
      <c r="H23">
        <f>I22+H23</f>
        <v/>
      </c>
    </row>
    <row r="24">
      <c r="A24" t="n">
        <v>2037</v>
      </c>
      <c r="B24">
        <f>121.5*(1+0.043)^13</f>
        <v/>
      </c>
      <c r="C24" t="n">
        <v>0</v>
      </c>
      <c r="D24">
        <f>D24*$C$7</f>
        <v/>
      </c>
      <c r="E24">
        <f>E24*$C$5</f>
        <v/>
      </c>
      <c r="F24">
        <f>F24*(1-$C$6)</f>
        <v/>
      </c>
      <c r="G24">
        <f>F24+G24</f>
        <v/>
      </c>
      <c r="H24">
        <f>I23+H24</f>
        <v/>
      </c>
    </row>
    <row r="25">
      <c r="A25" t="n">
        <v>2038</v>
      </c>
      <c r="B25">
        <f>121.5*(1+0.043)^14</f>
        <v/>
      </c>
      <c r="C25" t="n">
        <v>0</v>
      </c>
      <c r="D25">
        <f>D25*$C$7</f>
        <v/>
      </c>
      <c r="E25">
        <f>E25*$C$5</f>
        <v/>
      </c>
      <c r="F25">
        <f>F25*(1-$C$6)</f>
        <v/>
      </c>
      <c r="G25">
        <f>F25+G25</f>
        <v/>
      </c>
      <c r="H25">
        <f>I24+H25</f>
        <v/>
      </c>
    </row>
    <row r="26">
      <c r="A26" t="n">
        <v>2039</v>
      </c>
      <c r="B26">
        <f>121.5*(1+0.043)^15</f>
        <v/>
      </c>
      <c r="C26" t="n">
        <v>0</v>
      </c>
      <c r="D26">
        <f>D26*$C$7</f>
        <v/>
      </c>
      <c r="E26">
        <f>E26*$C$5</f>
        <v/>
      </c>
      <c r="F26">
        <f>F26*(1-$C$6)</f>
        <v/>
      </c>
      <c r="G26">
        <f>F26+G26</f>
        <v/>
      </c>
      <c r="H26">
        <f>I25+H26</f>
        <v/>
      </c>
    </row>
    <row r="27">
      <c r="A27" t="n">
        <v>2040</v>
      </c>
      <c r="B27">
        <f>121.5*(1+0.043)^16</f>
        <v/>
      </c>
      <c r="C27" t="n">
        <v>0</v>
      </c>
      <c r="D27">
        <f>D27*$C$7</f>
        <v/>
      </c>
      <c r="E27">
        <f>E27*$C$5</f>
        <v/>
      </c>
      <c r="F27">
        <f>F27*(1-$C$6)</f>
        <v/>
      </c>
      <c r="G27">
        <f>F27+G27</f>
        <v/>
      </c>
      <c r="H27">
        <f>I26+H27</f>
        <v/>
      </c>
    </row>
    <row r="28">
      <c r="A28" t="n">
        <v>2041</v>
      </c>
      <c r="B28">
        <f>121.5*(1+0.043)^17</f>
        <v/>
      </c>
      <c r="C28" t="n">
        <v>0</v>
      </c>
      <c r="D28">
        <f>D28*$C$7</f>
        <v/>
      </c>
      <c r="E28">
        <f>E28*$C$5</f>
        <v/>
      </c>
      <c r="F28">
        <f>F28*(1-$C$6)</f>
        <v/>
      </c>
      <c r="G28">
        <f>F28+G28</f>
        <v/>
      </c>
      <c r="H28">
        <f>I27+H28</f>
        <v/>
      </c>
    </row>
    <row r="29">
      <c r="A29" t="n">
        <v>2042</v>
      </c>
      <c r="B29">
        <f>121.5*(1+0.043)^18</f>
        <v/>
      </c>
      <c r="C29" t="n">
        <v>0</v>
      </c>
      <c r="D29">
        <f>D29*$C$7</f>
        <v/>
      </c>
      <c r="E29">
        <f>E29*$C$5</f>
        <v/>
      </c>
      <c r="F29">
        <f>F29*(1-$C$6)</f>
        <v/>
      </c>
      <c r="G29">
        <f>F29+G29</f>
        <v/>
      </c>
      <c r="H29">
        <f>I28+H29</f>
        <v/>
      </c>
    </row>
    <row r="30">
      <c r="A30" t="n">
        <v>2043</v>
      </c>
      <c r="B30">
        <f>121.5*(1+0.043)^19</f>
        <v/>
      </c>
      <c r="C30" t="n">
        <v>0</v>
      </c>
      <c r="D30">
        <f>D30*$C$7</f>
        <v/>
      </c>
      <c r="E30">
        <f>E30*$C$5</f>
        <v/>
      </c>
      <c r="F30">
        <f>F30*(1-$C$6)</f>
        <v/>
      </c>
      <c r="G30">
        <f>F30+G30</f>
        <v/>
      </c>
      <c r="H30">
        <f>I29+H30</f>
        <v/>
      </c>
    </row>
    <row r="35">
      <c r="A35" t="inlineStr">
        <is>
          <t>Total Investment:</t>
        </is>
      </c>
      <c r="B35">
        <f>SUM(D11:D34)</f>
        <v/>
      </c>
    </row>
    <row r="36">
      <c r="A36" t="inlineStr">
        <is>
          <t>Total GDP Impact:</t>
        </is>
      </c>
      <c r="B36">
        <f>SUM(H11:H34)</f>
        <v/>
      </c>
    </row>
    <row r="37">
      <c r="A37" t="inlineStr">
        <is>
          <t>Total GDP Impact (USD):</t>
        </is>
      </c>
      <c r="B37">
        <f>B36/$C$7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SCENARIO 2: DEMAND MULTIPLIER = 1.0</t>
        </is>
      </c>
    </row>
    <row r="3">
      <c r="A3" s="1" t="inlineStr">
        <is>
          <t>Assumptions:</t>
        </is>
      </c>
    </row>
    <row r="5">
      <c r="B5" t="inlineStr">
        <is>
          <t>Demand Multiplier</t>
        </is>
      </c>
      <c r="C5" t="n">
        <v>1</v>
      </c>
    </row>
    <row r="6">
      <c r="B6" t="inlineStr">
        <is>
          <t>Import Content Share</t>
        </is>
      </c>
      <c r="C6">
        <f>SUT Calc!C45</f>
        <v/>
      </c>
    </row>
    <row r="7">
      <c r="B7" t="inlineStr">
        <is>
          <t>Exchange Rate</t>
        </is>
      </c>
      <c r="C7" t="n">
        <v>2.746</v>
      </c>
    </row>
    <row r="10">
      <c r="A10" s="1" t="inlineStr">
        <is>
          <t>Year</t>
        </is>
      </c>
      <c r="B10" s="1" t="inlineStr">
        <is>
          <t>GDP Deflator</t>
        </is>
      </c>
      <c r="C10" s="1" t="inlineStr">
        <is>
          <t>Investment (USD)</t>
        </is>
      </c>
      <c r="D10" s="1" t="inlineStr">
        <is>
          <t>Investment (GEL)</t>
        </is>
      </c>
      <c r="E10" s="1" t="inlineStr">
        <is>
          <t>Direct Effect</t>
        </is>
      </c>
      <c r="F10" s="1" t="inlineStr">
        <is>
          <t>Indirect Effect</t>
        </is>
      </c>
      <c r="G10" s="1" t="inlineStr">
        <is>
          <t>Total GDP Impact</t>
        </is>
      </c>
      <c r="H10" s="1" t="inlineStr">
        <is>
          <t>Cumulative</t>
        </is>
      </c>
    </row>
    <row r="11">
      <c r="A11" t="n">
        <v>2024</v>
      </c>
      <c r="B11">
        <f>WEO_Data!F5</f>
        <v/>
      </c>
      <c r="C11" t="n">
        <v>0</v>
      </c>
      <c r="D11">
        <f>D11*$C$7</f>
        <v/>
      </c>
      <c r="E11">
        <f>E11*$C$5</f>
        <v/>
      </c>
      <c r="F11">
        <f>F11*(1-$C$6)</f>
        <v/>
      </c>
      <c r="G11">
        <f>F11+G11</f>
        <v/>
      </c>
      <c r="H11">
        <f>H11</f>
        <v/>
      </c>
    </row>
    <row r="12">
      <c r="A12" t="n">
        <v>2025</v>
      </c>
      <c r="B12">
        <f>WEO_Data!F6</f>
        <v/>
      </c>
      <c r="C12" t="n">
        <v>0</v>
      </c>
      <c r="D12">
        <f>D12*$C$7</f>
        <v/>
      </c>
      <c r="E12">
        <f>E12*$C$5</f>
        <v/>
      </c>
      <c r="F12">
        <f>F12*(1-$C$6)</f>
        <v/>
      </c>
      <c r="G12">
        <f>F12+G12</f>
        <v/>
      </c>
      <c r="H12">
        <f>I11+H12</f>
        <v/>
      </c>
    </row>
    <row r="13">
      <c r="A13" t="n">
        <v>2026</v>
      </c>
      <c r="B13">
        <f>WEO_Data!F7</f>
        <v/>
      </c>
      <c r="C13" t="n">
        <v>1.478418980280733</v>
      </c>
      <c r="D13">
        <f>D13*$C$7</f>
        <v/>
      </c>
      <c r="E13">
        <f>E13*$C$5</f>
        <v/>
      </c>
      <c r="F13">
        <f>F13*(1-$C$6)</f>
        <v/>
      </c>
      <c r="G13">
        <f>F13+G13</f>
        <v/>
      </c>
      <c r="H13">
        <f>I12+H13</f>
        <v/>
      </c>
    </row>
    <row r="14">
      <c r="A14" t="n">
        <v>2027</v>
      </c>
      <c r="B14">
        <f>WEO_Data!F8</f>
        <v/>
      </c>
      <c r="C14" t="n">
        <v>2.151086380916706</v>
      </c>
      <c r="D14">
        <f>D14*$C$7</f>
        <v/>
      </c>
      <c r="E14">
        <f>E14*$C$5</f>
        <v/>
      </c>
      <c r="F14">
        <f>F14*(1-$C$6)</f>
        <v/>
      </c>
      <c r="G14">
        <f>F14+G14</f>
        <v/>
      </c>
      <c r="H14">
        <f>I13+H14</f>
        <v/>
      </c>
    </row>
    <row r="15">
      <c r="A15" t="n">
        <v>2028</v>
      </c>
      <c r="B15">
        <f>121.5*(1+0.043)^4</f>
        <v/>
      </c>
      <c r="C15" t="n">
        <v>2.4375</v>
      </c>
      <c r="D15">
        <f>D15*$C$7</f>
        <v/>
      </c>
      <c r="E15">
        <f>E15*$C$5</f>
        <v/>
      </c>
      <c r="F15">
        <f>F15*(1-$C$6)</f>
        <v/>
      </c>
      <c r="G15">
        <f>F15+G15</f>
        <v/>
      </c>
      <c r="H15">
        <f>I14+H15</f>
        <v/>
      </c>
    </row>
    <row r="16">
      <c r="A16" t="n">
        <v>2029</v>
      </c>
      <c r="B16">
        <f>121.5*(1+0.043)^5</f>
        <v/>
      </c>
      <c r="C16" t="n">
        <v>2.151086380916706</v>
      </c>
      <c r="D16">
        <f>D16*$C$7</f>
        <v/>
      </c>
      <c r="E16">
        <f>E16*$C$5</f>
        <v/>
      </c>
      <c r="F16">
        <f>F16*(1-$C$6)</f>
        <v/>
      </c>
      <c r="G16">
        <f>F16+G16</f>
        <v/>
      </c>
      <c r="H16">
        <f>I15+H16</f>
        <v/>
      </c>
    </row>
    <row r="17">
      <c r="A17" t="n">
        <v>2030</v>
      </c>
      <c r="B17">
        <f>121.5*(1+0.043)^6</f>
        <v/>
      </c>
      <c r="C17" t="n">
        <v>1.478418980280733</v>
      </c>
      <c r="D17">
        <f>D17*$C$7</f>
        <v/>
      </c>
      <c r="E17">
        <f>E17*$C$5</f>
        <v/>
      </c>
      <c r="F17">
        <f>F17*(1-$C$6)</f>
        <v/>
      </c>
      <c r="G17">
        <f>F17+G17</f>
        <v/>
      </c>
      <c r="H17">
        <f>I16+H17</f>
        <v/>
      </c>
    </row>
    <row r="18">
      <c r="A18" t="n">
        <v>2031</v>
      </c>
      <c r="B18">
        <f>121.5*(1+0.043)^7</f>
        <v/>
      </c>
      <c r="C18" t="n">
        <v>0.7913409880206257</v>
      </c>
      <c r="D18">
        <f>D18*$C$7</f>
        <v/>
      </c>
      <c r="E18">
        <f>E18*$C$5</f>
        <v/>
      </c>
      <c r="F18">
        <f>F18*(1-$C$6)</f>
        <v/>
      </c>
      <c r="G18">
        <f>F18+G18</f>
        <v/>
      </c>
      <c r="H18">
        <f>I17+H18</f>
        <v/>
      </c>
    </row>
    <row r="19">
      <c r="A19" t="n">
        <v>2032</v>
      </c>
      <c r="B19">
        <f>121.5*(1+0.043)^8</f>
        <v/>
      </c>
      <c r="C19" t="n">
        <v>0.3298801966785667</v>
      </c>
      <c r="D19">
        <f>D19*$C$7</f>
        <v/>
      </c>
      <c r="E19">
        <f>E19*$C$5</f>
        <v/>
      </c>
      <c r="F19">
        <f>F19*(1-$C$6)</f>
        <v/>
      </c>
      <c r="G19">
        <f>F19+G19</f>
        <v/>
      </c>
      <c r="H19">
        <f>I18+H19</f>
        <v/>
      </c>
    </row>
    <row r="20">
      <c r="A20" t="n">
        <v>2033</v>
      </c>
      <c r="B20">
        <f>121.5*(1+0.043)^9</f>
        <v/>
      </c>
      <c r="C20" t="n">
        <v>0.1070965008279201</v>
      </c>
      <c r="D20">
        <f>D20*$C$7</f>
        <v/>
      </c>
      <c r="E20">
        <f>E20*$C$5</f>
        <v/>
      </c>
      <c r="F20">
        <f>F20*(1-$C$6)</f>
        <v/>
      </c>
      <c r="G20">
        <f>F20+G20</f>
        <v/>
      </c>
      <c r="H20">
        <f>I19+H20</f>
        <v/>
      </c>
    </row>
    <row r="21">
      <c r="A21" t="n">
        <v>2034</v>
      </c>
      <c r="B21">
        <f>121.5*(1+0.043)^10</f>
        <v/>
      </c>
      <c r="C21" t="n">
        <v>0</v>
      </c>
      <c r="D21">
        <f>D21*$C$7</f>
        <v/>
      </c>
      <c r="E21">
        <f>E21*$C$5</f>
        <v/>
      </c>
      <c r="F21">
        <f>F21*(1-$C$6)</f>
        <v/>
      </c>
      <c r="G21">
        <f>F21+G21</f>
        <v/>
      </c>
      <c r="H21">
        <f>I20+H21</f>
        <v/>
      </c>
    </row>
    <row r="22">
      <c r="A22" t="n">
        <v>2035</v>
      </c>
      <c r="B22">
        <f>121.5*(1+0.043)^11</f>
        <v/>
      </c>
      <c r="C22" t="n">
        <v>0</v>
      </c>
      <c r="D22">
        <f>D22*$C$7</f>
        <v/>
      </c>
      <c r="E22">
        <f>E22*$C$5</f>
        <v/>
      </c>
      <c r="F22">
        <f>F22*(1-$C$6)</f>
        <v/>
      </c>
      <c r="G22">
        <f>F22+G22</f>
        <v/>
      </c>
      <c r="H22">
        <f>I21+H22</f>
        <v/>
      </c>
    </row>
    <row r="23">
      <c r="A23" t="n">
        <v>2036</v>
      </c>
      <c r="B23">
        <f>121.5*(1+0.043)^12</f>
        <v/>
      </c>
      <c r="C23" t="n">
        <v>0</v>
      </c>
      <c r="D23">
        <f>D23*$C$7</f>
        <v/>
      </c>
      <c r="E23">
        <f>E23*$C$5</f>
        <v/>
      </c>
      <c r="F23">
        <f>F23*(1-$C$6)</f>
        <v/>
      </c>
      <c r="G23">
        <f>F23+G23</f>
        <v/>
      </c>
      <c r="H23">
        <f>I22+H23</f>
        <v/>
      </c>
    </row>
    <row r="24">
      <c r="A24" t="n">
        <v>2037</v>
      </c>
      <c r="B24">
        <f>121.5*(1+0.043)^13</f>
        <v/>
      </c>
      <c r="C24" t="n">
        <v>0</v>
      </c>
      <c r="D24">
        <f>D24*$C$7</f>
        <v/>
      </c>
      <c r="E24">
        <f>E24*$C$5</f>
        <v/>
      </c>
      <c r="F24">
        <f>F24*(1-$C$6)</f>
        <v/>
      </c>
      <c r="G24">
        <f>F24+G24</f>
        <v/>
      </c>
      <c r="H24">
        <f>I23+H24</f>
        <v/>
      </c>
    </row>
    <row r="25">
      <c r="A25" t="n">
        <v>2038</v>
      </c>
      <c r="B25">
        <f>121.5*(1+0.043)^14</f>
        <v/>
      </c>
      <c r="C25" t="n">
        <v>0</v>
      </c>
      <c r="D25">
        <f>D25*$C$7</f>
        <v/>
      </c>
      <c r="E25">
        <f>E25*$C$5</f>
        <v/>
      </c>
      <c r="F25">
        <f>F25*(1-$C$6)</f>
        <v/>
      </c>
      <c r="G25">
        <f>F25+G25</f>
        <v/>
      </c>
      <c r="H25">
        <f>I24+H25</f>
        <v/>
      </c>
    </row>
    <row r="26">
      <c r="A26" t="n">
        <v>2039</v>
      </c>
      <c r="B26">
        <f>121.5*(1+0.043)^15</f>
        <v/>
      </c>
      <c r="C26" t="n">
        <v>0</v>
      </c>
      <c r="D26">
        <f>D26*$C$7</f>
        <v/>
      </c>
      <c r="E26">
        <f>E26*$C$5</f>
        <v/>
      </c>
      <c r="F26">
        <f>F26*(1-$C$6)</f>
        <v/>
      </c>
      <c r="G26">
        <f>F26+G26</f>
        <v/>
      </c>
      <c r="H26">
        <f>I25+H26</f>
        <v/>
      </c>
    </row>
    <row r="27">
      <c r="A27" t="n">
        <v>2040</v>
      </c>
      <c r="B27">
        <f>121.5*(1+0.043)^16</f>
        <v/>
      </c>
      <c r="C27" t="n">
        <v>0</v>
      </c>
      <c r="D27">
        <f>D27*$C$7</f>
        <v/>
      </c>
      <c r="E27">
        <f>E27*$C$5</f>
        <v/>
      </c>
      <c r="F27">
        <f>F27*(1-$C$6)</f>
        <v/>
      </c>
      <c r="G27">
        <f>F27+G27</f>
        <v/>
      </c>
      <c r="H27">
        <f>I26+H27</f>
        <v/>
      </c>
    </row>
    <row r="28">
      <c r="A28" t="n">
        <v>2041</v>
      </c>
      <c r="B28">
        <f>121.5*(1+0.043)^17</f>
        <v/>
      </c>
      <c r="C28" t="n">
        <v>0</v>
      </c>
      <c r="D28">
        <f>D28*$C$7</f>
        <v/>
      </c>
      <c r="E28">
        <f>E28*$C$5</f>
        <v/>
      </c>
      <c r="F28">
        <f>F28*(1-$C$6)</f>
        <v/>
      </c>
      <c r="G28">
        <f>F28+G28</f>
        <v/>
      </c>
      <c r="H28">
        <f>I27+H28</f>
        <v/>
      </c>
    </row>
    <row r="29">
      <c r="A29" t="n">
        <v>2042</v>
      </c>
      <c r="B29">
        <f>121.5*(1+0.043)^18</f>
        <v/>
      </c>
      <c r="C29" t="n">
        <v>0</v>
      </c>
      <c r="D29">
        <f>D29*$C$7</f>
        <v/>
      </c>
      <c r="E29">
        <f>E29*$C$5</f>
        <v/>
      </c>
      <c r="F29">
        <f>F29*(1-$C$6)</f>
        <v/>
      </c>
      <c r="G29">
        <f>F29+G29</f>
        <v/>
      </c>
      <c r="H29">
        <f>I28+H29</f>
        <v/>
      </c>
    </row>
    <row r="30">
      <c r="A30" t="n">
        <v>2043</v>
      </c>
      <c r="B30">
        <f>121.5*(1+0.043)^19</f>
        <v/>
      </c>
      <c r="C30" t="n">
        <v>0</v>
      </c>
      <c r="D30">
        <f>D30*$C$7</f>
        <v/>
      </c>
      <c r="E30">
        <f>E30*$C$5</f>
        <v/>
      </c>
      <c r="F30">
        <f>F30*(1-$C$6)</f>
        <v/>
      </c>
      <c r="G30">
        <f>F30+G30</f>
        <v/>
      </c>
      <c r="H30">
        <f>I29+H30</f>
        <v/>
      </c>
    </row>
    <row r="35">
      <c r="A35" t="inlineStr">
        <is>
          <t>Total Investment:</t>
        </is>
      </c>
      <c r="B35">
        <f>SUM(D11:D34)</f>
        <v/>
      </c>
    </row>
    <row r="36">
      <c r="A36" t="inlineStr">
        <is>
          <t>Total GDP Impact:</t>
        </is>
      </c>
      <c r="B36">
        <f>SUM(H11:H34)</f>
        <v/>
      </c>
    </row>
    <row r="37">
      <c r="A37" t="inlineStr">
        <is>
          <t>Total GDP Impact (USD):</t>
        </is>
      </c>
      <c r="B37">
        <f>B36/$C$7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SCENARIO 3: IMPORT CONTENT SHARE = 0.5</t>
        </is>
      </c>
    </row>
    <row r="3">
      <c r="A3" s="1" t="inlineStr">
        <is>
          <t>Assumptions:</t>
        </is>
      </c>
    </row>
    <row r="5">
      <c r="B5" t="inlineStr">
        <is>
          <t>Demand Multiplier</t>
        </is>
      </c>
      <c r="C5" t="n">
        <v>0.8</v>
      </c>
    </row>
    <row r="6">
      <c r="B6" t="inlineStr">
        <is>
          <t>Import Content Share</t>
        </is>
      </c>
      <c r="C6" t="n">
        <v>0.5</v>
      </c>
    </row>
    <row r="7">
      <c r="B7" t="inlineStr">
        <is>
          <t>Exchange Rate</t>
        </is>
      </c>
      <c r="C7" t="n">
        <v>2.746</v>
      </c>
    </row>
    <row r="10">
      <c r="A10" s="1" t="inlineStr">
        <is>
          <t>Year</t>
        </is>
      </c>
      <c r="B10" s="1" t="inlineStr">
        <is>
          <t>GDP Deflator</t>
        </is>
      </c>
      <c r="C10" s="1" t="inlineStr">
        <is>
          <t>Investment (USD)</t>
        </is>
      </c>
      <c r="D10" s="1" t="inlineStr">
        <is>
          <t>Investment (GEL)</t>
        </is>
      </c>
      <c r="E10" s="1" t="inlineStr">
        <is>
          <t>Direct Effect</t>
        </is>
      </c>
      <c r="F10" s="1" t="inlineStr">
        <is>
          <t>Indirect Effect</t>
        </is>
      </c>
      <c r="G10" s="1" t="inlineStr">
        <is>
          <t>Total GDP Impact</t>
        </is>
      </c>
      <c r="H10" s="1" t="inlineStr">
        <is>
          <t>Cumulative</t>
        </is>
      </c>
    </row>
    <row r="11">
      <c r="A11" t="n">
        <v>2024</v>
      </c>
      <c r="B11">
        <f>WEO_Data!F5</f>
        <v/>
      </c>
      <c r="C11" t="n">
        <v>0</v>
      </c>
      <c r="D11">
        <f>D11*$C$7</f>
        <v/>
      </c>
      <c r="E11">
        <f>E11*$C$5</f>
        <v/>
      </c>
      <c r="F11">
        <f>F11*(1-$C$6)</f>
        <v/>
      </c>
      <c r="G11">
        <f>F11+G11</f>
        <v/>
      </c>
      <c r="H11">
        <f>H11</f>
        <v/>
      </c>
    </row>
    <row r="12">
      <c r="A12" t="n">
        <v>2025</v>
      </c>
      <c r="B12">
        <f>WEO_Data!F6</f>
        <v/>
      </c>
      <c r="C12" t="n">
        <v>0</v>
      </c>
      <c r="D12">
        <f>D12*$C$7</f>
        <v/>
      </c>
      <c r="E12">
        <f>E12*$C$5</f>
        <v/>
      </c>
      <c r="F12">
        <f>F12*(1-$C$6)</f>
        <v/>
      </c>
      <c r="G12">
        <f>F12+G12</f>
        <v/>
      </c>
      <c r="H12">
        <f>I11+H12</f>
        <v/>
      </c>
    </row>
    <row r="13">
      <c r="A13" t="n">
        <v>2026</v>
      </c>
      <c r="B13">
        <f>WEO_Data!F7</f>
        <v/>
      </c>
      <c r="C13" t="n">
        <v>1.478418980280733</v>
      </c>
      <c r="D13">
        <f>D13*$C$7</f>
        <v/>
      </c>
      <c r="E13">
        <f>E13*$C$5</f>
        <v/>
      </c>
      <c r="F13">
        <f>F13*(1-$C$6)</f>
        <v/>
      </c>
      <c r="G13">
        <f>F13+G13</f>
        <v/>
      </c>
      <c r="H13">
        <f>I12+H13</f>
        <v/>
      </c>
    </row>
    <row r="14">
      <c r="A14" t="n">
        <v>2027</v>
      </c>
      <c r="B14">
        <f>WEO_Data!F8</f>
        <v/>
      </c>
      <c r="C14" t="n">
        <v>2.151086380916706</v>
      </c>
      <c r="D14">
        <f>D14*$C$7</f>
        <v/>
      </c>
      <c r="E14">
        <f>E14*$C$5</f>
        <v/>
      </c>
      <c r="F14">
        <f>F14*(1-$C$6)</f>
        <v/>
      </c>
      <c r="G14">
        <f>F14+G14</f>
        <v/>
      </c>
      <c r="H14">
        <f>I13+H14</f>
        <v/>
      </c>
    </row>
    <row r="15">
      <c r="A15" t="n">
        <v>2028</v>
      </c>
      <c r="B15">
        <f>121.5*(1+0.043)^4</f>
        <v/>
      </c>
      <c r="C15" t="n">
        <v>2.4375</v>
      </c>
      <c r="D15">
        <f>D15*$C$7</f>
        <v/>
      </c>
      <c r="E15">
        <f>E15*$C$5</f>
        <v/>
      </c>
      <c r="F15">
        <f>F15*(1-$C$6)</f>
        <v/>
      </c>
      <c r="G15">
        <f>F15+G15</f>
        <v/>
      </c>
      <c r="H15">
        <f>I14+H15</f>
        <v/>
      </c>
    </row>
    <row r="16">
      <c r="A16" t="n">
        <v>2029</v>
      </c>
      <c r="B16">
        <f>121.5*(1+0.043)^5</f>
        <v/>
      </c>
      <c r="C16" t="n">
        <v>2.151086380916706</v>
      </c>
      <c r="D16">
        <f>D16*$C$7</f>
        <v/>
      </c>
      <c r="E16">
        <f>E16*$C$5</f>
        <v/>
      </c>
      <c r="F16">
        <f>F16*(1-$C$6)</f>
        <v/>
      </c>
      <c r="G16">
        <f>F16+G16</f>
        <v/>
      </c>
      <c r="H16">
        <f>I15+H16</f>
        <v/>
      </c>
    </row>
    <row r="17">
      <c r="A17" t="n">
        <v>2030</v>
      </c>
      <c r="B17">
        <f>121.5*(1+0.043)^6</f>
        <v/>
      </c>
      <c r="C17" t="n">
        <v>1.478418980280733</v>
      </c>
      <c r="D17">
        <f>D17*$C$7</f>
        <v/>
      </c>
      <c r="E17">
        <f>E17*$C$5</f>
        <v/>
      </c>
      <c r="F17">
        <f>F17*(1-$C$6)</f>
        <v/>
      </c>
      <c r="G17">
        <f>F17+G17</f>
        <v/>
      </c>
      <c r="H17">
        <f>I16+H17</f>
        <v/>
      </c>
    </row>
    <row r="18">
      <c r="A18" t="n">
        <v>2031</v>
      </c>
      <c r="B18">
        <f>121.5*(1+0.043)^7</f>
        <v/>
      </c>
      <c r="C18" t="n">
        <v>0.7913409880206257</v>
      </c>
      <c r="D18">
        <f>D18*$C$7</f>
        <v/>
      </c>
      <c r="E18">
        <f>E18*$C$5</f>
        <v/>
      </c>
      <c r="F18">
        <f>F18*(1-$C$6)</f>
        <v/>
      </c>
      <c r="G18">
        <f>F18+G18</f>
        <v/>
      </c>
      <c r="H18">
        <f>I17+H18</f>
        <v/>
      </c>
    </row>
    <row r="19">
      <c r="A19" t="n">
        <v>2032</v>
      </c>
      <c r="B19">
        <f>121.5*(1+0.043)^8</f>
        <v/>
      </c>
      <c r="C19" t="n">
        <v>0.3298801966785667</v>
      </c>
      <c r="D19">
        <f>D19*$C$7</f>
        <v/>
      </c>
      <c r="E19">
        <f>E19*$C$5</f>
        <v/>
      </c>
      <c r="F19">
        <f>F19*(1-$C$6)</f>
        <v/>
      </c>
      <c r="G19">
        <f>F19+G19</f>
        <v/>
      </c>
      <c r="H19">
        <f>I18+H19</f>
        <v/>
      </c>
    </row>
    <row r="20">
      <c r="A20" t="n">
        <v>2033</v>
      </c>
      <c r="B20">
        <f>121.5*(1+0.043)^9</f>
        <v/>
      </c>
      <c r="C20" t="n">
        <v>0.1070965008279201</v>
      </c>
      <c r="D20">
        <f>D20*$C$7</f>
        <v/>
      </c>
      <c r="E20">
        <f>E20*$C$5</f>
        <v/>
      </c>
      <c r="F20">
        <f>F20*(1-$C$6)</f>
        <v/>
      </c>
      <c r="G20">
        <f>F20+G20</f>
        <v/>
      </c>
      <c r="H20">
        <f>I19+H20</f>
        <v/>
      </c>
    </row>
    <row r="21">
      <c r="A21" t="n">
        <v>2034</v>
      </c>
      <c r="B21">
        <f>121.5*(1+0.043)^10</f>
        <v/>
      </c>
      <c r="C21" t="n">
        <v>0</v>
      </c>
      <c r="D21">
        <f>D21*$C$7</f>
        <v/>
      </c>
      <c r="E21">
        <f>E21*$C$5</f>
        <v/>
      </c>
      <c r="F21">
        <f>F21*(1-$C$6)</f>
        <v/>
      </c>
      <c r="G21">
        <f>F21+G21</f>
        <v/>
      </c>
      <c r="H21">
        <f>I20+H21</f>
        <v/>
      </c>
    </row>
    <row r="22">
      <c r="A22" t="n">
        <v>2035</v>
      </c>
      <c r="B22">
        <f>121.5*(1+0.043)^11</f>
        <v/>
      </c>
      <c r="C22" t="n">
        <v>0</v>
      </c>
      <c r="D22">
        <f>D22*$C$7</f>
        <v/>
      </c>
      <c r="E22">
        <f>E22*$C$5</f>
        <v/>
      </c>
      <c r="F22">
        <f>F22*(1-$C$6)</f>
        <v/>
      </c>
      <c r="G22">
        <f>F22+G22</f>
        <v/>
      </c>
      <c r="H22">
        <f>I21+H22</f>
        <v/>
      </c>
    </row>
    <row r="23">
      <c r="A23" t="n">
        <v>2036</v>
      </c>
      <c r="B23">
        <f>121.5*(1+0.043)^12</f>
        <v/>
      </c>
      <c r="C23" t="n">
        <v>0</v>
      </c>
      <c r="D23">
        <f>D23*$C$7</f>
        <v/>
      </c>
      <c r="E23">
        <f>E23*$C$5</f>
        <v/>
      </c>
      <c r="F23">
        <f>F23*(1-$C$6)</f>
        <v/>
      </c>
      <c r="G23">
        <f>F23+G23</f>
        <v/>
      </c>
      <c r="H23">
        <f>I22+H23</f>
        <v/>
      </c>
    </row>
    <row r="24">
      <c r="A24" t="n">
        <v>2037</v>
      </c>
      <c r="B24">
        <f>121.5*(1+0.043)^13</f>
        <v/>
      </c>
      <c r="C24" t="n">
        <v>0</v>
      </c>
      <c r="D24">
        <f>D24*$C$7</f>
        <v/>
      </c>
      <c r="E24">
        <f>E24*$C$5</f>
        <v/>
      </c>
      <c r="F24">
        <f>F24*(1-$C$6)</f>
        <v/>
      </c>
      <c r="G24">
        <f>F24+G24</f>
        <v/>
      </c>
      <c r="H24">
        <f>I23+H24</f>
        <v/>
      </c>
    </row>
    <row r="25">
      <c r="A25" t="n">
        <v>2038</v>
      </c>
      <c r="B25">
        <f>121.5*(1+0.043)^14</f>
        <v/>
      </c>
      <c r="C25" t="n">
        <v>0</v>
      </c>
      <c r="D25">
        <f>D25*$C$7</f>
        <v/>
      </c>
      <c r="E25">
        <f>E25*$C$5</f>
        <v/>
      </c>
      <c r="F25">
        <f>F25*(1-$C$6)</f>
        <v/>
      </c>
      <c r="G25">
        <f>F25+G25</f>
        <v/>
      </c>
      <c r="H25">
        <f>I24+H25</f>
        <v/>
      </c>
    </row>
    <row r="26">
      <c r="A26" t="n">
        <v>2039</v>
      </c>
      <c r="B26">
        <f>121.5*(1+0.043)^15</f>
        <v/>
      </c>
      <c r="C26" t="n">
        <v>0</v>
      </c>
      <c r="D26">
        <f>D26*$C$7</f>
        <v/>
      </c>
      <c r="E26">
        <f>E26*$C$5</f>
        <v/>
      </c>
      <c r="F26">
        <f>F26*(1-$C$6)</f>
        <v/>
      </c>
      <c r="G26">
        <f>F26+G26</f>
        <v/>
      </c>
      <c r="H26">
        <f>I25+H26</f>
        <v/>
      </c>
    </row>
    <row r="27">
      <c r="A27" t="n">
        <v>2040</v>
      </c>
      <c r="B27">
        <f>121.5*(1+0.043)^16</f>
        <v/>
      </c>
      <c r="C27" t="n">
        <v>0</v>
      </c>
      <c r="D27">
        <f>D27*$C$7</f>
        <v/>
      </c>
      <c r="E27">
        <f>E27*$C$5</f>
        <v/>
      </c>
      <c r="F27">
        <f>F27*(1-$C$6)</f>
        <v/>
      </c>
      <c r="G27">
        <f>F27+G27</f>
        <v/>
      </c>
      <c r="H27">
        <f>I26+H27</f>
        <v/>
      </c>
    </row>
    <row r="28">
      <c r="A28" t="n">
        <v>2041</v>
      </c>
      <c r="B28">
        <f>121.5*(1+0.043)^17</f>
        <v/>
      </c>
      <c r="C28" t="n">
        <v>0</v>
      </c>
      <c r="D28">
        <f>D28*$C$7</f>
        <v/>
      </c>
      <c r="E28">
        <f>E28*$C$5</f>
        <v/>
      </c>
      <c r="F28">
        <f>F28*(1-$C$6)</f>
        <v/>
      </c>
      <c r="G28">
        <f>F28+G28</f>
        <v/>
      </c>
      <c r="H28">
        <f>I27+H28</f>
        <v/>
      </c>
    </row>
    <row r="29">
      <c r="A29" t="n">
        <v>2042</v>
      </c>
      <c r="B29">
        <f>121.5*(1+0.043)^18</f>
        <v/>
      </c>
      <c r="C29" t="n">
        <v>0</v>
      </c>
      <c r="D29">
        <f>D29*$C$7</f>
        <v/>
      </c>
      <c r="E29">
        <f>E29*$C$5</f>
        <v/>
      </c>
      <c r="F29">
        <f>F29*(1-$C$6)</f>
        <v/>
      </c>
      <c r="G29">
        <f>F29+G29</f>
        <v/>
      </c>
      <c r="H29">
        <f>I28+H29</f>
        <v/>
      </c>
    </row>
    <row r="30">
      <c r="A30" t="n">
        <v>2043</v>
      </c>
      <c r="B30">
        <f>121.5*(1+0.043)^19</f>
        <v/>
      </c>
      <c r="C30" t="n">
        <v>0</v>
      </c>
      <c r="D30">
        <f>D30*$C$7</f>
        <v/>
      </c>
      <c r="E30">
        <f>E30*$C$5</f>
        <v/>
      </c>
      <c r="F30">
        <f>F30*(1-$C$6)</f>
        <v/>
      </c>
      <c r="G30">
        <f>F30+G30</f>
        <v/>
      </c>
      <c r="H30">
        <f>I29+H30</f>
        <v/>
      </c>
    </row>
    <row r="35">
      <c r="A35" t="inlineStr">
        <is>
          <t>Total Investment:</t>
        </is>
      </c>
      <c r="B35">
        <f>SUM(D11:D34)</f>
        <v/>
      </c>
    </row>
    <row r="36">
      <c r="A36" t="inlineStr">
        <is>
          <t>Total GDP Impact:</t>
        </is>
      </c>
      <c r="B36">
        <f>SUM(H11:H34)</f>
        <v/>
      </c>
    </row>
    <row r="37">
      <c r="A37" t="inlineStr">
        <is>
          <t>Total GDP Impact (USD):</t>
        </is>
      </c>
      <c r="B37">
        <f>B36/$C$7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2026-01-29T04:39:17Z</dcterms:created>
  <dcterms:modified xsi:type="dcterms:W3CDTF">2026-01-29T04:40:36Z</dcterms:modified>
</cp:coreProperties>
</file>