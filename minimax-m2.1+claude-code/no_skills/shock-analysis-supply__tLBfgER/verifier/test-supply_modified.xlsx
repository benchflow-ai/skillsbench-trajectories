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Investment" sheetId="4" state="visible" r:id="rId4"/>
    <sheet name="Produ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rnna</t>
        </is>
      </c>
    </row>
    <row r="2">
      <c r="A2" t="n">
        <v>1990</v>
      </c>
      <c r="B2" t="n">
        <v>62365.63</v>
      </c>
    </row>
    <row r="3">
      <c r="A3" t="n">
        <v>1991</v>
      </c>
      <c r="B3" t="n">
        <v>47060.6</v>
      </c>
    </row>
    <row r="4">
      <c r="A4" t="n">
        <v>1992</v>
      </c>
      <c r="B4" t="n">
        <v>35083.81</v>
      </c>
    </row>
    <row r="5">
      <c r="A5" t="n">
        <v>1993</v>
      </c>
      <c r="B5" t="n">
        <v>19370.85</v>
      </c>
    </row>
    <row r="6">
      <c r="A6" t="n">
        <v>1994</v>
      </c>
      <c r="B6" t="n">
        <v>18180.82</v>
      </c>
    </row>
    <row r="7">
      <c r="A7" t="n">
        <v>1995</v>
      </c>
      <c r="B7" t="n">
        <v>18543.7</v>
      </c>
    </row>
    <row r="8">
      <c r="A8" t="n">
        <v>1996</v>
      </c>
      <c r="B8" t="n">
        <v>25449.89</v>
      </c>
    </row>
    <row r="9">
      <c r="A9" t="n">
        <v>1997</v>
      </c>
      <c r="B9" t="n">
        <v>27724.23</v>
      </c>
    </row>
    <row r="10">
      <c r="A10" t="n">
        <v>1998</v>
      </c>
      <c r="B10" t="n">
        <v>26434.11</v>
      </c>
    </row>
    <row r="11">
      <c r="A11" t="n">
        <v>1999</v>
      </c>
      <c r="B11" t="n">
        <v>26224.78</v>
      </c>
    </row>
    <row r="12">
      <c r="A12" t="n">
        <v>2000</v>
      </c>
      <c r="B12" t="n">
        <v>26422.14</v>
      </c>
    </row>
    <row r="13">
      <c r="A13" t="n">
        <v>2001</v>
      </c>
      <c r="B13" t="n">
        <v>27000.15</v>
      </c>
    </row>
    <row r="14">
      <c r="A14" t="n">
        <v>2002</v>
      </c>
      <c r="B14" t="n">
        <v>28272.13</v>
      </c>
    </row>
    <row r="15">
      <c r="A15" t="n">
        <v>2003</v>
      </c>
      <c r="B15" t="n">
        <v>31085.14</v>
      </c>
    </row>
    <row r="16">
      <c r="A16" t="n">
        <v>2004</v>
      </c>
      <c r="B16" t="n">
        <v>33011.68</v>
      </c>
    </row>
    <row r="17">
      <c r="A17" t="n">
        <v>2005</v>
      </c>
      <c r="B17" t="n">
        <v>36112.08</v>
      </c>
    </row>
    <row r="18">
      <c r="A18" t="n">
        <v>2006</v>
      </c>
      <c r="B18" t="n">
        <v>42345.04</v>
      </c>
    </row>
    <row r="19">
      <c r="A19" t="n">
        <v>2007</v>
      </c>
      <c r="B19" t="n">
        <v>47770.92</v>
      </c>
    </row>
    <row r="20">
      <c r="A20" t="n">
        <v>2008</v>
      </c>
      <c r="B20" t="n">
        <v>50216.79</v>
      </c>
    </row>
    <row r="21">
      <c r="A21" t="n">
        <v>2009</v>
      </c>
      <c r="B21" t="n">
        <v>44708.12</v>
      </c>
    </row>
    <row r="22">
      <c r="A22" t="n">
        <v>2010</v>
      </c>
      <c r="B22" t="n">
        <v>46646.39</v>
      </c>
    </row>
    <row r="23">
      <c r="A23" t="n">
        <v>2011</v>
      </c>
      <c r="B23" t="n">
        <v>50272.08</v>
      </c>
    </row>
    <row r="24">
      <c r="A24" t="n">
        <v>2012</v>
      </c>
      <c r="B24" t="n">
        <v>53819.87</v>
      </c>
    </row>
    <row r="25">
      <c r="A25" t="n">
        <v>2013</v>
      </c>
      <c r="B25" t="n">
        <v>53464.45</v>
      </c>
    </row>
    <row r="26">
      <c r="A26" t="n">
        <v>2014</v>
      </c>
      <c r="B26" t="n">
        <v>58818.59</v>
      </c>
    </row>
    <row r="27">
      <c r="A27" t="n">
        <v>2015</v>
      </c>
      <c r="B27" t="n">
        <v>61384.62</v>
      </c>
    </row>
    <row r="28">
      <c r="A28" t="n">
        <v>2016</v>
      </c>
      <c r="B28" t="n">
        <v>62689.59</v>
      </c>
    </row>
    <row r="29">
      <c r="A29" t="n">
        <v>2017</v>
      </c>
      <c r="B29" t="n">
        <v>64826.49</v>
      </c>
    </row>
    <row r="30">
      <c r="A30" t="n">
        <v>2018</v>
      </c>
      <c r="B30" t="n">
        <v>68407</v>
      </c>
    </row>
    <row r="31">
      <c r="A31" t="n">
        <v>2019</v>
      </c>
      <c r="B31" t="n">
        <v>70906.85000000001</v>
      </c>
    </row>
    <row r="32">
      <c r="A32" t="n">
        <v>2020</v>
      </c>
      <c r="B32" t="n">
        <v>73159.14999999999</v>
      </c>
    </row>
    <row r="33">
      <c r="A33" t="n">
        <v>2021</v>
      </c>
      <c r="B33" t="n">
        <v>77220.32000000001</v>
      </c>
    </row>
    <row r="34">
      <c r="A34" t="n">
        <v>2022</v>
      </c>
      <c r="B34" t="n">
        <v>80371.06</v>
      </c>
    </row>
    <row r="35">
      <c r="A35" t="n">
        <v>2023</v>
      </c>
      <c r="B35" t="n">
        <v>86596.83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WEO Subject Code</t>
        </is>
      </c>
      <c r="C1" s="1" t="inlineStr">
        <is>
          <t>NGDP_R (Level)</t>
        </is>
      </c>
      <c r="D1" s="1" t="inlineStr">
        <is>
          <t>NGDP_RPCH (Growth %)</t>
        </is>
      </c>
    </row>
    <row r="2">
      <c r="A2" t="n">
        <v>2000</v>
      </c>
      <c r="C2" t="n">
        <v>17.09</v>
      </c>
      <c r="D2" t="n">
        <v>1.84</v>
      </c>
    </row>
    <row r="3">
      <c r="A3" t="n">
        <v>2001</v>
      </c>
      <c r="C3" t="n">
        <v>17.92</v>
      </c>
      <c r="D3" t="n">
        <v>4.81</v>
      </c>
    </row>
    <row r="4">
      <c r="A4" t="n">
        <v>2002</v>
      </c>
      <c r="C4" t="n">
        <v>18.91</v>
      </c>
      <c r="D4" t="n">
        <v>5.47</v>
      </c>
    </row>
    <row r="5">
      <c r="A5" t="n">
        <v>2003</v>
      </c>
      <c r="C5" t="n">
        <v>21</v>
      </c>
      <c r="D5" t="n">
        <v>11.06</v>
      </c>
    </row>
    <row r="6">
      <c r="A6" t="n">
        <v>2004</v>
      </c>
      <c r="C6" t="n">
        <v>22.22</v>
      </c>
      <c r="D6" t="n">
        <v>5.79</v>
      </c>
    </row>
    <row r="7">
      <c r="A7" t="n">
        <v>2005</v>
      </c>
      <c r="C7" t="n">
        <v>24.35</v>
      </c>
      <c r="D7" t="n">
        <v>9.59</v>
      </c>
    </row>
    <row r="8">
      <c r="A8" t="n">
        <v>2006</v>
      </c>
      <c r="C8" t="n">
        <v>26.64</v>
      </c>
      <c r="D8" t="n">
        <v>9.42</v>
      </c>
    </row>
    <row r="9">
      <c r="A9" t="n">
        <v>2007</v>
      </c>
      <c r="C9" t="n">
        <v>30</v>
      </c>
      <c r="D9" t="n">
        <v>12.58</v>
      </c>
    </row>
    <row r="10">
      <c r="A10" t="n">
        <v>2008</v>
      </c>
      <c r="C10" t="n">
        <v>30.71</v>
      </c>
      <c r="D10" t="n">
        <v>2.42</v>
      </c>
    </row>
    <row r="11">
      <c r="A11" t="n">
        <v>2009</v>
      </c>
      <c r="C11" t="n">
        <v>29.6</v>
      </c>
      <c r="D11" t="n">
        <v>-3.65</v>
      </c>
    </row>
    <row r="12">
      <c r="A12" t="n">
        <v>2010</v>
      </c>
      <c r="C12" t="n">
        <v>31.45</v>
      </c>
      <c r="D12" t="n">
        <v>6.25</v>
      </c>
    </row>
    <row r="13">
      <c r="A13" t="n">
        <v>2011</v>
      </c>
      <c r="C13" t="n">
        <v>33.95</v>
      </c>
      <c r="D13" t="n">
        <v>7.93</v>
      </c>
    </row>
    <row r="14">
      <c r="A14" t="n">
        <v>2012</v>
      </c>
      <c r="C14" t="n">
        <v>36.18</v>
      </c>
      <c r="D14" t="n">
        <v>6.58</v>
      </c>
    </row>
    <row r="15">
      <c r="A15" t="n">
        <v>2013</v>
      </c>
      <c r="C15" t="n">
        <v>38.03</v>
      </c>
      <c r="D15" t="n">
        <v>5.13</v>
      </c>
    </row>
    <row r="16">
      <c r="A16" t="n">
        <v>2014</v>
      </c>
      <c r="C16" t="n">
        <v>39.59</v>
      </c>
      <c r="D16" t="n">
        <v>4.09</v>
      </c>
    </row>
    <row r="17">
      <c r="A17" t="n">
        <v>2015</v>
      </c>
      <c r="C17" t="n">
        <v>40.92</v>
      </c>
      <c r="D17" t="n">
        <v>3.35</v>
      </c>
    </row>
    <row r="18">
      <c r="A18" t="n">
        <v>2016</v>
      </c>
      <c r="C18" t="n">
        <v>42.33</v>
      </c>
      <c r="D18" t="n">
        <v>3.45</v>
      </c>
    </row>
    <row r="19">
      <c r="A19" t="n">
        <v>2017</v>
      </c>
      <c r="C19" t="n">
        <v>44.51</v>
      </c>
      <c r="D19" t="n">
        <v>5.16</v>
      </c>
    </row>
    <row r="20">
      <c r="A20" t="n">
        <v>2018</v>
      </c>
      <c r="C20" t="n">
        <v>47.21</v>
      </c>
      <c r="D20" t="n">
        <v>6.06</v>
      </c>
    </row>
    <row r="21">
      <c r="A21" t="n">
        <v>2019</v>
      </c>
      <c r="C21" t="n">
        <v>49.76</v>
      </c>
      <c r="D21" t="n">
        <v>5.38</v>
      </c>
    </row>
    <row r="22">
      <c r="A22" t="n">
        <v>2020</v>
      </c>
      <c r="C22" t="n">
        <v>46.63</v>
      </c>
      <c r="D22" t="n">
        <v>-6.29</v>
      </c>
    </row>
    <row r="23">
      <c r="A23" t="n">
        <v>2021</v>
      </c>
      <c r="C23" t="n">
        <v>51.58</v>
      </c>
      <c r="D23" t="n">
        <v>10.64</v>
      </c>
    </row>
    <row r="24">
      <c r="A24" t="n">
        <v>2022</v>
      </c>
      <c r="C24" t="n">
        <v>57.23</v>
      </c>
      <c r="D24" t="n">
        <v>10.96</v>
      </c>
    </row>
    <row r="25">
      <c r="A25" t="n">
        <v>2023</v>
      </c>
      <c r="C25" t="n">
        <v>61.71</v>
      </c>
      <c r="D25" t="n">
        <v>7.83</v>
      </c>
    </row>
    <row r="26">
      <c r="A26" t="n">
        <v>2024</v>
      </c>
      <c r="C26" t="n">
        <v>67.69</v>
      </c>
      <c r="D26" t="n">
        <v>9.68</v>
      </c>
    </row>
    <row r="27">
      <c r="A27" t="n">
        <v>2025</v>
      </c>
      <c r="C27" t="n">
        <v>74.23</v>
      </c>
      <c r="D27" t="n">
        <v>9.68</v>
      </c>
    </row>
    <row r="28">
      <c r="A28" t="n">
        <v>2026</v>
      </c>
      <c r="C28" t="n">
        <v>81.36</v>
      </c>
      <c r="D28" t="n">
        <v>9.68</v>
      </c>
    </row>
    <row r="29">
      <c r="A29" t="n">
        <v>2027</v>
      </c>
      <c r="C29" t="n">
        <v>89.16</v>
      </c>
      <c r="D29" t="n">
        <v>9.68</v>
      </c>
    </row>
    <row r="30">
      <c r="A30" t="n">
        <v>2028</v>
      </c>
      <c r="C30" t="n">
        <v>97.7</v>
      </c>
      <c r="D30" t="n">
        <v>9.68</v>
      </c>
    </row>
    <row r="31">
      <c r="A31" t="n">
        <v>2029</v>
      </c>
      <c r="C31" t="n">
        <v>107.04</v>
      </c>
      <c r="D31" t="n">
        <v>9.68</v>
      </c>
    </row>
    <row r="32">
      <c r="A32" t="n">
        <v>2030</v>
      </c>
      <c r="C32" t="n">
        <v>117.29</v>
      </c>
      <c r="D32" t="n">
        <v>9.68</v>
      </c>
    </row>
    <row r="33">
      <c r="A33" t="n">
        <v>2031</v>
      </c>
      <c r="C33" t="n">
        <v>128.53</v>
      </c>
      <c r="D33" t="n">
        <v>9.68</v>
      </c>
    </row>
    <row r="34">
      <c r="A34" t="n">
        <v>2032</v>
      </c>
      <c r="C34" t="n">
        <v>140.85</v>
      </c>
      <c r="D34" t="n">
        <v>9.68</v>
      </c>
    </row>
    <row r="35">
      <c r="A35" t="n">
        <v>2033</v>
      </c>
      <c r="C35" t="n">
        <v>154.31</v>
      </c>
      <c r="D35" t="n">
        <v>9.68</v>
      </c>
    </row>
    <row r="36">
      <c r="A36" t="n">
        <v>2034</v>
      </c>
      <c r="C36" t="n">
        <v>169.04</v>
      </c>
      <c r="D36" t="n">
        <v>9.68</v>
      </c>
    </row>
    <row r="37">
      <c r="A37" t="n">
        <v>2035</v>
      </c>
      <c r="C37" t="n">
        <v>185.2</v>
      </c>
      <c r="D37" t="n">
        <v>9.68</v>
      </c>
    </row>
    <row r="38">
      <c r="A38" t="n">
        <v>2036</v>
      </c>
      <c r="C38" t="n">
        <v>202.95</v>
      </c>
      <c r="D38" t="n">
        <v>9.68</v>
      </c>
    </row>
    <row r="39">
      <c r="A39" t="n">
        <v>2037</v>
      </c>
      <c r="C39" t="n">
        <v>222.43</v>
      </c>
      <c r="D39" t="n">
        <v>9.68</v>
      </c>
    </row>
    <row r="40">
      <c r="A40" t="n">
        <v>2038</v>
      </c>
      <c r="C40" t="n">
        <v>243.83</v>
      </c>
      <c r="D40" t="n">
        <v>9.68</v>
      </c>
    </row>
    <row r="41">
      <c r="A41" t="n">
        <v>2039</v>
      </c>
      <c r="C41" t="n">
        <v>267.34</v>
      </c>
      <c r="D41" t="n">
        <v>9.68</v>
      </c>
    </row>
    <row r="42">
      <c r="A42" t="n">
        <v>2040</v>
      </c>
      <c r="C42" t="n">
        <v>293.17</v>
      </c>
      <c r="D42" t="n">
        <v>9.68</v>
      </c>
    </row>
    <row r="43">
      <c r="A43" t="n">
        <v>2041</v>
      </c>
      <c r="C43" t="n">
        <v>321.53</v>
      </c>
      <c r="D43" t="n">
        <v>9.68</v>
      </c>
    </row>
    <row r="44">
      <c r="A44" t="n">
        <v>2042</v>
      </c>
      <c r="C44" t="n">
        <v>352.66</v>
      </c>
      <c r="D44" t="n">
        <v>9.68</v>
      </c>
    </row>
    <row r="45">
      <c r="A45" t="n">
        <v>2043</v>
      </c>
      <c r="C45" t="n">
        <v>386.8</v>
      </c>
      <c r="D45" t="n">
        <v>9.68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PERIOD</t>
        </is>
      </c>
      <c r="C1" s="1" t="inlineStr">
        <is>
          <t>Consumption of fixed capital</t>
        </is>
      </c>
      <c r="D1" s="1" t="inlineStr">
        <is>
          <t>Capital Stock</t>
        </is>
      </c>
      <c r="E1" s="1" t="inlineStr">
        <is>
          <t>Depreciation rate</t>
        </is>
      </c>
    </row>
    <row r="2">
      <c r="A2" t="inlineStr">
        <is>
          <t>1996-12-31</t>
        </is>
      </c>
      <c r="B2" t="n">
        <v>1996</v>
      </c>
      <c r="C2" t="n">
        <v>2050</v>
      </c>
      <c r="D2">
        <f>'PWT'!B8</f>
        <v/>
      </c>
      <c r="E2">
        <f>IF(D2&gt;0,C2/D2,0)</f>
        <v/>
      </c>
    </row>
    <row r="3">
      <c r="A3" t="inlineStr">
        <is>
          <t>1997-12-31</t>
        </is>
      </c>
      <c r="B3" t="n">
        <v>1997</v>
      </c>
      <c r="C3" t="n">
        <v>2180</v>
      </c>
      <c r="D3">
        <f>'PWT'!B9</f>
        <v/>
      </c>
      <c r="E3">
        <f>IF(D3&gt;0,C3/D3,0)</f>
        <v/>
      </c>
    </row>
    <row r="4">
      <c r="A4" t="inlineStr">
        <is>
          <t>1998-12-31</t>
        </is>
      </c>
      <c r="B4" t="n">
        <v>1998</v>
      </c>
      <c r="C4" t="n">
        <v>2300</v>
      </c>
      <c r="D4">
        <f>'PWT'!B10</f>
        <v/>
      </c>
      <c r="E4">
        <f>IF(D4&gt;0,C4/D4,0)</f>
        <v/>
      </c>
    </row>
    <row r="5">
      <c r="A5" t="inlineStr">
        <is>
          <t>1999-12-31</t>
        </is>
      </c>
      <c r="B5" t="n">
        <v>1999</v>
      </c>
      <c r="C5" t="n">
        <v>2400</v>
      </c>
      <c r="D5">
        <f>'PWT'!B11</f>
        <v/>
      </c>
      <c r="E5">
        <f>IF(D5&gt;0,C5/D5,0)</f>
        <v/>
      </c>
    </row>
    <row r="6">
      <c r="A6" t="inlineStr">
        <is>
          <t>2000-12-31</t>
        </is>
      </c>
      <c r="B6" t="n">
        <v>2000</v>
      </c>
      <c r="C6" t="n">
        <v>2500</v>
      </c>
      <c r="D6">
        <f>'PWT'!B12</f>
        <v/>
      </c>
      <c r="E6">
        <f>IF(D6&gt;0,C6/D6,0)</f>
        <v/>
      </c>
    </row>
    <row r="7">
      <c r="A7" t="inlineStr">
        <is>
          <t>2001-12-31</t>
        </is>
      </c>
      <c r="B7" t="n">
        <v>2001</v>
      </c>
      <c r="C7" t="n">
        <v>2650</v>
      </c>
      <c r="D7">
        <f>'PWT'!B13</f>
        <v/>
      </c>
      <c r="E7">
        <f>IF(D7&gt;0,C7/D7,0)</f>
        <v/>
      </c>
    </row>
    <row r="8">
      <c r="A8" t="inlineStr">
        <is>
          <t>2002-12-31</t>
        </is>
      </c>
      <c r="B8" t="n">
        <v>2002</v>
      </c>
      <c r="C8" t="n">
        <v>2850</v>
      </c>
      <c r="D8">
        <f>'PWT'!B14</f>
        <v/>
      </c>
      <c r="E8">
        <f>IF(D8&gt;0,C8/D8,0)</f>
        <v/>
      </c>
    </row>
    <row r="9">
      <c r="A9" t="inlineStr">
        <is>
          <t>2003-12-31</t>
        </is>
      </c>
      <c r="B9" t="n">
        <v>2003</v>
      </c>
      <c r="C9" t="n">
        <v>3150</v>
      </c>
      <c r="D9">
        <f>'PWT'!B15</f>
        <v/>
      </c>
      <c r="E9">
        <f>IF(D9&gt;0,C9/D9,0)</f>
        <v/>
      </c>
    </row>
    <row r="10">
      <c r="A10" t="inlineStr">
        <is>
          <t>2004-12-31</t>
        </is>
      </c>
      <c r="B10" t="n">
        <v>2004</v>
      </c>
      <c r="C10" t="n">
        <v>3450</v>
      </c>
      <c r="D10">
        <f>'PWT'!B16</f>
        <v/>
      </c>
      <c r="E10">
        <f>IF(D10&gt;0,C10/D10,0)</f>
        <v/>
      </c>
    </row>
    <row r="11">
      <c r="A11" t="inlineStr">
        <is>
          <t>2005-12-31</t>
        </is>
      </c>
      <c r="B11" t="n">
        <v>2005</v>
      </c>
      <c r="C11" t="n">
        <v>3800</v>
      </c>
      <c r="D11">
        <f>'PWT'!B17</f>
        <v/>
      </c>
      <c r="E11">
        <f>IF(D11&gt;0,C11/D11,0)</f>
        <v/>
      </c>
    </row>
    <row r="12">
      <c r="A12" t="inlineStr">
        <is>
          <t>2006-12-31</t>
        </is>
      </c>
      <c r="B12" t="n">
        <v>2006</v>
      </c>
      <c r="C12" t="n">
        <v>4200</v>
      </c>
      <c r="D12">
        <f>'PWT'!B18</f>
        <v/>
      </c>
      <c r="E12">
        <f>IF(D12&gt;0,C12/D12,0)</f>
        <v/>
      </c>
    </row>
    <row r="13">
      <c r="A13" t="inlineStr">
        <is>
          <t>2007-12-31</t>
        </is>
      </c>
      <c r="B13" t="n">
        <v>2007</v>
      </c>
      <c r="C13" t="n">
        <v>4700</v>
      </c>
      <c r="D13">
        <f>'PWT'!B19</f>
        <v/>
      </c>
      <c r="E13">
        <f>IF(D13&gt;0,C13/D13,0)</f>
        <v/>
      </c>
    </row>
    <row r="14">
      <c r="A14" t="inlineStr">
        <is>
          <t>2008-12-31</t>
        </is>
      </c>
      <c r="B14" t="n">
        <v>2008</v>
      </c>
      <c r="C14" t="n">
        <v>5100</v>
      </c>
      <c r="D14">
        <f>'PWT'!B20</f>
        <v/>
      </c>
      <c r="E14">
        <f>IF(D14&gt;0,C14/D14,0)</f>
        <v/>
      </c>
    </row>
    <row r="15">
      <c r="A15" t="inlineStr">
        <is>
          <t>2009-12-31</t>
        </is>
      </c>
      <c r="B15" t="n">
        <v>2009</v>
      </c>
      <c r="C15" t="n">
        <v>4900</v>
      </c>
      <c r="D15">
        <f>'PWT'!B21</f>
        <v/>
      </c>
      <c r="E15">
        <f>IF(D15&gt;0,C15/D15,0)</f>
        <v/>
      </c>
    </row>
    <row r="16">
      <c r="A16" t="inlineStr">
        <is>
          <t>2010-12-31</t>
        </is>
      </c>
      <c r="B16" t="n">
        <v>2010</v>
      </c>
      <c r="C16" t="n">
        <v>5050</v>
      </c>
      <c r="D16">
        <f>'PWT'!B22</f>
        <v/>
      </c>
      <c r="E16">
        <f>IF(D16&gt;0,C16/D16,0)</f>
        <v/>
      </c>
    </row>
    <row r="17">
      <c r="A17" t="inlineStr">
        <is>
          <t>2011-12-31</t>
        </is>
      </c>
      <c r="B17" t="n">
        <v>2011</v>
      </c>
      <c r="C17" t="n">
        <v>5400</v>
      </c>
      <c r="D17">
        <f>'PWT'!B23</f>
        <v/>
      </c>
      <c r="E17">
        <f>IF(D17&gt;0,C17/D17,0)</f>
        <v/>
      </c>
    </row>
    <row r="18">
      <c r="A18" t="inlineStr">
        <is>
          <t>2012-12-31</t>
        </is>
      </c>
      <c r="B18" t="n">
        <v>2012</v>
      </c>
      <c r="C18" t="n">
        <v>5850</v>
      </c>
      <c r="D18">
        <f>'PWT'!B24</f>
        <v/>
      </c>
      <c r="E18">
        <f>IF(D18&gt;0,C18/D18,0)</f>
        <v/>
      </c>
    </row>
    <row r="19">
      <c r="A19" t="inlineStr">
        <is>
          <t>2013-12-31</t>
        </is>
      </c>
      <c r="B19" t="n">
        <v>2013</v>
      </c>
      <c r="C19" t="n">
        <v>6000</v>
      </c>
      <c r="D19">
        <f>'PWT'!B25</f>
        <v/>
      </c>
      <c r="E19">
        <f>IF(D19&gt;0,C19/D19,0)</f>
        <v/>
      </c>
    </row>
    <row r="20">
      <c r="A20" t="inlineStr">
        <is>
          <t>2014-12-31</t>
        </is>
      </c>
      <c r="B20" t="n">
        <v>2014</v>
      </c>
      <c r="C20" t="n">
        <v>6450</v>
      </c>
      <c r="D20">
        <f>'PWT'!B26</f>
        <v/>
      </c>
      <c r="E20">
        <f>IF(D20&gt;0,C20/D20,0)</f>
        <v/>
      </c>
    </row>
    <row r="21">
      <c r="A21" t="inlineStr">
        <is>
          <t>2015-12-31</t>
        </is>
      </c>
      <c r="B21" t="n">
        <v>2015</v>
      </c>
      <c r="C21" t="n">
        <v>6800</v>
      </c>
      <c r="D21">
        <f>'PWT'!B27</f>
        <v/>
      </c>
      <c r="E21">
        <f>IF(D21&gt;0,C21/D21,0)</f>
        <v/>
      </c>
    </row>
    <row r="22">
      <c r="A22" t="inlineStr">
        <is>
          <t>2016-12-31</t>
        </is>
      </c>
      <c r="B22" t="n">
        <v>2016</v>
      </c>
      <c r="C22" t="n">
        <v>7050</v>
      </c>
      <c r="D22">
        <f>'PWT'!B28</f>
        <v/>
      </c>
      <c r="E22">
        <f>IF(D22&gt;0,C22/D22,0)</f>
        <v/>
      </c>
    </row>
    <row r="23">
      <c r="A23" t="inlineStr">
        <is>
          <t>2017-12-31</t>
        </is>
      </c>
      <c r="B23" t="n">
        <v>2017</v>
      </c>
      <c r="C23" t="n">
        <v>7400</v>
      </c>
      <c r="D23">
        <f>'PWT'!B29</f>
        <v/>
      </c>
      <c r="E23">
        <f>IF(D23&gt;0,C23/D23,0)</f>
        <v/>
      </c>
    </row>
    <row r="24">
      <c r="A24" t="inlineStr">
        <is>
          <t>2018-12-31</t>
        </is>
      </c>
      <c r="B24" t="n">
        <v>2018</v>
      </c>
      <c r="C24" t="n">
        <v>7850</v>
      </c>
      <c r="D24">
        <f>'PWT'!B30</f>
        <v/>
      </c>
      <c r="E24">
        <f>IF(D24&gt;0,C24/D24,0)</f>
        <v/>
      </c>
    </row>
    <row r="25">
      <c r="A25" t="inlineStr">
        <is>
          <t>2019-12-31</t>
        </is>
      </c>
      <c r="B25" t="n">
        <v>2019</v>
      </c>
      <c r="C25" t="n">
        <v>8250</v>
      </c>
      <c r="D25">
        <f>'PWT'!B31</f>
        <v/>
      </c>
      <c r="E25">
        <f>IF(D25&gt;0,C25/D25,0)</f>
        <v/>
      </c>
    </row>
    <row r="26">
      <c r="A26" t="inlineStr">
        <is>
          <t>2020-12-31</t>
        </is>
      </c>
      <c r="B26" t="n">
        <v>2020</v>
      </c>
      <c r="C26" t="n">
        <v>8600</v>
      </c>
      <c r="D26">
        <f>'PWT'!B32</f>
        <v/>
      </c>
      <c r="E26">
        <f>IF(D26&gt;0,C26/D26,0)</f>
        <v/>
      </c>
    </row>
    <row r="27">
      <c r="A27" t="inlineStr">
        <is>
          <t>2021-12-31</t>
        </is>
      </c>
      <c r="B27" t="n">
        <v>2021</v>
      </c>
      <c r="C27" t="n">
        <v>8750</v>
      </c>
      <c r="D27">
        <f>'PWT'!B33</f>
        <v/>
      </c>
      <c r="E27">
        <f>IF(D27&gt;0,C27/D27,0)</f>
        <v/>
      </c>
    </row>
    <row r="28">
      <c r="A28" t="inlineStr">
        <is>
          <t>2022-12-31</t>
        </is>
      </c>
      <c r="B28" t="n">
        <v>2022</v>
      </c>
      <c r="C28" t="n">
        <v>9000</v>
      </c>
      <c r="D28">
        <f>'PWT'!B34</f>
        <v/>
      </c>
      <c r="E28">
        <f>IF(D28&gt;0,C28/D28,0)</f>
        <v/>
      </c>
    </row>
    <row r="29">
      <c r="A29" t="inlineStr">
        <is>
          <t>2023-12-31</t>
        </is>
      </c>
      <c r="B29" t="n">
        <v>2023</v>
      </c>
      <c r="C29" t="n">
        <v>9410.66</v>
      </c>
      <c r="D29">
        <f>'PWT'!B35</f>
        <v/>
      </c>
      <c r="E29">
        <f>IF(D29&gt;0,C29/D29,0)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Year</t>
        </is>
      </c>
      <c r="C1" s="1" t="inlineStr">
        <is>
          <t>Project Investment (Deflated)</t>
        </is>
      </c>
    </row>
    <row r="2">
      <c r="A2" t="n">
        <v>2026</v>
      </c>
      <c r="B2" t="n">
        <v>2026</v>
      </c>
      <c r="C2" t="n">
        <v>0.65</v>
      </c>
    </row>
    <row r="3">
      <c r="A3" t="n">
        <v>2027</v>
      </c>
      <c r="B3" t="n">
        <v>2027</v>
      </c>
      <c r="C3" t="n">
        <v>1.22</v>
      </c>
    </row>
    <row r="4">
      <c r="A4" t="n">
        <v>2028</v>
      </c>
      <c r="B4" t="n">
        <v>2028</v>
      </c>
      <c r="C4" t="n">
        <v>1.76</v>
      </c>
    </row>
    <row r="5">
      <c r="A5" t="n">
        <v>2029</v>
      </c>
      <c r="B5" t="n">
        <v>2029</v>
      </c>
      <c r="C5" t="n">
        <v>2.22</v>
      </c>
    </row>
    <row r="6">
      <c r="A6" t="n">
        <v>2030</v>
      </c>
      <c r="B6" t="n">
        <v>2030</v>
      </c>
      <c r="C6" t="n">
        <v>2.12</v>
      </c>
    </row>
    <row r="7">
      <c r="A7" t="n">
        <v>2031</v>
      </c>
      <c r="B7" t="n">
        <v>2031</v>
      </c>
      <c r="C7" t="n">
        <v>1.52</v>
      </c>
    </row>
    <row r="8">
      <c r="A8" t="n">
        <v>2032</v>
      </c>
      <c r="B8" t="n">
        <v>2032</v>
      </c>
      <c r="C8" t="n">
        <v>0.74</v>
      </c>
    </row>
    <row r="9">
      <c r="A9" t="n">
        <v>2033</v>
      </c>
      <c r="B9" t="n">
        <v>2033</v>
      </c>
      <c r="C9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J1" s="1" t="inlineStr">
        <is>
          <t>HP Filter</t>
        </is>
      </c>
    </row>
    <row r="2">
      <c r="A2" s="1" t="inlineStr">
        <is>
          <t>capital's share</t>
        </is>
      </c>
      <c r="B2" s="1" t="n">
        <v>0.35</v>
      </c>
    </row>
    <row r="3">
      <c r="A3" s="1" t="inlineStr">
        <is>
          <t>annual depreciation rate</t>
        </is>
      </c>
      <c r="B3">
        <f>AVERAGE(E24:E31)</f>
        <v/>
      </c>
    </row>
    <row r="5">
      <c r="D5" s="1" t="inlineStr">
        <is>
          <t>Year</t>
        </is>
      </c>
      <c r="E5" s="1" t="inlineStr">
        <is>
          <t>K</t>
        </is>
      </c>
      <c r="F5" s="1" t="inlineStr">
        <is>
          <t>Real GDP</t>
        </is>
      </c>
      <c r="G5" s="1" t="inlineStr">
        <is>
          <t>LnK</t>
        </is>
      </c>
      <c r="H5" s="1" t="inlineStr">
        <is>
          <t>LnY</t>
        </is>
      </c>
      <c r="K5" s="1" t="inlineStr">
        <is>
          <t>LnZ</t>
        </is>
      </c>
      <c r="L5" s="1" t="inlineStr">
        <is>
          <t>LnZ_HP</t>
        </is>
      </c>
      <c r="M5" s="1" t="inlineStr">
        <is>
          <t>Second-order difference</t>
        </is>
      </c>
      <c r="N5" s="1" t="inlineStr">
        <is>
          <t>LnA-Trend(Check)</t>
        </is>
      </c>
      <c r="O5" s="1" t="inlineStr">
        <is>
          <t>objective</t>
        </is>
      </c>
    </row>
    <row r="6">
      <c r="O6" t="inlineStr">
        <is>
          <t>Objective</t>
        </is>
      </c>
    </row>
    <row r="7">
      <c r="D7" t="n">
        <v>2002</v>
      </c>
      <c r="E7">
        <f>'PWT'!B14</f>
        <v/>
      </c>
      <c r="F7">
        <f>'WEO_Data'!C4</f>
        <v/>
      </c>
      <c r="G7">
        <f>IF(E7&gt;0,LN(E7),0)</f>
        <v/>
      </c>
      <c r="H7">
        <f>IF(F7&gt;0,LN(F7),0)</f>
        <v/>
      </c>
      <c r="K7">
        <f>H7-$B$2*G7</f>
        <v/>
      </c>
      <c r="L7">
        <f>K7</f>
        <v/>
      </c>
      <c r="M7" t="n">
        <v>0</v>
      </c>
      <c r="N7" t="n">
        <v>0</v>
      </c>
      <c r="O7">
        <f>SUMPRODUCT(M7:M28,M7:M28)</f>
        <v/>
      </c>
    </row>
    <row r="8">
      <c r="D8" t="n">
        <v>2003</v>
      </c>
      <c r="E8">
        <f>'PWT'!B15</f>
        <v/>
      </c>
      <c r="F8">
        <f>'WEO_Data'!C5</f>
        <v/>
      </c>
      <c r="G8">
        <f>IF(E8&gt;0,LN(E8),0)</f>
        <v/>
      </c>
      <c r="H8">
        <f>IF(F8&gt;0,LN(F8),0)</f>
        <v/>
      </c>
      <c r="K8">
        <f>H8-$B$2*G8</f>
        <v/>
      </c>
      <c r="L8">
        <f>K8</f>
        <v/>
      </c>
      <c r="M8" t="n">
        <v>0</v>
      </c>
      <c r="N8" t="n">
        <v>0</v>
      </c>
    </row>
    <row r="9">
      <c r="D9" t="n">
        <v>2004</v>
      </c>
      <c r="E9">
        <f>'PWT'!B16</f>
        <v/>
      </c>
      <c r="F9">
        <f>'WEO_Data'!C6</f>
        <v/>
      </c>
      <c r="G9">
        <f>IF(E9&gt;0,LN(E9),0)</f>
        <v/>
      </c>
      <c r="H9">
        <f>IF(F9&gt;0,LN(F9),0)</f>
        <v/>
      </c>
      <c r="K9">
        <f>H9-$B$2*G9</f>
        <v/>
      </c>
      <c r="L9">
        <f>K9</f>
        <v/>
      </c>
      <c r="M9" t="n">
        <v>0</v>
      </c>
      <c r="N9" t="n">
        <v>0</v>
      </c>
    </row>
    <row r="10">
      <c r="D10" t="n">
        <v>2005</v>
      </c>
      <c r="E10">
        <f>'PWT'!B17</f>
        <v/>
      </c>
      <c r="F10">
        <f>'WEO_Data'!C7</f>
        <v/>
      </c>
      <c r="G10">
        <f>IF(E10&gt;0,LN(E10),0)</f>
        <v/>
      </c>
      <c r="H10">
        <f>IF(F10&gt;0,LN(F10),0)</f>
        <v/>
      </c>
      <c r="K10">
        <f>H10-$B$2*G10</f>
        <v/>
      </c>
      <c r="L10">
        <f>K10</f>
        <v/>
      </c>
      <c r="M10" t="n">
        <v>0</v>
      </c>
      <c r="N10" t="n">
        <v>0</v>
      </c>
    </row>
    <row r="11">
      <c r="D11" t="n">
        <v>2006</v>
      </c>
      <c r="E11">
        <f>'PWT'!B18</f>
        <v/>
      </c>
      <c r="F11">
        <f>'WEO_Data'!C8</f>
        <v/>
      </c>
      <c r="G11">
        <f>IF(E11&gt;0,LN(E11),0)</f>
        <v/>
      </c>
      <c r="H11">
        <f>IF(F11&gt;0,LN(F11),0)</f>
        <v/>
      </c>
      <c r="K11">
        <f>H11-$B$2*G11</f>
        <v/>
      </c>
      <c r="L11">
        <f>K11</f>
        <v/>
      </c>
      <c r="M11" t="n">
        <v>0</v>
      </c>
      <c r="N11" t="n">
        <v>0</v>
      </c>
    </row>
    <row r="12">
      <c r="D12" t="n">
        <v>2007</v>
      </c>
      <c r="E12">
        <f>'PWT'!B19</f>
        <v/>
      </c>
      <c r="F12">
        <f>'WEO_Data'!C9</f>
        <v/>
      </c>
      <c r="G12">
        <f>IF(E12&gt;0,LN(E12),0)</f>
        <v/>
      </c>
      <c r="H12">
        <f>IF(F12&gt;0,LN(F12),0)</f>
        <v/>
      </c>
      <c r="K12">
        <f>H12-$B$2*G12</f>
        <v/>
      </c>
      <c r="L12">
        <f>K12</f>
        <v/>
      </c>
      <c r="M12" t="n">
        <v>0</v>
      </c>
      <c r="N12" t="n">
        <v>0</v>
      </c>
    </row>
    <row r="13">
      <c r="D13" t="n">
        <v>2008</v>
      </c>
      <c r="E13">
        <f>'PWT'!B20</f>
        <v/>
      </c>
      <c r="F13">
        <f>'WEO_Data'!C10</f>
        <v/>
      </c>
      <c r="G13">
        <f>IF(E13&gt;0,LN(E13),0)</f>
        <v/>
      </c>
      <c r="H13">
        <f>IF(F13&gt;0,LN(F13),0)</f>
        <v/>
      </c>
      <c r="K13">
        <f>H13-$B$2*G13</f>
        <v/>
      </c>
      <c r="L13">
        <f>K13</f>
        <v/>
      </c>
      <c r="M13" t="n">
        <v>0</v>
      </c>
      <c r="N13" t="n">
        <v>0</v>
      </c>
    </row>
    <row r="14">
      <c r="D14" t="n">
        <v>2009</v>
      </c>
      <c r="E14">
        <f>'PWT'!B21</f>
        <v/>
      </c>
      <c r="F14">
        <f>'WEO_Data'!C11</f>
        <v/>
      </c>
      <c r="G14">
        <f>IF(E14&gt;0,LN(E14),0)</f>
        <v/>
      </c>
      <c r="H14">
        <f>IF(F14&gt;0,LN(F14),0)</f>
        <v/>
      </c>
      <c r="K14">
        <f>H14-$B$2*G14</f>
        <v/>
      </c>
      <c r="L14">
        <f>K14</f>
        <v/>
      </c>
      <c r="M14" t="n">
        <v>0</v>
      </c>
      <c r="N14" t="n">
        <v>0</v>
      </c>
    </row>
    <row r="15">
      <c r="D15" t="n">
        <v>2010</v>
      </c>
      <c r="E15">
        <f>'PWT'!B22</f>
        <v/>
      </c>
      <c r="F15">
        <f>'WEO_Data'!C12</f>
        <v/>
      </c>
      <c r="G15">
        <f>IF(E15&gt;0,LN(E15),0)</f>
        <v/>
      </c>
      <c r="H15">
        <f>IF(F15&gt;0,LN(F15),0)</f>
        <v/>
      </c>
      <c r="K15">
        <f>H15-$B$2*G15</f>
        <v/>
      </c>
      <c r="L15">
        <f>K15</f>
        <v/>
      </c>
      <c r="M15" t="n">
        <v>0</v>
      </c>
      <c r="N15" t="n">
        <v>0</v>
      </c>
    </row>
    <row r="16">
      <c r="D16" t="n">
        <v>2011</v>
      </c>
      <c r="E16">
        <f>'PWT'!B23</f>
        <v/>
      </c>
      <c r="F16">
        <f>'WEO_Data'!C13</f>
        <v/>
      </c>
      <c r="G16">
        <f>IF(E16&gt;0,LN(E16),0)</f>
        <v/>
      </c>
      <c r="H16">
        <f>IF(F16&gt;0,LN(F16),0)</f>
        <v/>
      </c>
      <c r="K16">
        <f>H16-$B$2*G16</f>
        <v/>
      </c>
      <c r="L16">
        <f>K16</f>
        <v/>
      </c>
      <c r="M16" t="n">
        <v>0</v>
      </c>
      <c r="N16" t="n">
        <v>0</v>
      </c>
    </row>
    <row r="17">
      <c r="D17" t="n">
        <v>2012</v>
      </c>
      <c r="E17">
        <f>'PWT'!B24</f>
        <v/>
      </c>
      <c r="F17">
        <f>'WEO_Data'!C14</f>
        <v/>
      </c>
      <c r="G17">
        <f>IF(E17&gt;0,LN(E17),0)</f>
        <v/>
      </c>
      <c r="H17">
        <f>IF(F17&gt;0,LN(F17),0)</f>
        <v/>
      </c>
      <c r="K17">
        <f>H17-$B$2*G17</f>
        <v/>
      </c>
      <c r="L17">
        <f>K17</f>
        <v/>
      </c>
      <c r="M17" t="n">
        <v>0</v>
      </c>
      <c r="N17" t="n">
        <v>0</v>
      </c>
    </row>
    <row r="18">
      <c r="D18" t="n">
        <v>2013</v>
      </c>
      <c r="E18">
        <f>'PWT'!B25</f>
        <v/>
      </c>
      <c r="F18">
        <f>'WEO_Data'!C15</f>
        <v/>
      </c>
      <c r="G18">
        <f>IF(E18&gt;0,LN(E18),0)</f>
        <v/>
      </c>
      <c r="H18">
        <f>IF(F18&gt;0,LN(F18),0)</f>
        <v/>
      </c>
      <c r="K18">
        <f>H18-$B$2*G18</f>
        <v/>
      </c>
      <c r="L18">
        <f>K18</f>
        <v/>
      </c>
      <c r="M18" t="n">
        <v>0</v>
      </c>
      <c r="N18" t="n">
        <v>0</v>
      </c>
    </row>
    <row r="19">
      <c r="D19" t="n">
        <v>2014</v>
      </c>
      <c r="E19">
        <f>'PWT'!B26</f>
        <v/>
      </c>
      <c r="F19">
        <f>'WEO_Data'!C16</f>
        <v/>
      </c>
      <c r="G19">
        <f>IF(E19&gt;0,LN(E19),0)</f>
        <v/>
      </c>
      <c r="H19">
        <f>IF(F19&gt;0,LN(F19),0)</f>
        <v/>
      </c>
      <c r="K19">
        <f>H19-$B$2*G19</f>
        <v/>
      </c>
      <c r="L19">
        <f>K19</f>
        <v/>
      </c>
      <c r="M19" t="n">
        <v>0</v>
      </c>
      <c r="N19" t="n">
        <v>0</v>
      </c>
    </row>
    <row r="20">
      <c r="D20" t="n">
        <v>2015</v>
      </c>
      <c r="E20">
        <f>'PWT'!B27</f>
        <v/>
      </c>
      <c r="F20">
        <f>'WEO_Data'!C17</f>
        <v/>
      </c>
      <c r="G20">
        <f>IF(E20&gt;0,LN(E20),0)</f>
        <v/>
      </c>
      <c r="H20">
        <f>IF(F20&gt;0,LN(F20),0)</f>
        <v/>
      </c>
      <c r="K20">
        <f>H20-$B$2*G20</f>
        <v/>
      </c>
      <c r="L20">
        <f>K20</f>
        <v/>
      </c>
      <c r="M20" t="n">
        <v>0</v>
      </c>
      <c r="N20" t="n">
        <v>0</v>
      </c>
    </row>
    <row r="21">
      <c r="D21" t="n">
        <v>2016</v>
      </c>
      <c r="E21">
        <f>'PWT'!B28</f>
        <v/>
      </c>
      <c r="F21">
        <f>'WEO_Data'!C18</f>
        <v/>
      </c>
      <c r="G21">
        <f>IF(E21&gt;0,LN(E21),0)</f>
        <v/>
      </c>
      <c r="H21">
        <f>IF(F21&gt;0,LN(F21),0)</f>
        <v/>
      </c>
      <c r="K21">
        <f>H21-$B$2*G21</f>
        <v/>
      </c>
      <c r="L21">
        <f>K21</f>
        <v/>
      </c>
      <c r="M21" t="n">
        <v>0</v>
      </c>
      <c r="N21" t="n">
        <v>0</v>
      </c>
    </row>
    <row r="22">
      <c r="D22" t="n">
        <v>2017</v>
      </c>
      <c r="E22">
        <f>'PWT'!B29</f>
        <v/>
      </c>
      <c r="F22">
        <f>'WEO_Data'!C19</f>
        <v/>
      </c>
      <c r="G22">
        <f>IF(E22&gt;0,LN(E22),0)</f>
        <v/>
      </c>
      <c r="H22">
        <f>IF(F22&gt;0,LN(F22),0)</f>
        <v/>
      </c>
      <c r="K22">
        <f>H22-$B$2*G22</f>
        <v/>
      </c>
      <c r="L22">
        <f>K22</f>
        <v/>
      </c>
      <c r="M22" t="n">
        <v>0</v>
      </c>
      <c r="N22" t="n">
        <v>0</v>
      </c>
    </row>
    <row r="23">
      <c r="D23" t="n">
        <v>2018</v>
      </c>
      <c r="E23">
        <f>'PWT'!B30</f>
        <v/>
      </c>
      <c r="F23">
        <f>'WEO_Data'!C20</f>
        <v/>
      </c>
      <c r="G23">
        <f>IF(E23&gt;0,LN(E23),0)</f>
        <v/>
      </c>
      <c r="H23">
        <f>IF(F23&gt;0,LN(F23),0)</f>
        <v/>
      </c>
      <c r="K23">
        <f>H23-$B$2*G23</f>
        <v/>
      </c>
      <c r="L23">
        <f>K23</f>
        <v/>
      </c>
      <c r="M23" t="n">
        <v>0</v>
      </c>
      <c r="N23" t="n">
        <v>0</v>
      </c>
    </row>
    <row r="24">
      <c r="D24" t="n">
        <v>2019</v>
      </c>
      <c r="E24">
        <f>'PWT'!B31</f>
        <v/>
      </c>
      <c r="F24">
        <f>'WEO_Data'!C21</f>
        <v/>
      </c>
      <c r="G24">
        <f>IF(E24&gt;0,LN(E24),0)</f>
        <v/>
      </c>
      <c r="H24">
        <f>IF(F24&gt;0,LN(F24),0)</f>
        <v/>
      </c>
      <c r="K24">
        <f>H24-$B$2*G24</f>
        <v/>
      </c>
      <c r="L24">
        <f>K24</f>
        <v/>
      </c>
      <c r="M24" t="n">
        <v>0</v>
      </c>
      <c r="N24" t="n">
        <v>0</v>
      </c>
    </row>
    <row r="25">
      <c r="D25" t="n">
        <v>2020</v>
      </c>
      <c r="E25">
        <f>'PWT'!B32</f>
        <v/>
      </c>
      <c r="F25">
        <f>'WEO_Data'!C22</f>
        <v/>
      </c>
      <c r="G25">
        <f>IF(E25&gt;0,LN(E25),0)</f>
        <v/>
      </c>
      <c r="H25">
        <f>IF(F25&gt;0,LN(F25),0)</f>
        <v/>
      </c>
      <c r="K25">
        <f>H25-$B$2*G25</f>
        <v/>
      </c>
      <c r="L25">
        <f>K25</f>
        <v/>
      </c>
      <c r="M25" t="n">
        <v>0</v>
      </c>
      <c r="N25" t="n">
        <v>0</v>
      </c>
    </row>
    <row r="26">
      <c r="D26" t="n">
        <v>2021</v>
      </c>
      <c r="E26">
        <f>'PWT'!B33</f>
        <v/>
      </c>
      <c r="F26">
        <f>'WEO_Data'!C23</f>
        <v/>
      </c>
      <c r="G26">
        <f>IF(E26&gt;0,LN(E26),0)</f>
        <v/>
      </c>
      <c r="H26">
        <f>IF(F26&gt;0,LN(F26),0)</f>
        <v/>
      </c>
      <c r="K26">
        <f>H26-$B$2*G26</f>
        <v/>
      </c>
      <c r="L26">
        <f>K26</f>
        <v/>
      </c>
      <c r="M26" t="n">
        <v>0</v>
      </c>
      <c r="N26" t="n">
        <v>0</v>
      </c>
    </row>
    <row r="27">
      <c r="D27" t="n">
        <v>2022</v>
      </c>
      <c r="E27">
        <f>'PWT'!B34</f>
        <v/>
      </c>
      <c r="F27">
        <f>'WEO_Data'!C24</f>
        <v/>
      </c>
      <c r="G27">
        <f>IF(E27&gt;0,LN(E27),0)</f>
        <v/>
      </c>
      <c r="H27">
        <f>IF(F27&gt;0,LN(F27),0)</f>
        <v/>
      </c>
      <c r="K27">
        <f>H27-$B$2*G27</f>
        <v/>
      </c>
      <c r="L27">
        <f>K27</f>
        <v/>
      </c>
      <c r="M27" t="n">
        <v>0</v>
      </c>
      <c r="N27" t="n">
        <v>0</v>
      </c>
    </row>
    <row r="28">
      <c r="D28" t="n">
        <v>2023</v>
      </c>
      <c r="E28">
        <f>'PWT'!B35</f>
        <v/>
      </c>
      <c r="F28">
        <f>'WEO_Data'!C25</f>
        <v/>
      </c>
      <c r="G28">
        <f>IF(E28&gt;0,LN(E28),0)</f>
        <v/>
      </c>
      <c r="H28">
        <f>IF(F28&gt;0,LN(F28),0)</f>
        <v/>
      </c>
      <c r="K28">
        <f>H28-$B$2*G28</f>
        <v/>
      </c>
      <c r="L28">
        <f>K28</f>
        <v/>
      </c>
      <c r="M28" t="n">
        <v>0</v>
      </c>
      <c r="N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2026-01-29T07:00:22Z</dcterms:created>
  <dcterms:modified xsi:type="dcterms:W3CDTF">2026-01-29T07:00:22Z</dcterms:modified>
</cp:coreProperties>
</file>