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INDEX(Data!$G$21:$K$40,MATCH(D12,Data!$B$21:$B$40,0),MATCH(H$9,Data!$H$4:$K$4,0))</f>
        <v/>
      </c>
      <c r="I12" s="19">
        <f>INDEX(Data!$G$21:$K$40,MATCH(D12,Data!$B$21:$B$40,0),MATCH(H$9,Data!$H$4:$K$4,0))</f>
        <v/>
      </c>
      <c r="J12" s="19">
        <f>INDEX(Data!$G$21:$K$40,MATCH(D12,Data!$B$21:$B$40,0),MATCH(H$9,Data!$H$4:$K$4,0))</f>
        <v/>
      </c>
      <c r="K12" s="19">
        <f>INDEX(Data!$G$21:$K$40,MATCH(D12,Data!$B$21:$B$40,0),MATCH(H$9,Data!$H$4:$K$4,0))</f>
        <v/>
      </c>
      <c r="L12" s="20">
        <f>INDEX(Data!$G$21:$K$40,MATCH(D12,Data!$B$21:$B$40,0),MATCH(H$9,Data!$H$4:$K$4,0))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INDEX(Data!$G$21:$K$40,MATCH(D13,Data!$B$21:$B$40,0),MATCH(H$9,Data!$H$4:$K$4,0))</f>
        <v/>
      </c>
      <c r="I13" s="4">
        <f>INDEX(Data!$G$21:$K$40,MATCH(D13,Data!$B$21:$B$40,0),MATCH(H$9,Data!$H$4:$K$4,0))</f>
        <v/>
      </c>
      <c r="J13" s="4">
        <f>INDEX(Data!$G$21:$K$40,MATCH(D13,Data!$B$21:$B$40,0),MATCH(H$9,Data!$H$4:$K$4,0))</f>
        <v/>
      </c>
      <c r="K13" s="4">
        <f>INDEX(Data!$G$21:$K$40,MATCH(D13,Data!$B$21:$B$40,0),MATCH(H$9,Data!$H$4:$K$4,0))</f>
        <v/>
      </c>
      <c r="L13" s="5">
        <f>INDEX(Data!$G$21:$K$40,MATCH(D13,Data!$B$21:$B$40,0),MATCH(H$9,Data!$H$4:$K$4,0))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INDEX(Data!$G$21:$K$40,MATCH(D14,Data!$B$21:$B$40,0),MATCH(H$9,Data!$H$4:$K$4,0))</f>
        <v/>
      </c>
      <c r="I14" s="4">
        <f>INDEX(Data!$G$21:$K$40,MATCH(D14,Data!$B$21:$B$40,0),MATCH(H$9,Data!$H$4:$K$4,0))</f>
        <v/>
      </c>
      <c r="J14" s="4">
        <f>INDEX(Data!$G$21:$K$40,MATCH(D14,Data!$B$21:$B$40,0),MATCH(H$9,Data!$H$4:$K$4,0))</f>
        <v/>
      </c>
      <c r="K14" s="4">
        <f>INDEX(Data!$G$21:$K$40,MATCH(D14,Data!$B$21:$B$40,0),MATCH(H$9,Data!$H$4:$K$4,0))</f>
        <v/>
      </c>
      <c r="L14" s="5">
        <f>INDEX(Data!$G$21:$K$40,MATCH(D14,Data!$B$21:$B$40,0),MATCH(H$9,Data!$H$4:$K$4,0))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INDEX(Data!$G$21:$K$40,MATCH(D15,Data!$B$21:$B$40,0),MATCH(H$9,Data!$H$4:$K$4,0))</f>
        <v/>
      </c>
      <c r="I15" s="4">
        <f>INDEX(Data!$G$21:$K$40,MATCH(D15,Data!$B$21:$B$40,0),MATCH(H$9,Data!$H$4:$K$4,0))</f>
        <v/>
      </c>
      <c r="J15" s="4">
        <f>INDEX(Data!$G$21:$K$40,MATCH(D15,Data!$B$21:$B$40,0),MATCH(H$9,Data!$H$4:$K$4,0))</f>
        <v/>
      </c>
      <c r="K15" s="4">
        <f>INDEX(Data!$G$21:$K$40,MATCH(D15,Data!$B$21:$B$40,0),MATCH(H$9,Data!$H$4:$K$4,0))</f>
        <v/>
      </c>
      <c r="L15" s="5">
        <f>INDEX(Data!$G$21:$K$40,MATCH(D15,Data!$B$21:$B$40,0),MATCH(H$9,Data!$H$4:$K$4,0))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INDEX(Data!$G$21:$K$40,MATCH(D16,Data!$B$21:$B$40,0),MATCH(H$9,Data!$H$4:$K$4,0))</f>
        <v/>
      </c>
      <c r="I16" s="4">
        <f>INDEX(Data!$G$21:$K$40,MATCH(D16,Data!$B$21:$B$40,0),MATCH(H$9,Data!$H$4:$K$4,0))</f>
        <v/>
      </c>
      <c r="J16" s="4">
        <f>INDEX(Data!$G$21:$K$40,MATCH(D16,Data!$B$21:$B$40,0),MATCH(H$9,Data!$H$4:$K$4,0))</f>
        <v/>
      </c>
      <c r="K16" s="4">
        <f>INDEX(Data!$G$21:$K$40,MATCH(D16,Data!$B$21:$B$40,0),MATCH(H$9,Data!$H$4:$K$4,0))</f>
        <v/>
      </c>
      <c r="L16" s="5">
        <f>INDEX(Data!$G$21:$K$40,MATCH(D16,Data!$B$21:$B$40,0),MATCH(H$9,Data!$H$4:$K$4,0))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INDEX(Data!$G$21:$K$40,MATCH(D17,Data!$B$21:$B$40,0),MATCH(H$9,Data!$H$4:$K$4,0))</f>
        <v/>
      </c>
      <c r="I17" s="6">
        <f>INDEX(Data!$G$21:$K$40,MATCH(D17,Data!$B$21:$B$40,0),MATCH(H$9,Data!$H$4:$K$4,0))</f>
        <v/>
      </c>
      <c r="J17" s="6">
        <f>INDEX(Data!$G$21:$K$40,MATCH(D17,Data!$B$21:$B$40,0),MATCH(H$9,Data!$H$4:$K$4,0))</f>
        <v/>
      </c>
      <c r="K17" s="6">
        <f>INDEX(Data!$G$21:$K$40,MATCH(D17,Data!$B$21:$B$40,0),MATCH(H$9,Data!$H$4:$K$4,0))</f>
        <v/>
      </c>
      <c r="L17" s="7">
        <f>INDEX(Data!$G$21:$K$40,MATCH(D17,Data!$B$21:$B$40,0),MATCH(H$9,Data!$H$4:$K$4,0))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INDEX(Data!$G$28:$K$37,MATCH(D19,Data!$B$28:$B$37,0),MATCH(H$9,Data!$H$4:$K$4,0))</f>
        <v/>
      </c>
      <c r="I19" s="19">
        <f>INDEX(Data!$G$28:$K$37,MATCH(D19,Data!$B$28:$B$37,0),MATCH(H$9,Data!$H$4:$K$4,0))</f>
        <v/>
      </c>
      <c r="J19" s="19">
        <f>INDEX(Data!$G$28:$K$37,MATCH(D19,Data!$B$28:$B$37,0),MATCH(H$9,Data!$H$4:$K$4,0))</f>
        <v/>
      </c>
      <c r="K19" s="19">
        <f>INDEX(Data!$G$28:$K$37,MATCH(D19,Data!$B$28:$B$37,0),MATCH(H$9,Data!$H$4:$K$4,0))</f>
        <v/>
      </c>
      <c r="L19" s="20">
        <f>INDEX(Data!$G$28:$K$37,MATCH(D19,Data!$B$28:$B$37,0),MATCH(H$9,Data!$H$4:$K$4,0))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INDEX(Data!$G$28:$K$37,MATCH(D20,Data!$B$28:$B$37,0),MATCH(H$9,Data!$H$4:$K$4,0))</f>
        <v/>
      </c>
      <c r="I20" s="4">
        <f>INDEX(Data!$G$28:$K$37,MATCH(D20,Data!$B$28:$B$37,0),MATCH(H$9,Data!$H$4:$K$4,0))</f>
        <v/>
      </c>
      <c r="J20" s="4">
        <f>INDEX(Data!$G$28:$K$37,MATCH(D20,Data!$B$28:$B$37,0),MATCH(H$9,Data!$H$4:$K$4,0))</f>
        <v/>
      </c>
      <c r="K20" s="4">
        <f>INDEX(Data!$G$28:$K$37,MATCH(D20,Data!$B$28:$B$37,0),MATCH(H$9,Data!$H$4:$K$4,0))</f>
        <v/>
      </c>
      <c r="L20" s="5">
        <f>INDEX(Data!$G$28:$K$37,MATCH(D20,Data!$B$28:$B$37,0),MATCH(H$9,Data!$H$4:$K$4,0))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INDEX(Data!$G$28:$K$37,MATCH(D21,Data!$B$28:$B$37,0),MATCH(H$9,Data!$H$4:$K$4,0))</f>
        <v/>
      </c>
      <c r="I21" s="4">
        <f>INDEX(Data!$G$28:$K$37,MATCH(D21,Data!$B$28:$B$37,0),MATCH(H$9,Data!$H$4:$K$4,0))</f>
        <v/>
      </c>
      <c r="J21" s="4">
        <f>INDEX(Data!$G$28:$K$37,MATCH(D21,Data!$B$28:$B$37,0),MATCH(H$9,Data!$H$4:$K$4,0))</f>
        <v/>
      </c>
      <c r="K21" s="4">
        <f>INDEX(Data!$G$28:$K$37,MATCH(D21,Data!$B$28:$B$37,0),MATCH(H$9,Data!$H$4:$K$4,0))</f>
        <v/>
      </c>
      <c r="L21" s="5">
        <f>INDEX(Data!$G$28:$K$37,MATCH(D21,Data!$B$28:$B$37,0),MATCH(H$9,Data!$H$4:$K$4,0))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INDEX(Data!$G$28:$K$37,MATCH(D22,Data!$B$28:$B$37,0),MATCH(H$9,Data!$H$4:$K$4,0))</f>
        <v/>
      </c>
      <c r="I22" s="4">
        <f>INDEX(Data!$G$28:$K$37,MATCH(D22,Data!$B$28:$B$37,0),MATCH(H$9,Data!$H$4:$K$4,0))</f>
        <v/>
      </c>
      <c r="J22" s="4">
        <f>INDEX(Data!$G$28:$K$37,MATCH(D22,Data!$B$28:$B$37,0),MATCH(H$9,Data!$H$4:$K$4,0))</f>
        <v/>
      </c>
      <c r="K22" s="4">
        <f>INDEX(Data!$G$28:$K$37,MATCH(D22,Data!$B$28:$B$37,0),MATCH(H$9,Data!$H$4:$K$4,0))</f>
        <v/>
      </c>
      <c r="L22" s="5">
        <f>INDEX(Data!$G$28:$K$37,MATCH(D22,Data!$B$28:$B$37,0),MATCH(H$9,Data!$H$4:$K$4,0))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INDEX(Data!$G$28:$K$37,MATCH(D23,Data!$B$28:$B$37,0),MATCH(H$9,Data!$H$4:$K$4,0))</f>
        <v/>
      </c>
      <c r="I23" s="4">
        <f>INDEX(Data!$G$28:$K$37,MATCH(D23,Data!$B$28:$B$37,0),MATCH(H$9,Data!$H$4:$K$4,0))</f>
        <v/>
      </c>
      <c r="J23" s="4">
        <f>INDEX(Data!$G$28:$K$37,MATCH(D23,Data!$B$28:$B$37,0),MATCH(H$9,Data!$H$4:$K$4,0))</f>
        <v/>
      </c>
      <c r="K23" s="4">
        <f>INDEX(Data!$G$28:$K$37,MATCH(D23,Data!$B$28:$B$37,0),MATCH(H$9,Data!$H$4:$K$4,0))</f>
        <v/>
      </c>
      <c r="L23" s="5">
        <f>INDEX(Data!$G$28:$K$37,MATCH(D23,Data!$B$28:$B$37,0),MATCH(H$9,Data!$H$4:$K$4,0))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INDEX(Data!$G$28:$K$37,MATCH(D24,Data!$B$28:$B$37,0),MATCH(H$9,Data!$H$4:$K$4,0))</f>
        <v/>
      </c>
      <c r="I24" s="6">
        <f>INDEX(Data!$G$28:$K$37,MATCH(D24,Data!$B$28:$B$37,0),MATCH(H$9,Data!$H$4:$K$4,0))</f>
        <v/>
      </c>
      <c r="J24" s="6">
        <f>INDEX(Data!$G$28:$K$37,MATCH(D24,Data!$B$28:$B$37,0),MATCH(H$9,Data!$H$4:$K$4,0))</f>
        <v/>
      </c>
      <c r="K24" s="6">
        <f>INDEX(Data!$G$28:$K$37,MATCH(D24,Data!$B$28:$B$37,0),MATCH(H$9,Data!$H$4:$K$4,0))</f>
        <v/>
      </c>
      <c r="L24" s="7">
        <f>INDEX(Data!$G$28:$K$37,MATCH(D24,Data!$B$28:$B$37,0),MATCH(H$9,Data!$H$4:$K$4,0))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INDEX(Data!$G$35:$K$44,MATCH(D26,Data!$B$35:$B$44,0),MATCH(H$9,Data!$H$4:$K$4,0))</f>
        <v/>
      </c>
      <c r="I26" s="19">
        <f>INDEX(Data!$G$35:$K$44,MATCH(D26,Data!$B$35:$B$44,0),MATCH(H$9,Data!$H$4:$K$4,0))</f>
        <v/>
      </c>
      <c r="J26" s="19">
        <f>INDEX(Data!$G$35:$K$44,MATCH(D26,Data!$B$35:$B$44,0),MATCH(H$9,Data!$H$4:$K$4,0))</f>
        <v/>
      </c>
      <c r="K26" s="19">
        <f>INDEX(Data!$G$35:$K$44,MATCH(D26,Data!$B$35:$B$44,0),MATCH(H$9,Data!$H$4:$K$4,0))</f>
        <v/>
      </c>
      <c r="L26" s="20">
        <f>INDEX(Data!$G$35:$K$44,MATCH(D26,Data!$B$35:$B$44,0),MATCH(H$9,Data!$H$4:$K$4,0))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INDEX(Data!$G$35:$K$44,MATCH(D27,Data!$B$35:$B$44,0),MATCH(H$9,Data!$H$4:$K$4,0))</f>
        <v/>
      </c>
      <c r="I27" s="4">
        <f>INDEX(Data!$G$35:$K$44,MATCH(D27,Data!$B$35:$B$44,0),MATCH(H$9,Data!$H$4:$K$4,0))</f>
        <v/>
      </c>
      <c r="J27" s="4">
        <f>INDEX(Data!$G$35:$K$44,MATCH(D27,Data!$B$35:$B$44,0),MATCH(H$9,Data!$H$4:$K$4,0))</f>
        <v/>
      </c>
      <c r="K27" s="4">
        <f>INDEX(Data!$G$35:$K$44,MATCH(D27,Data!$B$35:$B$44,0),MATCH(H$9,Data!$H$4:$K$4,0))</f>
        <v/>
      </c>
      <c r="L27" s="5">
        <f>INDEX(Data!$G$35:$K$44,MATCH(D27,Data!$B$35:$B$44,0),MATCH(H$9,Data!$H$4:$K$4,0))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INDEX(Data!$G$35:$K$44,MATCH(D28,Data!$B$35:$B$44,0),MATCH(H$9,Data!$H$4:$K$4,0))</f>
        <v/>
      </c>
      <c r="I28" s="4">
        <f>INDEX(Data!$G$35:$K$44,MATCH(D28,Data!$B$35:$B$44,0),MATCH(H$9,Data!$H$4:$K$4,0))</f>
        <v/>
      </c>
      <c r="J28" s="4">
        <f>INDEX(Data!$G$35:$K$44,MATCH(D28,Data!$B$35:$B$44,0),MATCH(H$9,Data!$H$4:$K$4,0))</f>
        <v/>
      </c>
      <c r="K28" s="4">
        <f>INDEX(Data!$G$35:$K$44,MATCH(D28,Data!$B$35:$B$44,0),MATCH(H$9,Data!$H$4:$K$4,0))</f>
        <v/>
      </c>
      <c r="L28" s="5">
        <f>INDEX(Data!$G$35:$K$44,MATCH(D28,Data!$B$35:$B$44,0),MATCH(H$9,Data!$H$4:$K$4,0))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INDEX(Data!$G$35:$K$44,MATCH(D29,Data!$B$35:$B$44,0),MATCH(H$9,Data!$H$4:$K$4,0))</f>
        <v/>
      </c>
      <c r="I29" s="4">
        <f>INDEX(Data!$G$35:$K$44,MATCH(D29,Data!$B$35:$B$44,0),MATCH(H$9,Data!$H$4:$K$4,0))</f>
        <v/>
      </c>
      <c r="J29" s="4">
        <f>INDEX(Data!$G$35:$K$44,MATCH(D29,Data!$B$35:$B$44,0),MATCH(H$9,Data!$H$4:$K$4,0))</f>
        <v/>
      </c>
      <c r="K29" s="4">
        <f>INDEX(Data!$G$35:$K$44,MATCH(D29,Data!$B$35:$B$44,0),MATCH(H$9,Data!$H$4:$K$4,0))</f>
        <v/>
      </c>
      <c r="L29" s="5">
        <f>INDEX(Data!$G$35:$K$44,MATCH(D29,Data!$B$35:$B$44,0),MATCH(H$9,Data!$H$4:$K$4,0))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INDEX(Data!$G$35:$K$44,MATCH(D30,Data!$B$35:$B$44,0),MATCH(H$9,Data!$H$4:$K$4,0))</f>
        <v/>
      </c>
      <c r="I30" s="4">
        <f>INDEX(Data!$G$35:$K$44,MATCH(D30,Data!$B$35:$B$44,0),MATCH(H$9,Data!$H$4:$K$4,0))</f>
        <v/>
      </c>
      <c r="J30" s="4">
        <f>INDEX(Data!$G$35:$K$44,MATCH(D30,Data!$B$35:$B$44,0),MATCH(H$9,Data!$H$4:$K$4,0))</f>
        <v/>
      </c>
      <c r="K30" s="4">
        <f>INDEX(Data!$G$35:$K$44,MATCH(D30,Data!$B$35:$B$44,0),MATCH(H$9,Data!$H$4:$K$4,0))</f>
        <v/>
      </c>
      <c r="L30" s="5">
        <f>INDEX(Data!$G$35:$K$44,MATCH(D30,Data!$B$35:$B$44,0),MATCH(H$9,Data!$H$4:$K$4,0))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INDEX(Data!$G$35:$K$44,MATCH(D31,Data!$B$35:$B$44,0),MATCH(H$9,Data!$H$4:$K$4,0))</f>
        <v/>
      </c>
      <c r="I31" s="6">
        <f>INDEX(Data!$G$35:$K$44,MATCH(D31,Data!$B$35:$B$44,0),MATCH(H$9,Data!$H$4:$K$4,0))</f>
        <v/>
      </c>
      <c r="J31" s="6">
        <f>INDEX(Data!$G$35:$K$44,MATCH(D31,Data!$B$35:$B$44,0),MATCH(H$9,Data!$H$4:$K$4,0))</f>
        <v/>
      </c>
      <c r="K31" s="6">
        <f>INDEX(Data!$G$35:$K$44,MATCH(D31,Data!$B$35:$B$44,0),MATCH(H$9,Data!$H$4:$K$4,0))</f>
        <v/>
      </c>
      <c r="L31" s="7">
        <f>INDEX(Data!$G$35:$K$44,MATCH(D31,Data!$B$35:$B$44,0),MATCH(H$9,Data!$H$4:$K$4,0))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>
        <f>MIN($H$35:$L$40)</f>
        <v/>
      </c>
      <c r="G42" s="1" t="n"/>
      <c r="H42" s="18" t="n"/>
      <c r="I42" s="19" t="n"/>
      <c r="J42" s="19" t="n"/>
      <c r="K42" s="19" t="n"/>
      <c r="L42" s="20" t="n"/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>
        <f>MAX($H$35:$L$40)</f>
        <v/>
      </c>
      <c r="G43" s="1" t="n"/>
      <c r="H43" s="21" t="n"/>
      <c r="I43" s="4" t="n"/>
      <c r="J43" s="4" t="n"/>
      <c r="K43" s="4" t="n"/>
      <c r="L43" s="5" t="n"/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>
        <f>MEDIAN($H$35:$L$40)</f>
        <v/>
      </c>
      <c r="G44" s="1" t="n"/>
      <c r="H44" s="21" t="n"/>
      <c r="I44" s="4" t="n"/>
      <c r="J44" s="4" t="n"/>
      <c r="K44" s="4" t="n"/>
      <c r="L44" s="5" t="n"/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>
        <f>AVERAGE($H$35:$L$40)</f>
        <v/>
      </c>
      <c r="G45" s="1" t="n"/>
      <c r="H45" s="21" t="n"/>
      <c r="I45" s="4" t="n"/>
      <c r="J45" s="4" t="n"/>
      <c r="K45" s="4" t="n"/>
      <c r="L45" s="5" t="n"/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>
        <f>PERCENTILE.INC($H$35:$L$40,0.25)</f>
        <v/>
      </c>
      <c r="G46" s="1" t="n"/>
      <c r="H46" s="21" t="n"/>
      <c r="I46" s="4" t="n"/>
      <c r="J46" s="4" t="n"/>
      <c r="K46" s="4" t="n"/>
      <c r="L46" s="5" t="n"/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>
        <f>PERCENTILE.INC($H$35:$L$40,0.75)</f>
        <v/>
      </c>
      <c r="G47" s="1" t="n"/>
      <c r="H47" s="22" t="n"/>
      <c r="I47" s="6" t="n"/>
      <c r="J47" s="6" t="n"/>
      <c r="K47" s="6" t="n"/>
      <c r="L47" s="7" t="n"/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>
        <f>SUMPRODUCT(H35:L40,H26:L31)/SUM(H26:L31)</f>
        <v/>
      </c>
      <c r="G50" s="1" t="n"/>
      <c r="H50" s="25" t="n"/>
      <c r="I50" s="26" t="n"/>
      <c r="J50" s="26" t="n"/>
      <c r="K50" s="26" t="n"/>
      <c r="L50" s="27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2026-01-29T05:05:29Z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