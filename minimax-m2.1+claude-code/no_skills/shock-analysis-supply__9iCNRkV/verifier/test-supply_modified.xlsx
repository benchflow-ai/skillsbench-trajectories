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Production" sheetId="4" state="visible" r:id="rId4"/>
    <sheet name="Inves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Penn World Table Data for Georgia</t>
        </is>
      </c>
    </row>
    <row r="3">
      <c r="A3" t="inlineStr">
        <is>
          <t>Note: Georgia not in PWT. Using World Bank data + PIM estimation.</t>
        </is>
      </c>
    </row>
    <row r="5">
      <c r="A5" s="2" t="inlineStr">
        <is>
          <t>Year</t>
        </is>
      </c>
      <c r="B5" s="2" t="inlineStr">
        <is>
          <t>Real GDP (rgdpo)</t>
        </is>
      </c>
      <c r="C5" s="2" t="inlineStr">
        <is>
          <t>Capital Stock (rnna)</t>
        </is>
      </c>
      <c r="D5" s="2" t="inlineStr">
        <is>
          <t>Depreciation Rate (delta)</t>
        </is>
      </c>
      <c r="E5" s="2" t="inlineStr">
        <is>
          <t>Labor Share</t>
        </is>
      </c>
    </row>
    <row r="6">
      <c r="A6" t="n">
        <v>2000</v>
      </c>
      <c r="B6" t="n">
        <v>6365.21</v>
      </c>
      <c r="C6" t="n">
        <v>19095.63</v>
      </c>
      <c r="D6" t="n">
        <v>0.05</v>
      </c>
      <c r="E6" t="n">
        <v>0.55</v>
      </c>
    </row>
    <row r="7">
      <c r="A7" t="n">
        <v>2001</v>
      </c>
      <c r="B7" t="n">
        <v>6671.21</v>
      </c>
      <c r="C7" t="n">
        <v>20164.08</v>
      </c>
      <c r="D7" t="n">
        <v>0.05</v>
      </c>
      <c r="E7" t="n">
        <v>0.55</v>
      </c>
    </row>
    <row r="8">
      <c r="A8" t="n">
        <v>2002</v>
      </c>
      <c r="B8" t="n">
        <v>7036.39</v>
      </c>
      <c r="C8" t="n">
        <v>21161.33</v>
      </c>
      <c r="D8" t="n">
        <v>0.05</v>
      </c>
      <c r="E8" t="n">
        <v>0.55</v>
      </c>
    </row>
    <row r="9">
      <c r="A9" t="n">
        <v>2003</v>
      </c>
      <c r="B9" t="n">
        <v>7814.41</v>
      </c>
      <c r="C9" t="n">
        <v>22376.93</v>
      </c>
      <c r="D9" t="n">
        <v>0.05</v>
      </c>
      <c r="E9" t="n">
        <v>0.55</v>
      </c>
    </row>
    <row r="10">
      <c r="A10" t="n">
        <v>2004</v>
      </c>
      <c r="B10" t="n">
        <v>8267.07</v>
      </c>
      <c r="C10" t="n">
        <v>23819.84</v>
      </c>
      <c r="D10" t="n">
        <v>0.05</v>
      </c>
      <c r="E10" t="n">
        <v>0.55</v>
      </c>
    </row>
    <row r="11">
      <c r="A11" t="n">
        <v>2005</v>
      </c>
      <c r="B11" t="n">
        <v>9059.98</v>
      </c>
      <c r="C11" t="n">
        <v>25648.5</v>
      </c>
      <c r="D11" t="n">
        <v>0.05</v>
      </c>
      <c r="E11" t="n">
        <v>0.55</v>
      </c>
    </row>
    <row r="12">
      <c r="A12" t="n">
        <v>2006</v>
      </c>
      <c r="B12" t="n">
        <v>9913.559999999999</v>
      </c>
      <c r="C12" t="n">
        <v>27313.85</v>
      </c>
      <c r="D12" t="n">
        <v>0.05</v>
      </c>
      <c r="E12" t="n">
        <v>0.55</v>
      </c>
    </row>
    <row r="13">
      <c r="A13" t="n">
        <v>2007</v>
      </c>
      <c r="B13" t="n">
        <v>11160.25</v>
      </c>
      <c r="C13" t="n">
        <v>29681.77</v>
      </c>
      <c r="D13" t="n">
        <v>0.05</v>
      </c>
      <c r="E13" t="n">
        <v>0.55</v>
      </c>
    </row>
    <row r="14">
      <c r="A14" t="n">
        <v>2008</v>
      </c>
      <c r="B14" t="n">
        <v>11430.5</v>
      </c>
      <c r="C14" t="n">
        <v>31362.77</v>
      </c>
      <c r="D14" t="n">
        <v>0.05</v>
      </c>
      <c r="E14" t="n">
        <v>0.55</v>
      </c>
    </row>
    <row r="15">
      <c r="A15" t="n">
        <v>2009</v>
      </c>
      <c r="B15" t="n">
        <v>11013.2</v>
      </c>
      <c r="C15" t="n">
        <v>31334.92</v>
      </c>
      <c r="D15" t="n">
        <v>0.05</v>
      </c>
      <c r="E15" t="n">
        <v>0.55</v>
      </c>
    </row>
    <row r="16">
      <c r="A16" t="n">
        <v>2010</v>
      </c>
      <c r="B16" t="n">
        <v>11701.13</v>
      </c>
      <c r="C16" t="n">
        <v>32217.12</v>
      </c>
      <c r="D16" t="n">
        <v>0.05</v>
      </c>
      <c r="E16" t="n">
        <v>0.55</v>
      </c>
    </row>
    <row r="17">
      <c r="A17" t="n">
        <v>2011</v>
      </c>
      <c r="B17" t="n">
        <v>12629.54</v>
      </c>
      <c r="C17" t="n">
        <v>33526.31</v>
      </c>
      <c r="D17" t="n">
        <v>0.05</v>
      </c>
      <c r="E17" t="n">
        <v>0.55</v>
      </c>
    </row>
    <row r="18">
      <c r="A18" t="n">
        <v>2012</v>
      </c>
      <c r="B18" t="n">
        <v>13460.42</v>
      </c>
      <c r="C18" t="n">
        <v>35353.42</v>
      </c>
      <c r="D18" t="n">
        <v>0.05</v>
      </c>
      <c r="E18" t="n">
        <v>0.55</v>
      </c>
    </row>
    <row r="19">
      <c r="A19" t="n">
        <v>2013</v>
      </c>
      <c r="B19" t="n">
        <v>14151.33</v>
      </c>
      <c r="C19" t="n">
        <v>36656.6</v>
      </c>
      <c r="D19" t="n">
        <v>0.05</v>
      </c>
      <c r="E19" t="n">
        <v>0.55</v>
      </c>
    </row>
    <row r="20">
      <c r="A20" t="n">
        <v>2014</v>
      </c>
      <c r="B20" t="n">
        <v>14730.18</v>
      </c>
      <c r="C20" t="n">
        <v>38602.12</v>
      </c>
      <c r="D20" t="n">
        <v>0.05</v>
      </c>
      <c r="E20" t="n">
        <v>0.55</v>
      </c>
    </row>
    <row r="21">
      <c r="A21" t="n">
        <v>2015</v>
      </c>
      <c r="B21" t="n">
        <v>15223.8</v>
      </c>
      <c r="C21" t="n">
        <v>40763.73</v>
      </c>
      <c r="D21" t="n">
        <v>0.05</v>
      </c>
      <c r="E21" t="n">
        <v>0.55</v>
      </c>
    </row>
    <row r="22">
      <c r="A22" t="n">
        <v>2016</v>
      </c>
      <c r="B22" t="n">
        <v>15749.05</v>
      </c>
      <c r="C22" t="n">
        <v>43277.51</v>
      </c>
      <c r="D22" t="n">
        <v>0.05</v>
      </c>
      <c r="E22" t="n">
        <v>0.55</v>
      </c>
    </row>
    <row r="23">
      <c r="A23" t="n">
        <v>2017</v>
      </c>
      <c r="B23" t="n">
        <v>16561.69</v>
      </c>
      <c r="C23" t="n">
        <v>45274.73</v>
      </c>
      <c r="D23" t="n">
        <v>0.05</v>
      </c>
      <c r="E23" t="n">
        <v>0.55</v>
      </c>
    </row>
    <row r="24">
      <c r="A24" t="n">
        <v>2018</v>
      </c>
      <c r="B24" t="n">
        <v>17565.66</v>
      </c>
      <c r="C24" t="n">
        <v>47916.43</v>
      </c>
      <c r="D24" t="n">
        <v>0.05</v>
      </c>
      <c r="E24" t="n">
        <v>0.55</v>
      </c>
    </row>
    <row r="25">
      <c r="A25" t="n">
        <v>2019</v>
      </c>
      <c r="B25" t="n">
        <v>18510.82</v>
      </c>
      <c r="C25" t="n">
        <v>50549.67</v>
      </c>
      <c r="D25" t="n">
        <v>0.05</v>
      </c>
      <c r="E25" t="n">
        <v>0.55</v>
      </c>
    </row>
    <row r="26">
      <c r="A26" t="n">
        <v>2020</v>
      </c>
      <c r="B26" t="n">
        <v>17346.4</v>
      </c>
      <c r="C26" t="n">
        <v>52290.39</v>
      </c>
      <c r="D26" t="n">
        <v>0.05</v>
      </c>
      <c r="E26" t="n">
        <v>0.55</v>
      </c>
    </row>
    <row r="27">
      <c r="A27" t="n">
        <v>2021</v>
      </c>
      <c r="B27" t="n">
        <v>19192.79</v>
      </c>
      <c r="C27" t="n">
        <v>53644.72</v>
      </c>
      <c r="D27" t="n">
        <v>0.05</v>
      </c>
      <c r="E27" t="n">
        <v>0.55</v>
      </c>
    </row>
    <row r="28">
      <c r="A28" t="n">
        <v>2022</v>
      </c>
      <c r="B28" t="n">
        <v>21296.04</v>
      </c>
      <c r="C28" t="n">
        <v>56087.73</v>
      </c>
      <c r="D28" t="n">
        <v>0.05</v>
      </c>
      <c r="E28" t="n">
        <v>0.55</v>
      </c>
    </row>
    <row r="29">
      <c r="A29" t="n">
        <v>2023</v>
      </c>
      <c r="B29" t="n">
        <v>22963.99</v>
      </c>
      <c r="C29" t="n">
        <v>59024.06</v>
      </c>
      <c r="D29" t="n">
        <v>0.05</v>
      </c>
      <c r="E29" t="n">
        <v>0.55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 WEO Data for Georgia</t>
        </is>
      </c>
    </row>
    <row r="5">
      <c r="A5" s="2" t="inlineStr">
        <is>
          <t>Year</t>
        </is>
      </c>
      <c r="B5" s="2" t="inlineStr">
        <is>
          <t>Real GDP Level</t>
        </is>
      </c>
      <c r="C5" s="2" t="inlineStr">
        <is>
          <t>Real GDP Growth Rate (%)</t>
        </is>
      </c>
    </row>
    <row r="6">
      <c r="A6" t="n">
        <v>2000</v>
      </c>
      <c r="B6" t="n">
        <v>6365.21</v>
      </c>
      <c r="C6" t="n">
        <v>1.84</v>
      </c>
    </row>
    <row r="7">
      <c r="A7" t="n">
        <v>2001</v>
      </c>
      <c r="B7" t="n">
        <v>6671.21</v>
      </c>
      <c r="C7" t="n">
        <v>4.81</v>
      </c>
    </row>
    <row r="8">
      <c r="A8" t="n">
        <v>2002</v>
      </c>
      <c r="B8" t="n">
        <v>7036.39</v>
      </c>
      <c r="C8" t="n">
        <v>5.47</v>
      </c>
    </row>
    <row r="9">
      <c r="A9" t="n">
        <v>2003</v>
      </c>
      <c r="B9" t="n">
        <v>7814.41</v>
      </c>
      <c r="C9" t="n">
        <v>11.06</v>
      </c>
    </row>
    <row r="10">
      <c r="A10" t="n">
        <v>2004</v>
      </c>
      <c r="B10" t="n">
        <v>8267.07</v>
      </c>
      <c r="C10" t="n">
        <v>5.79</v>
      </c>
    </row>
    <row r="11">
      <c r="A11" t="n">
        <v>2005</v>
      </c>
      <c r="B11" t="n">
        <v>9059.98</v>
      </c>
      <c r="C11" t="n">
        <v>9.59</v>
      </c>
    </row>
    <row r="12">
      <c r="A12" t="n">
        <v>2006</v>
      </c>
      <c r="B12" t="n">
        <v>9913.559999999999</v>
      </c>
      <c r="C12" t="n">
        <v>9.42</v>
      </c>
    </row>
    <row r="13">
      <c r="A13" t="n">
        <v>2007</v>
      </c>
      <c r="B13" t="n">
        <v>11160.25</v>
      </c>
      <c r="C13" t="n">
        <v>12.58</v>
      </c>
    </row>
    <row r="14">
      <c r="A14" t="n">
        <v>2008</v>
      </c>
      <c r="B14" t="n">
        <v>11430.5</v>
      </c>
      <c r="C14" t="n">
        <v>2.42</v>
      </c>
    </row>
    <row r="15">
      <c r="A15" t="n">
        <v>2009</v>
      </c>
      <c r="B15" t="n">
        <v>11013.2</v>
      </c>
      <c r="C15" t="n">
        <v>-3.65</v>
      </c>
    </row>
    <row r="16">
      <c r="A16" t="n">
        <v>2010</v>
      </c>
      <c r="B16" t="n">
        <v>11701.13</v>
      </c>
      <c r="C16" t="n">
        <v>6.25</v>
      </c>
    </row>
    <row r="17">
      <c r="A17" t="n">
        <v>2011</v>
      </c>
      <c r="B17" t="n">
        <v>12629.54</v>
      </c>
      <c r="C17" t="n">
        <v>7.93</v>
      </c>
    </row>
    <row r="18">
      <c r="A18" t="n">
        <v>2012</v>
      </c>
      <c r="B18" t="n">
        <v>13460.42</v>
      </c>
      <c r="C18" t="n">
        <v>6.58</v>
      </c>
    </row>
    <row r="19">
      <c r="A19" t="n">
        <v>2013</v>
      </c>
      <c r="B19" t="n">
        <v>14151.33</v>
      </c>
      <c r="C19" t="n">
        <v>5.13</v>
      </c>
    </row>
    <row r="20">
      <c r="A20" t="n">
        <v>2014</v>
      </c>
      <c r="B20" t="n">
        <v>14730.18</v>
      </c>
      <c r="C20" t="n">
        <v>4.09</v>
      </c>
    </row>
    <row r="21">
      <c r="A21" t="n">
        <v>2015</v>
      </c>
      <c r="B21" t="n">
        <v>15223.8</v>
      </c>
      <c r="C21" t="n">
        <v>3.35</v>
      </c>
    </row>
    <row r="22">
      <c r="A22" t="n">
        <v>2016</v>
      </c>
      <c r="B22" t="n">
        <v>15749.05</v>
      </c>
      <c r="C22" t="n">
        <v>3.45</v>
      </c>
    </row>
    <row r="23">
      <c r="A23" t="n">
        <v>2017</v>
      </c>
      <c r="B23" t="n">
        <v>16561.69</v>
      </c>
      <c r="C23" t="n">
        <v>5.16</v>
      </c>
    </row>
    <row r="24">
      <c r="A24" t="n">
        <v>2018</v>
      </c>
      <c r="B24" t="n">
        <v>17565.66</v>
      </c>
      <c r="C24" t="n">
        <v>6.06</v>
      </c>
    </row>
    <row r="25">
      <c r="A25" t="n">
        <v>2019</v>
      </c>
      <c r="B25" t="n">
        <v>18510.82</v>
      </c>
      <c r="C25" t="n">
        <v>5.38</v>
      </c>
    </row>
    <row r="26">
      <c r="A26" t="n">
        <v>2020</v>
      </c>
      <c r="B26" t="n">
        <v>17346.4</v>
      </c>
      <c r="C26" t="n">
        <v>-6.29</v>
      </c>
    </row>
    <row r="27">
      <c r="A27" t="n">
        <v>2021</v>
      </c>
      <c r="B27" t="n">
        <v>19192.79</v>
      </c>
      <c r="C27" t="n">
        <v>10.64</v>
      </c>
    </row>
    <row r="28">
      <c r="A28" t="n">
        <v>2022</v>
      </c>
      <c r="B28" t="n">
        <v>21296.04</v>
      </c>
      <c r="C28" t="n">
        <v>10.96</v>
      </c>
    </row>
    <row r="29">
      <c r="A29" t="n">
        <v>2023</v>
      </c>
      <c r="B29" t="n">
        <v>22963.99</v>
      </c>
      <c r="C29" t="n">
        <v>7.83</v>
      </c>
    </row>
    <row r="30">
      <c r="A30" t="n">
        <v>2024</v>
      </c>
      <c r="B30" t="n">
        <v>25186.86</v>
      </c>
      <c r="C30" t="n">
        <v>9.68</v>
      </c>
    </row>
    <row r="31">
      <c r="A31" t="n">
        <v>2025</v>
      </c>
      <c r="B31">
        <f>B30*(1+C30/100)</f>
        <v/>
      </c>
      <c r="C31" t="n">
        <v>9.67979387500691</v>
      </c>
    </row>
    <row r="32">
      <c r="A32" t="n">
        <v>2026</v>
      </c>
      <c r="B32">
        <f>B31*(1+C30/100)</f>
        <v/>
      </c>
      <c r="C32" t="n">
        <v>9.67979387500691</v>
      </c>
    </row>
    <row r="33">
      <c r="A33" t="n">
        <v>2027</v>
      </c>
      <c r="B33">
        <f>B32*(1+C30/100)</f>
        <v/>
      </c>
      <c r="C33" t="n">
        <v>9.67979387500691</v>
      </c>
    </row>
    <row r="34">
      <c r="A34" t="n">
        <v>2028</v>
      </c>
      <c r="B34">
        <f>B33*(1+C30/100)</f>
        <v/>
      </c>
      <c r="C34" t="n">
        <v>9.67979387500691</v>
      </c>
    </row>
    <row r="35">
      <c r="A35" t="n">
        <v>2029</v>
      </c>
      <c r="B35">
        <f>B34*(1+C30/100)</f>
        <v/>
      </c>
      <c r="C35" t="n">
        <v>9.67979387500691</v>
      </c>
    </row>
    <row r="36">
      <c r="A36" t="n">
        <v>2030</v>
      </c>
      <c r="B36">
        <f>B35*(1+C30/100)</f>
        <v/>
      </c>
      <c r="C36" t="n">
        <v>9.67979387500691</v>
      </c>
    </row>
    <row r="37">
      <c r="A37" t="n">
        <v>2031</v>
      </c>
      <c r="B37">
        <f>B36*(1+C30/100)</f>
        <v/>
      </c>
      <c r="C37" t="n">
        <v>9.67979387500691</v>
      </c>
    </row>
    <row r="38">
      <c r="A38" t="n">
        <v>2032</v>
      </c>
      <c r="B38">
        <f>B37*(1+C30/100)</f>
        <v/>
      </c>
      <c r="C38" t="n">
        <v>9.67979387500691</v>
      </c>
    </row>
    <row r="39">
      <c r="A39" t="n">
        <v>2033</v>
      </c>
      <c r="B39">
        <f>B38*(1+C30/100)</f>
        <v/>
      </c>
      <c r="C39" t="n">
        <v>9.67979387500691</v>
      </c>
    </row>
    <row r="40">
      <c r="A40" t="n">
        <v>2034</v>
      </c>
      <c r="B40">
        <f>B39*(1+C30/100)</f>
        <v/>
      </c>
      <c r="C40" t="n">
        <v>9.67979387500691</v>
      </c>
    </row>
    <row r="41">
      <c r="A41" t="n">
        <v>2035</v>
      </c>
      <c r="B41">
        <f>B40*(1+C30/100)</f>
        <v/>
      </c>
      <c r="C41" t="n">
        <v>9.67979387500691</v>
      </c>
    </row>
    <row r="42">
      <c r="A42" t="n">
        <v>2036</v>
      </c>
      <c r="B42">
        <f>B41*(1+C30/100)</f>
        <v/>
      </c>
      <c r="C42" t="n">
        <v>9.67979387500691</v>
      </c>
    </row>
    <row r="43">
      <c r="A43" t="n">
        <v>2037</v>
      </c>
      <c r="B43">
        <f>B42*(1+C30/100)</f>
        <v/>
      </c>
      <c r="C43" t="n">
        <v>9.67979387500691</v>
      </c>
    </row>
    <row r="44">
      <c r="A44" t="n">
        <v>2038</v>
      </c>
      <c r="B44">
        <f>B43*(1+C30/100)</f>
        <v/>
      </c>
      <c r="C44" t="n">
        <v>9.67979387500691</v>
      </c>
    </row>
    <row r="45">
      <c r="A45" t="n">
        <v>2039</v>
      </c>
      <c r="B45">
        <f>B44*(1+C30/100)</f>
        <v/>
      </c>
      <c r="C45" t="n">
        <v>9.67979387500691</v>
      </c>
    </row>
    <row r="46">
      <c r="A46" t="n">
        <v>2040</v>
      </c>
      <c r="B46">
        <f>B45*(1+C30/100)</f>
        <v/>
      </c>
      <c r="C46" t="n">
        <v>9.67979387500691</v>
      </c>
    </row>
    <row r="47">
      <c r="A47" t="n">
        <v>2041</v>
      </c>
      <c r="B47">
        <f>B46*(1+C30/100)</f>
        <v/>
      </c>
      <c r="C47" t="n">
        <v>9.67979387500691</v>
      </c>
    </row>
    <row r="48">
      <c r="A48" t="n">
        <v>2042</v>
      </c>
      <c r="B48">
        <f>B47*(1+C30/100)</f>
        <v/>
      </c>
      <c r="C48" t="n">
        <v>9.67979387500691</v>
      </c>
    </row>
    <row r="49">
      <c r="A49" t="n">
        <v>2043</v>
      </c>
      <c r="B49">
        <f>B48*(1+C30/100)</f>
        <v/>
      </c>
      <c r="C49" t="n">
        <v>9.67979387500691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ECB Consumption of Fixed Capital Data for Georgia</t>
        </is>
      </c>
    </row>
    <row r="3">
      <c r="A3" s="2" t="inlineStr">
        <is>
          <t>Year</t>
        </is>
      </c>
      <c r="B3" s="2" t="inlineStr">
        <is>
          <t>Investment (% GDP)</t>
        </is>
      </c>
      <c r="C3" s="2" t="inlineStr">
        <is>
          <t>Consumption of Fixed Capital</t>
        </is>
      </c>
      <c r="D3" s="2" t="inlineStr">
        <is>
          <t>Capital Stock (PWT)</t>
        </is>
      </c>
      <c r="E3" s="2" t="inlineStr">
        <is>
          <t>Depreciation Rate</t>
        </is>
      </c>
    </row>
    <row r="4">
      <c r="A4" t="n">
        <v>2000</v>
      </c>
      <c r="B4" t="n">
        <v>26.58</v>
      </c>
      <c r="C4" t="n">
        <v>954.78</v>
      </c>
      <c r="D4" t="n">
        <v>19095.63</v>
      </c>
      <c r="E4" t="n">
        <v>0.05</v>
      </c>
    </row>
    <row r="5">
      <c r="A5" t="n">
        <v>2001</v>
      </c>
      <c r="B5" t="n">
        <v>30.33</v>
      </c>
      <c r="C5" t="n">
        <v>1008.2</v>
      </c>
      <c r="D5" t="n">
        <v>20164.08</v>
      </c>
      <c r="E5" t="n">
        <v>0.05</v>
      </c>
    </row>
    <row r="6">
      <c r="A6" t="n">
        <v>2002</v>
      </c>
      <c r="B6" t="n">
        <v>28.5</v>
      </c>
      <c r="C6" t="n">
        <v>1058.07</v>
      </c>
      <c r="D6" t="n">
        <v>21161.33</v>
      </c>
      <c r="E6" t="n">
        <v>0.05</v>
      </c>
    </row>
    <row r="7">
      <c r="A7" t="n">
        <v>2003</v>
      </c>
      <c r="B7" t="n">
        <v>29.1</v>
      </c>
      <c r="C7" t="n">
        <v>1118.85</v>
      </c>
      <c r="D7" t="n">
        <v>22376.93</v>
      </c>
      <c r="E7" t="n">
        <v>0.05</v>
      </c>
    </row>
    <row r="8">
      <c r="A8" t="n">
        <v>2004</v>
      </c>
      <c r="B8" t="n">
        <v>30.99</v>
      </c>
      <c r="C8" t="n">
        <v>1190.99</v>
      </c>
      <c r="D8" t="n">
        <v>23819.84</v>
      </c>
      <c r="E8" t="n">
        <v>0.05</v>
      </c>
    </row>
    <row r="9">
      <c r="A9" t="n">
        <v>2005</v>
      </c>
      <c r="B9" t="n">
        <v>33.33</v>
      </c>
      <c r="C9" t="n">
        <v>1282.43</v>
      </c>
      <c r="D9" t="n">
        <v>25648.5</v>
      </c>
      <c r="E9" t="n">
        <v>0.05</v>
      </c>
    </row>
    <row r="10">
      <c r="A10" t="n">
        <v>2006</v>
      </c>
      <c r="B10" t="n">
        <v>29.73</v>
      </c>
      <c r="C10" t="n">
        <v>1365.69</v>
      </c>
      <c r="D10" t="n">
        <v>27313.85</v>
      </c>
      <c r="E10" t="n">
        <v>0.05</v>
      </c>
    </row>
    <row r="11">
      <c r="A11" t="n">
        <v>2007</v>
      </c>
      <c r="B11" t="n">
        <v>33.45</v>
      </c>
      <c r="C11" t="n">
        <v>1484.09</v>
      </c>
      <c r="D11" t="n">
        <v>29681.77</v>
      </c>
      <c r="E11" t="n">
        <v>0.05</v>
      </c>
    </row>
    <row r="12">
      <c r="A12" t="n">
        <v>2008</v>
      </c>
      <c r="B12" t="n">
        <v>27.69</v>
      </c>
      <c r="C12" t="n">
        <v>1568.14</v>
      </c>
      <c r="D12" t="n">
        <v>31362.77</v>
      </c>
      <c r="E12" t="n">
        <v>0.05</v>
      </c>
    </row>
    <row r="13">
      <c r="A13" t="n">
        <v>2009</v>
      </c>
      <c r="B13" t="n">
        <v>13.99</v>
      </c>
      <c r="C13" t="n">
        <v>1566.75</v>
      </c>
      <c r="D13" t="n">
        <v>31334.92</v>
      </c>
      <c r="E13" t="n">
        <v>0.05</v>
      </c>
    </row>
    <row r="14">
      <c r="A14" t="n">
        <v>2010</v>
      </c>
      <c r="B14" t="n">
        <v>20.93</v>
      </c>
      <c r="C14" t="n">
        <v>1610.86</v>
      </c>
      <c r="D14" t="n">
        <v>32217.12</v>
      </c>
      <c r="E14" t="n">
        <v>0.05</v>
      </c>
    </row>
    <row r="15">
      <c r="A15" t="n">
        <v>2011</v>
      </c>
      <c r="B15" t="n">
        <v>23.12</v>
      </c>
      <c r="C15" t="n">
        <v>1676.32</v>
      </c>
      <c r="D15" t="n">
        <v>33526.31</v>
      </c>
      <c r="E15" t="n">
        <v>0.05</v>
      </c>
    </row>
    <row r="16">
      <c r="A16" t="n">
        <v>2012</v>
      </c>
      <c r="B16" t="n">
        <v>26.03</v>
      </c>
      <c r="C16" t="n">
        <v>1767.67</v>
      </c>
      <c r="D16" t="n">
        <v>35353.42</v>
      </c>
      <c r="E16" t="n">
        <v>0.05</v>
      </c>
    </row>
    <row r="17">
      <c r="A17" t="n">
        <v>2013</v>
      </c>
      <c r="B17" t="n">
        <v>21.7</v>
      </c>
      <c r="C17" t="n">
        <v>1832.83</v>
      </c>
      <c r="D17" t="n">
        <v>36656.6</v>
      </c>
      <c r="E17" t="n">
        <v>0.05</v>
      </c>
    </row>
    <row r="18">
      <c r="A18" t="n">
        <v>2014</v>
      </c>
      <c r="B18" t="n">
        <v>25.65</v>
      </c>
      <c r="C18" t="n">
        <v>1930.11</v>
      </c>
      <c r="D18" t="n">
        <v>38602.12</v>
      </c>
      <c r="E18" t="n">
        <v>0.05</v>
      </c>
    </row>
    <row r="19">
      <c r="A19" t="n">
        <v>2015</v>
      </c>
      <c r="B19" t="n">
        <v>26.88</v>
      </c>
      <c r="C19" t="n">
        <v>2038.19</v>
      </c>
      <c r="D19" t="n">
        <v>40763.73</v>
      </c>
      <c r="E19" t="n">
        <v>0.05</v>
      </c>
    </row>
    <row r="20">
      <c r="A20" t="n">
        <v>2016</v>
      </c>
      <c r="B20" t="n">
        <v>28.9</v>
      </c>
      <c r="C20" t="n">
        <v>2163.88</v>
      </c>
      <c r="D20" t="n">
        <v>43277.51</v>
      </c>
      <c r="E20" t="n">
        <v>0.05</v>
      </c>
    </row>
    <row r="21">
      <c r="A21" t="n">
        <v>2017</v>
      </c>
      <c r="B21" t="n">
        <v>25.12</v>
      </c>
      <c r="C21" t="n">
        <v>2263.74</v>
      </c>
      <c r="D21" t="n">
        <v>45274.73</v>
      </c>
      <c r="E21" t="n">
        <v>0.05</v>
      </c>
    </row>
    <row r="22">
      <c r="A22" t="n">
        <v>2018</v>
      </c>
      <c r="B22" t="n">
        <v>27.93</v>
      </c>
      <c r="C22" t="n">
        <v>2395.82</v>
      </c>
      <c r="D22" t="n">
        <v>47916.43</v>
      </c>
      <c r="E22" t="n">
        <v>0.05</v>
      </c>
    </row>
    <row r="23">
      <c r="A23" t="n">
        <v>2019</v>
      </c>
      <c r="B23" t="n">
        <v>27.17</v>
      </c>
      <c r="C23" t="n">
        <v>2527.48</v>
      </c>
      <c r="D23" t="n">
        <v>50549.67</v>
      </c>
      <c r="E23" t="n">
        <v>0.05</v>
      </c>
    </row>
    <row r="24">
      <c r="A24" t="n">
        <v>2020</v>
      </c>
      <c r="B24" t="n">
        <v>24.61</v>
      </c>
      <c r="C24" t="n">
        <v>2614.52</v>
      </c>
      <c r="D24" t="n">
        <v>52290.39</v>
      </c>
      <c r="E24" t="n">
        <v>0.05</v>
      </c>
    </row>
    <row r="25">
      <c r="A25" t="n">
        <v>2021</v>
      </c>
      <c r="B25" t="n">
        <v>20.68</v>
      </c>
      <c r="C25" t="n">
        <v>2682.24</v>
      </c>
      <c r="D25" t="n">
        <v>53644.72</v>
      </c>
      <c r="E25" t="n">
        <v>0.05</v>
      </c>
    </row>
    <row r="26">
      <c r="A26" t="n">
        <v>2022</v>
      </c>
      <c r="B26" t="n">
        <v>24.07</v>
      </c>
      <c r="C26" t="n">
        <v>2804.39</v>
      </c>
      <c r="D26" t="n">
        <v>56087.73</v>
      </c>
      <c r="E26" t="n">
        <v>0.05</v>
      </c>
    </row>
    <row r="27">
      <c r="A27" t="n">
        <v>2023</v>
      </c>
      <c r="B27" t="n">
        <v>25</v>
      </c>
      <c r="C27" t="n">
        <v>2951.2</v>
      </c>
      <c r="D27" t="n">
        <v>59024.06</v>
      </c>
      <c r="E27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Function Analysis for Georgia</t>
        </is>
      </c>
      <c r="D1" s="2" t="inlineStr">
        <is>
          <t>HP Filter</t>
        </is>
      </c>
    </row>
    <row r="3">
      <c r="A3" t="inlineStr">
        <is>
          <t>Annual Depreciation Rate:</t>
        </is>
      </c>
      <c r="B3">
        <f>AVERAGE('CFC data'!E4:E26)</f>
        <v/>
      </c>
    </row>
    <row r="4">
      <c r="A4" t="inlineStr">
        <is>
          <t>Capital Share (alpha):</t>
        </is>
      </c>
      <c r="B4" t="n">
        <v>0.45</v>
      </c>
    </row>
    <row r="5">
      <c r="A5" s="2" t="inlineStr">
        <is>
          <t>Year</t>
        </is>
      </c>
      <c r="B5" s="2" t="inlineStr">
        <is>
          <t>K</t>
        </is>
      </c>
      <c r="C5" s="2" t="inlineStr">
        <is>
          <t>Y</t>
        </is>
      </c>
      <c r="D5" s="2" t="inlineStr">
        <is>
          <t>LnK</t>
        </is>
      </c>
      <c r="E5" s="2" t="inlineStr">
        <is>
          <t>LnY</t>
        </is>
      </c>
      <c r="F5" s="2" t="inlineStr">
        <is>
          <t>LnZ</t>
        </is>
      </c>
      <c r="G5" s="2" t="inlineStr">
        <is>
          <t>LnZ_HP</t>
        </is>
      </c>
      <c r="H5" s="2" t="inlineStr">
        <is>
          <t>Second Diff</t>
        </is>
      </c>
      <c r="I5" s="2" t="inlineStr">
        <is>
          <t>LnA-Trend</t>
        </is>
      </c>
      <c r="J5" s="2" t="inlineStr">
        <is>
          <t>Objective</t>
        </is>
      </c>
    </row>
    <row r="6">
      <c r="A6" t="n">
        <v>2000</v>
      </c>
      <c r="B6">
        <f>'PWT'!C7</f>
        <v/>
      </c>
      <c r="C6">
        <f>'PWT'!B7</f>
        <v/>
      </c>
      <c r="D6">
        <f>LN(B6)</f>
        <v/>
      </c>
      <c r="E6">
        <f>LN(C6)</f>
        <v/>
      </c>
      <c r="F6">
        <f>E6-0.45*D6</f>
        <v/>
      </c>
      <c r="G6">
        <f>F6</f>
        <v/>
      </c>
      <c r="I6" t="n">
        <v>0</v>
      </c>
      <c r="P6" s="2">
        <f>SUM(J8:J27)</f>
        <v/>
      </c>
    </row>
    <row r="7">
      <c r="A7" t="n">
        <v>2001</v>
      </c>
      <c r="B7">
        <f>'PWT'!C8</f>
        <v/>
      </c>
      <c r="C7">
        <f>'PWT'!B8</f>
        <v/>
      </c>
      <c r="D7">
        <f>LN(B7)</f>
        <v/>
      </c>
      <c r="E7">
        <f>LN(C7)</f>
        <v/>
      </c>
      <c r="F7">
        <f>E7-0.45*D7</f>
        <v/>
      </c>
      <c r="G7">
        <f>F7</f>
        <v/>
      </c>
      <c r="I7" t="n">
        <v>0</v>
      </c>
    </row>
    <row r="8">
      <c r="A8" t="n">
        <v>2002</v>
      </c>
      <c r="B8">
        <f>'PWT'!C9</f>
        <v/>
      </c>
      <c r="C8">
        <f>'PWT'!B9</f>
        <v/>
      </c>
      <c r="D8">
        <f>LN(B8)</f>
        <v/>
      </c>
      <c r="E8">
        <f>LN(C8)</f>
        <v/>
      </c>
      <c r="F8">
        <f>E8-0.45*D8</f>
        <v/>
      </c>
      <c r="G8">
        <f>F8</f>
        <v/>
      </c>
      <c r="H8">
        <f>G8-2*G7+G6</f>
        <v/>
      </c>
      <c r="I8" t="n">
        <v>0</v>
      </c>
      <c r="J8">
        <f>H8^2</f>
        <v/>
      </c>
    </row>
    <row r="9">
      <c r="A9" t="n">
        <v>2003</v>
      </c>
      <c r="B9">
        <f>'PWT'!C10</f>
        <v/>
      </c>
      <c r="C9">
        <f>'PWT'!B10</f>
        <v/>
      </c>
      <c r="D9">
        <f>LN(B9)</f>
        <v/>
      </c>
      <c r="E9">
        <f>LN(C9)</f>
        <v/>
      </c>
      <c r="F9">
        <f>E9-0.45*D9</f>
        <v/>
      </c>
      <c r="G9">
        <f>F9</f>
        <v/>
      </c>
      <c r="H9">
        <f>G9-2*G8+G7</f>
        <v/>
      </c>
      <c r="I9" t="n">
        <v>0</v>
      </c>
      <c r="J9">
        <f>H9^2</f>
        <v/>
      </c>
    </row>
    <row r="10">
      <c r="A10" t="n">
        <v>2004</v>
      </c>
      <c r="B10">
        <f>'PWT'!C11</f>
        <v/>
      </c>
      <c r="C10">
        <f>'PWT'!B11</f>
        <v/>
      </c>
      <c r="D10">
        <f>LN(B10)</f>
        <v/>
      </c>
      <c r="E10">
        <f>LN(C10)</f>
        <v/>
      </c>
      <c r="F10">
        <f>E10-0.45*D10</f>
        <v/>
      </c>
      <c r="G10">
        <f>F10</f>
        <v/>
      </c>
      <c r="H10">
        <f>G10-2*G9+G8</f>
        <v/>
      </c>
      <c r="I10" t="n">
        <v>0</v>
      </c>
      <c r="J10">
        <f>H10^2</f>
        <v/>
      </c>
    </row>
    <row r="11">
      <c r="A11" t="n">
        <v>2005</v>
      </c>
      <c r="B11">
        <f>'PWT'!C12</f>
        <v/>
      </c>
      <c r="C11">
        <f>'PWT'!B12</f>
        <v/>
      </c>
      <c r="D11">
        <f>LN(B11)</f>
        <v/>
      </c>
      <c r="E11">
        <f>LN(C11)</f>
        <v/>
      </c>
      <c r="F11">
        <f>E11-0.45*D11</f>
        <v/>
      </c>
      <c r="G11">
        <f>F11</f>
        <v/>
      </c>
      <c r="H11">
        <f>G11-2*G10+G9</f>
        <v/>
      </c>
      <c r="I11" t="n">
        <v>0</v>
      </c>
      <c r="J11">
        <f>H11^2</f>
        <v/>
      </c>
    </row>
    <row r="12">
      <c r="A12" t="n">
        <v>2006</v>
      </c>
      <c r="B12">
        <f>'PWT'!C13</f>
        <v/>
      </c>
      <c r="C12">
        <f>'PWT'!B13</f>
        <v/>
      </c>
      <c r="D12">
        <f>LN(B12)</f>
        <v/>
      </c>
      <c r="E12">
        <f>LN(C12)</f>
        <v/>
      </c>
      <c r="F12">
        <f>E12-0.45*D12</f>
        <v/>
      </c>
      <c r="G12">
        <f>F12</f>
        <v/>
      </c>
      <c r="H12">
        <f>G12-2*G11+G10</f>
        <v/>
      </c>
      <c r="I12" t="n">
        <v>0</v>
      </c>
      <c r="J12">
        <f>H12^2</f>
        <v/>
      </c>
    </row>
    <row r="13">
      <c r="A13" t="n">
        <v>2007</v>
      </c>
      <c r="B13">
        <f>'PWT'!C14</f>
        <v/>
      </c>
      <c r="C13">
        <f>'PWT'!B14</f>
        <v/>
      </c>
      <c r="D13">
        <f>LN(B13)</f>
        <v/>
      </c>
      <c r="E13">
        <f>LN(C13)</f>
        <v/>
      </c>
      <c r="F13">
        <f>E13-0.45*D13</f>
        <v/>
      </c>
      <c r="G13">
        <f>F13</f>
        <v/>
      </c>
      <c r="H13">
        <f>G13-2*G12+G11</f>
        <v/>
      </c>
      <c r="I13" t="n">
        <v>0</v>
      </c>
      <c r="J13">
        <f>H13^2</f>
        <v/>
      </c>
    </row>
    <row r="14">
      <c r="A14" t="n">
        <v>2008</v>
      </c>
      <c r="B14">
        <f>'PWT'!C15</f>
        <v/>
      </c>
      <c r="C14">
        <f>'PWT'!B15</f>
        <v/>
      </c>
      <c r="D14">
        <f>LN(B14)</f>
        <v/>
      </c>
      <c r="E14">
        <f>LN(C14)</f>
        <v/>
      </c>
      <c r="F14">
        <f>E14-0.45*D14</f>
        <v/>
      </c>
      <c r="G14">
        <f>F14</f>
        <v/>
      </c>
      <c r="H14">
        <f>G14-2*G13+G12</f>
        <v/>
      </c>
      <c r="I14" t="n">
        <v>0</v>
      </c>
      <c r="J14">
        <f>H14^2</f>
        <v/>
      </c>
    </row>
    <row r="15">
      <c r="A15" t="n">
        <v>2009</v>
      </c>
      <c r="B15">
        <f>'PWT'!C16</f>
        <v/>
      </c>
      <c r="C15">
        <f>'PWT'!B16</f>
        <v/>
      </c>
      <c r="D15">
        <f>LN(B15)</f>
        <v/>
      </c>
      <c r="E15">
        <f>LN(C15)</f>
        <v/>
      </c>
      <c r="F15">
        <f>E15-0.45*D15</f>
        <v/>
      </c>
      <c r="G15">
        <f>F15</f>
        <v/>
      </c>
      <c r="H15">
        <f>G15-2*G14+G13</f>
        <v/>
      </c>
      <c r="I15" t="n">
        <v>0</v>
      </c>
      <c r="J15">
        <f>H15^2</f>
        <v/>
      </c>
    </row>
    <row r="16">
      <c r="A16" t="n">
        <v>2010</v>
      </c>
      <c r="B16">
        <f>'PWT'!C17</f>
        <v/>
      </c>
      <c r="C16">
        <f>'PWT'!B17</f>
        <v/>
      </c>
      <c r="D16">
        <f>LN(B16)</f>
        <v/>
      </c>
      <c r="E16">
        <f>LN(C16)</f>
        <v/>
      </c>
      <c r="F16">
        <f>E16-0.45*D16</f>
        <v/>
      </c>
      <c r="G16">
        <f>F16</f>
        <v/>
      </c>
      <c r="H16">
        <f>G16-2*G15+G14</f>
        <v/>
      </c>
      <c r="I16" t="n">
        <v>0</v>
      </c>
      <c r="J16">
        <f>H16^2</f>
        <v/>
      </c>
    </row>
    <row r="17">
      <c r="A17" t="n">
        <v>2011</v>
      </c>
      <c r="B17">
        <f>'PWT'!C18</f>
        <v/>
      </c>
      <c r="C17">
        <f>'PWT'!B18</f>
        <v/>
      </c>
      <c r="D17">
        <f>LN(B17)</f>
        <v/>
      </c>
      <c r="E17">
        <f>LN(C17)</f>
        <v/>
      </c>
      <c r="F17">
        <f>E17-0.45*D17</f>
        <v/>
      </c>
      <c r="G17">
        <f>F17</f>
        <v/>
      </c>
      <c r="H17">
        <f>G17-2*G16+G15</f>
        <v/>
      </c>
      <c r="I17" t="n">
        <v>0</v>
      </c>
      <c r="J17">
        <f>H17^2</f>
        <v/>
      </c>
    </row>
    <row r="18">
      <c r="A18" t="n">
        <v>2012</v>
      </c>
      <c r="B18">
        <f>'PWT'!C19</f>
        <v/>
      </c>
      <c r="C18">
        <f>'PWT'!B19</f>
        <v/>
      </c>
      <c r="D18">
        <f>LN(B18)</f>
        <v/>
      </c>
      <c r="E18">
        <f>LN(C18)</f>
        <v/>
      </c>
      <c r="F18">
        <f>E18-0.45*D18</f>
        <v/>
      </c>
      <c r="G18">
        <f>F18</f>
        <v/>
      </c>
      <c r="H18">
        <f>G18-2*G17+G16</f>
        <v/>
      </c>
      <c r="I18" t="n">
        <v>0</v>
      </c>
      <c r="J18">
        <f>H18^2</f>
        <v/>
      </c>
    </row>
    <row r="19">
      <c r="A19" t="n">
        <v>2013</v>
      </c>
      <c r="B19">
        <f>'PWT'!C20</f>
        <v/>
      </c>
      <c r="C19">
        <f>'PWT'!B20</f>
        <v/>
      </c>
      <c r="D19">
        <f>LN(B19)</f>
        <v/>
      </c>
      <c r="E19">
        <f>LN(C19)</f>
        <v/>
      </c>
      <c r="F19">
        <f>E19-0.45*D19</f>
        <v/>
      </c>
      <c r="G19">
        <f>F19</f>
        <v/>
      </c>
      <c r="H19">
        <f>G19-2*G18+G17</f>
        <v/>
      </c>
      <c r="I19" t="n">
        <v>0</v>
      </c>
      <c r="J19">
        <f>H19^2</f>
        <v/>
      </c>
    </row>
    <row r="20">
      <c r="A20" t="n">
        <v>2014</v>
      </c>
      <c r="B20">
        <f>'PWT'!C21</f>
        <v/>
      </c>
      <c r="C20">
        <f>'PWT'!B21</f>
        <v/>
      </c>
      <c r="D20">
        <f>LN(B20)</f>
        <v/>
      </c>
      <c r="E20">
        <f>LN(C20)</f>
        <v/>
      </c>
      <c r="F20">
        <f>E20-0.45*D20</f>
        <v/>
      </c>
      <c r="G20">
        <f>F20</f>
        <v/>
      </c>
      <c r="H20">
        <f>G20-2*G19+G18</f>
        <v/>
      </c>
      <c r="I20" t="n">
        <v>0</v>
      </c>
      <c r="J20">
        <f>H20^2</f>
        <v/>
      </c>
    </row>
    <row r="21">
      <c r="A21" t="n">
        <v>2015</v>
      </c>
      <c r="B21">
        <f>'PWT'!C22</f>
        <v/>
      </c>
      <c r="C21">
        <f>'PWT'!B22</f>
        <v/>
      </c>
      <c r="D21">
        <f>LN(B21)</f>
        <v/>
      </c>
      <c r="E21">
        <f>LN(C21)</f>
        <v/>
      </c>
      <c r="F21">
        <f>E21-0.45*D21</f>
        <v/>
      </c>
      <c r="G21">
        <f>F21</f>
        <v/>
      </c>
      <c r="H21">
        <f>G21-2*G20+G19</f>
        <v/>
      </c>
      <c r="I21" t="n">
        <v>0</v>
      </c>
      <c r="J21">
        <f>H21^2</f>
        <v/>
      </c>
    </row>
    <row r="22">
      <c r="A22" t="n">
        <v>2016</v>
      </c>
      <c r="B22">
        <f>'PWT'!C23</f>
        <v/>
      </c>
      <c r="C22">
        <f>'PWT'!B23</f>
        <v/>
      </c>
      <c r="D22">
        <f>LN(B22)</f>
        <v/>
      </c>
      <c r="E22">
        <f>LN(C22)</f>
        <v/>
      </c>
      <c r="F22">
        <f>E22-0.45*D22</f>
        <v/>
      </c>
      <c r="G22">
        <f>F22</f>
        <v/>
      </c>
      <c r="H22">
        <f>G22-2*G21+G20</f>
        <v/>
      </c>
      <c r="I22" t="n">
        <v>0</v>
      </c>
      <c r="J22">
        <f>H22^2</f>
        <v/>
      </c>
    </row>
    <row r="23">
      <c r="A23" t="n">
        <v>2017</v>
      </c>
      <c r="B23">
        <f>'PWT'!C24</f>
        <v/>
      </c>
      <c r="C23">
        <f>'PWT'!B24</f>
        <v/>
      </c>
      <c r="D23">
        <f>LN(B23)</f>
        <v/>
      </c>
      <c r="E23">
        <f>LN(C23)</f>
        <v/>
      </c>
      <c r="F23">
        <f>E23-0.45*D23</f>
        <v/>
      </c>
      <c r="G23">
        <f>F23</f>
        <v/>
      </c>
      <c r="H23">
        <f>G23-2*G22+G21</f>
        <v/>
      </c>
      <c r="I23" t="n">
        <v>0</v>
      </c>
      <c r="J23">
        <f>H23^2</f>
        <v/>
      </c>
    </row>
    <row r="24">
      <c r="A24" t="n">
        <v>2018</v>
      </c>
      <c r="B24">
        <f>'PWT'!C25</f>
        <v/>
      </c>
      <c r="C24">
        <f>'PWT'!B25</f>
        <v/>
      </c>
      <c r="D24">
        <f>LN(B24)</f>
        <v/>
      </c>
      <c r="E24">
        <f>LN(C24)</f>
        <v/>
      </c>
      <c r="F24">
        <f>E24-0.45*D24</f>
        <v/>
      </c>
      <c r="G24">
        <f>F24</f>
        <v/>
      </c>
      <c r="H24">
        <f>G24-2*G23+G22</f>
        <v/>
      </c>
      <c r="I24" t="n">
        <v>0</v>
      </c>
      <c r="J24">
        <f>H24^2</f>
        <v/>
      </c>
    </row>
    <row r="25">
      <c r="A25" t="n">
        <v>2019</v>
      </c>
      <c r="B25">
        <f>'PWT'!C26</f>
        <v/>
      </c>
      <c r="C25">
        <f>'PWT'!B26</f>
        <v/>
      </c>
      <c r="D25">
        <f>LN(B25)</f>
        <v/>
      </c>
      <c r="E25">
        <f>LN(C25)</f>
        <v/>
      </c>
      <c r="F25">
        <f>E25-0.45*D25</f>
        <v/>
      </c>
      <c r="G25">
        <f>F25</f>
        <v/>
      </c>
      <c r="H25">
        <f>G25-2*G24+G23</f>
        <v/>
      </c>
      <c r="I25" t="n">
        <v>0</v>
      </c>
      <c r="J25">
        <f>H25^2</f>
        <v/>
      </c>
    </row>
    <row r="26">
      <c r="A26" t="n">
        <v>2020</v>
      </c>
      <c r="B26">
        <f>'PWT'!C27</f>
        <v/>
      </c>
      <c r="C26">
        <f>'PWT'!B27</f>
        <v/>
      </c>
      <c r="D26">
        <f>LN(B26)</f>
        <v/>
      </c>
      <c r="E26">
        <f>LN(C26)</f>
        <v/>
      </c>
      <c r="F26">
        <f>E26-0.45*D26</f>
        <v/>
      </c>
      <c r="G26">
        <f>F26</f>
        <v/>
      </c>
      <c r="H26">
        <f>G26-2*G25+G24</f>
        <v/>
      </c>
      <c r="I26" t="n">
        <v>0</v>
      </c>
      <c r="J26">
        <f>H26^2</f>
        <v/>
      </c>
    </row>
    <row r="27">
      <c r="A27" t="n">
        <v>2021</v>
      </c>
      <c r="B27">
        <f>'PWT'!C28</f>
        <v/>
      </c>
      <c r="C27">
        <f>'PWT'!B28</f>
        <v/>
      </c>
      <c r="D27">
        <f>LN(B27)</f>
        <v/>
      </c>
      <c r="E27">
        <f>LN(C27)</f>
        <v/>
      </c>
      <c r="F27">
        <f>E27-0.45*D27</f>
        <v/>
      </c>
      <c r="G27">
        <f>F27</f>
        <v/>
      </c>
      <c r="H27">
        <f>G27-2*G26+G25</f>
        <v/>
      </c>
      <c r="I27" t="n">
        <v>0</v>
      </c>
      <c r="J27">
        <f>H27^2</f>
        <v/>
      </c>
    </row>
    <row r="28">
      <c r="A28" t="n">
        <v>2022</v>
      </c>
      <c r="B28">
        <f>'PWT'!C29</f>
        <v/>
      </c>
      <c r="C28">
        <f>'PWT'!B29</f>
        <v/>
      </c>
      <c r="D28">
        <f>LN(B28)</f>
        <v/>
      </c>
      <c r="E28">
        <f>LN(C28)</f>
        <v/>
      </c>
      <c r="F28">
        <f>E28-0.45*D28</f>
        <v/>
      </c>
      <c r="G28">
        <f>F28</f>
        <v/>
      </c>
      <c r="H28">
        <f>G28-2*G27+G26</f>
        <v/>
      </c>
      <c r="I28" t="n">
        <v>0</v>
      </c>
      <c r="J28">
        <f>H28^2</f>
        <v/>
      </c>
    </row>
    <row r="29">
      <c r="A29" t="n">
        <v>2023</v>
      </c>
      <c r="B29">
        <f>'PWT'!C30</f>
        <v/>
      </c>
      <c r="C29">
        <f>'PWT'!B30</f>
        <v/>
      </c>
      <c r="D29">
        <f>LN(B29)</f>
        <v/>
      </c>
      <c r="E29">
        <f>LN(C29)</f>
        <v/>
      </c>
      <c r="F29">
        <f>E29-0.45*D29</f>
        <v/>
      </c>
      <c r="G29">
        <f>F29</f>
        <v/>
      </c>
      <c r="H29">
        <f>G29-2*G28+G27</f>
        <v/>
      </c>
      <c r="I29" t="n">
        <v>0</v>
      </c>
      <c r="J29">
        <f>H29^2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 Shock Analysis</t>
        </is>
      </c>
      <c r="D1" s="3" t="inlineStr">
        <is>
          <t>Investment Shock: $6.5B over 8 years (2026-2033)</t>
        </is>
      </c>
      <c r="K1" s="2" t="inlineStr">
        <is>
          <t>Extended K_Base (fixed K/Y):</t>
        </is>
      </c>
      <c r="L1" s="2" t="inlineStr">
        <is>
          <t>Average K/Y (recent 9 yrs):</t>
        </is>
      </c>
      <c r="M1" t="n">
        <v>2.5658</v>
      </c>
    </row>
    <row r="2">
      <c r="L2" s="2" t="inlineStr">
        <is>
          <t>K/Y Anchor:</t>
        </is>
      </c>
      <c r="M2" t="n">
        <v>2.7062</v>
      </c>
    </row>
    <row r="3">
      <c r="A3" s="2" t="inlineStr">
        <is>
          <t>Year</t>
        </is>
      </c>
      <c r="B3" s="2" t="inlineStr">
        <is>
          <t>Base Investment</t>
        </is>
      </c>
      <c r="C3" s="2" t="inlineStr">
        <is>
          <t>Shock Investment</t>
        </is>
      </c>
      <c r="D3" s="2" t="inlineStr">
        <is>
          <t>Total Investment</t>
        </is>
      </c>
      <c r="E3" s="2" t="inlineStr">
        <is>
          <t>deltaK</t>
        </is>
      </c>
      <c r="F3" s="2" t="inlineStr">
        <is>
          <t>K_With</t>
        </is>
      </c>
      <c r="G3" s="2" t="inlineStr">
        <is>
          <t>K_Base</t>
        </is>
      </c>
      <c r="H3" s="2" t="inlineStr">
        <is>
          <t>K_Y Ratio</t>
        </is>
      </c>
      <c r="I3" s="2" t="inlineStr">
        <is>
          <t>Ystar_Base</t>
        </is>
      </c>
      <c r="J3" s="2" t="inlineStr">
        <is>
          <t>Ystar_With</t>
        </is>
      </c>
    </row>
    <row r="4">
      <c r="A4" t="n">
        <v>2000</v>
      </c>
      <c r="B4" t="n">
        <v>1691.96</v>
      </c>
      <c r="C4" t="n">
        <v>0</v>
      </c>
      <c r="D4" t="n">
        <v>1691.96</v>
      </c>
      <c r="E4" t="n">
        <v>19095.63</v>
      </c>
      <c r="F4" t="n">
        <v>19095.63</v>
      </c>
      <c r="G4" t="n">
        <v>19095.63</v>
      </c>
      <c r="H4" t="n">
        <v>3</v>
      </c>
      <c r="I4" t="n">
        <v>6667.37</v>
      </c>
      <c r="J4" t="n">
        <v>6667.37</v>
      </c>
      <c r="K4" t="n">
        <v>0</v>
      </c>
      <c r="L4" t="n">
        <v>0</v>
      </c>
    </row>
    <row r="5">
      <c r="A5" t="n">
        <v>2001</v>
      </c>
      <c r="B5" t="n">
        <v>2023.23</v>
      </c>
      <c r="C5" t="n">
        <v>0</v>
      </c>
      <c r="D5" t="n">
        <v>2023.23</v>
      </c>
      <c r="E5" t="n">
        <v>2023.23</v>
      </c>
      <c r="F5" t="n">
        <v>20164.08</v>
      </c>
      <c r="G5" t="n">
        <v>20164.08</v>
      </c>
      <c r="H5" t="n">
        <v>3.0226</v>
      </c>
      <c r="I5" t="n">
        <v>7011.49</v>
      </c>
      <c r="J5" t="n">
        <v>7011.49</v>
      </c>
      <c r="K5" t="n">
        <v>0</v>
      </c>
      <c r="L5" t="n">
        <v>0</v>
      </c>
    </row>
    <row r="6">
      <c r="A6" t="n">
        <v>2002</v>
      </c>
      <c r="B6" t="n">
        <v>2005.45</v>
      </c>
      <c r="C6" t="n">
        <v>0</v>
      </c>
      <c r="D6" t="n">
        <v>2005.45</v>
      </c>
      <c r="E6" t="n">
        <v>2005.45</v>
      </c>
      <c r="F6" t="n">
        <v>21161.33</v>
      </c>
      <c r="G6" t="n">
        <v>21161.33</v>
      </c>
      <c r="H6" t="n">
        <v>3.0074</v>
      </c>
      <c r="I6" t="n">
        <v>7378.6</v>
      </c>
      <c r="J6" t="n">
        <v>7378.6</v>
      </c>
      <c r="K6" t="n">
        <v>0</v>
      </c>
      <c r="L6" t="n">
        <v>0</v>
      </c>
    </row>
    <row r="7">
      <c r="A7" t="n">
        <v>2003</v>
      </c>
      <c r="B7" t="n">
        <v>2273.67</v>
      </c>
      <c r="C7" t="n">
        <v>0</v>
      </c>
      <c r="D7" t="n">
        <v>2273.67</v>
      </c>
      <c r="E7" t="n">
        <v>2273.67</v>
      </c>
      <c r="F7" t="n">
        <v>22376.93</v>
      </c>
      <c r="G7" t="n">
        <v>22376.93</v>
      </c>
      <c r="H7" t="n">
        <v>2.8635</v>
      </c>
      <c r="I7" t="n">
        <v>8015.68</v>
      </c>
      <c r="J7" t="n">
        <v>8015.68</v>
      </c>
      <c r="K7" t="n">
        <v>0</v>
      </c>
      <c r="L7" t="n">
        <v>0</v>
      </c>
    </row>
    <row r="8">
      <c r="A8" t="n">
        <v>2004</v>
      </c>
      <c r="B8" t="n">
        <v>2561.75</v>
      </c>
      <c r="C8" t="n">
        <v>0</v>
      </c>
      <c r="D8" t="n">
        <v>2561.75</v>
      </c>
      <c r="E8" t="n">
        <v>2561.75</v>
      </c>
      <c r="F8" t="n">
        <v>23819.84</v>
      </c>
      <c r="G8" t="n">
        <v>23819.84</v>
      </c>
      <c r="H8" t="n">
        <v>2.8813</v>
      </c>
      <c r="I8" t="n">
        <v>8503.610000000001</v>
      </c>
      <c r="J8" t="n">
        <v>8503.610000000001</v>
      </c>
      <c r="K8" t="n">
        <v>0</v>
      </c>
      <c r="L8" t="n">
        <v>0</v>
      </c>
    </row>
    <row r="9">
      <c r="A9" t="n">
        <v>2005</v>
      </c>
      <c r="B9" t="n">
        <v>3019.65</v>
      </c>
      <c r="C9" t="n">
        <v>0</v>
      </c>
      <c r="D9" t="n">
        <v>3019.65</v>
      </c>
      <c r="E9" t="n">
        <v>3019.65</v>
      </c>
      <c r="F9" t="n">
        <v>25648.5</v>
      </c>
      <c r="G9" t="n">
        <v>25648.5</v>
      </c>
      <c r="H9" t="n">
        <v>2.831</v>
      </c>
      <c r="I9" t="n">
        <v>9245.6</v>
      </c>
      <c r="J9" t="n">
        <v>9245.6</v>
      </c>
      <c r="K9" t="n">
        <v>0</v>
      </c>
      <c r="L9" t="n">
        <v>0</v>
      </c>
    </row>
    <row r="10">
      <c r="A10" t="n">
        <v>2006</v>
      </c>
      <c r="B10" t="n">
        <v>2947.78</v>
      </c>
      <c r="C10" t="n">
        <v>0</v>
      </c>
      <c r="D10" t="n">
        <v>2947.78</v>
      </c>
      <c r="E10" t="n">
        <v>2947.78</v>
      </c>
      <c r="F10" t="n">
        <v>27313.85</v>
      </c>
      <c r="G10" t="n">
        <v>27313.85</v>
      </c>
      <c r="H10" t="n">
        <v>2.7552</v>
      </c>
      <c r="I10" t="n">
        <v>9993.92</v>
      </c>
      <c r="J10" t="n">
        <v>9993.92</v>
      </c>
      <c r="K10" t="n">
        <v>0</v>
      </c>
      <c r="L10" t="n">
        <v>0</v>
      </c>
    </row>
    <row r="11">
      <c r="A11" t="n">
        <v>2007</v>
      </c>
      <c r="B11" t="n">
        <v>3733.61</v>
      </c>
      <c r="C11" t="n">
        <v>0</v>
      </c>
      <c r="D11" t="n">
        <v>3733.61</v>
      </c>
      <c r="E11" t="n">
        <v>3733.61</v>
      </c>
      <c r="F11" t="n">
        <v>29681.77</v>
      </c>
      <c r="G11" t="n">
        <v>29681.77</v>
      </c>
      <c r="H11" t="n">
        <v>2.6596</v>
      </c>
      <c r="I11" t="n">
        <v>11073.33</v>
      </c>
      <c r="J11" t="n">
        <v>11073.33</v>
      </c>
      <c r="K11" t="n">
        <v>0</v>
      </c>
      <c r="L11" t="n">
        <v>0</v>
      </c>
    </row>
    <row r="12">
      <c r="A12" t="n">
        <v>2008</v>
      </c>
      <c r="B12" t="n">
        <v>3165.08</v>
      </c>
      <c r="C12" t="n">
        <v>0</v>
      </c>
      <c r="D12" t="n">
        <v>3165.08</v>
      </c>
      <c r="E12" t="n">
        <v>3165.08</v>
      </c>
      <c r="F12" t="n">
        <v>31362.77</v>
      </c>
      <c r="G12" t="n">
        <v>31362.77</v>
      </c>
      <c r="H12" t="n">
        <v>2.7438</v>
      </c>
      <c r="I12" t="n">
        <v>11501.64</v>
      </c>
      <c r="J12" t="n">
        <v>11501.64</v>
      </c>
      <c r="K12" t="n">
        <v>0</v>
      </c>
      <c r="L12" t="n">
        <v>0</v>
      </c>
    </row>
    <row r="13">
      <c r="A13" t="n">
        <v>2009</v>
      </c>
      <c r="B13" t="n">
        <v>1540.29</v>
      </c>
      <c r="C13" t="n">
        <v>0</v>
      </c>
      <c r="D13" t="n">
        <v>1540.29</v>
      </c>
      <c r="E13" t="n">
        <v>1540.29</v>
      </c>
      <c r="F13" t="n">
        <v>31334.92</v>
      </c>
      <c r="G13" t="n">
        <v>31334.92</v>
      </c>
      <c r="H13" t="n">
        <v>2.8452</v>
      </c>
      <c r="I13" t="n">
        <v>11264.26</v>
      </c>
      <c r="J13" t="n">
        <v>11264.26</v>
      </c>
      <c r="K13" t="n">
        <v>0</v>
      </c>
      <c r="L13" t="n">
        <v>0</v>
      </c>
    </row>
    <row r="14">
      <c r="A14" t="n">
        <v>2010</v>
      </c>
      <c r="B14" t="n">
        <v>2448.95</v>
      </c>
      <c r="C14" t="n">
        <v>0</v>
      </c>
      <c r="D14" t="n">
        <v>2448.95</v>
      </c>
      <c r="E14" t="n">
        <v>2448.95</v>
      </c>
      <c r="F14" t="n">
        <v>32217.12</v>
      </c>
      <c r="G14" t="n">
        <v>32217.12</v>
      </c>
      <c r="H14" t="n">
        <v>2.7533</v>
      </c>
      <c r="I14" t="n">
        <v>11792.39</v>
      </c>
      <c r="J14" t="n">
        <v>11792.39</v>
      </c>
      <c r="K14" t="n">
        <v>0</v>
      </c>
      <c r="L14" t="n">
        <v>0</v>
      </c>
    </row>
    <row r="15">
      <c r="A15" t="n">
        <v>2011</v>
      </c>
      <c r="B15" t="n">
        <v>2920.04</v>
      </c>
      <c r="C15" t="n">
        <v>0</v>
      </c>
      <c r="D15" t="n">
        <v>2920.04</v>
      </c>
      <c r="E15" t="n">
        <v>2920.04</v>
      </c>
      <c r="F15" t="n">
        <v>33526.31</v>
      </c>
      <c r="G15" t="n">
        <v>33526.31</v>
      </c>
      <c r="H15" t="n">
        <v>2.6546</v>
      </c>
      <c r="I15" t="n">
        <v>12520.57</v>
      </c>
      <c r="J15" t="n">
        <v>12520.57</v>
      </c>
      <c r="K15" t="n">
        <v>0</v>
      </c>
      <c r="L15" t="n">
        <v>0</v>
      </c>
    </row>
    <row r="16">
      <c r="A16" t="n">
        <v>2012</v>
      </c>
      <c r="B16" t="n">
        <v>3503.43</v>
      </c>
      <c r="C16" t="n">
        <v>0</v>
      </c>
      <c r="D16" t="n">
        <v>3503.43</v>
      </c>
      <c r="E16" t="n">
        <v>3503.43</v>
      </c>
      <c r="F16" t="n">
        <v>35353.42</v>
      </c>
      <c r="G16" t="n">
        <v>35353.42</v>
      </c>
      <c r="H16" t="n">
        <v>2.6265</v>
      </c>
      <c r="I16" t="n">
        <v>13280.48</v>
      </c>
      <c r="J16" t="n">
        <v>13280.48</v>
      </c>
      <c r="K16" t="n">
        <v>0</v>
      </c>
      <c r="L16" t="n">
        <v>0</v>
      </c>
    </row>
    <row r="17">
      <c r="A17" t="n">
        <v>2013</v>
      </c>
      <c r="B17" t="n">
        <v>3070.85</v>
      </c>
      <c r="C17" t="n">
        <v>0</v>
      </c>
      <c r="D17" t="n">
        <v>3070.85</v>
      </c>
      <c r="E17" t="n">
        <v>3070.85</v>
      </c>
      <c r="F17" t="n">
        <v>36656.6</v>
      </c>
      <c r="G17" t="n">
        <v>36656.6</v>
      </c>
      <c r="H17" t="n">
        <v>2.5903</v>
      </c>
      <c r="I17" t="n">
        <v>13875.36</v>
      </c>
      <c r="J17" t="n">
        <v>13875.36</v>
      </c>
      <c r="K17" t="n">
        <v>0</v>
      </c>
      <c r="L17" t="n">
        <v>0</v>
      </c>
    </row>
    <row r="18">
      <c r="A18" t="n">
        <v>2014</v>
      </c>
      <c r="B18" t="n">
        <v>3778.34</v>
      </c>
      <c r="C18" t="n">
        <v>0</v>
      </c>
      <c r="D18" t="n">
        <v>3778.34</v>
      </c>
      <c r="E18" t="n">
        <v>3778.34</v>
      </c>
      <c r="F18" t="n">
        <v>38602.12</v>
      </c>
      <c r="G18" t="n">
        <v>38602.12</v>
      </c>
      <c r="H18" t="n">
        <v>2.6206</v>
      </c>
      <c r="I18" t="n">
        <v>14518.67</v>
      </c>
      <c r="J18" t="n">
        <v>14518.67</v>
      </c>
      <c r="K18" t="n">
        <v>0</v>
      </c>
      <c r="L18" t="n">
        <v>0</v>
      </c>
    </row>
    <row r="19">
      <c r="A19" t="n">
        <v>2015</v>
      </c>
      <c r="B19" t="n">
        <v>4091.72</v>
      </c>
      <c r="C19" t="n">
        <v>0</v>
      </c>
      <c r="D19" t="n">
        <v>4091.72</v>
      </c>
      <c r="E19" t="n">
        <v>4091.72</v>
      </c>
      <c r="F19" t="n">
        <v>40763.73</v>
      </c>
      <c r="G19" t="n">
        <v>40763.73</v>
      </c>
      <c r="H19" t="n">
        <v>2.6776</v>
      </c>
      <c r="I19" t="n">
        <v>15151.24</v>
      </c>
      <c r="J19" t="n">
        <v>15151.24</v>
      </c>
      <c r="K19" t="n">
        <v>0</v>
      </c>
      <c r="L19" t="n">
        <v>0</v>
      </c>
    </row>
    <row r="20">
      <c r="A20" t="n">
        <v>2016</v>
      </c>
      <c r="B20" t="n">
        <v>4551.96</v>
      </c>
      <c r="C20" t="n">
        <v>0</v>
      </c>
      <c r="D20" t="n">
        <v>4551.96</v>
      </c>
      <c r="E20" t="n">
        <v>4551.96</v>
      </c>
      <c r="F20" t="n">
        <v>43277.51</v>
      </c>
      <c r="G20" t="n">
        <v>43277.51</v>
      </c>
      <c r="H20" t="n">
        <v>2.7479</v>
      </c>
      <c r="I20" t="n">
        <v>15857.89</v>
      </c>
      <c r="J20" t="n">
        <v>15857.89</v>
      </c>
      <c r="K20" t="n">
        <v>0</v>
      </c>
      <c r="L20" t="n">
        <v>0</v>
      </c>
    </row>
    <row r="21">
      <c r="A21" t="n">
        <v>2017</v>
      </c>
      <c r="B21" t="n">
        <v>4161.09</v>
      </c>
      <c r="C21" t="n">
        <v>0</v>
      </c>
      <c r="D21" t="n">
        <v>4161.09</v>
      </c>
      <c r="E21" t="n">
        <v>4161.09</v>
      </c>
      <c r="F21" t="n">
        <v>45274.73</v>
      </c>
      <c r="G21" t="n">
        <v>45274.73</v>
      </c>
      <c r="H21" t="n">
        <v>2.7337</v>
      </c>
      <c r="I21" t="n">
        <v>16637.19</v>
      </c>
      <c r="J21" t="n">
        <v>16637.19</v>
      </c>
      <c r="K21" t="n">
        <v>0</v>
      </c>
      <c r="L21" t="n">
        <v>0</v>
      </c>
    </row>
    <row r="22">
      <c r="A22" t="n">
        <v>2018</v>
      </c>
      <c r="B22" t="n">
        <v>4905.44</v>
      </c>
      <c r="C22" t="n">
        <v>0</v>
      </c>
      <c r="D22" t="n">
        <v>4905.44</v>
      </c>
      <c r="E22" t="n">
        <v>4905.44</v>
      </c>
      <c r="F22" t="n">
        <v>47916.43</v>
      </c>
      <c r="G22" t="n">
        <v>47916.43</v>
      </c>
      <c r="H22" t="n">
        <v>2.7278</v>
      </c>
      <c r="I22" t="n">
        <v>17628.72</v>
      </c>
      <c r="J22" t="n">
        <v>17628.72</v>
      </c>
      <c r="K22" t="n">
        <v>0</v>
      </c>
      <c r="L22" t="n">
        <v>0</v>
      </c>
    </row>
    <row r="23">
      <c r="A23" t="n">
        <v>2019</v>
      </c>
      <c r="B23" t="n">
        <v>5029.06</v>
      </c>
      <c r="C23" t="n">
        <v>0</v>
      </c>
      <c r="D23" t="n">
        <v>5029.06</v>
      </c>
      <c r="E23" t="n">
        <v>5029.06</v>
      </c>
      <c r="F23" t="n">
        <v>50549.67</v>
      </c>
      <c r="G23" t="n">
        <v>50549.67</v>
      </c>
      <c r="H23" t="n">
        <v>2.7308</v>
      </c>
      <c r="I23" t="n">
        <v>18586.38</v>
      </c>
      <c r="J23" t="n">
        <v>18586.38</v>
      </c>
      <c r="K23" t="n">
        <v>0</v>
      </c>
      <c r="L23" t="n">
        <v>0</v>
      </c>
    </row>
    <row r="24">
      <c r="A24" t="n">
        <v>2020</v>
      </c>
      <c r="B24" t="n">
        <v>4268.2</v>
      </c>
      <c r="C24" t="n">
        <v>0</v>
      </c>
      <c r="D24" t="n">
        <v>4268.2</v>
      </c>
      <c r="E24" t="n">
        <v>4268.2</v>
      </c>
      <c r="F24" t="n">
        <v>52290.39</v>
      </c>
      <c r="G24" t="n">
        <v>52290.39</v>
      </c>
      <c r="H24" t="n">
        <v>3.0145</v>
      </c>
      <c r="I24" t="n">
        <v>18209.26</v>
      </c>
      <c r="J24" t="n">
        <v>18209.26</v>
      </c>
      <c r="K24" t="n">
        <v>0</v>
      </c>
      <c r="L24" t="n">
        <v>0</v>
      </c>
    </row>
    <row r="25">
      <c r="A25" t="n">
        <v>2021</v>
      </c>
      <c r="B25" t="n">
        <v>3968.85</v>
      </c>
      <c r="C25" t="n">
        <v>0</v>
      </c>
      <c r="D25" t="n">
        <v>3968.85</v>
      </c>
      <c r="E25" t="n">
        <v>3968.85</v>
      </c>
      <c r="F25" t="n">
        <v>53644.72</v>
      </c>
      <c r="G25" t="n">
        <v>53644.72</v>
      </c>
      <c r="H25" t="n">
        <v>2.795</v>
      </c>
      <c r="I25" t="n">
        <v>19473.79</v>
      </c>
      <c r="J25" t="n">
        <v>19473.79</v>
      </c>
      <c r="K25" t="n">
        <v>0</v>
      </c>
      <c r="L25" t="n">
        <v>0</v>
      </c>
    </row>
    <row r="26">
      <c r="A26" t="n">
        <v>2022</v>
      </c>
      <c r="B26" t="n">
        <v>5125.25</v>
      </c>
      <c r="C26" t="n">
        <v>0</v>
      </c>
      <c r="D26" t="n">
        <v>5125.25</v>
      </c>
      <c r="E26" t="n">
        <v>5125.25</v>
      </c>
      <c r="F26" t="n">
        <v>56087.73</v>
      </c>
      <c r="G26" t="n">
        <v>56087.73</v>
      </c>
      <c r="H26" t="n">
        <v>2.6337</v>
      </c>
      <c r="I26" t="n">
        <v>21037.41</v>
      </c>
      <c r="J26" t="n">
        <v>21037.41</v>
      </c>
      <c r="K26" t="n">
        <v>0</v>
      </c>
      <c r="L26" t="n">
        <v>0</v>
      </c>
    </row>
    <row r="27">
      <c r="A27" t="n">
        <v>2023</v>
      </c>
      <c r="B27" t="n">
        <v>5740.72</v>
      </c>
      <c r="C27" t="n">
        <v>0</v>
      </c>
      <c r="D27" t="n">
        <v>5740.72</v>
      </c>
      <c r="E27" t="n">
        <v>5740.72</v>
      </c>
      <c r="F27" t="n">
        <v>59024.06</v>
      </c>
      <c r="G27" t="n">
        <v>59024.06</v>
      </c>
      <c r="H27" t="n">
        <v>2.5703</v>
      </c>
      <c r="I27" t="n">
        <v>22437.6</v>
      </c>
      <c r="J27" t="n">
        <v>22437.6</v>
      </c>
      <c r="K27" t="n">
        <v>0</v>
      </c>
      <c r="L27" t="n">
        <v>0</v>
      </c>
    </row>
    <row r="28">
      <c r="A28" t="n">
        <v>2024</v>
      </c>
      <c r="B28" t="n">
        <v>6170.75</v>
      </c>
      <c r="C28" t="n">
        <v>0</v>
      </c>
      <c r="D28" t="n">
        <v>6170.75</v>
      </c>
      <c r="E28" t="n">
        <v>6170.75</v>
      </c>
      <c r="F28" t="n">
        <v>62243.62</v>
      </c>
      <c r="G28" t="n">
        <v>62243.62</v>
      </c>
      <c r="H28" t="n">
        <v>2.4713</v>
      </c>
      <c r="I28" t="n">
        <v>24178.3</v>
      </c>
      <c r="J28" t="n">
        <v>24178.3</v>
      </c>
      <c r="K28" t="n">
        <v>0</v>
      </c>
      <c r="L28" t="n">
        <v>0</v>
      </c>
    </row>
    <row r="29">
      <c r="A29" t="n">
        <v>2025</v>
      </c>
      <c r="B29" t="n">
        <v>0</v>
      </c>
      <c r="C29" t="n">
        <v>0</v>
      </c>
      <c r="D29" t="n">
        <v>0</v>
      </c>
      <c r="E29" t="n">
        <v>-1454.01</v>
      </c>
      <c r="F29" t="n">
        <v>59131.44</v>
      </c>
      <c r="G29" t="n">
        <v>59131.44</v>
      </c>
      <c r="H29" t="n">
        <v>2.1405</v>
      </c>
      <c r="I29" t="n">
        <v>25461.86</v>
      </c>
      <c r="J29" t="n">
        <v>25461.86</v>
      </c>
      <c r="K29" t="n">
        <v>0</v>
      </c>
      <c r="L29" t="n">
        <v>0</v>
      </c>
    </row>
    <row r="30">
      <c r="A30" t="n">
        <v>2026</v>
      </c>
      <c r="B30" t="n">
        <v>0</v>
      </c>
      <c r="C30" t="n">
        <v>812.5</v>
      </c>
      <c r="D30" t="n">
        <v>812.5</v>
      </c>
      <c r="E30" t="n">
        <v>-1781.41</v>
      </c>
      <c r="F30" t="n">
        <v>56987.37</v>
      </c>
      <c r="G30" t="n">
        <v>56174.87</v>
      </c>
      <c r="H30" t="n">
        <v>1.8808</v>
      </c>
      <c r="I30" t="n">
        <v>26177.96</v>
      </c>
      <c r="J30" t="n">
        <v>26347.67</v>
      </c>
      <c r="K30" t="n">
        <v>169.71</v>
      </c>
      <c r="L30" t="n">
        <v>0.65</v>
      </c>
    </row>
    <row r="31">
      <c r="A31" t="n">
        <v>2027</v>
      </c>
      <c r="B31" t="n">
        <v>0</v>
      </c>
      <c r="C31" t="n">
        <v>812.5</v>
      </c>
      <c r="D31" t="n">
        <v>812.5</v>
      </c>
      <c r="E31" t="n">
        <v>-2018.18</v>
      </c>
      <c r="F31" t="n">
        <v>54950.5</v>
      </c>
      <c r="G31" t="n">
        <v>53366.13</v>
      </c>
      <c r="H31" t="n">
        <v>1.6535</v>
      </c>
      <c r="I31" t="n">
        <v>26914.2</v>
      </c>
      <c r="J31" t="n">
        <v>27270.88</v>
      </c>
      <c r="K31" t="n">
        <v>356.68</v>
      </c>
      <c r="L31" t="n">
        <v>1.33</v>
      </c>
    </row>
    <row r="32">
      <c r="A32" t="n">
        <v>2028</v>
      </c>
      <c r="B32" t="n">
        <v>0</v>
      </c>
      <c r="C32" t="n">
        <v>812.5</v>
      </c>
      <c r="D32" t="n">
        <v>812.5</v>
      </c>
      <c r="E32" t="n">
        <v>-2004.83</v>
      </c>
      <c r="F32" t="n">
        <v>53015.47</v>
      </c>
      <c r="G32" t="n">
        <v>50697.82</v>
      </c>
      <c r="H32" t="n">
        <v>1.4545</v>
      </c>
      <c r="I32" t="n">
        <v>27671.15</v>
      </c>
      <c r="J32" t="n">
        <v>28233.4</v>
      </c>
      <c r="K32" t="n">
        <v>562.25</v>
      </c>
      <c r="L32" t="n">
        <v>2.03</v>
      </c>
    </row>
    <row r="33">
      <c r="A33" t="n">
        <v>2029</v>
      </c>
      <c r="B33" t="n">
        <v>0</v>
      </c>
      <c r="C33" t="n">
        <v>812.5</v>
      </c>
      <c r="D33" t="n">
        <v>812.5</v>
      </c>
      <c r="E33" t="n">
        <v>-1928.12</v>
      </c>
      <c r="F33" t="n">
        <v>51177.2</v>
      </c>
      <c r="G33" t="n">
        <v>48162.93</v>
      </c>
      <c r="H33" t="n">
        <v>1.2802</v>
      </c>
      <c r="I33" t="n">
        <v>28449.39</v>
      </c>
      <c r="J33" t="n">
        <v>29237.25</v>
      </c>
      <c r="K33" t="n">
        <v>787.86</v>
      </c>
      <c r="L33" t="n">
        <v>2.77</v>
      </c>
    </row>
    <row r="34">
      <c r="A34" t="n">
        <v>2030</v>
      </c>
      <c r="B34" t="n">
        <v>0</v>
      </c>
      <c r="C34" t="n">
        <v>812.5</v>
      </c>
      <c r="D34" t="n">
        <v>812.5</v>
      </c>
      <c r="E34" t="n">
        <v>-1838.03</v>
      </c>
      <c r="F34" t="n">
        <v>49430.84</v>
      </c>
      <c r="G34" t="n">
        <v>45754.78</v>
      </c>
      <c r="H34" t="n">
        <v>1.1273</v>
      </c>
      <c r="I34" t="n">
        <v>29249.51</v>
      </c>
      <c r="J34" t="n">
        <v>30284.56</v>
      </c>
      <c r="K34" t="n">
        <v>1035.05</v>
      </c>
      <c r="L34" t="n">
        <v>3.54</v>
      </c>
    </row>
    <row r="35">
      <c r="A35" t="n">
        <v>2031</v>
      </c>
      <c r="B35" t="n">
        <v>0</v>
      </c>
      <c r="C35" t="n">
        <v>812.5</v>
      </c>
      <c r="D35" t="n">
        <v>812.5</v>
      </c>
      <c r="E35" t="n">
        <v>-1747.83</v>
      </c>
      <c r="F35" t="n">
        <v>47771.8</v>
      </c>
      <c r="G35" t="n">
        <v>43467.04</v>
      </c>
      <c r="H35" t="n">
        <v>0.9933999999999999</v>
      </c>
      <c r="I35" t="n">
        <v>30072.14</v>
      </c>
      <c r="J35" t="n">
        <v>31377.31</v>
      </c>
      <c r="K35" t="n">
        <v>1305.17</v>
      </c>
      <c r="L35" t="n">
        <v>4.34</v>
      </c>
    </row>
    <row r="36">
      <c r="A36" t="n">
        <v>2032</v>
      </c>
      <c r="B36" t="n">
        <v>0</v>
      </c>
      <c r="C36" t="n">
        <v>812.5</v>
      </c>
      <c r="D36" t="n">
        <v>812.5</v>
      </c>
      <c r="E36" t="n">
        <v>-1660.89</v>
      </c>
      <c r="F36" t="n">
        <v>46195.71</v>
      </c>
      <c r="G36" t="n">
        <v>41293.69</v>
      </c>
      <c r="H36" t="n">
        <v>0.8758</v>
      </c>
      <c r="I36" t="n">
        <v>30917.91</v>
      </c>
      <c r="J36" t="n">
        <v>32518.7</v>
      </c>
      <c r="K36" t="n">
        <v>1600.79</v>
      </c>
      <c r="L36" t="n">
        <v>5.18</v>
      </c>
    </row>
    <row r="37">
      <c r="A37" t="n">
        <v>2033</v>
      </c>
      <c r="B37" t="n">
        <v>0</v>
      </c>
      <c r="C37" t="n">
        <v>812.5</v>
      </c>
      <c r="D37" t="n">
        <v>812.5</v>
      </c>
      <c r="E37" t="n">
        <v>-1577.97</v>
      </c>
      <c r="F37" t="n">
        <v>44698.42</v>
      </c>
      <c r="G37" t="n">
        <v>39229.01</v>
      </c>
      <c r="H37" t="n">
        <v>0.7726</v>
      </c>
      <c r="I37" t="n">
        <v>31787.46</v>
      </c>
      <c r="J37" t="n">
        <v>33710.41</v>
      </c>
      <c r="K37" t="n">
        <v>1922.95</v>
      </c>
      <c r="L37" t="n">
        <v>6.05</v>
      </c>
    </row>
    <row r="38">
      <c r="A38" t="n">
        <v>2034</v>
      </c>
      <c r="B38" t="n">
        <v>0</v>
      </c>
      <c r="C38" t="n">
        <v>0</v>
      </c>
      <c r="D38" t="n">
        <v>0</v>
      </c>
      <c r="E38" t="n">
        <v>-2311.61</v>
      </c>
      <c r="F38" t="n">
        <v>42463.5</v>
      </c>
      <c r="G38" t="n">
        <v>37267.56</v>
      </c>
      <c r="H38" t="n">
        <v>0.6692</v>
      </c>
      <c r="I38" t="n">
        <v>32681.47</v>
      </c>
      <c r="J38" t="n">
        <v>34658.49</v>
      </c>
      <c r="K38" t="n">
        <v>1977.02</v>
      </c>
      <c r="L38" t="n">
        <v>6.05</v>
      </c>
    </row>
    <row r="39">
      <c r="A39" t="n">
        <v>2035</v>
      </c>
      <c r="B39" t="n">
        <v>0</v>
      </c>
      <c r="C39" t="n">
        <v>0</v>
      </c>
      <c r="D39" t="n">
        <v>0</v>
      </c>
      <c r="E39" t="n">
        <v>-2196.04</v>
      </c>
      <c r="F39" t="n">
        <v>40340.32</v>
      </c>
      <c r="G39" t="n">
        <v>35404.18</v>
      </c>
      <c r="H39" t="n">
        <v>0.5796</v>
      </c>
      <c r="I39" t="n">
        <v>33600.62</v>
      </c>
      <c r="J39" t="n">
        <v>35633.25</v>
      </c>
      <c r="K39" t="n">
        <v>2032.63</v>
      </c>
      <c r="L39" t="n">
        <v>6.05</v>
      </c>
    </row>
    <row r="40">
      <c r="A40" t="n">
        <v>2036</v>
      </c>
      <c r="B40" t="n">
        <v>0</v>
      </c>
      <c r="C40" t="n">
        <v>0</v>
      </c>
      <c r="D40" t="n">
        <v>0</v>
      </c>
      <c r="E40" t="n">
        <v>-2086.24</v>
      </c>
      <c r="F40" t="n">
        <v>38323.3</v>
      </c>
      <c r="G40" t="n">
        <v>33633.97</v>
      </c>
      <c r="H40" t="n">
        <v>0.5021</v>
      </c>
      <c r="I40" t="n">
        <v>34545.62</v>
      </c>
      <c r="J40" t="n">
        <v>36635.41</v>
      </c>
      <c r="K40" t="n">
        <v>2089.79</v>
      </c>
      <c r="L40" t="n">
        <v>6.05</v>
      </c>
    </row>
    <row r="41">
      <c r="A41" t="n">
        <v>2037</v>
      </c>
      <c r="B41" t="n">
        <v>0</v>
      </c>
      <c r="C41" t="n">
        <v>0</v>
      </c>
      <c r="D41" t="n">
        <v>0</v>
      </c>
      <c r="E41" t="n">
        <v>-1981.92</v>
      </c>
      <c r="F41" t="n">
        <v>36407.14</v>
      </c>
      <c r="G41" t="n">
        <v>31952.27</v>
      </c>
      <c r="H41" t="n">
        <v>0.4349</v>
      </c>
      <c r="I41" t="n">
        <v>35517.19</v>
      </c>
      <c r="J41" t="n">
        <v>37665.77</v>
      </c>
      <c r="K41" t="n">
        <v>2148.58</v>
      </c>
      <c r="L41" t="n">
        <v>6.05</v>
      </c>
    </row>
    <row r="42">
      <c r="A42" t="n">
        <v>2038</v>
      </c>
      <c r="B42" t="n">
        <v>0</v>
      </c>
      <c r="C42" t="n">
        <v>0</v>
      </c>
      <c r="D42" t="n">
        <v>0</v>
      </c>
      <c r="E42" t="n">
        <v>-1882.83</v>
      </c>
      <c r="F42" t="n">
        <v>34586.78</v>
      </c>
      <c r="G42" t="n">
        <v>30354.66</v>
      </c>
      <c r="H42" t="n">
        <v>0.3767</v>
      </c>
      <c r="I42" t="n">
        <v>36516.1</v>
      </c>
      <c r="J42" t="n">
        <v>38725.1</v>
      </c>
      <c r="K42" t="n">
        <v>2209</v>
      </c>
      <c r="L42" t="n">
        <v>6.05</v>
      </c>
    </row>
    <row r="43">
      <c r="A43" t="n">
        <v>2039</v>
      </c>
      <c r="B43" t="n">
        <v>0</v>
      </c>
      <c r="C43" t="n">
        <v>0</v>
      </c>
      <c r="D43" t="n">
        <v>0</v>
      </c>
      <c r="E43" t="n">
        <v>-1788.69</v>
      </c>
      <c r="F43" t="n">
        <v>32857.44</v>
      </c>
      <c r="G43" t="n">
        <v>28836.93</v>
      </c>
      <c r="H43" t="n">
        <v>0.3262</v>
      </c>
      <c r="I43" t="n">
        <v>37543.1</v>
      </c>
      <c r="J43" t="n">
        <v>39814.22</v>
      </c>
      <c r="K43" t="n">
        <v>2271.12</v>
      </c>
      <c r="L43" t="n">
        <v>6.05</v>
      </c>
    </row>
    <row r="44">
      <c r="A44" t="n">
        <v>2040</v>
      </c>
      <c r="B44" t="n">
        <v>0</v>
      </c>
      <c r="C44" t="n">
        <v>0</v>
      </c>
      <c r="D44" t="n">
        <v>0</v>
      </c>
      <c r="E44" t="n">
        <v>-1699.25</v>
      </c>
      <c r="F44" t="n">
        <v>31214.57</v>
      </c>
      <c r="G44" t="n">
        <v>27395.08</v>
      </c>
      <c r="H44" t="n">
        <v>0.2826</v>
      </c>
      <c r="I44" t="n">
        <v>38598.98</v>
      </c>
      <c r="J44" t="n">
        <v>40933.98</v>
      </c>
      <c r="K44" t="n">
        <v>2335</v>
      </c>
      <c r="L44" t="n">
        <v>6.05</v>
      </c>
    </row>
    <row r="45">
      <c r="A45" t="n">
        <v>2041</v>
      </c>
      <c r="B45" t="n">
        <v>0</v>
      </c>
      <c r="C45" t="n">
        <v>0</v>
      </c>
      <c r="D45" t="n">
        <v>0</v>
      </c>
      <c r="E45" t="n">
        <v>-1614.29</v>
      </c>
      <c r="F45" t="n">
        <v>29653.84</v>
      </c>
      <c r="G45" t="n">
        <v>26025.33</v>
      </c>
      <c r="H45" t="n">
        <v>0.2448</v>
      </c>
      <c r="I45" t="n">
        <v>39684.56</v>
      </c>
      <c r="J45" t="n">
        <v>42085.23</v>
      </c>
      <c r="K45" t="n">
        <v>2400.67</v>
      </c>
      <c r="L45" t="n">
        <v>6.05</v>
      </c>
    </row>
    <row r="46">
      <c r="A46" t="n">
        <v>2042</v>
      </c>
      <c r="B46" t="n">
        <v>0</v>
      </c>
      <c r="C46" t="n">
        <v>0</v>
      </c>
      <c r="D46" t="n">
        <v>0</v>
      </c>
      <c r="E46" t="n">
        <v>-1533.57</v>
      </c>
      <c r="F46" t="n">
        <v>28171.15</v>
      </c>
      <c r="G46" t="n">
        <v>24724.06</v>
      </c>
      <c r="H46" t="n">
        <v>0.212</v>
      </c>
      <c r="I46" t="n">
        <v>40800.66</v>
      </c>
      <c r="J46" t="n">
        <v>43268.85</v>
      </c>
      <c r="K46" t="n">
        <v>2468.19</v>
      </c>
      <c r="L46" t="n">
        <v>6.05</v>
      </c>
    </row>
    <row r="47">
      <c r="A47" s="4" t="inlineStr">
        <is>
          <t>Investment Shock Summary</t>
        </is>
      </c>
      <c r="B47" t="n">
        <v>0</v>
      </c>
      <c r="C47" t="n">
        <v>0</v>
      </c>
      <c r="D47" s="2" t="inlineStr">
        <is>
          <t>Impact on Potential GDP:</t>
        </is>
      </c>
      <c r="E47" t="n">
        <v>-1456.9</v>
      </c>
      <c r="F47" t="n">
        <v>27681.01</v>
      </c>
      <c r="G47" t="n">
        <v>24406.27</v>
      </c>
      <c r="H47" t="n">
        <v>0.19</v>
      </c>
      <c r="J47" s="2" t="inlineStr">
        <is>
          <t>Ystar Impact ($B)</t>
        </is>
      </c>
      <c r="K47" s="2" t="inlineStr">
        <is>
          <t>Impact (%)</t>
        </is>
      </c>
    </row>
    <row r="48">
      <c r="A48" t="inlineStr">
        <is>
          <t>Total Shock Amount</t>
        </is>
      </c>
      <c r="B48" t="n">
        <v>6500</v>
      </c>
    </row>
    <row r="49">
      <c r="A49" t="inlineStr">
        <is>
          <t>Shock Period</t>
        </is>
      </c>
      <c r="B49" t="inlineStr">
        <is>
          <t>2026-2033</t>
        </is>
      </c>
    </row>
    <row r="50">
      <c r="A50" t="inlineStr">
        <is>
          <t>Annual Shock</t>
        </is>
      </c>
      <c r="B50" t="n">
        <v>812.5</v>
      </c>
    </row>
    <row r="51">
      <c r="A51" t="inlineStr">
        <is>
          <t>Depreciation Rate</t>
        </is>
      </c>
      <c r="B51" t="n">
        <v>0.05</v>
      </c>
    </row>
    <row r="52">
      <c r="A52" t="inlineStr">
        <is>
          <t>Capital Share</t>
        </is>
      </c>
      <c r="B52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2026-01-29T05:56:23Z</dcterms:created>
  <dcterms:modified xsi:type="dcterms:W3CDTF">2026-01-29T05:58:58Z</dcterms:modified>
</cp:coreProperties>
</file>