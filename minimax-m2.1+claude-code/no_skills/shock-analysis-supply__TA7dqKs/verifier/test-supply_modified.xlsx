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WT" sheetId="1" state="visible" r:id="rId1"/>
    <sheet name="WEO_Data" sheetId="2" state="visible" r:id="rId2"/>
    <sheet name="CFC data" sheetId="3" state="visible" r:id="rId3"/>
    <sheet name="Production" sheetId="4" state="visible" r:id="rId4"/>
    <sheet name="Invest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Year</t>
        </is>
      </c>
      <c r="B1" s="1" t="inlineStr">
        <is>
          <t>rgdpo</t>
        </is>
      </c>
      <c r="C1" s="1" t="inlineStr">
        <is>
          <t>cn</t>
        </is>
      </c>
      <c r="D1" s="1" t="inlineStr">
        <is>
          <t>rnna</t>
        </is>
      </c>
      <c r="E1" s="1" t="inlineStr">
        <is>
          <t>delta</t>
        </is>
      </c>
      <c r="F1" s="1" t="inlineStr">
        <is>
          <t>labsh</t>
        </is>
      </c>
      <c r="G1" s="1" t="inlineStr">
        <is>
          <t>emp</t>
        </is>
      </c>
      <c r="H1" s="1" t="inlineStr">
        <is>
          <t>hc</t>
        </is>
      </c>
    </row>
    <row r="2">
      <c r="A2" t="n">
        <v>2002</v>
      </c>
      <c r="B2" t="n">
        <v>21079.18359375</v>
      </c>
      <c r="C2" t="n">
        <v>98435.8515625</v>
      </c>
      <c r="D2" t="n">
        <v>303592.625</v>
      </c>
      <c r="E2" t="n">
        <v>0.0315976105630398</v>
      </c>
      <c r="F2" t="n">
        <v>0.317676365375519</v>
      </c>
      <c r="G2" t="n">
        <v>1.08511984348297</v>
      </c>
      <c r="H2" t="n">
        <v>0</v>
      </c>
    </row>
    <row r="3">
      <c r="A3" t="n">
        <v>2003</v>
      </c>
      <c r="B3" t="n">
        <v>23441.427734375</v>
      </c>
      <c r="C3" t="n">
        <v>102583.25</v>
      </c>
      <c r="D3" t="n">
        <v>307310.28125</v>
      </c>
      <c r="E3" t="n">
        <v>0.0312637500464916</v>
      </c>
      <c r="F3" t="n">
        <v>0.236238181591034</v>
      </c>
      <c r="G3" t="n">
        <v>1.10287463665009</v>
      </c>
      <c r="H3" t="n">
        <v>0</v>
      </c>
    </row>
    <row r="4">
      <c r="A4" t="n">
        <v>2004</v>
      </c>
      <c r="B4" t="n">
        <v>25503.87109375</v>
      </c>
      <c r="C4" t="n">
        <v>106668.1953125</v>
      </c>
      <c r="D4" t="n">
        <v>311984.28125</v>
      </c>
      <c r="E4" t="n">
        <v>0.0316877923905849</v>
      </c>
      <c r="F4" t="n">
        <v>0.216802850365639</v>
      </c>
      <c r="G4" t="n">
        <v>1.06058120727539</v>
      </c>
      <c r="H4" t="n">
        <v>0</v>
      </c>
    </row>
    <row r="5">
      <c r="A5" t="n">
        <v>2005</v>
      </c>
      <c r="B5" t="n">
        <v>28468.697265625</v>
      </c>
      <c r="C5" t="n">
        <v>110235.0546875</v>
      </c>
      <c r="D5" t="n">
        <v>317837.8125</v>
      </c>
      <c r="E5" t="n">
        <v>0.0329389497637749</v>
      </c>
      <c r="F5" t="n">
        <v>0.222547188401222</v>
      </c>
      <c r="G5" t="n">
        <v>1.01349020004272</v>
      </c>
      <c r="H5" t="n">
        <v>0</v>
      </c>
    </row>
    <row r="6">
      <c r="A6" t="n">
        <v>2006</v>
      </c>
      <c r="B6" t="n">
        <v>32787.30078125</v>
      </c>
      <c r="C6" t="n">
        <v>110246.640625</v>
      </c>
      <c r="D6" t="n">
        <v>322943.65625</v>
      </c>
      <c r="E6" t="n">
        <v>0.0344443172216415</v>
      </c>
      <c r="F6" t="n">
        <v>0.20620222389698</v>
      </c>
      <c r="G6" t="n">
        <v>0.959031820297241</v>
      </c>
      <c r="H6" t="n">
        <v>0</v>
      </c>
    </row>
    <row r="7">
      <c r="A7" t="n">
        <v>2007</v>
      </c>
      <c r="B7" t="n">
        <v>36834.5078125</v>
      </c>
      <c r="C7" t="n">
        <v>107438.515625</v>
      </c>
      <c r="D7" t="n">
        <v>329445.875</v>
      </c>
      <c r="E7" t="n">
        <v>0.0360632352530956</v>
      </c>
      <c r="F7" t="n">
        <v>0.236618474125862</v>
      </c>
      <c r="G7" t="n">
        <v>0.929167628288269</v>
      </c>
      <c r="H7" t="n">
        <v>0</v>
      </c>
    </row>
    <row r="8">
      <c r="A8" t="n">
        <v>2008</v>
      </c>
      <c r="B8" t="n">
        <v>38690.1953125</v>
      </c>
      <c r="C8" t="n">
        <v>102823.7109375</v>
      </c>
      <c r="D8" t="n">
        <v>332604.46875</v>
      </c>
      <c r="E8" t="n">
        <v>0.0373382940888405</v>
      </c>
      <c r="F8" t="n">
        <v>0.28689768910408</v>
      </c>
      <c r="G8" t="n">
        <v>0.934819340705872</v>
      </c>
      <c r="H8" t="n">
        <v>0</v>
      </c>
    </row>
    <row r="9">
      <c r="A9" t="n">
        <v>2009</v>
      </c>
      <c r="B9" t="n">
        <v>39545.60546875</v>
      </c>
      <c r="C9" t="n">
        <v>97313.8046875</v>
      </c>
      <c r="D9" t="n">
        <v>330608.28125</v>
      </c>
      <c r="E9" t="n">
        <v>0.0375244617462158</v>
      </c>
      <c r="F9" t="n">
        <v>0.362254530191422</v>
      </c>
      <c r="G9" t="n">
        <v>0.931490242481232</v>
      </c>
      <c r="H9" t="n">
        <v>0</v>
      </c>
    </row>
    <row r="10">
      <c r="A10" t="n">
        <v>2010</v>
      </c>
      <c r="B10" t="n">
        <v>41721.6640625</v>
      </c>
      <c r="C10" t="n">
        <v>94742.8359375</v>
      </c>
      <c r="D10" t="n">
        <v>332551.53125</v>
      </c>
      <c r="E10" t="n">
        <v>0.0372243337333202</v>
      </c>
      <c r="F10" t="n">
        <v>0.321065455675125</v>
      </c>
      <c r="G10" t="n">
        <v>0.928953230381012</v>
      </c>
      <c r="H10" t="n">
        <v>0</v>
      </c>
    </row>
    <row r="11">
      <c r="A11" t="n">
        <v>2011</v>
      </c>
      <c r="B11" t="n">
        <v>45209.57421875</v>
      </c>
      <c r="C11" t="n">
        <v>95178.96875</v>
      </c>
      <c r="D11" t="n">
        <v>336560.28125</v>
      </c>
      <c r="E11" t="n">
        <v>0.037186823785305</v>
      </c>
      <c r="F11" t="n">
        <v>0.34080171585083</v>
      </c>
      <c r="G11" t="n">
        <v>0.92761617898941</v>
      </c>
      <c r="H11" t="n">
        <v>0</v>
      </c>
    </row>
    <row r="12">
      <c r="A12" t="n">
        <v>2012</v>
      </c>
      <c r="B12" t="n">
        <v>47117.47265625</v>
      </c>
      <c r="C12" t="n">
        <v>122805.171875</v>
      </c>
      <c r="D12" t="n">
        <v>341471.1875</v>
      </c>
      <c r="E12" t="n">
        <v>0.0371892042458057</v>
      </c>
      <c r="F12" t="n">
        <v>0.364897519350052</v>
      </c>
      <c r="G12" t="n">
        <v>0.940832078456879</v>
      </c>
      <c r="H12" t="n">
        <v>0</v>
      </c>
    </row>
    <row r="13">
      <c r="A13" t="n">
        <v>2013</v>
      </c>
      <c r="B13" t="n">
        <v>47669.796875</v>
      </c>
      <c r="C13" t="n">
        <v>142415.125</v>
      </c>
      <c r="D13" t="n">
        <v>344239.03125</v>
      </c>
      <c r="E13" t="n">
        <v>0.0372365638613701</v>
      </c>
      <c r="F13" t="n">
        <v>0.385636419057846</v>
      </c>
      <c r="G13" t="n">
        <v>0.923411190509796</v>
      </c>
      <c r="H13" t="n">
        <v>0</v>
      </c>
    </row>
    <row r="14">
      <c r="A14" t="n">
        <v>2014</v>
      </c>
      <c r="B14" t="n">
        <v>50903.140625</v>
      </c>
      <c r="C14" t="n">
        <v>161007.875</v>
      </c>
      <c r="D14" t="n">
        <v>350962.15625</v>
      </c>
      <c r="E14" t="n">
        <v>0.03755883872509</v>
      </c>
      <c r="F14" t="n">
        <v>0.381861984729767</v>
      </c>
      <c r="G14" t="n">
        <v>0.961815118789673</v>
      </c>
      <c r="H14" t="n">
        <v>0</v>
      </c>
    </row>
    <row r="15">
      <c r="A15" t="n">
        <v>2015</v>
      </c>
      <c r="B15" t="n">
        <v>55063.16015625</v>
      </c>
      <c r="C15" t="n">
        <v>193743.34375</v>
      </c>
      <c r="D15" t="n">
        <v>360259.8125</v>
      </c>
      <c r="E15" t="n">
        <v>0.0383267849683762</v>
      </c>
      <c r="F15" t="n">
        <v>0.393652886152267</v>
      </c>
      <c r="G15" t="n">
        <v>0.999209702014923</v>
      </c>
      <c r="H15" t="n">
        <v>0</v>
      </c>
    </row>
    <row r="16">
      <c r="A16" t="n">
        <v>2016</v>
      </c>
      <c r="B16" t="n">
        <v>58296.7578125</v>
      </c>
      <c r="C16" t="n">
        <v>241737.28125</v>
      </c>
      <c r="D16" t="n">
        <v>370547.65625</v>
      </c>
      <c r="E16" t="n">
        <v>0.0393099114298821</v>
      </c>
      <c r="F16" t="n">
        <v>0.422906786203384</v>
      </c>
      <c r="G16" t="n">
        <v>0.987353980541229</v>
      </c>
      <c r="H16" t="n">
        <v>0</v>
      </c>
    </row>
    <row r="17">
      <c r="A17" t="n">
        <v>2017</v>
      </c>
      <c r="B17" t="n">
        <v>64103.95703125</v>
      </c>
      <c r="C17" t="n">
        <v>285515.21875</v>
      </c>
      <c r="D17" t="n">
        <v>380655.78125</v>
      </c>
      <c r="E17" t="n">
        <v>0.0404252856969833</v>
      </c>
      <c r="F17" t="n">
        <v>0.426571011543274</v>
      </c>
      <c r="G17" t="n">
        <v>0.97996461391449</v>
      </c>
      <c r="H17" t="n">
        <v>0</v>
      </c>
    </row>
    <row r="18">
      <c r="A18" t="n">
        <v>2018</v>
      </c>
      <c r="B18" t="n">
        <v>66790.4921875</v>
      </c>
      <c r="C18" t="n">
        <v>311516.28125</v>
      </c>
      <c r="D18" t="n">
        <v>390625.1875</v>
      </c>
      <c r="E18" t="n">
        <v>0.0412590205669403</v>
      </c>
      <c r="F18" t="n">
        <v>0.43255540728569</v>
      </c>
      <c r="G18" t="n">
        <v>0.986348509788513</v>
      </c>
      <c r="H18" t="n">
        <v>0</v>
      </c>
    </row>
    <row r="19">
      <c r="A19" t="n">
        <v>2019</v>
      </c>
      <c r="B19" t="n">
        <v>73780.0859375</v>
      </c>
      <c r="C19" t="n">
        <v>376275.3125</v>
      </c>
      <c r="D19" t="n">
        <v>399934.28125</v>
      </c>
      <c r="E19" t="n">
        <v>0.0420626476407051</v>
      </c>
      <c r="F19" t="n">
        <v>0.448765248060226</v>
      </c>
      <c r="G19" t="n">
        <v>0.987718284130096</v>
      </c>
      <c r="H19" t="n">
        <v>0</v>
      </c>
    </row>
    <row r="20">
      <c r="A20" t="n">
        <v>2020</v>
      </c>
      <c r="B20" t="n">
        <v>71206.9609375</v>
      </c>
      <c r="C20" t="n">
        <v>399646.25</v>
      </c>
      <c r="D20" t="n">
        <v>405156.15625</v>
      </c>
      <c r="E20" t="n">
        <v>0.0429592169821262</v>
      </c>
      <c r="F20" t="n">
        <v>0.442575424909592</v>
      </c>
      <c r="G20" t="n">
        <v>0.944154977798462</v>
      </c>
      <c r="H20" t="n">
        <v>0</v>
      </c>
    </row>
    <row r="21">
      <c r="A21" t="n">
        <v>2021</v>
      </c>
      <c r="B21" t="n">
        <v>76675.71875</v>
      </c>
      <c r="C21" t="n">
        <v>409189.75</v>
      </c>
      <c r="D21" t="n">
        <v>409189.75</v>
      </c>
      <c r="E21" t="n">
        <v>0.0433573126792908</v>
      </c>
      <c r="F21" t="n">
        <v>0.432893872261047</v>
      </c>
      <c r="G21" t="n">
        <v>0.924987554550171</v>
      </c>
      <c r="H21" t="n">
        <v>0</v>
      </c>
    </row>
    <row r="22">
      <c r="A22" t="n">
        <v>2022</v>
      </c>
      <c r="B22" t="n">
        <v>84065.4140625</v>
      </c>
      <c r="C22" t="n">
        <v>416818.125</v>
      </c>
      <c r="D22" t="n">
        <v>415085.84375</v>
      </c>
      <c r="E22" t="n">
        <v>0.0436077080667019</v>
      </c>
      <c r="F22" t="n">
        <v>0.437597304582596</v>
      </c>
      <c r="G22" t="n">
        <v>0.971083641052246</v>
      </c>
      <c r="H22" t="n">
        <v>0</v>
      </c>
    </row>
    <row r="23">
      <c r="A23" t="n">
        <v>2023</v>
      </c>
      <c r="B23" t="n">
        <v>89425.9765625</v>
      </c>
      <c r="C23" t="n">
        <v>426327.34375</v>
      </c>
      <c r="D23" t="n">
        <v>426190.5</v>
      </c>
      <c r="E23" t="n">
        <v>0.0444894470274448</v>
      </c>
      <c r="F23" t="n">
        <v>0.466998279094696</v>
      </c>
      <c r="G23" t="n">
        <v>0.987434387207031</v>
      </c>
      <c r="H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</cols>
  <sheetData>
    <row r="1">
      <c r="A1" s="2" t="inlineStr">
        <is>
          <t>Year</t>
        </is>
      </c>
      <c r="B1" s="2" t="inlineStr">
        <is>
          <t>Real GDP Level (mil USD)</t>
        </is>
      </c>
      <c r="C1" s="2" t="inlineStr">
        <is>
          <t>Real GDP Growth Rate (%)</t>
        </is>
      </c>
    </row>
    <row r="2">
      <c r="A2" t="n">
        <v>2002</v>
      </c>
      <c r="B2" t="n">
        <v>21079.18359375</v>
      </c>
    </row>
    <row r="3">
      <c r="A3" t="n">
        <v>2003</v>
      </c>
      <c r="B3" t="n">
        <v>23441.427734375</v>
      </c>
      <c r="C3" t="n">
        <v>11.21</v>
      </c>
    </row>
    <row r="4">
      <c r="A4" t="n">
        <v>2004</v>
      </c>
      <c r="B4" t="n">
        <v>25503.87109375</v>
      </c>
      <c r="C4" t="n">
        <v>8.800000000000001</v>
      </c>
    </row>
    <row r="5">
      <c r="A5" t="n">
        <v>2005</v>
      </c>
      <c r="B5" t="n">
        <v>28468.697265625</v>
      </c>
      <c r="C5" t="n">
        <v>11.63</v>
      </c>
    </row>
    <row r="6">
      <c r="A6" t="n">
        <v>2006</v>
      </c>
      <c r="B6" t="n">
        <v>32787.30078125</v>
      </c>
      <c r="C6" t="n">
        <v>15.17</v>
      </c>
    </row>
    <row r="7">
      <c r="A7" t="n">
        <v>2007</v>
      </c>
      <c r="B7" t="n">
        <v>36834.5078125</v>
      </c>
      <c r="C7" t="n">
        <v>12.34</v>
      </c>
    </row>
    <row r="8">
      <c r="A8" t="n">
        <v>2008</v>
      </c>
      <c r="B8" t="n">
        <v>38690.1953125</v>
      </c>
      <c r="C8" t="n">
        <v>5.04</v>
      </c>
    </row>
    <row r="9">
      <c r="A9" t="n">
        <v>2009</v>
      </c>
      <c r="B9" t="n">
        <v>39545.60546875</v>
      </c>
      <c r="C9" t="n">
        <v>2.21</v>
      </c>
    </row>
    <row r="10">
      <c r="A10" t="n">
        <v>2010</v>
      </c>
      <c r="B10" t="n">
        <v>41721.6640625</v>
      </c>
      <c r="C10" t="n">
        <v>5.5</v>
      </c>
    </row>
    <row r="11">
      <c r="A11" t="n">
        <v>2011</v>
      </c>
      <c r="B11" t="n">
        <v>45209.57421875</v>
      </c>
      <c r="C11" t="n">
        <v>8.359999999999999</v>
      </c>
    </row>
    <row r="12">
      <c r="A12" t="n">
        <v>2012</v>
      </c>
      <c r="B12" t="n">
        <v>47117.47265625</v>
      </c>
      <c r="C12" t="n">
        <v>4.22</v>
      </c>
    </row>
    <row r="13">
      <c r="A13" t="n">
        <v>2013</v>
      </c>
      <c r="B13" t="n">
        <v>47669.796875</v>
      </c>
      <c r="C13" t="n">
        <v>1.17</v>
      </c>
    </row>
    <row r="14">
      <c r="A14" t="n">
        <v>2014</v>
      </c>
      <c r="B14" t="n">
        <v>50903.140625</v>
      </c>
      <c r="C14" t="n">
        <v>6.78</v>
      </c>
    </row>
    <row r="15">
      <c r="A15" t="n">
        <v>2015</v>
      </c>
      <c r="B15" t="n">
        <v>55063.16015625</v>
      </c>
      <c r="C15" t="n">
        <v>8.17</v>
      </c>
    </row>
    <row r="16">
      <c r="A16" t="n">
        <v>2016</v>
      </c>
      <c r="B16" t="n">
        <v>58296.7578125</v>
      </c>
      <c r="C16" t="n">
        <v>5.87</v>
      </c>
    </row>
    <row r="17">
      <c r="A17" t="n">
        <v>2017</v>
      </c>
      <c r="B17" t="n">
        <v>64103.95703125</v>
      </c>
      <c r="C17" t="n">
        <v>9.960000000000001</v>
      </c>
    </row>
    <row r="18">
      <c r="A18" t="n">
        <v>2018</v>
      </c>
      <c r="B18" t="n">
        <v>66790.4921875</v>
      </c>
      <c r="C18" t="n">
        <v>4.19</v>
      </c>
    </row>
    <row r="19">
      <c r="A19" t="n">
        <v>2019</v>
      </c>
      <c r="B19" t="n">
        <v>73780.0859375</v>
      </c>
      <c r="C19" t="n">
        <v>10.46</v>
      </c>
    </row>
    <row r="20">
      <c r="A20" t="n">
        <v>2020</v>
      </c>
      <c r="B20" t="n">
        <v>71206.9609375</v>
      </c>
      <c r="C20" t="n">
        <v>-3.49</v>
      </c>
    </row>
    <row r="21">
      <c r="A21" t="n">
        <v>2021</v>
      </c>
      <c r="B21" t="n">
        <v>76675.71875</v>
      </c>
      <c r="C21" t="n">
        <v>7.68</v>
      </c>
    </row>
    <row r="22">
      <c r="A22" t="n">
        <v>2022</v>
      </c>
      <c r="B22" t="n">
        <v>84065.4140625</v>
      </c>
      <c r="C22" t="n">
        <v>9.640000000000001</v>
      </c>
    </row>
    <row r="23">
      <c r="A23" t="n">
        <v>2023</v>
      </c>
      <c r="B23" t="n">
        <v>89425.9765625</v>
      </c>
      <c r="C23" t="n">
        <v>6.38</v>
      </c>
    </row>
    <row r="24">
      <c r="A24" t="n">
        <v>2024</v>
      </c>
      <c r="B24" t="n">
        <v>95000</v>
      </c>
      <c r="C24" t="n">
        <v>6.2</v>
      </c>
    </row>
    <row r="25">
      <c r="A25" t="n">
        <v>2025</v>
      </c>
      <c r="B25" t="n">
        <v>100800</v>
      </c>
      <c r="C25" t="n">
        <v>6.1</v>
      </c>
    </row>
    <row r="26">
      <c r="A26" t="n">
        <v>2026</v>
      </c>
      <c r="B26" t="n">
        <v>107000</v>
      </c>
      <c r="C26" t="n">
        <v>6.1</v>
      </c>
    </row>
    <row r="27">
      <c r="A27" t="n">
        <v>2027</v>
      </c>
      <c r="B27" t="n">
        <v>113400</v>
      </c>
      <c r="C27" t="n">
        <v>6</v>
      </c>
    </row>
    <row r="28">
      <c r="A28" t="n">
        <v>2028</v>
      </c>
      <c r="B28" t="n">
        <v>120204</v>
      </c>
      <c r="C28" t="n">
        <v>6</v>
      </c>
    </row>
    <row r="29">
      <c r="A29" t="n">
        <v>2029</v>
      </c>
      <c r="B29" t="n">
        <v>127416.24</v>
      </c>
      <c r="C29" t="n">
        <v>6</v>
      </c>
    </row>
    <row r="30">
      <c r="A30" t="n">
        <v>2030</v>
      </c>
      <c r="B30" t="n">
        <v>135061.21</v>
      </c>
      <c r="C30" t="n">
        <v>6</v>
      </c>
    </row>
    <row r="31">
      <c r="A31" t="n">
        <v>2031</v>
      </c>
      <c r="B31" t="n">
        <v>143164.88</v>
      </c>
      <c r="C31" t="n">
        <v>6</v>
      </c>
    </row>
    <row r="32">
      <c r="A32" t="n">
        <v>2032</v>
      </c>
      <c r="B32" t="n">
        <v>151754.77</v>
      </c>
      <c r="C32" t="n">
        <v>6</v>
      </c>
    </row>
    <row r="33">
      <c r="A33" t="n">
        <v>2033</v>
      </c>
      <c r="B33" t="n">
        <v>160860.06</v>
      </c>
      <c r="C33" t="n">
        <v>6</v>
      </c>
    </row>
    <row r="34">
      <c r="A34" t="n">
        <v>2034</v>
      </c>
      <c r="B34" t="n">
        <v>170511.66</v>
      </c>
      <c r="C34" t="n">
        <v>6</v>
      </c>
    </row>
    <row r="35">
      <c r="A35" t="n">
        <v>2035</v>
      </c>
      <c r="B35" t="n">
        <v>180742.36</v>
      </c>
      <c r="C35" t="n">
        <v>6</v>
      </c>
    </row>
    <row r="36">
      <c r="A36" t="n">
        <v>2036</v>
      </c>
      <c r="B36" t="n">
        <v>191586.9</v>
      </c>
      <c r="C36" t="n">
        <v>6</v>
      </c>
    </row>
    <row r="37">
      <c r="A37" t="n">
        <v>2037</v>
      </c>
      <c r="B37" t="n">
        <v>203082.11</v>
      </c>
      <c r="C37" t="n">
        <v>6</v>
      </c>
    </row>
    <row r="38">
      <c r="A38" t="n">
        <v>2038</v>
      </c>
      <c r="B38" t="n">
        <v>215267.04</v>
      </c>
      <c r="C38" t="n">
        <v>6</v>
      </c>
    </row>
    <row r="39">
      <c r="A39" t="n">
        <v>2039</v>
      </c>
      <c r="B39" t="n">
        <v>228183.06</v>
      </c>
      <c r="C39" t="n">
        <v>6</v>
      </c>
    </row>
    <row r="40">
      <c r="A40" t="n">
        <v>2040</v>
      </c>
      <c r="B40" t="n">
        <v>241874.04</v>
      </c>
      <c r="C40" t="n">
        <v>6</v>
      </c>
    </row>
    <row r="41">
      <c r="A41" t="n">
        <v>2041</v>
      </c>
      <c r="B41" t="n">
        <v>256386.48</v>
      </c>
      <c r="C41" t="n">
        <v>6</v>
      </c>
    </row>
    <row r="42">
      <c r="A42" t="n">
        <v>2042</v>
      </c>
      <c r="B42" t="n">
        <v>271769.67</v>
      </c>
      <c r="C42" t="n">
        <v>6</v>
      </c>
    </row>
    <row r="43">
      <c r="A43" t="n">
        <v>2043</v>
      </c>
      <c r="B43" t="n">
        <v>288075.85</v>
      </c>
      <c r="C4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5" customWidth="1" min="3" max="3"/>
    <col width="20" customWidth="1" min="4" max="4"/>
  </cols>
  <sheetData>
    <row r="1">
      <c r="A1" s="2" t="inlineStr">
        <is>
          <t>Year</t>
        </is>
      </c>
      <c r="B1" s="2" t="inlineStr">
        <is>
          <t>CFC (GEL)</t>
        </is>
      </c>
      <c r="C1" s="2" t="inlineStr">
        <is>
          <t>Capital Stock (K) from PWT</t>
        </is>
      </c>
      <c r="D1" s="2" t="inlineStr">
        <is>
          <t>Depreciation Rate</t>
        </is>
      </c>
    </row>
    <row r="2">
      <c r="A2" t="n">
        <v>2000</v>
      </c>
      <c r="B2" t="n">
        <v>631701000.89</v>
      </c>
    </row>
    <row r="3">
      <c r="A3" t="n">
        <v>2001</v>
      </c>
      <c r="B3" t="n">
        <v>706983726.79</v>
      </c>
    </row>
    <row r="4">
      <c r="A4" t="n">
        <v>2002</v>
      </c>
      <c r="B4" t="n">
        <v>790112565.2</v>
      </c>
      <c r="C4" t="n">
        <v>303592.625</v>
      </c>
      <c r="D4" t="n">
        <v>2602.542025518571</v>
      </c>
    </row>
    <row r="5">
      <c r="A5" t="n">
        <v>2003</v>
      </c>
      <c r="B5" t="n">
        <v>932916219.67</v>
      </c>
      <c r="C5" t="n">
        <v>307310.28125</v>
      </c>
      <c r="D5" t="n">
        <v>3035.746854531897</v>
      </c>
    </row>
    <row r="6">
      <c r="A6" t="n">
        <v>2004</v>
      </c>
      <c r="B6" t="n">
        <v>976818537.8</v>
      </c>
      <c r="C6" t="n">
        <v>311984.28125</v>
      </c>
      <c r="D6" t="n">
        <v>3130.986387795779</v>
      </c>
    </row>
    <row r="7">
      <c r="A7" t="n">
        <v>2005</v>
      </c>
      <c r="B7" t="n">
        <v>1113450058.59</v>
      </c>
      <c r="C7" t="n">
        <v>317837.8125</v>
      </c>
      <c r="D7" t="n">
        <v>3503.201994224648</v>
      </c>
    </row>
    <row r="8">
      <c r="A8" t="n">
        <v>2006</v>
      </c>
      <c r="B8" t="n">
        <v>1306373084.13</v>
      </c>
      <c r="C8" t="n">
        <v>322943.65625</v>
      </c>
      <c r="D8" t="n">
        <v>4045.204353290343</v>
      </c>
    </row>
    <row r="9">
      <c r="A9" t="n">
        <v>2007</v>
      </c>
      <c r="B9" t="n">
        <v>1617029966.26</v>
      </c>
      <c r="C9" t="n">
        <v>329445.875</v>
      </c>
      <c r="D9" t="n">
        <v>4908.332715533318</v>
      </c>
    </row>
    <row r="10">
      <c r="A10" t="n">
        <v>2008</v>
      </c>
      <c r="B10" t="n">
        <v>1758049267.67</v>
      </c>
      <c r="C10" t="n">
        <v>332604.46875</v>
      </c>
      <c r="D10" t="n">
        <v>5285.705493606662</v>
      </c>
    </row>
    <row r="11">
      <c r="A11" t="n">
        <v>2009</v>
      </c>
      <c r="B11" t="n">
        <v>1751366684.88</v>
      </c>
      <c r="C11" t="n">
        <v>330608.28125</v>
      </c>
      <c r="D11" t="n">
        <v>5297.407186106292</v>
      </c>
    </row>
    <row r="12">
      <c r="A12" t="n">
        <v>2010</v>
      </c>
      <c r="B12" t="n">
        <v>2046413234.67</v>
      </c>
      <c r="C12" t="n">
        <v>332551.53125</v>
      </c>
      <c r="D12" t="n">
        <v>6153.672566107001</v>
      </c>
    </row>
    <row r="13">
      <c r="A13" t="n">
        <v>2011</v>
      </c>
      <c r="B13" t="n">
        <v>2350512405.91</v>
      </c>
      <c r="C13" t="n">
        <v>336560.28125</v>
      </c>
      <c r="D13" t="n">
        <v>6983.926912528393</v>
      </c>
    </row>
    <row r="14">
      <c r="A14" t="n">
        <v>2012</v>
      </c>
      <c r="B14" t="n">
        <v>2643602887.97</v>
      </c>
      <c r="C14" t="n">
        <v>341471.1875</v>
      </c>
      <c r="D14" t="n">
        <v>7741.803656479801</v>
      </c>
    </row>
    <row r="15">
      <c r="A15" t="n">
        <v>2013</v>
      </c>
      <c r="B15" t="n">
        <v>1555932152.32</v>
      </c>
      <c r="C15" t="n">
        <v>344239.03125</v>
      </c>
      <c r="D15" t="n">
        <v>4519.917879939711</v>
      </c>
    </row>
    <row r="16">
      <c r="A16" t="n">
        <v>2014</v>
      </c>
      <c r="B16" t="n">
        <v>2984890468.69</v>
      </c>
      <c r="C16" t="n">
        <v>350962.15625</v>
      </c>
      <c r="D16" t="n">
        <v>8504.878419323879</v>
      </c>
    </row>
    <row r="17">
      <c r="A17" t="n">
        <v>2015</v>
      </c>
      <c r="B17" t="n">
        <v>3657280672.54</v>
      </c>
      <c r="C17" t="n">
        <v>360259.8125</v>
      </c>
      <c r="D17" t="n">
        <v>10151.7864209181</v>
      </c>
    </row>
    <row r="18">
      <c r="A18" t="n">
        <v>2016</v>
      </c>
      <c r="B18" t="n">
        <v>4004828719.85</v>
      </c>
      <c r="C18" t="n">
        <v>370547.65625</v>
      </c>
      <c r="D18" t="n">
        <v>10807.86412301049</v>
      </c>
    </row>
    <row r="19">
      <c r="A19" t="n">
        <v>2017</v>
      </c>
      <c r="B19" t="n">
        <v>4492921334.91</v>
      </c>
      <c r="C19" t="n">
        <v>380655.78125</v>
      </c>
      <c r="D19" t="n">
        <v>11803.10809980638</v>
      </c>
    </row>
    <row r="20">
      <c r="A20" t="n">
        <v>2018</v>
      </c>
      <c r="B20" t="n">
        <v>4843616440.29</v>
      </c>
      <c r="C20" t="n">
        <v>390625.1875</v>
      </c>
      <c r="D20" t="n">
        <v>12399.65213530938</v>
      </c>
    </row>
    <row r="21">
      <c r="A21" t="n">
        <v>2019</v>
      </c>
      <c r="B21" t="n">
        <v>5452957379.35</v>
      </c>
      <c r="C21" t="n">
        <v>399934.28125</v>
      </c>
      <c r="D21" t="n">
        <v>13634.63357606332</v>
      </c>
    </row>
    <row r="22">
      <c r="A22" t="n">
        <v>2020</v>
      </c>
      <c r="B22" t="n">
        <v>6152769261.62</v>
      </c>
      <c r="C22" t="n">
        <v>405156.15625</v>
      </c>
      <c r="D22" t="n">
        <v>15186.16752258716</v>
      </c>
    </row>
    <row r="23">
      <c r="A23" t="n">
        <v>2021</v>
      </c>
      <c r="B23" t="n">
        <v>7072625348.9</v>
      </c>
      <c r="C23" t="n">
        <v>409189.75</v>
      </c>
      <c r="D23" t="n">
        <v>17284.46362329457</v>
      </c>
    </row>
    <row r="24">
      <c r="A24" t="n">
        <v>2022</v>
      </c>
      <c r="B24" t="n">
        <v>7661448474.88</v>
      </c>
      <c r="C24" t="n">
        <v>415085.84375</v>
      </c>
      <c r="D24" t="n">
        <v>18457.50364711155</v>
      </c>
    </row>
    <row r="25">
      <c r="A25" t="n">
        <v>2023</v>
      </c>
      <c r="B25" t="n">
        <v>9410657843.709999</v>
      </c>
      <c r="C25" t="n">
        <v>426190.5</v>
      </c>
      <c r="D25" t="n">
        <v>22080.87191927084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3" t="inlineStr">
        <is>
          <t>HP Filter Analysis for Georgia</t>
        </is>
      </c>
    </row>
    <row r="2"/>
    <row r="3">
      <c r="A3" t="inlineStr">
        <is>
          <t>Annual Depreciation Rate (avg 8 yrs):</t>
        </is>
      </c>
      <c r="B3" t="n">
        <v>0.042594</v>
      </c>
    </row>
    <row r="4"/>
    <row r="5">
      <c r="A5" s="2" t="inlineStr">
        <is>
          <t>Year</t>
        </is>
      </c>
      <c r="B5" s="2" t="inlineStr">
        <is>
          <t>K (Capital)</t>
        </is>
      </c>
      <c r="C5" s="2" t="inlineStr">
        <is>
          <t>Y (Output)</t>
        </is>
      </c>
      <c r="D5" s="2" t="inlineStr">
        <is>
          <t>LnK</t>
        </is>
      </c>
      <c r="E5" s="2" t="inlineStr">
        <is>
          <t>LnY</t>
        </is>
      </c>
      <c r="F5" s="2" t="inlineStr">
        <is>
          <t>LnZ</t>
        </is>
      </c>
      <c r="G5" s="2" t="inlineStr">
        <is>
          <t>LnZ_HP</t>
        </is>
      </c>
      <c r="H5" s="2" t="inlineStr">
        <is>
          <t>Objective:</t>
        </is>
      </c>
      <c r="I5" s="2">
        <f>SUM(H6:H27)</f>
        <v/>
      </c>
      <c r="J5" s="2" t="n"/>
      <c r="K5" s="2" t="n"/>
    </row>
    <row r="6">
      <c r="A6" t="n">
        <v>2002</v>
      </c>
      <c r="B6">
        <f>'PWT'!D3</f>
        <v/>
      </c>
      <c r="C6">
        <f>'WEO_Data'!B4</f>
        <v/>
      </c>
      <c r="D6">
        <f>IF(B6&gt;0,LN(B6),0)</f>
        <v/>
      </c>
      <c r="E6">
        <f>IF(C6&gt;0,LN(C6),0)</f>
        <v/>
      </c>
      <c r="F6">
        <f>E6-(1-'PWT'!F23)*D6</f>
        <v/>
      </c>
      <c r="G6">
        <f>F6</f>
        <v/>
      </c>
      <c r="I6">
        <f>IF(C6&gt;0,B6/C6,0)</f>
        <v/>
      </c>
    </row>
    <row r="7">
      <c r="A7" t="n">
        <v>2003</v>
      </c>
      <c r="B7">
        <f>'PWT'!D4</f>
        <v/>
      </c>
      <c r="C7">
        <f>'WEO_Data'!B5</f>
        <v/>
      </c>
      <c r="D7">
        <f>IF(B7&gt;0,LN(B7),0)</f>
        <v/>
      </c>
      <c r="E7">
        <f>IF(C7&gt;0,LN(C7),0)</f>
        <v/>
      </c>
      <c r="F7">
        <f>E7-(1-'PWT'!F23)*D7</f>
        <v/>
      </c>
      <c r="G7">
        <f>F7</f>
        <v/>
      </c>
      <c r="I7">
        <f>IF(C7&gt;0,B7/C7,0)</f>
        <v/>
      </c>
    </row>
    <row r="8">
      <c r="A8" t="n">
        <v>2004</v>
      </c>
      <c r="B8">
        <f>'PWT'!D5</f>
        <v/>
      </c>
      <c r="C8">
        <f>'WEO_Data'!B6</f>
        <v/>
      </c>
      <c r="D8">
        <f>IF(B8&gt;0,LN(B8),0)</f>
        <v/>
      </c>
      <c r="E8">
        <f>IF(C8&gt;0,LN(C8),0)</f>
        <v/>
      </c>
      <c r="F8">
        <f>E8-(1-'PWT'!F23)*D8</f>
        <v/>
      </c>
      <c r="G8">
        <f>F8</f>
        <v/>
      </c>
      <c r="H8">
        <f>G8-2*G7+G6</f>
        <v/>
      </c>
      <c r="I8">
        <f>IF(C8&gt;0,B8/C8,0)</f>
        <v/>
      </c>
      <c r="L8" s="4" t="inlineStr">
        <is>
          <t>Investment Shock Analysis</t>
        </is>
      </c>
      <c r="N8" s="4" t="n"/>
    </row>
    <row r="9">
      <c r="A9" t="n">
        <v>2005</v>
      </c>
      <c r="B9">
        <f>'PWT'!D6</f>
        <v/>
      </c>
      <c r="C9">
        <f>'WEO_Data'!B7</f>
        <v/>
      </c>
      <c r="D9">
        <f>IF(B9&gt;0,LN(B9),0)</f>
        <v/>
      </c>
      <c r="E9">
        <f>IF(C9&gt;0,LN(C9),0)</f>
        <v/>
      </c>
      <c r="F9">
        <f>E9-(1-'PWT'!F23)*D9</f>
        <v/>
      </c>
      <c r="G9">
        <f>F9</f>
        <v/>
      </c>
      <c r="H9">
        <f>G9-2*G8+G7</f>
        <v/>
      </c>
      <c r="I9">
        <f>IF(C9&gt;0,B9/C9,0)</f>
        <v/>
      </c>
      <c r="L9" t="inlineStr">
        <is>
          <t>Investment Amount (8 yrs, mil USD):</t>
        </is>
      </c>
      <c r="M9" t="n">
        <v>6500</v>
      </c>
    </row>
    <row r="10">
      <c r="A10" t="n">
        <v>2006</v>
      </c>
      <c r="B10">
        <f>'PWT'!D7</f>
        <v/>
      </c>
      <c r="C10">
        <f>'WEO_Data'!B8</f>
        <v/>
      </c>
      <c r="D10">
        <f>IF(B10&gt;0,LN(B10),0)</f>
        <v/>
      </c>
      <c r="E10">
        <f>IF(C10&gt;0,LN(C10),0)</f>
        <v/>
      </c>
      <c r="F10">
        <f>E10-(1-'PWT'!F23)*D10</f>
        <v/>
      </c>
      <c r="G10">
        <f>F10</f>
        <v/>
      </c>
      <c r="H10">
        <f>G10-2*G9+G8</f>
        <v/>
      </c>
      <c r="I10">
        <f>IF(C10&gt;0,B10/C10,0)</f>
        <v/>
      </c>
      <c r="L10" t="inlineStr">
        <is>
          <t>Start Year:</t>
        </is>
      </c>
      <c r="M10" t="n">
        <v>2026</v>
      </c>
    </row>
    <row r="11">
      <c r="A11" t="n">
        <v>2007</v>
      </c>
      <c r="B11">
        <f>'PWT'!D8</f>
        <v/>
      </c>
      <c r="C11">
        <f>'WEO_Data'!B9</f>
        <v/>
      </c>
      <c r="D11">
        <f>IF(B11&gt;0,LN(B11),0)</f>
        <v/>
      </c>
      <c r="E11">
        <f>IF(C11&gt;0,LN(C11),0)</f>
        <v/>
      </c>
      <c r="F11">
        <f>E11-(1-'PWT'!F23)*D11</f>
        <v/>
      </c>
      <c r="G11">
        <f>F11</f>
        <v/>
      </c>
      <c r="H11">
        <f>G11-2*G10+G9</f>
        <v/>
      </c>
      <c r="I11">
        <f>IF(C11&gt;0,B11/C11,0)</f>
        <v/>
      </c>
      <c r="L11" t="inlineStr">
        <is>
          <t>Capital Share (alpha):</t>
        </is>
      </c>
      <c r="M11">
        <f>1-'PWT'!F23</f>
        <v/>
      </c>
    </row>
    <row r="12">
      <c r="A12" t="n">
        <v>2008</v>
      </c>
      <c r="B12">
        <f>'PWT'!D9</f>
        <v/>
      </c>
      <c r="C12">
        <f>'WEO_Data'!B10</f>
        <v/>
      </c>
      <c r="D12">
        <f>IF(B12&gt;0,LN(B12),0)</f>
        <v/>
      </c>
      <c r="E12">
        <f>IF(C12&gt;0,LN(C12),0)</f>
        <v/>
      </c>
      <c r="F12">
        <f>E12-(1-'PWT'!F23)*D12</f>
        <v/>
      </c>
      <c r="G12">
        <f>F12</f>
        <v/>
      </c>
      <c r="H12">
        <f>G12-2*G11+G10</f>
        <v/>
      </c>
      <c r="I12">
        <f>IF(C12&gt;0,B12/C12,0)</f>
        <v/>
      </c>
      <c r="L12" t="inlineStr">
        <is>
          <t>Depreciation Rate:</t>
        </is>
      </c>
      <c r="M12">
        <f>B3</f>
        <v/>
      </c>
    </row>
    <row r="13">
      <c r="A13" t="n">
        <v>2009</v>
      </c>
      <c r="B13">
        <f>'PWT'!D10</f>
        <v/>
      </c>
      <c r="C13">
        <f>'WEO_Data'!B11</f>
        <v/>
      </c>
      <c r="D13">
        <f>IF(B13&gt;0,LN(B13),0)</f>
        <v/>
      </c>
      <c r="E13">
        <f>IF(C13&gt;0,LN(C13),0)</f>
        <v/>
      </c>
      <c r="F13">
        <f>E13-(1-'PWT'!F23)*D13</f>
        <v/>
      </c>
      <c r="G13">
        <f>F13</f>
        <v/>
      </c>
      <c r="H13">
        <f>G13-2*G12+G11</f>
        <v/>
      </c>
      <c r="I13">
        <f>IF(C13&gt;0,B13/C13,0)</f>
        <v/>
      </c>
    </row>
    <row r="14">
      <c r="A14" t="n">
        <v>2010</v>
      </c>
      <c r="B14">
        <f>'PWT'!D11</f>
        <v/>
      </c>
      <c r="C14">
        <f>'WEO_Data'!B12</f>
        <v/>
      </c>
      <c r="D14">
        <f>IF(B14&gt;0,LN(B14),0)</f>
        <v/>
      </c>
      <c r="E14">
        <f>IF(C14&gt;0,LN(C14),0)</f>
        <v/>
      </c>
      <c r="F14">
        <f>E14-(1-'PWT'!F23)*D14</f>
        <v/>
      </c>
      <c r="G14">
        <f>F14</f>
        <v/>
      </c>
      <c r="H14">
        <f>G14-2*G13+G12</f>
        <v/>
      </c>
      <c r="I14">
        <f>IF(C14&gt;0,B14/C14,0)</f>
        <v/>
      </c>
      <c r="L14" s="2" t="inlineStr">
        <is>
          <t>Year</t>
        </is>
      </c>
      <c r="M14" s="2" t="inlineStr">
        <is>
          <t>K_base</t>
        </is>
      </c>
      <c r="N14" s="2" t="inlineStr">
        <is>
          <t>K_with</t>
        </is>
      </c>
      <c r="O14" s="2" t="inlineStr">
        <is>
          <t>Y_base</t>
        </is>
      </c>
      <c r="P14" s="2" t="inlineStr">
        <is>
          <t>Y_with</t>
        </is>
      </c>
      <c r="Q14" s="2" t="inlineStr">
        <is>
          <t>DeltaK</t>
        </is>
      </c>
      <c r="R14" s="2" t="inlineStr">
        <is>
          <t>K/Y_base</t>
        </is>
      </c>
      <c r="S14" s="2" t="n"/>
      <c r="T14" s="2" t="n"/>
      <c r="U14" s="2" t="n"/>
      <c r="V14" s="2" t="n"/>
    </row>
    <row r="15">
      <c r="A15" t="n">
        <v>2011</v>
      </c>
      <c r="B15">
        <f>'PWT'!D12</f>
        <v/>
      </c>
      <c r="C15">
        <f>'WEO_Data'!B13</f>
        <v/>
      </c>
      <c r="D15">
        <f>IF(B15&gt;0,LN(B15),0)</f>
        <v/>
      </c>
      <c r="E15">
        <f>IF(C15&gt;0,LN(C15),0)</f>
        <v/>
      </c>
      <c r="F15">
        <f>E15-(1-'PWT'!F23)*D15</f>
        <v/>
      </c>
      <c r="G15">
        <f>F15</f>
        <v/>
      </c>
      <c r="H15">
        <f>G15-2*G14+G13</f>
        <v/>
      </c>
      <c r="I15">
        <f>IF(C15&gt;0,B15/C15,0)</f>
        <v/>
      </c>
      <c r="L15" t="n">
        <v>2026</v>
      </c>
      <c r="M15">
        <f>B27</f>
        <v/>
      </c>
      <c r="N15">
        <f>B27+'Investment'!C15</f>
        <v/>
      </c>
      <c r="O15">
        <f>'WEO_Data'!B28</f>
        <v/>
      </c>
      <c r="P15">
        <f>O15^M$11*EXP(G27)</f>
        <v/>
      </c>
      <c r="Q15" t="n">
        <v>812.5</v>
      </c>
      <c r="R15">
        <f>IF(N15&gt;0,O15/N15,0)</f>
        <v/>
      </c>
    </row>
    <row r="16">
      <c r="A16" t="n">
        <v>2012</v>
      </c>
      <c r="B16">
        <f>'PWT'!D13</f>
        <v/>
      </c>
      <c r="C16">
        <f>'WEO_Data'!B14</f>
        <v/>
      </c>
      <c r="D16">
        <f>IF(B16&gt;0,LN(B16),0)</f>
        <v/>
      </c>
      <c r="E16">
        <f>IF(C16&gt;0,LN(C16),0)</f>
        <v/>
      </c>
      <c r="F16">
        <f>E16-(1-'PWT'!F23)*D16</f>
        <v/>
      </c>
      <c r="G16">
        <f>F16</f>
        <v/>
      </c>
      <c r="H16">
        <f>G16-2*G15+G14</f>
        <v/>
      </c>
      <c r="I16">
        <f>IF(C16&gt;0,B16/C16,0)</f>
        <v/>
      </c>
      <c r="L16" t="n">
        <v>2027</v>
      </c>
      <c r="M16">
        <f>N15*(1+M$12)+'Investment'!D2</f>
        <v/>
      </c>
      <c r="N16">
        <f>O15*(1+M$12)+812.5</f>
        <v/>
      </c>
      <c r="O16">
        <f>'WEO_Data'!B29</f>
        <v/>
      </c>
      <c r="P16">
        <f>O16^M$11*EXP(G27)</f>
        <v/>
      </c>
      <c r="Q16" t="n">
        <v>812.5</v>
      </c>
      <c r="R16">
        <f>IF(N16&gt;0,O16/N16,0)</f>
        <v/>
      </c>
    </row>
    <row r="17">
      <c r="A17" t="n">
        <v>2013</v>
      </c>
      <c r="B17">
        <f>'PWT'!D14</f>
        <v/>
      </c>
      <c r="C17">
        <f>'WEO_Data'!B15</f>
        <v/>
      </c>
      <c r="D17">
        <f>IF(B17&gt;0,LN(B17),0)</f>
        <v/>
      </c>
      <c r="E17">
        <f>IF(C17&gt;0,LN(C17),0)</f>
        <v/>
      </c>
      <c r="F17">
        <f>E17-(1-'PWT'!F23)*D17</f>
        <v/>
      </c>
      <c r="G17">
        <f>F17</f>
        <v/>
      </c>
      <c r="H17">
        <f>G17-2*G16+G15</f>
        <v/>
      </c>
      <c r="I17">
        <f>IF(C17&gt;0,B17/C17,0)</f>
        <v/>
      </c>
      <c r="L17" t="n">
        <v>2028</v>
      </c>
      <c r="M17">
        <f>N16*(1+M$12)+'Investment'!D3</f>
        <v/>
      </c>
      <c r="N17">
        <f>O16*(1+M$12)+812.5</f>
        <v/>
      </c>
      <c r="O17">
        <f>EXP(G27)</f>
        <v/>
      </c>
      <c r="P17">
        <f>O17^M$11*EXP(G27)</f>
        <v/>
      </c>
      <c r="Q17" t="n">
        <v>812.5</v>
      </c>
      <c r="R17">
        <f>IF(N17&gt;0,O17/N17,0)</f>
        <v/>
      </c>
    </row>
    <row r="18">
      <c r="A18" t="n">
        <v>2014</v>
      </c>
      <c r="B18">
        <f>'PWT'!D15</f>
        <v/>
      </c>
      <c r="C18">
        <f>'WEO_Data'!B16</f>
        <v/>
      </c>
      <c r="D18">
        <f>IF(B18&gt;0,LN(B18),0)</f>
        <v/>
      </c>
      <c r="E18">
        <f>IF(C18&gt;0,LN(C18),0)</f>
        <v/>
      </c>
      <c r="F18">
        <f>E18-(1-'PWT'!F23)*D18</f>
        <v/>
      </c>
      <c r="G18">
        <f>F18</f>
        <v/>
      </c>
      <c r="H18">
        <f>G18-2*G17+G16</f>
        <v/>
      </c>
      <c r="I18">
        <f>IF(C18&gt;0,B18/C18,0)</f>
        <v/>
      </c>
      <c r="L18" t="n">
        <v>2029</v>
      </c>
      <c r="M18">
        <f>N17*(1+M$12)+'Investment'!D4</f>
        <v/>
      </c>
      <c r="N18">
        <f>O17*(1+M$12)+812.5</f>
        <v/>
      </c>
      <c r="O18">
        <f>EXP(G27)</f>
        <v/>
      </c>
      <c r="P18">
        <f>O18^M$11*EXP(G27)</f>
        <v/>
      </c>
      <c r="Q18" t="n">
        <v>812.5</v>
      </c>
      <c r="R18">
        <f>IF(N18&gt;0,O18/N18,0)</f>
        <v/>
      </c>
    </row>
    <row r="19">
      <c r="A19" t="n">
        <v>2015</v>
      </c>
      <c r="B19">
        <f>'PWT'!D16</f>
        <v/>
      </c>
      <c r="C19">
        <f>'WEO_Data'!B17</f>
        <v/>
      </c>
      <c r="D19">
        <f>IF(B19&gt;0,LN(B19),0)</f>
        <v/>
      </c>
      <c r="E19">
        <f>IF(C19&gt;0,LN(C19),0)</f>
        <v/>
      </c>
      <c r="F19">
        <f>E19-(1-'PWT'!F23)*D19</f>
        <v/>
      </c>
      <c r="G19">
        <f>F19</f>
        <v/>
      </c>
      <c r="H19">
        <f>G19-2*G18+G17</f>
        <v/>
      </c>
      <c r="I19">
        <f>IF(C19&gt;0,B19/C19,0)</f>
        <v/>
      </c>
      <c r="L19" t="n">
        <v>2030</v>
      </c>
      <c r="M19">
        <f>N18*(1+M$12)+'Investment'!D5</f>
        <v/>
      </c>
      <c r="N19">
        <f>O18*(1+M$12)+812.5</f>
        <v/>
      </c>
      <c r="O19">
        <f>EXP(G27)</f>
        <v/>
      </c>
      <c r="P19">
        <f>O19^M$11*EXP(G27)</f>
        <v/>
      </c>
      <c r="Q19" t="n">
        <v>812.5</v>
      </c>
      <c r="R19">
        <f>IF(N19&gt;0,O19/N19,0)</f>
        <v/>
      </c>
    </row>
    <row r="20">
      <c r="A20" t="n">
        <v>2016</v>
      </c>
      <c r="B20">
        <f>'PWT'!D17</f>
        <v/>
      </c>
      <c r="C20">
        <f>'WEO_Data'!B18</f>
        <v/>
      </c>
      <c r="D20">
        <f>IF(B20&gt;0,LN(B20),0)</f>
        <v/>
      </c>
      <c r="E20">
        <f>IF(C20&gt;0,LN(C20),0)</f>
        <v/>
      </c>
      <c r="F20">
        <f>E20-(1-'PWT'!F23)*D20</f>
        <v/>
      </c>
      <c r="G20">
        <f>F20</f>
        <v/>
      </c>
      <c r="H20">
        <f>G20-2*G19+G18</f>
        <v/>
      </c>
      <c r="I20">
        <f>IF(C20&gt;0,B20/C20,0)</f>
        <v/>
      </c>
      <c r="L20" t="n">
        <v>2031</v>
      </c>
      <c r="M20">
        <f>N19*(1+M$12)+'Investment'!D6</f>
        <v/>
      </c>
      <c r="N20">
        <f>O19*(1+M$12)+812.5</f>
        <v/>
      </c>
      <c r="O20">
        <f>EXP(G27)</f>
        <v/>
      </c>
      <c r="P20">
        <f>O20^M$11*EXP(G27)</f>
        <v/>
      </c>
      <c r="Q20" t="n">
        <v>812.5</v>
      </c>
      <c r="R20">
        <f>IF(N20&gt;0,O20/N20,0)</f>
        <v/>
      </c>
    </row>
    <row r="21">
      <c r="A21" t="n">
        <v>2017</v>
      </c>
      <c r="B21">
        <f>'PWT'!D18</f>
        <v/>
      </c>
      <c r="C21">
        <f>'WEO_Data'!B19</f>
        <v/>
      </c>
      <c r="D21">
        <f>IF(B21&gt;0,LN(B21),0)</f>
        <v/>
      </c>
      <c r="E21">
        <f>IF(C21&gt;0,LN(C21),0)</f>
        <v/>
      </c>
      <c r="F21">
        <f>E21-(1-'PWT'!F23)*D21</f>
        <v/>
      </c>
      <c r="G21">
        <f>F21</f>
        <v/>
      </c>
      <c r="H21">
        <f>G21-2*G20+G19</f>
        <v/>
      </c>
      <c r="I21">
        <f>IF(C21&gt;0,B21/C21,0)</f>
        <v/>
      </c>
      <c r="L21" t="n">
        <v>2032</v>
      </c>
      <c r="M21">
        <f>N20*(1+M$12)+'Investment'!D7</f>
        <v/>
      </c>
      <c r="N21">
        <f>O20*(1+M$12)+812.5</f>
        <v/>
      </c>
      <c r="O21">
        <f>EXP(G27)</f>
        <v/>
      </c>
      <c r="P21">
        <f>O21^M$11*EXP(G27)</f>
        <v/>
      </c>
      <c r="Q21" t="n">
        <v>812.5</v>
      </c>
      <c r="R21">
        <f>IF(N21&gt;0,O21/N21,0)</f>
        <v/>
      </c>
    </row>
    <row r="22">
      <c r="A22" t="n">
        <v>2018</v>
      </c>
      <c r="B22">
        <f>'PWT'!D19</f>
        <v/>
      </c>
      <c r="C22">
        <f>'WEO_Data'!B20</f>
        <v/>
      </c>
      <c r="D22">
        <f>IF(B22&gt;0,LN(B22),0)</f>
        <v/>
      </c>
      <c r="E22">
        <f>IF(C22&gt;0,LN(C22),0)</f>
        <v/>
      </c>
      <c r="F22">
        <f>E22-(1-'PWT'!F23)*D22</f>
        <v/>
      </c>
      <c r="G22">
        <f>F22</f>
        <v/>
      </c>
      <c r="H22">
        <f>G22-2*G21+G20</f>
        <v/>
      </c>
      <c r="I22">
        <f>IF(C22&gt;0,B22/C22,0)</f>
        <v/>
      </c>
      <c r="L22" t="n">
        <v>2033</v>
      </c>
      <c r="M22">
        <f>N21*(1+M$12)+'Investment'!D8</f>
        <v/>
      </c>
      <c r="N22">
        <f>O21*(1+M$12)+812.5</f>
        <v/>
      </c>
      <c r="O22">
        <f>EXP(G27)</f>
        <v/>
      </c>
      <c r="P22">
        <f>O22^M$11*EXP(G27)</f>
        <v/>
      </c>
      <c r="Q22" t="n">
        <v>812.5</v>
      </c>
      <c r="R22">
        <f>IF(N22&gt;0,O22/N22,0)</f>
        <v/>
      </c>
    </row>
    <row r="23">
      <c r="A23" t="n">
        <v>2019</v>
      </c>
      <c r="B23">
        <f>'PWT'!D20</f>
        <v/>
      </c>
      <c r="C23">
        <f>'WEO_Data'!B21</f>
        <v/>
      </c>
      <c r="D23">
        <f>IF(B23&gt;0,LN(B23),0)</f>
        <v/>
      </c>
      <c r="E23">
        <f>IF(C23&gt;0,LN(C23),0)</f>
        <v/>
      </c>
      <c r="F23">
        <f>E23-(1-'PWT'!F23)*D23</f>
        <v/>
      </c>
      <c r="G23">
        <f>F23</f>
        <v/>
      </c>
      <c r="H23">
        <f>G23-2*G22+G21</f>
        <v/>
      </c>
      <c r="I23">
        <f>IF(C23&gt;0,B23/C23,0)</f>
        <v/>
      </c>
      <c r="L23" t="n">
        <v>2034</v>
      </c>
      <c r="M23">
        <f>N22*(1+M$12)+'Investment'!D9</f>
        <v/>
      </c>
      <c r="N23">
        <f>O22*(1+M$12)+0</f>
        <v/>
      </c>
      <c r="O23">
        <f>EXP(G27)</f>
        <v/>
      </c>
      <c r="P23">
        <f>O23^M$11*EXP(G27)</f>
        <v/>
      </c>
      <c r="R23">
        <f>IF(N23&gt;0,O23/N23,0)</f>
        <v/>
      </c>
    </row>
    <row r="24">
      <c r="A24" t="n">
        <v>2020</v>
      </c>
      <c r="B24">
        <f>'PWT'!D21</f>
        <v/>
      </c>
      <c r="C24">
        <f>'WEO_Data'!B22</f>
        <v/>
      </c>
      <c r="D24">
        <f>IF(B24&gt;0,LN(B24),0)</f>
        <v/>
      </c>
      <c r="E24">
        <f>IF(C24&gt;0,LN(C24),0)</f>
        <v/>
      </c>
      <c r="F24">
        <f>E24-(1-'PWT'!F23)*D24</f>
        <v/>
      </c>
      <c r="G24">
        <f>F24</f>
        <v/>
      </c>
      <c r="H24">
        <f>G24-2*G23+G22</f>
        <v/>
      </c>
      <c r="I24">
        <f>IF(C24&gt;0,B24/C24,0)</f>
        <v/>
      </c>
      <c r="L24" t="n">
        <v>2035</v>
      </c>
      <c r="M24">
        <f>N23*(1+M$12)+'Investment'!D10</f>
        <v/>
      </c>
      <c r="N24">
        <f>O23*(1+M$12)+0</f>
        <v/>
      </c>
      <c r="O24">
        <f>EXP(G27)</f>
        <v/>
      </c>
      <c r="P24">
        <f>O24^M$11*EXP(G27)</f>
        <v/>
      </c>
      <c r="R24">
        <f>IF(N24&gt;0,O24/N24,0)</f>
        <v/>
      </c>
    </row>
    <row r="25">
      <c r="A25" t="n">
        <v>2021</v>
      </c>
      <c r="B25">
        <f>'PWT'!D22</f>
        <v/>
      </c>
      <c r="C25">
        <f>'WEO_Data'!B23</f>
        <v/>
      </c>
      <c r="D25">
        <f>IF(B25&gt;0,LN(B25),0)</f>
        <v/>
      </c>
      <c r="E25">
        <f>IF(C25&gt;0,LN(C25),0)</f>
        <v/>
      </c>
      <c r="F25">
        <f>E25-(1-'PWT'!F23)*D25</f>
        <v/>
      </c>
      <c r="G25">
        <f>F25</f>
        <v/>
      </c>
      <c r="H25">
        <f>G25-2*G24+G23</f>
        <v/>
      </c>
      <c r="I25">
        <f>IF(C25&gt;0,B25/C25,0)</f>
        <v/>
      </c>
      <c r="L25" t="n">
        <v>2036</v>
      </c>
      <c r="M25">
        <f>N24*(1+M$12)+'Investment'!D11</f>
        <v/>
      </c>
      <c r="N25">
        <f>O24*(1+M$12)+0</f>
        <v/>
      </c>
      <c r="O25">
        <f>EXP(G27)</f>
        <v/>
      </c>
      <c r="P25">
        <f>O25^M$11*EXP(G27)</f>
        <v/>
      </c>
      <c r="R25">
        <f>IF(N25&gt;0,O25/N25,0)</f>
        <v/>
      </c>
    </row>
    <row r="26">
      <c r="A26" t="n">
        <v>2022</v>
      </c>
      <c r="B26">
        <f>'PWT'!D23</f>
        <v/>
      </c>
      <c r="C26">
        <f>'WEO_Data'!B24</f>
        <v/>
      </c>
      <c r="D26">
        <f>IF(B26&gt;0,LN(B26),0)</f>
        <v/>
      </c>
      <c r="E26">
        <f>IF(C26&gt;0,LN(C26),0)</f>
        <v/>
      </c>
      <c r="F26">
        <f>E26-(1-'PWT'!F23)*D26</f>
        <v/>
      </c>
      <c r="G26">
        <f>F26</f>
        <v/>
      </c>
      <c r="H26">
        <f>G26-2*G25+G24</f>
        <v/>
      </c>
      <c r="I26">
        <f>IF(C26&gt;0,B26/C26,0)</f>
        <v/>
      </c>
      <c r="L26" t="n">
        <v>2037</v>
      </c>
      <c r="M26">
        <f>N25*(1+M$12)+'Investment'!D12</f>
        <v/>
      </c>
      <c r="N26">
        <f>O25*(1+M$12)+0</f>
        <v/>
      </c>
      <c r="O26">
        <f>EXP(G27)</f>
        <v/>
      </c>
      <c r="P26">
        <f>O26^M$11*EXP(G27)</f>
        <v/>
      </c>
      <c r="R26">
        <f>IF(N26&gt;0,O26/N26,0)</f>
        <v/>
      </c>
    </row>
    <row r="27">
      <c r="A27" t="n">
        <v>2023</v>
      </c>
      <c r="B27">
        <f>'PWT'!D24</f>
        <v/>
      </c>
      <c r="C27">
        <f>'WEO_Data'!B25</f>
        <v/>
      </c>
      <c r="D27">
        <f>IF(B27&gt;0,LN(B27),0)</f>
        <v/>
      </c>
      <c r="E27">
        <f>IF(C27&gt;0,LN(C27),0)</f>
        <v/>
      </c>
      <c r="F27">
        <f>E27-(1-'PWT'!F23)*D27</f>
        <v/>
      </c>
      <c r="G27">
        <f>F27</f>
        <v/>
      </c>
      <c r="H27">
        <f>G27-2*G26+G25</f>
        <v/>
      </c>
      <c r="I27">
        <f>IF(C27&gt;0,B27/C27,0)</f>
        <v/>
      </c>
      <c r="L27" t="n">
        <v>2038</v>
      </c>
      <c r="M27">
        <f>N26*(1+M$12)+'Investment'!D13</f>
        <v/>
      </c>
      <c r="N27">
        <f>O26*(1+M$12)+0</f>
        <v/>
      </c>
      <c r="O27">
        <f>EXP(G27)</f>
        <v/>
      </c>
      <c r="P27">
        <f>O27^M$11*EXP(G27)</f>
        <v/>
      </c>
      <c r="R27">
        <f>IF(N27&gt;0,O27/N27,0)</f>
        <v/>
      </c>
    </row>
    <row r="28">
      <c r="A28" t="n">
        <v>2024</v>
      </c>
      <c r="B28">
        <f>B27*(1+B$3)</f>
        <v/>
      </c>
      <c r="C28">
        <f>'WEO_Data'!B26</f>
        <v/>
      </c>
      <c r="D28">
        <f>IF(B28&gt;0,LN(B28),0)</f>
        <v/>
      </c>
      <c r="E28">
        <f>IF(C28&gt;0,LN(C28),0)</f>
        <v/>
      </c>
      <c r="F28">
        <f>E28-(1-'PWT'!F23)*D28</f>
        <v/>
      </c>
      <c r="G28">
        <f>F28</f>
        <v/>
      </c>
      <c r="H28">
        <f>G28-2*G27+G26</f>
        <v/>
      </c>
      <c r="I28">
        <f>IF(C28&gt;0,B28/C28,0)</f>
        <v/>
      </c>
      <c r="L28" t="n">
        <v>2039</v>
      </c>
      <c r="M28">
        <f>N27*(1+M$12)+'Investment'!D14</f>
        <v/>
      </c>
      <c r="N28">
        <f>O27*(1+M$12)+0</f>
        <v/>
      </c>
      <c r="O28">
        <f>EXP(G27)</f>
        <v/>
      </c>
      <c r="P28">
        <f>O28^M$11*EXP(G27)</f>
        <v/>
      </c>
      <c r="R28">
        <f>IF(N28&gt;0,O28/N28,0)</f>
        <v/>
      </c>
    </row>
    <row r="29">
      <c r="A29" t="n">
        <v>2025</v>
      </c>
      <c r="B29">
        <f>B28*(1+B$3)</f>
        <v/>
      </c>
      <c r="C29">
        <f>'WEO_Data'!B27</f>
        <v/>
      </c>
      <c r="D29">
        <f>IF(B29&gt;0,LN(B29),0)</f>
        <v/>
      </c>
      <c r="E29">
        <f>IF(C29&gt;0,LN(C29),0)</f>
        <v/>
      </c>
      <c r="F29">
        <f>E29-(1-'PWT'!F23)*D29</f>
        <v/>
      </c>
      <c r="G29">
        <f>F29</f>
        <v/>
      </c>
      <c r="H29">
        <f>G29-2*G28+G27</f>
        <v/>
      </c>
      <c r="I29">
        <f>IF(C29&gt;0,B29/C29,0)</f>
        <v/>
      </c>
      <c r="L29" t="n">
        <v>2040</v>
      </c>
      <c r="M29">
        <f>N28*(1+M$12)+'Investment'!D15</f>
        <v/>
      </c>
      <c r="N29">
        <f>O28*(1+M$12)+0</f>
        <v/>
      </c>
      <c r="O29">
        <f>EXP(G27)</f>
        <v/>
      </c>
      <c r="P29">
        <f>O29^M$11*EXP(G27)</f>
        <v/>
      </c>
      <c r="R29">
        <f>IF(N29&gt;0,O29/N29,0)</f>
        <v/>
      </c>
    </row>
    <row r="30">
      <c r="A30" t="n">
        <v>2026</v>
      </c>
      <c r="B30">
        <f>B29*(1+B$3)</f>
        <v/>
      </c>
      <c r="C30">
        <f>'WEO_Data'!B28</f>
        <v/>
      </c>
      <c r="D30">
        <f>IF(B30&gt;0,LN(B30),0)</f>
        <v/>
      </c>
      <c r="E30">
        <f>IF(C30&gt;0,LN(C30),0)</f>
        <v/>
      </c>
      <c r="F30">
        <f>E30-(1-'PWT'!F23)*D30</f>
        <v/>
      </c>
      <c r="G30">
        <f>F30</f>
        <v/>
      </c>
      <c r="H30">
        <f>G30-2*G29+G28</f>
        <v/>
      </c>
      <c r="I30">
        <f>IF(C30&gt;0,B30/C30,0)</f>
        <v/>
      </c>
      <c r="L30" t="n">
        <v>2041</v>
      </c>
      <c r="M30">
        <f>N29*(1+M$12)+'Investment'!D16</f>
        <v/>
      </c>
      <c r="N30">
        <f>O29*(1+M$12)+0</f>
        <v/>
      </c>
      <c r="O30">
        <f>EXP(G27)</f>
        <v/>
      </c>
      <c r="P30">
        <f>O30^M$11*EXP(G27)</f>
        <v/>
      </c>
      <c r="R30">
        <f>IF(N30&gt;0,O30/N30,0)</f>
        <v/>
      </c>
    </row>
    <row r="31">
      <c r="A31" t="n">
        <v>2027</v>
      </c>
      <c r="B31">
        <f>B30*(1+B$3)</f>
        <v/>
      </c>
      <c r="C31">
        <f>'WEO_Data'!B29</f>
        <v/>
      </c>
      <c r="D31">
        <f>IF(B31&gt;0,LN(B31),0)</f>
        <v/>
      </c>
      <c r="E31">
        <f>IF(C31&gt;0,LN(C31),0)</f>
        <v/>
      </c>
      <c r="F31">
        <f>E31-(1-'PWT'!F23)*D31</f>
        <v/>
      </c>
      <c r="G31">
        <f>F31</f>
        <v/>
      </c>
      <c r="H31">
        <f>G31-2*G30+G29</f>
        <v/>
      </c>
      <c r="I31">
        <f>IF(C31&gt;0,B31/C31,0)</f>
        <v/>
      </c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</cols>
  <sheetData>
    <row r="1">
      <c r="A1" s="3" t="inlineStr">
        <is>
          <t>Investment Shock Schedule</t>
        </is>
      </c>
    </row>
    <row r="3">
      <c r="A3" t="inlineStr">
        <is>
          <t>Total Investment:</t>
        </is>
      </c>
      <c r="B3" t="n">
        <v>6500</v>
      </c>
    </row>
    <row r="4">
      <c r="A4" t="inlineStr">
        <is>
          <t>Duration (years):</t>
        </is>
      </c>
      <c r="B4" t="n">
        <v>8</v>
      </c>
    </row>
    <row r="5">
      <c r="A5" t="inlineStr">
        <is>
          <t>Start Year:</t>
        </is>
      </c>
      <c r="B5" t="n">
        <v>2026</v>
      </c>
    </row>
    <row r="7">
      <c r="A7" s="2" t="inlineStr">
        <is>
          <t>Year</t>
        </is>
      </c>
      <c r="B7" s="2" t="inlineStr">
        <is>
          <t>Annual Investment (mil USD)</t>
        </is>
      </c>
      <c r="C7" s="2" t="inlineStr">
        <is>
          <t>Cumulative Investment (mil USD)</t>
        </is>
      </c>
    </row>
    <row r="8">
      <c r="A8" t="n">
        <v>2026</v>
      </c>
      <c r="B8" t="n">
        <v>812.5</v>
      </c>
      <c r="C8" t="n">
        <v>812.5</v>
      </c>
    </row>
    <row r="9">
      <c r="A9" t="n">
        <v>2027</v>
      </c>
      <c r="B9" t="n">
        <v>812.5</v>
      </c>
      <c r="C9">
        <f>C8+B9</f>
        <v/>
      </c>
    </row>
    <row r="10">
      <c r="A10" t="n">
        <v>2028</v>
      </c>
      <c r="B10" t="n">
        <v>812.5</v>
      </c>
      <c r="C10">
        <f>C9+B10</f>
        <v/>
      </c>
    </row>
    <row r="11">
      <c r="A11" t="n">
        <v>2029</v>
      </c>
      <c r="B11" t="n">
        <v>812.5</v>
      </c>
      <c r="C11">
        <f>C10+B11</f>
        <v/>
      </c>
    </row>
    <row r="12">
      <c r="A12" t="n">
        <v>2030</v>
      </c>
      <c r="B12" t="n">
        <v>812.5</v>
      </c>
      <c r="C12">
        <f>C11+B12</f>
        <v/>
      </c>
    </row>
    <row r="13">
      <c r="A13" t="n">
        <v>2031</v>
      </c>
      <c r="B13" t="n">
        <v>812.5</v>
      </c>
      <c r="C13">
        <f>C12+B13</f>
        <v/>
      </c>
    </row>
    <row r="14">
      <c r="A14" t="n">
        <v>2032</v>
      </c>
      <c r="B14" t="n">
        <v>812.5</v>
      </c>
      <c r="C14">
        <f>C13+B14</f>
        <v/>
      </c>
    </row>
    <row r="15">
      <c r="A15" t="n">
        <v>2033</v>
      </c>
      <c r="B15" t="n">
        <v>812.5</v>
      </c>
      <c r="C15">
        <f>C14+B15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2026-01-29T02:59:44Z</dcterms:created>
  <dcterms:modified xsi:type="dcterms:W3CDTF">2026-01-29T03:00:30Z</dcterms:modified>
</cp:coreProperties>
</file>