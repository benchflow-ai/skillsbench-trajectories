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Year</t>
        </is>
      </c>
      <c r="B1" s="1" t="inlineStr">
        <is>
          <t>Real GDP (mln USD)</t>
        </is>
      </c>
      <c r="C1" s="1" t="inlineStr">
        <is>
          <t>Nominal GDP (mln USD)</t>
        </is>
      </c>
      <c r="D1" s="1" t="inlineStr">
        <is>
          <t>GDP Deflator (2017=100)</t>
        </is>
      </c>
      <c r="E1" s="1" t="inlineStr">
        <is>
          <t>Real GDP Growth Rate (%)</t>
        </is>
      </c>
      <c r="F1" s="1" t="inlineStr">
        <is>
          <t>Deflator Growth Rate (%)</t>
        </is>
      </c>
    </row>
    <row r="2">
      <c r="A2" t="n">
        <v>2019</v>
      </c>
      <c r="B2" t="n">
        <v>17600</v>
      </c>
      <c r="C2" t="n">
        <v>17900</v>
      </c>
      <c r="D2" t="n">
        <v>101.7</v>
      </c>
      <c r="E2" t="n">
        <v>5.2</v>
      </c>
      <c r="F2" t="n">
        <v>3.5</v>
      </c>
    </row>
    <row r="3">
      <c r="A3" t="n">
        <v>2020</v>
      </c>
      <c r="B3" t="n">
        <v>16200</v>
      </c>
      <c r="C3" t="n">
        <v>15600</v>
      </c>
      <c r="D3" t="n">
        <v>96.40000000000001</v>
      </c>
      <c r="E3" t="n">
        <v>-6.8</v>
      </c>
      <c r="F3" t="n">
        <v>-5.2</v>
      </c>
    </row>
    <row r="4">
      <c r="A4" t="n">
        <v>2021</v>
      </c>
      <c r="B4" t="n">
        <v>17900</v>
      </c>
      <c r="C4" t="n">
        <v>19000</v>
      </c>
      <c r="D4" t="n">
        <v>106.1</v>
      </c>
      <c r="E4" t="n">
        <v>10.6</v>
      </c>
      <c r="F4" t="n">
        <v>10.1</v>
      </c>
    </row>
    <row r="5">
      <c r="A5" t="n">
        <v>2022</v>
      </c>
      <c r="B5" t="n">
        <v>18700</v>
      </c>
      <c r="C5" t="n">
        <v>19800</v>
      </c>
      <c r="D5" t="n">
        <v>105.9</v>
      </c>
      <c r="E5" t="n">
        <v>4.1</v>
      </c>
      <c r="F5" t="n">
        <v>-0.2</v>
      </c>
    </row>
    <row r="6">
      <c r="A6" t="n">
        <v>2023</v>
      </c>
      <c r="B6" t="n">
        <v>19500</v>
      </c>
      <c r="C6" t="n">
        <v>21000</v>
      </c>
      <c r="D6" t="n">
        <v>107.7</v>
      </c>
      <c r="E6" t="n">
        <v>4.3</v>
      </c>
      <c r="F6" t="n">
        <v>1.7</v>
      </c>
    </row>
    <row r="7">
      <c r="A7" t="n">
        <v>2024</v>
      </c>
      <c r="B7" t="n">
        <v>20400</v>
      </c>
      <c r="C7" t="n">
        <v>22200</v>
      </c>
      <c r="D7" t="n">
        <v>108.8</v>
      </c>
      <c r="E7" t="n">
        <v>4.6</v>
      </c>
      <c r="F7" t="n">
        <v>1</v>
      </c>
    </row>
    <row r="8">
      <c r="A8" t="n">
        <v>2025</v>
      </c>
      <c r="B8" t="n">
        <v>21300</v>
      </c>
      <c r="C8" t="n">
        <v>23500</v>
      </c>
      <c r="D8" t="n">
        <v>110.3</v>
      </c>
      <c r="E8" t="n">
        <v>4.5</v>
      </c>
      <c r="F8" t="n">
        <v>1.4</v>
      </c>
    </row>
    <row r="9">
      <c r="A9" t="n">
        <v>2026</v>
      </c>
      <c r="B9" t="n">
        <v>22200</v>
      </c>
      <c r="C9" t="n">
        <v>24800</v>
      </c>
      <c r="D9" t="n">
        <v>111.9</v>
      </c>
      <c r="E9" t="n">
        <v>4.3</v>
      </c>
      <c r="F9" t="n">
        <v>1.5</v>
      </c>
    </row>
    <row r="10">
      <c r="A10" t="n">
        <v>2027</v>
      </c>
      <c r="B10" t="n">
        <v>23100</v>
      </c>
      <c r="C10" t="n">
        <v>26100</v>
      </c>
      <c r="D10" t="n">
        <v>113.6</v>
      </c>
      <c r="E10" t="n">
        <v>4.2</v>
      </c>
      <c r="F10" t="n">
        <v>1.5</v>
      </c>
    </row>
    <row r="11">
      <c r="A11" t="n">
        <v>2028</v>
      </c>
      <c r="B11" t="n">
        <v>24070.2</v>
      </c>
      <c r="C11" t="n">
        <v>27753.903408</v>
      </c>
      <c r="D11" t="n">
        <v>115.304</v>
      </c>
      <c r="E11" t="n">
        <v>4.2</v>
      </c>
      <c r="F11" t="n">
        <v>1.5</v>
      </c>
    </row>
    <row r="12">
      <c r="A12" t="n">
        <v>2029</v>
      </c>
      <c r="B12" t="n">
        <v>25081.1484</v>
      </c>
      <c r="C12" t="n">
        <v>29353.36086140304</v>
      </c>
      <c r="D12" t="n">
        <v>117.03356</v>
      </c>
      <c r="E12" t="n">
        <v>4.2</v>
      </c>
      <c r="F12" t="n">
        <v>1.5</v>
      </c>
    </row>
    <row r="13">
      <c r="A13" t="n">
        <v>2030</v>
      </c>
      <c r="B13" t="n">
        <v>26134.5566328</v>
      </c>
      <c r="C13" t="n">
        <v>31044.99504784569</v>
      </c>
      <c r="D13" t="n">
        <v>118.7890634</v>
      </c>
      <c r="E13" t="n">
        <v>4.2</v>
      </c>
      <c r="F13" t="n">
        <v>1.5</v>
      </c>
    </row>
    <row r="14">
      <c r="A14" t="n">
        <v>2031</v>
      </c>
      <c r="B14" t="n">
        <v>27232.2080113776</v>
      </c>
      <c r="C14" t="n">
        <v>32834.11811245304</v>
      </c>
      <c r="D14" t="n">
        <v>120.570899351</v>
      </c>
      <c r="E14" t="n">
        <v>4.2</v>
      </c>
      <c r="F14" t="n">
        <v>1.5</v>
      </c>
    </row>
    <row r="15">
      <c r="A15" t="n">
        <v>2032</v>
      </c>
      <c r="B15" t="n">
        <v>28375.96074785546</v>
      </c>
      <c r="C15" t="n">
        <v>34726.3483392737</v>
      </c>
      <c r="D15" t="n">
        <v>122.379462841265</v>
      </c>
      <c r="E15" t="n">
        <v>4.2</v>
      </c>
      <c r="F15" t="n">
        <v>1.5</v>
      </c>
    </row>
    <row r="16">
      <c r="A16" t="n">
        <v>2033</v>
      </c>
      <c r="B16" t="n">
        <v>29567.7510992654</v>
      </c>
      <c r="C16" t="n">
        <v>36727.62779406605</v>
      </c>
      <c r="D16" t="n">
        <v>124.2151547838839</v>
      </c>
      <c r="E16" t="n">
        <v>4.2</v>
      </c>
      <c r="F16" t="n">
        <v>1.5</v>
      </c>
    </row>
    <row r="17">
      <c r="A17" t="n">
        <v>2034</v>
      </c>
      <c r="B17" t="n">
        <v>30809.59664543454</v>
      </c>
      <c r="C17" t="n">
        <v>38844.24098383808</v>
      </c>
      <c r="D17" t="n">
        <v>126.0783821056422</v>
      </c>
      <c r="E17" t="n">
        <v>4.2</v>
      </c>
      <c r="F17" t="n">
        <v>1.5</v>
      </c>
    </row>
    <row r="18">
      <c r="A18" t="n">
        <v>2035</v>
      </c>
      <c r="B18" t="n">
        <v>32103.59970454279</v>
      </c>
      <c r="C18" t="n">
        <v>41082.83459173666</v>
      </c>
      <c r="D18" t="n">
        <v>127.9695578372268</v>
      </c>
      <c r="E18" t="n">
        <v>4.2</v>
      </c>
      <c r="F18" t="n">
        <v>1.5</v>
      </c>
    </row>
    <row r="19">
      <c r="A19" t="n">
        <v>2036</v>
      </c>
      <c r="B19" t="n">
        <v>33451.95089213359</v>
      </c>
      <c r="C19" t="n">
        <v>43450.43834925843</v>
      </c>
      <c r="D19" t="n">
        <v>129.8891012047852</v>
      </c>
      <c r="E19" t="n">
        <v>4.2</v>
      </c>
      <c r="F19" t="n">
        <v>1.5</v>
      </c>
    </row>
    <row r="20">
      <c r="A20" t="n">
        <v>2037</v>
      </c>
      <c r="B20" t="n">
        <v>34856.9328296032</v>
      </c>
      <c r="C20" t="n">
        <v>45954.4871113262</v>
      </c>
      <c r="D20" t="n">
        <v>131.8374377228569</v>
      </c>
      <c r="E20" t="n">
        <v>4.2</v>
      </c>
      <c r="F20" t="n">
        <v>1.5</v>
      </c>
    </row>
    <row r="21">
      <c r="A21" t="n">
        <v>2038</v>
      </c>
      <c r="B21" t="n">
        <v>36320.92400844654</v>
      </c>
      <c r="C21" t="n">
        <v>48602.84420355193</v>
      </c>
      <c r="D21" t="n">
        <v>133.8149992886998</v>
      </c>
      <c r="E21" t="n">
        <v>4.2</v>
      </c>
      <c r="F21" t="n">
        <v>1.5</v>
      </c>
    </row>
    <row r="22">
      <c r="A22" t="n">
        <v>2039</v>
      </c>
      <c r="B22" t="n">
        <v>37846.4028168013</v>
      </c>
      <c r="C22" t="n">
        <v>51403.82611500262</v>
      </c>
      <c r="D22" t="n">
        <v>135.8222242780303</v>
      </c>
      <c r="E22" t="n">
        <v>4.2</v>
      </c>
      <c r="F22" t="n">
        <v>1.5</v>
      </c>
    </row>
    <row r="23">
      <c r="A23" t="n">
        <v>2040</v>
      </c>
      <c r="B23" t="n">
        <v>39435.95173510695</v>
      </c>
      <c r="C23" t="n">
        <v>54366.22861401022</v>
      </c>
      <c r="D23" t="n">
        <v>137.8595576422007</v>
      </c>
      <c r="E23" t="n">
        <v>4.2</v>
      </c>
      <c r="F23" t="n">
        <v>1.5</v>
      </c>
    </row>
    <row r="24">
      <c r="A24" t="n">
        <v>2041</v>
      </c>
      <c r="B24" t="n">
        <v>41092.26170798144</v>
      </c>
      <c r="C24" t="n">
        <v>57499.35436903562</v>
      </c>
      <c r="D24" t="n">
        <v>139.9274510068337</v>
      </c>
      <c r="E24" t="n">
        <v>4.2</v>
      </c>
      <c r="F24" t="n">
        <v>1.5</v>
      </c>
    </row>
    <row r="25">
      <c r="A25" t="n">
        <v>2042</v>
      </c>
      <c r="B25" t="n">
        <v>42818.13669971667</v>
      </c>
      <c r="C25" t="n">
        <v>60813.04216132315</v>
      </c>
      <c r="D25" t="n">
        <v>142.0263627719362</v>
      </c>
      <c r="E25" t="n">
        <v>4.2</v>
      </c>
      <c r="F25" t="n">
        <v>1.5</v>
      </c>
    </row>
    <row r="26">
      <c r="A26" t="n">
        <v>2043</v>
      </c>
      <c r="B26" t="n">
        <v>44616.49844110477</v>
      </c>
      <c r="C26" t="n">
        <v>64317.69778108019</v>
      </c>
      <c r="D26" t="n">
        <v>144.1567582135152</v>
      </c>
      <c r="E26" t="n">
        <v>4.2</v>
      </c>
      <c r="F26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SUPPLY TABLE - GEORGIA</t>
        </is>
      </c>
    </row>
    <row r="2">
      <c r="A2" s="3" t="inlineStr">
        <is>
          <t>Source: Geostat - National Accounts (Supply and Use Tables)</t>
        </is>
      </c>
    </row>
    <row r="4">
      <c r="A4" s="4" t="inlineStr">
        <is>
          <t>Industry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>
        <is>
          <t>P10</t>
        </is>
      </c>
      <c r="L4" t="inlineStr">
        <is>
          <t>P11</t>
        </is>
      </c>
      <c r="M4" t="inlineStr">
        <is>
          <t>P12</t>
        </is>
      </c>
      <c r="N4" t="inlineStr">
        <is>
          <t>P13</t>
        </is>
      </c>
      <c r="O4" t="inlineStr">
        <is>
          <t>P14</t>
        </is>
      </c>
      <c r="P4" t="inlineStr">
        <is>
          <t>P15</t>
        </is>
      </c>
      <c r="Q4" t="inlineStr">
        <is>
          <t>P16</t>
        </is>
      </c>
      <c r="R4" t="inlineStr">
        <is>
          <t>P17</t>
        </is>
      </c>
      <c r="S4" t="inlineStr">
        <is>
          <t>P18</t>
        </is>
      </c>
      <c r="T4" t="inlineStr">
        <is>
          <t>P19</t>
        </is>
      </c>
      <c r="U4" t="inlineStr">
        <is>
          <t>P20</t>
        </is>
      </c>
      <c r="V4" t="inlineStr">
        <is>
          <t>P21</t>
        </is>
      </c>
      <c r="W4" t="inlineStr">
        <is>
          <t>P22</t>
        </is>
      </c>
      <c r="X4" t="inlineStr">
        <is>
          <t>P23</t>
        </is>
      </c>
      <c r="Y4" t="inlineStr">
        <is>
          <t>P24</t>
        </is>
      </c>
      <c r="AN4" t="inlineStr">
        <is>
          <t>Total</t>
        </is>
      </c>
    </row>
    <row r="5">
      <c r="A5" t="inlineStr">
        <is>
          <t>P01: Products of agriculture, forestry and fishing</t>
        </is>
      </c>
      <c r="B5" t="n">
        <v>1500</v>
      </c>
      <c r="C5" t="n">
        <v>1750</v>
      </c>
      <c r="D5" t="n">
        <v>2000</v>
      </c>
      <c r="E5" t="n">
        <v>2250</v>
      </c>
      <c r="F5" t="n">
        <v>2500</v>
      </c>
      <c r="G5" t="n">
        <v>2750</v>
      </c>
      <c r="H5" t="n">
        <v>3000</v>
      </c>
      <c r="I5" t="n">
        <v>3250</v>
      </c>
      <c r="J5" t="n">
        <v>3500</v>
      </c>
      <c r="K5" t="n">
        <v>3750</v>
      </c>
      <c r="L5" t="n">
        <v>4000</v>
      </c>
      <c r="M5" t="n">
        <v>4250</v>
      </c>
      <c r="N5" t="n">
        <v>4500</v>
      </c>
      <c r="O5" t="n">
        <v>4750</v>
      </c>
      <c r="P5" t="n">
        <v>5000</v>
      </c>
      <c r="Q5" t="n">
        <v>5250</v>
      </c>
      <c r="R5" t="n">
        <v>5500</v>
      </c>
      <c r="S5" t="n">
        <v>5750</v>
      </c>
      <c r="T5" t="n">
        <v>6000</v>
      </c>
      <c r="U5" t="n">
        <v>6250</v>
      </c>
      <c r="V5" t="n">
        <v>6500</v>
      </c>
      <c r="W5" t="n">
        <v>6750</v>
      </c>
      <c r="X5" t="n">
        <v>7000</v>
      </c>
      <c r="Y5" t="n">
        <v>7250</v>
      </c>
      <c r="Z5" t="n">
        <v>7500</v>
      </c>
      <c r="AA5" t="n">
        <v>7750</v>
      </c>
      <c r="AB5" t="n">
        <v>8000</v>
      </c>
      <c r="AC5" t="n">
        <v>8250</v>
      </c>
      <c r="AD5" t="n">
        <v>8500</v>
      </c>
      <c r="AE5" t="n">
        <v>8750</v>
      </c>
      <c r="AF5" t="n">
        <v>9000</v>
      </c>
      <c r="AG5" t="n">
        <v>9250</v>
      </c>
      <c r="AH5" t="n">
        <v>9500</v>
      </c>
      <c r="AI5" t="n">
        <v>9750</v>
      </c>
      <c r="AJ5" t="n">
        <v>10000</v>
      </c>
      <c r="AK5" t="n">
        <v>10250</v>
      </c>
      <c r="AL5" t="n">
        <v>10500</v>
      </c>
      <c r="AM5" t="n">
        <v>10750</v>
      </c>
    </row>
    <row r="6">
      <c r="A6" t="inlineStr">
        <is>
          <t>P02: Mining and quarrying</t>
        </is>
      </c>
      <c r="B6" t="n">
        <v>1600</v>
      </c>
      <c r="C6" t="n">
        <v>1900</v>
      </c>
      <c r="D6" t="n">
        <v>2200</v>
      </c>
      <c r="E6" t="n">
        <v>2500</v>
      </c>
      <c r="F6" t="n">
        <v>2800</v>
      </c>
      <c r="G6" t="n">
        <v>3100</v>
      </c>
      <c r="H6" t="n">
        <v>3400</v>
      </c>
      <c r="I6" t="n">
        <v>3700</v>
      </c>
      <c r="J6" t="n">
        <v>4000</v>
      </c>
      <c r="K6" t="n">
        <v>4300</v>
      </c>
      <c r="L6" t="n">
        <v>4600</v>
      </c>
      <c r="M6" t="n">
        <v>4900</v>
      </c>
      <c r="N6" t="n">
        <v>5200</v>
      </c>
      <c r="O6" t="n">
        <v>5500</v>
      </c>
      <c r="P6" t="n">
        <v>5800</v>
      </c>
      <c r="Q6" t="n">
        <v>6100</v>
      </c>
      <c r="R6" t="n">
        <v>6400</v>
      </c>
      <c r="S6" t="n">
        <v>6700</v>
      </c>
      <c r="T6" t="n">
        <v>7000</v>
      </c>
      <c r="U6" t="n">
        <v>7300</v>
      </c>
      <c r="V6" t="n">
        <v>7600</v>
      </c>
      <c r="W6" t="n">
        <v>7900</v>
      </c>
      <c r="X6" t="n">
        <v>8200</v>
      </c>
      <c r="Y6" t="n">
        <v>8500</v>
      </c>
      <c r="Z6" t="n">
        <v>8800</v>
      </c>
      <c r="AA6" t="n">
        <v>9100</v>
      </c>
      <c r="AB6" t="n">
        <v>9400</v>
      </c>
      <c r="AC6" t="n">
        <v>9700</v>
      </c>
      <c r="AD6" t="n">
        <v>10000</v>
      </c>
      <c r="AE6" t="n">
        <v>10300</v>
      </c>
      <c r="AF6" t="n">
        <v>10600</v>
      </c>
      <c r="AG6" t="n">
        <v>10900</v>
      </c>
      <c r="AH6" t="n">
        <v>11200</v>
      </c>
      <c r="AI6" t="n">
        <v>11500</v>
      </c>
      <c r="AJ6" t="n">
        <v>11800</v>
      </c>
      <c r="AK6" t="n">
        <v>12100</v>
      </c>
      <c r="AL6" t="n">
        <v>12400</v>
      </c>
      <c r="AM6" t="n">
        <v>12700</v>
      </c>
    </row>
    <row r="7">
      <c r="A7" t="inlineStr">
        <is>
          <t>P03: Manufacturing</t>
        </is>
      </c>
      <c r="B7" t="n">
        <v>1700</v>
      </c>
      <c r="C7" t="n">
        <v>2050</v>
      </c>
      <c r="D7" t="n">
        <v>2400</v>
      </c>
      <c r="E7" t="n">
        <v>2750</v>
      </c>
      <c r="F7" t="n">
        <v>3100</v>
      </c>
      <c r="G7" t="n">
        <v>3450</v>
      </c>
      <c r="H7" t="n">
        <v>3800</v>
      </c>
      <c r="I7" t="n">
        <v>4150</v>
      </c>
      <c r="J7" t="n">
        <v>4500</v>
      </c>
      <c r="K7" t="n">
        <v>4850</v>
      </c>
      <c r="L7" t="n">
        <v>5200</v>
      </c>
      <c r="M7" t="n">
        <v>5550</v>
      </c>
      <c r="N7" t="n">
        <v>5900</v>
      </c>
      <c r="O7" t="n">
        <v>6250</v>
      </c>
      <c r="P7" t="n">
        <v>6600</v>
      </c>
      <c r="Q7" t="n">
        <v>6950</v>
      </c>
      <c r="R7" t="n">
        <v>7300</v>
      </c>
      <c r="S7" t="n">
        <v>7650</v>
      </c>
      <c r="T7" t="n">
        <v>8000</v>
      </c>
      <c r="U7" t="n">
        <v>8350</v>
      </c>
      <c r="V7" t="n">
        <v>8700</v>
      </c>
      <c r="W7" t="n">
        <v>9050</v>
      </c>
      <c r="X7" t="n">
        <v>9400</v>
      </c>
      <c r="Y7" t="n">
        <v>9750</v>
      </c>
      <c r="Z7" t="n">
        <v>10100</v>
      </c>
      <c r="AA7" t="n">
        <v>10450</v>
      </c>
      <c r="AB7" t="n">
        <v>10800</v>
      </c>
      <c r="AC7" t="n">
        <v>11150</v>
      </c>
      <c r="AD7" t="n">
        <v>11500</v>
      </c>
      <c r="AE7" t="n">
        <v>11850</v>
      </c>
      <c r="AF7" t="n">
        <v>12200</v>
      </c>
      <c r="AG7" t="n">
        <v>12550</v>
      </c>
      <c r="AH7" t="n">
        <v>12900</v>
      </c>
      <c r="AI7" t="n">
        <v>13250</v>
      </c>
      <c r="AJ7" t="n">
        <v>13600</v>
      </c>
      <c r="AK7" t="n">
        <v>13950</v>
      </c>
      <c r="AL7" t="n">
        <v>14300</v>
      </c>
      <c r="AM7" t="n">
        <v>14650</v>
      </c>
    </row>
    <row r="8">
      <c r="A8" t="inlineStr">
        <is>
          <t>P04: Electricity, gas, steam and air conditioning supply</t>
        </is>
      </c>
      <c r="B8" t="n">
        <v>1800</v>
      </c>
      <c r="C8" t="n">
        <v>2200</v>
      </c>
      <c r="D8" t="n">
        <v>2600</v>
      </c>
      <c r="E8" t="n">
        <v>3000</v>
      </c>
      <c r="F8" t="n">
        <v>3400</v>
      </c>
      <c r="G8" t="n">
        <v>3800</v>
      </c>
      <c r="H8" t="n">
        <v>4200</v>
      </c>
      <c r="I8" t="n">
        <v>4600</v>
      </c>
      <c r="J8" t="n">
        <v>5000</v>
      </c>
      <c r="K8" t="n">
        <v>5400</v>
      </c>
      <c r="L8" t="n">
        <v>5800</v>
      </c>
      <c r="M8" t="n">
        <v>6200</v>
      </c>
      <c r="N8" t="n">
        <v>6600</v>
      </c>
      <c r="O8" t="n">
        <v>7000</v>
      </c>
      <c r="P8" t="n">
        <v>7400</v>
      </c>
      <c r="Q8" t="n">
        <v>7800</v>
      </c>
      <c r="R8" t="n">
        <v>8200</v>
      </c>
      <c r="S8" t="n">
        <v>8600</v>
      </c>
      <c r="T8" t="n">
        <v>9000</v>
      </c>
      <c r="U8" t="n">
        <v>9400</v>
      </c>
      <c r="V8" t="n">
        <v>9800</v>
      </c>
      <c r="W8" t="n">
        <v>10200</v>
      </c>
      <c r="X8" t="n">
        <v>10600</v>
      </c>
      <c r="Y8" t="n">
        <v>11000</v>
      </c>
      <c r="Z8" t="n">
        <v>11400</v>
      </c>
      <c r="AA8" t="n">
        <v>11800</v>
      </c>
      <c r="AB8" t="n">
        <v>12200</v>
      </c>
      <c r="AC8" t="n">
        <v>12600</v>
      </c>
      <c r="AD8" t="n">
        <v>13000</v>
      </c>
      <c r="AE8" t="n">
        <v>13400</v>
      </c>
      <c r="AF8" t="n">
        <v>13800</v>
      </c>
      <c r="AG8" t="n">
        <v>14200</v>
      </c>
      <c r="AH8" t="n">
        <v>14600</v>
      </c>
      <c r="AI8" t="n">
        <v>15000</v>
      </c>
      <c r="AJ8" t="n">
        <v>15400</v>
      </c>
      <c r="AK8" t="n">
        <v>15800</v>
      </c>
      <c r="AL8" t="n">
        <v>16200</v>
      </c>
      <c r="AM8" t="n">
        <v>16600</v>
      </c>
    </row>
    <row r="9">
      <c r="A9" t="inlineStr">
        <is>
          <t>P05: Water supply, sewerage, waste management</t>
        </is>
      </c>
      <c r="B9" t="n">
        <v>1900</v>
      </c>
      <c r="C9" t="n">
        <v>2350</v>
      </c>
      <c r="D9" t="n">
        <v>2800</v>
      </c>
      <c r="E9" t="n">
        <v>3250</v>
      </c>
      <c r="F9" t="n">
        <v>3700</v>
      </c>
      <c r="G9" t="n">
        <v>4150</v>
      </c>
      <c r="H9" t="n">
        <v>4600</v>
      </c>
      <c r="I9" t="n">
        <v>5050</v>
      </c>
      <c r="J9" t="n">
        <v>5500</v>
      </c>
      <c r="K9" t="n">
        <v>5950</v>
      </c>
      <c r="L9" t="n">
        <v>6400</v>
      </c>
      <c r="M9" t="n">
        <v>6850</v>
      </c>
      <c r="N9" t="n">
        <v>7300</v>
      </c>
      <c r="O9" t="n">
        <v>7750</v>
      </c>
      <c r="P9" t="n">
        <v>8200</v>
      </c>
      <c r="Q9" t="n">
        <v>8650</v>
      </c>
      <c r="R9" t="n">
        <v>9100</v>
      </c>
      <c r="S9" t="n">
        <v>9550</v>
      </c>
      <c r="T9" t="n">
        <v>10000</v>
      </c>
      <c r="U9" t="n">
        <v>10450</v>
      </c>
      <c r="V9" t="n">
        <v>10900</v>
      </c>
      <c r="W9" t="n">
        <v>11350</v>
      </c>
      <c r="X9" t="n">
        <v>11800</v>
      </c>
      <c r="Y9" t="n">
        <v>12250</v>
      </c>
      <c r="Z9" t="n">
        <v>12700</v>
      </c>
      <c r="AA9" t="n">
        <v>13150</v>
      </c>
      <c r="AB9" t="n">
        <v>13600</v>
      </c>
      <c r="AC9" t="n">
        <v>14050</v>
      </c>
      <c r="AD9" t="n">
        <v>14500</v>
      </c>
      <c r="AE9" t="n">
        <v>14950</v>
      </c>
      <c r="AF9" t="n">
        <v>15400</v>
      </c>
      <c r="AG9" t="n">
        <v>15850</v>
      </c>
      <c r="AH9" t="n">
        <v>16300</v>
      </c>
      <c r="AI9" t="n">
        <v>16750</v>
      </c>
      <c r="AJ9" t="n">
        <v>17200</v>
      </c>
      <c r="AK9" t="n">
        <v>17650</v>
      </c>
      <c r="AL9" t="n">
        <v>18100</v>
      </c>
      <c r="AM9" t="n">
        <v>18550</v>
      </c>
    </row>
    <row r="10">
      <c r="A10" t="inlineStr">
        <is>
          <t>P06: Construction</t>
        </is>
      </c>
      <c r="B10" t="n">
        <v>2000</v>
      </c>
      <c r="C10" t="n">
        <v>2500</v>
      </c>
      <c r="D10" t="n">
        <v>3000</v>
      </c>
      <c r="E10" t="n">
        <v>3500</v>
      </c>
      <c r="F10" t="n">
        <v>4000</v>
      </c>
      <c r="G10" t="n">
        <v>4500</v>
      </c>
      <c r="H10" t="n">
        <v>5000</v>
      </c>
      <c r="I10" t="n">
        <v>5500</v>
      </c>
      <c r="J10" t="n">
        <v>6000</v>
      </c>
      <c r="K10" t="n">
        <v>6500</v>
      </c>
      <c r="L10" t="n">
        <v>7000</v>
      </c>
      <c r="M10" t="n">
        <v>7500</v>
      </c>
      <c r="N10" t="n">
        <v>8000</v>
      </c>
      <c r="O10" t="n">
        <v>8500</v>
      </c>
      <c r="P10" t="n">
        <v>9000</v>
      </c>
      <c r="Q10" t="n">
        <v>9500</v>
      </c>
      <c r="R10" t="n">
        <v>10000</v>
      </c>
      <c r="S10" t="n">
        <v>10500</v>
      </c>
      <c r="T10" t="n">
        <v>11000</v>
      </c>
      <c r="U10" t="n">
        <v>11500</v>
      </c>
      <c r="V10" t="n">
        <v>12000</v>
      </c>
      <c r="W10" t="n">
        <v>12500</v>
      </c>
      <c r="X10" t="n">
        <v>13000</v>
      </c>
      <c r="Y10" t="n">
        <v>13500</v>
      </c>
      <c r="Z10" t="n">
        <v>14000</v>
      </c>
      <c r="AA10" t="n">
        <v>14500</v>
      </c>
      <c r="AB10" t="n">
        <v>15000</v>
      </c>
      <c r="AC10" t="n">
        <v>15500</v>
      </c>
      <c r="AD10" t="n">
        <v>16000</v>
      </c>
      <c r="AE10" t="n">
        <v>16500</v>
      </c>
      <c r="AF10" t="n">
        <v>17000</v>
      </c>
      <c r="AG10" t="n">
        <v>17500</v>
      </c>
      <c r="AH10" t="n">
        <v>18000</v>
      </c>
      <c r="AI10" t="n">
        <v>18500</v>
      </c>
      <c r="AJ10" t="n">
        <v>19000</v>
      </c>
      <c r="AK10" t="n">
        <v>19500</v>
      </c>
      <c r="AL10" t="n">
        <v>20000</v>
      </c>
      <c r="AM10" t="n">
        <v>20500</v>
      </c>
    </row>
    <row r="11">
      <c r="A11" t="inlineStr">
        <is>
          <t>P07: Wholesale and retail trade</t>
        </is>
      </c>
      <c r="B11" t="n">
        <v>2100</v>
      </c>
      <c r="C11" t="n">
        <v>2650</v>
      </c>
      <c r="D11" t="n">
        <v>3200</v>
      </c>
      <c r="E11" t="n">
        <v>3750</v>
      </c>
      <c r="F11" t="n">
        <v>4300</v>
      </c>
      <c r="G11" t="n">
        <v>4850</v>
      </c>
      <c r="H11" t="n">
        <v>5400</v>
      </c>
      <c r="I11" t="n">
        <v>5950</v>
      </c>
      <c r="J11" t="n">
        <v>6500</v>
      </c>
      <c r="K11" t="n">
        <v>7050</v>
      </c>
      <c r="L11" t="n">
        <v>7600</v>
      </c>
      <c r="M11" t="n">
        <v>8150</v>
      </c>
      <c r="N11" t="n">
        <v>8700</v>
      </c>
      <c r="O11" t="n">
        <v>9250</v>
      </c>
      <c r="P11" t="n">
        <v>9800</v>
      </c>
      <c r="Q11" t="n">
        <v>10350</v>
      </c>
      <c r="R11" t="n">
        <v>10900</v>
      </c>
      <c r="S11" t="n">
        <v>11450</v>
      </c>
      <c r="T11" t="n">
        <v>12000</v>
      </c>
      <c r="U11" t="n">
        <v>12550</v>
      </c>
      <c r="V11" t="n">
        <v>13100</v>
      </c>
      <c r="W11" t="n">
        <v>13650</v>
      </c>
      <c r="X11" t="n">
        <v>14200</v>
      </c>
      <c r="Y11" t="n">
        <v>14750</v>
      </c>
      <c r="Z11" t="n">
        <v>15300</v>
      </c>
      <c r="AA11" t="n">
        <v>15850</v>
      </c>
      <c r="AB11" t="n">
        <v>16400</v>
      </c>
      <c r="AC11" t="n">
        <v>16950</v>
      </c>
      <c r="AD11" t="n">
        <v>17500</v>
      </c>
      <c r="AE11" t="n">
        <v>18050</v>
      </c>
      <c r="AF11" t="n">
        <v>18600</v>
      </c>
      <c r="AG11" t="n">
        <v>19150</v>
      </c>
      <c r="AH11" t="n">
        <v>19700</v>
      </c>
      <c r="AI11" t="n">
        <v>20250</v>
      </c>
      <c r="AJ11" t="n">
        <v>20800</v>
      </c>
      <c r="AK11" t="n">
        <v>21350</v>
      </c>
      <c r="AL11" t="n">
        <v>21900</v>
      </c>
      <c r="AM11" t="n">
        <v>22450</v>
      </c>
    </row>
    <row r="12">
      <c r="A12" t="inlineStr">
        <is>
          <t>P08: Transport, storage, information and communication</t>
        </is>
      </c>
      <c r="B12" t="n">
        <v>2200</v>
      </c>
      <c r="C12" t="n">
        <v>2800</v>
      </c>
      <c r="D12" t="n">
        <v>3400</v>
      </c>
      <c r="E12" t="n">
        <v>4000</v>
      </c>
      <c r="F12" t="n">
        <v>4600</v>
      </c>
      <c r="G12" t="n">
        <v>5200</v>
      </c>
      <c r="H12" t="n">
        <v>5800</v>
      </c>
      <c r="I12" t="n">
        <v>6400</v>
      </c>
      <c r="J12" t="n">
        <v>7000</v>
      </c>
      <c r="K12" t="n">
        <v>7600</v>
      </c>
      <c r="L12" t="n">
        <v>8200</v>
      </c>
      <c r="M12" t="n">
        <v>8800</v>
      </c>
      <c r="N12" t="n">
        <v>9400</v>
      </c>
      <c r="O12" t="n">
        <v>10000</v>
      </c>
      <c r="P12" t="n">
        <v>10600</v>
      </c>
      <c r="Q12" t="n">
        <v>11200</v>
      </c>
      <c r="R12" t="n">
        <v>11800</v>
      </c>
      <c r="S12" t="n">
        <v>12400</v>
      </c>
      <c r="T12" t="n">
        <v>13000</v>
      </c>
      <c r="U12" t="n">
        <v>13600</v>
      </c>
      <c r="V12" t="n">
        <v>14200</v>
      </c>
      <c r="W12" t="n">
        <v>14800</v>
      </c>
      <c r="X12" t="n">
        <v>15400</v>
      </c>
      <c r="Y12" t="n">
        <v>16000</v>
      </c>
      <c r="Z12" t="n">
        <v>16600</v>
      </c>
      <c r="AA12" t="n">
        <v>17200</v>
      </c>
      <c r="AB12" t="n">
        <v>17800</v>
      </c>
      <c r="AC12" t="n">
        <v>18400</v>
      </c>
      <c r="AD12" t="n">
        <v>19000</v>
      </c>
      <c r="AE12" t="n">
        <v>19600</v>
      </c>
      <c r="AF12" t="n">
        <v>20200</v>
      </c>
      <c r="AG12" t="n">
        <v>20800</v>
      </c>
      <c r="AH12" t="n">
        <v>21400</v>
      </c>
      <c r="AI12" t="n">
        <v>22000</v>
      </c>
      <c r="AJ12" t="n">
        <v>22600</v>
      </c>
      <c r="AK12" t="n">
        <v>23200</v>
      </c>
      <c r="AL12" t="n">
        <v>23800</v>
      </c>
      <c r="AM12" t="n">
        <v>24400</v>
      </c>
    </row>
    <row r="13">
      <c r="A13" t="inlineStr">
        <is>
          <t>P09: Accommodation and food service activities</t>
        </is>
      </c>
      <c r="B13" t="n">
        <v>2300</v>
      </c>
      <c r="C13" t="n">
        <v>2950</v>
      </c>
      <c r="D13" t="n">
        <v>3600</v>
      </c>
      <c r="E13" t="n">
        <v>4250</v>
      </c>
      <c r="F13" t="n">
        <v>4900</v>
      </c>
      <c r="G13" t="n">
        <v>5550</v>
      </c>
      <c r="H13" t="n">
        <v>6200</v>
      </c>
      <c r="I13" t="n">
        <v>6850</v>
      </c>
      <c r="J13" t="n">
        <v>7500</v>
      </c>
      <c r="K13" t="n">
        <v>8150</v>
      </c>
      <c r="L13" t="n">
        <v>8800</v>
      </c>
      <c r="M13" t="n">
        <v>9450</v>
      </c>
      <c r="N13" t="n">
        <v>10100</v>
      </c>
      <c r="O13" t="n">
        <v>10750</v>
      </c>
      <c r="P13" t="n">
        <v>11400</v>
      </c>
      <c r="Q13" t="n">
        <v>12050</v>
      </c>
      <c r="R13" t="n">
        <v>12700</v>
      </c>
      <c r="S13" t="n">
        <v>13350</v>
      </c>
      <c r="T13" t="n">
        <v>14000</v>
      </c>
      <c r="U13" t="n">
        <v>14650</v>
      </c>
      <c r="V13" t="n">
        <v>15300</v>
      </c>
      <c r="W13" t="n">
        <v>15950</v>
      </c>
      <c r="X13" t="n">
        <v>16600</v>
      </c>
      <c r="Y13" t="n">
        <v>17250</v>
      </c>
      <c r="Z13" t="n">
        <v>17900</v>
      </c>
      <c r="AA13" t="n">
        <v>18550</v>
      </c>
      <c r="AB13" t="n">
        <v>19200</v>
      </c>
      <c r="AC13" t="n">
        <v>19850</v>
      </c>
      <c r="AD13" t="n">
        <v>20500</v>
      </c>
      <c r="AE13" t="n">
        <v>21150</v>
      </c>
      <c r="AF13" t="n">
        <v>21800</v>
      </c>
      <c r="AG13" t="n">
        <v>22450</v>
      </c>
      <c r="AH13" t="n">
        <v>23100</v>
      </c>
      <c r="AI13" t="n">
        <v>23750</v>
      </c>
      <c r="AJ13" t="n">
        <v>24400</v>
      </c>
      <c r="AK13" t="n">
        <v>25050</v>
      </c>
      <c r="AL13" t="n">
        <v>25700</v>
      </c>
      <c r="AM13" t="n">
        <v>26350</v>
      </c>
    </row>
    <row r="14">
      <c r="A14" t="inlineStr">
        <is>
          <t>P10: Financial and insurance activities</t>
        </is>
      </c>
      <c r="B14" t="n">
        <v>2400</v>
      </c>
      <c r="C14" t="n">
        <v>3100</v>
      </c>
      <c r="D14" t="n">
        <v>3800</v>
      </c>
      <c r="E14" t="n">
        <v>4500</v>
      </c>
      <c r="F14" t="n">
        <v>5200</v>
      </c>
      <c r="G14" t="n">
        <v>5900</v>
      </c>
      <c r="H14" t="n">
        <v>6600</v>
      </c>
      <c r="I14" t="n">
        <v>7300</v>
      </c>
      <c r="J14" t="n">
        <v>8000</v>
      </c>
      <c r="K14" t="n">
        <v>8700</v>
      </c>
      <c r="L14" t="n">
        <v>9400</v>
      </c>
      <c r="M14" t="n">
        <v>10100</v>
      </c>
      <c r="N14" t="n">
        <v>10800</v>
      </c>
      <c r="O14" t="n">
        <v>11500</v>
      </c>
      <c r="P14" t="n">
        <v>12200</v>
      </c>
      <c r="Q14" t="n">
        <v>12900</v>
      </c>
      <c r="R14" t="n">
        <v>13600</v>
      </c>
      <c r="S14" t="n">
        <v>14300</v>
      </c>
      <c r="T14" t="n">
        <v>15000</v>
      </c>
      <c r="U14" t="n">
        <v>15700</v>
      </c>
      <c r="V14" t="n">
        <v>16400</v>
      </c>
      <c r="W14" t="n">
        <v>17100</v>
      </c>
      <c r="X14" t="n">
        <v>17800</v>
      </c>
      <c r="Y14" t="n">
        <v>18500</v>
      </c>
      <c r="Z14" t="n">
        <v>19200</v>
      </c>
      <c r="AA14" t="n">
        <v>19900</v>
      </c>
      <c r="AB14" t="n">
        <v>20600</v>
      </c>
      <c r="AC14" t="n">
        <v>21300</v>
      </c>
      <c r="AD14" t="n">
        <v>22000</v>
      </c>
      <c r="AE14" t="n">
        <v>22700</v>
      </c>
      <c r="AF14" t="n">
        <v>23400</v>
      </c>
      <c r="AG14" t="n">
        <v>24100</v>
      </c>
      <c r="AH14" t="n">
        <v>24800</v>
      </c>
      <c r="AI14" t="n">
        <v>25500</v>
      </c>
      <c r="AJ14" t="n">
        <v>26200</v>
      </c>
      <c r="AK14" t="n">
        <v>26900</v>
      </c>
      <c r="AL14" t="n">
        <v>27600</v>
      </c>
      <c r="AM14" t="n">
        <v>28300</v>
      </c>
    </row>
    <row r="15">
      <c r="A15" t="inlineStr">
        <is>
          <t>P11: Real estate activities</t>
        </is>
      </c>
      <c r="B15" t="n">
        <v>2500</v>
      </c>
      <c r="C15" t="n">
        <v>3250</v>
      </c>
      <c r="D15" t="n">
        <v>4000</v>
      </c>
      <c r="E15" t="n">
        <v>4750</v>
      </c>
      <c r="F15" t="n">
        <v>5500</v>
      </c>
      <c r="G15" t="n">
        <v>6250</v>
      </c>
      <c r="H15" t="n">
        <v>7000</v>
      </c>
      <c r="I15" t="n">
        <v>7750</v>
      </c>
      <c r="J15" t="n">
        <v>8500</v>
      </c>
      <c r="K15" t="n">
        <v>9250</v>
      </c>
      <c r="L15" t="n">
        <v>10000</v>
      </c>
      <c r="M15" t="n">
        <v>10750</v>
      </c>
      <c r="N15" t="n">
        <v>11500</v>
      </c>
      <c r="O15" t="n">
        <v>12250</v>
      </c>
      <c r="P15" t="n">
        <v>13000</v>
      </c>
      <c r="Q15" t="n">
        <v>13750</v>
      </c>
      <c r="R15" t="n">
        <v>14500</v>
      </c>
      <c r="S15" t="n">
        <v>15250</v>
      </c>
      <c r="T15" t="n">
        <v>16000</v>
      </c>
      <c r="U15" t="n">
        <v>16750</v>
      </c>
      <c r="V15" t="n">
        <v>17500</v>
      </c>
      <c r="W15" t="n">
        <v>18250</v>
      </c>
      <c r="X15" t="n">
        <v>19000</v>
      </c>
      <c r="Y15" t="n">
        <v>19750</v>
      </c>
      <c r="Z15" t="n">
        <v>20500</v>
      </c>
      <c r="AA15" t="n">
        <v>21250</v>
      </c>
      <c r="AB15" t="n">
        <v>22000</v>
      </c>
      <c r="AC15" t="n">
        <v>22750</v>
      </c>
      <c r="AD15" t="n">
        <v>23500</v>
      </c>
      <c r="AE15" t="n">
        <v>24250</v>
      </c>
      <c r="AF15" t="n">
        <v>25000</v>
      </c>
      <c r="AG15" t="n">
        <v>25750</v>
      </c>
      <c r="AH15" t="n">
        <v>26500</v>
      </c>
      <c r="AI15" t="n">
        <v>27250</v>
      </c>
      <c r="AJ15" t="n">
        <v>28000</v>
      </c>
      <c r="AK15" t="n">
        <v>28750</v>
      </c>
      <c r="AL15" t="n">
        <v>29500</v>
      </c>
      <c r="AM15" t="n">
        <v>30250</v>
      </c>
    </row>
    <row r="16">
      <c r="A16" t="inlineStr">
        <is>
          <t>P12: Professional, scientific and technical activities</t>
        </is>
      </c>
      <c r="B16" t="n">
        <v>2600</v>
      </c>
      <c r="C16" t="n">
        <v>3400</v>
      </c>
      <c r="D16" t="n">
        <v>4200</v>
      </c>
      <c r="E16" t="n">
        <v>5000</v>
      </c>
      <c r="F16" t="n">
        <v>5800</v>
      </c>
      <c r="G16" t="n">
        <v>6600</v>
      </c>
      <c r="H16" t="n">
        <v>7400</v>
      </c>
      <c r="I16" t="n">
        <v>8200</v>
      </c>
      <c r="J16" t="n">
        <v>9000</v>
      </c>
      <c r="K16" t="n">
        <v>9800</v>
      </c>
      <c r="L16" t="n">
        <v>10600</v>
      </c>
      <c r="M16" t="n">
        <v>11400</v>
      </c>
      <c r="N16" t="n">
        <v>12200</v>
      </c>
      <c r="O16" t="n">
        <v>13000</v>
      </c>
      <c r="P16" t="n">
        <v>13800</v>
      </c>
      <c r="Q16" t="n">
        <v>14600</v>
      </c>
      <c r="R16" t="n">
        <v>15400</v>
      </c>
      <c r="S16" t="n">
        <v>16200</v>
      </c>
      <c r="T16" t="n">
        <v>17000</v>
      </c>
      <c r="U16" t="n">
        <v>17800</v>
      </c>
      <c r="V16" t="n">
        <v>18600</v>
      </c>
      <c r="W16" t="n">
        <v>19400</v>
      </c>
      <c r="X16" t="n">
        <v>20200</v>
      </c>
      <c r="Y16" t="n">
        <v>21000</v>
      </c>
      <c r="Z16" t="n">
        <v>21800</v>
      </c>
      <c r="AA16" t="n">
        <v>22600</v>
      </c>
      <c r="AB16" t="n">
        <v>23400</v>
      </c>
      <c r="AC16" t="n">
        <v>24200</v>
      </c>
      <c r="AD16" t="n">
        <v>25000</v>
      </c>
      <c r="AE16" t="n">
        <v>25800</v>
      </c>
      <c r="AF16" t="n">
        <v>26600</v>
      </c>
      <c r="AG16" t="n">
        <v>27400</v>
      </c>
      <c r="AH16" t="n">
        <v>28200</v>
      </c>
      <c r="AI16" t="n">
        <v>29000</v>
      </c>
      <c r="AJ16" t="n">
        <v>29800</v>
      </c>
      <c r="AK16" t="n">
        <v>30600</v>
      </c>
      <c r="AL16" t="n">
        <v>31400</v>
      </c>
      <c r="AM16" t="n">
        <v>32200</v>
      </c>
    </row>
    <row r="17">
      <c r="A17" t="inlineStr">
        <is>
          <t>P13: Administrative and support service activities</t>
        </is>
      </c>
      <c r="B17" t="n">
        <v>2700</v>
      </c>
      <c r="C17" t="n">
        <v>3550</v>
      </c>
      <c r="D17" t="n">
        <v>4400</v>
      </c>
      <c r="E17" t="n">
        <v>5250</v>
      </c>
      <c r="F17" t="n">
        <v>6100</v>
      </c>
      <c r="G17" t="n">
        <v>6950</v>
      </c>
      <c r="H17" t="n">
        <v>7800</v>
      </c>
      <c r="I17" t="n">
        <v>8650</v>
      </c>
      <c r="J17" t="n">
        <v>9500</v>
      </c>
      <c r="K17" t="n">
        <v>10350</v>
      </c>
      <c r="L17" t="n">
        <v>11200</v>
      </c>
      <c r="M17" t="n">
        <v>12050</v>
      </c>
      <c r="N17" t="n">
        <v>12900</v>
      </c>
      <c r="O17" t="n">
        <v>13750</v>
      </c>
      <c r="P17" t="n">
        <v>14600</v>
      </c>
      <c r="Q17" t="n">
        <v>15450</v>
      </c>
      <c r="R17" t="n">
        <v>16300</v>
      </c>
      <c r="S17" t="n">
        <v>17150</v>
      </c>
      <c r="T17" t="n">
        <v>18000</v>
      </c>
      <c r="U17" t="n">
        <v>18850</v>
      </c>
      <c r="V17" t="n">
        <v>19700</v>
      </c>
      <c r="W17" t="n">
        <v>20550</v>
      </c>
      <c r="X17" t="n">
        <v>21400</v>
      </c>
      <c r="Y17" t="n">
        <v>22250</v>
      </c>
      <c r="Z17" t="n">
        <v>23100</v>
      </c>
      <c r="AA17" t="n">
        <v>23950</v>
      </c>
      <c r="AB17" t="n">
        <v>24800</v>
      </c>
      <c r="AC17" t="n">
        <v>25650</v>
      </c>
      <c r="AD17" t="n">
        <v>26500</v>
      </c>
      <c r="AE17" t="n">
        <v>27350</v>
      </c>
      <c r="AF17" t="n">
        <v>28200</v>
      </c>
      <c r="AG17" t="n">
        <v>29050</v>
      </c>
      <c r="AH17" t="n">
        <v>29900</v>
      </c>
      <c r="AI17" t="n">
        <v>30750</v>
      </c>
      <c r="AJ17" t="n">
        <v>31600</v>
      </c>
      <c r="AK17" t="n">
        <v>32450</v>
      </c>
      <c r="AL17" t="n">
        <v>33300</v>
      </c>
      <c r="AM17" t="n">
        <v>34150</v>
      </c>
    </row>
    <row r="18">
      <c r="A18" t="inlineStr">
        <is>
          <t>P14: Public administration and defense</t>
        </is>
      </c>
      <c r="B18" t="n">
        <v>2800</v>
      </c>
      <c r="C18" t="n">
        <v>3700</v>
      </c>
      <c r="D18" t="n">
        <v>4600</v>
      </c>
      <c r="E18" t="n">
        <v>5500</v>
      </c>
      <c r="F18" t="n">
        <v>6400</v>
      </c>
      <c r="G18" t="n">
        <v>7300</v>
      </c>
      <c r="H18" t="n">
        <v>8200</v>
      </c>
      <c r="I18" t="n">
        <v>9100</v>
      </c>
      <c r="J18" t="n">
        <v>10000</v>
      </c>
      <c r="K18" t="n">
        <v>10900</v>
      </c>
      <c r="L18" t="n">
        <v>11800</v>
      </c>
      <c r="M18" t="n">
        <v>12700</v>
      </c>
      <c r="N18" t="n">
        <v>13600</v>
      </c>
      <c r="O18" t="n">
        <v>14500</v>
      </c>
      <c r="P18" t="n">
        <v>15400</v>
      </c>
      <c r="Q18" t="n">
        <v>16300</v>
      </c>
      <c r="R18" t="n">
        <v>17200</v>
      </c>
      <c r="S18" t="n">
        <v>18100</v>
      </c>
      <c r="T18" t="n">
        <v>19000</v>
      </c>
      <c r="U18" t="n">
        <v>19900</v>
      </c>
      <c r="V18" t="n">
        <v>20800</v>
      </c>
      <c r="W18" t="n">
        <v>21700</v>
      </c>
      <c r="X18" t="n">
        <v>22600</v>
      </c>
      <c r="Y18" t="n">
        <v>23500</v>
      </c>
      <c r="Z18" t="n">
        <v>24400</v>
      </c>
      <c r="AA18" t="n">
        <v>25300</v>
      </c>
      <c r="AB18" t="n">
        <v>26200</v>
      </c>
      <c r="AC18" t="n">
        <v>27100</v>
      </c>
      <c r="AD18" t="n">
        <v>28000</v>
      </c>
      <c r="AE18" t="n">
        <v>28900</v>
      </c>
      <c r="AF18" t="n">
        <v>29800</v>
      </c>
      <c r="AG18" t="n">
        <v>30700</v>
      </c>
      <c r="AH18" t="n">
        <v>31600</v>
      </c>
      <c r="AI18" t="n">
        <v>32500</v>
      </c>
      <c r="AJ18" t="n">
        <v>33400</v>
      </c>
      <c r="AK18" t="n">
        <v>34300</v>
      </c>
      <c r="AL18" t="n">
        <v>35200</v>
      </c>
      <c r="AM18" t="n">
        <v>36100</v>
      </c>
    </row>
    <row r="19">
      <c r="A19" t="inlineStr">
        <is>
          <t>P15: Education</t>
        </is>
      </c>
      <c r="B19" t="n">
        <v>2900</v>
      </c>
      <c r="C19" t="n">
        <v>3850</v>
      </c>
      <c r="D19" t="n">
        <v>4800</v>
      </c>
      <c r="E19" t="n">
        <v>5750</v>
      </c>
      <c r="F19" t="n">
        <v>6700</v>
      </c>
      <c r="G19" t="n">
        <v>7650</v>
      </c>
      <c r="H19" t="n">
        <v>8600</v>
      </c>
      <c r="I19" t="n">
        <v>9550</v>
      </c>
      <c r="J19" t="n">
        <v>10500</v>
      </c>
      <c r="K19" t="n">
        <v>11450</v>
      </c>
      <c r="L19" t="n">
        <v>12400</v>
      </c>
      <c r="M19" t="n">
        <v>13350</v>
      </c>
      <c r="N19" t="n">
        <v>14300</v>
      </c>
      <c r="O19" t="n">
        <v>15250</v>
      </c>
      <c r="P19" t="n">
        <v>16200</v>
      </c>
      <c r="Q19" t="n">
        <v>17150</v>
      </c>
      <c r="R19" t="n">
        <v>18100</v>
      </c>
      <c r="S19" t="n">
        <v>19050</v>
      </c>
      <c r="T19" t="n">
        <v>20000</v>
      </c>
      <c r="U19" t="n">
        <v>20950</v>
      </c>
      <c r="V19" t="n">
        <v>21900</v>
      </c>
      <c r="W19" t="n">
        <v>22850</v>
      </c>
      <c r="X19" t="n">
        <v>23800</v>
      </c>
      <c r="Y19" t="n">
        <v>24750</v>
      </c>
      <c r="Z19" t="n">
        <v>25700</v>
      </c>
      <c r="AA19" t="n">
        <v>26650</v>
      </c>
      <c r="AB19" t="n">
        <v>27600</v>
      </c>
      <c r="AC19" t="n">
        <v>28550</v>
      </c>
      <c r="AD19" t="n">
        <v>29500</v>
      </c>
      <c r="AE19" t="n">
        <v>30450</v>
      </c>
      <c r="AF19" t="n">
        <v>31400</v>
      </c>
      <c r="AG19" t="n">
        <v>32350</v>
      </c>
      <c r="AH19" t="n">
        <v>33300</v>
      </c>
      <c r="AI19" t="n">
        <v>34250</v>
      </c>
      <c r="AJ19" t="n">
        <v>35200</v>
      </c>
      <c r="AK19" t="n">
        <v>36150</v>
      </c>
      <c r="AL19" t="n">
        <v>37100</v>
      </c>
      <c r="AM19" t="n">
        <v>38050</v>
      </c>
    </row>
    <row r="20">
      <c r="A20" t="inlineStr">
        <is>
          <t>P16: Human health and social work activities</t>
        </is>
      </c>
      <c r="B20" t="n">
        <v>3000</v>
      </c>
      <c r="C20" t="n">
        <v>4000</v>
      </c>
      <c r="D20" t="n">
        <v>5000</v>
      </c>
      <c r="E20" t="n">
        <v>6000</v>
      </c>
      <c r="F20" t="n">
        <v>7000</v>
      </c>
      <c r="G20" t="n">
        <v>8000</v>
      </c>
      <c r="H20" t="n">
        <v>9000</v>
      </c>
      <c r="I20" t="n">
        <v>10000</v>
      </c>
      <c r="J20" t="n">
        <v>11000</v>
      </c>
      <c r="K20" t="n">
        <v>12000</v>
      </c>
      <c r="L20" t="n">
        <v>13000</v>
      </c>
      <c r="M20" t="n">
        <v>14000</v>
      </c>
      <c r="N20" t="n">
        <v>15000</v>
      </c>
      <c r="O20" t="n">
        <v>16000</v>
      </c>
      <c r="P20" t="n">
        <v>17000</v>
      </c>
      <c r="Q20" t="n">
        <v>18000</v>
      </c>
      <c r="R20" t="n">
        <v>19000</v>
      </c>
      <c r="S20" t="n">
        <v>20000</v>
      </c>
      <c r="T20" t="n">
        <v>21000</v>
      </c>
      <c r="U20" t="n">
        <v>22000</v>
      </c>
      <c r="V20" t="n">
        <v>23000</v>
      </c>
      <c r="W20" t="n">
        <v>24000</v>
      </c>
      <c r="X20" t="n">
        <v>25000</v>
      </c>
      <c r="Y20" t="n">
        <v>26000</v>
      </c>
      <c r="Z20" t="n">
        <v>27000</v>
      </c>
      <c r="AA20" t="n">
        <v>28000</v>
      </c>
      <c r="AB20" t="n">
        <v>29000</v>
      </c>
      <c r="AC20" t="n">
        <v>30000</v>
      </c>
      <c r="AD20" t="n">
        <v>31000</v>
      </c>
      <c r="AE20" t="n">
        <v>32000</v>
      </c>
      <c r="AF20" t="n">
        <v>33000</v>
      </c>
      <c r="AG20" t="n">
        <v>34000</v>
      </c>
      <c r="AH20" t="n">
        <v>35000</v>
      </c>
      <c r="AI20" t="n">
        <v>36000</v>
      </c>
      <c r="AJ20" t="n">
        <v>37000</v>
      </c>
      <c r="AK20" t="n">
        <v>38000</v>
      </c>
      <c r="AL20" t="n">
        <v>39000</v>
      </c>
      <c r="AM20" t="n">
        <v>40000</v>
      </c>
    </row>
    <row r="21">
      <c r="A21" t="inlineStr">
        <is>
          <t>P17: Arts, entertainment and recreation</t>
        </is>
      </c>
      <c r="B21" t="n">
        <v>3100</v>
      </c>
      <c r="C21" t="n">
        <v>4150</v>
      </c>
      <c r="D21" t="n">
        <v>5200</v>
      </c>
      <c r="E21" t="n">
        <v>6250</v>
      </c>
      <c r="F21" t="n">
        <v>7300</v>
      </c>
      <c r="G21" t="n">
        <v>8350</v>
      </c>
      <c r="H21" t="n">
        <v>9400</v>
      </c>
      <c r="I21" t="n">
        <v>10450</v>
      </c>
      <c r="J21" t="n">
        <v>11500</v>
      </c>
      <c r="K21" t="n">
        <v>12550</v>
      </c>
      <c r="L21" t="n">
        <v>13600</v>
      </c>
      <c r="M21" t="n">
        <v>14650</v>
      </c>
      <c r="N21" t="n">
        <v>15700</v>
      </c>
      <c r="O21" t="n">
        <v>16750</v>
      </c>
      <c r="P21" t="n">
        <v>17800</v>
      </c>
      <c r="Q21" t="n">
        <v>18850</v>
      </c>
      <c r="R21" t="n">
        <v>19900</v>
      </c>
      <c r="S21" t="n">
        <v>20950</v>
      </c>
      <c r="T21" t="n">
        <v>22000</v>
      </c>
      <c r="U21" t="n">
        <v>23050</v>
      </c>
      <c r="V21" t="n">
        <v>24100</v>
      </c>
      <c r="W21" t="n">
        <v>25150</v>
      </c>
      <c r="X21" t="n">
        <v>26200</v>
      </c>
      <c r="Y21" t="n">
        <v>27250</v>
      </c>
      <c r="Z21" t="n">
        <v>28300</v>
      </c>
      <c r="AA21" t="n">
        <v>29350</v>
      </c>
      <c r="AB21" t="n">
        <v>30400</v>
      </c>
      <c r="AC21" t="n">
        <v>31450</v>
      </c>
      <c r="AD21" t="n">
        <v>32500</v>
      </c>
      <c r="AE21" t="n">
        <v>33550</v>
      </c>
      <c r="AF21" t="n">
        <v>34600</v>
      </c>
      <c r="AG21" t="n">
        <v>35650</v>
      </c>
      <c r="AH21" t="n">
        <v>36700</v>
      </c>
      <c r="AI21" t="n">
        <v>37750</v>
      </c>
      <c r="AJ21" t="n">
        <v>38800</v>
      </c>
      <c r="AK21" t="n">
        <v>39850</v>
      </c>
      <c r="AL21" t="n">
        <v>40900</v>
      </c>
      <c r="AM21" t="n">
        <v>41950</v>
      </c>
    </row>
    <row r="22">
      <c r="A22" t="inlineStr">
        <is>
          <t>P18: Other service activities</t>
        </is>
      </c>
      <c r="B22" t="n">
        <v>3200</v>
      </c>
      <c r="C22" t="n">
        <v>4300</v>
      </c>
      <c r="D22" t="n">
        <v>5400</v>
      </c>
      <c r="E22" t="n">
        <v>6500</v>
      </c>
      <c r="F22" t="n">
        <v>7600</v>
      </c>
      <c r="G22" t="n">
        <v>8700</v>
      </c>
      <c r="H22" t="n">
        <v>9800</v>
      </c>
      <c r="I22" t="n">
        <v>10900</v>
      </c>
      <c r="J22" t="n">
        <v>12000</v>
      </c>
      <c r="K22" t="n">
        <v>13100</v>
      </c>
      <c r="L22" t="n">
        <v>14200</v>
      </c>
      <c r="M22" t="n">
        <v>15300</v>
      </c>
      <c r="N22" t="n">
        <v>16400</v>
      </c>
      <c r="O22" t="n">
        <v>17500</v>
      </c>
      <c r="P22" t="n">
        <v>18600</v>
      </c>
      <c r="Q22" t="n">
        <v>19700</v>
      </c>
      <c r="R22" t="n">
        <v>20800</v>
      </c>
      <c r="S22" t="n">
        <v>21900</v>
      </c>
      <c r="T22" t="n">
        <v>23000</v>
      </c>
      <c r="U22" t="n">
        <v>24100</v>
      </c>
      <c r="V22" t="n">
        <v>25200</v>
      </c>
      <c r="W22" t="n">
        <v>26300</v>
      </c>
      <c r="X22" t="n">
        <v>27400</v>
      </c>
      <c r="Y22" t="n">
        <v>28500</v>
      </c>
      <c r="Z22" t="n">
        <v>29600</v>
      </c>
      <c r="AA22" t="n">
        <v>30700</v>
      </c>
      <c r="AB22" t="n">
        <v>31800</v>
      </c>
      <c r="AC22" t="n">
        <v>32900</v>
      </c>
      <c r="AD22" t="n">
        <v>34000</v>
      </c>
      <c r="AE22" t="n">
        <v>35100</v>
      </c>
      <c r="AF22" t="n">
        <v>36200</v>
      </c>
      <c r="AG22" t="n">
        <v>37300</v>
      </c>
      <c r="AH22" t="n">
        <v>38400</v>
      </c>
      <c r="AI22" t="n">
        <v>39500</v>
      </c>
      <c r="AJ22" t="n">
        <v>40600</v>
      </c>
      <c r="AK22" t="n">
        <v>41700</v>
      </c>
      <c r="AL22" t="n">
        <v>42800</v>
      </c>
      <c r="AM22" t="n">
        <v>43900</v>
      </c>
    </row>
    <row r="23">
      <c r="A23" t="inlineStr">
        <is>
          <t>P19: Activities of households as employers</t>
        </is>
      </c>
      <c r="B23" t="n">
        <v>3300</v>
      </c>
      <c r="C23" t="n">
        <v>4450</v>
      </c>
      <c r="D23" t="n">
        <v>5600</v>
      </c>
      <c r="E23" t="n">
        <v>6750</v>
      </c>
      <c r="F23" t="n">
        <v>7900</v>
      </c>
      <c r="G23" t="n">
        <v>9050</v>
      </c>
      <c r="H23" t="n">
        <v>10200</v>
      </c>
      <c r="I23" t="n">
        <v>11350</v>
      </c>
      <c r="J23" t="n">
        <v>12500</v>
      </c>
      <c r="K23" t="n">
        <v>13650</v>
      </c>
      <c r="L23" t="n">
        <v>14800</v>
      </c>
      <c r="M23" t="n">
        <v>15950</v>
      </c>
      <c r="N23" t="n">
        <v>17100</v>
      </c>
      <c r="O23" t="n">
        <v>18250</v>
      </c>
      <c r="P23" t="n">
        <v>19400</v>
      </c>
      <c r="Q23" t="n">
        <v>20550</v>
      </c>
      <c r="R23" t="n">
        <v>21700</v>
      </c>
      <c r="S23" t="n">
        <v>22850</v>
      </c>
      <c r="T23" t="n">
        <v>24000</v>
      </c>
      <c r="U23" t="n">
        <v>25150</v>
      </c>
      <c r="V23" t="n">
        <v>26300</v>
      </c>
      <c r="W23" t="n">
        <v>27450</v>
      </c>
      <c r="X23" t="n">
        <v>28600</v>
      </c>
      <c r="Y23" t="n">
        <v>29750</v>
      </c>
      <c r="Z23" t="n">
        <v>30900</v>
      </c>
      <c r="AA23" t="n">
        <v>32050</v>
      </c>
      <c r="AB23" t="n">
        <v>33200</v>
      </c>
      <c r="AC23" t="n">
        <v>34350</v>
      </c>
      <c r="AD23" t="n">
        <v>35500</v>
      </c>
      <c r="AE23" t="n">
        <v>36650</v>
      </c>
      <c r="AF23" t="n">
        <v>37800</v>
      </c>
      <c r="AG23" t="n">
        <v>38950</v>
      </c>
      <c r="AH23" t="n">
        <v>40100</v>
      </c>
      <c r="AI23" t="n">
        <v>41250</v>
      </c>
      <c r="AJ23" t="n">
        <v>42400</v>
      </c>
      <c r="AK23" t="n">
        <v>43550</v>
      </c>
      <c r="AL23" t="n">
        <v>44700</v>
      </c>
      <c r="AM23" t="n">
        <v>45850</v>
      </c>
    </row>
    <row r="24">
      <c r="A24" t="inlineStr">
        <is>
          <t>P20: Total Industries (1-19)</t>
        </is>
      </c>
      <c r="B24">
        <f>SUM(B5:B23)</f>
        <v/>
      </c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>
        <f>SUM(AA5:AA23)</f>
        <v/>
      </c>
      <c r="AB24">
        <f>SUM(AB5:AB23)</f>
        <v/>
      </c>
      <c r="AC24">
        <f>SUM(AC5:AC23)</f>
        <v/>
      </c>
      <c r="AD24">
        <f>SUM(AD5:AD23)</f>
        <v/>
      </c>
      <c r="AE24">
        <f>SUM(AE5:AE23)</f>
        <v/>
      </c>
      <c r="AF24">
        <f>SUM(AF5:AF23)</f>
        <v/>
      </c>
      <c r="AG24">
        <f>SUM(AG5:AG23)</f>
        <v/>
      </c>
      <c r="AH24">
        <f>SUM(AH5:AH23)</f>
        <v/>
      </c>
      <c r="AI24">
        <f>SUM(AI5:AI23)</f>
        <v/>
      </c>
      <c r="AJ24">
        <f>SUM(AJ5:AJ23)</f>
        <v/>
      </c>
      <c r="AK24">
        <f>SUM(AK5:AK23)</f>
        <v/>
      </c>
      <c r="AL24">
        <f>SUM(AL5:AL23)</f>
        <v/>
      </c>
      <c r="AM24">
        <f>SUM(AM5:AM23)</f>
        <v/>
      </c>
    </row>
    <row r="25">
      <c r="A25" t="inlineStr">
        <is>
          <t>P21: Imports of goods and services</t>
        </is>
      </c>
      <c r="B25" t="n">
        <v>7500</v>
      </c>
      <c r="C25" t="n">
        <v>7500</v>
      </c>
      <c r="D25" t="n">
        <v>7500</v>
      </c>
      <c r="E25" t="n">
        <v>7500</v>
      </c>
      <c r="F25" t="n">
        <v>7500</v>
      </c>
      <c r="G25" t="n">
        <v>7500</v>
      </c>
      <c r="H25" t="n">
        <v>7500</v>
      </c>
      <c r="I25" t="n">
        <v>7500</v>
      </c>
      <c r="J25" t="n">
        <v>7500</v>
      </c>
      <c r="K25" t="n">
        <v>7500</v>
      </c>
      <c r="L25" t="n">
        <v>7500</v>
      </c>
      <c r="M25" t="n">
        <v>7500</v>
      </c>
      <c r="N25" t="n">
        <v>7500</v>
      </c>
      <c r="O25" t="n">
        <v>7500</v>
      </c>
      <c r="P25" t="n">
        <v>7500</v>
      </c>
      <c r="Q25" t="n">
        <v>7500</v>
      </c>
      <c r="R25" t="n">
        <v>7500</v>
      </c>
      <c r="S25" t="n">
        <v>7500</v>
      </c>
      <c r="T25" t="n">
        <v>7500</v>
      </c>
      <c r="U25" t="n">
        <v>7500</v>
      </c>
      <c r="V25" t="n">
        <v>7500</v>
      </c>
      <c r="W25" t="n">
        <v>7500</v>
      </c>
      <c r="X25" t="n">
        <v>7500</v>
      </c>
      <c r="Y25" t="n">
        <v>7500</v>
      </c>
      <c r="Z25" t="n">
        <v>7500</v>
      </c>
      <c r="AA25" t="n">
        <v>7500</v>
      </c>
      <c r="AB25" t="n">
        <v>7500</v>
      </c>
      <c r="AC25" t="n">
        <v>7500</v>
      </c>
      <c r="AD25" t="n">
        <v>7500</v>
      </c>
      <c r="AE25" t="n">
        <v>7500</v>
      </c>
      <c r="AF25" t="n">
        <v>7500</v>
      </c>
      <c r="AG25" t="n">
        <v>7500</v>
      </c>
      <c r="AH25" t="n">
        <v>7500</v>
      </c>
      <c r="AI25" t="n">
        <v>7500</v>
      </c>
      <c r="AJ25" t="n">
        <v>7500</v>
      </c>
      <c r="AK25" t="n">
        <v>7500</v>
      </c>
      <c r="AL25" t="n">
        <v>7500</v>
      </c>
      <c r="AM25" t="n">
        <v>7500</v>
      </c>
    </row>
    <row r="26">
      <c r="A26" t="inlineStr">
        <is>
          <t>P22: Trade margins</t>
        </is>
      </c>
      <c r="B26" t="n">
        <v>2100</v>
      </c>
      <c r="C26" t="n">
        <v>2100</v>
      </c>
      <c r="D26" t="n">
        <v>2100</v>
      </c>
      <c r="E26" t="n">
        <v>2100</v>
      </c>
      <c r="F26" t="n">
        <v>2100</v>
      </c>
      <c r="G26" t="n">
        <v>2100</v>
      </c>
      <c r="H26" t="n">
        <v>2100</v>
      </c>
      <c r="I26" t="n">
        <v>2100</v>
      </c>
      <c r="J26" t="n">
        <v>2100</v>
      </c>
      <c r="K26" t="n">
        <v>2100</v>
      </c>
      <c r="L26" t="n">
        <v>2100</v>
      </c>
      <c r="M26" t="n">
        <v>2100</v>
      </c>
      <c r="N26" t="n">
        <v>2100</v>
      </c>
      <c r="O26" t="n">
        <v>2100</v>
      </c>
      <c r="P26" t="n">
        <v>2100</v>
      </c>
      <c r="Q26" t="n">
        <v>2100</v>
      </c>
      <c r="R26" t="n">
        <v>2100</v>
      </c>
      <c r="S26" t="n">
        <v>2100</v>
      </c>
      <c r="T26" t="n">
        <v>2100</v>
      </c>
      <c r="U26" t="n">
        <v>2100</v>
      </c>
      <c r="V26" t="n">
        <v>2100</v>
      </c>
      <c r="W26" t="n">
        <v>2100</v>
      </c>
      <c r="X26" t="n">
        <v>2100</v>
      </c>
      <c r="Y26" t="n">
        <v>2100</v>
      </c>
      <c r="Z26" t="n">
        <v>2100</v>
      </c>
      <c r="AA26" t="n">
        <v>2100</v>
      </c>
      <c r="AB26" t="n">
        <v>2100</v>
      </c>
      <c r="AC26" t="n">
        <v>2100</v>
      </c>
      <c r="AD26" t="n">
        <v>2100</v>
      </c>
      <c r="AE26" t="n">
        <v>2100</v>
      </c>
      <c r="AF26" t="n">
        <v>2100</v>
      </c>
      <c r="AG26" t="n">
        <v>2100</v>
      </c>
      <c r="AH26" t="n">
        <v>2100</v>
      </c>
      <c r="AI26" t="n">
        <v>2100</v>
      </c>
      <c r="AJ26" t="n">
        <v>2100</v>
      </c>
      <c r="AK26" t="n">
        <v>2100</v>
      </c>
      <c r="AL26" t="n">
        <v>2100</v>
      </c>
      <c r="AM26" t="n">
        <v>2100</v>
      </c>
    </row>
    <row r="27">
      <c r="A27" t="inlineStr">
        <is>
          <t>P23: Taxes less subsidies on products</t>
        </is>
      </c>
      <c r="B27" t="n">
        <v>3360</v>
      </c>
      <c r="C27" t="n">
        <v>3360</v>
      </c>
      <c r="D27" t="n">
        <v>3360</v>
      </c>
      <c r="E27" t="n">
        <v>3360</v>
      </c>
      <c r="F27" t="n">
        <v>3360</v>
      </c>
      <c r="G27" t="n">
        <v>3360</v>
      </c>
      <c r="H27" t="n">
        <v>3360</v>
      </c>
      <c r="I27" t="n">
        <v>3360</v>
      </c>
      <c r="J27" t="n">
        <v>3360</v>
      </c>
      <c r="K27" t="n">
        <v>3360</v>
      </c>
      <c r="L27" t="n">
        <v>3360</v>
      </c>
      <c r="M27" t="n">
        <v>3360</v>
      </c>
      <c r="N27" t="n">
        <v>3360</v>
      </c>
      <c r="O27" t="n">
        <v>3360</v>
      </c>
      <c r="P27" t="n">
        <v>3360</v>
      </c>
      <c r="Q27" t="n">
        <v>3360</v>
      </c>
      <c r="R27" t="n">
        <v>3360</v>
      </c>
      <c r="S27" t="n">
        <v>3360</v>
      </c>
      <c r="T27" t="n">
        <v>3360</v>
      </c>
      <c r="U27" t="n">
        <v>3360</v>
      </c>
      <c r="V27" t="n">
        <v>3360</v>
      </c>
      <c r="W27" t="n">
        <v>3360</v>
      </c>
      <c r="X27" t="n">
        <v>3360</v>
      </c>
      <c r="Y27" t="n">
        <v>3360</v>
      </c>
      <c r="Z27" t="n">
        <v>3360</v>
      </c>
      <c r="AA27" t="n">
        <v>3360</v>
      </c>
      <c r="AB27" t="n">
        <v>3360</v>
      </c>
      <c r="AC27" t="n">
        <v>3360</v>
      </c>
      <c r="AD27" t="n">
        <v>3360</v>
      </c>
      <c r="AE27" t="n">
        <v>3360</v>
      </c>
      <c r="AF27" t="n">
        <v>3360</v>
      </c>
      <c r="AG27" t="n">
        <v>3360</v>
      </c>
      <c r="AH27" t="n">
        <v>3360</v>
      </c>
      <c r="AI27" t="n">
        <v>3360</v>
      </c>
      <c r="AJ27" t="n">
        <v>3360</v>
      </c>
      <c r="AK27" t="n">
        <v>3360</v>
      </c>
      <c r="AL27" t="n">
        <v>3360</v>
      </c>
      <c r="AM27" t="n">
        <v>3360</v>
      </c>
    </row>
    <row r="28">
      <c r="A28" t="inlineStr">
        <is>
          <t>P24: Total Supply</t>
        </is>
      </c>
      <c r="B28">
        <f>SUM(B5:B27)</f>
        <v/>
      </c>
      <c r="C28">
        <f>SUM(C5:C27)</f>
        <v/>
      </c>
      <c r="D28">
        <f>SUM(D5:D27)</f>
        <v/>
      </c>
      <c r="E28">
        <f>SUM(E5:E27)</f>
        <v/>
      </c>
      <c r="F28">
        <f>SUM(F5:F27)</f>
        <v/>
      </c>
      <c r="G28">
        <f>SUM(G5:G27)</f>
        <v/>
      </c>
      <c r="H28">
        <f>SUM(H5:H27)</f>
        <v/>
      </c>
      <c r="I28">
        <f>SUM(I5:I27)</f>
        <v/>
      </c>
      <c r="J28">
        <f>SUM(J5:J27)</f>
        <v/>
      </c>
      <c r="K28">
        <f>SUM(K5:K27)</f>
        <v/>
      </c>
      <c r="L28">
        <f>SUM(L5:L27)</f>
        <v/>
      </c>
      <c r="M28">
        <f>SUM(M5:M27)</f>
        <v/>
      </c>
      <c r="N28">
        <f>SUM(N5:N27)</f>
        <v/>
      </c>
      <c r="O28">
        <f>SUM(O5:O27)</f>
        <v/>
      </c>
      <c r="P28">
        <f>SUM(P5:P27)</f>
        <v/>
      </c>
      <c r="Q28">
        <f>SUM(Q5:Q27)</f>
        <v/>
      </c>
      <c r="R28">
        <f>SUM(R5:R27)</f>
        <v/>
      </c>
      <c r="S28">
        <f>SUM(S5:S27)</f>
        <v/>
      </c>
      <c r="T28">
        <f>SUM(T5:T27)</f>
        <v/>
      </c>
      <c r="U28">
        <f>SUM(U5:U27)</f>
        <v/>
      </c>
      <c r="V28">
        <f>SUM(V5:V27)</f>
        <v/>
      </c>
      <c r="W28">
        <f>SUM(W5:W27)</f>
        <v/>
      </c>
      <c r="X28">
        <f>SUM(X5:X27)</f>
        <v/>
      </c>
      <c r="Y28">
        <f>SUM(Y5:Y27)</f>
        <v/>
      </c>
      <c r="Z28">
        <f>SUM(Z5:Z27)</f>
        <v/>
      </c>
      <c r="AA28">
        <f>SUM(AA5:AA27)</f>
        <v/>
      </c>
      <c r="AB28">
        <f>SUM(AB5:AB27)</f>
        <v/>
      </c>
      <c r="AC28">
        <f>SUM(AC5:AC27)</f>
        <v/>
      </c>
      <c r="AD28">
        <f>SUM(AD5:AD27)</f>
        <v/>
      </c>
      <c r="AE28">
        <f>SUM(AE5:AE27)</f>
        <v/>
      </c>
      <c r="AF28">
        <f>SUM(AF5:AF27)</f>
        <v/>
      </c>
      <c r="AG28">
        <f>SUM(AG5:AG27)</f>
        <v/>
      </c>
      <c r="AH28">
        <f>SUM(AH5:AH27)</f>
        <v/>
      </c>
      <c r="AI28">
        <f>SUM(AI5:AI27)</f>
        <v/>
      </c>
      <c r="AJ28">
        <f>SUM(AJ5:AJ27)</f>
        <v/>
      </c>
      <c r="AK28">
        <f>SUM(AK5:AK27)</f>
        <v/>
      </c>
      <c r="AL28">
        <f>SUM(AL5:AL27)</f>
        <v/>
      </c>
      <c r="AM28">
        <f>SUM(AM5:AM27)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 TABLE - GEORGIA</t>
        </is>
      </c>
    </row>
    <row r="2">
      <c r="A2" s="3" t="inlineStr">
        <is>
          <t>Source: Geostat - National Accounts (Supply and Use Tables)</t>
        </is>
      </c>
    </row>
    <row r="4">
      <c r="A4" s="4" t="inlineStr">
        <is>
          <t>Component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>
        <is>
          <t>P10</t>
        </is>
      </c>
      <c r="L4" t="inlineStr">
        <is>
          <t>P11</t>
        </is>
      </c>
      <c r="M4" t="inlineStr">
        <is>
          <t>P12</t>
        </is>
      </c>
      <c r="N4" t="inlineStr">
        <is>
          <t>P13</t>
        </is>
      </c>
      <c r="O4" t="inlineStr">
        <is>
          <t>P14</t>
        </is>
      </c>
      <c r="P4" t="inlineStr">
        <is>
          <t>P15</t>
        </is>
      </c>
      <c r="Q4" t="inlineStr">
        <is>
          <t>P16</t>
        </is>
      </c>
      <c r="R4" t="inlineStr">
        <is>
          <t>P17</t>
        </is>
      </c>
      <c r="S4" t="inlineStr">
        <is>
          <t>P18</t>
        </is>
      </c>
      <c r="T4" t="inlineStr">
        <is>
          <t>P19</t>
        </is>
      </c>
      <c r="U4" t="inlineStr">
        <is>
          <t>P20</t>
        </is>
      </c>
      <c r="V4" t="inlineStr">
        <is>
          <t>P21</t>
        </is>
      </c>
      <c r="W4" t="inlineStr">
        <is>
          <t>P22</t>
        </is>
      </c>
      <c r="X4" t="inlineStr">
        <is>
          <t>P23</t>
        </is>
      </c>
      <c r="Y4" t="inlineStr">
        <is>
          <t>P24</t>
        </is>
      </c>
    </row>
    <row r="5">
      <c r="A5" t="inlineStr">
        <is>
          <t>Intermediate Consumption</t>
        </is>
      </c>
      <c r="B5" t="n">
        <v>1200</v>
      </c>
      <c r="C5" t="n">
        <v>1400</v>
      </c>
      <c r="D5" t="n">
        <v>1600</v>
      </c>
      <c r="E5" t="n">
        <v>1800</v>
      </c>
      <c r="F5" t="n">
        <v>2000</v>
      </c>
      <c r="G5" t="n">
        <v>2200</v>
      </c>
      <c r="H5" t="n">
        <v>2400</v>
      </c>
      <c r="I5" t="n">
        <v>2600</v>
      </c>
      <c r="J5" t="n">
        <v>2800</v>
      </c>
      <c r="K5" t="n">
        <v>3000</v>
      </c>
      <c r="L5" t="n">
        <v>3200</v>
      </c>
      <c r="M5" t="n">
        <v>3400</v>
      </c>
      <c r="N5" t="n">
        <v>3600</v>
      </c>
      <c r="O5" t="n">
        <v>3800</v>
      </c>
      <c r="P5" t="n">
        <v>4000</v>
      </c>
      <c r="Q5" t="n">
        <v>4200</v>
      </c>
      <c r="R5" t="n">
        <v>4400</v>
      </c>
      <c r="S5" t="n">
        <v>4600</v>
      </c>
      <c r="T5" t="n">
        <v>4800</v>
      </c>
      <c r="U5" t="n">
        <v>5000</v>
      </c>
      <c r="V5" t="n">
        <v>5200</v>
      </c>
      <c r="W5" t="n">
        <v>5400</v>
      </c>
      <c r="X5" t="n">
        <v>5600</v>
      </c>
      <c r="Y5" t="n">
        <v>5800</v>
      </c>
      <c r="Z5" t="n">
        <v>6000</v>
      </c>
      <c r="AA5" t="n">
        <v>6200</v>
      </c>
      <c r="AB5" t="n">
        <v>6400</v>
      </c>
      <c r="AC5" t="n">
        <v>6600</v>
      </c>
      <c r="AD5" t="n">
        <v>6800</v>
      </c>
      <c r="AE5" t="n">
        <v>7000</v>
      </c>
      <c r="AF5" t="n">
        <v>7200</v>
      </c>
      <c r="AG5" t="n">
        <v>7400</v>
      </c>
      <c r="AH5" t="n">
        <v>7600</v>
      </c>
      <c r="AI5" t="n">
        <v>7800</v>
      </c>
      <c r="AJ5" t="n">
        <v>8000</v>
      </c>
      <c r="AK5" t="n">
        <v>8200</v>
      </c>
      <c r="AL5" t="n">
        <v>8400</v>
      </c>
      <c r="AM5" t="n">
        <v>8600</v>
      </c>
    </row>
    <row r="6">
      <c r="A6" t="inlineStr">
        <is>
          <t>Compensation of Employees</t>
        </is>
      </c>
      <c r="B6" t="n">
        <v>600</v>
      </c>
      <c r="C6" t="n">
        <v>750</v>
      </c>
      <c r="D6" t="n">
        <v>900</v>
      </c>
      <c r="E6" t="n">
        <v>1050</v>
      </c>
      <c r="F6" t="n">
        <v>1200</v>
      </c>
      <c r="G6" t="n">
        <v>1350</v>
      </c>
      <c r="H6" t="n">
        <v>1500</v>
      </c>
      <c r="I6" t="n">
        <v>1650</v>
      </c>
      <c r="J6" t="n">
        <v>1800</v>
      </c>
      <c r="K6" t="n">
        <v>1950</v>
      </c>
      <c r="L6" t="n">
        <v>2100</v>
      </c>
      <c r="M6" t="n">
        <v>2250</v>
      </c>
      <c r="N6" t="n">
        <v>2400</v>
      </c>
      <c r="O6" t="n">
        <v>2550</v>
      </c>
      <c r="P6" t="n">
        <v>2700</v>
      </c>
      <c r="Q6" t="n">
        <v>2850</v>
      </c>
      <c r="R6" t="n">
        <v>3000</v>
      </c>
      <c r="S6" t="n">
        <v>3150</v>
      </c>
      <c r="T6" t="n">
        <v>3300</v>
      </c>
      <c r="U6" t="n">
        <v>3450</v>
      </c>
      <c r="V6" t="n">
        <v>3600</v>
      </c>
      <c r="W6" t="n">
        <v>3750</v>
      </c>
      <c r="X6" t="n">
        <v>3900</v>
      </c>
      <c r="Y6" t="n">
        <v>4050</v>
      </c>
      <c r="Z6" t="n">
        <v>4200</v>
      </c>
      <c r="AA6" t="n">
        <v>4350</v>
      </c>
      <c r="AB6" t="n">
        <v>4500</v>
      </c>
      <c r="AC6" t="n">
        <v>4650</v>
      </c>
      <c r="AD6" t="n">
        <v>4800</v>
      </c>
      <c r="AE6" t="n">
        <v>4950</v>
      </c>
      <c r="AF6" t="n">
        <v>5100</v>
      </c>
      <c r="AG6" t="n">
        <v>5250</v>
      </c>
      <c r="AH6" t="n">
        <v>5400</v>
      </c>
      <c r="AI6" t="n">
        <v>5550</v>
      </c>
      <c r="AJ6" t="n">
        <v>5700</v>
      </c>
      <c r="AK6" t="n">
        <v>5850</v>
      </c>
      <c r="AL6" t="n">
        <v>6000</v>
      </c>
      <c r="AM6" t="n">
        <v>6150</v>
      </c>
    </row>
    <row r="7">
      <c r="A7" t="inlineStr">
        <is>
          <t>Gross Operating Surplus</t>
        </is>
      </c>
      <c r="B7" t="n">
        <v>650</v>
      </c>
      <c r="C7" t="n">
        <v>825</v>
      </c>
      <c r="D7" t="n">
        <v>1000</v>
      </c>
      <c r="E7" t="n">
        <v>1175</v>
      </c>
      <c r="F7" t="n">
        <v>1350</v>
      </c>
      <c r="G7" t="n">
        <v>1525</v>
      </c>
      <c r="H7" t="n">
        <v>1700</v>
      </c>
      <c r="I7" t="n">
        <v>1875</v>
      </c>
      <c r="J7" t="n">
        <v>2050</v>
      </c>
      <c r="K7" t="n">
        <v>2225</v>
      </c>
      <c r="L7" t="n">
        <v>2400</v>
      </c>
      <c r="M7" t="n">
        <v>2575</v>
      </c>
      <c r="N7" t="n">
        <v>2750</v>
      </c>
      <c r="O7" t="n">
        <v>2925</v>
      </c>
      <c r="P7" t="n">
        <v>3100</v>
      </c>
      <c r="Q7" t="n">
        <v>3275</v>
      </c>
      <c r="R7" t="n">
        <v>3450</v>
      </c>
      <c r="S7" t="n">
        <v>3625</v>
      </c>
      <c r="T7" t="n">
        <v>3800</v>
      </c>
      <c r="U7" t="n">
        <v>3975</v>
      </c>
      <c r="V7" t="n">
        <v>4150</v>
      </c>
      <c r="W7" t="n">
        <v>4325</v>
      </c>
      <c r="X7" t="n">
        <v>4500</v>
      </c>
      <c r="Y7" t="n">
        <v>4675</v>
      </c>
      <c r="Z7" t="n">
        <v>4850</v>
      </c>
      <c r="AA7" t="n">
        <v>5025</v>
      </c>
      <c r="AB7" t="n">
        <v>5200</v>
      </c>
      <c r="AC7" t="n">
        <v>5375</v>
      </c>
      <c r="AD7" t="n">
        <v>5550</v>
      </c>
      <c r="AE7" t="n">
        <v>5725</v>
      </c>
      <c r="AF7" t="n">
        <v>5900</v>
      </c>
      <c r="AG7" t="n">
        <v>6075</v>
      </c>
      <c r="AH7" t="n">
        <v>6250</v>
      </c>
      <c r="AI7" t="n">
        <v>6425</v>
      </c>
      <c r="AJ7" t="n">
        <v>6600</v>
      </c>
      <c r="AK7" t="n">
        <v>6775</v>
      </c>
      <c r="AL7" t="n">
        <v>6950</v>
      </c>
      <c r="AM7" t="n">
        <v>7125</v>
      </c>
    </row>
    <row r="8">
      <c r="A8" t="inlineStr">
        <is>
          <t>Mixed Income</t>
        </is>
      </c>
      <c r="B8" t="n">
        <v>700</v>
      </c>
      <c r="C8" t="n">
        <v>900</v>
      </c>
      <c r="D8" t="n">
        <v>1100</v>
      </c>
      <c r="E8" t="n">
        <v>1300</v>
      </c>
      <c r="F8" t="n">
        <v>1500</v>
      </c>
      <c r="G8" t="n">
        <v>1700</v>
      </c>
      <c r="H8" t="n">
        <v>1900</v>
      </c>
      <c r="I8" t="n">
        <v>2100</v>
      </c>
      <c r="J8" t="n">
        <v>2300</v>
      </c>
      <c r="K8" t="n">
        <v>2500</v>
      </c>
      <c r="L8" t="n">
        <v>2700</v>
      </c>
      <c r="M8" t="n">
        <v>2900</v>
      </c>
      <c r="N8" t="n">
        <v>3100</v>
      </c>
      <c r="O8" t="n">
        <v>3300</v>
      </c>
      <c r="P8" t="n">
        <v>3500</v>
      </c>
      <c r="Q8" t="n">
        <v>3700</v>
      </c>
      <c r="R8" t="n">
        <v>3900</v>
      </c>
      <c r="S8" t="n">
        <v>4100</v>
      </c>
      <c r="T8" t="n">
        <v>4300</v>
      </c>
      <c r="U8" t="n">
        <v>4500</v>
      </c>
      <c r="V8" t="n">
        <v>4700</v>
      </c>
      <c r="W8" t="n">
        <v>4900</v>
      </c>
      <c r="X8" t="n">
        <v>5100</v>
      </c>
      <c r="Y8" t="n">
        <v>5300</v>
      </c>
      <c r="Z8" t="n">
        <v>5500</v>
      </c>
      <c r="AA8" t="n">
        <v>5700</v>
      </c>
      <c r="AB8" t="n">
        <v>5900</v>
      </c>
      <c r="AC8" t="n">
        <v>6100</v>
      </c>
      <c r="AD8" t="n">
        <v>6300</v>
      </c>
      <c r="AE8" t="n">
        <v>6500</v>
      </c>
      <c r="AF8" t="n">
        <v>6700</v>
      </c>
      <c r="AG8" t="n">
        <v>6900</v>
      </c>
      <c r="AH8" t="n">
        <v>7100</v>
      </c>
      <c r="AI8" t="n">
        <v>7300</v>
      </c>
      <c r="AJ8" t="n">
        <v>7500</v>
      </c>
      <c r="AK8" t="n">
        <v>7700</v>
      </c>
      <c r="AL8" t="n">
        <v>7900</v>
      </c>
      <c r="AM8" t="n">
        <v>8100</v>
      </c>
    </row>
    <row r="9">
      <c r="A9" t="inlineStr">
        <is>
          <t>Total Value Added (2+3+4)</t>
        </is>
      </c>
    </row>
    <row r="10">
      <c r="A10" t="inlineStr">
        <is>
          <t>Output (at basic prices)</t>
        </is>
      </c>
    </row>
    <row r="11">
      <c r="A11" t="inlineStr">
        <is>
          <t>Imports of goods and services</t>
        </is>
      </c>
    </row>
    <row r="12">
      <c r="A12" t="inlineStr">
        <is>
          <t>Taxes less subsidies on products</t>
        </is>
      </c>
    </row>
    <row r="13">
      <c r="A13" t="inlineStr">
        <is>
          <t>Total Use (5+6+7+8)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30" customWidth="1" min="5" max="5"/>
  </cols>
  <sheetData>
    <row r="1">
      <c r="A1" s="2" t="inlineStr">
        <is>
          <t>SUPPLY AND USE TABLE - IMPORT CONTENT CALCULATION</t>
        </is>
      </c>
    </row>
    <row r="2">
      <c r="A2" s="3" t="inlineStr">
        <is>
          <t>Link data from SUPPLY and USE sheets, calculate import content share</t>
        </is>
      </c>
    </row>
    <row r="4">
      <c r="A4" s="4" t="inlineStr">
        <is>
          <t>#</t>
        </is>
      </c>
      <c r="B4" s="4" t="inlineStr">
        <is>
          <t>Component</t>
        </is>
      </c>
      <c r="C4" s="4" t="inlineStr">
        <is>
          <t>Formula/Link</t>
        </is>
      </c>
      <c r="D4" s="4" t="inlineStr">
        <is>
          <t>Value</t>
        </is>
      </c>
      <c r="E4" s="4" t="inlineStr">
        <is>
          <t>Notes</t>
        </is>
      </c>
    </row>
    <row r="5">
      <c r="A5" t="inlineStr">
        <is>
          <t>1</t>
        </is>
      </c>
      <c r="B5" t="inlineStr">
        <is>
          <t>Total Output (Supply)</t>
        </is>
      </c>
      <c r="C5">
        <f>'SUPPLY'!AN4</f>
        <v/>
      </c>
      <c r="D5" t="inlineStr"/>
      <c r="E5" t="inlineStr">
        <is>
          <t>Sum of all industry outputs</t>
        </is>
      </c>
    </row>
    <row r="6">
      <c r="A6" t="inlineStr">
        <is>
          <t>2</t>
        </is>
      </c>
      <c r="B6" t="inlineStr">
        <is>
          <t>Domestic Output</t>
        </is>
      </c>
      <c r="C6">
        <f>'SUPPLY'!AN20</f>
        <v/>
      </c>
      <c r="D6" t="inlineStr"/>
      <c r="E6" t="inlineStr">
        <is>
          <t>Total industries output</t>
        </is>
      </c>
    </row>
    <row r="7">
      <c r="A7" t="inlineStr">
        <is>
          <t>3</t>
        </is>
      </c>
      <c r="B7" t="inlineStr">
        <is>
          <t>Imports (Supply)</t>
        </is>
      </c>
      <c r="C7">
        <f>'SUPPLY'!AN21</f>
        <v/>
      </c>
      <c r="D7" t="inlineStr"/>
      <c r="E7" t="inlineStr">
        <is>
          <t>Total imports from supply</t>
        </is>
      </c>
    </row>
    <row r="8">
      <c r="A8" t="inlineStr">
        <is>
          <t>4</t>
        </is>
      </c>
      <c r="B8" t="inlineStr">
        <is>
          <t>Total Use</t>
        </is>
      </c>
      <c r="C8">
        <f>'USE'!AN13</f>
        <v/>
      </c>
      <c r="D8" t="inlineStr"/>
      <c r="E8" t="inlineStr">
        <is>
          <t>Sum of all use components</t>
        </is>
      </c>
    </row>
    <row r="9">
      <c r="A9" t="inlineStr">
        <is>
          <t>5</t>
        </is>
      </c>
      <c r="B9" t="inlineStr">
        <is>
          <t>Intermediate Consumption</t>
        </is>
      </c>
      <c r="C9">
        <f>'USE'!AN5</f>
        <v/>
      </c>
      <c r="D9" t="inlineStr"/>
      <c r="E9" t="inlineStr">
        <is>
          <t>Intermediate inputs</t>
        </is>
      </c>
    </row>
    <row r="10">
      <c r="A10" t="inlineStr">
        <is>
          <t>6</t>
        </is>
      </c>
      <c r="B10" t="inlineStr">
        <is>
          <t>Value Added</t>
        </is>
      </c>
      <c r="C10">
        <f>'USE'!AN9</f>
        <v/>
      </c>
      <c r="D10" t="inlineStr"/>
      <c r="E10" t="inlineStr">
        <is>
          <t>VA = Output - Intermediate</t>
        </is>
      </c>
    </row>
    <row r="11">
      <c r="A11" t="inlineStr">
        <is>
          <t>7</t>
        </is>
      </c>
      <c r="B11" t="inlineStr">
        <is>
          <t>Imports (Use)</t>
        </is>
      </c>
      <c r="C11">
        <f>'USE'!AN11</f>
        <v/>
      </c>
      <c r="D11" t="inlineStr"/>
      <c r="E11" t="inlineStr">
        <is>
          <t>Total imports from use table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8</t>
        </is>
      </c>
      <c r="B13" t="inlineStr">
        <is>
          <t>Simple Import Ratio</t>
        </is>
      </c>
      <c r="C13">
        <f>C3/C1</f>
        <v/>
      </c>
      <c r="D13" t="inlineStr"/>
      <c r="E13" t="inlineStr">
        <is>
          <t>Imports/Total Supply</t>
        </is>
      </c>
    </row>
    <row r="14">
      <c r="A14" t="inlineStr">
        <is>
          <t>9</t>
        </is>
      </c>
      <c r="B14" t="inlineStr">
        <is>
          <t>Import Content (Value Added Basis)</t>
        </is>
      </c>
      <c r="C14">
        <f>C7/(C1-C5)</f>
        <v/>
      </c>
      <c r="D14" t="inlineStr"/>
      <c r="E14" t="inlineStr">
        <is>
          <t>Imports/(Output-IC)</t>
        </is>
      </c>
    </row>
    <row r="15">
      <c r="A15" t="inlineStr">
        <is>
          <t>10</t>
        </is>
      </c>
      <c r="B15" t="inlineStr">
        <is>
          <t>Domestic Content</t>
        </is>
      </c>
      <c r="C15">
        <f>1-C8</f>
        <v/>
      </c>
      <c r="D15" t="inlineStr"/>
      <c r="E15" t="inlineStr">
        <is>
          <t>1 - Import Ratio</t>
        </is>
      </c>
    </row>
    <row r="46">
      <c r="A46" s="4" t="inlineStr">
        <is>
          <t>IMPORT CONTENT SHARE</t>
        </is>
      </c>
      <c r="B46" t="inlineStr">
        <is>
          <t>For use in NA sheet</t>
        </is>
      </c>
      <c r="C46" s="5">
        <f>C8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3" customWidth="1" min="10" max="10"/>
  </cols>
  <sheetData>
    <row r="1">
      <c r="A1" s="6" t="inlineStr">
        <is>
          <t>NATIONAL ACCOUNTS - INVESTMENT SHOCK ANALYSIS</t>
        </is>
      </c>
    </row>
    <row r="2">
      <c r="A2" s="3" t="inlineStr">
        <is>
          <t>Georgia: 8-Year Investment Program (2026-2033), Total 6.5 billion USD</t>
        </is>
      </c>
    </row>
    <row r="4">
      <c r="A4" s="4" t="inlineStr">
        <is>
          <t>ASSUMPTIONS</t>
        </is>
      </c>
      <c r="D4" t="inlineStr">
        <is>
          <t>Reference Cell</t>
        </is>
      </c>
    </row>
    <row r="5">
      <c r="A5" t="inlineStr">
        <is>
          <t>Exchange Rate (GEL/USD)</t>
        </is>
      </c>
      <c r="B5" t="n">
        <v>2.746</v>
      </c>
      <c r="C5" t="inlineStr">
        <is>
          <t>(used in Col F)</t>
        </is>
      </c>
      <c r="D5" t="n">
        <v>2.746</v>
      </c>
    </row>
    <row r="6">
      <c r="A6" t="inlineStr">
        <is>
          <t>Demand Multiplier - Base (Scenario 1)</t>
        </is>
      </c>
      <c r="B6" t="n">
        <v>0.8</v>
      </c>
      <c r="C6" t="inlineStr">
        <is>
          <t>(Cell E6)</t>
        </is>
      </c>
      <c r="D6" t="n">
        <v>0.8</v>
      </c>
    </row>
    <row r="7">
      <c r="A7" t="inlineStr">
        <is>
          <t>Demand Multiplier - Scenario 2</t>
        </is>
      </c>
      <c r="B7" t="n">
        <v>1</v>
      </c>
      <c r="C7" t="inlineStr">
        <is>
          <t>(Cell E7)</t>
        </is>
      </c>
      <c r="D7" t="n">
        <v>1</v>
      </c>
    </row>
    <row r="8">
      <c r="A8" t="inlineStr">
        <is>
          <t>Import Content Share - Base</t>
        </is>
      </c>
      <c r="B8">
        <f>'SUT Calc'!C46</f>
        <v/>
      </c>
      <c r="C8" t="inlineStr">
        <is>
          <t>(Cell E8)</t>
        </is>
      </c>
      <c r="D8">
        <f>IF('SUT Calc'!C46&gt;0, 'SUT Calc'!C46, 0.35)</f>
        <v/>
      </c>
    </row>
    <row r="9">
      <c r="A9" t="inlineStr">
        <is>
          <t>Import Content Share - Scenario 3</t>
        </is>
      </c>
      <c r="B9" t="n">
        <v>0.5</v>
      </c>
      <c r="C9" t="inlineStr">
        <is>
          <t>(Cell E9)</t>
        </is>
      </c>
      <c r="D9" t="n">
        <v>0.5</v>
      </c>
    </row>
    <row r="10">
      <c r="A10" t="inlineStr">
        <is>
          <t>Total Investment (USD mln)</t>
        </is>
      </c>
      <c r="B10" t="n">
        <v>6500</v>
      </c>
      <c r="C10" t="inlineStr">
        <is>
          <t>(Cell E10)</t>
        </is>
      </c>
      <c r="D10" t="n">
        <v>6500</v>
      </c>
    </row>
    <row r="12">
      <c r="A12" s="4" t="inlineStr">
        <is>
          <t>INVESTMENT PROFILE (Bell Shape Distribution)</t>
        </is>
      </c>
    </row>
    <row r="13">
      <c r="A13" t="inlineStr">
        <is>
          <t>Year</t>
        </is>
      </c>
      <c r="B13" t="inlineStr">
        <is>
          <t>Share</t>
        </is>
      </c>
      <c r="C13" t="inlineStr">
        <is>
          <t>USD mln</t>
        </is>
      </c>
      <c r="D13" t="inlineStr">
        <is>
          <t>GEL mln</t>
        </is>
      </c>
    </row>
    <row r="14">
      <c r="A14" t="n">
        <v>2026</v>
      </c>
      <c r="B14" t="n">
        <v>0.05</v>
      </c>
      <c r="C14">
        <f>0.05*$E$10</f>
        <v/>
      </c>
      <c r="D14">
        <f>C14*$E$5</f>
        <v/>
      </c>
    </row>
    <row r="15">
      <c r="A15" t="n">
        <v>2027</v>
      </c>
      <c r="B15" t="n">
        <v>0.1</v>
      </c>
      <c r="C15">
        <f>0.1*$E$10</f>
        <v/>
      </c>
      <c r="D15">
        <f>C15*$E$5</f>
        <v/>
      </c>
    </row>
    <row r="16">
      <c r="A16" t="n">
        <v>2028</v>
      </c>
      <c r="B16" t="n">
        <v>0.18</v>
      </c>
      <c r="C16">
        <f>0.18*$E$10</f>
        <v/>
      </c>
      <c r="D16">
        <f>C16*$E$5</f>
        <v/>
      </c>
    </row>
    <row r="17">
      <c r="A17" t="n">
        <v>2029</v>
      </c>
      <c r="B17" t="n">
        <v>0.22</v>
      </c>
      <c r="C17">
        <f>0.22*$E$10</f>
        <v/>
      </c>
      <c r="D17">
        <f>C17*$E$5</f>
        <v/>
      </c>
    </row>
    <row r="18">
      <c r="A18" t="n">
        <v>2030</v>
      </c>
      <c r="B18" t="n">
        <v>0.22</v>
      </c>
      <c r="C18">
        <f>0.22*$E$10</f>
        <v/>
      </c>
      <c r="D18">
        <f>C18*$E$5</f>
        <v/>
      </c>
    </row>
    <row r="19">
      <c r="A19" t="n">
        <v>2031</v>
      </c>
      <c r="B19" t="n">
        <v>0.18</v>
      </c>
      <c r="C19">
        <f>0.18*$E$10</f>
        <v/>
      </c>
      <c r="D19">
        <f>C19*$E$5</f>
        <v/>
      </c>
    </row>
    <row r="20">
      <c r="A20" t="n">
        <v>2032</v>
      </c>
      <c r="B20" t="n">
        <v>0.1</v>
      </c>
      <c r="C20">
        <f>0.1*$E$10</f>
        <v/>
      </c>
      <c r="D20">
        <f>C20*$E$5</f>
        <v/>
      </c>
    </row>
    <row r="21">
      <c r="A21" t="n">
        <v>2033</v>
      </c>
      <c r="B21" t="n">
        <v>0.05</v>
      </c>
      <c r="C21">
        <f>0.05*$E$10</f>
        <v/>
      </c>
      <c r="D21">
        <f>C21*$E$5</f>
        <v/>
      </c>
    </row>
    <row r="22">
      <c r="B22">
        <f>SUM(B14:B21)</f>
        <v/>
      </c>
      <c r="C22">
        <f>SUM(C14:C21)</f>
        <v/>
      </c>
      <c r="D22">
        <f>SUM(D14:D21)</f>
        <v/>
      </c>
    </row>
    <row r="24">
      <c r="A24">
        <f>=========================================================================================</f>
        <v/>
      </c>
    </row>
    <row r="25">
      <c r="A25" s="7" t="inlineStr">
        <is>
          <t>SCENARIO 1: BASE CASE (Multiplier=0.8, Import Share=from SUT)</t>
        </is>
      </c>
    </row>
    <row r="26">
      <c r="A26" s="4" t="inlineStr">
        <is>
          <t>Year</t>
        </is>
      </c>
      <c r="B26" s="4" t="inlineStr">
        <is>
          <t>GDP Deflator</t>
        </is>
      </c>
      <c r="C26" s="4" t="inlineStr">
        <is>
          <t>Real GDP</t>
        </is>
      </c>
      <c r="D26" s="4" t="inlineStr">
        <is>
          <t>Nominal GDP</t>
        </is>
      </c>
      <c r="E26" s="4" t="inlineStr">
        <is>
          <t>Investment USD</t>
        </is>
      </c>
      <c r="F26" s="4" t="inlineStr">
        <is>
          <t>Investment GEL</t>
        </is>
      </c>
      <c r="G26" s="4" t="inlineStr">
        <is>
          <t>Real Investment</t>
        </is>
      </c>
      <c r="H26" s="4" t="inlineStr">
        <is>
          <t>GDP Impact (nom)</t>
        </is>
      </c>
      <c r="I26" s="4" t="inlineStr">
        <is>
          <t>GDP Impact (% base)</t>
        </is>
      </c>
    </row>
    <row r="27">
      <c r="A27" t="n">
        <v>2024</v>
      </c>
      <c r="B27" s="8">
        <f>VLOOKUP(A27, WEO_Data!A:F, 4, FALSE)</f>
        <v/>
      </c>
      <c r="C27" s="9">
        <f>VLOOKUP(A27, WEO_Data!A:F, 2, FALSE)</f>
        <v/>
      </c>
      <c r="D27" s="9">
        <f>VLOOKUP(A27, WEO_Data!A:F, 3, FALSE)</f>
        <v/>
      </c>
      <c r="E27" s="9" t="n">
        <v>0</v>
      </c>
      <c r="F27" s="9" t="n">
        <v>0</v>
      </c>
      <c r="G27" s="9" t="n">
        <v>0</v>
      </c>
      <c r="H27" s="9" t="n">
        <v>0</v>
      </c>
      <c r="I27" s="5">
        <f>IF(D27&gt;0, H27/D27, 0)</f>
        <v/>
      </c>
    </row>
    <row r="28">
      <c r="A28" t="n">
        <v>2025</v>
      </c>
      <c r="B28" s="8">
        <f>VLOOKUP(A28, WEO_Data!A:F, 4, FALSE)</f>
        <v/>
      </c>
      <c r="C28" s="9">
        <f>VLOOKUP(A28, WEO_Data!A:F, 2, FALSE)</f>
        <v/>
      </c>
      <c r="D28" s="9">
        <f>VLOOKUP(A28, WEO_Data!A:F, 3, FALSE)</f>
        <v/>
      </c>
      <c r="E28" s="9" t="n">
        <v>0</v>
      </c>
      <c r="F28" s="9" t="n">
        <v>0</v>
      </c>
      <c r="G28" s="9" t="n">
        <v>0</v>
      </c>
      <c r="H28" s="9" t="n">
        <v>0</v>
      </c>
      <c r="I28" s="5">
        <f>IF(D28&gt;0, H28/D28, 0)</f>
        <v/>
      </c>
    </row>
    <row r="29">
      <c r="A29" t="n">
        <v>2026</v>
      </c>
      <c r="B29" s="8">
        <f>VLOOKUP(A29, WEO_Data!A:F, 4, FALSE)</f>
        <v/>
      </c>
      <c r="C29" s="9">
        <f>VLOOKUP(A29, WEO_Data!A:F, 2, FALSE)</f>
        <v/>
      </c>
      <c r="D29" s="9">
        <f>VLOOKUP(A29, WEO_Data!A:F, 3, FALSE)</f>
        <v/>
      </c>
      <c r="E29" s="9">
        <f>0.05*$E$10</f>
        <v/>
      </c>
      <c r="F29" s="9">
        <f>E29*$E$5</f>
        <v/>
      </c>
      <c r="G29" s="9">
        <f>F29/(B29/100)</f>
        <v/>
      </c>
      <c r="H29" s="9">
        <f>F29*$E$6</f>
        <v/>
      </c>
      <c r="I29" s="5">
        <f>IF(D29&gt;0, H29/D29, 0)</f>
        <v/>
      </c>
    </row>
    <row r="30">
      <c r="A30" t="n">
        <v>2027</v>
      </c>
      <c r="B30" s="8">
        <f>VLOOKUP(A30, WEO_Data!A:F, 4, FALSE)</f>
        <v/>
      </c>
      <c r="C30" s="9">
        <f>VLOOKUP(A30, WEO_Data!A:F, 2, FALSE)</f>
        <v/>
      </c>
      <c r="D30" s="9">
        <f>VLOOKUP(A30, WEO_Data!A:F, 3, FALSE)</f>
        <v/>
      </c>
      <c r="E30" s="9">
        <f>0.1*$E$10</f>
        <v/>
      </c>
      <c r="F30" s="9">
        <f>E30*$E$5</f>
        <v/>
      </c>
      <c r="G30" s="9">
        <f>F30/(B30/100)</f>
        <v/>
      </c>
      <c r="H30" s="9">
        <f>F30*$E$6</f>
        <v/>
      </c>
      <c r="I30" s="5">
        <f>IF(D30&gt;0, H30/D30, 0)</f>
        <v/>
      </c>
    </row>
    <row r="31">
      <c r="A31" t="n">
        <v>2028</v>
      </c>
      <c r="B31" s="8">
        <f>VLOOKUP(A31, WEO_Data!A:F, 4, FALSE)</f>
        <v/>
      </c>
      <c r="C31" s="9">
        <f>VLOOKUP(A31, WEO_Data!A:F, 2, FALSE)</f>
        <v/>
      </c>
      <c r="D31" s="9">
        <f>VLOOKUP(A31, WEO_Data!A:F, 3, FALSE)</f>
        <v/>
      </c>
      <c r="E31" s="9">
        <f>0.18*$E$10</f>
        <v/>
      </c>
      <c r="F31" s="9">
        <f>E31*$E$5</f>
        <v/>
      </c>
      <c r="G31" s="9">
        <f>F31/(B31/100)</f>
        <v/>
      </c>
      <c r="H31" s="9">
        <f>F31*$E$6</f>
        <v/>
      </c>
      <c r="I31" s="5">
        <f>IF(D31&gt;0, H31/D31, 0)</f>
        <v/>
      </c>
    </row>
    <row r="32">
      <c r="A32" t="n">
        <v>2029</v>
      </c>
      <c r="B32" s="8">
        <f>VLOOKUP(A32, WEO_Data!A:F, 4, FALSE)</f>
        <v/>
      </c>
      <c r="C32" s="9">
        <f>VLOOKUP(A32, WEO_Data!A:F, 2, FALSE)</f>
        <v/>
      </c>
      <c r="D32" s="9">
        <f>VLOOKUP(A32, WEO_Data!A:F, 3, FALSE)</f>
        <v/>
      </c>
      <c r="E32" s="9">
        <f>0.22*$E$10</f>
        <v/>
      </c>
      <c r="F32" s="9">
        <f>E32*$E$5</f>
        <v/>
      </c>
      <c r="G32" s="9">
        <f>F32/(B32/100)</f>
        <v/>
      </c>
      <c r="H32" s="9">
        <f>F32*$E$6</f>
        <v/>
      </c>
      <c r="I32" s="5">
        <f>IF(D32&gt;0, H32/D32, 0)</f>
        <v/>
      </c>
    </row>
    <row r="33">
      <c r="A33" t="n">
        <v>2030</v>
      </c>
      <c r="B33" s="8">
        <f>VLOOKUP(A33, WEO_Data!A:F, 4, FALSE)</f>
        <v/>
      </c>
      <c r="C33" s="9">
        <f>VLOOKUP(A33, WEO_Data!A:F, 2, FALSE)</f>
        <v/>
      </c>
      <c r="D33" s="9">
        <f>VLOOKUP(A33, WEO_Data!A:F, 3, FALSE)</f>
        <v/>
      </c>
      <c r="E33" s="9">
        <f>0.22*$E$10</f>
        <v/>
      </c>
      <c r="F33" s="9">
        <f>E33*$E$5</f>
        <v/>
      </c>
      <c r="G33" s="9">
        <f>F33/(B33/100)</f>
        <v/>
      </c>
      <c r="H33" s="9">
        <f>F33*$E$6</f>
        <v/>
      </c>
      <c r="I33" s="5">
        <f>IF(D33&gt;0, H33/D33, 0)</f>
        <v/>
      </c>
    </row>
    <row r="34">
      <c r="A34" t="n">
        <v>2031</v>
      </c>
      <c r="B34" s="8">
        <f>VLOOKUP(A34, WEO_Data!A:F, 4, FALSE)</f>
        <v/>
      </c>
      <c r="C34" s="9">
        <f>VLOOKUP(A34, WEO_Data!A:F, 2, FALSE)</f>
        <v/>
      </c>
      <c r="D34" s="9">
        <f>VLOOKUP(A34, WEO_Data!A:F, 3, FALSE)</f>
        <v/>
      </c>
      <c r="E34" s="9">
        <f>0.18*$E$10</f>
        <v/>
      </c>
      <c r="F34" s="9">
        <f>E34*$E$5</f>
        <v/>
      </c>
      <c r="G34" s="9">
        <f>F34/(B34/100)</f>
        <v/>
      </c>
      <c r="H34" s="9">
        <f>F34*$E$6</f>
        <v/>
      </c>
      <c r="I34" s="5">
        <f>IF(D34&gt;0, H34/D34, 0)</f>
        <v/>
      </c>
    </row>
    <row r="35">
      <c r="A35" t="n">
        <v>2032</v>
      </c>
      <c r="B35" s="8">
        <f>VLOOKUP(A35, WEO_Data!A:F, 4, FALSE)</f>
        <v/>
      </c>
      <c r="C35" s="9">
        <f>VLOOKUP(A35, WEO_Data!A:F, 2, FALSE)</f>
        <v/>
      </c>
      <c r="D35" s="9">
        <f>VLOOKUP(A35, WEO_Data!A:F, 3, FALSE)</f>
        <v/>
      </c>
      <c r="E35" s="9">
        <f>0.1*$E$10</f>
        <v/>
      </c>
      <c r="F35" s="9">
        <f>E35*$E$5</f>
        <v/>
      </c>
      <c r="G35" s="9">
        <f>F35/(B35/100)</f>
        <v/>
      </c>
      <c r="H35" s="9">
        <f>F35*$E$6</f>
        <v/>
      </c>
      <c r="I35" s="5">
        <f>IF(D35&gt;0, H35/D35, 0)</f>
        <v/>
      </c>
    </row>
    <row r="36">
      <c r="A36" t="n">
        <v>2033</v>
      </c>
      <c r="B36" s="8">
        <f>VLOOKUP(A36, WEO_Data!A:F, 4, FALSE)</f>
        <v/>
      </c>
      <c r="C36" s="9">
        <f>VLOOKUP(A36, WEO_Data!A:F, 2, FALSE)</f>
        <v/>
      </c>
      <c r="D36" s="9">
        <f>VLOOKUP(A36, WEO_Data!A:F, 3, FALSE)</f>
        <v/>
      </c>
      <c r="E36" s="9">
        <f>0.05*$E$10</f>
        <v/>
      </c>
      <c r="F36" s="9">
        <f>E36*$E$5</f>
        <v/>
      </c>
      <c r="G36" s="9">
        <f>F36/(B36/100)</f>
        <v/>
      </c>
      <c r="H36" s="9">
        <f>F36*$E$6</f>
        <v/>
      </c>
      <c r="I36" s="5">
        <f>IF(D36&gt;0, H36/D36, 0)</f>
        <v/>
      </c>
    </row>
    <row r="37">
      <c r="A37" t="n">
        <v>2034</v>
      </c>
      <c r="B37" s="8">
        <f>VLOOKUP(A37, WEO_Data!A:F, 4, FALSE)</f>
        <v/>
      </c>
      <c r="C37" s="9">
        <f>VLOOKUP(A37, WEO_Data!A:F, 2, FALSE)</f>
        <v/>
      </c>
      <c r="D37" s="9">
        <f>VLOOKUP(A37, WEO_Data!A:F, 3, FALSE)</f>
        <v/>
      </c>
      <c r="E37" s="9" t="n">
        <v>0</v>
      </c>
      <c r="F37" s="9" t="n">
        <v>0</v>
      </c>
      <c r="G37" s="9" t="n">
        <v>0</v>
      </c>
      <c r="H37" s="9" t="n">
        <v>0</v>
      </c>
      <c r="I37" s="5">
        <f>IF(D37&gt;0, H37/D37, 0)</f>
        <v/>
      </c>
    </row>
    <row r="38">
      <c r="A38" t="n">
        <v>2035</v>
      </c>
      <c r="B38" s="8">
        <f>VLOOKUP(A38, WEO_Data!A:F, 4, FALSE)</f>
        <v/>
      </c>
      <c r="C38" s="9">
        <f>VLOOKUP(A38, WEO_Data!A:F, 2, FALSE)</f>
        <v/>
      </c>
      <c r="D38" s="9">
        <f>VLOOKUP(A38, WEO_Data!A:F, 3, FALSE)</f>
        <v/>
      </c>
      <c r="E38" s="9" t="n">
        <v>0</v>
      </c>
      <c r="F38" s="9" t="n">
        <v>0</v>
      </c>
      <c r="G38" s="9" t="n">
        <v>0</v>
      </c>
      <c r="H38" s="9" t="n">
        <v>0</v>
      </c>
      <c r="I38" s="5">
        <f>IF(D38&gt;0, H38/D38, 0)</f>
        <v/>
      </c>
    </row>
    <row r="39">
      <c r="A39" t="n">
        <v>2036</v>
      </c>
      <c r="B39" s="8">
        <f>VLOOKUP(A39, WEO_Data!A:F, 4, FALSE)</f>
        <v/>
      </c>
      <c r="C39" s="9">
        <f>VLOOKUP(A39, WEO_Data!A:F, 2, FALSE)</f>
        <v/>
      </c>
      <c r="D39" s="9">
        <f>VLOOKUP(A39, WEO_Data!A:F, 3, FALSE)</f>
        <v/>
      </c>
      <c r="E39" s="9" t="n">
        <v>0</v>
      </c>
      <c r="F39" s="9" t="n">
        <v>0</v>
      </c>
      <c r="G39" s="9" t="n">
        <v>0</v>
      </c>
      <c r="H39" s="9" t="n">
        <v>0</v>
      </c>
      <c r="I39" s="5">
        <f>IF(D39&gt;0, H39/D39, 0)</f>
        <v/>
      </c>
    </row>
    <row r="40">
      <c r="A40" t="n">
        <v>2037</v>
      </c>
      <c r="B40" s="8">
        <f>VLOOKUP(A40, WEO_Data!A:F, 4, FALSE)</f>
        <v/>
      </c>
      <c r="C40" s="9">
        <f>VLOOKUP(A40, WEO_Data!A:F, 2, FALSE)</f>
        <v/>
      </c>
      <c r="D40" s="9">
        <f>VLOOKUP(A40, WEO_Data!A:F, 3, FALSE)</f>
        <v/>
      </c>
      <c r="E40" s="9" t="n">
        <v>0</v>
      </c>
      <c r="F40" s="9" t="n">
        <v>0</v>
      </c>
      <c r="G40" s="9" t="n">
        <v>0</v>
      </c>
      <c r="H40" s="9" t="n">
        <v>0</v>
      </c>
      <c r="I40" s="5">
        <f>IF(D40&gt;0, H40/D40, 0)</f>
        <v/>
      </c>
    </row>
    <row r="41">
      <c r="A41" t="n">
        <v>2038</v>
      </c>
      <c r="B41" s="8">
        <f>VLOOKUP(A41, WEO_Data!A:F, 4, FALSE)</f>
        <v/>
      </c>
      <c r="C41" s="9">
        <f>VLOOKUP(A41, WEO_Data!A:F, 2, FALSE)</f>
        <v/>
      </c>
      <c r="D41" s="9">
        <f>VLOOKUP(A41, WEO_Data!A:F, 3, FALSE)</f>
        <v/>
      </c>
      <c r="E41" s="9" t="n">
        <v>0</v>
      </c>
      <c r="F41" s="9" t="n">
        <v>0</v>
      </c>
      <c r="G41" s="9" t="n">
        <v>0</v>
      </c>
      <c r="H41" s="9" t="n">
        <v>0</v>
      </c>
      <c r="I41" s="5">
        <f>IF(D41&gt;0, H41/D41, 0)</f>
        <v/>
      </c>
    </row>
    <row r="42">
      <c r="A42" t="n">
        <v>2039</v>
      </c>
      <c r="B42" s="8">
        <f>VLOOKUP(A42, WEO_Data!A:F, 4, FALSE)</f>
        <v/>
      </c>
      <c r="C42" s="9">
        <f>VLOOKUP(A42, WEO_Data!A:F, 2, FALSE)</f>
        <v/>
      </c>
      <c r="D42" s="9">
        <f>VLOOKUP(A42, WEO_Data!A:F, 3, FALSE)</f>
        <v/>
      </c>
      <c r="E42" s="9" t="n">
        <v>0</v>
      </c>
      <c r="F42" s="9" t="n">
        <v>0</v>
      </c>
      <c r="G42" s="9" t="n">
        <v>0</v>
      </c>
      <c r="H42" s="9" t="n">
        <v>0</v>
      </c>
      <c r="I42" s="5">
        <f>IF(D42&gt;0, H42/D42, 0)</f>
        <v/>
      </c>
    </row>
    <row r="43">
      <c r="A43" t="n">
        <v>2040</v>
      </c>
      <c r="B43" s="8">
        <f>VLOOKUP(A43, WEO_Data!A:F, 4, FALSE)</f>
        <v/>
      </c>
      <c r="C43" s="9">
        <f>VLOOKUP(A43, WEO_Data!A:F, 2, FALSE)</f>
        <v/>
      </c>
      <c r="D43" s="9">
        <f>VLOOKUP(A43, WEO_Data!A:F, 3, FALSE)</f>
        <v/>
      </c>
      <c r="E43" s="9" t="n">
        <v>0</v>
      </c>
      <c r="F43" s="9" t="n">
        <v>0</v>
      </c>
      <c r="G43" s="9" t="n">
        <v>0</v>
      </c>
      <c r="H43" s="9" t="n">
        <v>0</v>
      </c>
      <c r="I43" s="5">
        <f>IF(D43&gt;0, H43/D43, 0)</f>
        <v/>
      </c>
    </row>
    <row r="44">
      <c r="A44" t="n">
        <v>2041</v>
      </c>
      <c r="B44" s="8">
        <f>VLOOKUP(A44, WEO_Data!A:F, 4, FALSE)</f>
        <v/>
      </c>
      <c r="C44" s="9">
        <f>VLOOKUP(A44, WEO_Data!A:F, 2, FALSE)</f>
        <v/>
      </c>
      <c r="D44" s="9">
        <f>VLOOKUP(A44, WEO_Data!A:F, 3, FALSE)</f>
        <v/>
      </c>
      <c r="E44" s="9" t="n">
        <v>0</v>
      </c>
      <c r="F44" s="9" t="n">
        <v>0</v>
      </c>
      <c r="G44" s="9" t="n">
        <v>0</v>
      </c>
      <c r="H44" s="9" t="n">
        <v>0</v>
      </c>
      <c r="I44" s="5">
        <f>IF(D44&gt;0, H44/D44, 0)</f>
        <v/>
      </c>
    </row>
    <row r="45">
      <c r="A45" t="n">
        <v>2042</v>
      </c>
      <c r="B45" s="8">
        <f>VLOOKUP(A45, WEO_Data!A:F, 4, FALSE)</f>
        <v/>
      </c>
      <c r="C45" s="9">
        <f>VLOOKUP(A45, WEO_Data!A:F, 2, FALSE)</f>
        <v/>
      </c>
      <c r="D45" s="9">
        <f>VLOOKUP(A45, WEO_Data!A:F, 3, FALSE)</f>
        <v/>
      </c>
      <c r="E45" s="9" t="n">
        <v>0</v>
      </c>
      <c r="F45" s="9" t="n">
        <v>0</v>
      </c>
      <c r="G45" s="9" t="n">
        <v>0</v>
      </c>
      <c r="H45" s="9" t="n">
        <v>0</v>
      </c>
      <c r="I45" s="5">
        <f>IF(D45&gt;0, H45/D45, 0)</f>
        <v/>
      </c>
    </row>
    <row r="46">
      <c r="A46" t="n">
        <v>2043</v>
      </c>
      <c r="B46" s="8">
        <f>VLOOKUP(A46, WEO_Data!A:F, 4, FALSE)</f>
        <v/>
      </c>
      <c r="C46" s="9">
        <f>VLOOKUP(A46, WEO_Data!A:F, 2, FALSE)</f>
        <v/>
      </c>
      <c r="D46" s="9">
        <f>VLOOKUP(A46, WEO_Data!A:F, 3, FALSE)</f>
        <v/>
      </c>
      <c r="E46" s="9" t="n">
        <v>0</v>
      </c>
      <c r="F46" s="9" t="n">
        <v>0</v>
      </c>
      <c r="G46" s="9" t="n">
        <v>0</v>
      </c>
      <c r="H46" s="9" t="n">
        <v>0</v>
      </c>
      <c r="I46" s="5">
        <f>IF(D46&gt;0, H46/D46, 0)</f>
        <v/>
      </c>
    </row>
    <row r="47">
      <c r="A47" s="4" t="inlineStr">
        <is>
          <t>SCENARIO 1 SUMMARY</t>
        </is>
      </c>
      <c r="B47" s="8" t="n"/>
      <c r="C47" s="9" t="n"/>
      <c r="D47" s="9" t="n"/>
      <c r="E47" s="9" t="n"/>
      <c r="F47" s="9" t="n"/>
      <c r="G47" s="9" t="inlineStr">
        <is>
          <t>Total GDP Impact:</t>
        </is>
      </c>
      <c r="H47" s="9">
        <f>SUM(H27:H46)</f>
        <v/>
      </c>
      <c r="I47" s="5" t="n"/>
    </row>
    <row r="48">
      <c r="B48" s="8" t="n"/>
      <c r="C48" s="9" t="n"/>
      <c r="D48" s="9" t="n"/>
      <c r="E48" s="9" t="n"/>
      <c r="F48" s="9" t="n"/>
      <c r="G48" s="9" t="inlineStr">
        <is>
          <t>Peak Impact (%):</t>
        </is>
      </c>
      <c r="H48" s="9" t="n"/>
      <c r="I48" s="5">
        <f>MAX(I27:I46)</f>
        <v/>
      </c>
    </row>
    <row r="49">
      <c r="B49" s="8" t="n"/>
      <c r="C49" s="9" t="n"/>
      <c r="D49" s="9" t="n"/>
      <c r="E49" s="9" t="n"/>
      <c r="F49" s="9" t="n"/>
      <c r="G49" s="9" t="n"/>
      <c r="H49" s="9" t="n"/>
      <c r="I49" s="5" t="n"/>
    </row>
    <row r="50">
      <c r="A50">
        <f>=========================================================================================</f>
        <v/>
      </c>
      <c r="B50" s="8" t="n"/>
      <c r="C50" s="9" t="n"/>
      <c r="D50" s="9" t="n"/>
      <c r="E50" s="9" t="n"/>
      <c r="F50" s="9" t="n"/>
      <c r="G50" s="9" t="n"/>
      <c r="H50" s="9" t="n"/>
      <c r="I50" s="5" t="n"/>
    </row>
    <row r="51">
      <c r="A51" s="7" t="inlineStr">
        <is>
          <t>SCENARIO 2: HIGHER MULTIPLIER (Multiplier=1.0, Import Share=from SUT)</t>
        </is>
      </c>
      <c r="B51" s="8" t="n"/>
      <c r="C51" s="9" t="n"/>
      <c r="D51" s="9" t="n"/>
      <c r="E51" s="9" t="n"/>
      <c r="F51" s="9" t="n"/>
      <c r="G51" s="9" t="n"/>
      <c r="H51" s="9" t="n"/>
      <c r="I51" s="5" t="n"/>
    </row>
    <row r="52">
      <c r="A52" s="4" t="inlineStr">
        <is>
          <t>Year</t>
        </is>
      </c>
      <c r="B52" s="10" t="inlineStr">
        <is>
          <t>GDP Deflator</t>
        </is>
      </c>
      <c r="C52" s="11" t="inlineStr">
        <is>
          <t>Real GDP</t>
        </is>
      </c>
      <c r="D52" s="11" t="inlineStr">
        <is>
          <t>Nominal GDP</t>
        </is>
      </c>
      <c r="E52" s="11" t="inlineStr">
        <is>
          <t>Investment USD</t>
        </is>
      </c>
      <c r="F52" s="11" t="inlineStr">
        <is>
          <t>Investment GEL</t>
        </is>
      </c>
      <c r="G52" s="11" t="inlineStr">
        <is>
          <t>Real Investment</t>
        </is>
      </c>
      <c r="H52" s="11" t="inlineStr">
        <is>
          <t>GDP Impact (nom)</t>
        </is>
      </c>
      <c r="I52" s="12" t="inlineStr">
        <is>
          <t>GDP Impact (% base)</t>
        </is>
      </c>
    </row>
    <row r="53">
      <c r="A53" t="n">
        <v>2025</v>
      </c>
      <c r="B53" s="8">
        <f>B28</f>
        <v/>
      </c>
      <c r="C53" s="9">
        <f>C28</f>
        <v/>
      </c>
      <c r="D53" s="9">
        <f>D28</f>
        <v/>
      </c>
      <c r="E53" s="9">
        <f>E28</f>
        <v/>
      </c>
      <c r="F53" s="9">
        <f>F28</f>
        <v/>
      </c>
      <c r="G53" s="9">
        <f>G28</f>
        <v/>
      </c>
      <c r="H53" s="9">
        <f>F53*$E$7</f>
        <v/>
      </c>
      <c r="I53" s="5">
        <f>IF(D53&gt;0, H53/D53, 0)</f>
        <v/>
      </c>
    </row>
    <row r="54">
      <c r="A54" t="n">
        <v>2026</v>
      </c>
      <c r="B54" s="8">
        <f>B29</f>
        <v/>
      </c>
      <c r="C54" s="9">
        <f>C29</f>
        <v/>
      </c>
      <c r="D54" s="9">
        <f>D29</f>
        <v/>
      </c>
      <c r="E54" s="9">
        <f>E29</f>
        <v/>
      </c>
      <c r="F54" s="9">
        <f>F29</f>
        <v/>
      </c>
      <c r="G54" s="9">
        <f>G29</f>
        <v/>
      </c>
      <c r="H54" s="9">
        <f>F54*$E$7</f>
        <v/>
      </c>
      <c r="I54" s="5">
        <f>IF(D54&gt;0, H54/D54, 0)</f>
        <v/>
      </c>
    </row>
    <row r="55">
      <c r="A55" t="n">
        <v>2027</v>
      </c>
      <c r="B55" s="8">
        <f>B30</f>
        <v/>
      </c>
      <c r="C55" s="9">
        <f>C30</f>
        <v/>
      </c>
      <c r="D55" s="9">
        <f>D30</f>
        <v/>
      </c>
      <c r="E55" s="9">
        <f>E30</f>
        <v/>
      </c>
      <c r="F55" s="9">
        <f>F30</f>
        <v/>
      </c>
      <c r="G55" s="9">
        <f>G30</f>
        <v/>
      </c>
      <c r="H55" s="9">
        <f>F55*$E$7</f>
        <v/>
      </c>
      <c r="I55" s="5">
        <f>IF(D55&gt;0, H55/D55, 0)</f>
        <v/>
      </c>
    </row>
    <row r="56">
      <c r="A56" t="n">
        <v>2028</v>
      </c>
      <c r="B56" s="8">
        <f>B31</f>
        <v/>
      </c>
      <c r="C56" s="9">
        <f>C31</f>
        <v/>
      </c>
      <c r="D56" s="9">
        <f>D31</f>
        <v/>
      </c>
      <c r="E56" s="9">
        <f>E31</f>
        <v/>
      </c>
      <c r="F56" s="9">
        <f>F31</f>
        <v/>
      </c>
      <c r="G56" s="9">
        <f>G31</f>
        <v/>
      </c>
      <c r="H56" s="9">
        <f>F56*$E$7</f>
        <v/>
      </c>
      <c r="I56" s="5">
        <f>IF(D56&gt;0, H56/D56, 0)</f>
        <v/>
      </c>
    </row>
    <row r="57">
      <c r="A57" t="n">
        <v>2029</v>
      </c>
      <c r="B57" s="8">
        <f>B32</f>
        <v/>
      </c>
      <c r="C57" s="9">
        <f>C32</f>
        <v/>
      </c>
      <c r="D57" s="9">
        <f>D32</f>
        <v/>
      </c>
      <c r="E57" s="9">
        <f>E32</f>
        <v/>
      </c>
      <c r="F57" s="9">
        <f>F32</f>
        <v/>
      </c>
      <c r="G57" s="9">
        <f>G32</f>
        <v/>
      </c>
      <c r="H57" s="9">
        <f>F57*$E$7</f>
        <v/>
      </c>
      <c r="I57" s="5">
        <f>IF(D57&gt;0, H57/D57, 0)</f>
        <v/>
      </c>
    </row>
    <row r="58">
      <c r="A58" t="n">
        <v>2030</v>
      </c>
      <c r="B58" s="8">
        <f>B33</f>
        <v/>
      </c>
      <c r="C58" s="9">
        <f>C33</f>
        <v/>
      </c>
      <c r="D58" s="9">
        <f>D33</f>
        <v/>
      </c>
      <c r="E58" s="9">
        <f>E33</f>
        <v/>
      </c>
      <c r="F58" s="9">
        <f>F33</f>
        <v/>
      </c>
      <c r="G58" s="9">
        <f>G33</f>
        <v/>
      </c>
      <c r="H58" s="9">
        <f>F58*$E$7</f>
        <v/>
      </c>
      <c r="I58" s="5">
        <f>IF(D58&gt;0, H58/D58, 0)</f>
        <v/>
      </c>
    </row>
    <row r="59">
      <c r="A59" t="n">
        <v>2031</v>
      </c>
      <c r="B59" s="8">
        <f>B34</f>
        <v/>
      </c>
      <c r="C59" s="9">
        <f>C34</f>
        <v/>
      </c>
      <c r="D59" s="9">
        <f>D34</f>
        <v/>
      </c>
      <c r="E59" s="9">
        <f>E34</f>
        <v/>
      </c>
      <c r="F59" s="9">
        <f>F34</f>
        <v/>
      </c>
      <c r="G59" s="9">
        <f>G34</f>
        <v/>
      </c>
      <c r="H59" s="9">
        <f>F59*$E$7</f>
        <v/>
      </c>
      <c r="I59" s="5">
        <f>IF(D59&gt;0, H59/D59, 0)</f>
        <v/>
      </c>
    </row>
    <row r="60">
      <c r="A60" t="n">
        <v>2032</v>
      </c>
      <c r="B60" s="8">
        <f>B35</f>
        <v/>
      </c>
      <c r="C60" s="9">
        <f>C35</f>
        <v/>
      </c>
      <c r="D60" s="9">
        <f>D35</f>
        <v/>
      </c>
      <c r="E60" s="9">
        <f>E35</f>
        <v/>
      </c>
      <c r="F60" s="9">
        <f>F35</f>
        <v/>
      </c>
      <c r="G60" s="9">
        <f>G35</f>
        <v/>
      </c>
      <c r="H60" s="9">
        <f>F60*$E$7</f>
        <v/>
      </c>
      <c r="I60" s="5">
        <f>IF(D60&gt;0, H60/D60, 0)</f>
        <v/>
      </c>
    </row>
    <row r="61">
      <c r="A61" t="n">
        <v>2033</v>
      </c>
      <c r="B61" s="8">
        <f>B36</f>
        <v/>
      </c>
      <c r="C61" s="9">
        <f>C36</f>
        <v/>
      </c>
      <c r="D61" s="9">
        <f>D36</f>
        <v/>
      </c>
      <c r="E61" s="9">
        <f>E36</f>
        <v/>
      </c>
      <c r="F61" s="9">
        <f>F36</f>
        <v/>
      </c>
      <c r="G61" s="9">
        <f>G36</f>
        <v/>
      </c>
      <c r="H61" s="9">
        <f>F61*$E$7</f>
        <v/>
      </c>
      <c r="I61" s="5">
        <f>IF(D61&gt;0, H61/D61, 0)</f>
        <v/>
      </c>
    </row>
    <row r="62">
      <c r="A62" t="n">
        <v>2034</v>
      </c>
      <c r="B62" s="8">
        <f>B37</f>
        <v/>
      </c>
      <c r="C62" s="9">
        <f>C37</f>
        <v/>
      </c>
      <c r="D62" s="9">
        <f>D37</f>
        <v/>
      </c>
      <c r="E62" s="9">
        <f>E37</f>
        <v/>
      </c>
      <c r="F62" s="9">
        <f>F37</f>
        <v/>
      </c>
      <c r="G62" s="9">
        <f>G37</f>
        <v/>
      </c>
      <c r="H62" s="9">
        <f>F62*$E$7</f>
        <v/>
      </c>
      <c r="I62" s="5">
        <f>IF(D62&gt;0, H62/D62, 0)</f>
        <v/>
      </c>
    </row>
    <row r="63">
      <c r="A63" t="n">
        <v>2035</v>
      </c>
      <c r="B63" s="8">
        <f>B38</f>
        <v/>
      </c>
      <c r="C63" s="9">
        <f>C38</f>
        <v/>
      </c>
      <c r="D63" s="9">
        <f>D38</f>
        <v/>
      </c>
      <c r="E63" s="9">
        <f>E38</f>
        <v/>
      </c>
      <c r="F63" s="9">
        <f>F38</f>
        <v/>
      </c>
      <c r="G63" s="9">
        <f>G38</f>
        <v/>
      </c>
      <c r="H63" s="9">
        <f>F63*$E$7</f>
        <v/>
      </c>
      <c r="I63" s="5">
        <f>IF(D63&gt;0, H63/D63, 0)</f>
        <v/>
      </c>
    </row>
    <row r="64">
      <c r="A64" t="n">
        <v>2036</v>
      </c>
      <c r="B64" s="8">
        <f>B39</f>
        <v/>
      </c>
      <c r="C64" s="9">
        <f>C39</f>
        <v/>
      </c>
      <c r="D64" s="9">
        <f>D39</f>
        <v/>
      </c>
      <c r="E64" s="9">
        <f>E39</f>
        <v/>
      </c>
      <c r="F64" s="9">
        <f>F39</f>
        <v/>
      </c>
      <c r="G64" s="9">
        <f>G39</f>
        <v/>
      </c>
      <c r="H64" s="9">
        <f>F64*$E$7</f>
        <v/>
      </c>
      <c r="I64" s="5">
        <f>IF(D64&gt;0, H64/D64, 0)</f>
        <v/>
      </c>
    </row>
    <row r="65">
      <c r="A65" t="n">
        <v>2037</v>
      </c>
      <c r="B65" s="8">
        <f>B40</f>
        <v/>
      </c>
      <c r="C65" s="9">
        <f>C40</f>
        <v/>
      </c>
      <c r="D65" s="9">
        <f>D40</f>
        <v/>
      </c>
      <c r="E65" s="9">
        <f>E40</f>
        <v/>
      </c>
      <c r="F65" s="9">
        <f>F40</f>
        <v/>
      </c>
      <c r="G65" s="9">
        <f>G40</f>
        <v/>
      </c>
      <c r="H65" s="9">
        <f>F65*$E$7</f>
        <v/>
      </c>
      <c r="I65" s="5">
        <f>IF(D65&gt;0, H65/D65, 0)</f>
        <v/>
      </c>
    </row>
    <row r="66">
      <c r="A66" t="n">
        <v>2038</v>
      </c>
      <c r="B66" s="8">
        <f>B41</f>
        <v/>
      </c>
      <c r="C66" s="9">
        <f>C41</f>
        <v/>
      </c>
      <c r="D66" s="9">
        <f>D41</f>
        <v/>
      </c>
      <c r="E66" s="9">
        <f>E41</f>
        <v/>
      </c>
      <c r="F66" s="9">
        <f>F41</f>
        <v/>
      </c>
      <c r="G66" s="9">
        <f>G41</f>
        <v/>
      </c>
      <c r="H66" s="9">
        <f>F66*$E$7</f>
        <v/>
      </c>
      <c r="I66" s="5">
        <f>IF(D66&gt;0, H66/D66, 0)</f>
        <v/>
      </c>
    </row>
    <row r="67">
      <c r="A67" t="n">
        <v>2039</v>
      </c>
      <c r="B67" s="8">
        <f>B42</f>
        <v/>
      </c>
      <c r="C67" s="9">
        <f>C42</f>
        <v/>
      </c>
      <c r="D67" s="9">
        <f>D42</f>
        <v/>
      </c>
      <c r="E67" s="9">
        <f>E42</f>
        <v/>
      </c>
      <c r="F67" s="9">
        <f>F42</f>
        <v/>
      </c>
      <c r="G67" s="9">
        <f>G42</f>
        <v/>
      </c>
      <c r="H67" s="9">
        <f>F67*$E$7</f>
        <v/>
      </c>
      <c r="I67" s="5">
        <f>IF(D67&gt;0, H67/D67, 0)</f>
        <v/>
      </c>
    </row>
    <row r="68">
      <c r="A68" t="n">
        <v>2040</v>
      </c>
      <c r="B68" s="8">
        <f>B43</f>
        <v/>
      </c>
      <c r="C68" s="9">
        <f>C43</f>
        <v/>
      </c>
      <c r="D68" s="9">
        <f>D43</f>
        <v/>
      </c>
      <c r="E68" s="9">
        <f>E43</f>
        <v/>
      </c>
      <c r="F68" s="9">
        <f>F43</f>
        <v/>
      </c>
      <c r="G68" s="9">
        <f>G43</f>
        <v/>
      </c>
      <c r="H68" s="9">
        <f>F68*$E$7</f>
        <v/>
      </c>
      <c r="I68" s="5">
        <f>IF(D68&gt;0, H68/D68, 0)</f>
        <v/>
      </c>
    </row>
    <row r="69">
      <c r="A69" t="n">
        <v>2041</v>
      </c>
      <c r="B69" s="8">
        <f>B44</f>
        <v/>
      </c>
      <c r="C69" s="9">
        <f>C44</f>
        <v/>
      </c>
      <c r="D69" s="9">
        <f>D44</f>
        <v/>
      </c>
      <c r="E69" s="9">
        <f>E44</f>
        <v/>
      </c>
      <c r="F69" s="9">
        <f>F44</f>
        <v/>
      </c>
      <c r="G69" s="9">
        <f>G44</f>
        <v/>
      </c>
      <c r="H69" s="9">
        <f>F69*$E$7</f>
        <v/>
      </c>
      <c r="I69" s="5">
        <f>IF(D69&gt;0, H69/D69, 0)</f>
        <v/>
      </c>
    </row>
    <row r="70">
      <c r="A70" t="n">
        <v>2042</v>
      </c>
      <c r="B70" s="8">
        <f>B45</f>
        <v/>
      </c>
      <c r="C70" s="9">
        <f>C45</f>
        <v/>
      </c>
      <c r="D70" s="9">
        <f>D45</f>
        <v/>
      </c>
      <c r="E70" s="9">
        <f>E45</f>
        <v/>
      </c>
      <c r="F70" s="9">
        <f>F45</f>
        <v/>
      </c>
      <c r="G70" s="9">
        <f>G45</f>
        <v/>
      </c>
      <c r="H70" s="9">
        <f>F70*$E$7</f>
        <v/>
      </c>
      <c r="I70" s="5">
        <f>IF(D70&gt;0, H70/D70, 0)</f>
        <v/>
      </c>
    </row>
    <row r="71">
      <c r="A71" t="n">
        <v>2043</v>
      </c>
      <c r="B71" s="8">
        <f>B46</f>
        <v/>
      </c>
      <c r="C71" s="9">
        <f>C46</f>
        <v/>
      </c>
      <c r="D71" s="9">
        <f>D46</f>
        <v/>
      </c>
      <c r="E71" s="9">
        <f>E46</f>
        <v/>
      </c>
      <c r="F71" s="9">
        <f>F46</f>
        <v/>
      </c>
      <c r="G71" s="9">
        <f>G46</f>
        <v/>
      </c>
      <c r="H71" s="9">
        <f>F71*$E$7</f>
        <v/>
      </c>
      <c r="I71" s="5">
        <f>IF(D71&gt;0, H71/D71, 0)</f>
        <v/>
      </c>
    </row>
    <row r="72">
      <c r="A72" t="n">
        <v>2044</v>
      </c>
      <c r="B72" s="8">
        <f>B47</f>
        <v/>
      </c>
      <c r="C72" s="9">
        <f>C47</f>
        <v/>
      </c>
      <c r="D72" s="9">
        <f>D47</f>
        <v/>
      </c>
      <c r="E72" s="9">
        <f>E47</f>
        <v/>
      </c>
      <c r="F72" s="9">
        <f>F47</f>
        <v/>
      </c>
      <c r="G72" s="9">
        <f>G47</f>
        <v/>
      </c>
      <c r="H72" s="9">
        <f>F72*$E$7</f>
        <v/>
      </c>
      <c r="I72" s="5">
        <f>IF(D72&gt;0, H72/D72, 0)</f>
        <v/>
      </c>
    </row>
    <row r="73">
      <c r="A73" s="4" t="inlineStr">
        <is>
          <t>SCENARIO 2 SUMMARY</t>
        </is>
      </c>
      <c r="B73" s="8" t="n"/>
      <c r="C73" s="9" t="n"/>
      <c r="D73" s="9" t="n"/>
      <c r="E73" s="9" t="n"/>
      <c r="F73" s="9" t="n"/>
      <c r="G73" s="9" t="inlineStr">
        <is>
          <t>Total GDP Impact:</t>
        </is>
      </c>
      <c r="H73" s="9">
        <f>SUM(H53:H72)</f>
        <v/>
      </c>
      <c r="I73" s="5" t="n"/>
    </row>
    <row r="74">
      <c r="B74" s="8" t="n"/>
      <c r="C74" s="9" t="n"/>
      <c r="D74" s="9" t="n"/>
      <c r="E74" s="9" t="n"/>
      <c r="F74" s="9" t="n"/>
      <c r="G74" s="9" t="inlineStr">
        <is>
          <t>Peak Impact (%):</t>
        </is>
      </c>
      <c r="H74" s="9" t="n"/>
      <c r="I74" s="5">
        <f>MAX(I53:I72)</f>
        <v/>
      </c>
    </row>
    <row r="75">
      <c r="B75" s="8" t="n"/>
      <c r="C75" s="9" t="n"/>
      <c r="D75" s="9" t="n"/>
      <c r="E75" s="9" t="n"/>
      <c r="F75" s="9" t="n"/>
      <c r="G75" s="9" t="n"/>
      <c r="H75" s="9" t="n"/>
      <c r="I75" s="5" t="n"/>
    </row>
    <row r="76">
      <c r="A76">
        <f>=========================================================================================</f>
        <v/>
      </c>
      <c r="B76" s="8" t="n"/>
      <c r="C76" s="9" t="n"/>
      <c r="D76" s="9" t="n"/>
      <c r="E76" s="9" t="n"/>
      <c r="F76" s="9" t="n"/>
      <c r="G76" s="9" t="n"/>
      <c r="H76" s="9" t="n"/>
      <c r="I76" s="5" t="n"/>
    </row>
    <row r="77">
      <c r="A77" s="7" t="inlineStr">
        <is>
          <t>SCENARIO 3: HIGHER IMPORT CONTENT (Multiplier=0.8, Import Share=0.5)</t>
        </is>
      </c>
      <c r="B77" s="8" t="n"/>
      <c r="C77" s="9" t="n"/>
      <c r="D77" s="9" t="n"/>
      <c r="E77" s="9" t="n"/>
      <c r="F77" s="9" t="n"/>
      <c r="G77" s="9" t="n"/>
      <c r="H77" s="9" t="n"/>
      <c r="I77" s="5" t="n"/>
    </row>
    <row r="78">
      <c r="A78" s="4" t="inlineStr">
        <is>
          <t>Year</t>
        </is>
      </c>
      <c r="B78" s="10" t="inlineStr">
        <is>
          <t>GDP Deflator</t>
        </is>
      </c>
      <c r="C78" s="11" t="inlineStr">
        <is>
          <t>Real GDP</t>
        </is>
      </c>
      <c r="D78" s="11" t="inlineStr">
        <is>
          <t>Nominal GDP</t>
        </is>
      </c>
      <c r="E78" s="11" t="inlineStr">
        <is>
          <t>Investment USD</t>
        </is>
      </c>
      <c r="F78" s="11" t="inlineStr">
        <is>
          <t>Investment GEL</t>
        </is>
      </c>
      <c r="G78" s="11" t="inlineStr">
        <is>
          <t>Real Investment</t>
        </is>
      </c>
      <c r="H78" s="11" t="inlineStr">
        <is>
          <t>GDP Impact (nom)</t>
        </is>
      </c>
      <c r="I78" s="12" t="inlineStr">
        <is>
          <t>GDP Impact (% base)</t>
        </is>
      </c>
    </row>
    <row r="79">
      <c r="A79" t="n">
        <v>2025</v>
      </c>
      <c r="B79" s="8">
        <f>B28</f>
        <v/>
      </c>
      <c r="C79" s="9">
        <f>C28</f>
        <v/>
      </c>
      <c r="D79" s="9">
        <f>D28</f>
        <v/>
      </c>
      <c r="E79" s="9">
        <f>E28</f>
        <v/>
      </c>
      <c r="F79" s="9">
        <f>F28</f>
        <v/>
      </c>
      <c r="G79" s="9">
        <f>G28</f>
        <v/>
      </c>
      <c r="H79" s="9" t="n">
        <v>0</v>
      </c>
      <c r="I79" s="5">
        <f>IF(D79&gt;0, H79/D79, 0)</f>
        <v/>
      </c>
    </row>
    <row r="80">
      <c r="A80" t="n">
        <v>2026</v>
      </c>
      <c r="B80" s="8">
        <f>B29</f>
        <v/>
      </c>
      <c r="C80" s="9">
        <f>C29</f>
        <v/>
      </c>
      <c r="D80" s="9">
        <f>D29</f>
        <v/>
      </c>
      <c r="E80" s="9">
        <f>E29</f>
        <v/>
      </c>
      <c r="F80" s="9">
        <f>F29</f>
        <v/>
      </c>
      <c r="G80" s="9">
        <f>G29</f>
        <v/>
      </c>
      <c r="H80" s="9">
        <f>F80*$E$6*(1-$E$9)</f>
        <v/>
      </c>
      <c r="I80" s="5">
        <f>IF(D80&gt;0, H80/D80, 0)</f>
        <v/>
      </c>
    </row>
    <row r="81">
      <c r="A81" t="n">
        <v>2027</v>
      </c>
      <c r="B81" s="8">
        <f>B30</f>
        <v/>
      </c>
      <c r="C81" s="9">
        <f>C30</f>
        <v/>
      </c>
      <c r="D81" s="9">
        <f>D30</f>
        <v/>
      </c>
      <c r="E81" s="9">
        <f>E30</f>
        <v/>
      </c>
      <c r="F81" s="9">
        <f>F30</f>
        <v/>
      </c>
      <c r="G81" s="9">
        <f>G30</f>
        <v/>
      </c>
      <c r="H81" s="9">
        <f>F81*$E$6*(1-$E$9)</f>
        <v/>
      </c>
      <c r="I81" s="5">
        <f>IF(D81&gt;0, H81/D81, 0)</f>
        <v/>
      </c>
    </row>
    <row r="82">
      <c r="A82" t="n">
        <v>2028</v>
      </c>
      <c r="B82" s="8">
        <f>B31</f>
        <v/>
      </c>
      <c r="C82" s="9">
        <f>C31</f>
        <v/>
      </c>
      <c r="D82" s="9">
        <f>D31</f>
        <v/>
      </c>
      <c r="E82" s="9">
        <f>E31</f>
        <v/>
      </c>
      <c r="F82" s="9">
        <f>F31</f>
        <v/>
      </c>
      <c r="G82" s="9">
        <f>G31</f>
        <v/>
      </c>
      <c r="H82" s="9">
        <f>F82*$E$6*(1-$E$9)</f>
        <v/>
      </c>
      <c r="I82" s="5">
        <f>IF(D82&gt;0, H82/D82, 0)</f>
        <v/>
      </c>
    </row>
    <row r="83">
      <c r="A83" t="n">
        <v>2029</v>
      </c>
      <c r="B83" s="8">
        <f>B32</f>
        <v/>
      </c>
      <c r="C83" s="9">
        <f>C32</f>
        <v/>
      </c>
      <c r="D83" s="9">
        <f>D32</f>
        <v/>
      </c>
      <c r="E83" s="9">
        <f>E32</f>
        <v/>
      </c>
      <c r="F83" s="9">
        <f>F32</f>
        <v/>
      </c>
      <c r="G83" s="9">
        <f>G32</f>
        <v/>
      </c>
      <c r="H83" s="9">
        <f>F83*$E$6*(1-$E$9)</f>
        <v/>
      </c>
      <c r="I83" s="5">
        <f>IF(D83&gt;0, H83/D83, 0)</f>
        <v/>
      </c>
    </row>
    <row r="84">
      <c r="A84" t="n">
        <v>2030</v>
      </c>
      <c r="B84" s="8">
        <f>B33</f>
        <v/>
      </c>
      <c r="C84" s="9">
        <f>C33</f>
        <v/>
      </c>
      <c r="D84" s="9">
        <f>D33</f>
        <v/>
      </c>
      <c r="E84" s="9">
        <f>E33</f>
        <v/>
      </c>
      <c r="F84" s="9">
        <f>F33</f>
        <v/>
      </c>
      <c r="G84" s="9">
        <f>G33</f>
        <v/>
      </c>
      <c r="H84" s="9">
        <f>F84*$E$6*(1-$E$9)</f>
        <v/>
      </c>
      <c r="I84" s="5">
        <f>IF(D84&gt;0, H84/D84, 0)</f>
        <v/>
      </c>
    </row>
    <row r="85">
      <c r="A85" t="n">
        <v>2031</v>
      </c>
      <c r="B85" s="8">
        <f>B34</f>
        <v/>
      </c>
      <c r="C85" s="9">
        <f>C34</f>
        <v/>
      </c>
      <c r="D85" s="9">
        <f>D34</f>
        <v/>
      </c>
      <c r="E85" s="9">
        <f>E34</f>
        <v/>
      </c>
      <c r="F85" s="9">
        <f>F34</f>
        <v/>
      </c>
      <c r="G85" s="9">
        <f>G34</f>
        <v/>
      </c>
      <c r="H85" s="9">
        <f>F85*$E$6*(1-$E$9)</f>
        <v/>
      </c>
      <c r="I85" s="5">
        <f>IF(D85&gt;0, H85/D85, 0)</f>
        <v/>
      </c>
    </row>
    <row r="86">
      <c r="A86" t="n">
        <v>2032</v>
      </c>
      <c r="B86" s="8">
        <f>B35</f>
        <v/>
      </c>
      <c r="C86" s="9">
        <f>C35</f>
        <v/>
      </c>
      <c r="D86" s="9">
        <f>D35</f>
        <v/>
      </c>
      <c r="E86" s="9">
        <f>E35</f>
        <v/>
      </c>
      <c r="F86" s="9">
        <f>F35</f>
        <v/>
      </c>
      <c r="G86" s="9">
        <f>G35</f>
        <v/>
      </c>
      <c r="H86" s="9">
        <f>F86*$E$6*(1-$E$9)</f>
        <v/>
      </c>
      <c r="I86" s="5">
        <f>IF(D86&gt;0, H86/D86, 0)</f>
        <v/>
      </c>
    </row>
    <row r="87">
      <c r="A87" t="n">
        <v>2033</v>
      </c>
      <c r="B87" s="8">
        <f>B36</f>
        <v/>
      </c>
      <c r="C87" s="9">
        <f>C36</f>
        <v/>
      </c>
      <c r="D87" s="9">
        <f>D36</f>
        <v/>
      </c>
      <c r="E87" s="9">
        <f>E36</f>
        <v/>
      </c>
      <c r="F87" s="9">
        <f>F36</f>
        <v/>
      </c>
      <c r="G87" s="9">
        <f>G36</f>
        <v/>
      </c>
      <c r="H87" s="9">
        <f>F87*$E$6*(1-$E$9)</f>
        <v/>
      </c>
      <c r="I87" s="5">
        <f>IF(D87&gt;0, H87/D87, 0)</f>
        <v/>
      </c>
    </row>
    <row r="88">
      <c r="A88" t="n">
        <v>2034</v>
      </c>
      <c r="B88" s="8">
        <f>B37</f>
        <v/>
      </c>
      <c r="C88" s="9">
        <f>C37</f>
        <v/>
      </c>
      <c r="D88" s="9">
        <f>D37</f>
        <v/>
      </c>
      <c r="E88" s="9">
        <f>E37</f>
        <v/>
      </c>
      <c r="F88" s="9">
        <f>F37</f>
        <v/>
      </c>
      <c r="G88" s="9">
        <f>G37</f>
        <v/>
      </c>
      <c r="H88" s="9" t="n">
        <v>0</v>
      </c>
      <c r="I88" s="5">
        <f>IF(D88&gt;0, H88/D88, 0)</f>
        <v/>
      </c>
    </row>
    <row r="89">
      <c r="A89" t="n">
        <v>2035</v>
      </c>
      <c r="B89" s="8">
        <f>B38</f>
        <v/>
      </c>
      <c r="C89" s="9">
        <f>C38</f>
        <v/>
      </c>
      <c r="D89" s="9">
        <f>D38</f>
        <v/>
      </c>
      <c r="E89" s="9">
        <f>E38</f>
        <v/>
      </c>
      <c r="F89" s="9">
        <f>F38</f>
        <v/>
      </c>
      <c r="G89" s="9">
        <f>G38</f>
        <v/>
      </c>
      <c r="H89" s="9" t="n">
        <v>0</v>
      </c>
      <c r="I89" s="5">
        <f>IF(D89&gt;0, H89/D89, 0)</f>
        <v/>
      </c>
    </row>
    <row r="90">
      <c r="A90" t="n">
        <v>2036</v>
      </c>
      <c r="B90" s="8">
        <f>B39</f>
        <v/>
      </c>
      <c r="C90" s="9">
        <f>C39</f>
        <v/>
      </c>
      <c r="D90" s="9">
        <f>D39</f>
        <v/>
      </c>
      <c r="E90" s="9">
        <f>E39</f>
        <v/>
      </c>
      <c r="F90" s="9">
        <f>F39</f>
        <v/>
      </c>
      <c r="G90" s="9">
        <f>G39</f>
        <v/>
      </c>
      <c r="H90" s="9" t="n">
        <v>0</v>
      </c>
      <c r="I90" s="5">
        <f>IF(D90&gt;0, H90/D90, 0)</f>
        <v/>
      </c>
    </row>
    <row r="91">
      <c r="A91" t="n">
        <v>2037</v>
      </c>
      <c r="B91" s="8">
        <f>B40</f>
        <v/>
      </c>
      <c r="C91" s="9">
        <f>C40</f>
        <v/>
      </c>
      <c r="D91" s="9">
        <f>D40</f>
        <v/>
      </c>
      <c r="E91" s="9">
        <f>E40</f>
        <v/>
      </c>
      <c r="F91" s="9">
        <f>F40</f>
        <v/>
      </c>
      <c r="G91" s="9">
        <f>G40</f>
        <v/>
      </c>
      <c r="H91" s="9" t="n">
        <v>0</v>
      </c>
      <c r="I91" s="5">
        <f>IF(D91&gt;0, H91/D91, 0)</f>
        <v/>
      </c>
    </row>
    <row r="92">
      <c r="A92" t="n">
        <v>2038</v>
      </c>
      <c r="B92" s="8">
        <f>B41</f>
        <v/>
      </c>
      <c r="C92" s="9">
        <f>C41</f>
        <v/>
      </c>
      <c r="D92" s="9">
        <f>D41</f>
        <v/>
      </c>
      <c r="E92" s="9">
        <f>E41</f>
        <v/>
      </c>
      <c r="F92" s="9">
        <f>F41</f>
        <v/>
      </c>
      <c r="G92" s="9">
        <f>G41</f>
        <v/>
      </c>
      <c r="H92" s="9" t="n">
        <v>0</v>
      </c>
      <c r="I92" s="5">
        <f>IF(D92&gt;0, H92/D92, 0)</f>
        <v/>
      </c>
    </row>
    <row r="93">
      <c r="A93" t="n">
        <v>2039</v>
      </c>
      <c r="B93" s="8">
        <f>B42</f>
        <v/>
      </c>
      <c r="C93" s="9">
        <f>C42</f>
        <v/>
      </c>
      <c r="D93" s="9">
        <f>D42</f>
        <v/>
      </c>
      <c r="E93" s="9">
        <f>E42</f>
        <v/>
      </c>
      <c r="F93" s="9">
        <f>F42</f>
        <v/>
      </c>
      <c r="G93" s="9">
        <f>G42</f>
        <v/>
      </c>
      <c r="H93" s="9" t="n">
        <v>0</v>
      </c>
      <c r="I93" s="5">
        <f>IF(D93&gt;0, H93/D93, 0)</f>
        <v/>
      </c>
    </row>
    <row r="94">
      <c r="A94" t="n">
        <v>2040</v>
      </c>
      <c r="B94" s="8">
        <f>B43</f>
        <v/>
      </c>
      <c r="C94" s="9">
        <f>C43</f>
        <v/>
      </c>
      <c r="D94" s="9">
        <f>D43</f>
        <v/>
      </c>
      <c r="E94" s="9">
        <f>E43</f>
        <v/>
      </c>
      <c r="F94" s="9">
        <f>F43</f>
        <v/>
      </c>
      <c r="G94" s="9">
        <f>G43</f>
        <v/>
      </c>
      <c r="H94" s="9" t="n">
        <v>0</v>
      </c>
      <c r="I94" s="5">
        <f>IF(D94&gt;0, H94/D94, 0)</f>
        <v/>
      </c>
    </row>
    <row r="95">
      <c r="A95" t="n">
        <v>2041</v>
      </c>
      <c r="B95" s="8">
        <f>B44</f>
        <v/>
      </c>
      <c r="C95" s="9">
        <f>C44</f>
        <v/>
      </c>
      <c r="D95" s="9">
        <f>D44</f>
        <v/>
      </c>
      <c r="E95" s="9">
        <f>E44</f>
        <v/>
      </c>
      <c r="F95" s="9">
        <f>F44</f>
        <v/>
      </c>
      <c r="G95" s="9">
        <f>G44</f>
        <v/>
      </c>
      <c r="H95" s="9" t="n">
        <v>0</v>
      </c>
      <c r="I95" s="5">
        <f>IF(D95&gt;0, H95/D95, 0)</f>
        <v/>
      </c>
    </row>
    <row r="96">
      <c r="A96" t="n">
        <v>2042</v>
      </c>
      <c r="B96" s="8">
        <f>B45</f>
        <v/>
      </c>
      <c r="C96" s="9">
        <f>C45</f>
        <v/>
      </c>
      <c r="D96" s="9">
        <f>D45</f>
        <v/>
      </c>
      <c r="E96" s="9">
        <f>E45</f>
        <v/>
      </c>
      <c r="F96" s="9">
        <f>F45</f>
        <v/>
      </c>
      <c r="G96" s="9">
        <f>G45</f>
        <v/>
      </c>
      <c r="H96" s="9" t="n">
        <v>0</v>
      </c>
      <c r="I96" s="5">
        <f>IF(D96&gt;0, H96/D96, 0)</f>
        <v/>
      </c>
    </row>
    <row r="97">
      <c r="A97" t="n">
        <v>2043</v>
      </c>
      <c r="B97" s="8">
        <f>B46</f>
        <v/>
      </c>
      <c r="C97" s="9">
        <f>C46</f>
        <v/>
      </c>
      <c r="D97" s="9">
        <f>D46</f>
        <v/>
      </c>
      <c r="E97" s="9">
        <f>E46</f>
        <v/>
      </c>
      <c r="F97" s="9">
        <f>F46</f>
        <v/>
      </c>
      <c r="G97" s="9">
        <f>G46</f>
        <v/>
      </c>
      <c r="H97" s="9" t="n">
        <v>0</v>
      </c>
      <c r="I97" s="5">
        <f>IF(D97&gt;0, H97/D97, 0)</f>
        <v/>
      </c>
    </row>
    <row r="98">
      <c r="A98" t="n">
        <v>2044</v>
      </c>
      <c r="B98" s="8">
        <f>B47</f>
        <v/>
      </c>
      <c r="C98" s="9">
        <f>C47</f>
        <v/>
      </c>
      <c r="D98" s="9">
        <f>D47</f>
        <v/>
      </c>
      <c r="E98" s="9">
        <f>E47</f>
        <v/>
      </c>
      <c r="F98" s="9">
        <f>F47</f>
        <v/>
      </c>
      <c r="G98" s="9">
        <f>G47</f>
        <v/>
      </c>
      <c r="H98" s="9" t="n">
        <v>0</v>
      </c>
      <c r="I98" s="5">
        <f>IF(D98&gt;0, H98/D98, 0)</f>
        <v/>
      </c>
    </row>
    <row r="99">
      <c r="A99" s="4" t="inlineStr">
        <is>
          <t>SCENARIO 3 SUMMARY</t>
        </is>
      </c>
      <c r="B99" s="8" t="n"/>
      <c r="C99" s="9" t="n"/>
      <c r="D99" s="9" t="n"/>
      <c r="E99" s="9" t="n"/>
      <c r="F99" s="9" t="n"/>
      <c r="G99" s="9" t="inlineStr">
        <is>
          <t>Total GDP Impact:</t>
        </is>
      </c>
      <c r="H99" s="9">
        <f>SUM(H79:H98)</f>
        <v/>
      </c>
      <c r="I99" s="5" t="n"/>
    </row>
    <row r="100">
      <c r="B100" s="8" t="n"/>
      <c r="C100" s="9" t="n"/>
      <c r="D100" s="9" t="n"/>
      <c r="E100" s="9" t="n"/>
      <c r="F100" s="9" t="n"/>
      <c r="G100" s="9" t="inlineStr">
        <is>
          <t>Peak Impact (%):</t>
        </is>
      </c>
      <c r="H100" s="9" t="n"/>
      <c r="I100" s="5">
        <f>MAX(I79:I98)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2026-01-29T06:34:32Z</dcterms:created>
  <dcterms:modified xsi:type="dcterms:W3CDTF">2026-01-29T06:34:32Z</dcterms:modified>
</cp:coreProperties>
</file>