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INDEX(Data!$H$21:$M$40,MATCH(D12,Data!$B$21:$B$40,0),MATCH(H$9,Data!$H$8:$M$8,0))</f>
        <v/>
      </c>
      <c r="I12" s="19">
        <f>INDEX(Data!$H$21:$M$40,MATCH(D12,Data!$B$21:$B$40,0),MATCH(I$9,Data!$H$8:$M$8,0))</f>
        <v/>
      </c>
      <c r="J12" s="19">
        <f>INDEX(Data!$H$21:$M$40,MATCH(D12,Data!$B$21:$B$40,0),MATCH(J$9,Data!$H$8:$M$8,0))</f>
        <v/>
      </c>
      <c r="K12" s="19">
        <f>INDEX(Data!$H$21:$M$40,MATCH(D12,Data!$B$21:$B$40,0),MATCH(K$9,Data!$H$8:$M$8,0))</f>
        <v/>
      </c>
      <c r="L12" s="20">
        <f>INDEX(Data!$H$21:$M$40,MATCH(D12,Data!$B$21:$B$40,0),MATCH(L$9,Data!$H$8:$M$8,0))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INDEX(Data!$H$21:$M$40,MATCH(D13,Data!$B$21:$B$40,0),MATCH(H$9,Data!$H$8:$M$8,0))</f>
        <v/>
      </c>
      <c r="I13" s="4">
        <f>INDEX(Data!$H$21:$M$40,MATCH(D13,Data!$B$21:$B$40,0),MATCH(I$9,Data!$H$8:$M$8,0))</f>
        <v/>
      </c>
      <c r="J13" s="4">
        <f>INDEX(Data!$H$21:$M$40,MATCH(D13,Data!$B$21:$B$40,0),MATCH(J$9,Data!$H$8:$M$8,0))</f>
        <v/>
      </c>
      <c r="K13" s="4">
        <f>INDEX(Data!$H$21:$M$40,MATCH(D13,Data!$B$21:$B$40,0),MATCH(K$9,Data!$H$8:$M$8,0))</f>
        <v/>
      </c>
      <c r="L13" s="5">
        <f>INDEX(Data!$H$21:$M$40,MATCH(D13,Data!$B$21:$B$40,0),MATCH(L$9,Data!$H$8:$M$8,0))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INDEX(Data!$H$21:$M$40,MATCH(D14,Data!$B$21:$B$40,0),MATCH(H$9,Data!$H$8:$M$8,0))</f>
        <v/>
      </c>
      <c r="I14" s="4">
        <f>INDEX(Data!$H$21:$M$40,MATCH(D14,Data!$B$21:$B$40,0),MATCH(I$9,Data!$H$8:$M$8,0))</f>
        <v/>
      </c>
      <c r="J14" s="4">
        <f>INDEX(Data!$H$21:$M$40,MATCH(D14,Data!$B$21:$B$40,0),MATCH(J$9,Data!$H$8:$M$8,0))</f>
        <v/>
      </c>
      <c r="K14" s="4">
        <f>INDEX(Data!$H$21:$M$40,MATCH(D14,Data!$B$21:$B$40,0),MATCH(K$9,Data!$H$8:$M$8,0))</f>
        <v/>
      </c>
      <c r="L14" s="5">
        <f>INDEX(Data!$H$21:$M$40,MATCH(D14,Data!$B$21:$B$40,0),MATCH(L$9,Data!$H$8:$M$8,0))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INDEX(Data!$H$21:$M$40,MATCH(D15,Data!$B$21:$B$40,0),MATCH(H$9,Data!$H$8:$M$8,0))</f>
        <v/>
      </c>
      <c r="I15" s="4">
        <f>INDEX(Data!$H$21:$M$40,MATCH(D15,Data!$B$21:$B$40,0),MATCH(I$9,Data!$H$8:$M$8,0))</f>
        <v/>
      </c>
      <c r="J15" s="4">
        <f>INDEX(Data!$H$21:$M$40,MATCH(D15,Data!$B$21:$B$40,0),MATCH(J$9,Data!$H$8:$M$8,0))</f>
        <v/>
      </c>
      <c r="K15" s="4">
        <f>INDEX(Data!$H$21:$M$40,MATCH(D15,Data!$B$21:$B$40,0),MATCH(K$9,Data!$H$8:$M$8,0))</f>
        <v/>
      </c>
      <c r="L15" s="5">
        <f>INDEX(Data!$H$21:$M$40,MATCH(D15,Data!$B$21:$B$40,0),MATCH(L$9,Data!$H$8:$M$8,0))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INDEX(Data!$H$21:$M$40,MATCH(D16,Data!$B$21:$B$40,0),MATCH(H$9,Data!$H$8:$M$8,0))</f>
        <v/>
      </c>
      <c r="I16" s="4">
        <f>INDEX(Data!$H$21:$M$40,MATCH(D16,Data!$B$21:$B$40,0),MATCH(I$9,Data!$H$8:$M$8,0))</f>
        <v/>
      </c>
      <c r="J16" s="4">
        <f>INDEX(Data!$H$21:$M$40,MATCH(D16,Data!$B$21:$B$40,0),MATCH(J$9,Data!$H$8:$M$8,0))</f>
        <v/>
      </c>
      <c r="K16" s="4">
        <f>INDEX(Data!$H$21:$M$40,MATCH(D16,Data!$B$21:$B$40,0),MATCH(K$9,Data!$H$8:$M$8,0))</f>
        <v/>
      </c>
      <c r="L16" s="5">
        <f>INDEX(Data!$H$21:$M$40,MATCH(D16,Data!$B$21:$B$40,0),MATCH(L$9,Data!$H$8:$M$8,0))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INDEX(Data!$H$21:$M$40,MATCH(D17,Data!$B$21:$B$40,0),MATCH(H$9,Data!$H$8:$M$8,0))</f>
        <v/>
      </c>
      <c r="I17" s="6">
        <f>INDEX(Data!$H$21:$M$40,MATCH(D17,Data!$B$21:$B$40,0),MATCH(I$9,Data!$H$8:$M$8,0))</f>
        <v/>
      </c>
      <c r="J17" s="6">
        <f>INDEX(Data!$H$21:$M$40,MATCH(D17,Data!$B$21:$B$40,0),MATCH(J$9,Data!$H$8:$M$8,0))</f>
        <v/>
      </c>
      <c r="K17" s="6">
        <f>INDEX(Data!$H$21:$M$40,MATCH(D17,Data!$B$21:$B$40,0),MATCH(K$9,Data!$H$8:$M$8,0))</f>
        <v/>
      </c>
      <c r="L17" s="7">
        <f>INDEX(Data!$H$21:$M$40,MATCH(D17,Data!$B$21:$B$40,0),MATCH(L$9,Data!$H$8:$M$8,0))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INDEX(Data!$H$21:$M$40,MATCH(D19,Data!$B$21:$B$40,0),MATCH(H$9,Data!$H$8:$M$8,0))</f>
        <v/>
      </c>
      <c r="I19" s="19">
        <f>INDEX(Data!$H$21:$M$40,MATCH(D19,Data!$B$21:$B$40,0),MATCH(I$9,Data!$H$8:$M$8,0))</f>
        <v/>
      </c>
      <c r="J19" s="19">
        <f>INDEX(Data!$H$21:$M$40,MATCH(D19,Data!$B$21:$B$40,0),MATCH(J$9,Data!$H$8:$M$8,0))</f>
        <v/>
      </c>
      <c r="K19" s="19">
        <f>INDEX(Data!$H$21:$M$40,MATCH(D19,Data!$B$21:$B$40,0),MATCH(K$9,Data!$H$8:$M$8,0))</f>
        <v/>
      </c>
      <c r="L19" s="20">
        <f>INDEX(Data!$H$21:$M$40,MATCH(D19,Data!$B$21:$B$40,0),MATCH(L$9,Data!$H$8:$M$8,0))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INDEX(Data!$H$21:$M$40,MATCH(D20,Data!$B$21:$B$40,0),MATCH(H$9,Data!$H$8:$M$8,0))</f>
        <v/>
      </c>
      <c r="I20" s="4">
        <f>INDEX(Data!$H$21:$M$40,MATCH(D20,Data!$B$21:$B$40,0),MATCH(I$9,Data!$H$8:$M$8,0))</f>
        <v/>
      </c>
      <c r="J20" s="4">
        <f>INDEX(Data!$H$21:$M$40,MATCH(D20,Data!$B$21:$B$40,0),MATCH(J$9,Data!$H$8:$M$8,0))</f>
        <v/>
      </c>
      <c r="K20" s="4">
        <f>INDEX(Data!$H$21:$M$40,MATCH(D20,Data!$B$21:$B$40,0),MATCH(K$9,Data!$H$8:$M$8,0))</f>
        <v/>
      </c>
      <c r="L20" s="5">
        <f>INDEX(Data!$H$21:$M$40,MATCH(D20,Data!$B$21:$B$40,0),MATCH(L$9,Data!$H$8:$M$8,0))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INDEX(Data!$H$21:$M$40,MATCH(D21,Data!$B$21:$B$40,0),MATCH(H$9,Data!$H$8:$M$8,0))</f>
        <v/>
      </c>
      <c r="I21" s="4">
        <f>INDEX(Data!$H$21:$M$40,MATCH(D21,Data!$B$21:$B$40,0),MATCH(I$9,Data!$H$8:$M$8,0))</f>
        <v/>
      </c>
      <c r="J21" s="4">
        <f>INDEX(Data!$H$21:$M$40,MATCH(D21,Data!$B$21:$B$40,0),MATCH(J$9,Data!$H$8:$M$8,0))</f>
        <v/>
      </c>
      <c r="K21" s="4">
        <f>INDEX(Data!$H$21:$M$40,MATCH(D21,Data!$B$21:$B$40,0),MATCH(K$9,Data!$H$8:$M$8,0))</f>
        <v/>
      </c>
      <c r="L21" s="5">
        <f>INDEX(Data!$H$21:$M$40,MATCH(D21,Data!$B$21:$B$40,0),MATCH(L$9,Data!$H$8:$M$8,0))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INDEX(Data!$H$21:$M$40,MATCH(D22,Data!$B$21:$B$40,0),MATCH(H$9,Data!$H$8:$M$8,0))</f>
        <v/>
      </c>
      <c r="I22" s="4">
        <f>INDEX(Data!$H$21:$M$40,MATCH(D22,Data!$B$21:$B$40,0),MATCH(I$9,Data!$H$8:$M$8,0))</f>
        <v/>
      </c>
      <c r="J22" s="4">
        <f>INDEX(Data!$H$21:$M$40,MATCH(D22,Data!$B$21:$B$40,0),MATCH(J$9,Data!$H$8:$M$8,0))</f>
        <v/>
      </c>
      <c r="K22" s="4">
        <f>INDEX(Data!$H$21:$M$40,MATCH(D22,Data!$B$21:$B$40,0),MATCH(K$9,Data!$H$8:$M$8,0))</f>
        <v/>
      </c>
      <c r="L22" s="5">
        <f>INDEX(Data!$H$21:$M$40,MATCH(D22,Data!$B$21:$B$40,0),MATCH(L$9,Data!$H$8:$M$8,0))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INDEX(Data!$H$21:$M$40,MATCH(D23,Data!$B$21:$B$40,0),MATCH(H$9,Data!$H$8:$M$8,0))</f>
        <v/>
      </c>
      <c r="I23" s="4">
        <f>INDEX(Data!$H$21:$M$40,MATCH(D23,Data!$B$21:$B$40,0),MATCH(I$9,Data!$H$8:$M$8,0))</f>
        <v/>
      </c>
      <c r="J23" s="4">
        <f>INDEX(Data!$H$21:$M$40,MATCH(D23,Data!$B$21:$B$40,0),MATCH(J$9,Data!$H$8:$M$8,0))</f>
        <v/>
      </c>
      <c r="K23" s="4">
        <f>INDEX(Data!$H$21:$M$40,MATCH(D23,Data!$B$21:$B$40,0),MATCH(K$9,Data!$H$8:$M$8,0))</f>
        <v/>
      </c>
      <c r="L23" s="5">
        <f>INDEX(Data!$H$21:$M$40,MATCH(D23,Data!$B$21:$B$40,0),MATCH(L$9,Data!$H$8:$M$8,0))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INDEX(Data!$H$21:$M$40,MATCH(D24,Data!$B$21:$B$40,0),MATCH(H$9,Data!$H$8:$M$8,0))</f>
        <v/>
      </c>
      <c r="I24" s="6">
        <f>INDEX(Data!$H$21:$M$40,MATCH(D24,Data!$B$21:$B$40,0),MATCH(I$9,Data!$H$8:$M$8,0))</f>
        <v/>
      </c>
      <c r="J24" s="6">
        <f>INDEX(Data!$H$21:$M$40,MATCH(D24,Data!$B$21:$B$40,0),MATCH(J$9,Data!$H$8:$M$8,0))</f>
        <v/>
      </c>
      <c r="K24" s="6">
        <f>INDEX(Data!$H$21:$M$40,MATCH(D24,Data!$B$21:$B$40,0),MATCH(K$9,Data!$H$8:$M$8,0))</f>
        <v/>
      </c>
      <c r="L24" s="7">
        <f>INDEX(Data!$H$21:$M$40,MATCH(D24,Data!$B$21:$B$40,0),MATCH(L$9,Data!$H$8:$M$8,0))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INDEX(Data!$H$21:$M$40,MATCH(D26,Data!$B$21:$B$40,0),MATCH(H$9,Data!$H$8:$M$8,0))</f>
        <v/>
      </c>
      <c r="I26" s="19">
        <f>INDEX(Data!$H$21:$M$40,MATCH(D26,Data!$B$21:$B$40,0),MATCH(I$9,Data!$H$8:$M$8,0))</f>
        <v/>
      </c>
      <c r="J26" s="19">
        <f>INDEX(Data!$H$21:$M$40,MATCH(D26,Data!$B$21:$B$40,0),MATCH(J$9,Data!$H$8:$M$8,0))</f>
        <v/>
      </c>
      <c r="K26" s="19">
        <f>INDEX(Data!$H$21:$M$40,MATCH(D26,Data!$B$21:$B$40,0),MATCH(K$9,Data!$H$8:$M$8,0))</f>
        <v/>
      </c>
      <c r="L26" s="20">
        <f>INDEX(Data!$H$21:$M$40,MATCH(D26,Data!$B$21:$B$40,0),MATCH(L$9,Data!$H$8:$M$8,0))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INDEX(Data!$H$21:$M$40,MATCH(D27,Data!$B$21:$B$40,0),MATCH(H$9,Data!$H$8:$M$8,0))</f>
        <v/>
      </c>
      <c r="I27" s="4">
        <f>INDEX(Data!$H$21:$M$40,MATCH(D27,Data!$B$21:$B$40,0),MATCH(I$9,Data!$H$8:$M$8,0))</f>
        <v/>
      </c>
      <c r="J27" s="4">
        <f>INDEX(Data!$H$21:$M$40,MATCH(D27,Data!$B$21:$B$40,0),MATCH(J$9,Data!$H$8:$M$8,0))</f>
        <v/>
      </c>
      <c r="K27" s="4">
        <f>INDEX(Data!$H$21:$M$40,MATCH(D27,Data!$B$21:$B$40,0),MATCH(K$9,Data!$H$8:$M$8,0))</f>
        <v/>
      </c>
      <c r="L27" s="5">
        <f>INDEX(Data!$H$21:$M$40,MATCH(D27,Data!$B$21:$B$40,0),MATCH(L$9,Data!$H$8:$M$8,0))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INDEX(Data!$H$21:$M$40,MATCH(D28,Data!$B$21:$B$40,0),MATCH(H$9,Data!$H$8:$M$8,0))</f>
        <v/>
      </c>
      <c r="I28" s="4">
        <f>INDEX(Data!$H$21:$M$40,MATCH(D28,Data!$B$21:$B$40,0),MATCH(I$9,Data!$H$8:$M$8,0))</f>
        <v/>
      </c>
      <c r="J28" s="4">
        <f>INDEX(Data!$H$21:$M$40,MATCH(D28,Data!$B$21:$B$40,0),MATCH(J$9,Data!$H$8:$M$8,0))</f>
        <v/>
      </c>
      <c r="K28" s="4">
        <f>INDEX(Data!$H$21:$M$40,MATCH(D28,Data!$B$21:$B$40,0),MATCH(K$9,Data!$H$8:$M$8,0))</f>
        <v/>
      </c>
      <c r="L28" s="5">
        <f>INDEX(Data!$H$21:$M$40,MATCH(D28,Data!$B$21:$B$40,0),MATCH(L$9,Data!$H$8:$M$8,0))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INDEX(Data!$H$21:$M$40,MATCH(D29,Data!$B$21:$B$40,0),MATCH(H$9,Data!$H$8:$M$8,0))</f>
        <v/>
      </c>
      <c r="I29" s="4">
        <f>INDEX(Data!$H$21:$M$40,MATCH(D29,Data!$B$21:$B$40,0),MATCH(I$9,Data!$H$8:$M$8,0))</f>
        <v/>
      </c>
      <c r="J29" s="4">
        <f>INDEX(Data!$H$21:$M$40,MATCH(D29,Data!$B$21:$B$40,0),MATCH(J$9,Data!$H$8:$M$8,0))</f>
        <v/>
      </c>
      <c r="K29" s="4">
        <f>INDEX(Data!$H$21:$M$40,MATCH(D29,Data!$B$21:$B$40,0),MATCH(K$9,Data!$H$8:$M$8,0))</f>
        <v/>
      </c>
      <c r="L29" s="5">
        <f>INDEX(Data!$H$21:$M$40,MATCH(D29,Data!$B$21:$B$40,0),MATCH(L$9,Data!$H$8:$M$8,0))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INDEX(Data!$H$21:$M$40,MATCH(D30,Data!$B$21:$B$40,0),MATCH(H$9,Data!$H$8:$M$8,0))</f>
        <v/>
      </c>
      <c r="I30" s="4">
        <f>INDEX(Data!$H$21:$M$40,MATCH(D30,Data!$B$21:$B$40,0),MATCH(I$9,Data!$H$8:$M$8,0))</f>
        <v/>
      </c>
      <c r="J30" s="4">
        <f>INDEX(Data!$H$21:$M$40,MATCH(D30,Data!$B$21:$B$40,0),MATCH(J$9,Data!$H$8:$M$8,0))</f>
        <v/>
      </c>
      <c r="K30" s="4">
        <f>INDEX(Data!$H$21:$M$40,MATCH(D30,Data!$B$21:$B$40,0),MATCH(K$9,Data!$H$8:$M$8,0))</f>
        <v/>
      </c>
      <c r="L30" s="5">
        <f>INDEX(Data!$H$21:$M$40,MATCH(D30,Data!$B$21:$B$40,0),MATCH(L$9,Data!$H$8:$M$8,0))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INDEX(Data!$H$21:$M$40,MATCH(D31,Data!$B$21:$B$40,0),MATCH(H$9,Data!$H$8:$M$8,0))</f>
        <v/>
      </c>
      <c r="I31" s="6">
        <f>INDEX(Data!$H$21:$M$40,MATCH(D31,Data!$B$21:$B$40,0),MATCH(I$9,Data!$H$8:$M$8,0))</f>
        <v/>
      </c>
      <c r="J31" s="6">
        <f>INDEX(Data!$H$21:$M$40,MATCH(D31,Data!$B$21:$B$40,0),MATCH(J$9,Data!$H$8:$M$8,0))</f>
        <v/>
      </c>
      <c r="K31" s="6">
        <f>INDEX(Data!$H$21:$M$40,MATCH(D31,Data!$B$21:$B$40,0),MATCH(K$9,Data!$H$8:$M$8,0))</f>
        <v/>
      </c>
      <c r="L31" s="7">
        <f>INDEX(Data!$H$21:$M$40,MATCH(D31,Data!$B$21:$B$40,0),MATCH(L$9,Data!$H$8:$M$8,0))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</f>
        <v/>
      </c>
      <c r="I35" s="19">
        <f>(I12-I19)/I26</f>
        <v/>
      </c>
      <c r="J35" s="19">
        <f>(J12-J19)/J26</f>
        <v/>
      </c>
      <c r="K35" s="19">
        <f>(K12-K19)/K26</f>
        <v/>
      </c>
      <c r="L35" s="20">
        <f>(L12-L19)/L26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</f>
        <v/>
      </c>
      <c r="I36" s="4">
        <f>(I13-I20)/I27</f>
        <v/>
      </c>
      <c r="J36" s="4">
        <f>(J13-J20)/J27</f>
        <v/>
      </c>
      <c r="K36" s="4">
        <f>(K13-K20)/K27</f>
        <v/>
      </c>
      <c r="L36" s="5">
        <f>(L13-L20)/L27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</f>
        <v/>
      </c>
      <c r="I37" s="4">
        <f>(I14-I21)/I28</f>
        <v/>
      </c>
      <c r="J37" s="4">
        <f>(J14-J21)/J28</f>
        <v/>
      </c>
      <c r="K37" s="4">
        <f>(K14-K21)/K28</f>
        <v/>
      </c>
      <c r="L37" s="5">
        <f>(L14-L21)/L28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</f>
        <v/>
      </c>
      <c r="I38" s="4">
        <f>(I15-I22)/I29</f>
        <v/>
      </c>
      <c r="J38" s="4">
        <f>(J15-J22)/J29</f>
        <v/>
      </c>
      <c r="K38" s="4">
        <f>(K15-K22)/K29</f>
        <v/>
      </c>
      <c r="L38" s="5">
        <f>(L15-L22)/L29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</f>
        <v/>
      </c>
      <c r="I39" s="4">
        <f>(I16-I23)/I30</f>
        <v/>
      </c>
      <c r="J39" s="4">
        <f>(J16-J23)/J30</f>
        <v/>
      </c>
      <c r="K39" s="4">
        <f>(K16-K23)/K30</f>
        <v/>
      </c>
      <c r="L39" s="5">
        <f>(L16-L23)/L30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</f>
        <v/>
      </c>
      <c r="I40" s="6">
        <f>(I17-I24)/I31</f>
        <v/>
      </c>
      <c r="J40" s="6">
        <f>(J17-J24)/J31</f>
        <v/>
      </c>
      <c r="K40" s="6">
        <f>(K17-K24)/K31</f>
        <v/>
      </c>
      <c r="L40" s="7">
        <f>(L17-L24)/L31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inlineStr">
        <is>
          <t>Net exports, percent of GDP, min</t>
        </is>
      </c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MIN(H$35:H$40)</f>
        <v/>
      </c>
      <c r="I42" s="19">
        <f>MIN(I$35:I$40)</f>
        <v/>
      </c>
      <c r="J42" s="19">
        <f>MIN(J$35:J$40)</f>
        <v/>
      </c>
      <c r="K42" s="19">
        <f>MIN(K$35:K$40)</f>
        <v/>
      </c>
      <c r="L42" s="20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inlineStr">
        <is>
          <t>Net exports, percent of GDP, max</t>
        </is>
      </c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MAX(H$35:H$40)</f>
        <v/>
      </c>
      <c r="I43" s="4">
        <f>MAX(I$35:I$40)</f>
        <v/>
      </c>
      <c r="J43" s="4">
        <f>MAX(J$35:J$40)</f>
        <v/>
      </c>
      <c r="K43" s="4">
        <f>MAX(K$35:K$40)</f>
        <v/>
      </c>
      <c r="L43" s="5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inlineStr">
        <is>
          <t>Net exports, percent of GDP, median</t>
        </is>
      </c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MEDIAN(H$35:H$40)</f>
        <v/>
      </c>
      <c r="I44" s="4">
        <f>MEDIAN(I$35:I$40)</f>
        <v/>
      </c>
      <c r="J44" s="4">
        <f>MEDIAN(J$35:J$40)</f>
        <v/>
      </c>
      <c r="K44" s="4">
        <f>MEDIAN(K$35:K$40)</f>
        <v/>
      </c>
      <c r="L44" s="5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inlineStr">
        <is>
          <t>Net exports, percent of GDP, mean</t>
        </is>
      </c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AVERAGE(H$35:H$40)</f>
        <v/>
      </c>
      <c r="I45" s="4">
        <f>AVERAGE(I$35:I$40)</f>
        <v/>
      </c>
      <c r="J45" s="4">
        <f>AVERAGE(J$35:J$40)</f>
        <v/>
      </c>
      <c r="K45" s="4">
        <f>AVERAGE(K$35:K$40)</f>
        <v/>
      </c>
      <c r="L45" s="5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inlineStr">
        <is>
          <t>Net exports, percent of GDP, 25th percentile</t>
        </is>
      </c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PERCENTILE.INC(H$35:H$40,0.25)</f>
        <v/>
      </c>
      <c r="I46" s="4">
        <f>PERCENTILE.INC(I$35:I$40,0.25)</f>
        <v/>
      </c>
      <c r="J46" s="4">
        <f>PERCENTILE.INC(J$35:J$40,0.25)</f>
        <v/>
      </c>
      <c r="K46" s="4">
        <f>PERCENTILE.INC(K$35:K$40,0.25)</f>
        <v/>
      </c>
      <c r="L46" s="5">
        <f>PERCENTILE.INC(L$35:L$40,0.25)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B47" t="inlineStr">
        <is>
          <t>Net exports, percent of GDP, 75th percentile</t>
        </is>
      </c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PERCENTILE.INC(H$35:H$40,0.75)</f>
        <v/>
      </c>
      <c r="I47" s="6">
        <f>PERCENTILE.INC(I$35:I$40,0.75)</f>
        <v/>
      </c>
      <c r="J47" s="6">
        <f>PERCENTILE.INC(J$35:J$40,0.75)</f>
        <v/>
      </c>
      <c r="K47" s="6">
        <f>PERCENTILE.INC(K$35:K$40,0.75)</f>
        <v/>
      </c>
      <c r="L47" s="7">
        <f>PERCENTILE.INC(L$35:L$40,0.75)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B48" t="inlineStr">
        <is>
          <t>Net exports, percent of GDP, weighted mean</t>
        </is>
      </c>
      <c r="C48" s="1" t="n"/>
      <c r="E48" s="1" t="n"/>
      <c r="F48" s="1" t="n"/>
      <c r="G48" s="1" t="n"/>
      <c r="H48" s="1">
        <f>SUMPRODUCT(H$35:H$40,H$26:H$31)/SUM(H$26:H$31)</f>
        <v/>
      </c>
      <c r="I48" s="1">
        <f>SUMPRODUCT(I$35:I$40,I$26:I$31)/SUM(I$26:I$31)</f>
        <v/>
      </c>
      <c r="J48" s="1">
        <f>SUMPRODUCT(J$35:J$40,J$26:J$31)/SUM(J$26:J$31)</f>
        <v/>
      </c>
      <c r="K48" s="1">
        <f>SUMPRODUCT(K$35:K$40,K$26:K$31)/SUM(K$26:K$31)</f>
        <v/>
      </c>
      <c r="L48" s="1">
        <f>SUMPRODUCT(L$35:L$40,L$26:L$31)/SUM(L$26:L$31)</f>
        <v/>
      </c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 t="n"/>
      <c r="I50" s="26" t="n"/>
      <c r="J50" s="26" t="n"/>
      <c r="K50" s="26" t="n"/>
      <c r="L50" s="27" t="n"/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2026-01-29T04:08:00Z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