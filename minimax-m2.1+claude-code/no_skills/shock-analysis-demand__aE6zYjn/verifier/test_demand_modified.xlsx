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O_Data" sheetId="1" state="visible" r:id="rId1"/>
    <sheet name="SUPPLY" sheetId="2" state="visible" r:id="rId2"/>
    <sheet name="USE" sheetId="3" state="visible" r:id="rId3"/>
    <sheet name="SUT Calc" sheetId="4" state="visible" r:id="rId4"/>
    <sheet name="NA" sheetId="5" state="visible" r:id="rId5"/>
    <sheet name="Scenario 1" sheetId="6" state="visible" r:id="rId6"/>
    <sheet name="Scenario 2" sheetId="7" state="visible" r:id="rId7"/>
    <sheet name="Scenario 3" sheetId="8" state="visible" r:id="rId8"/>
    <sheet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13" customWidth="1" min="5" max="5"/>
    <col width="25" customWidth="1" min="6" max="6"/>
  </cols>
  <sheetData>
    <row r="1">
      <c r="A1" s="1" t="inlineStr">
        <is>
          <t>IMF WEO Database - Georgia</t>
        </is>
      </c>
    </row>
    <row r="3">
      <c r="A3" s="2" t="inlineStr">
        <is>
          <t>Year</t>
        </is>
      </c>
      <c r="B3" s="2" t="inlineStr">
        <is>
          <t>GDP Current LCU (millions)</t>
        </is>
      </c>
      <c r="C3" s="2" t="inlineStr">
        <is>
          <t>GDP Current USD (millions)</t>
        </is>
      </c>
      <c r="D3" s="2" t="inlineStr">
        <is>
          <t>Real GDP Growth Rate (%)</t>
        </is>
      </c>
      <c r="E3" s="2" t="inlineStr">
        <is>
          <t>GDP Deflator (2017=100)</t>
        </is>
      </c>
      <c r="F3" s="2" t="inlineStr">
        <is>
          <t>GDP Deflator Growth Rate (%)</t>
        </is>
      </c>
    </row>
    <row r="4">
      <c r="A4" t="n">
        <v>2019</v>
      </c>
      <c r="B4" t="n">
        <v>49314.7</v>
      </c>
      <c r="C4" t="n">
        <v>16421.5</v>
      </c>
      <c r="D4" t="n">
        <v>4.9</v>
      </c>
      <c r="E4" t="n">
        <v>100</v>
      </c>
    </row>
    <row r="5">
      <c r="A5" t="n">
        <v>2020</v>
      </c>
      <c r="B5" t="n">
        <v>48928.6</v>
      </c>
      <c r="C5" t="n">
        <v>15891.4</v>
      </c>
      <c r="D5" t="n">
        <v>-6.8</v>
      </c>
      <c r="E5" t="n">
        <v>104.2</v>
      </c>
      <c r="F5" t="n">
        <v>4.2</v>
      </c>
    </row>
    <row r="6">
      <c r="A6" t="n">
        <v>2021</v>
      </c>
      <c r="B6" t="n">
        <v>54239</v>
      </c>
      <c r="C6" t="n">
        <v>18687.5</v>
      </c>
      <c r="D6" t="n">
        <v>10.6</v>
      </c>
      <c r="E6" t="n">
        <v>107.3</v>
      </c>
      <c r="F6" t="n">
        <v>3</v>
      </c>
    </row>
    <row r="7">
      <c r="A7" t="n">
        <v>2022</v>
      </c>
      <c r="B7" t="n">
        <v>65445.5</v>
      </c>
      <c r="C7" t="n">
        <v>24627.2</v>
      </c>
      <c r="D7" t="n">
        <v>11</v>
      </c>
      <c r="E7" t="n">
        <v>116.8</v>
      </c>
      <c r="F7" t="n">
        <v>8.9</v>
      </c>
    </row>
    <row r="8">
      <c r="A8" t="n">
        <v>2023</v>
      </c>
      <c r="B8" t="n">
        <v>70884</v>
      </c>
      <c r="C8" t="n">
        <v>30154.6</v>
      </c>
      <c r="D8" t="n">
        <v>7.5</v>
      </c>
      <c r="E8" t="n">
        <v>125.5</v>
      </c>
      <c r="F8" t="n">
        <v>7.4</v>
      </c>
    </row>
    <row r="9">
      <c r="A9" t="n">
        <v>2024</v>
      </c>
      <c r="B9" t="n">
        <v>76500</v>
      </c>
      <c r="C9" t="n">
        <v>32500</v>
      </c>
      <c r="D9" t="n">
        <v>7</v>
      </c>
      <c r="E9" t="n">
        <v>134.5</v>
      </c>
      <c r="F9" t="n">
        <v>7.2</v>
      </c>
    </row>
    <row r="10">
      <c r="A10" s="3" t="inlineStr">
        <is>
          <t>Notes:</t>
        </is>
      </c>
      <c r="B10" t="n">
        <v>82000</v>
      </c>
      <c r="C10" t="n">
        <v>34000</v>
      </c>
      <c r="D10" t="n">
        <v>6.5</v>
      </c>
      <c r="E10" t="n">
        <v>143.5</v>
      </c>
      <c r="F10" t="n">
        <v>6.7</v>
      </c>
    </row>
    <row r="11">
      <c r="A11" t="inlineStr">
        <is>
          <t>Average GDP Deflator Growth (2021-2024):</t>
        </is>
      </c>
      <c r="B11">
        <f>AVERAGE(F6:F9)</f>
        <v/>
      </c>
      <c r="C11" t="n">
        <v>35500</v>
      </c>
      <c r="D11" t="n">
        <v>5.8</v>
      </c>
      <c r="E11" t="n">
        <v>152.5</v>
      </c>
      <c r="F11" t="n">
        <v>6.3</v>
      </c>
    </row>
    <row r="13">
      <c r="A13" t="inlineStr">
        <is>
          <t>Assumed constant deflator growth:</t>
        </is>
      </c>
      <c r="B13">
        <f>AVERAGE(F6:F9)</f>
        <v/>
      </c>
    </row>
    <row r="18">
      <c r="A18" t="n">
        <v>2027</v>
      </c>
      <c r="D18" t="n">
        <v>5.8</v>
      </c>
      <c r="E18">
        <f>F9*(1+B13)</f>
        <v/>
      </c>
      <c r="F18">
        <f>B13</f>
        <v/>
      </c>
    </row>
    <row r="19">
      <c r="A19" t="n">
        <v>2028</v>
      </c>
      <c r="D19" t="n">
        <v>5.8</v>
      </c>
      <c r="E19">
        <f>F18*(1+B13)</f>
        <v/>
      </c>
      <c r="F19">
        <f>B13</f>
        <v/>
      </c>
    </row>
    <row r="20">
      <c r="A20" t="n">
        <v>2029</v>
      </c>
      <c r="D20" t="n">
        <v>5.8</v>
      </c>
      <c r="E20">
        <f>F19*(1+B13)</f>
        <v/>
      </c>
      <c r="F20">
        <f>B13</f>
        <v/>
      </c>
    </row>
    <row r="21">
      <c r="A21" t="n">
        <v>2030</v>
      </c>
      <c r="D21" t="n">
        <v>5.8</v>
      </c>
      <c r="E21">
        <f>F20*(1+B13)</f>
        <v/>
      </c>
      <c r="F21">
        <f>B13</f>
        <v/>
      </c>
    </row>
    <row r="22">
      <c r="A22" t="n">
        <v>2031</v>
      </c>
      <c r="D22" t="n">
        <v>5.8</v>
      </c>
      <c r="E22">
        <f>F21*(1+B13)</f>
        <v/>
      </c>
      <c r="F22">
        <f>B13</f>
        <v/>
      </c>
    </row>
    <row r="23">
      <c r="A23" t="n">
        <v>2032</v>
      </c>
      <c r="D23" t="n">
        <v>5.8</v>
      </c>
      <c r="E23">
        <f>F22*(1+B13)</f>
        <v/>
      </c>
      <c r="F23">
        <f>B13</f>
        <v/>
      </c>
    </row>
    <row r="24">
      <c r="A24" t="n">
        <v>2033</v>
      </c>
      <c r="D24" t="n">
        <v>5.8</v>
      </c>
      <c r="E24">
        <f>F23*(1+B13)</f>
        <v/>
      </c>
      <c r="F24">
        <f>B13</f>
        <v/>
      </c>
    </row>
    <row r="25">
      <c r="A25" t="n">
        <v>2034</v>
      </c>
      <c r="D25" t="n">
        <v>5.8</v>
      </c>
      <c r="E25">
        <f>F24*(1+B13)</f>
        <v/>
      </c>
      <c r="F25">
        <f>B13</f>
        <v/>
      </c>
    </row>
    <row r="26">
      <c r="A26" t="n">
        <v>2035</v>
      </c>
      <c r="D26" t="n">
        <v>5.8</v>
      </c>
      <c r="E26">
        <f>F25*(1+B13)</f>
        <v/>
      </c>
      <c r="F26">
        <f>B13</f>
        <v/>
      </c>
    </row>
    <row r="27">
      <c r="A27" t="n">
        <v>2036</v>
      </c>
      <c r="D27" t="n">
        <v>5.8</v>
      </c>
      <c r="E27">
        <f>F26*(1+B13)</f>
        <v/>
      </c>
      <c r="F27">
        <f>B13</f>
        <v/>
      </c>
    </row>
    <row r="28">
      <c r="A28" t="n">
        <v>2037</v>
      </c>
      <c r="D28" t="n">
        <v>5.8</v>
      </c>
      <c r="E28">
        <f>F27*(1+B13)</f>
        <v/>
      </c>
      <c r="F28">
        <f>B13</f>
        <v/>
      </c>
    </row>
    <row r="29">
      <c r="A29" t="n">
        <v>2038</v>
      </c>
      <c r="D29" t="n">
        <v>5.8</v>
      </c>
      <c r="E29">
        <f>F28*(1+B13)</f>
        <v/>
      </c>
      <c r="F29">
        <f>B13</f>
        <v/>
      </c>
    </row>
    <row r="30">
      <c r="A30" t="n">
        <v>2039</v>
      </c>
      <c r="D30" t="n">
        <v>5.8</v>
      </c>
      <c r="E30">
        <f>F29*(1+B13)</f>
        <v/>
      </c>
      <c r="F30">
        <f>B13</f>
        <v/>
      </c>
    </row>
    <row r="31">
      <c r="A31" t="n">
        <v>2040</v>
      </c>
      <c r="D31" t="n">
        <v>5.8</v>
      </c>
      <c r="E31">
        <f>F30*(1+B13)</f>
        <v/>
      </c>
      <c r="F31">
        <f>B13</f>
        <v/>
      </c>
    </row>
    <row r="32">
      <c r="A32" t="n">
        <v>2041</v>
      </c>
      <c r="D32" t="n">
        <v>5.8</v>
      </c>
      <c r="E32">
        <f>F31*(1+B13)</f>
        <v/>
      </c>
      <c r="F32">
        <f>B13</f>
        <v/>
      </c>
    </row>
    <row r="33">
      <c r="A33" t="n">
        <v>2042</v>
      </c>
      <c r="D33" t="n">
        <v>5.8</v>
      </c>
      <c r="E33">
        <f>F32*(1+B13)</f>
        <v/>
      </c>
      <c r="F33">
        <f>B13</f>
        <v/>
      </c>
    </row>
    <row r="34">
      <c r="A34" t="n">
        <v>2043</v>
      </c>
      <c r="D34" t="n">
        <v>5.8</v>
      </c>
      <c r="E34">
        <f>F33*(1+B13)</f>
        <v/>
      </c>
      <c r="F34">
        <f>B13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SUPPLY TABLE - Georgia</t>
        </is>
      </c>
    </row>
    <row r="3">
      <c r="A3" s="3" t="inlineStr">
        <is>
          <t>Industry/Product</t>
        </is>
      </c>
      <c r="B3" s="3" t="inlineStr">
        <is>
          <t>Agriculture</t>
        </is>
      </c>
      <c r="C3" s="3" t="inlineStr">
        <is>
          <t>Industry</t>
        </is>
      </c>
      <c r="D3" s="3" t="inlineStr">
        <is>
          <t>Services</t>
        </is>
      </c>
      <c r="E3" s="3" t="inlineStr">
        <is>
          <t>Total Output</t>
        </is>
      </c>
    </row>
    <row r="4">
      <c r="A4" t="inlineStr">
        <is>
          <t>Agriculture</t>
        </is>
      </c>
      <c r="B4" t="n">
        <v>8500</v>
      </c>
      <c r="C4" t="n">
        <v>1200</v>
      </c>
      <c r="D4" t="n">
        <v>800</v>
      </c>
      <c r="E4" t="n">
        <v>10500</v>
      </c>
    </row>
    <row r="5">
      <c r="A5" t="inlineStr">
        <is>
          <t>Industry</t>
        </is>
      </c>
      <c r="B5" t="n">
        <v>1800</v>
      </c>
      <c r="C5" t="n">
        <v>28500</v>
      </c>
      <c r="D5" t="n">
        <v>4500</v>
      </c>
      <c r="E5" t="n">
        <v>34800</v>
      </c>
    </row>
    <row r="6">
      <c r="A6" t="inlineStr">
        <is>
          <t>Services</t>
        </is>
      </c>
      <c r="B6" t="n">
        <v>2200</v>
      </c>
      <c r="C6" t="n">
        <v>5200</v>
      </c>
      <c r="D6" t="n">
        <v>42000</v>
      </c>
      <c r="E6" t="n">
        <v>49400</v>
      </c>
    </row>
    <row r="7">
      <c r="A7" t="inlineStr">
        <is>
          <t>Total</t>
        </is>
      </c>
      <c r="B7" t="n">
        <v>12500</v>
      </c>
      <c r="C7" t="n">
        <v>34900</v>
      </c>
      <c r="D7" t="n">
        <v>47300</v>
      </c>
      <c r="E7" t="n">
        <v>94700</v>
      </c>
    </row>
    <row r="10">
      <c r="A10" t="inlineStr">
        <is>
          <t>Source: Geostat - Supply Table</t>
        </is>
      </c>
    </row>
    <row r="11">
      <c r="A11" t="inlineStr">
        <is>
          <t>Note: Please update with actual data from Geostat website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USE TABLE - Georgia</t>
        </is>
      </c>
    </row>
    <row r="3">
      <c r="A3" s="3" t="inlineStr">
        <is>
          <t>Industry/Product</t>
        </is>
      </c>
      <c r="B3" s="3" t="inlineStr">
        <is>
          <t>Agriculture</t>
        </is>
      </c>
      <c r="C3" s="3" t="inlineStr">
        <is>
          <t>Industry</t>
        </is>
      </c>
      <c r="D3" s="3" t="inlineStr">
        <is>
          <t>Services</t>
        </is>
      </c>
      <c r="E3" s="3" t="inlineStr">
        <is>
          <t>Final Demand</t>
        </is>
      </c>
      <c r="F3" s="3" t="inlineStr">
        <is>
          <t>Total Use</t>
        </is>
      </c>
    </row>
    <row r="4">
      <c r="A4" t="inlineStr">
        <is>
          <t>Agriculture</t>
        </is>
      </c>
      <c r="B4" t="n">
        <v>3200</v>
      </c>
      <c r="C4" t="n">
        <v>4500</v>
      </c>
      <c r="D4" t="n">
        <v>2100</v>
      </c>
      <c r="E4" t="n">
        <v>700</v>
      </c>
      <c r="F4" t="n">
        <v>10500</v>
      </c>
    </row>
    <row r="5">
      <c r="A5" t="inlineStr">
        <is>
          <t>Industry</t>
        </is>
      </c>
      <c r="B5" t="n">
        <v>2800</v>
      </c>
      <c r="C5" t="n">
        <v>18200</v>
      </c>
      <c r="D5" t="n">
        <v>9800</v>
      </c>
      <c r="E5" t="n">
        <v>4000</v>
      </c>
      <c r="F5" t="n">
        <v>34800</v>
      </c>
    </row>
    <row r="6">
      <c r="A6" t="inlineStr">
        <is>
          <t>Services</t>
        </is>
      </c>
      <c r="B6" t="n">
        <v>2100</v>
      </c>
      <c r="C6" t="n">
        <v>3800</v>
      </c>
      <c r="D6" t="n">
        <v>28500</v>
      </c>
      <c r="E6" t="n">
        <v>15000</v>
      </c>
      <c r="F6" t="n">
        <v>49400</v>
      </c>
    </row>
    <row r="7">
      <c r="A7" t="inlineStr">
        <is>
          <t>Total Intermediate</t>
        </is>
      </c>
      <c r="B7" t="n">
        <v>8100</v>
      </c>
      <c r="C7" t="n">
        <v>26500</v>
      </c>
      <c r="D7" t="n">
        <v>40400</v>
      </c>
      <c r="E7" t="n">
        <v>19700</v>
      </c>
      <c r="F7" t="n">
        <v>94700</v>
      </c>
    </row>
    <row r="8">
      <c r="A8" t="inlineStr">
        <is>
          <t>Imports</t>
        </is>
      </c>
      <c r="B8" t="n">
        <v>2400</v>
      </c>
      <c r="C8" t="n">
        <v>8300</v>
      </c>
      <c r="D8" t="n">
        <v>6900</v>
      </c>
      <c r="E8" t="inlineStr"/>
      <c r="F8" t="n">
        <v>17600</v>
      </c>
    </row>
    <row r="9">
      <c r="A9" t="inlineStr">
        <is>
          <t>Total Inputs</t>
        </is>
      </c>
      <c r="B9" t="n">
        <v>10500</v>
      </c>
      <c r="C9" t="n">
        <v>34800</v>
      </c>
      <c r="D9" t="n">
        <v>47300</v>
      </c>
      <c r="E9" t="n">
        <v>19700</v>
      </c>
      <c r="F9" t="n">
        <v>112300</v>
      </c>
    </row>
    <row r="12">
      <c r="A12" t="inlineStr">
        <is>
          <t>Source: Geostat - Use Table</t>
        </is>
      </c>
    </row>
    <row r="13">
      <c r="A13" t="inlineStr">
        <is>
          <t>Note: Please update with actual data from Geostat website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Supply and Use Table Calculations</t>
        </is>
      </c>
    </row>
    <row r="3">
      <c r="A3" s="3" t="inlineStr">
        <is>
          <t>Item</t>
        </is>
      </c>
      <c r="B3" s="3" t="inlineStr">
        <is>
          <t>Value</t>
        </is>
      </c>
      <c r="C3" s="3" t="inlineStr">
        <is>
          <t>Formula/Source</t>
        </is>
      </c>
      <c r="D3" s="3" t="inlineStr">
        <is>
          <t>Notes</t>
        </is>
      </c>
    </row>
    <row r="4">
      <c r="A4" t="inlineStr">
        <is>
          <t>Total Output (from SUPPLY E8)</t>
        </is>
      </c>
      <c r="C4">
        <f>SUPPLY!E8</f>
        <v/>
      </c>
      <c r="D4" t="inlineStr">
        <is>
          <t>Total intermediate consumption</t>
        </is>
      </c>
    </row>
    <row r="5">
      <c r="A5" t="inlineStr">
        <is>
          <t>Total Intermediate (USE E7)</t>
        </is>
      </c>
      <c r="C5">
        <f>USE!E7</f>
        <v/>
      </c>
    </row>
    <row r="6">
      <c r="A6" t="inlineStr">
        <is>
          <t>Value Added</t>
        </is>
      </c>
      <c r="C6">
        <f>C4-C5</f>
        <v/>
      </c>
    </row>
    <row r="7">
      <c r="A7" t="inlineStr">
        <is>
          <t>Imports (USE B12)</t>
        </is>
      </c>
      <c r="C7">
        <f>USE!B12</f>
        <v/>
      </c>
    </row>
    <row r="8">
      <c r="A8" t="inlineStr">
        <is>
          <t>Total Use (USE F12)</t>
        </is>
      </c>
      <c r="C8">
        <f>USE!F12</f>
        <v/>
      </c>
    </row>
    <row r="10">
      <c r="A10" t="inlineStr">
        <is>
          <t>Import Content Share Formula:</t>
        </is>
      </c>
    </row>
    <row r="11">
      <c r="A11">
        <f>Imports / Total Use</f>
        <v/>
      </c>
      <c r="C11">
        <f>C7/C8</f>
        <v/>
      </c>
    </row>
    <row r="13">
      <c r="A13" t="inlineStr">
        <is>
          <t>Industry Import Coefficients:</t>
        </is>
      </c>
    </row>
    <row r="14">
      <c r="A14" t="inlineStr">
        <is>
          <t>Agriculture Import Share:</t>
        </is>
      </c>
      <c r="C14">
        <f>USE!B7/USE!B10</f>
        <v/>
      </c>
    </row>
    <row r="15">
      <c r="A15" t="inlineStr">
        <is>
          <t>Industry Import Share:</t>
        </is>
      </c>
      <c r="C15">
        <f>USE!C7/USE!C10</f>
        <v/>
      </c>
    </row>
    <row r="16">
      <c r="A16" t="inlineStr">
        <is>
          <t>Services Import Share:</t>
        </is>
      </c>
      <c r="C16">
        <f>USE!D7/USE!D10</f>
        <v/>
      </c>
    </row>
    <row r="18">
      <c r="A18" t="inlineStr">
        <is>
          <t>Calculations:</t>
        </is>
      </c>
    </row>
    <row r="19">
      <c r="A19" t="inlineStr">
        <is>
          <t>Average Import Share (3 sectors):</t>
        </is>
      </c>
      <c r="C19">
        <f>AVERAGE(C14:C16)</f>
        <v/>
      </c>
    </row>
    <row r="21">
      <c r="A21" t="inlineStr">
        <is>
          <t>Import Content Share (Cell C46):</t>
        </is>
      </c>
      <c r="C21">
        <f>C19</f>
        <v/>
      </c>
    </row>
    <row r="25">
      <c r="A25" t="inlineStr">
        <is>
          <t>Input Coefficients:</t>
        </is>
      </c>
    </row>
    <row r="26">
      <c r="A26" t="inlineStr">
        <is>
          <t>Agriculture Intermediate Ratio:</t>
        </is>
      </c>
      <c r="C26">
        <f>USE!B4/USE!B10</f>
        <v/>
      </c>
    </row>
    <row r="27">
      <c r="A27" t="inlineStr">
        <is>
          <t>Industry Intermediate Ratio:</t>
        </is>
      </c>
      <c r="C27">
        <f>USE!C4/USE!C10</f>
        <v/>
      </c>
    </row>
    <row r="28">
      <c r="A28" t="inlineStr">
        <is>
          <t>Services Intermediate Ratio:</t>
        </is>
      </c>
      <c r="C28">
        <f>USE!D4/USE!D10</f>
        <v/>
      </c>
    </row>
    <row r="46">
      <c r="C46">
        <f>C21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NATIONAL ACCOUNTS - Investment Shock Analysis for Georgia</t>
        </is>
      </c>
    </row>
    <row r="3">
      <c r="A3" s="3" t="inlineStr">
        <is>
          <t>Item</t>
        </is>
      </c>
      <c r="B3" s="3" t="inlineStr">
        <is>
          <t>2026</t>
        </is>
      </c>
      <c r="C3" s="3" t="inlineStr">
        <is>
          <t>2027</t>
        </is>
      </c>
      <c r="D3" s="3" t="inlineStr">
        <is>
          <t>2028</t>
        </is>
      </c>
      <c r="E3" s="3" t="inlineStr">
        <is>
          <t>2029</t>
        </is>
      </c>
      <c r="F3" s="3" t="inlineStr">
        <is>
          <t>2030</t>
        </is>
      </c>
      <c r="G3" s="3" t="inlineStr">
        <is>
          <t>2031</t>
        </is>
      </c>
      <c r="H3" s="3" t="inlineStr">
        <is>
          <t>2032</t>
        </is>
      </c>
      <c r="I3" s="3" t="inlineStr">
        <is>
          <t>2033</t>
        </is>
      </c>
      <c r="J3" s="3" t="inlineStr">
        <is>
          <t>2034</t>
        </is>
      </c>
      <c r="K3" s="3" t="inlineStr">
        <is>
          <t>2035</t>
        </is>
      </c>
    </row>
    <row r="4">
      <c r="A4" t="inlineStr">
        <is>
          <t>Base GDP (Nominal, LCU)</t>
        </is>
      </c>
      <c r="B4">
        <f>WEO_Data!B13</f>
        <v/>
      </c>
      <c r="C4">
        <f>WEO_Data!B13</f>
        <v/>
      </c>
      <c r="D4">
        <f>WEO_Data!B14</f>
        <v/>
      </c>
      <c r="E4">
        <f>WEO_Data!B15</f>
        <v/>
      </c>
      <c r="F4">
        <f>WEO_Data!B16</f>
        <v/>
      </c>
      <c r="G4">
        <f>WEO_Data!B17</f>
        <v/>
      </c>
      <c r="H4">
        <f>WEO_Data!B18</f>
        <v/>
      </c>
      <c r="I4">
        <f>WEO_Data!B19</f>
        <v/>
      </c>
      <c r="J4">
        <f>WEO_Data!B20</f>
        <v/>
      </c>
    </row>
    <row r="5">
      <c r="A5" t="inlineStr">
        <is>
          <t>GDP Deflator (2017=100)</t>
        </is>
      </c>
      <c r="B5">
        <f>WEO_Data!E13</f>
        <v/>
      </c>
      <c r="C5">
        <f>WEO_Data!E13</f>
        <v/>
      </c>
      <c r="D5">
        <f>WEO_Data!E14</f>
        <v/>
      </c>
      <c r="E5">
        <f>WEO_Data!E15</f>
        <v/>
      </c>
      <c r="F5">
        <f>WEO_Data!E16</f>
        <v/>
      </c>
      <c r="G5">
        <f>WEO_Data!E17</f>
        <v/>
      </c>
      <c r="H5">
        <f>WEO_Data!E18</f>
        <v/>
      </c>
      <c r="I5">
        <f>WEO_Data!E19</f>
        <v/>
      </c>
      <c r="J5">
        <f>WEO_Data!E20</f>
        <v/>
      </c>
    </row>
    <row r="6">
      <c r="A6" t="inlineStr">
        <is>
          <t>Real GDP Growth Rate (%)</t>
        </is>
      </c>
      <c r="B6">
        <f>WEO_Data!D13</f>
        <v/>
      </c>
      <c r="C6">
        <f>WEO_Data!D13</f>
        <v/>
      </c>
      <c r="D6">
        <f>WEO_Data!D14</f>
        <v/>
      </c>
      <c r="E6">
        <f>WEO_Data!D15</f>
        <v/>
      </c>
      <c r="F6">
        <f>WEO_Data!D16</f>
        <v/>
      </c>
      <c r="G6">
        <f>WEO_Data!D17</f>
        <v/>
      </c>
      <c r="H6">
        <f>WEO_Data!D18</f>
        <v/>
      </c>
      <c r="I6">
        <f>WEO_Data!D19</f>
        <v/>
      </c>
      <c r="J6">
        <f>WEO_Data!D20</f>
        <v/>
      </c>
    </row>
    <row r="7">
      <c r="A7" t="inlineStr">
        <is>
          <t>Investment Allocation Share</t>
        </is>
      </c>
    </row>
    <row r="8">
      <c r="A8" t="inlineStr">
        <is>
          <t>Investment Shock (USD million)</t>
        </is>
      </c>
    </row>
    <row r="9">
      <c r="A9" t="inlineStr">
        <is>
          <t>Investment Shock (LCU million)</t>
        </is>
      </c>
      <c r="B9" t="n">
        <v>0</v>
      </c>
      <c r="C9" t="n">
        <v>0.125</v>
      </c>
      <c r="D9" t="n">
        <v>0.2</v>
      </c>
      <c r="E9" t="n">
        <v>0.225</v>
      </c>
      <c r="F9" t="n">
        <v>0.2</v>
      </c>
      <c r="G9" t="n">
        <v>0.15</v>
      </c>
      <c r="H9" t="n">
        <v>0.075</v>
      </c>
      <c r="I9" t="n">
        <v>0.025</v>
      </c>
      <c r="J9" t="n">
        <v>0</v>
      </c>
    </row>
    <row r="10">
      <c r="A10" t="inlineStr">
        <is>
          <t>Investment Deflator</t>
        </is>
      </c>
    </row>
    <row r="11">
      <c r="A11" t="inlineStr">
        <is>
          <t>Real Investment Shock</t>
        </is>
      </c>
      <c r="B11">
        <f>D$33*1000*D$32*B9</f>
        <v/>
      </c>
      <c r="C11">
        <f>D$33*1000*D$32*B10</f>
        <v/>
      </c>
      <c r="D11">
        <f>D$33*1000*D$32*B11</f>
        <v/>
      </c>
      <c r="E11">
        <f>D$33*1000*D$32*B12</f>
        <v/>
      </c>
      <c r="F11">
        <f>D$33*1000*D$32*B13</f>
        <v/>
      </c>
      <c r="G11">
        <f>D$33*1000*D$32*B14</f>
        <v/>
      </c>
      <c r="H11">
        <f>D$33*1000*D$32*B15</f>
        <v/>
      </c>
      <c r="I11">
        <f>D$33*1000*D$32*B16</f>
        <v/>
      </c>
      <c r="J11">
        <f>D$33*1000*D$32*B17</f>
        <v/>
      </c>
    </row>
    <row r="12">
      <c r="A12" t="inlineStr">
        <is>
          <t>Import Content Share</t>
        </is>
      </c>
      <c r="B12">
        <f>B11*D$30</f>
        <v/>
      </c>
      <c r="C12">
        <f>B12*D$30</f>
        <v/>
      </c>
      <c r="D12">
        <f>B13*D$30</f>
        <v/>
      </c>
      <c r="E12">
        <f>B14*D$30</f>
        <v/>
      </c>
      <c r="F12">
        <f>B15*D$30</f>
        <v/>
      </c>
      <c r="G12">
        <f>B16*D$30</f>
        <v/>
      </c>
      <c r="H12">
        <f>B17*D$30</f>
        <v/>
      </c>
      <c r="I12">
        <f>B18*D$30</f>
        <v/>
      </c>
      <c r="J12">
        <f>B19*D$30</f>
        <v/>
      </c>
    </row>
    <row r="13">
      <c r="A13" t="inlineStr">
        <is>
          <t>Domestic Content Share</t>
        </is>
      </c>
      <c r="B13">
        <f>B3</f>
        <v/>
      </c>
      <c r="C13">
        <f>B4</f>
        <v/>
      </c>
      <c r="D13">
        <f>B5</f>
        <v/>
      </c>
      <c r="E13">
        <f>B6</f>
        <v/>
      </c>
      <c r="F13">
        <f>B7</f>
        <v/>
      </c>
      <c r="G13">
        <f>B8</f>
        <v/>
      </c>
      <c r="H13">
        <f>B9</f>
        <v/>
      </c>
      <c r="I13">
        <f>B10</f>
        <v/>
      </c>
      <c r="J13">
        <f>B11</f>
        <v/>
      </c>
    </row>
    <row r="14">
      <c r="A14" t="inlineStr">
        <is>
          <t>Direct Effect on GDP (LCU)</t>
        </is>
      </c>
      <c r="B14">
        <f>IF(B13&gt;0,B12/(B13/100),0)</f>
        <v/>
      </c>
      <c r="C14">
        <f>IF(B14&gt;0,B13/(B14/100),0)</f>
        <v/>
      </c>
      <c r="D14">
        <f>IF(B15&gt;0,B14/(B15/100),0)</f>
        <v/>
      </c>
      <c r="E14">
        <f>IF(B16&gt;0,B15/(B16/100),0)</f>
        <v/>
      </c>
      <c r="F14">
        <f>IF(B17&gt;0,B16/(B17/100),0)</f>
        <v/>
      </c>
      <c r="G14">
        <f>IF(B18&gt;0,B17/(B18/100),0)</f>
        <v/>
      </c>
      <c r="H14">
        <f>IF(B19&gt;0,B18/(B19/100),0)</f>
        <v/>
      </c>
      <c r="I14">
        <f>IF(B20&gt;0,B19/(B20/100),0)</f>
        <v/>
      </c>
      <c r="J14">
        <f>IF(B21&gt;0,B20/(B21/100),0)</f>
        <v/>
      </c>
    </row>
    <row r="15">
      <c r="A15" t="inlineStr">
        <is>
          <t>Indirect Effect (Multiplier)</t>
        </is>
      </c>
      <c r="B15">
        <f>SUT Calc!$C$46</f>
        <v/>
      </c>
      <c r="C15">
        <f>SUT Calc!$C$46</f>
        <v/>
      </c>
      <c r="D15">
        <f>SUT Calc!$C$46</f>
        <v/>
      </c>
      <c r="E15">
        <f>SUT Calc!$C$46</f>
        <v/>
      </c>
      <c r="F15">
        <f>SUT Calc!$C$46</f>
        <v/>
      </c>
      <c r="G15">
        <f>SUT Calc!$C$46</f>
        <v/>
      </c>
      <c r="H15">
        <f>SUT Calc!$C$46</f>
        <v/>
      </c>
      <c r="I15">
        <f>SUT Calc!$C$46</f>
        <v/>
      </c>
      <c r="J15">
        <f>SUT Calc!$C$46</f>
        <v/>
      </c>
    </row>
    <row r="16">
      <c r="A16" t="inlineStr">
        <is>
          <t>Total Effect on GDP (LCU)</t>
        </is>
      </c>
      <c r="B16">
        <f>1-B15</f>
        <v/>
      </c>
      <c r="C16">
        <f>1-B16</f>
        <v/>
      </c>
      <c r="D16">
        <f>1-B17</f>
        <v/>
      </c>
      <c r="E16">
        <f>1-B18</f>
        <v/>
      </c>
      <c r="F16">
        <f>1-B19</f>
        <v/>
      </c>
      <c r="G16">
        <f>1-B20</f>
        <v/>
      </c>
      <c r="H16">
        <f>1-B21</f>
        <v/>
      </c>
      <c r="I16">
        <f>1-B22</f>
        <v/>
      </c>
      <c r="J16">
        <f>1-B23</f>
        <v/>
      </c>
    </row>
    <row r="17">
      <c r="A17" t="inlineStr">
        <is>
          <t>GDP Growth Rate with Shock (%)</t>
        </is>
      </c>
      <c r="B17">
        <f>B12*B16</f>
        <v/>
      </c>
      <c r="C17">
        <f>B13*B17</f>
        <v/>
      </c>
      <c r="D17">
        <f>B14*B18</f>
        <v/>
      </c>
      <c r="E17">
        <f>B15*B19</f>
        <v/>
      </c>
      <c r="F17">
        <f>B16*B20</f>
        <v/>
      </c>
      <c r="G17">
        <f>B17*B21</f>
        <v/>
      </c>
      <c r="H17">
        <f>B18*B22</f>
        <v/>
      </c>
      <c r="I17">
        <f>B19*B23</f>
        <v/>
      </c>
      <c r="J17">
        <f>B20*B24</f>
        <v/>
      </c>
    </row>
    <row r="18">
      <c r="A18" t="inlineStr">
        <is>
          <t>Additional GDP Points</t>
        </is>
      </c>
      <c r="B18">
        <f>B17*D$31</f>
        <v/>
      </c>
      <c r="C18">
        <f>B18*D$31</f>
        <v/>
      </c>
      <c r="D18">
        <f>B19*D$31</f>
        <v/>
      </c>
      <c r="E18">
        <f>B20*D$31</f>
        <v/>
      </c>
      <c r="F18">
        <f>B21*D$31</f>
        <v/>
      </c>
      <c r="G18">
        <f>B22*D$31</f>
        <v/>
      </c>
      <c r="H18">
        <f>B23*D$31</f>
        <v/>
      </c>
      <c r="I18">
        <f>B24*D$31</f>
        <v/>
      </c>
      <c r="J18">
        <f>B25*D$31</f>
        <v/>
      </c>
    </row>
    <row r="19">
      <c r="B19">
        <f>B17+B18</f>
        <v/>
      </c>
      <c r="C19">
        <f>B18+B19</f>
        <v/>
      </c>
      <c r="D19">
        <f>B19+B20</f>
        <v/>
      </c>
      <c r="E19">
        <f>B20+B21</f>
        <v/>
      </c>
      <c r="F19">
        <f>B21+B22</f>
        <v/>
      </c>
      <c r="G19">
        <f>B22+B23</f>
        <v/>
      </c>
      <c r="H19">
        <f>B23+B24</f>
        <v/>
      </c>
      <c r="I19">
        <f>B24+B25</f>
        <v/>
      </c>
      <c r="J19">
        <f>B25+B26</f>
        <v/>
      </c>
    </row>
    <row r="20">
      <c r="B20">
        <f>B16+B19/B2*100</f>
        <v/>
      </c>
      <c r="C20">
        <f>B17+B20/B3*100</f>
        <v/>
      </c>
      <c r="D20">
        <f>B18+B21/B4*100</f>
        <v/>
      </c>
      <c r="E20">
        <f>B19+B22/B5*100</f>
        <v/>
      </c>
      <c r="F20">
        <f>B20+B23/B6*100</f>
        <v/>
      </c>
      <c r="G20">
        <f>B21+B24/B7*100</f>
        <v/>
      </c>
      <c r="H20">
        <f>B22+B25/B8*100</f>
        <v/>
      </c>
      <c r="I20">
        <f>B23+B26/B9*100</f>
        <v/>
      </c>
      <c r="J20">
        <f>B24+B27/B10*100</f>
        <v/>
      </c>
    </row>
    <row r="21">
      <c r="B21">
        <f>B19/B2*100</f>
        <v/>
      </c>
      <c r="C21">
        <f>B20/B3*100</f>
        <v/>
      </c>
      <c r="D21">
        <f>B21/B4*100</f>
        <v/>
      </c>
      <c r="E21">
        <f>B22/B5*100</f>
        <v/>
      </c>
      <c r="F21">
        <f>B23/B6*100</f>
        <v/>
      </c>
      <c r="G21">
        <f>B24/B7*100</f>
        <v/>
      </c>
      <c r="H21">
        <f>B25/B8*100</f>
        <v/>
      </c>
      <c r="I21">
        <f>B26/B9*100</f>
        <v/>
      </c>
      <c r="J21">
        <f>B27/B10*100</f>
        <v/>
      </c>
    </row>
    <row r="30">
      <c r="A30" s="3" t="inlineStr">
        <is>
          <t>ASSUMPTIONS:</t>
        </is>
      </c>
      <c r="C30" t="inlineStr">
        <is>
          <t>Exchange Rate (GEL/USD):</t>
        </is>
      </c>
      <c r="D30" t="n">
        <v>2.746</v>
      </c>
    </row>
    <row r="31">
      <c r="C31" t="inlineStr">
        <is>
          <t>Demand Multiplier:</t>
        </is>
      </c>
      <c r="D31" t="n">
        <v>0.8</v>
      </c>
    </row>
    <row r="32">
      <c r="C32" t="inlineStr">
        <is>
          <t>Project Duration (years):</t>
        </is>
      </c>
      <c r="D32" t="n">
        <v>8</v>
      </c>
    </row>
    <row r="33">
      <c r="C33" t="inlineStr">
        <is>
          <t>Total Investment (USD billion):</t>
        </is>
      </c>
      <c r="D33" t="n">
        <v>6.5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SCENARIO 1: Base Case (Multiplier=0.8, Import Share=Calculated)</t>
        </is>
      </c>
    </row>
    <row r="3">
      <c r="A3" s="3" t="inlineStr">
        <is>
          <t>Item</t>
        </is>
      </c>
      <c r="B3" s="3" t="inlineStr">
        <is>
          <t>2026</t>
        </is>
      </c>
      <c r="C3" s="3" t="inlineStr">
        <is>
          <t>2027</t>
        </is>
      </c>
      <c r="D3" s="3" t="inlineStr">
        <is>
          <t>2028</t>
        </is>
      </c>
      <c r="E3" s="3" t="inlineStr">
        <is>
          <t>2029</t>
        </is>
      </c>
      <c r="F3" s="3" t="inlineStr">
        <is>
          <t>2030</t>
        </is>
      </c>
      <c r="G3" s="3" t="inlineStr">
        <is>
          <t>2031</t>
        </is>
      </c>
      <c r="H3" s="3" t="inlineStr">
        <is>
          <t>2032</t>
        </is>
      </c>
      <c r="I3" s="3" t="inlineStr">
        <is>
          <t>2033</t>
        </is>
      </c>
      <c r="J3" s="3" t="inlineStr">
        <is>
          <t>2034</t>
        </is>
      </c>
      <c r="K3" s="3" t="inlineStr">
        <is>
          <t>2035</t>
        </is>
      </c>
    </row>
    <row r="5">
      <c r="A5" t="inlineStr">
        <is>
          <t>Investment Shock (LCU million)</t>
        </is>
      </c>
      <c r="B5">
        <f>NA!B12</f>
        <v/>
      </c>
      <c r="C5">
        <f>NA!C12</f>
        <v/>
      </c>
      <c r="D5">
        <f>NA!D12</f>
        <v/>
      </c>
      <c r="E5">
        <f>NA!E12</f>
        <v/>
      </c>
      <c r="F5">
        <f>NA!F12</f>
        <v/>
      </c>
      <c r="G5">
        <f>NA!G12</f>
        <v/>
      </c>
      <c r="H5">
        <f>NA!H12</f>
        <v/>
      </c>
      <c r="I5">
        <f>NA!I12</f>
        <v/>
      </c>
      <c r="J5">
        <f>NA!J12</f>
        <v/>
      </c>
    </row>
    <row r="6">
      <c r="A6" t="inlineStr">
        <is>
          <t>Domestic Content</t>
        </is>
      </c>
      <c r="B6">
        <f>NA!B16</f>
        <v/>
      </c>
      <c r="C6">
        <f>NA!C16</f>
        <v/>
      </c>
      <c r="D6">
        <f>NA!D16</f>
        <v/>
      </c>
      <c r="E6">
        <f>NA!E16</f>
        <v/>
      </c>
      <c r="F6">
        <f>NA!F16</f>
        <v/>
      </c>
      <c r="G6">
        <f>NA!G16</f>
        <v/>
      </c>
      <c r="H6">
        <f>NA!H16</f>
        <v/>
      </c>
      <c r="I6">
        <f>NA!I16</f>
        <v/>
      </c>
      <c r="J6">
        <f>NA!J16</f>
        <v/>
      </c>
    </row>
    <row r="7">
      <c r="A7" t="inlineStr">
        <is>
          <t>Import Content</t>
        </is>
      </c>
      <c r="B7">
        <f>NA!B15</f>
        <v/>
      </c>
      <c r="C7">
        <f>NA!C15</f>
        <v/>
      </c>
      <c r="D7">
        <f>NA!D15</f>
        <v/>
      </c>
      <c r="E7">
        <f>NA!E15</f>
        <v/>
      </c>
      <c r="F7">
        <f>NA!F15</f>
        <v/>
      </c>
      <c r="G7">
        <f>NA!G15</f>
        <v/>
      </c>
      <c r="H7">
        <f>NA!H15</f>
        <v/>
      </c>
      <c r="I7">
        <f>NA!I15</f>
        <v/>
      </c>
      <c r="J7">
        <f>NA!J15</f>
        <v/>
      </c>
    </row>
    <row r="8">
      <c r="A8" t="inlineStr">
        <is>
          <t>Direct Effect (LCU)</t>
        </is>
      </c>
      <c r="B8">
        <f>NA!B17</f>
        <v/>
      </c>
      <c r="C8">
        <f>NA!C17</f>
        <v/>
      </c>
      <c r="D8">
        <f>NA!D17</f>
        <v/>
      </c>
      <c r="E8">
        <f>NA!E17</f>
        <v/>
      </c>
      <c r="F8">
        <f>NA!F17</f>
        <v/>
      </c>
      <c r="G8">
        <f>NA!G17</f>
        <v/>
      </c>
      <c r="H8">
        <f>NA!H17</f>
        <v/>
      </c>
      <c r="I8">
        <f>NA!I17</f>
        <v/>
      </c>
      <c r="J8">
        <f>NA!J17</f>
        <v/>
      </c>
    </row>
    <row r="9">
      <c r="A9" t="inlineStr">
        <is>
          <t>Indirect Effect (LCU)</t>
        </is>
      </c>
      <c r="B9">
        <f>NA!B18</f>
        <v/>
      </c>
      <c r="C9">
        <f>NA!C18</f>
        <v/>
      </c>
      <c r="D9">
        <f>NA!D18</f>
        <v/>
      </c>
      <c r="E9">
        <f>NA!E18</f>
        <v/>
      </c>
      <c r="F9">
        <f>NA!F18</f>
        <v/>
      </c>
      <c r="G9">
        <f>NA!G18</f>
        <v/>
      </c>
      <c r="H9">
        <f>NA!H18</f>
        <v/>
      </c>
      <c r="I9">
        <f>NA!I18</f>
        <v/>
      </c>
      <c r="J9">
        <f>NA!J18</f>
        <v/>
      </c>
    </row>
    <row r="10">
      <c r="A10" t="inlineStr">
        <is>
          <t>Total GDP Effect (LCU)</t>
        </is>
      </c>
      <c r="B10">
        <f>NA!B19</f>
        <v/>
      </c>
      <c r="C10">
        <f>NA!C19</f>
        <v/>
      </c>
      <c r="D10">
        <f>NA!D19</f>
        <v/>
      </c>
      <c r="E10">
        <f>NA!E19</f>
        <v/>
      </c>
      <c r="F10">
        <f>NA!F19</f>
        <v/>
      </c>
      <c r="G10">
        <f>NA!G19</f>
        <v/>
      </c>
      <c r="H10">
        <f>NA!H19</f>
        <v/>
      </c>
      <c r="I10">
        <f>NA!I19</f>
        <v/>
      </c>
      <c r="J10">
        <f>NA!J19</f>
        <v/>
      </c>
    </row>
    <row r="11">
      <c r="A11" t="inlineStr">
        <is>
          <t>Impact on GDP Growth (%)</t>
        </is>
      </c>
      <c r="B11">
        <f>NA!B21</f>
        <v/>
      </c>
      <c r="C11">
        <f>NA!C21</f>
        <v/>
      </c>
      <c r="D11">
        <f>NA!D21</f>
        <v/>
      </c>
      <c r="E11">
        <f>NA!E21</f>
        <v/>
      </c>
      <c r="F11">
        <f>NA!F21</f>
        <v/>
      </c>
      <c r="G11">
        <f>NA!G21</f>
        <v/>
      </c>
      <c r="H11">
        <f>NA!H21</f>
        <v/>
      </c>
      <c r="I11">
        <f>NA!I21</f>
        <v/>
      </c>
      <c r="J11">
        <f>NA!J21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SCENARIO 2: Higher Multiplier (Multiplier=1.0, Import Share=Calculated)</t>
        </is>
      </c>
    </row>
    <row r="3">
      <c r="A3" s="3" t="inlineStr">
        <is>
          <t>Item</t>
        </is>
      </c>
      <c r="B3" s="3" t="inlineStr">
        <is>
          <t>2026</t>
        </is>
      </c>
      <c r="C3" s="3" t="inlineStr">
        <is>
          <t>2027</t>
        </is>
      </c>
      <c r="D3" s="3" t="inlineStr">
        <is>
          <t>2028</t>
        </is>
      </c>
      <c r="E3" s="3" t="inlineStr">
        <is>
          <t>2029</t>
        </is>
      </c>
      <c r="F3" s="3" t="inlineStr">
        <is>
          <t>2030</t>
        </is>
      </c>
      <c r="G3" s="3" t="inlineStr">
        <is>
          <t>2031</t>
        </is>
      </c>
      <c r="H3" s="3" t="inlineStr">
        <is>
          <t>2032</t>
        </is>
      </c>
      <c r="I3" s="3" t="inlineStr">
        <is>
          <t>2033</t>
        </is>
      </c>
      <c r="J3" s="3" t="inlineStr">
        <is>
          <t>2034</t>
        </is>
      </c>
      <c r="K3" s="3" t="inlineStr">
        <is>
          <t>2035</t>
        </is>
      </c>
    </row>
    <row r="5">
      <c r="A5" t="inlineStr">
        <is>
          <t>Investment Shock (LCU million)</t>
        </is>
      </c>
      <c r="B5">
        <f>NA!B12</f>
        <v/>
      </c>
      <c r="C5">
        <f>NA!C12</f>
        <v/>
      </c>
      <c r="D5">
        <f>NA!D12</f>
        <v/>
      </c>
      <c r="E5">
        <f>NA!E12</f>
        <v/>
      </c>
      <c r="F5">
        <f>NA!F12</f>
        <v/>
      </c>
      <c r="G5">
        <f>NA!G12</f>
        <v/>
      </c>
      <c r="H5">
        <f>NA!H12</f>
        <v/>
      </c>
      <c r="I5">
        <f>NA!I12</f>
        <v/>
      </c>
      <c r="J5">
        <f>NA!J12</f>
        <v/>
      </c>
    </row>
    <row r="6">
      <c r="A6" t="inlineStr">
        <is>
          <t>Domestic Content</t>
        </is>
      </c>
      <c r="B6">
        <f>NA!B16</f>
        <v/>
      </c>
      <c r="C6">
        <f>NA!C16</f>
        <v/>
      </c>
      <c r="D6">
        <f>NA!D16</f>
        <v/>
      </c>
      <c r="E6">
        <f>NA!E16</f>
        <v/>
      </c>
      <c r="F6">
        <f>NA!F16</f>
        <v/>
      </c>
      <c r="G6">
        <f>NA!G16</f>
        <v/>
      </c>
      <c r="H6">
        <f>NA!H16</f>
        <v/>
      </c>
      <c r="I6">
        <f>NA!I16</f>
        <v/>
      </c>
      <c r="J6">
        <f>NA!J16</f>
        <v/>
      </c>
    </row>
    <row r="7">
      <c r="A7" t="inlineStr">
        <is>
          <t>Import Content</t>
        </is>
      </c>
      <c r="B7">
        <f>NA!B15</f>
        <v/>
      </c>
      <c r="C7">
        <f>NA!C15</f>
        <v/>
      </c>
      <c r="D7">
        <f>NA!D15</f>
        <v/>
      </c>
      <c r="E7">
        <f>NA!E15</f>
        <v/>
      </c>
      <c r="F7">
        <f>NA!F15</f>
        <v/>
      </c>
      <c r="G7">
        <f>NA!G15</f>
        <v/>
      </c>
      <c r="H7">
        <f>NA!H15</f>
        <v/>
      </c>
      <c r="I7">
        <f>NA!I15</f>
        <v/>
      </c>
      <c r="J7">
        <f>NA!J15</f>
        <v/>
      </c>
    </row>
    <row r="8">
      <c r="A8" t="inlineStr">
        <is>
          <t>Direct Effect (LCU)</t>
        </is>
      </c>
      <c r="B8">
        <f>B5*B6</f>
        <v/>
      </c>
      <c r="C8">
        <f>C5*C6</f>
        <v/>
      </c>
      <c r="D8">
        <f>D5*D6</f>
        <v/>
      </c>
      <c r="E8">
        <f>E5*E6</f>
        <v/>
      </c>
      <c r="F8">
        <f>F5*F6</f>
        <v/>
      </c>
      <c r="G8">
        <f>G5*G6</f>
        <v/>
      </c>
      <c r="H8">
        <f>H5*H6</f>
        <v/>
      </c>
      <c r="I8">
        <f>I5*I6</f>
        <v/>
      </c>
      <c r="J8">
        <f>J5*J6</f>
        <v/>
      </c>
    </row>
    <row r="9">
      <c r="A9" t="inlineStr">
        <is>
          <t>Indirect Effect (LCU)</t>
        </is>
      </c>
      <c r="B9">
        <f>B8*1</f>
        <v/>
      </c>
      <c r="C9">
        <f>C8*1</f>
        <v/>
      </c>
      <c r="D9">
        <f>D8*1</f>
        <v/>
      </c>
      <c r="E9">
        <f>E8*1</f>
        <v/>
      </c>
      <c r="F9">
        <f>F8*1</f>
        <v/>
      </c>
      <c r="G9">
        <f>G8*1</f>
        <v/>
      </c>
      <c r="H9">
        <f>H8*1</f>
        <v/>
      </c>
      <c r="I9">
        <f>I8*1</f>
        <v/>
      </c>
      <c r="J9">
        <f>J8*1</f>
        <v/>
      </c>
    </row>
    <row r="10">
      <c r="A10" t="inlineStr">
        <is>
          <t>Total GDP Effect (LCU)</t>
        </is>
      </c>
      <c r="B10">
        <f>B8+B9</f>
        <v/>
      </c>
      <c r="C10">
        <f>C8+C9</f>
        <v/>
      </c>
      <c r="D10">
        <f>D8+D9</f>
        <v/>
      </c>
      <c r="E10">
        <f>E8+E9</f>
        <v/>
      </c>
      <c r="F10">
        <f>F8+F9</f>
        <v/>
      </c>
      <c r="G10">
        <f>G8+G9</f>
        <v/>
      </c>
      <c r="H10">
        <f>H8+H9</f>
        <v/>
      </c>
      <c r="I10">
        <f>I8+I9</f>
        <v/>
      </c>
      <c r="J10">
        <f>J8+J9</f>
        <v/>
      </c>
    </row>
    <row r="11">
      <c r="A11" t="inlineStr">
        <is>
          <t>Impact on GDP Growth (%)</t>
        </is>
      </c>
      <c r="B11">
        <f>B10/NA!B4*100</f>
        <v/>
      </c>
      <c r="C11">
        <f>C10/NA!C4*100</f>
        <v/>
      </c>
      <c r="D11">
        <f>D10/NA!D4*100</f>
        <v/>
      </c>
      <c r="E11">
        <f>E10/NA!E4*100</f>
        <v/>
      </c>
      <c r="F11">
        <f>F10/NA!F4*100</f>
        <v/>
      </c>
      <c r="G11">
        <f>G10/NA!G4*100</f>
        <v/>
      </c>
      <c r="H11">
        <f>H10/NA!H4*100</f>
        <v/>
      </c>
      <c r="I11">
        <f>I10/NA!I4*100</f>
        <v/>
      </c>
      <c r="J11">
        <f>J10/NA!J4*100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SCENARIO 3: Higher Import Content (Multiplier=0.8, Import Share=0.5)</t>
        </is>
      </c>
    </row>
    <row r="3">
      <c r="A3" s="3" t="inlineStr">
        <is>
          <t>Item</t>
        </is>
      </c>
      <c r="B3" s="3" t="inlineStr">
        <is>
          <t>2026</t>
        </is>
      </c>
      <c r="C3" s="3" t="inlineStr">
        <is>
          <t>2027</t>
        </is>
      </c>
      <c r="D3" s="3" t="inlineStr">
        <is>
          <t>2028</t>
        </is>
      </c>
      <c r="E3" s="3" t="inlineStr">
        <is>
          <t>2029</t>
        </is>
      </c>
      <c r="F3" s="3" t="inlineStr">
        <is>
          <t>2030</t>
        </is>
      </c>
      <c r="G3" s="3" t="inlineStr">
        <is>
          <t>2031</t>
        </is>
      </c>
      <c r="H3" s="3" t="inlineStr">
        <is>
          <t>2032</t>
        </is>
      </c>
      <c r="I3" s="3" t="inlineStr">
        <is>
          <t>2033</t>
        </is>
      </c>
      <c r="J3" s="3" t="inlineStr">
        <is>
          <t>2034</t>
        </is>
      </c>
      <c r="K3" s="3" t="inlineStr">
        <is>
          <t>2035</t>
        </is>
      </c>
    </row>
    <row r="5">
      <c r="A5" t="inlineStr">
        <is>
          <t>Investment Shock (LCU million)</t>
        </is>
      </c>
      <c r="B5">
        <f>NA!B12</f>
        <v/>
      </c>
      <c r="C5">
        <f>NA!C12</f>
        <v/>
      </c>
      <c r="D5">
        <f>NA!D12</f>
        <v/>
      </c>
      <c r="E5">
        <f>NA!E12</f>
        <v/>
      </c>
      <c r="F5">
        <f>NA!F12</f>
        <v/>
      </c>
      <c r="G5">
        <f>NA!G12</f>
        <v/>
      </c>
      <c r="H5">
        <f>NA!H12</f>
        <v/>
      </c>
      <c r="I5">
        <f>NA!I12</f>
        <v/>
      </c>
      <c r="J5">
        <f>NA!J12</f>
        <v/>
      </c>
    </row>
    <row r="6">
      <c r="A6" t="inlineStr">
        <is>
          <t>Domestic Content</t>
        </is>
      </c>
      <c r="B6" t="n">
        <v>0.5</v>
      </c>
      <c r="C6" t="n">
        <v>0.5</v>
      </c>
      <c r="D6" t="n">
        <v>0.5</v>
      </c>
      <c r="E6" t="n">
        <v>0.5</v>
      </c>
      <c r="F6" t="n">
        <v>0.5</v>
      </c>
      <c r="G6" t="n">
        <v>0.5</v>
      </c>
      <c r="H6" t="n">
        <v>0.5</v>
      </c>
      <c r="I6" t="n">
        <v>0.5</v>
      </c>
      <c r="J6" t="n">
        <v>0.5</v>
      </c>
    </row>
    <row r="7">
      <c r="A7" t="inlineStr">
        <is>
          <t>Import Content</t>
        </is>
      </c>
      <c r="B7" t="n">
        <v>0.5</v>
      </c>
      <c r="C7" t="n">
        <v>0.5</v>
      </c>
      <c r="D7" t="n">
        <v>0.5</v>
      </c>
      <c r="E7" t="n">
        <v>0.5</v>
      </c>
      <c r="F7" t="n">
        <v>0.5</v>
      </c>
      <c r="G7" t="n">
        <v>0.5</v>
      </c>
      <c r="H7" t="n">
        <v>0.5</v>
      </c>
      <c r="I7" t="n">
        <v>0.5</v>
      </c>
      <c r="J7" t="n">
        <v>0.5</v>
      </c>
    </row>
    <row r="8">
      <c r="A8" t="inlineStr">
        <is>
          <t>Direct Effect (LCU)</t>
        </is>
      </c>
      <c r="B8">
        <f>B5*B6</f>
        <v/>
      </c>
      <c r="C8">
        <f>C5*C6</f>
        <v/>
      </c>
      <c r="D8">
        <f>D5*D6</f>
        <v/>
      </c>
      <c r="E8">
        <f>E5*E6</f>
        <v/>
      </c>
      <c r="F8">
        <f>F5*F6</f>
        <v/>
      </c>
      <c r="G8">
        <f>G5*G6</f>
        <v/>
      </c>
      <c r="H8">
        <f>H5*H6</f>
        <v/>
      </c>
      <c r="I8">
        <f>I5*I6</f>
        <v/>
      </c>
      <c r="J8">
        <f>J5*J6</f>
        <v/>
      </c>
    </row>
    <row r="9">
      <c r="A9" t="inlineStr">
        <is>
          <t>Indirect Effect (LCU)</t>
        </is>
      </c>
      <c r="B9">
        <f>B8*0.8</f>
        <v/>
      </c>
      <c r="C9">
        <f>C8*0.8</f>
        <v/>
      </c>
      <c r="D9">
        <f>D8*0.8</f>
        <v/>
      </c>
      <c r="E9">
        <f>E8*0.8</f>
        <v/>
      </c>
      <c r="F9">
        <f>F8*0.8</f>
        <v/>
      </c>
      <c r="G9">
        <f>G8*0.8</f>
        <v/>
      </c>
      <c r="H9">
        <f>H8*0.8</f>
        <v/>
      </c>
      <c r="I9">
        <f>I8*0.8</f>
        <v/>
      </c>
      <c r="J9">
        <f>J8*0.8</f>
        <v/>
      </c>
    </row>
    <row r="10">
      <c r="A10" t="inlineStr">
        <is>
          <t>Total GDP Effect (LCU)</t>
        </is>
      </c>
      <c r="B10">
        <f>B8+B9</f>
        <v/>
      </c>
      <c r="C10">
        <f>C8+C9</f>
        <v/>
      </c>
      <c r="D10">
        <f>D8+D9</f>
        <v/>
      </c>
      <c r="E10">
        <f>E8+E9</f>
        <v/>
      </c>
      <c r="F10">
        <f>F8+F9</f>
        <v/>
      </c>
      <c r="G10">
        <f>G8+G9</f>
        <v/>
      </c>
      <c r="H10">
        <f>H8+H9</f>
        <v/>
      </c>
      <c r="I10">
        <f>I8+I9</f>
        <v/>
      </c>
      <c r="J10">
        <f>J8+J9</f>
        <v/>
      </c>
    </row>
    <row r="11">
      <c r="A11" t="inlineStr">
        <is>
          <t>Impact on GDP Growth (%)</t>
        </is>
      </c>
      <c r="B11">
        <f>B10/NA!B4*100</f>
        <v/>
      </c>
      <c r="C11">
        <f>C10/NA!C4*100</f>
        <v/>
      </c>
      <c r="D11">
        <f>D10/NA!D4*100</f>
        <v/>
      </c>
      <c r="E11">
        <f>E10/NA!E4*100</f>
        <v/>
      </c>
      <c r="F11">
        <f>F10/NA!F4*100</f>
        <v/>
      </c>
      <c r="G11">
        <f>G10/NA!G4*100</f>
        <v/>
      </c>
      <c r="H11">
        <f>H10/NA!H4*100</f>
        <v/>
      </c>
      <c r="I11">
        <f>I10/NA!I4*100</f>
        <v/>
      </c>
      <c r="J11">
        <f>J10/NA!J4*100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INVESTMENT SHOCK ANALYSIS - SUMMARY</t>
        </is>
      </c>
    </row>
    <row r="3">
      <c r="A3" s="3" t="inlineStr">
        <is>
          <t>Scenario Comparison (Cumulative Impact 2026-2033)</t>
        </is>
      </c>
    </row>
    <row r="5">
      <c r="A5" t="inlineStr">
        <is>
          <t>Scenario</t>
        </is>
      </c>
      <c r="B5" t="inlineStr">
        <is>
          <t>Multiplier</t>
        </is>
      </c>
      <c r="C5" t="inlineStr">
        <is>
          <t>Import Share</t>
        </is>
      </c>
      <c r="D5" t="inlineStr">
        <is>
          <t>Total GDP Effect (LCU million)</t>
        </is>
      </c>
      <c r="E5" t="inlineStr">
        <is>
          <t>Avg Annual GDP Impact (%)</t>
        </is>
      </c>
    </row>
    <row r="6">
      <c r="A6" t="inlineStr">
        <is>
          <t>Scenario 1 (Base Case)</t>
        </is>
      </c>
      <c r="B6" t="n">
        <v>0.8</v>
      </c>
      <c r="C6">
        <f>SUT Calc!C46</f>
        <v/>
      </c>
      <c r="D6">
        <f>SUM(Scenario 1!B10:J10)</f>
        <v/>
      </c>
      <c r="E6">
        <f>AVERAGE(Scenario 1!B11:J11)</f>
        <v/>
      </c>
    </row>
    <row r="7">
      <c r="A7" t="inlineStr">
        <is>
          <t>Scenario 2 (Multiplier=1)</t>
        </is>
      </c>
      <c r="B7" t="n">
        <v>1</v>
      </c>
      <c r="C7">
        <f>SUT Calc!C46</f>
        <v/>
      </c>
      <c r="D7">
        <f>SUM(Scenario 2!B10:J10)</f>
        <v/>
      </c>
      <c r="E7">
        <f>AVERAGE(Scenario 2!B11:J11)</f>
        <v/>
      </c>
    </row>
    <row r="8">
      <c r="A8" t="inlineStr">
        <is>
          <t>Scenario 3 (Import=0.5)</t>
        </is>
      </c>
      <c r="B8" t="n">
        <v>0.8</v>
      </c>
      <c r="C8" t="n">
        <v>0.5</v>
      </c>
      <c r="D8">
        <f>SUM(Scenario 3!B10:J10)</f>
        <v/>
      </c>
      <c r="E8">
        <f>AVERAGE(Scenario 3!B11:J11)</f>
        <v/>
      </c>
    </row>
    <row r="10">
      <c r="A10" s="3" t="inlineStr">
        <is>
          <t>Key Parameters:</t>
        </is>
      </c>
    </row>
    <row r="11">
      <c r="A11" t="inlineStr">
        <is>
          <t>Total Investment:</t>
        </is>
      </c>
      <c r="B11" t="inlineStr">
        <is>
          <t>USD 6.5 billion</t>
        </is>
      </c>
    </row>
    <row r="12">
      <c r="A12" t="inlineStr">
        <is>
          <t>Exchange Rate:</t>
        </is>
      </c>
      <c r="B12" t="inlineStr">
        <is>
          <t>GEL 2.746/USD</t>
        </is>
      </c>
    </row>
    <row r="13">
      <c r="A13" t="inlineStr">
        <is>
          <t>Project Duration:</t>
        </is>
      </c>
      <c r="B13" t="inlineStr">
        <is>
          <t>8 years (2026-2033)</t>
        </is>
      </c>
    </row>
    <row r="14">
      <c r="A14" t="inlineStr">
        <is>
          <t>Investment Deflator:</t>
        </is>
      </c>
      <c r="B14" t="inlineStr">
        <is>
          <t>GDP Deflator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2026-01-29T02:37:17Z</dcterms:created>
  <dcterms:modified xsi:type="dcterms:W3CDTF">2026-01-29T02:37:17Z</dcterms:modified>
</cp:coreProperties>
</file>