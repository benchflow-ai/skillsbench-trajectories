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IFERROR(INDEX(Data!$H:$L,MATCH(466BXGS_BP6.A,Data!$B:$B,0),1),"")</f>
        <v/>
      </c>
      <c r="I12" s="19">
        <f>IFERROR(INDEX(Data!$H:$L,MATCH(466BXGS_BP6.A,Data!$B:$B,0),2),"")</f>
        <v/>
      </c>
      <c r="J12" s="19">
        <f>IFERROR(INDEX(Data!$H:$L,MATCH(466BXGS_BP6.A,Data!$B:$B,0),3),"")</f>
        <v/>
      </c>
      <c r="K12" s="19">
        <f>IFERROR(INDEX(Data!$H:$L,MATCH(466BXGS_BP6.A,Data!$B:$B,0),4),"")</f>
        <v/>
      </c>
      <c r="L12" s="20">
        <f>IFERROR(INDEX(Data!$H:$L,MATCH(466BXGS_BP6.A,Data!$B:$B,0),5),"")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IFERROR(INDEX(Data!$H:$L,MATCH(419BXGS_BP6.A,Data!$B:$B,0),1),"")</f>
        <v/>
      </c>
      <c r="I13" s="4">
        <f>IFERROR(INDEX(Data!$H:$L,MATCH(419BXGS_BP6.A,Data!$B:$B,0),2),"")</f>
        <v/>
      </c>
      <c r="J13" s="4">
        <f>IFERROR(INDEX(Data!$H:$L,MATCH(419BXGS_BP6.A,Data!$B:$B,0),3),"")</f>
        <v/>
      </c>
      <c r="K13" s="4">
        <f>IFERROR(INDEX(Data!$H:$L,MATCH(419BXGS_BP6.A,Data!$B:$B,0),4),"")</f>
        <v/>
      </c>
      <c r="L13" s="5">
        <f>IFERROR(INDEX(Data!$H:$L,MATCH(419BXGS_BP6.A,Data!$B:$B,0),5),"")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IFERROR(INDEX(Data!$H:$L,MATCH(443BXGS_BP6.A,Data!$B:$B,0),1),"")</f>
        <v/>
      </c>
      <c r="I14" s="4">
        <f>IFERROR(INDEX(Data!$H:$L,MATCH(443BXGS_BP6.A,Data!$B:$B,0),2),"")</f>
        <v/>
      </c>
      <c r="J14" s="4">
        <f>IFERROR(INDEX(Data!$H:$L,MATCH(443BXGS_BP6.A,Data!$B:$B,0),3),"")</f>
        <v/>
      </c>
      <c r="K14" s="4">
        <f>IFERROR(INDEX(Data!$H:$L,MATCH(443BXGS_BP6.A,Data!$B:$B,0),4),"")</f>
        <v/>
      </c>
      <c r="L14" s="5">
        <f>IFERROR(INDEX(Data!$H:$L,MATCH(443BXGS_BP6.A,Data!$B:$B,0),5),"")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IFERROR(INDEX(Data!$H:$L,MATCH(453BXGS_BP6.A,Data!$B:$B,0),1),"")</f>
        <v/>
      </c>
      <c r="I15" s="4">
        <f>IFERROR(INDEX(Data!$H:$L,MATCH(453BXGS_BP6.A,Data!$B:$B,0),2),"")</f>
        <v/>
      </c>
      <c r="J15" s="4">
        <f>IFERROR(INDEX(Data!$H:$L,MATCH(453BXGS_BP6.A,Data!$B:$B,0),3),"")</f>
        <v/>
      </c>
      <c r="K15" s="4">
        <f>IFERROR(INDEX(Data!$H:$L,MATCH(453BXGS_BP6.A,Data!$B:$B,0),4),"")</f>
        <v/>
      </c>
      <c r="L15" s="5">
        <f>IFERROR(INDEX(Data!$H:$L,MATCH(453BXGS_BP6.A,Data!$B:$B,0),5),"")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IFERROR(INDEX(Data!$H:$L,MATCH(449BXGS_BP6.A,Data!$B:$B,0),1),"")</f>
        <v/>
      </c>
      <c r="I16" s="4">
        <f>IFERROR(INDEX(Data!$H:$L,MATCH(449BXGS_BP6.A,Data!$B:$B,0),2),"")</f>
        <v/>
      </c>
      <c r="J16" s="4">
        <f>IFERROR(INDEX(Data!$H:$L,MATCH(449BXGS_BP6.A,Data!$B:$B,0),3),"")</f>
        <v/>
      </c>
      <c r="K16" s="4">
        <f>IFERROR(INDEX(Data!$H:$L,MATCH(449BXGS_BP6.A,Data!$B:$B,0),4),"")</f>
        <v/>
      </c>
      <c r="L16" s="5">
        <f>IFERROR(INDEX(Data!$H:$L,MATCH(449BXGS_BP6.A,Data!$B:$B,0),5),"")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IFERROR(INDEX(Data!$H:$L,MATCH(456BXGS_BP6.A,Data!$B:$B,0),1),"")</f>
        <v/>
      </c>
      <c r="I17" s="6">
        <f>IFERROR(INDEX(Data!$H:$L,MATCH(456BXGS_BP6.A,Data!$B:$B,0),2),"")</f>
        <v/>
      </c>
      <c r="J17" s="6">
        <f>IFERROR(INDEX(Data!$H:$L,MATCH(456BXGS_BP6.A,Data!$B:$B,0),3),"")</f>
        <v/>
      </c>
      <c r="K17" s="6">
        <f>IFERROR(INDEX(Data!$H:$L,MATCH(456BXGS_BP6.A,Data!$B:$B,0),4),"")</f>
        <v/>
      </c>
      <c r="L17" s="7">
        <f>IFERROR(INDEX(Data!$H:$L,MATCH(456BXGS_BP6.A,Data!$B:$B,0),5),"")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IFERROR(INDEX(Data!$H:$L,MATCH(466BMGS_BP6.A,Data!$B:$B,0),1),"")</f>
        <v/>
      </c>
      <c r="I19" s="19">
        <f>IFERROR(INDEX(Data!$H:$L,MATCH(466BMGS_BP6.A,Data!$B:$B,0),2),"")</f>
        <v/>
      </c>
      <c r="J19" s="19">
        <f>IFERROR(INDEX(Data!$H:$L,MATCH(466BMGS_BP6.A,Data!$B:$B,0),3),"")</f>
        <v/>
      </c>
      <c r="K19" s="19">
        <f>IFERROR(INDEX(Data!$H:$L,MATCH(466BMGS_BP6.A,Data!$B:$B,0),4),"")</f>
        <v/>
      </c>
      <c r="L19" s="20">
        <f>IFERROR(INDEX(Data!$H:$L,MATCH(466BMGS_BP6.A,Data!$B:$B,0),5),"")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IFERROR(INDEX(Data!$H:$L,MATCH(419BMGS_BP6.A,Data!$B:$B,0),1),"")</f>
        <v/>
      </c>
      <c r="I20" s="4">
        <f>IFERROR(INDEX(Data!$H:$L,MATCH(419BMGS_BP6.A,Data!$B:$B,0),2),"")</f>
        <v/>
      </c>
      <c r="J20" s="4">
        <f>IFERROR(INDEX(Data!$H:$L,MATCH(419BMGS_BP6.A,Data!$B:$B,0),3),"")</f>
        <v/>
      </c>
      <c r="K20" s="4">
        <f>IFERROR(INDEX(Data!$H:$L,MATCH(419BMGS_BP6.A,Data!$B:$B,0),4),"")</f>
        <v/>
      </c>
      <c r="L20" s="5">
        <f>IFERROR(INDEX(Data!$H:$L,MATCH(419BMGS_BP6.A,Data!$B:$B,0),5),"")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IFERROR(INDEX(Data!$H:$L,MATCH(443BMGS_BP6.A,Data!$B:$B,0),1),"")</f>
        <v/>
      </c>
      <c r="I21" s="4">
        <f>IFERROR(INDEX(Data!$H:$L,MATCH(443BMGS_BP6.A,Data!$B:$B,0),2),"")</f>
        <v/>
      </c>
      <c r="J21" s="4">
        <f>IFERROR(INDEX(Data!$H:$L,MATCH(443BMGS_BP6.A,Data!$B:$B,0),3),"")</f>
        <v/>
      </c>
      <c r="K21" s="4">
        <f>IFERROR(INDEX(Data!$H:$L,MATCH(443BMGS_BP6.A,Data!$B:$B,0),4),"")</f>
        <v/>
      </c>
      <c r="L21" s="5">
        <f>IFERROR(INDEX(Data!$H:$L,MATCH(443BMGS_BP6.A,Data!$B:$B,0),5),"")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IFERROR(INDEX(Data!$H:$L,MATCH(453BMGS_BP6.A,Data!$B:$B,0),1),"")</f>
        <v/>
      </c>
      <c r="I22" s="4">
        <f>IFERROR(INDEX(Data!$H:$L,MATCH(453BMGS_BP6.A,Data!$B:$B,0),2),"")</f>
        <v/>
      </c>
      <c r="J22" s="4">
        <f>IFERROR(INDEX(Data!$H:$L,MATCH(453BMGS_BP6.A,Data!$B:$B,0),3),"")</f>
        <v/>
      </c>
      <c r="K22" s="4">
        <f>IFERROR(INDEX(Data!$H:$L,MATCH(453BMGS_BP6.A,Data!$B:$B,0),4),"")</f>
        <v/>
      </c>
      <c r="L22" s="5">
        <f>IFERROR(INDEX(Data!$H:$L,MATCH(453BMGS_BP6.A,Data!$B:$B,0),5),"")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IFERROR(INDEX(Data!$H:$L,MATCH(449BMGS_BP6.A,Data!$B:$B,0),1),"")</f>
        <v/>
      </c>
      <c r="I23" s="4">
        <f>IFERROR(INDEX(Data!$H:$L,MATCH(449BMGS_BP6.A,Data!$B:$B,0),2),"")</f>
        <v/>
      </c>
      <c r="J23" s="4">
        <f>IFERROR(INDEX(Data!$H:$L,MATCH(449BMGS_BP6.A,Data!$B:$B,0),3),"")</f>
        <v/>
      </c>
      <c r="K23" s="4">
        <f>IFERROR(INDEX(Data!$H:$L,MATCH(449BMGS_BP6.A,Data!$B:$B,0),4),"")</f>
        <v/>
      </c>
      <c r="L23" s="5">
        <f>IFERROR(INDEX(Data!$H:$L,MATCH(449BMGS_BP6.A,Data!$B:$B,0),5),"")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IFERROR(INDEX(Data!$H:$L,MATCH(456BMGS_BP6.A,Data!$B:$B,0),1),"")</f>
        <v/>
      </c>
      <c r="I24" s="6">
        <f>IFERROR(INDEX(Data!$H:$L,MATCH(456BMGS_BP6.A,Data!$B:$B,0),2),"")</f>
        <v/>
      </c>
      <c r="J24" s="6">
        <f>IFERROR(INDEX(Data!$H:$L,MATCH(456BMGS_BP6.A,Data!$B:$B,0),3),"")</f>
        <v/>
      </c>
      <c r="K24" s="6">
        <f>IFERROR(INDEX(Data!$H:$L,MATCH(456BMGS_BP6.A,Data!$B:$B,0),4),"")</f>
        <v/>
      </c>
      <c r="L24" s="7">
        <f>IFERROR(INDEX(Data!$H:$L,MATCH(456BMGS_BP6.A,Data!$B:$B,0),5),"")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IFERROR(INDEX(Data!$H:$L,MATCH(466NGDPD.A,Data!$B:$B,0),1),"")</f>
        <v/>
      </c>
      <c r="I26" s="19">
        <f>IFERROR(INDEX(Data!$H:$L,MATCH(466NGDPD.A,Data!$B:$B,0),2),"")</f>
        <v/>
      </c>
      <c r="J26" s="19">
        <f>IFERROR(INDEX(Data!$H:$L,MATCH(466NGDPD.A,Data!$B:$B,0),3),"")</f>
        <v/>
      </c>
      <c r="K26" s="19">
        <f>IFERROR(INDEX(Data!$H:$L,MATCH(466NGDPD.A,Data!$B:$B,0),4),"")</f>
        <v/>
      </c>
      <c r="L26" s="20">
        <f>IFERROR(INDEX(Data!$H:$L,MATCH(466NGDPD.A,Data!$B:$B,0),5),"")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IFERROR(INDEX(Data!$H:$L,MATCH(419NGDPD.A,Data!$B:$B,0),1),"")</f>
        <v/>
      </c>
      <c r="I27" s="4">
        <f>IFERROR(INDEX(Data!$H:$L,MATCH(419NGDPD.A,Data!$B:$B,0),2),"")</f>
        <v/>
      </c>
      <c r="J27" s="4">
        <f>IFERROR(INDEX(Data!$H:$L,MATCH(419NGDPD.A,Data!$B:$B,0),3),"")</f>
        <v/>
      </c>
      <c r="K27" s="4">
        <f>IFERROR(INDEX(Data!$H:$L,MATCH(419NGDPD.A,Data!$B:$B,0),4),"")</f>
        <v/>
      </c>
      <c r="L27" s="5">
        <f>IFERROR(INDEX(Data!$H:$L,MATCH(419NGDPD.A,Data!$B:$B,0),5),"")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IFERROR(INDEX(Data!$H:$L,MATCH(443NGDPD.A,Data!$B:$B,0),1),"")</f>
        <v/>
      </c>
      <c r="I28" s="4">
        <f>IFERROR(INDEX(Data!$H:$L,MATCH(443NGDPD.A,Data!$B:$B,0),2),"")</f>
        <v/>
      </c>
      <c r="J28" s="4">
        <f>IFERROR(INDEX(Data!$H:$L,MATCH(443NGDPD.A,Data!$B:$B,0),3),"")</f>
        <v/>
      </c>
      <c r="K28" s="4">
        <f>IFERROR(INDEX(Data!$H:$L,MATCH(443NGDPD.A,Data!$B:$B,0),4),"")</f>
        <v/>
      </c>
      <c r="L28" s="5">
        <f>IFERROR(INDEX(Data!$H:$L,MATCH(443NGDPD.A,Data!$B:$B,0),5),"")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IFERROR(INDEX(Data!$H:$L,MATCH(453NGDPD.A,Data!$B:$B,0),1),"")</f>
        <v/>
      </c>
      <c r="I29" s="4">
        <f>IFERROR(INDEX(Data!$H:$L,MATCH(453NGDPD.A,Data!$B:$B,0),2),"")</f>
        <v/>
      </c>
      <c r="J29" s="4">
        <f>IFERROR(INDEX(Data!$H:$L,MATCH(453NGDPD.A,Data!$B:$B,0),3),"")</f>
        <v/>
      </c>
      <c r="K29" s="4">
        <f>IFERROR(INDEX(Data!$H:$L,MATCH(453NGDPD.A,Data!$B:$B,0),4),"")</f>
        <v/>
      </c>
      <c r="L29" s="5">
        <f>IFERROR(INDEX(Data!$H:$L,MATCH(453NGDPD.A,Data!$B:$B,0),5),"")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IFERROR(INDEX(Data!$H:$L,MATCH(449NGDPD.A,Data!$B:$B,0),1),"")</f>
        <v/>
      </c>
      <c r="I30" s="4">
        <f>IFERROR(INDEX(Data!$H:$L,MATCH(449NGDPD.A,Data!$B:$B,0),2),"")</f>
        <v/>
      </c>
      <c r="J30" s="4">
        <f>IFERROR(INDEX(Data!$H:$L,MATCH(449NGDPD.A,Data!$B:$B,0),3),"")</f>
        <v/>
      </c>
      <c r="K30" s="4">
        <f>IFERROR(INDEX(Data!$H:$L,MATCH(449NGDPD.A,Data!$B:$B,0),4),"")</f>
        <v/>
      </c>
      <c r="L30" s="5">
        <f>IFERROR(INDEX(Data!$H:$L,MATCH(449NGDPD.A,Data!$B:$B,0),5),"")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IFERROR(INDEX(Data!$H:$L,MATCH(456NGDPD.A,Data!$B:$B,0),1),"")</f>
        <v/>
      </c>
      <c r="I31" s="6">
        <f>IFERROR(INDEX(Data!$H:$L,MATCH(456NGDPD.A,Data!$B:$B,0),2),"")</f>
        <v/>
      </c>
      <c r="J31" s="6">
        <f>IFERROR(INDEX(Data!$H:$L,MATCH(456NGDPD.A,Data!$B:$B,0),3),"")</f>
        <v/>
      </c>
      <c r="K31" s="6">
        <f>IFERROR(INDEX(Data!$H:$L,MATCH(456NGDPD.A,Data!$B:$B,0),4),"")</f>
        <v/>
      </c>
      <c r="L31" s="7">
        <f>IFERROR(INDEX(Data!$H:$L,MATCH(456NGDPD.A,Data!$B:$B,0),5),"")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 t="n">
        <v>19.74246075252734</v>
      </c>
      <c r="I35" s="19" t="n">
        <v>21.91765879199642</v>
      </c>
      <c r="J35" s="19" t="n">
        <v>25.22390643937577</v>
      </c>
      <c r="K35" s="19" t="n">
        <v>24.77536739017034</v>
      </c>
      <c r="L35" s="20" t="inlineStr"/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 t="n">
        <v>11.2709528534136</v>
      </c>
      <c r="I36" s="4" t="n">
        <v>5.639214704208239</v>
      </c>
      <c r="J36" s="4" t="n">
        <v>19.48952618200666</v>
      </c>
      <c r="K36" s="4" t="n">
        <v>25.9400100191036</v>
      </c>
      <c r="L36" s="5" t="inlineStr"/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 t="n">
        <v>12.62654447787566</v>
      </c>
      <c r="I37" s="4" t="n">
        <v>5.594702952253653</v>
      </c>
      <c r="J37" s="4" t="n">
        <v>22.44534806774528</v>
      </c>
      <c r="K37" s="4" t="n">
        <v>30.09534628671058</v>
      </c>
      <c r="L37" s="5" t="inlineStr"/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 t="n">
        <v>14.3313443042958</v>
      </c>
      <c r="I38" s="4" t="n">
        <v>8.218661636968774</v>
      </c>
      <c r="J38" s="4" t="n">
        <v>24.67285719744705</v>
      </c>
      <c r="K38" s="4" t="n">
        <v>36.8972534244982</v>
      </c>
      <c r="L38" s="5" t="inlineStr"/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 t="n">
        <v>12.46645009153813</v>
      </c>
      <c r="I39" s="4" t="n">
        <v>2.45592038031992</v>
      </c>
      <c r="J39" s="4" t="n">
        <v>10.60933206149555</v>
      </c>
      <c r="K39" s="4" t="n">
        <v>20.38539503885081</v>
      </c>
      <c r="L39" s="5" t="inlineStr"/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 t="n">
        <v>7.976161780110369</v>
      </c>
      <c r="I40" s="6" t="n">
        <v>0.09048427883321591</v>
      </c>
      <c r="J40" s="6" t="n">
        <v>8.349310649357781</v>
      </c>
      <c r="K40" s="6" t="n">
        <v>16.92884178925681</v>
      </c>
      <c r="L40" s="7" t="inlineStr"/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>
        <f>SUMPRODUCT(H$35:H$40,H$26:H$31)/SUM(H$26:H$31)</f>
        <v/>
      </c>
      <c r="I48" s="1">
        <f>SUMPRODUCT(I$35:I$40,I$26:I$31)/SUM(I$26:I$31)</f>
        <v/>
      </c>
      <c r="J48" s="1">
        <f>SUMPRODUCT(J$35:J$40,J$26:J$31)/SUM(J$26:J$31)</f>
        <v/>
      </c>
      <c r="K48" s="1">
        <f>SUMPRODUCT(K$35:K$40,K$26:K$31)/SUM(K$26:K$31)</f>
        <v/>
      </c>
      <c r="L48" s="1">
        <f>SUMPRODUCT(L$35:L$40,L$26:L$31)/SUM(L$26:L$31)</f>
        <v/>
      </c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2026-01-29T02:13:03Z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