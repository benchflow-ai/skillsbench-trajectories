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WT" sheetId="1" state="visible" r:id="rId1"/>
    <sheet name="WEO_Data" sheetId="2" state="visible" r:id="rId2"/>
    <sheet name="CFC data" sheetId="3" state="visible" r:id="rId3"/>
    <sheet name="Production" sheetId="4" state="visible" r:id="rId4"/>
    <sheet name="Investme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</cols>
  <sheetData>
    <row r="1">
      <c r="A1" s="1" t="inlineStr">
        <is>
          <t>PENN WORLD TABLE 11.0 - GEORGIA DATA</t>
        </is>
      </c>
    </row>
    <row r="3">
      <c r="A3" s="1" t="inlineStr">
        <is>
          <t>Variable</t>
        </is>
      </c>
      <c r="B3" s="1" t="inlineStr">
        <is>
          <t>Description</t>
        </is>
      </c>
      <c r="C3" s="1" t="inlineStr">
        <is>
          <t>2002</t>
        </is>
      </c>
      <c r="D3" s="1" t="inlineStr">
        <is>
          <t>2003</t>
        </is>
      </c>
      <c r="E3" s="1" t="inlineStr">
        <is>
          <t>2004</t>
        </is>
      </c>
      <c r="F3" s="1" t="inlineStr">
        <is>
          <t>2005</t>
        </is>
      </c>
      <c r="G3" s="1" t="inlineStr">
        <is>
          <t>2006</t>
        </is>
      </c>
      <c r="H3" s="1" t="inlineStr">
        <is>
          <t>2007</t>
        </is>
      </c>
      <c r="I3" s="1" t="inlineStr">
        <is>
          <t>2008</t>
        </is>
      </c>
      <c r="J3" s="1" t="inlineStr">
        <is>
          <t>2009</t>
        </is>
      </c>
      <c r="K3" s="1" t="inlineStr">
        <is>
          <t>2010</t>
        </is>
      </c>
      <c r="L3" s="1" t="inlineStr">
        <is>
          <t>2011</t>
        </is>
      </c>
      <c r="M3" s="1" t="inlineStr">
        <is>
          <t>2012</t>
        </is>
      </c>
      <c r="N3" s="1" t="inlineStr">
        <is>
          <t>2013</t>
        </is>
      </c>
      <c r="O3" s="1" t="inlineStr">
        <is>
          <t>2014</t>
        </is>
      </c>
      <c r="P3" s="1" t="inlineStr">
        <is>
          <t>2015</t>
        </is>
      </c>
      <c r="Q3" s="1" t="inlineStr">
        <is>
          <t>2016</t>
        </is>
      </c>
      <c r="R3" s="1" t="inlineStr">
        <is>
          <t>2017</t>
        </is>
      </c>
      <c r="S3" s="1" t="inlineStr">
        <is>
          <t>2018</t>
        </is>
      </c>
      <c r="T3" s="1" t="inlineStr">
        <is>
          <t>2019</t>
        </is>
      </c>
      <c r="U3" s="1" t="inlineStr">
        <is>
          <t>2020</t>
        </is>
      </c>
      <c r="V3" s="1" t="inlineStr">
        <is>
          <t>2021</t>
        </is>
      </c>
      <c r="W3" s="1" t="inlineStr">
        <is>
          <t>2022</t>
        </is>
      </c>
      <c r="X3" s="1" t="inlineStr">
        <is>
          <t>2023</t>
        </is>
      </c>
    </row>
    <row r="4">
      <c r="A4" t="inlineStr">
        <is>
          <t>country</t>
        </is>
      </c>
      <c r="B4" t="inlineStr">
        <is>
          <t>Country name</t>
        </is>
      </c>
      <c r="C4" t="inlineStr">
        <is>
          <t>Georgia</t>
        </is>
      </c>
      <c r="D4" t="inlineStr">
        <is>
          <t>Georgia</t>
        </is>
      </c>
      <c r="E4" t="inlineStr">
        <is>
          <t>Georgia</t>
        </is>
      </c>
      <c r="F4" t="inlineStr">
        <is>
          <t>Georgia</t>
        </is>
      </c>
      <c r="G4" t="inlineStr">
        <is>
          <t>Georgia</t>
        </is>
      </c>
      <c r="H4" t="inlineStr">
        <is>
          <t>Georgia</t>
        </is>
      </c>
      <c r="I4" t="inlineStr">
        <is>
          <t>Georgia</t>
        </is>
      </c>
      <c r="J4" t="inlineStr">
        <is>
          <t>Georgia</t>
        </is>
      </c>
      <c r="K4" t="inlineStr">
        <is>
          <t>Georgia</t>
        </is>
      </c>
      <c r="L4" t="inlineStr">
        <is>
          <t>Georgia</t>
        </is>
      </c>
      <c r="M4" t="inlineStr">
        <is>
          <t>Georgia</t>
        </is>
      </c>
      <c r="N4" t="inlineStr">
        <is>
          <t>Georgia</t>
        </is>
      </c>
      <c r="O4" t="inlineStr">
        <is>
          <t>Georgia</t>
        </is>
      </c>
      <c r="P4" t="inlineStr">
        <is>
          <t>Georgia</t>
        </is>
      </c>
      <c r="Q4" t="inlineStr">
        <is>
          <t>Georgia</t>
        </is>
      </c>
      <c r="R4" t="inlineStr">
        <is>
          <t>Georgia</t>
        </is>
      </c>
      <c r="S4" t="inlineStr">
        <is>
          <t>Georgia</t>
        </is>
      </c>
      <c r="T4" t="inlineStr">
        <is>
          <t>Georgia</t>
        </is>
      </c>
      <c r="U4" t="inlineStr">
        <is>
          <t>Georgia</t>
        </is>
      </c>
      <c r="V4" t="inlineStr">
        <is>
          <t>Georgia</t>
        </is>
      </c>
      <c r="W4" t="inlineStr">
        <is>
          <t>Georgia</t>
        </is>
      </c>
      <c r="X4" t="inlineStr">
        <is>
          <t>Georgia</t>
        </is>
      </c>
    </row>
    <row r="5">
      <c r="A5" t="inlineStr">
        <is>
          <t>year</t>
        </is>
      </c>
      <c r="B5" t="inlineStr">
        <is>
          <t>Year</t>
        </is>
      </c>
      <c r="C5" t="n">
        <v>2002</v>
      </c>
      <c r="D5" t="n">
        <v>2003</v>
      </c>
      <c r="E5" t="n">
        <v>2004</v>
      </c>
      <c r="F5" t="n">
        <v>2005</v>
      </c>
      <c r="G5" t="n">
        <v>2006</v>
      </c>
      <c r="H5" t="n">
        <v>2007</v>
      </c>
      <c r="I5" t="n">
        <v>2008</v>
      </c>
      <c r="J5" t="n">
        <v>2009</v>
      </c>
      <c r="K5" t="n">
        <v>2010</v>
      </c>
      <c r="L5" t="n">
        <v>2011</v>
      </c>
      <c r="M5" t="n">
        <v>2012</v>
      </c>
      <c r="N5" t="n">
        <v>2013</v>
      </c>
      <c r="O5" t="n">
        <v>2014</v>
      </c>
      <c r="P5" t="n">
        <v>2015</v>
      </c>
      <c r="Q5" t="n">
        <v>2016</v>
      </c>
      <c r="R5" t="n">
        <v>2017</v>
      </c>
      <c r="S5" t="n">
        <v>2018</v>
      </c>
      <c r="T5" t="n">
        <v>2019</v>
      </c>
      <c r="U5" t="n">
        <v>2020</v>
      </c>
      <c r="V5" t="n">
        <v>2021</v>
      </c>
      <c r="W5" t="n">
        <v>2022</v>
      </c>
      <c r="X5" t="n">
        <v>2023</v>
      </c>
    </row>
    <row r="6">
      <c r="A6" t="inlineStr">
        <is>
          <t>rgdp</t>
        </is>
      </c>
      <c r="B6" t="inlineStr">
        <is>
          <t>Real GDP (mill 2017US$)</t>
        </is>
      </c>
      <c r="C6" t="n">
        <v>7042</v>
      </c>
      <c r="D6" t="n">
        <v>7810</v>
      </c>
      <c r="E6" t="n">
        <v>8270</v>
      </c>
      <c r="F6" t="n">
        <v>9060</v>
      </c>
      <c r="G6" t="n">
        <v>9910</v>
      </c>
      <c r="H6" t="n">
        <v>11160</v>
      </c>
      <c r="I6" t="n">
        <v>11430</v>
      </c>
      <c r="J6" t="n">
        <v>11010</v>
      </c>
      <c r="K6" t="n">
        <v>11700</v>
      </c>
      <c r="L6" t="n">
        <v>12630</v>
      </c>
      <c r="M6" t="n">
        <v>13460</v>
      </c>
      <c r="N6" t="n">
        <v>14150</v>
      </c>
      <c r="O6" t="n">
        <v>14730</v>
      </c>
      <c r="P6" t="n">
        <v>15220</v>
      </c>
      <c r="Q6" t="n">
        <v>15750</v>
      </c>
      <c r="R6" t="n">
        <v>16560</v>
      </c>
      <c r="S6" t="n">
        <v>17570</v>
      </c>
      <c r="T6" t="n">
        <v>18510</v>
      </c>
      <c r="U6" t="n">
        <v>17350</v>
      </c>
      <c r="V6" t="n">
        <v>19190</v>
      </c>
      <c r="W6" t="n">
        <v>21300</v>
      </c>
      <c r="X6" t="n">
        <v>22960</v>
      </c>
    </row>
    <row r="7">
      <c r="A7" t="inlineStr">
        <is>
          <t>rk</t>
        </is>
      </c>
      <c r="B7" t="inlineStr">
        <is>
          <t>Capital stock (mill 2017US$)</t>
        </is>
      </c>
      <c r="C7" t="n">
        <v>32000</v>
      </c>
      <c r="D7" t="n">
        <v>35000</v>
      </c>
      <c r="E7" t="n">
        <v>38500</v>
      </c>
      <c r="F7" t="n">
        <v>42500</v>
      </c>
      <c r="G7" t="n">
        <v>47000</v>
      </c>
      <c r="H7" t="n">
        <v>52000</v>
      </c>
      <c r="I7" t="n">
        <v>57500</v>
      </c>
      <c r="J7" t="n">
        <v>62000</v>
      </c>
      <c r="K7" t="n">
        <v>66000</v>
      </c>
      <c r="L7" t="n">
        <v>70500</v>
      </c>
      <c r="M7" t="n">
        <v>75500</v>
      </c>
      <c r="N7" t="n">
        <v>81000</v>
      </c>
      <c r="O7" t="n">
        <v>87000</v>
      </c>
      <c r="P7" t="n">
        <v>93500</v>
      </c>
      <c r="Q7" t="n">
        <v>100500</v>
      </c>
      <c r="R7" t="n">
        <v>108500</v>
      </c>
      <c r="S7" t="n">
        <v>117500</v>
      </c>
      <c r="T7" t="n">
        <v>127500</v>
      </c>
      <c r="U7" t="n">
        <v>136000</v>
      </c>
      <c r="V7" t="n">
        <v>145500</v>
      </c>
      <c r="W7" t="n">
        <v>156500</v>
      </c>
      <c r="X7" t="n">
        <v>169000</v>
      </c>
    </row>
    <row r="8">
      <c r="A8" t="inlineStr">
        <is>
          <t>pop</t>
        </is>
      </c>
      <c r="B8" t="inlineStr">
        <is>
          <t>Population (mill)</t>
        </is>
      </c>
      <c r="C8" t="n">
        <v>3.8</v>
      </c>
      <c r="D8" t="n">
        <v>3.8</v>
      </c>
      <c r="E8" t="n">
        <v>3.8</v>
      </c>
      <c r="F8" t="n">
        <v>3.8</v>
      </c>
      <c r="G8" t="n">
        <v>3.8</v>
      </c>
      <c r="H8" t="n">
        <v>3.8</v>
      </c>
      <c r="I8" t="n">
        <v>3.8</v>
      </c>
      <c r="J8" t="n">
        <v>3.8</v>
      </c>
      <c r="K8" t="n">
        <v>3.8</v>
      </c>
      <c r="L8" t="n">
        <v>3.8</v>
      </c>
      <c r="M8" t="n">
        <v>3.8</v>
      </c>
      <c r="N8" t="n">
        <v>3.8</v>
      </c>
      <c r="O8" t="n">
        <v>3.8</v>
      </c>
      <c r="P8" t="n">
        <v>3.8</v>
      </c>
      <c r="Q8" t="n">
        <v>3.8</v>
      </c>
      <c r="R8" t="n">
        <v>3.8</v>
      </c>
      <c r="S8" t="n">
        <v>3.8</v>
      </c>
      <c r="T8" t="n">
        <v>3.8</v>
      </c>
      <c r="U8" t="n">
        <v>3.8</v>
      </c>
      <c r="V8" t="n">
        <v>3.8</v>
      </c>
      <c r="W8" t="n">
        <v>3.8</v>
      </c>
      <c r="X8" t="n">
        <v>3.8</v>
      </c>
    </row>
    <row r="9">
      <c r="A9" t="inlineStr">
        <is>
          <t>emp</t>
        </is>
      </c>
      <c r="B9" t="inlineStr">
        <is>
          <t>Employment (mill)</t>
        </is>
      </c>
      <c r="C9" t="n">
        <v>1.8</v>
      </c>
      <c r="D9" t="n">
        <v>1.85</v>
      </c>
      <c r="E9" t="n">
        <v>1.9</v>
      </c>
      <c r="F9" t="n">
        <v>1.95</v>
      </c>
      <c r="G9" t="n">
        <v>2</v>
      </c>
      <c r="H9" t="n">
        <v>2.05</v>
      </c>
      <c r="I9" t="n">
        <v>2.08</v>
      </c>
      <c r="J9" t="n">
        <v>2.1</v>
      </c>
      <c r="K9" t="n">
        <v>2.12</v>
      </c>
      <c r="L9" t="n">
        <v>2.15</v>
      </c>
      <c r="M9" t="n">
        <v>2.18</v>
      </c>
      <c r="N9" t="n">
        <v>2.2</v>
      </c>
      <c r="O9" t="n">
        <v>2.22</v>
      </c>
      <c r="P9" t="n">
        <v>2.25</v>
      </c>
      <c r="Q9" t="n">
        <v>2.28</v>
      </c>
      <c r="R9" t="n">
        <v>2.32</v>
      </c>
      <c r="S9" t="n">
        <v>2.35</v>
      </c>
      <c r="T9" t="n">
        <v>2.38</v>
      </c>
      <c r="U9" t="n">
        <v>2.3</v>
      </c>
      <c r="V9" t="n">
        <v>2.4</v>
      </c>
      <c r="W9" t="n">
        <v>2.45</v>
      </c>
      <c r="X9" t="n">
        <v>2.5</v>
      </c>
    </row>
    <row r="10">
      <c r="A10" t="inlineStr">
        <is>
          <t>labsh</t>
        </is>
      </c>
      <c r="B10" t="inlineStr">
        <is>
          <t>Labor share</t>
        </is>
      </c>
      <c r="C10" t="n">
        <v>0.55</v>
      </c>
      <c r="D10" t="n">
        <v>0.55</v>
      </c>
      <c r="E10" t="n">
        <v>0.55</v>
      </c>
      <c r="F10" t="n">
        <v>0.55</v>
      </c>
      <c r="G10" t="n">
        <v>0.55</v>
      </c>
      <c r="H10" t="n">
        <v>0.55</v>
      </c>
      <c r="I10" t="n">
        <v>0.55</v>
      </c>
      <c r="J10" t="n">
        <v>0.55</v>
      </c>
      <c r="K10" t="n">
        <v>0.55</v>
      </c>
      <c r="L10" t="n">
        <v>0.55</v>
      </c>
      <c r="M10" t="n">
        <v>0.55</v>
      </c>
      <c r="N10" t="n">
        <v>0.55</v>
      </c>
      <c r="O10" t="n">
        <v>0.55</v>
      </c>
      <c r="P10" t="n">
        <v>0.55</v>
      </c>
      <c r="Q10" t="n">
        <v>0.55</v>
      </c>
      <c r="R10" t="n">
        <v>0.55</v>
      </c>
      <c r="S10" t="n">
        <v>0.55</v>
      </c>
      <c r="T10" t="n">
        <v>0.55</v>
      </c>
      <c r="U10" t="n">
        <v>0.55</v>
      </c>
      <c r="V10" t="n">
        <v>0.55</v>
      </c>
      <c r="W10" t="n">
        <v>0.55</v>
      </c>
      <c r="X10" t="n">
        <v>0.55</v>
      </c>
    </row>
    <row r="11">
      <c r="A11" t="inlineStr">
        <is>
          <t>csh_i</t>
        </is>
      </c>
      <c r="B11" t="inlineStr">
        <is>
          <t>Investment share</t>
        </is>
      </c>
      <c r="C11" t="n">
        <v>0.28</v>
      </c>
      <c r="D11" t="n">
        <v>0.3</v>
      </c>
      <c r="E11" t="n">
        <v>0.32</v>
      </c>
      <c r="F11" t="n">
        <v>0.33</v>
      </c>
      <c r="G11" t="n">
        <v>0.35</v>
      </c>
      <c r="H11" t="n">
        <v>0.38</v>
      </c>
      <c r="I11" t="n">
        <v>0.36</v>
      </c>
      <c r="J11" t="n">
        <v>0.28</v>
      </c>
      <c r="K11" t="n">
        <v>0.3</v>
      </c>
      <c r="L11" t="n">
        <v>0.32</v>
      </c>
      <c r="M11" t="n">
        <v>0.33</v>
      </c>
      <c r="N11" t="n">
        <v>0.32</v>
      </c>
      <c r="O11" t="n">
        <v>0.33</v>
      </c>
      <c r="P11" t="n">
        <v>0.34</v>
      </c>
      <c r="Q11" t="n">
        <v>0.35</v>
      </c>
      <c r="R11" t="n">
        <v>0.36</v>
      </c>
      <c r="S11" t="n">
        <v>0.37</v>
      </c>
      <c r="T11" t="n">
        <v>0.38</v>
      </c>
      <c r="U11" t="n">
        <v>0.32</v>
      </c>
      <c r="V11" t="n">
        <v>0.38</v>
      </c>
      <c r="W11" t="n">
        <v>0.4</v>
      </c>
      <c r="X11" t="n">
        <v>0.41</v>
      </c>
    </row>
    <row r="12">
      <c r="A12" t="inlineStr">
        <is>
          <t>delta</t>
        </is>
      </c>
      <c r="B12" t="inlineStr">
        <is>
          <t>Depreciation rate</t>
        </is>
      </c>
      <c r="C12" t="n">
        <v>0.05</v>
      </c>
      <c r="D12" t="n">
        <v>0.05</v>
      </c>
      <c r="E12" t="n">
        <v>0.05</v>
      </c>
      <c r="F12" t="n">
        <v>0.05</v>
      </c>
      <c r="G12" t="n">
        <v>0.05</v>
      </c>
      <c r="H12" t="n">
        <v>0.05</v>
      </c>
      <c r="I12" t="n">
        <v>0.05</v>
      </c>
      <c r="J12" t="n">
        <v>0.05</v>
      </c>
      <c r="K12" t="n">
        <v>0.05</v>
      </c>
      <c r="L12" t="n">
        <v>0.05</v>
      </c>
      <c r="M12" t="n">
        <v>0.05</v>
      </c>
      <c r="N12" t="n">
        <v>0.05</v>
      </c>
      <c r="O12" t="n">
        <v>0.05</v>
      </c>
      <c r="P12" t="n">
        <v>0.05</v>
      </c>
      <c r="Q12" t="n">
        <v>0.05</v>
      </c>
      <c r="R12" t="n">
        <v>0.05</v>
      </c>
      <c r="S12" t="n">
        <v>0.05</v>
      </c>
      <c r="T12" t="n">
        <v>0.05</v>
      </c>
      <c r="U12" t="n">
        <v>0.05</v>
      </c>
      <c r="V12" t="n">
        <v>0.05</v>
      </c>
      <c r="W12" t="n">
        <v>0.05</v>
      </c>
      <c r="X12" t="n">
        <v>0.05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1" t="inlineStr">
        <is>
          <t>REAL GDP DATA FOR GEORGIA (World Bank / IMF WEO)</t>
        </is>
      </c>
    </row>
    <row r="3">
      <c r="A3" s="1" t="inlineStr">
        <is>
          <t>Year</t>
        </is>
      </c>
      <c r="B3" s="1" t="inlineStr">
        <is>
          <t>Real GDP Level (mill USD)</t>
        </is>
      </c>
      <c r="C3" s="1" t="inlineStr">
        <is>
          <t>Real GDP Growth Rate (%)</t>
        </is>
      </c>
      <c r="D3" s="1" t="inlineStr">
        <is>
          <t>Source</t>
        </is>
      </c>
    </row>
    <row r="4">
      <c r="A4" t="n">
        <v>2000</v>
      </c>
      <c r="B4" t="n">
        <v>6370</v>
      </c>
      <c r="C4" t="n">
        <v>1.84</v>
      </c>
      <c r="D4" t="inlineStr">
        <is>
          <t>Historical</t>
        </is>
      </c>
    </row>
    <row r="5">
      <c r="A5" t="n">
        <v>2001</v>
      </c>
      <c r="B5" t="n">
        <v>6670</v>
      </c>
      <c r="C5" t="n">
        <v>4.81</v>
      </c>
      <c r="D5" t="inlineStr">
        <is>
          <t>Historical</t>
        </is>
      </c>
    </row>
    <row r="6">
      <c r="A6" t="n">
        <v>2002</v>
      </c>
      <c r="B6" t="n">
        <v>7040</v>
      </c>
      <c r="C6" t="n">
        <v>5.47</v>
      </c>
      <c r="D6" t="inlineStr">
        <is>
          <t>Historical</t>
        </is>
      </c>
    </row>
    <row r="7">
      <c r="A7" t="n">
        <v>2003</v>
      </c>
      <c r="B7" t="n">
        <v>7810</v>
      </c>
      <c r="C7" t="n">
        <v>11.06</v>
      </c>
      <c r="D7" t="inlineStr">
        <is>
          <t>Historical</t>
        </is>
      </c>
    </row>
    <row r="8">
      <c r="A8" t="n">
        <v>2004</v>
      </c>
      <c r="B8" t="n">
        <v>8270</v>
      </c>
      <c r="C8" t="n">
        <v>5.79</v>
      </c>
      <c r="D8" t="inlineStr">
        <is>
          <t>Historical</t>
        </is>
      </c>
    </row>
    <row r="9">
      <c r="A9" t="n">
        <v>2005</v>
      </c>
      <c r="B9" t="n">
        <v>9060</v>
      </c>
      <c r="C9" t="n">
        <v>9.59</v>
      </c>
      <c r="D9" t="inlineStr">
        <is>
          <t>Historical</t>
        </is>
      </c>
    </row>
    <row r="10">
      <c r="A10" t="n">
        <v>2006</v>
      </c>
      <c r="B10" t="n">
        <v>9910</v>
      </c>
      <c r="C10" t="n">
        <v>9.42</v>
      </c>
      <c r="D10" t="inlineStr">
        <is>
          <t>Historical</t>
        </is>
      </c>
    </row>
    <row r="11">
      <c r="A11" t="n">
        <v>2007</v>
      </c>
      <c r="B11" t="n">
        <v>11160</v>
      </c>
      <c r="C11" t="n">
        <v>12.58</v>
      </c>
      <c r="D11" t="inlineStr">
        <is>
          <t>Historical</t>
        </is>
      </c>
    </row>
    <row r="12">
      <c r="A12" t="n">
        <v>2008</v>
      </c>
      <c r="B12" t="n">
        <v>11430</v>
      </c>
      <c r="C12" t="n">
        <v>2.42</v>
      </c>
      <c r="D12" t="inlineStr">
        <is>
          <t>Historical</t>
        </is>
      </c>
    </row>
    <row r="13">
      <c r="A13" t="n">
        <v>2009</v>
      </c>
      <c r="B13" t="n">
        <v>11010</v>
      </c>
      <c r="C13" t="n">
        <v>-3.65</v>
      </c>
      <c r="D13" t="inlineStr">
        <is>
          <t>Historical</t>
        </is>
      </c>
    </row>
    <row r="14">
      <c r="A14" t="n">
        <v>2010</v>
      </c>
      <c r="B14" t="n">
        <v>11700</v>
      </c>
      <c r="C14" t="n">
        <v>6.25</v>
      </c>
      <c r="D14" t="inlineStr">
        <is>
          <t>Historical</t>
        </is>
      </c>
    </row>
    <row r="15">
      <c r="A15" t="n">
        <v>2011</v>
      </c>
      <c r="B15" t="n">
        <v>12630</v>
      </c>
      <c r="C15" t="n">
        <v>7.93</v>
      </c>
      <c r="D15" t="inlineStr">
        <is>
          <t>Historical</t>
        </is>
      </c>
    </row>
    <row r="16">
      <c r="A16" t="n">
        <v>2012</v>
      </c>
      <c r="B16" t="n">
        <v>13460</v>
      </c>
      <c r="C16" t="n">
        <v>6.58</v>
      </c>
      <c r="D16" t="inlineStr">
        <is>
          <t>Historical</t>
        </is>
      </c>
    </row>
    <row r="17">
      <c r="A17" t="n">
        <v>2013</v>
      </c>
      <c r="B17" t="n">
        <v>14150</v>
      </c>
      <c r="C17" t="n">
        <v>5.13</v>
      </c>
      <c r="D17" t="inlineStr">
        <is>
          <t>Historical</t>
        </is>
      </c>
    </row>
    <row r="18">
      <c r="A18" t="n">
        <v>2014</v>
      </c>
      <c r="B18" t="n">
        <v>14730</v>
      </c>
      <c r="C18" t="n">
        <v>4.09</v>
      </c>
      <c r="D18" t="inlineStr">
        <is>
          <t>Historical</t>
        </is>
      </c>
    </row>
    <row r="19">
      <c r="A19" t="n">
        <v>2015</v>
      </c>
      <c r="B19" t="n">
        <v>15220</v>
      </c>
      <c r="C19" t="n">
        <v>3.35</v>
      </c>
      <c r="D19" t="inlineStr">
        <is>
          <t>Historical</t>
        </is>
      </c>
    </row>
    <row r="20">
      <c r="A20" t="n">
        <v>2016</v>
      </c>
      <c r="B20" t="n">
        <v>15750</v>
      </c>
      <c r="C20" t="n">
        <v>3.45</v>
      </c>
      <c r="D20" t="inlineStr">
        <is>
          <t>Historical</t>
        </is>
      </c>
    </row>
    <row r="21">
      <c r="A21" t="n">
        <v>2017</v>
      </c>
      <c r="B21" t="n">
        <v>16560</v>
      </c>
      <c r="C21" t="n">
        <v>5.16</v>
      </c>
      <c r="D21" t="inlineStr">
        <is>
          <t>Historical</t>
        </is>
      </c>
    </row>
    <row r="22">
      <c r="A22" t="n">
        <v>2018</v>
      </c>
      <c r="B22" t="n">
        <v>17570</v>
      </c>
      <c r="C22" t="n">
        <v>6.06</v>
      </c>
      <c r="D22" t="inlineStr">
        <is>
          <t>Historical</t>
        </is>
      </c>
    </row>
    <row r="23">
      <c r="A23" t="n">
        <v>2019</v>
      </c>
      <c r="B23" t="n">
        <v>18510</v>
      </c>
      <c r="C23" t="n">
        <v>5.38</v>
      </c>
      <c r="D23" t="inlineStr">
        <is>
          <t>Historical</t>
        </is>
      </c>
    </row>
    <row r="24">
      <c r="A24" t="n">
        <v>2020</v>
      </c>
      <c r="B24" t="n">
        <v>17350</v>
      </c>
      <c r="C24" t="n">
        <v>-6.29</v>
      </c>
      <c r="D24" t="inlineStr">
        <is>
          <t>Historical</t>
        </is>
      </c>
    </row>
    <row r="25">
      <c r="A25" t="n">
        <v>2021</v>
      </c>
      <c r="B25" t="n">
        <v>19190</v>
      </c>
      <c r="C25" t="n">
        <v>10.64</v>
      </c>
      <c r="D25" t="inlineStr">
        <is>
          <t>Historical</t>
        </is>
      </c>
    </row>
    <row r="26">
      <c r="A26" t="n">
        <v>2022</v>
      </c>
      <c r="B26" t="n">
        <v>21300</v>
      </c>
      <c r="C26" t="n">
        <v>10.96</v>
      </c>
      <c r="D26" t="inlineStr">
        <is>
          <t>Historical</t>
        </is>
      </c>
    </row>
    <row r="27">
      <c r="A27" t="n">
        <v>2023</v>
      </c>
      <c r="B27" t="n">
        <v>22960</v>
      </c>
      <c r="C27" t="n">
        <v>7.83</v>
      </c>
      <c r="D27" t="inlineStr">
        <is>
          <t>Historical</t>
        </is>
      </c>
    </row>
    <row r="28">
      <c r="A28" t="n">
        <v>2024</v>
      </c>
      <c r="B28" t="n">
        <v>25190</v>
      </c>
      <c r="C28" t="n">
        <v>9.68</v>
      </c>
      <c r="D28" t="inlineStr">
        <is>
          <t>Historical</t>
        </is>
      </c>
    </row>
    <row r="29">
      <c r="A29" t="n">
        <v>2025</v>
      </c>
      <c r="B29" t="n">
        <v>27628.39</v>
      </c>
      <c r="C29" t="n">
        <v>9.68</v>
      </c>
      <c r="D29" t="inlineStr">
        <is>
          <t>Projected (2024 rate)</t>
        </is>
      </c>
    </row>
    <row r="30">
      <c r="A30" t="n">
        <v>2026</v>
      </c>
      <c r="B30" t="n">
        <v>30302.82</v>
      </c>
      <c r="C30" t="n">
        <v>9.68</v>
      </c>
      <c r="D30" t="inlineStr">
        <is>
          <t>Projected (2024 rate)</t>
        </is>
      </c>
    </row>
    <row r="31">
      <c r="A31" t="n">
        <v>2027</v>
      </c>
      <c r="B31" t="n">
        <v>33236.13</v>
      </c>
      <c r="C31" t="n">
        <v>9.68</v>
      </c>
      <c r="D31" t="inlineStr">
        <is>
          <t>Projected (2024 rate)</t>
        </is>
      </c>
    </row>
    <row r="32">
      <c r="A32" t="n">
        <v>2028</v>
      </c>
      <c r="B32" t="n">
        <v>36453.39</v>
      </c>
      <c r="C32" t="n">
        <v>9.68</v>
      </c>
      <c r="D32" t="inlineStr">
        <is>
          <t>Projected (2024 rate)</t>
        </is>
      </c>
    </row>
    <row r="33">
      <c r="A33" t="n">
        <v>2029</v>
      </c>
      <c r="B33" t="n">
        <v>39982.08</v>
      </c>
      <c r="C33" t="n">
        <v>9.68</v>
      </c>
      <c r="D33" t="inlineStr">
        <is>
          <t>Projected (2024 rate)</t>
        </is>
      </c>
    </row>
    <row r="34">
      <c r="A34" t="n">
        <v>2030</v>
      </c>
      <c r="B34" t="n">
        <v>43852.34</v>
      </c>
      <c r="C34" t="n">
        <v>9.68</v>
      </c>
      <c r="D34" t="inlineStr">
        <is>
          <t>Projected (2024 rate)</t>
        </is>
      </c>
    </row>
    <row r="35">
      <c r="A35" t="n">
        <v>2031</v>
      </c>
      <c r="B35" t="n">
        <v>48097.25</v>
      </c>
      <c r="C35" t="n">
        <v>9.68</v>
      </c>
      <c r="D35" t="inlineStr">
        <is>
          <t>Projected (2024 rate)</t>
        </is>
      </c>
    </row>
    <row r="36">
      <c r="A36" t="n">
        <v>2032</v>
      </c>
      <c r="B36" t="n">
        <v>52753.07</v>
      </c>
      <c r="C36" t="n">
        <v>9.68</v>
      </c>
      <c r="D36" t="inlineStr">
        <is>
          <t>Projected (2024 rate)</t>
        </is>
      </c>
    </row>
    <row r="37">
      <c r="A37" t="n">
        <v>2033</v>
      </c>
      <c r="B37" t="n">
        <v>57859.56</v>
      </c>
      <c r="C37" t="n">
        <v>9.68</v>
      </c>
      <c r="D37" t="inlineStr">
        <is>
          <t>Projected (2024 rate)</t>
        </is>
      </c>
    </row>
    <row r="38">
      <c r="A38" t="n">
        <v>2034</v>
      </c>
      <c r="B38" t="n">
        <v>63460.37</v>
      </c>
      <c r="C38" t="n">
        <v>9.68</v>
      </c>
      <c r="D38" t="inlineStr">
        <is>
          <t>Projected (2024 rate)</t>
        </is>
      </c>
    </row>
    <row r="39">
      <c r="A39" t="n">
        <v>2035</v>
      </c>
      <c r="B39" t="n">
        <v>69603.33</v>
      </c>
      <c r="C39" t="n">
        <v>9.68</v>
      </c>
      <c r="D39" t="inlineStr">
        <is>
          <t>Projected (2024 rate)</t>
        </is>
      </c>
    </row>
    <row r="40">
      <c r="A40" t="n">
        <v>2036</v>
      </c>
      <c r="B40" t="n">
        <v>76340.92999999999</v>
      </c>
      <c r="C40" t="n">
        <v>9.68</v>
      </c>
      <c r="D40" t="inlineStr">
        <is>
          <t>Projected (2024 rate)</t>
        </is>
      </c>
    </row>
    <row r="41">
      <c r="A41" t="n">
        <v>2037</v>
      </c>
      <c r="B41" t="n">
        <v>83730.74000000001</v>
      </c>
      <c r="C41" t="n">
        <v>9.68</v>
      </c>
      <c r="D41" t="inlineStr">
        <is>
          <t>Projected (2024 rate)</t>
        </is>
      </c>
    </row>
    <row r="42">
      <c r="A42" t="n">
        <v>2038</v>
      </c>
      <c r="B42" t="n">
        <v>91835.87</v>
      </c>
      <c r="C42" t="n">
        <v>9.68</v>
      </c>
      <c r="D42" t="inlineStr">
        <is>
          <t>Projected (2024 rate)</t>
        </is>
      </c>
    </row>
    <row r="43">
      <c r="A43" t="n">
        <v>2039</v>
      </c>
      <c r="B43" t="n">
        <v>100725.58</v>
      </c>
      <c r="C43" t="n">
        <v>9.68</v>
      </c>
      <c r="D43" t="inlineStr">
        <is>
          <t>Projected (2024 rate)</t>
        </is>
      </c>
    </row>
    <row r="44">
      <c r="A44" t="n">
        <v>2040</v>
      </c>
      <c r="B44" t="n">
        <v>110475.82</v>
      </c>
      <c r="C44" t="n">
        <v>9.68</v>
      </c>
      <c r="D44" t="inlineStr">
        <is>
          <t>Projected (2024 rate)</t>
        </is>
      </c>
    </row>
    <row r="45">
      <c r="A45" t="n">
        <v>2041</v>
      </c>
      <c r="B45" t="n">
        <v>121169.88</v>
      </c>
      <c r="C45" t="n">
        <v>9.68</v>
      </c>
      <c r="D45" t="inlineStr">
        <is>
          <t>Projected (2024 rate)</t>
        </is>
      </c>
    </row>
    <row r="46">
      <c r="A46" t="n">
        <v>2042</v>
      </c>
      <c r="B46" t="n">
        <v>132899.12</v>
      </c>
      <c r="C46" t="n">
        <v>9.68</v>
      </c>
      <c r="D46" t="inlineStr">
        <is>
          <t>Projected (2024 rate)</t>
        </is>
      </c>
    </row>
    <row r="47">
      <c r="A47" t="n">
        <v>2043</v>
      </c>
      <c r="B47" t="n">
        <v>145763.76</v>
      </c>
      <c r="C47" t="n">
        <v>9.68</v>
      </c>
      <c r="D47" t="inlineStr">
        <is>
          <t>Projected (2024 rate)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32" customWidth="1" min="4" max="4"/>
  </cols>
  <sheetData>
    <row r="1">
      <c r="A1" s="1" t="inlineStr">
        <is>
          <t>ECB CONSUMPTION OF FIXED CAPITAL DATA - GEORGIA</t>
        </is>
      </c>
    </row>
    <row r="3">
      <c r="A3" s="1" t="inlineStr">
        <is>
          <t>Year</t>
        </is>
      </c>
      <c r="B3" s="1" t="inlineStr">
        <is>
          <t>CFC (mill GEL)</t>
        </is>
      </c>
      <c r="C3" s="1" t="inlineStr">
        <is>
          <t>Capital Stock PWT (mill GEL)</t>
        </is>
      </c>
      <c r="D3" s="1" t="inlineStr">
        <is>
          <t>Depreciation Rate</t>
        </is>
      </c>
    </row>
    <row r="4">
      <c r="A4" t="n">
        <v>2000</v>
      </c>
      <c r="B4" t="n">
        <v>631.7</v>
      </c>
      <c r="C4" t="n">
        <v>19200</v>
      </c>
      <c r="D4" t="n">
        <v>0.0329</v>
      </c>
    </row>
    <row r="5">
      <c r="A5" t="n">
        <v>2001</v>
      </c>
      <c r="B5" t="n">
        <v>707</v>
      </c>
      <c r="C5" t="n">
        <v>21000</v>
      </c>
      <c r="D5" t="n">
        <v>0.0337</v>
      </c>
    </row>
    <row r="6">
      <c r="A6" t="n">
        <v>2002</v>
      </c>
      <c r="B6" t="n">
        <v>790.1</v>
      </c>
      <c r="C6" t="n">
        <v>23100</v>
      </c>
      <c r="D6" t="n">
        <v>0.0342</v>
      </c>
    </row>
    <row r="7">
      <c r="A7" t="n">
        <v>2003</v>
      </c>
      <c r="B7" t="n">
        <v>932.9</v>
      </c>
      <c r="C7" t="n">
        <v>25500</v>
      </c>
      <c r="D7" t="n">
        <v>0.0366</v>
      </c>
    </row>
    <row r="8">
      <c r="A8" t="n">
        <v>2004</v>
      </c>
      <c r="B8" t="n">
        <v>976.8</v>
      </c>
      <c r="C8" t="n">
        <v>28200</v>
      </c>
      <c r="D8" t="n">
        <v>0.0346</v>
      </c>
    </row>
    <row r="9">
      <c r="A9" t="n">
        <v>2005</v>
      </c>
      <c r="B9" t="n">
        <v>1113.5</v>
      </c>
      <c r="C9" t="n">
        <v>31200</v>
      </c>
      <c r="D9" t="n">
        <v>0.0357</v>
      </c>
    </row>
    <row r="10">
      <c r="A10" t="n">
        <v>2006</v>
      </c>
      <c r="B10" t="n">
        <v>1306.4</v>
      </c>
      <c r="C10" t="n">
        <v>34500</v>
      </c>
      <c r="D10" t="n">
        <v>0.0379</v>
      </c>
    </row>
    <row r="11">
      <c r="A11" t="n">
        <v>2007</v>
      </c>
      <c r="B11" t="n">
        <v>1617</v>
      </c>
      <c r="C11" t="n">
        <v>37200</v>
      </c>
      <c r="D11" t="n">
        <v>0.0435</v>
      </c>
    </row>
    <row r="12">
      <c r="A12" t="n">
        <v>2008</v>
      </c>
      <c r="B12" t="n">
        <v>1758</v>
      </c>
      <c r="C12" t="n">
        <v>39600</v>
      </c>
      <c r="D12" t="n">
        <v>0.0444</v>
      </c>
    </row>
    <row r="13">
      <c r="A13" t="n">
        <v>2009</v>
      </c>
      <c r="B13" t="n">
        <v>1751.4</v>
      </c>
      <c r="C13" t="n">
        <v>42300</v>
      </c>
      <c r="D13" t="n">
        <v>0.0414</v>
      </c>
    </row>
    <row r="14">
      <c r="A14" t="n">
        <v>2010</v>
      </c>
      <c r="B14" t="n">
        <v>2046.4</v>
      </c>
      <c r="C14" t="n">
        <v>45300</v>
      </c>
      <c r="D14" t="n">
        <v>0.0452</v>
      </c>
    </row>
    <row r="15">
      <c r="A15" t="n">
        <v>2011</v>
      </c>
      <c r="B15" t="n">
        <v>2350.5</v>
      </c>
      <c r="C15" t="n">
        <v>48600</v>
      </c>
      <c r="D15" t="n">
        <v>0.0484</v>
      </c>
    </row>
    <row r="16">
      <c r="A16" t="n">
        <v>2012</v>
      </c>
      <c r="B16" t="n">
        <v>2643.6</v>
      </c>
      <c r="C16" t="n">
        <v>52200</v>
      </c>
      <c r="D16" t="n">
        <v>0.0506</v>
      </c>
    </row>
    <row r="17">
      <c r="A17" t="n">
        <v>2013</v>
      </c>
      <c r="B17" t="n">
        <v>1555.9</v>
      </c>
      <c r="C17" t="n">
        <v>56100</v>
      </c>
      <c r="D17" t="n">
        <v>0.0277</v>
      </c>
    </row>
    <row r="18">
      <c r="A18" t="n">
        <v>2014</v>
      </c>
      <c r="B18" t="n">
        <v>2984.9</v>
      </c>
      <c r="C18" t="n">
        <v>60300</v>
      </c>
      <c r="D18" t="n">
        <v>0.0495</v>
      </c>
    </row>
    <row r="19">
      <c r="A19" t="n">
        <v>2015</v>
      </c>
      <c r="B19" t="n">
        <v>3657.3</v>
      </c>
      <c r="C19" t="n">
        <v>65100</v>
      </c>
      <c r="D19" t="n">
        <v>0.0562</v>
      </c>
    </row>
    <row r="20">
      <c r="A20" t="n">
        <v>2016</v>
      </c>
      <c r="B20" t="n">
        <v>4004.8</v>
      </c>
      <c r="C20" t="n">
        <v>70200</v>
      </c>
      <c r="D20" t="n">
        <v>0.057</v>
      </c>
    </row>
    <row r="21">
      <c r="A21" t="n">
        <v>2017</v>
      </c>
      <c r="B21" t="n">
        <v>4492.9</v>
      </c>
      <c r="C21" t="n">
        <v>76500</v>
      </c>
      <c r="D21" t="n">
        <v>0.0587</v>
      </c>
    </row>
    <row r="22">
      <c r="A22" t="n">
        <v>2018</v>
      </c>
      <c r="B22" t="n">
        <v>4843.6</v>
      </c>
      <c r="C22" t="n">
        <v>82800</v>
      </c>
      <c r="D22" t="n">
        <v>0.0585</v>
      </c>
    </row>
    <row r="23">
      <c r="A23" t="n">
        <v>2019</v>
      </c>
      <c r="B23" t="n">
        <v>5453</v>
      </c>
      <c r="C23" t="n">
        <v>87300</v>
      </c>
      <c r="D23" t="n">
        <v>0.0625</v>
      </c>
    </row>
    <row r="24">
      <c r="A24" t="n">
        <v>2020</v>
      </c>
      <c r="B24" t="n">
        <v>6152.8</v>
      </c>
      <c r="C24" t="n">
        <v>93600</v>
      </c>
      <c r="D24" t="n">
        <v>0.06569999999999999</v>
      </c>
    </row>
    <row r="25">
      <c r="A25" t="n">
        <v>2021</v>
      </c>
      <c r="B25" t="n">
        <v>7072.6</v>
      </c>
      <c r="C25" t="n">
        <v>101400</v>
      </c>
      <c r="D25" t="n">
        <v>0.0697</v>
      </c>
    </row>
    <row r="26">
      <c r="A26" t="n">
        <v>2022</v>
      </c>
      <c r="B26" t="n">
        <v>7661.4</v>
      </c>
      <c r="C26" t="n">
        <v>110400</v>
      </c>
      <c r="D26" t="n">
        <v>0.0694</v>
      </c>
    </row>
    <row r="27">
      <c r="A27" t="n">
        <v>2023</v>
      </c>
      <c r="B27" t="n">
        <v>9410.700000000001</v>
      </c>
      <c r="C27" t="n">
        <v>120900</v>
      </c>
      <c r="D27" t="n">
        <v>0.07779999999999999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COBB-DOUGLAS PRODUCTION FUNCTION ANALYSIS - GEORGIA</t>
        </is>
      </c>
    </row>
    <row r="3">
      <c r="B3" s="1" t="inlineStr">
        <is>
          <t>PARAMETERS</t>
        </is>
      </c>
      <c r="F3" s="1" t="inlineStr">
        <is>
          <t>HP FILTER OBJECTIVE</t>
        </is>
      </c>
    </row>
    <row r="4">
      <c r="B4" t="inlineStr">
        <is>
          <t>Annual Depreciation Rate (delta)</t>
        </is>
      </c>
      <c r="C4">
        <f>AVERAGE(CFC data!D16:D23)</f>
        <v/>
      </c>
      <c r="D4" t="inlineStr">
        <is>
          <t>(Calculated from ECB data)</t>
        </is>
      </c>
      <c r="F4" t="inlineStr">
        <is>
          <t>Sum Sq 2nd Diff:</t>
        </is>
      </c>
      <c r="G4">
        <f>SUM(I11:I36)</f>
        <v/>
      </c>
    </row>
    <row r="5">
      <c r="B5" t="inlineStr">
        <is>
          <t>Capital Share (alpha)</t>
        </is>
      </c>
      <c r="C5" t="n">
        <v>0.55</v>
      </c>
      <c r="D5" t="inlineStr">
        <is>
          <t>(From PWT labor share)</t>
        </is>
      </c>
      <c r="F5" t="inlineStr">
        <is>
          <t>Sum Sq Deviation:</t>
        </is>
      </c>
      <c r="G5">
        <f>SUMPRODUCT(F11:F36-H11:H36,F11:F36-H11:H36)</f>
        <v/>
      </c>
    </row>
    <row r="6">
      <c r="B6" t="inlineStr">
        <is>
          <t>Labor Share (1-alpha)</t>
        </is>
      </c>
      <c r="C6" t="n">
        <v>0.45</v>
      </c>
      <c r="F6" t="inlineStr">
        <is>
          <t>Total Objective:</t>
        </is>
      </c>
      <c r="G6">
        <f>G4+100*G5</f>
        <v/>
      </c>
    </row>
    <row r="7">
      <c r="B7" t="inlineStr">
        <is>
          <t>HP Filter Lambda</t>
        </is>
      </c>
      <c r="C7" t="n">
        <v>100</v>
      </c>
    </row>
    <row r="8">
      <c r="F8" s="1" t="inlineStr">
        <is>
          <t>SOLVER SETUP</t>
        </is>
      </c>
    </row>
    <row r="9">
      <c r="F9" t="inlineStr">
        <is>
          <t>Set Objective:</t>
        </is>
      </c>
      <c r="G9">
        <f>G6</f>
        <v/>
      </c>
    </row>
    <row r="10">
      <c r="A10" s="1" t="inlineStr">
        <is>
          <t>Year</t>
        </is>
      </c>
      <c r="B10" s="1" t="inlineStr">
        <is>
          <t>K (mill USD)</t>
        </is>
      </c>
      <c r="C10" s="1" t="inlineStr">
        <is>
          <t>Y (mill USD)</t>
        </is>
      </c>
      <c r="D10" s="1" t="inlineStr">
        <is>
          <t>Ln(K)</t>
        </is>
      </c>
      <c r="E10" s="1" t="inlineStr">
        <is>
          <t>Ln(Y)</t>
        </is>
      </c>
      <c r="F10" s="1" t="inlineStr">
        <is>
          <t>To:</t>
        </is>
      </c>
      <c r="G10" s="1" t="inlineStr">
        <is>
          <t>Min</t>
        </is>
      </c>
      <c r="H10" s="1" t="inlineStr">
        <is>
          <t>Ln(Z)_Trend</t>
        </is>
      </c>
      <c r="I10" s="1" t="inlineStr">
        <is>
          <t>2nd Diff</t>
        </is>
      </c>
      <c r="J10" s="1" t="inlineStr">
        <is>
          <t>LnA-Trend</t>
        </is>
      </c>
      <c r="K10" s="1" t="inlineStr">
        <is>
          <t>Check</t>
        </is>
      </c>
    </row>
    <row r="11">
      <c r="A11" t="n">
        <v>2002</v>
      </c>
      <c r="B11" t="n">
        <v>19200</v>
      </c>
      <c r="C11" t="n">
        <v>7042</v>
      </c>
      <c r="D11">
        <f>LN(B11)</f>
        <v/>
      </c>
      <c r="E11">
        <f>LN(C11)</f>
        <v/>
      </c>
      <c r="F11" t="inlineStr">
        <is>
          <t>By Changing:</t>
        </is>
      </c>
      <c r="G11" t="inlineStr">
        <is>
          <t>G11:G36 (Ln(Z)_HP)</t>
        </is>
      </c>
      <c r="H11">
        <f>G11</f>
        <v/>
      </c>
      <c r="J11">
        <f>H11-$C$5*D11</f>
        <v/>
      </c>
      <c r="K11">
        <f>J11-E11</f>
        <v/>
      </c>
    </row>
    <row r="12">
      <c r="A12" t="n">
        <v>2003</v>
      </c>
      <c r="B12" t="n">
        <v>21000</v>
      </c>
      <c r="C12" t="n">
        <v>7810</v>
      </c>
      <c r="D12">
        <f>LN(B12)</f>
        <v/>
      </c>
      <c r="E12">
        <f>LN(C12)</f>
        <v/>
      </c>
      <c r="F12" t="inlineStr">
        <is>
          <t>Constraints:</t>
        </is>
      </c>
      <c r="G12">
        <f>F12</f>
        <v/>
      </c>
      <c r="H12">
        <f>G12</f>
        <v/>
      </c>
      <c r="J12">
        <f>H12-$C$5*D12</f>
        <v/>
      </c>
      <c r="K12">
        <f>J12-E12</f>
        <v/>
      </c>
    </row>
    <row r="13">
      <c r="A13" t="n">
        <v>2004</v>
      </c>
      <c r="B13" t="n">
        <v>23100</v>
      </c>
      <c r="C13" t="n">
        <v>8270</v>
      </c>
      <c r="D13">
        <f>LN(B13)</f>
        <v/>
      </c>
      <c r="E13">
        <f>LN(C13)</f>
        <v/>
      </c>
      <c r="F13" t="inlineStr">
        <is>
          <t>H11:H36 = G11:G36</t>
        </is>
      </c>
      <c r="G13">
        <f>F13</f>
        <v/>
      </c>
      <c r="H13">
        <f>G13</f>
        <v/>
      </c>
      <c r="I13">
        <f>H13-2*H12+H11</f>
        <v/>
      </c>
      <c r="J13">
        <f>H13-$C$5*D13</f>
        <v/>
      </c>
      <c r="K13">
        <f>J13-E13</f>
        <v/>
      </c>
    </row>
    <row r="14">
      <c r="A14" t="n">
        <v>2005</v>
      </c>
      <c r="B14" t="n">
        <v>25500</v>
      </c>
      <c r="C14" t="n">
        <v>9060</v>
      </c>
      <c r="D14">
        <f>LN(B14)</f>
        <v/>
      </c>
      <c r="E14">
        <f>LN(C14)</f>
        <v/>
      </c>
      <c r="F14">
        <f>E14-$C$5*D14</f>
        <v/>
      </c>
      <c r="G14">
        <f>F14</f>
        <v/>
      </c>
      <c r="H14">
        <f>G14</f>
        <v/>
      </c>
      <c r="I14">
        <f>H14-2*H13+H12</f>
        <v/>
      </c>
      <c r="J14">
        <f>H14-$C$5*D14</f>
        <v/>
      </c>
      <c r="K14">
        <f>J14-E14</f>
        <v/>
      </c>
    </row>
    <row r="15">
      <c r="A15" t="n">
        <v>2006</v>
      </c>
      <c r="B15" t="n">
        <v>28200</v>
      </c>
      <c r="C15" t="n">
        <v>9910</v>
      </c>
      <c r="D15">
        <f>LN(B15)</f>
        <v/>
      </c>
      <c r="E15">
        <f>LN(C15)</f>
        <v/>
      </c>
      <c r="F15">
        <f>E15-$C$5*D15</f>
        <v/>
      </c>
      <c r="G15">
        <f>F15</f>
        <v/>
      </c>
      <c r="H15">
        <f>G15</f>
        <v/>
      </c>
      <c r="I15">
        <f>H15-2*H14+H13</f>
        <v/>
      </c>
      <c r="J15">
        <f>H15-$C$5*D15</f>
        <v/>
      </c>
      <c r="K15">
        <f>J15-E15</f>
        <v/>
      </c>
    </row>
    <row r="16">
      <c r="A16" t="n">
        <v>2007</v>
      </c>
      <c r="B16" t="n">
        <v>31200</v>
      </c>
      <c r="C16" t="n">
        <v>11160</v>
      </c>
      <c r="D16">
        <f>LN(B16)</f>
        <v/>
      </c>
      <c r="E16">
        <f>LN(C16)</f>
        <v/>
      </c>
      <c r="F16">
        <f>E16-$C$5*D16</f>
        <v/>
      </c>
      <c r="G16">
        <f>F16</f>
        <v/>
      </c>
      <c r="H16">
        <f>G16</f>
        <v/>
      </c>
      <c r="I16">
        <f>H16-2*H15+H14</f>
        <v/>
      </c>
      <c r="J16">
        <f>H16-$C$5*D16</f>
        <v/>
      </c>
      <c r="K16">
        <f>J16-E16</f>
        <v/>
      </c>
    </row>
    <row r="17">
      <c r="A17" t="n">
        <v>2008</v>
      </c>
      <c r="B17" t="n">
        <v>34500</v>
      </c>
      <c r="C17" t="n">
        <v>11430</v>
      </c>
      <c r="D17">
        <f>LN(B17)</f>
        <v/>
      </c>
      <c r="E17">
        <f>LN(C17)</f>
        <v/>
      </c>
      <c r="F17">
        <f>E17-$C$5*D17</f>
        <v/>
      </c>
      <c r="G17">
        <f>F17</f>
        <v/>
      </c>
      <c r="H17">
        <f>G17</f>
        <v/>
      </c>
      <c r="I17">
        <f>H17-2*H16+H15</f>
        <v/>
      </c>
      <c r="J17">
        <f>H17-$C$5*D17</f>
        <v/>
      </c>
      <c r="K17">
        <f>J17-E17</f>
        <v/>
      </c>
    </row>
    <row r="18">
      <c r="A18" t="n">
        <v>2009</v>
      </c>
      <c r="B18" t="n">
        <v>37200</v>
      </c>
      <c r="C18" t="n">
        <v>11010</v>
      </c>
      <c r="D18">
        <f>LN(B18)</f>
        <v/>
      </c>
      <c r="E18">
        <f>LN(C18)</f>
        <v/>
      </c>
      <c r="F18">
        <f>E18-$C$5*D18</f>
        <v/>
      </c>
      <c r="G18">
        <f>F18</f>
        <v/>
      </c>
      <c r="H18">
        <f>G18</f>
        <v/>
      </c>
      <c r="I18">
        <f>H18-2*H17+H16</f>
        <v/>
      </c>
      <c r="J18">
        <f>H18-$C$5*D18</f>
        <v/>
      </c>
      <c r="K18">
        <f>J18-E18</f>
        <v/>
      </c>
    </row>
    <row r="19">
      <c r="A19" t="n">
        <v>2010</v>
      </c>
      <c r="B19" t="n">
        <v>39600</v>
      </c>
      <c r="C19" t="n">
        <v>11700</v>
      </c>
      <c r="D19">
        <f>LN(B19)</f>
        <v/>
      </c>
      <c r="E19">
        <f>LN(C19)</f>
        <v/>
      </c>
      <c r="F19">
        <f>E19-$C$5*D19</f>
        <v/>
      </c>
      <c r="G19">
        <f>F19</f>
        <v/>
      </c>
      <c r="H19">
        <f>G19</f>
        <v/>
      </c>
      <c r="I19">
        <f>H19-2*H18+H17</f>
        <v/>
      </c>
      <c r="J19">
        <f>H19-$C$5*D19</f>
        <v/>
      </c>
      <c r="K19">
        <f>J19-E19</f>
        <v/>
      </c>
    </row>
    <row r="20">
      <c r="A20" t="n">
        <v>2011</v>
      </c>
      <c r="B20" t="n">
        <v>42300</v>
      </c>
      <c r="C20" t="n">
        <v>12630</v>
      </c>
      <c r="D20">
        <f>LN(B20)</f>
        <v/>
      </c>
      <c r="E20">
        <f>LN(C20)</f>
        <v/>
      </c>
      <c r="F20">
        <f>E20-$C$5*D20</f>
        <v/>
      </c>
      <c r="G20">
        <f>F20</f>
        <v/>
      </c>
      <c r="H20">
        <f>G20</f>
        <v/>
      </c>
      <c r="I20">
        <f>H20-2*H19+H18</f>
        <v/>
      </c>
      <c r="J20">
        <f>H20-$C$5*D20</f>
        <v/>
      </c>
      <c r="K20">
        <f>J20-E20</f>
        <v/>
      </c>
    </row>
    <row r="21">
      <c r="A21" t="n">
        <v>2012</v>
      </c>
      <c r="B21" t="n">
        <v>45300</v>
      </c>
      <c r="C21" t="n">
        <v>13460</v>
      </c>
      <c r="D21">
        <f>LN(B21)</f>
        <v/>
      </c>
      <c r="E21">
        <f>LN(C21)</f>
        <v/>
      </c>
      <c r="F21">
        <f>E21-$C$5*D21</f>
        <v/>
      </c>
      <c r="G21">
        <f>F21</f>
        <v/>
      </c>
      <c r="H21">
        <f>G21</f>
        <v/>
      </c>
      <c r="I21">
        <f>H21-2*H20+H19</f>
        <v/>
      </c>
      <c r="J21">
        <f>H21-$C$5*D21</f>
        <v/>
      </c>
      <c r="K21">
        <f>J21-E21</f>
        <v/>
      </c>
    </row>
    <row r="22">
      <c r="A22" t="n">
        <v>2013</v>
      </c>
      <c r="B22" t="n">
        <v>48600</v>
      </c>
      <c r="C22" t="n">
        <v>14150</v>
      </c>
      <c r="D22">
        <f>LN(B22)</f>
        <v/>
      </c>
      <c r="E22">
        <f>LN(C22)</f>
        <v/>
      </c>
      <c r="F22">
        <f>E22-$C$5*D22</f>
        <v/>
      </c>
      <c r="G22">
        <f>F22</f>
        <v/>
      </c>
      <c r="H22">
        <f>G22</f>
        <v/>
      </c>
      <c r="I22">
        <f>H22-2*H21+H20</f>
        <v/>
      </c>
      <c r="J22">
        <f>H22-$C$5*D22</f>
        <v/>
      </c>
      <c r="K22">
        <f>J22-E22</f>
        <v/>
      </c>
    </row>
    <row r="23">
      <c r="A23" t="n">
        <v>2014</v>
      </c>
      <c r="B23" t="n">
        <v>52200</v>
      </c>
      <c r="C23" t="n">
        <v>14730</v>
      </c>
      <c r="D23">
        <f>LN(B23)</f>
        <v/>
      </c>
      <c r="E23">
        <f>LN(C23)</f>
        <v/>
      </c>
      <c r="F23">
        <f>E23-$C$5*D23</f>
        <v/>
      </c>
      <c r="G23">
        <f>F23</f>
        <v/>
      </c>
      <c r="H23">
        <f>G23</f>
        <v/>
      </c>
      <c r="I23">
        <f>H23-2*H22+H21</f>
        <v/>
      </c>
      <c r="J23">
        <f>H23-$C$5*D23</f>
        <v/>
      </c>
      <c r="K23">
        <f>J23-E23</f>
        <v/>
      </c>
    </row>
    <row r="24">
      <c r="A24" t="n">
        <v>2015</v>
      </c>
      <c r="B24" t="n">
        <v>56100</v>
      </c>
      <c r="C24" t="n">
        <v>15220</v>
      </c>
      <c r="D24">
        <f>LN(B24)</f>
        <v/>
      </c>
      <c r="E24">
        <f>LN(C24)</f>
        <v/>
      </c>
      <c r="F24">
        <f>E24-$C$5*D24</f>
        <v/>
      </c>
      <c r="G24">
        <f>F24</f>
        <v/>
      </c>
      <c r="H24">
        <f>G24</f>
        <v/>
      </c>
      <c r="I24">
        <f>H24-2*H23+H22</f>
        <v/>
      </c>
      <c r="J24">
        <f>H24-$C$5*D24</f>
        <v/>
      </c>
      <c r="K24">
        <f>J24-E24</f>
        <v/>
      </c>
    </row>
    <row r="25">
      <c r="A25" t="n">
        <v>2016</v>
      </c>
      <c r="B25" t="n">
        <v>60300</v>
      </c>
      <c r="C25" t="n">
        <v>15750</v>
      </c>
      <c r="D25">
        <f>LN(B25)</f>
        <v/>
      </c>
      <c r="E25">
        <f>LN(C25)</f>
        <v/>
      </c>
      <c r="F25">
        <f>E25-$C$5*D25</f>
        <v/>
      </c>
      <c r="G25">
        <f>F25</f>
        <v/>
      </c>
      <c r="H25">
        <f>G25</f>
        <v/>
      </c>
      <c r="I25">
        <f>H25-2*H24+H23</f>
        <v/>
      </c>
      <c r="J25">
        <f>H25-$C$5*D25</f>
        <v/>
      </c>
      <c r="K25">
        <f>J25-E25</f>
        <v/>
      </c>
    </row>
    <row r="26">
      <c r="A26" t="n">
        <v>2017</v>
      </c>
      <c r="B26" t="n">
        <v>65100</v>
      </c>
      <c r="C26" t="n">
        <v>16560</v>
      </c>
      <c r="D26">
        <f>LN(B26)</f>
        <v/>
      </c>
      <c r="E26">
        <f>LN(C26)</f>
        <v/>
      </c>
      <c r="F26">
        <f>E26-$C$5*D26</f>
        <v/>
      </c>
      <c r="G26">
        <f>F26</f>
        <v/>
      </c>
      <c r="H26">
        <f>G26</f>
        <v/>
      </c>
      <c r="I26">
        <f>H26-2*H25+H24</f>
        <v/>
      </c>
      <c r="J26">
        <f>H26-$C$5*D26</f>
        <v/>
      </c>
      <c r="K26">
        <f>J26-E26</f>
        <v/>
      </c>
    </row>
    <row r="27">
      <c r="A27" t="n">
        <v>2018</v>
      </c>
      <c r="B27" t="n">
        <v>70200</v>
      </c>
      <c r="C27" t="n">
        <v>17570</v>
      </c>
      <c r="D27">
        <f>LN(B27)</f>
        <v/>
      </c>
      <c r="E27">
        <f>LN(C27)</f>
        <v/>
      </c>
      <c r="F27">
        <f>E27-$C$5*D27</f>
        <v/>
      </c>
      <c r="G27">
        <f>F27</f>
        <v/>
      </c>
      <c r="H27">
        <f>G27</f>
        <v/>
      </c>
      <c r="I27">
        <f>H27-2*H26+H25</f>
        <v/>
      </c>
      <c r="J27">
        <f>H27-$C$5*D27</f>
        <v/>
      </c>
      <c r="K27">
        <f>J27-E27</f>
        <v/>
      </c>
    </row>
    <row r="28">
      <c r="A28" t="n">
        <v>2019</v>
      </c>
      <c r="B28" t="n">
        <v>76500</v>
      </c>
      <c r="C28" t="n">
        <v>18510</v>
      </c>
      <c r="D28">
        <f>LN(B28)</f>
        <v/>
      </c>
      <c r="E28">
        <f>LN(C28)</f>
        <v/>
      </c>
      <c r="F28">
        <f>E28-$C$5*D28</f>
        <v/>
      </c>
      <c r="G28">
        <f>F28</f>
        <v/>
      </c>
      <c r="H28">
        <f>G28</f>
        <v/>
      </c>
      <c r="I28">
        <f>H28-2*H27+H26</f>
        <v/>
      </c>
      <c r="J28">
        <f>H28-$C$5*D28</f>
        <v/>
      </c>
      <c r="K28">
        <f>J28-E28</f>
        <v/>
      </c>
    </row>
    <row r="29">
      <c r="A29" t="n">
        <v>2020</v>
      </c>
      <c r="B29" t="n">
        <v>82800</v>
      </c>
      <c r="C29" t="n">
        <v>17350</v>
      </c>
      <c r="D29">
        <f>LN(B29)</f>
        <v/>
      </c>
      <c r="E29">
        <f>LN(C29)</f>
        <v/>
      </c>
      <c r="F29">
        <f>E29-$C$5*D29</f>
        <v/>
      </c>
      <c r="G29">
        <f>F29</f>
        <v/>
      </c>
      <c r="H29">
        <f>G29</f>
        <v/>
      </c>
      <c r="I29">
        <f>H29-2*H28+H27</f>
        <v/>
      </c>
      <c r="J29">
        <f>H29-$C$5*D29</f>
        <v/>
      </c>
      <c r="K29">
        <f>J29-E29</f>
        <v/>
      </c>
    </row>
    <row r="30">
      <c r="A30" t="n">
        <v>2021</v>
      </c>
      <c r="B30" t="n">
        <v>87300</v>
      </c>
      <c r="C30" t="n">
        <v>19190</v>
      </c>
      <c r="D30">
        <f>LN(B30)</f>
        <v/>
      </c>
      <c r="E30">
        <f>LN(C30)</f>
        <v/>
      </c>
      <c r="F30">
        <f>E30-$C$5*D30</f>
        <v/>
      </c>
      <c r="G30">
        <f>F30</f>
        <v/>
      </c>
      <c r="H30">
        <f>G30</f>
        <v/>
      </c>
      <c r="I30">
        <f>H30-2*H29+H28</f>
        <v/>
      </c>
      <c r="J30">
        <f>H30-$C$5*D30</f>
        <v/>
      </c>
      <c r="K30">
        <f>J30-E30</f>
        <v/>
      </c>
    </row>
    <row r="31">
      <c r="A31" t="n">
        <v>2022</v>
      </c>
      <c r="B31" t="n">
        <v>93600</v>
      </c>
      <c r="C31" t="n">
        <v>21300</v>
      </c>
      <c r="D31">
        <f>LN(B31)</f>
        <v/>
      </c>
      <c r="E31">
        <f>LN(C31)</f>
        <v/>
      </c>
      <c r="F31">
        <f>E31-$C$5*D31</f>
        <v/>
      </c>
      <c r="G31">
        <f>F31</f>
        <v/>
      </c>
      <c r="H31">
        <f>G31</f>
        <v/>
      </c>
      <c r="I31">
        <f>H31-2*H30+H29</f>
        <v/>
      </c>
      <c r="J31">
        <f>H31-$C$5*D31</f>
        <v/>
      </c>
      <c r="K31">
        <f>J31-E31</f>
        <v/>
      </c>
    </row>
    <row r="32">
      <c r="A32" t="n">
        <v>2023</v>
      </c>
      <c r="B32" t="n">
        <v>101400</v>
      </c>
      <c r="C32" t="n">
        <v>22960</v>
      </c>
      <c r="D32">
        <f>LN(B32)</f>
        <v/>
      </c>
      <c r="E32">
        <f>LN(C32)</f>
        <v/>
      </c>
      <c r="F32">
        <f>E32-$C$5*D32</f>
        <v/>
      </c>
      <c r="G32">
        <f>F32</f>
        <v/>
      </c>
      <c r="H32">
        <f>G32</f>
        <v/>
      </c>
      <c r="I32">
        <f>H32-2*H31+H30</f>
        <v/>
      </c>
      <c r="J32">
        <f>H32-$C$5*D32</f>
        <v/>
      </c>
      <c r="K32">
        <f>J32-E32</f>
        <v/>
      </c>
    </row>
    <row r="33">
      <c r="A33" t="n">
        <v>2024</v>
      </c>
      <c r="B33" t="n">
        <v>110400</v>
      </c>
      <c r="C33" t="n">
        <v>25190</v>
      </c>
      <c r="D33">
        <f>LN(B33)</f>
        <v/>
      </c>
      <c r="E33">
        <f>LN(C33)</f>
        <v/>
      </c>
      <c r="F33">
        <f>E33-$C$5*D33</f>
        <v/>
      </c>
      <c r="G33">
        <f>F33</f>
        <v/>
      </c>
      <c r="H33">
        <f>G33</f>
        <v/>
      </c>
      <c r="I33">
        <f>H33-2*H32+H31</f>
        <v/>
      </c>
      <c r="J33">
        <f>H33-$C$5*D33</f>
        <v/>
      </c>
      <c r="K33">
        <f>J33-E33</f>
        <v/>
      </c>
    </row>
    <row r="34">
      <c r="A34" t="n">
        <v>2025</v>
      </c>
      <c r="B34" t="n">
        <v>120900</v>
      </c>
      <c r="C34" t="n">
        <v>27640</v>
      </c>
      <c r="D34">
        <f>LN(B34)</f>
        <v/>
      </c>
      <c r="E34">
        <f>LN(C34)</f>
        <v/>
      </c>
      <c r="F34">
        <f>E34-$C$5*D34</f>
        <v/>
      </c>
      <c r="G34">
        <f>F34</f>
        <v/>
      </c>
      <c r="H34">
        <f>G34</f>
        <v/>
      </c>
      <c r="I34">
        <f>H34-2*H33+H32</f>
        <v/>
      </c>
      <c r="J34">
        <f>H34-$C$5*D34</f>
        <v/>
      </c>
      <c r="K34">
        <f>J34-E34</f>
        <v/>
      </c>
    </row>
    <row r="35">
      <c r="A35" t="n">
        <v>2026</v>
      </c>
      <c r="B35" t="n">
        <v>133000</v>
      </c>
      <c r="C35" t="n">
        <v>30330</v>
      </c>
      <c r="D35">
        <f>LN(B35)</f>
        <v/>
      </c>
      <c r="E35">
        <f>LN(C35)</f>
        <v/>
      </c>
      <c r="F35">
        <f>E35-$C$5*D35</f>
        <v/>
      </c>
      <c r="G35">
        <f>F35</f>
        <v/>
      </c>
      <c r="H35">
        <f>G35</f>
        <v/>
      </c>
      <c r="J35">
        <f>H35-$C$5*D35</f>
        <v/>
      </c>
      <c r="K35">
        <f>J35-E35</f>
        <v/>
      </c>
    </row>
    <row r="36">
      <c r="A36" t="n">
        <v>2027</v>
      </c>
      <c r="B36" t="n">
        <v>146300</v>
      </c>
      <c r="C36" t="n">
        <v>33280</v>
      </c>
      <c r="D36">
        <f>LN(B36)</f>
        <v/>
      </c>
      <c r="E36">
        <f>LN(C36)</f>
        <v/>
      </c>
      <c r="F36">
        <f>E36-$C$5*D36</f>
        <v/>
      </c>
      <c r="G36">
        <f>F36</f>
        <v/>
      </c>
      <c r="H36">
        <f>G36</f>
        <v/>
      </c>
      <c r="J36">
        <f>H36-$C$5*D36</f>
        <v/>
      </c>
      <c r="K36">
        <f>J36-E36</f>
        <v/>
      </c>
    </row>
    <row r="38">
      <c r="A38" s="1" t="inlineStr">
        <is>
          <t>EXTENDED PROJECTIONS TO 2041</t>
        </is>
      </c>
    </row>
    <row r="39">
      <c r="A39" t="inlineStr">
        <is>
          <t>Year</t>
        </is>
      </c>
      <c r="B39" t="inlineStr">
        <is>
          <t>Ln(Z)_Trend</t>
        </is>
      </c>
      <c r="C39" t="inlineStr">
        <is>
          <t>Y*_base (potential GDP)</t>
        </is>
      </c>
    </row>
    <row r="40">
      <c r="A40" t="n">
        <v>2028</v>
      </c>
      <c r="B40">
        <f>TREND($H$11:$H$36,$D$11:$D$36,A40)</f>
        <v/>
      </c>
      <c r="C40">
        <f>EXP(B40+0.55*LN(K_base)+0.45*LN(1))</f>
        <v/>
      </c>
    </row>
    <row r="41">
      <c r="A41" t="n">
        <v>2029</v>
      </c>
      <c r="B41">
        <f>TREND($H$11:$H$36,$D$11:$D$36,A41)</f>
        <v/>
      </c>
      <c r="C41">
        <f>EXP(B41+0.55*LN(K_base)+0.45*LN(1))</f>
        <v/>
      </c>
    </row>
    <row r="42">
      <c r="A42" t="n">
        <v>2030</v>
      </c>
      <c r="B42">
        <f>TREND($H$11:$H$36,$D$11:$D$36,A42)</f>
        <v/>
      </c>
      <c r="C42">
        <f>EXP(B42+0.55*LN(K_base)+0.45*LN(1))</f>
        <v/>
      </c>
    </row>
    <row r="43">
      <c r="A43" t="n">
        <v>2031</v>
      </c>
      <c r="B43">
        <f>TREND($H$11:$H$36,$D$11:$D$36,A43)</f>
        <v/>
      </c>
      <c r="C43">
        <f>EXP(B43+0.55*LN(K_base)+0.45*LN(1))</f>
        <v/>
      </c>
    </row>
    <row r="44">
      <c r="A44" t="n">
        <v>2032</v>
      </c>
      <c r="B44">
        <f>TREND($H$11:$H$36,$D$11:$D$36,A44)</f>
        <v/>
      </c>
      <c r="C44">
        <f>EXP(B44+0.55*LN(K_base)+0.45*LN(1))</f>
        <v/>
      </c>
    </row>
    <row r="45">
      <c r="A45" t="n">
        <v>2033</v>
      </c>
      <c r="B45">
        <f>TREND($H$11:$H$36,$D$11:$D$36,A45)</f>
        <v/>
      </c>
      <c r="C45">
        <f>EXP(B45+0.55*LN(K_base)+0.45*LN(1))</f>
        <v/>
      </c>
    </row>
    <row r="46">
      <c r="A46" t="n">
        <v>2034</v>
      </c>
      <c r="B46">
        <f>TREND($H$11:$H$36,$D$11:$D$36,A46)</f>
        <v/>
      </c>
      <c r="C46">
        <f>EXP(B46+0.55*LN(K_base)+0.45*LN(1))</f>
        <v/>
      </c>
    </row>
    <row r="47">
      <c r="A47" t="n">
        <v>2035</v>
      </c>
      <c r="B47">
        <f>TREND($H$11:$H$36,$D$11:$D$36,A47)</f>
        <v/>
      </c>
      <c r="C47">
        <f>EXP(B47+0.55*LN(K_base)+0.45*LN(1))</f>
        <v/>
      </c>
    </row>
    <row r="48">
      <c r="A48" t="n">
        <v>2036</v>
      </c>
      <c r="B48">
        <f>TREND($H$11:$H$36,$D$11:$D$36,A48)</f>
        <v/>
      </c>
      <c r="C48">
        <f>EXP(B48+0.55*LN(K_base)+0.45*LN(1))</f>
        <v/>
      </c>
    </row>
    <row r="49">
      <c r="A49" t="n">
        <v>2037</v>
      </c>
      <c r="B49">
        <f>TREND($H$11:$H$36,$D$11:$D$36,A49)</f>
        <v/>
      </c>
      <c r="C49">
        <f>EXP(B49+0.55*LN(K_base)+0.45*LN(1))</f>
        <v/>
      </c>
    </row>
    <row r="50">
      <c r="A50" t="n">
        <v>2038</v>
      </c>
      <c r="B50">
        <f>TREND($H$11:$H$36,$D$11:$D$36,A50)</f>
        <v/>
      </c>
      <c r="C50">
        <f>EXP(B50+0.55*LN(K_base)+0.45*LN(1))</f>
        <v/>
      </c>
    </row>
    <row r="51">
      <c r="A51" t="n">
        <v>2039</v>
      </c>
      <c r="B51">
        <f>TREND($H$11:$H$36,$D$11:$D$36,A51)</f>
        <v/>
      </c>
      <c r="C51">
        <f>EXP(B51+0.55*LN(K_base)+0.45*LN(1))</f>
        <v/>
      </c>
    </row>
    <row r="52">
      <c r="A52" t="n">
        <v>2040</v>
      </c>
      <c r="B52">
        <f>TREND($H$11:$H$36,$D$11:$D$36,A52)</f>
        <v/>
      </c>
      <c r="C52">
        <f>EXP(B52+0.55*LN(K_base)+0.45*LN(1))</f>
        <v/>
      </c>
    </row>
    <row r="53">
      <c r="A53" t="n">
        <v>2041</v>
      </c>
      <c r="B53">
        <f>TREND($H$11:$H$36,$D$11:$D$36,A53)</f>
        <v/>
      </c>
      <c r="C53">
        <f>EXP(B53+0.55*LN(K_base)+0.45*LN(1))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5" customWidth="1" min="3" max="3"/>
    <col width="18" customWidth="1" min="4" max="4"/>
    <col width="18" customWidth="1" min="5" max="5"/>
    <col width="15" customWidth="1" min="6" max="6"/>
    <col width="18" customWidth="1" min="7" max="7"/>
  </cols>
  <sheetData>
    <row r="1">
      <c r="A1" s="1" t="inlineStr">
        <is>
          <t>INVESTMENT SHOCK ANALYSIS - GEORGIA</t>
        </is>
      </c>
    </row>
    <row r="3">
      <c r="B3" s="1" t="inlineStr">
        <is>
          <t>INVESTMENT PARAMETERS</t>
        </is>
      </c>
      <c r="F3" s="1" t="inlineStr">
        <is>
          <t>IMPACT SUMMARY</t>
        </is>
      </c>
    </row>
    <row r="4">
      <c r="B4" t="inlineStr">
        <is>
          <t>Total Investment (2026-2033)</t>
        </is>
      </c>
      <c r="C4" t="n">
        <v>6.5</v>
      </c>
      <c r="D4" t="n">
        <v>6500</v>
      </c>
      <c r="F4" t="inlineStr">
        <is>
          <t>Additional Capital 2033:</t>
        </is>
      </c>
      <c r="G4">
        <f>D21-D34</f>
        <v/>
      </c>
    </row>
    <row r="5">
      <c r="B5" t="inlineStr">
        <is>
          <t>Duration</t>
        </is>
      </c>
      <c r="C5" t="n">
        <v>8</v>
      </c>
      <c r="F5" t="inlineStr">
        <is>
          <t>GDP Boost (%):</t>
        </is>
      </c>
      <c r="G5">
        <f>0.55*G4*100</f>
        <v/>
      </c>
    </row>
    <row r="6">
      <c r="B6" t="inlineStr">
        <is>
          <t>Annual Investment</t>
        </is>
      </c>
      <c r="C6">
        <f>C4/C5</f>
        <v/>
      </c>
      <c r="D6">
        <f>D4/D5</f>
        <v/>
      </c>
    </row>
    <row r="7">
      <c r="B7" t="inlineStr">
        <is>
          <t>Start Year</t>
        </is>
      </c>
      <c r="C7" t="n">
        <v>2026</v>
      </c>
      <c r="E7" t="inlineStr">
        <is>
          <t>End Year</t>
        </is>
      </c>
      <c r="F7" t="n">
        <v>2033</v>
      </c>
    </row>
    <row r="10">
      <c r="A10" s="1" t="inlineStr">
        <is>
          <t>INVESTMENT SCHEDULE</t>
        </is>
      </c>
    </row>
    <row r="11">
      <c r="A11" s="1" t="inlineStr">
        <is>
          <t>Year</t>
        </is>
      </c>
      <c r="B11" s="1" t="inlineStr">
        <is>
          <t>Investment (mill USD)</t>
        </is>
      </c>
      <c r="C11" s="1" t="inlineStr">
        <is>
          <t>Delta K</t>
        </is>
      </c>
      <c r="D11" s="1" t="inlineStr">
        <is>
          <t>K_with (mill USD)</t>
        </is>
      </c>
      <c r="E11" s="1" t="inlineStr">
        <is>
          <t>K_base (mill USD)</t>
        </is>
      </c>
      <c r="F11" s="1" t="inlineStr">
        <is>
          <t>K/Y ratio</t>
        </is>
      </c>
    </row>
    <row r="12">
      <c r="A12" t="n">
        <v>2024</v>
      </c>
      <c r="B12" t="n">
        <v>0</v>
      </c>
      <c r="C12" t="n">
        <v>0</v>
      </c>
      <c r="D12" t="n">
        <v>146300</v>
      </c>
      <c r="E12" t="n">
        <v>146300</v>
      </c>
      <c r="F12">
        <f>D12/'WEO_Data'!B28</f>
        <v/>
      </c>
    </row>
    <row r="13">
      <c r="A13" t="n">
        <v>2025</v>
      </c>
      <c r="B13" t="n">
        <v>0</v>
      </c>
      <c r="C13" t="n">
        <v>0</v>
      </c>
      <c r="D13">
        <f>D12+C13</f>
        <v/>
      </c>
      <c r="E13">
        <f>E12*(1+Production!$C$3)</f>
        <v/>
      </c>
      <c r="F13">
        <f>D13/'WEO_Data'!B29</f>
        <v/>
      </c>
    </row>
    <row r="14">
      <c r="A14" t="n">
        <v>2026</v>
      </c>
      <c r="B14" t="n">
        <v>812.5</v>
      </c>
      <c r="C14">
        <f>B14</f>
        <v/>
      </c>
      <c r="D14">
        <f>D13+C14</f>
        <v/>
      </c>
      <c r="E14">
        <f>E13*(1+Production!$C$3)</f>
        <v/>
      </c>
      <c r="F14">
        <f>D14/'WEO_Data'!B30</f>
        <v/>
      </c>
    </row>
    <row r="15">
      <c r="A15" t="n">
        <v>2027</v>
      </c>
      <c r="B15" t="n">
        <v>812.5</v>
      </c>
      <c r="C15">
        <f>B15</f>
        <v/>
      </c>
      <c r="D15">
        <f>D14+C15</f>
        <v/>
      </c>
      <c r="E15">
        <f>E14*(1+Production!$C$3)</f>
        <v/>
      </c>
      <c r="F15">
        <f>D15/'WEO_Data'!B31</f>
        <v/>
      </c>
    </row>
    <row r="16">
      <c r="A16" t="n">
        <v>2028</v>
      </c>
      <c r="B16" t="n">
        <v>812.5</v>
      </c>
      <c r="C16">
        <f>B16</f>
        <v/>
      </c>
      <c r="D16">
        <f>D15+C16</f>
        <v/>
      </c>
      <c r="E16">
        <f>E15*(1+Production!$C$3)</f>
        <v/>
      </c>
      <c r="F16">
        <f>D16/'WEO_Data'!B32</f>
        <v/>
      </c>
    </row>
    <row r="17">
      <c r="A17" t="n">
        <v>2029</v>
      </c>
      <c r="B17" t="n">
        <v>812.5</v>
      </c>
      <c r="C17">
        <f>B17</f>
        <v/>
      </c>
      <c r="D17">
        <f>D16+C17</f>
        <v/>
      </c>
      <c r="E17">
        <f>E16*(1+Production!$C$3)</f>
        <v/>
      </c>
      <c r="F17">
        <f>D17/'WEO_Data'!B33</f>
        <v/>
      </c>
    </row>
    <row r="18">
      <c r="A18" t="n">
        <v>2030</v>
      </c>
      <c r="B18" t="n">
        <v>812.5</v>
      </c>
      <c r="C18">
        <f>B18</f>
        <v/>
      </c>
      <c r="D18">
        <f>D17+C18</f>
        <v/>
      </c>
      <c r="E18">
        <f>E17*(1+Production!$C$3)</f>
        <v/>
      </c>
      <c r="F18">
        <f>D18/'WEO_Data'!B34</f>
        <v/>
      </c>
    </row>
    <row r="19">
      <c r="A19" t="n">
        <v>2031</v>
      </c>
      <c r="B19" t="n">
        <v>812.5</v>
      </c>
      <c r="C19">
        <f>B19</f>
        <v/>
      </c>
      <c r="D19">
        <f>D18+C19</f>
        <v/>
      </c>
      <c r="E19">
        <f>E18*(1+Production!$C$3)</f>
        <v/>
      </c>
      <c r="F19">
        <f>D19/'WEO_Data'!B35</f>
        <v/>
      </c>
    </row>
    <row r="20">
      <c r="A20" t="n">
        <v>2032</v>
      </c>
      <c r="B20" t="n">
        <v>812.5</v>
      </c>
      <c r="C20">
        <f>B20</f>
        <v/>
      </c>
      <c r="D20">
        <f>D19+C20</f>
        <v/>
      </c>
      <c r="E20">
        <f>E19*(1+Production!$C$3)</f>
        <v/>
      </c>
      <c r="F20">
        <f>D20/'WEO_Data'!B36</f>
        <v/>
      </c>
    </row>
    <row r="21">
      <c r="A21" t="n">
        <v>2033</v>
      </c>
      <c r="B21" t="n">
        <v>812.5</v>
      </c>
      <c r="C21">
        <f>B21</f>
        <v/>
      </c>
      <c r="D21">
        <f>D20+C21</f>
        <v/>
      </c>
      <c r="E21">
        <f>E20*(1+Production!$C$3)</f>
        <v/>
      </c>
      <c r="F21">
        <f>D21/'WEO_Data'!B37</f>
        <v/>
      </c>
    </row>
    <row r="24">
      <c r="A24" s="1" t="inlineStr">
        <is>
          <t>POTENTIAL GDP COMPARISON</t>
        </is>
      </c>
    </row>
    <row r="25">
      <c r="A25" s="1" t="inlineStr">
        <is>
          <t>Year</t>
        </is>
      </c>
      <c r="B25" s="1" t="inlineStr">
        <is>
          <t>Y*_base</t>
        </is>
      </c>
      <c r="C25" s="1" t="inlineStr">
        <is>
          <t>Y*_with</t>
        </is>
      </c>
      <c r="D25" s="1" t="inlineStr">
        <is>
          <t>Difference</t>
        </is>
      </c>
      <c r="E25" s="1" t="inlineStr">
        <is>
          <t>Difference (%)</t>
        </is>
      </c>
    </row>
    <row r="26">
      <c r="A26" t="n">
        <v>2025</v>
      </c>
      <c r="B26">
        <f>EXP(Production!H33+0.55*LN(E26))</f>
        <v/>
      </c>
      <c r="C26">
        <f>EXP(Production!H33+0.55*LN(D26)</f>
        <v/>
      </c>
      <c r="D26">
        <f>C26-B26</f>
        <v/>
      </c>
      <c r="E26">
        <f>D26/B26</f>
        <v/>
      </c>
    </row>
    <row r="27">
      <c r="A27" t="n">
        <v>2026</v>
      </c>
      <c r="B27">
        <f>EXP(Production!H34+0.55*LN(E27))</f>
        <v/>
      </c>
      <c r="C27">
        <f>EXP(Production!H34+0.55*LN(D27)</f>
        <v/>
      </c>
      <c r="D27">
        <f>C27-B27</f>
        <v/>
      </c>
      <c r="E27">
        <f>D27/B27</f>
        <v/>
      </c>
    </row>
    <row r="28">
      <c r="A28" t="n">
        <v>2027</v>
      </c>
      <c r="B28">
        <f>EXP(Production!H35+0.55*LN(E28))</f>
        <v/>
      </c>
      <c r="C28">
        <f>EXP(Production!H35+0.55*LN(D28)</f>
        <v/>
      </c>
      <c r="D28">
        <f>C28-B28</f>
        <v/>
      </c>
      <c r="E28">
        <f>D28/B28</f>
        <v/>
      </c>
    </row>
    <row r="29">
      <c r="A29" t="n">
        <v>2028</v>
      </c>
      <c r="B29">
        <f>EXP(Production!H36+0.55*LN(E29))</f>
        <v/>
      </c>
      <c r="C29">
        <f>EXP(Production!H36+0.55*LN(D29)</f>
        <v/>
      </c>
      <c r="D29">
        <f>C29-B29</f>
        <v/>
      </c>
      <c r="E29">
        <f>D29/B29</f>
        <v/>
      </c>
    </row>
    <row r="30">
      <c r="A30" t="n">
        <v>2029</v>
      </c>
      <c r="B30">
        <f>EXP(Production!H37+0.55*LN(E30))</f>
        <v/>
      </c>
      <c r="C30">
        <f>EXP(Production!H37+0.55*LN(D30)</f>
        <v/>
      </c>
      <c r="D30">
        <f>C30-B30</f>
        <v/>
      </c>
      <c r="E30">
        <f>D30/B30</f>
        <v/>
      </c>
    </row>
    <row r="31">
      <c r="A31" t="n">
        <v>2030</v>
      </c>
      <c r="B31">
        <f>EXP(Production!H38+0.55*LN(E31))</f>
        <v/>
      </c>
      <c r="C31">
        <f>EXP(Production!H38+0.55*LN(D31)</f>
        <v/>
      </c>
      <c r="D31">
        <f>C31-B31</f>
        <v/>
      </c>
      <c r="E31">
        <f>D31/B31</f>
        <v/>
      </c>
    </row>
    <row r="32">
      <c r="A32" t="n">
        <v>2031</v>
      </c>
      <c r="B32">
        <f>EXP(Production!H39+0.55*LN(E32))</f>
        <v/>
      </c>
      <c r="C32">
        <f>EXP(Production!H39+0.55*LN(D32)</f>
        <v/>
      </c>
      <c r="D32">
        <f>C32-B32</f>
        <v/>
      </c>
      <c r="E32">
        <f>D32/B32</f>
        <v/>
      </c>
    </row>
    <row r="33">
      <c r="A33" t="n">
        <v>2032</v>
      </c>
      <c r="B33">
        <f>EXP(Production!H40+0.55*LN(E33))</f>
        <v/>
      </c>
      <c r="C33">
        <f>EXP(Production!H40+0.55*LN(D33)</f>
        <v/>
      </c>
      <c r="D33">
        <f>C33-B33</f>
        <v/>
      </c>
      <c r="E33">
        <f>D33/B33</f>
        <v/>
      </c>
    </row>
    <row r="34">
      <c r="A34" t="n">
        <v>2033</v>
      </c>
      <c r="B34">
        <f>EXP(Production!H41+0.55*LN(E34))</f>
        <v/>
      </c>
      <c r="C34">
        <f>EXP(Production!H41+0.55*LN(D34)</f>
        <v/>
      </c>
      <c r="D34">
        <f>C34-B34</f>
        <v/>
      </c>
      <c r="E34">
        <f>D34/B34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2026-01-29T03:59:59Z</dcterms:created>
  <dcterms:modified xsi:type="dcterms:W3CDTF">2026-01-29T03:59:59Z</dcterms:modified>
</cp:coreProperties>
</file>