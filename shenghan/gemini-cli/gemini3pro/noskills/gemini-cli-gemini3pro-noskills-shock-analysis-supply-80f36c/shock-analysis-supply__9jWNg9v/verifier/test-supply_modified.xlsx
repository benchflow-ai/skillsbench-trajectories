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roduction" sheetId="1" state="visible" r:id="rId1"/>
    <sheet name="Investment" sheetId="2" state="visible" r:id="rId2"/>
    <sheet name="CFC data" sheetId="3" state="visible" r:id="rId3"/>
    <sheet name="PWT" sheetId="4" state="visible" r:id="rId4"/>
    <sheet name="WEO_Data" sheetId="5" state="visible" r:id="rId5"/>
  </sheets>
  <definedNames>
    <definedName name="solver_adj" localSheetId="0" hidden="1">Production!$L$6:$L$27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Production!$P$5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1"/>
      <sz val="10"/>
    </font>
    <font>
      <name val="Arial"/>
      <family val="2"/>
      <b val="1"/>
      <color theme="7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Calibri"/>
      <charset val="1"/>
      <family val="2"/>
      <color theme="1"/>
      <sz val="12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5" fillId="0" borderId="0"/>
    <xf numFmtId="0" fontId="4" fillId="0" borderId="0"/>
    <xf numFmtId="43" fontId="5" fillId="0" borderId="0"/>
    <xf numFmtId="0" fontId="6" fillId="0" borderId="0"/>
  </cellStyleXfs>
  <cellXfs count="22">
    <xf numFmtId="0" fontId="0" fillId="0" borderId="0" pivotButton="0" quotePrefix="0" xfId="0"/>
    <xf numFmtId="0" fontId="3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3" borderId="9" pivotButton="0" quotePrefix="0" xfId="0"/>
    <xf numFmtId="0" fontId="0" fillId="3" borderId="10" pivotButton="0" quotePrefix="0" xfId="0"/>
    <xf numFmtId="0" fontId="0" fillId="3" borderId="11" pivotButton="0" quotePrefix="0" xfId="0"/>
    <xf numFmtId="0" fontId="2" fillId="2" borderId="2" pivotButton="0" quotePrefix="0" xfId="0"/>
    <xf numFmtId="0" fontId="1" fillId="0" borderId="3" pivotButton="0" quotePrefix="0" xfId="0"/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2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3" borderId="0" pivotButton="0" quotePrefix="0" xfId="0"/>
    <xf numFmtId="1" fontId="0" fillId="3" borderId="0" pivotButton="0" quotePrefix="0" xfId="0"/>
  </cellXfs>
  <cellStyles count="5">
    <cellStyle name="Normal" xfId="0" builtinId="0"/>
    <cellStyle name="Normal 2" xfId="1"/>
    <cellStyle name="Style 1" xfId="2"/>
    <cellStyle name="Comma 2" xfId="3"/>
    <cellStyle name="Normal 2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7"/>
  <sheetViews>
    <sheetView tabSelected="1" zoomScale="80" zoomScaleNormal="80" workbookViewId="0">
      <selection activeCell="S26" sqref="S26"/>
    </sheetView>
  </sheetViews>
  <sheetFormatPr baseColWidth="8" defaultRowHeight="12.45"/>
  <cols>
    <col width="21.3828125" customWidth="1" min="1" max="1"/>
    <col width="12.69140625" customWidth="1" min="27" max="27"/>
  </cols>
  <sheetData>
    <row r="1">
      <c r="A1" s="1" t="inlineStr">
        <is>
          <t>Assumption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4" t="inlineStr">
        <is>
          <t>capital's share</t>
        </is>
      </c>
      <c r="B2" t="n">
        <v>0.04225</v>
      </c>
      <c r="I2" s="5" t="n"/>
    </row>
    <row r="3">
      <c r="A3" s="6" t="inlineStr">
        <is>
          <t>annual depreciation rate</t>
        </is>
      </c>
      <c r="B3" s="7" t="n"/>
      <c r="C3" s="7" t="n"/>
      <c r="D3" s="7" t="n"/>
      <c r="E3" s="7" t="n"/>
      <c r="F3" s="7" t="n"/>
      <c r="G3" s="7" t="n"/>
      <c r="H3" s="7" t="n"/>
      <c r="I3" s="8" t="n"/>
    </row>
    <row r="4">
      <c r="K4" s="9" t="inlineStr">
        <is>
          <t>HP Filter</t>
        </is>
      </c>
      <c r="L4" s="10" t="n"/>
      <c r="M4" s="10" t="n"/>
      <c r="N4" s="11" t="n"/>
    </row>
    <row r="5">
      <c r="D5" t="inlineStr">
        <is>
          <t>K</t>
        </is>
      </c>
      <c r="E5" t="inlineStr">
        <is>
          <t>Real GDP</t>
        </is>
      </c>
      <c r="F5" t="inlineStr">
        <is>
          <t>LnK</t>
        </is>
      </c>
      <c r="G5" t="inlineStr">
        <is>
          <t>LnY</t>
        </is>
      </c>
      <c r="K5" s="4" t="inlineStr">
        <is>
          <t>LnZ</t>
        </is>
      </c>
      <c r="L5" t="inlineStr">
        <is>
          <t>LnZ_HP</t>
        </is>
      </c>
      <c r="M5" t="inlineStr">
        <is>
          <t>Second-order difference</t>
        </is>
      </c>
      <c r="N5" s="5" t="inlineStr">
        <is>
          <t>LnA-Trend(Check)</t>
        </is>
      </c>
      <c r="O5" s="12" t="inlineStr">
        <is>
          <t>objective</t>
        </is>
      </c>
      <c r="P5" s="13">
        <f>SUM(O6:O27)</f>
        <v/>
      </c>
    </row>
    <row r="6">
      <c r="C6" t="n">
        <v>2002</v>
      </c>
      <c r="D6" s="19" t="n">
        <v>197317.594</v>
      </c>
      <c r="E6" t="n">
        <v>7.1</v>
      </c>
      <c r="F6">
        <f>LN(D6)</f>
        <v/>
      </c>
      <c r="G6">
        <f>LN(E6)</f>
        <v/>
      </c>
      <c r="J6">
        <f>G6-$B$1*F6</f>
        <v/>
      </c>
      <c r="K6" s="4">
        <f>G6-$B$1*F6</f>
        <v/>
      </c>
      <c r="L6" t="n">
        <v>-2.253395871035825</v>
      </c>
      <c r="M6" t="n">
        <v>0</v>
      </c>
      <c r="N6" s="5">
        <f>K6-L6</f>
        <v/>
      </c>
      <c r="O6">
        <f>(K6-L6)^2 + 100*M6^2</f>
        <v/>
      </c>
    </row>
    <row r="7">
      <c r="C7" t="n">
        <v>2003</v>
      </c>
      <c r="D7" s="19" t="n">
        <v>199678.922</v>
      </c>
      <c r="E7" t="n">
        <v>7.9</v>
      </c>
      <c r="F7">
        <f>LN(D7)</f>
        <v/>
      </c>
      <c r="G7">
        <f>LN(E7)</f>
        <v/>
      </c>
      <c r="J7">
        <f>G7-$B$1*F7</f>
        <v/>
      </c>
      <c r="K7" s="4">
        <f>G7-$B$1*F7</f>
        <v/>
      </c>
      <c r="L7" t="n">
        <v>-2.188723036660274</v>
      </c>
      <c r="M7" t="n">
        <v>0</v>
      </c>
      <c r="N7" s="5">
        <f>K7-L7</f>
        <v/>
      </c>
      <c r="O7">
        <f>(K7-L7)^2 + 100*M7^2</f>
        <v/>
      </c>
    </row>
    <row r="8">
      <c r="C8" t="n">
        <v>2004</v>
      </c>
      <c r="D8" s="19" t="n">
        <v>202658.813</v>
      </c>
      <c r="E8" t="n">
        <v>8.4</v>
      </c>
      <c r="F8">
        <f>LN(D8)</f>
        <v/>
      </c>
      <c r="G8">
        <f>LN(E8)</f>
        <v/>
      </c>
      <c r="J8">
        <f>G8-$B$1*F8</f>
        <v/>
      </c>
      <c r="K8" s="4">
        <f>G8-$B$1*F8</f>
        <v/>
      </c>
      <c r="L8" t="n">
        <v>-2.12458929025048</v>
      </c>
      <c r="M8">
        <f>L8-2*L7+L6</f>
        <v/>
      </c>
      <c r="N8" s="5">
        <f>K8-L8</f>
        <v/>
      </c>
      <c r="O8">
        <f>(K8-L8)^2 + 100*M8^2</f>
        <v/>
      </c>
    </row>
    <row r="9">
      <c r="C9" t="n">
        <v>2005</v>
      </c>
      <c r="D9" s="19" t="n">
        <v>206400.5</v>
      </c>
      <c r="E9" t="n">
        <v>9.199999999999999</v>
      </c>
      <c r="F9">
        <f>LN(D9)</f>
        <v/>
      </c>
      <c r="G9">
        <f>LN(E9)</f>
        <v/>
      </c>
      <c r="J9">
        <f>G9-$B$1*F9</f>
        <v/>
      </c>
      <c r="K9" s="4">
        <f>G9-$B$1*F9</f>
        <v/>
      </c>
      <c r="L9" t="n">
        <v>-2.061693492690154</v>
      </c>
      <c r="M9">
        <f>L9-2*L8+L7</f>
        <v/>
      </c>
      <c r="N9" s="5">
        <f>K9-L9</f>
        <v/>
      </c>
      <c r="O9">
        <f>(K9-L9)^2 + 100*M9^2</f>
        <v/>
      </c>
    </row>
    <row r="10">
      <c r="C10" t="n">
        <v>2006</v>
      </c>
      <c r="D10" s="19" t="n">
        <v>209660.25</v>
      </c>
      <c r="E10" t="n">
        <v>10.1</v>
      </c>
      <c r="F10">
        <f>LN(D10)</f>
        <v/>
      </c>
      <c r="G10">
        <f>LN(E10)</f>
        <v/>
      </c>
      <c r="J10">
        <f>G10-$B$1*F10</f>
        <v/>
      </c>
      <c r="K10" s="4">
        <f>G10-$B$1*F10</f>
        <v/>
      </c>
      <c r="L10" t="n">
        <v>-2.000973771821607</v>
      </c>
      <c r="M10">
        <f>L10-2*L9+L8</f>
        <v/>
      </c>
      <c r="N10" s="5">
        <f>K10-L10</f>
        <v/>
      </c>
      <c r="O10">
        <f>(K10-L10)^2 + 100*M10^2</f>
        <v/>
      </c>
    </row>
    <row r="11">
      <c r="C11" t="n">
        <v>2007</v>
      </c>
      <c r="D11" s="19" t="n">
        <v>213821.375</v>
      </c>
      <c r="E11" t="n">
        <v>11.4</v>
      </c>
      <c r="F11">
        <f>LN(D11)</f>
        <v/>
      </c>
      <c r="G11">
        <f>LN(E11)</f>
        <v/>
      </c>
      <c r="J11">
        <f>G11-$B$1*F11</f>
        <v/>
      </c>
      <c r="K11" s="4">
        <f>G11-$B$1*F11</f>
        <v/>
      </c>
      <c r="L11" t="n">
        <v>-1.943390793792431</v>
      </c>
      <c r="M11">
        <f>L11-2*L10+L9</f>
        <v/>
      </c>
      <c r="N11" s="5">
        <f>K11-L11</f>
        <v/>
      </c>
      <c r="O11">
        <f>(K11-L11)^2 + 100*M11^2</f>
        <v/>
      </c>
    </row>
    <row r="12">
      <c r="C12" t="n">
        <v>2008</v>
      </c>
      <c r="D12" s="19" t="n">
        <v>215825.906</v>
      </c>
      <c r="E12" t="n">
        <v>11.7</v>
      </c>
      <c r="F12">
        <f>LN(D12)</f>
        <v/>
      </c>
      <c r="G12">
        <f>LN(E12)</f>
        <v/>
      </c>
      <c r="J12">
        <f>G12-$B$1*F12</f>
        <v/>
      </c>
      <c r="K12" s="4">
        <f>G12-$B$1*F12</f>
        <v/>
      </c>
      <c r="L12" t="n">
        <v>-1.889656485541977</v>
      </c>
      <c r="M12">
        <f>L12-2*L11+L10</f>
        <v/>
      </c>
      <c r="N12" s="5">
        <f>K12-L12</f>
        <v/>
      </c>
      <c r="O12">
        <f>(K12-L12)^2 + 100*M12^2</f>
        <v/>
      </c>
    </row>
    <row r="13">
      <c r="C13" t="n">
        <v>2009</v>
      </c>
      <c r="D13" s="19" t="n">
        <v>214505.906</v>
      </c>
      <c r="E13" t="n">
        <v>11.3</v>
      </c>
      <c r="F13">
        <f>LN(D13)</f>
        <v/>
      </c>
      <c r="G13">
        <f>LN(E13)</f>
        <v/>
      </c>
      <c r="J13">
        <f>G13-$B$1*F13</f>
        <v/>
      </c>
      <c r="K13" s="4">
        <f>G13-$B$1*F13</f>
        <v/>
      </c>
      <c r="L13" t="n">
        <v>-1.839667869389831</v>
      </c>
      <c r="M13">
        <f>L13-2*L12+L11</f>
        <v/>
      </c>
      <c r="N13" s="5">
        <f>K13-L13</f>
        <v/>
      </c>
      <c r="O13">
        <f>(K13-L13)^2 + 100*M13^2</f>
        <v/>
      </c>
    </row>
    <row r="14">
      <c r="C14" t="n">
        <v>2010</v>
      </c>
      <c r="D14" s="19" t="n">
        <v>215740.281</v>
      </c>
      <c r="E14" t="n">
        <v>12</v>
      </c>
      <c r="F14">
        <f>LN(D14)</f>
        <v/>
      </c>
      <c r="G14">
        <f>LN(E14)</f>
        <v/>
      </c>
      <c r="J14">
        <f>G14-$B$1*F14</f>
        <v/>
      </c>
      <c r="K14" s="4">
        <f>G14-$B$1*F14</f>
        <v/>
      </c>
      <c r="L14" t="n">
        <v>-1.792817310180414</v>
      </c>
      <c r="M14">
        <f>L14-2*L13+L12</f>
        <v/>
      </c>
      <c r="N14" s="5">
        <f>K14-L14</f>
        <v/>
      </c>
      <c r="O14">
        <f>(K14-L14)^2 + 100*M14^2</f>
        <v/>
      </c>
    </row>
    <row r="15">
      <c r="C15" t="n">
        <v>2011</v>
      </c>
      <c r="D15" s="19" t="n">
        <v>218333.703</v>
      </c>
      <c r="E15" t="n">
        <v>12.9</v>
      </c>
      <c r="F15">
        <f>LN(D15)</f>
        <v/>
      </c>
      <c r="G15">
        <f>LN(E15)</f>
        <v/>
      </c>
      <c r="J15">
        <f>G15-$B$1*F15</f>
        <v/>
      </c>
      <c r="K15" s="4">
        <f>G15-$B$1*F15</f>
        <v/>
      </c>
      <c r="L15" t="n">
        <v>-1.748818790734763</v>
      </c>
      <c r="M15">
        <f>L15-2*L14+L13</f>
        <v/>
      </c>
      <c r="N15" s="5">
        <f>K15-L15</f>
        <v/>
      </c>
      <c r="O15">
        <f>(K15-L15)^2 + 100*M15^2</f>
        <v/>
      </c>
    </row>
    <row r="16">
      <c r="C16" t="n">
        <v>2012</v>
      </c>
      <c r="D16" s="19" t="n">
        <v>221570.094</v>
      </c>
      <c r="E16" t="n">
        <v>13.7</v>
      </c>
      <c r="F16">
        <f>LN(D16)</f>
        <v/>
      </c>
      <c r="G16">
        <f>LN(E16)</f>
        <v/>
      </c>
      <c r="J16">
        <f>G16-$B$1*F16</f>
        <v/>
      </c>
      <c r="K16" s="4">
        <f>G16-$B$1*F16</f>
        <v/>
      </c>
      <c r="L16" t="n">
        <v>-1.707595461235705</v>
      </c>
      <c r="M16">
        <f>L16-2*L15+L14</f>
        <v/>
      </c>
      <c r="N16" s="5">
        <f>K16-L16</f>
        <v/>
      </c>
      <c r="O16">
        <f>(K16-L16)^2 + 100*M16^2</f>
        <v/>
      </c>
    </row>
    <row r="17">
      <c r="C17" t="n">
        <v>2013</v>
      </c>
      <c r="D17" s="19" t="n">
        <v>223431.875</v>
      </c>
      <c r="E17" t="n">
        <v>14.2</v>
      </c>
      <c r="F17">
        <f>LN(D17)</f>
        <v/>
      </c>
      <c r="G17">
        <f>LN(E17)</f>
        <v/>
      </c>
      <c r="J17">
        <f>G17-$B$1*F17</f>
        <v/>
      </c>
      <c r="K17" s="4">
        <f>G17-$B$1*F17</f>
        <v/>
      </c>
      <c r="L17" t="n">
        <v>-1.669038240561819</v>
      </c>
      <c r="M17">
        <f>L17-2*L16+L15</f>
        <v/>
      </c>
      <c r="N17" s="5">
        <f>K17-L17</f>
        <v/>
      </c>
      <c r="O17">
        <f>(K17-L17)^2 + 100*M17^2</f>
        <v/>
      </c>
    </row>
    <row r="18">
      <c r="C18" t="n">
        <v>2014</v>
      </c>
      <c r="D18" s="19" t="n">
        <v>227911.969</v>
      </c>
      <c r="E18" t="n">
        <v>14.9</v>
      </c>
      <c r="F18">
        <f>LN(D18)</f>
        <v/>
      </c>
      <c r="G18">
        <f>LN(E18)</f>
        <v/>
      </c>
      <c r="J18">
        <f>G18-$B$1*F18</f>
        <v/>
      </c>
      <c r="K18" s="4">
        <f>G18-$B$1*F18</f>
        <v/>
      </c>
      <c r="L18" t="n">
        <v>-1.632867864595545</v>
      </c>
      <c r="M18">
        <f>L18-2*L17+L16</f>
        <v/>
      </c>
      <c r="N18" s="5">
        <f>K18-L18</f>
        <v/>
      </c>
      <c r="O18">
        <f>(K18-L18)^2 + 100*M18^2</f>
        <v/>
      </c>
    </row>
    <row r="19">
      <c r="C19" t="n">
        <v>2015</v>
      </c>
      <c r="D19" s="19" t="n">
        <v>234164.859</v>
      </c>
      <c r="E19" t="n">
        <v>15.3</v>
      </c>
      <c r="F19">
        <f>LN(D19)</f>
        <v/>
      </c>
      <c r="G19">
        <f>LN(E19)</f>
        <v/>
      </c>
      <c r="J19">
        <f>G19-$B$1*F19</f>
        <v/>
      </c>
      <c r="K19" s="4">
        <f>G19-$B$1*F19</f>
        <v/>
      </c>
      <c r="L19" t="n">
        <v>-1.598691283596184</v>
      </c>
      <c r="M19">
        <f>L19-2*L18+L17</f>
        <v/>
      </c>
      <c r="N19" s="5">
        <f>K19-L19</f>
        <v/>
      </c>
      <c r="O19">
        <f>(K19-L19)^2 + 100*M19^2</f>
        <v/>
      </c>
    </row>
    <row r="20">
      <c r="C20" t="n">
        <v>2016</v>
      </c>
      <c r="D20" s="19" t="n">
        <v>241138.375</v>
      </c>
      <c r="E20" t="n">
        <v>15.8</v>
      </c>
      <c r="F20">
        <f>LN(D20)</f>
        <v/>
      </c>
      <c r="G20">
        <f>LN(E20)</f>
        <v/>
      </c>
      <c r="J20">
        <f>G20-$B$1*F20</f>
        <v/>
      </c>
      <c r="K20" s="4">
        <f>G20-$B$1*F20</f>
        <v/>
      </c>
      <c r="L20" t="n">
        <v>-1.565951658611326</v>
      </c>
      <c r="M20">
        <f>L20-2*L19+L18</f>
        <v/>
      </c>
      <c r="N20" s="5">
        <f>K20-L20</f>
        <v/>
      </c>
      <c r="O20">
        <f>(K20-L20)^2 + 100*M20^2</f>
        <v/>
      </c>
    </row>
    <row r="21">
      <c r="C21" t="n">
        <v>2017</v>
      </c>
      <c r="D21" s="19" t="n">
        <v>248033.094</v>
      </c>
      <c r="E21" t="n">
        <v>16.6</v>
      </c>
      <c r="F21">
        <f>LN(D21)</f>
        <v/>
      </c>
      <c r="G21">
        <f>LN(E21)</f>
        <v/>
      </c>
      <c r="J21">
        <f>G21-$B$1*F21</f>
        <v/>
      </c>
      <c r="K21" s="4">
        <f>G21-$B$1*F21</f>
        <v/>
      </c>
      <c r="L21" t="n">
        <v>-1.534099941920336</v>
      </c>
      <c r="M21">
        <f>L21-2*L20+L19</f>
        <v/>
      </c>
      <c r="N21" s="5">
        <f>K21-L21</f>
        <v/>
      </c>
      <c r="O21">
        <f>(K21-L21)^2 + 100*M21^2</f>
        <v/>
      </c>
    </row>
    <row r="22">
      <c r="C22" t="n">
        <v>2018</v>
      </c>
      <c r="D22" s="19" t="n">
        <v>254809.797</v>
      </c>
      <c r="E22" t="n">
        <v>17.4</v>
      </c>
      <c r="F22">
        <f>LN(D22)</f>
        <v/>
      </c>
      <c r="G22">
        <f>LN(E22)</f>
        <v/>
      </c>
      <c r="J22">
        <f>G22-$B$1*F22</f>
        <v/>
      </c>
      <c r="K22" s="4">
        <f>G22-$B$1*F22</f>
        <v/>
      </c>
      <c r="L22" t="n">
        <v>-1.502703411578522</v>
      </c>
      <c r="M22">
        <f>L22-2*L21+L20</f>
        <v/>
      </c>
      <c r="N22" s="5">
        <f>K22-L22</f>
        <v/>
      </c>
      <c r="O22">
        <f>(K22-L22)^2 + 100*M22^2</f>
        <v/>
      </c>
    </row>
    <row r="23">
      <c r="C23" t="n">
        <v>2019</v>
      </c>
      <c r="D23" s="19" t="n">
        <v>264125.563</v>
      </c>
      <c r="E23" t="n">
        <v>18.2</v>
      </c>
      <c r="F23">
        <f>LN(D23)</f>
        <v/>
      </c>
      <c r="G23">
        <f>LN(E23)</f>
        <v/>
      </c>
      <c r="J23">
        <f>G23-$B$1*F23</f>
        <v/>
      </c>
      <c r="K23" s="4">
        <f>G23-$B$1*F23</f>
        <v/>
      </c>
      <c r="L23" t="n">
        <v>-1.471368930377638</v>
      </c>
      <c r="M23">
        <f>L23-2*L22+L21</f>
        <v/>
      </c>
      <c r="N23" s="5">
        <f>K23-L23</f>
        <v/>
      </c>
      <c r="O23">
        <f>(K23-L23)^2 + 100*M23^2</f>
        <v/>
      </c>
    </row>
    <row r="24">
      <c r="C24" t="n">
        <v>2020</v>
      </c>
      <c r="D24" s="19" t="n">
        <v>251064.4087857143</v>
      </c>
      <c r="E24" t="n">
        <v>17.3</v>
      </c>
      <c r="F24">
        <f>LN(D24)</f>
        <v/>
      </c>
      <c r="G24">
        <f>LN(E24)</f>
        <v/>
      </c>
      <c r="J24">
        <f>G24-$B$1*F24</f>
        <v/>
      </c>
      <c r="K24" s="4">
        <f>G24-$B$1*F24</f>
        <v/>
      </c>
      <c r="L24" t="n">
        <v>-1.439680579212418</v>
      </c>
      <c r="M24">
        <f>L24-2*L23+L22</f>
        <v/>
      </c>
      <c r="N24" s="5">
        <f>K24-L24</f>
        <v/>
      </c>
      <c r="O24">
        <f>(K24-L24)^2 + 100*M24^2</f>
        <v/>
      </c>
    </row>
    <row r="25">
      <c r="C25" t="n">
        <v>2021</v>
      </c>
      <c r="D25" s="19" t="n">
        <v>280089.1959285715</v>
      </c>
      <c r="E25" t="n">
        <v>19.3</v>
      </c>
      <c r="F25">
        <f>LN(D25)</f>
        <v/>
      </c>
      <c r="G25">
        <f>LN(E25)</f>
        <v/>
      </c>
      <c r="J25">
        <f>G25-$B$1*F25</f>
        <v/>
      </c>
      <c r="K25" s="4">
        <f>G25-$B$1*F25</f>
        <v/>
      </c>
      <c r="L25" t="n">
        <v>-1.407189163335681</v>
      </c>
      <c r="M25">
        <f>L25-2*L24+L23</f>
        <v/>
      </c>
      <c r="N25" s="5">
        <f>K25-L25</f>
        <v/>
      </c>
      <c r="O25">
        <f>(K25-L25)^2 + 100*M25^2</f>
        <v/>
      </c>
    </row>
    <row r="26">
      <c r="C26" t="n">
        <v>2022</v>
      </c>
      <c r="D26" s="19" t="n">
        <v>312016.4617857143</v>
      </c>
      <c r="E26" t="n">
        <v>21.5</v>
      </c>
      <c r="F26">
        <f>LN(D26)</f>
        <v/>
      </c>
      <c r="G26">
        <f>LN(E26)</f>
        <v/>
      </c>
      <c r="J26">
        <f>G26-$B$1*F26</f>
        <v/>
      </c>
      <c r="K26" s="4">
        <f>G26-$B$1*F26</f>
        <v/>
      </c>
      <c r="L26" t="n">
        <v>-1.374058743971746</v>
      </c>
      <c r="M26">
        <f>L26-2*L25+L24</f>
        <v/>
      </c>
      <c r="N26" s="5">
        <f>K26-L26</f>
        <v/>
      </c>
      <c r="O26">
        <f>(K26-L26)^2 + 100*M26^2</f>
        <v/>
      </c>
    </row>
    <row r="27">
      <c r="C27" t="n">
        <v>2023</v>
      </c>
      <c r="D27" s="19" t="n">
        <v>333785.0521428572</v>
      </c>
      <c r="E27" t="n">
        <v>23</v>
      </c>
      <c r="F27">
        <f>LN(D27)</f>
        <v/>
      </c>
      <c r="G27">
        <f>LN(E27)</f>
        <v/>
      </c>
      <c r="J27">
        <f>G27-$B$1*F27</f>
        <v/>
      </c>
      <c r="K27" s="6">
        <f>G27-$B$1*F27</f>
        <v/>
      </c>
      <c r="L27" s="7" t="n">
        <v>-1.340680461611556</v>
      </c>
      <c r="M27" s="7">
        <f>L27-2*L26+L25</f>
        <v/>
      </c>
      <c r="N27" s="8">
        <f>K27-L27</f>
        <v/>
      </c>
      <c r="O27">
        <f>(K27-L27)^2 + 100*M27^2</f>
        <v/>
      </c>
    </row>
    <row r="35">
      <c r="D35" t="inlineStr">
        <is>
          <t>K/Y</t>
        </is>
      </c>
      <c r="E35" t="inlineStr">
        <is>
          <t>K</t>
        </is>
      </c>
      <c r="F35" t="inlineStr">
        <is>
          <t>Y</t>
        </is>
      </c>
      <c r="G35" t="inlineStr">
        <is>
          <t>LnZ trend</t>
        </is>
      </c>
      <c r="H35" t="inlineStr">
        <is>
          <t>Ystar_base</t>
        </is>
      </c>
      <c r="I35" t="inlineStr">
        <is>
          <t>Investment</t>
        </is>
      </c>
      <c r="J35" t="inlineStr">
        <is>
          <t>ΔK</t>
        </is>
      </c>
      <c r="K35" t="inlineStr">
        <is>
          <t>K_With</t>
        </is>
      </c>
      <c r="L35" t="inlineStr">
        <is>
          <t>Ystar_with</t>
        </is>
      </c>
      <c r="M35" t="inlineStr">
        <is>
          <t>Uplift</t>
        </is>
      </c>
      <c r="N35" t="inlineStr">
        <is>
          <t>Projected GDP</t>
        </is>
      </c>
      <c r="O35" t="inlineStr">
        <is>
          <t>Projected GDP Growth</t>
        </is>
      </c>
      <c r="P35" t="inlineStr">
        <is>
          <t>Baseline GDP Growth</t>
        </is>
      </c>
    </row>
    <row r="36">
      <c r="C36" t="n">
        <v>2002</v>
      </c>
      <c r="E36" s="19">
        <f>D6</f>
        <v/>
      </c>
      <c r="F36" t="n">
        <v>7.1</v>
      </c>
      <c r="G36">
        <f>L6</f>
        <v/>
      </c>
      <c r="H36">
        <f>EXP(G36) * E36^$B$1</f>
        <v/>
      </c>
      <c r="I36" t="n">
        <v>0</v>
      </c>
      <c r="J36" t="n">
        <v>0</v>
      </c>
      <c r="K36" s="19">
        <f>E36 + J36</f>
        <v/>
      </c>
      <c r="L36">
        <f>EXP(G36) * K36^$B$1</f>
        <v/>
      </c>
      <c r="M36">
        <f>L36 - H36</f>
        <v/>
      </c>
      <c r="N36">
        <f>L36</f>
        <v/>
      </c>
    </row>
    <row r="37">
      <c r="C37" t="n">
        <v>2003</v>
      </c>
      <c r="E37" s="19">
        <f>D7</f>
        <v/>
      </c>
      <c r="F37" t="n">
        <v>7.9</v>
      </c>
      <c r="G37">
        <f>L7</f>
        <v/>
      </c>
      <c r="H37">
        <f>EXP(G37) * E37^$B$1</f>
        <v/>
      </c>
      <c r="I37" t="n">
        <v>0</v>
      </c>
      <c r="J37">
        <f>J36*(1-$B$2) + I37</f>
        <v/>
      </c>
      <c r="K37" s="19">
        <f>E37 + J37</f>
        <v/>
      </c>
      <c r="L37">
        <f>EXP(G37) * K37^$B$1</f>
        <v/>
      </c>
      <c r="M37">
        <f>L37 - H37</f>
        <v/>
      </c>
      <c r="N37">
        <f>L37</f>
        <v/>
      </c>
      <c r="O37">
        <f>(N37/N36-1)*100</f>
        <v/>
      </c>
      <c r="P37">
        <f>(H37/H36-1)*100</f>
        <v/>
      </c>
    </row>
    <row r="38">
      <c r="C38" t="n">
        <v>2004</v>
      </c>
      <c r="E38" s="19">
        <f>D8</f>
        <v/>
      </c>
      <c r="F38" t="n">
        <v>8.4</v>
      </c>
      <c r="G38">
        <f>L8</f>
        <v/>
      </c>
      <c r="H38">
        <f>EXP(G38) * E38^$B$1</f>
        <v/>
      </c>
      <c r="I38" t="n">
        <v>0</v>
      </c>
      <c r="J38">
        <f>J37*(1-$B$2) + I38</f>
        <v/>
      </c>
      <c r="K38" s="19">
        <f>E38 + J38</f>
        <v/>
      </c>
      <c r="L38">
        <f>EXP(G38) * K38^$B$1</f>
        <v/>
      </c>
      <c r="M38">
        <f>L38 - H38</f>
        <v/>
      </c>
      <c r="N38">
        <f>L38</f>
        <v/>
      </c>
      <c r="O38">
        <f>(N38/N37-1)*100</f>
        <v/>
      </c>
      <c r="P38">
        <f>(H38/H37-1)*100</f>
        <v/>
      </c>
    </row>
    <row r="39">
      <c r="C39" t="n">
        <v>2005</v>
      </c>
      <c r="E39" s="19">
        <f>D9</f>
        <v/>
      </c>
      <c r="F39" t="n">
        <v>9.199999999999999</v>
      </c>
      <c r="G39">
        <f>L9</f>
        <v/>
      </c>
      <c r="H39">
        <f>EXP(G39) * E39^$B$1</f>
        <v/>
      </c>
      <c r="I39" t="n">
        <v>0</v>
      </c>
      <c r="J39">
        <f>J38*(1-$B$2) + I39</f>
        <v/>
      </c>
      <c r="K39" s="19">
        <f>E39 + J39</f>
        <v/>
      </c>
      <c r="L39">
        <f>EXP(G39) * K39^$B$1</f>
        <v/>
      </c>
      <c r="M39">
        <f>L39 - H39</f>
        <v/>
      </c>
      <c r="N39">
        <f>L39</f>
        <v/>
      </c>
      <c r="O39">
        <f>(N39/N38-1)*100</f>
        <v/>
      </c>
      <c r="P39">
        <f>(H39/H38-1)*100</f>
        <v/>
      </c>
    </row>
    <row r="40">
      <c r="C40" t="n">
        <v>2006</v>
      </c>
      <c r="E40" s="19">
        <f>D10</f>
        <v/>
      </c>
      <c r="F40" t="n">
        <v>10.1</v>
      </c>
      <c r="G40">
        <f>L10</f>
        <v/>
      </c>
      <c r="H40">
        <f>EXP(G40) * E40^$B$1</f>
        <v/>
      </c>
      <c r="I40" t="n">
        <v>0</v>
      </c>
      <c r="J40">
        <f>J39*(1-$B$2) + I40</f>
        <v/>
      </c>
      <c r="K40" s="19">
        <f>E40 + J40</f>
        <v/>
      </c>
      <c r="L40">
        <f>EXP(G40) * K40^$B$1</f>
        <v/>
      </c>
      <c r="M40">
        <f>L40 - H40</f>
        <v/>
      </c>
      <c r="N40">
        <f>L40</f>
        <v/>
      </c>
      <c r="O40">
        <f>(N40/N39-1)*100</f>
        <v/>
      </c>
      <c r="P40">
        <f>(H40/H39-1)*100</f>
        <v/>
      </c>
    </row>
    <row r="41">
      <c r="C41" t="n">
        <v>2007</v>
      </c>
      <c r="E41" s="19">
        <f>D11</f>
        <v/>
      </c>
      <c r="F41" t="n">
        <v>11.4</v>
      </c>
      <c r="G41">
        <f>L11</f>
        <v/>
      </c>
      <c r="H41">
        <f>EXP(G41) * E41^$B$1</f>
        <v/>
      </c>
      <c r="I41" t="n">
        <v>0</v>
      </c>
      <c r="J41">
        <f>J40*(1-$B$2) + I41</f>
        <v/>
      </c>
      <c r="K41" s="19">
        <f>E41 + J41</f>
        <v/>
      </c>
      <c r="L41">
        <f>EXP(G41) * K41^$B$1</f>
        <v/>
      </c>
      <c r="M41">
        <f>L41 - H41</f>
        <v/>
      </c>
      <c r="N41">
        <f>L41</f>
        <v/>
      </c>
      <c r="O41">
        <f>(N41/N40-1)*100</f>
        <v/>
      </c>
      <c r="P41">
        <f>(H41/H40-1)*100</f>
        <v/>
      </c>
    </row>
    <row r="42">
      <c r="C42" t="n">
        <v>2008</v>
      </c>
      <c r="E42" s="19">
        <f>D12</f>
        <v/>
      </c>
      <c r="F42" t="n">
        <v>11.7</v>
      </c>
      <c r="G42">
        <f>L12</f>
        <v/>
      </c>
      <c r="H42">
        <f>EXP(G42) * E42^$B$1</f>
        <v/>
      </c>
      <c r="I42" t="n">
        <v>0</v>
      </c>
      <c r="J42">
        <f>J41*(1-$B$2) + I42</f>
        <v/>
      </c>
      <c r="K42" s="19">
        <f>E42 + J42</f>
        <v/>
      </c>
      <c r="L42">
        <f>EXP(G42) * K42^$B$1</f>
        <v/>
      </c>
      <c r="M42">
        <f>L42 - H42</f>
        <v/>
      </c>
      <c r="N42">
        <f>L42</f>
        <v/>
      </c>
      <c r="O42">
        <f>(N42/N41-1)*100</f>
        <v/>
      </c>
      <c r="P42">
        <f>(H42/H41-1)*100</f>
        <v/>
      </c>
    </row>
    <row r="43">
      <c r="C43" t="n">
        <v>2009</v>
      </c>
      <c r="E43" s="19">
        <f>D13</f>
        <v/>
      </c>
      <c r="F43" t="n">
        <v>11.3</v>
      </c>
      <c r="G43">
        <f>L13</f>
        <v/>
      </c>
      <c r="H43">
        <f>EXP(G43) * E43^$B$1</f>
        <v/>
      </c>
      <c r="I43" t="n">
        <v>0</v>
      </c>
      <c r="J43">
        <f>J42*(1-$B$2) + I43</f>
        <v/>
      </c>
      <c r="K43" s="19">
        <f>E43 + J43</f>
        <v/>
      </c>
      <c r="L43">
        <f>EXP(G43) * K43^$B$1</f>
        <v/>
      </c>
      <c r="M43">
        <f>L43 - H43</f>
        <v/>
      </c>
      <c r="N43">
        <f>L43</f>
        <v/>
      </c>
      <c r="O43">
        <f>(N43/N42-1)*100</f>
        <v/>
      </c>
      <c r="P43">
        <f>(H43/H42-1)*100</f>
        <v/>
      </c>
    </row>
    <row r="44">
      <c r="C44" t="n">
        <v>2010</v>
      </c>
      <c r="E44" s="19">
        <f>D14</f>
        <v/>
      </c>
      <c r="F44" t="n">
        <v>12</v>
      </c>
      <c r="G44">
        <f>L14</f>
        <v/>
      </c>
      <c r="H44">
        <f>EXP(G44) * E44^$B$1</f>
        <v/>
      </c>
      <c r="I44" t="n">
        <v>0</v>
      </c>
      <c r="J44">
        <f>J43*(1-$B$2) + I44</f>
        <v/>
      </c>
      <c r="K44" s="19">
        <f>E44 + J44</f>
        <v/>
      </c>
      <c r="L44">
        <f>EXP(G44) * K44^$B$1</f>
        <v/>
      </c>
      <c r="M44">
        <f>L44 - H44</f>
        <v/>
      </c>
      <c r="N44">
        <f>L44</f>
        <v/>
      </c>
      <c r="O44">
        <f>(N44/N43-1)*100</f>
        <v/>
      </c>
      <c r="P44">
        <f>(H44/H43-1)*100</f>
        <v/>
      </c>
    </row>
    <row r="45">
      <c r="C45" t="n">
        <v>2011</v>
      </c>
      <c r="E45" s="19">
        <f>D15</f>
        <v/>
      </c>
      <c r="F45" t="n">
        <v>12.9</v>
      </c>
      <c r="G45">
        <f>L15</f>
        <v/>
      </c>
      <c r="H45">
        <f>EXP(G45) * E45^$B$1</f>
        <v/>
      </c>
      <c r="I45" t="n">
        <v>0</v>
      </c>
      <c r="J45">
        <f>J44*(1-$B$2) + I45</f>
        <v/>
      </c>
      <c r="K45" s="19">
        <f>E45 + J45</f>
        <v/>
      </c>
      <c r="L45">
        <f>EXP(G45) * K45^$B$1</f>
        <v/>
      </c>
      <c r="M45">
        <f>L45 - H45</f>
        <v/>
      </c>
      <c r="N45">
        <f>L45</f>
        <v/>
      </c>
      <c r="O45">
        <f>(N45/N44-1)*100</f>
        <v/>
      </c>
      <c r="P45">
        <f>(H45/H44-1)*100</f>
        <v/>
      </c>
    </row>
    <row r="46">
      <c r="C46" t="n">
        <v>2012</v>
      </c>
      <c r="E46" s="19">
        <f>D16</f>
        <v/>
      </c>
      <c r="F46" t="n">
        <v>13.7</v>
      </c>
      <c r="G46">
        <f>L16</f>
        <v/>
      </c>
      <c r="H46">
        <f>EXP(G46) * E46^$B$1</f>
        <v/>
      </c>
      <c r="I46" t="n">
        <v>0</v>
      </c>
      <c r="J46">
        <f>J45*(1-$B$2) + I46</f>
        <v/>
      </c>
      <c r="K46" s="19">
        <f>E46 + J46</f>
        <v/>
      </c>
      <c r="L46">
        <f>EXP(G46) * K46^$B$1</f>
        <v/>
      </c>
      <c r="M46">
        <f>L46 - H46</f>
        <v/>
      </c>
      <c r="N46">
        <f>L46</f>
        <v/>
      </c>
      <c r="O46">
        <f>(N46/N45-1)*100</f>
        <v/>
      </c>
      <c r="P46">
        <f>(H46/H45-1)*100</f>
        <v/>
      </c>
    </row>
    <row r="47">
      <c r="C47" t="n">
        <v>2013</v>
      </c>
      <c r="E47" s="19">
        <f>D17</f>
        <v/>
      </c>
      <c r="F47" t="n">
        <v>14.2</v>
      </c>
      <c r="G47">
        <f>L17</f>
        <v/>
      </c>
      <c r="H47">
        <f>EXP(G47) * E47^$B$1</f>
        <v/>
      </c>
      <c r="I47" t="n">
        <v>0</v>
      </c>
      <c r="J47">
        <f>J46*(1-$B$2) + I47</f>
        <v/>
      </c>
      <c r="K47" s="19">
        <f>E47 + J47</f>
        <v/>
      </c>
      <c r="L47">
        <f>EXP(G47) * K47^$B$1</f>
        <v/>
      </c>
      <c r="M47">
        <f>L47 - H47</f>
        <v/>
      </c>
      <c r="N47">
        <f>L47</f>
        <v/>
      </c>
      <c r="O47">
        <f>(N47/N46-1)*100</f>
        <v/>
      </c>
      <c r="P47">
        <f>(H47/H46-1)*100</f>
        <v/>
      </c>
    </row>
    <row r="48">
      <c r="C48" t="n">
        <v>2014</v>
      </c>
      <c r="E48" s="19">
        <f>D18</f>
        <v/>
      </c>
      <c r="F48" t="n">
        <v>14.9</v>
      </c>
      <c r="G48">
        <f>L18</f>
        <v/>
      </c>
      <c r="H48">
        <f>EXP(G48) * E48^$B$1</f>
        <v/>
      </c>
      <c r="I48" t="n">
        <v>0</v>
      </c>
      <c r="J48">
        <f>J47*(1-$B$2) + I48</f>
        <v/>
      </c>
      <c r="K48" s="19">
        <f>E48 + J48</f>
        <v/>
      </c>
      <c r="L48">
        <f>EXP(G48) * K48^$B$1</f>
        <v/>
      </c>
      <c r="M48">
        <f>L48 - H48</f>
        <v/>
      </c>
      <c r="N48">
        <f>L48</f>
        <v/>
      </c>
      <c r="O48">
        <f>(N48/N47-1)*100</f>
        <v/>
      </c>
      <c r="P48">
        <f>(H48/H47-1)*100</f>
        <v/>
      </c>
    </row>
    <row r="49">
      <c r="C49" t="n">
        <v>2015</v>
      </c>
      <c r="E49" s="19">
        <f>D19</f>
        <v/>
      </c>
      <c r="F49" t="n">
        <v>15.3</v>
      </c>
      <c r="G49">
        <f>L19</f>
        <v/>
      </c>
      <c r="H49">
        <f>EXP(G49) * E49^$B$1</f>
        <v/>
      </c>
      <c r="I49" t="n">
        <v>0</v>
      </c>
      <c r="J49">
        <f>J48*(1-$B$2) + I49</f>
        <v/>
      </c>
      <c r="K49" s="19">
        <f>E49 + J49</f>
        <v/>
      </c>
      <c r="L49">
        <f>EXP(G49) * K49^$B$1</f>
        <v/>
      </c>
      <c r="M49">
        <f>L49 - H49</f>
        <v/>
      </c>
      <c r="N49">
        <f>L49</f>
        <v/>
      </c>
      <c r="O49">
        <f>(N49/N48-1)*100</f>
        <v/>
      </c>
      <c r="P49">
        <f>(H49/H48-1)*100</f>
        <v/>
      </c>
    </row>
    <row r="50">
      <c r="C50" t="n">
        <v>2016</v>
      </c>
      <c r="E50" s="19">
        <f>D20</f>
        <v/>
      </c>
      <c r="F50" t="n">
        <v>15.8</v>
      </c>
      <c r="G50">
        <f>L20</f>
        <v/>
      </c>
      <c r="H50">
        <f>EXP(G50) * E50^$B$1</f>
        <v/>
      </c>
      <c r="I50" t="n">
        <v>0</v>
      </c>
      <c r="J50">
        <f>J49*(1-$B$2) + I50</f>
        <v/>
      </c>
      <c r="K50" s="19">
        <f>E50 + J50</f>
        <v/>
      </c>
      <c r="L50">
        <f>EXP(G50) * K50^$B$1</f>
        <v/>
      </c>
      <c r="M50">
        <f>L50 - H50</f>
        <v/>
      </c>
      <c r="N50">
        <f>L50</f>
        <v/>
      </c>
      <c r="O50">
        <f>(N50/N49-1)*100</f>
        <v/>
      </c>
      <c r="P50">
        <f>(H50/H49-1)*100</f>
        <v/>
      </c>
    </row>
    <row r="51">
      <c r="C51" t="n">
        <v>2017</v>
      </c>
      <c r="E51" s="19">
        <f>D21</f>
        <v/>
      </c>
      <c r="F51" t="n">
        <v>16.6</v>
      </c>
      <c r="G51">
        <f>L21</f>
        <v/>
      </c>
      <c r="H51">
        <f>EXP(G51) * E51^$B$1</f>
        <v/>
      </c>
      <c r="I51" t="n">
        <v>0</v>
      </c>
      <c r="J51">
        <f>J50*(1-$B$2) + I51</f>
        <v/>
      </c>
      <c r="K51" s="19">
        <f>E51 + J51</f>
        <v/>
      </c>
      <c r="L51">
        <f>EXP(G51) * K51^$B$1</f>
        <v/>
      </c>
      <c r="M51">
        <f>L51 - H51</f>
        <v/>
      </c>
      <c r="N51">
        <f>L51</f>
        <v/>
      </c>
      <c r="O51">
        <f>(N51/N50-1)*100</f>
        <v/>
      </c>
      <c r="P51">
        <f>(H51/H50-1)*100</f>
        <v/>
      </c>
    </row>
    <row r="52">
      <c r="C52" t="n">
        <v>2018</v>
      </c>
      <c r="E52" s="19">
        <f>D22</f>
        <v/>
      </c>
      <c r="F52" t="n">
        <v>17.4</v>
      </c>
      <c r="G52">
        <f>L22</f>
        <v/>
      </c>
      <c r="H52">
        <f>EXP(G52) * E52^$B$1</f>
        <v/>
      </c>
      <c r="I52" t="n">
        <v>0</v>
      </c>
      <c r="J52">
        <f>J51*(1-$B$2) + I52</f>
        <v/>
      </c>
      <c r="K52" s="19">
        <f>E52 + J52</f>
        <v/>
      </c>
      <c r="L52">
        <f>EXP(G52) * K52^$B$1</f>
        <v/>
      </c>
      <c r="M52">
        <f>L52 - H52</f>
        <v/>
      </c>
      <c r="N52">
        <f>L52</f>
        <v/>
      </c>
      <c r="O52">
        <f>(N52/N51-1)*100</f>
        <v/>
      </c>
      <c r="P52">
        <f>(H52/H51-1)*100</f>
        <v/>
      </c>
    </row>
    <row r="53">
      <c r="C53" t="n">
        <v>2019</v>
      </c>
      <c r="E53" s="19">
        <f>D23</f>
        <v/>
      </c>
      <c r="F53" t="n">
        <v>18.2</v>
      </c>
      <c r="G53">
        <f>L23</f>
        <v/>
      </c>
      <c r="H53">
        <f>EXP(G53) * E53^$B$1</f>
        <v/>
      </c>
      <c r="I53" t="n">
        <v>0</v>
      </c>
      <c r="J53">
        <f>J52*(1-$B$2) + I53</f>
        <v/>
      </c>
      <c r="K53" s="19">
        <f>E53 + J53</f>
        <v/>
      </c>
      <c r="L53">
        <f>EXP(G53) * K53^$B$1</f>
        <v/>
      </c>
      <c r="M53">
        <f>L53 - H53</f>
        <v/>
      </c>
      <c r="N53">
        <f>L53</f>
        <v/>
      </c>
      <c r="O53">
        <f>(N53/N52-1)*100</f>
        <v/>
      </c>
      <c r="P53">
        <f>(H53/H52-1)*100</f>
        <v/>
      </c>
    </row>
    <row r="54">
      <c r="C54" t="n">
        <v>2020</v>
      </c>
      <c r="E54" s="19">
        <f>D24</f>
        <v/>
      </c>
      <c r="F54" t="n">
        <v>17.3</v>
      </c>
      <c r="G54">
        <f>L24</f>
        <v/>
      </c>
      <c r="H54">
        <f>EXP(G54) * E54^$B$1</f>
        <v/>
      </c>
      <c r="I54" t="n">
        <v>0</v>
      </c>
      <c r="J54">
        <f>J53*(1-$B$2) + I54</f>
        <v/>
      </c>
      <c r="K54" s="19">
        <f>E54 + J54</f>
        <v/>
      </c>
      <c r="L54">
        <f>EXP(G54) * K54^$B$1</f>
        <v/>
      </c>
      <c r="M54">
        <f>L54 - H54</f>
        <v/>
      </c>
      <c r="N54">
        <f>L54</f>
        <v/>
      </c>
      <c r="O54">
        <f>(N54/N53-1)*100</f>
        <v/>
      </c>
      <c r="P54">
        <f>(H54/H53-1)*100</f>
        <v/>
      </c>
    </row>
    <row r="55">
      <c r="C55" t="n">
        <v>2021</v>
      </c>
      <c r="E55" s="19">
        <f>D25</f>
        <v/>
      </c>
      <c r="F55" t="n">
        <v>19.3</v>
      </c>
      <c r="G55">
        <f>L25</f>
        <v/>
      </c>
      <c r="H55">
        <f>EXP(G55) * E55^$B$1</f>
        <v/>
      </c>
      <c r="I55" t="n">
        <v>0</v>
      </c>
      <c r="J55">
        <f>J54*(1-$B$2) + I55</f>
        <v/>
      </c>
      <c r="K55" s="19">
        <f>E55 + J55</f>
        <v/>
      </c>
      <c r="L55">
        <f>EXP(G55) * K55^$B$1</f>
        <v/>
      </c>
      <c r="M55">
        <f>L55 - H55</f>
        <v/>
      </c>
      <c r="N55">
        <f>L55</f>
        <v/>
      </c>
      <c r="O55">
        <f>(N55/N54-1)*100</f>
        <v/>
      </c>
      <c r="P55">
        <f>(H55/H54-1)*100</f>
        <v/>
      </c>
    </row>
    <row r="56">
      <c r="C56" t="n">
        <v>2022</v>
      </c>
      <c r="E56" s="19">
        <f>D26</f>
        <v/>
      </c>
      <c r="F56" t="n">
        <v>21.5</v>
      </c>
      <c r="G56">
        <f>L26</f>
        <v/>
      </c>
      <c r="H56">
        <f>EXP(G56) * E56^$B$1</f>
        <v/>
      </c>
      <c r="I56" t="n">
        <v>0</v>
      </c>
      <c r="J56">
        <f>J55*(1-$B$2) + I56</f>
        <v/>
      </c>
      <c r="K56" s="19">
        <f>E56 + J56</f>
        <v/>
      </c>
      <c r="L56">
        <f>EXP(G56) * K56^$B$1</f>
        <v/>
      </c>
      <c r="M56">
        <f>L56 - H56</f>
        <v/>
      </c>
      <c r="N56">
        <f>L56</f>
        <v/>
      </c>
      <c r="O56">
        <f>(N56/N55-1)*100</f>
        <v/>
      </c>
      <c r="P56">
        <f>(H56/H55-1)*100</f>
        <v/>
      </c>
    </row>
    <row r="57">
      <c r="C57" t="n">
        <v>2023</v>
      </c>
      <c r="E57" s="19">
        <f>D27</f>
        <v/>
      </c>
      <c r="F57" t="n">
        <v>23</v>
      </c>
      <c r="G57">
        <f>L27</f>
        <v/>
      </c>
      <c r="H57">
        <f>EXP(G57) * E57^$B$1</f>
        <v/>
      </c>
      <c r="I57" t="n">
        <v>0</v>
      </c>
      <c r="J57">
        <f>J56*(1-$B$2) + I57</f>
        <v/>
      </c>
      <c r="K57" s="19">
        <f>E57 + J57</f>
        <v/>
      </c>
      <c r="L57">
        <f>EXP(G57) * K57^$B$1</f>
        <v/>
      </c>
      <c r="M57">
        <f>L57 - H57</f>
        <v/>
      </c>
      <c r="N57">
        <f>L57</f>
        <v/>
      </c>
      <c r="O57">
        <f>(N57/N56-1)*100</f>
        <v/>
      </c>
      <c r="P57">
        <f>(H57/H56-1)*100</f>
        <v/>
      </c>
    </row>
    <row r="58">
      <c r="C58" t="n">
        <v>2024</v>
      </c>
      <c r="E58" s="21" t="n">
        <v>370126.7667661297</v>
      </c>
      <c r="F58" t="n">
        <v>25.1</v>
      </c>
      <c r="G58" s="20">
        <f>TREND($L$6:$L$27, $C$6:$C$27, C58)</f>
        <v/>
      </c>
      <c r="H58">
        <f>EXP(G58) * E58^$B$1</f>
        <v/>
      </c>
      <c r="I58" t="n">
        <v>0</v>
      </c>
      <c r="J58">
        <f>J57*(1-$B$2) + I58</f>
        <v/>
      </c>
      <c r="K58" s="19">
        <f>E58 + J58</f>
        <v/>
      </c>
      <c r="L58">
        <f>EXP(G58) * K58^$B$1</f>
        <v/>
      </c>
      <c r="M58">
        <f>L58 - H58</f>
        <v/>
      </c>
      <c r="N58">
        <f>L58</f>
        <v/>
      </c>
      <c r="O58">
        <f>(N58/N57-1)*100</f>
        <v/>
      </c>
      <c r="P58">
        <f>(H58/H57-1)*100</f>
        <v/>
      </c>
    </row>
    <row r="59">
      <c r="C59" t="n">
        <v>2025</v>
      </c>
      <c r="E59" s="21" t="n">
        <v>397146.0207400572</v>
      </c>
      <c r="F59" t="n">
        <v>26.9323</v>
      </c>
      <c r="G59" s="20">
        <f>TREND($L$6:$L$27, $C$6:$C$27, C59)</f>
        <v/>
      </c>
      <c r="H59">
        <f>EXP(G59) * E59^$B$1</f>
        <v/>
      </c>
      <c r="I59" t="n">
        <v>0</v>
      </c>
      <c r="J59">
        <f>J58*(1-$B$2) + I59</f>
        <v/>
      </c>
      <c r="K59" s="19">
        <f>E59 + J59</f>
        <v/>
      </c>
      <c r="L59">
        <f>EXP(G59) * K59^$B$1</f>
        <v/>
      </c>
      <c r="M59">
        <f>L59 - H59</f>
        <v/>
      </c>
      <c r="N59">
        <f>L59</f>
        <v/>
      </c>
      <c r="O59">
        <f>(N59/N58-1)*100</f>
        <v/>
      </c>
      <c r="P59">
        <f>(H59/H58-1)*100</f>
        <v/>
      </c>
    </row>
    <row r="60">
      <c r="C60" t="n">
        <v>2026</v>
      </c>
      <c r="E60" s="21" t="n">
        <v>418194.7598392802</v>
      </c>
      <c r="F60" s="20" t="n">
        <v>28.3597119</v>
      </c>
      <c r="G60" s="20">
        <f>TREND($L$6:$L$27, $C$6:$C$27, C60)</f>
        <v/>
      </c>
      <c r="H60">
        <f>EXP(G60) * E60^$B$1</f>
        <v/>
      </c>
      <c r="I60" s="17" t="n">
        <v>648.5893137564417</v>
      </c>
      <c r="J60">
        <f>J59*(1-$B$2) + I60</f>
        <v/>
      </c>
      <c r="K60" s="19">
        <f>E60 + J60</f>
        <v/>
      </c>
      <c r="L60">
        <f>EXP(G60) * K60^$B$1</f>
        <v/>
      </c>
      <c r="M60">
        <f>L60 - H60</f>
        <v/>
      </c>
      <c r="N60">
        <f>L60</f>
        <v/>
      </c>
      <c r="O60">
        <f>(N60/N59-1)*100</f>
        <v/>
      </c>
      <c r="P60">
        <f>(H60/H59-1)*100</f>
        <v/>
      </c>
    </row>
    <row r="61">
      <c r="C61" t="n">
        <v>2027</v>
      </c>
      <c r="E61" s="21" t="n">
        <v>439104.4978312442</v>
      </c>
      <c r="F61" s="20" t="n">
        <v>29.777697495</v>
      </c>
      <c r="G61" s="20">
        <f>TREND($L$6:$L$27, $C$6:$C$27, C61)</f>
        <v/>
      </c>
      <c r="H61">
        <f>EXP(G61) * E61^$B$1</f>
        <v/>
      </c>
      <c r="I61" s="17" t="n">
        <v>1220.080196896535</v>
      </c>
      <c r="J61">
        <f>J60*(1-$B$2) + I61</f>
        <v/>
      </c>
      <c r="K61" s="19">
        <f>E61 + J61</f>
        <v/>
      </c>
      <c r="L61">
        <f>EXP(G61) * K61^$B$1</f>
        <v/>
      </c>
      <c r="M61">
        <f>L61 - H61</f>
        <v/>
      </c>
      <c r="N61">
        <f>L61</f>
        <v/>
      </c>
      <c r="O61">
        <f>(N61/N60-1)*100</f>
        <v/>
      </c>
      <c r="P61">
        <f>(H61/H60-1)*100</f>
        <v/>
      </c>
    </row>
    <row r="62">
      <c r="C62" t="n">
        <v>2028</v>
      </c>
      <c r="E62" s="21" t="n">
        <v>461059.7227228064</v>
      </c>
      <c r="F62" s="20" t="n">
        <v>31.26658236975</v>
      </c>
      <c r="G62" s="20">
        <f>TREND($L$6:$L$27, $C$6:$C$27, C62)</f>
        <v/>
      </c>
      <c r="H62">
        <f>EXP(G62) * E62^$B$1</f>
        <v/>
      </c>
      <c r="I62" s="17" t="n">
        <v>1756.17368014315</v>
      </c>
      <c r="J62">
        <f>J61*(1-$B$2) + I62</f>
        <v/>
      </c>
      <c r="K62" s="19">
        <f>E62 + J62</f>
        <v/>
      </c>
      <c r="L62">
        <f>EXP(G62) * K62^$B$1</f>
        <v/>
      </c>
      <c r="M62">
        <f>L62 - H62</f>
        <v/>
      </c>
      <c r="N62">
        <f>L62</f>
        <v/>
      </c>
      <c r="O62">
        <f>(N62/N61-1)*100</f>
        <v/>
      </c>
      <c r="P62">
        <f>(H62/H61-1)*100</f>
        <v/>
      </c>
    </row>
    <row r="63">
      <c r="C63" t="n">
        <v>2029</v>
      </c>
      <c r="E63" s="21" t="n">
        <v>484112.7088589468</v>
      </c>
      <c r="F63" s="20" t="n">
        <v>32.82991148823751</v>
      </c>
      <c r="G63" s="20">
        <f>TREND($L$6:$L$27, $C$6:$C$27, C63)</f>
        <v/>
      </c>
      <c r="H63">
        <f>EXP(G63) * E63^$B$1</f>
        <v/>
      </c>
      <c r="I63" s="17" t="n">
        <v>2221.194700985215</v>
      </c>
      <c r="J63">
        <f>J62*(1-$B$2) + I63</f>
        <v/>
      </c>
      <c r="K63" s="19">
        <f>E63 + J63</f>
        <v/>
      </c>
      <c r="L63">
        <f>EXP(G63) * K63^$B$1</f>
        <v/>
      </c>
      <c r="M63">
        <f>L63 - H63</f>
        <v/>
      </c>
      <c r="N63">
        <f>L63</f>
        <v/>
      </c>
      <c r="O63">
        <f>(N63/N62-1)*100</f>
        <v/>
      </c>
      <c r="P63">
        <f>(H63/H62-1)*100</f>
        <v/>
      </c>
    </row>
    <row r="64">
      <c r="C64" t="n">
        <v>2030</v>
      </c>
      <c r="E64" s="21" t="n">
        <v>508318.3443018941</v>
      </c>
      <c r="F64" s="20" t="n">
        <v>34.47140706264938</v>
      </c>
      <c r="G64" s="20">
        <f>TREND($L$6:$L$27, $C$6:$C$27, C64)</f>
        <v/>
      </c>
      <c r="H64">
        <f>EXP(G64) * E64^$B$1</f>
        <v/>
      </c>
      <c r="I64" s="17" t="n">
        <v>2122.467876455729</v>
      </c>
      <c r="J64">
        <f>J63*(1-$B$2) + I64</f>
        <v/>
      </c>
      <c r="K64" s="19">
        <f>E64 + J64</f>
        <v/>
      </c>
      <c r="L64">
        <f>EXP(G64) * K64^$B$1</f>
        <v/>
      </c>
      <c r="M64">
        <f>L64 - H64</f>
        <v/>
      </c>
      <c r="N64">
        <f>L64</f>
        <v/>
      </c>
      <c r="O64">
        <f>(N64/N63-1)*100</f>
        <v/>
      </c>
      <c r="P64">
        <f>(H64/H63-1)*100</f>
        <v/>
      </c>
    </row>
    <row r="65">
      <c r="C65" t="n">
        <v>2031</v>
      </c>
      <c r="E65" s="21" t="n">
        <v>533734.2615169889</v>
      </c>
      <c r="F65" s="20" t="n">
        <v>36.19497741578186</v>
      </c>
      <c r="G65" s="20">
        <f>TREND($L$6:$L$27, $C$6:$C$27, C65)</f>
        <v/>
      </c>
      <c r="H65">
        <f>EXP(G65) * E65^$B$1</f>
        <v/>
      </c>
      <c r="I65" s="17" t="n">
        <v>1524.524585276747</v>
      </c>
      <c r="J65">
        <f>J64*(1-$B$2) + I65</f>
        <v/>
      </c>
      <c r="K65" s="19">
        <f>E65 + J65</f>
        <v/>
      </c>
      <c r="L65">
        <f>EXP(G65) * K65^$B$1</f>
        <v/>
      </c>
      <c r="M65">
        <f>L65 - H65</f>
        <v/>
      </c>
      <c r="N65">
        <f>L65</f>
        <v/>
      </c>
      <c r="O65">
        <f>(N65/N64-1)*100</f>
        <v/>
      </c>
      <c r="P65">
        <f>(H65/H64-1)*100</f>
        <v/>
      </c>
    </row>
    <row r="66">
      <c r="C66" t="n">
        <v>2032</v>
      </c>
      <c r="E66" s="21" t="n">
        <v>560420.9745928383</v>
      </c>
      <c r="F66" s="20" t="n">
        <v>38.00472628657095</v>
      </c>
      <c r="G66" s="20">
        <f>TREND($L$6:$L$27, $C$6:$C$27, C66)</f>
        <v/>
      </c>
      <c r="H66">
        <f>EXP(G66) * E66^$B$1</f>
        <v/>
      </c>
      <c r="I66" s="17" t="n">
        <v>738.1763105598934</v>
      </c>
      <c r="J66">
        <f>J65*(1-$B$2) + I66</f>
        <v/>
      </c>
      <c r="K66" s="19">
        <f>E66 + J66</f>
        <v/>
      </c>
      <c r="L66">
        <f>EXP(G66) * K66^$B$1</f>
        <v/>
      </c>
      <c r="M66">
        <f>L66 - H66</f>
        <v/>
      </c>
      <c r="N66">
        <f>L66</f>
        <v/>
      </c>
      <c r="O66">
        <f>(N66/N65-1)*100</f>
        <v/>
      </c>
      <c r="P66">
        <f>(H66/H65-1)*100</f>
        <v/>
      </c>
    </row>
    <row r="67">
      <c r="C67" t="n">
        <v>2033</v>
      </c>
      <c r="E67" s="21" t="n">
        <v>588442.0233224804</v>
      </c>
      <c r="F67" s="20" t="n">
        <v>39.9049626008995</v>
      </c>
      <c r="G67" s="20">
        <f>TREND($L$6:$L$27, $C$6:$C$27, C67)</f>
        <v/>
      </c>
      <c r="H67">
        <f>EXP(G67) * E67^$B$1</f>
        <v/>
      </c>
      <c r="I67" s="17" t="n">
        <v>352.6059768970017</v>
      </c>
      <c r="J67">
        <f>J66*(1-$B$2) + I67</f>
        <v/>
      </c>
      <c r="K67" s="19">
        <f>E67 + J67</f>
        <v/>
      </c>
      <c r="L67">
        <f>EXP(G67) * K67^$B$1</f>
        <v/>
      </c>
      <c r="M67">
        <f>L67 - H67</f>
        <v/>
      </c>
      <c r="N67">
        <f>L67</f>
        <v/>
      </c>
      <c r="O67">
        <f>(N67/N66-1)*100</f>
        <v/>
      </c>
      <c r="P67">
        <f>(H67/H66-1)*100</f>
        <v/>
      </c>
    </row>
    <row r="68">
      <c r="C68" t="n">
        <v>2034</v>
      </c>
      <c r="E68" s="21" t="n">
        <v>617864.1244886044</v>
      </c>
      <c r="F68" s="20" t="n">
        <v>41.90021073094448</v>
      </c>
      <c r="G68" s="20">
        <f>TREND($L$6:$L$27, $C$6:$C$27, C68)</f>
        <v/>
      </c>
      <c r="H68">
        <f>EXP(G68) * E68^$B$1</f>
        <v/>
      </c>
      <c r="I68" t="n">
        <v>0</v>
      </c>
      <c r="J68">
        <f>J67*(1-$B$2) + I68</f>
        <v/>
      </c>
      <c r="K68" s="19">
        <f>E68 + J68</f>
        <v/>
      </c>
      <c r="L68">
        <f>EXP(G68) * K68^$B$1</f>
        <v/>
      </c>
      <c r="M68">
        <f>L68 - H68</f>
        <v/>
      </c>
      <c r="N68">
        <f>L68</f>
        <v/>
      </c>
      <c r="O68">
        <f>(N68/N67-1)*100</f>
        <v/>
      </c>
      <c r="P68">
        <f>(H68/H67-1)*100</f>
        <v/>
      </c>
    </row>
    <row r="69">
      <c r="C69" t="n">
        <v>2035</v>
      </c>
      <c r="E69" s="21" t="n">
        <v>648757.3307130347</v>
      </c>
      <c r="F69" s="20" t="n">
        <v>43.99522126749171</v>
      </c>
      <c r="G69" s="20">
        <f>TREND($L$6:$L$27, $C$6:$C$27, C69)</f>
        <v/>
      </c>
      <c r="H69">
        <f>EXP(G69) * E69^$B$1</f>
        <v/>
      </c>
      <c r="I69" t="n">
        <v>0</v>
      </c>
      <c r="J69">
        <f>J68*(1-$B$2) + I69</f>
        <v/>
      </c>
      <c r="K69" s="19">
        <f>E69 + J69</f>
        <v/>
      </c>
      <c r="L69">
        <f>EXP(G69) * K69^$B$1</f>
        <v/>
      </c>
      <c r="M69">
        <f>L69 - H69</f>
        <v/>
      </c>
      <c r="N69">
        <f>L69</f>
        <v/>
      </c>
      <c r="O69">
        <f>(N69/N68-1)*100</f>
        <v/>
      </c>
      <c r="P69">
        <f>(H69/H68-1)*100</f>
        <v/>
      </c>
    </row>
    <row r="70">
      <c r="C70" t="n">
        <v>2036</v>
      </c>
      <c r="E70" s="21" t="n">
        <v>681195.1972486865</v>
      </c>
      <c r="F70" s="20" t="n">
        <v>46.1949823308663</v>
      </c>
      <c r="G70" s="20">
        <f>TREND($L$6:$L$27, $C$6:$C$27, C70)</f>
        <v/>
      </c>
      <c r="H70">
        <f>EXP(G70) * E70^$B$1</f>
        <v/>
      </c>
      <c r="I70" t="n">
        <v>0</v>
      </c>
      <c r="J70">
        <f>J69*(1-$B$2) + I70</f>
        <v/>
      </c>
      <c r="K70" s="19">
        <f>E70 + J70</f>
        <v/>
      </c>
      <c r="L70">
        <f>EXP(G70) * K70^$B$1</f>
        <v/>
      </c>
      <c r="M70">
        <f>L70 - H70</f>
        <v/>
      </c>
      <c r="N70">
        <f>L70</f>
        <v/>
      </c>
      <c r="O70">
        <f>(N70/N69-1)*100</f>
        <v/>
      </c>
      <c r="P70">
        <f>(H70/H69-1)*100</f>
        <v/>
      </c>
    </row>
    <row r="71">
      <c r="C71" t="n">
        <v>2037</v>
      </c>
      <c r="E71" s="21" t="n">
        <v>715254.9571111208</v>
      </c>
      <c r="F71" s="20" t="n">
        <v>48.50473144740961</v>
      </c>
      <c r="G71" s="20">
        <f>TREND($L$6:$L$27, $C$6:$C$27, C71)</f>
        <v/>
      </c>
      <c r="H71">
        <f>EXP(G71) * E71^$B$1</f>
        <v/>
      </c>
      <c r="I71" t="n">
        <v>0</v>
      </c>
      <c r="J71">
        <f>J70*(1-$B$2) + I71</f>
        <v/>
      </c>
      <c r="K71" s="19">
        <f>E71 + J71</f>
        <v/>
      </c>
      <c r="L71">
        <f>EXP(G71) * K71^$B$1</f>
        <v/>
      </c>
      <c r="M71">
        <f>L71 - H71</f>
        <v/>
      </c>
      <c r="N71">
        <f>L71</f>
        <v/>
      </c>
      <c r="O71">
        <f>(N71/N70-1)*100</f>
        <v/>
      </c>
      <c r="P71">
        <f>(H71/H70-1)*100</f>
        <v/>
      </c>
    </row>
    <row r="72">
      <c r="C72" t="n">
        <v>2038</v>
      </c>
      <c r="E72" s="21" t="n">
        <v>751017.7049666768</v>
      </c>
      <c r="F72" s="20" t="n">
        <v>50.92996801978009</v>
      </c>
      <c r="G72" s="20">
        <f>TREND($L$6:$L$27, $C$6:$C$27, C72)</f>
        <v/>
      </c>
      <c r="H72">
        <f>EXP(G72) * E72^$B$1</f>
        <v/>
      </c>
      <c r="I72" t="n">
        <v>0</v>
      </c>
      <c r="J72">
        <f>J71*(1-$B$2) + I72</f>
        <v/>
      </c>
      <c r="K72" s="19">
        <f>E72 + J72</f>
        <v/>
      </c>
      <c r="L72">
        <f>EXP(G72) * K72^$B$1</f>
        <v/>
      </c>
      <c r="M72">
        <f>L72 - H72</f>
        <v/>
      </c>
      <c r="N72">
        <f>L72</f>
        <v/>
      </c>
      <c r="O72">
        <f>(N72/N71-1)*100</f>
        <v/>
      </c>
      <c r="P72">
        <f>(H72/H71-1)*100</f>
        <v/>
      </c>
    </row>
    <row r="73">
      <c r="C73" t="n">
        <v>2039</v>
      </c>
      <c r="E73" s="21" t="n">
        <v>788568.5902150107</v>
      </c>
      <c r="F73" s="20" t="n">
        <v>53.4764664207691</v>
      </c>
      <c r="G73" s="20">
        <f>TREND($L$6:$L$27, $C$6:$C$27, C73)</f>
        <v/>
      </c>
      <c r="H73">
        <f>EXP(G73) * E73^$B$1</f>
        <v/>
      </c>
      <c r="I73" t="n">
        <v>0</v>
      </c>
      <c r="J73">
        <f>J72*(1-$B$2) + I73</f>
        <v/>
      </c>
      <c r="K73" s="19">
        <f>E73 + J73</f>
        <v/>
      </c>
      <c r="L73">
        <f>EXP(G73) * K73^$B$1</f>
        <v/>
      </c>
      <c r="M73">
        <f>L73 - H73</f>
        <v/>
      </c>
      <c r="N73">
        <f>L73</f>
        <v/>
      </c>
      <c r="O73">
        <f>(N73/N72-1)*100</f>
        <v/>
      </c>
      <c r="P73">
        <f>(H73/H72-1)*100</f>
        <v/>
      </c>
    </row>
    <row r="74">
      <c r="C74" t="n">
        <v>2040</v>
      </c>
      <c r="E74" s="21" t="n">
        <v>827997.0197257613</v>
      </c>
      <c r="F74" s="20" t="n">
        <v>56.15028974180755</v>
      </c>
      <c r="G74" s="20">
        <f>TREND($L$6:$L$27, $C$6:$C$27, C74)</f>
        <v/>
      </c>
      <c r="H74">
        <f>EXP(G74) * E74^$B$1</f>
        <v/>
      </c>
      <c r="I74" t="n">
        <v>0</v>
      </c>
      <c r="J74">
        <f>J73*(1-$B$2) + I74</f>
        <v/>
      </c>
      <c r="K74" s="19">
        <f>E74 + J74</f>
        <v/>
      </c>
      <c r="L74">
        <f>EXP(G74) * K74^$B$1</f>
        <v/>
      </c>
      <c r="M74">
        <f>L74 - H74</f>
        <v/>
      </c>
      <c r="N74">
        <f>L74</f>
        <v/>
      </c>
      <c r="O74">
        <f>(N74/N73-1)*100</f>
        <v/>
      </c>
      <c r="P74">
        <f>(H74/H73-1)*100</f>
        <v/>
      </c>
    </row>
    <row r="75">
      <c r="C75" t="n">
        <v>2041</v>
      </c>
      <c r="E75" s="21" t="n">
        <v>869396.8707120493</v>
      </c>
      <c r="F75" s="20" t="n">
        <v>58.95780422889793</v>
      </c>
      <c r="G75" s="20">
        <f>TREND($L$6:$L$27, $C$6:$C$27, C75)</f>
        <v/>
      </c>
      <c r="H75">
        <f>EXP(G75) * E75^$B$1</f>
        <v/>
      </c>
      <c r="I75" t="n">
        <v>0</v>
      </c>
      <c r="J75">
        <f>J74*(1-$B$2) + I75</f>
        <v/>
      </c>
      <c r="K75" s="19">
        <f>E75 + J75</f>
        <v/>
      </c>
      <c r="L75">
        <f>EXP(G75) * K75^$B$1</f>
        <v/>
      </c>
      <c r="M75">
        <f>L75 - H75</f>
        <v/>
      </c>
      <c r="N75">
        <f>L75</f>
        <v/>
      </c>
      <c r="O75">
        <f>(N75/N74-1)*100</f>
        <v/>
      </c>
      <c r="P75">
        <f>(H75/H74-1)*100</f>
        <v/>
      </c>
    </row>
    <row r="76">
      <c r="C76" t="n">
        <v>2042</v>
      </c>
      <c r="E76" t="n">
        <v>912866.7142476519</v>
      </c>
      <c r="F76" t="n">
        <v>61.90569444034283</v>
      </c>
      <c r="G76">
        <f>TREND($L$6:$L$27, $C$6:$C$27, C76)</f>
        <v/>
      </c>
      <c r="H76">
        <f>EXP(G76) * E76^$B$1</f>
        <v/>
      </c>
      <c r="I76" t="n">
        <v>0</v>
      </c>
      <c r="J76">
        <f>J75*(1-$B$2) + I76</f>
        <v/>
      </c>
      <c r="K76">
        <f>E76 + J76</f>
        <v/>
      </c>
      <c r="L76">
        <f>EXP(G76) * K76^$B$1</f>
        <v/>
      </c>
      <c r="M76">
        <f>L76 - H76</f>
        <v/>
      </c>
      <c r="N76">
        <f>L76</f>
        <v/>
      </c>
      <c r="O76">
        <f>(N76/N75-1)*100</f>
        <v/>
      </c>
      <c r="P76">
        <f>(H76/H75-1)*100</f>
        <v/>
      </c>
    </row>
    <row r="77">
      <c r="C77" t="n">
        <v>2043</v>
      </c>
      <c r="E77" t="n">
        <v>958510.0499600346</v>
      </c>
      <c r="F77" t="n">
        <v>65.00097916235998</v>
      </c>
      <c r="G77">
        <f>TREND($L$6:$L$27, $C$6:$C$27, C77)</f>
        <v/>
      </c>
      <c r="H77">
        <f>EXP(G77) * E77^$B$1</f>
        <v/>
      </c>
      <c r="I77" t="n">
        <v>0</v>
      </c>
      <c r="J77">
        <f>J76*(1-$B$2) + I77</f>
        <v/>
      </c>
      <c r="K77">
        <f>E77 + J77</f>
        <v/>
      </c>
      <c r="L77">
        <f>EXP(G77) * K77^$B$1</f>
        <v/>
      </c>
      <c r="M77">
        <f>L77 - H77</f>
        <v/>
      </c>
      <c r="N77">
        <f>L77</f>
        <v/>
      </c>
      <c r="O77">
        <f>(N77/N76-1)*100</f>
        <v/>
      </c>
      <c r="P77">
        <f>(H77/H76-1)*100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E8" sqref="E8"/>
    </sheetView>
  </sheetViews>
  <sheetFormatPr baseColWidth="8" defaultRowHeight="12.45"/>
  <cols>
    <col width="11" customWidth="1" min="3" max="3"/>
  </cols>
  <sheetData>
    <row r="1" ht="37.3" customFormat="1" customHeight="1" s="15">
      <c r="B1" s="14" t="inlineStr">
        <is>
          <t>Year</t>
        </is>
      </c>
      <c r="C1" s="14" t="inlineStr">
        <is>
          <t>Project Investment (Deflated)</t>
        </is>
      </c>
    </row>
    <row r="2">
      <c r="B2" s="16" t="n">
        <v>2026</v>
      </c>
      <c r="C2" t="n">
        <v>648.5893137564417</v>
      </c>
    </row>
    <row r="3">
      <c r="B3" s="16" t="n">
        <v>2027</v>
      </c>
      <c r="C3" t="n">
        <v>1220.080196896535</v>
      </c>
    </row>
    <row r="4">
      <c r="B4" s="16" t="n">
        <v>2028</v>
      </c>
      <c r="C4" t="n">
        <v>1756.17368014315</v>
      </c>
    </row>
    <row r="5">
      <c r="B5" s="16" t="n">
        <v>2029</v>
      </c>
      <c r="C5" t="n">
        <v>2221.194700985215</v>
      </c>
    </row>
    <row r="6">
      <c r="B6" s="16" t="n">
        <v>2030</v>
      </c>
      <c r="C6" t="n">
        <v>2122.467876455729</v>
      </c>
    </row>
    <row r="7">
      <c r="B7" s="16" t="n">
        <v>2031</v>
      </c>
      <c r="C7" t="n">
        <v>1524.524585276747</v>
      </c>
    </row>
    <row r="8">
      <c r="B8" s="16" t="n">
        <v>2032</v>
      </c>
      <c r="C8" t="n">
        <v>738.1763105598934</v>
      </c>
    </row>
    <row r="9">
      <c r="B9" s="16" t="n">
        <v>2033</v>
      </c>
      <c r="C9" t="n">
        <v>352.6059768970017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C2" sqref="C2:F37"/>
    </sheetView>
  </sheetViews>
  <sheetFormatPr baseColWidth="8" defaultRowHeight="12.45"/>
  <cols>
    <col width="12.3828125" customWidth="1" min="1" max="1"/>
    <col width="18.3046875" customWidth="1" min="3" max="3"/>
  </cols>
  <sheetData>
    <row r="1">
      <c r="A1" t="inlineStr">
        <is>
          <t>DATE</t>
        </is>
      </c>
      <c r="B1" t="inlineStr">
        <is>
          <t>TIME PERIOD</t>
        </is>
      </c>
      <c r="C1" t="inlineStr">
        <is>
          <t>Consumption of fixed capital (IDCM.A.N.GE.W2.S1.S1.D.P51C.N1G._T._Z.XDC.V.N)</t>
        </is>
      </c>
      <c r="D1" t="inlineStr">
        <is>
          <t>Capital Stock</t>
        </is>
      </c>
      <c r="E1" t="inlineStr">
        <is>
          <t>Depreciation rate</t>
        </is>
      </c>
    </row>
    <row r="2">
      <c r="A2" s="18" t="inlineStr">
        <is>
          <t>1996-12-31</t>
        </is>
      </c>
      <c r="B2" t="n">
        <v>1996</v>
      </c>
      <c r="C2" t="n">
        <v>8184.357394587</v>
      </c>
      <c r="D2" s="19" t="n">
        <v>248010.830139</v>
      </c>
      <c r="E2" t="n">
        <v>0.033</v>
      </c>
    </row>
    <row r="3">
      <c r="A3" s="18" t="inlineStr">
        <is>
          <t>1997-12-31</t>
        </is>
      </c>
      <c r="B3" t="n">
        <v>1997</v>
      </c>
      <c r="C3" t="n">
        <v>8075.339568384001</v>
      </c>
      <c r="D3" s="19" t="n">
        <v>252354.361512</v>
      </c>
      <c r="E3" t="n">
        <v>0.032</v>
      </c>
    </row>
    <row r="4">
      <c r="A4" s="18" t="inlineStr">
        <is>
          <t>1998-12-31</t>
        </is>
      </c>
      <c r="B4" t="n">
        <v>1998</v>
      </c>
      <c r="C4" t="n">
        <v>8652.08489056</v>
      </c>
      <c r="D4" s="19" t="n">
        <v>270377.65283</v>
      </c>
      <c r="E4" t="n">
        <v>0.032</v>
      </c>
    </row>
    <row r="5">
      <c r="A5" s="18" t="inlineStr">
        <is>
          <t>1999-12-31</t>
        </is>
      </c>
      <c r="B5" t="n">
        <v>1999</v>
      </c>
      <c r="C5" t="n">
        <v>12633.7036824</v>
      </c>
      <c r="D5" s="19" t="n">
        <v>394803.240075</v>
      </c>
      <c r="E5" t="n">
        <v>0.032</v>
      </c>
    </row>
    <row r="6">
      <c r="A6" s="18" t="inlineStr">
        <is>
          <t>2000-12-31</t>
        </is>
      </c>
      <c r="B6" t="n">
        <v>2000</v>
      </c>
      <c r="C6" t="n">
        <v>12350.921796096</v>
      </c>
      <c r="D6" s="19" t="n">
        <v>385966.306128</v>
      </c>
      <c r="E6" t="n">
        <v>0.032</v>
      </c>
    </row>
    <row r="7">
      <c r="A7" s="18" t="inlineStr">
        <is>
          <t>2001-12-31</t>
        </is>
      </c>
      <c r="B7" t="n">
        <v>2001</v>
      </c>
      <c r="C7" t="n">
        <v>13035.850082208</v>
      </c>
      <c r="D7" s="19" t="n">
        <v>407370.315069</v>
      </c>
      <c r="E7" t="n">
        <v>0.032</v>
      </c>
    </row>
    <row r="8">
      <c r="A8" s="18" t="inlineStr">
        <is>
          <t>2002-12-31</t>
        </is>
      </c>
      <c r="B8" t="n">
        <v>2002</v>
      </c>
      <c r="C8" t="n">
        <v>13865.901965568</v>
      </c>
      <c r="D8" s="19" t="n">
        <v>433309.4364240001</v>
      </c>
      <c r="E8" t="n">
        <v>0.032</v>
      </c>
    </row>
    <row r="9">
      <c r="A9" s="18" t="inlineStr">
        <is>
          <t>2003-12-31</t>
        </is>
      </c>
      <c r="B9" t="n">
        <v>2003</v>
      </c>
      <c r="C9" t="n">
        <v>13283.839964972</v>
      </c>
      <c r="D9" s="19" t="n">
        <v>428510.966612</v>
      </c>
      <c r="E9" t="n">
        <v>0.031</v>
      </c>
    </row>
    <row r="10">
      <c r="A10" s="18" t="inlineStr">
        <is>
          <t>2004-12-31</t>
        </is>
      </c>
      <c r="B10" t="n">
        <v>2004</v>
      </c>
      <c r="C10" t="n">
        <v>12431.902224672</v>
      </c>
      <c r="D10" s="19" t="n">
        <v>388496.944521</v>
      </c>
      <c r="E10" t="n">
        <v>0.032</v>
      </c>
    </row>
    <row r="11">
      <c r="A11" s="18" t="inlineStr">
        <is>
          <t>2005-12-31</t>
        </is>
      </c>
      <c r="B11" t="n">
        <v>2005</v>
      </c>
      <c r="C11" t="n">
        <v>12348.7355145</v>
      </c>
      <c r="D11" s="19" t="n">
        <v>374204.1065</v>
      </c>
      <c r="E11" t="n">
        <v>0.033</v>
      </c>
    </row>
    <row r="12">
      <c r="A12" s="18" t="inlineStr">
        <is>
          <t>2006-12-31</t>
        </is>
      </c>
      <c r="B12" t="n">
        <v>2006</v>
      </c>
      <c r="C12" t="n">
        <v>13061.833575</v>
      </c>
      <c r="D12" s="19" t="n">
        <v>373195.245</v>
      </c>
      <c r="E12" t="n">
        <v>0.035</v>
      </c>
    </row>
    <row r="13">
      <c r="A13" s="18" t="inlineStr">
        <is>
          <t>2007-12-31</t>
        </is>
      </c>
      <c r="B13" t="n">
        <v>2007</v>
      </c>
      <c r="C13" t="n">
        <v>12854.941065</v>
      </c>
      <c r="D13" s="19" t="n">
        <v>357081.69625</v>
      </c>
      <c r="E13" t="n">
        <v>0.036</v>
      </c>
    </row>
    <row r="14">
      <c r="A14" s="18" t="inlineStr">
        <is>
          <t>2008-12-31</t>
        </is>
      </c>
      <c r="B14" t="n">
        <v>2008</v>
      </c>
      <c r="C14" t="n">
        <v>12228.264182148</v>
      </c>
      <c r="D14" s="19" t="n">
        <v>321796.425846</v>
      </c>
      <c r="E14" t="n">
        <v>0.038</v>
      </c>
    </row>
    <row r="15">
      <c r="A15" s="18" t="inlineStr">
        <is>
          <t>2009-12-31</t>
        </is>
      </c>
      <c r="B15" t="n">
        <v>2009</v>
      </c>
      <c r="C15" t="n">
        <v>13612.54479476</v>
      </c>
      <c r="D15" s="19" t="n">
        <v>358224.86302</v>
      </c>
      <c r="E15" t="n">
        <v>0.038</v>
      </c>
    </row>
    <row r="16">
      <c r="A16" s="18" t="inlineStr">
        <is>
          <t>2010-12-31</t>
        </is>
      </c>
      <c r="B16" t="n">
        <v>2010</v>
      </c>
      <c r="C16" t="n">
        <v>14609.068868196</v>
      </c>
      <c r="D16" s="19" t="n">
        <v>384449.180742</v>
      </c>
      <c r="E16" t="n">
        <v>0.038</v>
      </c>
    </row>
    <row r="17">
      <c r="A17" s="18" t="inlineStr">
        <is>
          <t>2011-12-31</t>
        </is>
      </c>
      <c r="B17" t="n">
        <v>2011</v>
      </c>
      <c r="C17" t="n">
        <v>13988.203683804</v>
      </c>
      <c r="D17" s="19" t="n">
        <v>368110.623258</v>
      </c>
      <c r="E17" t="n">
        <v>0.038</v>
      </c>
    </row>
    <row r="18">
      <c r="A18" s="18" t="inlineStr">
        <is>
          <t>2012-12-31</t>
        </is>
      </c>
      <c r="B18" t="n">
        <v>2012</v>
      </c>
      <c r="C18" t="n">
        <v>13900.864557372</v>
      </c>
      <c r="D18" s="19" t="n">
        <v>365812.225194</v>
      </c>
      <c r="E18" t="n">
        <v>0.038</v>
      </c>
    </row>
    <row r="19">
      <c r="A19" s="18" t="inlineStr">
        <is>
          <t>2013-12-31</t>
        </is>
      </c>
      <c r="B19" t="n">
        <v>2013</v>
      </c>
      <c r="C19" t="n">
        <v>14119.55390875</v>
      </c>
      <c r="D19" s="19" t="n">
        <v>371567.208125</v>
      </c>
      <c r="E19" t="n">
        <v>0.038</v>
      </c>
    </row>
    <row r="20">
      <c r="A20" s="18" t="inlineStr">
        <is>
          <t>2014-12-31</t>
        </is>
      </c>
      <c r="B20" t="n">
        <v>2014</v>
      </c>
      <c r="C20" t="n">
        <v>15294.716415652</v>
      </c>
      <c r="D20" s="19" t="n">
        <v>402492.537254</v>
      </c>
      <c r="E20" t="n">
        <v>0.038</v>
      </c>
    </row>
    <row r="21">
      <c r="A21" s="18" t="inlineStr">
        <is>
          <t>2015-12-31</t>
        </is>
      </c>
      <c r="B21" t="n">
        <v>2015</v>
      </c>
      <c r="C21" t="n">
        <v>20721.482537769</v>
      </c>
      <c r="D21" s="19" t="n">
        <v>531320.065071</v>
      </c>
      <c r="E21" t="n">
        <v>0.039</v>
      </c>
    </row>
    <row r="22">
      <c r="A22" s="18" t="inlineStr">
        <is>
          <t>2016-12-31</t>
        </is>
      </c>
      <c r="B22" t="n">
        <v>2016</v>
      </c>
      <c r="C22" t="n">
        <v>22830.981345</v>
      </c>
      <c r="D22" s="19" t="n">
        <v>570774.533625</v>
      </c>
      <c r="E22" t="n">
        <v>0.04</v>
      </c>
    </row>
    <row r="23">
      <c r="A23" s="18" t="inlineStr">
        <is>
          <t>2017-12-31</t>
        </is>
      </c>
      <c r="B23" t="n">
        <v>2017</v>
      </c>
      <c r="C23" t="n">
        <v>26147.64876948</v>
      </c>
      <c r="D23" s="19" t="n">
        <v>622563.06594</v>
      </c>
      <c r="E23" t="n">
        <v>0.042</v>
      </c>
    </row>
    <row r="24">
      <c r="A24" s="18" t="inlineStr">
        <is>
          <t>2018-12-31</t>
        </is>
      </c>
      <c r="B24" t="n">
        <v>2018</v>
      </c>
      <c r="C24" t="n">
        <v>27764.58510071399</v>
      </c>
      <c r="D24" s="19" t="n">
        <v>645688.0255979999</v>
      </c>
      <c r="E24" t="n">
        <v>0.043</v>
      </c>
    </row>
    <row r="25">
      <c r="A25" s="18" t="inlineStr">
        <is>
          <t>2019-12-31</t>
        </is>
      </c>
      <c r="B25" t="n">
        <v>2019</v>
      </c>
      <c r="C25" t="n">
        <v>32749.456807496</v>
      </c>
      <c r="D25" s="19" t="n">
        <v>744305.8365340001</v>
      </c>
      <c r="E25" t="n">
        <v>0.044</v>
      </c>
    </row>
    <row r="26">
      <c r="A26" s="18" t="inlineStr">
        <is>
          <t>2020-12-31</t>
        </is>
      </c>
      <c r="B26" t="n">
        <v>2020</v>
      </c>
      <c r="D26" s="19" t="n"/>
    </row>
    <row r="27">
      <c r="A27" s="18" t="inlineStr">
        <is>
          <t>2021-12-31</t>
        </is>
      </c>
      <c r="B27" t="n">
        <v>2021</v>
      </c>
      <c r="D27" s="19" t="n"/>
    </row>
    <row r="28">
      <c r="A28" s="18" t="inlineStr">
        <is>
          <t>2022-12-31</t>
        </is>
      </c>
      <c r="B28" t="n">
        <v>2022</v>
      </c>
      <c r="D28" s="19" t="n"/>
    </row>
    <row r="29">
      <c r="A29" s="18" t="inlineStr">
        <is>
          <t>2023-12-31</t>
        </is>
      </c>
      <c r="B29" t="n">
        <v>2023</v>
      </c>
      <c r="D29" s="19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B2" sqref="B2:E42"/>
    </sheetView>
  </sheetViews>
  <sheetFormatPr baseColWidth="8" defaultRowHeight="12.45"/>
  <sheetData>
    <row r="1">
      <c r="A1" t="inlineStr">
        <is>
          <t>year</t>
        </is>
      </c>
      <c r="B1" t="inlineStr">
        <is>
          <t>rnna</t>
        </is>
      </c>
    </row>
    <row r="2">
      <c r="A2" s="19" t="n">
        <v>1950</v>
      </c>
      <c r="B2" s="19" t="n">
        <v/>
      </c>
      <c r="C2" t="n">
        <v/>
      </c>
    </row>
    <row r="3">
      <c r="A3" s="19" t="n">
        <v>1951</v>
      </c>
      <c r="B3" s="19" t="n">
        <v/>
      </c>
      <c r="C3" t="n">
        <v/>
      </c>
    </row>
    <row r="4">
      <c r="A4" s="19" t="n">
        <v>1952</v>
      </c>
      <c r="B4" s="19" t="n">
        <v/>
      </c>
      <c r="C4" t="n">
        <v/>
      </c>
    </row>
    <row r="5">
      <c r="A5" s="19" t="n">
        <v>1953</v>
      </c>
      <c r="B5" s="19" t="n">
        <v/>
      </c>
      <c r="C5" t="n">
        <v/>
      </c>
    </row>
    <row r="6">
      <c r="A6" s="19" t="n">
        <v>1954</v>
      </c>
      <c r="B6" s="19" t="n">
        <v/>
      </c>
      <c r="C6" t="n">
        <v/>
      </c>
    </row>
    <row r="7">
      <c r="A7" s="19" t="n">
        <v>1955</v>
      </c>
      <c r="B7" s="19" t="n">
        <v/>
      </c>
      <c r="C7" t="n">
        <v/>
      </c>
    </row>
    <row r="8">
      <c r="A8" s="19" t="n">
        <v>1956</v>
      </c>
      <c r="B8" s="19" t="n">
        <v/>
      </c>
      <c r="C8" t="n">
        <v/>
      </c>
    </row>
    <row r="9">
      <c r="A9" s="19" t="n">
        <v>1957</v>
      </c>
      <c r="B9" s="19" t="n">
        <v/>
      </c>
      <c r="C9" t="n">
        <v/>
      </c>
    </row>
    <row r="10">
      <c r="A10" s="19" t="n">
        <v>1958</v>
      </c>
      <c r="B10" s="19" t="n">
        <v/>
      </c>
      <c r="C10" t="n">
        <v/>
      </c>
    </row>
    <row r="11">
      <c r="A11" s="19" t="n">
        <v>1959</v>
      </c>
      <c r="B11" s="19" t="n">
        <v/>
      </c>
      <c r="C11" t="n">
        <v/>
      </c>
    </row>
    <row r="12">
      <c r="A12" s="19" t="n">
        <v>1960</v>
      </c>
      <c r="B12" s="19" t="n">
        <v/>
      </c>
      <c r="C12" t="n">
        <v/>
      </c>
    </row>
    <row r="13">
      <c r="A13" s="19" t="n">
        <v>1961</v>
      </c>
      <c r="B13" s="19" t="n">
        <v/>
      </c>
      <c r="C13" t="n">
        <v/>
      </c>
    </row>
    <row r="14">
      <c r="A14" s="19" t="n">
        <v>1962</v>
      </c>
      <c r="B14" s="19" t="n">
        <v/>
      </c>
      <c r="C14" t="n">
        <v/>
      </c>
    </row>
    <row r="15">
      <c r="A15" s="19" t="n">
        <v>1963</v>
      </c>
      <c r="B15" s="19" t="n">
        <v/>
      </c>
      <c r="C15" t="n">
        <v/>
      </c>
    </row>
    <row r="16">
      <c r="A16" s="19" t="n">
        <v>1964</v>
      </c>
      <c r="B16" s="19" t="n">
        <v/>
      </c>
      <c r="C16" t="n">
        <v/>
      </c>
    </row>
    <row r="17">
      <c r="A17" s="19" t="n">
        <v>1965</v>
      </c>
      <c r="B17" s="19" t="n">
        <v/>
      </c>
      <c r="C17" t="n">
        <v/>
      </c>
    </row>
    <row r="18">
      <c r="A18" s="19" t="n">
        <v>1966</v>
      </c>
      <c r="B18" s="19" t="n">
        <v/>
      </c>
      <c r="C18" t="n">
        <v/>
      </c>
    </row>
    <row r="19">
      <c r="A19" s="19" t="n">
        <v>1967</v>
      </c>
      <c r="B19" s="19" t="n">
        <v/>
      </c>
      <c r="C19" t="n">
        <v/>
      </c>
    </row>
    <row r="20">
      <c r="A20" s="19" t="n">
        <v>1968</v>
      </c>
      <c r="B20" s="19" t="n">
        <v/>
      </c>
      <c r="C20" t="n">
        <v/>
      </c>
    </row>
    <row r="21">
      <c r="A21" s="19" t="n">
        <v>1969</v>
      </c>
      <c r="B21" s="19" t="n">
        <v/>
      </c>
      <c r="C21" t="n">
        <v/>
      </c>
    </row>
    <row r="22">
      <c r="A22" s="19" t="n">
        <v>1970</v>
      </c>
      <c r="B22" s="19" t="n">
        <v/>
      </c>
      <c r="C22" t="n">
        <v/>
      </c>
    </row>
    <row r="23">
      <c r="A23" s="19" t="n">
        <v>1971</v>
      </c>
      <c r="B23" s="19" t="n">
        <v/>
      </c>
      <c r="C23" t="n">
        <v/>
      </c>
    </row>
    <row r="24">
      <c r="A24" s="19" t="n">
        <v>1972</v>
      </c>
      <c r="B24" s="19" t="n">
        <v/>
      </c>
      <c r="C24" t="n">
        <v/>
      </c>
    </row>
    <row r="25">
      <c r="A25" s="19" t="n">
        <v>1973</v>
      </c>
      <c r="B25" s="19" t="n">
        <v/>
      </c>
      <c r="C25" t="n">
        <v/>
      </c>
    </row>
    <row r="26">
      <c r="A26" s="19" t="n">
        <v>1974</v>
      </c>
      <c r="B26" s="19" t="n">
        <v/>
      </c>
      <c r="C26" t="n">
        <v/>
      </c>
    </row>
    <row r="27">
      <c r="A27" s="19" t="n">
        <v>1975</v>
      </c>
      <c r="B27" s="19" t="n">
        <v/>
      </c>
      <c r="C27" t="n">
        <v/>
      </c>
    </row>
    <row r="28">
      <c r="A28" s="19" t="n">
        <v>1976</v>
      </c>
      <c r="B28" s="19" t="n">
        <v/>
      </c>
      <c r="C28" t="n">
        <v/>
      </c>
    </row>
    <row r="29">
      <c r="A29" s="19" t="n">
        <v>1977</v>
      </c>
      <c r="B29" s="19" t="n">
        <v/>
      </c>
      <c r="C29" t="n">
        <v/>
      </c>
    </row>
    <row r="30">
      <c r="A30" s="19" t="n">
        <v>1978</v>
      </c>
      <c r="B30" s="19" t="n">
        <v/>
      </c>
      <c r="C30" t="n">
        <v/>
      </c>
    </row>
    <row r="31">
      <c r="A31" s="19" t="n">
        <v>1979</v>
      </c>
      <c r="B31" s="19" t="n">
        <v/>
      </c>
      <c r="C31" t="n">
        <v/>
      </c>
    </row>
    <row r="32">
      <c r="A32" s="19" t="n">
        <v>1980</v>
      </c>
      <c r="B32" s="19" t="n">
        <v/>
      </c>
      <c r="C32" t="n">
        <v/>
      </c>
    </row>
    <row r="33">
      <c r="A33" s="19" t="n">
        <v>1981</v>
      </c>
      <c r="B33" s="19" t="n">
        <v/>
      </c>
      <c r="C33" t="n">
        <v/>
      </c>
    </row>
    <row r="34">
      <c r="A34" s="19" t="n">
        <v>1982</v>
      </c>
      <c r="B34" s="19" t="n">
        <v/>
      </c>
      <c r="C34" t="n">
        <v/>
      </c>
    </row>
    <row r="35">
      <c r="A35" s="19" t="n">
        <v>1983</v>
      </c>
      <c r="B35" s="19" t="n">
        <v/>
      </c>
      <c r="C35" t="n">
        <v/>
      </c>
    </row>
    <row r="36">
      <c r="A36" t="n">
        <v>1984</v>
      </c>
      <c r="B36" t="n">
        <v/>
      </c>
      <c r="C36" t="n">
        <v/>
      </c>
    </row>
    <row r="37">
      <c r="A37" t="n">
        <v>1985</v>
      </c>
      <c r="B37" t="n">
        <v/>
      </c>
      <c r="C37" t="n">
        <v/>
      </c>
    </row>
    <row r="38">
      <c r="A38" t="n">
        <v>1986</v>
      </c>
      <c r="B38" t="n">
        <v/>
      </c>
      <c r="C38" t="n">
        <v/>
      </c>
    </row>
    <row r="39">
      <c r="A39" t="n">
        <v>1987</v>
      </c>
      <c r="B39" t="n">
        <v/>
      </c>
      <c r="C39" t="n">
        <v/>
      </c>
    </row>
    <row r="40">
      <c r="A40" t="n">
        <v>1988</v>
      </c>
      <c r="B40" t="n">
        <v/>
      </c>
      <c r="C40" t="n">
        <v/>
      </c>
    </row>
    <row r="41">
      <c r="A41" t="n">
        <v>1989</v>
      </c>
      <c r="B41" t="n">
        <v/>
      </c>
      <c r="C41" t="n">
        <v/>
      </c>
    </row>
    <row r="42">
      <c r="A42" t="n">
        <v>1990</v>
      </c>
      <c r="B42" t="n">
        <v>217572.266</v>
      </c>
      <c r="C42" t="n">
        <v>60484.336</v>
      </c>
    </row>
    <row r="43">
      <c r="A43" t="n">
        <v>1991</v>
      </c>
      <c r="B43" t="n">
        <v>219328.422</v>
      </c>
      <c r="C43" t="n">
        <v>47581.012</v>
      </c>
    </row>
    <row r="44">
      <c r="A44" t="n">
        <v>1992</v>
      </c>
      <c r="B44" t="n">
        <v>215882.453</v>
      </c>
      <c r="C44" t="n">
        <v>26406.215</v>
      </c>
    </row>
    <row r="45">
      <c r="A45" t="n">
        <v>1993</v>
      </c>
      <c r="B45" t="n">
        <v>207684.891</v>
      </c>
      <c r="C45" t="n">
        <v>18671.656</v>
      </c>
    </row>
    <row r="46">
      <c r="A46" t="n">
        <v>1994</v>
      </c>
      <c r="B46" t="n">
        <v>202188.813</v>
      </c>
      <c r="C46" t="n">
        <v>16733.326</v>
      </c>
    </row>
    <row r="47">
      <c r="A47" t="n">
        <v>1995</v>
      </c>
      <c r="B47" t="n">
        <v>198953.859</v>
      </c>
      <c r="C47" t="n">
        <v>17164.639</v>
      </c>
    </row>
    <row r="48">
      <c r="A48" t="n">
        <v>1996</v>
      </c>
      <c r="B48" t="n">
        <v>196366.453</v>
      </c>
      <c r="C48" t="n">
        <v>19101.854</v>
      </c>
    </row>
    <row r="49">
      <c r="A49" t="n">
        <v>1997</v>
      </c>
      <c r="B49" t="n">
        <v>194417.844</v>
      </c>
      <c r="C49" t="n">
        <v>21111.174</v>
      </c>
    </row>
    <row r="50">
      <c r="A50" t="n">
        <v>1998</v>
      </c>
      <c r="B50" t="n">
        <v>194516.297</v>
      </c>
      <c r="C50" t="n">
        <v>21766.67</v>
      </c>
    </row>
    <row r="51">
      <c r="A51" t="n">
        <v>1999</v>
      </c>
      <c r="B51" t="n">
        <v>194964.563</v>
      </c>
      <c r="C51" t="n">
        <v>22391.207</v>
      </c>
    </row>
    <row r="52">
      <c r="A52" t="n">
        <v>2000</v>
      </c>
      <c r="B52" t="n">
        <v>195327.078</v>
      </c>
      <c r="C52" t="n">
        <v>22802.836</v>
      </c>
    </row>
    <row r="53">
      <c r="A53" t="n">
        <v>2001</v>
      </c>
      <c r="B53" t="n">
        <v>196512.453</v>
      </c>
      <c r="C53" t="n">
        <v>23898.615</v>
      </c>
    </row>
    <row r="54">
      <c r="A54" t="n">
        <v>2002</v>
      </c>
      <c r="B54" t="n">
        <v>197317.594</v>
      </c>
      <c r="C54" t="n">
        <v>25206.785</v>
      </c>
    </row>
    <row r="55">
      <c r="A55" t="n">
        <v>2003</v>
      </c>
      <c r="B55" t="n">
        <v>199678.922</v>
      </c>
      <c r="C55" t="n">
        <v>27994.178</v>
      </c>
    </row>
    <row r="56">
      <c r="A56" t="n">
        <v>2004</v>
      </c>
      <c r="B56" t="n">
        <v>202658.813</v>
      </c>
      <c r="C56" t="n">
        <v>29616.715</v>
      </c>
    </row>
    <row r="57">
      <c r="A57" t="n">
        <v>2005</v>
      </c>
      <c r="B57" t="n">
        <v>206400.5</v>
      </c>
      <c r="C57" t="n">
        <v>32456.451</v>
      </c>
    </row>
    <row r="58">
      <c r="A58" t="n">
        <v>2006</v>
      </c>
      <c r="B58" t="n">
        <v>209660.25</v>
      </c>
      <c r="C58" t="n">
        <v>35514.09</v>
      </c>
    </row>
    <row r="59">
      <c r="A59" t="n">
        <v>2007</v>
      </c>
      <c r="B59" t="n">
        <v>213821.375</v>
      </c>
      <c r="C59" t="n">
        <v>39981.328</v>
      </c>
    </row>
    <row r="60">
      <c r="A60" t="n">
        <v>2008</v>
      </c>
      <c r="B60" t="n">
        <v>215825.906</v>
      </c>
      <c r="C60" t="n">
        <v>40948.117</v>
      </c>
    </row>
    <row r="61">
      <c r="A61" t="n">
        <v>2009</v>
      </c>
      <c r="B61" t="n">
        <v>214505.906</v>
      </c>
      <c r="C61" t="n">
        <v>39453.473</v>
      </c>
    </row>
    <row r="62">
      <c r="A62" t="n">
        <v>2010</v>
      </c>
      <c r="B62" t="n">
        <v>215740.281</v>
      </c>
      <c r="C62" t="n">
        <v>41919.086</v>
      </c>
    </row>
    <row r="63">
      <c r="A63" t="n">
        <v>2011</v>
      </c>
      <c r="B63" t="n">
        <v>218333.703</v>
      </c>
      <c r="C63" t="n">
        <v>45004.605</v>
      </c>
    </row>
    <row r="64">
      <c r="A64" t="n">
        <v>2012</v>
      </c>
      <c r="B64" t="n">
        <v>221570.094</v>
      </c>
      <c r="C64" t="n">
        <v>47892.449</v>
      </c>
    </row>
    <row r="65">
      <c r="A65" t="n">
        <v>2013</v>
      </c>
      <c r="B65" t="n">
        <v>223431.875</v>
      </c>
      <c r="C65" t="n">
        <v>49624.027</v>
      </c>
    </row>
    <row r="66">
      <c r="A66" t="n">
        <v>2014</v>
      </c>
      <c r="B66" t="n">
        <v>227911.969</v>
      </c>
      <c r="C66" t="n">
        <v>51828.102</v>
      </c>
    </row>
    <row r="67">
      <c r="A67" t="n">
        <v>2015</v>
      </c>
      <c r="B67" t="n">
        <v>234164.859</v>
      </c>
      <c r="C67" t="n">
        <v>53396.742</v>
      </c>
    </row>
    <row r="68">
      <c r="A68" t="n">
        <v>2016</v>
      </c>
      <c r="B68" t="n">
        <v>241138.375</v>
      </c>
      <c r="C68" t="n">
        <v>54948.359</v>
      </c>
    </row>
    <row r="69">
      <c r="A69" t="n">
        <v>2017</v>
      </c>
      <c r="B69" t="n">
        <v>248033.094</v>
      </c>
      <c r="C69" t="n">
        <v>57609.711</v>
      </c>
    </row>
    <row r="70">
      <c r="A70" t="n">
        <v>2018</v>
      </c>
      <c r="B70" t="n">
        <v>254809.797</v>
      </c>
      <c r="C70" t="n">
        <v>60399.594</v>
      </c>
    </row>
    <row r="71">
      <c r="A71" t="n">
        <v>2019</v>
      </c>
      <c r="B71" t="n">
        <v>264125.563</v>
      </c>
      <c r="C71" t="n">
        <v>63508.824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2228"/>
  <sheetViews>
    <sheetView workbookViewId="0">
      <selection activeCell="H24" sqref="H24"/>
    </sheetView>
  </sheetViews>
  <sheetFormatPr baseColWidth="8" defaultRowHeight="12.45"/>
  <sheetData>
    <row r="1">
      <c r="B1" t="inlineStr">
        <is>
          <t>WEO Country Code</t>
        </is>
      </c>
      <c r="C1" t="n">
        <v>915</v>
      </c>
      <c r="D1" t="n">
        <v>915</v>
      </c>
    </row>
    <row r="2">
      <c r="B2" t="inlineStr">
        <is>
          <t>WEO Subject Code</t>
        </is>
      </c>
      <c r="C2" t="inlineStr">
        <is>
          <t>NGDP_R</t>
        </is>
      </c>
      <c r="D2" t="inlineStr">
        <is>
          <t>NGDP_RPCH</t>
        </is>
      </c>
    </row>
    <row r="3">
      <c r="B3" t="inlineStr">
        <is>
          <t>Country</t>
        </is>
      </c>
      <c r="C3" t="inlineStr">
        <is>
          <t>Georgia</t>
        </is>
      </c>
      <c r="D3" t="inlineStr">
        <is>
          <t>Georgia</t>
        </is>
      </c>
    </row>
    <row r="4">
      <c r="B4" t="inlineStr">
        <is>
          <t>Subject Descriptor</t>
        </is>
      </c>
      <c r="C4" t="inlineStr">
        <is>
          <t>Gross domestic product, constant prices</t>
        </is>
      </c>
      <c r="D4" t="inlineStr">
        <is>
          <t>Gross domestic product, constant prices</t>
        </is>
      </c>
    </row>
    <row r="5">
      <c r="B5" t="inlineStr">
        <is>
          <t>Units</t>
        </is>
      </c>
      <c r="C5" t="inlineStr">
        <is>
          <t>National currency</t>
        </is>
      </c>
      <c r="D5" t="inlineStr">
        <is>
          <t>Percent change</t>
        </is>
      </c>
    </row>
    <row r="6">
      <c r="A6" t="n">
        <v>2000</v>
      </c>
      <c r="B6" t="inlineStr">
        <is>
          <t>Scale</t>
        </is>
      </c>
      <c r="C6" t="n">
        <v>6.4</v>
      </c>
      <c r="D6" t="inlineStr">
        <is>
          <t>Units</t>
        </is>
      </c>
    </row>
    <row r="7">
      <c r="A7" t="n">
        <v>2001</v>
      </c>
      <c r="B7" t="inlineStr">
        <is>
          <t>Country/Series-specific Notes</t>
        </is>
      </c>
      <c r="C7" t="n">
        <v>6.7</v>
      </c>
      <c r="D7" t="n">
        <v>4.6875</v>
      </c>
    </row>
    <row r="8">
      <c r="A8" t="n">
        <v>2002</v>
      </c>
      <c r="B8" t="n">
        <v>2000</v>
      </c>
      <c r="C8" t="n">
        <v>7.1</v>
      </c>
      <c r="D8" t="n">
        <v>5.970149253731338</v>
      </c>
    </row>
    <row r="9">
      <c r="A9" t="n">
        <v>2003</v>
      </c>
      <c r="B9" t="n">
        <v>2001</v>
      </c>
      <c r="C9" t="n">
        <v>7.9</v>
      </c>
      <c r="D9" t="n">
        <v>11.26760563380282</v>
      </c>
    </row>
    <row r="10">
      <c r="A10" t="n">
        <v>2004</v>
      </c>
      <c r="B10" t="n">
        <v>2002</v>
      </c>
      <c r="C10" t="n">
        <v>8.4</v>
      </c>
      <c r="D10" t="n">
        <v>6.329113924050622</v>
      </c>
    </row>
    <row r="11">
      <c r="A11" t="n">
        <v>2005</v>
      </c>
      <c r="B11" t="n">
        <v>2003</v>
      </c>
      <c r="C11" t="n">
        <v>9.199999999999999</v>
      </c>
      <c r="D11" t="n">
        <v>9.523809523809511</v>
      </c>
    </row>
    <row r="12">
      <c r="A12" t="n">
        <v>2006</v>
      </c>
      <c r="B12" t="n">
        <v>2004</v>
      </c>
      <c r="C12" t="n">
        <v>10.1</v>
      </c>
      <c r="D12" t="n">
        <v>9.782608695652172</v>
      </c>
    </row>
    <row r="13">
      <c r="A13" t="n">
        <v>2007</v>
      </c>
      <c r="B13" t="n">
        <v>2005</v>
      </c>
      <c r="C13" t="n">
        <v>11.4</v>
      </c>
      <c r="D13" t="n">
        <v>12.87128712871288</v>
      </c>
    </row>
    <row r="14">
      <c r="A14" t="n">
        <v>2008</v>
      </c>
      <c r="B14" t="n">
        <v>2006</v>
      </c>
      <c r="C14" t="n">
        <v>11.7</v>
      </c>
      <c r="D14" t="n">
        <v>2.631578947368407</v>
      </c>
    </row>
    <row r="15">
      <c r="A15" t="n">
        <v>2009</v>
      </c>
      <c r="B15" t="n">
        <v>2007</v>
      </c>
      <c r="C15" t="n">
        <v>11.3</v>
      </c>
      <c r="D15" t="n">
        <v>-3.418803418803407</v>
      </c>
    </row>
    <row r="16">
      <c r="A16" t="n">
        <v>2010</v>
      </c>
      <c r="B16" t="n">
        <v>2008</v>
      </c>
      <c r="C16" t="n">
        <v>12</v>
      </c>
      <c r="D16" t="n">
        <v>6.194690265486713</v>
      </c>
    </row>
    <row r="17">
      <c r="A17" t="n">
        <v>2011</v>
      </c>
      <c r="B17" t="n">
        <v>2009</v>
      </c>
      <c r="C17" t="n">
        <v>12.9</v>
      </c>
      <c r="D17" t="n">
        <v>7.499999999999996</v>
      </c>
    </row>
    <row r="18">
      <c r="A18" t="n">
        <v>2012</v>
      </c>
      <c r="B18" t="n">
        <v>2010</v>
      </c>
      <c r="C18" t="n">
        <v>13.7</v>
      </c>
      <c r="D18" t="n">
        <v>6.201550387596888</v>
      </c>
    </row>
    <row r="19">
      <c r="A19" t="n">
        <v>2013</v>
      </c>
      <c r="B19" t="n">
        <v>2011</v>
      </c>
      <c r="C19" t="n">
        <v>14.2</v>
      </c>
      <c r="D19" t="n">
        <v>3.649635036496357</v>
      </c>
    </row>
    <row r="20">
      <c r="A20" t="n">
        <v>2014</v>
      </c>
      <c r="B20" t="n">
        <v>2012</v>
      </c>
      <c r="C20" t="n">
        <v>14.9</v>
      </c>
      <c r="D20" t="n">
        <v>4.929577464788748</v>
      </c>
    </row>
    <row r="21">
      <c r="A21" t="n">
        <v>2015</v>
      </c>
      <c r="B21" t="n">
        <v>2013</v>
      </c>
      <c r="C21" t="n">
        <v>15.3</v>
      </c>
      <c r="D21" t="n">
        <v>2.684563758389258</v>
      </c>
    </row>
    <row r="22">
      <c r="A22" t="n">
        <v>2016</v>
      </c>
      <c r="B22" t="n">
        <v>2014</v>
      </c>
      <c r="C22" t="n">
        <v>15.8</v>
      </c>
      <c r="D22" t="n">
        <v>3.267973856209161</v>
      </c>
    </row>
    <row r="23">
      <c r="A23" t="n">
        <v>2017</v>
      </c>
      <c r="B23" t="n">
        <v>2015</v>
      </c>
      <c r="C23" t="n">
        <v>16.6</v>
      </c>
      <c r="D23" t="n">
        <v>5.063291139240511</v>
      </c>
    </row>
    <row r="24">
      <c r="A24" t="n">
        <v>2018</v>
      </c>
      <c r="B24" t="n">
        <v>2016</v>
      </c>
      <c r="C24" t="n">
        <v>17.4</v>
      </c>
      <c r="D24" t="n">
        <v>4.819277108433728</v>
      </c>
    </row>
    <row r="25">
      <c r="A25" t="n">
        <v>2019</v>
      </c>
      <c r="B25" t="n">
        <v>2017</v>
      </c>
      <c r="C25" t="n">
        <v>18.2</v>
      </c>
      <c r="D25" t="n">
        <v>4.597701149425282</v>
      </c>
    </row>
    <row r="26">
      <c r="A26" t="n">
        <v>2020</v>
      </c>
      <c r="B26" t="n">
        <v>2018</v>
      </c>
      <c r="C26" t="n">
        <v>17.3</v>
      </c>
      <c r="D26" t="n">
        <v>-4.945054945054938</v>
      </c>
    </row>
    <row r="27">
      <c r="A27" t="n">
        <v>2021</v>
      </c>
      <c r="B27" t="n">
        <v>2019</v>
      </c>
      <c r="C27" t="n">
        <v>19.3</v>
      </c>
      <c r="D27" t="n">
        <v>11.56069364161849</v>
      </c>
    </row>
    <row r="28">
      <c r="A28" t="n">
        <v>2022</v>
      </c>
      <c r="B28" t="n">
        <v>2020</v>
      </c>
      <c r="C28" t="n">
        <v>21.5</v>
      </c>
      <c r="D28" t="n">
        <v>11.39896373056994</v>
      </c>
    </row>
    <row r="29">
      <c r="A29" t="n">
        <v>2023</v>
      </c>
      <c r="B29" t="n">
        <v>2021</v>
      </c>
      <c r="C29" t="n">
        <v>23</v>
      </c>
      <c r="D29" t="n">
        <v>6.976744186046502</v>
      </c>
    </row>
    <row r="30">
      <c r="A30" t="n">
        <v>2024</v>
      </c>
      <c r="B30" t="n">
        <v>2022</v>
      </c>
      <c r="C30" t="n">
        <v>25.1</v>
      </c>
      <c r="D30" t="n">
        <v>9.13043478260871</v>
      </c>
    </row>
    <row r="31">
      <c r="A31" t="n">
        <v>2025</v>
      </c>
      <c r="B31" t="n">
        <v>2023</v>
      </c>
      <c r="C31" t="n">
        <v>26.9323</v>
      </c>
      <c r="D31" t="n">
        <v>7.299999999999995</v>
      </c>
    </row>
    <row r="32">
      <c r="A32" t="n">
        <v>2026</v>
      </c>
      <c r="B32" t="n">
        <v>2024</v>
      </c>
      <c r="C32" t="n">
        <v>28.3597119</v>
      </c>
      <c r="D32" t="n">
        <v>5.299999999999994</v>
      </c>
    </row>
    <row r="33">
      <c r="A33" t="n">
        <v>2027</v>
      </c>
      <c r="B33" t="n">
        <v>2025</v>
      </c>
      <c r="C33" t="n">
        <v>29.777697495</v>
      </c>
      <c r="D33" t="n">
        <v>5.000000000000004</v>
      </c>
    </row>
    <row r="34">
      <c r="A34" t="n">
        <v>2028</v>
      </c>
      <c r="B34" t="n">
        <v>2026</v>
      </c>
      <c r="C34" t="n">
        <v>31.26658236975</v>
      </c>
      <c r="D34" t="n">
        <v>5.000000000000004</v>
      </c>
    </row>
    <row r="35">
      <c r="A35" t="n">
        <v>2029</v>
      </c>
      <c r="B35" t="n">
        <v>2027</v>
      </c>
      <c r="C35" t="n">
        <v>32.82991148823751</v>
      </c>
      <c r="D35" t="n">
        <v>5.000000000000004</v>
      </c>
    </row>
    <row r="36">
      <c r="A36" t="n">
        <v>2030</v>
      </c>
      <c r="B36" t="n">
        <v>2028</v>
      </c>
      <c r="C36" t="n">
        <v>34.47140706264938</v>
      </c>
      <c r="D36" t="n">
        <v>5.000000000000004</v>
      </c>
    </row>
    <row r="37">
      <c r="A37" t="n">
        <v>2031</v>
      </c>
      <c r="B37" t="n">
        <v>2029</v>
      </c>
      <c r="C37" t="n">
        <v>36.19497741578186</v>
      </c>
      <c r="D37" t="n">
        <v>5.000000000000004</v>
      </c>
    </row>
    <row r="38">
      <c r="A38" t="n">
        <v>2032</v>
      </c>
      <c r="B38" t="n">
        <v>2030</v>
      </c>
      <c r="C38" t="n">
        <v>38.00472628657095</v>
      </c>
      <c r="D38" t="n">
        <v>5.000000000000004</v>
      </c>
    </row>
    <row r="39">
      <c r="A39" t="n">
        <v>2033</v>
      </c>
      <c r="B39" t="n">
        <v>2031</v>
      </c>
      <c r="C39" t="n">
        <v>39.9049626008995</v>
      </c>
      <c r="D39" t="n">
        <v>5.000000000000004</v>
      </c>
    </row>
    <row r="40">
      <c r="A40" t="n">
        <v>2034</v>
      </c>
      <c r="B40" t="n">
        <v>2032</v>
      </c>
      <c r="C40" t="n">
        <v>41.90021073094448</v>
      </c>
      <c r="D40" t="n">
        <v>5.000000000000004</v>
      </c>
    </row>
    <row r="41">
      <c r="A41" t="n">
        <v>2035</v>
      </c>
      <c r="B41" t="n">
        <v>2033</v>
      </c>
      <c r="C41" t="n">
        <v>43.99522126749171</v>
      </c>
      <c r="D41" t="n">
        <v>5.000000000000004</v>
      </c>
    </row>
    <row r="42">
      <c r="A42" t="n">
        <v>2036</v>
      </c>
      <c r="B42" t="n">
        <v>2034</v>
      </c>
      <c r="C42" t="n">
        <v>46.1949823308663</v>
      </c>
      <c r="D42" t="n">
        <v>5.000000000000004</v>
      </c>
    </row>
    <row r="43">
      <c r="A43" t="n">
        <v>2037</v>
      </c>
      <c r="B43" t="n">
        <v>2035</v>
      </c>
      <c r="C43" t="n">
        <v>48.50473144740961</v>
      </c>
      <c r="D43" t="n">
        <v>5.000000000000004</v>
      </c>
    </row>
    <row r="44">
      <c r="A44" t="n">
        <v>2038</v>
      </c>
      <c r="B44" t="n">
        <v>2036</v>
      </c>
      <c r="C44" t="n">
        <v>50.92996801978009</v>
      </c>
      <c r="D44" t="n">
        <v>5.000000000000004</v>
      </c>
    </row>
    <row r="45">
      <c r="A45" t="n">
        <v>2039</v>
      </c>
      <c r="B45" t="n">
        <v>2037</v>
      </c>
      <c r="C45" t="n">
        <v>53.4764664207691</v>
      </c>
      <c r="D45" t="n">
        <v>5.000000000000004</v>
      </c>
    </row>
    <row r="46">
      <c r="A46" t="n">
        <v>2040</v>
      </c>
      <c r="B46" t="n">
        <v>2038</v>
      </c>
      <c r="C46" t="n">
        <v>56.15028974180755</v>
      </c>
      <c r="D46" t="n">
        <v>5.000000000000004</v>
      </c>
    </row>
    <row r="47">
      <c r="A47" t="n">
        <v>2041</v>
      </c>
      <c r="B47" t="n">
        <v>2039</v>
      </c>
      <c r="C47" t="n">
        <v>58.95780422889793</v>
      </c>
      <c r="D47" t="n">
        <v>5.000000000000004</v>
      </c>
    </row>
    <row r="48">
      <c r="A48" t="n">
        <v>2042</v>
      </c>
      <c r="B48" t="n">
        <v>2040</v>
      </c>
      <c r="C48" t="n">
        <v>61.90569444034283</v>
      </c>
      <c r="D48" t="n">
        <v>5.000000000000004</v>
      </c>
    </row>
    <row r="49">
      <c r="A49" t="n">
        <v>2043</v>
      </c>
      <c r="B49" t="n">
        <v>2041</v>
      </c>
      <c r="C49" t="n">
        <v>65.00097916235998</v>
      </c>
      <c r="D49" t="n">
        <v>5.000000000000004</v>
      </c>
    </row>
    <row r="50">
      <c r="B50" t="n">
        <v>2042</v>
      </c>
    </row>
    <row r="51">
      <c r="B51" t="n">
        <v>2043</v>
      </c>
    </row>
    <row r="16385">
      <c r="B16385" t="inlineStr">
        <is>
          <t>WEO Country Code</t>
        </is>
      </c>
      <c r="C16385" t="n">
        <v>915</v>
      </c>
      <c r="D16385" t="n">
        <v>915</v>
      </c>
    </row>
    <row r="16386">
      <c r="B16386" t="inlineStr">
        <is>
          <t>WEO Subject Code</t>
        </is>
      </c>
      <c r="C16386" t="inlineStr">
        <is>
          <t>NGDP_R</t>
        </is>
      </c>
      <c r="D16386" t="inlineStr">
        <is>
          <t>NGDP_RPCH</t>
        </is>
      </c>
    </row>
    <row r="16387">
      <c r="B16387" t="inlineStr">
        <is>
          <t>Country</t>
        </is>
      </c>
      <c r="C16387" t="inlineStr">
        <is>
          <t>Georgia</t>
        </is>
      </c>
      <c r="D16387" t="inlineStr">
        <is>
          <t>Georgia</t>
        </is>
      </c>
    </row>
    <row r="16388">
      <c r="B16388" t="inlineStr">
        <is>
          <t>Subject Descriptor</t>
        </is>
      </c>
      <c r="C16388" t="inlineStr">
        <is>
          <t>Gross domestic product, constant prices</t>
        </is>
      </c>
      <c r="D16388" t="inlineStr">
        <is>
          <t>Gross domestic product, constant prices</t>
        </is>
      </c>
    </row>
    <row r="16389">
      <c r="B16389" t="inlineStr">
        <is>
          <t>Units</t>
        </is>
      </c>
      <c r="C16389" t="inlineStr">
        <is>
          <t>National currency</t>
        </is>
      </c>
      <c r="D16389" t="inlineStr">
        <is>
          <t>Percent change</t>
        </is>
      </c>
    </row>
    <row r="16390">
      <c r="B16390" t="inlineStr">
        <is>
          <t>Scale</t>
        </is>
      </c>
      <c r="C16390" t="inlineStr">
        <is>
          <t>Billions</t>
        </is>
      </c>
      <c r="D16390" t="inlineStr">
        <is>
          <t>Units</t>
        </is>
      </c>
    </row>
    <row r="16391">
      <c r="B16391" t="inlineStr">
        <is>
          <t>Country/Series-specific Notes</t>
        </is>
      </c>
      <c r="C163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91" t="inlineStr">
        <is>
          <t>See notes for:  Gross domestic product, constant prices (National currency).</t>
        </is>
      </c>
    </row>
    <row r="16392">
      <c r="B16392" t="n">
        <v>2000</v>
      </c>
      <c r="C16392" t="n">
        <v>16.963</v>
      </c>
      <c r="D16392" t="n">
        <v>1.865</v>
      </c>
    </row>
    <row r="16393">
      <c r="B16393" t="n">
        <v>2001</v>
      </c>
      <c r="C16393" t="n">
        <v>17.772</v>
      </c>
      <c r="D16393" t="n">
        <v>4.769</v>
      </c>
    </row>
    <row r="16394">
      <c r="B16394" t="n">
        <v>2002</v>
      </c>
      <c r="C16394" t="n">
        <v>18.747</v>
      </c>
      <c r="D16394" t="n">
        <v>5.487</v>
      </c>
    </row>
    <row r="16395">
      <c r="B16395" t="n">
        <v>2003</v>
      </c>
      <c r="C16395" t="n">
        <v>20.852</v>
      </c>
      <c r="D16395" t="n">
        <v>11.228</v>
      </c>
    </row>
    <row r="16396">
      <c r="B16396" t="n">
        <v>2004</v>
      </c>
      <c r="C16396" t="n">
        <v>22.061</v>
      </c>
      <c r="D16396" t="n">
        <v>5.796</v>
      </c>
    </row>
    <row r="16397">
      <c r="B16397" t="n">
        <v>2005</v>
      </c>
      <c r="C16397" t="n">
        <v>24.176</v>
      </c>
      <c r="D16397" t="n">
        <v>9.587999999999999</v>
      </c>
    </row>
    <row r="16398">
      <c r="B16398" t="n">
        <v>2006</v>
      </c>
      <c r="C16398" t="n">
        <v>26.454</v>
      </c>
      <c r="D16398" t="n">
        <v>9.42</v>
      </c>
    </row>
    <row r="16399">
      <c r="B16399" t="n">
        <v>2007</v>
      </c>
      <c r="C16399" t="n">
        <v>29.781</v>
      </c>
      <c r="D16399" t="n">
        <v>12.579</v>
      </c>
    </row>
    <row r="16400">
      <c r="B16400" t="n">
        <v>2008</v>
      </c>
      <c r="C16400" t="n">
        <v>30.502</v>
      </c>
      <c r="D16400" t="n">
        <v>2.419</v>
      </c>
    </row>
    <row r="16401">
      <c r="B16401" t="n">
        <v>2009</v>
      </c>
      <c r="C16401" t="n">
        <v>29.388</v>
      </c>
      <c r="D16401" t="n">
        <v>-3.651</v>
      </c>
    </row>
    <row r="16402">
      <c r="B16402" t="n">
        <v>2010</v>
      </c>
      <c r="C16402" t="n">
        <v>31.428</v>
      </c>
      <c r="D16402" t="n">
        <v>6.942</v>
      </c>
    </row>
    <row r="16403">
      <c r="B16403" t="n">
        <v>2011</v>
      </c>
      <c r="C16403" t="n">
        <v>33.927</v>
      </c>
      <c r="D16403" t="n">
        <v>7.949</v>
      </c>
    </row>
    <row r="16404">
      <c r="B16404" t="n">
        <v>2012</v>
      </c>
      <c r="C16404" t="n">
        <v>36.159</v>
      </c>
      <c r="D16404" t="n">
        <v>6.579</v>
      </c>
    </row>
    <row r="16405">
      <c r="B16405" t="n">
        <v>2013</v>
      </c>
      <c r="C16405" t="n">
        <v>38.015</v>
      </c>
      <c r="D16405" t="n">
        <v>5.134</v>
      </c>
    </row>
    <row r="16406">
      <c r="B16406" t="n">
        <v>2014</v>
      </c>
      <c r="C16406" t="n">
        <v>39.57</v>
      </c>
      <c r="D16406" t="n">
        <v>4.091</v>
      </c>
    </row>
    <row r="16407">
      <c r="B16407" t="n">
        <v>2015</v>
      </c>
      <c r="C16407" t="n">
        <v>40.896</v>
      </c>
      <c r="D16407" t="n">
        <v>3.351</v>
      </c>
    </row>
    <row r="16408">
      <c r="B16408" t="n">
        <v>2016</v>
      </c>
      <c r="C16408" t="n">
        <v>42.307</v>
      </c>
      <c r="D16408" t="n">
        <v>3.45</v>
      </c>
    </row>
    <row r="16409">
      <c r="B16409" t="n">
        <v>2017</v>
      </c>
      <c r="C16409" t="n">
        <v>44.49</v>
      </c>
      <c r="D16409" t="n">
        <v>5.161</v>
      </c>
    </row>
    <row r="16410">
      <c r="B16410" t="n">
        <v>2018</v>
      </c>
      <c r="C16410" t="n">
        <v>47.187</v>
      </c>
      <c r="D16410" t="n">
        <v>6.062</v>
      </c>
    </row>
    <row r="16411">
      <c r="B16411" t="n">
        <v>2019</v>
      </c>
      <c r="C16411" t="n">
        <v>49.726</v>
      </c>
      <c r="D16411" t="n">
        <v>5.38</v>
      </c>
    </row>
    <row r="16412">
      <c r="B16412" t="n">
        <v>2020</v>
      </c>
      <c r="C16412" t="n">
        <v>46.598</v>
      </c>
      <c r="D16412" t="n">
        <v>-6.291</v>
      </c>
    </row>
    <row r="16413">
      <c r="B16413" t="n">
        <v>2021</v>
      </c>
      <c r="C16413" t="n">
        <v>51.558</v>
      </c>
      <c r="D16413" t="n">
        <v>10.644</v>
      </c>
    </row>
    <row r="16414">
      <c r="B16414" t="n">
        <v>2022</v>
      </c>
      <c r="C16414" t="n">
        <v>57.208</v>
      </c>
      <c r="D16414" t="n">
        <v>10.96</v>
      </c>
    </row>
    <row r="16415">
      <c r="B16415" t="n">
        <v>2023</v>
      </c>
      <c r="C16415" t="n">
        <v>61.689</v>
      </c>
      <c r="D16415" t="n">
        <v>7.832</v>
      </c>
    </row>
    <row r="16416">
      <c r="B16416" t="n">
        <v>2024</v>
      </c>
      <c r="C16416" t="n">
        <v>67.505</v>
      </c>
      <c r="D16416" t="n">
        <v>9.429</v>
      </c>
    </row>
    <row r="16417">
      <c r="B16417" t="n">
        <v>2025</v>
      </c>
      <c r="C16417" t="n">
        <v>71.54000000000001</v>
      </c>
      <c r="D16417" t="n">
        <v>5.977</v>
      </c>
    </row>
    <row r="16418">
      <c r="B16418" t="n">
        <v>2026</v>
      </c>
      <c r="C16418" t="n">
        <v>75.117</v>
      </c>
      <c r="D16418" t="n">
        <v>5</v>
      </c>
    </row>
    <row r="16419">
      <c r="B16419" t="n">
        <v>2027</v>
      </c>
      <c r="C16419" t="n">
        <v>78.873</v>
      </c>
      <c r="D16419" t="n">
        <v>5</v>
      </c>
    </row>
    <row r="16420">
      <c r="B16420" t="inlineStr">
        <is>
          <t>Estimates Start After</t>
        </is>
      </c>
      <c r="C16420" t="n">
        <v>2024</v>
      </c>
      <c r="D16420" t="n">
        <v>2024</v>
      </c>
    </row>
    <row r="32769">
      <c r="B32769" t="inlineStr">
        <is>
          <t>WEO Country Code</t>
        </is>
      </c>
      <c r="C32769" t="n">
        <v>915</v>
      </c>
      <c r="D32769" t="n">
        <v>915</v>
      </c>
    </row>
    <row r="32770">
      <c r="B32770" t="inlineStr">
        <is>
          <t>WEO Subject Code</t>
        </is>
      </c>
      <c r="C32770" t="inlineStr">
        <is>
          <t>NGDP_R</t>
        </is>
      </c>
      <c r="D32770" t="inlineStr">
        <is>
          <t>NGDP_RPCH</t>
        </is>
      </c>
    </row>
    <row r="32771">
      <c r="B32771" t="inlineStr">
        <is>
          <t>Country</t>
        </is>
      </c>
      <c r="C32771" t="inlineStr">
        <is>
          <t>Georgia</t>
        </is>
      </c>
      <c r="D32771" t="inlineStr">
        <is>
          <t>Georgia</t>
        </is>
      </c>
    </row>
    <row r="32772">
      <c r="B32772" t="inlineStr">
        <is>
          <t>Subject Descriptor</t>
        </is>
      </c>
      <c r="C32772" t="inlineStr">
        <is>
          <t>Gross domestic product, constant prices</t>
        </is>
      </c>
      <c r="D32772" t="inlineStr">
        <is>
          <t>Gross domestic product, constant prices</t>
        </is>
      </c>
    </row>
    <row r="32773">
      <c r="B32773" t="inlineStr">
        <is>
          <t>Units</t>
        </is>
      </c>
      <c r="C32773" t="inlineStr">
        <is>
          <t>National currency</t>
        </is>
      </c>
      <c r="D32773" t="inlineStr">
        <is>
          <t>Percent change</t>
        </is>
      </c>
    </row>
    <row r="32774">
      <c r="B32774" t="inlineStr">
        <is>
          <t>Scale</t>
        </is>
      </c>
      <c r="C32774" t="inlineStr">
        <is>
          <t>Billions</t>
        </is>
      </c>
      <c r="D32774" t="inlineStr">
        <is>
          <t>Units</t>
        </is>
      </c>
    </row>
    <row r="32775">
      <c r="B32775" t="inlineStr">
        <is>
          <t>Country/Series-specific Notes</t>
        </is>
      </c>
      <c r="C327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75" t="inlineStr">
        <is>
          <t>See notes for:  Gross domestic product, constant prices (National currency).</t>
        </is>
      </c>
    </row>
    <row r="32776">
      <c r="B32776" t="n">
        <v>2000</v>
      </c>
      <c r="C32776" t="n">
        <v>16.963</v>
      </c>
      <c r="D32776" t="n">
        <v>1.865</v>
      </c>
    </row>
    <row r="32777">
      <c r="B32777" t="n">
        <v>2001</v>
      </c>
      <c r="C32777" t="n">
        <v>17.772</v>
      </c>
      <c r="D32777" t="n">
        <v>4.769</v>
      </c>
    </row>
    <row r="32778">
      <c r="B32778" t="n">
        <v>2002</v>
      </c>
      <c r="C32778" t="n">
        <v>18.747</v>
      </c>
      <c r="D32778" t="n">
        <v>5.487</v>
      </c>
    </row>
    <row r="32779">
      <c r="B32779" t="n">
        <v>2003</v>
      </c>
      <c r="C32779" t="n">
        <v>20.852</v>
      </c>
      <c r="D32779" t="n">
        <v>11.228</v>
      </c>
    </row>
    <row r="32780">
      <c r="B32780" t="n">
        <v>2004</v>
      </c>
      <c r="C32780" t="n">
        <v>22.061</v>
      </c>
      <c r="D32780" t="n">
        <v>5.796</v>
      </c>
    </row>
    <row r="32781">
      <c r="B32781" t="n">
        <v>2005</v>
      </c>
      <c r="C32781" t="n">
        <v>24.176</v>
      </c>
      <c r="D32781" t="n">
        <v>9.587999999999999</v>
      </c>
    </row>
    <row r="32782">
      <c r="B32782" t="n">
        <v>2006</v>
      </c>
      <c r="C32782" t="n">
        <v>26.454</v>
      </c>
      <c r="D32782" t="n">
        <v>9.42</v>
      </c>
    </row>
    <row r="32783">
      <c r="B32783" t="n">
        <v>2007</v>
      </c>
      <c r="C32783" t="n">
        <v>29.781</v>
      </c>
      <c r="D32783" t="n">
        <v>12.579</v>
      </c>
    </row>
    <row r="32784">
      <c r="B32784" t="n">
        <v>2008</v>
      </c>
      <c r="C32784" t="n">
        <v>30.502</v>
      </c>
      <c r="D32784" t="n">
        <v>2.419</v>
      </c>
    </row>
    <row r="32785">
      <c r="B32785" t="n">
        <v>2009</v>
      </c>
      <c r="C32785" t="n">
        <v>29.388</v>
      </c>
      <c r="D32785" t="n">
        <v>-3.651</v>
      </c>
    </row>
    <row r="32786">
      <c r="B32786" t="n">
        <v>2010</v>
      </c>
      <c r="C32786" t="n">
        <v>31.428</v>
      </c>
      <c r="D32786" t="n">
        <v>6.942</v>
      </c>
    </row>
    <row r="32787">
      <c r="B32787" t="n">
        <v>2011</v>
      </c>
      <c r="C32787" t="n">
        <v>33.927</v>
      </c>
      <c r="D32787" t="n">
        <v>7.949</v>
      </c>
    </row>
    <row r="32788">
      <c r="B32788" t="n">
        <v>2012</v>
      </c>
      <c r="C32788" t="n">
        <v>36.159</v>
      </c>
      <c r="D32788" t="n">
        <v>6.579</v>
      </c>
    </row>
    <row r="32789">
      <c r="B32789" t="n">
        <v>2013</v>
      </c>
      <c r="C32789" t="n">
        <v>38.015</v>
      </c>
      <c r="D32789" t="n">
        <v>5.134</v>
      </c>
    </row>
    <row r="32790">
      <c r="B32790" t="n">
        <v>2014</v>
      </c>
      <c r="C32790" t="n">
        <v>39.57</v>
      </c>
      <c r="D32790" t="n">
        <v>4.091</v>
      </c>
    </row>
    <row r="32791">
      <c r="B32791" t="n">
        <v>2015</v>
      </c>
      <c r="C32791" t="n">
        <v>40.896</v>
      </c>
      <c r="D32791" t="n">
        <v>3.351</v>
      </c>
    </row>
    <row r="32792">
      <c r="B32792" t="n">
        <v>2016</v>
      </c>
      <c r="C32792" t="n">
        <v>42.307</v>
      </c>
      <c r="D32792" t="n">
        <v>3.45</v>
      </c>
    </row>
    <row r="32793">
      <c r="B32793" t="n">
        <v>2017</v>
      </c>
      <c r="C32793" t="n">
        <v>44.49</v>
      </c>
      <c r="D32793" t="n">
        <v>5.161</v>
      </c>
    </row>
    <row r="32794">
      <c r="B32794" t="n">
        <v>2018</v>
      </c>
      <c r="C32794" t="n">
        <v>47.187</v>
      </c>
      <c r="D32794" t="n">
        <v>6.062</v>
      </c>
    </row>
    <row r="32795">
      <c r="B32795" t="n">
        <v>2019</v>
      </c>
      <c r="C32795" t="n">
        <v>49.726</v>
      </c>
      <c r="D32795" t="n">
        <v>5.38</v>
      </c>
    </row>
    <row r="32796">
      <c r="B32796" t="n">
        <v>2020</v>
      </c>
      <c r="C32796" t="n">
        <v>46.598</v>
      </c>
      <c r="D32796" t="n">
        <v>-6.291</v>
      </c>
    </row>
    <row r="32797">
      <c r="B32797" t="n">
        <v>2021</v>
      </c>
      <c r="C32797" t="n">
        <v>51.558</v>
      </c>
      <c r="D32797" t="n">
        <v>10.644</v>
      </c>
    </row>
    <row r="32798">
      <c r="B32798" t="n">
        <v>2022</v>
      </c>
      <c r="C32798" t="n">
        <v>57.208</v>
      </c>
      <c r="D32798" t="n">
        <v>10.96</v>
      </c>
    </row>
    <row r="32799">
      <c r="B32799" t="n">
        <v>2023</v>
      </c>
      <c r="C32799" t="n">
        <v>61.689</v>
      </c>
      <c r="D32799" t="n">
        <v>7.832</v>
      </c>
    </row>
    <row r="32800">
      <c r="B32800" t="n">
        <v>2024</v>
      </c>
      <c r="C32800" t="n">
        <v>67.505</v>
      </c>
      <c r="D32800" t="n">
        <v>9.429</v>
      </c>
    </row>
    <row r="32801">
      <c r="B32801" t="n">
        <v>2025</v>
      </c>
      <c r="C32801" t="n">
        <v>71.54000000000001</v>
      </c>
      <c r="D32801" t="n">
        <v>5.977</v>
      </c>
    </row>
    <row r="32802">
      <c r="B32802" t="n">
        <v>2026</v>
      </c>
      <c r="C32802" t="n">
        <v>75.117</v>
      </c>
      <c r="D32802" t="n">
        <v>5</v>
      </c>
    </row>
    <row r="32803">
      <c r="B32803" t="n">
        <v>2027</v>
      </c>
      <c r="C32803" t="n">
        <v>78.873</v>
      </c>
      <c r="D32803" t="n">
        <v>5</v>
      </c>
    </row>
    <row r="32804">
      <c r="B32804" t="inlineStr">
        <is>
          <t>Estimates Start After</t>
        </is>
      </c>
      <c r="C32804" t="n">
        <v>2024</v>
      </c>
      <c r="D32804" t="n">
        <v>2024</v>
      </c>
    </row>
    <row r="49153">
      <c r="B49153" t="inlineStr">
        <is>
          <t>WEO Country Code</t>
        </is>
      </c>
      <c r="C49153" t="n">
        <v>915</v>
      </c>
      <c r="D49153" t="n">
        <v>915</v>
      </c>
    </row>
    <row r="49154">
      <c r="B49154" t="inlineStr">
        <is>
          <t>WEO Subject Code</t>
        </is>
      </c>
      <c r="C49154" t="inlineStr">
        <is>
          <t>NGDP_R</t>
        </is>
      </c>
      <c r="D49154" t="inlineStr">
        <is>
          <t>NGDP_RPCH</t>
        </is>
      </c>
    </row>
    <row r="49155">
      <c r="B49155" t="inlineStr">
        <is>
          <t>Country</t>
        </is>
      </c>
      <c r="C49155" t="inlineStr">
        <is>
          <t>Georgia</t>
        </is>
      </c>
      <c r="D49155" t="inlineStr">
        <is>
          <t>Georgia</t>
        </is>
      </c>
    </row>
    <row r="49156">
      <c r="B49156" t="inlineStr">
        <is>
          <t>Subject Descriptor</t>
        </is>
      </c>
      <c r="C49156" t="inlineStr">
        <is>
          <t>Gross domestic product, constant prices</t>
        </is>
      </c>
      <c r="D49156" t="inlineStr">
        <is>
          <t>Gross domestic product, constant prices</t>
        </is>
      </c>
    </row>
    <row r="49157">
      <c r="B49157" t="inlineStr">
        <is>
          <t>Units</t>
        </is>
      </c>
      <c r="C49157" t="inlineStr">
        <is>
          <t>National currency</t>
        </is>
      </c>
      <c r="D49157" t="inlineStr">
        <is>
          <t>Percent change</t>
        </is>
      </c>
    </row>
    <row r="49158">
      <c r="B49158" t="inlineStr">
        <is>
          <t>Scale</t>
        </is>
      </c>
      <c r="C49158" t="inlineStr">
        <is>
          <t>Billions</t>
        </is>
      </c>
      <c r="D49158" t="inlineStr">
        <is>
          <t>Units</t>
        </is>
      </c>
    </row>
    <row r="49159">
      <c r="B49159" t="inlineStr">
        <is>
          <t>Country/Series-specific Notes</t>
        </is>
      </c>
      <c r="C491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9" t="inlineStr">
        <is>
          <t>See notes for:  Gross domestic product, constant prices (National currency).</t>
        </is>
      </c>
    </row>
    <row r="49160">
      <c r="B49160" t="n">
        <v>2000</v>
      </c>
      <c r="C49160" t="n">
        <v>16.963</v>
      </c>
      <c r="D49160" t="n">
        <v>1.865</v>
      </c>
    </row>
    <row r="49161">
      <c r="B49161" t="n">
        <v>2001</v>
      </c>
      <c r="C49161" t="n">
        <v>17.772</v>
      </c>
      <c r="D49161" t="n">
        <v>4.769</v>
      </c>
    </row>
    <row r="49162">
      <c r="B49162" t="n">
        <v>2002</v>
      </c>
      <c r="C49162" t="n">
        <v>18.747</v>
      </c>
      <c r="D49162" t="n">
        <v>5.487</v>
      </c>
    </row>
    <row r="49163">
      <c r="B49163" t="n">
        <v>2003</v>
      </c>
      <c r="C49163" t="n">
        <v>20.852</v>
      </c>
      <c r="D49163" t="n">
        <v>11.228</v>
      </c>
    </row>
    <row r="49164">
      <c r="B49164" t="n">
        <v>2004</v>
      </c>
      <c r="C49164" t="n">
        <v>22.061</v>
      </c>
      <c r="D49164" t="n">
        <v>5.796</v>
      </c>
    </row>
    <row r="49165">
      <c r="B49165" t="n">
        <v>2005</v>
      </c>
      <c r="C49165" t="n">
        <v>24.176</v>
      </c>
      <c r="D49165" t="n">
        <v>9.587999999999999</v>
      </c>
    </row>
    <row r="49166">
      <c r="B49166" t="n">
        <v>2006</v>
      </c>
      <c r="C49166" t="n">
        <v>26.454</v>
      </c>
      <c r="D49166" t="n">
        <v>9.42</v>
      </c>
    </row>
    <row r="49167">
      <c r="B49167" t="n">
        <v>2007</v>
      </c>
      <c r="C49167" t="n">
        <v>29.781</v>
      </c>
      <c r="D49167" t="n">
        <v>12.579</v>
      </c>
    </row>
    <row r="49168">
      <c r="B49168" t="n">
        <v>2008</v>
      </c>
      <c r="C49168" t="n">
        <v>30.502</v>
      </c>
      <c r="D49168" t="n">
        <v>2.419</v>
      </c>
    </row>
    <row r="49169">
      <c r="B49169" t="n">
        <v>2009</v>
      </c>
      <c r="C49169" t="n">
        <v>29.388</v>
      </c>
      <c r="D49169" t="n">
        <v>-3.651</v>
      </c>
    </row>
    <row r="49170">
      <c r="B49170" t="n">
        <v>2010</v>
      </c>
      <c r="C49170" t="n">
        <v>31.428</v>
      </c>
      <c r="D49170" t="n">
        <v>6.942</v>
      </c>
    </row>
    <row r="49171">
      <c r="B49171" t="n">
        <v>2011</v>
      </c>
      <c r="C49171" t="n">
        <v>33.927</v>
      </c>
      <c r="D49171" t="n">
        <v>7.949</v>
      </c>
    </row>
    <row r="49172">
      <c r="B49172" t="n">
        <v>2012</v>
      </c>
      <c r="C49172" t="n">
        <v>36.159</v>
      </c>
      <c r="D49172" t="n">
        <v>6.579</v>
      </c>
    </row>
    <row r="49173">
      <c r="B49173" t="n">
        <v>2013</v>
      </c>
      <c r="C49173" t="n">
        <v>38.015</v>
      </c>
      <c r="D49173" t="n">
        <v>5.134</v>
      </c>
    </row>
    <row r="49174">
      <c r="B49174" t="n">
        <v>2014</v>
      </c>
      <c r="C49174" t="n">
        <v>39.57</v>
      </c>
      <c r="D49174" t="n">
        <v>4.091</v>
      </c>
    </row>
    <row r="49175">
      <c r="B49175" t="n">
        <v>2015</v>
      </c>
      <c r="C49175" t="n">
        <v>40.896</v>
      </c>
      <c r="D49175" t="n">
        <v>3.351</v>
      </c>
    </row>
    <row r="49176">
      <c r="B49176" t="n">
        <v>2016</v>
      </c>
      <c r="C49176" t="n">
        <v>42.307</v>
      </c>
      <c r="D49176" t="n">
        <v>3.45</v>
      </c>
    </row>
    <row r="49177">
      <c r="B49177" t="n">
        <v>2017</v>
      </c>
      <c r="C49177" t="n">
        <v>44.49</v>
      </c>
      <c r="D49177" t="n">
        <v>5.161</v>
      </c>
    </row>
    <row r="49178">
      <c r="B49178" t="n">
        <v>2018</v>
      </c>
      <c r="C49178" t="n">
        <v>47.187</v>
      </c>
      <c r="D49178" t="n">
        <v>6.062</v>
      </c>
    </row>
    <row r="49179">
      <c r="B49179" t="n">
        <v>2019</v>
      </c>
      <c r="C49179" t="n">
        <v>49.726</v>
      </c>
      <c r="D49179" t="n">
        <v>5.38</v>
      </c>
    </row>
    <row r="49180">
      <c r="B49180" t="n">
        <v>2020</v>
      </c>
      <c r="C49180" t="n">
        <v>46.598</v>
      </c>
      <c r="D49180" t="n">
        <v>-6.291</v>
      </c>
    </row>
    <row r="49181">
      <c r="B49181" t="n">
        <v>2021</v>
      </c>
      <c r="C49181" t="n">
        <v>51.558</v>
      </c>
      <c r="D49181" t="n">
        <v>10.644</v>
      </c>
    </row>
    <row r="49182">
      <c r="B49182" t="n">
        <v>2022</v>
      </c>
      <c r="C49182" t="n">
        <v>57.208</v>
      </c>
      <c r="D49182" t="n">
        <v>10.96</v>
      </c>
    </row>
    <row r="49183">
      <c r="B49183" t="n">
        <v>2023</v>
      </c>
      <c r="C49183" t="n">
        <v>61.689</v>
      </c>
      <c r="D49183" t="n">
        <v>7.832</v>
      </c>
    </row>
    <row r="49184">
      <c r="B49184" t="n">
        <v>2024</v>
      </c>
      <c r="C49184" t="n">
        <v>67.505</v>
      </c>
      <c r="D49184" t="n">
        <v>9.429</v>
      </c>
    </row>
    <row r="49185">
      <c r="B49185" t="n">
        <v>2025</v>
      </c>
      <c r="C49185" t="n">
        <v>71.54000000000001</v>
      </c>
      <c r="D49185" t="n">
        <v>5.977</v>
      </c>
    </row>
    <row r="49186">
      <c r="B49186" t="n">
        <v>2026</v>
      </c>
      <c r="C49186" t="n">
        <v>75.117</v>
      </c>
      <c r="D49186" t="n">
        <v>5</v>
      </c>
    </row>
    <row r="49187">
      <c r="B49187" t="n">
        <v>2027</v>
      </c>
      <c r="C49187" t="n">
        <v>78.873</v>
      </c>
      <c r="D49187" t="n">
        <v>5</v>
      </c>
    </row>
    <row r="49188">
      <c r="B49188" t="inlineStr">
        <is>
          <t>Estimates Start After</t>
        </is>
      </c>
      <c r="C49188" t="n">
        <v>2024</v>
      </c>
      <c r="D49188" t="n">
        <v>2024</v>
      </c>
    </row>
    <row r="65537">
      <c r="B65537" t="inlineStr">
        <is>
          <t>WEO Country Code</t>
        </is>
      </c>
      <c r="C65537" t="n">
        <v>915</v>
      </c>
      <c r="D65537" t="n">
        <v>915</v>
      </c>
    </row>
    <row r="65538">
      <c r="B65538" t="inlineStr">
        <is>
          <t>WEO Subject Code</t>
        </is>
      </c>
      <c r="C65538" t="inlineStr">
        <is>
          <t>NGDP_R</t>
        </is>
      </c>
      <c r="D65538" t="inlineStr">
        <is>
          <t>NGDP_RPCH</t>
        </is>
      </c>
    </row>
    <row r="65539">
      <c r="B65539" t="inlineStr">
        <is>
          <t>Country</t>
        </is>
      </c>
      <c r="C65539" t="inlineStr">
        <is>
          <t>Georgia</t>
        </is>
      </c>
      <c r="D65539" t="inlineStr">
        <is>
          <t>Georgia</t>
        </is>
      </c>
    </row>
    <row r="65540">
      <c r="B65540" t="inlineStr">
        <is>
          <t>Subject Descriptor</t>
        </is>
      </c>
      <c r="C65540" t="inlineStr">
        <is>
          <t>Gross domestic product, constant prices</t>
        </is>
      </c>
      <c r="D65540" t="inlineStr">
        <is>
          <t>Gross domestic product, constant prices</t>
        </is>
      </c>
    </row>
    <row r="65541">
      <c r="B65541" t="inlineStr">
        <is>
          <t>Units</t>
        </is>
      </c>
      <c r="C65541" t="inlineStr">
        <is>
          <t>National currency</t>
        </is>
      </c>
      <c r="D65541" t="inlineStr">
        <is>
          <t>Percent change</t>
        </is>
      </c>
    </row>
    <row r="65542">
      <c r="B65542" t="inlineStr">
        <is>
          <t>Scale</t>
        </is>
      </c>
      <c r="C65542" t="inlineStr">
        <is>
          <t>Billions</t>
        </is>
      </c>
      <c r="D65542" t="inlineStr">
        <is>
          <t>Units</t>
        </is>
      </c>
    </row>
    <row r="65543">
      <c r="B65543" t="inlineStr">
        <is>
          <t>Country/Series-specific Notes</t>
        </is>
      </c>
      <c r="C655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43" t="inlineStr">
        <is>
          <t>See notes for:  Gross domestic product, constant prices (National currency).</t>
        </is>
      </c>
    </row>
    <row r="65544">
      <c r="B65544" t="n">
        <v>2000</v>
      </c>
      <c r="C65544" t="n">
        <v>16.963</v>
      </c>
      <c r="D65544" t="n">
        <v>1.865</v>
      </c>
    </row>
    <row r="65545">
      <c r="B65545" t="n">
        <v>2001</v>
      </c>
      <c r="C65545" t="n">
        <v>17.772</v>
      </c>
      <c r="D65545" t="n">
        <v>4.769</v>
      </c>
    </row>
    <row r="65546">
      <c r="B65546" t="n">
        <v>2002</v>
      </c>
      <c r="C65546" t="n">
        <v>18.747</v>
      </c>
      <c r="D65546" t="n">
        <v>5.487</v>
      </c>
    </row>
    <row r="65547">
      <c r="B65547" t="n">
        <v>2003</v>
      </c>
      <c r="C65547" t="n">
        <v>20.852</v>
      </c>
      <c r="D65547" t="n">
        <v>11.228</v>
      </c>
    </row>
    <row r="65548">
      <c r="B65548" t="n">
        <v>2004</v>
      </c>
      <c r="C65548" t="n">
        <v>22.061</v>
      </c>
      <c r="D65548" t="n">
        <v>5.796</v>
      </c>
    </row>
    <row r="65549">
      <c r="B65549" t="n">
        <v>2005</v>
      </c>
      <c r="C65549" t="n">
        <v>24.176</v>
      </c>
      <c r="D65549" t="n">
        <v>9.587999999999999</v>
      </c>
    </row>
    <row r="65550">
      <c r="B65550" t="n">
        <v>2006</v>
      </c>
      <c r="C65550" t="n">
        <v>26.454</v>
      </c>
      <c r="D65550" t="n">
        <v>9.42</v>
      </c>
    </row>
    <row r="65551">
      <c r="B65551" t="n">
        <v>2007</v>
      </c>
      <c r="C65551" t="n">
        <v>29.781</v>
      </c>
      <c r="D65551" t="n">
        <v>12.579</v>
      </c>
    </row>
    <row r="65552">
      <c r="B65552" t="n">
        <v>2008</v>
      </c>
      <c r="C65552" t="n">
        <v>30.502</v>
      </c>
      <c r="D65552" t="n">
        <v>2.419</v>
      </c>
    </row>
    <row r="65553">
      <c r="B65553" t="n">
        <v>2009</v>
      </c>
      <c r="C65553" t="n">
        <v>29.388</v>
      </c>
      <c r="D65553" t="n">
        <v>-3.651</v>
      </c>
    </row>
    <row r="65554">
      <c r="B65554" t="n">
        <v>2010</v>
      </c>
      <c r="C65554" t="n">
        <v>31.428</v>
      </c>
      <c r="D65554" t="n">
        <v>6.942</v>
      </c>
    </row>
    <row r="65555">
      <c r="B65555" t="n">
        <v>2011</v>
      </c>
      <c r="C65555" t="n">
        <v>33.927</v>
      </c>
      <c r="D65555" t="n">
        <v>7.949</v>
      </c>
    </row>
    <row r="65556">
      <c r="B65556" t="n">
        <v>2012</v>
      </c>
      <c r="C65556" t="n">
        <v>36.159</v>
      </c>
      <c r="D65556" t="n">
        <v>6.579</v>
      </c>
    </row>
    <row r="65557">
      <c r="B65557" t="n">
        <v>2013</v>
      </c>
      <c r="C65557" t="n">
        <v>38.015</v>
      </c>
      <c r="D65557" t="n">
        <v>5.134</v>
      </c>
    </row>
    <row r="65558">
      <c r="B65558" t="n">
        <v>2014</v>
      </c>
      <c r="C65558" t="n">
        <v>39.57</v>
      </c>
      <c r="D65558" t="n">
        <v>4.091</v>
      </c>
    </row>
    <row r="65559">
      <c r="B65559" t="n">
        <v>2015</v>
      </c>
      <c r="C65559" t="n">
        <v>40.896</v>
      </c>
      <c r="D65559" t="n">
        <v>3.351</v>
      </c>
    </row>
    <row r="65560">
      <c r="B65560" t="n">
        <v>2016</v>
      </c>
      <c r="C65560" t="n">
        <v>42.307</v>
      </c>
      <c r="D65560" t="n">
        <v>3.45</v>
      </c>
    </row>
    <row r="65561">
      <c r="B65561" t="n">
        <v>2017</v>
      </c>
      <c r="C65561" t="n">
        <v>44.49</v>
      </c>
      <c r="D65561" t="n">
        <v>5.161</v>
      </c>
    </row>
    <row r="65562">
      <c r="B65562" t="n">
        <v>2018</v>
      </c>
      <c r="C65562" t="n">
        <v>47.187</v>
      </c>
      <c r="D65562" t="n">
        <v>6.062</v>
      </c>
    </row>
    <row r="65563">
      <c r="B65563" t="n">
        <v>2019</v>
      </c>
      <c r="C65563" t="n">
        <v>49.726</v>
      </c>
      <c r="D65563" t="n">
        <v>5.38</v>
      </c>
    </row>
    <row r="65564">
      <c r="B65564" t="n">
        <v>2020</v>
      </c>
      <c r="C65564" t="n">
        <v>46.598</v>
      </c>
      <c r="D65564" t="n">
        <v>-6.291</v>
      </c>
    </row>
    <row r="65565">
      <c r="B65565" t="n">
        <v>2021</v>
      </c>
      <c r="C65565" t="n">
        <v>51.558</v>
      </c>
      <c r="D65565" t="n">
        <v>10.644</v>
      </c>
    </row>
    <row r="65566">
      <c r="B65566" t="n">
        <v>2022</v>
      </c>
      <c r="C65566" t="n">
        <v>57.208</v>
      </c>
      <c r="D65566" t="n">
        <v>10.96</v>
      </c>
    </row>
    <row r="65567">
      <c r="B65567" t="n">
        <v>2023</v>
      </c>
      <c r="C65567" t="n">
        <v>61.689</v>
      </c>
      <c r="D65567" t="n">
        <v>7.832</v>
      </c>
    </row>
    <row r="65568">
      <c r="B65568" t="n">
        <v>2024</v>
      </c>
      <c r="C65568" t="n">
        <v>67.505</v>
      </c>
      <c r="D65568" t="n">
        <v>9.429</v>
      </c>
    </row>
    <row r="65569">
      <c r="B65569" t="n">
        <v>2025</v>
      </c>
      <c r="C65569" t="n">
        <v>71.54000000000001</v>
      </c>
      <c r="D65569" t="n">
        <v>5.977</v>
      </c>
    </row>
    <row r="65570">
      <c r="B65570" t="n">
        <v>2026</v>
      </c>
      <c r="C65570" t="n">
        <v>75.117</v>
      </c>
      <c r="D65570" t="n">
        <v>5</v>
      </c>
    </row>
    <row r="65571">
      <c r="B65571" t="n">
        <v>2027</v>
      </c>
      <c r="C65571" t="n">
        <v>78.873</v>
      </c>
      <c r="D65571" t="n">
        <v>5</v>
      </c>
    </row>
    <row r="65572">
      <c r="B65572" t="inlineStr">
        <is>
          <t>Estimates Start After</t>
        </is>
      </c>
      <c r="C65572" t="n">
        <v>2024</v>
      </c>
      <c r="D65572" t="n">
        <v>2024</v>
      </c>
    </row>
    <row r="81921">
      <c r="B81921" t="inlineStr">
        <is>
          <t>WEO Country Code</t>
        </is>
      </c>
      <c r="C81921" t="n">
        <v>915</v>
      </c>
      <c r="D81921" t="n">
        <v>915</v>
      </c>
    </row>
    <row r="81922">
      <c r="B81922" t="inlineStr">
        <is>
          <t>WEO Subject Code</t>
        </is>
      </c>
      <c r="C81922" t="inlineStr">
        <is>
          <t>NGDP_R</t>
        </is>
      </c>
      <c r="D81922" t="inlineStr">
        <is>
          <t>NGDP_RPCH</t>
        </is>
      </c>
    </row>
    <row r="81923">
      <c r="B81923" t="inlineStr">
        <is>
          <t>Country</t>
        </is>
      </c>
      <c r="C81923" t="inlineStr">
        <is>
          <t>Georgia</t>
        </is>
      </c>
      <c r="D81923" t="inlineStr">
        <is>
          <t>Georgia</t>
        </is>
      </c>
    </row>
    <row r="81924">
      <c r="B81924" t="inlineStr">
        <is>
          <t>Subject Descriptor</t>
        </is>
      </c>
      <c r="C81924" t="inlineStr">
        <is>
          <t>Gross domestic product, constant prices</t>
        </is>
      </c>
      <c r="D81924" t="inlineStr">
        <is>
          <t>Gross domestic product, constant prices</t>
        </is>
      </c>
    </row>
    <row r="81925">
      <c r="B81925" t="inlineStr">
        <is>
          <t>Units</t>
        </is>
      </c>
      <c r="C81925" t="inlineStr">
        <is>
          <t>National currency</t>
        </is>
      </c>
      <c r="D81925" t="inlineStr">
        <is>
          <t>Percent change</t>
        </is>
      </c>
    </row>
    <row r="81926">
      <c r="B81926" t="inlineStr">
        <is>
          <t>Scale</t>
        </is>
      </c>
      <c r="C81926" t="inlineStr">
        <is>
          <t>Billions</t>
        </is>
      </c>
      <c r="D81926" t="inlineStr">
        <is>
          <t>Units</t>
        </is>
      </c>
    </row>
    <row r="81927">
      <c r="B81927" t="inlineStr">
        <is>
          <t>Country/Series-specific Notes</t>
        </is>
      </c>
      <c r="C819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7" t="inlineStr">
        <is>
          <t>See notes for:  Gross domestic product, constant prices (National currency).</t>
        </is>
      </c>
    </row>
    <row r="81928">
      <c r="B81928" t="n">
        <v>2000</v>
      </c>
      <c r="C81928" t="n">
        <v>16.963</v>
      </c>
      <c r="D81928" t="n">
        <v>1.865</v>
      </c>
    </row>
    <row r="81929">
      <c r="B81929" t="n">
        <v>2001</v>
      </c>
      <c r="C81929" t="n">
        <v>17.772</v>
      </c>
      <c r="D81929" t="n">
        <v>4.769</v>
      </c>
    </row>
    <row r="81930">
      <c r="B81930" t="n">
        <v>2002</v>
      </c>
      <c r="C81930" t="n">
        <v>18.747</v>
      </c>
      <c r="D81930" t="n">
        <v>5.487</v>
      </c>
    </row>
    <row r="81931">
      <c r="B81931" t="n">
        <v>2003</v>
      </c>
      <c r="C81931" t="n">
        <v>20.852</v>
      </c>
      <c r="D81931" t="n">
        <v>11.228</v>
      </c>
    </row>
    <row r="81932">
      <c r="B81932" t="n">
        <v>2004</v>
      </c>
      <c r="C81932" t="n">
        <v>22.061</v>
      </c>
      <c r="D81932" t="n">
        <v>5.796</v>
      </c>
    </row>
    <row r="81933">
      <c r="B81933" t="n">
        <v>2005</v>
      </c>
      <c r="C81933" t="n">
        <v>24.176</v>
      </c>
      <c r="D81933" t="n">
        <v>9.587999999999999</v>
      </c>
    </row>
    <row r="81934">
      <c r="B81934" t="n">
        <v>2006</v>
      </c>
      <c r="C81934" t="n">
        <v>26.454</v>
      </c>
      <c r="D81934" t="n">
        <v>9.42</v>
      </c>
    </row>
    <row r="81935">
      <c r="B81935" t="n">
        <v>2007</v>
      </c>
      <c r="C81935" t="n">
        <v>29.781</v>
      </c>
      <c r="D81935" t="n">
        <v>12.579</v>
      </c>
    </row>
    <row r="81936">
      <c r="B81936" t="n">
        <v>2008</v>
      </c>
      <c r="C81936" t="n">
        <v>30.502</v>
      </c>
      <c r="D81936" t="n">
        <v>2.419</v>
      </c>
    </row>
    <row r="81937">
      <c r="B81937" t="n">
        <v>2009</v>
      </c>
      <c r="C81937" t="n">
        <v>29.388</v>
      </c>
      <c r="D81937" t="n">
        <v>-3.651</v>
      </c>
    </row>
    <row r="81938">
      <c r="B81938" t="n">
        <v>2010</v>
      </c>
      <c r="C81938" t="n">
        <v>31.428</v>
      </c>
      <c r="D81938" t="n">
        <v>6.942</v>
      </c>
    </row>
    <row r="81939">
      <c r="B81939" t="n">
        <v>2011</v>
      </c>
      <c r="C81939" t="n">
        <v>33.927</v>
      </c>
      <c r="D81939" t="n">
        <v>7.949</v>
      </c>
    </row>
    <row r="81940">
      <c r="B81940" t="n">
        <v>2012</v>
      </c>
      <c r="C81940" t="n">
        <v>36.159</v>
      </c>
      <c r="D81940" t="n">
        <v>6.579</v>
      </c>
    </row>
    <row r="81941">
      <c r="B81941" t="n">
        <v>2013</v>
      </c>
      <c r="C81941" t="n">
        <v>38.015</v>
      </c>
      <c r="D81941" t="n">
        <v>5.134</v>
      </c>
    </row>
    <row r="81942">
      <c r="B81942" t="n">
        <v>2014</v>
      </c>
      <c r="C81942" t="n">
        <v>39.57</v>
      </c>
      <c r="D81942" t="n">
        <v>4.091</v>
      </c>
    </row>
    <row r="81943">
      <c r="B81943" t="n">
        <v>2015</v>
      </c>
      <c r="C81943" t="n">
        <v>40.896</v>
      </c>
      <c r="D81943" t="n">
        <v>3.351</v>
      </c>
    </row>
    <row r="81944">
      <c r="B81944" t="n">
        <v>2016</v>
      </c>
      <c r="C81944" t="n">
        <v>42.307</v>
      </c>
      <c r="D81944" t="n">
        <v>3.45</v>
      </c>
    </row>
    <row r="81945">
      <c r="B81945" t="n">
        <v>2017</v>
      </c>
      <c r="C81945" t="n">
        <v>44.49</v>
      </c>
      <c r="D81945" t="n">
        <v>5.161</v>
      </c>
    </row>
    <row r="81946">
      <c r="B81946" t="n">
        <v>2018</v>
      </c>
      <c r="C81946" t="n">
        <v>47.187</v>
      </c>
      <c r="D81946" t="n">
        <v>6.062</v>
      </c>
    </row>
    <row r="81947">
      <c r="B81947" t="n">
        <v>2019</v>
      </c>
      <c r="C81947" t="n">
        <v>49.726</v>
      </c>
      <c r="D81947" t="n">
        <v>5.38</v>
      </c>
    </row>
    <row r="81948">
      <c r="B81948" t="n">
        <v>2020</v>
      </c>
      <c r="C81948" t="n">
        <v>46.598</v>
      </c>
      <c r="D81948" t="n">
        <v>-6.291</v>
      </c>
    </row>
    <row r="81949">
      <c r="B81949" t="n">
        <v>2021</v>
      </c>
      <c r="C81949" t="n">
        <v>51.558</v>
      </c>
      <c r="D81949" t="n">
        <v>10.644</v>
      </c>
    </row>
    <row r="81950">
      <c r="B81950" t="n">
        <v>2022</v>
      </c>
      <c r="C81950" t="n">
        <v>57.208</v>
      </c>
      <c r="D81950" t="n">
        <v>10.96</v>
      </c>
    </row>
    <row r="81951">
      <c r="B81951" t="n">
        <v>2023</v>
      </c>
      <c r="C81951" t="n">
        <v>61.689</v>
      </c>
      <c r="D81951" t="n">
        <v>7.832</v>
      </c>
    </row>
    <row r="81952">
      <c r="B81952" t="n">
        <v>2024</v>
      </c>
      <c r="C81952" t="n">
        <v>67.505</v>
      </c>
      <c r="D81952" t="n">
        <v>9.429</v>
      </c>
    </row>
    <row r="81953">
      <c r="B81953" t="n">
        <v>2025</v>
      </c>
      <c r="C81953" t="n">
        <v>71.54000000000001</v>
      </c>
      <c r="D81953" t="n">
        <v>5.977</v>
      </c>
    </row>
    <row r="81954">
      <c r="B81954" t="n">
        <v>2026</v>
      </c>
      <c r="C81954" t="n">
        <v>75.117</v>
      </c>
      <c r="D81954" t="n">
        <v>5</v>
      </c>
    </row>
    <row r="81955">
      <c r="B81955" t="n">
        <v>2027</v>
      </c>
      <c r="C81955" t="n">
        <v>78.873</v>
      </c>
      <c r="D81955" t="n">
        <v>5</v>
      </c>
    </row>
    <row r="81956">
      <c r="B81956" t="inlineStr">
        <is>
          <t>Estimates Start After</t>
        </is>
      </c>
      <c r="C81956" t="n">
        <v>2024</v>
      </c>
      <c r="D81956" t="n">
        <v>2024</v>
      </c>
    </row>
    <row r="98305">
      <c r="B98305" t="inlineStr">
        <is>
          <t>WEO Country Code</t>
        </is>
      </c>
      <c r="C98305" t="n">
        <v>915</v>
      </c>
      <c r="D98305" t="n">
        <v>915</v>
      </c>
    </row>
    <row r="98306">
      <c r="B98306" t="inlineStr">
        <is>
          <t>WEO Subject Code</t>
        </is>
      </c>
      <c r="C98306" t="inlineStr">
        <is>
          <t>NGDP_R</t>
        </is>
      </c>
      <c r="D98306" t="inlineStr">
        <is>
          <t>NGDP_RPCH</t>
        </is>
      </c>
    </row>
    <row r="98307">
      <c r="B98307" t="inlineStr">
        <is>
          <t>Country</t>
        </is>
      </c>
      <c r="C98307" t="inlineStr">
        <is>
          <t>Georgia</t>
        </is>
      </c>
      <c r="D98307" t="inlineStr">
        <is>
          <t>Georgia</t>
        </is>
      </c>
    </row>
    <row r="98308">
      <c r="B98308" t="inlineStr">
        <is>
          <t>Subject Descriptor</t>
        </is>
      </c>
      <c r="C98308" t="inlineStr">
        <is>
          <t>Gross domestic product, constant prices</t>
        </is>
      </c>
      <c r="D98308" t="inlineStr">
        <is>
          <t>Gross domestic product, constant prices</t>
        </is>
      </c>
    </row>
    <row r="98309">
      <c r="B98309" t="inlineStr">
        <is>
          <t>Units</t>
        </is>
      </c>
      <c r="C98309" t="inlineStr">
        <is>
          <t>National currency</t>
        </is>
      </c>
      <c r="D98309" t="inlineStr">
        <is>
          <t>Percent change</t>
        </is>
      </c>
    </row>
    <row r="98310">
      <c r="B98310" t="inlineStr">
        <is>
          <t>Scale</t>
        </is>
      </c>
      <c r="C98310" t="inlineStr">
        <is>
          <t>Billions</t>
        </is>
      </c>
      <c r="D98310" t="inlineStr">
        <is>
          <t>Units</t>
        </is>
      </c>
    </row>
    <row r="98311">
      <c r="B98311" t="inlineStr">
        <is>
          <t>Country/Series-specific Notes</t>
        </is>
      </c>
      <c r="C983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11" t="inlineStr">
        <is>
          <t>See notes for:  Gross domestic product, constant prices (National currency).</t>
        </is>
      </c>
    </row>
    <row r="98312">
      <c r="B98312" t="n">
        <v>2000</v>
      </c>
      <c r="C98312" t="n">
        <v>16.963</v>
      </c>
      <c r="D98312" t="n">
        <v>1.865</v>
      </c>
    </row>
    <row r="98313">
      <c r="B98313" t="n">
        <v>2001</v>
      </c>
      <c r="C98313" t="n">
        <v>17.772</v>
      </c>
      <c r="D98313" t="n">
        <v>4.769</v>
      </c>
    </row>
    <row r="98314">
      <c r="B98314" t="n">
        <v>2002</v>
      </c>
      <c r="C98314" t="n">
        <v>18.747</v>
      </c>
      <c r="D98314" t="n">
        <v>5.487</v>
      </c>
    </row>
    <row r="98315">
      <c r="B98315" t="n">
        <v>2003</v>
      </c>
      <c r="C98315" t="n">
        <v>20.852</v>
      </c>
      <c r="D98315" t="n">
        <v>11.228</v>
      </c>
    </row>
    <row r="98316">
      <c r="B98316" t="n">
        <v>2004</v>
      </c>
      <c r="C98316" t="n">
        <v>22.061</v>
      </c>
      <c r="D98316" t="n">
        <v>5.796</v>
      </c>
    </row>
    <row r="98317">
      <c r="B98317" t="n">
        <v>2005</v>
      </c>
      <c r="C98317" t="n">
        <v>24.176</v>
      </c>
      <c r="D98317" t="n">
        <v>9.587999999999999</v>
      </c>
    </row>
    <row r="98318">
      <c r="B98318" t="n">
        <v>2006</v>
      </c>
      <c r="C98318" t="n">
        <v>26.454</v>
      </c>
      <c r="D98318" t="n">
        <v>9.42</v>
      </c>
    </row>
    <row r="98319">
      <c r="B98319" t="n">
        <v>2007</v>
      </c>
      <c r="C98319" t="n">
        <v>29.781</v>
      </c>
      <c r="D98319" t="n">
        <v>12.579</v>
      </c>
    </row>
    <row r="98320">
      <c r="B98320" t="n">
        <v>2008</v>
      </c>
      <c r="C98320" t="n">
        <v>30.502</v>
      </c>
      <c r="D98320" t="n">
        <v>2.419</v>
      </c>
    </row>
    <row r="98321">
      <c r="B98321" t="n">
        <v>2009</v>
      </c>
      <c r="C98321" t="n">
        <v>29.388</v>
      </c>
      <c r="D98321" t="n">
        <v>-3.651</v>
      </c>
    </row>
    <row r="98322">
      <c r="B98322" t="n">
        <v>2010</v>
      </c>
      <c r="C98322" t="n">
        <v>31.428</v>
      </c>
      <c r="D98322" t="n">
        <v>6.942</v>
      </c>
    </row>
    <row r="98323">
      <c r="B98323" t="n">
        <v>2011</v>
      </c>
      <c r="C98323" t="n">
        <v>33.927</v>
      </c>
      <c r="D98323" t="n">
        <v>7.949</v>
      </c>
    </row>
    <row r="98324">
      <c r="B98324" t="n">
        <v>2012</v>
      </c>
      <c r="C98324" t="n">
        <v>36.159</v>
      </c>
      <c r="D98324" t="n">
        <v>6.579</v>
      </c>
    </row>
    <row r="98325">
      <c r="B98325" t="n">
        <v>2013</v>
      </c>
      <c r="C98325" t="n">
        <v>38.015</v>
      </c>
      <c r="D98325" t="n">
        <v>5.134</v>
      </c>
    </row>
    <row r="98326">
      <c r="B98326" t="n">
        <v>2014</v>
      </c>
      <c r="C98326" t="n">
        <v>39.57</v>
      </c>
      <c r="D98326" t="n">
        <v>4.091</v>
      </c>
    </row>
    <row r="98327">
      <c r="B98327" t="n">
        <v>2015</v>
      </c>
      <c r="C98327" t="n">
        <v>40.896</v>
      </c>
      <c r="D98327" t="n">
        <v>3.351</v>
      </c>
    </row>
    <row r="98328">
      <c r="B98328" t="n">
        <v>2016</v>
      </c>
      <c r="C98328" t="n">
        <v>42.307</v>
      </c>
      <c r="D98328" t="n">
        <v>3.45</v>
      </c>
    </row>
    <row r="98329">
      <c r="B98329" t="n">
        <v>2017</v>
      </c>
      <c r="C98329" t="n">
        <v>44.49</v>
      </c>
      <c r="D98329" t="n">
        <v>5.161</v>
      </c>
    </row>
    <row r="98330">
      <c r="B98330" t="n">
        <v>2018</v>
      </c>
      <c r="C98330" t="n">
        <v>47.187</v>
      </c>
      <c r="D98330" t="n">
        <v>6.062</v>
      </c>
    </row>
    <row r="98331">
      <c r="B98331" t="n">
        <v>2019</v>
      </c>
      <c r="C98331" t="n">
        <v>49.726</v>
      </c>
      <c r="D98331" t="n">
        <v>5.38</v>
      </c>
    </row>
    <row r="98332">
      <c r="B98332" t="n">
        <v>2020</v>
      </c>
      <c r="C98332" t="n">
        <v>46.598</v>
      </c>
      <c r="D98332" t="n">
        <v>-6.291</v>
      </c>
    </row>
    <row r="98333">
      <c r="B98333" t="n">
        <v>2021</v>
      </c>
      <c r="C98333" t="n">
        <v>51.558</v>
      </c>
      <c r="D98333" t="n">
        <v>10.644</v>
      </c>
    </row>
    <row r="98334">
      <c r="B98334" t="n">
        <v>2022</v>
      </c>
      <c r="C98334" t="n">
        <v>57.208</v>
      </c>
      <c r="D98334" t="n">
        <v>10.96</v>
      </c>
    </row>
    <row r="98335">
      <c r="B98335" t="n">
        <v>2023</v>
      </c>
      <c r="C98335" t="n">
        <v>61.689</v>
      </c>
      <c r="D98335" t="n">
        <v>7.832</v>
      </c>
    </row>
    <row r="98336">
      <c r="B98336" t="n">
        <v>2024</v>
      </c>
      <c r="C98336" t="n">
        <v>67.505</v>
      </c>
      <c r="D98336" t="n">
        <v>9.429</v>
      </c>
    </row>
    <row r="98337">
      <c r="B98337" t="n">
        <v>2025</v>
      </c>
      <c r="C98337" t="n">
        <v>71.54000000000001</v>
      </c>
      <c r="D98337" t="n">
        <v>5.977</v>
      </c>
    </row>
    <row r="98338">
      <c r="B98338" t="n">
        <v>2026</v>
      </c>
      <c r="C98338" t="n">
        <v>75.117</v>
      </c>
      <c r="D98338" t="n">
        <v>5</v>
      </c>
    </row>
    <row r="98339">
      <c r="B98339" t="n">
        <v>2027</v>
      </c>
      <c r="C98339" t="n">
        <v>78.873</v>
      </c>
      <c r="D98339" t="n">
        <v>5</v>
      </c>
    </row>
    <row r="98340">
      <c r="B98340" t="inlineStr">
        <is>
          <t>Estimates Start After</t>
        </is>
      </c>
      <c r="C98340" t="n">
        <v>2024</v>
      </c>
      <c r="D98340" t="n">
        <v>2024</v>
      </c>
    </row>
    <row r="114689">
      <c r="B114689" t="inlineStr">
        <is>
          <t>WEO Country Code</t>
        </is>
      </c>
      <c r="C114689" t="n">
        <v>915</v>
      </c>
      <c r="D114689" t="n">
        <v>915</v>
      </c>
    </row>
    <row r="114690">
      <c r="B114690" t="inlineStr">
        <is>
          <t>WEO Subject Code</t>
        </is>
      </c>
      <c r="C114690" t="inlineStr">
        <is>
          <t>NGDP_R</t>
        </is>
      </c>
      <c r="D114690" t="inlineStr">
        <is>
          <t>NGDP_RPCH</t>
        </is>
      </c>
    </row>
    <row r="114691">
      <c r="B114691" t="inlineStr">
        <is>
          <t>Country</t>
        </is>
      </c>
      <c r="C114691" t="inlineStr">
        <is>
          <t>Georgia</t>
        </is>
      </c>
      <c r="D114691" t="inlineStr">
        <is>
          <t>Georgia</t>
        </is>
      </c>
    </row>
    <row r="114692">
      <c r="B114692" t="inlineStr">
        <is>
          <t>Subject Descriptor</t>
        </is>
      </c>
      <c r="C114692" t="inlineStr">
        <is>
          <t>Gross domestic product, constant prices</t>
        </is>
      </c>
      <c r="D114692" t="inlineStr">
        <is>
          <t>Gross domestic product, constant prices</t>
        </is>
      </c>
    </row>
    <row r="114693">
      <c r="B114693" t="inlineStr">
        <is>
          <t>Units</t>
        </is>
      </c>
      <c r="C114693" t="inlineStr">
        <is>
          <t>National currency</t>
        </is>
      </c>
      <c r="D114693" t="inlineStr">
        <is>
          <t>Percent change</t>
        </is>
      </c>
    </row>
    <row r="114694">
      <c r="B114694" t="inlineStr">
        <is>
          <t>Scale</t>
        </is>
      </c>
      <c r="C114694" t="inlineStr">
        <is>
          <t>Billions</t>
        </is>
      </c>
      <c r="D114694" t="inlineStr">
        <is>
          <t>Units</t>
        </is>
      </c>
    </row>
    <row r="114695">
      <c r="B114695" t="inlineStr">
        <is>
          <t>Country/Series-specific Notes</t>
        </is>
      </c>
      <c r="C1146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14695" t="inlineStr">
        <is>
          <t>See notes for:  Gross domestic product, constant prices (National currency).</t>
        </is>
      </c>
    </row>
    <row r="114696">
      <c r="B114696" t="n">
        <v>2000</v>
      </c>
      <c r="C114696" t="n">
        <v>16.963</v>
      </c>
      <c r="D114696" t="n">
        <v>1.865</v>
      </c>
    </row>
    <row r="114697">
      <c r="B114697" t="n">
        <v>2001</v>
      </c>
      <c r="C114697" t="n">
        <v>17.772</v>
      </c>
      <c r="D114697" t="n">
        <v>4.769</v>
      </c>
    </row>
    <row r="114698">
      <c r="B114698" t="n">
        <v>2002</v>
      </c>
      <c r="C114698" t="n">
        <v>18.747</v>
      </c>
      <c r="D114698" t="n">
        <v>5.487</v>
      </c>
    </row>
    <row r="114699">
      <c r="B114699" t="n">
        <v>2003</v>
      </c>
      <c r="C114699" t="n">
        <v>20.852</v>
      </c>
      <c r="D114699" t="n">
        <v>11.228</v>
      </c>
    </row>
    <row r="114700">
      <c r="B114700" t="n">
        <v>2004</v>
      </c>
      <c r="C114700" t="n">
        <v>22.061</v>
      </c>
      <c r="D114700" t="n">
        <v>5.796</v>
      </c>
    </row>
    <row r="114701">
      <c r="B114701" t="n">
        <v>2005</v>
      </c>
      <c r="C114701" t="n">
        <v>24.176</v>
      </c>
      <c r="D114701" t="n">
        <v>9.587999999999999</v>
      </c>
    </row>
    <row r="114702">
      <c r="B114702" t="n">
        <v>2006</v>
      </c>
      <c r="C114702" t="n">
        <v>26.454</v>
      </c>
      <c r="D114702" t="n">
        <v>9.42</v>
      </c>
    </row>
    <row r="114703">
      <c r="B114703" t="n">
        <v>2007</v>
      </c>
      <c r="C114703" t="n">
        <v>29.781</v>
      </c>
      <c r="D114703" t="n">
        <v>12.579</v>
      </c>
    </row>
    <row r="114704">
      <c r="B114704" t="n">
        <v>2008</v>
      </c>
      <c r="C114704" t="n">
        <v>30.502</v>
      </c>
      <c r="D114704" t="n">
        <v>2.419</v>
      </c>
    </row>
    <row r="114705">
      <c r="B114705" t="n">
        <v>2009</v>
      </c>
      <c r="C114705" t="n">
        <v>29.388</v>
      </c>
      <c r="D114705" t="n">
        <v>-3.651</v>
      </c>
    </row>
    <row r="114706">
      <c r="B114706" t="n">
        <v>2010</v>
      </c>
      <c r="C114706" t="n">
        <v>31.428</v>
      </c>
      <c r="D114706" t="n">
        <v>6.942</v>
      </c>
    </row>
    <row r="114707">
      <c r="B114707" t="n">
        <v>2011</v>
      </c>
      <c r="C114707" t="n">
        <v>33.927</v>
      </c>
      <c r="D114707" t="n">
        <v>7.949</v>
      </c>
    </row>
    <row r="114708">
      <c r="B114708" t="n">
        <v>2012</v>
      </c>
      <c r="C114708" t="n">
        <v>36.159</v>
      </c>
      <c r="D114708" t="n">
        <v>6.579</v>
      </c>
    </row>
    <row r="114709">
      <c r="B114709" t="n">
        <v>2013</v>
      </c>
      <c r="C114709" t="n">
        <v>38.015</v>
      </c>
      <c r="D114709" t="n">
        <v>5.134</v>
      </c>
    </row>
    <row r="114710">
      <c r="B114710" t="n">
        <v>2014</v>
      </c>
      <c r="C114710" t="n">
        <v>39.57</v>
      </c>
      <c r="D114710" t="n">
        <v>4.091</v>
      </c>
    </row>
    <row r="114711">
      <c r="B114711" t="n">
        <v>2015</v>
      </c>
      <c r="C114711" t="n">
        <v>40.896</v>
      </c>
      <c r="D114711" t="n">
        <v>3.351</v>
      </c>
    </row>
    <row r="114712">
      <c r="B114712" t="n">
        <v>2016</v>
      </c>
      <c r="C114712" t="n">
        <v>42.307</v>
      </c>
      <c r="D114712" t="n">
        <v>3.45</v>
      </c>
    </row>
    <row r="114713">
      <c r="B114713" t="n">
        <v>2017</v>
      </c>
      <c r="C114713" t="n">
        <v>44.49</v>
      </c>
      <c r="D114713" t="n">
        <v>5.161</v>
      </c>
    </row>
    <row r="114714">
      <c r="B114714" t="n">
        <v>2018</v>
      </c>
      <c r="C114714" t="n">
        <v>47.187</v>
      </c>
      <c r="D114714" t="n">
        <v>6.062</v>
      </c>
    </row>
    <row r="114715">
      <c r="B114715" t="n">
        <v>2019</v>
      </c>
      <c r="C114715" t="n">
        <v>49.726</v>
      </c>
      <c r="D114715" t="n">
        <v>5.38</v>
      </c>
    </row>
    <row r="114716">
      <c r="B114716" t="n">
        <v>2020</v>
      </c>
      <c r="C114716" t="n">
        <v>46.598</v>
      </c>
      <c r="D114716" t="n">
        <v>-6.291</v>
      </c>
    </row>
    <row r="114717">
      <c r="B114717" t="n">
        <v>2021</v>
      </c>
      <c r="C114717" t="n">
        <v>51.558</v>
      </c>
      <c r="D114717" t="n">
        <v>10.644</v>
      </c>
    </row>
    <row r="114718">
      <c r="B114718" t="n">
        <v>2022</v>
      </c>
      <c r="C114718" t="n">
        <v>57.208</v>
      </c>
      <c r="D114718" t="n">
        <v>10.96</v>
      </c>
    </row>
    <row r="114719">
      <c r="B114719" t="n">
        <v>2023</v>
      </c>
      <c r="C114719" t="n">
        <v>61.689</v>
      </c>
      <c r="D114719" t="n">
        <v>7.832</v>
      </c>
    </row>
    <row r="114720">
      <c r="B114720" t="n">
        <v>2024</v>
      </c>
      <c r="C114720" t="n">
        <v>67.505</v>
      </c>
      <c r="D114720" t="n">
        <v>9.429</v>
      </c>
    </row>
    <row r="114721">
      <c r="B114721" t="n">
        <v>2025</v>
      </c>
      <c r="C114721" t="n">
        <v>71.54000000000001</v>
      </c>
      <c r="D114721" t="n">
        <v>5.977</v>
      </c>
    </row>
    <row r="114722">
      <c r="B114722" t="n">
        <v>2026</v>
      </c>
      <c r="C114722" t="n">
        <v>75.117</v>
      </c>
      <c r="D114722" t="n">
        <v>5</v>
      </c>
    </row>
    <row r="114723">
      <c r="B114723" t="n">
        <v>2027</v>
      </c>
      <c r="C114723" t="n">
        <v>78.873</v>
      </c>
      <c r="D114723" t="n">
        <v>5</v>
      </c>
    </row>
    <row r="114724">
      <c r="B114724" t="inlineStr">
        <is>
          <t>Estimates Start After</t>
        </is>
      </c>
      <c r="C114724" t="n">
        <v>2024</v>
      </c>
      <c r="D114724" t="n">
        <v>2024</v>
      </c>
    </row>
    <row r="131073">
      <c r="B131073" t="inlineStr">
        <is>
          <t>WEO Country Code</t>
        </is>
      </c>
      <c r="C131073" t="n">
        <v>915</v>
      </c>
      <c r="D131073" t="n">
        <v>915</v>
      </c>
    </row>
    <row r="131074">
      <c r="B131074" t="inlineStr">
        <is>
          <t>WEO Subject Code</t>
        </is>
      </c>
      <c r="C131074" t="inlineStr">
        <is>
          <t>NGDP_R</t>
        </is>
      </c>
      <c r="D131074" t="inlineStr">
        <is>
          <t>NGDP_RPCH</t>
        </is>
      </c>
    </row>
    <row r="131075">
      <c r="B131075" t="inlineStr">
        <is>
          <t>Country</t>
        </is>
      </c>
      <c r="C131075" t="inlineStr">
        <is>
          <t>Georgia</t>
        </is>
      </c>
      <c r="D131075" t="inlineStr">
        <is>
          <t>Georgia</t>
        </is>
      </c>
    </row>
    <row r="131076">
      <c r="B131076" t="inlineStr">
        <is>
          <t>Subject Descriptor</t>
        </is>
      </c>
      <c r="C131076" t="inlineStr">
        <is>
          <t>Gross domestic product, constant prices</t>
        </is>
      </c>
      <c r="D131076" t="inlineStr">
        <is>
          <t>Gross domestic product, constant prices</t>
        </is>
      </c>
    </row>
    <row r="131077">
      <c r="B131077" t="inlineStr">
        <is>
          <t>Units</t>
        </is>
      </c>
      <c r="C131077" t="inlineStr">
        <is>
          <t>National currency</t>
        </is>
      </c>
      <c r="D131077" t="inlineStr">
        <is>
          <t>Percent change</t>
        </is>
      </c>
    </row>
    <row r="131078">
      <c r="B131078" t="inlineStr">
        <is>
          <t>Scale</t>
        </is>
      </c>
      <c r="C131078" t="inlineStr">
        <is>
          <t>Billions</t>
        </is>
      </c>
      <c r="D131078" t="inlineStr">
        <is>
          <t>Units</t>
        </is>
      </c>
    </row>
    <row r="131079">
      <c r="B131079" t="inlineStr">
        <is>
          <t>Country/Series-specific Notes</t>
        </is>
      </c>
      <c r="C1310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31079" t="inlineStr">
        <is>
          <t>See notes for:  Gross domestic product, constant prices (National currency).</t>
        </is>
      </c>
    </row>
    <row r="131080">
      <c r="B131080" t="n">
        <v>2000</v>
      </c>
      <c r="C131080" t="n">
        <v>16.963</v>
      </c>
      <c r="D131080" t="n">
        <v>1.865</v>
      </c>
    </row>
    <row r="131081">
      <c r="B131081" t="n">
        <v>2001</v>
      </c>
      <c r="C131081" t="n">
        <v>17.772</v>
      </c>
      <c r="D131081" t="n">
        <v>4.769</v>
      </c>
    </row>
    <row r="131082">
      <c r="B131082" t="n">
        <v>2002</v>
      </c>
      <c r="C131082" t="n">
        <v>18.747</v>
      </c>
      <c r="D131082" t="n">
        <v>5.487</v>
      </c>
    </row>
    <row r="131083">
      <c r="B131083" t="n">
        <v>2003</v>
      </c>
      <c r="C131083" t="n">
        <v>20.852</v>
      </c>
      <c r="D131083" t="n">
        <v>11.228</v>
      </c>
    </row>
    <row r="131084">
      <c r="B131084" t="n">
        <v>2004</v>
      </c>
      <c r="C131084" t="n">
        <v>22.061</v>
      </c>
      <c r="D131084" t="n">
        <v>5.796</v>
      </c>
    </row>
    <row r="131085">
      <c r="B131085" t="n">
        <v>2005</v>
      </c>
      <c r="C131085" t="n">
        <v>24.176</v>
      </c>
      <c r="D131085" t="n">
        <v>9.587999999999999</v>
      </c>
    </row>
    <row r="131086">
      <c r="B131086" t="n">
        <v>2006</v>
      </c>
      <c r="C131086" t="n">
        <v>26.454</v>
      </c>
      <c r="D131086" t="n">
        <v>9.42</v>
      </c>
    </row>
    <row r="131087">
      <c r="B131087" t="n">
        <v>2007</v>
      </c>
      <c r="C131087" t="n">
        <v>29.781</v>
      </c>
      <c r="D131087" t="n">
        <v>12.579</v>
      </c>
    </row>
    <row r="131088">
      <c r="B131088" t="n">
        <v>2008</v>
      </c>
      <c r="C131088" t="n">
        <v>30.502</v>
      </c>
      <c r="D131088" t="n">
        <v>2.419</v>
      </c>
    </row>
    <row r="131089">
      <c r="B131089" t="n">
        <v>2009</v>
      </c>
      <c r="C131089" t="n">
        <v>29.388</v>
      </c>
      <c r="D131089" t="n">
        <v>-3.651</v>
      </c>
    </row>
    <row r="131090">
      <c r="B131090" t="n">
        <v>2010</v>
      </c>
      <c r="C131090" t="n">
        <v>31.428</v>
      </c>
      <c r="D131090" t="n">
        <v>6.942</v>
      </c>
    </row>
    <row r="131091">
      <c r="B131091" t="n">
        <v>2011</v>
      </c>
      <c r="C131091" t="n">
        <v>33.927</v>
      </c>
      <c r="D131091" t="n">
        <v>7.949</v>
      </c>
    </row>
    <row r="131092">
      <c r="B131092" t="n">
        <v>2012</v>
      </c>
      <c r="C131092" t="n">
        <v>36.159</v>
      </c>
      <c r="D131092" t="n">
        <v>6.579</v>
      </c>
    </row>
    <row r="131093">
      <c r="B131093" t="n">
        <v>2013</v>
      </c>
      <c r="C131093" t="n">
        <v>38.015</v>
      </c>
      <c r="D131093" t="n">
        <v>5.134</v>
      </c>
    </row>
    <row r="131094">
      <c r="B131094" t="n">
        <v>2014</v>
      </c>
      <c r="C131094" t="n">
        <v>39.57</v>
      </c>
      <c r="D131094" t="n">
        <v>4.091</v>
      </c>
    </row>
    <row r="131095">
      <c r="B131095" t="n">
        <v>2015</v>
      </c>
      <c r="C131095" t="n">
        <v>40.896</v>
      </c>
      <c r="D131095" t="n">
        <v>3.351</v>
      </c>
    </row>
    <row r="131096">
      <c r="B131096" t="n">
        <v>2016</v>
      </c>
      <c r="C131096" t="n">
        <v>42.307</v>
      </c>
      <c r="D131096" t="n">
        <v>3.45</v>
      </c>
    </row>
    <row r="131097">
      <c r="B131097" t="n">
        <v>2017</v>
      </c>
      <c r="C131097" t="n">
        <v>44.49</v>
      </c>
      <c r="D131097" t="n">
        <v>5.161</v>
      </c>
    </row>
    <row r="131098">
      <c r="B131098" t="n">
        <v>2018</v>
      </c>
      <c r="C131098" t="n">
        <v>47.187</v>
      </c>
      <c r="D131098" t="n">
        <v>6.062</v>
      </c>
    </row>
    <row r="131099">
      <c r="B131099" t="n">
        <v>2019</v>
      </c>
      <c r="C131099" t="n">
        <v>49.726</v>
      </c>
      <c r="D131099" t="n">
        <v>5.38</v>
      </c>
    </row>
    <row r="131100">
      <c r="B131100" t="n">
        <v>2020</v>
      </c>
      <c r="C131100" t="n">
        <v>46.598</v>
      </c>
      <c r="D131100" t="n">
        <v>-6.291</v>
      </c>
    </row>
    <row r="131101">
      <c r="B131101" t="n">
        <v>2021</v>
      </c>
      <c r="C131101" t="n">
        <v>51.558</v>
      </c>
      <c r="D131101" t="n">
        <v>10.644</v>
      </c>
    </row>
    <row r="131102">
      <c r="B131102" t="n">
        <v>2022</v>
      </c>
      <c r="C131102" t="n">
        <v>57.208</v>
      </c>
      <c r="D131102" t="n">
        <v>10.96</v>
      </c>
    </row>
    <row r="131103">
      <c r="B131103" t="n">
        <v>2023</v>
      </c>
      <c r="C131103" t="n">
        <v>61.689</v>
      </c>
      <c r="D131103" t="n">
        <v>7.832</v>
      </c>
    </row>
    <row r="131104">
      <c r="B131104" t="n">
        <v>2024</v>
      </c>
      <c r="C131104" t="n">
        <v>67.505</v>
      </c>
      <c r="D131104" t="n">
        <v>9.429</v>
      </c>
    </row>
    <row r="131105">
      <c r="B131105" t="n">
        <v>2025</v>
      </c>
      <c r="C131105" t="n">
        <v>71.54000000000001</v>
      </c>
      <c r="D131105" t="n">
        <v>5.977</v>
      </c>
    </row>
    <row r="131106">
      <c r="B131106" t="n">
        <v>2026</v>
      </c>
      <c r="C131106" t="n">
        <v>75.117</v>
      </c>
      <c r="D131106" t="n">
        <v>5</v>
      </c>
    </row>
    <row r="131107">
      <c r="B131107" t="n">
        <v>2027</v>
      </c>
      <c r="C131107" t="n">
        <v>78.873</v>
      </c>
      <c r="D131107" t="n">
        <v>5</v>
      </c>
    </row>
    <row r="131108">
      <c r="B131108" t="inlineStr">
        <is>
          <t>Estimates Start After</t>
        </is>
      </c>
      <c r="C131108" t="n">
        <v>2024</v>
      </c>
      <c r="D131108" t="n">
        <v>2024</v>
      </c>
    </row>
    <row r="147457">
      <c r="B147457" t="inlineStr">
        <is>
          <t>WEO Country Code</t>
        </is>
      </c>
      <c r="C147457" t="n">
        <v>915</v>
      </c>
      <c r="D147457" t="n">
        <v>915</v>
      </c>
    </row>
    <row r="147458">
      <c r="B147458" t="inlineStr">
        <is>
          <t>WEO Subject Code</t>
        </is>
      </c>
      <c r="C147458" t="inlineStr">
        <is>
          <t>NGDP_R</t>
        </is>
      </c>
      <c r="D147458" t="inlineStr">
        <is>
          <t>NGDP_RPCH</t>
        </is>
      </c>
    </row>
    <row r="147459">
      <c r="B147459" t="inlineStr">
        <is>
          <t>Country</t>
        </is>
      </c>
      <c r="C147459" t="inlineStr">
        <is>
          <t>Georgia</t>
        </is>
      </c>
      <c r="D147459" t="inlineStr">
        <is>
          <t>Georgia</t>
        </is>
      </c>
    </row>
    <row r="147460">
      <c r="B147460" t="inlineStr">
        <is>
          <t>Subject Descriptor</t>
        </is>
      </c>
      <c r="C147460" t="inlineStr">
        <is>
          <t>Gross domestic product, constant prices</t>
        </is>
      </c>
      <c r="D147460" t="inlineStr">
        <is>
          <t>Gross domestic product, constant prices</t>
        </is>
      </c>
    </row>
    <row r="147461">
      <c r="B147461" t="inlineStr">
        <is>
          <t>Units</t>
        </is>
      </c>
      <c r="C147461" t="inlineStr">
        <is>
          <t>National currency</t>
        </is>
      </c>
      <c r="D147461" t="inlineStr">
        <is>
          <t>Percent change</t>
        </is>
      </c>
    </row>
    <row r="147462">
      <c r="B147462" t="inlineStr">
        <is>
          <t>Scale</t>
        </is>
      </c>
      <c r="C147462" t="inlineStr">
        <is>
          <t>Billions</t>
        </is>
      </c>
      <c r="D147462" t="inlineStr">
        <is>
          <t>Units</t>
        </is>
      </c>
    </row>
    <row r="147463">
      <c r="B147463" t="inlineStr">
        <is>
          <t>Country/Series-specific Notes</t>
        </is>
      </c>
      <c r="C1474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47463" t="inlineStr">
        <is>
          <t>See notes for:  Gross domestic product, constant prices (National currency).</t>
        </is>
      </c>
    </row>
    <row r="147464">
      <c r="B147464" t="n">
        <v>2000</v>
      </c>
      <c r="C147464" t="n">
        <v>16.963</v>
      </c>
      <c r="D147464" t="n">
        <v>1.865</v>
      </c>
    </row>
    <row r="147465">
      <c r="B147465" t="n">
        <v>2001</v>
      </c>
      <c r="C147465" t="n">
        <v>17.772</v>
      </c>
      <c r="D147465" t="n">
        <v>4.769</v>
      </c>
    </row>
    <row r="147466">
      <c r="B147466" t="n">
        <v>2002</v>
      </c>
      <c r="C147466" t="n">
        <v>18.747</v>
      </c>
      <c r="D147466" t="n">
        <v>5.487</v>
      </c>
    </row>
    <row r="147467">
      <c r="B147467" t="n">
        <v>2003</v>
      </c>
      <c r="C147467" t="n">
        <v>20.852</v>
      </c>
      <c r="D147467" t="n">
        <v>11.228</v>
      </c>
    </row>
    <row r="147468">
      <c r="B147468" t="n">
        <v>2004</v>
      </c>
      <c r="C147468" t="n">
        <v>22.061</v>
      </c>
      <c r="D147468" t="n">
        <v>5.796</v>
      </c>
    </row>
    <row r="147469">
      <c r="B147469" t="n">
        <v>2005</v>
      </c>
      <c r="C147469" t="n">
        <v>24.176</v>
      </c>
      <c r="D147469" t="n">
        <v>9.587999999999999</v>
      </c>
    </row>
    <row r="147470">
      <c r="B147470" t="n">
        <v>2006</v>
      </c>
      <c r="C147470" t="n">
        <v>26.454</v>
      </c>
      <c r="D147470" t="n">
        <v>9.42</v>
      </c>
    </row>
    <row r="147471">
      <c r="B147471" t="n">
        <v>2007</v>
      </c>
      <c r="C147471" t="n">
        <v>29.781</v>
      </c>
      <c r="D147471" t="n">
        <v>12.579</v>
      </c>
    </row>
    <row r="147472">
      <c r="B147472" t="n">
        <v>2008</v>
      </c>
      <c r="C147472" t="n">
        <v>30.502</v>
      </c>
      <c r="D147472" t="n">
        <v>2.419</v>
      </c>
    </row>
    <row r="147473">
      <c r="B147473" t="n">
        <v>2009</v>
      </c>
      <c r="C147473" t="n">
        <v>29.388</v>
      </c>
      <c r="D147473" t="n">
        <v>-3.651</v>
      </c>
    </row>
    <row r="147474">
      <c r="B147474" t="n">
        <v>2010</v>
      </c>
      <c r="C147474" t="n">
        <v>31.428</v>
      </c>
      <c r="D147474" t="n">
        <v>6.942</v>
      </c>
    </row>
    <row r="147475">
      <c r="B147475" t="n">
        <v>2011</v>
      </c>
      <c r="C147475" t="n">
        <v>33.927</v>
      </c>
      <c r="D147475" t="n">
        <v>7.949</v>
      </c>
    </row>
    <row r="147476">
      <c r="B147476" t="n">
        <v>2012</v>
      </c>
      <c r="C147476" t="n">
        <v>36.159</v>
      </c>
      <c r="D147476" t="n">
        <v>6.579</v>
      </c>
    </row>
    <row r="147477">
      <c r="B147477" t="n">
        <v>2013</v>
      </c>
      <c r="C147477" t="n">
        <v>38.015</v>
      </c>
      <c r="D147477" t="n">
        <v>5.134</v>
      </c>
    </row>
    <row r="147478">
      <c r="B147478" t="n">
        <v>2014</v>
      </c>
      <c r="C147478" t="n">
        <v>39.57</v>
      </c>
      <c r="D147478" t="n">
        <v>4.091</v>
      </c>
    </row>
    <row r="147479">
      <c r="B147479" t="n">
        <v>2015</v>
      </c>
      <c r="C147479" t="n">
        <v>40.896</v>
      </c>
      <c r="D147479" t="n">
        <v>3.351</v>
      </c>
    </row>
    <row r="147480">
      <c r="B147480" t="n">
        <v>2016</v>
      </c>
      <c r="C147480" t="n">
        <v>42.307</v>
      </c>
      <c r="D147480" t="n">
        <v>3.45</v>
      </c>
    </row>
    <row r="147481">
      <c r="B147481" t="n">
        <v>2017</v>
      </c>
      <c r="C147481" t="n">
        <v>44.49</v>
      </c>
      <c r="D147481" t="n">
        <v>5.161</v>
      </c>
    </row>
    <row r="147482">
      <c r="B147482" t="n">
        <v>2018</v>
      </c>
      <c r="C147482" t="n">
        <v>47.187</v>
      </c>
      <c r="D147482" t="n">
        <v>6.062</v>
      </c>
    </row>
    <row r="147483">
      <c r="B147483" t="n">
        <v>2019</v>
      </c>
      <c r="C147483" t="n">
        <v>49.726</v>
      </c>
      <c r="D147483" t="n">
        <v>5.38</v>
      </c>
    </row>
    <row r="147484">
      <c r="B147484" t="n">
        <v>2020</v>
      </c>
      <c r="C147484" t="n">
        <v>46.598</v>
      </c>
      <c r="D147484" t="n">
        <v>-6.291</v>
      </c>
    </row>
    <row r="147485">
      <c r="B147485" t="n">
        <v>2021</v>
      </c>
      <c r="C147485" t="n">
        <v>51.558</v>
      </c>
      <c r="D147485" t="n">
        <v>10.644</v>
      </c>
    </row>
    <row r="147486">
      <c r="B147486" t="n">
        <v>2022</v>
      </c>
      <c r="C147486" t="n">
        <v>57.208</v>
      </c>
      <c r="D147486" t="n">
        <v>10.96</v>
      </c>
    </row>
    <row r="147487">
      <c r="B147487" t="n">
        <v>2023</v>
      </c>
      <c r="C147487" t="n">
        <v>61.689</v>
      </c>
      <c r="D147487" t="n">
        <v>7.832</v>
      </c>
    </row>
    <row r="147488">
      <c r="B147488" t="n">
        <v>2024</v>
      </c>
      <c r="C147488" t="n">
        <v>67.505</v>
      </c>
      <c r="D147488" t="n">
        <v>9.429</v>
      </c>
    </row>
    <row r="147489">
      <c r="B147489" t="n">
        <v>2025</v>
      </c>
      <c r="C147489" t="n">
        <v>71.54000000000001</v>
      </c>
      <c r="D147489" t="n">
        <v>5.977</v>
      </c>
    </row>
    <row r="147490">
      <c r="B147490" t="n">
        <v>2026</v>
      </c>
      <c r="C147490" t="n">
        <v>75.117</v>
      </c>
      <c r="D147490" t="n">
        <v>5</v>
      </c>
    </row>
    <row r="147491">
      <c r="B147491" t="n">
        <v>2027</v>
      </c>
      <c r="C147491" t="n">
        <v>78.873</v>
      </c>
      <c r="D147491" t="n">
        <v>5</v>
      </c>
    </row>
    <row r="147492">
      <c r="B147492" t="inlineStr">
        <is>
          <t>Estimates Start After</t>
        </is>
      </c>
      <c r="C147492" t="n">
        <v>2024</v>
      </c>
      <c r="D147492" t="n">
        <v>2024</v>
      </c>
    </row>
    <row r="163841">
      <c r="B163841" t="inlineStr">
        <is>
          <t>WEO Country Code</t>
        </is>
      </c>
      <c r="C163841" t="n">
        <v>915</v>
      </c>
      <c r="D163841" t="n">
        <v>915</v>
      </c>
    </row>
    <row r="163842">
      <c r="B163842" t="inlineStr">
        <is>
          <t>WEO Subject Code</t>
        </is>
      </c>
      <c r="C163842" t="inlineStr">
        <is>
          <t>NGDP_R</t>
        </is>
      </c>
      <c r="D163842" t="inlineStr">
        <is>
          <t>NGDP_RPCH</t>
        </is>
      </c>
    </row>
    <row r="163843">
      <c r="B163843" t="inlineStr">
        <is>
          <t>Country</t>
        </is>
      </c>
      <c r="C163843" t="inlineStr">
        <is>
          <t>Georgia</t>
        </is>
      </c>
      <c r="D163843" t="inlineStr">
        <is>
          <t>Georgia</t>
        </is>
      </c>
    </row>
    <row r="163844">
      <c r="B163844" t="inlineStr">
        <is>
          <t>Subject Descriptor</t>
        </is>
      </c>
      <c r="C163844" t="inlineStr">
        <is>
          <t>Gross domestic product, constant prices</t>
        </is>
      </c>
      <c r="D163844" t="inlineStr">
        <is>
          <t>Gross domestic product, constant prices</t>
        </is>
      </c>
    </row>
    <row r="163845">
      <c r="B163845" t="inlineStr">
        <is>
          <t>Units</t>
        </is>
      </c>
      <c r="C163845" t="inlineStr">
        <is>
          <t>National currency</t>
        </is>
      </c>
      <c r="D163845" t="inlineStr">
        <is>
          <t>Percent change</t>
        </is>
      </c>
    </row>
    <row r="163846">
      <c r="B163846" t="inlineStr">
        <is>
          <t>Scale</t>
        </is>
      </c>
      <c r="C163846" t="inlineStr">
        <is>
          <t>Billions</t>
        </is>
      </c>
      <c r="D163846" t="inlineStr">
        <is>
          <t>Units</t>
        </is>
      </c>
    </row>
    <row r="163847">
      <c r="B163847" t="inlineStr">
        <is>
          <t>Country/Series-specific Notes</t>
        </is>
      </c>
      <c r="C1638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847" t="inlineStr">
        <is>
          <t>See notes for:  Gross domestic product, constant prices (National currency).</t>
        </is>
      </c>
    </row>
    <row r="163848">
      <c r="B163848" t="n">
        <v>2000</v>
      </c>
      <c r="C163848" t="n">
        <v>16.963</v>
      </c>
      <c r="D163848" t="n">
        <v>1.865</v>
      </c>
    </row>
    <row r="163849">
      <c r="B163849" t="n">
        <v>2001</v>
      </c>
      <c r="C163849" t="n">
        <v>17.772</v>
      </c>
      <c r="D163849" t="n">
        <v>4.769</v>
      </c>
    </row>
    <row r="163850">
      <c r="B163850" t="n">
        <v>2002</v>
      </c>
      <c r="C163850" t="n">
        <v>18.747</v>
      </c>
      <c r="D163850" t="n">
        <v>5.487</v>
      </c>
    </row>
    <row r="163851">
      <c r="B163851" t="n">
        <v>2003</v>
      </c>
      <c r="C163851" t="n">
        <v>20.852</v>
      </c>
      <c r="D163851" t="n">
        <v>11.228</v>
      </c>
    </row>
    <row r="163852">
      <c r="B163852" t="n">
        <v>2004</v>
      </c>
      <c r="C163852" t="n">
        <v>22.061</v>
      </c>
      <c r="D163852" t="n">
        <v>5.796</v>
      </c>
    </row>
    <row r="163853">
      <c r="B163853" t="n">
        <v>2005</v>
      </c>
      <c r="C163853" t="n">
        <v>24.176</v>
      </c>
      <c r="D163853" t="n">
        <v>9.587999999999999</v>
      </c>
    </row>
    <row r="163854">
      <c r="B163854" t="n">
        <v>2006</v>
      </c>
      <c r="C163854" t="n">
        <v>26.454</v>
      </c>
      <c r="D163854" t="n">
        <v>9.42</v>
      </c>
    </row>
    <row r="163855">
      <c r="B163855" t="n">
        <v>2007</v>
      </c>
      <c r="C163855" t="n">
        <v>29.781</v>
      </c>
      <c r="D163855" t="n">
        <v>12.579</v>
      </c>
    </row>
    <row r="163856">
      <c r="B163856" t="n">
        <v>2008</v>
      </c>
      <c r="C163856" t="n">
        <v>30.502</v>
      </c>
      <c r="D163856" t="n">
        <v>2.419</v>
      </c>
    </row>
    <row r="163857">
      <c r="B163857" t="n">
        <v>2009</v>
      </c>
      <c r="C163857" t="n">
        <v>29.388</v>
      </c>
      <c r="D163857" t="n">
        <v>-3.651</v>
      </c>
    </row>
    <row r="163858">
      <c r="B163858" t="n">
        <v>2010</v>
      </c>
      <c r="C163858" t="n">
        <v>31.428</v>
      </c>
      <c r="D163858" t="n">
        <v>6.942</v>
      </c>
    </row>
    <row r="163859">
      <c r="B163859" t="n">
        <v>2011</v>
      </c>
      <c r="C163859" t="n">
        <v>33.927</v>
      </c>
      <c r="D163859" t="n">
        <v>7.949</v>
      </c>
    </row>
    <row r="163860">
      <c r="B163860" t="n">
        <v>2012</v>
      </c>
      <c r="C163860" t="n">
        <v>36.159</v>
      </c>
      <c r="D163860" t="n">
        <v>6.579</v>
      </c>
    </row>
    <row r="163861">
      <c r="B163861" t="n">
        <v>2013</v>
      </c>
      <c r="C163861" t="n">
        <v>38.015</v>
      </c>
      <c r="D163861" t="n">
        <v>5.134</v>
      </c>
    </row>
    <row r="163862">
      <c r="B163862" t="n">
        <v>2014</v>
      </c>
      <c r="C163862" t="n">
        <v>39.57</v>
      </c>
      <c r="D163862" t="n">
        <v>4.091</v>
      </c>
    </row>
    <row r="163863">
      <c r="B163863" t="n">
        <v>2015</v>
      </c>
      <c r="C163863" t="n">
        <v>40.896</v>
      </c>
      <c r="D163863" t="n">
        <v>3.351</v>
      </c>
    </row>
    <row r="163864">
      <c r="B163864" t="n">
        <v>2016</v>
      </c>
      <c r="C163864" t="n">
        <v>42.307</v>
      </c>
      <c r="D163864" t="n">
        <v>3.45</v>
      </c>
    </row>
    <row r="163865">
      <c r="B163865" t="n">
        <v>2017</v>
      </c>
      <c r="C163865" t="n">
        <v>44.49</v>
      </c>
      <c r="D163865" t="n">
        <v>5.161</v>
      </c>
    </row>
    <row r="163866">
      <c r="B163866" t="n">
        <v>2018</v>
      </c>
      <c r="C163866" t="n">
        <v>47.187</v>
      </c>
      <c r="D163866" t="n">
        <v>6.062</v>
      </c>
    </row>
    <row r="163867">
      <c r="B163867" t="n">
        <v>2019</v>
      </c>
      <c r="C163867" t="n">
        <v>49.726</v>
      </c>
      <c r="D163867" t="n">
        <v>5.38</v>
      </c>
    </row>
    <row r="163868">
      <c r="B163868" t="n">
        <v>2020</v>
      </c>
      <c r="C163868" t="n">
        <v>46.598</v>
      </c>
      <c r="D163868" t="n">
        <v>-6.291</v>
      </c>
    </row>
    <row r="163869">
      <c r="B163869" t="n">
        <v>2021</v>
      </c>
      <c r="C163869" t="n">
        <v>51.558</v>
      </c>
      <c r="D163869" t="n">
        <v>10.644</v>
      </c>
    </row>
    <row r="163870">
      <c r="B163870" t="n">
        <v>2022</v>
      </c>
      <c r="C163870" t="n">
        <v>57.208</v>
      </c>
      <c r="D163870" t="n">
        <v>10.96</v>
      </c>
    </row>
    <row r="163871">
      <c r="B163871" t="n">
        <v>2023</v>
      </c>
      <c r="C163871" t="n">
        <v>61.689</v>
      </c>
      <c r="D163871" t="n">
        <v>7.832</v>
      </c>
    </row>
    <row r="163872">
      <c r="B163872" t="n">
        <v>2024</v>
      </c>
      <c r="C163872" t="n">
        <v>67.505</v>
      </c>
      <c r="D163872" t="n">
        <v>9.429</v>
      </c>
    </row>
    <row r="163873">
      <c r="B163873" t="n">
        <v>2025</v>
      </c>
      <c r="C163873" t="n">
        <v>71.54000000000001</v>
      </c>
      <c r="D163873" t="n">
        <v>5.977</v>
      </c>
    </row>
    <row r="163874">
      <c r="B163874" t="n">
        <v>2026</v>
      </c>
      <c r="C163874" t="n">
        <v>75.117</v>
      </c>
      <c r="D163874" t="n">
        <v>5</v>
      </c>
    </row>
    <row r="163875">
      <c r="B163875" t="n">
        <v>2027</v>
      </c>
      <c r="C163875" t="n">
        <v>78.873</v>
      </c>
      <c r="D163875" t="n">
        <v>5</v>
      </c>
    </row>
    <row r="163876">
      <c r="B163876" t="inlineStr">
        <is>
          <t>Estimates Start After</t>
        </is>
      </c>
      <c r="C163876" t="n">
        <v>2024</v>
      </c>
      <c r="D163876" t="n">
        <v>2024</v>
      </c>
    </row>
    <row r="180225">
      <c r="B180225" t="inlineStr">
        <is>
          <t>WEO Country Code</t>
        </is>
      </c>
      <c r="C180225" t="n">
        <v>915</v>
      </c>
      <c r="D180225" t="n">
        <v>915</v>
      </c>
    </row>
    <row r="180226">
      <c r="B180226" t="inlineStr">
        <is>
          <t>WEO Subject Code</t>
        </is>
      </c>
      <c r="C180226" t="inlineStr">
        <is>
          <t>NGDP_R</t>
        </is>
      </c>
      <c r="D180226" t="inlineStr">
        <is>
          <t>NGDP_RPCH</t>
        </is>
      </c>
    </row>
    <row r="180227">
      <c r="B180227" t="inlineStr">
        <is>
          <t>Country</t>
        </is>
      </c>
      <c r="C180227" t="inlineStr">
        <is>
          <t>Georgia</t>
        </is>
      </c>
      <c r="D180227" t="inlineStr">
        <is>
          <t>Georgia</t>
        </is>
      </c>
    </row>
    <row r="180228">
      <c r="B180228" t="inlineStr">
        <is>
          <t>Subject Descriptor</t>
        </is>
      </c>
      <c r="C180228" t="inlineStr">
        <is>
          <t>Gross domestic product, constant prices</t>
        </is>
      </c>
      <c r="D180228" t="inlineStr">
        <is>
          <t>Gross domestic product, constant prices</t>
        </is>
      </c>
    </row>
    <row r="180229">
      <c r="B180229" t="inlineStr">
        <is>
          <t>Units</t>
        </is>
      </c>
      <c r="C180229" t="inlineStr">
        <is>
          <t>National currency</t>
        </is>
      </c>
      <c r="D180229" t="inlineStr">
        <is>
          <t>Percent change</t>
        </is>
      </c>
    </row>
    <row r="180230">
      <c r="B180230" t="inlineStr">
        <is>
          <t>Scale</t>
        </is>
      </c>
      <c r="C180230" t="inlineStr">
        <is>
          <t>Billions</t>
        </is>
      </c>
      <c r="D180230" t="inlineStr">
        <is>
          <t>Units</t>
        </is>
      </c>
    </row>
    <row r="180231">
      <c r="B180231" t="inlineStr">
        <is>
          <t>Country/Series-specific Notes</t>
        </is>
      </c>
      <c r="C1802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80231" t="inlineStr">
        <is>
          <t>See notes for:  Gross domestic product, constant prices (National currency).</t>
        </is>
      </c>
    </row>
    <row r="180232">
      <c r="B180232" t="n">
        <v>2000</v>
      </c>
      <c r="C180232" t="n">
        <v>16.963</v>
      </c>
      <c r="D180232" t="n">
        <v>1.865</v>
      </c>
    </row>
    <row r="180233">
      <c r="B180233" t="n">
        <v>2001</v>
      </c>
      <c r="C180233" t="n">
        <v>17.772</v>
      </c>
      <c r="D180233" t="n">
        <v>4.769</v>
      </c>
    </row>
    <row r="180234">
      <c r="B180234" t="n">
        <v>2002</v>
      </c>
      <c r="C180234" t="n">
        <v>18.747</v>
      </c>
      <c r="D180234" t="n">
        <v>5.487</v>
      </c>
    </row>
    <row r="180235">
      <c r="B180235" t="n">
        <v>2003</v>
      </c>
      <c r="C180235" t="n">
        <v>20.852</v>
      </c>
      <c r="D180235" t="n">
        <v>11.228</v>
      </c>
    </row>
    <row r="180236">
      <c r="B180236" t="n">
        <v>2004</v>
      </c>
      <c r="C180236" t="n">
        <v>22.061</v>
      </c>
      <c r="D180236" t="n">
        <v>5.796</v>
      </c>
    </row>
    <row r="180237">
      <c r="B180237" t="n">
        <v>2005</v>
      </c>
      <c r="C180237" t="n">
        <v>24.176</v>
      </c>
      <c r="D180237" t="n">
        <v>9.587999999999999</v>
      </c>
    </row>
    <row r="180238">
      <c r="B180238" t="n">
        <v>2006</v>
      </c>
      <c r="C180238" t="n">
        <v>26.454</v>
      </c>
      <c r="D180238" t="n">
        <v>9.42</v>
      </c>
    </row>
    <row r="180239">
      <c r="B180239" t="n">
        <v>2007</v>
      </c>
      <c r="C180239" t="n">
        <v>29.781</v>
      </c>
      <c r="D180239" t="n">
        <v>12.579</v>
      </c>
    </row>
    <row r="180240">
      <c r="B180240" t="n">
        <v>2008</v>
      </c>
      <c r="C180240" t="n">
        <v>30.502</v>
      </c>
      <c r="D180240" t="n">
        <v>2.419</v>
      </c>
    </row>
    <row r="180241">
      <c r="B180241" t="n">
        <v>2009</v>
      </c>
      <c r="C180241" t="n">
        <v>29.388</v>
      </c>
      <c r="D180241" t="n">
        <v>-3.651</v>
      </c>
    </row>
    <row r="180242">
      <c r="B180242" t="n">
        <v>2010</v>
      </c>
      <c r="C180242" t="n">
        <v>31.428</v>
      </c>
      <c r="D180242" t="n">
        <v>6.942</v>
      </c>
    </row>
    <row r="180243">
      <c r="B180243" t="n">
        <v>2011</v>
      </c>
      <c r="C180243" t="n">
        <v>33.927</v>
      </c>
      <c r="D180243" t="n">
        <v>7.949</v>
      </c>
    </row>
    <row r="180244">
      <c r="B180244" t="n">
        <v>2012</v>
      </c>
      <c r="C180244" t="n">
        <v>36.159</v>
      </c>
      <c r="D180244" t="n">
        <v>6.579</v>
      </c>
    </row>
    <row r="180245">
      <c r="B180245" t="n">
        <v>2013</v>
      </c>
      <c r="C180245" t="n">
        <v>38.015</v>
      </c>
      <c r="D180245" t="n">
        <v>5.134</v>
      </c>
    </row>
    <row r="180246">
      <c r="B180246" t="n">
        <v>2014</v>
      </c>
      <c r="C180246" t="n">
        <v>39.57</v>
      </c>
      <c r="D180246" t="n">
        <v>4.091</v>
      </c>
    </row>
    <row r="180247">
      <c r="B180247" t="n">
        <v>2015</v>
      </c>
      <c r="C180247" t="n">
        <v>40.896</v>
      </c>
      <c r="D180247" t="n">
        <v>3.351</v>
      </c>
    </row>
    <row r="180248">
      <c r="B180248" t="n">
        <v>2016</v>
      </c>
      <c r="C180248" t="n">
        <v>42.307</v>
      </c>
      <c r="D180248" t="n">
        <v>3.45</v>
      </c>
    </row>
    <row r="180249">
      <c r="B180249" t="n">
        <v>2017</v>
      </c>
      <c r="C180249" t="n">
        <v>44.49</v>
      </c>
      <c r="D180249" t="n">
        <v>5.161</v>
      </c>
    </row>
    <row r="180250">
      <c r="B180250" t="n">
        <v>2018</v>
      </c>
      <c r="C180250" t="n">
        <v>47.187</v>
      </c>
      <c r="D180250" t="n">
        <v>6.062</v>
      </c>
    </row>
    <row r="180251">
      <c r="B180251" t="n">
        <v>2019</v>
      </c>
      <c r="C180251" t="n">
        <v>49.726</v>
      </c>
      <c r="D180251" t="n">
        <v>5.38</v>
      </c>
    </row>
    <row r="180252">
      <c r="B180252" t="n">
        <v>2020</v>
      </c>
      <c r="C180252" t="n">
        <v>46.598</v>
      </c>
      <c r="D180252" t="n">
        <v>-6.291</v>
      </c>
    </row>
    <row r="180253">
      <c r="B180253" t="n">
        <v>2021</v>
      </c>
      <c r="C180253" t="n">
        <v>51.558</v>
      </c>
      <c r="D180253" t="n">
        <v>10.644</v>
      </c>
    </row>
    <row r="180254">
      <c r="B180254" t="n">
        <v>2022</v>
      </c>
      <c r="C180254" t="n">
        <v>57.208</v>
      </c>
      <c r="D180254" t="n">
        <v>10.96</v>
      </c>
    </row>
    <row r="180255">
      <c r="B180255" t="n">
        <v>2023</v>
      </c>
      <c r="C180255" t="n">
        <v>61.689</v>
      </c>
      <c r="D180255" t="n">
        <v>7.832</v>
      </c>
    </row>
    <row r="180256">
      <c r="B180256" t="n">
        <v>2024</v>
      </c>
      <c r="C180256" t="n">
        <v>67.505</v>
      </c>
      <c r="D180256" t="n">
        <v>9.429</v>
      </c>
    </row>
    <row r="180257">
      <c r="B180257" t="n">
        <v>2025</v>
      </c>
      <c r="C180257" t="n">
        <v>71.54000000000001</v>
      </c>
      <c r="D180257" t="n">
        <v>5.977</v>
      </c>
    </row>
    <row r="180258">
      <c r="B180258" t="n">
        <v>2026</v>
      </c>
      <c r="C180258" t="n">
        <v>75.117</v>
      </c>
      <c r="D180258" t="n">
        <v>5</v>
      </c>
    </row>
    <row r="180259">
      <c r="B180259" t="n">
        <v>2027</v>
      </c>
      <c r="C180259" t="n">
        <v>78.873</v>
      </c>
      <c r="D180259" t="n">
        <v>5</v>
      </c>
    </row>
    <row r="180260">
      <c r="B180260" t="inlineStr">
        <is>
          <t>Estimates Start After</t>
        </is>
      </c>
      <c r="C180260" t="n">
        <v>2024</v>
      </c>
      <c r="D180260" t="n">
        <v>2024</v>
      </c>
    </row>
    <row r="196609">
      <c r="B196609" t="inlineStr">
        <is>
          <t>WEO Country Code</t>
        </is>
      </c>
      <c r="C196609" t="n">
        <v>915</v>
      </c>
      <c r="D196609" t="n">
        <v>915</v>
      </c>
    </row>
    <row r="196610">
      <c r="B196610" t="inlineStr">
        <is>
          <t>WEO Subject Code</t>
        </is>
      </c>
      <c r="C196610" t="inlineStr">
        <is>
          <t>NGDP_R</t>
        </is>
      </c>
      <c r="D196610" t="inlineStr">
        <is>
          <t>NGDP_RPCH</t>
        </is>
      </c>
    </row>
    <row r="196611">
      <c r="B196611" t="inlineStr">
        <is>
          <t>Country</t>
        </is>
      </c>
      <c r="C196611" t="inlineStr">
        <is>
          <t>Georgia</t>
        </is>
      </c>
      <c r="D196611" t="inlineStr">
        <is>
          <t>Georgia</t>
        </is>
      </c>
    </row>
    <row r="196612">
      <c r="B196612" t="inlineStr">
        <is>
          <t>Subject Descriptor</t>
        </is>
      </c>
      <c r="C196612" t="inlineStr">
        <is>
          <t>Gross domestic product, constant prices</t>
        </is>
      </c>
      <c r="D196612" t="inlineStr">
        <is>
          <t>Gross domestic product, constant prices</t>
        </is>
      </c>
    </row>
    <row r="196613">
      <c r="B196613" t="inlineStr">
        <is>
          <t>Units</t>
        </is>
      </c>
      <c r="C196613" t="inlineStr">
        <is>
          <t>National currency</t>
        </is>
      </c>
      <c r="D196613" t="inlineStr">
        <is>
          <t>Percent change</t>
        </is>
      </c>
    </row>
    <row r="196614">
      <c r="B196614" t="inlineStr">
        <is>
          <t>Scale</t>
        </is>
      </c>
      <c r="C196614" t="inlineStr">
        <is>
          <t>Billions</t>
        </is>
      </c>
      <c r="D196614" t="inlineStr">
        <is>
          <t>Units</t>
        </is>
      </c>
    </row>
    <row r="196615">
      <c r="B196615" t="inlineStr">
        <is>
          <t>Country/Series-specific Notes</t>
        </is>
      </c>
      <c r="C1966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96615" t="inlineStr">
        <is>
          <t>See notes for:  Gross domestic product, constant prices (National currency).</t>
        </is>
      </c>
    </row>
    <row r="196616">
      <c r="B196616" t="n">
        <v>2000</v>
      </c>
      <c r="C196616" t="n">
        <v>16.963</v>
      </c>
      <c r="D196616" t="n">
        <v>1.865</v>
      </c>
    </row>
    <row r="196617">
      <c r="B196617" t="n">
        <v>2001</v>
      </c>
      <c r="C196617" t="n">
        <v>17.772</v>
      </c>
      <c r="D196617" t="n">
        <v>4.769</v>
      </c>
    </row>
    <row r="196618">
      <c r="B196618" t="n">
        <v>2002</v>
      </c>
      <c r="C196618" t="n">
        <v>18.747</v>
      </c>
      <c r="D196618" t="n">
        <v>5.487</v>
      </c>
    </row>
    <row r="196619">
      <c r="B196619" t="n">
        <v>2003</v>
      </c>
      <c r="C196619" t="n">
        <v>20.852</v>
      </c>
      <c r="D196619" t="n">
        <v>11.228</v>
      </c>
    </row>
    <row r="196620">
      <c r="B196620" t="n">
        <v>2004</v>
      </c>
      <c r="C196620" t="n">
        <v>22.061</v>
      </c>
      <c r="D196620" t="n">
        <v>5.796</v>
      </c>
    </row>
    <row r="196621">
      <c r="B196621" t="n">
        <v>2005</v>
      </c>
      <c r="C196621" t="n">
        <v>24.176</v>
      </c>
      <c r="D196621" t="n">
        <v>9.587999999999999</v>
      </c>
    </row>
    <row r="196622">
      <c r="B196622" t="n">
        <v>2006</v>
      </c>
      <c r="C196622" t="n">
        <v>26.454</v>
      </c>
      <c r="D196622" t="n">
        <v>9.42</v>
      </c>
    </row>
    <row r="196623">
      <c r="B196623" t="n">
        <v>2007</v>
      </c>
      <c r="C196623" t="n">
        <v>29.781</v>
      </c>
      <c r="D196623" t="n">
        <v>12.579</v>
      </c>
    </row>
    <row r="196624">
      <c r="B196624" t="n">
        <v>2008</v>
      </c>
      <c r="C196624" t="n">
        <v>30.502</v>
      </c>
      <c r="D196624" t="n">
        <v>2.419</v>
      </c>
    </row>
    <row r="196625">
      <c r="B196625" t="n">
        <v>2009</v>
      </c>
      <c r="C196625" t="n">
        <v>29.388</v>
      </c>
      <c r="D196625" t="n">
        <v>-3.651</v>
      </c>
    </row>
    <row r="196626">
      <c r="B196626" t="n">
        <v>2010</v>
      </c>
      <c r="C196626" t="n">
        <v>31.428</v>
      </c>
      <c r="D196626" t="n">
        <v>6.942</v>
      </c>
    </row>
    <row r="196627">
      <c r="B196627" t="n">
        <v>2011</v>
      </c>
      <c r="C196627" t="n">
        <v>33.927</v>
      </c>
      <c r="D196627" t="n">
        <v>7.949</v>
      </c>
    </row>
    <row r="196628">
      <c r="B196628" t="n">
        <v>2012</v>
      </c>
      <c r="C196628" t="n">
        <v>36.159</v>
      </c>
      <c r="D196628" t="n">
        <v>6.579</v>
      </c>
    </row>
    <row r="196629">
      <c r="B196629" t="n">
        <v>2013</v>
      </c>
      <c r="C196629" t="n">
        <v>38.015</v>
      </c>
      <c r="D196629" t="n">
        <v>5.134</v>
      </c>
    </row>
    <row r="196630">
      <c r="B196630" t="n">
        <v>2014</v>
      </c>
      <c r="C196630" t="n">
        <v>39.57</v>
      </c>
      <c r="D196630" t="n">
        <v>4.091</v>
      </c>
    </row>
    <row r="196631">
      <c r="B196631" t="n">
        <v>2015</v>
      </c>
      <c r="C196631" t="n">
        <v>40.896</v>
      </c>
      <c r="D196631" t="n">
        <v>3.351</v>
      </c>
    </row>
    <row r="196632">
      <c r="B196632" t="n">
        <v>2016</v>
      </c>
      <c r="C196632" t="n">
        <v>42.307</v>
      </c>
      <c r="D196632" t="n">
        <v>3.45</v>
      </c>
    </row>
    <row r="196633">
      <c r="B196633" t="n">
        <v>2017</v>
      </c>
      <c r="C196633" t="n">
        <v>44.49</v>
      </c>
      <c r="D196633" t="n">
        <v>5.161</v>
      </c>
    </row>
    <row r="196634">
      <c r="B196634" t="n">
        <v>2018</v>
      </c>
      <c r="C196634" t="n">
        <v>47.187</v>
      </c>
      <c r="D196634" t="n">
        <v>6.062</v>
      </c>
    </row>
    <row r="196635">
      <c r="B196635" t="n">
        <v>2019</v>
      </c>
      <c r="C196635" t="n">
        <v>49.726</v>
      </c>
      <c r="D196635" t="n">
        <v>5.38</v>
      </c>
    </row>
    <row r="196636">
      <c r="B196636" t="n">
        <v>2020</v>
      </c>
      <c r="C196636" t="n">
        <v>46.598</v>
      </c>
      <c r="D196636" t="n">
        <v>-6.291</v>
      </c>
    </row>
    <row r="196637">
      <c r="B196637" t="n">
        <v>2021</v>
      </c>
      <c r="C196637" t="n">
        <v>51.558</v>
      </c>
      <c r="D196637" t="n">
        <v>10.644</v>
      </c>
    </row>
    <row r="196638">
      <c r="B196638" t="n">
        <v>2022</v>
      </c>
      <c r="C196638" t="n">
        <v>57.208</v>
      </c>
      <c r="D196638" t="n">
        <v>10.96</v>
      </c>
    </row>
    <row r="196639">
      <c r="B196639" t="n">
        <v>2023</v>
      </c>
      <c r="C196639" t="n">
        <v>61.689</v>
      </c>
      <c r="D196639" t="n">
        <v>7.832</v>
      </c>
    </row>
    <row r="196640">
      <c r="B196640" t="n">
        <v>2024</v>
      </c>
      <c r="C196640" t="n">
        <v>67.505</v>
      </c>
      <c r="D196640" t="n">
        <v>9.429</v>
      </c>
    </row>
    <row r="196641">
      <c r="B196641" t="n">
        <v>2025</v>
      </c>
      <c r="C196641" t="n">
        <v>71.54000000000001</v>
      </c>
      <c r="D196641" t="n">
        <v>5.977</v>
      </c>
    </row>
    <row r="196642">
      <c r="B196642" t="n">
        <v>2026</v>
      </c>
      <c r="C196642" t="n">
        <v>75.117</v>
      </c>
      <c r="D196642" t="n">
        <v>5</v>
      </c>
    </row>
    <row r="196643">
      <c r="B196643" t="n">
        <v>2027</v>
      </c>
      <c r="C196643" t="n">
        <v>78.873</v>
      </c>
      <c r="D196643" t="n">
        <v>5</v>
      </c>
    </row>
    <row r="196644">
      <c r="B196644" t="inlineStr">
        <is>
          <t>Estimates Start After</t>
        </is>
      </c>
      <c r="C196644" t="n">
        <v>2024</v>
      </c>
      <c r="D196644" t="n">
        <v>2024</v>
      </c>
    </row>
    <row r="212993">
      <c r="B212993" t="inlineStr">
        <is>
          <t>WEO Country Code</t>
        </is>
      </c>
      <c r="C212993" t="n">
        <v>915</v>
      </c>
      <c r="D212993" t="n">
        <v>915</v>
      </c>
    </row>
    <row r="212994">
      <c r="B212994" t="inlineStr">
        <is>
          <t>WEO Subject Code</t>
        </is>
      </c>
      <c r="C212994" t="inlineStr">
        <is>
          <t>NGDP_R</t>
        </is>
      </c>
      <c r="D212994" t="inlineStr">
        <is>
          <t>NGDP_RPCH</t>
        </is>
      </c>
    </row>
    <row r="212995">
      <c r="B212995" t="inlineStr">
        <is>
          <t>Country</t>
        </is>
      </c>
      <c r="C212995" t="inlineStr">
        <is>
          <t>Georgia</t>
        </is>
      </c>
      <c r="D212995" t="inlineStr">
        <is>
          <t>Georgia</t>
        </is>
      </c>
    </row>
    <row r="212996">
      <c r="B212996" t="inlineStr">
        <is>
          <t>Subject Descriptor</t>
        </is>
      </c>
      <c r="C212996" t="inlineStr">
        <is>
          <t>Gross domestic product, constant prices</t>
        </is>
      </c>
      <c r="D212996" t="inlineStr">
        <is>
          <t>Gross domestic product, constant prices</t>
        </is>
      </c>
    </row>
    <row r="212997">
      <c r="B212997" t="inlineStr">
        <is>
          <t>Units</t>
        </is>
      </c>
      <c r="C212997" t="inlineStr">
        <is>
          <t>National currency</t>
        </is>
      </c>
      <c r="D212997" t="inlineStr">
        <is>
          <t>Percent change</t>
        </is>
      </c>
    </row>
    <row r="212998">
      <c r="B212998" t="inlineStr">
        <is>
          <t>Scale</t>
        </is>
      </c>
      <c r="C212998" t="inlineStr">
        <is>
          <t>Billions</t>
        </is>
      </c>
      <c r="D212998" t="inlineStr">
        <is>
          <t>Units</t>
        </is>
      </c>
    </row>
    <row r="212999">
      <c r="B212999" t="inlineStr">
        <is>
          <t>Country/Series-specific Notes</t>
        </is>
      </c>
      <c r="C2129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12999" t="inlineStr">
        <is>
          <t>See notes for:  Gross domestic product, constant prices (National currency).</t>
        </is>
      </c>
    </row>
    <row r="213000">
      <c r="B213000" t="n">
        <v>2000</v>
      </c>
      <c r="C213000" t="n">
        <v>16.963</v>
      </c>
      <c r="D213000" t="n">
        <v>1.865</v>
      </c>
    </row>
    <row r="213001">
      <c r="B213001" t="n">
        <v>2001</v>
      </c>
      <c r="C213001" t="n">
        <v>17.772</v>
      </c>
      <c r="D213001" t="n">
        <v>4.769</v>
      </c>
    </row>
    <row r="213002">
      <c r="B213002" t="n">
        <v>2002</v>
      </c>
      <c r="C213002" t="n">
        <v>18.747</v>
      </c>
      <c r="D213002" t="n">
        <v>5.487</v>
      </c>
    </row>
    <row r="213003">
      <c r="B213003" t="n">
        <v>2003</v>
      </c>
      <c r="C213003" t="n">
        <v>20.852</v>
      </c>
      <c r="D213003" t="n">
        <v>11.228</v>
      </c>
    </row>
    <row r="213004">
      <c r="B213004" t="n">
        <v>2004</v>
      </c>
      <c r="C213004" t="n">
        <v>22.061</v>
      </c>
      <c r="D213004" t="n">
        <v>5.796</v>
      </c>
    </row>
    <row r="213005">
      <c r="B213005" t="n">
        <v>2005</v>
      </c>
      <c r="C213005" t="n">
        <v>24.176</v>
      </c>
      <c r="D213005" t="n">
        <v>9.587999999999999</v>
      </c>
    </row>
    <row r="213006">
      <c r="B213006" t="n">
        <v>2006</v>
      </c>
      <c r="C213006" t="n">
        <v>26.454</v>
      </c>
      <c r="D213006" t="n">
        <v>9.42</v>
      </c>
    </row>
    <row r="213007">
      <c r="B213007" t="n">
        <v>2007</v>
      </c>
      <c r="C213007" t="n">
        <v>29.781</v>
      </c>
      <c r="D213007" t="n">
        <v>12.579</v>
      </c>
    </row>
    <row r="213008">
      <c r="B213008" t="n">
        <v>2008</v>
      </c>
      <c r="C213008" t="n">
        <v>30.502</v>
      </c>
      <c r="D213008" t="n">
        <v>2.419</v>
      </c>
    </row>
    <row r="213009">
      <c r="B213009" t="n">
        <v>2009</v>
      </c>
      <c r="C213009" t="n">
        <v>29.388</v>
      </c>
      <c r="D213009" t="n">
        <v>-3.651</v>
      </c>
    </row>
    <row r="213010">
      <c r="B213010" t="n">
        <v>2010</v>
      </c>
      <c r="C213010" t="n">
        <v>31.428</v>
      </c>
      <c r="D213010" t="n">
        <v>6.942</v>
      </c>
    </row>
    <row r="213011">
      <c r="B213011" t="n">
        <v>2011</v>
      </c>
      <c r="C213011" t="n">
        <v>33.927</v>
      </c>
      <c r="D213011" t="n">
        <v>7.949</v>
      </c>
    </row>
    <row r="213012">
      <c r="B213012" t="n">
        <v>2012</v>
      </c>
      <c r="C213012" t="n">
        <v>36.159</v>
      </c>
      <c r="D213012" t="n">
        <v>6.579</v>
      </c>
    </row>
    <row r="213013">
      <c r="B213013" t="n">
        <v>2013</v>
      </c>
      <c r="C213013" t="n">
        <v>38.015</v>
      </c>
      <c r="D213013" t="n">
        <v>5.134</v>
      </c>
    </row>
    <row r="213014">
      <c r="B213014" t="n">
        <v>2014</v>
      </c>
      <c r="C213014" t="n">
        <v>39.57</v>
      </c>
      <c r="D213014" t="n">
        <v>4.091</v>
      </c>
    </row>
    <row r="213015">
      <c r="B213015" t="n">
        <v>2015</v>
      </c>
      <c r="C213015" t="n">
        <v>40.896</v>
      </c>
      <c r="D213015" t="n">
        <v>3.351</v>
      </c>
    </row>
    <row r="213016">
      <c r="B213016" t="n">
        <v>2016</v>
      </c>
      <c r="C213016" t="n">
        <v>42.307</v>
      </c>
      <c r="D213016" t="n">
        <v>3.45</v>
      </c>
    </row>
    <row r="213017">
      <c r="B213017" t="n">
        <v>2017</v>
      </c>
      <c r="C213017" t="n">
        <v>44.49</v>
      </c>
      <c r="D213017" t="n">
        <v>5.161</v>
      </c>
    </row>
    <row r="213018">
      <c r="B213018" t="n">
        <v>2018</v>
      </c>
      <c r="C213018" t="n">
        <v>47.187</v>
      </c>
      <c r="D213018" t="n">
        <v>6.062</v>
      </c>
    </row>
    <row r="213019">
      <c r="B213019" t="n">
        <v>2019</v>
      </c>
      <c r="C213019" t="n">
        <v>49.726</v>
      </c>
      <c r="D213019" t="n">
        <v>5.38</v>
      </c>
    </row>
    <row r="213020">
      <c r="B213020" t="n">
        <v>2020</v>
      </c>
      <c r="C213020" t="n">
        <v>46.598</v>
      </c>
      <c r="D213020" t="n">
        <v>-6.291</v>
      </c>
    </row>
    <row r="213021">
      <c r="B213021" t="n">
        <v>2021</v>
      </c>
      <c r="C213021" t="n">
        <v>51.558</v>
      </c>
      <c r="D213021" t="n">
        <v>10.644</v>
      </c>
    </row>
    <row r="213022">
      <c r="B213022" t="n">
        <v>2022</v>
      </c>
      <c r="C213022" t="n">
        <v>57.208</v>
      </c>
      <c r="D213022" t="n">
        <v>10.96</v>
      </c>
    </row>
    <row r="213023">
      <c r="B213023" t="n">
        <v>2023</v>
      </c>
      <c r="C213023" t="n">
        <v>61.689</v>
      </c>
      <c r="D213023" t="n">
        <v>7.832</v>
      </c>
    </row>
    <row r="213024">
      <c r="B213024" t="n">
        <v>2024</v>
      </c>
      <c r="C213024" t="n">
        <v>67.505</v>
      </c>
      <c r="D213024" t="n">
        <v>9.429</v>
      </c>
    </row>
    <row r="213025">
      <c r="B213025" t="n">
        <v>2025</v>
      </c>
      <c r="C213025" t="n">
        <v>71.54000000000001</v>
      </c>
      <c r="D213025" t="n">
        <v>5.977</v>
      </c>
    </row>
    <row r="213026">
      <c r="B213026" t="n">
        <v>2026</v>
      </c>
      <c r="C213026" t="n">
        <v>75.117</v>
      </c>
      <c r="D213026" t="n">
        <v>5</v>
      </c>
    </row>
    <row r="213027">
      <c r="B213027" t="n">
        <v>2027</v>
      </c>
      <c r="C213027" t="n">
        <v>78.873</v>
      </c>
      <c r="D213027" t="n">
        <v>5</v>
      </c>
    </row>
    <row r="213028">
      <c r="B213028" t="inlineStr">
        <is>
          <t>Estimates Start After</t>
        </is>
      </c>
      <c r="C213028" t="n">
        <v>2024</v>
      </c>
      <c r="D213028" t="n">
        <v>2024</v>
      </c>
    </row>
    <row r="229377">
      <c r="B229377" t="inlineStr">
        <is>
          <t>WEO Country Code</t>
        </is>
      </c>
      <c r="C229377" t="n">
        <v>915</v>
      </c>
      <c r="D229377" t="n">
        <v>915</v>
      </c>
    </row>
    <row r="229378">
      <c r="B229378" t="inlineStr">
        <is>
          <t>WEO Subject Code</t>
        </is>
      </c>
      <c r="C229378" t="inlineStr">
        <is>
          <t>NGDP_R</t>
        </is>
      </c>
      <c r="D229378" t="inlineStr">
        <is>
          <t>NGDP_RPCH</t>
        </is>
      </c>
    </row>
    <row r="229379">
      <c r="B229379" t="inlineStr">
        <is>
          <t>Country</t>
        </is>
      </c>
      <c r="C229379" t="inlineStr">
        <is>
          <t>Georgia</t>
        </is>
      </c>
      <c r="D229379" t="inlineStr">
        <is>
          <t>Georgia</t>
        </is>
      </c>
    </row>
    <row r="229380">
      <c r="B229380" t="inlineStr">
        <is>
          <t>Subject Descriptor</t>
        </is>
      </c>
      <c r="C229380" t="inlineStr">
        <is>
          <t>Gross domestic product, constant prices</t>
        </is>
      </c>
      <c r="D229380" t="inlineStr">
        <is>
          <t>Gross domestic product, constant prices</t>
        </is>
      </c>
    </row>
    <row r="229381">
      <c r="B229381" t="inlineStr">
        <is>
          <t>Units</t>
        </is>
      </c>
      <c r="C229381" t="inlineStr">
        <is>
          <t>National currency</t>
        </is>
      </c>
      <c r="D229381" t="inlineStr">
        <is>
          <t>Percent change</t>
        </is>
      </c>
    </row>
    <row r="229382">
      <c r="B229382" t="inlineStr">
        <is>
          <t>Scale</t>
        </is>
      </c>
      <c r="C229382" t="inlineStr">
        <is>
          <t>Billions</t>
        </is>
      </c>
      <c r="D229382" t="inlineStr">
        <is>
          <t>Units</t>
        </is>
      </c>
    </row>
    <row r="229383">
      <c r="B229383" t="inlineStr">
        <is>
          <t>Country/Series-specific Notes</t>
        </is>
      </c>
      <c r="C2293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29383" t="inlineStr">
        <is>
          <t>See notes for:  Gross domestic product, constant prices (National currency).</t>
        </is>
      </c>
    </row>
    <row r="229384">
      <c r="B229384" t="n">
        <v>2000</v>
      </c>
      <c r="C229384" t="n">
        <v>16.963</v>
      </c>
      <c r="D229384" t="n">
        <v>1.865</v>
      </c>
    </row>
    <row r="229385">
      <c r="B229385" t="n">
        <v>2001</v>
      </c>
      <c r="C229385" t="n">
        <v>17.772</v>
      </c>
      <c r="D229385" t="n">
        <v>4.769</v>
      </c>
    </row>
    <row r="229386">
      <c r="B229386" t="n">
        <v>2002</v>
      </c>
      <c r="C229386" t="n">
        <v>18.747</v>
      </c>
      <c r="D229386" t="n">
        <v>5.487</v>
      </c>
    </row>
    <row r="229387">
      <c r="B229387" t="n">
        <v>2003</v>
      </c>
      <c r="C229387" t="n">
        <v>20.852</v>
      </c>
      <c r="D229387" t="n">
        <v>11.228</v>
      </c>
    </row>
    <row r="229388">
      <c r="B229388" t="n">
        <v>2004</v>
      </c>
      <c r="C229388" t="n">
        <v>22.061</v>
      </c>
      <c r="D229388" t="n">
        <v>5.796</v>
      </c>
    </row>
    <row r="229389">
      <c r="B229389" t="n">
        <v>2005</v>
      </c>
      <c r="C229389" t="n">
        <v>24.176</v>
      </c>
      <c r="D229389" t="n">
        <v>9.587999999999999</v>
      </c>
    </row>
    <row r="229390">
      <c r="B229390" t="n">
        <v>2006</v>
      </c>
      <c r="C229390" t="n">
        <v>26.454</v>
      </c>
      <c r="D229390" t="n">
        <v>9.42</v>
      </c>
    </row>
    <row r="229391">
      <c r="B229391" t="n">
        <v>2007</v>
      </c>
      <c r="C229391" t="n">
        <v>29.781</v>
      </c>
      <c r="D229391" t="n">
        <v>12.579</v>
      </c>
    </row>
    <row r="229392">
      <c r="B229392" t="n">
        <v>2008</v>
      </c>
      <c r="C229392" t="n">
        <v>30.502</v>
      </c>
      <c r="D229392" t="n">
        <v>2.419</v>
      </c>
    </row>
    <row r="229393">
      <c r="B229393" t="n">
        <v>2009</v>
      </c>
      <c r="C229393" t="n">
        <v>29.388</v>
      </c>
      <c r="D229393" t="n">
        <v>-3.651</v>
      </c>
    </row>
    <row r="229394">
      <c r="B229394" t="n">
        <v>2010</v>
      </c>
      <c r="C229394" t="n">
        <v>31.428</v>
      </c>
      <c r="D229394" t="n">
        <v>6.942</v>
      </c>
    </row>
    <row r="229395">
      <c r="B229395" t="n">
        <v>2011</v>
      </c>
      <c r="C229395" t="n">
        <v>33.927</v>
      </c>
      <c r="D229395" t="n">
        <v>7.949</v>
      </c>
    </row>
    <row r="229396">
      <c r="B229396" t="n">
        <v>2012</v>
      </c>
      <c r="C229396" t="n">
        <v>36.159</v>
      </c>
      <c r="D229396" t="n">
        <v>6.579</v>
      </c>
    </row>
    <row r="229397">
      <c r="B229397" t="n">
        <v>2013</v>
      </c>
      <c r="C229397" t="n">
        <v>38.015</v>
      </c>
      <c r="D229397" t="n">
        <v>5.134</v>
      </c>
    </row>
    <row r="229398">
      <c r="B229398" t="n">
        <v>2014</v>
      </c>
      <c r="C229398" t="n">
        <v>39.57</v>
      </c>
      <c r="D229398" t="n">
        <v>4.091</v>
      </c>
    </row>
    <row r="229399">
      <c r="B229399" t="n">
        <v>2015</v>
      </c>
      <c r="C229399" t="n">
        <v>40.896</v>
      </c>
      <c r="D229399" t="n">
        <v>3.351</v>
      </c>
    </row>
    <row r="229400">
      <c r="B229400" t="n">
        <v>2016</v>
      </c>
      <c r="C229400" t="n">
        <v>42.307</v>
      </c>
      <c r="D229400" t="n">
        <v>3.45</v>
      </c>
    </row>
    <row r="229401">
      <c r="B229401" t="n">
        <v>2017</v>
      </c>
      <c r="C229401" t="n">
        <v>44.49</v>
      </c>
      <c r="D229401" t="n">
        <v>5.161</v>
      </c>
    </row>
    <row r="229402">
      <c r="B229402" t="n">
        <v>2018</v>
      </c>
      <c r="C229402" t="n">
        <v>47.187</v>
      </c>
      <c r="D229402" t="n">
        <v>6.062</v>
      </c>
    </row>
    <row r="229403">
      <c r="B229403" t="n">
        <v>2019</v>
      </c>
      <c r="C229403" t="n">
        <v>49.726</v>
      </c>
      <c r="D229403" t="n">
        <v>5.38</v>
      </c>
    </row>
    <row r="229404">
      <c r="B229404" t="n">
        <v>2020</v>
      </c>
      <c r="C229404" t="n">
        <v>46.598</v>
      </c>
      <c r="D229404" t="n">
        <v>-6.291</v>
      </c>
    </row>
    <row r="229405">
      <c r="B229405" t="n">
        <v>2021</v>
      </c>
      <c r="C229405" t="n">
        <v>51.558</v>
      </c>
      <c r="D229405" t="n">
        <v>10.644</v>
      </c>
    </row>
    <row r="229406">
      <c r="B229406" t="n">
        <v>2022</v>
      </c>
      <c r="C229406" t="n">
        <v>57.208</v>
      </c>
      <c r="D229406" t="n">
        <v>10.96</v>
      </c>
    </row>
    <row r="229407">
      <c r="B229407" t="n">
        <v>2023</v>
      </c>
      <c r="C229407" t="n">
        <v>61.689</v>
      </c>
      <c r="D229407" t="n">
        <v>7.832</v>
      </c>
    </row>
    <row r="229408">
      <c r="B229408" t="n">
        <v>2024</v>
      </c>
      <c r="C229408" t="n">
        <v>67.505</v>
      </c>
      <c r="D229408" t="n">
        <v>9.429</v>
      </c>
    </row>
    <row r="229409">
      <c r="B229409" t="n">
        <v>2025</v>
      </c>
      <c r="C229409" t="n">
        <v>71.54000000000001</v>
      </c>
      <c r="D229409" t="n">
        <v>5.977</v>
      </c>
    </row>
    <row r="229410">
      <c r="B229410" t="n">
        <v>2026</v>
      </c>
      <c r="C229410" t="n">
        <v>75.117</v>
      </c>
      <c r="D229410" t="n">
        <v>5</v>
      </c>
    </row>
    <row r="229411">
      <c r="B229411" t="n">
        <v>2027</v>
      </c>
      <c r="C229411" t="n">
        <v>78.873</v>
      </c>
      <c r="D229411" t="n">
        <v>5</v>
      </c>
    </row>
    <row r="229412">
      <c r="B229412" t="inlineStr">
        <is>
          <t>Estimates Start After</t>
        </is>
      </c>
      <c r="C229412" t="n">
        <v>2024</v>
      </c>
      <c r="D229412" t="n">
        <v>2024</v>
      </c>
    </row>
    <row r="245761">
      <c r="B245761" t="inlineStr">
        <is>
          <t>WEO Country Code</t>
        </is>
      </c>
      <c r="C245761" t="n">
        <v>915</v>
      </c>
      <c r="D245761" t="n">
        <v>915</v>
      </c>
    </row>
    <row r="245762">
      <c r="B245762" t="inlineStr">
        <is>
          <t>WEO Subject Code</t>
        </is>
      </c>
      <c r="C245762" t="inlineStr">
        <is>
          <t>NGDP_R</t>
        </is>
      </c>
      <c r="D245762" t="inlineStr">
        <is>
          <t>NGDP_RPCH</t>
        </is>
      </c>
    </row>
    <row r="245763">
      <c r="B245763" t="inlineStr">
        <is>
          <t>Country</t>
        </is>
      </c>
      <c r="C245763" t="inlineStr">
        <is>
          <t>Georgia</t>
        </is>
      </c>
      <c r="D245763" t="inlineStr">
        <is>
          <t>Georgia</t>
        </is>
      </c>
    </row>
    <row r="245764">
      <c r="B245764" t="inlineStr">
        <is>
          <t>Subject Descriptor</t>
        </is>
      </c>
      <c r="C245764" t="inlineStr">
        <is>
          <t>Gross domestic product, constant prices</t>
        </is>
      </c>
      <c r="D245764" t="inlineStr">
        <is>
          <t>Gross domestic product, constant prices</t>
        </is>
      </c>
    </row>
    <row r="245765">
      <c r="B245765" t="inlineStr">
        <is>
          <t>Units</t>
        </is>
      </c>
      <c r="C245765" t="inlineStr">
        <is>
          <t>National currency</t>
        </is>
      </c>
      <c r="D245765" t="inlineStr">
        <is>
          <t>Percent change</t>
        </is>
      </c>
    </row>
    <row r="245766">
      <c r="B245766" t="inlineStr">
        <is>
          <t>Scale</t>
        </is>
      </c>
      <c r="C245766" t="inlineStr">
        <is>
          <t>Billions</t>
        </is>
      </c>
      <c r="D245766" t="inlineStr">
        <is>
          <t>Units</t>
        </is>
      </c>
    </row>
    <row r="245767">
      <c r="B245767" t="inlineStr">
        <is>
          <t>Country/Series-specific Notes</t>
        </is>
      </c>
      <c r="C2457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45767" t="inlineStr">
        <is>
          <t>See notes for:  Gross domestic product, constant prices (National currency).</t>
        </is>
      </c>
    </row>
    <row r="245768">
      <c r="B245768" t="n">
        <v>2000</v>
      </c>
      <c r="C245768" t="n">
        <v>16.963</v>
      </c>
      <c r="D245768" t="n">
        <v>1.865</v>
      </c>
    </row>
    <row r="245769">
      <c r="B245769" t="n">
        <v>2001</v>
      </c>
      <c r="C245769" t="n">
        <v>17.772</v>
      </c>
      <c r="D245769" t="n">
        <v>4.769</v>
      </c>
    </row>
    <row r="245770">
      <c r="B245770" t="n">
        <v>2002</v>
      </c>
      <c r="C245770" t="n">
        <v>18.747</v>
      </c>
      <c r="D245770" t="n">
        <v>5.487</v>
      </c>
    </row>
    <row r="245771">
      <c r="B245771" t="n">
        <v>2003</v>
      </c>
      <c r="C245771" t="n">
        <v>20.852</v>
      </c>
      <c r="D245771" t="n">
        <v>11.228</v>
      </c>
    </row>
    <row r="245772">
      <c r="B245772" t="n">
        <v>2004</v>
      </c>
      <c r="C245772" t="n">
        <v>22.061</v>
      </c>
      <c r="D245772" t="n">
        <v>5.796</v>
      </c>
    </row>
    <row r="245773">
      <c r="B245773" t="n">
        <v>2005</v>
      </c>
      <c r="C245773" t="n">
        <v>24.176</v>
      </c>
      <c r="D245773" t="n">
        <v>9.587999999999999</v>
      </c>
    </row>
    <row r="245774">
      <c r="B245774" t="n">
        <v>2006</v>
      </c>
      <c r="C245774" t="n">
        <v>26.454</v>
      </c>
      <c r="D245774" t="n">
        <v>9.42</v>
      </c>
    </row>
    <row r="245775">
      <c r="B245775" t="n">
        <v>2007</v>
      </c>
      <c r="C245775" t="n">
        <v>29.781</v>
      </c>
      <c r="D245775" t="n">
        <v>12.579</v>
      </c>
    </row>
    <row r="245776">
      <c r="B245776" t="n">
        <v>2008</v>
      </c>
      <c r="C245776" t="n">
        <v>30.502</v>
      </c>
      <c r="D245776" t="n">
        <v>2.419</v>
      </c>
    </row>
    <row r="245777">
      <c r="B245777" t="n">
        <v>2009</v>
      </c>
      <c r="C245777" t="n">
        <v>29.388</v>
      </c>
      <c r="D245777" t="n">
        <v>-3.651</v>
      </c>
    </row>
    <row r="245778">
      <c r="B245778" t="n">
        <v>2010</v>
      </c>
      <c r="C245778" t="n">
        <v>31.428</v>
      </c>
      <c r="D245778" t="n">
        <v>6.942</v>
      </c>
    </row>
    <row r="245779">
      <c r="B245779" t="n">
        <v>2011</v>
      </c>
      <c r="C245779" t="n">
        <v>33.927</v>
      </c>
      <c r="D245779" t="n">
        <v>7.949</v>
      </c>
    </row>
    <row r="245780">
      <c r="B245780" t="n">
        <v>2012</v>
      </c>
      <c r="C245780" t="n">
        <v>36.159</v>
      </c>
      <c r="D245780" t="n">
        <v>6.579</v>
      </c>
    </row>
    <row r="245781">
      <c r="B245781" t="n">
        <v>2013</v>
      </c>
      <c r="C245781" t="n">
        <v>38.015</v>
      </c>
      <c r="D245781" t="n">
        <v>5.134</v>
      </c>
    </row>
    <row r="245782">
      <c r="B245782" t="n">
        <v>2014</v>
      </c>
      <c r="C245782" t="n">
        <v>39.57</v>
      </c>
      <c r="D245782" t="n">
        <v>4.091</v>
      </c>
    </row>
    <row r="245783">
      <c r="B245783" t="n">
        <v>2015</v>
      </c>
      <c r="C245783" t="n">
        <v>40.896</v>
      </c>
      <c r="D245783" t="n">
        <v>3.351</v>
      </c>
    </row>
    <row r="245784">
      <c r="B245784" t="n">
        <v>2016</v>
      </c>
      <c r="C245784" t="n">
        <v>42.307</v>
      </c>
      <c r="D245784" t="n">
        <v>3.45</v>
      </c>
    </row>
    <row r="245785">
      <c r="B245785" t="n">
        <v>2017</v>
      </c>
      <c r="C245785" t="n">
        <v>44.49</v>
      </c>
      <c r="D245785" t="n">
        <v>5.161</v>
      </c>
    </row>
    <row r="245786">
      <c r="B245786" t="n">
        <v>2018</v>
      </c>
      <c r="C245786" t="n">
        <v>47.187</v>
      </c>
      <c r="D245786" t="n">
        <v>6.062</v>
      </c>
    </row>
    <row r="245787">
      <c r="B245787" t="n">
        <v>2019</v>
      </c>
      <c r="C245787" t="n">
        <v>49.726</v>
      </c>
      <c r="D245787" t="n">
        <v>5.38</v>
      </c>
    </row>
    <row r="245788">
      <c r="B245788" t="n">
        <v>2020</v>
      </c>
      <c r="C245788" t="n">
        <v>46.598</v>
      </c>
      <c r="D245788" t="n">
        <v>-6.291</v>
      </c>
    </row>
    <row r="245789">
      <c r="B245789" t="n">
        <v>2021</v>
      </c>
      <c r="C245789" t="n">
        <v>51.558</v>
      </c>
      <c r="D245789" t="n">
        <v>10.644</v>
      </c>
    </row>
    <row r="245790">
      <c r="B245790" t="n">
        <v>2022</v>
      </c>
      <c r="C245790" t="n">
        <v>57.208</v>
      </c>
      <c r="D245790" t="n">
        <v>10.96</v>
      </c>
    </row>
    <row r="245791">
      <c r="B245791" t="n">
        <v>2023</v>
      </c>
      <c r="C245791" t="n">
        <v>61.689</v>
      </c>
      <c r="D245791" t="n">
        <v>7.832</v>
      </c>
    </row>
    <row r="245792">
      <c r="B245792" t="n">
        <v>2024</v>
      </c>
      <c r="C245792" t="n">
        <v>67.505</v>
      </c>
      <c r="D245792" t="n">
        <v>9.429</v>
      </c>
    </row>
    <row r="245793">
      <c r="B245793" t="n">
        <v>2025</v>
      </c>
      <c r="C245793" t="n">
        <v>71.54000000000001</v>
      </c>
      <c r="D245793" t="n">
        <v>5.977</v>
      </c>
    </row>
    <row r="245794">
      <c r="B245794" t="n">
        <v>2026</v>
      </c>
      <c r="C245794" t="n">
        <v>75.117</v>
      </c>
      <c r="D245794" t="n">
        <v>5</v>
      </c>
    </row>
    <row r="245795">
      <c r="B245795" t="n">
        <v>2027</v>
      </c>
      <c r="C245795" t="n">
        <v>78.873</v>
      </c>
      <c r="D245795" t="n">
        <v>5</v>
      </c>
    </row>
    <row r="245796">
      <c r="B245796" t="inlineStr">
        <is>
          <t>Estimates Start After</t>
        </is>
      </c>
      <c r="C245796" t="n">
        <v>2024</v>
      </c>
      <c r="D245796" t="n">
        <v>2024</v>
      </c>
    </row>
    <row r="262145">
      <c r="B262145" t="inlineStr">
        <is>
          <t>WEO Country Code</t>
        </is>
      </c>
      <c r="C262145" t="n">
        <v>915</v>
      </c>
      <c r="D262145" t="n">
        <v>915</v>
      </c>
    </row>
    <row r="262146">
      <c r="B262146" t="inlineStr">
        <is>
          <t>WEO Subject Code</t>
        </is>
      </c>
      <c r="C262146" t="inlineStr">
        <is>
          <t>NGDP_R</t>
        </is>
      </c>
      <c r="D262146" t="inlineStr">
        <is>
          <t>NGDP_RPCH</t>
        </is>
      </c>
    </row>
    <row r="262147">
      <c r="B262147" t="inlineStr">
        <is>
          <t>Country</t>
        </is>
      </c>
      <c r="C262147" t="inlineStr">
        <is>
          <t>Georgia</t>
        </is>
      </c>
      <c r="D262147" t="inlineStr">
        <is>
          <t>Georgia</t>
        </is>
      </c>
    </row>
    <row r="262148">
      <c r="B262148" t="inlineStr">
        <is>
          <t>Subject Descriptor</t>
        </is>
      </c>
      <c r="C262148" t="inlineStr">
        <is>
          <t>Gross domestic product, constant prices</t>
        </is>
      </c>
      <c r="D262148" t="inlineStr">
        <is>
          <t>Gross domestic product, constant prices</t>
        </is>
      </c>
    </row>
    <row r="262149">
      <c r="B262149" t="inlineStr">
        <is>
          <t>Units</t>
        </is>
      </c>
      <c r="C262149" t="inlineStr">
        <is>
          <t>National currency</t>
        </is>
      </c>
      <c r="D262149" t="inlineStr">
        <is>
          <t>Percent change</t>
        </is>
      </c>
    </row>
    <row r="262150">
      <c r="B262150" t="inlineStr">
        <is>
          <t>Scale</t>
        </is>
      </c>
      <c r="C262150" t="inlineStr">
        <is>
          <t>Billions</t>
        </is>
      </c>
      <c r="D262150" t="inlineStr">
        <is>
          <t>Units</t>
        </is>
      </c>
    </row>
    <row r="262151">
      <c r="B262151" t="inlineStr">
        <is>
          <t>Country/Series-specific Notes</t>
        </is>
      </c>
      <c r="C2621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62151" t="inlineStr">
        <is>
          <t>See notes for:  Gross domestic product, constant prices (National currency).</t>
        </is>
      </c>
    </row>
    <row r="262152">
      <c r="B262152" t="n">
        <v>2000</v>
      </c>
      <c r="C262152" t="n">
        <v>16.963</v>
      </c>
      <c r="D262152" t="n">
        <v>1.865</v>
      </c>
    </row>
    <row r="262153">
      <c r="B262153" t="n">
        <v>2001</v>
      </c>
      <c r="C262153" t="n">
        <v>17.772</v>
      </c>
      <c r="D262153" t="n">
        <v>4.769</v>
      </c>
    </row>
    <row r="262154">
      <c r="B262154" t="n">
        <v>2002</v>
      </c>
      <c r="C262154" t="n">
        <v>18.747</v>
      </c>
      <c r="D262154" t="n">
        <v>5.487</v>
      </c>
    </row>
    <row r="262155">
      <c r="B262155" t="n">
        <v>2003</v>
      </c>
      <c r="C262155" t="n">
        <v>20.852</v>
      </c>
      <c r="D262155" t="n">
        <v>11.228</v>
      </c>
    </row>
    <row r="262156">
      <c r="B262156" t="n">
        <v>2004</v>
      </c>
      <c r="C262156" t="n">
        <v>22.061</v>
      </c>
      <c r="D262156" t="n">
        <v>5.796</v>
      </c>
    </row>
    <row r="262157">
      <c r="B262157" t="n">
        <v>2005</v>
      </c>
      <c r="C262157" t="n">
        <v>24.176</v>
      </c>
      <c r="D262157" t="n">
        <v>9.587999999999999</v>
      </c>
    </row>
    <row r="262158">
      <c r="B262158" t="n">
        <v>2006</v>
      </c>
      <c r="C262158" t="n">
        <v>26.454</v>
      </c>
      <c r="D262158" t="n">
        <v>9.42</v>
      </c>
    </row>
    <row r="262159">
      <c r="B262159" t="n">
        <v>2007</v>
      </c>
      <c r="C262159" t="n">
        <v>29.781</v>
      </c>
      <c r="D262159" t="n">
        <v>12.579</v>
      </c>
    </row>
    <row r="262160">
      <c r="B262160" t="n">
        <v>2008</v>
      </c>
      <c r="C262160" t="n">
        <v>30.502</v>
      </c>
      <c r="D262160" t="n">
        <v>2.419</v>
      </c>
    </row>
    <row r="262161">
      <c r="B262161" t="n">
        <v>2009</v>
      </c>
      <c r="C262161" t="n">
        <v>29.388</v>
      </c>
      <c r="D262161" t="n">
        <v>-3.651</v>
      </c>
    </row>
    <row r="262162">
      <c r="B262162" t="n">
        <v>2010</v>
      </c>
      <c r="C262162" t="n">
        <v>31.428</v>
      </c>
      <c r="D262162" t="n">
        <v>6.942</v>
      </c>
    </row>
    <row r="262163">
      <c r="B262163" t="n">
        <v>2011</v>
      </c>
      <c r="C262163" t="n">
        <v>33.927</v>
      </c>
      <c r="D262163" t="n">
        <v>7.949</v>
      </c>
    </row>
    <row r="262164">
      <c r="B262164" t="n">
        <v>2012</v>
      </c>
      <c r="C262164" t="n">
        <v>36.159</v>
      </c>
      <c r="D262164" t="n">
        <v>6.579</v>
      </c>
    </row>
    <row r="262165">
      <c r="B262165" t="n">
        <v>2013</v>
      </c>
      <c r="C262165" t="n">
        <v>38.015</v>
      </c>
      <c r="D262165" t="n">
        <v>5.134</v>
      </c>
    </row>
    <row r="262166">
      <c r="B262166" t="n">
        <v>2014</v>
      </c>
      <c r="C262166" t="n">
        <v>39.57</v>
      </c>
      <c r="D262166" t="n">
        <v>4.091</v>
      </c>
    </row>
    <row r="262167">
      <c r="B262167" t="n">
        <v>2015</v>
      </c>
      <c r="C262167" t="n">
        <v>40.896</v>
      </c>
      <c r="D262167" t="n">
        <v>3.351</v>
      </c>
    </row>
    <row r="262168">
      <c r="B262168" t="n">
        <v>2016</v>
      </c>
      <c r="C262168" t="n">
        <v>42.307</v>
      </c>
      <c r="D262168" t="n">
        <v>3.45</v>
      </c>
    </row>
    <row r="262169">
      <c r="B262169" t="n">
        <v>2017</v>
      </c>
      <c r="C262169" t="n">
        <v>44.49</v>
      </c>
      <c r="D262169" t="n">
        <v>5.161</v>
      </c>
    </row>
    <row r="262170">
      <c r="B262170" t="n">
        <v>2018</v>
      </c>
      <c r="C262170" t="n">
        <v>47.187</v>
      </c>
      <c r="D262170" t="n">
        <v>6.062</v>
      </c>
    </row>
    <row r="262171">
      <c r="B262171" t="n">
        <v>2019</v>
      </c>
      <c r="C262171" t="n">
        <v>49.726</v>
      </c>
      <c r="D262171" t="n">
        <v>5.38</v>
      </c>
    </row>
    <row r="262172">
      <c r="B262172" t="n">
        <v>2020</v>
      </c>
      <c r="C262172" t="n">
        <v>46.598</v>
      </c>
      <c r="D262172" t="n">
        <v>-6.291</v>
      </c>
    </row>
    <row r="262173">
      <c r="B262173" t="n">
        <v>2021</v>
      </c>
      <c r="C262173" t="n">
        <v>51.558</v>
      </c>
      <c r="D262173" t="n">
        <v>10.644</v>
      </c>
    </row>
    <row r="262174">
      <c r="B262174" t="n">
        <v>2022</v>
      </c>
      <c r="C262174" t="n">
        <v>57.208</v>
      </c>
      <c r="D262174" t="n">
        <v>10.96</v>
      </c>
    </row>
    <row r="262175">
      <c r="B262175" t="n">
        <v>2023</v>
      </c>
      <c r="C262175" t="n">
        <v>61.689</v>
      </c>
      <c r="D262175" t="n">
        <v>7.832</v>
      </c>
    </row>
    <row r="262176">
      <c r="B262176" t="n">
        <v>2024</v>
      </c>
      <c r="C262176" t="n">
        <v>67.505</v>
      </c>
      <c r="D262176" t="n">
        <v>9.429</v>
      </c>
    </row>
    <row r="262177">
      <c r="B262177" t="n">
        <v>2025</v>
      </c>
      <c r="C262177" t="n">
        <v>71.54000000000001</v>
      </c>
      <c r="D262177" t="n">
        <v>5.977</v>
      </c>
    </row>
    <row r="262178">
      <c r="B262178" t="n">
        <v>2026</v>
      </c>
      <c r="C262178" t="n">
        <v>75.117</v>
      </c>
      <c r="D262178" t="n">
        <v>5</v>
      </c>
    </row>
    <row r="262179">
      <c r="B262179" t="n">
        <v>2027</v>
      </c>
      <c r="C262179" t="n">
        <v>78.873</v>
      </c>
      <c r="D262179" t="n">
        <v>5</v>
      </c>
    </row>
    <row r="262180">
      <c r="B262180" t="inlineStr">
        <is>
          <t>Estimates Start After</t>
        </is>
      </c>
      <c r="C262180" t="n">
        <v>2024</v>
      </c>
      <c r="D262180" t="n">
        <v>2024</v>
      </c>
    </row>
    <row r="278529">
      <c r="B278529" t="inlineStr">
        <is>
          <t>WEO Country Code</t>
        </is>
      </c>
      <c r="C278529" t="n">
        <v>915</v>
      </c>
      <c r="D278529" t="n">
        <v>915</v>
      </c>
    </row>
    <row r="278530">
      <c r="B278530" t="inlineStr">
        <is>
          <t>WEO Subject Code</t>
        </is>
      </c>
      <c r="C278530" t="inlineStr">
        <is>
          <t>NGDP_R</t>
        </is>
      </c>
      <c r="D278530" t="inlineStr">
        <is>
          <t>NGDP_RPCH</t>
        </is>
      </c>
    </row>
    <row r="278531">
      <c r="B278531" t="inlineStr">
        <is>
          <t>Country</t>
        </is>
      </c>
      <c r="C278531" t="inlineStr">
        <is>
          <t>Georgia</t>
        </is>
      </c>
      <c r="D278531" t="inlineStr">
        <is>
          <t>Georgia</t>
        </is>
      </c>
    </row>
    <row r="278532">
      <c r="B278532" t="inlineStr">
        <is>
          <t>Subject Descriptor</t>
        </is>
      </c>
      <c r="C278532" t="inlineStr">
        <is>
          <t>Gross domestic product, constant prices</t>
        </is>
      </c>
      <c r="D278532" t="inlineStr">
        <is>
          <t>Gross domestic product, constant prices</t>
        </is>
      </c>
    </row>
    <row r="278533">
      <c r="B278533" t="inlineStr">
        <is>
          <t>Units</t>
        </is>
      </c>
      <c r="C278533" t="inlineStr">
        <is>
          <t>National currency</t>
        </is>
      </c>
      <c r="D278533" t="inlineStr">
        <is>
          <t>Percent change</t>
        </is>
      </c>
    </row>
    <row r="278534">
      <c r="B278534" t="inlineStr">
        <is>
          <t>Scale</t>
        </is>
      </c>
      <c r="C278534" t="inlineStr">
        <is>
          <t>Billions</t>
        </is>
      </c>
      <c r="D278534" t="inlineStr">
        <is>
          <t>Units</t>
        </is>
      </c>
    </row>
    <row r="278535">
      <c r="B278535" t="inlineStr">
        <is>
          <t>Country/Series-specific Notes</t>
        </is>
      </c>
      <c r="C2785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78535" t="inlineStr">
        <is>
          <t>See notes for:  Gross domestic product, constant prices (National currency).</t>
        </is>
      </c>
    </row>
    <row r="278536">
      <c r="B278536" t="n">
        <v>2000</v>
      </c>
      <c r="C278536" t="n">
        <v>16.963</v>
      </c>
      <c r="D278536" t="n">
        <v>1.865</v>
      </c>
    </row>
    <row r="278537">
      <c r="B278537" t="n">
        <v>2001</v>
      </c>
      <c r="C278537" t="n">
        <v>17.772</v>
      </c>
      <c r="D278537" t="n">
        <v>4.769</v>
      </c>
    </row>
    <row r="278538">
      <c r="B278538" t="n">
        <v>2002</v>
      </c>
      <c r="C278538" t="n">
        <v>18.747</v>
      </c>
      <c r="D278538" t="n">
        <v>5.487</v>
      </c>
    </row>
    <row r="278539">
      <c r="B278539" t="n">
        <v>2003</v>
      </c>
      <c r="C278539" t="n">
        <v>20.852</v>
      </c>
      <c r="D278539" t="n">
        <v>11.228</v>
      </c>
    </row>
    <row r="278540">
      <c r="B278540" t="n">
        <v>2004</v>
      </c>
      <c r="C278540" t="n">
        <v>22.061</v>
      </c>
      <c r="D278540" t="n">
        <v>5.796</v>
      </c>
    </row>
    <row r="278541">
      <c r="B278541" t="n">
        <v>2005</v>
      </c>
      <c r="C278541" t="n">
        <v>24.176</v>
      </c>
      <c r="D278541" t="n">
        <v>9.587999999999999</v>
      </c>
    </row>
    <row r="278542">
      <c r="B278542" t="n">
        <v>2006</v>
      </c>
      <c r="C278542" t="n">
        <v>26.454</v>
      </c>
      <c r="D278542" t="n">
        <v>9.42</v>
      </c>
    </row>
    <row r="278543">
      <c r="B278543" t="n">
        <v>2007</v>
      </c>
      <c r="C278543" t="n">
        <v>29.781</v>
      </c>
      <c r="D278543" t="n">
        <v>12.579</v>
      </c>
    </row>
    <row r="278544">
      <c r="B278544" t="n">
        <v>2008</v>
      </c>
      <c r="C278544" t="n">
        <v>30.502</v>
      </c>
      <c r="D278544" t="n">
        <v>2.419</v>
      </c>
    </row>
    <row r="278545">
      <c r="B278545" t="n">
        <v>2009</v>
      </c>
      <c r="C278545" t="n">
        <v>29.388</v>
      </c>
      <c r="D278545" t="n">
        <v>-3.651</v>
      </c>
    </row>
    <row r="278546">
      <c r="B278546" t="n">
        <v>2010</v>
      </c>
      <c r="C278546" t="n">
        <v>31.428</v>
      </c>
      <c r="D278546" t="n">
        <v>6.942</v>
      </c>
    </row>
    <row r="278547">
      <c r="B278547" t="n">
        <v>2011</v>
      </c>
      <c r="C278547" t="n">
        <v>33.927</v>
      </c>
      <c r="D278547" t="n">
        <v>7.949</v>
      </c>
    </row>
    <row r="278548">
      <c r="B278548" t="n">
        <v>2012</v>
      </c>
      <c r="C278548" t="n">
        <v>36.159</v>
      </c>
      <c r="D278548" t="n">
        <v>6.579</v>
      </c>
    </row>
    <row r="278549">
      <c r="B278549" t="n">
        <v>2013</v>
      </c>
      <c r="C278549" t="n">
        <v>38.015</v>
      </c>
      <c r="D278549" t="n">
        <v>5.134</v>
      </c>
    </row>
    <row r="278550">
      <c r="B278550" t="n">
        <v>2014</v>
      </c>
      <c r="C278550" t="n">
        <v>39.57</v>
      </c>
      <c r="D278550" t="n">
        <v>4.091</v>
      </c>
    </row>
    <row r="278551">
      <c r="B278551" t="n">
        <v>2015</v>
      </c>
      <c r="C278551" t="n">
        <v>40.896</v>
      </c>
      <c r="D278551" t="n">
        <v>3.351</v>
      </c>
    </row>
    <row r="278552">
      <c r="B278552" t="n">
        <v>2016</v>
      </c>
      <c r="C278552" t="n">
        <v>42.307</v>
      </c>
      <c r="D278552" t="n">
        <v>3.45</v>
      </c>
    </row>
    <row r="278553">
      <c r="B278553" t="n">
        <v>2017</v>
      </c>
      <c r="C278553" t="n">
        <v>44.49</v>
      </c>
      <c r="D278553" t="n">
        <v>5.161</v>
      </c>
    </row>
    <row r="278554">
      <c r="B278554" t="n">
        <v>2018</v>
      </c>
      <c r="C278554" t="n">
        <v>47.187</v>
      </c>
      <c r="D278554" t="n">
        <v>6.062</v>
      </c>
    </row>
    <row r="278555">
      <c r="B278555" t="n">
        <v>2019</v>
      </c>
      <c r="C278555" t="n">
        <v>49.726</v>
      </c>
      <c r="D278555" t="n">
        <v>5.38</v>
      </c>
    </row>
    <row r="278556">
      <c r="B278556" t="n">
        <v>2020</v>
      </c>
      <c r="C278556" t="n">
        <v>46.598</v>
      </c>
      <c r="D278556" t="n">
        <v>-6.291</v>
      </c>
    </row>
    <row r="278557">
      <c r="B278557" t="n">
        <v>2021</v>
      </c>
      <c r="C278557" t="n">
        <v>51.558</v>
      </c>
      <c r="D278557" t="n">
        <v>10.644</v>
      </c>
    </row>
    <row r="278558">
      <c r="B278558" t="n">
        <v>2022</v>
      </c>
      <c r="C278558" t="n">
        <v>57.208</v>
      </c>
      <c r="D278558" t="n">
        <v>10.96</v>
      </c>
    </row>
    <row r="278559">
      <c r="B278559" t="n">
        <v>2023</v>
      </c>
      <c r="C278559" t="n">
        <v>61.689</v>
      </c>
      <c r="D278559" t="n">
        <v>7.832</v>
      </c>
    </row>
    <row r="278560">
      <c r="B278560" t="n">
        <v>2024</v>
      </c>
      <c r="C278560" t="n">
        <v>67.505</v>
      </c>
      <c r="D278560" t="n">
        <v>9.429</v>
      </c>
    </row>
    <row r="278561">
      <c r="B278561" t="n">
        <v>2025</v>
      </c>
      <c r="C278561" t="n">
        <v>71.54000000000001</v>
      </c>
      <c r="D278561" t="n">
        <v>5.977</v>
      </c>
    </row>
    <row r="278562">
      <c r="B278562" t="n">
        <v>2026</v>
      </c>
      <c r="C278562" t="n">
        <v>75.117</v>
      </c>
      <c r="D278562" t="n">
        <v>5</v>
      </c>
    </row>
    <row r="278563">
      <c r="B278563" t="n">
        <v>2027</v>
      </c>
      <c r="C278563" t="n">
        <v>78.873</v>
      </c>
      <c r="D278563" t="n">
        <v>5</v>
      </c>
    </row>
    <row r="278564">
      <c r="B278564" t="inlineStr">
        <is>
          <t>Estimates Start After</t>
        </is>
      </c>
      <c r="C278564" t="n">
        <v>2024</v>
      </c>
      <c r="D278564" t="n">
        <v>2024</v>
      </c>
    </row>
    <row r="294913">
      <c r="B294913" t="inlineStr">
        <is>
          <t>WEO Country Code</t>
        </is>
      </c>
      <c r="C294913" t="n">
        <v>915</v>
      </c>
      <c r="D294913" t="n">
        <v>915</v>
      </c>
    </row>
    <row r="294914">
      <c r="B294914" t="inlineStr">
        <is>
          <t>WEO Subject Code</t>
        </is>
      </c>
      <c r="C294914" t="inlineStr">
        <is>
          <t>NGDP_R</t>
        </is>
      </c>
      <c r="D294914" t="inlineStr">
        <is>
          <t>NGDP_RPCH</t>
        </is>
      </c>
    </row>
    <row r="294915">
      <c r="B294915" t="inlineStr">
        <is>
          <t>Country</t>
        </is>
      </c>
      <c r="C294915" t="inlineStr">
        <is>
          <t>Georgia</t>
        </is>
      </c>
      <c r="D294915" t="inlineStr">
        <is>
          <t>Georgia</t>
        </is>
      </c>
    </row>
    <row r="294916">
      <c r="B294916" t="inlineStr">
        <is>
          <t>Subject Descriptor</t>
        </is>
      </c>
      <c r="C294916" t="inlineStr">
        <is>
          <t>Gross domestic product, constant prices</t>
        </is>
      </c>
      <c r="D294916" t="inlineStr">
        <is>
          <t>Gross domestic product, constant prices</t>
        </is>
      </c>
    </row>
    <row r="294917">
      <c r="B294917" t="inlineStr">
        <is>
          <t>Units</t>
        </is>
      </c>
      <c r="C294917" t="inlineStr">
        <is>
          <t>National currency</t>
        </is>
      </c>
      <c r="D294917" t="inlineStr">
        <is>
          <t>Percent change</t>
        </is>
      </c>
    </row>
    <row r="294918">
      <c r="B294918" t="inlineStr">
        <is>
          <t>Scale</t>
        </is>
      </c>
      <c r="C294918" t="inlineStr">
        <is>
          <t>Billions</t>
        </is>
      </c>
      <c r="D294918" t="inlineStr">
        <is>
          <t>Units</t>
        </is>
      </c>
    </row>
    <row r="294919">
      <c r="B294919" t="inlineStr">
        <is>
          <t>Country/Series-specific Notes</t>
        </is>
      </c>
      <c r="C2949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94919" t="inlineStr">
        <is>
          <t>See notes for:  Gross domestic product, constant prices (National currency).</t>
        </is>
      </c>
    </row>
    <row r="294920">
      <c r="B294920" t="n">
        <v>2000</v>
      </c>
      <c r="C294920" t="n">
        <v>16.963</v>
      </c>
      <c r="D294920" t="n">
        <v>1.865</v>
      </c>
    </row>
    <row r="294921">
      <c r="B294921" t="n">
        <v>2001</v>
      </c>
      <c r="C294921" t="n">
        <v>17.772</v>
      </c>
      <c r="D294921" t="n">
        <v>4.769</v>
      </c>
    </row>
    <row r="294922">
      <c r="B294922" t="n">
        <v>2002</v>
      </c>
      <c r="C294922" t="n">
        <v>18.747</v>
      </c>
      <c r="D294922" t="n">
        <v>5.487</v>
      </c>
    </row>
    <row r="294923">
      <c r="B294923" t="n">
        <v>2003</v>
      </c>
      <c r="C294923" t="n">
        <v>20.852</v>
      </c>
      <c r="D294923" t="n">
        <v>11.228</v>
      </c>
    </row>
    <row r="294924">
      <c r="B294924" t="n">
        <v>2004</v>
      </c>
      <c r="C294924" t="n">
        <v>22.061</v>
      </c>
      <c r="D294924" t="n">
        <v>5.796</v>
      </c>
    </row>
    <row r="294925">
      <c r="B294925" t="n">
        <v>2005</v>
      </c>
      <c r="C294925" t="n">
        <v>24.176</v>
      </c>
      <c r="D294925" t="n">
        <v>9.587999999999999</v>
      </c>
    </row>
    <row r="294926">
      <c r="B294926" t="n">
        <v>2006</v>
      </c>
      <c r="C294926" t="n">
        <v>26.454</v>
      </c>
      <c r="D294926" t="n">
        <v>9.42</v>
      </c>
    </row>
    <row r="294927">
      <c r="B294927" t="n">
        <v>2007</v>
      </c>
      <c r="C294927" t="n">
        <v>29.781</v>
      </c>
      <c r="D294927" t="n">
        <v>12.579</v>
      </c>
    </row>
    <row r="294928">
      <c r="B294928" t="n">
        <v>2008</v>
      </c>
      <c r="C294928" t="n">
        <v>30.502</v>
      </c>
      <c r="D294928" t="n">
        <v>2.419</v>
      </c>
    </row>
    <row r="294929">
      <c r="B294929" t="n">
        <v>2009</v>
      </c>
      <c r="C294929" t="n">
        <v>29.388</v>
      </c>
      <c r="D294929" t="n">
        <v>-3.651</v>
      </c>
    </row>
    <row r="294930">
      <c r="B294930" t="n">
        <v>2010</v>
      </c>
      <c r="C294930" t="n">
        <v>31.428</v>
      </c>
      <c r="D294930" t="n">
        <v>6.942</v>
      </c>
    </row>
    <row r="294931">
      <c r="B294931" t="n">
        <v>2011</v>
      </c>
      <c r="C294931" t="n">
        <v>33.927</v>
      </c>
      <c r="D294931" t="n">
        <v>7.949</v>
      </c>
    </row>
    <row r="294932">
      <c r="B294932" t="n">
        <v>2012</v>
      </c>
      <c r="C294932" t="n">
        <v>36.159</v>
      </c>
      <c r="D294932" t="n">
        <v>6.579</v>
      </c>
    </row>
    <row r="294933">
      <c r="B294933" t="n">
        <v>2013</v>
      </c>
      <c r="C294933" t="n">
        <v>38.015</v>
      </c>
      <c r="D294933" t="n">
        <v>5.134</v>
      </c>
    </row>
    <row r="294934">
      <c r="B294934" t="n">
        <v>2014</v>
      </c>
      <c r="C294934" t="n">
        <v>39.57</v>
      </c>
      <c r="D294934" t="n">
        <v>4.091</v>
      </c>
    </row>
    <row r="294935">
      <c r="B294935" t="n">
        <v>2015</v>
      </c>
      <c r="C294935" t="n">
        <v>40.896</v>
      </c>
      <c r="D294935" t="n">
        <v>3.351</v>
      </c>
    </row>
    <row r="294936">
      <c r="B294936" t="n">
        <v>2016</v>
      </c>
      <c r="C294936" t="n">
        <v>42.307</v>
      </c>
      <c r="D294936" t="n">
        <v>3.45</v>
      </c>
    </row>
    <row r="294937">
      <c r="B294937" t="n">
        <v>2017</v>
      </c>
      <c r="C294937" t="n">
        <v>44.49</v>
      </c>
      <c r="D294937" t="n">
        <v>5.161</v>
      </c>
    </row>
    <row r="294938">
      <c r="B294938" t="n">
        <v>2018</v>
      </c>
      <c r="C294938" t="n">
        <v>47.187</v>
      </c>
      <c r="D294938" t="n">
        <v>6.062</v>
      </c>
    </row>
    <row r="294939">
      <c r="B294939" t="n">
        <v>2019</v>
      </c>
      <c r="C294939" t="n">
        <v>49.726</v>
      </c>
      <c r="D294939" t="n">
        <v>5.38</v>
      </c>
    </row>
    <row r="294940">
      <c r="B294940" t="n">
        <v>2020</v>
      </c>
      <c r="C294940" t="n">
        <v>46.598</v>
      </c>
      <c r="D294940" t="n">
        <v>-6.291</v>
      </c>
    </row>
    <row r="294941">
      <c r="B294941" t="n">
        <v>2021</v>
      </c>
      <c r="C294941" t="n">
        <v>51.558</v>
      </c>
      <c r="D294941" t="n">
        <v>10.644</v>
      </c>
    </row>
    <row r="294942">
      <c r="B294942" t="n">
        <v>2022</v>
      </c>
      <c r="C294942" t="n">
        <v>57.208</v>
      </c>
      <c r="D294942" t="n">
        <v>10.96</v>
      </c>
    </row>
    <row r="294943">
      <c r="B294943" t="n">
        <v>2023</v>
      </c>
      <c r="C294943" t="n">
        <v>61.689</v>
      </c>
      <c r="D294943" t="n">
        <v>7.832</v>
      </c>
    </row>
    <row r="294944">
      <c r="B294944" t="n">
        <v>2024</v>
      </c>
      <c r="C294944" t="n">
        <v>67.505</v>
      </c>
      <c r="D294944" t="n">
        <v>9.429</v>
      </c>
    </row>
    <row r="294945">
      <c r="B294945" t="n">
        <v>2025</v>
      </c>
      <c r="C294945" t="n">
        <v>71.54000000000001</v>
      </c>
      <c r="D294945" t="n">
        <v>5.977</v>
      </c>
    </row>
    <row r="294946">
      <c r="B294946" t="n">
        <v>2026</v>
      </c>
      <c r="C294946" t="n">
        <v>75.117</v>
      </c>
      <c r="D294946" t="n">
        <v>5</v>
      </c>
    </row>
    <row r="294947">
      <c r="B294947" t="n">
        <v>2027</v>
      </c>
      <c r="C294947" t="n">
        <v>78.873</v>
      </c>
      <c r="D294947" t="n">
        <v>5</v>
      </c>
    </row>
    <row r="294948">
      <c r="B294948" t="inlineStr">
        <is>
          <t>Estimates Start After</t>
        </is>
      </c>
      <c r="C294948" t="n">
        <v>2024</v>
      </c>
      <c r="D294948" t="n">
        <v>2024</v>
      </c>
    </row>
    <row r="311297">
      <c r="B311297" t="inlineStr">
        <is>
          <t>WEO Country Code</t>
        </is>
      </c>
      <c r="C311297" t="n">
        <v>915</v>
      </c>
      <c r="D311297" t="n">
        <v>915</v>
      </c>
    </row>
    <row r="311298">
      <c r="B311298" t="inlineStr">
        <is>
          <t>WEO Subject Code</t>
        </is>
      </c>
      <c r="C311298" t="inlineStr">
        <is>
          <t>NGDP_R</t>
        </is>
      </c>
      <c r="D311298" t="inlineStr">
        <is>
          <t>NGDP_RPCH</t>
        </is>
      </c>
    </row>
    <row r="311299">
      <c r="B311299" t="inlineStr">
        <is>
          <t>Country</t>
        </is>
      </c>
      <c r="C311299" t="inlineStr">
        <is>
          <t>Georgia</t>
        </is>
      </c>
      <c r="D311299" t="inlineStr">
        <is>
          <t>Georgia</t>
        </is>
      </c>
    </row>
    <row r="311300">
      <c r="B311300" t="inlineStr">
        <is>
          <t>Subject Descriptor</t>
        </is>
      </c>
      <c r="C311300" t="inlineStr">
        <is>
          <t>Gross domestic product, constant prices</t>
        </is>
      </c>
      <c r="D311300" t="inlineStr">
        <is>
          <t>Gross domestic product, constant prices</t>
        </is>
      </c>
    </row>
    <row r="311301">
      <c r="B311301" t="inlineStr">
        <is>
          <t>Units</t>
        </is>
      </c>
      <c r="C311301" t="inlineStr">
        <is>
          <t>National currency</t>
        </is>
      </c>
      <c r="D311301" t="inlineStr">
        <is>
          <t>Percent change</t>
        </is>
      </c>
    </row>
    <row r="311302">
      <c r="B311302" t="inlineStr">
        <is>
          <t>Scale</t>
        </is>
      </c>
      <c r="C311302" t="inlineStr">
        <is>
          <t>Billions</t>
        </is>
      </c>
      <c r="D311302" t="inlineStr">
        <is>
          <t>Units</t>
        </is>
      </c>
    </row>
    <row r="311303">
      <c r="B311303" t="inlineStr">
        <is>
          <t>Country/Series-specific Notes</t>
        </is>
      </c>
      <c r="C3113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11303" t="inlineStr">
        <is>
          <t>See notes for:  Gross domestic product, constant prices (National currency).</t>
        </is>
      </c>
    </row>
    <row r="311304">
      <c r="B311304" t="n">
        <v>2000</v>
      </c>
      <c r="C311304" t="n">
        <v>16.963</v>
      </c>
      <c r="D311304" t="n">
        <v>1.865</v>
      </c>
    </row>
    <row r="311305">
      <c r="B311305" t="n">
        <v>2001</v>
      </c>
      <c r="C311305" t="n">
        <v>17.772</v>
      </c>
      <c r="D311305" t="n">
        <v>4.769</v>
      </c>
    </row>
    <row r="311306">
      <c r="B311306" t="n">
        <v>2002</v>
      </c>
      <c r="C311306" t="n">
        <v>18.747</v>
      </c>
      <c r="D311306" t="n">
        <v>5.487</v>
      </c>
    </row>
    <row r="311307">
      <c r="B311307" t="n">
        <v>2003</v>
      </c>
      <c r="C311307" t="n">
        <v>20.852</v>
      </c>
      <c r="D311307" t="n">
        <v>11.228</v>
      </c>
    </row>
    <row r="311308">
      <c r="B311308" t="n">
        <v>2004</v>
      </c>
      <c r="C311308" t="n">
        <v>22.061</v>
      </c>
      <c r="D311308" t="n">
        <v>5.796</v>
      </c>
    </row>
    <row r="311309">
      <c r="B311309" t="n">
        <v>2005</v>
      </c>
      <c r="C311309" t="n">
        <v>24.176</v>
      </c>
      <c r="D311309" t="n">
        <v>9.587999999999999</v>
      </c>
    </row>
    <row r="311310">
      <c r="B311310" t="n">
        <v>2006</v>
      </c>
      <c r="C311310" t="n">
        <v>26.454</v>
      </c>
      <c r="D311310" t="n">
        <v>9.42</v>
      </c>
    </row>
    <row r="311311">
      <c r="B311311" t="n">
        <v>2007</v>
      </c>
      <c r="C311311" t="n">
        <v>29.781</v>
      </c>
      <c r="D311311" t="n">
        <v>12.579</v>
      </c>
    </row>
    <row r="311312">
      <c r="B311312" t="n">
        <v>2008</v>
      </c>
      <c r="C311312" t="n">
        <v>30.502</v>
      </c>
      <c r="D311312" t="n">
        <v>2.419</v>
      </c>
    </row>
    <row r="311313">
      <c r="B311313" t="n">
        <v>2009</v>
      </c>
      <c r="C311313" t="n">
        <v>29.388</v>
      </c>
      <c r="D311313" t="n">
        <v>-3.651</v>
      </c>
    </row>
    <row r="311314">
      <c r="B311314" t="n">
        <v>2010</v>
      </c>
      <c r="C311314" t="n">
        <v>31.428</v>
      </c>
      <c r="D311314" t="n">
        <v>6.942</v>
      </c>
    </row>
    <row r="311315">
      <c r="B311315" t="n">
        <v>2011</v>
      </c>
      <c r="C311315" t="n">
        <v>33.927</v>
      </c>
      <c r="D311315" t="n">
        <v>7.949</v>
      </c>
    </row>
    <row r="311316">
      <c r="B311316" t="n">
        <v>2012</v>
      </c>
      <c r="C311316" t="n">
        <v>36.159</v>
      </c>
      <c r="D311316" t="n">
        <v>6.579</v>
      </c>
    </row>
    <row r="311317">
      <c r="B311317" t="n">
        <v>2013</v>
      </c>
      <c r="C311317" t="n">
        <v>38.015</v>
      </c>
      <c r="D311317" t="n">
        <v>5.134</v>
      </c>
    </row>
    <row r="311318">
      <c r="B311318" t="n">
        <v>2014</v>
      </c>
      <c r="C311318" t="n">
        <v>39.57</v>
      </c>
      <c r="D311318" t="n">
        <v>4.091</v>
      </c>
    </row>
    <row r="311319">
      <c r="B311319" t="n">
        <v>2015</v>
      </c>
      <c r="C311319" t="n">
        <v>40.896</v>
      </c>
      <c r="D311319" t="n">
        <v>3.351</v>
      </c>
    </row>
    <row r="311320">
      <c r="B311320" t="n">
        <v>2016</v>
      </c>
      <c r="C311320" t="n">
        <v>42.307</v>
      </c>
      <c r="D311320" t="n">
        <v>3.45</v>
      </c>
    </row>
    <row r="311321">
      <c r="B311321" t="n">
        <v>2017</v>
      </c>
      <c r="C311321" t="n">
        <v>44.49</v>
      </c>
      <c r="D311321" t="n">
        <v>5.161</v>
      </c>
    </row>
    <row r="311322">
      <c r="B311322" t="n">
        <v>2018</v>
      </c>
      <c r="C311322" t="n">
        <v>47.187</v>
      </c>
      <c r="D311322" t="n">
        <v>6.062</v>
      </c>
    </row>
    <row r="311323">
      <c r="B311323" t="n">
        <v>2019</v>
      </c>
      <c r="C311323" t="n">
        <v>49.726</v>
      </c>
      <c r="D311323" t="n">
        <v>5.38</v>
      </c>
    </row>
    <row r="311324">
      <c r="B311324" t="n">
        <v>2020</v>
      </c>
      <c r="C311324" t="n">
        <v>46.598</v>
      </c>
      <c r="D311324" t="n">
        <v>-6.291</v>
      </c>
    </row>
    <row r="311325">
      <c r="B311325" t="n">
        <v>2021</v>
      </c>
      <c r="C311325" t="n">
        <v>51.558</v>
      </c>
      <c r="D311325" t="n">
        <v>10.644</v>
      </c>
    </row>
    <row r="311326">
      <c r="B311326" t="n">
        <v>2022</v>
      </c>
      <c r="C311326" t="n">
        <v>57.208</v>
      </c>
      <c r="D311326" t="n">
        <v>10.96</v>
      </c>
    </row>
    <row r="311327">
      <c r="B311327" t="n">
        <v>2023</v>
      </c>
      <c r="C311327" t="n">
        <v>61.689</v>
      </c>
      <c r="D311327" t="n">
        <v>7.832</v>
      </c>
    </row>
    <row r="311328">
      <c r="B311328" t="n">
        <v>2024</v>
      </c>
      <c r="C311328" t="n">
        <v>67.505</v>
      </c>
      <c r="D311328" t="n">
        <v>9.429</v>
      </c>
    </row>
    <row r="311329">
      <c r="B311329" t="n">
        <v>2025</v>
      </c>
      <c r="C311329" t="n">
        <v>71.54000000000001</v>
      </c>
      <c r="D311329" t="n">
        <v>5.977</v>
      </c>
    </row>
    <row r="311330">
      <c r="B311330" t="n">
        <v>2026</v>
      </c>
      <c r="C311330" t="n">
        <v>75.117</v>
      </c>
      <c r="D311330" t="n">
        <v>5</v>
      </c>
    </row>
    <row r="311331">
      <c r="B311331" t="n">
        <v>2027</v>
      </c>
      <c r="C311331" t="n">
        <v>78.873</v>
      </c>
      <c r="D311331" t="n">
        <v>5</v>
      </c>
    </row>
    <row r="311332">
      <c r="B311332" t="inlineStr">
        <is>
          <t>Estimates Start After</t>
        </is>
      </c>
      <c r="C311332" t="n">
        <v>2024</v>
      </c>
      <c r="D311332" t="n">
        <v>2024</v>
      </c>
    </row>
    <row r="327681">
      <c r="B327681" t="inlineStr">
        <is>
          <t>WEO Country Code</t>
        </is>
      </c>
      <c r="C327681" t="n">
        <v>915</v>
      </c>
      <c r="D327681" t="n">
        <v>915</v>
      </c>
    </row>
    <row r="327682">
      <c r="B327682" t="inlineStr">
        <is>
          <t>WEO Subject Code</t>
        </is>
      </c>
      <c r="C327682" t="inlineStr">
        <is>
          <t>NGDP_R</t>
        </is>
      </c>
      <c r="D327682" t="inlineStr">
        <is>
          <t>NGDP_RPCH</t>
        </is>
      </c>
    </row>
    <row r="327683">
      <c r="B327683" t="inlineStr">
        <is>
          <t>Country</t>
        </is>
      </c>
      <c r="C327683" t="inlineStr">
        <is>
          <t>Georgia</t>
        </is>
      </c>
      <c r="D327683" t="inlineStr">
        <is>
          <t>Georgia</t>
        </is>
      </c>
    </row>
    <row r="327684">
      <c r="B327684" t="inlineStr">
        <is>
          <t>Subject Descriptor</t>
        </is>
      </c>
      <c r="C327684" t="inlineStr">
        <is>
          <t>Gross domestic product, constant prices</t>
        </is>
      </c>
      <c r="D327684" t="inlineStr">
        <is>
          <t>Gross domestic product, constant prices</t>
        </is>
      </c>
    </row>
    <row r="327685">
      <c r="B327685" t="inlineStr">
        <is>
          <t>Units</t>
        </is>
      </c>
      <c r="C327685" t="inlineStr">
        <is>
          <t>National currency</t>
        </is>
      </c>
      <c r="D327685" t="inlineStr">
        <is>
          <t>Percent change</t>
        </is>
      </c>
    </row>
    <row r="327686">
      <c r="B327686" t="inlineStr">
        <is>
          <t>Scale</t>
        </is>
      </c>
      <c r="C327686" t="inlineStr">
        <is>
          <t>Billions</t>
        </is>
      </c>
      <c r="D327686" t="inlineStr">
        <is>
          <t>Units</t>
        </is>
      </c>
    </row>
    <row r="327687">
      <c r="B327687" t="inlineStr">
        <is>
          <t>Country/Series-specific Notes</t>
        </is>
      </c>
      <c r="C3276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687" t="inlineStr">
        <is>
          <t>See notes for:  Gross domestic product, constant prices (National currency).</t>
        </is>
      </c>
    </row>
    <row r="327688">
      <c r="B327688" t="n">
        <v>2000</v>
      </c>
      <c r="C327688" t="n">
        <v>16.963</v>
      </c>
      <c r="D327688" t="n">
        <v>1.865</v>
      </c>
    </row>
    <row r="327689">
      <c r="B327689" t="n">
        <v>2001</v>
      </c>
      <c r="C327689" t="n">
        <v>17.772</v>
      </c>
      <c r="D327689" t="n">
        <v>4.769</v>
      </c>
    </row>
    <row r="327690">
      <c r="B327690" t="n">
        <v>2002</v>
      </c>
      <c r="C327690" t="n">
        <v>18.747</v>
      </c>
      <c r="D327690" t="n">
        <v>5.487</v>
      </c>
    </row>
    <row r="327691">
      <c r="B327691" t="n">
        <v>2003</v>
      </c>
      <c r="C327691" t="n">
        <v>20.852</v>
      </c>
      <c r="D327691" t="n">
        <v>11.228</v>
      </c>
    </row>
    <row r="327692">
      <c r="B327692" t="n">
        <v>2004</v>
      </c>
      <c r="C327692" t="n">
        <v>22.061</v>
      </c>
      <c r="D327692" t="n">
        <v>5.796</v>
      </c>
    </row>
    <row r="327693">
      <c r="B327693" t="n">
        <v>2005</v>
      </c>
      <c r="C327693" t="n">
        <v>24.176</v>
      </c>
      <c r="D327693" t="n">
        <v>9.587999999999999</v>
      </c>
    </row>
    <row r="327694">
      <c r="B327694" t="n">
        <v>2006</v>
      </c>
      <c r="C327694" t="n">
        <v>26.454</v>
      </c>
      <c r="D327694" t="n">
        <v>9.42</v>
      </c>
    </row>
    <row r="327695">
      <c r="B327695" t="n">
        <v>2007</v>
      </c>
      <c r="C327695" t="n">
        <v>29.781</v>
      </c>
      <c r="D327695" t="n">
        <v>12.579</v>
      </c>
    </row>
    <row r="327696">
      <c r="B327696" t="n">
        <v>2008</v>
      </c>
      <c r="C327696" t="n">
        <v>30.502</v>
      </c>
      <c r="D327696" t="n">
        <v>2.419</v>
      </c>
    </row>
    <row r="327697">
      <c r="B327697" t="n">
        <v>2009</v>
      </c>
      <c r="C327697" t="n">
        <v>29.388</v>
      </c>
      <c r="D327697" t="n">
        <v>-3.651</v>
      </c>
    </row>
    <row r="327698">
      <c r="B327698" t="n">
        <v>2010</v>
      </c>
      <c r="C327698" t="n">
        <v>31.428</v>
      </c>
      <c r="D327698" t="n">
        <v>6.942</v>
      </c>
    </row>
    <row r="327699">
      <c r="B327699" t="n">
        <v>2011</v>
      </c>
      <c r="C327699" t="n">
        <v>33.927</v>
      </c>
      <c r="D327699" t="n">
        <v>7.949</v>
      </c>
    </row>
    <row r="327700">
      <c r="B327700" t="n">
        <v>2012</v>
      </c>
      <c r="C327700" t="n">
        <v>36.159</v>
      </c>
      <c r="D327700" t="n">
        <v>6.579</v>
      </c>
    </row>
    <row r="327701">
      <c r="B327701" t="n">
        <v>2013</v>
      </c>
      <c r="C327701" t="n">
        <v>38.015</v>
      </c>
      <c r="D327701" t="n">
        <v>5.134</v>
      </c>
    </row>
    <row r="327702">
      <c r="B327702" t="n">
        <v>2014</v>
      </c>
      <c r="C327702" t="n">
        <v>39.57</v>
      </c>
      <c r="D327702" t="n">
        <v>4.091</v>
      </c>
    </row>
    <row r="327703">
      <c r="B327703" t="n">
        <v>2015</v>
      </c>
      <c r="C327703" t="n">
        <v>40.896</v>
      </c>
      <c r="D327703" t="n">
        <v>3.351</v>
      </c>
    </row>
    <row r="327704">
      <c r="B327704" t="n">
        <v>2016</v>
      </c>
      <c r="C327704" t="n">
        <v>42.307</v>
      </c>
      <c r="D327704" t="n">
        <v>3.45</v>
      </c>
    </row>
    <row r="327705">
      <c r="B327705" t="n">
        <v>2017</v>
      </c>
      <c r="C327705" t="n">
        <v>44.49</v>
      </c>
      <c r="D327705" t="n">
        <v>5.161</v>
      </c>
    </row>
    <row r="327706">
      <c r="B327706" t="n">
        <v>2018</v>
      </c>
      <c r="C327706" t="n">
        <v>47.187</v>
      </c>
      <c r="D327706" t="n">
        <v>6.062</v>
      </c>
    </row>
    <row r="327707">
      <c r="B327707" t="n">
        <v>2019</v>
      </c>
      <c r="C327707" t="n">
        <v>49.726</v>
      </c>
      <c r="D327707" t="n">
        <v>5.38</v>
      </c>
    </row>
    <row r="327708">
      <c r="B327708" t="n">
        <v>2020</v>
      </c>
      <c r="C327708" t="n">
        <v>46.598</v>
      </c>
      <c r="D327708" t="n">
        <v>-6.291</v>
      </c>
    </row>
    <row r="327709">
      <c r="B327709" t="n">
        <v>2021</v>
      </c>
      <c r="C327709" t="n">
        <v>51.558</v>
      </c>
      <c r="D327709" t="n">
        <v>10.644</v>
      </c>
    </row>
    <row r="327710">
      <c r="B327710" t="n">
        <v>2022</v>
      </c>
      <c r="C327710" t="n">
        <v>57.208</v>
      </c>
      <c r="D327710" t="n">
        <v>10.96</v>
      </c>
    </row>
    <row r="327711">
      <c r="B327711" t="n">
        <v>2023</v>
      </c>
      <c r="C327711" t="n">
        <v>61.689</v>
      </c>
      <c r="D327711" t="n">
        <v>7.832</v>
      </c>
    </row>
    <row r="327712">
      <c r="B327712" t="n">
        <v>2024</v>
      </c>
      <c r="C327712" t="n">
        <v>67.505</v>
      </c>
      <c r="D327712" t="n">
        <v>9.429</v>
      </c>
    </row>
    <row r="327713">
      <c r="B327713" t="n">
        <v>2025</v>
      </c>
      <c r="C327713" t="n">
        <v>71.54000000000001</v>
      </c>
      <c r="D327713" t="n">
        <v>5.977</v>
      </c>
    </row>
    <row r="327714">
      <c r="B327714" t="n">
        <v>2026</v>
      </c>
      <c r="C327714" t="n">
        <v>75.117</v>
      </c>
      <c r="D327714" t="n">
        <v>5</v>
      </c>
    </row>
    <row r="327715">
      <c r="B327715" t="n">
        <v>2027</v>
      </c>
      <c r="C327715" t="n">
        <v>78.873</v>
      </c>
      <c r="D327715" t="n">
        <v>5</v>
      </c>
    </row>
    <row r="327716">
      <c r="B327716" t="inlineStr">
        <is>
          <t>Estimates Start After</t>
        </is>
      </c>
      <c r="C327716" t="n">
        <v>2024</v>
      </c>
      <c r="D327716" t="n">
        <v>2024</v>
      </c>
    </row>
    <row r="344065">
      <c r="B344065" t="inlineStr">
        <is>
          <t>WEO Country Code</t>
        </is>
      </c>
      <c r="C344065" t="n">
        <v>915</v>
      </c>
      <c r="D344065" t="n">
        <v>915</v>
      </c>
    </row>
    <row r="344066">
      <c r="B344066" t="inlineStr">
        <is>
          <t>WEO Subject Code</t>
        </is>
      </c>
      <c r="C344066" t="inlineStr">
        <is>
          <t>NGDP_R</t>
        </is>
      </c>
      <c r="D344066" t="inlineStr">
        <is>
          <t>NGDP_RPCH</t>
        </is>
      </c>
    </row>
    <row r="344067">
      <c r="B344067" t="inlineStr">
        <is>
          <t>Country</t>
        </is>
      </c>
      <c r="C344067" t="inlineStr">
        <is>
          <t>Georgia</t>
        </is>
      </c>
      <c r="D344067" t="inlineStr">
        <is>
          <t>Georgia</t>
        </is>
      </c>
    </row>
    <row r="344068">
      <c r="B344068" t="inlineStr">
        <is>
          <t>Subject Descriptor</t>
        </is>
      </c>
      <c r="C344068" t="inlineStr">
        <is>
          <t>Gross domestic product, constant prices</t>
        </is>
      </c>
      <c r="D344068" t="inlineStr">
        <is>
          <t>Gross domestic product, constant prices</t>
        </is>
      </c>
    </row>
    <row r="344069">
      <c r="B344069" t="inlineStr">
        <is>
          <t>Units</t>
        </is>
      </c>
      <c r="C344069" t="inlineStr">
        <is>
          <t>National currency</t>
        </is>
      </c>
      <c r="D344069" t="inlineStr">
        <is>
          <t>Percent change</t>
        </is>
      </c>
    </row>
    <row r="344070">
      <c r="B344070" t="inlineStr">
        <is>
          <t>Scale</t>
        </is>
      </c>
      <c r="C344070" t="inlineStr">
        <is>
          <t>Billions</t>
        </is>
      </c>
      <c r="D344070" t="inlineStr">
        <is>
          <t>Units</t>
        </is>
      </c>
    </row>
    <row r="344071">
      <c r="B344071" t="inlineStr">
        <is>
          <t>Country/Series-specific Notes</t>
        </is>
      </c>
      <c r="C3440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44071" t="inlineStr">
        <is>
          <t>See notes for:  Gross domestic product, constant prices (National currency).</t>
        </is>
      </c>
    </row>
    <row r="344072">
      <c r="B344072" t="n">
        <v>2000</v>
      </c>
      <c r="C344072" t="n">
        <v>16.963</v>
      </c>
      <c r="D344072" t="n">
        <v>1.865</v>
      </c>
    </row>
    <row r="344073">
      <c r="B344073" t="n">
        <v>2001</v>
      </c>
      <c r="C344073" t="n">
        <v>17.772</v>
      </c>
      <c r="D344073" t="n">
        <v>4.769</v>
      </c>
    </row>
    <row r="344074">
      <c r="B344074" t="n">
        <v>2002</v>
      </c>
      <c r="C344074" t="n">
        <v>18.747</v>
      </c>
      <c r="D344074" t="n">
        <v>5.487</v>
      </c>
    </row>
    <row r="344075">
      <c r="B344075" t="n">
        <v>2003</v>
      </c>
      <c r="C344075" t="n">
        <v>20.852</v>
      </c>
      <c r="D344075" t="n">
        <v>11.228</v>
      </c>
    </row>
    <row r="344076">
      <c r="B344076" t="n">
        <v>2004</v>
      </c>
      <c r="C344076" t="n">
        <v>22.061</v>
      </c>
      <c r="D344076" t="n">
        <v>5.796</v>
      </c>
    </row>
    <row r="344077">
      <c r="B344077" t="n">
        <v>2005</v>
      </c>
      <c r="C344077" t="n">
        <v>24.176</v>
      </c>
      <c r="D344077" t="n">
        <v>9.587999999999999</v>
      </c>
    </row>
    <row r="344078">
      <c r="B344078" t="n">
        <v>2006</v>
      </c>
      <c r="C344078" t="n">
        <v>26.454</v>
      </c>
      <c r="D344078" t="n">
        <v>9.42</v>
      </c>
    </row>
    <row r="344079">
      <c r="B344079" t="n">
        <v>2007</v>
      </c>
      <c r="C344079" t="n">
        <v>29.781</v>
      </c>
      <c r="D344079" t="n">
        <v>12.579</v>
      </c>
    </row>
    <row r="344080">
      <c r="B344080" t="n">
        <v>2008</v>
      </c>
      <c r="C344080" t="n">
        <v>30.502</v>
      </c>
      <c r="D344080" t="n">
        <v>2.419</v>
      </c>
    </row>
    <row r="344081">
      <c r="B344081" t="n">
        <v>2009</v>
      </c>
      <c r="C344081" t="n">
        <v>29.388</v>
      </c>
      <c r="D344081" t="n">
        <v>-3.651</v>
      </c>
    </row>
    <row r="344082">
      <c r="B344082" t="n">
        <v>2010</v>
      </c>
      <c r="C344082" t="n">
        <v>31.428</v>
      </c>
      <c r="D344082" t="n">
        <v>6.942</v>
      </c>
    </row>
    <row r="344083">
      <c r="B344083" t="n">
        <v>2011</v>
      </c>
      <c r="C344083" t="n">
        <v>33.927</v>
      </c>
      <c r="D344083" t="n">
        <v>7.949</v>
      </c>
    </row>
    <row r="344084">
      <c r="B344084" t="n">
        <v>2012</v>
      </c>
      <c r="C344084" t="n">
        <v>36.159</v>
      </c>
      <c r="D344084" t="n">
        <v>6.579</v>
      </c>
    </row>
    <row r="344085">
      <c r="B344085" t="n">
        <v>2013</v>
      </c>
      <c r="C344085" t="n">
        <v>38.015</v>
      </c>
      <c r="D344085" t="n">
        <v>5.134</v>
      </c>
    </row>
    <row r="344086">
      <c r="B344086" t="n">
        <v>2014</v>
      </c>
      <c r="C344086" t="n">
        <v>39.57</v>
      </c>
      <c r="D344086" t="n">
        <v>4.091</v>
      </c>
    </row>
    <row r="344087">
      <c r="B344087" t="n">
        <v>2015</v>
      </c>
      <c r="C344087" t="n">
        <v>40.896</v>
      </c>
      <c r="D344087" t="n">
        <v>3.351</v>
      </c>
    </row>
    <row r="344088">
      <c r="B344088" t="n">
        <v>2016</v>
      </c>
      <c r="C344088" t="n">
        <v>42.307</v>
      </c>
      <c r="D344088" t="n">
        <v>3.45</v>
      </c>
    </row>
    <row r="344089">
      <c r="B344089" t="n">
        <v>2017</v>
      </c>
      <c r="C344089" t="n">
        <v>44.49</v>
      </c>
      <c r="D344089" t="n">
        <v>5.161</v>
      </c>
    </row>
    <row r="344090">
      <c r="B344090" t="n">
        <v>2018</v>
      </c>
      <c r="C344090" t="n">
        <v>47.187</v>
      </c>
      <c r="D344090" t="n">
        <v>6.062</v>
      </c>
    </row>
    <row r="344091">
      <c r="B344091" t="n">
        <v>2019</v>
      </c>
      <c r="C344091" t="n">
        <v>49.726</v>
      </c>
      <c r="D344091" t="n">
        <v>5.38</v>
      </c>
    </row>
    <row r="344092">
      <c r="B344092" t="n">
        <v>2020</v>
      </c>
      <c r="C344092" t="n">
        <v>46.598</v>
      </c>
      <c r="D344092" t="n">
        <v>-6.291</v>
      </c>
    </row>
    <row r="344093">
      <c r="B344093" t="n">
        <v>2021</v>
      </c>
      <c r="C344093" t="n">
        <v>51.558</v>
      </c>
      <c r="D344093" t="n">
        <v>10.644</v>
      </c>
    </row>
    <row r="344094">
      <c r="B344094" t="n">
        <v>2022</v>
      </c>
      <c r="C344094" t="n">
        <v>57.208</v>
      </c>
      <c r="D344094" t="n">
        <v>10.96</v>
      </c>
    </row>
    <row r="344095">
      <c r="B344095" t="n">
        <v>2023</v>
      </c>
      <c r="C344095" t="n">
        <v>61.689</v>
      </c>
      <c r="D344095" t="n">
        <v>7.832</v>
      </c>
    </row>
    <row r="344096">
      <c r="B344096" t="n">
        <v>2024</v>
      </c>
      <c r="C344096" t="n">
        <v>67.505</v>
      </c>
      <c r="D344096" t="n">
        <v>9.429</v>
      </c>
    </row>
    <row r="344097">
      <c r="B344097" t="n">
        <v>2025</v>
      </c>
      <c r="C344097" t="n">
        <v>71.54000000000001</v>
      </c>
      <c r="D344097" t="n">
        <v>5.977</v>
      </c>
    </row>
    <row r="344098">
      <c r="B344098" t="n">
        <v>2026</v>
      </c>
      <c r="C344098" t="n">
        <v>75.117</v>
      </c>
      <c r="D344098" t="n">
        <v>5</v>
      </c>
    </row>
    <row r="344099">
      <c r="B344099" t="n">
        <v>2027</v>
      </c>
      <c r="C344099" t="n">
        <v>78.873</v>
      </c>
      <c r="D344099" t="n">
        <v>5</v>
      </c>
    </row>
    <row r="344100">
      <c r="B344100" t="inlineStr">
        <is>
          <t>Estimates Start After</t>
        </is>
      </c>
      <c r="C344100" t="n">
        <v>2024</v>
      </c>
      <c r="D344100" t="n">
        <v>2024</v>
      </c>
    </row>
    <row r="360449">
      <c r="B360449" t="inlineStr">
        <is>
          <t>WEO Country Code</t>
        </is>
      </c>
      <c r="C360449" t="n">
        <v>915</v>
      </c>
      <c r="D360449" t="n">
        <v>915</v>
      </c>
    </row>
    <row r="360450">
      <c r="B360450" t="inlineStr">
        <is>
          <t>WEO Subject Code</t>
        </is>
      </c>
      <c r="C360450" t="inlineStr">
        <is>
          <t>NGDP_R</t>
        </is>
      </c>
      <c r="D360450" t="inlineStr">
        <is>
          <t>NGDP_RPCH</t>
        </is>
      </c>
    </row>
    <row r="360451">
      <c r="B360451" t="inlineStr">
        <is>
          <t>Country</t>
        </is>
      </c>
      <c r="C360451" t="inlineStr">
        <is>
          <t>Georgia</t>
        </is>
      </c>
      <c r="D360451" t="inlineStr">
        <is>
          <t>Georgia</t>
        </is>
      </c>
    </row>
    <row r="360452">
      <c r="B360452" t="inlineStr">
        <is>
          <t>Subject Descriptor</t>
        </is>
      </c>
      <c r="C360452" t="inlineStr">
        <is>
          <t>Gross domestic product, constant prices</t>
        </is>
      </c>
      <c r="D360452" t="inlineStr">
        <is>
          <t>Gross domestic product, constant prices</t>
        </is>
      </c>
    </row>
    <row r="360453">
      <c r="B360453" t="inlineStr">
        <is>
          <t>Units</t>
        </is>
      </c>
      <c r="C360453" t="inlineStr">
        <is>
          <t>National currency</t>
        </is>
      </c>
      <c r="D360453" t="inlineStr">
        <is>
          <t>Percent change</t>
        </is>
      </c>
    </row>
    <row r="360454">
      <c r="B360454" t="inlineStr">
        <is>
          <t>Scale</t>
        </is>
      </c>
      <c r="C360454" t="inlineStr">
        <is>
          <t>Billions</t>
        </is>
      </c>
      <c r="D360454" t="inlineStr">
        <is>
          <t>Units</t>
        </is>
      </c>
    </row>
    <row r="360455">
      <c r="B360455" t="inlineStr">
        <is>
          <t>Country/Series-specific Notes</t>
        </is>
      </c>
      <c r="C3604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60455" t="inlineStr">
        <is>
          <t>See notes for:  Gross domestic product, constant prices (National currency).</t>
        </is>
      </c>
    </row>
    <row r="360456">
      <c r="B360456" t="n">
        <v>2000</v>
      </c>
      <c r="C360456" t="n">
        <v>16.963</v>
      </c>
      <c r="D360456" t="n">
        <v>1.865</v>
      </c>
    </row>
    <row r="360457">
      <c r="B360457" t="n">
        <v>2001</v>
      </c>
      <c r="C360457" t="n">
        <v>17.772</v>
      </c>
      <c r="D360457" t="n">
        <v>4.769</v>
      </c>
    </row>
    <row r="360458">
      <c r="B360458" t="n">
        <v>2002</v>
      </c>
      <c r="C360458" t="n">
        <v>18.747</v>
      </c>
      <c r="D360458" t="n">
        <v>5.487</v>
      </c>
    </row>
    <row r="360459">
      <c r="B360459" t="n">
        <v>2003</v>
      </c>
      <c r="C360459" t="n">
        <v>20.852</v>
      </c>
      <c r="D360459" t="n">
        <v>11.228</v>
      </c>
    </row>
    <row r="360460">
      <c r="B360460" t="n">
        <v>2004</v>
      </c>
      <c r="C360460" t="n">
        <v>22.061</v>
      </c>
      <c r="D360460" t="n">
        <v>5.796</v>
      </c>
    </row>
    <row r="360461">
      <c r="B360461" t="n">
        <v>2005</v>
      </c>
      <c r="C360461" t="n">
        <v>24.176</v>
      </c>
      <c r="D360461" t="n">
        <v>9.587999999999999</v>
      </c>
    </row>
    <row r="360462">
      <c r="B360462" t="n">
        <v>2006</v>
      </c>
      <c r="C360462" t="n">
        <v>26.454</v>
      </c>
      <c r="D360462" t="n">
        <v>9.42</v>
      </c>
    </row>
    <row r="360463">
      <c r="B360463" t="n">
        <v>2007</v>
      </c>
      <c r="C360463" t="n">
        <v>29.781</v>
      </c>
      <c r="D360463" t="n">
        <v>12.579</v>
      </c>
    </row>
    <row r="360464">
      <c r="B360464" t="n">
        <v>2008</v>
      </c>
      <c r="C360464" t="n">
        <v>30.502</v>
      </c>
      <c r="D360464" t="n">
        <v>2.419</v>
      </c>
    </row>
    <row r="360465">
      <c r="B360465" t="n">
        <v>2009</v>
      </c>
      <c r="C360465" t="n">
        <v>29.388</v>
      </c>
      <c r="D360465" t="n">
        <v>-3.651</v>
      </c>
    </row>
    <row r="360466">
      <c r="B360466" t="n">
        <v>2010</v>
      </c>
      <c r="C360466" t="n">
        <v>31.428</v>
      </c>
      <c r="D360466" t="n">
        <v>6.942</v>
      </c>
    </row>
    <row r="360467">
      <c r="B360467" t="n">
        <v>2011</v>
      </c>
      <c r="C360467" t="n">
        <v>33.927</v>
      </c>
      <c r="D360467" t="n">
        <v>7.949</v>
      </c>
    </row>
    <row r="360468">
      <c r="B360468" t="n">
        <v>2012</v>
      </c>
      <c r="C360468" t="n">
        <v>36.159</v>
      </c>
      <c r="D360468" t="n">
        <v>6.579</v>
      </c>
    </row>
    <row r="360469">
      <c r="B360469" t="n">
        <v>2013</v>
      </c>
      <c r="C360469" t="n">
        <v>38.015</v>
      </c>
      <c r="D360469" t="n">
        <v>5.134</v>
      </c>
    </row>
    <row r="360470">
      <c r="B360470" t="n">
        <v>2014</v>
      </c>
      <c r="C360470" t="n">
        <v>39.57</v>
      </c>
      <c r="D360470" t="n">
        <v>4.091</v>
      </c>
    </row>
    <row r="360471">
      <c r="B360471" t="n">
        <v>2015</v>
      </c>
      <c r="C360471" t="n">
        <v>40.896</v>
      </c>
      <c r="D360471" t="n">
        <v>3.351</v>
      </c>
    </row>
    <row r="360472">
      <c r="B360472" t="n">
        <v>2016</v>
      </c>
      <c r="C360472" t="n">
        <v>42.307</v>
      </c>
      <c r="D360472" t="n">
        <v>3.45</v>
      </c>
    </row>
    <row r="360473">
      <c r="B360473" t="n">
        <v>2017</v>
      </c>
      <c r="C360473" t="n">
        <v>44.49</v>
      </c>
      <c r="D360473" t="n">
        <v>5.161</v>
      </c>
    </row>
    <row r="360474">
      <c r="B360474" t="n">
        <v>2018</v>
      </c>
      <c r="C360474" t="n">
        <v>47.187</v>
      </c>
      <c r="D360474" t="n">
        <v>6.062</v>
      </c>
    </row>
    <row r="360475">
      <c r="B360475" t="n">
        <v>2019</v>
      </c>
      <c r="C360475" t="n">
        <v>49.726</v>
      </c>
      <c r="D360475" t="n">
        <v>5.38</v>
      </c>
    </row>
    <row r="360476">
      <c r="B360476" t="n">
        <v>2020</v>
      </c>
      <c r="C360476" t="n">
        <v>46.598</v>
      </c>
      <c r="D360476" t="n">
        <v>-6.291</v>
      </c>
    </row>
    <row r="360477">
      <c r="B360477" t="n">
        <v>2021</v>
      </c>
      <c r="C360477" t="n">
        <v>51.558</v>
      </c>
      <c r="D360477" t="n">
        <v>10.644</v>
      </c>
    </row>
    <row r="360478">
      <c r="B360478" t="n">
        <v>2022</v>
      </c>
      <c r="C360478" t="n">
        <v>57.208</v>
      </c>
      <c r="D360478" t="n">
        <v>10.96</v>
      </c>
    </row>
    <row r="360479">
      <c r="B360479" t="n">
        <v>2023</v>
      </c>
      <c r="C360479" t="n">
        <v>61.689</v>
      </c>
      <c r="D360479" t="n">
        <v>7.832</v>
      </c>
    </row>
    <row r="360480">
      <c r="B360480" t="n">
        <v>2024</v>
      </c>
      <c r="C360480" t="n">
        <v>67.505</v>
      </c>
      <c r="D360480" t="n">
        <v>9.429</v>
      </c>
    </row>
    <row r="360481">
      <c r="B360481" t="n">
        <v>2025</v>
      </c>
      <c r="C360481" t="n">
        <v>71.54000000000001</v>
      </c>
      <c r="D360481" t="n">
        <v>5.977</v>
      </c>
    </row>
    <row r="360482">
      <c r="B360482" t="n">
        <v>2026</v>
      </c>
      <c r="C360482" t="n">
        <v>75.117</v>
      </c>
      <c r="D360482" t="n">
        <v>5</v>
      </c>
    </row>
    <row r="360483">
      <c r="B360483" t="n">
        <v>2027</v>
      </c>
      <c r="C360483" t="n">
        <v>78.873</v>
      </c>
      <c r="D360483" t="n">
        <v>5</v>
      </c>
    </row>
    <row r="360484">
      <c r="B360484" t="inlineStr">
        <is>
          <t>Estimates Start After</t>
        </is>
      </c>
      <c r="C360484" t="n">
        <v>2024</v>
      </c>
      <c r="D360484" t="n">
        <v>2024</v>
      </c>
    </row>
    <row r="376833">
      <c r="B376833" t="inlineStr">
        <is>
          <t>WEO Country Code</t>
        </is>
      </c>
      <c r="C376833" t="n">
        <v>915</v>
      </c>
      <c r="D376833" t="n">
        <v>915</v>
      </c>
    </row>
    <row r="376834">
      <c r="B376834" t="inlineStr">
        <is>
          <t>WEO Subject Code</t>
        </is>
      </c>
      <c r="C376834" t="inlineStr">
        <is>
          <t>NGDP_R</t>
        </is>
      </c>
      <c r="D376834" t="inlineStr">
        <is>
          <t>NGDP_RPCH</t>
        </is>
      </c>
    </row>
    <row r="376835">
      <c r="B376835" t="inlineStr">
        <is>
          <t>Country</t>
        </is>
      </c>
      <c r="C376835" t="inlineStr">
        <is>
          <t>Georgia</t>
        </is>
      </c>
      <c r="D376835" t="inlineStr">
        <is>
          <t>Georgia</t>
        </is>
      </c>
    </row>
    <row r="376836">
      <c r="B376836" t="inlineStr">
        <is>
          <t>Subject Descriptor</t>
        </is>
      </c>
      <c r="C376836" t="inlineStr">
        <is>
          <t>Gross domestic product, constant prices</t>
        </is>
      </c>
      <c r="D376836" t="inlineStr">
        <is>
          <t>Gross domestic product, constant prices</t>
        </is>
      </c>
    </row>
    <row r="376837">
      <c r="B376837" t="inlineStr">
        <is>
          <t>Units</t>
        </is>
      </c>
      <c r="C376837" t="inlineStr">
        <is>
          <t>National currency</t>
        </is>
      </c>
      <c r="D376837" t="inlineStr">
        <is>
          <t>Percent change</t>
        </is>
      </c>
    </row>
    <row r="376838">
      <c r="B376838" t="inlineStr">
        <is>
          <t>Scale</t>
        </is>
      </c>
      <c r="C376838" t="inlineStr">
        <is>
          <t>Billions</t>
        </is>
      </c>
      <c r="D376838" t="inlineStr">
        <is>
          <t>Units</t>
        </is>
      </c>
    </row>
    <row r="376839">
      <c r="B376839" t="inlineStr">
        <is>
          <t>Country/Series-specific Notes</t>
        </is>
      </c>
      <c r="C3768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76839" t="inlineStr">
        <is>
          <t>See notes for:  Gross domestic product, constant prices (National currency).</t>
        </is>
      </c>
    </row>
    <row r="376840">
      <c r="B376840" t="n">
        <v>2000</v>
      </c>
      <c r="C376840" t="n">
        <v>16.963</v>
      </c>
      <c r="D376840" t="n">
        <v>1.865</v>
      </c>
    </row>
    <row r="376841">
      <c r="B376841" t="n">
        <v>2001</v>
      </c>
      <c r="C376841" t="n">
        <v>17.772</v>
      </c>
      <c r="D376841" t="n">
        <v>4.769</v>
      </c>
    </row>
    <row r="376842">
      <c r="B376842" t="n">
        <v>2002</v>
      </c>
      <c r="C376842" t="n">
        <v>18.747</v>
      </c>
      <c r="D376842" t="n">
        <v>5.487</v>
      </c>
    </row>
    <row r="376843">
      <c r="B376843" t="n">
        <v>2003</v>
      </c>
      <c r="C376843" t="n">
        <v>20.852</v>
      </c>
      <c r="D376843" t="n">
        <v>11.228</v>
      </c>
    </row>
    <row r="376844">
      <c r="B376844" t="n">
        <v>2004</v>
      </c>
      <c r="C376844" t="n">
        <v>22.061</v>
      </c>
      <c r="D376844" t="n">
        <v>5.796</v>
      </c>
    </row>
    <row r="376845">
      <c r="B376845" t="n">
        <v>2005</v>
      </c>
      <c r="C376845" t="n">
        <v>24.176</v>
      </c>
      <c r="D376845" t="n">
        <v>9.587999999999999</v>
      </c>
    </row>
    <row r="376846">
      <c r="B376846" t="n">
        <v>2006</v>
      </c>
      <c r="C376846" t="n">
        <v>26.454</v>
      </c>
      <c r="D376846" t="n">
        <v>9.42</v>
      </c>
    </row>
    <row r="376847">
      <c r="B376847" t="n">
        <v>2007</v>
      </c>
      <c r="C376847" t="n">
        <v>29.781</v>
      </c>
      <c r="D376847" t="n">
        <v>12.579</v>
      </c>
    </row>
    <row r="376848">
      <c r="B376848" t="n">
        <v>2008</v>
      </c>
      <c r="C376848" t="n">
        <v>30.502</v>
      </c>
      <c r="D376848" t="n">
        <v>2.419</v>
      </c>
    </row>
    <row r="376849">
      <c r="B376849" t="n">
        <v>2009</v>
      </c>
      <c r="C376849" t="n">
        <v>29.388</v>
      </c>
      <c r="D376849" t="n">
        <v>-3.651</v>
      </c>
    </row>
    <row r="376850">
      <c r="B376850" t="n">
        <v>2010</v>
      </c>
      <c r="C376850" t="n">
        <v>31.428</v>
      </c>
      <c r="D376850" t="n">
        <v>6.942</v>
      </c>
    </row>
    <row r="376851">
      <c r="B376851" t="n">
        <v>2011</v>
      </c>
      <c r="C376851" t="n">
        <v>33.927</v>
      </c>
      <c r="D376851" t="n">
        <v>7.949</v>
      </c>
    </row>
    <row r="376852">
      <c r="B376852" t="n">
        <v>2012</v>
      </c>
      <c r="C376852" t="n">
        <v>36.159</v>
      </c>
      <c r="D376852" t="n">
        <v>6.579</v>
      </c>
    </row>
    <row r="376853">
      <c r="B376853" t="n">
        <v>2013</v>
      </c>
      <c r="C376853" t="n">
        <v>38.015</v>
      </c>
      <c r="D376853" t="n">
        <v>5.134</v>
      </c>
    </row>
    <row r="376854">
      <c r="B376854" t="n">
        <v>2014</v>
      </c>
      <c r="C376854" t="n">
        <v>39.57</v>
      </c>
      <c r="D376854" t="n">
        <v>4.091</v>
      </c>
    </row>
    <row r="376855">
      <c r="B376855" t="n">
        <v>2015</v>
      </c>
      <c r="C376855" t="n">
        <v>40.896</v>
      </c>
      <c r="D376855" t="n">
        <v>3.351</v>
      </c>
    </row>
    <row r="376856">
      <c r="B376856" t="n">
        <v>2016</v>
      </c>
      <c r="C376856" t="n">
        <v>42.307</v>
      </c>
      <c r="D376856" t="n">
        <v>3.45</v>
      </c>
    </row>
    <row r="376857">
      <c r="B376857" t="n">
        <v>2017</v>
      </c>
      <c r="C376857" t="n">
        <v>44.49</v>
      </c>
      <c r="D376857" t="n">
        <v>5.161</v>
      </c>
    </row>
    <row r="376858">
      <c r="B376858" t="n">
        <v>2018</v>
      </c>
      <c r="C376858" t="n">
        <v>47.187</v>
      </c>
      <c r="D376858" t="n">
        <v>6.062</v>
      </c>
    </row>
    <row r="376859">
      <c r="B376859" t="n">
        <v>2019</v>
      </c>
      <c r="C376859" t="n">
        <v>49.726</v>
      </c>
      <c r="D376859" t="n">
        <v>5.38</v>
      </c>
    </row>
    <row r="376860">
      <c r="B376860" t="n">
        <v>2020</v>
      </c>
      <c r="C376860" t="n">
        <v>46.598</v>
      </c>
      <c r="D376860" t="n">
        <v>-6.291</v>
      </c>
    </row>
    <row r="376861">
      <c r="B376861" t="n">
        <v>2021</v>
      </c>
      <c r="C376861" t="n">
        <v>51.558</v>
      </c>
      <c r="D376861" t="n">
        <v>10.644</v>
      </c>
    </row>
    <row r="376862">
      <c r="B376862" t="n">
        <v>2022</v>
      </c>
      <c r="C376862" t="n">
        <v>57.208</v>
      </c>
      <c r="D376862" t="n">
        <v>10.96</v>
      </c>
    </row>
    <row r="376863">
      <c r="B376863" t="n">
        <v>2023</v>
      </c>
      <c r="C376863" t="n">
        <v>61.689</v>
      </c>
      <c r="D376863" t="n">
        <v>7.832</v>
      </c>
    </row>
    <row r="376864">
      <c r="B376864" t="n">
        <v>2024</v>
      </c>
      <c r="C376864" t="n">
        <v>67.505</v>
      </c>
      <c r="D376864" t="n">
        <v>9.429</v>
      </c>
    </row>
    <row r="376865">
      <c r="B376865" t="n">
        <v>2025</v>
      </c>
      <c r="C376865" t="n">
        <v>71.54000000000001</v>
      </c>
      <c r="D376865" t="n">
        <v>5.977</v>
      </c>
    </row>
    <row r="376866">
      <c r="B376866" t="n">
        <v>2026</v>
      </c>
      <c r="C376866" t="n">
        <v>75.117</v>
      </c>
      <c r="D376866" t="n">
        <v>5</v>
      </c>
    </row>
    <row r="376867">
      <c r="B376867" t="n">
        <v>2027</v>
      </c>
      <c r="C376867" t="n">
        <v>78.873</v>
      </c>
      <c r="D376867" t="n">
        <v>5</v>
      </c>
    </row>
    <row r="376868">
      <c r="B376868" t="inlineStr">
        <is>
          <t>Estimates Start After</t>
        </is>
      </c>
      <c r="C376868" t="n">
        <v>2024</v>
      </c>
      <c r="D376868" t="n">
        <v>2024</v>
      </c>
    </row>
    <row r="393217">
      <c r="B393217" t="inlineStr">
        <is>
          <t>WEO Country Code</t>
        </is>
      </c>
      <c r="C393217" t="n">
        <v>915</v>
      </c>
      <c r="D393217" t="n">
        <v>915</v>
      </c>
    </row>
    <row r="393218">
      <c r="B393218" t="inlineStr">
        <is>
          <t>WEO Subject Code</t>
        </is>
      </c>
      <c r="C393218" t="inlineStr">
        <is>
          <t>NGDP_R</t>
        </is>
      </c>
      <c r="D393218" t="inlineStr">
        <is>
          <t>NGDP_RPCH</t>
        </is>
      </c>
    </row>
    <row r="393219">
      <c r="B393219" t="inlineStr">
        <is>
          <t>Country</t>
        </is>
      </c>
      <c r="C393219" t="inlineStr">
        <is>
          <t>Georgia</t>
        </is>
      </c>
      <c r="D393219" t="inlineStr">
        <is>
          <t>Georgia</t>
        </is>
      </c>
    </row>
    <row r="393220">
      <c r="B393220" t="inlineStr">
        <is>
          <t>Subject Descriptor</t>
        </is>
      </c>
      <c r="C393220" t="inlineStr">
        <is>
          <t>Gross domestic product, constant prices</t>
        </is>
      </c>
      <c r="D393220" t="inlineStr">
        <is>
          <t>Gross domestic product, constant prices</t>
        </is>
      </c>
    </row>
    <row r="393221">
      <c r="B393221" t="inlineStr">
        <is>
          <t>Units</t>
        </is>
      </c>
      <c r="C393221" t="inlineStr">
        <is>
          <t>National currency</t>
        </is>
      </c>
      <c r="D393221" t="inlineStr">
        <is>
          <t>Percent change</t>
        </is>
      </c>
    </row>
    <row r="393222">
      <c r="B393222" t="inlineStr">
        <is>
          <t>Scale</t>
        </is>
      </c>
      <c r="C393222" t="inlineStr">
        <is>
          <t>Billions</t>
        </is>
      </c>
      <c r="D393222" t="inlineStr">
        <is>
          <t>Units</t>
        </is>
      </c>
    </row>
    <row r="393223">
      <c r="B393223" t="inlineStr">
        <is>
          <t>Country/Series-specific Notes</t>
        </is>
      </c>
      <c r="C3932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93223" t="inlineStr">
        <is>
          <t>See notes for:  Gross domestic product, constant prices (National currency).</t>
        </is>
      </c>
    </row>
    <row r="393224">
      <c r="B393224" t="n">
        <v>2000</v>
      </c>
      <c r="C393224" t="n">
        <v>16.963</v>
      </c>
      <c r="D393224" t="n">
        <v>1.865</v>
      </c>
    </row>
    <row r="393225">
      <c r="B393225" t="n">
        <v>2001</v>
      </c>
      <c r="C393225" t="n">
        <v>17.772</v>
      </c>
      <c r="D393225" t="n">
        <v>4.769</v>
      </c>
    </row>
    <row r="393226">
      <c r="B393226" t="n">
        <v>2002</v>
      </c>
      <c r="C393226" t="n">
        <v>18.747</v>
      </c>
      <c r="D393226" t="n">
        <v>5.487</v>
      </c>
    </row>
    <row r="393227">
      <c r="B393227" t="n">
        <v>2003</v>
      </c>
      <c r="C393227" t="n">
        <v>20.852</v>
      </c>
      <c r="D393227" t="n">
        <v>11.228</v>
      </c>
    </row>
    <row r="393228">
      <c r="B393228" t="n">
        <v>2004</v>
      </c>
      <c r="C393228" t="n">
        <v>22.061</v>
      </c>
      <c r="D393228" t="n">
        <v>5.796</v>
      </c>
    </row>
    <row r="393229">
      <c r="B393229" t="n">
        <v>2005</v>
      </c>
      <c r="C393229" t="n">
        <v>24.176</v>
      </c>
      <c r="D393229" t="n">
        <v>9.587999999999999</v>
      </c>
    </row>
    <row r="393230">
      <c r="B393230" t="n">
        <v>2006</v>
      </c>
      <c r="C393230" t="n">
        <v>26.454</v>
      </c>
      <c r="D393230" t="n">
        <v>9.42</v>
      </c>
    </row>
    <row r="393231">
      <c r="B393231" t="n">
        <v>2007</v>
      </c>
      <c r="C393231" t="n">
        <v>29.781</v>
      </c>
      <c r="D393231" t="n">
        <v>12.579</v>
      </c>
    </row>
    <row r="393232">
      <c r="B393232" t="n">
        <v>2008</v>
      </c>
      <c r="C393232" t="n">
        <v>30.502</v>
      </c>
      <c r="D393232" t="n">
        <v>2.419</v>
      </c>
    </row>
    <row r="393233">
      <c r="B393233" t="n">
        <v>2009</v>
      </c>
      <c r="C393233" t="n">
        <v>29.388</v>
      </c>
      <c r="D393233" t="n">
        <v>-3.651</v>
      </c>
    </row>
    <row r="393234">
      <c r="B393234" t="n">
        <v>2010</v>
      </c>
      <c r="C393234" t="n">
        <v>31.428</v>
      </c>
      <c r="D393234" t="n">
        <v>6.942</v>
      </c>
    </row>
    <row r="393235">
      <c r="B393235" t="n">
        <v>2011</v>
      </c>
      <c r="C393235" t="n">
        <v>33.927</v>
      </c>
      <c r="D393235" t="n">
        <v>7.949</v>
      </c>
    </row>
    <row r="393236">
      <c r="B393236" t="n">
        <v>2012</v>
      </c>
      <c r="C393236" t="n">
        <v>36.159</v>
      </c>
      <c r="D393236" t="n">
        <v>6.579</v>
      </c>
    </row>
    <row r="393237">
      <c r="B393237" t="n">
        <v>2013</v>
      </c>
      <c r="C393237" t="n">
        <v>38.015</v>
      </c>
      <c r="D393237" t="n">
        <v>5.134</v>
      </c>
    </row>
    <row r="393238">
      <c r="B393238" t="n">
        <v>2014</v>
      </c>
      <c r="C393238" t="n">
        <v>39.57</v>
      </c>
      <c r="D393238" t="n">
        <v>4.091</v>
      </c>
    </row>
    <row r="393239">
      <c r="B393239" t="n">
        <v>2015</v>
      </c>
      <c r="C393239" t="n">
        <v>40.896</v>
      </c>
      <c r="D393239" t="n">
        <v>3.351</v>
      </c>
    </row>
    <row r="393240">
      <c r="B393240" t="n">
        <v>2016</v>
      </c>
      <c r="C393240" t="n">
        <v>42.307</v>
      </c>
      <c r="D393240" t="n">
        <v>3.45</v>
      </c>
    </row>
    <row r="393241">
      <c r="B393241" t="n">
        <v>2017</v>
      </c>
      <c r="C393241" t="n">
        <v>44.49</v>
      </c>
      <c r="D393241" t="n">
        <v>5.161</v>
      </c>
    </row>
    <row r="393242">
      <c r="B393242" t="n">
        <v>2018</v>
      </c>
      <c r="C393242" t="n">
        <v>47.187</v>
      </c>
      <c r="D393242" t="n">
        <v>6.062</v>
      </c>
    </row>
    <row r="393243">
      <c r="B393243" t="n">
        <v>2019</v>
      </c>
      <c r="C393243" t="n">
        <v>49.726</v>
      </c>
      <c r="D393243" t="n">
        <v>5.38</v>
      </c>
    </row>
    <row r="393244">
      <c r="B393244" t="n">
        <v>2020</v>
      </c>
      <c r="C393244" t="n">
        <v>46.598</v>
      </c>
      <c r="D393244" t="n">
        <v>-6.291</v>
      </c>
    </row>
    <row r="393245">
      <c r="B393245" t="n">
        <v>2021</v>
      </c>
      <c r="C393245" t="n">
        <v>51.558</v>
      </c>
      <c r="D393245" t="n">
        <v>10.644</v>
      </c>
    </row>
    <row r="393246">
      <c r="B393246" t="n">
        <v>2022</v>
      </c>
      <c r="C393246" t="n">
        <v>57.208</v>
      </c>
      <c r="D393246" t="n">
        <v>10.96</v>
      </c>
    </row>
    <row r="393247">
      <c r="B393247" t="n">
        <v>2023</v>
      </c>
      <c r="C393247" t="n">
        <v>61.689</v>
      </c>
      <c r="D393247" t="n">
        <v>7.832</v>
      </c>
    </row>
    <row r="393248">
      <c r="B393248" t="n">
        <v>2024</v>
      </c>
      <c r="C393248" t="n">
        <v>67.505</v>
      </c>
      <c r="D393248" t="n">
        <v>9.429</v>
      </c>
    </row>
    <row r="393249">
      <c r="B393249" t="n">
        <v>2025</v>
      </c>
      <c r="C393249" t="n">
        <v>71.54000000000001</v>
      </c>
      <c r="D393249" t="n">
        <v>5.977</v>
      </c>
    </row>
    <row r="393250">
      <c r="B393250" t="n">
        <v>2026</v>
      </c>
      <c r="C393250" t="n">
        <v>75.117</v>
      </c>
      <c r="D393250" t="n">
        <v>5</v>
      </c>
    </row>
    <row r="393251">
      <c r="B393251" t="n">
        <v>2027</v>
      </c>
      <c r="C393251" t="n">
        <v>78.873</v>
      </c>
      <c r="D393251" t="n">
        <v>5</v>
      </c>
    </row>
    <row r="393252">
      <c r="B393252" t="inlineStr">
        <is>
          <t>Estimates Start After</t>
        </is>
      </c>
      <c r="C393252" t="n">
        <v>2024</v>
      </c>
      <c r="D393252" t="n">
        <v>2024</v>
      </c>
    </row>
    <row r="409601">
      <c r="B409601" t="inlineStr">
        <is>
          <t>WEO Country Code</t>
        </is>
      </c>
      <c r="C409601" t="n">
        <v>915</v>
      </c>
      <c r="D409601" t="n">
        <v>915</v>
      </c>
    </row>
    <row r="409602">
      <c r="B409602" t="inlineStr">
        <is>
          <t>WEO Subject Code</t>
        </is>
      </c>
      <c r="C409602" t="inlineStr">
        <is>
          <t>NGDP_R</t>
        </is>
      </c>
      <c r="D409602" t="inlineStr">
        <is>
          <t>NGDP_RPCH</t>
        </is>
      </c>
    </row>
    <row r="409603">
      <c r="B409603" t="inlineStr">
        <is>
          <t>Country</t>
        </is>
      </c>
      <c r="C409603" t="inlineStr">
        <is>
          <t>Georgia</t>
        </is>
      </c>
      <c r="D409603" t="inlineStr">
        <is>
          <t>Georgia</t>
        </is>
      </c>
    </row>
    <row r="409604">
      <c r="B409604" t="inlineStr">
        <is>
          <t>Subject Descriptor</t>
        </is>
      </c>
      <c r="C409604" t="inlineStr">
        <is>
          <t>Gross domestic product, constant prices</t>
        </is>
      </c>
      <c r="D409604" t="inlineStr">
        <is>
          <t>Gross domestic product, constant prices</t>
        </is>
      </c>
    </row>
    <row r="409605">
      <c r="B409605" t="inlineStr">
        <is>
          <t>Units</t>
        </is>
      </c>
      <c r="C409605" t="inlineStr">
        <is>
          <t>National currency</t>
        </is>
      </c>
      <c r="D409605" t="inlineStr">
        <is>
          <t>Percent change</t>
        </is>
      </c>
    </row>
    <row r="409606">
      <c r="B409606" t="inlineStr">
        <is>
          <t>Scale</t>
        </is>
      </c>
      <c r="C409606" t="inlineStr">
        <is>
          <t>Billions</t>
        </is>
      </c>
      <c r="D409606" t="inlineStr">
        <is>
          <t>Units</t>
        </is>
      </c>
    </row>
    <row r="409607">
      <c r="B409607" t="inlineStr">
        <is>
          <t>Country/Series-specific Notes</t>
        </is>
      </c>
      <c r="C4096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09607" t="inlineStr">
        <is>
          <t>See notes for:  Gross domestic product, constant prices (National currency).</t>
        </is>
      </c>
    </row>
    <row r="409608">
      <c r="B409608" t="n">
        <v>2000</v>
      </c>
      <c r="C409608" t="n">
        <v>16.963</v>
      </c>
      <c r="D409608" t="n">
        <v>1.865</v>
      </c>
    </row>
    <row r="409609">
      <c r="B409609" t="n">
        <v>2001</v>
      </c>
      <c r="C409609" t="n">
        <v>17.772</v>
      </c>
      <c r="D409609" t="n">
        <v>4.769</v>
      </c>
    </row>
    <row r="409610">
      <c r="B409610" t="n">
        <v>2002</v>
      </c>
      <c r="C409610" t="n">
        <v>18.747</v>
      </c>
      <c r="D409610" t="n">
        <v>5.487</v>
      </c>
    </row>
    <row r="409611">
      <c r="B409611" t="n">
        <v>2003</v>
      </c>
      <c r="C409611" t="n">
        <v>20.852</v>
      </c>
      <c r="D409611" t="n">
        <v>11.228</v>
      </c>
    </row>
    <row r="409612">
      <c r="B409612" t="n">
        <v>2004</v>
      </c>
      <c r="C409612" t="n">
        <v>22.061</v>
      </c>
      <c r="D409612" t="n">
        <v>5.796</v>
      </c>
    </row>
    <row r="409613">
      <c r="B409613" t="n">
        <v>2005</v>
      </c>
      <c r="C409613" t="n">
        <v>24.176</v>
      </c>
      <c r="D409613" t="n">
        <v>9.587999999999999</v>
      </c>
    </row>
    <row r="409614">
      <c r="B409614" t="n">
        <v>2006</v>
      </c>
      <c r="C409614" t="n">
        <v>26.454</v>
      </c>
      <c r="D409614" t="n">
        <v>9.42</v>
      </c>
    </row>
    <row r="409615">
      <c r="B409615" t="n">
        <v>2007</v>
      </c>
      <c r="C409615" t="n">
        <v>29.781</v>
      </c>
      <c r="D409615" t="n">
        <v>12.579</v>
      </c>
    </row>
    <row r="409616">
      <c r="B409616" t="n">
        <v>2008</v>
      </c>
      <c r="C409616" t="n">
        <v>30.502</v>
      </c>
      <c r="D409616" t="n">
        <v>2.419</v>
      </c>
    </row>
    <row r="409617">
      <c r="B409617" t="n">
        <v>2009</v>
      </c>
      <c r="C409617" t="n">
        <v>29.388</v>
      </c>
      <c r="D409617" t="n">
        <v>-3.651</v>
      </c>
    </row>
    <row r="409618">
      <c r="B409618" t="n">
        <v>2010</v>
      </c>
      <c r="C409618" t="n">
        <v>31.428</v>
      </c>
      <c r="D409618" t="n">
        <v>6.942</v>
      </c>
    </row>
    <row r="409619">
      <c r="B409619" t="n">
        <v>2011</v>
      </c>
      <c r="C409619" t="n">
        <v>33.927</v>
      </c>
      <c r="D409619" t="n">
        <v>7.949</v>
      </c>
    </row>
    <row r="409620">
      <c r="B409620" t="n">
        <v>2012</v>
      </c>
      <c r="C409620" t="n">
        <v>36.159</v>
      </c>
      <c r="D409620" t="n">
        <v>6.579</v>
      </c>
    </row>
    <row r="409621">
      <c r="B409621" t="n">
        <v>2013</v>
      </c>
      <c r="C409621" t="n">
        <v>38.015</v>
      </c>
      <c r="D409621" t="n">
        <v>5.134</v>
      </c>
    </row>
    <row r="409622">
      <c r="B409622" t="n">
        <v>2014</v>
      </c>
      <c r="C409622" t="n">
        <v>39.57</v>
      </c>
      <c r="D409622" t="n">
        <v>4.091</v>
      </c>
    </row>
    <row r="409623">
      <c r="B409623" t="n">
        <v>2015</v>
      </c>
      <c r="C409623" t="n">
        <v>40.896</v>
      </c>
      <c r="D409623" t="n">
        <v>3.351</v>
      </c>
    </row>
    <row r="409624">
      <c r="B409624" t="n">
        <v>2016</v>
      </c>
      <c r="C409624" t="n">
        <v>42.307</v>
      </c>
      <c r="D409624" t="n">
        <v>3.45</v>
      </c>
    </row>
    <row r="409625">
      <c r="B409625" t="n">
        <v>2017</v>
      </c>
      <c r="C409625" t="n">
        <v>44.49</v>
      </c>
      <c r="D409625" t="n">
        <v>5.161</v>
      </c>
    </row>
    <row r="409626">
      <c r="B409626" t="n">
        <v>2018</v>
      </c>
      <c r="C409626" t="n">
        <v>47.187</v>
      </c>
      <c r="D409626" t="n">
        <v>6.062</v>
      </c>
    </row>
    <row r="409627">
      <c r="B409627" t="n">
        <v>2019</v>
      </c>
      <c r="C409627" t="n">
        <v>49.726</v>
      </c>
      <c r="D409627" t="n">
        <v>5.38</v>
      </c>
    </row>
    <row r="409628">
      <c r="B409628" t="n">
        <v>2020</v>
      </c>
      <c r="C409628" t="n">
        <v>46.598</v>
      </c>
      <c r="D409628" t="n">
        <v>-6.291</v>
      </c>
    </row>
    <row r="409629">
      <c r="B409629" t="n">
        <v>2021</v>
      </c>
      <c r="C409629" t="n">
        <v>51.558</v>
      </c>
      <c r="D409629" t="n">
        <v>10.644</v>
      </c>
    </row>
    <row r="409630">
      <c r="B409630" t="n">
        <v>2022</v>
      </c>
      <c r="C409630" t="n">
        <v>57.208</v>
      </c>
      <c r="D409630" t="n">
        <v>10.96</v>
      </c>
    </row>
    <row r="409631">
      <c r="B409631" t="n">
        <v>2023</v>
      </c>
      <c r="C409631" t="n">
        <v>61.689</v>
      </c>
      <c r="D409631" t="n">
        <v>7.832</v>
      </c>
    </row>
    <row r="409632">
      <c r="B409632" t="n">
        <v>2024</v>
      </c>
      <c r="C409632" t="n">
        <v>67.505</v>
      </c>
      <c r="D409632" t="n">
        <v>9.429</v>
      </c>
    </row>
    <row r="409633">
      <c r="B409633" t="n">
        <v>2025</v>
      </c>
      <c r="C409633" t="n">
        <v>71.54000000000001</v>
      </c>
      <c r="D409633" t="n">
        <v>5.977</v>
      </c>
    </row>
    <row r="409634">
      <c r="B409634" t="n">
        <v>2026</v>
      </c>
      <c r="C409634" t="n">
        <v>75.117</v>
      </c>
      <c r="D409634" t="n">
        <v>5</v>
      </c>
    </row>
    <row r="409635">
      <c r="B409635" t="n">
        <v>2027</v>
      </c>
      <c r="C409635" t="n">
        <v>78.873</v>
      </c>
      <c r="D409635" t="n">
        <v>5</v>
      </c>
    </row>
    <row r="409636">
      <c r="B409636" t="inlineStr">
        <is>
          <t>Estimates Start After</t>
        </is>
      </c>
      <c r="C409636" t="n">
        <v>2024</v>
      </c>
      <c r="D409636" t="n">
        <v>2024</v>
      </c>
    </row>
    <row r="425985">
      <c r="B425985" t="inlineStr">
        <is>
          <t>WEO Country Code</t>
        </is>
      </c>
      <c r="C425985" t="n">
        <v>915</v>
      </c>
      <c r="D425985" t="n">
        <v>915</v>
      </c>
    </row>
    <row r="425986">
      <c r="B425986" t="inlineStr">
        <is>
          <t>WEO Subject Code</t>
        </is>
      </c>
      <c r="C425986" t="inlineStr">
        <is>
          <t>NGDP_R</t>
        </is>
      </c>
      <c r="D425986" t="inlineStr">
        <is>
          <t>NGDP_RPCH</t>
        </is>
      </c>
    </row>
    <row r="425987">
      <c r="B425987" t="inlineStr">
        <is>
          <t>Country</t>
        </is>
      </c>
      <c r="C425987" t="inlineStr">
        <is>
          <t>Georgia</t>
        </is>
      </c>
      <c r="D425987" t="inlineStr">
        <is>
          <t>Georgia</t>
        </is>
      </c>
    </row>
    <row r="425988">
      <c r="B425988" t="inlineStr">
        <is>
          <t>Subject Descriptor</t>
        </is>
      </c>
      <c r="C425988" t="inlineStr">
        <is>
          <t>Gross domestic product, constant prices</t>
        </is>
      </c>
      <c r="D425988" t="inlineStr">
        <is>
          <t>Gross domestic product, constant prices</t>
        </is>
      </c>
    </row>
    <row r="425989">
      <c r="B425989" t="inlineStr">
        <is>
          <t>Units</t>
        </is>
      </c>
      <c r="C425989" t="inlineStr">
        <is>
          <t>National currency</t>
        </is>
      </c>
      <c r="D425989" t="inlineStr">
        <is>
          <t>Percent change</t>
        </is>
      </c>
    </row>
    <row r="425990">
      <c r="B425990" t="inlineStr">
        <is>
          <t>Scale</t>
        </is>
      </c>
      <c r="C425990" t="inlineStr">
        <is>
          <t>Billions</t>
        </is>
      </c>
      <c r="D425990" t="inlineStr">
        <is>
          <t>Units</t>
        </is>
      </c>
    </row>
    <row r="425991">
      <c r="B425991" t="inlineStr">
        <is>
          <t>Country/Series-specific Notes</t>
        </is>
      </c>
      <c r="C4259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25991" t="inlineStr">
        <is>
          <t>See notes for:  Gross domestic product, constant prices (National currency).</t>
        </is>
      </c>
    </row>
    <row r="425992">
      <c r="B425992" t="n">
        <v>2000</v>
      </c>
      <c r="C425992" t="n">
        <v>16.963</v>
      </c>
      <c r="D425992" t="n">
        <v>1.865</v>
      </c>
    </row>
    <row r="425993">
      <c r="B425993" t="n">
        <v>2001</v>
      </c>
      <c r="C425993" t="n">
        <v>17.772</v>
      </c>
      <c r="D425993" t="n">
        <v>4.769</v>
      </c>
    </row>
    <row r="425994">
      <c r="B425994" t="n">
        <v>2002</v>
      </c>
      <c r="C425994" t="n">
        <v>18.747</v>
      </c>
      <c r="D425994" t="n">
        <v>5.487</v>
      </c>
    </row>
    <row r="425995">
      <c r="B425995" t="n">
        <v>2003</v>
      </c>
      <c r="C425995" t="n">
        <v>20.852</v>
      </c>
      <c r="D425995" t="n">
        <v>11.228</v>
      </c>
    </row>
    <row r="425996">
      <c r="B425996" t="n">
        <v>2004</v>
      </c>
      <c r="C425996" t="n">
        <v>22.061</v>
      </c>
      <c r="D425996" t="n">
        <v>5.796</v>
      </c>
    </row>
    <row r="425997">
      <c r="B425997" t="n">
        <v>2005</v>
      </c>
      <c r="C425997" t="n">
        <v>24.176</v>
      </c>
      <c r="D425997" t="n">
        <v>9.587999999999999</v>
      </c>
    </row>
    <row r="425998">
      <c r="B425998" t="n">
        <v>2006</v>
      </c>
      <c r="C425998" t="n">
        <v>26.454</v>
      </c>
      <c r="D425998" t="n">
        <v>9.42</v>
      </c>
    </row>
    <row r="425999">
      <c r="B425999" t="n">
        <v>2007</v>
      </c>
      <c r="C425999" t="n">
        <v>29.781</v>
      </c>
      <c r="D425999" t="n">
        <v>12.579</v>
      </c>
    </row>
    <row r="426000">
      <c r="B426000" t="n">
        <v>2008</v>
      </c>
      <c r="C426000" t="n">
        <v>30.502</v>
      </c>
      <c r="D426000" t="n">
        <v>2.419</v>
      </c>
    </row>
    <row r="426001">
      <c r="B426001" t="n">
        <v>2009</v>
      </c>
      <c r="C426001" t="n">
        <v>29.388</v>
      </c>
      <c r="D426001" t="n">
        <v>-3.651</v>
      </c>
    </row>
    <row r="426002">
      <c r="B426002" t="n">
        <v>2010</v>
      </c>
      <c r="C426002" t="n">
        <v>31.428</v>
      </c>
      <c r="D426002" t="n">
        <v>6.942</v>
      </c>
    </row>
    <row r="426003">
      <c r="B426003" t="n">
        <v>2011</v>
      </c>
      <c r="C426003" t="n">
        <v>33.927</v>
      </c>
      <c r="D426003" t="n">
        <v>7.949</v>
      </c>
    </row>
    <row r="426004">
      <c r="B426004" t="n">
        <v>2012</v>
      </c>
      <c r="C426004" t="n">
        <v>36.159</v>
      </c>
      <c r="D426004" t="n">
        <v>6.579</v>
      </c>
    </row>
    <row r="426005">
      <c r="B426005" t="n">
        <v>2013</v>
      </c>
      <c r="C426005" t="n">
        <v>38.015</v>
      </c>
      <c r="D426005" t="n">
        <v>5.134</v>
      </c>
    </row>
    <row r="426006">
      <c r="B426006" t="n">
        <v>2014</v>
      </c>
      <c r="C426006" t="n">
        <v>39.57</v>
      </c>
      <c r="D426006" t="n">
        <v>4.091</v>
      </c>
    </row>
    <row r="426007">
      <c r="B426007" t="n">
        <v>2015</v>
      </c>
      <c r="C426007" t="n">
        <v>40.896</v>
      </c>
      <c r="D426007" t="n">
        <v>3.351</v>
      </c>
    </row>
    <row r="426008">
      <c r="B426008" t="n">
        <v>2016</v>
      </c>
      <c r="C426008" t="n">
        <v>42.307</v>
      </c>
      <c r="D426008" t="n">
        <v>3.45</v>
      </c>
    </row>
    <row r="426009">
      <c r="B426009" t="n">
        <v>2017</v>
      </c>
      <c r="C426009" t="n">
        <v>44.49</v>
      </c>
      <c r="D426009" t="n">
        <v>5.161</v>
      </c>
    </row>
    <row r="426010">
      <c r="B426010" t="n">
        <v>2018</v>
      </c>
      <c r="C426010" t="n">
        <v>47.187</v>
      </c>
      <c r="D426010" t="n">
        <v>6.062</v>
      </c>
    </row>
    <row r="426011">
      <c r="B426011" t="n">
        <v>2019</v>
      </c>
      <c r="C426011" t="n">
        <v>49.726</v>
      </c>
      <c r="D426011" t="n">
        <v>5.38</v>
      </c>
    </row>
    <row r="426012">
      <c r="B426012" t="n">
        <v>2020</v>
      </c>
      <c r="C426012" t="n">
        <v>46.598</v>
      </c>
      <c r="D426012" t="n">
        <v>-6.291</v>
      </c>
    </row>
    <row r="426013">
      <c r="B426013" t="n">
        <v>2021</v>
      </c>
      <c r="C426013" t="n">
        <v>51.558</v>
      </c>
      <c r="D426013" t="n">
        <v>10.644</v>
      </c>
    </row>
    <row r="426014">
      <c r="B426014" t="n">
        <v>2022</v>
      </c>
      <c r="C426014" t="n">
        <v>57.208</v>
      </c>
      <c r="D426014" t="n">
        <v>10.96</v>
      </c>
    </row>
    <row r="426015">
      <c r="B426015" t="n">
        <v>2023</v>
      </c>
      <c r="C426015" t="n">
        <v>61.689</v>
      </c>
      <c r="D426015" t="n">
        <v>7.832</v>
      </c>
    </row>
    <row r="426016">
      <c r="B426016" t="n">
        <v>2024</v>
      </c>
      <c r="C426016" t="n">
        <v>67.505</v>
      </c>
      <c r="D426016" t="n">
        <v>9.429</v>
      </c>
    </row>
    <row r="426017">
      <c r="B426017" t="n">
        <v>2025</v>
      </c>
      <c r="C426017" t="n">
        <v>71.54000000000001</v>
      </c>
      <c r="D426017" t="n">
        <v>5.977</v>
      </c>
    </row>
    <row r="426018">
      <c r="B426018" t="n">
        <v>2026</v>
      </c>
      <c r="C426018" t="n">
        <v>75.117</v>
      </c>
      <c r="D426018" t="n">
        <v>5</v>
      </c>
    </row>
    <row r="426019">
      <c r="B426019" t="n">
        <v>2027</v>
      </c>
      <c r="C426019" t="n">
        <v>78.873</v>
      </c>
      <c r="D426019" t="n">
        <v>5</v>
      </c>
    </row>
    <row r="426020">
      <c r="B426020" t="inlineStr">
        <is>
          <t>Estimates Start After</t>
        </is>
      </c>
      <c r="C426020" t="n">
        <v>2024</v>
      </c>
      <c r="D426020" t="n">
        <v>2024</v>
      </c>
    </row>
    <row r="442369">
      <c r="B442369" t="inlineStr">
        <is>
          <t>WEO Country Code</t>
        </is>
      </c>
      <c r="C442369" t="n">
        <v>915</v>
      </c>
      <c r="D442369" t="n">
        <v>915</v>
      </c>
    </row>
    <row r="442370">
      <c r="B442370" t="inlineStr">
        <is>
          <t>WEO Subject Code</t>
        </is>
      </c>
      <c r="C442370" t="inlineStr">
        <is>
          <t>NGDP_R</t>
        </is>
      </c>
      <c r="D442370" t="inlineStr">
        <is>
          <t>NGDP_RPCH</t>
        </is>
      </c>
    </row>
    <row r="442371">
      <c r="B442371" t="inlineStr">
        <is>
          <t>Country</t>
        </is>
      </c>
      <c r="C442371" t="inlineStr">
        <is>
          <t>Georgia</t>
        </is>
      </c>
      <c r="D442371" t="inlineStr">
        <is>
          <t>Georgia</t>
        </is>
      </c>
    </row>
    <row r="442372">
      <c r="B442372" t="inlineStr">
        <is>
          <t>Subject Descriptor</t>
        </is>
      </c>
      <c r="C442372" t="inlineStr">
        <is>
          <t>Gross domestic product, constant prices</t>
        </is>
      </c>
      <c r="D442372" t="inlineStr">
        <is>
          <t>Gross domestic product, constant prices</t>
        </is>
      </c>
    </row>
    <row r="442373">
      <c r="B442373" t="inlineStr">
        <is>
          <t>Units</t>
        </is>
      </c>
      <c r="C442373" t="inlineStr">
        <is>
          <t>National currency</t>
        </is>
      </c>
      <c r="D442373" t="inlineStr">
        <is>
          <t>Percent change</t>
        </is>
      </c>
    </row>
    <row r="442374">
      <c r="B442374" t="inlineStr">
        <is>
          <t>Scale</t>
        </is>
      </c>
      <c r="C442374" t="inlineStr">
        <is>
          <t>Billions</t>
        </is>
      </c>
      <c r="D442374" t="inlineStr">
        <is>
          <t>Units</t>
        </is>
      </c>
    </row>
    <row r="442375">
      <c r="B442375" t="inlineStr">
        <is>
          <t>Country/Series-specific Notes</t>
        </is>
      </c>
      <c r="C4423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42375" t="inlineStr">
        <is>
          <t>See notes for:  Gross domestic product, constant prices (National currency).</t>
        </is>
      </c>
    </row>
    <row r="442376">
      <c r="B442376" t="n">
        <v>2000</v>
      </c>
      <c r="C442376" t="n">
        <v>16.963</v>
      </c>
      <c r="D442376" t="n">
        <v>1.865</v>
      </c>
    </row>
    <row r="442377">
      <c r="B442377" t="n">
        <v>2001</v>
      </c>
      <c r="C442377" t="n">
        <v>17.772</v>
      </c>
      <c r="D442377" t="n">
        <v>4.769</v>
      </c>
    </row>
    <row r="442378">
      <c r="B442378" t="n">
        <v>2002</v>
      </c>
      <c r="C442378" t="n">
        <v>18.747</v>
      </c>
      <c r="D442378" t="n">
        <v>5.487</v>
      </c>
    </row>
    <row r="442379">
      <c r="B442379" t="n">
        <v>2003</v>
      </c>
      <c r="C442379" t="n">
        <v>20.852</v>
      </c>
      <c r="D442379" t="n">
        <v>11.228</v>
      </c>
    </row>
    <row r="442380">
      <c r="B442380" t="n">
        <v>2004</v>
      </c>
      <c r="C442380" t="n">
        <v>22.061</v>
      </c>
      <c r="D442380" t="n">
        <v>5.796</v>
      </c>
    </row>
    <row r="442381">
      <c r="B442381" t="n">
        <v>2005</v>
      </c>
      <c r="C442381" t="n">
        <v>24.176</v>
      </c>
      <c r="D442381" t="n">
        <v>9.587999999999999</v>
      </c>
    </row>
    <row r="442382">
      <c r="B442382" t="n">
        <v>2006</v>
      </c>
      <c r="C442382" t="n">
        <v>26.454</v>
      </c>
      <c r="D442382" t="n">
        <v>9.42</v>
      </c>
    </row>
    <row r="442383">
      <c r="B442383" t="n">
        <v>2007</v>
      </c>
      <c r="C442383" t="n">
        <v>29.781</v>
      </c>
      <c r="D442383" t="n">
        <v>12.579</v>
      </c>
    </row>
    <row r="442384">
      <c r="B442384" t="n">
        <v>2008</v>
      </c>
      <c r="C442384" t="n">
        <v>30.502</v>
      </c>
      <c r="D442384" t="n">
        <v>2.419</v>
      </c>
    </row>
    <row r="442385">
      <c r="B442385" t="n">
        <v>2009</v>
      </c>
      <c r="C442385" t="n">
        <v>29.388</v>
      </c>
      <c r="D442385" t="n">
        <v>-3.651</v>
      </c>
    </row>
    <row r="442386">
      <c r="B442386" t="n">
        <v>2010</v>
      </c>
      <c r="C442386" t="n">
        <v>31.428</v>
      </c>
      <c r="D442386" t="n">
        <v>6.942</v>
      </c>
    </row>
    <row r="442387">
      <c r="B442387" t="n">
        <v>2011</v>
      </c>
      <c r="C442387" t="n">
        <v>33.927</v>
      </c>
      <c r="D442387" t="n">
        <v>7.949</v>
      </c>
    </row>
    <row r="442388">
      <c r="B442388" t="n">
        <v>2012</v>
      </c>
      <c r="C442388" t="n">
        <v>36.159</v>
      </c>
      <c r="D442388" t="n">
        <v>6.579</v>
      </c>
    </row>
    <row r="442389">
      <c r="B442389" t="n">
        <v>2013</v>
      </c>
      <c r="C442389" t="n">
        <v>38.015</v>
      </c>
      <c r="D442389" t="n">
        <v>5.134</v>
      </c>
    </row>
    <row r="442390">
      <c r="B442390" t="n">
        <v>2014</v>
      </c>
      <c r="C442390" t="n">
        <v>39.57</v>
      </c>
      <c r="D442390" t="n">
        <v>4.091</v>
      </c>
    </row>
    <row r="442391">
      <c r="B442391" t="n">
        <v>2015</v>
      </c>
      <c r="C442391" t="n">
        <v>40.896</v>
      </c>
      <c r="D442391" t="n">
        <v>3.351</v>
      </c>
    </row>
    <row r="442392">
      <c r="B442392" t="n">
        <v>2016</v>
      </c>
      <c r="C442392" t="n">
        <v>42.307</v>
      </c>
      <c r="D442392" t="n">
        <v>3.45</v>
      </c>
    </row>
    <row r="442393">
      <c r="B442393" t="n">
        <v>2017</v>
      </c>
      <c r="C442393" t="n">
        <v>44.49</v>
      </c>
      <c r="D442393" t="n">
        <v>5.161</v>
      </c>
    </row>
    <row r="442394">
      <c r="B442394" t="n">
        <v>2018</v>
      </c>
      <c r="C442394" t="n">
        <v>47.187</v>
      </c>
      <c r="D442394" t="n">
        <v>6.062</v>
      </c>
    </row>
    <row r="442395">
      <c r="B442395" t="n">
        <v>2019</v>
      </c>
      <c r="C442395" t="n">
        <v>49.726</v>
      </c>
      <c r="D442395" t="n">
        <v>5.38</v>
      </c>
    </row>
    <row r="442396">
      <c r="B442396" t="n">
        <v>2020</v>
      </c>
      <c r="C442396" t="n">
        <v>46.598</v>
      </c>
      <c r="D442396" t="n">
        <v>-6.291</v>
      </c>
    </row>
    <row r="442397">
      <c r="B442397" t="n">
        <v>2021</v>
      </c>
      <c r="C442397" t="n">
        <v>51.558</v>
      </c>
      <c r="D442397" t="n">
        <v>10.644</v>
      </c>
    </row>
    <row r="442398">
      <c r="B442398" t="n">
        <v>2022</v>
      </c>
      <c r="C442398" t="n">
        <v>57.208</v>
      </c>
      <c r="D442398" t="n">
        <v>10.96</v>
      </c>
    </row>
    <row r="442399">
      <c r="B442399" t="n">
        <v>2023</v>
      </c>
      <c r="C442399" t="n">
        <v>61.689</v>
      </c>
      <c r="D442399" t="n">
        <v>7.832</v>
      </c>
    </row>
    <row r="442400">
      <c r="B442400" t="n">
        <v>2024</v>
      </c>
      <c r="C442400" t="n">
        <v>67.505</v>
      </c>
      <c r="D442400" t="n">
        <v>9.429</v>
      </c>
    </row>
    <row r="442401">
      <c r="B442401" t="n">
        <v>2025</v>
      </c>
      <c r="C442401" t="n">
        <v>71.54000000000001</v>
      </c>
      <c r="D442401" t="n">
        <v>5.977</v>
      </c>
    </row>
    <row r="442402">
      <c r="B442402" t="n">
        <v>2026</v>
      </c>
      <c r="C442402" t="n">
        <v>75.117</v>
      </c>
      <c r="D442402" t="n">
        <v>5</v>
      </c>
    </row>
    <row r="442403">
      <c r="B442403" t="n">
        <v>2027</v>
      </c>
      <c r="C442403" t="n">
        <v>78.873</v>
      </c>
      <c r="D442403" t="n">
        <v>5</v>
      </c>
    </row>
    <row r="442404">
      <c r="B442404" t="inlineStr">
        <is>
          <t>Estimates Start After</t>
        </is>
      </c>
      <c r="C442404" t="n">
        <v>2024</v>
      </c>
      <c r="D442404" t="n">
        <v>2024</v>
      </c>
    </row>
    <row r="458753">
      <c r="B458753" t="inlineStr">
        <is>
          <t>WEO Country Code</t>
        </is>
      </c>
      <c r="C458753" t="n">
        <v>915</v>
      </c>
      <c r="D458753" t="n">
        <v>915</v>
      </c>
    </row>
    <row r="458754">
      <c r="B458754" t="inlineStr">
        <is>
          <t>WEO Subject Code</t>
        </is>
      </c>
      <c r="C458754" t="inlineStr">
        <is>
          <t>NGDP_R</t>
        </is>
      </c>
      <c r="D458754" t="inlineStr">
        <is>
          <t>NGDP_RPCH</t>
        </is>
      </c>
    </row>
    <row r="458755">
      <c r="B458755" t="inlineStr">
        <is>
          <t>Country</t>
        </is>
      </c>
      <c r="C458755" t="inlineStr">
        <is>
          <t>Georgia</t>
        </is>
      </c>
      <c r="D458755" t="inlineStr">
        <is>
          <t>Georgia</t>
        </is>
      </c>
    </row>
    <row r="458756">
      <c r="B458756" t="inlineStr">
        <is>
          <t>Subject Descriptor</t>
        </is>
      </c>
      <c r="C458756" t="inlineStr">
        <is>
          <t>Gross domestic product, constant prices</t>
        </is>
      </c>
      <c r="D458756" t="inlineStr">
        <is>
          <t>Gross domestic product, constant prices</t>
        </is>
      </c>
    </row>
    <row r="458757">
      <c r="B458757" t="inlineStr">
        <is>
          <t>Units</t>
        </is>
      </c>
      <c r="C458757" t="inlineStr">
        <is>
          <t>National currency</t>
        </is>
      </c>
      <c r="D458757" t="inlineStr">
        <is>
          <t>Percent change</t>
        </is>
      </c>
    </row>
    <row r="458758">
      <c r="B458758" t="inlineStr">
        <is>
          <t>Scale</t>
        </is>
      </c>
      <c r="C458758" t="inlineStr">
        <is>
          <t>Billions</t>
        </is>
      </c>
      <c r="D458758" t="inlineStr">
        <is>
          <t>Units</t>
        </is>
      </c>
    </row>
    <row r="458759">
      <c r="B458759" t="inlineStr">
        <is>
          <t>Country/Series-specific Notes</t>
        </is>
      </c>
      <c r="C4587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58759" t="inlineStr">
        <is>
          <t>See notes for:  Gross domestic product, constant prices (National currency).</t>
        </is>
      </c>
    </row>
    <row r="458760">
      <c r="B458760" t="n">
        <v>2000</v>
      </c>
      <c r="C458760" t="n">
        <v>16.963</v>
      </c>
      <c r="D458760" t="n">
        <v>1.865</v>
      </c>
    </row>
    <row r="458761">
      <c r="B458761" t="n">
        <v>2001</v>
      </c>
      <c r="C458761" t="n">
        <v>17.772</v>
      </c>
      <c r="D458761" t="n">
        <v>4.769</v>
      </c>
    </row>
    <row r="458762">
      <c r="B458762" t="n">
        <v>2002</v>
      </c>
      <c r="C458762" t="n">
        <v>18.747</v>
      </c>
      <c r="D458762" t="n">
        <v>5.487</v>
      </c>
    </row>
    <row r="458763">
      <c r="B458763" t="n">
        <v>2003</v>
      </c>
      <c r="C458763" t="n">
        <v>20.852</v>
      </c>
      <c r="D458763" t="n">
        <v>11.228</v>
      </c>
    </row>
    <row r="458764">
      <c r="B458764" t="n">
        <v>2004</v>
      </c>
      <c r="C458764" t="n">
        <v>22.061</v>
      </c>
      <c r="D458764" t="n">
        <v>5.796</v>
      </c>
    </row>
    <row r="458765">
      <c r="B458765" t="n">
        <v>2005</v>
      </c>
      <c r="C458765" t="n">
        <v>24.176</v>
      </c>
      <c r="D458765" t="n">
        <v>9.587999999999999</v>
      </c>
    </row>
    <row r="458766">
      <c r="B458766" t="n">
        <v>2006</v>
      </c>
      <c r="C458766" t="n">
        <v>26.454</v>
      </c>
      <c r="D458766" t="n">
        <v>9.42</v>
      </c>
    </row>
    <row r="458767">
      <c r="B458767" t="n">
        <v>2007</v>
      </c>
      <c r="C458767" t="n">
        <v>29.781</v>
      </c>
      <c r="D458767" t="n">
        <v>12.579</v>
      </c>
    </row>
    <row r="458768">
      <c r="B458768" t="n">
        <v>2008</v>
      </c>
      <c r="C458768" t="n">
        <v>30.502</v>
      </c>
      <c r="D458768" t="n">
        <v>2.419</v>
      </c>
    </row>
    <row r="458769">
      <c r="B458769" t="n">
        <v>2009</v>
      </c>
      <c r="C458769" t="n">
        <v>29.388</v>
      </c>
      <c r="D458769" t="n">
        <v>-3.651</v>
      </c>
    </row>
    <row r="458770">
      <c r="B458770" t="n">
        <v>2010</v>
      </c>
      <c r="C458770" t="n">
        <v>31.428</v>
      </c>
      <c r="D458770" t="n">
        <v>6.942</v>
      </c>
    </row>
    <row r="458771">
      <c r="B458771" t="n">
        <v>2011</v>
      </c>
      <c r="C458771" t="n">
        <v>33.927</v>
      </c>
      <c r="D458771" t="n">
        <v>7.949</v>
      </c>
    </row>
    <row r="458772">
      <c r="B458772" t="n">
        <v>2012</v>
      </c>
      <c r="C458772" t="n">
        <v>36.159</v>
      </c>
      <c r="D458772" t="n">
        <v>6.579</v>
      </c>
    </row>
    <row r="458773">
      <c r="B458773" t="n">
        <v>2013</v>
      </c>
      <c r="C458773" t="n">
        <v>38.015</v>
      </c>
      <c r="D458773" t="n">
        <v>5.134</v>
      </c>
    </row>
    <row r="458774">
      <c r="B458774" t="n">
        <v>2014</v>
      </c>
      <c r="C458774" t="n">
        <v>39.57</v>
      </c>
      <c r="D458774" t="n">
        <v>4.091</v>
      </c>
    </row>
    <row r="458775">
      <c r="B458775" t="n">
        <v>2015</v>
      </c>
      <c r="C458775" t="n">
        <v>40.896</v>
      </c>
      <c r="D458775" t="n">
        <v>3.351</v>
      </c>
    </row>
    <row r="458776">
      <c r="B458776" t="n">
        <v>2016</v>
      </c>
      <c r="C458776" t="n">
        <v>42.307</v>
      </c>
      <c r="D458776" t="n">
        <v>3.45</v>
      </c>
    </row>
    <row r="458777">
      <c r="B458777" t="n">
        <v>2017</v>
      </c>
      <c r="C458777" t="n">
        <v>44.49</v>
      </c>
      <c r="D458777" t="n">
        <v>5.161</v>
      </c>
    </row>
    <row r="458778">
      <c r="B458778" t="n">
        <v>2018</v>
      </c>
      <c r="C458778" t="n">
        <v>47.187</v>
      </c>
      <c r="D458778" t="n">
        <v>6.062</v>
      </c>
    </row>
    <row r="458779">
      <c r="B458779" t="n">
        <v>2019</v>
      </c>
      <c r="C458779" t="n">
        <v>49.726</v>
      </c>
      <c r="D458779" t="n">
        <v>5.38</v>
      </c>
    </row>
    <row r="458780">
      <c r="B458780" t="n">
        <v>2020</v>
      </c>
      <c r="C458780" t="n">
        <v>46.598</v>
      </c>
      <c r="D458780" t="n">
        <v>-6.291</v>
      </c>
    </row>
    <row r="458781">
      <c r="B458781" t="n">
        <v>2021</v>
      </c>
      <c r="C458781" t="n">
        <v>51.558</v>
      </c>
      <c r="D458781" t="n">
        <v>10.644</v>
      </c>
    </row>
    <row r="458782">
      <c r="B458782" t="n">
        <v>2022</v>
      </c>
      <c r="C458782" t="n">
        <v>57.208</v>
      </c>
      <c r="D458782" t="n">
        <v>10.96</v>
      </c>
    </row>
    <row r="458783">
      <c r="B458783" t="n">
        <v>2023</v>
      </c>
      <c r="C458783" t="n">
        <v>61.689</v>
      </c>
      <c r="D458783" t="n">
        <v>7.832</v>
      </c>
    </row>
    <row r="458784">
      <c r="B458784" t="n">
        <v>2024</v>
      </c>
      <c r="C458784" t="n">
        <v>67.505</v>
      </c>
      <c r="D458784" t="n">
        <v>9.429</v>
      </c>
    </row>
    <row r="458785">
      <c r="B458785" t="n">
        <v>2025</v>
      </c>
      <c r="C458785" t="n">
        <v>71.54000000000001</v>
      </c>
      <c r="D458785" t="n">
        <v>5.977</v>
      </c>
    </row>
    <row r="458786">
      <c r="B458786" t="n">
        <v>2026</v>
      </c>
      <c r="C458786" t="n">
        <v>75.117</v>
      </c>
      <c r="D458786" t="n">
        <v>5</v>
      </c>
    </row>
    <row r="458787">
      <c r="B458787" t="n">
        <v>2027</v>
      </c>
      <c r="C458787" t="n">
        <v>78.873</v>
      </c>
      <c r="D458787" t="n">
        <v>5</v>
      </c>
    </row>
    <row r="458788">
      <c r="B458788" t="inlineStr">
        <is>
          <t>Estimates Start After</t>
        </is>
      </c>
      <c r="C458788" t="n">
        <v>2024</v>
      </c>
      <c r="D458788" t="n">
        <v>2024</v>
      </c>
    </row>
    <row r="475137">
      <c r="B475137" t="inlineStr">
        <is>
          <t>WEO Country Code</t>
        </is>
      </c>
      <c r="C475137" t="n">
        <v>915</v>
      </c>
      <c r="D475137" t="n">
        <v>915</v>
      </c>
    </row>
    <row r="475138">
      <c r="B475138" t="inlineStr">
        <is>
          <t>WEO Subject Code</t>
        </is>
      </c>
      <c r="C475138" t="inlineStr">
        <is>
          <t>NGDP_R</t>
        </is>
      </c>
      <c r="D475138" t="inlineStr">
        <is>
          <t>NGDP_RPCH</t>
        </is>
      </c>
    </row>
    <row r="475139">
      <c r="B475139" t="inlineStr">
        <is>
          <t>Country</t>
        </is>
      </c>
      <c r="C475139" t="inlineStr">
        <is>
          <t>Georgia</t>
        </is>
      </c>
      <c r="D475139" t="inlineStr">
        <is>
          <t>Georgia</t>
        </is>
      </c>
    </row>
    <row r="475140">
      <c r="B475140" t="inlineStr">
        <is>
          <t>Subject Descriptor</t>
        </is>
      </c>
      <c r="C475140" t="inlineStr">
        <is>
          <t>Gross domestic product, constant prices</t>
        </is>
      </c>
      <c r="D475140" t="inlineStr">
        <is>
          <t>Gross domestic product, constant prices</t>
        </is>
      </c>
    </row>
    <row r="475141">
      <c r="B475141" t="inlineStr">
        <is>
          <t>Units</t>
        </is>
      </c>
      <c r="C475141" t="inlineStr">
        <is>
          <t>National currency</t>
        </is>
      </c>
      <c r="D475141" t="inlineStr">
        <is>
          <t>Percent change</t>
        </is>
      </c>
    </row>
    <row r="475142">
      <c r="B475142" t="inlineStr">
        <is>
          <t>Scale</t>
        </is>
      </c>
      <c r="C475142" t="inlineStr">
        <is>
          <t>Billions</t>
        </is>
      </c>
      <c r="D475142" t="inlineStr">
        <is>
          <t>Units</t>
        </is>
      </c>
    </row>
    <row r="475143">
      <c r="B475143" t="inlineStr">
        <is>
          <t>Country/Series-specific Notes</t>
        </is>
      </c>
      <c r="C4751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75143" t="inlineStr">
        <is>
          <t>See notes for:  Gross domestic product, constant prices (National currency).</t>
        </is>
      </c>
    </row>
    <row r="475144">
      <c r="B475144" t="n">
        <v>2000</v>
      </c>
      <c r="C475144" t="n">
        <v>16.963</v>
      </c>
      <c r="D475144" t="n">
        <v>1.865</v>
      </c>
    </row>
    <row r="475145">
      <c r="B475145" t="n">
        <v>2001</v>
      </c>
      <c r="C475145" t="n">
        <v>17.772</v>
      </c>
      <c r="D475145" t="n">
        <v>4.769</v>
      </c>
    </row>
    <row r="475146">
      <c r="B475146" t="n">
        <v>2002</v>
      </c>
      <c r="C475146" t="n">
        <v>18.747</v>
      </c>
      <c r="D475146" t="n">
        <v>5.487</v>
      </c>
    </row>
    <row r="475147">
      <c r="B475147" t="n">
        <v>2003</v>
      </c>
      <c r="C475147" t="n">
        <v>20.852</v>
      </c>
      <c r="D475147" t="n">
        <v>11.228</v>
      </c>
    </row>
    <row r="475148">
      <c r="B475148" t="n">
        <v>2004</v>
      </c>
      <c r="C475148" t="n">
        <v>22.061</v>
      </c>
      <c r="D475148" t="n">
        <v>5.796</v>
      </c>
    </row>
    <row r="475149">
      <c r="B475149" t="n">
        <v>2005</v>
      </c>
      <c r="C475149" t="n">
        <v>24.176</v>
      </c>
      <c r="D475149" t="n">
        <v>9.587999999999999</v>
      </c>
    </row>
    <row r="475150">
      <c r="B475150" t="n">
        <v>2006</v>
      </c>
      <c r="C475150" t="n">
        <v>26.454</v>
      </c>
      <c r="D475150" t="n">
        <v>9.42</v>
      </c>
    </row>
    <row r="475151">
      <c r="B475151" t="n">
        <v>2007</v>
      </c>
      <c r="C475151" t="n">
        <v>29.781</v>
      </c>
      <c r="D475151" t="n">
        <v>12.579</v>
      </c>
    </row>
    <row r="475152">
      <c r="B475152" t="n">
        <v>2008</v>
      </c>
      <c r="C475152" t="n">
        <v>30.502</v>
      </c>
      <c r="D475152" t="n">
        <v>2.419</v>
      </c>
    </row>
    <row r="475153">
      <c r="B475153" t="n">
        <v>2009</v>
      </c>
      <c r="C475153" t="n">
        <v>29.388</v>
      </c>
      <c r="D475153" t="n">
        <v>-3.651</v>
      </c>
    </row>
    <row r="475154">
      <c r="B475154" t="n">
        <v>2010</v>
      </c>
      <c r="C475154" t="n">
        <v>31.428</v>
      </c>
      <c r="D475154" t="n">
        <v>6.942</v>
      </c>
    </row>
    <row r="475155">
      <c r="B475155" t="n">
        <v>2011</v>
      </c>
      <c r="C475155" t="n">
        <v>33.927</v>
      </c>
      <c r="D475155" t="n">
        <v>7.949</v>
      </c>
    </row>
    <row r="475156">
      <c r="B475156" t="n">
        <v>2012</v>
      </c>
      <c r="C475156" t="n">
        <v>36.159</v>
      </c>
      <c r="D475156" t="n">
        <v>6.579</v>
      </c>
    </row>
    <row r="475157">
      <c r="B475157" t="n">
        <v>2013</v>
      </c>
      <c r="C475157" t="n">
        <v>38.015</v>
      </c>
      <c r="D475157" t="n">
        <v>5.134</v>
      </c>
    </row>
    <row r="475158">
      <c r="B475158" t="n">
        <v>2014</v>
      </c>
      <c r="C475158" t="n">
        <v>39.57</v>
      </c>
      <c r="D475158" t="n">
        <v>4.091</v>
      </c>
    </row>
    <row r="475159">
      <c r="B475159" t="n">
        <v>2015</v>
      </c>
      <c r="C475159" t="n">
        <v>40.896</v>
      </c>
      <c r="D475159" t="n">
        <v>3.351</v>
      </c>
    </row>
    <row r="475160">
      <c r="B475160" t="n">
        <v>2016</v>
      </c>
      <c r="C475160" t="n">
        <v>42.307</v>
      </c>
      <c r="D475160" t="n">
        <v>3.45</v>
      </c>
    </row>
    <row r="475161">
      <c r="B475161" t="n">
        <v>2017</v>
      </c>
      <c r="C475161" t="n">
        <v>44.49</v>
      </c>
      <c r="D475161" t="n">
        <v>5.161</v>
      </c>
    </row>
    <row r="475162">
      <c r="B475162" t="n">
        <v>2018</v>
      </c>
      <c r="C475162" t="n">
        <v>47.187</v>
      </c>
      <c r="D475162" t="n">
        <v>6.062</v>
      </c>
    </row>
    <row r="475163">
      <c r="B475163" t="n">
        <v>2019</v>
      </c>
      <c r="C475163" t="n">
        <v>49.726</v>
      </c>
      <c r="D475163" t="n">
        <v>5.38</v>
      </c>
    </row>
    <row r="475164">
      <c r="B475164" t="n">
        <v>2020</v>
      </c>
      <c r="C475164" t="n">
        <v>46.598</v>
      </c>
      <c r="D475164" t="n">
        <v>-6.291</v>
      </c>
    </row>
    <row r="475165">
      <c r="B475165" t="n">
        <v>2021</v>
      </c>
      <c r="C475165" t="n">
        <v>51.558</v>
      </c>
      <c r="D475165" t="n">
        <v>10.644</v>
      </c>
    </row>
    <row r="475166">
      <c r="B475166" t="n">
        <v>2022</v>
      </c>
      <c r="C475166" t="n">
        <v>57.208</v>
      </c>
      <c r="D475166" t="n">
        <v>10.96</v>
      </c>
    </row>
    <row r="475167">
      <c r="B475167" t="n">
        <v>2023</v>
      </c>
      <c r="C475167" t="n">
        <v>61.689</v>
      </c>
      <c r="D475167" t="n">
        <v>7.832</v>
      </c>
    </row>
    <row r="475168">
      <c r="B475168" t="n">
        <v>2024</v>
      </c>
      <c r="C475168" t="n">
        <v>67.505</v>
      </c>
      <c r="D475168" t="n">
        <v>9.429</v>
      </c>
    </row>
    <row r="475169">
      <c r="B475169" t="n">
        <v>2025</v>
      </c>
      <c r="C475169" t="n">
        <v>71.54000000000001</v>
      </c>
      <c r="D475169" t="n">
        <v>5.977</v>
      </c>
    </row>
    <row r="475170">
      <c r="B475170" t="n">
        <v>2026</v>
      </c>
      <c r="C475170" t="n">
        <v>75.117</v>
      </c>
      <c r="D475170" t="n">
        <v>5</v>
      </c>
    </row>
    <row r="475171">
      <c r="B475171" t="n">
        <v>2027</v>
      </c>
      <c r="C475171" t="n">
        <v>78.873</v>
      </c>
      <c r="D475171" t="n">
        <v>5</v>
      </c>
    </row>
    <row r="475172">
      <c r="B475172" t="inlineStr">
        <is>
          <t>Estimates Start After</t>
        </is>
      </c>
      <c r="C475172" t="n">
        <v>2024</v>
      </c>
      <c r="D475172" t="n">
        <v>2024</v>
      </c>
    </row>
    <row r="491521">
      <c r="B491521" t="inlineStr">
        <is>
          <t>WEO Country Code</t>
        </is>
      </c>
      <c r="C491521" t="n">
        <v>915</v>
      </c>
      <c r="D491521" t="n">
        <v>915</v>
      </c>
    </row>
    <row r="491522">
      <c r="B491522" t="inlineStr">
        <is>
          <t>WEO Subject Code</t>
        </is>
      </c>
      <c r="C491522" t="inlineStr">
        <is>
          <t>NGDP_R</t>
        </is>
      </c>
      <c r="D491522" t="inlineStr">
        <is>
          <t>NGDP_RPCH</t>
        </is>
      </c>
    </row>
    <row r="491523">
      <c r="B491523" t="inlineStr">
        <is>
          <t>Country</t>
        </is>
      </c>
      <c r="C491523" t="inlineStr">
        <is>
          <t>Georgia</t>
        </is>
      </c>
      <c r="D491523" t="inlineStr">
        <is>
          <t>Georgia</t>
        </is>
      </c>
    </row>
    <row r="491524">
      <c r="B491524" t="inlineStr">
        <is>
          <t>Subject Descriptor</t>
        </is>
      </c>
      <c r="C491524" t="inlineStr">
        <is>
          <t>Gross domestic product, constant prices</t>
        </is>
      </c>
      <c r="D491524" t="inlineStr">
        <is>
          <t>Gross domestic product, constant prices</t>
        </is>
      </c>
    </row>
    <row r="491525">
      <c r="B491525" t="inlineStr">
        <is>
          <t>Units</t>
        </is>
      </c>
      <c r="C491525" t="inlineStr">
        <is>
          <t>National currency</t>
        </is>
      </c>
      <c r="D491525" t="inlineStr">
        <is>
          <t>Percent change</t>
        </is>
      </c>
    </row>
    <row r="491526">
      <c r="B491526" t="inlineStr">
        <is>
          <t>Scale</t>
        </is>
      </c>
      <c r="C491526" t="inlineStr">
        <is>
          <t>Billions</t>
        </is>
      </c>
      <c r="D491526" t="inlineStr">
        <is>
          <t>Units</t>
        </is>
      </c>
    </row>
    <row r="491527">
      <c r="B491527" t="inlineStr">
        <is>
          <t>Country/Series-specific Notes</t>
        </is>
      </c>
      <c r="C4915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27" t="inlineStr">
        <is>
          <t>See notes for:  Gross domestic product, constant prices (National currency).</t>
        </is>
      </c>
    </row>
    <row r="491528">
      <c r="B491528" t="n">
        <v>2000</v>
      </c>
      <c r="C491528" t="n">
        <v>16.963</v>
      </c>
      <c r="D491528" t="n">
        <v>1.865</v>
      </c>
    </row>
    <row r="491529">
      <c r="B491529" t="n">
        <v>2001</v>
      </c>
      <c r="C491529" t="n">
        <v>17.772</v>
      </c>
      <c r="D491529" t="n">
        <v>4.769</v>
      </c>
    </row>
    <row r="491530">
      <c r="B491530" t="n">
        <v>2002</v>
      </c>
      <c r="C491530" t="n">
        <v>18.747</v>
      </c>
      <c r="D491530" t="n">
        <v>5.487</v>
      </c>
    </row>
    <row r="491531">
      <c r="B491531" t="n">
        <v>2003</v>
      </c>
      <c r="C491531" t="n">
        <v>20.852</v>
      </c>
      <c r="D491531" t="n">
        <v>11.228</v>
      </c>
    </row>
    <row r="491532">
      <c r="B491532" t="n">
        <v>2004</v>
      </c>
      <c r="C491532" t="n">
        <v>22.061</v>
      </c>
      <c r="D491532" t="n">
        <v>5.796</v>
      </c>
    </row>
    <row r="491533">
      <c r="B491533" t="n">
        <v>2005</v>
      </c>
      <c r="C491533" t="n">
        <v>24.176</v>
      </c>
      <c r="D491533" t="n">
        <v>9.587999999999999</v>
      </c>
    </row>
    <row r="491534">
      <c r="B491534" t="n">
        <v>2006</v>
      </c>
      <c r="C491534" t="n">
        <v>26.454</v>
      </c>
      <c r="D491534" t="n">
        <v>9.42</v>
      </c>
    </row>
    <row r="491535">
      <c r="B491535" t="n">
        <v>2007</v>
      </c>
      <c r="C491535" t="n">
        <v>29.781</v>
      </c>
      <c r="D491535" t="n">
        <v>12.579</v>
      </c>
    </row>
    <row r="491536">
      <c r="B491536" t="n">
        <v>2008</v>
      </c>
      <c r="C491536" t="n">
        <v>30.502</v>
      </c>
      <c r="D491536" t="n">
        <v>2.419</v>
      </c>
    </row>
    <row r="491537">
      <c r="B491537" t="n">
        <v>2009</v>
      </c>
      <c r="C491537" t="n">
        <v>29.388</v>
      </c>
      <c r="D491537" t="n">
        <v>-3.651</v>
      </c>
    </row>
    <row r="491538">
      <c r="B491538" t="n">
        <v>2010</v>
      </c>
      <c r="C491538" t="n">
        <v>31.428</v>
      </c>
      <c r="D491538" t="n">
        <v>6.942</v>
      </c>
    </row>
    <row r="491539">
      <c r="B491539" t="n">
        <v>2011</v>
      </c>
      <c r="C491539" t="n">
        <v>33.927</v>
      </c>
      <c r="D491539" t="n">
        <v>7.949</v>
      </c>
    </row>
    <row r="491540">
      <c r="B491540" t="n">
        <v>2012</v>
      </c>
      <c r="C491540" t="n">
        <v>36.159</v>
      </c>
      <c r="D491540" t="n">
        <v>6.579</v>
      </c>
    </row>
    <row r="491541">
      <c r="B491541" t="n">
        <v>2013</v>
      </c>
      <c r="C491541" t="n">
        <v>38.015</v>
      </c>
      <c r="D491541" t="n">
        <v>5.134</v>
      </c>
    </row>
    <row r="491542">
      <c r="B491542" t="n">
        <v>2014</v>
      </c>
      <c r="C491542" t="n">
        <v>39.57</v>
      </c>
      <c r="D491542" t="n">
        <v>4.091</v>
      </c>
    </row>
    <row r="491543">
      <c r="B491543" t="n">
        <v>2015</v>
      </c>
      <c r="C491543" t="n">
        <v>40.896</v>
      </c>
      <c r="D491543" t="n">
        <v>3.351</v>
      </c>
    </row>
    <row r="491544">
      <c r="B491544" t="n">
        <v>2016</v>
      </c>
      <c r="C491544" t="n">
        <v>42.307</v>
      </c>
      <c r="D491544" t="n">
        <v>3.45</v>
      </c>
    </row>
    <row r="491545">
      <c r="B491545" t="n">
        <v>2017</v>
      </c>
      <c r="C491545" t="n">
        <v>44.49</v>
      </c>
      <c r="D491545" t="n">
        <v>5.161</v>
      </c>
    </row>
    <row r="491546">
      <c r="B491546" t="n">
        <v>2018</v>
      </c>
      <c r="C491546" t="n">
        <v>47.187</v>
      </c>
      <c r="D491546" t="n">
        <v>6.062</v>
      </c>
    </row>
    <row r="491547">
      <c r="B491547" t="n">
        <v>2019</v>
      </c>
      <c r="C491547" t="n">
        <v>49.726</v>
      </c>
      <c r="D491547" t="n">
        <v>5.38</v>
      </c>
    </row>
    <row r="491548">
      <c r="B491548" t="n">
        <v>2020</v>
      </c>
      <c r="C491548" t="n">
        <v>46.598</v>
      </c>
      <c r="D491548" t="n">
        <v>-6.291</v>
      </c>
    </row>
    <row r="491549">
      <c r="B491549" t="n">
        <v>2021</v>
      </c>
      <c r="C491549" t="n">
        <v>51.558</v>
      </c>
      <c r="D491549" t="n">
        <v>10.644</v>
      </c>
    </row>
    <row r="491550">
      <c r="B491550" t="n">
        <v>2022</v>
      </c>
      <c r="C491550" t="n">
        <v>57.208</v>
      </c>
      <c r="D491550" t="n">
        <v>10.96</v>
      </c>
    </row>
    <row r="491551">
      <c r="B491551" t="n">
        <v>2023</v>
      </c>
      <c r="C491551" t="n">
        <v>61.689</v>
      </c>
      <c r="D491551" t="n">
        <v>7.832</v>
      </c>
    </row>
    <row r="491552">
      <c r="B491552" t="n">
        <v>2024</v>
      </c>
      <c r="C491552" t="n">
        <v>67.505</v>
      </c>
      <c r="D491552" t="n">
        <v>9.429</v>
      </c>
    </row>
    <row r="491553">
      <c r="B491553" t="n">
        <v>2025</v>
      </c>
      <c r="C491553" t="n">
        <v>71.54000000000001</v>
      </c>
      <c r="D491553" t="n">
        <v>5.977</v>
      </c>
    </row>
    <row r="491554">
      <c r="B491554" t="n">
        <v>2026</v>
      </c>
      <c r="C491554" t="n">
        <v>75.117</v>
      </c>
      <c r="D491554" t="n">
        <v>5</v>
      </c>
    </row>
    <row r="491555">
      <c r="B491555" t="n">
        <v>2027</v>
      </c>
      <c r="C491555" t="n">
        <v>78.873</v>
      </c>
      <c r="D491555" t="n">
        <v>5</v>
      </c>
    </row>
    <row r="491556">
      <c r="B491556" t="inlineStr">
        <is>
          <t>Estimates Start After</t>
        </is>
      </c>
      <c r="C491556" t="n">
        <v>2024</v>
      </c>
      <c r="D491556" t="n">
        <v>2024</v>
      </c>
    </row>
    <row r="507905">
      <c r="B507905" t="inlineStr">
        <is>
          <t>WEO Country Code</t>
        </is>
      </c>
      <c r="C507905" t="n">
        <v>915</v>
      </c>
      <c r="D507905" t="n">
        <v>915</v>
      </c>
    </row>
    <row r="507906">
      <c r="B507906" t="inlineStr">
        <is>
          <t>WEO Subject Code</t>
        </is>
      </c>
      <c r="C507906" t="inlineStr">
        <is>
          <t>NGDP_R</t>
        </is>
      </c>
      <c r="D507906" t="inlineStr">
        <is>
          <t>NGDP_RPCH</t>
        </is>
      </c>
    </row>
    <row r="507907">
      <c r="B507907" t="inlineStr">
        <is>
          <t>Country</t>
        </is>
      </c>
      <c r="C507907" t="inlineStr">
        <is>
          <t>Georgia</t>
        </is>
      </c>
      <c r="D507907" t="inlineStr">
        <is>
          <t>Georgia</t>
        </is>
      </c>
    </row>
    <row r="507908">
      <c r="B507908" t="inlineStr">
        <is>
          <t>Subject Descriptor</t>
        </is>
      </c>
      <c r="C507908" t="inlineStr">
        <is>
          <t>Gross domestic product, constant prices</t>
        </is>
      </c>
      <c r="D507908" t="inlineStr">
        <is>
          <t>Gross domestic product, constant prices</t>
        </is>
      </c>
    </row>
    <row r="507909">
      <c r="B507909" t="inlineStr">
        <is>
          <t>Units</t>
        </is>
      </c>
      <c r="C507909" t="inlineStr">
        <is>
          <t>National currency</t>
        </is>
      </c>
      <c r="D507909" t="inlineStr">
        <is>
          <t>Percent change</t>
        </is>
      </c>
    </row>
    <row r="507910">
      <c r="B507910" t="inlineStr">
        <is>
          <t>Scale</t>
        </is>
      </c>
      <c r="C507910" t="inlineStr">
        <is>
          <t>Billions</t>
        </is>
      </c>
      <c r="D507910" t="inlineStr">
        <is>
          <t>Units</t>
        </is>
      </c>
    </row>
    <row r="507911">
      <c r="B507911" t="inlineStr">
        <is>
          <t>Country/Series-specific Notes</t>
        </is>
      </c>
      <c r="C5079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07911" t="inlineStr">
        <is>
          <t>See notes for:  Gross domestic product, constant prices (National currency).</t>
        </is>
      </c>
    </row>
    <row r="507912">
      <c r="B507912" t="n">
        <v>2000</v>
      </c>
      <c r="C507912" t="n">
        <v>16.963</v>
      </c>
      <c r="D507912" t="n">
        <v>1.865</v>
      </c>
    </row>
    <row r="507913">
      <c r="B507913" t="n">
        <v>2001</v>
      </c>
      <c r="C507913" t="n">
        <v>17.772</v>
      </c>
      <c r="D507913" t="n">
        <v>4.769</v>
      </c>
    </row>
    <row r="507914">
      <c r="B507914" t="n">
        <v>2002</v>
      </c>
      <c r="C507914" t="n">
        <v>18.747</v>
      </c>
      <c r="D507914" t="n">
        <v>5.487</v>
      </c>
    </row>
    <row r="507915">
      <c r="B507915" t="n">
        <v>2003</v>
      </c>
      <c r="C507915" t="n">
        <v>20.852</v>
      </c>
      <c r="D507915" t="n">
        <v>11.228</v>
      </c>
    </row>
    <row r="507916">
      <c r="B507916" t="n">
        <v>2004</v>
      </c>
      <c r="C507916" t="n">
        <v>22.061</v>
      </c>
      <c r="D507916" t="n">
        <v>5.796</v>
      </c>
    </row>
    <row r="507917">
      <c r="B507917" t="n">
        <v>2005</v>
      </c>
      <c r="C507917" t="n">
        <v>24.176</v>
      </c>
      <c r="D507917" t="n">
        <v>9.587999999999999</v>
      </c>
    </row>
    <row r="507918">
      <c r="B507918" t="n">
        <v>2006</v>
      </c>
      <c r="C507918" t="n">
        <v>26.454</v>
      </c>
      <c r="D507918" t="n">
        <v>9.42</v>
      </c>
    </row>
    <row r="507919">
      <c r="B507919" t="n">
        <v>2007</v>
      </c>
      <c r="C507919" t="n">
        <v>29.781</v>
      </c>
      <c r="D507919" t="n">
        <v>12.579</v>
      </c>
    </row>
    <row r="507920">
      <c r="B507920" t="n">
        <v>2008</v>
      </c>
      <c r="C507920" t="n">
        <v>30.502</v>
      </c>
      <c r="D507920" t="n">
        <v>2.419</v>
      </c>
    </row>
    <row r="507921">
      <c r="B507921" t="n">
        <v>2009</v>
      </c>
      <c r="C507921" t="n">
        <v>29.388</v>
      </c>
      <c r="D507921" t="n">
        <v>-3.651</v>
      </c>
    </row>
    <row r="507922">
      <c r="B507922" t="n">
        <v>2010</v>
      </c>
      <c r="C507922" t="n">
        <v>31.428</v>
      </c>
      <c r="D507922" t="n">
        <v>6.942</v>
      </c>
    </row>
    <row r="507923">
      <c r="B507923" t="n">
        <v>2011</v>
      </c>
      <c r="C507923" t="n">
        <v>33.927</v>
      </c>
      <c r="D507923" t="n">
        <v>7.949</v>
      </c>
    </row>
    <row r="507924">
      <c r="B507924" t="n">
        <v>2012</v>
      </c>
      <c r="C507924" t="n">
        <v>36.159</v>
      </c>
      <c r="D507924" t="n">
        <v>6.579</v>
      </c>
    </row>
    <row r="507925">
      <c r="B507925" t="n">
        <v>2013</v>
      </c>
      <c r="C507925" t="n">
        <v>38.015</v>
      </c>
      <c r="D507925" t="n">
        <v>5.134</v>
      </c>
    </row>
    <row r="507926">
      <c r="B507926" t="n">
        <v>2014</v>
      </c>
      <c r="C507926" t="n">
        <v>39.57</v>
      </c>
      <c r="D507926" t="n">
        <v>4.091</v>
      </c>
    </row>
    <row r="507927">
      <c r="B507927" t="n">
        <v>2015</v>
      </c>
      <c r="C507927" t="n">
        <v>40.896</v>
      </c>
      <c r="D507927" t="n">
        <v>3.351</v>
      </c>
    </row>
    <row r="507928">
      <c r="B507928" t="n">
        <v>2016</v>
      </c>
      <c r="C507928" t="n">
        <v>42.307</v>
      </c>
      <c r="D507928" t="n">
        <v>3.45</v>
      </c>
    </row>
    <row r="507929">
      <c r="B507929" t="n">
        <v>2017</v>
      </c>
      <c r="C507929" t="n">
        <v>44.49</v>
      </c>
      <c r="D507929" t="n">
        <v>5.161</v>
      </c>
    </row>
    <row r="507930">
      <c r="B507930" t="n">
        <v>2018</v>
      </c>
      <c r="C507930" t="n">
        <v>47.187</v>
      </c>
      <c r="D507930" t="n">
        <v>6.062</v>
      </c>
    </row>
    <row r="507931">
      <c r="B507931" t="n">
        <v>2019</v>
      </c>
      <c r="C507931" t="n">
        <v>49.726</v>
      </c>
      <c r="D507931" t="n">
        <v>5.38</v>
      </c>
    </row>
    <row r="507932">
      <c r="B507932" t="n">
        <v>2020</v>
      </c>
      <c r="C507932" t="n">
        <v>46.598</v>
      </c>
      <c r="D507932" t="n">
        <v>-6.291</v>
      </c>
    </row>
    <row r="507933">
      <c r="B507933" t="n">
        <v>2021</v>
      </c>
      <c r="C507933" t="n">
        <v>51.558</v>
      </c>
      <c r="D507933" t="n">
        <v>10.644</v>
      </c>
    </row>
    <row r="507934">
      <c r="B507934" t="n">
        <v>2022</v>
      </c>
      <c r="C507934" t="n">
        <v>57.208</v>
      </c>
      <c r="D507934" t="n">
        <v>10.96</v>
      </c>
    </row>
    <row r="507935">
      <c r="B507935" t="n">
        <v>2023</v>
      </c>
      <c r="C507935" t="n">
        <v>61.689</v>
      </c>
      <c r="D507935" t="n">
        <v>7.832</v>
      </c>
    </row>
    <row r="507936">
      <c r="B507936" t="n">
        <v>2024</v>
      </c>
      <c r="C507936" t="n">
        <v>67.505</v>
      </c>
      <c r="D507936" t="n">
        <v>9.429</v>
      </c>
    </row>
    <row r="507937">
      <c r="B507937" t="n">
        <v>2025</v>
      </c>
      <c r="C507937" t="n">
        <v>71.54000000000001</v>
      </c>
      <c r="D507937" t="n">
        <v>5.977</v>
      </c>
    </row>
    <row r="507938">
      <c r="B507938" t="n">
        <v>2026</v>
      </c>
      <c r="C507938" t="n">
        <v>75.117</v>
      </c>
      <c r="D507938" t="n">
        <v>5</v>
      </c>
    </row>
    <row r="507939">
      <c r="B507939" t="n">
        <v>2027</v>
      </c>
      <c r="C507939" t="n">
        <v>78.873</v>
      </c>
      <c r="D507939" t="n">
        <v>5</v>
      </c>
    </row>
    <row r="507940">
      <c r="B507940" t="inlineStr">
        <is>
          <t>Estimates Start After</t>
        </is>
      </c>
      <c r="C507940" t="n">
        <v>2024</v>
      </c>
      <c r="D507940" t="n">
        <v>2024</v>
      </c>
    </row>
    <row r="524289">
      <c r="B524289" t="inlineStr">
        <is>
          <t>WEO Country Code</t>
        </is>
      </c>
      <c r="C524289" t="n">
        <v>915</v>
      </c>
      <c r="D524289" t="n">
        <v>915</v>
      </c>
    </row>
    <row r="524290">
      <c r="B524290" t="inlineStr">
        <is>
          <t>WEO Subject Code</t>
        </is>
      </c>
      <c r="C524290" t="inlineStr">
        <is>
          <t>NGDP_R</t>
        </is>
      </c>
      <c r="D524290" t="inlineStr">
        <is>
          <t>NGDP_RPCH</t>
        </is>
      </c>
    </row>
    <row r="524291">
      <c r="B524291" t="inlineStr">
        <is>
          <t>Country</t>
        </is>
      </c>
      <c r="C524291" t="inlineStr">
        <is>
          <t>Georgia</t>
        </is>
      </c>
      <c r="D524291" t="inlineStr">
        <is>
          <t>Georgia</t>
        </is>
      </c>
    </row>
    <row r="524292">
      <c r="B524292" t="inlineStr">
        <is>
          <t>Subject Descriptor</t>
        </is>
      </c>
      <c r="C524292" t="inlineStr">
        <is>
          <t>Gross domestic product, constant prices</t>
        </is>
      </c>
      <c r="D524292" t="inlineStr">
        <is>
          <t>Gross domestic product, constant prices</t>
        </is>
      </c>
    </row>
    <row r="524293">
      <c r="B524293" t="inlineStr">
        <is>
          <t>Units</t>
        </is>
      </c>
      <c r="C524293" t="inlineStr">
        <is>
          <t>National currency</t>
        </is>
      </c>
      <c r="D524293" t="inlineStr">
        <is>
          <t>Percent change</t>
        </is>
      </c>
    </row>
    <row r="524294">
      <c r="B524294" t="inlineStr">
        <is>
          <t>Scale</t>
        </is>
      </c>
      <c r="C524294" t="inlineStr">
        <is>
          <t>Billions</t>
        </is>
      </c>
      <c r="D524294" t="inlineStr">
        <is>
          <t>Units</t>
        </is>
      </c>
    </row>
    <row r="524295">
      <c r="B524295" t="inlineStr">
        <is>
          <t>Country/Series-specific Notes</t>
        </is>
      </c>
      <c r="C5242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24295" t="inlineStr">
        <is>
          <t>See notes for:  Gross domestic product, constant prices (National currency).</t>
        </is>
      </c>
    </row>
    <row r="524296">
      <c r="B524296" t="n">
        <v>2000</v>
      </c>
      <c r="C524296" t="n">
        <v>16.963</v>
      </c>
      <c r="D524296" t="n">
        <v>1.865</v>
      </c>
    </row>
    <row r="524297">
      <c r="B524297" t="n">
        <v>2001</v>
      </c>
      <c r="C524297" t="n">
        <v>17.772</v>
      </c>
      <c r="D524297" t="n">
        <v>4.769</v>
      </c>
    </row>
    <row r="524298">
      <c r="B524298" t="n">
        <v>2002</v>
      </c>
      <c r="C524298" t="n">
        <v>18.747</v>
      </c>
      <c r="D524298" t="n">
        <v>5.487</v>
      </c>
    </row>
    <row r="524299">
      <c r="B524299" t="n">
        <v>2003</v>
      </c>
      <c r="C524299" t="n">
        <v>20.852</v>
      </c>
      <c r="D524299" t="n">
        <v>11.228</v>
      </c>
    </row>
    <row r="524300">
      <c r="B524300" t="n">
        <v>2004</v>
      </c>
      <c r="C524300" t="n">
        <v>22.061</v>
      </c>
      <c r="D524300" t="n">
        <v>5.796</v>
      </c>
    </row>
    <row r="524301">
      <c r="B524301" t="n">
        <v>2005</v>
      </c>
      <c r="C524301" t="n">
        <v>24.176</v>
      </c>
      <c r="D524301" t="n">
        <v>9.587999999999999</v>
      </c>
    </row>
    <row r="524302">
      <c r="B524302" t="n">
        <v>2006</v>
      </c>
      <c r="C524302" t="n">
        <v>26.454</v>
      </c>
      <c r="D524302" t="n">
        <v>9.42</v>
      </c>
    </row>
    <row r="524303">
      <c r="B524303" t="n">
        <v>2007</v>
      </c>
      <c r="C524303" t="n">
        <v>29.781</v>
      </c>
      <c r="D524303" t="n">
        <v>12.579</v>
      </c>
    </row>
    <row r="524304">
      <c r="B524304" t="n">
        <v>2008</v>
      </c>
      <c r="C524304" t="n">
        <v>30.502</v>
      </c>
      <c r="D524304" t="n">
        <v>2.419</v>
      </c>
    </row>
    <row r="524305">
      <c r="B524305" t="n">
        <v>2009</v>
      </c>
      <c r="C524305" t="n">
        <v>29.388</v>
      </c>
      <c r="D524305" t="n">
        <v>-3.651</v>
      </c>
    </row>
    <row r="524306">
      <c r="B524306" t="n">
        <v>2010</v>
      </c>
      <c r="C524306" t="n">
        <v>31.428</v>
      </c>
      <c r="D524306" t="n">
        <v>6.942</v>
      </c>
    </row>
    <row r="524307">
      <c r="B524307" t="n">
        <v>2011</v>
      </c>
      <c r="C524307" t="n">
        <v>33.927</v>
      </c>
      <c r="D524307" t="n">
        <v>7.949</v>
      </c>
    </row>
    <row r="524308">
      <c r="B524308" t="n">
        <v>2012</v>
      </c>
      <c r="C524308" t="n">
        <v>36.159</v>
      </c>
      <c r="D524308" t="n">
        <v>6.579</v>
      </c>
    </row>
    <row r="524309">
      <c r="B524309" t="n">
        <v>2013</v>
      </c>
      <c r="C524309" t="n">
        <v>38.015</v>
      </c>
      <c r="D524309" t="n">
        <v>5.134</v>
      </c>
    </row>
    <row r="524310">
      <c r="B524310" t="n">
        <v>2014</v>
      </c>
      <c r="C524310" t="n">
        <v>39.57</v>
      </c>
      <c r="D524310" t="n">
        <v>4.091</v>
      </c>
    </row>
    <row r="524311">
      <c r="B524311" t="n">
        <v>2015</v>
      </c>
      <c r="C524311" t="n">
        <v>40.896</v>
      </c>
      <c r="D524311" t="n">
        <v>3.351</v>
      </c>
    </row>
    <row r="524312">
      <c r="B524312" t="n">
        <v>2016</v>
      </c>
      <c r="C524312" t="n">
        <v>42.307</v>
      </c>
      <c r="D524312" t="n">
        <v>3.45</v>
      </c>
    </row>
    <row r="524313">
      <c r="B524313" t="n">
        <v>2017</v>
      </c>
      <c r="C524313" t="n">
        <v>44.49</v>
      </c>
      <c r="D524313" t="n">
        <v>5.161</v>
      </c>
    </row>
    <row r="524314">
      <c r="B524314" t="n">
        <v>2018</v>
      </c>
      <c r="C524314" t="n">
        <v>47.187</v>
      </c>
      <c r="D524314" t="n">
        <v>6.062</v>
      </c>
    </row>
    <row r="524315">
      <c r="B524315" t="n">
        <v>2019</v>
      </c>
      <c r="C524315" t="n">
        <v>49.726</v>
      </c>
      <c r="D524315" t="n">
        <v>5.38</v>
      </c>
    </row>
    <row r="524316">
      <c r="B524316" t="n">
        <v>2020</v>
      </c>
      <c r="C524316" t="n">
        <v>46.598</v>
      </c>
      <c r="D524316" t="n">
        <v>-6.291</v>
      </c>
    </row>
    <row r="524317">
      <c r="B524317" t="n">
        <v>2021</v>
      </c>
      <c r="C524317" t="n">
        <v>51.558</v>
      </c>
      <c r="D524317" t="n">
        <v>10.644</v>
      </c>
    </row>
    <row r="524318">
      <c r="B524318" t="n">
        <v>2022</v>
      </c>
      <c r="C524318" t="n">
        <v>57.208</v>
      </c>
      <c r="D524318" t="n">
        <v>10.96</v>
      </c>
    </row>
    <row r="524319">
      <c r="B524319" t="n">
        <v>2023</v>
      </c>
      <c r="C524319" t="n">
        <v>61.689</v>
      </c>
      <c r="D524319" t="n">
        <v>7.832</v>
      </c>
    </row>
    <row r="524320">
      <c r="B524320" t="n">
        <v>2024</v>
      </c>
      <c r="C524320" t="n">
        <v>67.505</v>
      </c>
      <c r="D524320" t="n">
        <v>9.429</v>
      </c>
    </row>
    <row r="524321">
      <c r="B524321" t="n">
        <v>2025</v>
      </c>
      <c r="C524321" t="n">
        <v>71.54000000000001</v>
      </c>
      <c r="D524321" t="n">
        <v>5.977</v>
      </c>
    </row>
    <row r="524322">
      <c r="B524322" t="n">
        <v>2026</v>
      </c>
      <c r="C524322" t="n">
        <v>75.117</v>
      </c>
      <c r="D524322" t="n">
        <v>5</v>
      </c>
    </row>
    <row r="524323">
      <c r="B524323" t="n">
        <v>2027</v>
      </c>
      <c r="C524323" t="n">
        <v>78.873</v>
      </c>
      <c r="D524323" t="n">
        <v>5</v>
      </c>
    </row>
    <row r="524324">
      <c r="B524324" t="inlineStr">
        <is>
          <t>Estimates Start After</t>
        </is>
      </c>
      <c r="C524324" t="n">
        <v>2024</v>
      </c>
      <c r="D524324" t="n">
        <v>2024</v>
      </c>
    </row>
    <row r="540673">
      <c r="B540673" t="inlineStr">
        <is>
          <t>WEO Country Code</t>
        </is>
      </c>
      <c r="C540673" t="n">
        <v>915</v>
      </c>
      <c r="D540673" t="n">
        <v>915</v>
      </c>
    </row>
    <row r="540674">
      <c r="B540674" t="inlineStr">
        <is>
          <t>WEO Subject Code</t>
        </is>
      </c>
      <c r="C540674" t="inlineStr">
        <is>
          <t>NGDP_R</t>
        </is>
      </c>
      <c r="D540674" t="inlineStr">
        <is>
          <t>NGDP_RPCH</t>
        </is>
      </c>
    </row>
    <row r="540675">
      <c r="B540675" t="inlineStr">
        <is>
          <t>Country</t>
        </is>
      </c>
      <c r="C540675" t="inlineStr">
        <is>
          <t>Georgia</t>
        </is>
      </c>
      <c r="D540675" t="inlineStr">
        <is>
          <t>Georgia</t>
        </is>
      </c>
    </row>
    <row r="540676">
      <c r="B540676" t="inlineStr">
        <is>
          <t>Subject Descriptor</t>
        </is>
      </c>
      <c r="C540676" t="inlineStr">
        <is>
          <t>Gross domestic product, constant prices</t>
        </is>
      </c>
      <c r="D540676" t="inlineStr">
        <is>
          <t>Gross domestic product, constant prices</t>
        </is>
      </c>
    </row>
    <row r="540677">
      <c r="B540677" t="inlineStr">
        <is>
          <t>Units</t>
        </is>
      </c>
      <c r="C540677" t="inlineStr">
        <is>
          <t>National currency</t>
        </is>
      </c>
      <c r="D540677" t="inlineStr">
        <is>
          <t>Percent change</t>
        </is>
      </c>
    </row>
    <row r="540678">
      <c r="B540678" t="inlineStr">
        <is>
          <t>Scale</t>
        </is>
      </c>
      <c r="C540678" t="inlineStr">
        <is>
          <t>Billions</t>
        </is>
      </c>
      <c r="D540678" t="inlineStr">
        <is>
          <t>Units</t>
        </is>
      </c>
    </row>
    <row r="540679">
      <c r="B540679" t="inlineStr">
        <is>
          <t>Country/Series-specific Notes</t>
        </is>
      </c>
      <c r="C5406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40679" t="inlineStr">
        <is>
          <t>See notes for:  Gross domestic product, constant prices (National currency).</t>
        </is>
      </c>
    </row>
    <row r="540680">
      <c r="B540680" t="n">
        <v>2000</v>
      </c>
      <c r="C540680" t="n">
        <v>16.963</v>
      </c>
      <c r="D540680" t="n">
        <v>1.865</v>
      </c>
    </row>
    <row r="540681">
      <c r="B540681" t="n">
        <v>2001</v>
      </c>
      <c r="C540681" t="n">
        <v>17.772</v>
      </c>
      <c r="D540681" t="n">
        <v>4.769</v>
      </c>
    </row>
    <row r="540682">
      <c r="B540682" t="n">
        <v>2002</v>
      </c>
      <c r="C540682" t="n">
        <v>18.747</v>
      </c>
      <c r="D540682" t="n">
        <v>5.487</v>
      </c>
    </row>
    <row r="540683">
      <c r="B540683" t="n">
        <v>2003</v>
      </c>
      <c r="C540683" t="n">
        <v>20.852</v>
      </c>
      <c r="D540683" t="n">
        <v>11.228</v>
      </c>
    </row>
    <row r="540684">
      <c r="B540684" t="n">
        <v>2004</v>
      </c>
      <c r="C540684" t="n">
        <v>22.061</v>
      </c>
      <c r="D540684" t="n">
        <v>5.796</v>
      </c>
    </row>
    <row r="540685">
      <c r="B540685" t="n">
        <v>2005</v>
      </c>
      <c r="C540685" t="n">
        <v>24.176</v>
      </c>
      <c r="D540685" t="n">
        <v>9.587999999999999</v>
      </c>
    </row>
    <row r="540686">
      <c r="B540686" t="n">
        <v>2006</v>
      </c>
      <c r="C540686" t="n">
        <v>26.454</v>
      </c>
      <c r="D540686" t="n">
        <v>9.42</v>
      </c>
    </row>
    <row r="540687">
      <c r="B540687" t="n">
        <v>2007</v>
      </c>
      <c r="C540687" t="n">
        <v>29.781</v>
      </c>
      <c r="D540687" t="n">
        <v>12.579</v>
      </c>
    </row>
    <row r="540688">
      <c r="B540688" t="n">
        <v>2008</v>
      </c>
      <c r="C540688" t="n">
        <v>30.502</v>
      </c>
      <c r="D540688" t="n">
        <v>2.419</v>
      </c>
    </row>
    <row r="540689">
      <c r="B540689" t="n">
        <v>2009</v>
      </c>
      <c r="C540689" t="n">
        <v>29.388</v>
      </c>
      <c r="D540689" t="n">
        <v>-3.651</v>
      </c>
    </row>
    <row r="540690">
      <c r="B540690" t="n">
        <v>2010</v>
      </c>
      <c r="C540690" t="n">
        <v>31.428</v>
      </c>
      <c r="D540690" t="n">
        <v>6.942</v>
      </c>
    </row>
    <row r="540691">
      <c r="B540691" t="n">
        <v>2011</v>
      </c>
      <c r="C540691" t="n">
        <v>33.927</v>
      </c>
      <c r="D540691" t="n">
        <v>7.949</v>
      </c>
    </row>
    <row r="540692">
      <c r="B540692" t="n">
        <v>2012</v>
      </c>
      <c r="C540692" t="n">
        <v>36.159</v>
      </c>
      <c r="D540692" t="n">
        <v>6.579</v>
      </c>
    </row>
    <row r="540693">
      <c r="B540693" t="n">
        <v>2013</v>
      </c>
      <c r="C540693" t="n">
        <v>38.015</v>
      </c>
      <c r="D540693" t="n">
        <v>5.134</v>
      </c>
    </row>
    <row r="540694">
      <c r="B540694" t="n">
        <v>2014</v>
      </c>
      <c r="C540694" t="n">
        <v>39.57</v>
      </c>
      <c r="D540694" t="n">
        <v>4.091</v>
      </c>
    </row>
    <row r="540695">
      <c r="B540695" t="n">
        <v>2015</v>
      </c>
      <c r="C540695" t="n">
        <v>40.896</v>
      </c>
      <c r="D540695" t="n">
        <v>3.351</v>
      </c>
    </row>
    <row r="540696">
      <c r="B540696" t="n">
        <v>2016</v>
      </c>
      <c r="C540696" t="n">
        <v>42.307</v>
      </c>
      <c r="D540696" t="n">
        <v>3.45</v>
      </c>
    </row>
    <row r="540697">
      <c r="B540697" t="n">
        <v>2017</v>
      </c>
      <c r="C540697" t="n">
        <v>44.49</v>
      </c>
      <c r="D540697" t="n">
        <v>5.161</v>
      </c>
    </row>
    <row r="540698">
      <c r="B540698" t="n">
        <v>2018</v>
      </c>
      <c r="C540698" t="n">
        <v>47.187</v>
      </c>
      <c r="D540698" t="n">
        <v>6.062</v>
      </c>
    </row>
    <row r="540699">
      <c r="B540699" t="n">
        <v>2019</v>
      </c>
      <c r="C540699" t="n">
        <v>49.726</v>
      </c>
      <c r="D540699" t="n">
        <v>5.38</v>
      </c>
    </row>
    <row r="540700">
      <c r="B540700" t="n">
        <v>2020</v>
      </c>
      <c r="C540700" t="n">
        <v>46.598</v>
      </c>
      <c r="D540700" t="n">
        <v>-6.291</v>
      </c>
    </row>
    <row r="540701">
      <c r="B540701" t="n">
        <v>2021</v>
      </c>
      <c r="C540701" t="n">
        <v>51.558</v>
      </c>
      <c r="D540701" t="n">
        <v>10.644</v>
      </c>
    </row>
    <row r="540702">
      <c r="B540702" t="n">
        <v>2022</v>
      </c>
      <c r="C540702" t="n">
        <v>57.208</v>
      </c>
      <c r="D540702" t="n">
        <v>10.96</v>
      </c>
    </row>
    <row r="540703">
      <c r="B540703" t="n">
        <v>2023</v>
      </c>
      <c r="C540703" t="n">
        <v>61.689</v>
      </c>
      <c r="D540703" t="n">
        <v>7.832</v>
      </c>
    </row>
    <row r="540704">
      <c r="B540704" t="n">
        <v>2024</v>
      </c>
      <c r="C540704" t="n">
        <v>67.505</v>
      </c>
      <c r="D540704" t="n">
        <v>9.429</v>
      </c>
    </row>
    <row r="540705">
      <c r="B540705" t="n">
        <v>2025</v>
      </c>
      <c r="C540705" t="n">
        <v>71.54000000000001</v>
      </c>
      <c r="D540705" t="n">
        <v>5.977</v>
      </c>
    </row>
    <row r="540706">
      <c r="B540706" t="n">
        <v>2026</v>
      </c>
      <c r="C540706" t="n">
        <v>75.117</v>
      </c>
      <c r="D540706" t="n">
        <v>5</v>
      </c>
    </row>
    <row r="540707">
      <c r="B540707" t="n">
        <v>2027</v>
      </c>
      <c r="C540707" t="n">
        <v>78.873</v>
      </c>
      <c r="D540707" t="n">
        <v>5</v>
      </c>
    </row>
    <row r="540708">
      <c r="B540708" t="inlineStr">
        <is>
          <t>Estimates Start After</t>
        </is>
      </c>
      <c r="C540708" t="n">
        <v>2024</v>
      </c>
      <c r="D540708" t="n">
        <v>2024</v>
      </c>
    </row>
    <row r="557057">
      <c r="B557057" t="inlineStr">
        <is>
          <t>WEO Country Code</t>
        </is>
      </c>
      <c r="C557057" t="n">
        <v>915</v>
      </c>
      <c r="D557057" t="n">
        <v>915</v>
      </c>
    </row>
    <row r="557058">
      <c r="B557058" t="inlineStr">
        <is>
          <t>WEO Subject Code</t>
        </is>
      </c>
      <c r="C557058" t="inlineStr">
        <is>
          <t>NGDP_R</t>
        </is>
      </c>
      <c r="D557058" t="inlineStr">
        <is>
          <t>NGDP_RPCH</t>
        </is>
      </c>
    </row>
    <row r="557059">
      <c r="B557059" t="inlineStr">
        <is>
          <t>Country</t>
        </is>
      </c>
      <c r="C557059" t="inlineStr">
        <is>
          <t>Georgia</t>
        </is>
      </c>
      <c r="D557059" t="inlineStr">
        <is>
          <t>Georgia</t>
        </is>
      </c>
    </row>
    <row r="557060">
      <c r="B557060" t="inlineStr">
        <is>
          <t>Subject Descriptor</t>
        </is>
      </c>
      <c r="C557060" t="inlineStr">
        <is>
          <t>Gross domestic product, constant prices</t>
        </is>
      </c>
      <c r="D557060" t="inlineStr">
        <is>
          <t>Gross domestic product, constant prices</t>
        </is>
      </c>
    </row>
    <row r="557061">
      <c r="B557061" t="inlineStr">
        <is>
          <t>Units</t>
        </is>
      </c>
      <c r="C557061" t="inlineStr">
        <is>
          <t>National currency</t>
        </is>
      </c>
      <c r="D557061" t="inlineStr">
        <is>
          <t>Percent change</t>
        </is>
      </c>
    </row>
    <row r="557062">
      <c r="B557062" t="inlineStr">
        <is>
          <t>Scale</t>
        </is>
      </c>
      <c r="C557062" t="inlineStr">
        <is>
          <t>Billions</t>
        </is>
      </c>
      <c r="D557062" t="inlineStr">
        <is>
          <t>Units</t>
        </is>
      </c>
    </row>
    <row r="557063">
      <c r="B557063" t="inlineStr">
        <is>
          <t>Country/Series-specific Notes</t>
        </is>
      </c>
      <c r="C5570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57063" t="inlineStr">
        <is>
          <t>See notes for:  Gross domestic product, constant prices (National currency).</t>
        </is>
      </c>
    </row>
    <row r="557064">
      <c r="B557064" t="n">
        <v>2000</v>
      </c>
      <c r="C557064" t="n">
        <v>16.963</v>
      </c>
      <c r="D557064" t="n">
        <v>1.865</v>
      </c>
    </row>
    <row r="557065">
      <c r="B557065" t="n">
        <v>2001</v>
      </c>
      <c r="C557065" t="n">
        <v>17.772</v>
      </c>
      <c r="D557065" t="n">
        <v>4.769</v>
      </c>
    </row>
    <row r="557066">
      <c r="B557066" t="n">
        <v>2002</v>
      </c>
      <c r="C557066" t="n">
        <v>18.747</v>
      </c>
      <c r="D557066" t="n">
        <v>5.487</v>
      </c>
    </row>
    <row r="557067">
      <c r="B557067" t="n">
        <v>2003</v>
      </c>
      <c r="C557067" t="n">
        <v>20.852</v>
      </c>
      <c r="D557067" t="n">
        <v>11.228</v>
      </c>
    </row>
    <row r="557068">
      <c r="B557068" t="n">
        <v>2004</v>
      </c>
      <c r="C557068" t="n">
        <v>22.061</v>
      </c>
      <c r="D557068" t="n">
        <v>5.796</v>
      </c>
    </row>
    <row r="557069">
      <c r="B557069" t="n">
        <v>2005</v>
      </c>
      <c r="C557069" t="n">
        <v>24.176</v>
      </c>
      <c r="D557069" t="n">
        <v>9.587999999999999</v>
      </c>
    </row>
    <row r="557070">
      <c r="B557070" t="n">
        <v>2006</v>
      </c>
      <c r="C557070" t="n">
        <v>26.454</v>
      </c>
      <c r="D557070" t="n">
        <v>9.42</v>
      </c>
    </row>
    <row r="557071">
      <c r="B557071" t="n">
        <v>2007</v>
      </c>
      <c r="C557071" t="n">
        <v>29.781</v>
      </c>
      <c r="D557071" t="n">
        <v>12.579</v>
      </c>
    </row>
    <row r="557072">
      <c r="B557072" t="n">
        <v>2008</v>
      </c>
      <c r="C557072" t="n">
        <v>30.502</v>
      </c>
      <c r="D557072" t="n">
        <v>2.419</v>
      </c>
    </row>
    <row r="557073">
      <c r="B557073" t="n">
        <v>2009</v>
      </c>
      <c r="C557073" t="n">
        <v>29.388</v>
      </c>
      <c r="D557073" t="n">
        <v>-3.651</v>
      </c>
    </row>
    <row r="557074">
      <c r="B557074" t="n">
        <v>2010</v>
      </c>
      <c r="C557074" t="n">
        <v>31.428</v>
      </c>
      <c r="D557074" t="n">
        <v>6.942</v>
      </c>
    </row>
    <row r="557075">
      <c r="B557075" t="n">
        <v>2011</v>
      </c>
      <c r="C557075" t="n">
        <v>33.927</v>
      </c>
      <c r="D557075" t="n">
        <v>7.949</v>
      </c>
    </row>
    <row r="557076">
      <c r="B557076" t="n">
        <v>2012</v>
      </c>
      <c r="C557076" t="n">
        <v>36.159</v>
      </c>
      <c r="D557076" t="n">
        <v>6.579</v>
      </c>
    </row>
    <row r="557077">
      <c r="B557077" t="n">
        <v>2013</v>
      </c>
      <c r="C557077" t="n">
        <v>38.015</v>
      </c>
      <c r="D557077" t="n">
        <v>5.134</v>
      </c>
    </row>
    <row r="557078">
      <c r="B557078" t="n">
        <v>2014</v>
      </c>
      <c r="C557078" t="n">
        <v>39.57</v>
      </c>
      <c r="D557078" t="n">
        <v>4.091</v>
      </c>
    </row>
    <row r="557079">
      <c r="B557079" t="n">
        <v>2015</v>
      </c>
      <c r="C557079" t="n">
        <v>40.896</v>
      </c>
      <c r="D557079" t="n">
        <v>3.351</v>
      </c>
    </row>
    <row r="557080">
      <c r="B557080" t="n">
        <v>2016</v>
      </c>
      <c r="C557080" t="n">
        <v>42.307</v>
      </c>
      <c r="D557080" t="n">
        <v>3.45</v>
      </c>
    </row>
    <row r="557081">
      <c r="B557081" t="n">
        <v>2017</v>
      </c>
      <c r="C557081" t="n">
        <v>44.49</v>
      </c>
      <c r="D557081" t="n">
        <v>5.161</v>
      </c>
    </row>
    <row r="557082">
      <c r="B557082" t="n">
        <v>2018</v>
      </c>
      <c r="C557082" t="n">
        <v>47.187</v>
      </c>
      <c r="D557082" t="n">
        <v>6.062</v>
      </c>
    </row>
    <row r="557083">
      <c r="B557083" t="n">
        <v>2019</v>
      </c>
      <c r="C557083" t="n">
        <v>49.726</v>
      </c>
      <c r="D557083" t="n">
        <v>5.38</v>
      </c>
    </row>
    <row r="557084">
      <c r="B557084" t="n">
        <v>2020</v>
      </c>
      <c r="C557084" t="n">
        <v>46.598</v>
      </c>
      <c r="D557084" t="n">
        <v>-6.291</v>
      </c>
    </row>
    <row r="557085">
      <c r="B557085" t="n">
        <v>2021</v>
      </c>
      <c r="C557085" t="n">
        <v>51.558</v>
      </c>
      <c r="D557085" t="n">
        <v>10.644</v>
      </c>
    </row>
    <row r="557086">
      <c r="B557086" t="n">
        <v>2022</v>
      </c>
      <c r="C557086" t="n">
        <v>57.208</v>
      </c>
      <c r="D557086" t="n">
        <v>10.96</v>
      </c>
    </row>
    <row r="557087">
      <c r="B557087" t="n">
        <v>2023</v>
      </c>
      <c r="C557087" t="n">
        <v>61.689</v>
      </c>
      <c r="D557087" t="n">
        <v>7.832</v>
      </c>
    </row>
    <row r="557088">
      <c r="B557088" t="n">
        <v>2024</v>
      </c>
      <c r="C557088" t="n">
        <v>67.505</v>
      </c>
      <c r="D557088" t="n">
        <v>9.429</v>
      </c>
    </row>
    <row r="557089">
      <c r="B557089" t="n">
        <v>2025</v>
      </c>
      <c r="C557089" t="n">
        <v>71.54000000000001</v>
      </c>
      <c r="D557089" t="n">
        <v>5.977</v>
      </c>
    </row>
    <row r="557090">
      <c r="B557090" t="n">
        <v>2026</v>
      </c>
      <c r="C557090" t="n">
        <v>75.117</v>
      </c>
      <c r="D557090" t="n">
        <v>5</v>
      </c>
    </row>
    <row r="557091">
      <c r="B557091" t="n">
        <v>2027</v>
      </c>
      <c r="C557091" t="n">
        <v>78.873</v>
      </c>
      <c r="D557091" t="n">
        <v>5</v>
      </c>
    </row>
    <row r="557092">
      <c r="B557092" t="inlineStr">
        <is>
          <t>Estimates Start After</t>
        </is>
      </c>
      <c r="C557092" t="n">
        <v>2024</v>
      </c>
      <c r="D557092" t="n">
        <v>2024</v>
      </c>
    </row>
    <row r="573441">
      <c r="B573441" t="inlineStr">
        <is>
          <t>WEO Country Code</t>
        </is>
      </c>
      <c r="C573441" t="n">
        <v>915</v>
      </c>
      <c r="D573441" t="n">
        <v>915</v>
      </c>
    </row>
    <row r="573442">
      <c r="B573442" t="inlineStr">
        <is>
          <t>WEO Subject Code</t>
        </is>
      </c>
      <c r="C573442" t="inlineStr">
        <is>
          <t>NGDP_R</t>
        </is>
      </c>
      <c r="D573442" t="inlineStr">
        <is>
          <t>NGDP_RPCH</t>
        </is>
      </c>
    </row>
    <row r="573443">
      <c r="B573443" t="inlineStr">
        <is>
          <t>Country</t>
        </is>
      </c>
      <c r="C573443" t="inlineStr">
        <is>
          <t>Georgia</t>
        </is>
      </c>
      <c r="D573443" t="inlineStr">
        <is>
          <t>Georgia</t>
        </is>
      </c>
    </row>
    <row r="573444">
      <c r="B573444" t="inlineStr">
        <is>
          <t>Subject Descriptor</t>
        </is>
      </c>
      <c r="C573444" t="inlineStr">
        <is>
          <t>Gross domestic product, constant prices</t>
        </is>
      </c>
      <c r="D573444" t="inlineStr">
        <is>
          <t>Gross domestic product, constant prices</t>
        </is>
      </c>
    </row>
    <row r="573445">
      <c r="B573445" t="inlineStr">
        <is>
          <t>Units</t>
        </is>
      </c>
      <c r="C573445" t="inlineStr">
        <is>
          <t>National currency</t>
        </is>
      </c>
      <c r="D573445" t="inlineStr">
        <is>
          <t>Percent change</t>
        </is>
      </c>
    </row>
    <row r="573446">
      <c r="B573446" t="inlineStr">
        <is>
          <t>Scale</t>
        </is>
      </c>
      <c r="C573446" t="inlineStr">
        <is>
          <t>Billions</t>
        </is>
      </c>
      <c r="D573446" t="inlineStr">
        <is>
          <t>Units</t>
        </is>
      </c>
    </row>
    <row r="573447">
      <c r="B573447" t="inlineStr">
        <is>
          <t>Country/Series-specific Notes</t>
        </is>
      </c>
      <c r="C5734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73447" t="inlineStr">
        <is>
          <t>See notes for:  Gross domestic product, constant prices (National currency).</t>
        </is>
      </c>
    </row>
    <row r="573448">
      <c r="B573448" t="n">
        <v>2000</v>
      </c>
      <c r="C573448" t="n">
        <v>16.963</v>
      </c>
      <c r="D573448" t="n">
        <v>1.865</v>
      </c>
    </row>
    <row r="573449">
      <c r="B573449" t="n">
        <v>2001</v>
      </c>
      <c r="C573449" t="n">
        <v>17.772</v>
      </c>
      <c r="D573449" t="n">
        <v>4.769</v>
      </c>
    </row>
    <row r="573450">
      <c r="B573450" t="n">
        <v>2002</v>
      </c>
      <c r="C573450" t="n">
        <v>18.747</v>
      </c>
      <c r="D573450" t="n">
        <v>5.487</v>
      </c>
    </row>
    <row r="573451">
      <c r="B573451" t="n">
        <v>2003</v>
      </c>
      <c r="C573451" t="n">
        <v>20.852</v>
      </c>
      <c r="D573451" t="n">
        <v>11.228</v>
      </c>
    </row>
    <row r="573452">
      <c r="B573452" t="n">
        <v>2004</v>
      </c>
      <c r="C573452" t="n">
        <v>22.061</v>
      </c>
      <c r="D573452" t="n">
        <v>5.796</v>
      </c>
    </row>
    <row r="573453">
      <c r="B573453" t="n">
        <v>2005</v>
      </c>
      <c r="C573453" t="n">
        <v>24.176</v>
      </c>
      <c r="D573453" t="n">
        <v>9.587999999999999</v>
      </c>
    </row>
    <row r="573454">
      <c r="B573454" t="n">
        <v>2006</v>
      </c>
      <c r="C573454" t="n">
        <v>26.454</v>
      </c>
      <c r="D573454" t="n">
        <v>9.42</v>
      </c>
    </row>
    <row r="573455">
      <c r="B573455" t="n">
        <v>2007</v>
      </c>
      <c r="C573455" t="n">
        <v>29.781</v>
      </c>
      <c r="D573455" t="n">
        <v>12.579</v>
      </c>
    </row>
    <row r="573456">
      <c r="B573456" t="n">
        <v>2008</v>
      </c>
      <c r="C573456" t="n">
        <v>30.502</v>
      </c>
      <c r="D573456" t="n">
        <v>2.419</v>
      </c>
    </row>
    <row r="573457">
      <c r="B573457" t="n">
        <v>2009</v>
      </c>
      <c r="C573457" t="n">
        <v>29.388</v>
      </c>
      <c r="D573457" t="n">
        <v>-3.651</v>
      </c>
    </row>
    <row r="573458">
      <c r="B573458" t="n">
        <v>2010</v>
      </c>
      <c r="C573458" t="n">
        <v>31.428</v>
      </c>
      <c r="D573458" t="n">
        <v>6.942</v>
      </c>
    </row>
    <row r="573459">
      <c r="B573459" t="n">
        <v>2011</v>
      </c>
      <c r="C573459" t="n">
        <v>33.927</v>
      </c>
      <c r="D573459" t="n">
        <v>7.949</v>
      </c>
    </row>
    <row r="573460">
      <c r="B573460" t="n">
        <v>2012</v>
      </c>
      <c r="C573460" t="n">
        <v>36.159</v>
      </c>
      <c r="D573460" t="n">
        <v>6.579</v>
      </c>
    </row>
    <row r="573461">
      <c r="B573461" t="n">
        <v>2013</v>
      </c>
      <c r="C573461" t="n">
        <v>38.015</v>
      </c>
      <c r="D573461" t="n">
        <v>5.134</v>
      </c>
    </row>
    <row r="573462">
      <c r="B573462" t="n">
        <v>2014</v>
      </c>
      <c r="C573462" t="n">
        <v>39.57</v>
      </c>
      <c r="D573462" t="n">
        <v>4.091</v>
      </c>
    </row>
    <row r="573463">
      <c r="B573463" t="n">
        <v>2015</v>
      </c>
      <c r="C573463" t="n">
        <v>40.896</v>
      </c>
      <c r="D573463" t="n">
        <v>3.351</v>
      </c>
    </row>
    <row r="573464">
      <c r="B573464" t="n">
        <v>2016</v>
      </c>
      <c r="C573464" t="n">
        <v>42.307</v>
      </c>
      <c r="D573464" t="n">
        <v>3.45</v>
      </c>
    </row>
    <row r="573465">
      <c r="B573465" t="n">
        <v>2017</v>
      </c>
      <c r="C573465" t="n">
        <v>44.49</v>
      </c>
      <c r="D573465" t="n">
        <v>5.161</v>
      </c>
    </row>
    <row r="573466">
      <c r="B573466" t="n">
        <v>2018</v>
      </c>
      <c r="C573466" t="n">
        <v>47.187</v>
      </c>
      <c r="D573466" t="n">
        <v>6.062</v>
      </c>
    </row>
    <row r="573467">
      <c r="B573467" t="n">
        <v>2019</v>
      </c>
      <c r="C573467" t="n">
        <v>49.726</v>
      </c>
      <c r="D573467" t="n">
        <v>5.38</v>
      </c>
    </row>
    <row r="573468">
      <c r="B573468" t="n">
        <v>2020</v>
      </c>
      <c r="C573468" t="n">
        <v>46.598</v>
      </c>
      <c r="D573468" t="n">
        <v>-6.291</v>
      </c>
    </row>
    <row r="573469">
      <c r="B573469" t="n">
        <v>2021</v>
      </c>
      <c r="C573469" t="n">
        <v>51.558</v>
      </c>
      <c r="D573469" t="n">
        <v>10.644</v>
      </c>
    </row>
    <row r="573470">
      <c r="B573470" t="n">
        <v>2022</v>
      </c>
      <c r="C573470" t="n">
        <v>57.208</v>
      </c>
      <c r="D573470" t="n">
        <v>10.96</v>
      </c>
    </row>
    <row r="573471">
      <c r="B573471" t="n">
        <v>2023</v>
      </c>
      <c r="C573471" t="n">
        <v>61.689</v>
      </c>
      <c r="D573471" t="n">
        <v>7.832</v>
      </c>
    </row>
    <row r="573472">
      <c r="B573472" t="n">
        <v>2024</v>
      </c>
      <c r="C573472" t="n">
        <v>67.505</v>
      </c>
      <c r="D573472" t="n">
        <v>9.429</v>
      </c>
    </row>
    <row r="573473">
      <c r="B573473" t="n">
        <v>2025</v>
      </c>
      <c r="C573473" t="n">
        <v>71.54000000000001</v>
      </c>
      <c r="D573473" t="n">
        <v>5.977</v>
      </c>
    </row>
    <row r="573474">
      <c r="B573474" t="n">
        <v>2026</v>
      </c>
      <c r="C573474" t="n">
        <v>75.117</v>
      </c>
      <c r="D573474" t="n">
        <v>5</v>
      </c>
    </row>
    <row r="573475">
      <c r="B573475" t="n">
        <v>2027</v>
      </c>
      <c r="C573475" t="n">
        <v>78.873</v>
      </c>
      <c r="D573475" t="n">
        <v>5</v>
      </c>
    </row>
    <row r="573476">
      <c r="B573476" t="inlineStr">
        <is>
          <t>Estimates Start After</t>
        </is>
      </c>
      <c r="C573476" t="n">
        <v>2024</v>
      </c>
      <c r="D573476" t="n">
        <v>2024</v>
      </c>
    </row>
    <row r="589825">
      <c r="B589825" t="inlineStr">
        <is>
          <t>WEO Country Code</t>
        </is>
      </c>
      <c r="C589825" t="n">
        <v>915</v>
      </c>
      <c r="D589825" t="n">
        <v>915</v>
      </c>
    </row>
    <row r="589826">
      <c r="B589826" t="inlineStr">
        <is>
          <t>WEO Subject Code</t>
        </is>
      </c>
      <c r="C589826" t="inlineStr">
        <is>
          <t>NGDP_R</t>
        </is>
      </c>
      <c r="D589826" t="inlineStr">
        <is>
          <t>NGDP_RPCH</t>
        </is>
      </c>
    </row>
    <row r="589827">
      <c r="B589827" t="inlineStr">
        <is>
          <t>Country</t>
        </is>
      </c>
      <c r="C589827" t="inlineStr">
        <is>
          <t>Georgia</t>
        </is>
      </c>
      <c r="D589827" t="inlineStr">
        <is>
          <t>Georgia</t>
        </is>
      </c>
    </row>
    <row r="589828">
      <c r="B589828" t="inlineStr">
        <is>
          <t>Subject Descriptor</t>
        </is>
      </c>
      <c r="C589828" t="inlineStr">
        <is>
          <t>Gross domestic product, constant prices</t>
        </is>
      </c>
      <c r="D589828" t="inlineStr">
        <is>
          <t>Gross domestic product, constant prices</t>
        </is>
      </c>
    </row>
    <row r="589829">
      <c r="B589829" t="inlineStr">
        <is>
          <t>Units</t>
        </is>
      </c>
      <c r="C589829" t="inlineStr">
        <is>
          <t>National currency</t>
        </is>
      </c>
      <c r="D589829" t="inlineStr">
        <is>
          <t>Percent change</t>
        </is>
      </c>
    </row>
    <row r="589830">
      <c r="B589830" t="inlineStr">
        <is>
          <t>Scale</t>
        </is>
      </c>
      <c r="C589830" t="inlineStr">
        <is>
          <t>Billions</t>
        </is>
      </c>
      <c r="D589830" t="inlineStr">
        <is>
          <t>Units</t>
        </is>
      </c>
    </row>
    <row r="589831">
      <c r="B589831" t="inlineStr">
        <is>
          <t>Country/Series-specific Notes</t>
        </is>
      </c>
      <c r="C5898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89831" t="inlineStr">
        <is>
          <t>See notes for:  Gross domestic product, constant prices (National currency).</t>
        </is>
      </c>
    </row>
    <row r="589832">
      <c r="B589832" t="n">
        <v>2000</v>
      </c>
      <c r="C589832" t="n">
        <v>16.963</v>
      </c>
      <c r="D589832" t="n">
        <v>1.865</v>
      </c>
    </row>
    <row r="589833">
      <c r="B589833" t="n">
        <v>2001</v>
      </c>
      <c r="C589833" t="n">
        <v>17.772</v>
      </c>
      <c r="D589833" t="n">
        <v>4.769</v>
      </c>
    </row>
    <row r="589834">
      <c r="B589834" t="n">
        <v>2002</v>
      </c>
      <c r="C589834" t="n">
        <v>18.747</v>
      </c>
      <c r="D589834" t="n">
        <v>5.487</v>
      </c>
    </row>
    <row r="589835">
      <c r="B589835" t="n">
        <v>2003</v>
      </c>
      <c r="C589835" t="n">
        <v>20.852</v>
      </c>
      <c r="D589835" t="n">
        <v>11.228</v>
      </c>
    </row>
    <row r="589836">
      <c r="B589836" t="n">
        <v>2004</v>
      </c>
      <c r="C589836" t="n">
        <v>22.061</v>
      </c>
      <c r="D589836" t="n">
        <v>5.796</v>
      </c>
    </row>
    <row r="589837">
      <c r="B589837" t="n">
        <v>2005</v>
      </c>
      <c r="C589837" t="n">
        <v>24.176</v>
      </c>
      <c r="D589837" t="n">
        <v>9.587999999999999</v>
      </c>
    </row>
    <row r="589838">
      <c r="B589838" t="n">
        <v>2006</v>
      </c>
      <c r="C589838" t="n">
        <v>26.454</v>
      </c>
      <c r="D589838" t="n">
        <v>9.42</v>
      </c>
    </row>
    <row r="589839">
      <c r="B589839" t="n">
        <v>2007</v>
      </c>
      <c r="C589839" t="n">
        <v>29.781</v>
      </c>
      <c r="D589839" t="n">
        <v>12.579</v>
      </c>
    </row>
    <row r="589840">
      <c r="B589840" t="n">
        <v>2008</v>
      </c>
      <c r="C589840" t="n">
        <v>30.502</v>
      </c>
      <c r="D589840" t="n">
        <v>2.419</v>
      </c>
    </row>
    <row r="589841">
      <c r="B589841" t="n">
        <v>2009</v>
      </c>
      <c r="C589841" t="n">
        <v>29.388</v>
      </c>
      <c r="D589841" t="n">
        <v>-3.651</v>
      </c>
    </row>
    <row r="589842">
      <c r="B589842" t="n">
        <v>2010</v>
      </c>
      <c r="C589842" t="n">
        <v>31.428</v>
      </c>
      <c r="D589842" t="n">
        <v>6.942</v>
      </c>
    </row>
    <row r="589843">
      <c r="B589843" t="n">
        <v>2011</v>
      </c>
      <c r="C589843" t="n">
        <v>33.927</v>
      </c>
      <c r="D589843" t="n">
        <v>7.949</v>
      </c>
    </row>
    <row r="589844">
      <c r="B589844" t="n">
        <v>2012</v>
      </c>
      <c r="C589844" t="n">
        <v>36.159</v>
      </c>
      <c r="D589844" t="n">
        <v>6.579</v>
      </c>
    </row>
    <row r="589845">
      <c r="B589845" t="n">
        <v>2013</v>
      </c>
      <c r="C589845" t="n">
        <v>38.015</v>
      </c>
      <c r="D589845" t="n">
        <v>5.134</v>
      </c>
    </row>
    <row r="589846">
      <c r="B589846" t="n">
        <v>2014</v>
      </c>
      <c r="C589846" t="n">
        <v>39.57</v>
      </c>
      <c r="D589846" t="n">
        <v>4.091</v>
      </c>
    </row>
    <row r="589847">
      <c r="B589847" t="n">
        <v>2015</v>
      </c>
      <c r="C589847" t="n">
        <v>40.896</v>
      </c>
      <c r="D589847" t="n">
        <v>3.351</v>
      </c>
    </row>
    <row r="589848">
      <c r="B589848" t="n">
        <v>2016</v>
      </c>
      <c r="C589848" t="n">
        <v>42.307</v>
      </c>
      <c r="D589848" t="n">
        <v>3.45</v>
      </c>
    </row>
    <row r="589849">
      <c r="B589849" t="n">
        <v>2017</v>
      </c>
      <c r="C589849" t="n">
        <v>44.49</v>
      </c>
      <c r="D589849" t="n">
        <v>5.161</v>
      </c>
    </row>
    <row r="589850">
      <c r="B589850" t="n">
        <v>2018</v>
      </c>
      <c r="C589850" t="n">
        <v>47.187</v>
      </c>
      <c r="D589850" t="n">
        <v>6.062</v>
      </c>
    </row>
    <row r="589851">
      <c r="B589851" t="n">
        <v>2019</v>
      </c>
      <c r="C589851" t="n">
        <v>49.726</v>
      </c>
      <c r="D589851" t="n">
        <v>5.38</v>
      </c>
    </row>
    <row r="589852">
      <c r="B589852" t="n">
        <v>2020</v>
      </c>
      <c r="C589852" t="n">
        <v>46.598</v>
      </c>
      <c r="D589852" t="n">
        <v>-6.291</v>
      </c>
    </row>
    <row r="589853">
      <c r="B589853" t="n">
        <v>2021</v>
      </c>
      <c r="C589853" t="n">
        <v>51.558</v>
      </c>
      <c r="D589853" t="n">
        <v>10.644</v>
      </c>
    </row>
    <row r="589854">
      <c r="B589854" t="n">
        <v>2022</v>
      </c>
      <c r="C589854" t="n">
        <v>57.208</v>
      </c>
      <c r="D589854" t="n">
        <v>10.96</v>
      </c>
    </row>
    <row r="589855">
      <c r="B589855" t="n">
        <v>2023</v>
      </c>
      <c r="C589855" t="n">
        <v>61.689</v>
      </c>
      <c r="D589855" t="n">
        <v>7.832</v>
      </c>
    </row>
    <row r="589856">
      <c r="B589856" t="n">
        <v>2024</v>
      </c>
      <c r="C589856" t="n">
        <v>67.505</v>
      </c>
      <c r="D589856" t="n">
        <v>9.429</v>
      </c>
    </row>
    <row r="589857">
      <c r="B589857" t="n">
        <v>2025</v>
      </c>
      <c r="C589857" t="n">
        <v>71.54000000000001</v>
      </c>
      <c r="D589857" t="n">
        <v>5.977</v>
      </c>
    </row>
    <row r="589858">
      <c r="B589858" t="n">
        <v>2026</v>
      </c>
      <c r="C589858" t="n">
        <v>75.117</v>
      </c>
      <c r="D589858" t="n">
        <v>5</v>
      </c>
    </row>
    <row r="589859">
      <c r="B589859" t="n">
        <v>2027</v>
      </c>
      <c r="C589859" t="n">
        <v>78.873</v>
      </c>
      <c r="D589859" t="n">
        <v>5</v>
      </c>
    </row>
    <row r="589860">
      <c r="B589860" t="inlineStr">
        <is>
          <t>Estimates Start After</t>
        </is>
      </c>
      <c r="C589860" t="n">
        <v>2024</v>
      </c>
      <c r="D589860" t="n">
        <v>2024</v>
      </c>
    </row>
    <row r="606209">
      <c r="B606209" t="inlineStr">
        <is>
          <t>WEO Country Code</t>
        </is>
      </c>
      <c r="C606209" t="n">
        <v>915</v>
      </c>
      <c r="D606209" t="n">
        <v>915</v>
      </c>
    </row>
    <row r="606210">
      <c r="B606210" t="inlineStr">
        <is>
          <t>WEO Subject Code</t>
        </is>
      </c>
      <c r="C606210" t="inlineStr">
        <is>
          <t>NGDP_R</t>
        </is>
      </c>
      <c r="D606210" t="inlineStr">
        <is>
          <t>NGDP_RPCH</t>
        </is>
      </c>
    </row>
    <row r="606211">
      <c r="B606211" t="inlineStr">
        <is>
          <t>Country</t>
        </is>
      </c>
      <c r="C606211" t="inlineStr">
        <is>
          <t>Georgia</t>
        </is>
      </c>
      <c r="D606211" t="inlineStr">
        <is>
          <t>Georgia</t>
        </is>
      </c>
    </row>
    <row r="606212">
      <c r="B606212" t="inlineStr">
        <is>
          <t>Subject Descriptor</t>
        </is>
      </c>
      <c r="C606212" t="inlineStr">
        <is>
          <t>Gross domestic product, constant prices</t>
        </is>
      </c>
      <c r="D606212" t="inlineStr">
        <is>
          <t>Gross domestic product, constant prices</t>
        </is>
      </c>
    </row>
    <row r="606213">
      <c r="B606213" t="inlineStr">
        <is>
          <t>Units</t>
        </is>
      </c>
      <c r="C606213" t="inlineStr">
        <is>
          <t>National currency</t>
        </is>
      </c>
      <c r="D606213" t="inlineStr">
        <is>
          <t>Percent change</t>
        </is>
      </c>
    </row>
    <row r="606214">
      <c r="B606214" t="inlineStr">
        <is>
          <t>Scale</t>
        </is>
      </c>
      <c r="C606214" t="inlineStr">
        <is>
          <t>Billions</t>
        </is>
      </c>
      <c r="D606214" t="inlineStr">
        <is>
          <t>Units</t>
        </is>
      </c>
    </row>
    <row r="606215">
      <c r="B606215" t="inlineStr">
        <is>
          <t>Country/Series-specific Notes</t>
        </is>
      </c>
      <c r="C6062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06215" t="inlineStr">
        <is>
          <t>See notes for:  Gross domestic product, constant prices (National currency).</t>
        </is>
      </c>
    </row>
    <row r="606216">
      <c r="B606216" t="n">
        <v>2000</v>
      </c>
      <c r="C606216" t="n">
        <v>16.963</v>
      </c>
      <c r="D606216" t="n">
        <v>1.865</v>
      </c>
    </row>
    <row r="606217">
      <c r="B606217" t="n">
        <v>2001</v>
      </c>
      <c r="C606217" t="n">
        <v>17.772</v>
      </c>
      <c r="D606217" t="n">
        <v>4.769</v>
      </c>
    </row>
    <row r="606218">
      <c r="B606218" t="n">
        <v>2002</v>
      </c>
      <c r="C606218" t="n">
        <v>18.747</v>
      </c>
      <c r="D606218" t="n">
        <v>5.487</v>
      </c>
    </row>
    <row r="606219">
      <c r="B606219" t="n">
        <v>2003</v>
      </c>
      <c r="C606219" t="n">
        <v>20.852</v>
      </c>
      <c r="D606219" t="n">
        <v>11.228</v>
      </c>
    </row>
    <row r="606220">
      <c r="B606220" t="n">
        <v>2004</v>
      </c>
      <c r="C606220" t="n">
        <v>22.061</v>
      </c>
      <c r="D606220" t="n">
        <v>5.796</v>
      </c>
    </row>
    <row r="606221">
      <c r="B606221" t="n">
        <v>2005</v>
      </c>
      <c r="C606221" t="n">
        <v>24.176</v>
      </c>
      <c r="D606221" t="n">
        <v>9.587999999999999</v>
      </c>
    </row>
    <row r="606222">
      <c r="B606222" t="n">
        <v>2006</v>
      </c>
      <c r="C606222" t="n">
        <v>26.454</v>
      </c>
      <c r="D606222" t="n">
        <v>9.42</v>
      </c>
    </row>
    <row r="606223">
      <c r="B606223" t="n">
        <v>2007</v>
      </c>
      <c r="C606223" t="n">
        <v>29.781</v>
      </c>
      <c r="D606223" t="n">
        <v>12.579</v>
      </c>
    </row>
    <row r="606224">
      <c r="B606224" t="n">
        <v>2008</v>
      </c>
      <c r="C606224" t="n">
        <v>30.502</v>
      </c>
      <c r="D606224" t="n">
        <v>2.419</v>
      </c>
    </row>
    <row r="606225">
      <c r="B606225" t="n">
        <v>2009</v>
      </c>
      <c r="C606225" t="n">
        <v>29.388</v>
      </c>
      <c r="D606225" t="n">
        <v>-3.651</v>
      </c>
    </row>
    <row r="606226">
      <c r="B606226" t="n">
        <v>2010</v>
      </c>
      <c r="C606226" t="n">
        <v>31.428</v>
      </c>
      <c r="D606226" t="n">
        <v>6.942</v>
      </c>
    </row>
    <row r="606227">
      <c r="B606227" t="n">
        <v>2011</v>
      </c>
      <c r="C606227" t="n">
        <v>33.927</v>
      </c>
      <c r="D606227" t="n">
        <v>7.949</v>
      </c>
    </row>
    <row r="606228">
      <c r="B606228" t="n">
        <v>2012</v>
      </c>
      <c r="C606228" t="n">
        <v>36.159</v>
      </c>
      <c r="D606228" t="n">
        <v>6.579</v>
      </c>
    </row>
    <row r="606229">
      <c r="B606229" t="n">
        <v>2013</v>
      </c>
      <c r="C606229" t="n">
        <v>38.015</v>
      </c>
      <c r="D606229" t="n">
        <v>5.134</v>
      </c>
    </row>
    <row r="606230">
      <c r="B606230" t="n">
        <v>2014</v>
      </c>
      <c r="C606230" t="n">
        <v>39.57</v>
      </c>
      <c r="D606230" t="n">
        <v>4.091</v>
      </c>
    </row>
    <row r="606231">
      <c r="B606231" t="n">
        <v>2015</v>
      </c>
      <c r="C606231" t="n">
        <v>40.896</v>
      </c>
      <c r="D606231" t="n">
        <v>3.351</v>
      </c>
    </row>
    <row r="606232">
      <c r="B606232" t="n">
        <v>2016</v>
      </c>
      <c r="C606232" t="n">
        <v>42.307</v>
      </c>
      <c r="D606232" t="n">
        <v>3.45</v>
      </c>
    </row>
    <row r="606233">
      <c r="B606233" t="n">
        <v>2017</v>
      </c>
      <c r="C606233" t="n">
        <v>44.49</v>
      </c>
      <c r="D606233" t="n">
        <v>5.161</v>
      </c>
    </row>
    <row r="606234">
      <c r="B606234" t="n">
        <v>2018</v>
      </c>
      <c r="C606234" t="n">
        <v>47.187</v>
      </c>
      <c r="D606234" t="n">
        <v>6.062</v>
      </c>
    </row>
    <row r="606235">
      <c r="B606235" t="n">
        <v>2019</v>
      </c>
      <c r="C606235" t="n">
        <v>49.726</v>
      </c>
      <c r="D606235" t="n">
        <v>5.38</v>
      </c>
    </row>
    <row r="606236">
      <c r="B606236" t="n">
        <v>2020</v>
      </c>
      <c r="C606236" t="n">
        <v>46.598</v>
      </c>
      <c r="D606236" t="n">
        <v>-6.291</v>
      </c>
    </row>
    <row r="606237">
      <c r="B606237" t="n">
        <v>2021</v>
      </c>
      <c r="C606237" t="n">
        <v>51.558</v>
      </c>
      <c r="D606237" t="n">
        <v>10.644</v>
      </c>
    </row>
    <row r="606238">
      <c r="B606238" t="n">
        <v>2022</v>
      </c>
      <c r="C606238" t="n">
        <v>57.208</v>
      </c>
      <c r="D606238" t="n">
        <v>10.96</v>
      </c>
    </row>
    <row r="606239">
      <c r="B606239" t="n">
        <v>2023</v>
      </c>
      <c r="C606239" t="n">
        <v>61.689</v>
      </c>
      <c r="D606239" t="n">
        <v>7.832</v>
      </c>
    </row>
    <row r="606240">
      <c r="B606240" t="n">
        <v>2024</v>
      </c>
      <c r="C606240" t="n">
        <v>67.505</v>
      </c>
      <c r="D606240" t="n">
        <v>9.429</v>
      </c>
    </row>
    <row r="606241">
      <c r="B606241" t="n">
        <v>2025</v>
      </c>
      <c r="C606241" t="n">
        <v>71.54000000000001</v>
      </c>
      <c r="D606241" t="n">
        <v>5.977</v>
      </c>
    </row>
    <row r="606242">
      <c r="B606242" t="n">
        <v>2026</v>
      </c>
      <c r="C606242" t="n">
        <v>75.117</v>
      </c>
      <c r="D606242" t="n">
        <v>5</v>
      </c>
    </row>
    <row r="606243">
      <c r="B606243" t="n">
        <v>2027</v>
      </c>
      <c r="C606243" t="n">
        <v>78.873</v>
      </c>
      <c r="D606243" t="n">
        <v>5</v>
      </c>
    </row>
    <row r="606244">
      <c r="B606244" t="inlineStr">
        <is>
          <t>Estimates Start After</t>
        </is>
      </c>
      <c r="C606244" t="n">
        <v>2024</v>
      </c>
      <c r="D606244" t="n">
        <v>2024</v>
      </c>
    </row>
    <row r="622593">
      <c r="B622593" t="inlineStr">
        <is>
          <t>WEO Country Code</t>
        </is>
      </c>
      <c r="C622593" t="n">
        <v>915</v>
      </c>
      <c r="D622593" t="n">
        <v>915</v>
      </c>
    </row>
    <row r="622594">
      <c r="B622594" t="inlineStr">
        <is>
          <t>WEO Subject Code</t>
        </is>
      </c>
      <c r="C622594" t="inlineStr">
        <is>
          <t>NGDP_R</t>
        </is>
      </c>
      <c r="D622594" t="inlineStr">
        <is>
          <t>NGDP_RPCH</t>
        </is>
      </c>
    </row>
    <row r="622595">
      <c r="B622595" t="inlineStr">
        <is>
          <t>Country</t>
        </is>
      </c>
      <c r="C622595" t="inlineStr">
        <is>
          <t>Georgia</t>
        </is>
      </c>
      <c r="D622595" t="inlineStr">
        <is>
          <t>Georgia</t>
        </is>
      </c>
    </row>
    <row r="622596">
      <c r="B622596" t="inlineStr">
        <is>
          <t>Subject Descriptor</t>
        </is>
      </c>
      <c r="C622596" t="inlineStr">
        <is>
          <t>Gross domestic product, constant prices</t>
        </is>
      </c>
      <c r="D622596" t="inlineStr">
        <is>
          <t>Gross domestic product, constant prices</t>
        </is>
      </c>
    </row>
    <row r="622597">
      <c r="B622597" t="inlineStr">
        <is>
          <t>Units</t>
        </is>
      </c>
      <c r="C622597" t="inlineStr">
        <is>
          <t>National currency</t>
        </is>
      </c>
      <c r="D622597" t="inlineStr">
        <is>
          <t>Percent change</t>
        </is>
      </c>
    </row>
    <row r="622598">
      <c r="B622598" t="inlineStr">
        <is>
          <t>Scale</t>
        </is>
      </c>
      <c r="C622598" t="inlineStr">
        <is>
          <t>Billions</t>
        </is>
      </c>
      <c r="D622598" t="inlineStr">
        <is>
          <t>Units</t>
        </is>
      </c>
    </row>
    <row r="622599">
      <c r="B622599" t="inlineStr">
        <is>
          <t>Country/Series-specific Notes</t>
        </is>
      </c>
      <c r="C6225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22599" t="inlineStr">
        <is>
          <t>See notes for:  Gross domestic product, constant prices (National currency).</t>
        </is>
      </c>
    </row>
    <row r="622600">
      <c r="B622600" t="n">
        <v>2000</v>
      </c>
      <c r="C622600" t="n">
        <v>16.963</v>
      </c>
      <c r="D622600" t="n">
        <v>1.865</v>
      </c>
    </row>
    <row r="622601">
      <c r="B622601" t="n">
        <v>2001</v>
      </c>
      <c r="C622601" t="n">
        <v>17.772</v>
      </c>
      <c r="D622601" t="n">
        <v>4.769</v>
      </c>
    </row>
    <row r="622602">
      <c r="B622602" t="n">
        <v>2002</v>
      </c>
      <c r="C622602" t="n">
        <v>18.747</v>
      </c>
      <c r="D622602" t="n">
        <v>5.487</v>
      </c>
    </row>
    <row r="622603">
      <c r="B622603" t="n">
        <v>2003</v>
      </c>
      <c r="C622603" t="n">
        <v>20.852</v>
      </c>
      <c r="D622603" t="n">
        <v>11.228</v>
      </c>
    </row>
    <row r="622604">
      <c r="B622604" t="n">
        <v>2004</v>
      </c>
      <c r="C622604" t="n">
        <v>22.061</v>
      </c>
      <c r="D622604" t="n">
        <v>5.796</v>
      </c>
    </row>
    <row r="622605">
      <c r="B622605" t="n">
        <v>2005</v>
      </c>
      <c r="C622605" t="n">
        <v>24.176</v>
      </c>
      <c r="D622605" t="n">
        <v>9.587999999999999</v>
      </c>
    </row>
    <row r="622606">
      <c r="B622606" t="n">
        <v>2006</v>
      </c>
      <c r="C622606" t="n">
        <v>26.454</v>
      </c>
      <c r="D622606" t="n">
        <v>9.42</v>
      </c>
    </row>
    <row r="622607">
      <c r="B622607" t="n">
        <v>2007</v>
      </c>
      <c r="C622607" t="n">
        <v>29.781</v>
      </c>
      <c r="D622607" t="n">
        <v>12.579</v>
      </c>
    </row>
    <row r="622608">
      <c r="B622608" t="n">
        <v>2008</v>
      </c>
      <c r="C622608" t="n">
        <v>30.502</v>
      </c>
      <c r="D622608" t="n">
        <v>2.419</v>
      </c>
    </row>
    <row r="622609">
      <c r="B622609" t="n">
        <v>2009</v>
      </c>
      <c r="C622609" t="n">
        <v>29.388</v>
      </c>
      <c r="D622609" t="n">
        <v>-3.651</v>
      </c>
    </row>
    <row r="622610">
      <c r="B622610" t="n">
        <v>2010</v>
      </c>
      <c r="C622610" t="n">
        <v>31.428</v>
      </c>
      <c r="D622610" t="n">
        <v>6.942</v>
      </c>
    </row>
    <row r="622611">
      <c r="B622611" t="n">
        <v>2011</v>
      </c>
      <c r="C622611" t="n">
        <v>33.927</v>
      </c>
      <c r="D622611" t="n">
        <v>7.949</v>
      </c>
    </row>
    <row r="622612">
      <c r="B622612" t="n">
        <v>2012</v>
      </c>
      <c r="C622612" t="n">
        <v>36.159</v>
      </c>
      <c r="D622612" t="n">
        <v>6.579</v>
      </c>
    </row>
    <row r="622613">
      <c r="B622613" t="n">
        <v>2013</v>
      </c>
      <c r="C622613" t="n">
        <v>38.015</v>
      </c>
      <c r="D622613" t="n">
        <v>5.134</v>
      </c>
    </row>
    <row r="622614">
      <c r="B622614" t="n">
        <v>2014</v>
      </c>
      <c r="C622614" t="n">
        <v>39.57</v>
      </c>
      <c r="D622614" t="n">
        <v>4.091</v>
      </c>
    </row>
    <row r="622615">
      <c r="B622615" t="n">
        <v>2015</v>
      </c>
      <c r="C622615" t="n">
        <v>40.896</v>
      </c>
      <c r="D622615" t="n">
        <v>3.351</v>
      </c>
    </row>
    <row r="622616">
      <c r="B622616" t="n">
        <v>2016</v>
      </c>
      <c r="C622616" t="n">
        <v>42.307</v>
      </c>
      <c r="D622616" t="n">
        <v>3.45</v>
      </c>
    </row>
    <row r="622617">
      <c r="B622617" t="n">
        <v>2017</v>
      </c>
      <c r="C622617" t="n">
        <v>44.49</v>
      </c>
      <c r="D622617" t="n">
        <v>5.161</v>
      </c>
    </row>
    <row r="622618">
      <c r="B622618" t="n">
        <v>2018</v>
      </c>
      <c r="C622618" t="n">
        <v>47.187</v>
      </c>
      <c r="D622618" t="n">
        <v>6.062</v>
      </c>
    </row>
    <row r="622619">
      <c r="B622619" t="n">
        <v>2019</v>
      </c>
      <c r="C622619" t="n">
        <v>49.726</v>
      </c>
      <c r="D622619" t="n">
        <v>5.38</v>
      </c>
    </row>
    <row r="622620">
      <c r="B622620" t="n">
        <v>2020</v>
      </c>
      <c r="C622620" t="n">
        <v>46.598</v>
      </c>
      <c r="D622620" t="n">
        <v>-6.291</v>
      </c>
    </row>
    <row r="622621">
      <c r="B622621" t="n">
        <v>2021</v>
      </c>
      <c r="C622621" t="n">
        <v>51.558</v>
      </c>
      <c r="D622621" t="n">
        <v>10.644</v>
      </c>
    </row>
    <row r="622622">
      <c r="B622622" t="n">
        <v>2022</v>
      </c>
      <c r="C622622" t="n">
        <v>57.208</v>
      </c>
      <c r="D622622" t="n">
        <v>10.96</v>
      </c>
    </row>
    <row r="622623">
      <c r="B622623" t="n">
        <v>2023</v>
      </c>
      <c r="C622623" t="n">
        <v>61.689</v>
      </c>
      <c r="D622623" t="n">
        <v>7.832</v>
      </c>
    </row>
    <row r="622624">
      <c r="B622624" t="n">
        <v>2024</v>
      </c>
      <c r="C622624" t="n">
        <v>67.505</v>
      </c>
      <c r="D622624" t="n">
        <v>9.429</v>
      </c>
    </row>
    <row r="622625">
      <c r="B622625" t="n">
        <v>2025</v>
      </c>
      <c r="C622625" t="n">
        <v>71.54000000000001</v>
      </c>
      <c r="D622625" t="n">
        <v>5.977</v>
      </c>
    </row>
    <row r="622626">
      <c r="B622626" t="n">
        <v>2026</v>
      </c>
      <c r="C622626" t="n">
        <v>75.117</v>
      </c>
      <c r="D622626" t="n">
        <v>5</v>
      </c>
    </row>
    <row r="622627">
      <c r="B622627" t="n">
        <v>2027</v>
      </c>
      <c r="C622627" t="n">
        <v>78.873</v>
      </c>
      <c r="D622627" t="n">
        <v>5</v>
      </c>
    </row>
    <row r="622628">
      <c r="B622628" t="inlineStr">
        <is>
          <t>Estimates Start After</t>
        </is>
      </c>
      <c r="C622628" t="n">
        <v>2024</v>
      </c>
      <c r="D622628" t="n">
        <v>2024</v>
      </c>
    </row>
    <row r="638977">
      <c r="B638977" t="inlineStr">
        <is>
          <t>WEO Country Code</t>
        </is>
      </c>
      <c r="C638977" t="n">
        <v>915</v>
      </c>
      <c r="D638977" t="n">
        <v>915</v>
      </c>
    </row>
    <row r="638978">
      <c r="B638978" t="inlineStr">
        <is>
          <t>WEO Subject Code</t>
        </is>
      </c>
      <c r="C638978" t="inlineStr">
        <is>
          <t>NGDP_R</t>
        </is>
      </c>
      <c r="D638978" t="inlineStr">
        <is>
          <t>NGDP_RPCH</t>
        </is>
      </c>
    </row>
    <row r="638979">
      <c r="B638979" t="inlineStr">
        <is>
          <t>Country</t>
        </is>
      </c>
      <c r="C638979" t="inlineStr">
        <is>
          <t>Georgia</t>
        </is>
      </c>
      <c r="D638979" t="inlineStr">
        <is>
          <t>Georgia</t>
        </is>
      </c>
    </row>
    <row r="638980">
      <c r="B638980" t="inlineStr">
        <is>
          <t>Subject Descriptor</t>
        </is>
      </c>
      <c r="C638980" t="inlineStr">
        <is>
          <t>Gross domestic product, constant prices</t>
        </is>
      </c>
      <c r="D638980" t="inlineStr">
        <is>
          <t>Gross domestic product, constant prices</t>
        </is>
      </c>
    </row>
    <row r="638981">
      <c r="B638981" t="inlineStr">
        <is>
          <t>Units</t>
        </is>
      </c>
      <c r="C638981" t="inlineStr">
        <is>
          <t>National currency</t>
        </is>
      </c>
      <c r="D638981" t="inlineStr">
        <is>
          <t>Percent change</t>
        </is>
      </c>
    </row>
    <row r="638982">
      <c r="B638982" t="inlineStr">
        <is>
          <t>Scale</t>
        </is>
      </c>
      <c r="C638982" t="inlineStr">
        <is>
          <t>Billions</t>
        </is>
      </c>
      <c r="D638982" t="inlineStr">
        <is>
          <t>Units</t>
        </is>
      </c>
    </row>
    <row r="638983">
      <c r="B638983" t="inlineStr">
        <is>
          <t>Country/Series-specific Notes</t>
        </is>
      </c>
      <c r="C6389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38983" t="inlineStr">
        <is>
          <t>See notes for:  Gross domestic product, constant prices (National currency).</t>
        </is>
      </c>
    </row>
    <row r="638984">
      <c r="B638984" t="n">
        <v>2000</v>
      </c>
      <c r="C638984" t="n">
        <v>16.963</v>
      </c>
      <c r="D638984" t="n">
        <v>1.865</v>
      </c>
    </row>
    <row r="638985">
      <c r="B638985" t="n">
        <v>2001</v>
      </c>
      <c r="C638985" t="n">
        <v>17.772</v>
      </c>
      <c r="D638985" t="n">
        <v>4.769</v>
      </c>
    </row>
    <row r="638986">
      <c r="B638986" t="n">
        <v>2002</v>
      </c>
      <c r="C638986" t="n">
        <v>18.747</v>
      </c>
      <c r="D638986" t="n">
        <v>5.487</v>
      </c>
    </row>
    <row r="638987">
      <c r="B638987" t="n">
        <v>2003</v>
      </c>
      <c r="C638987" t="n">
        <v>20.852</v>
      </c>
      <c r="D638987" t="n">
        <v>11.228</v>
      </c>
    </row>
    <row r="638988">
      <c r="B638988" t="n">
        <v>2004</v>
      </c>
      <c r="C638988" t="n">
        <v>22.061</v>
      </c>
      <c r="D638988" t="n">
        <v>5.796</v>
      </c>
    </row>
    <row r="638989">
      <c r="B638989" t="n">
        <v>2005</v>
      </c>
      <c r="C638989" t="n">
        <v>24.176</v>
      </c>
      <c r="D638989" t="n">
        <v>9.587999999999999</v>
      </c>
    </row>
    <row r="638990">
      <c r="B638990" t="n">
        <v>2006</v>
      </c>
      <c r="C638990" t="n">
        <v>26.454</v>
      </c>
      <c r="D638990" t="n">
        <v>9.42</v>
      </c>
    </row>
    <row r="638991">
      <c r="B638991" t="n">
        <v>2007</v>
      </c>
      <c r="C638991" t="n">
        <v>29.781</v>
      </c>
      <c r="D638991" t="n">
        <v>12.579</v>
      </c>
    </row>
    <row r="638992">
      <c r="B638992" t="n">
        <v>2008</v>
      </c>
      <c r="C638992" t="n">
        <v>30.502</v>
      </c>
      <c r="D638992" t="n">
        <v>2.419</v>
      </c>
    </row>
    <row r="638993">
      <c r="B638993" t="n">
        <v>2009</v>
      </c>
      <c r="C638993" t="n">
        <v>29.388</v>
      </c>
      <c r="D638993" t="n">
        <v>-3.651</v>
      </c>
    </row>
    <row r="638994">
      <c r="B638994" t="n">
        <v>2010</v>
      </c>
      <c r="C638994" t="n">
        <v>31.428</v>
      </c>
      <c r="D638994" t="n">
        <v>6.942</v>
      </c>
    </row>
    <row r="638995">
      <c r="B638995" t="n">
        <v>2011</v>
      </c>
      <c r="C638995" t="n">
        <v>33.927</v>
      </c>
      <c r="D638995" t="n">
        <v>7.949</v>
      </c>
    </row>
    <row r="638996">
      <c r="B638996" t="n">
        <v>2012</v>
      </c>
      <c r="C638996" t="n">
        <v>36.159</v>
      </c>
      <c r="D638996" t="n">
        <v>6.579</v>
      </c>
    </row>
    <row r="638997">
      <c r="B638997" t="n">
        <v>2013</v>
      </c>
      <c r="C638997" t="n">
        <v>38.015</v>
      </c>
      <c r="D638997" t="n">
        <v>5.134</v>
      </c>
    </row>
    <row r="638998">
      <c r="B638998" t="n">
        <v>2014</v>
      </c>
      <c r="C638998" t="n">
        <v>39.57</v>
      </c>
      <c r="D638998" t="n">
        <v>4.091</v>
      </c>
    </row>
    <row r="638999">
      <c r="B638999" t="n">
        <v>2015</v>
      </c>
      <c r="C638999" t="n">
        <v>40.896</v>
      </c>
      <c r="D638999" t="n">
        <v>3.351</v>
      </c>
    </row>
    <row r="639000">
      <c r="B639000" t="n">
        <v>2016</v>
      </c>
      <c r="C639000" t="n">
        <v>42.307</v>
      </c>
      <c r="D639000" t="n">
        <v>3.45</v>
      </c>
    </row>
    <row r="639001">
      <c r="B639001" t="n">
        <v>2017</v>
      </c>
      <c r="C639001" t="n">
        <v>44.49</v>
      </c>
      <c r="D639001" t="n">
        <v>5.161</v>
      </c>
    </row>
    <row r="639002">
      <c r="B639002" t="n">
        <v>2018</v>
      </c>
      <c r="C639002" t="n">
        <v>47.187</v>
      </c>
      <c r="D639002" t="n">
        <v>6.062</v>
      </c>
    </row>
    <row r="639003">
      <c r="B639003" t="n">
        <v>2019</v>
      </c>
      <c r="C639003" t="n">
        <v>49.726</v>
      </c>
      <c r="D639003" t="n">
        <v>5.38</v>
      </c>
    </row>
    <row r="639004">
      <c r="B639004" t="n">
        <v>2020</v>
      </c>
      <c r="C639004" t="n">
        <v>46.598</v>
      </c>
      <c r="D639004" t="n">
        <v>-6.291</v>
      </c>
    </row>
    <row r="639005">
      <c r="B639005" t="n">
        <v>2021</v>
      </c>
      <c r="C639005" t="n">
        <v>51.558</v>
      </c>
      <c r="D639005" t="n">
        <v>10.644</v>
      </c>
    </row>
    <row r="639006">
      <c r="B639006" t="n">
        <v>2022</v>
      </c>
      <c r="C639006" t="n">
        <v>57.208</v>
      </c>
      <c r="D639006" t="n">
        <v>10.96</v>
      </c>
    </row>
    <row r="639007">
      <c r="B639007" t="n">
        <v>2023</v>
      </c>
      <c r="C639007" t="n">
        <v>61.689</v>
      </c>
      <c r="D639007" t="n">
        <v>7.832</v>
      </c>
    </row>
    <row r="639008">
      <c r="B639008" t="n">
        <v>2024</v>
      </c>
      <c r="C639008" t="n">
        <v>67.505</v>
      </c>
      <c r="D639008" t="n">
        <v>9.429</v>
      </c>
    </row>
    <row r="639009">
      <c r="B639009" t="n">
        <v>2025</v>
      </c>
      <c r="C639009" t="n">
        <v>71.54000000000001</v>
      </c>
      <c r="D639009" t="n">
        <v>5.977</v>
      </c>
    </row>
    <row r="639010">
      <c r="B639010" t="n">
        <v>2026</v>
      </c>
      <c r="C639010" t="n">
        <v>75.117</v>
      </c>
      <c r="D639010" t="n">
        <v>5</v>
      </c>
    </row>
    <row r="639011">
      <c r="B639011" t="n">
        <v>2027</v>
      </c>
      <c r="C639011" t="n">
        <v>78.873</v>
      </c>
      <c r="D639011" t="n">
        <v>5</v>
      </c>
    </row>
    <row r="639012">
      <c r="B639012" t="inlineStr">
        <is>
          <t>Estimates Start After</t>
        </is>
      </c>
      <c r="C639012" t="n">
        <v>2024</v>
      </c>
      <c r="D639012" t="n">
        <v>2024</v>
      </c>
    </row>
    <row r="655361">
      <c r="B655361" t="inlineStr">
        <is>
          <t>WEO Country Code</t>
        </is>
      </c>
      <c r="C655361" t="n">
        <v>915</v>
      </c>
      <c r="D655361" t="n">
        <v>915</v>
      </c>
    </row>
    <row r="655362">
      <c r="B655362" t="inlineStr">
        <is>
          <t>WEO Subject Code</t>
        </is>
      </c>
      <c r="C655362" t="inlineStr">
        <is>
          <t>NGDP_R</t>
        </is>
      </c>
      <c r="D655362" t="inlineStr">
        <is>
          <t>NGDP_RPCH</t>
        </is>
      </c>
    </row>
    <row r="655363">
      <c r="B655363" t="inlineStr">
        <is>
          <t>Country</t>
        </is>
      </c>
      <c r="C655363" t="inlineStr">
        <is>
          <t>Georgia</t>
        </is>
      </c>
      <c r="D655363" t="inlineStr">
        <is>
          <t>Georgia</t>
        </is>
      </c>
    </row>
    <row r="655364">
      <c r="B655364" t="inlineStr">
        <is>
          <t>Subject Descriptor</t>
        </is>
      </c>
      <c r="C655364" t="inlineStr">
        <is>
          <t>Gross domestic product, constant prices</t>
        </is>
      </c>
      <c r="D655364" t="inlineStr">
        <is>
          <t>Gross domestic product, constant prices</t>
        </is>
      </c>
    </row>
    <row r="655365">
      <c r="B655365" t="inlineStr">
        <is>
          <t>Units</t>
        </is>
      </c>
      <c r="C655365" t="inlineStr">
        <is>
          <t>National currency</t>
        </is>
      </c>
      <c r="D655365" t="inlineStr">
        <is>
          <t>Percent change</t>
        </is>
      </c>
    </row>
    <row r="655366">
      <c r="B655366" t="inlineStr">
        <is>
          <t>Scale</t>
        </is>
      </c>
      <c r="C655366" t="inlineStr">
        <is>
          <t>Billions</t>
        </is>
      </c>
      <c r="D655366" t="inlineStr">
        <is>
          <t>Units</t>
        </is>
      </c>
    </row>
    <row r="655367">
      <c r="B655367" t="inlineStr">
        <is>
          <t>Country/Series-specific Notes</t>
        </is>
      </c>
      <c r="C6553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367" t="inlineStr">
        <is>
          <t>See notes for:  Gross domestic product, constant prices (National currency).</t>
        </is>
      </c>
    </row>
    <row r="655368">
      <c r="B655368" t="n">
        <v>2000</v>
      </c>
      <c r="C655368" t="n">
        <v>16.963</v>
      </c>
      <c r="D655368" t="n">
        <v>1.865</v>
      </c>
    </row>
    <row r="655369">
      <c r="B655369" t="n">
        <v>2001</v>
      </c>
      <c r="C655369" t="n">
        <v>17.772</v>
      </c>
      <c r="D655369" t="n">
        <v>4.769</v>
      </c>
    </row>
    <row r="655370">
      <c r="B655370" t="n">
        <v>2002</v>
      </c>
      <c r="C655370" t="n">
        <v>18.747</v>
      </c>
      <c r="D655370" t="n">
        <v>5.487</v>
      </c>
    </row>
    <row r="655371">
      <c r="B655371" t="n">
        <v>2003</v>
      </c>
      <c r="C655371" t="n">
        <v>20.852</v>
      </c>
      <c r="D655371" t="n">
        <v>11.228</v>
      </c>
    </row>
    <row r="655372">
      <c r="B655372" t="n">
        <v>2004</v>
      </c>
      <c r="C655372" t="n">
        <v>22.061</v>
      </c>
      <c r="D655372" t="n">
        <v>5.796</v>
      </c>
    </row>
    <row r="655373">
      <c r="B655373" t="n">
        <v>2005</v>
      </c>
      <c r="C655373" t="n">
        <v>24.176</v>
      </c>
      <c r="D655373" t="n">
        <v>9.587999999999999</v>
      </c>
    </row>
    <row r="655374">
      <c r="B655374" t="n">
        <v>2006</v>
      </c>
      <c r="C655374" t="n">
        <v>26.454</v>
      </c>
      <c r="D655374" t="n">
        <v>9.42</v>
      </c>
    </row>
    <row r="655375">
      <c r="B655375" t="n">
        <v>2007</v>
      </c>
      <c r="C655375" t="n">
        <v>29.781</v>
      </c>
      <c r="D655375" t="n">
        <v>12.579</v>
      </c>
    </row>
    <row r="655376">
      <c r="B655376" t="n">
        <v>2008</v>
      </c>
      <c r="C655376" t="n">
        <v>30.502</v>
      </c>
      <c r="D655376" t="n">
        <v>2.419</v>
      </c>
    </row>
    <row r="655377">
      <c r="B655377" t="n">
        <v>2009</v>
      </c>
      <c r="C655377" t="n">
        <v>29.388</v>
      </c>
      <c r="D655377" t="n">
        <v>-3.651</v>
      </c>
    </row>
    <row r="655378">
      <c r="B655378" t="n">
        <v>2010</v>
      </c>
      <c r="C655378" t="n">
        <v>31.428</v>
      </c>
      <c r="D655378" t="n">
        <v>6.942</v>
      </c>
    </row>
    <row r="655379">
      <c r="B655379" t="n">
        <v>2011</v>
      </c>
      <c r="C655379" t="n">
        <v>33.927</v>
      </c>
      <c r="D655379" t="n">
        <v>7.949</v>
      </c>
    </row>
    <row r="655380">
      <c r="B655380" t="n">
        <v>2012</v>
      </c>
      <c r="C655380" t="n">
        <v>36.159</v>
      </c>
      <c r="D655380" t="n">
        <v>6.579</v>
      </c>
    </row>
    <row r="655381">
      <c r="B655381" t="n">
        <v>2013</v>
      </c>
      <c r="C655381" t="n">
        <v>38.015</v>
      </c>
      <c r="D655381" t="n">
        <v>5.134</v>
      </c>
    </row>
    <row r="655382">
      <c r="B655382" t="n">
        <v>2014</v>
      </c>
      <c r="C655382" t="n">
        <v>39.57</v>
      </c>
      <c r="D655382" t="n">
        <v>4.091</v>
      </c>
    </row>
    <row r="655383">
      <c r="B655383" t="n">
        <v>2015</v>
      </c>
      <c r="C655383" t="n">
        <v>40.896</v>
      </c>
      <c r="D655383" t="n">
        <v>3.351</v>
      </c>
    </row>
    <row r="655384">
      <c r="B655384" t="n">
        <v>2016</v>
      </c>
      <c r="C655384" t="n">
        <v>42.307</v>
      </c>
      <c r="D655384" t="n">
        <v>3.45</v>
      </c>
    </row>
    <row r="655385">
      <c r="B655385" t="n">
        <v>2017</v>
      </c>
      <c r="C655385" t="n">
        <v>44.49</v>
      </c>
      <c r="D655385" t="n">
        <v>5.161</v>
      </c>
    </row>
    <row r="655386">
      <c r="B655386" t="n">
        <v>2018</v>
      </c>
      <c r="C655386" t="n">
        <v>47.187</v>
      </c>
      <c r="D655386" t="n">
        <v>6.062</v>
      </c>
    </row>
    <row r="655387">
      <c r="B655387" t="n">
        <v>2019</v>
      </c>
      <c r="C655387" t="n">
        <v>49.726</v>
      </c>
      <c r="D655387" t="n">
        <v>5.38</v>
      </c>
    </row>
    <row r="655388">
      <c r="B655388" t="n">
        <v>2020</v>
      </c>
      <c r="C655388" t="n">
        <v>46.598</v>
      </c>
      <c r="D655388" t="n">
        <v>-6.291</v>
      </c>
    </row>
    <row r="655389">
      <c r="B655389" t="n">
        <v>2021</v>
      </c>
      <c r="C655389" t="n">
        <v>51.558</v>
      </c>
      <c r="D655389" t="n">
        <v>10.644</v>
      </c>
    </row>
    <row r="655390">
      <c r="B655390" t="n">
        <v>2022</v>
      </c>
      <c r="C655390" t="n">
        <v>57.208</v>
      </c>
      <c r="D655390" t="n">
        <v>10.96</v>
      </c>
    </row>
    <row r="655391">
      <c r="B655391" t="n">
        <v>2023</v>
      </c>
      <c r="C655391" t="n">
        <v>61.689</v>
      </c>
      <c r="D655391" t="n">
        <v>7.832</v>
      </c>
    </row>
    <row r="655392">
      <c r="B655392" t="n">
        <v>2024</v>
      </c>
      <c r="C655392" t="n">
        <v>67.505</v>
      </c>
      <c r="D655392" t="n">
        <v>9.429</v>
      </c>
    </row>
    <row r="655393">
      <c r="B655393" t="n">
        <v>2025</v>
      </c>
      <c r="C655393" t="n">
        <v>71.54000000000001</v>
      </c>
      <c r="D655393" t="n">
        <v>5.977</v>
      </c>
    </row>
    <row r="655394">
      <c r="B655394" t="n">
        <v>2026</v>
      </c>
      <c r="C655394" t="n">
        <v>75.117</v>
      </c>
      <c r="D655394" t="n">
        <v>5</v>
      </c>
    </row>
    <row r="655395">
      <c r="B655395" t="n">
        <v>2027</v>
      </c>
      <c r="C655395" t="n">
        <v>78.873</v>
      </c>
      <c r="D655395" t="n">
        <v>5</v>
      </c>
    </row>
    <row r="655396">
      <c r="B655396" t="inlineStr">
        <is>
          <t>Estimates Start After</t>
        </is>
      </c>
      <c r="C655396" t="n">
        <v>2024</v>
      </c>
      <c r="D655396" t="n">
        <v>2024</v>
      </c>
    </row>
    <row r="671745">
      <c r="B671745" t="inlineStr">
        <is>
          <t>WEO Country Code</t>
        </is>
      </c>
      <c r="C671745" t="n">
        <v>915</v>
      </c>
      <c r="D671745" t="n">
        <v>915</v>
      </c>
    </row>
    <row r="671746">
      <c r="B671746" t="inlineStr">
        <is>
          <t>WEO Subject Code</t>
        </is>
      </c>
      <c r="C671746" t="inlineStr">
        <is>
          <t>NGDP_R</t>
        </is>
      </c>
      <c r="D671746" t="inlineStr">
        <is>
          <t>NGDP_RPCH</t>
        </is>
      </c>
    </row>
    <row r="671747">
      <c r="B671747" t="inlineStr">
        <is>
          <t>Country</t>
        </is>
      </c>
      <c r="C671747" t="inlineStr">
        <is>
          <t>Georgia</t>
        </is>
      </c>
      <c r="D671747" t="inlineStr">
        <is>
          <t>Georgia</t>
        </is>
      </c>
    </row>
    <row r="671748">
      <c r="B671748" t="inlineStr">
        <is>
          <t>Subject Descriptor</t>
        </is>
      </c>
      <c r="C671748" t="inlineStr">
        <is>
          <t>Gross domestic product, constant prices</t>
        </is>
      </c>
      <c r="D671748" t="inlineStr">
        <is>
          <t>Gross domestic product, constant prices</t>
        </is>
      </c>
    </row>
    <row r="671749">
      <c r="B671749" t="inlineStr">
        <is>
          <t>Units</t>
        </is>
      </c>
      <c r="C671749" t="inlineStr">
        <is>
          <t>National currency</t>
        </is>
      </c>
      <c r="D671749" t="inlineStr">
        <is>
          <t>Percent change</t>
        </is>
      </c>
    </row>
    <row r="671750">
      <c r="B671750" t="inlineStr">
        <is>
          <t>Scale</t>
        </is>
      </c>
      <c r="C671750" t="inlineStr">
        <is>
          <t>Billions</t>
        </is>
      </c>
      <c r="D671750" t="inlineStr">
        <is>
          <t>Units</t>
        </is>
      </c>
    </row>
    <row r="671751">
      <c r="B671751" t="inlineStr">
        <is>
          <t>Country/Series-specific Notes</t>
        </is>
      </c>
      <c r="C6717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71751" t="inlineStr">
        <is>
          <t>See notes for:  Gross domestic product, constant prices (National currency).</t>
        </is>
      </c>
    </row>
    <row r="671752">
      <c r="B671752" t="n">
        <v>2000</v>
      </c>
      <c r="C671752" t="n">
        <v>16.963</v>
      </c>
      <c r="D671752" t="n">
        <v>1.865</v>
      </c>
    </row>
    <row r="671753">
      <c r="B671753" t="n">
        <v>2001</v>
      </c>
      <c r="C671753" t="n">
        <v>17.772</v>
      </c>
      <c r="D671753" t="n">
        <v>4.769</v>
      </c>
    </row>
    <row r="671754">
      <c r="B671754" t="n">
        <v>2002</v>
      </c>
      <c r="C671754" t="n">
        <v>18.747</v>
      </c>
      <c r="D671754" t="n">
        <v>5.487</v>
      </c>
    </row>
    <row r="671755">
      <c r="B671755" t="n">
        <v>2003</v>
      </c>
      <c r="C671755" t="n">
        <v>20.852</v>
      </c>
      <c r="D671755" t="n">
        <v>11.228</v>
      </c>
    </row>
    <row r="671756">
      <c r="B671756" t="n">
        <v>2004</v>
      </c>
      <c r="C671756" t="n">
        <v>22.061</v>
      </c>
      <c r="D671756" t="n">
        <v>5.796</v>
      </c>
    </row>
    <row r="671757">
      <c r="B671757" t="n">
        <v>2005</v>
      </c>
      <c r="C671757" t="n">
        <v>24.176</v>
      </c>
      <c r="D671757" t="n">
        <v>9.587999999999999</v>
      </c>
    </row>
    <row r="671758">
      <c r="B671758" t="n">
        <v>2006</v>
      </c>
      <c r="C671758" t="n">
        <v>26.454</v>
      </c>
      <c r="D671758" t="n">
        <v>9.42</v>
      </c>
    </row>
    <row r="671759">
      <c r="B671759" t="n">
        <v>2007</v>
      </c>
      <c r="C671759" t="n">
        <v>29.781</v>
      </c>
      <c r="D671759" t="n">
        <v>12.579</v>
      </c>
    </row>
    <row r="671760">
      <c r="B671760" t="n">
        <v>2008</v>
      </c>
      <c r="C671760" t="n">
        <v>30.502</v>
      </c>
      <c r="D671760" t="n">
        <v>2.419</v>
      </c>
    </row>
    <row r="671761">
      <c r="B671761" t="n">
        <v>2009</v>
      </c>
      <c r="C671761" t="n">
        <v>29.388</v>
      </c>
      <c r="D671761" t="n">
        <v>-3.651</v>
      </c>
    </row>
    <row r="671762">
      <c r="B671762" t="n">
        <v>2010</v>
      </c>
      <c r="C671762" t="n">
        <v>31.428</v>
      </c>
      <c r="D671762" t="n">
        <v>6.942</v>
      </c>
    </row>
    <row r="671763">
      <c r="B671763" t="n">
        <v>2011</v>
      </c>
      <c r="C671763" t="n">
        <v>33.927</v>
      </c>
      <c r="D671763" t="n">
        <v>7.949</v>
      </c>
    </row>
    <row r="671764">
      <c r="B671764" t="n">
        <v>2012</v>
      </c>
      <c r="C671764" t="n">
        <v>36.159</v>
      </c>
      <c r="D671764" t="n">
        <v>6.579</v>
      </c>
    </row>
    <row r="671765">
      <c r="B671765" t="n">
        <v>2013</v>
      </c>
      <c r="C671765" t="n">
        <v>38.015</v>
      </c>
      <c r="D671765" t="n">
        <v>5.134</v>
      </c>
    </row>
    <row r="671766">
      <c r="B671766" t="n">
        <v>2014</v>
      </c>
      <c r="C671766" t="n">
        <v>39.57</v>
      </c>
      <c r="D671766" t="n">
        <v>4.091</v>
      </c>
    </row>
    <row r="671767">
      <c r="B671767" t="n">
        <v>2015</v>
      </c>
      <c r="C671767" t="n">
        <v>40.896</v>
      </c>
      <c r="D671767" t="n">
        <v>3.351</v>
      </c>
    </row>
    <row r="671768">
      <c r="B671768" t="n">
        <v>2016</v>
      </c>
      <c r="C671768" t="n">
        <v>42.307</v>
      </c>
      <c r="D671768" t="n">
        <v>3.45</v>
      </c>
    </row>
    <row r="671769">
      <c r="B671769" t="n">
        <v>2017</v>
      </c>
      <c r="C671769" t="n">
        <v>44.49</v>
      </c>
      <c r="D671769" t="n">
        <v>5.161</v>
      </c>
    </row>
    <row r="671770">
      <c r="B671770" t="n">
        <v>2018</v>
      </c>
      <c r="C671770" t="n">
        <v>47.187</v>
      </c>
      <c r="D671770" t="n">
        <v>6.062</v>
      </c>
    </row>
    <row r="671771">
      <c r="B671771" t="n">
        <v>2019</v>
      </c>
      <c r="C671771" t="n">
        <v>49.726</v>
      </c>
      <c r="D671771" t="n">
        <v>5.38</v>
      </c>
    </row>
    <row r="671772">
      <c r="B671772" t="n">
        <v>2020</v>
      </c>
      <c r="C671772" t="n">
        <v>46.598</v>
      </c>
      <c r="D671772" t="n">
        <v>-6.291</v>
      </c>
    </row>
    <row r="671773">
      <c r="B671773" t="n">
        <v>2021</v>
      </c>
      <c r="C671773" t="n">
        <v>51.558</v>
      </c>
      <c r="D671773" t="n">
        <v>10.644</v>
      </c>
    </row>
    <row r="671774">
      <c r="B671774" t="n">
        <v>2022</v>
      </c>
      <c r="C671774" t="n">
        <v>57.208</v>
      </c>
      <c r="D671774" t="n">
        <v>10.96</v>
      </c>
    </row>
    <row r="671775">
      <c r="B671775" t="n">
        <v>2023</v>
      </c>
      <c r="C671775" t="n">
        <v>61.689</v>
      </c>
      <c r="D671775" t="n">
        <v>7.832</v>
      </c>
    </row>
    <row r="671776">
      <c r="B671776" t="n">
        <v>2024</v>
      </c>
      <c r="C671776" t="n">
        <v>67.505</v>
      </c>
      <c r="D671776" t="n">
        <v>9.429</v>
      </c>
    </row>
    <row r="671777">
      <c r="B671777" t="n">
        <v>2025</v>
      </c>
      <c r="C671777" t="n">
        <v>71.54000000000001</v>
      </c>
      <c r="D671777" t="n">
        <v>5.977</v>
      </c>
    </row>
    <row r="671778">
      <c r="B671778" t="n">
        <v>2026</v>
      </c>
      <c r="C671778" t="n">
        <v>75.117</v>
      </c>
      <c r="D671778" t="n">
        <v>5</v>
      </c>
    </row>
    <row r="671779">
      <c r="B671779" t="n">
        <v>2027</v>
      </c>
      <c r="C671779" t="n">
        <v>78.873</v>
      </c>
      <c r="D671779" t="n">
        <v>5</v>
      </c>
    </row>
    <row r="671780">
      <c r="B671780" t="inlineStr">
        <is>
          <t>Estimates Start After</t>
        </is>
      </c>
      <c r="C671780" t="n">
        <v>2024</v>
      </c>
      <c r="D671780" t="n">
        <v>2024</v>
      </c>
    </row>
    <row r="688129">
      <c r="B688129" t="inlineStr">
        <is>
          <t>WEO Country Code</t>
        </is>
      </c>
      <c r="C688129" t="n">
        <v>915</v>
      </c>
      <c r="D688129" t="n">
        <v>915</v>
      </c>
    </row>
    <row r="688130">
      <c r="B688130" t="inlineStr">
        <is>
          <t>WEO Subject Code</t>
        </is>
      </c>
      <c r="C688130" t="inlineStr">
        <is>
          <t>NGDP_R</t>
        </is>
      </c>
      <c r="D688130" t="inlineStr">
        <is>
          <t>NGDP_RPCH</t>
        </is>
      </c>
    </row>
    <row r="688131">
      <c r="B688131" t="inlineStr">
        <is>
          <t>Country</t>
        </is>
      </c>
      <c r="C688131" t="inlineStr">
        <is>
          <t>Georgia</t>
        </is>
      </c>
      <c r="D688131" t="inlineStr">
        <is>
          <t>Georgia</t>
        </is>
      </c>
    </row>
    <row r="688132">
      <c r="B688132" t="inlineStr">
        <is>
          <t>Subject Descriptor</t>
        </is>
      </c>
      <c r="C688132" t="inlineStr">
        <is>
          <t>Gross domestic product, constant prices</t>
        </is>
      </c>
      <c r="D688132" t="inlineStr">
        <is>
          <t>Gross domestic product, constant prices</t>
        </is>
      </c>
    </row>
    <row r="688133">
      <c r="B688133" t="inlineStr">
        <is>
          <t>Units</t>
        </is>
      </c>
      <c r="C688133" t="inlineStr">
        <is>
          <t>National currency</t>
        </is>
      </c>
      <c r="D688133" t="inlineStr">
        <is>
          <t>Percent change</t>
        </is>
      </c>
    </row>
    <row r="688134">
      <c r="B688134" t="inlineStr">
        <is>
          <t>Scale</t>
        </is>
      </c>
      <c r="C688134" t="inlineStr">
        <is>
          <t>Billions</t>
        </is>
      </c>
      <c r="D688134" t="inlineStr">
        <is>
          <t>Units</t>
        </is>
      </c>
    </row>
    <row r="688135">
      <c r="B688135" t="inlineStr">
        <is>
          <t>Country/Series-specific Notes</t>
        </is>
      </c>
      <c r="C6881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88135" t="inlineStr">
        <is>
          <t>See notes for:  Gross domestic product, constant prices (National currency).</t>
        </is>
      </c>
    </row>
    <row r="688136">
      <c r="B688136" t="n">
        <v>2000</v>
      </c>
      <c r="C688136" t="n">
        <v>16.963</v>
      </c>
      <c r="D688136" t="n">
        <v>1.865</v>
      </c>
    </row>
    <row r="688137">
      <c r="B688137" t="n">
        <v>2001</v>
      </c>
      <c r="C688137" t="n">
        <v>17.772</v>
      </c>
      <c r="D688137" t="n">
        <v>4.769</v>
      </c>
    </row>
    <row r="688138">
      <c r="B688138" t="n">
        <v>2002</v>
      </c>
      <c r="C688138" t="n">
        <v>18.747</v>
      </c>
      <c r="D688138" t="n">
        <v>5.487</v>
      </c>
    </row>
    <row r="688139">
      <c r="B688139" t="n">
        <v>2003</v>
      </c>
      <c r="C688139" t="n">
        <v>20.852</v>
      </c>
      <c r="D688139" t="n">
        <v>11.228</v>
      </c>
    </row>
    <row r="688140">
      <c r="B688140" t="n">
        <v>2004</v>
      </c>
      <c r="C688140" t="n">
        <v>22.061</v>
      </c>
      <c r="D688140" t="n">
        <v>5.796</v>
      </c>
    </row>
    <row r="688141">
      <c r="B688141" t="n">
        <v>2005</v>
      </c>
      <c r="C688141" t="n">
        <v>24.176</v>
      </c>
      <c r="D688141" t="n">
        <v>9.587999999999999</v>
      </c>
    </row>
    <row r="688142">
      <c r="B688142" t="n">
        <v>2006</v>
      </c>
      <c r="C688142" t="n">
        <v>26.454</v>
      </c>
      <c r="D688142" t="n">
        <v>9.42</v>
      </c>
    </row>
    <row r="688143">
      <c r="B688143" t="n">
        <v>2007</v>
      </c>
      <c r="C688143" t="n">
        <v>29.781</v>
      </c>
      <c r="D688143" t="n">
        <v>12.579</v>
      </c>
    </row>
    <row r="688144">
      <c r="B688144" t="n">
        <v>2008</v>
      </c>
      <c r="C688144" t="n">
        <v>30.502</v>
      </c>
      <c r="D688144" t="n">
        <v>2.419</v>
      </c>
    </row>
    <row r="688145">
      <c r="B688145" t="n">
        <v>2009</v>
      </c>
      <c r="C688145" t="n">
        <v>29.388</v>
      </c>
      <c r="D688145" t="n">
        <v>-3.651</v>
      </c>
    </row>
    <row r="688146">
      <c r="B688146" t="n">
        <v>2010</v>
      </c>
      <c r="C688146" t="n">
        <v>31.428</v>
      </c>
      <c r="D688146" t="n">
        <v>6.942</v>
      </c>
    </row>
    <row r="688147">
      <c r="B688147" t="n">
        <v>2011</v>
      </c>
      <c r="C688147" t="n">
        <v>33.927</v>
      </c>
      <c r="D688147" t="n">
        <v>7.949</v>
      </c>
    </row>
    <row r="688148">
      <c r="B688148" t="n">
        <v>2012</v>
      </c>
      <c r="C688148" t="n">
        <v>36.159</v>
      </c>
      <c r="D688148" t="n">
        <v>6.579</v>
      </c>
    </row>
    <row r="688149">
      <c r="B688149" t="n">
        <v>2013</v>
      </c>
      <c r="C688149" t="n">
        <v>38.015</v>
      </c>
      <c r="D688149" t="n">
        <v>5.134</v>
      </c>
    </row>
    <row r="688150">
      <c r="B688150" t="n">
        <v>2014</v>
      </c>
      <c r="C688150" t="n">
        <v>39.57</v>
      </c>
      <c r="D688150" t="n">
        <v>4.091</v>
      </c>
    </row>
    <row r="688151">
      <c r="B688151" t="n">
        <v>2015</v>
      </c>
      <c r="C688151" t="n">
        <v>40.896</v>
      </c>
      <c r="D688151" t="n">
        <v>3.351</v>
      </c>
    </row>
    <row r="688152">
      <c r="B688152" t="n">
        <v>2016</v>
      </c>
      <c r="C688152" t="n">
        <v>42.307</v>
      </c>
      <c r="D688152" t="n">
        <v>3.45</v>
      </c>
    </row>
    <row r="688153">
      <c r="B688153" t="n">
        <v>2017</v>
      </c>
      <c r="C688153" t="n">
        <v>44.49</v>
      </c>
      <c r="D688153" t="n">
        <v>5.161</v>
      </c>
    </row>
    <row r="688154">
      <c r="B688154" t="n">
        <v>2018</v>
      </c>
      <c r="C688154" t="n">
        <v>47.187</v>
      </c>
      <c r="D688154" t="n">
        <v>6.062</v>
      </c>
    </row>
    <row r="688155">
      <c r="B688155" t="n">
        <v>2019</v>
      </c>
      <c r="C688155" t="n">
        <v>49.726</v>
      </c>
      <c r="D688155" t="n">
        <v>5.38</v>
      </c>
    </row>
    <row r="688156">
      <c r="B688156" t="n">
        <v>2020</v>
      </c>
      <c r="C688156" t="n">
        <v>46.598</v>
      </c>
      <c r="D688156" t="n">
        <v>-6.291</v>
      </c>
    </row>
    <row r="688157">
      <c r="B688157" t="n">
        <v>2021</v>
      </c>
      <c r="C688157" t="n">
        <v>51.558</v>
      </c>
      <c r="D688157" t="n">
        <v>10.644</v>
      </c>
    </row>
    <row r="688158">
      <c r="B688158" t="n">
        <v>2022</v>
      </c>
      <c r="C688158" t="n">
        <v>57.208</v>
      </c>
      <c r="D688158" t="n">
        <v>10.96</v>
      </c>
    </row>
    <row r="688159">
      <c r="B688159" t="n">
        <v>2023</v>
      </c>
      <c r="C688159" t="n">
        <v>61.689</v>
      </c>
      <c r="D688159" t="n">
        <v>7.832</v>
      </c>
    </row>
    <row r="688160">
      <c r="B688160" t="n">
        <v>2024</v>
      </c>
      <c r="C688160" t="n">
        <v>67.505</v>
      </c>
      <c r="D688160" t="n">
        <v>9.429</v>
      </c>
    </row>
    <row r="688161">
      <c r="B688161" t="n">
        <v>2025</v>
      </c>
      <c r="C688161" t="n">
        <v>71.54000000000001</v>
      </c>
      <c r="D688161" t="n">
        <v>5.977</v>
      </c>
    </row>
    <row r="688162">
      <c r="B688162" t="n">
        <v>2026</v>
      </c>
      <c r="C688162" t="n">
        <v>75.117</v>
      </c>
      <c r="D688162" t="n">
        <v>5</v>
      </c>
    </row>
    <row r="688163">
      <c r="B688163" t="n">
        <v>2027</v>
      </c>
      <c r="C688163" t="n">
        <v>78.873</v>
      </c>
      <c r="D688163" t="n">
        <v>5</v>
      </c>
    </row>
    <row r="688164">
      <c r="B688164" t="inlineStr">
        <is>
          <t>Estimates Start After</t>
        </is>
      </c>
      <c r="C688164" t="n">
        <v>2024</v>
      </c>
      <c r="D688164" t="n">
        <v>2024</v>
      </c>
    </row>
    <row r="704513">
      <c r="B704513" t="inlineStr">
        <is>
          <t>WEO Country Code</t>
        </is>
      </c>
      <c r="C704513" t="n">
        <v>915</v>
      </c>
      <c r="D704513" t="n">
        <v>915</v>
      </c>
    </row>
    <row r="704514">
      <c r="B704514" t="inlineStr">
        <is>
          <t>WEO Subject Code</t>
        </is>
      </c>
      <c r="C704514" t="inlineStr">
        <is>
          <t>NGDP_R</t>
        </is>
      </c>
      <c r="D704514" t="inlineStr">
        <is>
          <t>NGDP_RPCH</t>
        </is>
      </c>
    </row>
    <row r="704515">
      <c r="B704515" t="inlineStr">
        <is>
          <t>Country</t>
        </is>
      </c>
      <c r="C704515" t="inlineStr">
        <is>
          <t>Georgia</t>
        </is>
      </c>
      <c r="D704515" t="inlineStr">
        <is>
          <t>Georgia</t>
        </is>
      </c>
    </row>
    <row r="704516">
      <c r="B704516" t="inlineStr">
        <is>
          <t>Subject Descriptor</t>
        </is>
      </c>
      <c r="C704516" t="inlineStr">
        <is>
          <t>Gross domestic product, constant prices</t>
        </is>
      </c>
      <c r="D704516" t="inlineStr">
        <is>
          <t>Gross domestic product, constant prices</t>
        </is>
      </c>
    </row>
    <row r="704517">
      <c r="B704517" t="inlineStr">
        <is>
          <t>Units</t>
        </is>
      </c>
      <c r="C704517" t="inlineStr">
        <is>
          <t>National currency</t>
        </is>
      </c>
      <c r="D704517" t="inlineStr">
        <is>
          <t>Percent change</t>
        </is>
      </c>
    </row>
    <row r="704518">
      <c r="B704518" t="inlineStr">
        <is>
          <t>Scale</t>
        </is>
      </c>
      <c r="C704518" t="inlineStr">
        <is>
          <t>Billions</t>
        </is>
      </c>
      <c r="D704518" t="inlineStr">
        <is>
          <t>Units</t>
        </is>
      </c>
    </row>
    <row r="704519">
      <c r="B704519" t="inlineStr">
        <is>
          <t>Country/Series-specific Notes</t>
        </is>
      </c>
      <c r="C7045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04519" t="inlineStr">
        <is>
          <t>See notes for:  Gross domestic product, constant prices (National currency).</t>
        </is>
      </c>
    </row>
    <row r="704520">
      <c r="B704520" t="n">
        <v>2000</v>
      </c>
      <c r="C704520" t="n">
        <v>16.963</v>
      </c>
      <c r="D704520" t="n">
        <v>1.865</v>
      </c>
    </row>
    <row r="704521">
      <c r="B704521" t="n">
        <v>2001</v>
      </c>
      <c r="C704521" t="n">
        <v>17.772</v>
      </c>
      <c r="D704521" t="n">
        <v>4.769</v>
      </c>
    </row>
    <row r="704522">
      <c r="B704522" t="n">
        <v>2002</v>
      </c>
      <c r="C704522" t="n">
        <v>18.747</v>
      </c>
      <c r="D704522" t="n">
        <v>5.487</v>
      </c>
    </row>
    <row r="704523">
      <c r="B704523" t="n">
        <v>2003</v>
      </c>
      <c r="C704523" t="n">
        <v>20.852</v>
      </c>
      <c r="D704523" t="n">
        <v>11.228</v>
      </c>
    </row>
    <row r="704524">
      <c r="B704524" t="n">
        <v>2004</v>
      </c>
      <c r="C704524" t="n">
        <v>22.061</v>
      </c>
      <c r="D704524" t="n">
        <v>5.796</v>
      </c>
    </row>
    <row r="704525">
      <c r="B704525" t="n">
        <v>2005</v>
      </c>
      <c r="C704525" t="n">
        <v>24.176</v>
      </c>
      <c r="D704525" t="n">
        <v>9.587999999999999</v>
      </c>
    </row>
    <row r="704526">
      <c r="B704526" t="n">
        <v>2006</v>
      </c>
      <c r="C704526" t="n">
        <v>26.454</v>
      </c>
      <c r="D704526" t="n">
        <v>9.42</v>
      </c>
    </row>
    <row r="704527">
      <c r="B704527" t="n">
        <v>2007</v>
      </c>
      <c r="C704527" t="n">
        <v>29.781</v>
      </c>
      <c r="D704527" t="n">
        <v>12.579</v>
      </c>
    </row>
    <row r="704528">
      <c r="B704528" t="n">
        <v>2008</v>
      </c>
      <c r="C704528" t="n">
        <v>30.502</v>
      </c>
      <c r="D704528" t="n">
        <v>2.419</v>
      </c>
    </row>
    <row r="704529">
      <c r="B704529" t="n">
        <v>2009</v>
      </c>
      <c r="C704529" t="n">
        <v>29.388</v>
      </c>
      <c r="D704529" t="n">
        <v>-3.651</v>
      </c>
    </row>
    <row r="704530">
      <c r="B704530" t="n">
        <v>2010</v>
      </c>
      <c r="C704530" t="n">
        <v>31.428</v>
      </c>
      <c r="D704530" t="n">
        <v>6.942</v>
      </c>
    </row>
    <row r="704531">
      <c r="B704531" t="n">
        <v>2011</v>
      </c>
      <c r="C704531" t="n">
        <v>33.927</v>
      </c>
      <c r="D704531" t="n">
        <v>7.949</v>
      </c>
    </row>
    <row r="704532">
      <c r="B704532" t="n">
        <v>2012</v>
      </c>
      <c r="C704532" t="n">
        <v>36.159</v>
      </c>
      <c r="D704532" t="n">
        <v>6.579</v>
      </c>
    </row>
    <row r="704533">
      <c r="B704533" t="n">
        <v>2013</v>
      </c>
      <c r="C704533" t="n">
        <v>38.015</v>
      </c>
      <c r="D704533" t="n">
        <v>5.134</v>
      </c>
    </row>
    <row r="704534">
      <c r="B704534" t="n">
        <v>2014</v>
      </c>
      <c r="C704534" t="n">
        <v>39.57</v>
      </c>
      <c r="D704534" t="n">
        <v>4.091</v>
      </c>
    </row>
    <row r="704535">
      <c r="B704535" t="n">
        <v>2015</v>
      </c>
      <c r="C704535" t="n">
        <v>40.896</v>
      </c>
      <c r="D704535" t="n">
        <v>3.351</v>
      </c>
    </row>
    <row r="704536">
      <c r="B704536" t="n">
        <v>2016</v>
      </c>
      <c r="C704536" t="n">
        <v>42.307</v>
      </c>
      <c r="D704536" t="n">
        <v>3.45</v>
      </c>
    </row>
    <row r="704537">
      <c r="B704537" t="n">
        <v>2017</v>
      </c>
      <c r="C704537" t="n">
        <v>44.49</v>
      </c>
      <c r="D704537" t="n">
        <v>5.161</v>
      </c>
    </row>
    <row r="704538">
      <c r="B704538" t="n">
        <v>2018</v>
      </c>
      <c r="C704538" t="n">
        <v>47.187</v>
      </c>
      <c r="D704538" t="n">
        <v>6.062</v>
      </c>
    </row>
    <row r="704539">
      <c r="B704539" t="n">
        <v>2019</v>
      </c>
      <c r="C704539" t="n">
        <v>49.726</v>
      </c>
      <c r="D704539" t="n">
        <v>5.38</v>
      </c>
    </row>
    <row r="704540">
      <c r="B704540" t="n">
        <v>2020</v>
      </c>
      <c r="C704540" t="n">
        <v>46.598</v>
      </c>
      <c r="D704540" t="n">
        <v>-6.291</v>
      </c>
    </row>
    <row r="704541">
      <c r="B704541" t="n">
        <v>2021</v>
      </c>
      <c r="C704541" t="n">
        <v>51.558</v>
      </c>
      <c r="D704541" t="n">
        <v>10.644</v>
      </c>
    </row>
    <row r="704542">
      <c r="B704542" t="n">
        <v>2022</v>
      </c>
      <c r="C704542" t="n">
        <v>57.208</v>
      </c>
      <c r="D704542" t="n">
        <v>10.96</v>
      </c>
    </row>
    <row r="704543">
      <c r="B704543" t="n">
        <v>2023</v>
      </c>
      <c r="C704543" t="n">
        <v>61.689</v>
      </c>
      <c r="D704543" t="n">
        <v>7.832</v>
      </c>
    </row>
    <row r="704544">
      <c r="B704544" t="n">
        <v>2024</v>
      </c>
      <c r="C704544" t="n">
        <v>67.505</v>
      </c>
      <c r="D704544" t="n">
        <v>9.429</v>
      </c>
    </row>
    <row r="704545">
      <c r="B704545" t="n">
        <v>2025</v>
      </c>
      <c r="C704545" t="n">
        <v>71.54000000000001</v>
      </c>
      <c r="D704545" t="n">
        <v>5.977</v>
      </c>
    </row>
    <row r="704546">
      <c r="B704546" t="n">
        <v>2026</v>
      </c>
      <c r="C704546" t="n">
        <v>75.117</v>
      </c>
      <c r="D704546" t="n">
        <v>5</v>
      </c>
    </row>
    <row r="704547">
      <c r="B704547" t="n">
        <v>2027</v>
      </c>
      <c r="C704547" t="n">
        <v>78.873</v>
      </c>
      <c r="D704547" t="n">
        <v>5</v>
      </c>
    </row>
    <row r="704548">
      <c r="B704548" t="inlineStr">
        <is>
          <t>Estimates Start After</t>
        </is>
      </c>
      <c r="C704548" t="n">
        <v>2024</v>
      </c>
      <c r="D704548" t="n">
        <v>2024</v>
      </c>
    </row>
    <row r="720897">
      <c r="B720897" t="inlineStr">
        <is>
          <t>WEO Country Code</t>
        </is>
      </c>
      <c r="C720897" t="n">
        <v>915</v>
      </c>
      <c r="D720897" t="n">
        <v>915</v>
      </c>
    </row>
    <row r="720898">
      <c r="B720898" t="inlineStr">
        <is>
          <t>WEO Subject Code</t>
        </is>
      </c>
      <c r="C720898" t="inlineStr">
        <is>
          <t>NGDP_R</t>
        </is>
      </c>
      <c r="D720898" t="inlineStr">
        <is>
          <t>NGDP_RPCH</t>
        </is>
      </c>
    </row>
    <row r="720899">
      <c r="B720899" t="inlineStr">
        <is>
          <t>Country</t>
        </is>
      </c>
      <c r="C720899" t="inlineStr">
        <is>
          <t>Georgia</t>
        </is>
      </c>
      <c r="D720899" t="inlineStr">
        <is>
          <t>Georgia</t>
        </is>
      </c>
    </row>
    <row r="720900">
      <c r="B720900" t="inlineStr">
        <is>
          <t>Subject Descriptor</t>
        </is>
      </c>
      <c r="C720900" t="inlineStr">
        <is>
          <t>Gross domestic product, constant prices</t>
        </is>
      </c>
      <c r="D720900" t="inlineStr">
        <is>
          <t>Gross domestic product, constant prices</t>
        </is>
      </c>
    </row>
    <row r="720901">
      <c r="B720901" t="inlineStr">
        <is>
          <t>Units</t>
        </is>
      </c>
      <c r="C720901" t="inlineStr">
        <is>
          <t>National currency</t>
        </is>
      </c>
      <c r="D720901" t="inlineStr">
        <is>
          <t>Percent change</t>
        </is>
      </c>
    </row>
    <row r="720902">
      <c r="B720902" t="inlineStr">
        <is>
          <t>Scale</t>
        </is>
      </c>
      <c r="C720902" t="inlineStr">
        <is>
          <t>Billions</t>
        </is>
      </c>
      <c r="D720902" t="inlineStr">
        <is>
          <t>Units</t>
        </is>
      </c>
    </row>
    <row r="720903">
      <c r="B720903" t="inlineStr">
        <is>
          <t>Country/Series-specific Notes</t>
        </is>
      </c>
      <c r="C7209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20903" t="inlineStr">
        <is>
          <t>See notes for:  Gross domestic product, constant prices (National currency).</t>
        </is>
      </c>
    </row>
    <row r="720904">
      <c r="B720904" t="n">
        <v>2000</v>
      </c>
      <c r="C720904" t="n">
        <v>16.963</v>
      </c>
      <c r="D720904" t="n">
        <v>1.865</v>
      </c>
    </row>
    <row r="720905">
      <c r="B720905" t="n">
        <v>2001</v>
      </c>
      <c r="C720905" t="n">
        <v>17.772</v>
      </c>
      <c r="D720905" t="n">
        <v>4.769</v>
      </c>
    </row>
    <row r="720906">
      <c r="B720906" t="n">
        <v>2002</v>
      </c>
      <c r="C720906" t="n">
        <v>18.747</v>
      </c>
      <c r="D720906" t="n">
        <v>5.487</v>
      </c>
    </row>
    <row r="720907">
      <c r="B720907" t="n">
        <v>2003</v>
      </c>
      <c r="C720907" t="n">
        <v>20.852</v>
      </c>
      <c r="D720907" t="n">
        <v>11.228</v>
      </c>
    </row>
    <row r="720908">
      <c r="B720908" t="n">
        <v>2004</v>
      </c>
      <c r="C720908" t="n">
        <v>22.061</v>
      </c>
      <c r="D720908" t="n">
        <v>5.796</v>
      </c>
    </row>
    <row r="720909">
      <c r="B720909" t="n">
        <v>2005</v>
      </c>
      <c r="C720909" t="n">
        <v>24.176</v>
      </c>
      <c r="D720909" t="n">
        <v>9.587999999999999</v>
      </c>
    </row>
    <row r="720910">
      <c r="B720910" t="n">
        <v>2006</v>
      </c>
      <c r="C720910" t="n">
        <v>26.454</v>
      </c>
      <c r="D720910" t="n">
        <v>9.42</v>
      </c>
    </row>
    <row r="720911">
      <c r="B720911" t="n">
        <v>2007</v>
      </c>
      <c r="C720911" t="n">
        <v>29.781</v>
      </c>
      <c r="D720911" t="n">
        <v>12.579</v>
      </c>
    </row>
    <row r="720912">
      <c r="B720912" t="n">
        <v>2008</v>
      </c>
      <c r="C720912" t="n">
        <v>30.502</v>
      </c>
      <c r="D720912" t="n">
        <v>2.419</v>
      </c>
    </row>
    <row r="720913">
      <c r="B720913" t="n">
        <v>2009</v>
      </c>
      <c r="C720913" t="n">
        <v>29.388</v>
      </c>
      <c r="D720913" t="n">
        <v>-3.651</v>
      </c>
    </row>
    <row r="720914">
      <c r="B720914" t="n">
        <v>2010</v>
      </c>
      <c r="C720914" t="n">
        <v>31.428</v>
      </c>
      <c r="D720914" t="n">
        <v>6.942</v>
      </c>
    </row>
    <row r="720915">
      <c r="B720915" t="n">
        <v>2011</v>
      </c>
      <c r="C720915" t="n">
        <v>33.927</v>
      </c>
      <c r="D720915" t="n">
        <v>7.949</v>
      </c>
    </row>
    <row r="720916">
      <c r="B720916" t="n">
        <v>2012</v>
      </c>
      <c r="C720916" t="n">
        <v>36.159</v>
      </c>
      <c r="D720916" t="n">
        <v>6.579</v>
      </c>
    </row>
    <row r="720917">
      <c r="B720917" t="n">
        <v>2013</v>
      </c>
      <c r="C720917" t="n">
        <v>38.015</v>
      </c>
      <c r="D720917" t="n">
        <v>5.134</v>
      </c>
    </row>
    <row r="720918">
      <c r="B720918" t="n">
        <v>2014</v>
      </c>
      <c r="C720918" t="n">
        <v>39.57</v>
      </c>
      <c r="D720918" t="n">
        <v>4.091</v>
      </c>
    </row>
    <row r="720919">
      <c r="B720919" t="n">
        <v>2015</v>
      </c>
      <c r="C720919" t="n">
        <v>40.896</v>
      </c>
      <c r="D720919" t="n">
        <v>3.351</v>
      </c>
    </row>
    <row r="720920">
      <c r="B720920" t="n">
        <v>2016</v>
      </c>
      <c r="C720920" t="n">
        <v>42.307</v>
      </c>
      <c r="D720920" t="n">
        <v>3.45</v>
      </c>
    </row>
    <row r="720921">
      <c r="B720921" t="n">
        <v>2017</v>
      </c>
      <c r="C720921" t="n">
        <v>44.49</v>
      </c>
      <c r="D720921" t="n">
        <v>5.161</v>
      </c>
    </row>
    <row r="720922">
      <c r="B720922" t="n">
        <v>2018</v>
      </c>
      <c r="C720922" t="n">
        <v>47.187</v>
      </c>
      <c r="D720922" t="n">
        <v>6.062</v>
      </c>
    </row>
    <row r="720923">
      <c r="B720923" t="n">
        <v>2019</v>
      </c>
      <c r="C720923" t="n">
        <v>49.726</v>
      </c>
      <c r="D720923" t="n">
        <v>5.38</v>
      </c>
    </row>
    <row r="720924">
      <c r="B720924" t="n">
        <v>2020</v>
      </c>
      <c r="C720924" t="n">
        <v>46.598</v>
      </c>
      <c r="D720924" t="n">
        <v>-6.291</v>
      </c>
    </row>
    <row r="720925">
      <c r="B720925" t="n">
        <v>2021</v>
      </c>
      <c r="C720925" t="n">
        <v>51.558</v>
      </c>
      <c r="D720925" t="n">
        <v>10.644</v>
      </c>
    </row>
    <row r="720926">
      <c r="B720926" t="n">
        <v>2022</v>
      </c>
      <c r="C720926" t="n">
        <v>57.208</v>
      </c>
      <c r="D720926" t="n">
        <v>10.96</v>
      </c>
    </row>
    <row r="720927">
      <c r="B720927" t="n">
        <v>2023</v>
      </c>
      <c r="C720927" t="n">
        <v>61.689</v>
      </c>
      <c r="D720927" t="n">
        <v>7.832</v>
      </c>
    </row>
    <row r="720928">
      <c r="B720928" t="n">
        <v>2024</v>
      </c>
      <c r="C720928" t="n">
        <v>67.505</v>
      </c>
      <c r="D720928" t="n">
        <v>9.429</v>
      </c>
    </row>
    <row r="720929">
      <c r="B720929" t="n">
        <v>2025</v>
      </c>
      <c r="C720929" t="n">
        <v>71.54000000000001</v>
      </c>
      <c r="D720929" t="n">
        <v>5.977</v>
      </c>
    </row>
    <row r="720930">
      <c r="B720930" t="n">
        <v>2026</v>
      </c>
      <c r="C720930" t="n">
        <v>75.117</v>
      </c>
      <c r="D720930" t="n">
        <v>5</v>
      </c>
    </row>
    <row r="720931">
      <c r="B720931" t="n">
        <v>2027</v>
      </c>
      <c r="C720931" t="n">
        <v>78.873</v>
      </c>
      <c r="D720931" t="n">
        <v>5</v>
      </c>
    </row>
    <row r="720932">
      <c r="B720932" t="inlineStr">
        <is>
          <t>Estimates Start After</t>
        </is>
      </c>
      <c r="C720932" t="n">
        <v>2024</v>
      </c>
      <c r="D720932" t="n">
        <v>2024</v>
      </c>
    </row>
    <row r="737281">
      <c r="B737281" t="inlineStr">
        <is>
          <t>WEO Country Code</t>
        </is>
      </c>
      <c r="C737281" t="n">
        <v>915</v>
      </c>
      <c r="D737281" t="n">
        <v>915</v>
      </c>
    </row>
    <row r="737282">
      <c r="B737282" t="inlineStr">
        <is>
          <t>WEO Subject Code</t>
        </is>
      </c>
      <c r="C737282" t="inlineStr">
        <is>
          <t>NGDP_R</t>
        </is>
      </c>
      <c r="D737282" t="inlineStr">
        <is>
          <t>NGDP_RPCH</t>
        </is>
      </c>
    </row>
    <row r="737283">
      <c r="B737283" t="inlineStr">
        <is>
          <t>Country</t>
        </is>
      </c>
      <c r="C737283" t="inlineStr">
        <is>
          <t>Georgia</t>
        </is>
      </c>
      <c r="D737283" t="inlineStr">
        <is>
          <t>Georgia</t>
        </is>
      </c>
    </row>
    <row r="737284">
      <c r="B737284" t="inlineStr">
        <is>
          <t>Subject Descriptor</t>
        </is>
      </c>
      <c r="C737284" t="inlineStr">
        <is>
          <t>Gross domestic product, constant prices</t>
        </is>
      </c>
      <c r="D737284" t="inlineStr">
        <is>
          <t>Gross domestic product, constant prices</t>
        </is>
      </c>
    </row>
    <row r="737285">
      <c r="B737285" t="inlineStr">
        <is>
          <t>Units</t>
        </is>
      </c>
      <c r="C737285" t="inlineStr">
        <is>
          <t>National currency</t>
        </is>
      </c>
      <c r="D737285" t="inlineStr">
        <is>
          <t>Percent change</t>
        </is>
      </c>
    </row>
    <row r="737286">
      <c r="B737286" t="inlineStr">
        <is>
          <t>Scale</t>
        </is>
      </c>
      <c r="C737286" t="inlineStr">
        <is>
          <t>Billions</t>
        </is>
      </c>
      <c r="D737286" t="inlineStr">
        <is>
          <t>Units</t>
        </is>
      </c>
    </row>
    <row r="737287">
      <c r="B737287" t="inlineStr">
        <is>
          <t>Country/Series-specific Notes</t>
        </is>
      </c>
      <c r="C7372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37287" t="inlineStr">
        <is>
          <t>See notes for:  Gross domestic product, constant prices (National currency).</t>
        </is>
      </c>
    </row>
    <row r="737288">
      <c r="B737288" t="n">
        <v>2000</v>
      </c>
      <c r="C737288" t="n">
        <v>16.963</v>
      </c>
      <c r="D737288" t="n">
        <v>1.865</v>
      </c>
    </row>
    <row r="737289">
      <c r="B737289" t="n">
        <v>2001</v>
      </c>
      <c r="C737289" t="n">
        <v>17.772</v>
      </c>
      <c r="D737289" t="n">
        <v>4.769</v>
      </c>
    </row>
    <row r="737290">
      <c r="B737290" t="n">
        <v>2002</v>
      </c>
      <c r="C737290" t="n">
        <v>18.747</v>
      </c>
      <c r="D737290" t="n">
        <v>5.487</v>
      </c>
    </row>
    <row r="737291">
      <c r="B737291" t="n">
        <v>2003</v>
      </c>
      <c r="C737291" t="n">
        <v>20.852</v>
      </c>
      <c r="D737291" t="n">
        <v>11.228</v>
      </c>
    </row>
    <row r="737292">
      <c r="B737292" t="n">
        <v>2004</v>
      </c>
      <c r="C737292" t="n">
        <v>22.061</v>
      </c>
      <c r="D737292" t="n">
        <v>5.796</v>
      </c>
    </row>
    <row r="737293">
      <c r="B737293" t="n">
        <v>2005</v>
      </c>
      <c r="C737293" t="n">
        <v>24.176</v>
      </c>
      <c r="D737293" t="n">
        <v>9.587999999999999</v>
      </c>
    </row>
    <row r="737294">
      <c r="B737294" t="n">
        <v>2006</v>
      </c>
      <c r="C737294" t="n">
        <v>26.454</v>
      </c>
      <c r="D737294" t="n">
        <v>9.42</v>
      </c>
    </row>
    <row r="737295">
      <c r="B737295" t="n">
        <v>2007</v>
      </c>
      <c r="C737295" t="n">
        <v>29.781</v>
      </c>
      <c r="D737295" t="n">
        <v>12.579</v>
      </c>
    </row>
    <row r="737296">
      <c r="B737296" t="n">
        <v>2008</v>
      </c>
      <c r="C737296" t="n">
        <v>30.502</v>
      </c>
      <c r="D737296" t="n">
        <v>2.419</v>
      </c>
    </row>
    <row r="737297">
      <c r="B737297" t="n">
        <v>2009</v>
      </c>
      <c r="C737297" t="n">
        <v>29.388</v>
      </c>
      <c r="D737297" t="n">
        <v>-3.651</v>
      </c>
    </row>
    <row r="737298">
      <c r="B737298" t="n">
        <v>2010</v>
      </c>
      <c r="C737298" t="n">
        <v>31.428</v>
      </c>
      <c r="D737298" t="n">
        <v>6.942</v>
      </c>
    </row>
    <row r="737299">
      <c r="B737299" t="n">
        <v>2011</v>
      </c>
      <c r="C737299" t="n">
        <v>33.927</v>
      </c>
      <c r="D737299" t="n">
        <v>7.949</v>
      </c>
    </row>
    <row r="737300">
      <c r="B737300" t="n">
        <v>2012</v>
      </c>
      <c r="C737300" t="n">
        <v>36.159</v>
      </c>
      <c r="D737300" t="n">
        <v>6.579</v>
      </c>
    </row>
    <row r="737301">
      <c r="B737301" t="n">
        <v>2013</v>
      </c>
      <c r="C737301" t="n">
        <v>38.015</v>
      </c>
      <c r="D737301" t="n">
        <v>5.134</v>
      </c>
    </row>
    <row r="737302">
      <c r="B737302" t="n">
        <v>2014</v>
      </c>
      <c r="C737302" t="n">
        <v>39.57</v>
      </c>
      <c r="D737302" t="n">
        <v>4.091</v>
      </c>
    </row>
    <row r="737303">
      <c r="B737303" t="n">
        <v>2015</v>
      </c>
      <c r="C737303" t="n">
        <v>40.896</v>
      </c>
      <c r="D737303" t="n">
        <v>3.351</v>
      </c>
    </row>
    <row r="737304">
      <c r="B737304" t="n">
        <v>2016</v>
      </c>
      <c r="C737304" t="n">
        <v>42.307</v>
      </c>
      <c r="D737304" t="n">
        <v>3.45</v>
      </c>
    </row>
    <row r="737305">
      <c r="B737305" t="n">
        <v>2017</v>
      </c>
      <c r="C737305" t="n">
        <v>44.49</v>
      </c>
      <c r="D737305" t="n">
        <v>5.161</v>
      </c>
    </row>
    <row r="737306">
      <c r="B737306" t="n">
        <v>2018</v>
      </c>
      <c r="C737306" t="n">
        <v>47.187</v>
      </c>
      <c r="D737306" t="n">
        <v>6.062</v>
      </c>
    </row>
    <row r="737307">
      <c r="B737307" t="n">
        <v>2019</v>
      </c>
      <c r="C737307" t="n">
        <v>49.726</v>
      </c>
      <c r="D737307" t="n">
        <v>5.38</v>
      </c>
    </row>
    <row r="737308">
      <c r="B737308" t="n">
        <v>2020</v>
      </c>
      <c r="C737308" t="n">
        <v>46.598</v>
      </c>
      <c r="D737308" t="n">
        <v>-6.291</v>
      </c>
    </row>
    <row r="737309">
      <c r="B737309" t="n">
        <v>2021</v>
      </c>
      <c r="C737309" t="n">
        <v>51.558</v>
      </c>
      <c r="D737309" t="n">
        <v>10.644</v>
      </c>
    </row>
    <row r="737310">
      <c r="B737310" t="n">
        <v>2022</v>
      </c>
      <c r="C737310" t="n">
        <v>57.208</v>
      </c>
      <c r="D737310" t="n">
        <v>10.96</v>
      </c>
    </row>
    <row r="737311">
      <c r="B737311" t="n">
        <v>2023</v>
      </c>
      <c r="C737311" t="n">
        <v>61.689</v>
      </c>
      <c r="D737311" t="n">
        <v>7.832</v>
      </c>
    </row>
    <row r="737312">
      <c r="B737312" t="n">
        <v>2024</v>
      </c>
      <c r="C737312" t="n">
        <v>67.505</v>
      </c>
      <c r="D737312" t="n">
        <v>9.429</v>
      </c>
    </row>
    <row r="737313">
      <c r="B737313" t="n">
        <v>2025</v>
      </c>
      <c r="C737313" t="n">
        <v>71.54000000000001</v>
      </c>
      <c r="D737313" t="n">
        <v>5.977</v>
      </c>
    </row>
    <row r="737314">
      <c r="B737314" t="n">
        <v>2026</v>
      </c>
      <c r="C737314" t="n">
        <v>75.117</v>
      </c>
      <c r="D737314" t="n">
        <v>5</v>
      </c>
    </row>
    <row r="737315">
      <c r="B737315" t="n">
        <v>2027</v>
      </c>
      <c r="C737315" t="n">
        <v>78.873</v>
      </c>
      <c r="D737315" t="n">
        <v>5</v>
      </c>
    </row>
    <row r="737316">
      <c r="B737316" t="inlineStr">
        <is>
          <t>Estimates Start After</t>
        </is>
      </c>
      <c r="C737316" t="n">
        <v>2024</v>
      </c>
      <c r="D737316" t="n">
        <v>2024</v>
      </c>
    </row>
    <row r="753665">
      <c r="B753665" t="inlineStr">
        <is>
          <t>WEO Country Code</t>
        </is>
      </c>
      <c r="C753665" t="n">
        <v>915</v>
      </c>
      <c r="D753665" t="n">
        <v>915</v>
      </c>
    </row>
    <row r="753666">
      <c r="B753666" t="inlineStr">
        <is>
          <t>WEO Subject Code</t>
        </is>
      </c>
      <c r="C753666" t="inlineStr">
        <is>
          <t>NGDP_R</t>
        </is>
      </c>
      <c r="D753666" t="inlineStr">
        <is>
          <t>NGDP_RPCH</t>
        </is>
      </c>
    </row>
    <row r="753667">
      <c r="B753667" t="inlineStr">
        <is>
          <t>Country</t>
        </is>
      </c>
      <c r="C753667" t="inlineStr">
        <is>
          <t>Georgia</t>
        </is>
      </c>
      <c r="D753667" t="inlineStr">
        <is>
          <t>Georgia</t>
        </is>
      </c>
    </row>
    <row r="753668">
      <c r="B753668" t="inlineStr">
        <is>
          <t>Subject Descriptor</t>
        </is>
      </c>
      <c r="C753668" t="inlineStr">
        <is>
          <t>Gross domestic product, constant prices</t>
        </is>
      </c>
      <c r="D753668" t="inlineStr">
        <is>
          <t>Gross domestic product, constant prices</t>
        </is>
      </c>
    </row>
    <row r="753669">
      <c r="B753669" t="inlineStr">
        <is>
          <t>Units</t>
        </is>
      </c>
      <c r="C753669" t="inlineStr">
        <is>
          <t>National currency</t>
        </is>
      </c>
      <c r="D753669" t="inlineStr">
        <is>
          <t>Percent change</t>
        </is>
      </c>
    </row>
    <row r="753670">
      <c r="B753670" t="inlineStr">
        <is>
          <t>Scale</t>
        </is>
      </c>
      <c r="C753670" t="inlineStr">
        <is>
          <t>Billions</t>
        </is>
      </c>
      <c r="D753670" t="inlineStr">
        <is>
          <t>Units</t>
        </is>
      </c>
    </row>
    <row r="753671">
      <c r="B753671" t="inlineStr">
        <is>
          <t>Country/Series-specific Notes</t>
        </is>
      </c>
      <c r="C7536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53671" t="inlineStr">
        <is>
          <t>See notes for:  Gross domestic product, constant prices (National currency).</t>
        </is>
      </c>
    </row>
    <row r="753672">
      <c r="B753672" t="n">
        <v>2000</v>
      </c>
      <c r="C753672" t="n">
        <v>16.963</v>
      </c>
      <c r="D753672" t="n">
        <v>1.865</v>
      </c>
    </row>
    <row r="753673">
      <c r="B753673" t="n">
        <v>2001</v>
      </c>
      <c r="C753673" t="n">
        <v>17.772</v>
      </c>
      <c r="D753673" t="n">
        <v>4.769</v>
      </c>
    </row>
    <row r="753674">
      <c r="B753674" t="n">
        <v>2002</v>
      </c>
      <c r="C753674" t="n">
        <v>18.747</v>
      </c>
      <c r="D753674" t="n">
        <v>5.487</v>
      </c>
    </row>
    <row r="753675">
      <c r="B753675" t="n">
        <v>2003</v>
      </c>
      <c r="C753675" t="n">
        <v>20.852</v>
      </c>
      <c r="D753675" t="n">
        <v>11.228</v>
      </c>
    </row>
    <row r="753676">
      <c r="B753676" t="n">
        <v>2004</v>
      </c>
      <c r="C753676" t="n">
        <v>22.061</v>
      </c>
      <c r="D753676" t="n">
        <v>5.796</v>
      </c>
    </row>
    <row r="753677">
      <c r="B753677" t="n">
        <v>2005</v>
      </c>
      <c r="C753677" t="n">
        <v>24.176</v>
      </c>
      <c r="D753677" t="n">
        <v>9.587999999999999</v>
      </c>
    </row>
    <row r="753678">
      <c r="B753678" t="n">
        <v>2006</v>
      </c>
      <c r="C753678" t="n">
        <v>26.454</v>
      </c>
      <c r="D753678" t="n">
        <v>9.42</v>
      </c>
    </row>
    <row r="753679">
      <c r="B753679" t="n">
        <v>2007</v>
      </c>
      <c r="C753679" t="n">
        <v>29.781</v>
      </c>
      <c r="D753679" t="n">
        <v>12.579</v>
      </c>
    </row>
    <row r="753680">
      <c r="B753680" t="n">
        <v>2008</v>
      </c>
      <c r="C753680" t="n">
        <v>30.502</v>
      </c>
      <c r="D753680" t="n">
        <v>2.419</v>
      </c>
    </row>
    <row r="753681">
      <c r="B753681" t="n">
        <v>2009</v>
      </c>
      <c r="C753681" t="n">
        <v>29.388</v>
      </c>
      <c r="D753681" t="n">
        <v>-3.651</v>
      </c>
    </row>
    <row r="753682">
      <c r="B753682" t="n">
        <v>2010</v>
      </c>
      <c r="C753682" t="n">
        <v>31.428</v>
      </c>
      <c r="D753682" t="n">
        <v>6.942</v>
      </c>
    </row>
    <row r="753683">
      <c r="B753683" t="n">
        <v>2011</v>
      </c>
      <c r="C753683" t="n">
        <v>33.927</v>
      </c>
      <c r="D753683" t="n">
        <v>7.949</v>
      </c>
    </row>
    <row r="753684">
      <c r="B753684" t="n">
        <v>2012</v>
      </c>
      <c r="C753684" t="n">
        <v>36.159</v>
      </c>
      <c r="D753684" t="n">
        <v>6.579</v>
      </c>
    </row>
    <row r="753685">
      <c r="B753685" t="n">
        <v>2013</v>
      </c>
      <c r="C753685" t="n">
        <v>38.015</v>
      </c>
      <c r="D753685" t="n">
        <v>5.134</v>
      </c>
    </row>
    <row r="753686">
      <c r="B753686" t="n">
        <v>2014</v>
      </c>
      <c r="C753686" t="n">
        <v>39.57</v>
      </c>
      <c r="D753686" t="n">
        <v>4.091</v>
      </c>
    </row>
    <row r="753687">
      <c r="B753687" t="n">
        <v>2015</v>
      </c>
      <c r="C753687" t="n">
        <v>40.896</v>
      </c>
      <c r="D753687" t="n">
        <v>3.351</v>
      </c>
    </row>
    <row r="753688">
      <c r="B753688" t="n">
        <v>2016</v>
      </c>
      <c r="C753688" t="n">
        <v>42.307</v>
      </c>
      <c r="D753688" t="n">
        <v>3.45</v>
      </c>
    </row>
    <row r="753689">
      <c r="B753689" t="n">
        <v>2017</v>
      </c>
      <c r="C753689" t="n">
        <v>44.49</v>
      </c>
      <c r="D753689" t="n">
        <v>5.161</v>
      </c>
    </row>
    <row r="753690">
      <c r="B753690" t="n">
        <v>2018</v>
      </c>
      <c r="C753690" t="n">
        <v>47.187</v>
      </c>
      <c r="D753690" t="n">
        <v>6.062</v>
      </c>
    </row>
    <row r="753691">
      <c r="B753691" t="n">
        <v>2019</v>
      </c>
      <c r="C753691" t="n">
        <v>49.726</v>
      </c>
      <c r="D753691" t="n">
        <v>5.38</v>
      </c>
    </row>
    <row r="753692">
      <c r="B753692" t="n">
        <v>2020</v>
      </c>
      <c r="C753692" t="n">
        <v>46.598</v>
      </c>
      <c r="D753692" t="n">
        <v>-6.291</v>
      </c>
    </row>
    <row r="753693">
      <c r="B753693" t="n">
        <v>2021</v>
      </c>
      <c r="C753693" t="n">
        <v>51.558</v>
      </c>
      <c r="D753693" t="n">
        <v>10.644</v>
      </c>
    </row>
    <row r="753694">
      <c r="B753694" t="n">
        <v>2022</v>
      </c>
      <c r="C753694" t="n">
        <v>57.208</v>
      </c>
      <c r="D753694" t="n">
        <v>10.96</v>
      </c>
    </row>
    <row r="753695">
      <c r="B753695" t="n">
        <v>2023</v>
      </c>
      <c r="C753695" t="n">
        <v>61.689</v>
      </c>
      <c r="D753695" t="n">
        <v>7.832</v>
      </c>
    </row>
    <row r="753696">
      <c r="B753696" t="n">
        <v>2024</v>
      </c>
      <c r="C753696" t="n">
        <v>67.505</v>
      </c>
      <c r="D753696" t="n">
        <v>9.429</v>
      </c>
    </row>
    <row r="753697">
      <c r="B753697" t="n">
        <v>2025</v>
      </c>
      <c r="C753697" t="n">
        <v>71.54000000000001</v>
      </c>
      <c r="D753697" t="n">
        <v>5.977</v>
      </c>
    </row>
    <row r="753698">
      <c r="B753698" t="n">
        <v>2026</v>
      </c>
      <c r="C753698" t="n">
        <v>75.117</v>
      </c>
      <c r="D753698" t="n">
        <v>5</v>
      </c>
    </row>
    <row r="753699">
      <c r="B753699" t="n">
        <v>2027</v>
      </c>
      <c r="C753699" t="n">
        <v>78.873</v>
      </c>
      <c r="D753699" t="n">
        <v>5</v>
      </c>
    </row>
    <row r="753700">
      <c r="B753700" t="inlineStr">
        <is>
          <t>Estimates Start After</t>
        </is>
      </c>
      <c r="C753700" t="n">
        <v>2024</v>
      </c>
      <c r="D753700" t="n">
        <v>2024</v>
      </c>
    </row>
    <row r="770049">
      <c r="B770049" t="inlineStr">
        <is>
          <t>WEO Country Code</t>
        </is>
      </c>
      <c r="C770049" t="n">
        <v>915</v>
      </c>
      <c r="D770049" t="n">
        <v>915</v>
      </c>
    </row>
    <row r="770050">
      <c r="B770050" t="inlineStr">
        <is>
          <t>WEO Subject Code</t>
        </is>
      </c>
      <c r="C770050" t="inlineStr">
        <is>
          <t>NGDP_R</t>
        </is>
      </c>
      <c r="D770050" t="inlineStr">
        <is>
          <t>NGDP_RPCH</t>
        </is>
      </c>
    </row>
    <row r="770051">
      <c r="B770051" t="inlineStr">
        <is>
          <t>Country</t>
        </is>
      </c>
      <c r="C770051" t="inlineStr">
        <is>
          <t>Georgia</t>
        </is>
      </c>
      <c r="D770051" t="inlineStr">
        <is>
          <t>Georgia</t>
        </is>
      </c>
    </row>
    <row r="770052">
      <c r="B770052" t="inlineStr">
        <is>
          <t>Subject Descriptor</t>
        </is>
      </c>
      <c r="C770052" t="inlineStr">
        <is>
          <t>Gross domestic product, constant prices</t>
        </is>
      </c>
      <c r="D770052" t="inlineStr">
        <is>
          <t>Gross domestic product, constant prices</t>
        </is>
      </c>
    </row>
    <row r="770053">
      <c r="B770053" t="inlineStr">
        <is>
          <t>Units</t>
        </is>
      </c>
      <c r="C770053" t="inlineStr">
        <is>
          <t>National currency</t>
        </is>
      </c>
      <c r="D770053" t="inlineStr">
        <is>
          <t>Percent change</t>
        </is>
      </c>
    </row>
    <row r="770054">
      <c r="B770054" t="inlineStr">
        <is>
          <t>Scale</t>
        </is>
      </c>
      <c r="C770054" t="inlineStr">
        <is>
          <t>Billions</t>
        </is>
      </c>
      <c r="D770054" t="inlineStr">
        <is>
          <t>Units</t>
        </is>
      </c>
    </row>
    <row r="770055">
      <c r="B770055" t="inlineStr">
        <is>
          <t>Country/Series-specific Notes</t>
        </is>
      </c>
      <c r="C7700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70055" t="inlineStr">
        <is>
          <t>See notes for:  Gross domestic product, constant prices (National currency).</t>
        </is>
      </c>
    </row>
    <row r="770056">
      <c r="B770056" t="n">
        <v>2000</v>
      </c>
      <c r="C770056" t="n">
        <v>16.963</v>
      </c>
      <c r="D770056" t="n">
        <v>1.865</v>
      </c>
    </row>
    <row r="770057">
      <c r="B770057" t="n">
        <v>2001</v>
      </c>
      <c r="C770057" t="n">
        <v>17.772</v>
      </c>
      <c r="D770057" t="n">
        <v>4.769</v>
      </c>
    </row>
    <row r="770058">
      <c r="B770058" t="n">
        <v>2002</v>
      </c>
      <c r="C770058" t="n">
        <v>18.747</v>
      </c>
      <c r="D770058" t="n">
        <v>5.487</v>
      </c>
    </row>
    <row r="770059">
      <c r="B770059" t="n">
        <v>2003</v>
      </c>
      <c r="C770059" t="n">
        <v>20.852</v>
      </c>
      <c r="D770059" t="n">
        <v>11.228</v>
      </c>
    </row>
    <row r="770060">
      <c r="B770060" t="n">
        <v>2004</v>
      </c>
      <c r="C770060" t="n">
        <v>22.061</v>
      </c>
      <c r="D770060" t="n">
        <v>5.796</v>
      </c>
    </row>
    <row r="770061">
      <c r="B770061" t="n">
        <v>2005</v>
      </c>
      <c r="C770061" t="n">
        <v>24.176</v>
      </c>
      <c r="D770061" t="n">
        <v>9.587999999999999</v>
      </c>
    </row>
    <row r="770062">
      <c r="B770062" t="n">
        <v>2006</v>
      </c>
      <c r="C770062" t="n">
        <v>26.454</v>
      </c>
      <c r="D770062" t="n">
        <v>9.42</v>
      </c>
    </row>
    <row r="770063">
      <c r="B770063" t="n">
        <v>2007</v>
      </c>
      <c r="C770063" t="n">
        <v>29.781</v>
      </c>
      <c r="D770063" t="n">
        <v>12.579</v>
      </c>
    </row>
    <row r="770064">
      <c r="B770064" t="n">
        <v>2008</v>
      </c>
      <c r="C770064" t="n">
        <v>30.502</v>
      </c>
      <c r="D770064" t="n">
        <v>2.419</v>
      </c>
    </row>
    <row r="770065">
      <c r="B770065" t="n">
        <v>2009</v>
      </c>
      <c r="C770065" t="n">
        <v>29.388</v>
      </c>
      <c r="D770065" t="n">
        <v>-3.651</v>
      </c>
    </row>
    <row r="770066">
      <c r="B770066" t="n">
        <v>2010</v>
      </c>
      <c r="C770066" t="n">
        <v>31.428</v>
      </c>
      <c r="D770066" t="n">
        <v>6.942</v>
      </c>
    </row>
    <row r="770067">
      <c r="B770067" t="n">
        <v>2011</v>
      </c>
      <c r="C770067" t="n">
        <v>33.927</v>
      </c>
      <c r="D770067" t="n">
        <v>7.949</v>
      </c>
    </row>
    <row r="770068">
      <c r="B770068" t="n">
        <v>2012</v>
      </c>
      <c r="C770068" t="n">
        <v>36.159</v>
      </c>
      <c r="D770068" t="n">
        <v>6.579</v>
      </c>
    </row>
    <row r="770069">
      <c r="B770069" t="n">
        <v>2013</v>
      </c>
      <c r="C770069" t="n">
        <v>38.015</v>
      </c>
      <c r="D770069" t="n">
        <v>5.134</v>
      </c>
    </row>
    <row r="770070">
      <c r="B770070" t="n">
        <v>2014</v>
      </c>
      <c r="C770070" t="n">
        <v>39.57</v>
      </c>
      <c r="D770070" t="n">
        <v>4.091</v>
      </c>
    </row>
    <row r="770071">
      <c r="B770071" t="n">
        <v>2015</v>
      </c>
      <c r="C770071" t="n">
        <v>40.896</v>
      </c>
      <c r="D770071" t="n">
        <v>3.351</v>
      </c>
    </row>
    <row r="770072">
      <c r="B770072" t="n">
        <v>2016</v>
      </c>
      <c r="C770072" t="n">
        <v>42.307</v>
      </c>
      <c r="D770072" t="n">
        <v>3.45</v>
      </c>
    </row>
    <row r="770073">
      <c r="B770073" t="n">
        <v>2017</v>
      </c>
      <c r="C770073" t="n">
        <v>44.49</v>
      </c>
      <c r="D770073" t="n">
        <v>5.161</v>
      </c>
    </row>
    <row r="770074">
      <c r="B770074" t="n">
        <v>2018</v>
      </c>
      <c r="C770074" t="n">
        <v>47.187</v>
      </c>
      <c r="D770074" t="n">
        <v>6.062</v>
      </c>
    </row>
    <row r="770075">
      <c r="B770075" t="n">
        <v>2019</v>
      </c>
      <c r="C770075" t="n">
        <v>49.726</v>
      </c>
      <c r="D770075" t="n">
        <v>5.38</v>
      </c>
    </row>
    <row r="770076">
      <c r="B770076" t="n">
        <v>2020</v>
      </c>
      <c r="C770076" t="n">
        <v>46.598</v>
      </c>
      <c r="D770076" t="n">
        <v>-6.291</v>
      </c>
    </row>
    <row r="770077">
      <c r="B770077" t="n">
        <v>2021</v>
      </c>
      <c r="C770077" t="n">
        <v>51.558</v>
      </c>
      <c r="D770077" t="n">
        <v>10.644</v>
      </c>
    </row>
    <row r="770078">
      <c r="B770078" t="n">
        <v>2022</v>
      </c>
      <c r="C770078" t="n">
        <v>57.208</v>
      </c>
      <c r="D770078" t="n">
        <v>10.96</v>
      </c>
    </row>
    <row r="770079">
      <c r="B770079" t="n">
        <v>2023</v>
      </c>
      <c r="C770079" t="n">
        <v>61.689</v>
      </c>
      <c r="D770079" t="n">
        <v>7.832</v>
      </c>
    </row>
    <row r="770080">
      <c r="B770080" t="n">
        <v>2024</v>
      </c>
      <c r="C770080" t="n">
        <v>67.505</v>
      </c>
      <c r="D770080" t="n">
        <v>9.429</v>
      </c>
    </row>
    <row r="770081">
      <c r="B770081" t="n">
        <v>2025</v>
      </c>
      <c r="C770081" t="n">
        <v>71.54000000000001</v>
      </c>
      <c r="D770081" t="n">
        <v>5.977</v>
      </c>
    </row>
    <row r="770082">
      <c r="B770082" t="n">
        <v>2026</v>
      </c>
      <c r="C770082" t="n">
        <v>75.117</v>
      </c>
      <c r="D770082" t="n">
        <v>5</v>
      </c>
    </row>
    <row r="770083">
      <c r="B770083" t="n">
        <v>2027</v>
      </c>
      <c r="C770083" t="n">
        <v>78.873</v>
      </c>
      <c r="D770083" t="n">
        <v>5</v>
      </c>
    </row>
    <row r="770084">
      <c r="B770084" t="inlineStr">
        <is>
          <t>Estimates Start After</t>
        </is>
      </c>
      <c r="C770084" t="n">
        <v>2024</v>
      </c>
      <c r="D770084" t="n">
        <v>2024</v>
      </c>
    </row>
    <row r="786433">
      <c r="B786433" t="inlineStr">
        <is>
          <t>WEO Country Code</t>
        </is>
      </c>
      <c r="C786433" t="n">
        <v>915</v>
      </c>
      <c r="D786433" t="n">
        <v>915</v>
      </c>
    </row>
    <row r="786434">
      <c r="B786434" t="inlineStr">
        <is>
          <t>WEO Subject Code</t>
        </is>
      </c>
      <c r="C786434" t="inlineStr">
        <is>
          <t>NGDP_R</t>
        </is>
      </c>
      <c r="D786434" t="inlineStr">
        <is>
          <t>NGDP_RPCH</t>
        </is>
      </c>
    </row>
    <row r="786435">
      <c r="B786435" t="inlineStr">
        <is>
          <t>Country</t>
        </is>
      </c>
      <c r="C786435" t="inlineStr">
        <is>
          <t>Georgia</t>
        </is>
      </c>
      <c r="D786435" t="inlineStr">
        <is>
          <t>Georgia</t>
        </is>
      </c>
    </row>
    <row r="786436">
      <c r="B786436" t="inlineStr">
        <is>
          <t>Subject Descriptor</t>
        </is>
      </c>
      <c r="C786436" t="inlineStr">
        <is>
          <t>Gross domestic product, constant prices</t>
        </is>
      </c>
      <c r="D786436" t="inlineStr">
        <is>
          <t>Gross domestic product, constant prices</t>
        </is>
      </c>
    </row>
    <row r="786437">
      <c r="B786437" t="inlineStr">
        <is>
          <t>Units</t>
        </is>
      </c>
      <c r="C786437" t="inlineStr">
        <is>
          <t>National currency</t>
        </is>
      </c>
      <c r="D786437" t="inlineStr">
        <is>
          <t>Percent change</t>
        </is>
      </c>
    </row>
    <row r="786438">
      <c r="B786438" t="inlineStr">
        <is>
          <t>Scale</t>
        </is>
      </c>
      <c r="C786438" t="inlineStr">
        <is>
          <t>Billions</t>
        </is>
      </c>
      <c r="D786438" t="inlineStr">
        <is>
          <t>Units</t>
        </is>
      </c>
    </row>
    <row r="786439">
      <c r="B786439" t="inlineStr">
        <is>
          <t>Country/Series-specific Notes</t>
        </is>
      </c>
      <c r="C7864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86439" t="inlineStr">
        <is>
          <t>See notes for:  Gross domestic product, constant prices (National currency).</t>
        </is>
      </c>
    </row>
    <row r="786440">
      <c r="B786440" t="n">
        <v>2000</v>
      </c>
      <c r="C786440" t="n">
        <v>16.963</v>
      </c>
      <c r="D786440" t="n">
        <v>1.865</v>
      </c>
    </row>
    <row r="786441">
      <c r="B786441" t="n">
        <v>2001</v>
      </c>
      <c r="C786441" t="n">
        <v>17.772</v>
      </c>
      <c r="D786441" t="n">
        <v>4.769</v>
      </c>
    </row>
    <row r="786442">
      <c r="B786442" t="n">
        <v>2002</v>
      </c>
      <c r="C786442" t="n">
        <v>18.747</v>
      </c>
      <c r="D786442" t="n">
        <v>5.487</v>
      </c>
    </row>
    <row r="786443">
      <c r="B786443" t="n">
        <v>2003</v>
      </c>
      <c r="C786443" t="n">
        <v>20.852</v>
      </c>
      <c r="D786443" t="n">
        <v>11.228</v>
      </c>
    </row>
    <row r="786444">
      <c r="B786444" t="n">
        <v>2004</v>
      </c>
      <c r="C786444" t="n">
        <v>22.061</v>
      </c>
      <c r="D786444" t="n">
        <v>5.796</v>
      </c>
    </row>
    <row r="786445">
      <c r="B786445" t="n">
        <v>2005</v>
      </c>
      <c r="C786445" t="n">
        <v>24.176</v>
      </c>
      <c r="D786445" t="n">
        <v>9.587999999999999</v>
      </c>
    </row>
    <row r="786446">
      <c r="B786446" t="n">
        <v>2006</v>
      </c>
      <c r="C786446" t="n">
        <v>26.454</v>
      </c>
      <c r="D786446" t="n">
        <v>9.42</v>
      </c>
    </row>
    <row r="786447">
      <c r="B786447" t="n">
        <v>2007</v>
      </c>
      <c r="C786447" t="n">
        <v>29.781</v>
      </c>
      <c r="D786447" t="n">
        <v>12.579</v>
      </c>
    </row>
    <row r="786448">
      <c r="B786448" t="n">
        <v>2008</v>
      </c>
      <c r="C786448" t="n">
        <v>30.502</v>
      </c>
      <c r="D786448" t="n">
        <v>2.419</v>
      </c>
    </row>
    <row r="786449">
      <c r="B786449" t="n">
        <v>2009</v>
      </c>
      <c r="C786449" t="n">
        <v>29.388</v>
      </c>
      <c r="D786449" t="n">
        <v>-3.651</v>
      </c>
    </row>
    <row r="786450">
      <c r="B786450" t="n">
        <v>2010</v>
      </c>
      <c r="C786450" t="n">
        <v>31.428</v>
      </c>
      <c r="D786450" t="n">
        <v>6.942</v>
      </c>
    </row>
    <row r="786451">
      <c r="B786451" t="n">
        <v>2011</v>
      </c>
      <c r="C786451" t="n">
        <v>33.927</v>
      </c>
      <c r="D786451" t="n">
        <v>7.949</v>
      </c>
    </row>
    <row r="786452">
      <c r="B786452" t="n">
        <v>2012</v>
      </c>
      <c r="C786452" t="n">
        <v>36.159</v>
      </c>
      <c r="D786452" t="n">
        <v>6.579</v>
      </c>
    </row>
    <row r="786453">
      <c r="B786453" t="n">
        <v>2013</v>
      </c>
      <c r="C786453" t="n">
        <v>38.015</v>
      </c>
      <c r="D786453" t="n">
        <v>5.134</v>
      </c>
    </row>
    <row r="786454">
      <c r="B786454" t="n">
        <v>2014</v>
      </c>
      <c r="C786454" t="n">
        <v>39.57</v>
      </c>
      <c r="D786454" t="n">
        <v>4.091</v>
      </c>
    </row>
    <row r="786455">
      <c r="B786455" t="n">
        <v>2015</v>
      </c>
      <c r="C786455" t="n">
        <v>40.896</v>
      </c>
      <c r="D786455" t="n">
        <v>3.351</v>
      </c>
    </row>
    <row r="786456">
      <c r="B786456" t="n">
        <v>2016</v>
      </c>
      <c r="C786456" t="n">
        <v>42.307</v>
      </c>
      <c r="D786456" t="n">
        <v>3.45</v>
      </c>
    </row>
    <row r="786457">
      <c r="B786457" t="n">
        <v>2017</v>
      </c>
      <c r="C786457" t="n">
        <v>44.49</v>
      </c>
      <c r="D786457" t="n">
        <v>5.161</v>
      </c>
    </row>
    <row r="786458">
      <c r="B786458" t="n">
        <v>2018</v>
      </c>
      <c r="C786458" t="n">
        <v>47.187</v>
      </c>
      <c r="D786458" t="n">
        <v>6.062</v>
      </c>
    </row>
    <row r="786459">
      <c r="B786459" t="n">
        <v>2019</v>
      </c>
      <c r="C786459" t="n">
        <v>49.726</v>
      </c>
      <c r="D786459" t="n">
        <v>5.38</v>
      </c>
    </row>
    <row r="786460">
      <c r="B786460" t="n">
        <v>2020</v>
      </c>
      <c r="C786460" t="n">
        <v>46.598</v>
      </c>
      <c r="D786460" t="n">
        <v>-6.291</v>
      </c>
    </row>
    <row r="786461">
      <c r="B786461" t="n">
        <v>2021</v>
      </c>
      <c r="C786461" t="n">
        <v>51.558</v>
      </c>
      <c r="D786461" t="n">
        <v>10.644</v>
      </c>
    </row>
    <row r="786462">
      <c r="B786462" t="n">
        <v>2022</v>
      </c>
      <c r="C786462" t="n">
        <v>57.208</v>
      </c>
      <c r="D786462" t="n">
        <v>10.96</v>
      </c>
    </row>
    <row r="786463">
      <c r="B786463" t="n">
        <v>2023</v>
      </c>
      <c r="C786463" t="n">
        <v>61.689</v>
      </c>
      <c r="D786463" t="n">
        <v>7.832</v>
      </c>
    </row>
    <row r="786464">
      <c r="B786464" t="n">
        <v>2024</v>
      </c>
      <c r="C786464" t="n">
        <v>67.505</v>
      </c>
      <c r="D786464" t="n">
        <v>9.429</v>
      </c>
    </row>
    <row r="786465">
      <c r="B786465" t="n">
        <v>2025</v>
      </c>
      <c r="C786465" t="n">
        <v>71.54000000000001</v>
      </c>
      <c r="D786465" t="n">
        <v>5.977</v>
      </c>
    </row>
    <row r="786466">
      <c r="B786466" t="n">
        <v>2026</v>
      </c>
      <c r="C786466" t="n">
        <v>75.117</v>
      </c>
      <c r="D786466" t="n">
        <v>5</v>
      </c>
    </row>
    <row r="786467">
      <c r="B786467" t="n">
        <v>2027</v>
      </c>
      <c r="C786467" t="n">
        <v>78.873</v>
      </c>
      <c r="D786467" t="n">
        <v>5</v>
      </c>
    </row>
    <row r="786468">
      <c r="B786468" t="inlineStr">
        <is>
          <t>Estimates Start After</t>
        </is>
      </c>
      <c r="C786468" t="n">
        <v>2024</v>
      </c>
      <c r="D786468" t="n">
        <v>2024</v>
      </c>
    </row>
    <row r="802817">
      <c r="B802817" t="inlineStr">
        <is>
          <t>WEO Country Code</t>
        </is>
      </c>
      <c r="C802817" t="n">
        <v>915</v>
      </c>
      <c r="D802817" t="n">
        <v>915</v>
      </c>
    </row>
    <row r="802818">
      <c r="B802818" t="inlineStr">
        <is>
          <t>WEO Subject Code</t>
        </is>
      </c>
      <c r="C802818" t="inlineStr">
        <is>
          <t>NGDP_R</t>
        </is>
      </c>
      <c r="D802818" t="inlineStr">
        <is>
          <t>NGDP_RPCH</t>
        </is>
      </c>
    </row>
    <row r="802819">
      <c r="B802819" t="inlineStr">
        <is>
          <t>Country</t>
        </is>
      </c>
      <c r="C802819" t="inlineStr">
        <is>
          <t>Georgia</t>
        </is>
      </c>
      <c r="D802819" t="inlineStr">
        <is>
          <t>Georgia</t>
        </is>
      </c>
    </row>
    <row r="802820">
      <c r="B802820" t="inlineStr">
        <is>
          <t>Subject Descriptor</t>
        </is>
      </c>
      <c r="C802820" t="inlineStr">
        <is>
          <t>Gross domestic product, constant prices</t>
        </is>
      </c>
      <c r="D802820" t="inlineStr">
        <is>
          <t>Gross domestic product, constant prices</t>
        </is>
      </c>
    </row>
    <row r="802821">
      <c r="B802821" t="inlineStr">
        <is>
          <t>Units</t>
        </is>
      </c>
      <c r="C802821" t="inlineStr">
        <is>
          <t>National currency</t>
        </is>
      </c>
      <c r="D802821" t="inlineStr">
        <is>
          <t>Percent change</t>
        </is>
      </c>
    </row>
    <row r="802822">
      <c r="B802822" t="inlineStr">
        <is>
          <t>Scale</t>
        </is>
      </c>
      <c r="C802822" t="inlineStr">
        <is>
          <t>Billions</t>
        </is>
      </c>
      <c r="D802822" t="inlineStr">
        <is>
          <t>Units</t>
        </is>
      </c>
    </row>
    <row r="802823">
      <c r="B802823" t="inlineStr">
        <is>
          <t>Country/Series-specific Notes</t>
        </is>
      </c>
      <c r="C8028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02823" t="inlineStr">
        <is>
          <t>See notes for:  Gross domestic product, constant prices (National currency).</t>
        </is>
      </c>
    </row>
    <row r="802824">
      <c r="B802824" t="n">
        <v>2000</v>
      </c>
      <c r="C802824" t="n">
        <v>16.963</v>
      </c>
      <c r="D802824" t="n">
        <v>1.865</v>
      </c>
    </row>
    <row r="802825">
      <c r="B802825" t="n">
        <v>2001</v>
      </c>
      <c r="C802825" t="n">
        <v>17.772</v>
      </c>
      <c r="D802825" t="n">
        <v>4.769</v>
      </c>
    </row>
    <row r="802826">
      <c r="B802826" t="n">
        <v>2002</v>
      </c>
      <c r="C802826" t="n">
        <v>18.747</v>
      </c>
      <c r="D802826" t="n">
        <v>5.487</v>
      </c>
    </row>
    <row r="802827">
      <c r="B802827" t="n">
        <v>2003</v>
      </c>
      <c r="C802827" t="n">
        <v>20.852</v>
      </c>
      <c r="D802827" t="n">
        <v>11.228</v>
      </c>
    </row>
    <row r="802828">
      <c r="B802828" t="n">
        <v>2004</v>
      </c>
      <c r="C802828" t="n">
        <v>22.061</v>
      </c>
      <c r="D802828" t="n">
        <v>5.796</v>
      </c>
    </row>
    <row r="802829">
      <c r="B802829" t="n">
        <v>2005</v>
      </c>
      <c r="C802829" t="n">
        <v>24.176</v>
      </c>
      <c r="D802829" t="n">
        <v>9.587999999999999</v>
      </c>
    </row>
    <row r="802830">
      <c r="B802830" t="n">
        <v>2006</v>
      </c>
      <c r="C802830" t="n">
        <v>26.454</v>
      </c>
      <c r="D802830" t="n">
        <v>9.42</v>
      </c>
    </row>
    <row r="802831">
      <c r="B802831" t="n">
        <v>2007</v>
      </c>
      <c r="C802831" t="n">
        <v>29.781</v>
      </c>
      <c r="D802831" t="n">
        <v>12.579</v>
      </c>
    </row>
    <row r="802832">
      <c r="B802832" t="n">
        <v>2008</v>
      </c>
      <c r="C802832" t="n">
        <v>30.502</v>
      </c>
      <c r="D802832" t="n">
        <v>2.419</v>
      </c>
    </row>
    <row r="802833">
      <c r="B802833" t="n">
        <v>2009</v>
      </c>
      <c r="C802833" t="n">
        <v>29.388</v>
      </c>
      <c r="D802833" t="n">
        <v>-3.651</v>
      </c>
    </row>
    <row r="802834">
      <c r="B802834" t="n">
        <v>2010</v>
      </c>
      <c r="C802834" t="n">
        <v>31.428</v>
      </c>
      <c r="D802834" t="n">
        <v>6.942</v>
      </c>
    </row>
    <row r="802835">
      <c r="B802835" t="n">
        <v>2011</v>
      </c>
      <c r="C802835" t="n">
        <v>33.927</v>
      </c>
      <c r="D802835" t="n">
        <v>7.949</v>
      </c>
    </row>
    <row r="802836">
      <c r="B802836" t="n">
        <v>2012</v>
      </c>
      <c r="C802836" t="n">
        <v>36.159</v>
      </c>
      <c r="D802836" t="n">
        <v>6.579</v>
      </c>
    </row>
    <row r="802837">
      <c r="B802837" t="n">
        <v>2013</v>
      </c>
      <c r="C802837" t="n">
        <v>38.015</v>
      </c>
      <c r="D802837" t="n">
        <v>5.134</v>
      </c>
    </row>
    <row r="802838">
      <c r="B802838" t="n">
        <v>2014</v>
      </c>
      <c r="C802838" t="n">
        <v>39.57</v>
      </c>
      <c r="D802838" t="n">
        <v>4.091</v>
      </c>
    </row>
    <row r="802839">
      <c r="B802839" t="n">
        <v>2015</v>
      </c>
      <c r="C802839" t="n">
        <v>40.896</v>
      </c>
      <c r="D802839" t="n">
        <v>3.351</v>
      </c>
    </row>
    <row r="802840">
      <c r="B802840" t="n">
        <v>2016</v>
      </c>
      <c r="C802840" t="n">
        <v>42.307</v>
      </c>
      <c r="D802840" t="n">
        <v>3.45</v>
      </c>
    </row>
    <row r="802841">
      <c r="B802841" t="n">
        <v>2017</v>
      </c>
      <c r="C802841" t="n">
        <v>44.49</v>
      </c>
      <c r="D802841" t="n">
        <v>5.161</v>
      </c>
    </row>
    <row r="802842">
      <c r="B802842" t="n">
        <v>2018</v>
      </c>
      <c r="C802842" t="n">
        <v>47.187</v>
      </c>
      <c r="D802842" t="n">
        <v>6.062</v>
      </c>
    </row>
    <row r="802843">
      <c r="B802843" t="n">
        <v>2019</v>
      </c>
      <c r="C802843" t="n">
        <v>49.726</v>
      </c>
      <c r="D802843" t="n">
        <v>5.38</v>
      </c>
    </row>
    <row r="802844">
      <c r="B802844" t="n">
        <v>2020</v>
      </c>
      <c r="C802844" t="n">
        <v>46.598</v>
      </c>
      <c r="D802844" t="n">
        <v>-6.291</v>
      </c>
    </row>
    <row r="802845">
      <c r="B802845" t="n">
        <v>2021</v>
      </c>
      <c r="C802845" t="n">
        <v>51.558</v>
      </c>
      <c r="D802845" t="n">
        <v>10.644</v>
      </c>
    </row>
    <row r="802846">
      <c r="B802846" t="n">
        <v>2022</v>
      </c>
      <c r="C802846" t="n">
        <v>57.208</v>
      </c>
      <c r="D802846" t="n">
        <v>10.96</v>
      </c>
    </row>
    <row r="802847">
      <c r="B802847" t="n">
        <v>2023</v>
      </c>
      <c r="C802847" t="n">
        <v>61.689</v>
      </c>
      <c r="D802847" t="n">
        <v>7.832</v>
      </c>
    </row>
    <row r="802848">
      <c r="B802848" t="n">
        <v>2024</v>
      </c>
      <c r="C802848" t="n">
        <v>67.505</v>
      </c>
      <c r="D802848" t="n">
        <v>9.429</v>
      </c>
    </row>
    <row r="802849">
      <c r="B802849" t="n">
        <v>2025</v>
      </c>
      <c r="C802849" t="n">
        <v>71.54000000000001</v>
      </c>
      <c r="D802849" t="n">
        <v>5.977</v>
      </c>
    </row>
    <row r="802850">
      <c r="B802850" t="n">
        <v>2026</v>
      </c>
      <c r="C802850" t="n">
        <v>75.117</v>
      </c>
      <c r="D802850" t="n">
        <v>5</v>
      </c>
    </row>
    <row r="802851">
      <c r="B802851" t="n">
        <v>2027</v>
      </c>
      <c r="C802851" t="n">
        <v>78.873</v>
      </c>
      <c r="D802851" t="n">
        <v>5</v>
      </c>
    </row>
    <row r="802852">
      <c r="B802852" t="inlineStr">
        <is>
          <t>Estimates Start After</t>
        </is>
      </c>
      <c r="C802852" t="n">
        <v>2024</v>
      </c>
      <c r="D802852" t="n">
        <v>2024</v>
      </c>
    </row>
    <row r="819201">
      <c r="B819201" t="inlineStr">
        <is>
          <t>WEO Country Code</t>
        </is>
      </c>
      <c r="C819201" t="n">
        <v>915</v>
      </c>
      <c r="D819201" t="n">
        <v>915</v>
      </c>
    </row>
    <row r="819202">
      <c r="B819202" t="inlineStr">
        <is>
          <t>WEO Subject Code</t>
        </is>
      </c>
      <c r="C819202" t="inlineStr">
        <is>
          <t>NGDP_R</t>
        </is>
      </c>
      <c r="D819202" t="inlineStr">
        <is>
          <t>NGDP_RPCH</t>
        </is>
      </c>
    </row>
    <row r="819203">
      <c r="B819203" t="inlineStr">
        <is>
          <t>Country</t>
        </is>
      </c>
      <c r="C819203" t="inlineStr">
        <is>
          <t>Georgia</t>
        </is>
      </c>
      <c r="D819203" t="inlineStr">
        <is>
          <t>Georgia</t>
        </is>
      </c>
    </row>
    <row r="819204">
      <c r="B819204" t="inlineStr">
        <is>
          <t>Subject Descriptor</t>
        </is>
      </c>
      <c r="C819204" t="inlineStr">
        <is>
          <t>Gross domestic product, constant prices</t>
        </is>
      </c>
      <c r="D819204" t="inlineStr">
        <is>
          <t>Gross domestic product, constant prices</t>
        </is>
      </c>
    </row>
    <row r="819205">
      <c r="B819205" t="inlineStr">
        <is>
          <t>Units</t>
        </is>
      </c>
      <c r="C819205" t="inlineStr">
        <is>
          <t>National currency</t>
        </is>
      </c>
      <c r="D819205" t="inlineStr">
        <is>
          <t>Percent change</t>
        </is>
      </c>
    </row>
    <row r="819206">
      <c r="B819206" t="inlineStr">
        <is>
          <t>Scale</t>
        </is>
      </c>
      <c r="C819206" t="inlineStr">
        <is>
          <t>Billions</t>
        </is>
      </c>
      <c r="D819206" t="inlineStr">
        <is>
          <t>Units</t>
        </is>
      </c>
    </row>
    <row r="819207">
      <c r="B819207" t="inlineStr">
        <is>
          <t>Country/Series-specific Notes</t>
        </is>
      </c>
      <c r="C8192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07" t="inlineStr">
        <is>
          <t>See notes for:  Gross domestic product, constant prices (National currency).</t>
        </is>
      </c>
    </row>
    <row r="819208">
      <c r="B819208" t="n">
        <v>2000</v>
      </c>
      <c r="C819208" t="n">
        <v>16.963</v>
      </c>
      <c r="D819208" t="n">
        <v>1.865</v>
      </c>
    </row>
    <row r="819209">
      <c r="B819209" t="n">
        <v>2001</v>
      </c>
      <c r="C819209" t="n">
        <v>17.772</v>
      </c>
      <c r="D819209" t="n">
        <v>4.769</v>
      </c>
    </row>
    <row r="819210">
      <c r="B819210" t="n">
        <v>2002</v>
      </c>
      <c r="C819210" t="n">
        <v>18.747</v>
      </c>
      <c r="D819210" t="n">
        <v>5.487</v>
      </c>
    </row>
    <row r="819211">
      <c r="B819211" t="n">
        <v>2003</v>
      </c>
      <c r="C819211" t="n">
        <v>20.852</v>
      </c>
      <c r="D819211" t="n">
        <v>11.228</v>
      </c>
    </row>
    <row r="819212">
      <c r="B819212" t="n">
        <v>2004</v>
      </c>
      <c r="C819212" t="n">
        <v>22.061</v>
      </c>
      <c r="D819212" t="n">
        <v>5.796</v>
      </c>
    </row>
    <row r="819213">
      <c r="B819213" t="n">
        <v>2005</v>
      </c>
      <c r="C819213" t="n">
        <v>24.176</v>
      </c>
      <c r="D819213" t="n">
        <v>9.587999999999999</v>
      </c>
    </row>
    <row r="819214">
      <c r="B819214" t="n">
        <v>2006</v>
      </c>
      <c r="C819214" t="n">
        <v>26.454</v>
      </c>
      <c r="D819214" t="n">
        <v>9.42</v>
      </c>
    </row>
    <row r="819215">
      <c r="B819215" t="n">
        <v>2007</v>
      </c>
      <c r="C819215" t="n">
        <v>29.781</v>
      </c>
      <c r="D819215" t="n">
        <v>12.579</v>
      </c>
    </row>
    <row r="819216">
      <c r="B819216" t="n">
        <v>2008</v>
      </c>
      <c r="C819216" t="n">
        <v>30.502</v>
      </c>
      <c r="D819216" t="n">
        <v>2.419</v>
      </c>
    </row>
    <row r="819217">
      <c r="B819217" t="n">
        <v>2009</v>
      </c>
      <c r="C819217" t="n">
        <v>29.388</v>
      </c>
      <c r="D819217" t="n">
        <v>-3.651</v>
      </c>
    </row>
    <row r="819218">
      <c r="B819218" t="n">
        <v>2010</v>
      </c>
      <c r="C819218" t="n">
        <v>31.428</v>
      </c>
      <c r="D819218" t="n">
        <v>6.942</v>
      </c>
    </row>
    <row r="819219">
      <c r="B819219" t="n">
        <v>2011</v>
      </c>
      <c r="C819219" t="n">
        <v>33.927</v>
      </c>
      <c r="D819219" t="n">
        <v>7.949</v>
      </c>
    </row>
    <row r="819220">
      <c r="B819220" t="n">
        <v>2012</v>
      </c>
      <c r="C819220" t="n">
        <v>36.159</v>
      </c>
      <c r="D819220" t="n">
        <v>6.579</v>
      </c>
    </row>
    <row r="819221">
      <c r="B819221" t="n">
        <v>2013</v>
      </c>
      <c r="C819221" t="n">
        <v>38.015</v>
      </c>
      <c r="D819221" t="n">
        <v>5.134</v>
      </c>
    </row>
    <row r="819222">
      <c r="B819222" t="n">
        <v>2014</v>
      </c>
      <c r="C819222" t="n">
        <v>39.57</v>
      </c>
      <c r="D819222" t="n">
        <v>4.091</v>
      </c>
    </row>
    <row r="819223">
      <c r="B819223" t="n">
        <v>2015</v>
      </c>
      <c r="C819223" t="n">
        <v>40.896</v>
      </c>
      <c r="D819223" t="n">
        <v>3.351</v>
      </c>
    </row>
    <row r="819224">
      <c r="B819224" t="n">
        <v>2016</v>
      </c>
      <c r="C819224" t="n">
        <v>42.307</v>
      </c>
      <c r="D819224" t="n">
        <v>3.45</v>
      </c>
    </row>
    <row r="819225">
      <c r="B819225" t="n">
        <v>2017</v>
      </c>
      <c r="C819225" t="n">
        <v>44.49</v>
      </c>
      <c r="D819225" t="n">
        <v>5.161</v>
      </c>
    </row>
    <row r="819226">
      <c r="B819226" t="n">
        <v>2018</v>
      </c>
      <c r="C819226" t="n">
        <v>47.187</v>
      </c>
      <c r="D819226" t="n">
        <v>6.062</v>
      </c>
    </row>
    <row r="819227">
      <c r="B819227" t="n">
        <v>2019</v>
      </c>
      <c r="C819227" t="n">
        <v>49.726</v>
      </c>
      <c r="D819227" t="n">
        <v>5.38</v>
      </c>
    </row>
    <row r="819228">
      <c r="B819228" t="n">
        <v>2020</v>
      </c>
      <c r="C819228" t="n">
        <v>46.598</v>
      </c>
      <c r="D819228" t="n">
        <v>-6.291</v>
      </c>
    </row>
    <row r="819229">
      <c r="B819229" t="n">
        <v>2021</v>
      </c>
      <c r="C819229" t="n">
        <v>51.558</v>
      </c>
      <c r="D819229" t="n">
        <v>10.644</v>
      </c>
    </row>
    <row r="819230">
      <c r="B819230" t="n">
        <v>2022</v>
      </c>
      <c r="C819230" t="n">
        <v>57.208</v>
      </c>
      <c r="D819230" t="n">
        <v>10.96</v>
      </c>
    </row>
    <row r="819231">
      <c r="B819231" t="n">
        <v>2023</v>
      </c>
      <c r="C819231" t="n">
        <v>61.689</v>
      </c>
      <c r="D819231" t="n">
        <v>7.832</v>
      </c>
    </row>
    <row r="819232">
      <c r="B819232" t="n">
        <v>2024</v>
      </c>
      <c r="C819232" t="n">
        <v>67.505</v>
      </c>
      <c r="D819232" t="n">
        <v>9.429</v>
      </c>
    </row>
    <row r="819233">
      <c r="B819233" t="n">
        <v>2025</v>
      </c>
      <c r="C819233" t="n">
        <v>71.54000000000001</v>
      </c>
      <c r="D819233" t="n">
        <v>5.977</v>
      </c>
    </row>
    <row r="819234">
      <c r="B819234" t="n">
        <v>2026</v>
      </c>
      <c r="C819234" t="n">
        <v>75.117</v>
      </c>
      <c r="D819234" t="n">
        <v>5</v>
      </c>
    </row>
    <row r="819235">
      <c r="B819235" t="n">
        <v>2027</v>
      </c>
      <c r="C819235" t="n">
        <v>78.873</v>
      </c>
      <c r="D819235" t="n">
        <v>5</v>
      </c>
    </row>
    <row r="819236">
      <c r="B819236" t="inlineStr">
        <is>
          <t>Estimates Start After</t>
        </is>
      </c>
      <c r="C819236" t="n">
        <v>2024</v>
      </c>
      <c r="D819236" t="n">
        <v>2024</v>
      </c>
    </row>
    <row r="835585">
      <c r="B835585" t="inlineStr">
        <is>
          <t>WEO Country Code</t>
        </is>
      </c>
      <c r="C835585" t="n">
        <v>915</v>
      </c>
      <c r="D835585" t="n">
        <v>915</v>
      </c>
    </row>
    <row r="835586">
      <c r="B835586" t="inlineStr">
        <is>
          <t>WEO Subject Code</t>
        </is>
      </c>
      <c r="C835586" t="inlineStr">
        <is>
          <t>NGDP_R</t>
        </is>
      </c>
      <c r="D835586" t="inlineStr">
        <is>
          <t>NGDP_RPCH</t>
        </is>
      </c>
    </row>
    <row r="835587">
      <c r="B835587" t="inlineStr">
        <is>
          <t>Country</t>
        </is>
      </c>
      <c r="C835587" t="inlineStr">
        <is>
          <t>Georgia</t>
        </is>
      </c>
      <c r="D835587" t="inlineStr">
        <is>
          <t>Georgia</t>
        </is>
      </c>
    </row>
    <row r="835588">
      <c r="B835588" t="inlineStr">
        <is>
          <t>Subject Descriptor</t>
        </is>
      </c>
      <c r="C835588" t="inlineStr">
        <is>
          <t>Gross domestic product, constant prices</t>
        </is>
      </c>
      <c r="D835588" t="inlineStr">
        <is>
          <t>Gross domestic product, constant prices</t>
        </is>
      </c>
    </row>
    <row r="835589">
      <c r="B835589" t="inlineStr">
        <is>
          <t>Units</t>
        </is>
      </c>
      <c r="C835589" t="inlineStr">
        <is>
          <t>National currency</t>
        </is>
      </c>
      <c r="D835589" t="inlineStr">
        <is>
          <t>Percent change</t>
        </is>
      </c>
    </row>
    <row r="835590">
      <c r="B835590" t="inlineStr">
        <is>
          <t>Scale</t>
        </is>
      </c>
      <c r="C835590" t="inlineStr">
        <is>
          <t>Billions</t>
        </is>
      </c>
      <c r="D835590" t="inlineStr">
        <is>
          <t>Units</t>
        </is>
      </c>
    </row>
    <row r="835591">
      <c r="B835591" t="inlineStr">
        <is>
          <t>Country/Series-specific Notes</t>
        </is>
      </c>
      <c r="C8355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35591" t="inlineStr">
        <is>
          <t>See notes for:  Gross domestic product, constant prices (National currency).</t>
        </is>
      </c>
    </row>
    <row r="835592">
      <c r="B835592" t="n">
        <v>2000</v>
      </c>
      <c r="C835592" t="n">
        <v>16.963</v>
      </c>
      <c r="D835592" t="n">
        <v>1.865</v>
      </c>
    </row>
    <row r="835593">
      <c r="B835593" t="n">
        <v>2001</v>
      </c>
      <c r="C835593" t="n">
        <v>17.772</v>
      </c>
      <c r="D835593" t="n">
        <v>4.769</v>
      </c>
    </row>
    <row r="835594">
      <c r="B835594" t="n">
        <v>2002</v>
      </c>
      <c r="C835594" t="n">
        <v>18.747</v>
      </c>
      <c r="D835594" t="n">
        <v>5.487</v>
      </c>
    </row>
    <row r="835595">
      <c r="B835595" t="n">
        <v>2003</v>
      </c>
      <c r="C835595" t="n">
        <v>20.852</v>
      </c>
      <c r="D835595" t="n">
        <v>11.228</v>
      </c>
    </row>
    <row r="835596">
      <c r="B835596" t="n">
        <v>2004</v>
      </c>
      <c r="C835596" t="n">
        <v>22.061</v>
      </c>
      <c r="D835596" t="n">
        <v>5.796</v>
      </c>
    </row>
    <row r="835597">
      <c r="B835597" t="n">
        <v>2005</v>
      </c>
      <c r="C835597" t="n">
        <v>24.176</v>
      </c>
      <c r="D835597" t="n">
        <v>9.587999999999999</v>
      </c>
    </row>
    <row r="835598">
      <c r="B835598" t="n">
        <v>2006</v>
      </c>
      <c r="C835598" t="n">
        <v>26.454</v>
      </c>
      <c r="D835598" t="n">
        <v>9.42</v>
      </c>
    </row>
    <row r="835599">
      <c r="B835599" t="n">
        <v>2007</v>
      </c>
      <c r="C835599" t="n">
        <v>29.781</v>
      </c>
      <c r="D835599" t="n">
        <v>12.579</v>
      </c>
    </row>
    <row r="835600">
      <c r="B835600" t="n">
        <v>2008</v>
      </c>
      <c r="C835600" t="n">
        <v>30.502</v>
      </c>
      <c r="D835600" t="n">
        <v>2.419</v>
      </c>
    </row>
    <row r="835601">
      <c r="B835601" t="n">
        <v>2009</v>
      </c>
      <c r="C835601" t="n">
        <v>29.388</v>
      </c>
      <c r="D835601" t="n">
        <v>-3.651</v>
      </c>
    </row>
    <row r="835602">
      <c r="B835602" t="n">
        <v>2010</v>
      </c>
      <c r="C835602" t="n">
        <v>31.428</v>
      </c>
      <c r="D835602" t="n">
        <v>6.942</v>
      </c>
    </row>
    <row r="835603">
      <c r="B835603" t="n">
        <v>2011</v>
      </c>
      <c r="C835603" t="n">
        <v>33.927</v>
      </c>
      <c r="D835603" t="n">
        <v>7.949</v>
      </c>
    </row>
    <row r="835604">
      <c r="B835604" t="n">
        <v>2012</v>
      </c>
      <c r="C835604" t="n">
        <v>36.159</v>
      </c>
      <c r="D835604" t="n">
        <v>6.579</v>
      </c>
    </row>
    <row r="835605">
      <c r="B835605" t="n">
        <v>2013</v>
      </c>
      <c r="C835605" t="n">
        <v>38.015</v>
      </c>
      <c r="D835605" t="n">
        <v>5.134</v>
      </c>
    </row>
    <row r="835606">
      <c r="B835606" t="n">
        <v>2014</v>
      </c>
      <c r="C835606" t="n">
        <v>39.57</v>
      </c>
      <c r="D835606" t="n">
        <v>4.091</v>
      </c>
    </row>
    <row r="835607">
      <c r="B835607" t="n">
        <v>2015</v>
      </c>
      <c r="C835607" t="n">
        <v>40.896</v>
      </c>
      <c r="D835607" t="n">
        <v>3.351</v>
      </c>
    </row>
    <row r="835608">
      <c r="B835608" t="n">
        <v>2016</v>
      </c>
      <c r="C835608" t="n">
        <v>42.307</v>
      </c>
      <c r="D835608" t="n">
        <v>3.45</v>
      </c>
    </row>
    <row r="835609">
      <c r="B835609" t="n">
        <v>2017</v>
      </c>
      <c r="C835609" t="n">
        <v>44.49</v>
      </c>
      <c r="D835609" t="n">
        <v>5.161</v>
      </c>
    </row>
    <row r="835610">
      <c r="B835610" t="n">
        <v>2018</v>
      </c>
      <c r="C835610" t="n">
        <v>47.187</v>
      </c>
      <c r="D835610" t="n">
        <v>6.062</v>
      </c>
    </row>
    <row r="835611">
      <c r="B835611" t="n">
        <v>2019</v>
      </c>
      <c r="C835611" t="n">
        <v>49.726</v>
      </c>
      <c r="D835611" t="n">
        <v>5.38</v>
      </c>
    </row>
    <row r="835612">
      <c r="B835612" t="n">
        <v>2020</v>
      </c>
      <c r="C835612" t="n">
        <v>46.598</v>
      </c>
      <c r="D835612" t="n">
        <v>-6.291</v>
      </c>
    </row>
    <row r="835613">
      <c r="B835613" t="n">
        <v>2021</v>
      </c>
      <c r="C835613" t="n">
        <v>51.558</v>
      </c>
      <c r="D835613" t="n">
        <v>10.644</v>
      </c>
    </row>
    <row r="835614">
      <c r="B835614" t="n">
        <v>2022</v>
      </c>
      <c r="C835614" t="n">
        <v>57.208</v>
      </c>
      <c r="D835614" t="n">
        <v>10.96</v>
      </c>
    </row>
    <row r="835615">
      <c r="B835615" t="n">
        <v>2023</v>
      </c>
      <c r="C835615" t="n">
        <v>61.689</v>
      </c>
      <c r="D835615" t="n">
        <v>7.832</v>
      </c>
    </row>
    <row r="835616">
      <c r="B835616" t="n">
        <v>2024</v>
      </c>
      <c r="C835616" t="n">
        <v>67.505</v>
      </c>
      <c r="D835616" t="n">
        <v>9.429</v>
      </c>
    </row>
    <row r="835617">
      <c r="B835617" t="n">
        <v>2025</v>
      </c>
      <c r="C835617" t="n">
        <v>71.54000000000001</v>
      </c>
      <c r="D835617" t="n">
        <v>5.977</v>
      </c>
    </row>
    <row r="835618">
      <c r="B835618" t="n">
        <v>2026</v>
      </c>
      <c r="C835618" t="n">
        <v>75.117</v>
      </c>
      <c r="D835618" t="n">
        <v>5</v>
      </c>
    </row>
    <row r="835619">
      <c r="B835619" t="n">
        <v>2027</v>
      </c>
      <c r="C835619" t="n">
        <v>78.873</v>
      </c>
      <c r="D835619" t="n">
        <v>5</v>
      </c>
    </row>
    <row r="835620">
      <c r="B835620" t="inlineStr">
        <is>
          <t>Estimates Start After</t>
        </is>
      </c>
      <c r="C835620" t="n">
        <v>2024</v>
      </c>
      <c r="D835620" t="n">
        <v>2024</v>
      </c>
    </row>
    <row r="851969">
      <c r="B851969" t="inlineStr">
        <is>
          <t>WEO Country Code</t>
        </is>
      </c>
      <c r="C851969" t="n">
        <v>915</v>
      </c>
      <c r="D851969" t="n">
        <v>915</v>
      </c>
    </row>
    <row r="851970">
      <c r="B851970" t="inlineStr">
        <is>
          <t>WEO Subject Code</t>
        </is>
      </c>
      <c r="C851970" t="inlineStr">
        <is>
          <t>NGDP_R</t>
        </is>
      </c>
      <c r="D851970" t="inlineStr">
        <is>
          <t>NGDP_RPCH</t>
        </is>
      </c>
    </row>
    <row r="851971">
      <c r="B851971" t="inlineStr">
        <is>
          <t>Country</t>
        </is>
      </c>
      <c r="C851971" t="inlineStr">
        <is>
          <t>Georgia</t>
        </is>
      </c>
      <c r="D851971" t="inlineStr">
        <is>
          <t>Georgia</t>
        </is>
      </c>
    </row>
    <row r="851972">
      <c r="B851972" t="inlineStr">
        <is>
          <t>Subject Descriptor</t>
        </is>
      </c>
      <c r="C851972" t="inlineStr">
        <is>
          <t>Gross domestic product, constant prices</t>
        </is>
      </c>
      <c r="D851972" t="inlineStr">
        <is>
          <t>Gross domestic product, constant prices</t>
        </is>
      </c>
    </row>
    <row r="851973">
      <c r="B851973" t="inlineStr">
        <is>
          <t>Units</t>
        </is>
      </c>
      <c r="C851973" t="inlineStr">
        <is>
          <t>National currency</t>
        </is>
      </c>
      <c r="D851973" t="inlineStr">
        <is>
          <t>Percent change</t>
        </is>
      </c>
    </row>
    <row r="851974">
      <c r="B851974" t="inlineStr">
        <is>
          <t>Scale</t>
        </is>
      </c>
      <c r="C851974" t="inlineStr">
        <is>
          <t>Billions</t>
        </is>
      </c>
      <c r="D851974" t="inlineStr">
        <is>
          <t>Units</t>
        </is>
      </c>
    </row>
    <row r="851975">
      <c r="B851975" t="inlineStr">
        <is>
          <t>Country/Series-specific Notes</t>
        </is>
      </c>
      <c r="C8519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51975" t="inlineStr">
        <is>
          <t>See notes for:  Gross domestic product, constant prices (National currency).</t>
        </is>
      </c>
    </row>
    <row r="851976">
      <c r="B851976" t="n">
        <v>2000</v>
      </c>
      <c r="C851976" t="n">
        <v>16.963</v>
      </c>
      <c r="D851976" t="n">
        <v>1.865</v>
      </c>
    </row>
    <row r="851977">
      <c r="B851977" t="n">
        <v>2001</v>
      </c>
      <c r="C851977" t="n">
        <v>17.772</v>
      </c>
      <c r="D851977" t="n">
        <v>4.769</v>
      </c>
    </row>
    <row r="851978">
      <c r="B851978" t="n">
        <v>2002</v>
      </c>
      <c r="C851978" t="n">
        <v>18.747</v>
      </c>
      <c r="D851978" t="n">
        <v>5.487</v>
      </c>
    </row>
    <row r="851979">
      <c r="B851979" t="n">
        <v>2003</v>
      </c>
      <c r="C851979" t="n">
        <v>20.852</v>
      </c>
      <c r="D851979" t="n">
        <v>11.228</v>
      </c>
    </row>
    <row r="851980">
      <c r="B851980" t="n">
        <v>2004</v>
      </c>
      <c r="C851980" t="n">
        <v>22.061</v>
      </c>
      <c r="D851980" t="n">
        <v>5.796</v>
      </c>
    </row>
    <row r="851981">
      <c r="B851981" t="n">
        <v>2005</v>
      </c>
      <c r="C851981" t="n">
        <v>24.176</v>
      </c>
      <c r="D851981" t="n">
        <v>9.587999999999999</v>
      </c>
    </row>
    <row r="851982">
      <c r="B851982" t="n">
        <v>2006</v>
      </c>
      <c r="C851982" t="n">
        <v>26.454</v>
      </c>
      <c r="D851982" t="n">
        <v>9.42</v>
      </c>
    </row>
    <row r="851983">
      <c r="B851983" t="n">
        <v>2007</v>
      </c>
      <c r="C851983" t="n">
        <v>29.781</v>
      </c>
      <c r="D851983" t="n">
        <v>12.579</v>
      </c>
    </row>
    <row r="851984">
      <c r="B851984" t="n">
        <v>2008</v>
      </c>
      <c r="C851984" t="n">
        <v>30.502</v>
      </c>
      <c r="D851984" t="n">
        <v>2.419</v>
      </c>
    </row>
    <row r="851985">
      <c r="B851985" t="n">
        <v>2009</v>
      </c>
      <c r="C851985" t="n">
        <v>29.388</v>
      </c>
      <c r="D851985" t="n">
        <v>-3.651</v>
      </c>
    </row>
    <row r="851986">
      <c r="B851986" t="n">
        <v>2010</v>
      </c>
      <c r="C851986" t="n">
        <v>31.428</v>
      </c>
      <c r="D851986" t="n">
        <v>6.942</v>
      </c>
    </row>
    <row r="851987">
      <c r="B851987" t="n">
        <v>2011</v>
      </c>
      <c r="C851987" t="n">
        <v>33.927</v>
      </c>
      <c r="D851987" t="n">
        <v>7.949</v>
      </c>
    </row>
    <row r="851988">
      <c r="B851988" t="n">
        <v>2012</v>
      </c>
      <c r="C851988" t="n">
        <v>36.159</v>
      </c>
      <c r="D851988" t="n">
        <v>6.579</v>
      </c>
    </row>
    <row r="851989">
      <c r="B851989" t="n">
        <v>2013</v>
      </c>
      <c r="C851989" t="n">
        <v>38.015</v>
      </c>
      <c r="D851989" t="n">
        <v>5.134</v>
      </c>
    </row>
    <row r="851990">
      <c r="B851990" t="n">
        <v>2014</v>
      </c>
      <c r="C851990" t="n">
        <v>39.57</v>
      </c>
      <c r="D851990" t="n">
        <v>4.091</v>
      </c>
    </row>
    <row r="851991">
      <c r="B851991" t="n">
        <v>2015</v>
      </c>
      <c r="C851991" t="n">
        <v>40.896</v>
      </c>
      <c r="D851991" t="n">
        <v>3.351</v>
      </c>
    </row>
    <row r="851992">
      <c r="B851992" t="n">
        <v>2016</v>
      </c>
      <c r="C851992" t="n">
        <v>42.307</v>
      </c>
      <c r="D851992" t="n">
        <v>3.45</v>
      </c>
    </row>
    <row r="851993">
      <c r="B851993" t="n">
        <v>2017</v>
      </c>
      <c r="C851993" t="n">
        <v>44.49</v>
      </c>
      <c r="D851993" t="n">
        <v>5.161</v>
      </c>
    </row>
    <row r="851994">
      <c r="B851994" t="n">
        <v>2018</v>
      </c>
      <c r="C851994" t="n">
        <v>47.187</v>
      </c>
      <c r="D851994" t="n">
        <v>6.062</v>
      </c>
    </row>
    <row r="851995">
      <c r="B851995" t="n">
        <v>2019</v>
      </c>
      <c r="C851995" t="n">
        <v>49.726</v>
      </c>
      <c r="D851995" t="n">
        <v>5.38</v>
      </c>
    </row>
    <row r="851996">
      <c r="B851996" t="n">
        <v>2020</v>
      </c>
      <c r="C851996" t="n">
        <v>46.598</v>
      </c>
      <c r="D851996" t="n">
        <v>-6.291</v>
      </c>
    </row>
    <row r="851997">
      <c r="B851997" t="n">
        <v>2021</v>
      </c>
      <c r="C851997" t="n">
        <v>51.558</v>
      </c>
      <c r="D851997" t="n">
        <v>10.644</v>
      </c>
    </row>
    <row r="851998">
      <c r="B851998" t="n">
        <v>2022</v>
      </c>
      <c r="C851998" t="n">
        <v>57.208</v>
      </c>
      <c r="D851998" t="n">
        <v>10.96</v>
      </c>
    </row>
    <row r="851999">
      <c r="B851999" t="n">
        <v>2023</v>
      </c>
      <c r="C851999" t="n">
        <v>61.689</v>
      </c>
      <c r="D851999" t="n">
        <v>7.832</v>
      </c>
    </row>
    <row r="852000">
      <c r="B852000" t="n">
        <v>2024</v>
      </c>
      <c r="C852000" t="n">
        <v>67.505</v>
      </c>
      <c r="D852000" t="n">
        <v>9.429</v>
      </c>
    </row>
    <row r="852001">
      <c r="B852001" t="n">
        <v>2025</v>
      </c>
      <c r="C852001" t="n">
        <v>71.54000000000001</v>
      </c>
      <c r="D852001" t="n">
        <v>5.977</v>
      </c>
    </row>
    <row r="852002">
      <c r="B852002" t="n">
        <v>2026</v>
      </c>
      <c r="C852002" t="n">
        <v>75.117</v>
      </c>
      <c r="D852002" t="n">
        <v>5</v>
      </c>
    </row>
    <row r="852003">
      <c r="B852003" t="n">
        <v>2027</v>
      </c>
      <c r="C852003" t="n">
        <v>78.873</v>
      </c>
      <c r="D852003" t="n">
        <v>5</v>
      </c>
    </row>
    <row r="852004">
      <c r="B852004" t="inlineStr">
        <is>
          <t>Estimates Start After</t>
        </is>
      </c>
      <c r="C852004" t="n">
        <v>2024</v>
      </c>
      <c r="D852004" t="n">
        <v>2024</v>
      </c>
    </row>
    <row r="868353">
      <c r="B868353" t="inlineStr">
        <is>
          <t>WEO Country Code</t>
        </is>
      </c>
      <c r="C868353" t="n">
        <v>915</v>
      </c>
      <c r="D868353" t="n">
        <v>915</v>
      </c>
    </row>
    <row r="868354">
      <c r="B868354" t="inlineStr">
        <is>
          <t>WEO Subject Code</t>
        </is>
      </c>
      <c r="C868354" t="inlineStr">
        <is>
          <t>NGDP_R</t>
        </is>
      </c>
      <c r="D868354" t="inlineStr">
        <is>
          <t>NGDP_RPCH</t>
        </is>
      </c>
    </row>
    <row r="868355">
      <c r="B868355" t="inlineStr">
        <is>
          <t>Country</t>
        </is>
      </c>
      <c r="C868355" t="inlineStr">
        <is>
          <t>Georgia</t>
        </is>
      </c>
      <c r="D868355" t="inlineStr">
        <is>
          <t>Georgia</t>
        </is>
      </c>
    </row>
    <row r="868356">
      <c r="B868356" t="inlineStr">
        <is>
          <t>Subject Descriptor</t>
        </is>
      </c>
      <c r="C868356" t="inlineStr">
        <is>
          <t>Gross domestic product, constant prices</t>
        </is>
      </c>
      <c r="D868356" t="inlineStr">
        <is>
          <t>Gross domestic product, constant prices</t>
        </is>
      </c>
    </row>
    <row r="868357">
      <c r="B868357" t="inlineStr">
        <is>
          <t>Units</t>
        </is>
      </c>
      <c r="C868357" t="inlineStr">
        <is>
          <t>National currency</t>
        </is>
      </c>
      <c r="D868357" t="inlineStr">
        <is>
          <t>Percent change</t>
        </is>
      </c>
    </row>
    <row r="868358">
      <c r="B868358" t="inlineStr">
        <is>
          <t>Scale</t>
        </is>
      </c>
      <c r="C868358" t="inlineStr">
        <is>
          <t>Billions</t>
        </is>
      </c>
      <c r="D868358" t="inlineStr">
        <is>
          <t>Units</t>
        </is>
      </c>
    </row>
    <row r="868359">
      <c r="B868359" t="inlineStr">
        <is>
          <t>Country/Series-specific Notes</t>
        </is>
      </c>
      <c r="C8683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68359" t="inlineStr">
        <is>
          <t>See notes for:  Gross domestic product, constant prices (National currency).</t>
        </is>
      </c>
    </row>
    <row r="868360">
      <c r="B868360" t="n">
        <v>2000</v>
      </c>
      <c r="C868360" t="n">
        <v>16.963</v>
      </c>
      <c r="D868360" t="n">
        <v>1.865</v>
      </c>
    </row>
    <row r="868361">
      <c r="B868361" t="n">
        <v>2001</v>
      </c>
      <c r="C868361" t="n">
        <v>17.772</v>
      </c>
      <c r="D868361" t="n">
        <v>4.769</v>
      </c>
    </row>
    <row r="868362">
      <c r="B868362" t="n">
        <v>2002</v>
      </c>
      <c r="C868362" t="n">
        <v>18.747</v>
      </c>
      <c r="D868362" t="n">
        <v>5.487</v>
      </c>
    </row>
    <row r="868363">
      <c r="B868363" t="n">
        <v>2003</v>
      </c>
      <c r="C868363" t="n">
        <v>20.852</v>
      </c>
      <c r="D868363" t="n">
        <v>11.228</v>
      </c>
    </row>
    <row r="868364">
      <c r="B868364" t="n">
        <v>2004</v>
      </c>
      <c r="C868364" t="n">
        <v>22.061</v>
      </c>
      <c r="D868364" t="n">
        <v>5.796</v>
      </c>
    </row>
    <row r="868365">
      <c r="B868365" t="n">
        <v>2005</v>
      </c>
      <c r="C868365" t="n">
        <v>24.176</v>
      </c>
      <c r="D868365" t="n">
        <v>9.587999999999999</v>
      </c>
    </row>
    <row r="868366">
      <c r="B868366" t="n">
        <v>2006</v>
      </c>
      <c r="C868366" t="n">
        <v>26.454</v>
      </c>
      <c r="D868366" t="n">
        <v>9.42</v>
      </c>
    </row>
    <row r="868367">
      <c r="B868367" t="n">
        <v>2007</v>
      </c>
      <c r="C868367" t="n">
        <v>29.781</v>
      </c>
      <c r="D868367" t="n">
        <v>12.579</v>
      </c>
    </row>
    <row r="868368">
      <c r="B868368" t="n">
        <v>2008</v>
      </c>
      <c r="C868368" t="n">
        <v>30.502</v>
      </c>
      <c r="D868368" t="n">
        <v>2.419</v>
      </c>
    </row>
    <row r="868369">
      <c r="B868369" t="n">
        <v>2009</v>
      </c>
      <c r="C868369" t="n">
        <v>29.388</v>
      </c>
      <c r="D868369" t="n">
        <v>-3.651</v>
      </c>
    </row>
    <row r="868370">
      <c r="B868370" t="n">
        <v>2010</v>
      </c>
      <c r="C868370" t="n">
        <v>31.428</v>
      </c>
      <c r="D868370" t="n">
        <v>6.942</v>
      </c>
    </row>
    <row r="868371">
      <c r="B868371" t="n">
        <v>2011</v>
      </c>
      <c r="C868371" t="n">
        <v>33.927</v>
      </c>
      <c r="D868371" t="n">
        <v>7.949</v>
      </c>
    </row>
    <row r="868372">
      <c r="B868372" t="n">
        <v>2012</v>
      </c>
      <c r="C868372" t="n">
        <v>36.159</v>
      </c>
      <c r="D868372" t="n">
        <v>6.579</v>
      </c>
    </row>
    <row r="868373">
      <c r="B868373" t="n">
        <v>2013</v>
      </c>
      <c r="C868373" t="n">
        <v>38.015</v>
      </c>
      <c r="D868373" t="n">
        <v>5.134</v>
      </c>
    </row>
    <row r="868374">
      <c r="B868374" t="n">
        <v>2014</v>
      </c>
      <c r="C868374" t="n">
        <v>39.57</v>
      </c>
      <c r="D868374" t="n">
        <v>4.091</v>
      </c>
    </row>
    <row r="868375">
      <c r="B868375" t="n">
        <v>2015</v>
      </c>
      <c r="C868375" t="n">
        <v>40.896</v>
      </c>
      <c r="D868375" t="n">
        <v>3.351</v>
      </c>
    </row>
    <row r="868376">
      <c r="B868376" t="n">
        <v>2016</v>
      </c>
      <c r="C868376" t="n">
        <v>42.307</v>
      </c>
      <c r="D868376" t="n">
        <v>3.45</v>
      </c>
    </row>
    <row r="868377">
      <c r="B868377" t="n">
        <v>2017</v>
      </c>
      <c r="C868377" t="n">
        <v>44.49</v>
      </c>
      <c r="D868377" t="n">
        <v>5.161</v>
      </c>
    </row>
    <row r="868378">
      <c r="B868378" t="n">
        <v>2018</v>
      </c>
      <c r="C868378" t="n">
        <v>47.187</v>
      </c>
      <c r="D868378" t="n">
        <v>6.062</v>
      </c>
    </row>
    <row r="868379">
      <c r="B868379" t="n">
        <v>2019</v>
      </c>
      <c r="C868379" t="n">
        <v>49.726</v>
      </c>
      <c r="D868379" t="n">
        <v>5.38</v>
      </c>
    </row>
    <row r="868380">
      <c r="B868380" t="n">
        <v>2020</v>
      </c>
      <c r="C868380" t="n">
        <v>46.598</v>
      </c>
      <c r="D868380" t="n">
        <v>-6.291</v>
      </c>
    </row>
    <row r="868381">
      <c r="B868381" t="n">
        <v>2021</v>
      </c>
      <c r="C868381" t="n">
        <v>51.558</v>
      </c>
      <c r="D868381" t="n">
        <v>10.644</v>
      </c>
    </row>
    <row r="868382">
      <c r="B868382" t="n">
        <v>2022</v>
      </c>
      <c r="C868382" t="n">
        <v>57.208</v>
      </c>
      <c r="D868382" t="n">
        <v>10.96</v>
      </c>
    </row>
    <row r="868383">
      <c r="B868383" t="n">
        <v>2023</v>
      </c>
      <c r="C868383" t="n">
        <v>61.689</v>
      </c>
      <c r="D868383" t="n">
        <v>7.832</v>
      </c>
    </row>
    <row r="868384">
      <c r="B868384" t="n">
        <v>2024</v>
      </c>
      <c r="C868384" t="n">
        <v>67.505</v>
      </c>
      <c r="D868384" t="n">
        <v>9.429</v>
      </c>
    </row>
    <row r="868385">
      <c r="B868385" t="n">
        <v>2025</v>
      </c>
      <c r="C868385" t="n">
        <v>71.54000000000001</v>
      </c>
      <c r="D868385" t="n">
        <v>5.977</v>
      </c>
    </row>
    <row r="868386">
      <c r="B868386" t="n">
        <v>2026</v>
      </c>
      <c r="C868386" t="n">
        <v>75.117</v>
      </c>
      <c r="D868386" t="n">
        <v>5</v>
      </c>
    </row>
    <row r="868387">
      <c r="B868387" t="n">
        <v>2027</v>
      </c>
      <c r="C868387" t="n">
        <v>78.873</v>
      </c>
      <c r="D868387" t="n">
        <v>5</v>
      </c>
    </row>
    <row r="868388">
      <c r="B868388" t="inlineStr">
        <is>
          <t>Estimates Start After</t>
        </is>
      </c>
      <c r="C868388" t="n">
        <v>2024</v>
      </c>
      <c r="D868388" t="n">
        <v>2024</v>
      </c>
    </row>
    <row r="884737">
      <c r="B884737" t="inlineStr">
        <is>
          <t>WEO Country Code</t>
        </is>
      </c>
      <c r="C884737" t="n">
        <v>915</v>
      </c>
      <c r="D884737" t="n">
        <v>915</v>
      </c>
    </row>
    <row r="884738">
      <c r="B884738" t="inlineStr">
        <is>
          <t>WEO Subject Code</t>
        </is>
      </c>
      <c r="C884738" t="inlineStr">
        <is>
          <t>NGDP_R</t>
        </is>
      </c>
      <c r="D884738" t="inlineStr">
        <is>
          <t>NGDP_RPCH</t>
        </is>
      </c>
    </row>
    <row r="884739">
      <c r="B884739" t="inlineStr">
        <is>
          <t>Country</t>
        </is>
      </c>
      <c r="C884739" t="inlineStr">
        <is>
          <t>Georgia</t>
        </is>
      </c>
      <c r="D884739" t="inlineStr">
        <is>
          <t>Georgia</t>
        </is>
      </c>
    </row>
    <row r="884740">
      <c r="B884740" t="inlineStr">
        <is>
          <t>Subject Descriptor</t>
        </is>
      </c>
      <c r="C884740" t="inlineStr">
        <is>
          <t>Gross domestic product, constant prices</t>
        </is>
      </c>
      <c r="D884740" t="inlineStr">
        <is>
          <t>Gross domestic product, constant prices</t>
        </is>
      </c>
    </row>
    <row r="884741">
      <c r="B884741" t="inlineStr">
        <is>
          <t>Units</t>
        </is>
      </c>
      <c r="C884741" t="inlineStr">
        <is>
          <t>National currency</t>
        </is>
      </c>
      <c r="D884741" t="inlineStr">
        <is>
          <t>Percent change</t>
        </is>
      </c>
    </row>
    <row r="884742">
      <c r="B884742" t="inlineStr">
        <is>
          <t>Scale</t>
        </is>
      </c>
      <c r="C884742" t="inlineStr">
        <is>
          <t>Billions</t>
        </is>
      </c>
      <c r="D884742" t="inlineStr">
        <is>
          <t>Units</t>
        </is>
      </c>
    </row>
    <row r="884743">
      <c r="B884743" t="inlineStr">
        <is>
          <t>Country/Series-specific Notes</t>
        </is>
      </c>
      <c r="C8847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84743" t="inlineStr">
        <is>
          <t>See notes for:  Gross domestic product, constant prices (National currency).</t>
        </is>
      </c>
    </row>
    <row r="884744">
      <c r="B884744" t="n">
        <v>2000</v>
      </c>
      <c r="C884744" t="n">
        <v>16.963</v>
      </c>
      <c r="D884744" t="n">
        <v>1.865</v>
      </c>
    </row>
    <row r="884745">
      <c r="B884745" t="n">
        <v>2001</v>
      </c>
      <c r="C884745" t="n">
        <v>17.772</v>
      </c>
      <c r="D884745" t="n">
        <v>4.769</v>
      </c>
    </row>
    <row r="884746">
      <c r="B884746" t="n">
        <v>2002</v>
      </c>
      <c r="C884746" t="n">
        <v>18.747</v>
      </c>
      <c r="D884746" t="n">
        <v>5.487</v>
      </c>
    </row>
    <row r="884747">
      <c r="B884747" t="n">
        <v>2003</v>
      </c>
      <c r="C884747" t="n">
        <v>20.852</v>
      </c>
      <c r="D884747" t="n">
        <v>11.228</v>
      </c>
    </row>
    <row r="884748">
      <c r="B884748" t="n">
        <v>2004</v>
      </c>
      <c r="C884748" t="n">
        <v>22.061</v>
      </c>
      <c r="D884748" t="n">
        <v>5.796</v>
      </c>
    </row>
    <row r="884749">
      <c r="B884749" t="n">
        <v>2005</v>
      </c>
      <c r="C884749" t="n">
        <v>24.176</v>
      </c>
      <c r="D884749" t="n">
        <v>9.587999999999999</v>
      </c>
    </row>
    <row r="884750">
      <c r="B884750" t="n">
        <v>2006</v>
      </c>
      <c r="C884750" t="n">
        <v>26.454</v>
      </c>
      <c r="D884750" t="n">
        <v>9.42</v>
      </c>
    </row>
    <row r="884751">
      <c r="B884751" t="n">
        <v>2007</v>
      </c>
      <c r="C884751" t="n">
        <v>29.781</v>
      </c>
      <c r="D884751" t="n">
        <v>12.579</v>
      </c>
    </row>
    <row r="884752">
      <c r="B884752" t="n">
        <v>2008</v>
      </c>
      <c r="C884752" t="n">
        <v>30.502</v>
      </c>
      <c r="D884752" t="n">
        <v>2.419</v>
      </c>
    </row>
    <row r="884753">
      <c r="B884753" t="n">
        <v>2009</v>
      </c>
      <c r="C884753" t="n">
        <v>29.388</v>
      </c>
      <c r="D884753" t="n">
        <v>-3.651</v>
      </c>
    </row>
    <row r="884754">
      <c r="B884754" t="n">
        <v>2010</v>
      </c>
      <c r="C884754" t="n">
        <v>31.428</v>
      </c>
      <c r="D884754" t="n">
        <v>6.942</v>
      </c>
    </row>
    <row r="884755">
      <c r="B884755" t="n">
        <v>2011</v>
      </c>
      <c r="C884755" t="n">
        <v>33.927</v>
      </c>
      <c r="D884755" t="n">
        <v>7.949</v>
      </c>
    </row>
    <row r="884756">
      <c r="B884756" t="n">
        <v>2012</v>
      </c>
      <c r="C884756" t="n">
        <v>36.159</v>
      </c>
      <c r="D884756" t="n">
        <v>6.579</v>
      </c>
    </row>
    <row r="884757">
      <c r="B884757" t="n">
        <v>2013</v>
      </c>
      <c r="C884757" t="n">
        <v>38.015</v>
      </c>
      <c r="D884757" t="n">
        <v>5.134</v>
      </c>
    </row>
    <row r="884758">
      <c r="B884758" t="n">
        <v>2014</v>
      </c>
      <c r="C884758" t="n">
        <v>39.57</v>
      </c>
      <c r="D884758" t="n">
        <v>4.091</v>
      </c>
    </row>
    <row r="884759">
      <c r="B884759" t="n">
        <v>2015</v>
      </c>
      <c r="C884759" t="n">
        <v>40.896</v>
      </c>
      <c r="D884759" t="n">
        <v>3.351</v>
      </c>
    </row>
    <row r="884760">
      <c r="B884760" t="n">
        <v>2016</v>
      </c>
      <c r="C884760" t="n">
        <v>42.307</v>
      </c>
      <c r="D884760" t="n">
        <v>3.45</v>
      </c>
    </row>
    <row r="884761">
      <c r="B884761" t="n">
        <v>2017</v>
      </c>
      <c r="C884761" t="n">
        <v>44.49</v>
      </c>
      <c r="D884761" t="n">
        <v>5.161</v>
      </c>
    </row>
    <row r="884762">
      <c r="B884762" t="n">
        <v>2018</v>
      </c>
      <c r="C884762" t="n">
        <v>47.187</v>
      </c>
      <c r="D884762" t="n">
        <v>6.062</v>
      </c>
    </row>
    <row r="884763">
      <c r="B884763" t="n">
        <v>2019</v>
      </c>
      <c r="C884763" t="n">
        <v>49.726</v>
      </c>
      <c r="D884763" t="n">
        <v>5.38</v>
      </c>
    </row>
    <row r="884764">
      <c r="B884764" t="n">
        <v>2020</v>
      </c>
      <c r="C884764" t="n">
        <v>46.598</v>
      </c>
      <c r="D884764" t="n">
        <v>-6.291</v>
      </c>
    </row>
    <row r="884765">
      <c r="B884765" t="n">
        <v>2021</v>
      </c>
      <c r="C884765" t="n">
        <v>51.558</v>
      </c>
      <c r="D884765" t="n">
        <v>10.644</v>
      </c>
    </row>
    <row r="884766">
      <c r="B884766" t="n">
        <v>2022</v>
      </c>
      <c r="C884766" t="n">
        <v>57.208</v>
      </c>
      <c r="D884766" t="n">
        <v>10.96</v>
      </c>
    </row>
    <row r="884767">
      <c r="B884767" t="n">
        <v>2023</v>
      </c>
      <c r="C884767" t="n">
        <v>61.689</v>
      </c>
      <c r="D884767" t="n">
        <v>7.832</v>
      </c>
    </row>
    <row r="884768">
      <c r="B884768" t="n">
        <v>2024</v>
      </c>
      <c r="C884768" t="n">
        <v>67.505</v>
      </c>
      <c r="D884768" t="n">
        <v>9.429</v>
      </c>
    </row>
    <row r="884769">
      <c r="B884769" t="n">
        <v>2025</v>
      </c>
      <c r="C884769" t="n">
        <v>71.54000000000001</v>
      </c>
      <c r="D884769" t="n">
        <v>5.977</v>
      </c>
    </row>
    <row r="884770">
      <c r="B884770" t="n">
        <v>2026</v>
      </c>
      <c r="C884770" t="n">
        <v>75.117</v>
      </c>
      <c r="D884770" t="n">
        <v>5</v>
      </c>
    </row>
    <row r="884771">
      <c r="B884771" t="n">
        <v>2027</v>
      </c>
      <c r="C884771" t="n">
        <v>78.873</v>
      </c>
      <c r="D884771" t="n">
        <v>5</v>
      </c>
    </row>
    <row r="884772">
      <c r="B884772" t="inlineStr">
        <is>
          <t>Estimates Start After</t>
        </is>
      </c>
      <c r="C884772" t="n">
        <v>2024</v>
      </c>
      <c r="D884772" t="n">
        <v>2024</v>
      </c>
    </row>
    <row r="901121">
      <c r="B901121" t="inlineStr">
        <is>
          <t>WEO Country Code</t>
        </is>
      </c>
      <c r="C901121" t="n">
        <v>915</v>
      </c>
      <c r="D901121" t="n">
        <v>915</v>
      </c>
    </row>
    <row r="901122">
      <c r="B901122" t="inlineStr">
        <is>
          <t>WEO Subject Code</t>
        </is>
      </c>
      <c r="C901122" t="inlineStr">
        <is>
          <t>NGDP_R</t>
        </is>
      </c>
      <c r="D901122" t="inlineStr">
        <is>
          <t>NGDP_RPCH</t>
        </is>
      </c>
    </row>
    <row r="901123">
      <c r="B901123" t="inlineStr">
        <is>
          <t>Country</t>
        </is>
      </c>
      <c r="C901123" t="inlineStr">
        <is>
          <t>Georgia</t>
        </is>
      </c>
      <c r="D901123" t="inlineStr">
        <is>
          <t>Georgia</t>
        </is>
      </c>
    </row>
    <row r="901124">
      <c r="B901124" t="inlineStr">
        <is>
          <t>Subject Descriptor</t>
        </is>
      </c>
      <c r="C901124" t="inlineStr">
        <is>
          <t>Gross domestic product, constant prices</t>
        </is>
      </c>
      <c r="D901124" t="inlineStr">
        <is>
          <t>Gross domestic product, constant prices</t>
        </is>
      </c>
    </row>
    <row r="901125">
      <c r="B901125" t="inlineStr">
        <is>
          <t>Units</t>
        </is>
      </c>
      <c r="C901125" t="inlineStr">
        <is>
          <t>National currency</t>
        </is>
      </c>
      <c r="D901125" t="inlineStr">
        <is>
          <t>Percent change</t>
        </is>
      </c>
    </row>
    <row r="901126">
      <c r="B901126" t="inlineStr">
        <is>
          <t>Scale</t>
        </is>
      </c>
      <c r="C901126" t="inlineStr">
        <is>
          <t>Billions</t>
        </is>
      </c>
      <c r="D901126" t="inlineStr">
        <is>
          <t>Units</t>
        </is>
      </c>
    </row>
    <row r="901127">
      <c r="B901127" t="inlineStr">
        <is>
          <t>Country/Series-specific Notes</t>
        </is>
      </c>
      <c r="C9011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01127" t="inlineStr">
        <is>
          <t>See notes for:  Gross domestic product, constant prices (National currency).</t>
        </is>
      </c>
    </row>
    <row r="901128">
      <c r="B901128" t="n">
        <v>2000</v>
      </c>
      <c r="C901128" t="n">
        <v>16.963</v>
      </c>
      <c r="D901128" t="n">
        <v>1.865</v>
      </c>
    </row>
    <row r="901129">
      <c r="B901129" t="n">
        <v>2001</v>
      </c>
      <c r="C901129" t="n">
        <v>17.772</v>
      </c>
      <c r="D901129" t="n">
        <v>4.769</v>
      </c>
    </row>
    <row r="901130">
      <c r="B901130" t="n">
        <v>2002</v>
      </c>
      <c r="C901130" t="n">
        <v>18.747</v>
      </c>
      <c r="D901130" t="n">
        <v>5.487</v>
      </c>
    </row>
    <row r="901131">
      <c r="B901131" t="n">
        <v>2003</v>
      </c>
      <c r="C901131" t="n">
        <v>20.852</v>
      </c>
      <c r="D901131" t="n">
        <v>11.228</v>
      </c>
    </row>
    <row r="901132">
      <c r="B901132" t="n">
        <v>2004</v>
      </c>
      <c r="C901132" t="n">
        <v>22.061</v>
      </c>
      <c r="D901132" t="n">
        <v>5.796</v>
      </c>
    </row>
    <row r="901133">
      <c r="B901133" t="n">
        <v>2005</v>
      </c>
      <c r="C901133" t="n">
        <v>24.176</v>
      </c>
      <c r="D901133" t="n">
        <v>9.587999999999999</v>
      </c>
    </row>
    <row r="901134">
      <c r="B901134" t="n">
        <v>2006</v>
      </c>
      <c r="C901134" t="n">
        <v>26.454</v>
      </c>
      <c r="D901134" t="n">
        <v>9.42</v>
      </c>
    </row>
    <row r="901135">
      <c r="B901135" t="n">
        <v>2007</v>
      </c>
      <c r="C901135" t="n">
        <v>29.781</v>
      </c>
      <c r="D901135" t="n">
        <v>12.579</v>
      </c>
    </row>
    <row r="901136">
      <c r="B901136" t="n">
        <v>2008</v>
      </c>
      <c r="C901136" t="n">
        <v>30.502</v>
      </c>
      <c r="D901136" t="n">
        <v>2.419</v>
      </c>
    </row>
    <row r="901137">
      <c r="B901137" t="n">
        <v>2009</v>
      </c>
      <c r="C901137" t="n">
        <v>29.388</v>
      </c>
      <c r="D901137" t="n">
        <v>-3.651</v>
      </c>
    </row>
    <row r="901138">
      <c r="B901138" t="n">
        <v>2010</v>
      </c>
      <c r="C901138" t="n">
        <v>31.428</v>
      </c>
      <c r="D901138" t="n">
        <v>6.942</v>
      </c>
    </row>
    <row r="901139">
      <c r="B901139" t="n">
        <v>2011</v>
      </c>
      <c r="C901139" t="n">
        <v>33.927</v>
      </c>
      <c r="D901139" t="n">
        <v>7.949</v>
      </c>
    </row>
    <row r="901140">
      <c r="B901140" t="n">
        <v>2012</v>
      </c>
      <c r="C901140" t="n">
        <v>36.159</v>
      </c>
      <c r="D901140" t="n">
        <v>6.579</v>
      </c>
    </row>
    <row r="901141">
      <c r="B901141" t="n">
        <v>2013</v>
      </c>
      <c r="C901141" t="n">
        <v>38.015</v>
      </c>
      <c r="D901141" t="n">
        <v>5.134</v>
      </c>
    </row>
    <row r="901142">
      <c r="B901142" t="n">
        <v>2014</v>
      </c>
      <c r="C901142" t="n">
        <v>39.57</v>
      </c>
      <c r="D901142" t="n">
        <v>4.091</v>
      </c>
    </row>
    <row r="901143">
      <c r="B901143" t="n">
        <v>2015</v>
      </c>
      <c r="C901143" t="n">
        <v>40.896</v>
      </c>
      <c r="D901143" t="n">
        <v>3.351</v>
      </c>
    </row>
    <row r="901144">
      <c r="B901144" t="n">
        <v>2016</v>
      </c>
      <c r="C901144" t="n">
        <v>42.307</v>
      </c>
      <c r="D901144" t="n">
        <v>3.45</v>
      </c>
    </row>
    <row r="901145">
      <c r="B901145" t="n">
        <v>2017</v>
      </c>
      <c r="C901145" t="n">
        <v>44.49</v>
      </c>
      <c r="D901145" t="n">
        <v>5.161</v>
      </c>
    </row>
    <row r="901146">
      <c r="B901146" t="n">
        <v>2018</v>
      </c>
      <c r="C901146" t="n">
        <v>47.187</v>
      </c>
      <c r="D901146" t="n">
        <v>6.062</v>
      </c>
    </row>
    <row r="901147">
      <c r="B901147" t="n">
        <v>2019</v>
      </c>
      <c r="C901147" t="n">
        <v>49.726</v>
      </c>
      <c r="D901147" t="n">
        <v>5.38</v>
      </c>
    </row>
    <row r="901148">
      <c r="B901148" t="n">
        <v>2020</v>
      </c>
      <c r="C901148" t="n">
        <v>46.598</v>
      </c>
      <c r="D901148" t="n">
        <v>-6.291</v>
      </c>
    </row>
    <row r="901149">
      <c r="B901149" t="n">
        <v>2021</v>
      </c>
      <c r="C901149" t="n">
        <v>51.558</v>
      </c>
      <c r="D901149" t="n">
        <v>10.644</v>
      </c>
    </row>
    <row r="901150">
      <c r="B901150" t="n">
        <v>2022</v>
      </c>
      <c r="C901150" t="n">
        <v>57.208</v>
      </c>
      <c r="D901150" t="n">
        <v>10.96</v>
      </c>
    </row>
    <row r="901151">
      <c r="B901151" t="n">
        <v>2023</v>
      </c>
      <c r="C901151" t="n">
        <v>61.689</v>
      </c>
      <c r="D901151" t="n">
        <v>7.832</v>
      </c>
    </row>
    <row r="901152">
      <c r="B901152" t="n">
        <v>2024</v>
      </c>
      <c r="C901152" t="n">
        <v>67.505</v>
      </c>
      <c r="D901152" t="n">
        <v>9.429</v>
      </c>
    </row>
    <row r="901153">
      <c r="B901153" t="n">
        <v>2025</v>
      </c>
      <c r="C901153" t="n">
        <v>71.54000000000001</v>
      </c>
      <c r="D901153" t="n">
        <v>5.977</v>
      </c>
    </row>
    <row r="901154">
      <c r="B901154" t="n">
        <v>2026</v>
      </c>
      <c r="C901154" t="n">
        <v>75.117</v>
      </c>
      <c r="D901154" t="n">
        <v>5</v>
      </c>
    </row>
    <row r="901155">
      <c r="B901155" t="n">
        <v>2027</v>
      </c>
      <c r="C901155" t="n">
        <v>78.873</v>
      </c>
      <c r="D901155" t="n">
        <v>5</v>
      </c>
    </row>
    <row r="901156">
      <c r="B901156" t="inlineStr">
        <is>
          <t>Estimates Start After</t>
        </is>
      </c>
      <c r="C901156" t="n">
        <v>2024</v>
      </c>
      <c r="D901156" t="n">
        <v>2024</v>
      </c>
    </row>
    <row r="917505">
      <c r="B917505" t="inlineStr">
        <is>
          <t>WEO Country Code</t>
        </is>
      </c>
      <c r="C917505" t="n">
        <v>915</v>
      </c>
      <c r="D917505" t="n">
        <v>915</v>
      </c>
    </row>
    <row r="917506">
      <c r="B917506" t="inlineStr">
        <is>
          <t>WEO Subject Code</t>
        </is>
      </c>
      <c r="C917506" t="inlineStr">
        <is>
          <t>NGDP_R</t>
        </is>
      </c>
      <c r="D917506" t="inlineStr">
        <is>
          <t>NGDP_RPCH</t>
        </is>
      </c>
    </row>
    <row r="917507">
      <c r="B917507" t="inlineStr">
        <is>
          <t>Country</t>
        </is>
      </c>
      <c r="C917507" t="inlineStr">
        <is>
          <t>Georgia</t>
        </is>
      </c>
      <c r="D917507" t="inlineStr">
        <is>
          <t>Georgia</t>
        </is>
      </c>
    </row>
    <row r="917508">
      <c r="B917508" t="inlineStr">
        <is>
          <t>Subject Descriptor</t>
        </is>
      </c>
      <c r="C917508" t="inlineStr">
        <is>
          <t>Gross domestic product, constant prices</t>
        </is>
      </c>
      <c r="D917508" t="inlineStr">
        <is>
          <t>Gross domestic product, constant prices</t>
        </is>
      </c>
    </row>
    <row r="917509">
      <c r="B917509" t="inlineStr">
        <is>
          <t>Units</t>
        </is>
      </c>
      <c r="C917509" t="inlineStr">
        <is>
          <t>National currency</t>
        </is>
      </c>
      <c r="D917509" t="inlineStr">
        <is>
          <t>Percent change</t>
        </is>
      </c>
    </row>
    <row r="917510">
      <c r="B917510" t="inlineStr">
        <is>
          <t>Scale</t>
        </is>
      </c>
      <c r="C917510" t="inlineStr">
        <is>
          <t>Billions</t>
        </is>
      </c>
      <c r="D917510" t="inlineStr">
        <is>
          <t>Units</t>
        </is>
      </c>
    </row>
    <row r="917511">
      <c r="B917511" t="inlineStr">
        <is>
          <t>Country/Series-specific Notes</t>
        </is>
      </c>
      <c r="C9175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17511" t="inlineStr">
        <is>
          <t>See notes for:  Gross domestic product, constant prices (National currency).</t>
        </is>
      </c>
    </row>
    <row r="917512">
      <c r="B917512" t="n">
        <v>2000</v>
      </c>
      <c r="C917512" t="n">
        <v>16.963</v>
      </c>
      <c r="D917512" t="n">
        <v>1.865</v>
      </c>
    </row>
    <row r="917513">
      <c r="B917513" t="n">
        <v>2001</v>
      </c>
      <c r="C917513" t="n">
        <v>17.772</v>
      </c>
      <c r="D917513" t="n">
        <v>4.769</v>
      </c>
    </row>
    <row r="917514">
      <c r="B917514" t="n">
        <v>2002</v>
      </c>
      <c r="C917514" t="n">
        <v>18.747</v>
      </c>
      <c r="D917514" t="n">
        <v>5.487</v>
      </c>
    </row>
    <row r="917515">
      <c r="B917515" t="n">
        <v>2003</v>
      </c>
      <c r="C917515" t="n">
        <v>20.852</v>
      </c>
      <c r="D917515" t="n">
        <v>11.228</v>
      </c>
    </row>
    <row r="917516">
      <c r="B917516" t="n">
        <v>2004</v>
      </c>
      <c r="C917516" t="n">
        <v>22.061</v>
      </c>
      <c r="D917516" t="n">
        <v>5.796</v>
      </c>
    </row>
    <row r="917517">
      <c r="B917517" t="n">
        <v>2005</v>
      </c>
      <c r="C917517" t="n">
        <v>24.176</v>
      </c>
      <c r="D917517" t="n">
        <v>9.587999999999999</v>
      </c>
    </row>
    <row r="917518">
      <c r="B917518" t="n">
        <v>2006</v>
      </c>
      <c r="C917518" t="n">
        <v>26.454</v>
      </c>
      <c r="D917518" t="n">
        <v>9.42</v>
      </c>
    </row>
    <row r="917519">
      <c r="B917519" t="n">
        <v>2007</v>
      </c>
      <c r="C917519" t="n">
        <v>29.781</v>
      </c>
      <c r="D917519" t="n">
        <v>12.579</v>
      </c>
    </row>
    <row r="917520">
      <c r="B917520" t="n">
        <v>2008</v>
      </c>
      <c r="C917520" t="n">
        <v>30.502</v>
      </c>
      <c r="D917520" t="n">
        <v>2.419</v>
      </c>
    </row>
    <row r="917521">
      <c r="B917521" t="n">
        <v>2009</v>
      </c>
      <c r="C917521" t="n">
        <v>29.388</v>
      </c>
      <c r="D917521" t="n">
        <v>-3.651</v>
      </c>
    </row>
    <row r="917522">
      <c r="B917522" t="n">
        <v>2010</v>
      </c>
      <c r="C917522" t="n">
        <v>31.428</v>
      </c>
      <c r="D917522" t="n">
        <v>6.942</v>
      </c>
    </row>
    <row r="917523">
      <c r="B917523" t="n">
        <v>2011</v>
      </c>
      <c r="C917523" t="n">
        <v>33.927</v>
      </c>
      <c r="D917523" t="n">
        <v>7.949</v>
      </c>
    </row>
    <row r="917524">
      <c r="B917524" t="n">
        <v>2012</v>
      </c>
      <c r="C917524" t="n">
        <v>36.159</v>
      </c>
      <c r="D917524" t="n">
        <v>6.579</v>
      </c>
    </row>
    <row r="917525">
      <c r="B917525" t="n">
        <v>2013</v>
      </c>
      <c r="C917525" t="n">
        <v>38.015</v>
      </c>
      <c r="D917525" t="n">
        <v>5.134</v>
      </c>
    </row>
    <row r="917526">
      <c r="B917526" t="n">
        <v>2014</v>
      </c>
      <c r="C917526" t="n">
        <v>39.57</v>
      </c>
      <c r="D917526" t="n">
        <v>4.091</v>
      </c>
    </row>
    <row r="917527">
      <c r="B917527" t="n">
        <v>2015</v>
      </c>
      <c r="C917527" t="n">
        <v>40.896</v>
      </c>
      <c r="D917527" t="n">
        <v>3.351</v>
      </c>
    </row>
    <row r="917528">
      <c r="B917528" t="n">
        <v>2016</v>
      </c>
      <c r="C917528" t="n">
        <v>42.307</v>
      </c>
      <c r="D917528" t="n">
        <v>3.45</v>
      </c>
    </row>
    <row r="917529">
      <c r="B917529" t="n">
        <v>2017</v>
      </c>
      <c r="C917529" t="n">
        <v>44.49</v>
      </c>
      <c r="D917529" t="n">
        <v>5.161</v>
      </c>
    </row>
    <row r="917530">
      <c r="B917530" t="n">
        <v>2018</v>
      </c>
      <c r="C917530" t="n">
        <v>47.187</v>
      </c>
      <c r="D917530" t="n">
        <v>6.062</v>
      </c>
    </row>
    <row r="917531">
      <c r="B917531" t="n">
        <v>2019</v>
      </c>
      <c r="C917531" t="n">
        <v>49.726</v>
      </c>
      <c r="D917531" t="n">
        <v>5.38</v>
      </c>
    </row>
    <row r="917532">
      <c r="B917532" t="n">
        <v>2020</v>
      </c>
      <c r="C917532" t="n">
        <v>46.598</v>
      </c>
      <c r="D917532" t="n">
        <v>-6.291</v>
      </c>
    </row>
    <row r="917533">
      <c r="B917533" t="n">
        <v>2021</v>
      </c>
      <c r="C917533" t="n">
        <v>51.558</v>
      </c>
      <c r="D917533" t="n">
        <v>10.644</v>
      </c>
    </row>
    <row r="917534">
      <c r="B917534" t="n">
        <v>2022</v>
      </c>
      <c r="C917534" t="n">
        <v>57.208</v>
      </c>
      <c r="D917534" t="n">
        <v>10.96</v>
      </c>
    </row>
    <row r="917535">
      <c r="B917535" t="n">
        <v>2023</v>
      </c>
      <c r="C917535" t="n">
        <v>61.689</v>
      </c>
      <c r="D917535" t="n">
        <v>7.832</v>
      </c>
    </row>
    <row r="917536">
      <c r="B917536" t="n">
        <v>2024</v>
      </c>
      <c r="C917536" t="n">
        <v>67.505</v>
      </c>
      <c r="D917536" t="n">
        <v>9.429</v>
      </c>
    </row>
    <row r="917537">
      <c r="B917537" t="n">
        <v>2025</v>
      </c>
      <c r="C917537" t="n">
        <v>71.54000000000001</v>
      </c>
      <c r="D917537" t="n">
        <v>5.977</v>
      </c>
    </row>
    <row r="917538">
      <c r="B917538" t="n">
        <v>2026</v>
      </c>
      <c r="C917538" t="n">
        <v>75.117</v>
      </c>
      <c r="D917538" t="n">
        <v>5</v>
      </c>
    </row>
    <row r="917539">
      <c r="B917539" t="n">
        <v>2027</v>
      </c>
      <c r="C917539" t="n">
        <v>78.873</v>
      </c>
      <c r="D917539" t="n">
        <v>5</v>
      </c>
    </row>
    <row r="917540">
      <c r="B917540" t="inlineStr">
        <is>
          <t>Estimates Start After</t>
        </is>
      </c>
      <c r="C917540" t="n">
        <v>2024</v>
      </c>
      <c r="D917540" t="n">
        <v>2024</v>
      </c>
    </row>
    <row r="933889">
      <c r="B933889" t="inlineStr">
        <is>
          <t>WEO Country Code</t>
        </is>
      </c>
      <c r="C933889" t="n">
        <v>915</v>
      </c>
      <c r="D933889" t="n">
        <v>915</v>
      </c>
    </row>
    <row r="933890">
      <c r="B933890" t="inlineStr">
        <is>
          <t>WEO Subject Code</t>
        </is>
      </c>
      <c r="C933890" t="inlineStr">
        <is>
          <t>NGDP_R</t>
        </is>
      </c>
      <c r="D933890" t="inlineStr">
        <is>
          <t>NGDP_RPCH</t>
        </is>
      </c>
    </row>
    <row r="933891">
      <c r="B933891" t="inlineStr">
        <is>
          <t>Country</t>
        </is>
      </c>
      <c r="C933891" t="inlineStr">
        <is>
          <t>Georgia</t>
        </is>
      </c>
      <c r="D933891" t="inlineStr">
        <is>
          <t>Georgia</t>
        </is>
      </c>
    </row>
    <row r="933892">
      <c r="B933892" t="inlineStr">
        <is>
          <t>Subject Descriptor</t>
        </is>
      </c>
      <c r="C933892" t="inlineStr">
        <is>
          <t>Gross domestic product, constant prices</t>
        </is>
      </c>
      <c r="D933892" t="inlineStr">
        <is>
          <t>Gross domestic product, constant prices</t>
        </is>
      </c>
    </row>
    <row r="933893">
      <c r="B933893" t="inlineStr">
        <is>
          <t>Units</t>
        </is>
      </c>
      <c r="C933893" t="inlineStr">
        <is>
          <t>National currency</t>
        </is>
      </c>
      <c r="D933893" t="inlineStr">
        <is>
          <t>Percent change</t>
        </is>
      </c>
    </row>
    <row r="933894">
      <c r="B933894" t="inlineStr">
        <is>
          <t>Scale</t>
        </is>
      </c>
      <c r="C933894" t="inlineStr">
        <is>
          <t>Billions</t>
        </is>
      </c>
      <c r="D933894" t="inlineStr">
        <is>
          <t>Units</t>
        </is>
      </c>
    </row>
    <row r="933895">
      <c r="B933895" t="inlineStr">
        <is>
          <t>Country/Series-specific Notes</t>
        </is>
      </c>
      <c r="C9338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33895" t="inlineStr">
        <is>
          <t>See notes for:  Gross domestic product, constant prices (National currency).</t>
        </is>
      </c>
    </row>
    <row r="933896">
      <c r="B933896" t="n">
        <v>2000</v>
      </c>
      <c r="C933896" t="n">
        <v>16.963</v>
      </c>
      <c r="D933896" t="n">
        <v>1.865</v>
      </c>
    </row>
    <row r="933897">
      <c r="B933897" t="n">
        <v>2001</v>
      </c>
      <c r="C933897" t="n">
        <v>17.772</v>
      </c>
      <c r="D933897" t="n">
        <v>4.769</v>
      </c>
    </row>
    <row r="933898">
      <c r="B933898" t="n">
        <v>2002</v>
      </c>
      <c r="C933898" t="n">
        <v>18.747</v>
      </c>
      <c r="D933898" t="n">
        <v>5.487</v>
      </c>
    </row>
    <row r="933899">
      <c r="B933899" t="n">
        <v>2003</v>
      </c>
      <c r="C933899" t="n">
        <v>20.852</v>
      </c>
      <c r="D933899" t="n">
        <v>11.228</v>
      </c>
    </row>
    <row r="933900">
      <c r="B933900" t="n">
        <v>2004</v>
      </c>
      <c r="C933900" t="n">
        <v>22.061</v>
      </c>
      <c r="D933900" t="n">
        <v>5.796</v>
      </c>
    </row>
    <row r="933901">
      <c r="B933901" t="n">
        <v>2005</v>
      </c>
      <c r="C933901" t="n">
        <v>24.176</v>
      </c>
      <c r="D933901" t="n">
        <v>9.587999999999999</v>
      </c>
    </row>
    <row r="933902">
      <c r="B933902" t="n">
        <v>2006</v>
      </c>
      <c r="C933902" t="n">
        <v>26.454</v>
      </c>
      <c r="D933902" t="n">
        <v>9.42</v>
      </c>
    </row>
    <row r="933903">
      <c r="B933903" t="n">
        <v>2007</v>
      </c>
      <c r="C933903" t="n">
        <v>29.781</v>
      </c>
      <c r="D933903" t="n">
        <v>12.579</v>
      </c>
    </row>
    <row r="933904">
      <c r="B933904" t="n">
        <v>2008</v>
      </c>
      <c r="C933904" t="n">
        <v>30.502</v>
      </c>
      <c r="D933904" t="n">
        <v>2.419</v>
      </c>
    </row>
    <row r="933905">
      <c r="B933905" t="n">
        <v>2009</v>
      </c>
      <c r="C933905" t="n">
        <v>29.388</v>
      </c>
      <c r="D933905" t="n">
        <v>-3.651</v>
      </c>
    </row>
    <row r="933906">
      <c r="B933906" t="n">
        <v>2010</v>
      </c>
      <c r="C933906" t="n">
        <v>31.428</v>
      </c>
      <c r="D933906" t="n">
        <v>6.942</v>
      </c>
    </row>
    <row r="933907">
      <c r="B933907" t="n">
        <v>2011</v>
      </c>
      <c r="C933907" t="n">
        <v>33.927</v>
      </c>
      <c r="D933907" t="n">
        <v>7.949</v>
      </c>
    </row>
    <row r="933908">
      <c r="B933908" t="n">
        <v>2012</v>
      </c>
      <c r="C933908" t="n">
        <v>36.159</v>
      </c>
      <c r="D933908" t="n">
        <v>6.579</v>
      </c>
    </row>
    <row r="933909">
      <c r="B933909" t="n">
        <v>2013</v>
      </c>
      <c r="C933909" t="n">
        <v>38.015</v>
      </c>
      <c r="D933909" t="n">
        <v>5.134</v>
      </c>
    </row>
    <row r="933910">
      <c r="B933910" t="n">
        <v>2014</v>
      </c>
      <c r="C933910" t="n">
        <v>39.57</v>
      </c>
      <c r="D933910" t="n">
        <v>4.091</v>
      </c>
    </row>
    <row r="933911">
      <c r="B933911" t="n">
        <v>2015</v>
      </c>
      <c r="C933911" t="n">
        <v>40.896</v>
      </c>
      <c r="D933911" t="n">
        <v>3.351</v>
      </c>
    </row>
    <row r="933912">
      <c r="B933912" t="n">
        <v>2016</v>
      </c>
      <c r="C933912" t="n">
        <v>42.307</v>
      </c>
      <c r="D933912" t="n">
        <v>3.45</v>
      </c>
    </row>
    <row r="933913">
      <c r="B933913" t="n">
        <v>2017</v>
      </c>
      <c r="C933913" t="n">
        <v>44.49</v>
      </c>
      <c r="D933913" t="n">
        <v>5.161</v>
      </c>
    </row>
    <row r="933914">
      <c r="B933914" t="n">
        <v>2018</v>
      </c>
      <c r="C933914" t="n">
        <v>47.187</v>
      </c>
      <c r="D933914" t="n">
        <v>6.062</v>
      </c>
    </row>
    <row r="933915">
      <c r="B933915" t="n">
        <v>2019</v>
      </c>
      <c r="C933915" t="n">
        <v>49.726</v>
      </c>
      <c r="D933915" t="n">
        <v>5.38</v>
      </c>
    </row>
    <row r="933916">
      <c r="B933916" t="n">
        <v>2020</v>
      </c>
      <c r="C933916" t="n">
        <v>46.598</v>
      </c>
      <c r="D933916" t="n">
        <v>-6.291</v>
      </c>
    </row>
    <row r="933917">
      <c r="B933917" t="n">
        <v>2021</v>
      </c>
      <c r="C933917" t="n">
        <v>51.558</v>
      </c>
      <c r="D933917" t="n">
        <v>10.644</v>
      </c>
    </row>
    <row r="933918">
      <c r="B933918" t="n">
        <v>2022</v>
      </c>
      <c r="C933918" t="n">
        <v>57.208</v>
      </c>
      <c r="D933918" t="n">
        <v>10.96</v>
      </c>
    </row>
    <row r="933919">
      <c r="B933919" t="n">
        <v>2023</v>
      </c>
      <c r="C933919" t="n">
        <v>61.689</v>
      </c>
      <c r="D933919" t="n">
        <v>7.832</v>
      </c>
    </row>
    <row r="933920">
      <c r="B933920" t="n">
        <v>2024</v>
      </c>
      <c r="C933920" t="n">
        <v>67.505</v>
      </c>
      <c r="D933920" t="n">
        <v>9.429</v>
      </c>
    </row>
    <row r="933921">
      <c r="B933921" t="n">
        <v>2025</v>
      </c>
      <c r="C933921" t="n">
        <v>71.54000000000001</v>
      </c>
      <c r="D933921" t="n">
        <v>5.977</v>
      </c>
    </row>
    <row r="933922">
      <c r="B933922" t="n">
        <v>2026</v>
      </c>
      <c r="C933922" t="n">
        <v>75.117</v>
      </c>
      <c r="D933922" t="n">
        <v>5</v>
      </c>
    </row>
    <row r="933923">
      <c r="B933923" t="n">
        <v>2027</v>
      </c>
      <c r="C933923" t="n">
        <v>78.873</v>
      </c>
      <c r="D933923" t="n">
        <v>5</v>
      </c>
    </row>
    <row r="933924">
      <c r="B933924" t="inlineStr">
        <is>
          <t>Estimates Start After</t>
        </is>
      </c>
      <c r="C933924" t="n">
        <v>2024</v>
      </c>
      <c r="D933924" t="n">
        <v>2024</v>
      </c>
    </row>
    <row r="950273">
      <c r="B950273" t="inlineStr">
        <is>
          <t>WEO Country Code</t>
        </is>
      </c>
      <c r="C950273" t="n">
        <v>915</v>
      </c>
      <c r="D950273" t="n">
        <v>915</v>
      </c>
    </row>
    <row r="950274">
      <c r="B950274" t="inlineStr">
        <is>
          <t>WEO Subject Code</t>
        </is>
      </c>
      <c r="C950274" t="inlineStr">
        <is>
          <t>NGDP_R</t>
        </is>
      </c>
      <c r="D950274" t="inlineStr">
        <is>
          <t>NGDP_RPCH</t>
        </is>
      </c>
    </row>
    <row r="950275">
      <c r="B950275" t="inlineStr">
        <is>
          <t>Country</t>
        </is>
      </c>
      <c r="C950275" t="inlineStr">
        <is>
          <t>Georgia</t>
        </is>
      </c>
      <c r="D950275" t="inlineStr">
        <is>
          <t>Georgia</t>
        </is>
      </c>
    </row>
    <row r="950276">
      <c r="B950276" t="inlineStr">
        <is>
          <t>Subject Descriptor</t>
        </is>
      </c>
      <c r="C950276" t="inlineStr">
        <is>
          <t>Gross domestic product, constant prices</t>
        </is>
      </c>
      <c r="D950276" t="inlineStr">
        <is>
          <t>Gross domestic product, constant prices</t>
        </is>
      </c>
    </row>
    <row r="950277">
      <c r="B950277" t="inlineStr">
        <is>
          <t>Units</t>
        </is>
      </c>
      <c r="C950277" t="inlineStr">
        <is>
          <t>National currency</t>
        </is>
      </c>
      <c r="D950277" t="inlineStr">
        <is>
          <t>Percent change</t>
        </is>
      </c>
    </row>
    <row r="950278">
      <c r="B950278" t="inlineStr">
        <is>
          <t>Scale</t>
        </is>
      </c>
      <c r="C950278" t="inlineStr">
        <is>
          <t>Billions</t>
        </is>
      </c>
      <c r="D950278" t="inlineStr">
        <is>
          <t>Units</t>
        </is>
      </c>
    </row>
    <row r="950279">
      <c r="B950279" t="inlineStr">
        <is>
          <t>Country/Series-specific Notes</t>
        </is>
      </c>
      <c r="C9502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50279" t="inlineStr">
        <is>
          <t>See notes for:  Gross domestic product, constant prices (National currency).</t>
        </is>
      </c>
    </row>
    <row r="950280">
      <c r="B950280" t="n">
        <v>2000</v>
      </c>
      <c r="C950280" t="n">
        <v>16.963</v>
      </c>
      <c r="D950280" t="n">
        <v>1.865</v>
      </c>
    </row>
    <row r="950281">
      <c r="B950281" t="n">
        <v>2001</v>
      </c>
      <c r="C950281" t="n">
        <v>17.772</v>
      </c>
      <c r="D950281" t="n">
        <v>4.769</v>
      </c>
    </row>
    <row r="950282">
      <c r="B950282" t="n">
        <v>2002</v>
      </c>
      <c r="C950282" t="n">
        <v>18.747</v>
      </c>
      <c r="D950282" t="n">
        <v>5.487</v>
      </c>
    </row>
    <row r="950283">
      <c r="B950283" t="n">
        <v>2003</v>
      </c>
      <c r="C950283" t="n">
        <v>20.852</v>
      </c>
      <c r="D950283" t="n">
        <v>11.228</v>
      </c>
    </row>
    <row r="950284">
      <c r="B950284" t="n">
        <v>2004</v>
      </c>
      <c r="C950284" t="n">
        <v>22.061</v>
      </c>
      <c r="D950284" t="n">
        <v>5.796</v>
      </c>
    </row>
    <row r="950285">
      <c r="B950285" t="n">
        <v>2005</v>
      </c>
      <c r="C950285" t="n">
        <v>24.176</v>
      </c>
      <c r="D950285" t="n">
        <v>9.587999999999999</v>
      </c>
    </row>
    <row r="950286">
      <c r="B950286" t="n">
        <v>2006</v>
      </c>
      <c r="C950286" t="n">
        <v>26.454</v>
      </c>
      <c r="D950286" t="n">
        <v>9.42</v>
      </c>
    </row>
    <row r="950287">
      <c r="B950287" t="n">
        <v>2007</v>
      </c>
      <c r="C950287" t="n">
        <v>29.781</v>
      </c>
      <c r="D950287" t="n">
        <v>12.579</v>
      </c>
    </row>
    <row r="950288">
      <c r="B950288" t="n">
        <v>2008</v>
      </c>
      <c r="C950288" t="n">
        <v>30.502</v>
      </c>
      <c r="D950288" t="n">
        <v>2.419</v>
      </c>
    </row>
    <row r="950289">
      <c r="B950289" t="n">
        <v>2009</v>
      </c>
      <c r="C950289" t="n">
        <v>29.388</v>
      </c>
      <c r="D950289" t="n">
        <v>-3.651</v>
      </c>
    </row>
    <row r="950290">
      <c r="B950290" t="n">
        <v>2010</v>
      </c>
      <c r="C950290" t="n">
        <v>31.428</v>
      </c>
      <c r="D950290" t="n">
        <v>6.942</v>
      </c>
    </row>
    <row r="950291">
      <c r="B950291" t="n">
        <v>2011</v>
      </c>
      <c r="C950291" t="n">
        <v>33.927</v>
      </c>
      <c r="D950291" t="n">
        <v>7.949</v>
      </c>
    </row>
    <row r="950292">
      <c r="B950292" t="n">
        <v>2012</v>
      </c>
      <c r="C950292" t="n">
        <v>36.159</v>
      </c>
      <c r="D950292" t="n">
        <v>6.579</v>
      </c>
    </row>
    <row r="950293">
      <c r="B950293" t="n">
        <v>2013</v>
      </c>
      <c r="C950293" t="n">
        <v>38.015</v>
      </c>
      <c r="D950293" t="n">
        <v>5.134</v>
      </c>
    </row>
    <row r="950294">
      <c r="B950294" t="n">
        <v>2014</v>
      </c>
      <c r="C950294" t="n">
        <v>39.57</v>
      </c>
      <c r="D950294" t="n">
        <v>4.091</v>
      </c>
    </row>
    <row r="950295">
      <c r="B950295" t="n">
        <v>2015</v>
      </c>
      <c r="C950295" t="n">
        <v>40.896</v>
      </c>
      <c r="D950295" t="n">
        <v>3.351</v>
      </c>
    </row>
    <row r="950296">
      <c r="B950296" t="n">
        <v>2016</v>
      </c>
      <c r="C950296" t="n">
        <v>42.307</v>
      </c>
      <c r="D950296" t="n">
        <v>3.45</v>
      </c>
    </row>
    <row r="950297">
      <c r="B950297" t="n">
        <v>2017</v>
      </c>
      <c r="C950297" t="n">
        <v>44.49</v>
      </c>
      <c r="D950297" t="n">
        <v>5.161</v>
      </c>
    </row>
    <row r="950298">
      <c r="B950298" t="n">
        <v>2018</v>
      </c>
      <c r="C950298" t="n">
        <v>47.187</v>
      </c>
      <c r="D950298" t="n">
        <v>6.062</v>
      </c>
    </row>
    <row r="950299">
      <c r="B950299" t="n">
        <v>2019</v>
      </c>
      <c r="C950299" t="n">
        <v>49.726</v>
      </c>
      <c r="D950299" t="n">
        <v>5.38</v>
      </c>
    </row>
    <row r="950300">
      <c r="B950300" t="n">
        <v>2020</v>
      </c>
      <c r="C950300" t="n">
        <v>46.598</v>
      </c>
      <c r="D950300" t="n">
        <v>-6.291</v>
      </c>
    </row>
    <row r="950301">
      <c r="B950301" t="n">
        <v>2021</v>
      </c>
      <c r="C950301" t="n">
        <v>51.558</v>
      </c>
      <c r="D950301" t="n">
        <v>10.644</v>
      </c>
    </row>
    <row r="950302">
      <c r="B950302" t="n">
        <v>2022</v>
      </c>
      <c r="C950302" t="n">
        <v>57.208</v>
      </c>
      <c r="D950302" t="n">
        <v>10.96</v>
      </c>
    </row>
    <row r="950303">
      <c r="B950303" t="n">
        <v>2023</v>
      </c>
      <c r="C950303" t="n">
        <v>61.689</v>
      </c>
      <c r="D950303" t="n">
        <v>7.832</v>
      </c>
    </row>
    <row r="950304">
      <c r="B950304" t="n">
        <v>2024</v>
      </c>
      <c r="C950304" t="n">
        <v>67.505</v>
      </c>
      <c r="D950304" t="n">
        <v>9.429</v>
      </c>
    </row>
    <row r="950305">
      <c r="B950305" t="n">
        <v>2025</v>
      </c>
      <c r="C950305" t="n">
        <v>71.54000000000001</v>
      </c>
      <c r="D950305" t="n">
        <v>5.977</v>
      </c>
    </row>
    <row r="950306">
      <c r="B950306" t="n">
        <v>2026</v>
      </c>
      <c r="C950306" t="n">
        <v>75.117</v>
      </c>
      <c r="D950306" t="n">
        <v>5</v>
      </c>
    </row>
    <row r="950307">
      <c r="B950307" t="n">
        <v>2027</v>
      </c>
      <c r="C950307" t="n">
        <v>78.873</v>
      </c>
      <c r="D950307" t="n">
        <v>5</v>
      </c>
    </row>
    <row r="950308">
      <c r="B950308" t="inlineStr">
        <is>
          <t>Estimates Start After</t>
        </is>
      </c>
      <c r="C950308" t="n">
        <v>2024</v>
      </c>
      <c r="D950308" t="n">
        <v>2024</v>
      </c>
    </row>
    <row r="966657">
      <c r="B966657" t="inlineStr">
        <is>
          <t>WEO Country Code</t>
        </is>
      </c>
      <c r="C966657" t="n">
        <v>915</v>
      </c>
      <c r="D966657" t="n">
        <v>915</v>
      </c>
    </row>
    <row r="966658">
      <c r="B966658" t="inlineStr">
        <is>
          <t>WEO Subject Code</t>
        </is>
      </c>
      <c r="C966658" t="inlineStr">
        <is>
          <t>NGDP_R</t>
        </is>
      </c>
      <c r="D966658" t="inlineStr">
        <is>
          <t>NGDP_RPCH</t>
        </is>
      </c>
    </row>
    <row r="966659">
      <c r="B966659" t="inlineStr">
        <is>
          <t>Country</t>
        </is>
      </c>
      <c r="C966659" t="inlineStr">
        <is>
          <t>Georgia</t>
        </is>
      </c>
      <c r="D966659" t="inlineStr">
        <is>
          <t>Georgia</t>
        </is>
      </c>
    </row>
    <row r="966660">
      <c r="B966660" t="inlineStr">
        <is>
          <t>Subject Descriptor</t>
        </is>
      </c>
      <c r="C966660" t="inlineStr">
        <is>
          <t>Gross domestic product, constant prices</t>
        </is>
      </c>
      <c r="D966660" t="inlineStr">
        <is>
          <t>Gross domestic product, constant prices</t>
        </is>
      </c>
    </row>
    <row r="966661">
      <c r="B966661" t="inlineStr">
        <is>
          <t>Units</t>
        </is>
      </c>
      <c r="C966661" t="inlineStr">
        <is>
          <t>National currency</t>
        </is>
      </c>
      <c r="D966661" t="inlineStr">
        <is>
          <t>Percent change</t>
        </is>
      </c>
    </row>
    <row r="966662">
      <c r="B966662" t="inlineStr">
        <is>
          <t>Scale</t>
        </is>
      </c>
      <c r="C966662" t="inlineStr">
        <is>
          <t>Billions</t>
        </is>
      </c>
      <c r="D966662" t="inlineStr">
        <is>
          <t>Units</t>
        </is>
      </c>
    </row>
    <row r="966663">
      <c r="B966663" t="inlineStr">
        <is>
          <t>Country/Series-specific Notes</t>
        </is>
      </c>
      <c r="C9666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66663" t="inlineStr">
        <is>
          <t>See notes for:  Gross domestic product, constant prices (National currency).</t>
        </is>
      </c>
    </row>
    <row r="966664">
      <c r="B966664" t="n">
        <v>2000</v>
      </c>
      <c r="C966664" t="n">
        <v>16.963</v>
      </c>
      <c r="D966664" t="n">
        <v>1.865</v>
      </c>
    </row>
    <row r="966665">
      <c r="B966665" t="n">
        <v>2001</v>
      </c>
      <c r="C966665" t="n">
        <v>17.772</v>
      </c>
      <c r="D966665" t="n">
        <v>4.769</v>
      </c>
    </row>
    <row r="966666">
      <c r="B966666" t="n">
        <v>2002</v>
      </c>
      <c r="C966666" t="n">
        <v>18.747</v>
      </c>
      <c r="D966666" t="n">
        <v>5.487</v>
      </c>
    </row>
    <row r="966667">
      <c r="B966667" t="n">
        <v>2003</v>
      </c>
      <c r="C966667" t="n">
        <v>20.852</v>
      </c>
      <c r="D966667" t="n">
        <v>11.228</v>
      </c>
    </row>
    <row r="966668">
      <c r="B966668" t="n">
        <v>2004</v>
      </c>
      <c r="C966668" t="n">
        <v>22.061</v>
      </c>
      <c r="D966668" t="n">
        <v>5.796</v>
      </c>
    </row>
    <row r="966669">
      <c r="B966669" t="n">
        <v>2005</v>
      </c>
      <c r="C966669" t="n">
        <v>24.176</v>
      </c>
      <c r="D966669" t="n">
        <v>9.587999999999999</v>
      </c>
    </row>
    <row r="966670">
      <c r="B966670" t="n">
        <v>2006</v>
      </c>
      <c r="C966670" t="n">
        <v>26.454</v>
      </c>
      <c r="D966670" t="n">
        <v>9.42</v>
      </c>
    </row>
    <row r="966671">
      <c r="B966671" t="n">
        <v>2007</v>
      </c>
      <c r="C966671" t="n">
        <v>29.781</v>
      </c>
      <c r="D966671" t="n">
        <v>12.579</v>
      </c>
    </row>
    <row r="966672">
      <c r="B966672" t="n">
        <v>2008</v>
      </c>
      <c r="C966672" t="n">
        <v>30.502</v>
      </c>
      <c r="D966672" t="n">
        <v>2.419</v>
      </c>
    </row>
    <row r="966673">
      <c r="B966673" t="n">
        <v>2009</v>
      </c>
      <c r="C966673" t="n">
        <v>29.388</v>
      </c>
      <c r="D966673" t="n">
        <v>-3.651</v>
      </c>
    </row>
    <row r="966674">
      <c r="B966674" t="n">
        <v>2010</v>
      </c>
      <c r="C966674" t="n">
        <v>31.428</v>
      </c>
      <c r="D966674" t="n">
        <v>6.942</v>
      </c>
    </row>
    <row r="966675">
      <c r="B966675" t="n">
        <v>2011</v>
      </c>
      <c r="C966675" t="n">
        <v>33.927</v>
      </c>
      <c r="D966675" t="n">
        <v>7.949</v>
      </c>
    </row>
    <row r="966676">
      <c r="B966676" t="n">
        <v>2012</v>
      </c>
      <c r="C966676" t="n">
        <v>36.159</v>
      </c>
      <c r="D966676" t="n">
        <v>6.579</v>
      </c>
    </row>
    <row r="966677">
      <c r="B966677" t="n">
        <v>2013</v>
      </c>
      <c r="C966677" t="n">
        <v>38.015</v>
      </c>
      <c r="D966677" t="n">
        <v>5.134</v>
      </c>
    </row>
    <row r="966678">
      <c r="B966678" t="n">
        <v>2014</v>
      </c>
      <c r="C966678" t="n">
        <v>39.57</v>
      </c>
      <c r="D966678" t="n">
        <v>4.091</v>
      </c>
    </row>
    <row r="966679">
      <c r="B966679" t="n">
        <v>2015</v>
      </c>
      <c r="C966679" t="n">
        <v>40.896</v>
      </c>
      <c r="D966679" t="n">
        <v>3.351</v>
      </c>
    </row>
    <row r="966680">
      <c r="B966680" t="n">
        <v>2016</v>
      </c>
      <c r="C966680" t="n">
        <v>42.307</v>
      </c>
      <c r="D966680" t="n">
        <v>3.45</v>
      </c>
    </row>
    <row r="966681">
      <c r="B966681" t="n">
        <v>2017</v>
      </c>
      <c r="C966681" t="n">
        <v>44.49</v>
      </c>
      <c r="D966681" t="n">
        <v>5.161</v>
      </c>
    </row>
    <row r="966682">
      <c r="B966682" t="n">
        <v>2018</v>
      </c>
      <c r="C966682" t="n">
        <v>47.187</v>
      </c>
      <c r="D966682" t="n">
        <v>6.062</v>
      </c>
    </row>
    <row r="966683">
      <c r="B966683" t="n">
        <v>2019</v>
      </c>
      <c r="C966683" t="n">
        <v>49.726</v>
      </c>
      <c r="D966683" t="n">
        <v>5.38</v>
      </c>
    </row>
    <row r="966684">
      <c r="B966684" t="n">
        <v>2020</v>
      </c>
      <c r="C966684" t="n">
        <v>46.598</v>
      </c>
      <c r="D966684" t="n">
        <v>-6.291</v>
      </c>
    </row>
    <row r="966685">
      <c r="B966685" t="n">
        <v>2021</v>
      </c>
      <c r="C966685" t="n">
        <v>51.558</v>
      </c>
      <c r="D966685" t="n">
        <v>10.644</v>
      </c>
    </row>
    <row r="966686">
      <c r="B966686" t="n">
        <v>2022</v>
      </c>
      <c r="C966686" t="n">
        <v>57.208</v>
      </c>
      <c r="D966686" t="n">
        <v>10.96</v>
      </c>
    </row>
    <row r="966687">
      <c r="B966687" t="n">
        <v>2023</v>
      </c>
      <c r="C966687" t="n">
        <v>61.689</v>
      </c>
      <c r="D966687" t="n">
        <v>7.832</v>
      </c>
    </row>
    <row r="966688">
      <c r="B966688" t="n">
        <v>2024</v>
      </c>
      <c r="C966688" t="n">
        <v>67.505</v>
      </c>
      <c r="D966688" t="n">
        <v>9.429</v>
      </c>
    </row>
    <row r="966689">
      <c r="B966689" t="n">
        <v>2025</v>
      </c>
      <c r="C966689" t="n">
        <v>71.54000000000001</v>
      </c>
      <c r="D966689" t="n">
        <v>5.977</v>
      </c>
    </row>
    <row r="966690">
      <c r="B966690" t="n">
        <v>2026</v>
      </c>
      <c r="C966690" t="n">
        <v>75.117</v>
      </c>
      <c r="D966690" t="n">
        <v>5</v>
      </c>
    </row>
    <row r="966691">
      <c r="B966691" t="n">
        <v>2027</v>
      </c>
      <c r="C966691" t="n">
        <v>78.873</v>
      </c>
      <c r="D966691" t="n">
        <v>5</v>
      </c>
    </row>
    <row r="966692">
      <c r="B966692" t="inlineStr">
        <is>
          <t>Estimates Start After</t>
        </is>
      </c>
      <c r="C966692" t="n">
        <v>2024</v>
      </c>
      <c r="D966692" t="n">
        <v>2024</v>
      </c>
    </row>
    <row r="983041">
      <c r="B983041" t="inlineStr">
        <is>
          <t>WEO Country Code</t>
        </is>
      </c>
      <c r="C983041" t="n">
        <v>915</v>
      </c>
      <c r="D983041" t="n">
        <v>915</v>
      </c>
    </row>
    <row r="983042">
      <c r="B983042" t="inlineStr">
        <is>
          <t>WEO Subject Code</t>
        </is>
      </c>
      <c r="C983042" t="inlineStr">
        <is>
          <t>NGDP_R</t>
        </is>
      </c>
      <c r="D983042" t="inlineStr">
        <is>
          <t>NGDP_RPCH</t>
        </is>
      </c>
    </row>
    <row r="983043">
      <c r="B983043" t="inlineStr">
        <is>
          <t>Country</t>
        </is>
      </c>
      <c r="C983043" t="inlineStr">
        <is>
          <t>Georgia</t>
        </is>
      </c>
      <c r="D983043" t="inlineStr">
        <is>
          <t>Georgia</t>
        </is>
      </c>
    </row>
    <row r="983044">
      <c r="B983044" t="inlineStr">
        <is>
          <t>Subject Descriptor</t>
        </is>
      </c>
      <c r="C983044" t="inlineStr">
        <is>
          <t>Gross domestic product, constant prices</t>
        </is>
      </c>
      <c r="D983044" t="inlineStr">
        <is>
          <t>Gross domestic product, constant prices</t>
        </is>
      </c>
    </row>
    <row r="983045">
      <c r="B983045" t="inlineStr">
        <is>
          <t>Units</t>
        </is>
      </c>
      <c r="C983045" t="inlineStr">
        <is>
          <t>National currency</t>
        </is>
      </c>
      <c r="D983045" t="inlineStr">
        <is>
          <t>Percent change</t>
        </is>
      </c>
    </row>
    <row r="983046">
      <c r="B983046" t="inlineStr">
        <is>
          <t>Scale</t>
        </is>
      </c>
      <c r="C983046" t="inlineStr">
        <is>
          <t>Billions</t>
        </is>
      </c>
      <c r="D983046" t="inlineStr">
        <is>
          <t>Units</t>
        </is>
      </c>
    </row>
    <row r="983047">
      <c r="B983047" t="inlineStr">
        <is>
          <t>Country/Series-specific Notes</t>
        </is>
      </c>
      <c r="C9830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047" t="inlineStr">
        <is>
          <t>See notes for:  Gross domestic product, constant prices (National currency).</t>
        </is>
      </c>
    </row>
    <row r="983048">
      <c r="B983048" t="n">
        <v>2000</v>
      </c>
      <c r="C983048" t="n">
        <v>16.963</v>
      </c>
      <c r="D983048" t="n">
        <v>1.865</v>
      </c>
    </row>
    <row r="983049">
      <c r="B983049" t="n">
        <v>2001</v>
      </c>
      <c r="C983049" t="n">
        <v>17.772</v>
      </c>
      <c r="D983049" t="n">
        <v>4.769</v>
      </c>
    </row>
    <row r="983050">
      <c r="B983050" t="n">
        <v>2002</v>
      </c>
      <c r="C983050" t="n">
        <v>18.747</v>
      </c>
      <c r="D983050" t="n">
        <v>5.487</v>
      </c>
    </row>
    <row r="983051">
      <c r="B983051" t="n">
        <v>2003</v>
      </c>
      <c r="C983051" t="n">
        <v>20.852</v>
      </c>
      <c r="D983051" t="n">
        <v>11.228</v>
      </c>
    </row>
    <row r="983052">
      <c r="B983052" t="n">
        <v>2004</v>
      </c>
      <c r="C983052" t="n">
        <v>22.061</v>
      </c>
      <c r="D983052" t="n">
        <v>5.796</v>
      </c>
    </row>
    <row r="983053">
      <c r="B983053" t="n">
        <v>2005</v>
      </c>
      <c r="C983053" t="n">
        <v>24.176</v>
      </c>
      <c r="D983053" t="n">
        <v>9.587999999999999</v>
      </c>
    </row>
    <row r="983054">
      <c r="B983054" t="n">
        <v>2006</v>
      </c>
      <c r="C983054" t="n">
        <v>26.454</v>
      </c>
      <c r="D983054" t="n">
        <v>9.42</v>
      </c>
    </row>
    <row r="983055">
      <c r="B983055" t="n">
        <v>2007</v>
      </c>
      <c r="C983055" t="n">
        <v>29.781</v>
      </c>
      <c r="D983055" t="n">
        <v>12.579</v>
      </c>
    </row>
    <row r="983056">
      <c r="B983056" t="n">
        <v>2008</v>
      </c>
      <c r="C983056" t="n">
        <v>30.502</v>
      </c>
      <c r="D983056" t="n">
        <v>2.419</v>
      </c>
    </row>
    <row r="983057">
      <c r="B983057" t="n">
        <v>2009</v>
      </c>
      <c r="C983057" t="n">
        <v>29.388</v>
      </c>
      <c r="D983057" t="n">
        <v>-3.651</v>
      </c>
    </row>
    <row r="983058">
      <c r="B983058" t="n">
        <v>2010</v>
      </c>
      <c r="C983058" t="n">
        <v>31.428</v>
      </c>
      <c r="D983058" t="n">
        <v>6.942</v>
      </c>
    </row>
    <row r="983059">
      <c r="B983059" t="n">
        <v>2011</v>
      </c>
      <c r="C983059" t="n">
        <v>33.927</v>
      </c>
      <c r="D983059" t="n">
        <v>7.949</v>
      </c>
    </row>
    <row r="983060">
      <c r="B983060" t="n">
        <v>2012</v>
      </c>
      <c r="C983060" t="n">
        <v>36.159</v>
      </c>
      <c r="D983060" t="n">
        <v>6.579</v>
      </c>
    </row>
    <row r="983061">
      <c r="B983061" t="n">
        <v>2013</v>
      </c>
      <c r="C983061" t="n">
        <v>38.015</v>
      </c>
      <c r="D983061" t="n">
        <v>5.134</v>
      </c>
    </row>
    <row r="983062">
      <c r="B983062" t="n">
        <v>2014</v>
      </c>
      <c r="C983062" t="n">
        <v>39.57</v>
      </c>
      <c r="D983062" t="n">
        <v>4.091</v>
      </c>
    </row>
    <row r="983063">
      <c r="B983063" t="n">
        <v>2015</v>
      </c>
      <c r="C983063" t="n">
        <v>40.896</v>
      </c>
      <c r="D983063" t="n">
        <v>3.351</v>
      </c>
    </row>
    <row r="983064">
      <c r="B983064" t="n">
        <v>2016</v>
      </c>
      <c r="C983064" t="n">
        <v>42.307</v>
      </c>
      <c r="D983064" t="n">
        <v>3.45</v>
      </c>
    </row>
    <row r="983065">
      <c r="B983065" t="n">
        <v>2017</v>
      </c>
      <c r="C983065" t="n">
        <v>44.49</v>
      </c>
      <c r="D983065" t="n">
        <v>5.161</v>
      </c>
    </row>
    <row r="983066">
      <c r="B983066" t="n">
        <v>2018</v>
      </c>
      <c r="C983066" t="n">
        <v>47.187</v>
      </c>
      <c r="D983066" t="n">
        <v>6.062</v>
      </c>
    </row>
    <row r="983067">
      <c r="B983067" t="n">
        <v>2019</v>
      </c>
      <c r="C983067" t="n">
        <v>49.726</v>
      </c>
      <c r="D983067" t="n">
        <v>5.38</v>
      </c>
    </row>
    <row r="983068">
      <c r="B983068" t="n">
        <v>2020</v>
      </c>
      <c r="C983068" t="n">
        <v>46.598</v>
      </c>
      <c r="D983068" t="n">
        <v>-6.291</v>
      </c>
    </row>
    <row r="983069">
      <c r="B983069" t="n">
        <v>2021</v>
      </c>
      <c r="C983069" t="n">
        <v>51.558</v>
      </c>
      <c r="D983069" t="n">
        <v>10.644</v>
      </c>
    </row>
    <row r="983070">
      <c r="B983070" t="n">
        <v>2022</v>
      </c>
      <c r="C983070" t="n">
        <v>57.208</v>
      </c>
      <c r="D983070" t="n">
        <v>10.96</v>
      </c>
    </row>
    <row r="983071">
      <c r="B983071" t="n">
        <v>2023</v>
      </c>
      <c r="C983071" t="n">
        <v>61.689</v>
      </c>
      <c r="D983071" t="n">
        <v>7.832</v>
      </c>
    </row>
    <row r="983072">
      <c r="B983072" t="n">
        <v>2024</v>
      </c>
      <c r="C983072" t="n">
        <v>67.505</v>
      </c>
      <c r="D983072" t="n">
        <v>9.429</v>
      </c>
    </row>
    <row r="983073">
      <c r="B983073" t="n">
        <v>2025</v>
      </c>
      <c r="C983073" t="n">
        <v>71.54000000000001</v>
      </c>
      <c r="D983073" t="n">
        <v>5.977</v>
      </c>
    </row>
    <row r="983074">
      <c r="B983074" t="n">
        <v>2026</v>
      </c>
      <c r="C983074" t="n">
        <v>75.117</v>
      </c>
      <c r="D983074" t="n">
        <v>5</v>
      </c>
    </row>
    <row r="983075">
      <c r="B983075" t="n">
        <v>2027</v>
      </c>
      <c r="C983075" t="n">
        <v>78.873</v>
      </c>
      <c r="D983075" t="n">
        <v>5</v>
      </c>
    </row>
    <row r="983076">
      <c r="B983076" t="inlineStr">
        <is>
          <t>Estimates Start After</t>
        </is>
      </c>
      <c r="C983076" t="n">
        <v>2024</v>
      </c>
      <c r="D983076" t="n">
        <v>2024</v>
      </c>
    </row>
    <row r="999425">
      <c r="B999425" t="inlineStr">
        <is>
          <t>WEO Country Code</t>
        </is>
      </c>
      <c r="C999425" t="n">
        <v>915</v>
      </c>
      <c r="D999425" t="n">
        <v>915</v>
      </c>
    </row>
    <row r="999426">
      <c r="B999426" t="inlineStr">
        <is>
          <t>WEO Subject Code</t>
        </is>
      </c>
      <c r="C999426" t="inlineStr">
        <is>
          <t>NGDP_R</t>
        </is>
      </c>
      <c r="D999426" t="inlineStr">
        <is>
          <t>NGDP_RPCH</t>
        </is>
      </c>
    </row>
    <row r="999427">
      <c r="B999427" t="inlineStr">
        <is>
          <t>Country</t>
        </is>
      </c>
      <c r="C999427" t="inlineStr">
        <is>
          <t>Georgia</t>
        </is>
      </c>
      <c r="D999427" t="inlineStr">
        <is>
          <t>Georgia</t>
        </is>
      </c>
    </row>
    <row r="999428">
      <c r="B999428" t="inlineStr">
        <is>
          <t>Subject Descriptor</t>
        </is>
      </c>
      <c r="C999428" t="inlineStr">
        <is>
          <t>Gross domestic product, constant prices</t>
        </is>
      </c>
      <c r="D999428" t="inlineStr">
        <is>
          <t>Gross domestic product, constant prices</t>
        </is>
      </c>
    </row>
    <row r="999429">
      <c r="B999429" t="inlineStr">
        <is>
          <t>Units</t>
        </is>
      </c>
      <c r="C999429" t="inlineStr">
        <is>
          <t>National currency</t>
        </is>
      </c>
      <c r="D999429" t="inlineStr">
        <is>
          <t>Percent change</t>
        </is>
      </c>
    </row>
    <row r="999430">
      <c r="B999430" t="inlineStr">
        <is>
          <t>Scale</t>
        </is>
      </c>
      <c r="C999430" t="inlineStr">
        <is>
          <t>Billions</t>
        </is>
      </c>
      <c r="D999430" t="inlineStr">
        <is>
          <t>Units</t>
        </is>
      </c>
    </row>
    <row r="999431">
      <c r="B999431" t="inlineStr">
        <is>
          <t>Country/Series-specific Notes</t>
        </is>
      </c>
      <c r="C9994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99431" t="inlineStr">
        <is>
          <t>See notes for:  Gross domestic product, constant prices (National currency).</t>
        </is>
      </c>
    </row>
    <row r="999432">
      <c r="B999432" t="n">
        <v>2000</v>
      </c>
      <c r="C999432" t="n">
        <v>16.963</v>
      </c>
      <c r="D999432" t="n">
        <v>1.865</v>
      </c>
    </row>
    <row r="999433">
      <c r="B999433" t="n">
        <v>2001</v>
      </c>
      <c r="C999433" t="n">
        <v>17.772</v>
      </c>
      <c r="D999433" t="n">
        <v>4.769</v>
      </c>
    </row>
    <row r="999434">
      <c r="B999434" t="n">
        <v>2002</v>
      </c>
      <c r="C999434" t="n">
        <v>18.747</v>
      </c>
      <c r="D999434" t="n">
        <v>5.487</v>
      </c>
    </row>
    <row r="999435">
      <c r="B999435" t="n">
        <v>2003</v>
      </c>
      <c r="C999435" t="n">
        <v>20.852</v>
      </c>
      <c r="D999435" t="n">
        <v>11.228</v>
      </c>
    </row>
    <row r="999436">
      <c r="B999436" t="n">
        <v>2004</v>
      </c>
      <c r="C999436" t="n">
        <v>22.061</v>
      </c>
      <c r="D999436" t="n">
        <v>5.796</v>
      </c>
    </row>
    <row r="999437">
      <c r="B999437" t="n">
        <v>2005</v>
      </c>
      <c r="C999437" t="n">
        <v>24.176</v>
      </c>
      <c r="D999437" t="n">
        <v>9.587999999999999</v>
      </c>
    </row>
    <row r="999438">
      <c r="B999438" t="n">
        <v>2006</v>
      </c>
      <c r="C999438" t="n">
        <v>26.454</v>
      </c>
      <c r="D999438" t="n">
        <v>9.42</v>
      </c>
    </row>
    <row r="999439">
      <c r="B999439" t="n">
        <v>2007</v>
      </c>
      <c r="C999439" t="n">
        <v>29.781</v>
      </c>
      <c r="D999439" t="n">
        <v>12.579</v>
      </c>
    </row>
    <row r="999440">
      <c r="B999440" t="n">
        <v>2008</v>
      </c>
      <c r="C999440" t="n">
        <v>30.502</v>
      </c>
      <c r="D999440" t="n">
        <v>2.419</v>
      </c>
    </row>
    <row r="999441">
      <c r="B999441" t="n">
        <v>2009</v>
      </c>
      <c r="C999441" t="n">
        <v>29.388</v>
      </c>
      <c r="D999441" t="n">
        <v>-3.651</v>
      </c>
    </row>
    <row r="999442">
      <c r="B999442" t="n">
        <v>2010</v>
      </c>
      <c r="C999442" t="n">
        <v>31.428</v>
      </c>
      <c r="D999442" t="n">
        <v>6.942</v>
      </c>
    </row>
    <row r="999443">
      <c r="B999443" t="n">
        <v>2011</v>
      </c>
      <c r="C999443" t="n">
        <v>33.927</v>
      </c>
      <c r="D999443" t="n">
        <v>7.949</v>
      </c>
    </row>
    <row r="999444">
      <c r="B999444" t="n">
        <v>2012</v>
      </c>
      <c r="C999444" t="n">
        <v>36.159</v>
      </c>
      <c r="D999444" t="n">
        <v>6.579</v>
      </c>
    </row>
    <row r="999445">
      <c r="B999445" t="n">
        <v>2013</v>
      </c>
      <c r="C999445" t="n">
        <v>38.015</v>
      </c>
      <c r="D999445" t="n">
        <v>5.134</v>
      </c>
    </row>
    <row r="999446">
      <c r="B999446" t="n">
        <v>2014</v>
      </c>
      <c r="C999446" t="n">
        <v>39.57</v>
      </c>
      <c r="D999446" t="n">
        <v>4.091</v>
      </c>
    </row>
    <row r="999447">
      <c r="B999447" t="n">
        <v>2015</v>
      </c>
      <c r="C999447" t="n">
        <v>40.896</v>
      </c>
      <c r="D999447" t="n">
        <v>3.351</v>
      </c>
    </row>
    <row r="999448">
      <c r="B999448" t="n">
        <v>2016</v>
      </c>
      <c r="C999448" t="n">
        <v>42.307</v>
      </c>
      <c r="D999448" t="n">
        <v>3.45</v>
      </c>
    </row>
    <row r="999449">
      <c r="B999449" t="n">
        <v>2017</v>
      </c>
      <c r="C999449" t="n">
        <v>44.49</v>
      </c>
      <c r="D999449" t="n">
        <v>5.161</v>
      </c>
    </row>
    <row r="999450">
      <c r="B999450" t="n">
        <v>2018</v>
      </c>
      <c r="C999450" t="n">
        <v>47.187</v>
      </c>
      <c r="D999450" t="n">
        <v>6.062</v>
      </c>
    </row>
    <row r="999451">
      <c r="B999451" t="n">
        <v>2019</v>
      </c>
      <c r="C999451" t="n">
        <v>49.726</v>
      </c>
      <c r="D999451" t="n">
        <v>5.38</v>
      </c>
    </row>
    <row r="999452">
      <c r="B999452" t="n">
        <v>2020</v>
      </c>
      <c r="C999452" t="n">
        <v>46.598</v>
      </c>
      <c r="D999452" t="n">
        <v>-6.291</v>
      </c>
    </row>
    <row r="999453">
      <c r="B999453" t="n">
        <v>2021</v>
      </c>
      <c r="C999453" t="n">
        <v>51.558</v>
      </c>
      <c r="D999453" t="n">
        <v>10.644</v>
      </c>
    </row>
    <row r="999454">
      <c r="B999454" t="n">
        <v>2022</v>
      </c>
      <c r="C999454" t="n">
        <v>57.208</v>
      </c>
      <c r="D999454" t="n">
        <v>10.96</v>
      </c>
    </row>
    <row r="999455">
      <c r="B999455" t="n">
        <v>2023</v>
      </c>
      <c r="C999455" t="n">
        <v>61.689</v>
      </c>
      <c r="D999455" t="n">
        <v>7.832</v>
      </c>
    </row>
    <row r="999456">
      <c r="B999456" t="n">
        <v>2024</v>
      </c>
      <c r="C999456" t="n">
        <v>67.505</v>
      </c>
      <c r="D999456" t="n">
        <v>9.429</v>
      </c>
    </row>
    <row r="999457">
      <c r="B999457" t="n">
        <v>2025</v>
      </c>
      <c r="C999457" t="n">
        <v>71.54000000000001</v>
      </c>
      <c r="D999457" t="n">
        <v>5.977</v>
      </c>
    </row>
    <row r="999458">
      <c r="B999458" t="n">
        <v>2026</v>
      </c>
      <c r="C999458" t="n">
        <v>75.117</v>
      </c>
      <c r="D999458" t="n">
        <v>5</v>
      </c>
    </row>
    <row r="999459">
      <c r="B999459" t="n">
        <v>2027</v>
      </c>
      <c r="C999459" t="n">
        <v>78.873</v>
      </c>
      <c r="D999459" t="n">
        <v>5</v>
      </c>
    </row>
    <row r="999460">
      <c r="B999460" t="inlineStr">
        <is>
          <t>Estimates Start After</t>
        </is>
      </c>
      <c r="C999460" t="n">
        <v>2024</v>
      </c>
      <c r="D999460" t="n">
        <v>2024</v>
      </c>
    </row>
    <row r="1015809">
      <c r="B1015809" t="inlineStr">
        <is>
          <t>WEO Country Code</t>
        </is>
      </c>
      <c r="C1015809" t="n">
        <v>915</v>
      </c>
      <c r="D1015809" t="n">
        <v>915</v>
      </c>
    </row>
    <row r="1015810">
      <c r="B1015810" t="inlineStr">
        <is>
          <t>WEO Subject Code</t>
        </is>
      </c>
      <c r="C1015810" t="inlineStr">
        <is>
          <t>NGDP_R</t>
        </is>
      </c>
      <c r="D1015810" t="inlineStr">
        <is>
          <t>NGDP_RPCH</t>
        </is>
      </c>
    </row>
    <row r="1015811">
      <c r="B1015811" t="inlineStr">
        <is>
          <t>Country</t>
        </is>
      </c>
      <c r="C1015811" t="inlineStr">
        <is>
          <t>Georgia</t>
        </is>
      </c>
      <c r="D1015811" t="inlineStr">
        <is>
          <t>Georgia</t>
        </is>
      </c>
    </row>
    <row r="1015812">
      <c r="B1015812" t="inlineStr">
        <is>
          <t>Subject Descriptor</t>
        </is>
      </c>
      <c r="C1015812" t="inlineStr">
        <is>
          <t>Gross domestic product, constant prices</t>
        </is>
      </c>
      <c r="D1015812" t="inlineStr">
        <is>
          <t>Gross domestic product, constant prices</t>
        </is>
      </c>
    </row>
    <row r="1015813">
      <c r="B1015813" t="inlineStr">
        <is>
          <t>Units</t>
        </is>
      </c>
      <c r="C1015813" t="inlineStr">
        <is>
          <t>National currency</t>
        </is>
      </c>
      <c r="D1015813" t="inlineStr">
        <is>
          <t>Percent change</t>
        </is>
      </c>
    </row>
    <row r="1015814">
      <c r="B1015814" t="inlineStr">
        <is>
          <t>Scale</t>
        </is>
      </c>
      <c r="C1015814" t="inlineStr">
        <is>
          <t>Billions</t>
        </is>
      </c>
      <c r="D1015814" t="inlineStr">
        <is>
          <t>Units</t>
        </is>
      </c>
    </row>
    <row r="1015815">
      <c r="B1015815" t="inlineStr">
        <is>
          <t>Country/Series-specific Notes</t>
        </is>
      </c>
      <c r="C10158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15815" t="inlineStr">
        <is>
          <t>See notes for:  Gross domestic product, constant prices (National currency).</t>
        </is>
      </c>
    </row>
    <row r="1015816">
      <c r="B1015816" t="n">
        <v>2000</v>
      </c>
      <c r="C1015816" t="n">
        <v>16.963</v>
      </c>
      <c r="D1015816" t="n">
        <v>1.865</v>
      </c>
    </row>
    <row r="1015817">
      <c r="B1015817" t="n">
        <v>2001</v>
      </c>
      <c r="C1015817" t="n">
        <v>17.772</v>
      </c>
      <c r="D1015817" t="n">
        <v>4.769</v>
      </c>
    </row>
    <row r="1015818">
      <c r="B1015818" t="n">
        <v>2002</v>
      </c>
      <c r="C1015818" t="n">
        <v>18.747</v>
      </c>
      <c r="D1015818" t="n">
        <v>5.487</v>
      </c>
    </row>
    <row r="1015819">
      <c r="B1015819" t="n">
        <v>2003</v>
      </c>
      <c r="C1015819" t="n">
        <v>20.852</v>
      </c>
      <c r="D1015819" t="n">
        <v>11.228</v>
      </c>
    </row>
    <row r="1015820">
      <c r="B1015820" t="n">
        <v>2004</v>
      </c>
      <c r="C1015820" t="n">
        <v>22.061</v>
      </c>
      <c r="D1015820" t="n">
        <v>5.796</v>
      </c>
    </row>
    <row r="1015821">
      <c r="B1015821" t="n">
        <v>2005</v>
      </c>
      <c r="C1015821" t="n">
        <v>24.176</v>
      </c>
      <c r="D1015821" t="n">
        <v>9.587999999999999</v>
      </c>
    </row>
    <row r="1015822">
      <c r="B1015822" t="n">
        <v>2006</v>
      </c>
      <c r="C1015822" t="n">
        <v>26.454</v>
      </c>
      <c r="D1015822" t="n">
        <v>9.42</v>
      </c>
    </row>
    <row r="1015823">
      <c r="B1015823" t="n">
        <v>2007</v>
      </c>
      <c r="C1015823" t="n">
        <v>29.781</v>
      </c>
      <c r="D1015823" t="n">
        <v>12.579</v>
      </c>
    </row>
    <row r="1015824">
      <c r="B1015824" t="n">
        <v>2008</v>
      </c>
      <c r="C1015824" t="n">
        <v>30.502</v>
      </c>
      <c r="D1015824" t="n">
        <v>2.419</v>
      </c>
    </row>
    <row r="1015825">
      <c r="B1015825" t="n">
        <v>2009</v>
      </c>
      <c r="C1015825" t="n">
        <v>29.388</v>
      </c>
      <c r="D1015825" t="n">
        <v>-3.651</v>
      </c>
    </row>
    <row r="1015826">
      <c r="B1015826" t="n">
        <v>2010</v>
      </c>
      <c r="C1015826" t="n">
        <v>31.428</v>
      </c>
      <c r="D1015826" t="n">
        <v>6.942</v>
      </c>
    </row>
    <row r="1015827">
      <c r="B1015827" t="n">
        <v>2011</v>
      </c>
      <c r="C1015827" t="n">
        <v>33.927</v>
      </c>
      <c r="D1015827" t="n">
        <v>7.949</v>
      </c>
    </row>
    <row r="1015828">
      <c r="B1015828" t="n">
        <v>2012</v>
      </c>
      <c r="C1015828" t="n">
        <v>36.159</v>
      </c>
      <c r="D1015828" t="n">
        <v>6.579</v>
      </c>
    </row>
    <row r="1015829">
      <c r="B1015829" t="n">
        <v>2013</v>
      </c>
      <c r="C1015829" t="n">
        <v>38.015</v>
      </c>
      <c r="D1015829" t="n">
        <v>5.134</v>
      </c>
    </row>
    <row r="1015830">
      <c r="B1015830" t="n">
        <v>2014</v>
      </c>
      <c r="C1015830" t="n">
        <v>39.57</v>
      </c>
      <c r="D1015830" t="n">
        <v>4.091</v>
      </c>
    </row>
    <row r="1015831">
      <c r="B1015831" t="n">
        <v>2015</v>
      </c>
      <c r="C1015831" t="n">
        <v>40.896</v>
      </c>
      <c r="D1015831" t="n">
        <v>3.351</v>
      </c>
    </row>
    <row r="1015832">
      <c r="B1015832" t="n">
        <v>2016</v>
      </c>
      <c r="C1015832" t="n">
        <v>42.307</v>
      </c>
      <c r="D1015832" t="n">
        <v>3.45</v>
      </c>
    </row>
    <row r="1015833">
      <c r="B1015833" t="n">
        <v>2017</v>
      </c>
      <c r="C1015833" t="n">
        <v>44.49</v>
      </c>
      <c r="D1015833" t="n">
        <v>5.161</v>
      </c>
    </row>
    <row r="1015834">
      <c r="B1015834" t="n">
        <v>2018</v>
      </c>
      <c r="C1015834" t="n">
        <v>47.187</v>
      </c>
      <c r="D1015834" t="n">
        <v>6.062</v>
      </c>
    </row>
    <row r="1015835">
      <c r="B1015835" t="n">
        <v>2019</v>
      </c>
      <c r="C1015835" t="n">
        <v>49.726</v>
      </c>
      <c r="D1015835" t="n">
        <v>5.38</v>
      </c>
    </row>
    <row r="1015836">
      <c r="B1015836" t="n">
        <v>2020</v>
      </c>
      <c r="C1015836" t="n">
        <v>46.598</v>
      </c>
      <c r="D1015836" t="n">
        <v>-6.291</v>
      </c>
    </row>
    <row r="1015837">
      <c r="B1015837" t="n">
        <v>2021</v>
      </c>
      <c r="C1015837" t="n">
        <v>51.558</v>
      </c>
      <c r="D1015837" t="n">
        <v>10.644</v>
      </c>
    </row>
    <row r="1015838">
      <c r="B1015838" t="n">
        <v>2022</v>
      </c>
      <c r="C1015838" t="n">
        <v>57.208</v>
      </c>
      <c r="D1015838" t="n">
        <v>10.96</v>
      </c>
    </row>
    <row r="1015839">
      <c r="B1015839" t="n">
        <v>2023</v>
      </c>
      <c r="C1015839" t="n">
        <v>61.689</v>
      </c>
      <c r="D1015839" t="n">
        <v>7.832</v>
      </c>
    </row>
    <row r="1015840">
      <c r="B1015840" t="n">
        <v>2024</v>
      </c>
      <c r="C1015840" t="n">
        <v>67.505</v>
      </c>
      <c r="D1015840" t="n">
        <v>9.429</v>
      </c>
    </row>
    <row r="1015841">
      <c r="B1015841" t="n">
        <v>2025</v>
      </c>
      <c r="C1015841" t="n">
        <v>71.54000000000001</v>
      </c>
      <c r="D1015841" t="n">
        <v>5.977</v>
      </c>
    </row>
    <row r="1015842">
      <c r="B1015842" t="n">
        <v>2026</v>
      </c>
      <c r="C1015842" t="n">
        <v>75.117</v>
      </c>
      <c r="D1015842" t="n">
        <v>5</v>
      </c>
    </row>
    <row r="1015843">
      <c r="B1015843" t="n">
        <v>2027</v>
      </c>
      <c r="C1015843" t="n">
        <v>78.873</v>
      </c>
      <c r="D1015843" t="n">
        <v>5</v>
      </c>
    </row>
    <row r="1015844">
      <c r="B1015844" t="inlineStr">
        <is>
          <t>Estimates Start After</t>
        </is>
      </c>
      <c r="C1015844" t="n">
        <v>2024</v>
      </c>
      <c r="D1015844" t="n">
        <v>2024</v>
      </c>
    </row>
    <row r="1032193">
      <c r="B1032193" t="inlineStr">
        <is>
          <t>WEO Country Code</t>
        </is>
      </c>
      <c r="C1032193" t="n">
        <v>915</v>
      </c>
      <c r="D1032193" t="n">
        <v>915</v>
      </c>
    </row>
    <row r="1032194">
      <c r="B1032194" t="inlineStr">
        <is>
          <t>WEO Subject Code</t>
        </is>
      </c>
      <c r="C1032194" t="inlineStr">
        <is>
          <t>NGDP_R</t>
        </is>
      </c>
      <c r="D1032194" t="inlineStr">
        <is>
          <t>NGDP_RPCH</t>
        </is>
      </c>
    </row>
    <row r="1032195">
      <c r="B1032195" t="inlineStr">
        <is>
          <t>Country</t>
        </is>
      </c>
      <c r="C1032195" t="inlineStr">
        <is>
          <t>Georgia</t>
        </is>
      </c>
      <c r="D1032195" t="inlineStr">
        <is>
          <t>Georgia</t>
        </is>
      </c>
    </row>
    <row r="1032196">
      <c r="B1032196" t="inlineStr">
        <is>
          <t>Subject Descriptor</t>
        </is>
      </c>
      <c r="C1032196" t="inlineStr">
        <is>
          <t>Gross domestic product, constant prices</t>
        </is>
      </c>
      <c r="D1032196" t="inlineStr">
        <is>
          <t>Gross domestic product, constant prices</t>
        </is>
      </c>
    </row>
    <row r="1032197">
      <c r="B1032197" t="inlineStr">
        <is>
          <t>Units</t>
        </is>
      </c>
      <c r="C1032197" t="inlineStr">
        <is>
          <t>National currency</t>
        </is>
      </c>
      <c r="D1032197" t="inlineStr">
        <is>
          <t>Percent change</t>
        </is>
      </c>
    </row>
    <row r="1032198">
      <c r="B1032198" t="inlineStr">
        <is>
          <t>Scale</t>
        </is>
      </c>
      <c r="C1032198" t="inlineStr">
        <is>
          <t>Billions</t>
        </is>
      </c>
      <c r="D1032198" t="inlineStr">
        <is>
          <t>Units</t>
        </is>
      </c>
    </row>
    <row r="1032199">
      <c r="B1032199" t="inlineStr">
        <is>
          <t>Country/Series-specific Notes</t>
        </is>
      </c>
      <c r="C10321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32199" t="inlineStr">
        <is>
          <t>See notes for:  Gross domestic product, constant prices (National currency).</t>
        </is>
      </c>
    </row>
    <row r="1032200">
      <c r="B1032200" t="n">
        <v>2000</v>
      </c>
      <c r="C1032200" t="n">
        <v>16.963</v>
      </c>
      <c r="D1032200" t="n">
        <v>1.865</v>
      </c>
    </row>
    <row r="1032201">
      <c r="B1032201" t="n">
        <v>2001</v>
      </c>
      <c r="C1032201" t="n">
        <v>17.772</v>
      </c>
      <c r="D1032201" t="n">
        <v>4.769</v>
      </c>
    </row>
    <row r="1032202">
      <c r="B1032202" t="n">
        <v>2002</v>
      </c>
      <c r="C1032202" t="n">
        <v>18.747</v>
      </c>
      <c r="D1032202" t="n">
        <v>5.487</v>
      </c>
    </row>
    <row r="1032203">
      <c r="B1032203" t="n">
        <v>2003</v>
      </c>
      <c r="C1032203" t="n">
        <v>20.852</v>
      </c>
      <c r="D1032203" t="n">
        <v>11.228</v>
      </c>
    </row>
    <row r="1032204">
      <c r="B1032204" t="n">
        <v>2004</v>
      </c>
      <c r="C1032204" t="n">
        <v>22.061</v>
      </c>
      <c r="D1032204" t="n">
        <v>5.796</v>
      </c>
    </row>
    <row r="1032205">
      <c r="B1032205" t="n">
        <v>2005</v>
      </c>
      <c r="C1032205" t="n">
        <v>24.176</v>
      </c>
      <c r="D1032205" t="n">
        <v>9.587999999999999</v>
      </c>
    </row>
    <row r="1032206">
      <c r="B1032206" t="n">
        <v>2006</v>
      </c>
      <c r="C1032206" t="n">
        <v>26.454</v>
      </c>
      <c r="D1032206" t="n">
        <v>9.42</v>
      </c>
    </row>
    <row r="1032207">
      <c r="B1032207" t="n">
        <v>2007</v>
      </c>
      <c r="C1032207" t="n">
        <v>29.781</v>
      </c>
      <c r="D1032207" t="n">
        <v>12.579</v>
      </c>
    </row>
    <row r="1032208">
      <c r="B1032208" t="n">
        <v>2008</v>
      </c>
      <c r="C1032208" t="n">
        <v>30.502</v>
      </c>
      <c r="D1032208" t="n">
        <v>2.419</v>
      </c>
    </row>
    <row r="1032209">
      <c r="B1032209" t="n">
        <v>2009</v>
      </c>
      <c r="C1032209" t="n">
        <v>29.388</v>
      </c>
      <c r="D1032209" t="n">
        <v>-3.651</v>
      </c>
    </row>
    <row r="1032210">
      <c r="B1032210" t="n">
        <v>2010</v>
      </c>
      <c r="C1032210" t="n">
        <v>31.428</v>
      </c>
      <c r="D1032210" t="n">
        <v>6.942</v>
      </c>
    </row>
    <row r="1032211">
      <c r="B1032211" t="n">
        <v>2011</v>
      </c>
      <c r="C1032211" t="n">
        <v>33.927</v>
      </c>
      <c r="D1032211" t="n">
        <v>7.949</v>
      </c>
    </row>
    <row r="1032212">
      <c r="B1032212" t="n">
        <v>2012</v>
      </c>
      <c r="C1032212" t="n">
        <v>36.159</v>
      </c>
      <c r="D1032212" t="n">
        <v>6.579</v>
      </c>
    </row>
    <row r="1032213">
      <c r="B1032213" t="n">
        <v>2013</v>
      </c>
      <c r="C1032213" t="n">
        <v>38.015</v>
      </c>
      <c r="D1032213" t="n">
        <v>5.134</v>
      </c>
    </row>
    <row r="1032214">
      <c r="B1032214" t="n">
        <v>2014</v>
      </c>
      <c r="C1032214" t="n">
        <v>39.57</v>
      </c>
      <c r="D1032214" t="n">
        <v>4.091</v>
      </c>
    </row>
    <row r="1032215">
      <c r="B1032215" t="n">
        <v>2015</v>
      </c>
      <c r="C1032215" t="n">
        <v>40.896</v>
      </c>
      <c r="D1032215" t="n">
        <v>3.351</v>
      </c>
    </row>
    <row r="1032216">
      <c r="B1032216" t="n">
        <v>2016</v>
      </c>
      <c r="C1032216" t="n">
        <v>42.307</v>
      </c>
      <c r="D1032216" t="n">
        <v>3.45</v>
      </c>
    </row>
    <row r="1032217">
      <c r="B1032217" t="n">
        <v>2017</v>
      </c>
      <c r="C1032217" t="n">
        <v>44.49</v>
      </c>
      <c r="D1032217" t="n">
        <v>5.161</v>
      </c>
    </row>
    <row r="1032218">
      <c r="B1032218" t="n">
        <v>2018</v>
      </c>
      <c r="C1032218" t="n">
        <v>47.187</v>
      </c>
      <c r="D1032218" t="n">
        <v>6.062</v>
      </c>
    </row>
    <row r="1032219">
      <c r="B1032219" t="n">
        <v>2019</v>
      </c>
      <c r="C1032219" t="n">
        <v>49.726</v>
      </c>
      <c r="D1032219" t="n">
        <v>5.38</v>
      </c>
    </row>
    <row r="1032220">
      <c r="B1032220" t="n">
        <v>2020</v>
      </c>
      <c r="C1032220" t="n">
        <v>46.598</v>
      </c>
      <c r="D1032220" t="n">
        <v>-6.291</v>
      </c>
    </row>
    <row r="1032221">
      <c r="B1032221" t="n">
        <v>2021</v>
      </c>
      <c r="C1032221" t="n">
        <v>51.558</v>
      </c>
      <c r="D1032221" t="n">
        <v>10.644</v>
      </c>
    </row>
    <row r="1032222">
      <c r="B1032222" t="n">
        <v>2022</v>
      </c>
      <c r="C1032222" t="n">
        <v>57.208</v>
      </c>
      <c r="D1032222" t="n">
        <v>10.96</v>
      </c>
    </row>
    <row r="1032223">
      <c r="B1032223" t="n">
        <v>2023</v>
      </c>
      <c r="C1032223" t="n">
        <v>61.689</v>
      </c>
      <c r="D1032223" t="n">
        <v>7.832</v>
      </c>
    </row>
    <row r="1032224">
      <c r="B1032224" t="n">
        <v>2024</v>
      </c>
      <c r="C1032224" t="n">
        <v>67.505</v>
      </c>
      <c r="D1032224" t="n">
        <v>9.429</v>
      </c>
    </row>
    <row r="1032225">
      <c r="B1032225" t="n">
        <v>2025</v>
      </c>
      <c r="C1032225" t="n">
        <v>71.54000000000001</v>
      </c>
      <c r="D1032225" t="n">
        <v>5.977</v>
      </c>
    </row>
    <row r="1032226">
      <c r="B1032226" t="n">
        <v>2026</v>
      </c>
      <c r="C1032226" t="n">
        <v>75.117</v>
      </c>
      <c r="D1032226" t="n">
        <v>5</v>
      </c>
    </row>
    <row r="1032227">
      <c r="B1032227" t="n">
        <v>2027</v>
      </c>
      <c r="C1032227" t="n">
        <v>78.873</v>
      </c>
      <c r="D1032227" t="n">
        <v>5</v>
      </c>
    </row>
    <row r="1032228">
      <c r="B1032228" t="inlineStr">
        <is>
          <t>Estimates Start After</t>
        </is>
      </c>
      <c r="C1032228" t="n">
        <v>2024</v>
      </c>
      <c r="D1032228" t="n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2026-01-19T01:35:29Z</dcterms:created>
  <dcterms:modified xsi:type="dcterms:W3CDTF">2026-01-25T22:51:16Z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2026-01-19T03:31:25Z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56772174-05a0-49ce-8b7c-60ea98bff72c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