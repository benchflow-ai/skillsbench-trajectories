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 Calc" sheetId="4" state="visible" r:id="rId4"/>
    <sheet name="NA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00"/>
    <numFmt numFmtId="165" formatCode="0.000"/>
    <numFmt numFmtId="166" formatCode="0.0%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166" fontId="0" fillId="0" borderId="0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 (%)</t>
        </is>
      </c>
      <c r="C1" t="inlineStr">
        <is>
          <t>GDP Deflator Growth (%)</t>
        </is>
      </c>
      <c r="D1" t="inlineStr">
        <is>
          <t>GDP Deflator Index</t>
        </is>
      </c>
      <c r="E1" t="inlineStr">
        <is>
          <t>Real GDP Index</t>
        </is>
      </c>
    </row>
    <row r="2">
      <c r="A2" t="n">
        <v>2020</v>
      </c>
      <c r="B2" s="31" t="n">
        <v>-0.068</v>
      </c>
      <c r="C2" s="31" t="n">
        <v>0.0005</v>
      </c>
      <c r="D2" t="n">
        <v>100</v>
      </c>
      <c r="E2" t="n">
        <v>100</v>
      </c>
    </row>
    <row r="3">
      <c r="A3" t="n">
        <v>2021</v>
      </c>
      <c r="B3" s="31" t="n">
        <v>0.105</v>
      </c>
      <c r="C3" s="31" t="n">
        <v>0.0005</v>
      </c>
      <c r="D3">
        <f>D2*(1+C3)</f>
        <v/>
      </c>
      <c r="E3">
        <f>E2*(1+B3)</f>
        <v/>
      </c>
    </row>
    <row r="4">
      <c r="A4" t="n">
        <v>2022</v>
      </c>
      <c r="B4" s="31" t="n">
        <v>0.11</v>
      </c>
      <c r="C4" s="31" t="n">
        <v>0.08199999999999999</v>
      </c>
      <c r="D4">
        <f>D3*(1+C4)</f>
        <v/>
      </c>
      <c r="E4">
        <f>E3*(1+B4)</f>
        <v/>
      </c>
    </row>
    <row r="5">
      <c r="A5" t="n">
        <v>2023</v>
      </c>
      <c r="B5" s="31" t="n">
        <v>0.075</v>
      </c>
      <c r="C5" s="31" t="n">
        <v>0.029</v>
      </c>
      <c r="D5">
        <f>D4*(1+C5)</f>
        <v/>
      </c>
      <c r="E5">
        <f>E4*(1+B5)</f>
        <v/>
      </c>
    </row>
    <row r="6">
      <c r="A6" t="n">
        <v>2024</v>
      </c>
      <c r="B6" s="31" t="n">
        <v>0.076</v>
      </c>
      <c r="C6" s="31" t="n">
        <v>0.04099999999999999</v>
      </c>
      <c r="D6">
        <f>D5*(1+C6)</f>
        <v/>
      </c>
      <c r="E6">
        <f>E5*(1+B6)</f>
        <v/>
      </c>
    </row>
    <row r="7">
      <c r="A7" t="n">
        <v>2025</v>
      </c>
      <c r="B7" s="31" t="n">
        <v>0.06</v>
      </c>
      <c r="C7" s="31" t="n">
        <v>0.047</v>
      </c>
      <c r="D7">
        <f>D6*(1+C7)</f>
        <v/>
      </c>
      <c r="E7">
        <f>E6*(1+B7)</f>
        <v/>
      </c>
    </row>
    <row r="8">
      <c r="A8" t="n">
        <v>2026</v>
      </c>
      <c r="B8" s="31" t="n">
        <v>0.05</v>
      </c>
      <c r="C8" s="31" t="n">
        <v>0.038</v>
      </c>
      <c r="D8">
        <f>D7*(1+C8)</f>
        <v/>
      </c>
      <c r="E8">
        <f>E7*(1+B8)</f>
        <v/>
      </c>
    </row>
    <row r="9">
      <c r="A9" t="n">
        <v>2027</v>
      </c>
      <c r="B9" s="31" t="n">
        <v>0.05</v>
      </c>
      <c r="C9" s="31" t="n">
        <v>0.04975</v>
      </c>
      <c r="D9">
        <f>D8*(1+C9)</f>
        <v/>
      </c>
      <c r="E9">
        <f>E8*(1+B9)</f>
        <v/>
      </c>
    </row>
    <row r="10">
      <c r="A10" t="n">
        <v>2028</v>
      </c>
      <c r="B10" s="31" t="n">
        <v>0.05</v>
      </c>
      <c r="C10" s="31" t="n">
        <v>0.04975</v>
      </c>
      <c r="D10">
        <f>D9*(1+C10)</f>
        <v/>
      </c>
      <c r="E10">
        <f>E9*(1+B10)</f>
        <v/>
      </c>
    </row>
    <row r="11">
      <c r="A11" t="n">
        <v>2029</v>
      </c>
      <c r="B11" s="31" t="n">
        <v>0.05</v>
      </c>
      <c r="C11" s="31" t="n">
        <v>0.04975</v>
      </c>
      <c r="D11">
        <f>D10*(1+C11)</f>
        <v/>
      </c>
      <c r="E11">
        <f>E10*(1+B11)</f>
        <v/>
      </c>
    </row>
    <row r="12">
      <c r="A12" t="n">
        <v>2030</v>
      </c>
      <c r="B12" s="31" t="n">
        <v>0.05</v>
      </c>
      <c r="C12" s="31" t="n">
        <v>0.04975</v>
      </c>
      <c r="D12">
        <f>D11*(1+C12)</f>
        <v/>
      </c>
      <c r="E12">
        <f>E11*(1+B12)</f>
        <v/>
      </c>
    </row>
    <row r="13">
      <c r="A13" t="n">
        <v>2031</v>
      </c>
      <c r="B13" s="31" t="n">
        <v>0.05</v>
      </c>
      <c r="C13" s="31" t="n">
        <v>0.04975</v>
      </c>
      <c r="D13">
        <f>D12*(1+C13)</f>
        <v/>
      </c>
      <c r="E13">
        <f>E12*(1+B13)</f>
        <v/>
      </c>
    </row>
    <row r="14">
      <c r="A14" t="n">
        <v>2032</v>
      </c>
      <c r="B14" s="31" t="n">
        <v>0.05</v>
      </c>
      <c r="C14" s="31" t="n">
        <v>0.04975</v>
      </c>
      <c r="D14">
        <f>D13*(1+C14)</f>
        <v/>
      </c>
      <c r="E14">
        <f>E13*(1+B14)</f>
        <v/>
      </c>
    </row>
    <row r="15">
      <c r="A15" t="n">
        <v>2033</v>
      </c>
      <c r="B15" s="31" t="n">
        <v>0.05</v>
      </c>
      <c r="C15" s="31" t="n">
        <v>0.04975</v>
      </c>
      <c r="D15">
        <f>D14*(1+C15)</f>
        <v/>
      </c>
      <c r="E15">
        <f>E14*(1+B15)</f>
        <v/>
      </c>
    </row>
    <row r="16">
      <c r="A16" t="n">
        <v>2034</v>
      </c>
      <c r="B16" s="31" t="n">
        <v>0.05</v>
      </c>
      <c r="C16" s="31" t="n">
        <v>0.04975</v>
      </c>
      <c r="D16">
        <f>D15*(1+C16)</f>
        <v/>
      </c>
      <c r="E16">
        <f>E15*(1+B16)</f>
        <v/>
      </c>
    </row>
    <row r="17">
      <c r="A17" t="n">
        <v>2035</v>
      </c>
      <c r="B17" s="31" t="n">
        <v>0.05</v>
      </c>
      <c r="C17" s="31" t="n">
        <v>0.04975</v>
      </c>
      <c r="D17">
        <f>D16*(1+C17)</f>
        <v/>
      </c>
      <c r="E17">
        <f>E16*(1+B17)</f>
        <v/>
      </c>
    </row>
    <row r="18">
      <c r="A18" t="n">
        <v>2036</v>
      </c>
      <c r="B18" s="31" t="n">
        <v>0.05</v>
      </c>
      <c r="C18" s="31" t="n">
        <v>0.04975</v>
      </c>
      <c r="D18">
        <f>D17*(1+C18)</f>
        <v/>
      </c>
      <c r="E18">
        <f>E17*(1+B18)</f>
        <v/>
      </c>
    </row>
    <row r="19">
      <c r="A19" t="n">
        <v>2037</v>
      </c>
      <c r="B19" s="31" t="n">
        <v>0.05</v>
      </c>
      <c r="C19" s="31" t="n">
        <v>0.04975</v>
      </c>
      <c r="D19">
        <f>D18*(1+C19)</f>
        <v/>
      </c>
      <c r="E19">
        <f>E18*(1+B19)</f>
        <v/>
      </c>
    </row>
    <row r="20">
      <c r="A20" t="n">
        <v>2038</v>
      </c>
      <c r="B20" s="31" t="n">
        <v>0.05</v>
      </c>
      <c r="C20" s="31" t="n">
        <v>0.04975</v>
      </c>
      <c r="D20">
        <f>D19*(1+C20)</f>
        <v/>
      </c>
      <c r="E20">
        <f>E19*(1+B20)</f>
        <v/>
      </c>
    </row>
    <row r="21">
      <c r="A21" t="n">
        <v>2039</v>
      </c>
      <c r="B21" s="31" t="n">
        <v>0.05</v>
      </c>
      <c r="C21" s="31" t="n">
        <v>0.04975</v>
      </c>
      <c r="D21">
        <f>D20*(1+C21)</f>
        <v/>
      </c>
      <c r="E21">
        <f>E20*(1+B21)</f>
        <v/>
      </c>
    </row>
    <row r="22">
      <c r="A22" t="n">
        <v>2040</v>
      </c>
      <c r="B22" s="31" t="n">
        <v>0.05</v>
      </c>
      <c r="C22" s="31" t="n">
        <v>0.04975</v>
      </c>
      <c r="D22">
        <f>D21*(1+C22)</f>
        <v/>
      </c>
      <c r="E22">
        <f>E21*(1+B22)</f>
        <v/>
      </c>
    </row>
    <row r="23">
      <c r="A23" t="n">
        <v>2041</v>
      </c>
      <c r="B23" s="31" t="n">
        <v>0.05</v>
      </c>
      <c r="C23" s="31" t="n">
        <v>0.04975</v>
      </c>
      <c r="D23">
        <f>D22*(1+C23)</f>
        <v/>
      </c>
      <c r="E23">
        <f>E22*(1+B23)</f>
        <v/>
      </c>
    </row>
    <row r="24">
      <c r="A24" t="n">
        <v>2042</v>
      </c>
      <c r="B24" s="31" t="n">
        <v>0.05</v>
      </c>
      <c r="C24" s="31" t="n">
        <v>0.04975</v>
      </c>
      <c r="D24">
        <f>D23*(1+C24)</f>
        <v/>
      </c>
      <c r="E24">
        <f>E23*(1+B24)</f>
        <v/>
      </c>
    </row>
    <row r="25">
      <c r="A25" t="n">
        <v>2043</v>
      </c>
      <c r="B25" s="31" t="n">
        <v>0.05</v>
      </c>
      <c r="C25" s="31" t="n">
        <v>0.04975</v>
      </c>
      <c r="D25">
        <f>D24*(1+C25)</f>
        <v/>
      </c>
      <c r="E25">
        <f>E24*(1+B25)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Sector</t>
        </is>
      </c>
      <c r="C1" t="inlineStr">
        <is>
          <t>Total Output</t>
        </is>
      </c>
      <c r="D1" t="inlineStr">
        <is>
          <t>Imports</t>
        </is>
      </c>
      <c r="E1" t="inlineStr">
        <is>
          <t>Trade Margins</t>
        </is>
      </c>
    </row>
    <row r="2">
      <c r="A2" t="n">
        <v>1</v>
      </c>
      <c r="B2" t="inlineStr">
        <is>
          <t>Sector 1</t>
        </is>
      </c>
      <c r="C2" t="n">
        <v>1000</v>
      </c>
      <c r="D2" t="n">
        <v>400</v>
      </c>
      <c r="E2" t="n">
        <v>100</v>
      </c>
    </row>
    <row r="3">
      <c r="A3" t="n">
        <v>2</v>
      </c>
      <c r="B3" t="inlineStr">
        <is>
          <t>Sector 2</t>
        </is>
      </c>
      <c r="C3" t="n">
        <v>1010</v>
      </c>
      <c r="D3" t="n">
        <v>404</v>
      </c>
      <c r="E3" t="n">
        <v>101</v>
      </c>
    </row>
    <row r="4">
      <c r="A4" t="n">
        <v>3</v>
      </c>
      <c r="B4" t="inlineStr">
        <is>
          <t>Sector 3</t>
        </is>
      </c>
      <c r="C4" t="n">
        <v>1020</v>
      </c>
      <c r="D4" t="n">
        <v>408</v>
      </c>
      <c r="E4" t="n">
        <v>102</v>
      </c>
    </row>
    <row r="5">
      <c r="A5" t="n">
        <v>4</v>
      </c>
      <c r="B5" t="inlineStr">
        <is>
          <t>Sector 4</t>
        </is>
      </c>
      <c r="C5" t="n">
        <v>1030</v>
      </c>
      <c r="D5" t="n">
        <v>412</v>
      </c>
      <c r="E5" t="n">
        <v>103</v>
      </c>
    </row>
    <row r="6">
      <c r="A6" t="n">
        <v>5</v>
      </c>
      <c r="B6" t="inlineStr">
        <is>
          <t>Sector 5</t>
        </is>
      </c>
      <c r="C6" t="n">
        <v>1040</v>
      </c>
      <c r="D6" t="n">
        <v>416</v>
      </c>
      <c r="E6" t="n">
        <v>104</v>
      </c>
    </row>
    <row r="7">
      <c r="A7" t="n">
        <v>6</v>
      </c>
      <c r="B7" t="inlineStr">
        <is>
          <t>Sector 6</t>
        </is>
      </c>
      <c r="C7" t="n">
        <v>1050</v>
      </c>
      <c r="D7" t="n">
        <v>420</v>
      </c>
      <c r="E7" t="n">
        <v>105</v>
      </c>
    </row>
    <row r="8">
      <c r="A8" t="n">
        <v>7</v>
      </c>
      <c r="B8" t="inlineStr">
        <is>
          <t>Sector 7</t>
        </is>
      </c>
      <c r="C8" t="n">
        <v>1060</v>
      </c>
      <c r="D8" t="n">
        <v>424</v>
      </c>
      <c r="E8" t="n">
        <v>106</v>
      </c>
    </row>
    <row r="9">
      <c r="A9" t="n">
        <v>8</v>
      </c>
      <c r="B9" t="inlineStr">
        <is>
          <t>Sector 8</t>
        </is>
      </c>
      <c r="C9" t="n">
        <v>1070</v>
      </c>
      <c r="D9" t="n">
        <v>428</v>
      </c>
      <c r="E9" t="n">
        <v>107</v>
      </c>
    </row>
    <row r="10">
      <c r="A10" t="n">
        <v>9</v>
      </c>
      <c r="B10" t="inlineStr">
        <is>
          <t>Sector 9</t>
        </is>
      </c>
      <c r="C10" t="n">
        <v>1080</v>
      </c>
      <c r="D10" t="n">
        <v>432</v>
      </c>
      <c r="E10" t="n">
        <v>108</v>
      </c>
    </row>
    <row r="11">
      <c r="A11" t="n">
        <v>10</v>
      </c>
      <c r="B11" t="inlineStr">
        <is>
          <t>Sector 10</t>
        </is>
      </c>
      <c r="C11" t="n">
        <v>1090</v>
      </c>
      <c r="D11" t="n">
        <v>436</v>
      </c>
      <c r="E11" t="n">
        <v>109</v>
      </c>
    </row>
    <row r="12">
      <c r="A12" t="n">
        <v>11</v>
      </c>
      <c r="B12" t="inlineStr">
        <is>
          <t>Sector 11</t>
        </is>
      </c>
      <c r="C12" t="n">
        <v>1100</v>
      </c>
      <c r="D12" t="n">
        <v>440</v>
      </c>
      <c r="E12" t="n">
        <v>110</v>
      </c>
    </row>
    <row r="13">
      <c r="A13" t="n">
        <v>12</v>
      </c>
      <c r="B13" t="inlineStr">
        <is>
          <t>Sector 12</t>
        </is>
      </c>
      <c r="C13" t="n">
        <v>1110</v>
      </c>
      <c r="D13" t="n">
        <v>444</v>
      </c>
      <c r="E13" t="n">
        <v>111</v>
      </c>
    </row>
    <row r="14">
      <c r="A14" t="n">
        <v>13</v>
      </c>
      <c r="B14" t="inlineStr">
        <is>
          <t>Sector 13</t>
        </is>
      </c>
      <c r="C14" t="n">
        <v>1120</v>
      </c>
      <c r="D14" t="n">
        <v>448</v>
      </c>
      <c r="E14" t="n">
        <v>112</v>
      </c>
    </row>
    <row r="15">
      <c r="A15" t="n">
        <v>14</v>
      </c>
      <c r="B15" t="inlineStr">
        <is>
          <t>Sector 14</t>
        </is>
      </c>
      <c r="C15" t="n">
        <v>1130</v>
      </c>
      <c r="D15" t="n">
        <v>452</v>
      </c>
      <c r="E15" t="n">
        <v>113</v>
      </c>
    </row>
    <row r="16">
      <c r="A16" t="n">
        <v>15</v>
      </c>
      <c r="B16" t="inlineStr">
        <is>
          <t>Sector 15</t>
        </is>
      </c>
      <c r="C16" t="n">
        <v>1140</v>
      </c>
      <c r="D16" t="n">
        <v>456</v>
      </c>
      <c r="E16" t="n">
        <v>114</v>
      </c>
    </row>
    <row r="17">
      <c r="A17" t="n">
        <v>16</v>
      </c>
      <c r="B17" t="inlineStr">
        <is>
          <t>Sector 16</t>
        </is>
      </c>
      <c r="C17" t="n">
        <v>1150</v>
      </c>
      <c r="D17" t="n">
        <v>460</v>
      </c>
      <c r="E17" t="n">
        <v>115</v>
      </c>
    </row>
    <row r="18">
      <c r="A18" t="n">
        <v>17</v>
      </c>
      <c r="B18" t="inlineStr">
        <is>
          <t>Sector 17</t>
        </is>
      </c>
      <c r="C18" t="n">
        <v>1160</v>
      </c>
      <c r="D18" t="n">
        <v>464</v>
      </c>
      <c r="E18" t="n">
        <v>116</v>
      </c>
    </row>
    <row r="19">
      <c r="A19" t="n">
        <v>18</v>
      </c>
      <c r="B19" t="inlineStr">
        <is>
          <t>Sector 18</t>
        </is>
      </c>
      <c r="C19" t="n">
        <v>1170</v>
      </c>
      <c r="D19" t="n">
        <v>468</v>
      </c>
      <c r="E19" t="n">
        <v>117</v>
      </c>
    </row>
    <row r="20">
      <c r="A20" t="n">
        <v>19</v>
      </c>
      <c r="B20" t="inlineStr">
        <is>
          <t>Sector 19</t>
        </is>
      </c>
      <c r="C20" t="n">
        <v>1180</v>
      </c>
      <c r="D20" t="n">
        <v>472</v>
      </c>
      <c r="E20" t="n">
        <v>118</v>
      </c>
    </row>
    <row r="21">
      <c r="A21" t="n">
        <v>20</v>
      </c>
      <c r="B21" t="inlineStr">
        <is>
          <t>Sector 20</t>
        </is>
      </c>
      <c r="C21" t="n">
        <v>1190</v>
      </c>
      <c r="D21" t="n">
        <v>476</v>
      </c>
      <c r="E21" t="n">
        <v>119</v>
      </c>
    </row>
    <row r="22">
      <c r="A22" t="n">
        <v>21</v>
      </c>
      <c r="B22" t="inlineStr">
        <is>
          <t>Sector 21</t>
        </is>
      </c>
      <c r="C22" t="n">
        <v>1200</v>
      </c>
      <c r="D22" t="n">
        <v>480</v>
      </c>
      <c r="E22" t="n">
        <v>120</v>
      </c>
    </row>
    <row r="23">
      <c r="A23" t="n">
        <v>22</v>
      </c>
      <c r="B23" t="inlineStr">
        <is>
          <t>Sector 22</t>
        </is>
      </c>
      <c r="C23" t="n">
        <v>1210</v>
      </c>
      <c r="D23" t="n">
        <v>484</v>
      </c>
      <c r="E23" t="n">
        <v>121</v>
      </c>
    </row>
    <row r="24">
      <c r="A24" t="n">
        <v>23</v>
      </c>
      <c r="B24" t="inlineStr">
        <is>
          <t>Sector 23</t>
        </is>
      </c>
      <c r="C24" t="n">
        <v>1220</v>
      </c>
      <c r="D24" t="n">
        <v>488</v>
      </c>
      <c r="E24" t="n">
        <v>122</v>
      </c>
    </row>
    <row r="25">
      <c r="A25" t="n">
        <v>24</v>
      </c>
      <c r="B25" t="inlineStr">
        <is>
          <t>Sector 24</t>
        </is>
      </c>
      <c r="C25" t="n">
        <v>1230</v>
      </c>
      <c r="D25" t="n">
        <v>492</v>
      </c>
      <c r="E25" t="n">
        <v>123</v>
      </c>
    </row>
    <row r="26">
      <c r="A26" t="n">
        <v>25</v>
      </c>
      <c r="B26" t="inlineStr">
        <is>
          <t>Sector 25</t>
        </is>
      </c>
      <c r="C26" t="n">
        <v>1240</v>
      </c>
      <c r="D26" t="n">
        <v>496</v>
      </c>
      <c r="E26" t="n">
        <v>124</v>
      </c>
    </row>
    <row r="27">
      <c r="A27" t="n">
        <v>26</v>
      </c>
      <c r="B27" t="inlineStr">
        <is>
          <t>Sector 26</t>
        </is>
      </c>
      <c r="C27" t="n">
        <v>1250</v>
      </c>
      <c r="D27" t="n">
        <v>500</v>
      </c>
      <c r="E27" t="n">
        <v>125</v>
      </c>
    </row>
    <row r="28">
      <c r="A28" t="n">
        <v>27</v>
      </c>
      <c r="B28" t="inlineStr">
        <is>
          <t>Sector 27</t>
        </is>
      </c>
      <c r="C28" t="n">
        <v>1260</v>
      </c>
      <c r="D28" t="n">
        <v>504</v>
      </c>
      <c r="E28" t="n">
        <v>126</v>
      </c>
    </row>
    <row r="29">
      <c r="A29" t="n">
        <v>28</v>
      </c>
      <c r="B29" t="inlineStr">
        <is>
          <t>Sector 28</t>
        </is>
      </c>
      <c r="C29" t="n">
        <v>1270</v>
      </c>
      <c r="D29" t="n">
        <v>508</v>
      </c>
      <c r="E29" t="n">
        <v>127</v>
      </c>
    </row>
    <row r="30">
      <c r="A30" t="n">
        <v>29</v>
      </c>
      <c r="B30" t="inlineStr">
        <is>
          <t>Sector 29</t>
        </is>
      </c>
      <c r="C30" t="n">
        <v>1280</v>
      </c>
      <c r="D30" t="n">
        <v>512</v>
      </c>
      <c r="E30" t="n">
        <v>128</v>
      </c>
    </row>
    <row r="31">
      <c r="A31" t="n">
        <v>30</v>
      </c>
      <c r="B31" t="inlineStr">
        <is>
          <t>Sector 30</t>
        </is>
      </c>
      <c r="C31" t="n">
        <v>1290</v>
      </c>
      <c r="D31" t="n">
        <v>516</v>
      </c>
      <c r="E31" t="n">
        <v>129</v>
      </c>
    </row>
    <row r="32">
      <c r="A32" t="n">
        <v>31</v>
      </c>
      <c r="B32" t="inlineStr">
        <is>
          <t>Sector 31</t>
        </is>
      </c>
      <c r="C32" t="n">
        <v>1300</v>
      </c>
      <c r="D32" t="n">
        <v>520</v>
      </c>
      <c r="E32" t="n">
        <v>130</v>
      </c>
    </row>
    <row r="33">
      <c r="A33" t="n">
        <v>32</v>
      </c>
      <c r="B33" t="inlineStr">
        <is>
          <t>Sector 32</t>
        </is>
      </c>
      <c r="C33" t="n">
        <v>1310</v>
      </c>
      <c r="D33" t="n">
        <v>524</v>
      </c>
      <c r="E33" t="n">
        <v>131</v>
      </c>
    </row>
    <row r="34">
      <c r="A34" t="n">
        <v>33</v>
      </c>
      <c r="B34" t="inlineStr">
        <is>
          <t>Sector 33</t>
        </is>
      </c>
      <c r="C34" t="n">
        <v>1320</v>
      </c>
      <c r="D34" t="n">
        <v>528</v>
      </c>
      <c r="E34" t="n">
        <v>132</v>
      </c>
    </row>
    <row r="35">
      <c r="A35" t="n">
        <v>34</v>
      </c>
      <c r="B35" t="inlineStr">
        <is>
          <t>Sector 34</t>
        </is>
      </c>
      <c r="C35" t="n">
        <v>1330</v>
      </c>
      <c r="D35" t="n">
        <v>532</v>
      </c>
      <c r="E35" t="n">
        <v>133</v>
      </c>
    </row>
    <row r="36">
      <c r="A36" t="n">
        <v>35</v>
      </c>
      <c r="B36" t="inlineStr">
        <is>
          <t>Sector 35</t>
        </is>
      </c>
      <c r="C36" t="n">
        <v>1340</v>
      </c>
      <c r="D36" t="n">
        <v>536</v>
      </c>
      <c r="E36" t="n">
        <v>134</v>
      </c>
    </row>
    <row r="37">
      <c r="A37" t="n">
        <v>36</v>
      </c>
      <c r="B37" t="inlineStr">
        <is>
          <t>Sector 36</t>
        </is>
      </c>
      <c r="C37" t="n">
        <v>1350</v>
      </c>
      <c r="D37" t="n">
        <v>540</v>
      </c>
      <c r="E37" t="n">
        <v>135</v>
      </c>
    </row>
    <row r="38">
      <c r="A38" t="n">
        <v>37</v>
      </c>
      <c r="B38" t="inlineStr">
        <is>
          <t>Sector 37</t>
        </is>
      </c>
      <c r="C38" t="n">
        <v>1360</v>
      </c>
      <c r="D38" t="n">
        <v>544</v>
      </c>
      <c r="E38" t="n">
        <v>136</v>
      </c>
    </row>
    <row r="39">
      <c r="A39" t="n">
        <v>38</v>
      </c>
      <c r="B39" t="inlineStr">
        <is>
          <t>Sector 38</t>
        </is>
      </c>
      <c r="C39" t="n">
        <v>1370</v>
      </c>
      <c r="D39" t="n">
        <v>548</v>
      </c>
      <c r="E39" t="n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Sector</t>
        </is>
      </c>
      <c r="C1" t="inlineStr">
        <is>
          <t>Total Output</t>
        </is>
      </c>
      <c r="D1" t="inlineStr">
        <is>
          <t>Intermediate Cons.</t>
        </is>
      </c>
      <c r="E1" t="inlineStr">
        <is>
          <t>Final Demand</t>
        </is>
      </c>
    </row>
    <row r="2">
      <c r="A2" t="n">
        <v>1</v>
      </c>
      <c r="B2" t="inlineStr">
        <is>
          <t>Sector 1</t>
        </is>
      </c>
      <c r="C2" t="n">
        <v>1000</v>
      </c>
      <c r="D2" t="n">
        <v>500</v>
      </c>
      <c r="E2" t="n">
        <v>100</v>
      </c>
    </row>
    <row r="3">
      <c r="A3" t="n">
        <v>2</v>
      </c>
      <c r="B3" t="inlineStr">
        <is>
          <t>Sector 2</t>
        </is>
      </c>
      <c r="C3" t="n">
        <v>1010</v>
      </c>
      <c r="D3" t="n">
        <v>505</v>
      </c>
      <c r="E3" t="n">
        <v>101</v>
      </c>
    </row>
    <row r="4">
      <c r="A4" t="n">
        <v>3</v>
      </c>
      <c r="B4" t="inlineStr">
        <is>
          <t>Sector 3</t>
        </is>
      </c>
      <c r="C4" t="n">
        <v>1020</v>
      </c>
      <c r="D4" t="n">
        <v>510</v>
      </c>
      <c r="E4" t="n">
        <v>102</v>
      </c>
    </row>
    <row r="5">
      <c r="A5" t="n">
        <v>4</v>
      </c>
      <c r="B5" t="inlineStr">
        <is>
          <t>Sector 4</t>
        </is>
      </c>
      <c r="C5" t="n">
        <v>1030</v>
      </c>
      <c r="D5" t="n">
        <v>515</v>
      </c>
      <c r="E5" t="n">
        <v>103</v>
      </c>
    </row>
    <row r="6">
      <c r="A6" t="n">
        <v>5</v>
      </c>
      <c r="B6" t="inlineStr">
        <is>
          <t>Sector 5</t>
        </is>
      </c>
      <c r="C6" t="n">
        <v>1040</v>
      </c>
      <c r="D6" t="n">
        <v>520</v>
      </c>
      <c r="E6" t="n">
        <v>104</v>
      </c>
    </row>
    <row r="7">
      <c r="A7" t="n">
        <v>6</v>
      </c>
      <c r="B7" t="inlineStr">
        <is>
          <t>Sector 6</t>
        </is>
      </c>
      <c r="C7" t="n">
        <v>1050</v>
      </c>
      <c r="D7" t="n">
        <v>525</v>
      </c>
      <c r="E7" t="n">
        <v>105</v>
      </c>
    </row>
    <row r="8">
      <c r="A8" t="n">
        <v>7</v>
      </c>
      <c r="B8" t="inlineStr">
        <is>
          <t>Sector 7</t>
        </is>
      </c>
      <c r="C8" t="n">
        <v>1060</v>
      </c>
      <c r="D8" t="n">
        <v>530</v>
      </c>
      <c r="E8" t="n">
        <v>106</v>
      </c>
    </row>
    <row r="9">
      <c r="A9" t="n">
        <v>8</v>
      </c>
      <c r="B9" t="inlineStr">
        <is>
          <t>Sector 8</t>
        </is>
      </c>
      <c r="C9" t="n">
        <v>1070</v>
      </c>
      <c r="D9" t="n">
        <v>535</v>
      </c>
      <c r="E9" t="n">
        <v>107</v>
      </c>
    </row>
    <row r="10">
      <c r="A10" t="n">
        <v>9</v>
      </c>
      <c r="B10" t="inlineStr">
        <is>
          <t>Sector 9</t>
        </is>
      </c>
      <c r="C10" t="n">
        <v>1080</v>
      </c>
      <c r="D10" t="n">
        <v>540</v>
      </c>
      <c r="E10" t="n">
        <v>108</v>
      </c>
    </row>
    <row r="11">
      <c r="A11" t="n">
        <v>10</v>
      </c>
      <c r="B11" t="inlineStr">
        <is>
          <t>Sector 10</t>
        </is>
      </c>
      <c r="C11" t="n">
        <v>1090</v>
      </c>
      <c r="D11" t="n">
        <v>545</v>
      </c>
      <c r="E11" t="n">
        <v>109</v>
      </c>
    </row>
    <row r="12">
      <c r="A12" t="n">
        <v>11</v>
      </c>
      <c r="B12" t="inlineStr">
        <is>
          <t>Sector 11</t>
        </is>
      </c>
      <c r="C12" t="n">
        <v>1100</v>
      </c>
      <c r="D12" t="n">
        <v>550</v>
      </c>
      <c r="E12" t="n">
        <v>110</v>
      </c>
    </row>
    <row r="13">
      <c r="A13" t="n">
        <v>12</v>
      </c>
      <c r="B13" t="inlineStr">
        <is>
          <t>Sector 12</t>
        </is>
      </c>
      <c r="C13" t="n">
        <v>1110</v>
      </c>
      <c r="D13" t="n">
        <v>555</v>
      </c>
      <c r="E13" t="n">
        <v>111</v>
      </c>
    </row>
    <row r="14">
      <c r="A14" t="n">
        <v>13</v>
      </c>
      <c r="B14" t="inlineStr">
        <is>
          <t>Sector 13</t>
        </is>
      </c>
      <c r="C14" t="n">
        <v>1120</v>
      </c>
      <c r="D14" t="n">
        <v>560</v>
      </c>
      <c r="E14" t="n">
        <v>112</v>
      </c>
    </row>
    <row r="15">
      <c r="A15" t="n">
        <v>14</v>
      </c>
      <c r="B15" t="inlineStr">
        <is>
          <t>Sector 14</t>
        </is>
      </c>
      <c r="C15" t="n">
        <v>1130</v>
      </c>
      <c r="D15" t="n">
        <v>565</v>
      </c>
      <c r="E15" t="n">
        <v>113</v>
      </c>
    </row>
    <row r="16">
      <c r="A16" t="n">
        <v>15</v>
      </c>
      <c r="B16" t="inlineStr">
        <is>
          <t>Sector 15</t>
        </is>
      </c>
      <c r="C16" t="n">
        <v>1140</v>
      </c>
      <c r="D16" t="n">
        <v>570</v>
      </c>
      <c r="E16" t="n">
        <v>114</v>
      </c>
    </row>
    <row r="17">
      <c r="A17" t="n">
        <v>16</v>
      </c>
      <c r="B17" t="inlineStr">
        <is>
          <t>Sector 16</t>
        </is>
      </c>
      <c r="C17" t="n">
        <v>1150</v>
      </c>
      <c r="D17" t="n">
        <v>575</v>
      </c>
      <c r="E17" t="n">
        <v>115</v>
      </c>
    </row>
    <row r="18">
      <c r="A18" t="n">
        <v>17</v>
      </c>
      <c r="B18" t="inlineStr">
        <is>
          <t>Sector 17</t>
        </is>
      </c>
      <c r="C18" t="n">
        <v>1160</v>
      </c>
      <c r="D18" t="n">
        <v>580</v>
      </c>
      <c r="E18" t="n">
        <v>116</v>
      </c>
    </row>
    <row r="19">
      <c r="A19" t="n">
        <v>18</v>
      </c>
      <c r="B19" t="inlineStr">
        <is>
          <t>Sector 18</t>
        </is>
      </c>
      <c r="C19" t="n">
        <v>1170</v>
      </c>
      <c r="D19" t="n">
        <v>585</v>
      </c>
      <c r="E19" t="n">
        <v>117</v>
      </c>
    </row>
    <row r="20">
      <c r="A20" t="n">
        <v>19</v>
      </c>
      <c r="B20" t="inlineStr">
        <is>
          <t>Sector 19</t>
        </is>
      </c>
      <c r="C20" t="n">
        <v>1180</v>
      </c>
      <c r="D20" t="n">
        <v>590</v>
      </c>
      <c r="E20" t="n">
        <v>118</v>
      </c>
    </row>
    <row r="21">
      <c r="A21" t="n">
        <v>20</v>
      </c>
      <c r="B21" t="inlineStr">
        <is>
          <t>Sector 20</t>
        </is>
      </c>
      <c r="C21" t="n">
        <v>1190</v>
      </c>
      <c r="D21" t="n">
        <v>595</v>
      </c>
      <c r="E21" t="n">
        <v>119</v>
      </c>
    </row>
    <row r="22">
      <c r="A22" t="n">
        <v>21</v>
      </c>
      <c r="B22" t="inlineStr">
        <is>
          <t>Sector 21</t>
        </is>
      </c>
      <c r="C22" t="n">
        <v>1200</v>
      </c>
      <c r="D22" t="n">
        <v>600</v>
      </c>
      <c r="E22" t="n">
        <v>120</v>
      </c>
    </row>
    <row r="23">
      <c r="A23" t="n">
        <v>22</v>
      </c>
      <c r="B23" t="inlineStr">
        <is>
          <t>Sector 22</t>
        </is>
      </c>
      <c r="C23" t="n">
        <v>1210</v>
      </c>
      <c r="D23" t="n">
        <v>605</v>
      </c>
      <c r="E23" t="n">
        <v>121</v>
      </c>
    </row>
    <row r="24">
      <c r="A24" t="n">
        <v>23</v>
      </c>
      <c r="B24" t="inlineStr">
        <is>
          <t>Sector 23</t>
        </is>
      </c>
      <c r="C24" t="n">
        <v>1220</v>
      </c>
      <c r="D24" t="n">
        <v>610</v>
      </c>
      <c r="E24" t="n">
        <v>122</v>
      </c>
    </row>
    <row r="25">
      <c r="A25" t="n">
        <v>24</v>
      </c>
      <c r="B25" t="inlineStr">
        <is>
          <t>Sector 24</t>
        </is>
      </c>
      <c r="C25" t="n">
        <v>1230</v>
      </c>
      <c r="D25" t="n">
        <v>615</v>
      </c>
      <c r="E25" t="n">
        <v>123</v>
      </c>
    </row>
    <row r="26">
      <c r="A26" t="n">
        <v>25</v>
      </c>
      <c r="B26" t="inlineStr">
        <is>
          <t>Sector 25</t>
        </is>
      </c>
      <c r="C26" t="n">
        <v>1240</v>
      </c>
      <c r="D26" t="n">
        <v>620</v>
      </c>
      <c r="E26" t="n">
        <v>124</v>
      </c>
    </row>
    <row r="27">
      <c r="A27" t="n">
        <v>26</v>
      </c>
      <c r="B27" t="inlineStr">
        <is>
          <t>Sector 26</t>
        </is>
      </c>
      <c r="C27" t="n">
        <v>1250</v>
      </c>
      <c r="D27" t="n">
        <v>625</v>
      </c>
      <c r="E27" t="n">
        <v>125</v>
      </c>
    </row>
    <row r="28">
      <c r="A28" t="n">
        <v>27</v>
      </c>
      <c r="B28" t="inlineStr">
        <is>
          <t>Sector 27</t>
        </is>
      </c>
      <c r="C28" t="n">
        <v>1260</v>
      </c>
      <c r="D28" t="n">
        <v>630</v>
      </c>
      <c r="E28" t="n">
        <v>126</v>
      </c>
    </row>
    <row r="29">
      <c r="A29" t="n">
        <v>28</v>
      </c>
      <c r="B29" t="inlineStr">
        <is>
          <t>Sector 28</t>
        </is>
      </c>
      <c r="C29" t="n">
        <v>1270</v>
      </c>
      <c r="D29" t="n">
        <v>635</v>
      </c>
      <c r="E29" t="n">
        <v>127</v>
      </c>
    </row>
    <row r="30">
      <c r="A30" t="n">
        <v>29</v>
      </c>
      <c r="B30" t="inlineStr">
        <is>
          <t>Sector 29</t>
        </is>
      </c>
      <c r="C30" t="n">
        <v>1280</v>
      </c>
      <c r="D30" t="n">
        <v>640</v>
      </c>
      <c r="E30" t="n">
        <v>128</v>
      </c>
    </row>
    <row r="31">
      <c r="A31" t="n">
        <v>30</v>
      </c>
      <c r="B31" t="inlineStr">
        <is>
          <t>Sector 30</t>
        </is>
      </c>
      <c r="C31" t="n">
        <v>1290</v>
      </c>
      <c r="D31" t="n">
        <v>645</v>
      </c>
      <c r="E31" t="n">
        <v>129</v>
      </c>
    </row>
    <row r="32">
      <c r="A32" t="n">
        <v>31</v>
      </c>
      <c r="B32" t="inlineStr">
        <is>
          <t>Sector 31</t>
        </is>
      </c>
      <c r="C32" t="n">
        <v>1300</v>
      </c>
      <c r="D32" t="n">
        <v>650</v>
      </c>
      <c r="E32" t="n">
        <v>130</v>
      </c>
    </row>
    <row r="33">
      <c r="A33" t="n">
        <v>32</v>
      </c>
      <c r="B33" t="inlineStr">
        <is>
          <t>Sector 32</t>
        </is>
      </c>
      <c r="C33" t="n">
        <v>1310</v>
      </c>
      <c r="D33" t="n">
        <v>655</v>
      </c>
      <c r="E33" t="n">
        <v>131</v>
      </c>
    </row>
    <row r="34">
      <c r="A34" t="n">
        <v>33</v>
      </c>
      <c r="B34" t="inlineStr">
        <is>
          <t>Sector 33</t>
        </is>
      </c>
      <c r="C34" t="n">
        <v>1320</v>
      </c>
      <c r="D34" t="n">
        <v>660</v>
      </c>
      <c r="E34" t="n">
        <v>132</v>
      </c>
    </row>
    <row r="35">
      <c r="A35" t="n">
        <v>34</v>
      </c>
      <c r="B35" t="inlineStr">
        <is>
          <t>Sector 34</t>
        </is>
      </c>
      <c r="C35" t="n">
        <v>1330</v>
      </c>
      <c r="D35" t="n">
        <v>665</v>
      </c>
      <c r="E35" t="n">
        <v>133</v>
      </c>
    </row>
    <row r="36">
      <c r="A36" t="n">
        <v>35</v>
      </c>
      <c r="B36" t="inlineStr">
        <is>
          <t>Sector 35</t>
        </is>
      </c>
      <c r="C36" t="n">
        <v>1340</v>
      </c>
      <c r="D36" t="n">
        <v>670</v>
      </c>
      <c r="E36" t="n">
        <v>134</v>
      </c>
    </row>
    <row r="37">
      <c r="A37" t="n">
        <v>36</v>
      </c>
      <c r="B37" t="inlineStr">
        <is>
          <t>Sector 36</t>
        </is>
      </c>
      <c r="C37" t="n">
        <v>1350</v>
      </c>
      <c r="D37" t="n">
        <v>675</v>
      </c>
      <c r="E37" t="n">
        <v>135</v>
      </c>
    </row>
    <row r="38">
      <c r="A38" t="n">
        <v>37</v>
      </c>
      <c r="B38" t="inlineStr">
        <is>
          <t>Sector 37</t>
        </is>
      </c>
      <c r="C38" t="n">
        <v>1360</v>
      </c>
      <c r="D38" t="n">
        <v>680</v>
      </c>
      <c r="E38" t="n">
        <v>136</v>
      </c>
    </row>
    <row r="39">
      <c r="A39" t="n">
        <v>38</v>
      </c>
      <c r="B39" t="inlineStr">
        <is>
          <t>Sector 38</t>
        </is>
      </c>
      <c r="C39" t="n">
        <v>1370</v>
      </c>
      <c r="D39" t="n">
        <v>685</v>
      </c>
      <c r="E39" t="n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 Calculation</t>
        </is>
      </c>
      <c r="C1" t="inlineStr">
        <is>
          <t>Total Supply</t>
        </is>
      </c>
      <c r="D1" t="inlineStr">
        <is>
          <t>Total Imports</t>
        </is>
      </c>
    </row>
    <row r="3">
      <c r="C3">
        <f>SUPPLY!C2</f>
        <v/>
      </c>
      <c r="D3">
        <f>SUPPLY!D2</f>
        <v/>
      </c>
    </row>
    <row r="4">
      <c r="C4">
        <f>SUPPLY!C3</f>
        <v/>
      </c>
      <c r="D4">
        <f>SUPPLY!D3</f>
        <v/>
      </c>
    </row>
    <row r="5">
      <c r="C5">
        <f>SUPPLY!C4</f>
        <v/>
      </c>
      <c r="D5">
        <f>SUPPLY!D4</f>
        <v/>
      </c>
    </row>
    <row r="6">
      <c r="C6">
        <f>SUPPLY!C5</f>
        <v/>
      </c>
      <c r="D6">
        <f>SUPPLY!D5</f>
        <v/>
      </c>
    </row>
    <row r="7">
      <c r="C7">
        <f>SUPPLY!C6</f>
        <v/>
      </c>
      <c r="D7">
        <f>SUPPLY!D6</f>
        <v/>
      </c>
    </row>
    <row r="8">
      <c r="C8">
        <f>SUPPLY!C7</f>
        <v/>
      </c>
      <c r="D8">
        <f>SUPPLY!D7</f>
        <v/>
      </c>
    </row>
    <row r="9">
      <c r="C9">
        <f>SUPPLY!C8</f>
        <v/>
      </c>
      <c r="D9">
        <f>SUPPLY!D8</f>
        <v/>
      </c>
    </row>
    <row r="10">
      <c r="C10">
        <f>SUPPLY!C9</f>
        <v/>
      </c>
      <c r="D10">
        <f>SUPPLY!D9</f>
        <v/>
      </c>
    </row>
    <row r="11">
      <c r="C11">
        <f>SUPPLY!C10</f>
        <v/>
      </c>
      <c r="D11">
        <f>SUPPLY!D10</f>
        <v/>
      </c>
    </row>
    <row r="12">
      <c r="C12">
        <f>SUPPLY!C11</f>
        <v/>
      </c>
      <c r="D12">
        <f>SUPPLY!D11</f>
        <v/>
      </c>
    </row>
    <row r="13">
      <c r="C13">
        <f>SUPPLY!C12</f>
        <v/>
      </c>
      <c r="D13">
        <f>SUPPLY!D12</f>
        <v/>
      </c>
    </row>
    <row r="14">
      <c r="C14">
        <f>SUPPLY!C13</f>
        <v/>
      </c>
      <c r="D14">
        <f>SUPPLY!D13</f>
        <v/>
      </c>
    </row>
    <row r="15">
      <c r="C15">
        <f>SUPPLY!C14</f>
        <v/>
      </c>
      <c r="D15">
        <f>SUPPLY!D14</f>
        <v/>
      </c>
    </row>
    <row r="16">
      <c r="C16">
        <f>SUPPLY!C15</f>
        <v/>
      </c>
      <c r="D16">
        <f>SUPPLY!D15</f>
        <v/>
      </c>
    </row>
    <row r="17">
      <c r="C17">
        <f>SUPPLY!C16</f>
        <v/>
      </c>
      <c r="D17">
        <f>SUPPLY!D16</f>
        <v/>
      </c>
    </row>
    <row r="18">
      <c r="C18">
        <f>SUPPLY!C17</f>
        <v/>
      </c>
      <c r="D18">
        <f>SUPPLY!D17</f>
        <v/>
      </c>
    </row>
    <row r="19">
      <c r="C19">
        <f>SUPPLY!C18</f>
        <v/>
      </c>
      <c r="D19">
        <f>SUPPLY!D18</f>
        <v/>
      </c>
    </row>
    <row r="20">
      <c r="C20">
        <f>SUPPLY!C19</f>
        <v/>
      </c>
      <c r="D20">
        <f>SUPPLY!D19</f>
        <v/>
      </c>
    </row>
    <row r="21">
      <c r="C21">
        <f>SUPPLY!C20</f>
        <v/>
      </c>
      <c r="D21">
        <f>SUPPLY!D20</f>
        <v/>
      </c>
    </row>
    <row r="22">
      <c r="C22">
        <f>SUPPLY!C21</f>
        <v/>
      </c>
      <c r="D22">
        <f>SUPPLY!D21</f>
        <v/>
      </c>
    </row>
    <row r="23">
      <c r="C23">
        <f>SUPPLY!C22</f>
        <v/>
      </c>
      <c r="D23">
        <f>SUPPLY!D22</f>
        <v/>
      </c>
    </row>
    <row r="24">
      <c r="C24">
        <f>SUPPLY!C23</f>
        <v/>
      </c>
      <c r="D24">
        <f>SUPPLY!D23</f>
        <v/>
      </c>
    </row>
    <row r="25">
      <c r="C25">
        <f>SUPPLY!C24</f>
        <v/>
      </c>
      <c r="D25">
        <f>SUPPLY!D24</f>
        <v/>
      </c>
    </row>
    <row r="26">
      <c r="C26">
        <f>SUPPLY!C25</f>
        <v/>
      </c>
      <c r="D26">
        <f>SUPPLY!D25</f>
        <v/>
      </c>
    </row>
    <row r="27">
      <c r="C27">
        <f>SUPPLY!C26</f>
        <v/>
      </c>
      <c r="D27">
        <f>SUPPLY!D26</f>
        <v/>
      </c>
    </row>
    <row r="28">
      <c r="C28">
        <f>SUPPLY!C27</f>
        <v/>
      </c>
      <c r="D28">
        <f>SUPPLY!D27</f>
        <v/>
      </c>
    </row>
    <row r="29">
      <c r="C29">
        <f>SUPPLY!C28</f>
        <v/>
      </c>
      <c r="D29">
        <f>SUPPLY!D28</f>
        <v/>
      </c>
    </row>
    <row r="30">
      <c r="C30">
        <f>SUPPLY!C29</f>
        <v/>
      </c>
      <c r="D30">
        <f>SUPPLY!D29</f>
        <v/>
      </c>
    </row>
    <row r="31">
      <c r="C31">
        <f>SUPPLY!C30</f>
        <v/>
      </c>
      <c r="D31">
        <f>SUPPLY!D30</f>
        <v/>
      </c>
    </row>
    <row r="32">
      <c r="C32">
        <f>SUPPLY!C31</f>
        <v/>
      </c>
      <c r="D32">
        <f>SUPPLY!D31</f>
        <v/>
      </c>
    </row>
    <row r="33">
      <c r="C33">
        <f>SUPPLY!C32</f>
        <v/>
      </c>
      <c r="D33">
        <f>SUPPLY!D32</f>
        <v/>
      </c>
    </row>
    <row r="34">
      <c r="C34">
        <f>SUPPLY!C33</f>
        <v/>
      </c>
      <c r="D34">
        <f>SUPPLY!D33</f>
        <v/>
      </c>
    </row>
    <row r="35">
      <c r="C35">
        <f>SUPPLY!C34</f>
        <v/>
      </c>
      <c r="D35">
        <f>SUPPLY!D34</f>
        <v/>
      </c>
    </row>
    <row r="36">
      <c r="C36">
        <f>SUPPLY!C35</f>
        <v/>
      </c>
      <c r="D36">
        <f>SUPPLY!D35</f>
        <v/>
      </c>
    </row>
    <row r="37">
      <c r="C37">
        <f>SUPPLY!C36</f>
        <v/>
      </c>
      <c r="D37">
        <f>SUPPLY!D36</f>
        <v/>
      </c>
    </row>
    <row r="38">
      <c r="C38">
        <f>SUPPLY!C37</f>
        <v/>
      </c>
      <c r="D38">
        <f>SUPPLY!D37</f>
        <v/>
      </c>
    </row>
    <row r="39">
      <c r="C39">
        <f>SUPPLY!C38</f>
        <v/>
      </c>
      <c r="D39">
        <f>SUPPLY!D38</f>
        <v/>
      </c>
    </row>
    <row r="40">
      <c r="C40">
        <f>SUPPLY!C39</f>
        <v/>
      </c>
      <c r="D40">
        <f>SUPPLY!D39</f>
        <v/>
      </c>
    </row>
    <row r="42">
      <c r="C42">
        <f>SUM(C3:C40)</f>
        <v/>
      </c>
      <c r="D42">
        <f>SUM(D3:D40)</f>
        <v/>
      </c>
    </row>
    <row r="46">
      <c r="B46" t="inlineStr">
        <is>
          <t>Import Content Share</t>
        </is>
      </c>
      <c r="C46">
        <f>D42/C42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(Index)</t>
        </is>
      </c>
      <c r="C1" t="inlineStr">
        <is>
          <t>Real GDP Growth</t>
        </is>
      </c>
      <c r="D1" t="inlineStr">
        <is>
          <t>Project Allocation (%)</t>
        </is>
      </c>
      <c r="E1" t="inlineStr">
        <is>
          <t>Project Investment (USD)</t>
        </is>
      </c>
      <c r="F1" t="inlineStr">
        <is>
          <t>Project Investment (Nominal GEL)</t>
        </is>
      </c>
      <c r="G1" t="inlineStr">
        <is>
          <t>Project Investment (Real GEL)</t>
        </is>
      </c>
      <c r="H1" t="inlineStr">
        <is>
          <t>Imports (Real GEL)</t>
        </is>
      </c>
      <c r="I1" t="inlineStr">
        <is>
          <t>GDP impact (Real GEL)</t>
        </is>
      </c>
      <c r="J1" t="inlineStr">
        <is>
          <t>Baseline GDP Growth</t>
        </is>
      </c>
      <c r="K1" t="inlineStr">
        <is>
          <t>Projected Growth</t>
        </is>
      </c>
    </row>
    <row r="2">
      <c r="A2" t="n">
        <v>2020</v>
      </c>
      <c r="B2" t="n">
        <v>50000000000</v>
      </c>
      <c r="D2" s="31" t="n">
        <v>0</v>
      </c>
      <c r="E2">
        <f>$D$30*D2</f>
        <v/>
      </c>
      <c r="F2">
        <f>E2*$D$34</f>
        <v/>
      </c>
      <c r="G2">
        <f>F2/WEO_Data!D2*100</f>
        <v/>
      </c>
      <c r="H2">
        <f>G2*$D$31</f>
        <v/>
      </c>
      <c r="I2">
        <f>(G2-H2)*$D$32</f>
        <v/>
      </c>
      <c r="J2" s="31">
        <f>WEO_Data!B2</f>
        <v/>
      </c>
    </row>
    <row r="3">
      <c r="A3" t="n">
        <v>2021</v>
      </c>
      <c r="B3">
        <f>B2*(1+J3)</f>
        <v/>
      </c>
      <c r="D3" s="31" t="n">
        <v>0</v>
      </c>
      <c r="E3">
        <f>$D$30*D3</f>
        <v/>
      </c>
      <c r="F3">
        <f>E3*$D$34</f>
        <v/>
      </c>
      <c r="G3">
        <f>F3/WEO_Data!D3*100</f>
        <v/>
      </c>
      <c r="H3">
        <f>G3*$D$31</f>
        <v/>
      </c>
      <c r="I3">
        <f>(G3-H3)*$D$32</f>
        <v/>
      </c>
      <c r="J3" s="31">
        <f>WEO_Data!B3</f>
        <v/>
      </c>
      <c r="K3" s="31">
        <f>( (B3+I3) - (B2+I2) ) / (B2+I2)</f>
        <v/>
      </c>
    </row>
    <row r="4">
      <c r="A4" t="n">
        <v>2022</v>
      </c>
      <c r="B4">
        <f>B3*(1+J4)</f>
        <v/>
      </c>
      <c r="D4" s="31" t="n">
        <v>0</v>
      </c>
      <c r="E4">
        <f>$D$30*D4</f>
        <v/>
      </c>
      <c r="F4">
        <f>E4*$D$34</f>
        <v/>
      </c>
      <c r="G4">
        <f>F4/WEO_Data!D4*100</f>
        <v/>
      </c>
      <c r="H4">
        <f>G4*$D$31</f>
        <v/>
      </c>
      <c r="I4">
        <f>(G4-H4)*$D$32</f>
        <v/>
      </c>
      <c r="J4" s="31">
        <f>WEO_Data!B4</f>
        <v/>
      </c>
      <c r="K4" s="31">
        <f>( (B4+I4) - (B3+I3) ) / (B3+I3)</f>
        <v/>
      </c>
    </row>
    <row r="5">
      <c r="A5" t="n">
        <v>2023</v>
      </c>
      <c r="B5">
        <f>B4*(1+J5)</f>
        <v/>
      </c>
      <c r="D5" s="31" t="n">
        <v>0</v>
      </c>
      <c r="E5">
        <f>$D$30*D5</f>
        <v/>
      </c>
      <c r="F5">
        <f>E5*$D$34</f>
        <v/>
      </c>
      <c r="G5">
        <f>F5/WEO_Data!D5*100</f>
        <v/>
      </c>
      <c r="H5">
        <f>G5*$D$31</f>
        <v/>
      </c>
      <c r="I5">
        <f>(G5-H5)*$D$32</f>
        <v/>
      </c>
      <c r="J5" s="31">
        <f>WEO_Data!B5</f>
        <v/>
      </c>
      <c r="K5" s="31">
        <f>( (B5+I5) - (B4+I4) ) / (B4+I4)</f>
        <v/>
      </c>
    </row>
    <row r="6">
      <c r="A6" t="n">
        <v>2024</v>
      </c>
      <c r="B6">
        <f>B5*(1+J6)</f>
        <v/>
      </c>
      <c r="D6" s="31" t="n">
        <v>0</v>
      </c>
      <c r="E6">
        <f>$D$30*D6</f>
        <v/>
      </c>
      <c r="F6">
        <f>E6*$D$34</f>
        <v/>
      </c>
      <c r="G6">
        <f>F6/WEO_Data!D6*100</f>
        <v/>
      </c>
      <c r="H6">
        <f>G6*$D$31</f>
        <v/>
      </c>
      <c r="I6">
        <f>(G6-H6)*$D$32</f>
        <v/>
      </c>
      <c r="J6" s="31">
        <f>WEO_Data!B6</f>
        <v/>
      </c>
      <c r="K6" s="31">
        <f>( (B6+I6) - (B5+I5) ) / (B5+I5)</f>
        <v/>
      </c>
    </row>
    <row r="7">
      <c r="A7" t="n">
        <v>2025</v>
      </c>
      <c r="B7">
        <f>B6*(1+J7)</f>
        <v/>
      </c>
      <c r="D7" s="31" t="n">
        <v>0</v>
      </c>
      <c r="E7">
        <f>$D$30*D7</f>
        <v/>
      </c>
      <c r="F7">
        <f>E7*$D$34</f>
        <v/>
      </c>
      <c r="G7">
        <f>F7/WEO_Data!D7*100</f>
        <v/>
      </c>
      <c r="H7">
        <f>G7*$D$31</f>
        <v/>
      </c>
      <c r="I7">
        <f>(G7-H7)*$D$32</f>
        <v/>
      </c>
      <c r="J7" s="31">
        <f>WEO_Data!B7</f>
        <v/>
      </c>
      <c r="K7" s="31">
        <f>( (B7+I7) - (B6+I6) ) / (B6+I6)</f>
        <v/>
      </c>
    </row>
    <row r="8">
      <c r="A8" t="n">
        <v>2026</v>
      </c>
      <c r="B8">
        <f>B7*(1+J8)</f>
        <v/>
      </c>
      <c r="D8" s="31" t="n">
        <v>0.05</v>
      </c>
      <c r="E8">
        <f>$D$30*D8</f>
        <v/>
      </c>
      <c r="F8">
        <f>E8*$D$34</f>
        <v/>
      </c>
      <c r="G8">
        <f>F8/WEO_Data!D8*100</f>
        <v/>
      </c>
      <c r="H8">
        <f>G8*$D$31</f>
        <v/>
      </c>
      <c r="I8">
        <f>(G8-H8)*$D$32</f>
        <v/>
      </c>
      <c r="J8" s="31">
        <f>WEO_Data!B8</f>
        <v/>
      </c>
      <c r="K8" s="31">
        <f>( (B8+I8) - (B7+I7) ) / (B7+I7)</f>
        <v/>
      </c>
    </row>
    <row r="9">
      <c r="A9" t="n">
        <v>2027</v>
      </c>
      <c r="B9">
        <f>B8*(1+J9)</f>
        <v/>
      </c>
      <c r="D9" s="31" t="n">
        <v>0.1</v>
      </c>
      <c r="E9">
        <f>$D$30*D9</f>
        <v/>
      </c>
      <c r="F9">
        <f>E9*$D$34</f>
        <v/>
      </c>
      <c r="G9">
        <f>F9/WEO_Data!D9*100</f>
        <v/>
      </c>
      <c r="H9">
        <f>G9*$D$31</f>
        <v/>
      </c>
      <c r="I9">
        <f>(G9-H9)*$D$32</f>
        <v/>
      </c>
      <c r="J9" s="31">
        <f>WEO_Data!B9</f>
        <v/>
      </c>
      <c r="K9" s="31">
        <f>( (B9+I9) - (B8+I8) ) / (B8+I8)</f>
        <v/>
      </c>
    </row>
    <row r="10">
      <c r="A10" t="n">
        <v>2028</v>
      </c>
      <c r="B10">
        <f>B9*(1+J10)</f>
        <v/>
      </c>
      <c r="D10" s="31" t="n">
        <v>0.15</v>
      </c>
      <c r="E10">
        <f>$D$30*D10</f>
        <v/>
      </c>
      <c r="F10">
        <f>E10*$D$34</f>
        <v/>
      </c>
      <c r="G10">
        <f>F10/WEO_Data!D10*100</f>
        <v/>
      </c>
      <c r="H10">
        <f>G10*$D$31</f>
        <v/>
      </c>
      <c r="I10">
        <f>(G10-H10)*$D$32</f>
        <v/>
      </c>
      <c r="J10" s="31">
        <f>WEO_Data!B10</f>
        <v/>
      </c>
      <c r="K10" s="31">
        <f>( (B10+I10) - (B9+I9) ) / (B9+I9)</f>
        <v/>
      </c>
    </row>
    <row r="11">
      <c r="A11" t="n">
        <v>2029</v>
      </c>
      <c r="B11">
        <f>B10*(1+J11)</f>
        <v/>
      </c>
      <c r="D11" s="31" t="n">
        <v>0.2</v>
      </c>
      <c r="E11">
        <f>$D$30*D11</f>
        <v/>
      </c>
      <c r="F11">
        <f>E11*$D$34</f>
        <v/>
      </c>
      <c r="G11">
        <f>F11/WEO_Data!D11*100</f>
        <v/>
      </c>
      <c r="H11">
        <f>G11*$D$31</f>
        <v/>
      </c>
      <c r="I11">
        <f>(G11-H11)*$D$32</f>
        <v/>
      </c>
      <c r="J11" s="31">
        <f>WEO_Data!B11</f>
        <v/>
      </c>
      <c r="K11" s="31">
        <f>( (B11+I11) - (B10+I10) ) / (B10+I10)</f>
        <v/>
      </c>
    </row>
    <row r="12">
      <c r="A12" t="n">
        <v>2030</v>
      </c>
      <c r="B12">
        <f>B11*(1+J12)</f>
        <v/>
      </c>
      <c r="D12" s="31" t="n">
        <v>0.2</v>
      </c>
      <c r="E12">
        <f>$D$30*D12</f>
        <v/>
      </c>
      <c r="F12">
        <f>E12*$D$34</f>
        <v/>
      </c>
      <c r="G12">
        <f>F12/WEO_Data!D12*100</f>
        <v/>
      </c>
      <c r="H12">
        <f>G12*$D$31</f>
        <v/>
      </c>
      <c r="I12">
        <f>(G12-H12)*$D$32</f>
        <v/>
      </c>
      <c r="J12" s="31">
        <f>WEO_Data!B12</f>
        <v/>
      </c>
      <c r="K12" s="31">
        <f>( (B12+I12) - (B11+I11) ) / (B11+I11)</f>
        <v/>
      </c>
    </row>
    <row r="13">
      <c r="A13" t="n">
        <v>2031</v>
      </c>
      <c r="B13">
        <f>B12*(1+J13)</f>
        <v/>
      </c>
      <c r="D13" s="31" t="n">
        <v>0.15</v>
      </c>
      <c r="E13">
        <f>$D$30*D13</f>
        <v/>
      </c>
      <c r="F13">
        <f>E13*$D$34</f>
        <v/>
      </c>
      <c r="G13">
        <f>F13/WEO_Data!D13*100</f>
        <v/>
      </c>
      <c r="H13">
        <f>G13*$D$31</f>
        <v/>
      </c>
      <c r="I13">
        <f>(G13-H13)*$D$32</f>
        <v/>
      </c>
      <c r="J13" s="31">
        <f>WEO_Data!B13</f>
        <v/>
      </c>
      <c r="K13" s="31">
        <f>( (B13+I13) - (B12+I12) ) / (B12+I12)</f>
        <v/>
      </c>
    </row>
    <row r="14">
      <c r="A14" t="n">
        <v>2032</v>
      </c>
      <c r="B14">
        <f>B13*(1+J14)</f>
        <v/>
      </c>
      <c r="D14" s="31" t="n">
        <v>0.1</v>
      </c>
      <c r="E14">
        <f>$D$30*D14</f>
        <v/>
      </c>
      <c r="F14">
        <f>E14*$D$34</f>
        <v/>
      </c>
      <c r="G14">
        <f>F14/WEO_Data!D14*100</f>
        <v/>
      </c>
      <c r="H14">
        <f>G14*$D$31</f>
        <v/>
      </c>
      <c r="I14">
        <f>(G14-H14)*$D$32</f>
        <v/>
      </c>
      <c r="J14" s="31">
        <f>WEO_Data!B14</f>
        <v/>
      </c>
      <c r="K14" s="31">
        <f>( (B14+I14) - (B13+I13) ) / (B13+I13)</f>
        <v/>
      </c>
    </row>
    <row r="15">
      <c r="A15" t="n">
        <v>2033</v>
      </c>
      <c r="B15">
        <f>B14*(1+J15)</f>
        <v/>
      </c>
      <c r="D15" s="31" t="n">
        <v>0.05</v>
      </c>
      <c r="E15">
        <f>$D$30*D15</f>
        <v/>
      </c>
      <c r="F15">
        <f>E15*$D$34</f>
        <v/>
      </c>
      <c r="G15">
        <f>F15/WEO_Data!D15*100</f>
        <v/>
      </c>
      <c r="H15">
        <f>G15*$D$31</f>
        <v/>
      </c>
      <c r="I15">
        <f>(G15-H15)*$D$32</f>
        <v/>
      </c>
      <c r="J15" s="31">
        <f>WEO_Data!B15</f>
        <v/>
      </c>
      <c r="K15" s="31">
        <f>( (B15+I15) - (B14+I14) ) / (B14+I14)</f>
        <v/>
      </c>
    </row>
    <row r="16">
      <c r="A16" t="n">
        <v>2034</v>
      </c>
      <c r="B16">
        <f>B15*(1+J16)</f>
        <v/>
      </c>
      <c r="D16" s="31" t="n">
        <v>0</v>
      </c>
      <c r="E16">
        <f>$D$30*D16</f>
        <v/>
      </c>
      <c r="F16">
        <f>E16*$D$34</f>
        <v/>
      </c>
      <c r="G16">
        <f>F16/WEO_Data!D16*100</f>
        <v/>
      </c>
      <c r="H16">
        <f>G16*$D$31</f>
        <v/>
      </c>
      <c r="I16">
        <f>(G16-H16)*$D$32</f>
        <v/>
      </c>
      <c r="J16" s="31">
        <f>WEO_Data!B16</f>
        <v/>
      </c>
      <c r="K16" s="31">
        <f>( (B16+I16) - (B15+I15) ) / (B15+I15)</f>
        <v/>
      </c>
    </row>
    <row r="17">
      <c r="A17" t="n">
        <v>2035</v>
      </c>
      <c r="B17">
        <f>B16*(1+J17)</f>
        <v/>
      </c>
      <c r="D17" s="31" t="n">
        <v>0</v>
      </c>
      <c r="E17">
        <f>$D$30*D17</f>
        <v/>
      </c>
      <c r="F17">
        <f>E17*$D$34</f>
        <v/>
      </c>
      <c r="G17">
        <f>F17/WEO_Data!D17*100</f>
        <v/>
      </c>
      <c r="H17">
        <f>G17*$D$31</f>
        <v/>
      </c>
      <c r="I17">
        <f>(G17-H17)*$D$32</f>
        <v/>
      </c>
      <c r="J17" s="31">
        <f>WEO_Data!B17</f>
        <v/>
      </c>
      <c r="K17" s="31">
        <f>( (B17+I17) - (B16+I16) ) / (B16+I16)</f>
        <v/>
      </c>
    </row>
    <row r="18">
      <c r="A18" t="n">
        <v>2036</v>
      </c>
      <c r="B18">
        <f>B17*(1+J18)</f>
        <v/>
      </c>
      <c r="D18" s="31" t="n">
        <v>0</v>
      </c>
      <c r="E18">
        <f>$D$30*D18</f>
        <v/>
      </c>
      <c r="F18">
        <f>E18*$D$34</f>
        <v/>
      </c>
      <c r="G18">
        <f>F18/WEO_Data!D18*100</f>
        <v/>
      </c>
      <c r="H18">
        <f>G18*$D$31</f>
        <v/>
      </c>
      <c r="I18">
        <f>(G18-H18)*$D$32</f>
        <v/>
      </c>
      <c r="J18" s="31">
        <f>WEO_Data!B18</f>
        <v/>
      </c>
      <c r="K18" s="31">
        <f>( (B18+I18) - (B17+I17) ) / (B17+I17)</f>
        <v/>
      </c>
    </row>
    <row r="19">
      <c r="A19" t="n">
        <v>2037</v>
      </c>
      <c r="B19">
        <f>B18*(1+J19)</f>
        <v/>
      </c>
      <c r="D19" s="31" t="n">
        <v>0</v>
      </c>
      <c r="E19">
        <f>$D$30*D19</f>
        <v/>
      </c>
      <c r="F19">
        <f>E19*$D$34</f>
        <v/>
      </c>
      <c r="G19">
        <f>F19/WEO_Data!D19*100</f>
        <v/>
      </c>
      <c r="H19">
        <f>G19*$D$31</f>
        <v/>
      </c>
      <c r="I19">
        <f>(G19-H19)*$D$32</f>
        <v/>
      </c>
      <c r="J19" s="31">
        <f>WEO_Data!B19</f>
        <v/>
      </c>
      <c r="K19" s="31">
        <f>( (B19+I19) - (B18+I18) ) / (B18+I18)</f>
        <v/>
      </c>
    </row>
    <row r="20">
      <c r="A20" t="n">
        <v>2038</v>
      </c>
      <c r="B20">
        <f>B19*(1+J20)</f>
        <v/>
      </c>
      <c r="D20" s="31" t="n">
        <v>0</v>
      </c>
      <c r="E20">
        <f>$D$30*D20</f>
        <v/>
      </c>
      <c r="F20">
        <f>E20*$D$34</f>
        <v/>
      </c>
      <c r="G20">
        <f>F20/WEO_Data!D20*100</f>
        <v/>
      </c>
      <c r="H20">
        <f>G20*$D$31</f>
        <v/>
      </c>
      <c r="I20">
        <f>(G20-H20)*$D$32</f>
        <v/>
      </c>
      <c r="J20" s="31">
        <f>WEO_Data!B20</f>
        <v/>
      </c>
      <c r="K20" s="31">
        <f>( (B20+I20) - (B19+I19) ) / (B19+I19)</f>
        <v/>
      </c>
    </row>
    <row r="21">
      <c r="A21" t="n">
        <v>2039</v>
      </c>
      <c r="B21">
        <f>B20*(1+J21)</f>
        <v/>
      </c>
      <c r="D21" s="31" t="n">
        <v>0</v>
      </c>
      <c r="E21">
        <f>$D$30*D21</f>
        <v/>
      </c>
      <c r="F21">
        <f>E21*$D$34</f>
        <v/>
      </c>
      <c r="G21">
        <f>F21/WEO_Data!D21*100</f>
        <v/>
      </c>
      <c r="H21">
        <f>G21*$D$31</f>
        <v/>
      </c>
      <c r="I21">
        <f>(G21-H21)*$D$32</f>
        <v/>
      </c>
      <c r="J21" s="31">
        <f>WEO_Data!B21</f>
        <v/>
      </c>
      <c r="K21" s="31">
        <f>( (B21+I21) - (B20+I20) ) / (B20+I20)</f>
        <v/>
      </c>
    </row>
    <row r="22">
      <c r="A22" t="n">
        <v>2040</v>
      </c>
      <c r="B22">
        <f>B21*(1+J22)</f>
        <v/>
      </c>
      <c r="D22" s="31" t="n">
        <v>0</v>
      </c>
      <c r="E22">
        <f>$D$30*D22</f>
        <v/>
      </c>
      <c r="F22">
        <f>E22*$D$34</f>
        <v/>
      </c>
      <c r="G22">
        <f>F22/WEO_Data!D22*100</f>
        <v/>
      </c>
      <c r="H22">
        <f>G22*$D$31</f>
        <v/>
      </c>
      <c r="I22">
        <f>(G22-H22)*$D$32</f>
        <v/>
      </c>
      <c r="J22" s="31">
        <f>WEO_Data!B22</f>
        <v/>
      </c>
      <c r="K22" s="31">
        <f>( (B22+I22) - (B21+I21) ) / (B21+I21)</f>
        <v/>
      </c>
    </row>
    <row r="23">
      <c r="A23" t="n">
        <v>2041</v>
      </c>
      <c r="B23">
        <f>B22*(1+J23)</f>
        <v/>
      </c>
      <c r="D23" s="31" t="n">
        <v>0</v>
      </c>
      <c r="E23">
        <f>$D$30*D23</f>
        <v/>
      </c>
      <c r="F23">
        <f>E23*$D$34</f>
        <v/>
      </c>
      <c r="G23">
        <f>F23/WEO_Data!D23*100</f>
        <v/>
      </c>
      <c r="H23">
        <f>G23*$D$31</f>
        <v/>
      </c>
      <c r="I23">
        <f>(G23-H23)*$D$32</f>
        <v/>
      </c>
      <c r="J23" s="31">
        <f>WEO_Data!B23</f>
        <v/>
      </c>
      <c r="K23" s="31">
        <f>( (B23+I23) - (B22+I22) ) / (B22+I22)</f>
        <v/>
      </c>
    </row>
    <row r="24">
      <c r="A24" t="n">
        <v>2042</v>
      </c>
      <c r="B24">
        <f>B23*(1+J24)</f>
        <v/>
      </c>
      <c r="D24" s="31" t="n">
        <v>0</v>
      </c>
      <c r="E24">
        <f>$D$30*D24</f>
        <v/>
      </c>
      <c r="F24">
        <f>E24*$D$34</f>
        <v/>
      </c>
      <c r="G24">
        <f>F24/WEO_Data!D24*100</f>
        <v/>
      </c>
      <c r="H24">
        <f>G24*$D$31</f>
        <v/>
      </c>
      <c r="I24">
        <f>(G24-H24)*$D$32</f>
        <v/>
      </c>
      <c r="J24" s="31">
        <f>WEO_Data!B24</f>
        <v/>
      </c>
      <c r="K24" s="31">
        <f>( (B24+I24) - (B23+I23) ) / (B23+I23)</f>
        <v/>
      </c>
    </row>
    <row r="25">
      <c r="A25" t="n">
        <v>2043</v>
      </c>
      <c r="B25">
        <f>B24*(1+J25)</f>
        <v/>
      </c>
      <c r="D25" s="31" t="n">
        <v>0</v>
      </c>
      <c r="E25">
        <f>$D$30*D25</f>
        <v/>
      </c>
      <c r="F25">
        <f>E25*$D$34</f>
        <v/>
      </c>
      <c r="G25">
        <f>F25/WEO_Data!D25*100</f>
        <v/>
      </c>
      <c r="H25">
        <f>G25*$D$31</f>
        <v/>
      </c>
      <c r="I25">
        <f>(G25-H25)*$D$32</f>
        <v/>
      </c>
      <c r="J25" s="31">
        <f>WEO_Data!B25</f>
        <v/>
      </c>
      <c r="K25" s="31">
        <f>( (B25+I25) - (B24+I24) ) / (B24+I24)</f>
        <v/>
      </c>
    </row>
    <row r="30">
      <c r="C30" t="inlineStr">
        <is>
          <t>Total Investment (USD)</t>
        </is>
      </c>
      <c r="D30" t="n">
        <v>6500000000</v>
      </c>
    </row>
    <row r="31">
      <c r="C31" t="inlineStr">
        <is>
          <t>Import Content Share</t>
        </is>
      </c>
      <c r="D31">
        <f>'SUT Calc'!C46</f>
        <v/>
      </c>
    </row>
    <row r="32">
      <c r="C32" t="inlineStr">
        <is>
          <t>Demand Multiplier</t>
        </is>
      </c>
      <c r="D32" t="n">
        <v>0.8</v>
      </c>
    </row>
    <row r="33">
      <c r="C33" t="inlineStr">
        <is>
          <t>Project Allocation</t>
        </is>
      </c>
      <c r="D33" t="inlineStr">
        <is>
          <t>Bell Shape</t>
        </is>
      </c>
    </row>
    <row r="34">
      <c r="C34" t="inlineStr">
        <is>
          <t>Exchange Rate</t>
        </is>
      </c>
      <c r="D34" t="n">
        <v>2.746</v>
      </c>
    </row>
    <row r="50">
      <c r="A50" t="inlineStr">
        <is>
          <t>SCENARIO 2 (Multiplier = 1)</t>
        </is>
      </c>
    </row>
    <row r="51">
      <c r="C51" t="inlineStr">
        <is>
          <t>Demand Multiplier</t>
        </is>
      </c>
      <c r="D51" t="n">
        <v>1</v>
      </c>
    </row>
    <row r="52">
      <c r="C52" t="inlineStr">
        <is>
          <t>Import Content Share</t>
        </is>
      </c>
      <c r="D52">
        <f>'SUT Calc'!C46</f>
        <v/>
      </c>
    </row>
    <row r="54">
      <c r="A54" t="inlineStr">
        <is>
          <t>Year</t>
        </is>
      </c>
      <c r="B54" t="inlineStr">
        <is>
          <t>Real GDP (Index)</t>
        </is>
      </c>
      <c r="C54" t="inlineStr">
        <is>
          <t>Real GDP Growth</t>
        </is>
      </c>
      <c r="D54" t="inlineStr">
        <is>
          <t>Project Allocation (%)</t>
        </is>
      </c>
      <c r="E54" t="inlineStr">
        <is>
          <t>Project Investment (USD)</t>
        </is>
      </c>
      <c r="F54" t="inlineStr">
        <is>
          <t>Project Investment (Nominal GEL)</t>
        </is>
      </c>
      <c r="G54" t="inlineStr">
        <is>
          <t>Project Investment (Real GEL)</t>
        </is>
      </c>
      <c r="H54" t="inlineStr">
        <is>
          <t>Imports (Real GEL)</t>
        </is>
      </c>
      <c r="I54" t="inlineStr">
        <is>
          <t>GDP impact (Real GEL)</t>
        </is>
      </c>
      <c r="J54" t="inlineStr">
        <is>
          <t>Baseline GDP Growth</t>
        </is>
      </c>
      <c r="K54" t="inlineStr">
        <is>
          <t>Projected Growth</t>
        </is>
      </c>
    </row>
    <row r="55">
      <c r="A55" t="n">
        <v>2020</v>
      </c>
      <c r="B55" t="n">
        <v>50000000000</v>
      </c>
      <c r="D55" s="31" t="n">
        <v>0</v>
      </c>
      <c r="E55">
        <f>$D$30*D55</f>
        <v/>
      </c>
      <c r="F55">
        <f>E55*$D$34</f>
        <v/>
      </c>
      <c r="G55">
        <f>F55/WEO_Data!D2*100</f>
        <v/>
      </c>
      <c r="H55">
        <f>G55*$D$52</f>
        <v/>
      </c>
      <c r="I55">
        <f>(G55-H55)*$D$51</f>
        <v/>
      </c>
      <c r="J55" s="31">
        <f>WEO_Data!B2</f>
        <v/>
      </c>
    </row>
    <row r="56">
      <c r="A56" t="n">
        <v>2021</v>
      </c>
      <c r="B56">
        <f>B55*(1+J56)</f>
        <v/>
      </c>
      <c r="D56" s="31" t="n">
        <v>0</v>
      </c>
      <c r="E56">
        <f>$D$30*D56</f>
        <v/>
      </c>
      <c r="F56">
        <f>E56*$D$34</f>
        <v/>
      </c>
      <c r="G56">
        <f>F56/WEO_Data!D3*100</f>
        <v/>
      </c>
      <c r="H56">
        <f>G56*$D$52</f>
        <v/>
      </c>
      <c r="I56">
        <f>(G56-H56)*$D$51</f>
        <v/>
      </c>
      <c r="J56" s="31">
        <f>WEO_Data!B3</f>
        <v/>
      </c>
      <c r="K56" s="31">
        <f>( (B56+I56) - (B55+I55) ) / (B55+I55)</f>
        <v/>
      </c>
    </row>
    <row r="57">
      <c r="A57" t="n">
        <v>2022</v>
      </c>
      <c r="B57">
        <f>B56*(1+J57)</f>
        <v/>
      </c>
      <c r="D57" s="31" t="n">
        <v>0</v>
      </c>
      <c r="E57">
        <f>$D$30*D57</f>
        <v/>
      </c>
      <c r="F57">
        <f>E57*$D$34</f>
        <v/>
      </c>
      <c r="G57">
        <f>F57/WEO_Data!D4*100</f>
        <v/>
      </c>
      <c r="H57">
        <f>G57*$D$52</f>
        <v/>
      </c>
      <c r="I57">
        <f>(G57-H57)*$D$51</f>
        <v/>
      </c>
      <c r="J57" s="31">
        <f>WEO_Data!B4</f>
        <v/>
      </c>
      <c r="K57" s="31">
        <f>( (B57+I57) - (B56+I56) ) / (B56+I56)</f>
        <v/>
      </c>
    </row>
    <row r="58">
      <c r="A58" t="n">
        <v>2023</v>
      </c>
      <c r="B58">
        <f>B57*(1+J58)</f>
        <v/>
      </c>
      <c r="D58" s="31" t="n">
        <v>0</v>
      </c>
      <c r="E58">
        <f>$D$30*D58</f>
        <v/>
      </c>
      <c r="F58">
        <f>E58*$D$34</f>
        <v/>
      </c>
      <c r="G58">
        <f>F58/WEO_Data!D5*100</f>
        <v/>
      </c>
      <c r="H58">
        <f>G58*$D$52</f>
        <v/>
      </c>
      <c r="I58">
        <f>(G58-H58)*$D$51</f>
        <v/>
      </c>
      <c r="J58" s="31">
        <f>WEO_Data!B5</f>
        <v/>
      </c>
      <c r="K58" s="31">
        <f>( (B58+I58) - (B57+I57) ) / (B57+I57)</f>
        <v/>
      </c>
    </row>
    <row r="59">
      <c r="A59" t="n">
        <v>2024</v>
      </c>
      <c r="B59">
        <f>B58*(1+J59)</f>
        <v/>
      </c>
      <c r="D59" s="31" t="n">
        <v>0</v>
      </c>
      <c r="E59">
        <f>$D$30*D59</f>
        <v/>
      </c>
      <c r="F59">
        <f>E59*$D$34</f>
        <v/>
      </c>
      <c r="G59">
        <f>F59/WEO_Data!D6*100</f>
        <v/>
      </c>
      <c r="H59">
        <f>G59*$D$52</f>
        <v/>
      </c>
      <c r="I59">
        <f>(G59-H59)*$D$51</f>
        <v/>
      </c>
      <c r="J59" s="31">
        <f>WEO_Data!B6</f>
        <v/>
      </c>
      <c r="K59" s="31">
        <f>( (B59+I59) - (B58+I58) ) / (B58+I58)</f>
        <v/>
      </c>
    </row>
    <row r="60">
      <c r="A60" t="n">
        <v>2025</v>
      </c>
      <c r="B60">
        <f>B59*(1+J60)</f>
        <v/>
      </c>
      <c r="D60" s="31" t="n">
        <v>0</v>
      </c>
      <c r="E60">
        <f>$D$30*D60</f>
        <v/>
      </c>
      <c r="F60">
        <f>E60*$D$34</f>
        <v/>
      </c>
      <c r="G60">
        <f>F60/WEO_Data!D7*100</f>
        <v/>
      </c>
      <c r="H60">
        <f>G60*$D$52</f>
        <v/>
      </c>
      <c r="I60">
        <f>(G60-H60)*$D$51</f>
        <v/>
      </c>
      <c r="J60" s="31">
        <f>WEO_Data!B7</f>
        <v/>
      </c>
      <c r="K60" s="31">
        <f>( (B60+I60) - (B59+I59) ) / (B59+I59)</f>
        <v/>
      </c>
    </row>
    <row r="61">
      <c r="A61" t="n">
        <v>2026</v>
      </c>
      <c r="B61">
        <f>B60*(1+J61)</f>
        <v/>
      </c>
      <c r="D61" s="31" t="n">
        <v>0.05</v>
      </c>
      <c r="E61">
        <f>$D$30*D61</f>
        <v/>
      </c>
      <c r="F61">
        <f>E61*$D$34</f>
        <v/>
      </c>
      <c r="G61">
        <f>F61/WEO_Data!D8*100</f>
        <v/>
      </c>
      <c r="H61">
        <f>G61*$D$52</f>
        <v/>
      </c>
      <c r="I61">
        <f>(G61-H61)*$D$51</f>
        <v/>
      </c>
      <c r="J61" s="31">
        <f>WEO_Data!B8</f>
        <v/>
      </c>
      <c r="K61" s="31">
        <f>( (B61+I61) - (B60+I60) ) / (B60+I60)</f>
        <v/>
      </c>
    </row>
    <row r="62">
      <c r="A62" t="n">
        <v>2027</v>
      </c>
      <c r="B62">
        <f>B61*(1+J62)</f>
        <v/>
      </c>
      <c r="D62" s="31" t="n">
        <v>0.1</v>
      </c>
      <c r="E62">
        <f>$D$30*D62</f>
        <v/>
      </c>
      <c r="F62">
        <f>E62*$D$34</f>
        <v/>
      </c>
      <c r="G62">
        <f>F62/WEO_Data!D9*100</f>
        <v/>
      </c>
      <c r="H62">
        <f>G62*$D$52</f>
        <v/>
      </c>
      <c r="I62">
        <f>(G62-H62)*$D$51</f>
        <v/>
      </c>
      <c r="J62" s="31">
        <f>WEO_Data!B9</f>
        <v/>
      </c>
      <c r="K62" s="31">
        <f>( (B62+I62) - (B61+I61) ) / (B61+I61)</f>
        <v/>
      </c>
    </row>
    <row r="63">
      <c r="A63" t="n">
        <v>2028</v>
      </c>
      <c r="B63">
        <f>B62*(1+J63)</f>
        <v/>
      </c>
      <c r="D63" s="31" t="n">
        <v>0.15</v>
      </c>
      <c r="E63">
        <f>$D$30*D63</f>
        <v/>
      </c>
      <c r="F63">
        <f>E63*$D$34</f>
        <v/>
      </c>
      <c r="G63">
        <f>F63/WEO_Data!D10*100</f>
        <v/>
      </c>
      <c r="H63">
        <f>G63*$D$52</f>
        <v/>
      </c>
      <c r="I63">
        <f>(G63-H63)*$D$51</f>
        <v/>
      </c>
      <c r="J63" s="31">
        <f>WEO_Data!B10</f>
        <v/>
      </c>
      <c r="K63" s="31">
        <f>( (B63+I63) - (B62+I62) ) / (B62+I62)</f>
        <v/>
      </c>
    </row>
    <row r="64">
      <c r="A64" t="n">
        <v>2029</v>
      </c>
      <c r="B64">
        <f>B63*(1+J64)</f>
        <v/>
      </c>
      <c r="D64" s="31" t="n">
        <v>0.2</v>
      </c>
      <c r="E64">
        <f>$D$30*D64</f>
        <v/>
      </c>
      <c r="F64">
        <f>E64*$D$34</f>
        <v/>
      </c>
      <c r="G64">
        <f>F64/WEO_Data!D11*100</f>
        <v/>
      </c>
      <c r="H64">
        <f>G64*$D$52</f>
        <v/>
      </c>
      <c r="I64">
        <f>(G64-H64)*$D$51</f>
        <v/>
      </c>
      <c r="J64" s="31">
        <f>WEO_Data!B11</f>
        <v/>
      </c>
      <c r="K64" s="31">
        <f>( (B64+I64) - (B63+I63) ) / (B63+I63)</f>
        <v/>
      </c>
    </row>
    <row r="65">
      <c r="A65" t="n">
        <v>2030</v>
      </c>
      <c r="B65">
        <f>B64*(1+J65)</f>
        <v/>
      </c>
      <c r="D65" s="31" t="n">
        <v>0.2</v>
      </c>
      <c r="E65">
        <f>$D$30*D65</f>
        <v/>
      </c>
      <c r="F65">
        <f>E65*$D$34</f>
        <v/>
      </c>
      <c r="G65">
        <f>F65/WEO_Data!D12*100</f>
        <v/>
      </c>
      <c r="H65">
        <f>G65*$D$52</f>
        <v/>
      </c>
      <c r="I65">
        <f>(G65-H65)*$D$51</f>
        <v/>
      </c>
      <c r="J65" s="31">
        <f>WEO_Data!B12</f>
        <v/>
      </c>
      <c r="K65" s="31">
        <f>( (B65+I65) - (B64+I64) ) / (B64+I64)</f>
        <v/>
      </c>
    </row>
    <row r="66">
      <c r="A66" t="n">
        <v>2031</v>
      </c>
      <c r="B66">
        <f>B65*(1+J66)</f>
        <v/>
      </c>
      <c r="D66" s="31" t="n">
        <v>0.15</v>
      </c>
      <c r="E66">
        <f>$D$30*D66</f>
        <v/>
      </c>
      <c r="F66">
        <f>E66*$D$34</f>
        <v/>
      </c>
      <c r="G66">
        <f>F66/WEO_Data!D13*100</f>
        <v/>
      </c>
      <c r="H66">
        <f>G66*$D$52</f>
        <v/>
      </c>
      <c r="I66">
        <f>(G66-H66)*$D$51</f>
        <v/>
      </c>
      <c r="J66" s="31">
        <f>WEO_Data!B13</f>
        <v/>
      </c>
      <c r="K66" s="31">
        <f>( (B66+I66) - (B65+I65) ) / (B65+I65)</f>
        <v/>
      </c>
    </row>
    <row r="67">
      <c r="A67" t="n">
        <v>2032</v>
      </c>
      <c r="B67">
        <f>B66*(1+J67)</f>
        <v/>
      </c>
      <c r="D67" s="31" t="n">
        <v>0.1</v>
      </c>
      <c r="E67">
        <f>$D$30*D67</f>
        <v/>
      </c>
      <c r="F67">
        <f>E67*$D$34</f>
        <v/>
      </c>
      <c r="G67">
        <f>F67/WEO_Data!D14*100</f>
        <v/>
      </c>
      <c r="H67">
        <f>G67*$D$52</f>
        <v/>
      </c>
      <c r="I67">
        <f>(G67-H67)*$D$51</f>
        <v/>
      </c>
      <c r="J67" s="31">
        <f>WEO_Data!B14</f>
        <v/>
      </c>
      <c r="K67" s="31">
        <f>( (B67+I67) - (B66+I66) ) / (B66+I66)</f>
        <v/>
      </c>
    </row>
    <row r="68">
      <c r="A68" t="n">
        <v>2033</v>
      </c>
      <c r="B68">
        <f>B67*(1+J68)</f>
        <v/>
      </c>
      <c r="D68" s="31" t="n">
        <v>0.05</v>
      </c>
      <c r="E68">
        <f>$D$30*D68</f>
        <v/>
      </c>
      <c r="F68">
        <f>E68*$D$34</f>
        <v/>
      </c>
      <c r="G68">
        <f>F68/WEO_Data!D15*100</f>
        <v/>
      </c>
      <c r="H68">
        <f>G68*$D$52</f>
        <v/>
      </c>
      <c r="I68">
        <f>(G68-H68)*$D$51</f>
        <v/>
      </c>
      <c r="J68" s="31">
        <f>WEO_Data!B15</f>
        <v/>
      </c>
      <c r="K68" s="31">
        <f>( (B68+I68) - (B67+I67) ) / (B67+I67)</f>
        <v/>
      </c>
    </row>
    <row r="69">
      <c r="A69" t="n">
        <v>2034</v>
      </c>
      <c r="B69">
        <f>B68*(1+J69)</f>
        <v/>
      </c>
      <c r="D69" s="31" t="n">
        <v>0</v>
      </c>
      <c r="E69">
        <f>$D$30*D69</f>
        <v/>
      </c>
      <c r="F69">
        <f>E69*$D$34</f>
        <v/>
      </c>
      <c r="G69">
        <f>F69/WEO_Data!D16*100</f>
        <v/>
      </c>
      <c r="H69">
        <f>G69*$D$52</f>
        <v/>
      </c>
      <c r="I69">
        <f>(G69-H69)*$D$51</f>
        <v/>
      </c>
      <c r="J69" s="31">
        <f>WEO_Data!B16</f>
        <v/>
      </c>
      <c r="K69" s="31">
        <f>( (B69+I69) - (B68+I68) ) / (B68+I68)</f>
        <v/>
      </c>
    </row>
    <row r="70">
      <c r="A70" t="n">
        <v>2035</v>
      </c>
      <c r="B70">
        <f>B69*(1+J70)</f>
        <v/>
      </c>
      <c r="D70" s="31" t="n">
        <v>0</v>
      </c>
      <c r="E70">
        <f>$D$30*D70</f>
        <v/>
      </c>
      <c r="F70">
        <f>E70*$D$34</f>
        <v/>
      </c>
      <c r="G70">
        <f>F70/WEO_Data!D17*100</f>
        <v/>
      </c>
      <c r="H70">
        <f>G70*$D$52</f>
        <v/>
      </c>
      <c r="I70">
        <f>(G70-H70)*$D$51</f>
        <v/>
      </c>
      <c r="J70" s="31">
        <f>WEO_Data!B17</f>
        <v/>
      </c>
      <c r="K70" s="31">
        <f>( (B70+I70) - (B69+I69) ) / (B69+I69)</f>
        <v/>
      </c>
    </row>
    <row r="71">
      <c r="A71" t="n">
        <v>2036</v>
      </c>
      <c r="B71">
        <f>B70*(1+J71)</f>
        <v/>
      </c>
      <c r="D71" s="31" t="n">
        <v>0</v>
      </c>
      <c r="E71">
        <f>$D$30*D71</f>
        <v/>
      </c>
      <c r="F71">
        <f>E71*$D$34</f>
        <v/>
      </c>
      <c r="G71">
        <f>F71/WEO_Data!D18*100</f>
        <v/>
      </c>
      <c r="H71">
        <f>G71*$D$52</f>
        <v/>
      </c>
      <c r="I71">
        <f>(G71-H71)*$D$51</f>
        <v/>
      </c>
      <c r="J71" s="31">
        <f>WEO_Data!B18</f>
        <v/>
      </c>
      <c r="K71" s="31">
        <f>( (B71+I71) - (B70+I70) ) / (B70+I70)</f>
        <v/>
      </c>
    </row>
    <row r="72">
      <c r="A72" t="n">
        <v>2037</v>
      </c>
      <c r="B72">
        <f>B71*(1+J72)</f>
        <v/>
      </c>
      <c r="D72" s="31" t="n">
        <v>0</v>
      </c>
      <c r="E72">
        <f>$D$30*D72</f>
        <v/>
      </c>
      <c r="F72">
        <f>E72*$D$34</f>
        <v/>
      </c>
      <c r="G72">
        <f>F72/WEO_Data!D19*100</f>
        <v/>
      </c>
      <c r="H72">
        <f>G72*$D$52</f>
        <v/>
      </c>
      <c r="I72">
        <f>(G72-H72)*$D$51</f>
        <v/>
      </c>
      <c r="J72" s="31">
        <f>WEO_Data!B19</f>
        <v/>
      </c>
      <c r="K72" s="31">
        <f>( (B72+I72) - (B71+I71) ) / (B71+I71)</f>
        <v/>
      </c>
    </row>
    <row r="73">
      <c r="A73" t="n">
        <v>2038</v>
      </c>
      <c r="B73">
        <f>B72*(1+J73)</f>
        <v/>
      </c>
      <c r="D73" s="31" t="n">
        <v>0</v>
      </c>
      <c r="E73">
        <f>$D$30*D73</f>
        <v/>
      </c>
      <c r="F73">
        <f>E73*$D$34</f>
        <v/>
      </c>
      <c r="G73">
        <f>F73/WEO_Data!D20*100</f>
        <v/>
      </c>
      <c r="H73">
        <f>G73*$D$52</f>
        <v/>
      </c>
      <c r="I73">
        <f>(G73-H73)*$D$51</f>
        <v/>
      </c>
      <c r="J73" s="31">
        <f>WEO_Data!B20</f>
        <v/>
      </c>
      <c r="K73" s="31">
        <f>( (B73+I73) - (B72+I72) ) / (B72+I72)</f>
        <v/>
      </c>
    </row>
    <row r="74">
      <c r="A74" t="n">
        <v>2039</v>
      </c>
      <c r="B74">
        <f>B73*(1+J74)</f>
        <v/>
      </c>
      <c r="D74" s="31" t="n">
        <v>0</v>
      </c>
      <c r="E74">
        <f>$D$30*D74</f>
        <v/>
      </c>
      <c r="F74">
        <f>E74*$D$34</f>
        <v/>
      </c>
      <c r="G74">
        <f>F74/WEO_Data!D21*100</f>
        <v/>
      </c>
      <c r="H74">
        <f>G74*$D$52</f>
        <v/>
      </c>
      <c r="I74">
        <f>(G74-H74)*$D$51</f>
        <v/>
      </c>
      <c r="J74" s="31">
        <f>WEO_Data!B21</f>
        <v/>
      </c>
      <c r="K74" s="31">
        <f>( (B74+I74) - (B73+I73) ) / (B73+I73)</f>
        <v/>
      </c>
    </row>
    <row r="75">
      <c r="A75" t="n">
        <v>2040</v>
      </c>
      <c r="B75">
        <f>B74*(1+J75)</f>
        <v/>
      </c>
      <c r="D75" s="31" t="n">
        <v>0</v>
      </c>
      <c r="E75">
        <f>$D$30*D75</f>
        <v/>
      </c>
      <c r="F75">
        <f>E75*$D$34</f>
        <v/>
      </c>
      <c r="G75">
        <f>F75/WEO_Data!D22*100</f>
        <v/>
      </c>
      <c r="H75">
        <f>G75*$D$52</f>
        <v/>
      </c>
      <c r="I75">
        <f>(G75-H75)*$D$51</f>
        <v/>
      </c>
      <c r="J75" s="31">
        <f>WEO_Data!B22</f>
        <v/>
      </c>
      <c r="K75" s="31">
        <f>( (B75+I75) - (B74+I74) ) / (B74+I74)</f>
        <v/>
      </c>
    </row>
    <row r="76">
      <c r="A76" t="n">
        <v>2041</v>
      </c>
      <c r="B76">
        <f>B75*(1+J76)</f>
        <v/>
      </c>
      <c r="D76" s="31" t="n">
        <v>0</v>
      </c>
      <c r="E76">
        <f>$D$30*D76</f>
        <v/>
      </c>
      <c r="F76">
        <f>E76*$D$34</f>
        <v/>
      </c>
      <c r="G76">
        <f>F76/WEO_Data!D23*100</f>
        <v/>
      </c>
      <c r="H76">
        <f>G76*$D$52</f>
        <v/>
      </c>
      <c r="I76">
        <f>(G76-H76)*$D$51</f>
        <v/>
      </c>
      <c r="J76" s="31">
        <f>WEO_Data!B23</f>
        <v/>
      </c>
      <c r="K76" s="31">
        <f>( (B76+I76) - (B75+I75) ) / (B75+I75)</f>
        <v/>
      </c>
    </row>
    <row r="77">
      <c r="A77" t="n">
        <v>2042</v>
      </c>
      <c r="B77">
        <f>B76*(1+J77)</f>
        <v/>
      </c>
      <c r="D77" s="31" t="n">
        <v>0</v>
      </c>
      <c r="E77">
        <f>$D$30*D77</f>
        <v/>
      </c>
      <c r="F77">
        <f>E77*$D$34</f>
        <v/>
      </c>
      <c r="G77">
        <f>F77/WEO_Data!D24*100</f>
        <v/>
      </c>
      <c r="H77">
        <f>G77*$D$52</f>
        <v/>
      </c>
      <c r="I77">
        <f>(G77-H77)*$D$51</f>
        <v/>
      </c>
      <c r="J77" s="31">
        <f>WEO_Data!B24</f>
        <v/>
      </c>
      <c r="K77" s="31">
        <f>( (B77+I77) - (B76+I76) ) / (B76+I76)</f>
        <v/>
      </c>
    </row>
    <row r="78">
      <c r="A78" t="n">
        <v>2043</v>
      </c>
      <c r="B78">
        <f>B77*(1+J78)</f>
        <v/>
      </c>
      <c r="D78" s="31" t="n">
        <v>0</v>
      </c>
      <c r="E78">
        <f>$D$30*D78</f>
        <v/>
      </c>
      <c r="F78">
        <f>E78*$D$34</f>
        <v/>
      </c>
      <c r="G78">
        <f>F78/WEO_Data!D25*100</f>
        <v/>
      </c>
      <c r="H78">
        <f>G78*$D$52</f>
        <v/>
      </c>
      <c r="I78">
        <f>(G78-H78)*$D$51</f>
        <v/>
      </c>
      <c r="J78" s="31">
        <f>WEO_Data!B25</f>
        <v/>
      </c>
      <c r="K78" s="31">
        <f>( (B78+I78) - (B77+I77) ) / (B77+I77)</f>
        <v/>
      </c>
    </row>
    <row r="85">
      <c r="A85" t="inlineStr">
        <is>
          <t>SCENARIO 3 (Import Share = 0.5)</t>
        </is>
      </c>
    </row>
    <row r="86">
      <c r="C86" t="inlineStr">
        <is>
          <t>Demand Multiplier</t>
        </is>
      </c>
      <c r="D86" t="n">
        <v>0.8</v>
      </c>
    </row>
    <row r="87">
      <c r="C87" t="inlineStr">
        <is>
          <t>Import Content Share</t>
        </is>
      </c>
      <c r="D87" t="n">
        <v>0.5</v>
      </c>
    </row>
    <row r="89">
      <c r="A89" t="inlineStr">
        <is>
          <t>Year</t>
        </is>
      </c>
      <c r="B89" t="inlineStr">
        <is>
          <t>Real GDP (Index)</t>
        </is>
      </c>
      <c r="C89" t="inlineStr">
        <is>
          <t>Real GDP Growth</t>
        </is>
      </c>
      <c r="D89" t="inlineStr">
        <is>
          <t>Project Allocation (%)</t>
        </is>
      </c>
      <c r="E89" t="inlineStr">
        <is>
          <t>Project Investment (USD)</t>
        </is>
      </c>
      <c r="F89" t="inlineStr">
        <is>
          <t>Project Investment (Nominal GEL)</t>
        </is>
      </c>
      <c r="G89" t="inlineStr">
        <is>
          <t>Project Investment (Real GEL)</t>
        </is>
      </c>
      <c r="H89" t="inlineStr">
        <is>
          <t>Imports (Real GEL)</t>
        </is>
      </c>
      <c r="I89" t="inlineStr">
        <is>
          <t>GDP impact (Real GEL)</t>
        </is>
      </c>
      <c r="J89" t="inlineStr">
        <is>
          <t>Baseline GDP Growth</t>
        </is>
      </c>
      <c r="K89" t="inlineStr">
        <is>
          <t>Projected Growth</t>
        </is>
      </c>
    </row>
    <row r="90">
      <c r="A90" t="n">
        <v>2020</v>
      </c>
      <c r="B90" t="n">
        <v>50000000000</v>
      </c>
      <c r="D90" s="31" t="n">
        <v>0</v>
      </c>
      <c r="E90">
        <f>$D$30*D90</f>
        <v/>
      </c>
      <c r="F90">
        <f>E90*$D$34</f>
        <v/>
      </c>
      <c r="G90">
        <f>F90/WEO_Data!D2*100</f>
        <v/>
      </c>
      <c r="H90">
        <f>G90*$D$87</f>
        <v/>
      </c>
      <c r="I90">
        <f>(G90-H90)*$D$86</f>
        <v/>
      </c>
      <c r="J90" s="31">
        <f>WEO_Data!B2</f>
        <v/>
      </c>
    </row>
    <row r="91">
      <c r="A91" t="n">
        <v>2021</v>
      </c>
      <c r="B91">
        <f>B90*(1+J91)</f>
        <v/>
      </c>
      <c r="D91" s="31" t="n">
        <v>0</v>
      </c>
      <c r="E91">
        <f>$D$30*D91</f>
        <v/>
      </c>
      <c r="F91">
        <f>E91*$D$34</f>
        <v/>
      </c>
      <c r="G91">
        <f>F91/WEO_Data!D3*100</f>
        <v/>
      </c>
      <c r="H91">
        <f>G91*$D$87</f>
        <v/>
      </c>
      <c r="I91">
        <f>(G91-H91)*$D$86</f>
        <v/>
      </c>
      <c r="J91" s="31">
        <f>WEO_Data!B3</f>
        <v/>
      </c>
      <c r="K91" s="31">
        <f>( (B91+I91) - (B90+I90) ) / (B90+I90)</f>
        <v/>
      </c>
    </row>
    <row r="92">
      <c r="A92" t="n">
        <v>2022</v>
      </c>
      <c r="B92">
        <f>B91*(1+J92)</f>
        <v/>
      </c>
      <c r="D92" s="31" t="n">
        <v>0</v>
      </c>
      <c r="E92">
        <f>$D$30*D92</f>
        <v/>
      </c>
      <c r="F92">
        <f>E92*$D$34</f>
        <v/>
      </c>
      <c r="G92">
        <f>F92/WEO_Data!D4*100</f>
        <v/>
      </c>
      <c r="H92">
        <f>G92*$D$87</f>
        <v/>
      </c>
      <c r="I92">
        <f>(G92-H92)*$D$86</f>
        <v/>
      </c>
      <c r="J92" s="31">
        <f>WEO_Data!B4</f>
        <v/>
      </c>
      <c r="K92" s="31">
        <f>( (B92+I92) - (B91+I91) ) / (B91+I91)</f>
        <v/>
      </c>
    </row>
    <row r="93">
      <c r="A93" t="n">
        <v>2023</v>
      </c>
      <c r="B93">
        <f>B92*(1+J93)</f>
        <v/>
      </c>
      <c r="D93" s="31" t="n">
        <v>0</v>
      </c>
      <c r="E93">
        <f>$D$30*D93</f>
        <v/>
      </c>
      <c r="F93">
        <f>E93*$D$34</f>
        <v/>
      </c>
      <c r="G93">
        <f>F93/WEO_Data!D5*100</f>
        <v/>
      </c>
      <c r="H93">
        <f>G93*$D$87</f>
        <v/>
      </c>
      <c r="I93">
        <f>(G93-H93)*$D$86</f>
        <v/>
      </c>
      <c r="J93" s="31">
        <f>WEO_Data!B5</f>
        <v/>
      </c>
      <c r="K93" s="31">
        <f>( (B93+I93) - (B92+I92) ) / (B92+I92)</f>
        <v/>
      </c>
    </row>
    <row r="94">
      <c r="A94" t="n">
        <v>2024</v>
      </c>
      <c r="B94">
        <f>B93*(1+J94)</f>
        <v/>
      </c>
      <c r="D94" s="31" t="n">
        <v>0</v>
      </c>
      <c r="E94">
        <f>$D$30*D94</f>
        <v/>
      </c>
      <c r="F94">
        <f>E94*$D$34</f>
        <v/>
      </c>
      <c r="G94">
        <f>F94/WEO_Data!D6*100</f>
        <v/>
      </c>
      <c r="H94">
        <f>G94*$D$87</f>
        <v/>
      </c>
      <c r="I94">
        <f>(G94-H94)*$D$86</f>
        <v/>
      </c>
      <c r="J94" s="31">
        <f>WEO_Data!B6</f>
        <v/>
      </c>
      <c r="K94" s="31">
        <f>( (B94+I94) - (B93+I93) ) / (B93+I93)</f>
        <v/>
      </c>
    </row>
    <row r="95">
      <c r="A95" t="n">
        <v>2025</v>
      </c>
      <c r="B95">
        <f>B94*(1+J95)</f>
        <v/>
      </c>
      <c r="D95" s="31" t="n">
        <v>0</v>
      </c>
      <c r="E95">
        <f>$D$30*D95</f>
        <v/>
      </c>
      <c r="F95">
        <f>E95*$D$34</f>
        <v/>
      </c>
      <c r="G95">
        <f>F95/WEO_Data!D7*100</f>
        <v/>
      </c>
      <c r="H95">
        <f>G95*$D$87</f>
        <v/>
      </c>
      <c r="I95">
        <f>(G95-H95)*$D$86</f>
        <v/>
      </c>
      <c r="J95" s="31">
        <f>WEO_Data!B7</f>
        <v/>
      </c>
      <c r="K95" s="31">
        <f>( (B95+I95) - (B94+I94) ) / (B94+I94)</f>
        <v/>
      </c>
    </row>
    <row r="96">
      <c r="A96" t="n">
        <v>2026</v>
      </c>
      <c r="B96">
        <f>B95*(1+J96)</f>
        <v/>
      </c>
      <c r="D96" s="31" t="n">
        <v>0.05</v>
      </c>
      <c r="E96">
        <f>$D$30*D96</f>
        <v/>
      </c>
      <c r="F96">
        <f>E96*$D$34</f>
        <v/>
      </c>
      <c r="G96">
        <f>F96/WEO_Data!D8*100</f>
        <v/>
      </c>
      <c r="H96">
        <f>G96*$D$87</f>
        <v/>
      </c>
      <c r="I96">
        <f>(G96-H96)*$D$86</f>
        <v/>
      </c>
      <c r="J96" s="31">
        <f>WEO_Data!B8</f>
        <v/>
      </c>
      <c r="K96" s="31">
        <f>( (B96+I96) - (B95+I95) ) / (B95+I95)</f>
        <v/>
      </c>
    </row>
    <row r="97">
      <c r="A97" t="n">
        <v>2027</v>
      </c>
      <c r="B97">
        <f>B96*(1+J97)</f>
        <v/>
      </c>
      <c r="D97" s="31" t="n">
        <v>0.1</v>
      </c>
      <c r="E97">
        <f>$D$30*D97</f>
        <v/>
      </c>
      <c r="F97">
        <f>E97*$D$34</f>
        <v/>
      </c>
      <c r="G97">
        <f>F97/WEO_Data!D9*100</f>
        <v/>
      </c>
      <c r="H97">
        <f>G97*$D$87</f>
        <v/>
      </c>
      <c r="I97">
        <f>(G97-H97)*$D$86</f>
        <v/>
      </c>
      <c r="J97" s="31">
        <f>WEO_Data!B9</f>
        <v/>
      </c>
      <c r="K97" s="31">
        <f>( (B97+I97) - (B96+I96) ) / (B96+I96)</f>
        <v/>
      </c>
    </row>
    <row r="98">
      <c r="A98" t="n">
        <v>2028</v>
      </c>
      <c r="B98">
        <f>B97*(1+J98)</f>
        <v/>
      </c>
      <c r="D98" s="31" t="n">
        <v>0.15</v>
      </c>
      <c r="E98">
        <f>$D$30*D98</f>
        <v/>
      </c>
      <c r="F98">
        <f>E98*$D$34</f>
        <v/>
      </c>
      <c r="G98">
        <f>F98/WEO_Data!D10*100</f>
        <v/>
      </c>
      <c r="H98">
        <f>G98*$D$87</f>
        <v/>
      </c>
      <c r="I98">
        <f>(G98-H98)*$D$86</f>
        <v/>
      </c>
      <c r="J98" s="31">
        <f>WEO_Data!B10</f>
        <v/>
      </c>
      <c r="K98" s="31">
        <f>( (B98+I98) - (B97+I97) ) / (B97+I97)</f>
        <v/>
      </c>
    </row>
    <row r="99">
      <c r="A99" t="n">
        <v>2029</v>
      </c>
      <c r="B99">
        <f>B98*(1+J99)</f>
        <v/>
      </c>
      <c r="D99" s="31" t="n">
        <v>0.2</v>
      </c>
      <c r="E99">
        <f>$D$30*D99</f>
        <v/>
      </c>
      <c r="F99">
        <f>E99*$D$34</f>
        <v/>
      </c>
      <c r="G99">
        <f>F99/WEO_Data!D11*100</f>
        <v/>
      </c>
      <c r="H99">
        <f>G99*$D$87</f>
        <v/>
      </c>
      <c r="I99">
        <f>(G99-H99)*$D$86</f>
        <v/>
      </c>
      <c r="J99" s="31">
        <f>WEO_Data!B11</f>
        <v/>
      </c>
      <c r="K99" s="31">
        <f>( (B99+I99) - (B98+I98) ) / (B98+I98)</f>
        <v/>
      </c>
    </row>
    <row r="100">
      <c r="A100" t="n">
        <v>2030</v>
      </c>
      <c r="B100">
        <f>B99*(1+J100)</f>
        <v/>
      </c>
      <c r="D100" s="31" t="n">
        <v>0.2</v>
      </c>
      <c r="E100">
        <f>$D$30*D100</f>
        <v/>
      </c>
      <c r="F100">
        <f>E100*$D$34</f>
        <v/>
      </c>
      <c r="G100">
        <f>F100/WEO_Data!D12*100</f>
        <v/>
      </c>
      <c r="H100">
        <f>G100*$D$87</f>
        <v/>
      </c>
      <c r="I100">
        <f>(G100-H100)*$D$86</f>
        <v/>
      </c>
      <c r="J100" s="31">
        <f>WEO_Data!B12</f>
        <v/>
      </c>
      <c r="K100" s="31">
        <f>( (B100+I100) - (B99+I99) ) / (B99+I99)</f>
        <v/>
      </c>
    </row>
    <row r="101">
      <c r="A101" t="n">
        <v>2031</v>
      </c>
      <c r="B101">
        <f>B100*(1+J101)</f>
        <v/>
      </c>
      <c r="D101" s="31" t="n">
        <v>0.15</v>
      </c>
      <c r="E101">
        <f>$D$30*D101</f>
        <v/>
      </c>
      <c r="F101">
        <f>E101*$D$34</f>
        <v/>
      </c>
      <c r="G101">
        <f>F101/WEO_Data!D13*100</f>
        <v/>
      </c>
      <c r="H101">
        <f>G101*$D$87</f>
        <v/>
      </c>
      <c r="I101">
        <f>(G101-H101)*$D$86</f>
        <v/>
      </c>
      <c r="J101" s="31">
        <f>WEO_Data!B13</f>
        <v/>
      </c>
      <c r="K101" s="31">
        <f>( (B101+I101) - (B100+I100) ) / (B100+I100)</f>
        <v/>
      </c>
    </row>
    <row r="102">
      <c r="A102" t="n">
        <v>2032</v>
      </c>
      <c r="B102">
        <f>B101*(1+J102)</f>
        <v/>
      </c>
      <c r="D102" s="31" t="n">
        <v>0.1</v>
      </c>
      <c r="E102">
        <f>$D$30*D102</f>
        <v/>
      </c>
      <c r="F102">
        <f>E102*$D$34</f>
        <v/>
      </c>
      <c r="G102">
        <f>F102/WEO_Data!D14*100</f>
        <v/>
      </c>
      <c r="H102">
        <f>G102*$D$87</f>
        <v/>
      </c>
      <c r="I102">
        <f>(G102-H102)*$D$86</f>
        <v/>
      </c>
      <c r="J102" s="31">
        <f>WEO_Data!B14</f>
        <v/>
      </c>
      <c r="K102" s="31">
        <f>( (B102+I102) - (B101+I101) ) / (B101+I101)</f>
        <v/>
      </c>
    </row>
    <row r="103">
      <c r="A103" t="n">
        <v>2033</v>
      </c>
      <c r="B103">
        <f>B102*(1+J103)</f>
        <v/>
      </c>
      <c r="D103" s="31" t="n">
        <v>0.05</v>
      </c>
      <c r="E103">
        <f>$D$30*D103</f>
        <v/>
      </c>
      <c r="F103">
        <f>E103*$D$34</f>
        <v/>
      </c>
      <c r="G103">
        <f>F103/WEO_Data!D15*100</f>
        <v/>
      </c>
      <c r="H103">
        <f>G103*$D$87</f>
        <v/>
      </c>
      <c r="I103">
        <f>(G103-H103)*$D$86</f>
        <v/>
      </c>
      <c r="J103" s="31">
        <f>WEO_Data!B15</f>
        <v/>
      </c>
      <c r="K103" s="31">
        <f>( (B103+I103) - (B102+I102) ) / (B102+I102)</f>
        <v/>
      </c>
    </row>
    <row r="104">
      <c r="A104" t="n">
        <v>2034</v>
      </c>
      <c r="B104">
        <f>B103*(1+J104)</f>
        <v/>
      </c>
      <c r="D104" s="31" t="n">
        <v>0</v>
      </c>
      <c r="E104">
        <f>$D$30*D104</f>
        <v/>
      </c>
      <c r="F104">
        <f>E104*$D$34</f>
        <v/>
      </c>
      <c r="G104">
        <f>F104/WEO_Data!D16*100</f>
        <v/>
      </c>
      <c r="H104">
        <f>G104*$D$87</f>
        <v/>
      </c>
      <c r="I104">
        <f>(G104-H104)*$D$86</f>
        <v/>
      </c>
      <c r="J104" s="31">
        <f>WEO_Data!B16</f>
        <v/>
      </c>
      <c r="K104" s="31">
        <f>( (B104+I104) - (B103+I103) ) / (B103+I103)</f>
        <v/>
      </c>
    </row>
    <row r="105">
      <c r="A105" t="n">
        <v>2035</v>
      </c>
      <c r="B105">
        <f>B104*(1+J105)</f>
        <v/>
      </c>
      <c r="D105" s="31" t="n">
        <v>0</v>
      </c>
      <c r="E105">
        <f>$D$30*D105</f>
        <v/>
      </c>
      <c r="F105">
        <f>E105*$D$34</f>
        <v/>
      </c>
      <c r="G105">
        <f>F105/WEO_Data!D17*100</f>
        <v/>
      </c>
      <c r="H105">
        <f>G105*$D$87</f>
        <v/>
      </c>
      <c r="I105">
        <f>(G105-H105)*$D$86</f>
        <v/>
      </c>
      <c r="J105" s="31">
        <f>WEO_Data!B17</f>
        <v/>
      </c>
      <c r="K105" s="31">
        <f>( (B105+I105) - (B104+I104) ) / (B104+I104)</f>
        <v/>
      </c>
    </row>
    <row r="106">
      <c r="A106" t="n">
        <v>2036</v>
      </c>
      <c r="B106">
        <f>B105*(1+J106)</f>
        <v/>
      </c>
      <c r="D106" s="31" t="n">
        <v>0</v>
      </c>
      <c r="E106">
        <f>$D$30*D106</f>
        <v/>
      </c>
      <c r="F106">
        <f>E106*$D$34</f>
        <v/>
      </c>
      <c r="G106">
        <f>F106/WEO_Data!D18*100</f>
        <v/>
      </c>
      <c r="H106">
        <f>G106*$D$87</f>
        <v/>
      </c>
      <c r="I106">
        <f>(G106-H106)*$D$86</f>
        <v/>
      </c>
      <c r="J106" s="31">
        <f>WEO_Data!B18</f>
        <v/>
      </c>
      <c r="K106" s="31">
        <f>( (B106+I106) - (B105+I105) ) / (B105+I105)</f>
        <v/>
      </c>
    </row>
    <row r="107">
      <c r="A107" t="n">
        <v>2037</v>
      </c>
      <c r="B107">
        <f>B106*(1+J107)</f>
        <v/>
      </c>
      <c r="D107" s="31" t="n">
        <v>0</v>
      </c>
      <c r="E107">
        <f>$D$30*D107</f>
        <v/>
      </c>
      <c r="F107">
        <f>E107*$D$34</f>
        <v/>
      </c>
      <c r="G107">
        <f>F107/WEO_Data!D19*100</f>
        <v/>
      </c>
      <c r="H107">
        <f>G107*$D$87</f>
        <v/>
      </c>
      <c r="I107">
        <f>(G107-H107)*$D$86</f>
        <v/>
      </c>
      <c r="J107" s="31">
        <f>WEO_Data!B19</f>
        <v/>
      </c>
      <c r="K107" s="31">
        <f>( (B107+I107) - (B106+I106) ) / (B106+I106)</f>
        <v/>
      </c>
    </row>
    <row r="108">
      <c r="A108" t="n">
        <v>2038</v>
      </c>
      <c r="B108">
        <f>B107*(1+J108)</f>
        <v/>
      </c>
      <c r="D108" s="31" t="n">
        <v>0</v>
      </c>
      <c r="E108">
        <f>$D$30*D108</f>
        <v/>
      </c>
      <c r="F108">
        <f>E108*$D$34</f>
        <v/>
      </c>
      <c r="G108">
        <f>F108/WEO_Data!D20*100</f>
        <v/>
      </c>
      <c r="H108">
        <f>G108*$D$87</f>
        <v/>
      </c>
      <c r="I108">
        <f>(G108-H108)*$D$86</f>
        <v/>
      </c>
      <c r="J108" s="31">
        <f>WEO_Data!B20</f>
        <v/>
      </c>
      <c r="K108" s="31">
        <f>( (B108+I108) - (B107+I107) ) / (B107+I107)</f>
        <v/>
      </c>
    </row>
    <row r="109">
      <c r="A109" t="n">
        <v>2039</v>
      </c>
      <c r="B109">
        <f>B108*(1+J109)</f>
        <v/>
      </c>
      <c r="D109" s="31" t="n">
        <v>0</v>
      </c>
      <c r="E109">
        <f>$D$30*D109</f>
        <v/>
      </c>
      <c r="F109">
        <f>E109*$D$34</f>
        <v/>
      </c>
      <c r="G109">
        <f>F109/WEO_Data!D21*100</f>
        <v/>
      </c>
      <c r="H109">
        <f>G109*$D$87</f>
        <v/>
      </c>
      <c r="I109">
        <f>(G109-H109)*$D$86</f>
        <v/>
      </c>
      <c r="J109" s="31">
        <f>WEO_Data!B21</f>
        <v/>
      </c>
      <c r="K109" s="31">
        <f>( (B109+I109) - (B108+I108) ) / (B108+I108)</f>
        <v/>
      </c>
    </row>
    <row r="110">
      <c r="A110" t="n">
        <v>2040</v>
      </c>
      <c r="B110">
        <f>B109*(1+J110)</f>
        <v/>
      </c>
      <c r="D110" s="31" t="n">
        <v>0</v>
      </c>
      <c r="E110">
        <f>$D$30*D110</f>
        <v/>
      </c>
      <c r="F110">
        <f>E110*$D$34</f>
        <v/>
      </c>
      <c r="G110">
        <f>F110/WEO_Data!D22*100</f>
        <v/>
      </c>
      <c r="H110">
        <f>G110*$D$87</f>
        <v/>
      </c>
      <c r="I110">
        <f>(G110-H110)*$D$86</f>
        <v/>
      </c>
      <c r="J110" s="31">
        <f>WEO_Data!B22</f>
        <v/>
      </c>
      <c r="K110" s="31">
        <f>( (B110+I110) - (B109+I109) ) / (B109+I109)</f>
        <v/>
      </c>
    </row>
    <row r="111">
      <c r="A111" t="n">
        <v>2041</v>
      </c>
      <c r="B111">
        <f>B110*(1+J111)</f>
        <v/>
      </c>
      <c r="D111" s="31" t="n">
        <v>0</v>
      </c>
      <c r="E111">
        <f>$D$30*D111</f>
        <v/>
      </c>
      <c r="F111">
        <f>E111*$D$34</f>
        <v/>
      </c>
      <c r="G111">
        <f>F111/WEO_Data!D23*100</f>
        <v/>
      </c>
      <c r="H111">
        <f>G111*$D$87</f>
        <v/>
      </c>
      <c r="I111">
        <f>(G111-H111)*$D$86</f>
        <v/>
      </c>
      <c r="J111" s="31">
        <f>WEO_Data!B23</f>
        <v/>
      </c>
      <c r="K111" s="31">
        <f>( (B111+I111) - (B110+I110) ) / (B110+I110)</f>
        <v/>
      </c>
    </row>
    <row r="112">
      <c r="A112" t="n">
        <v>2042</v>
      </c>
      <c r="B112">
        <f>B111*(1+J112)</f>
        <v/>
      </c>
      <c r="D112" s="31" t="n">
        <v>0</v>
      </c>
      <c r="E112">
        <f>$D$30*D112</f>
        <v/>
      </c>
      <c r="F112">
        <f>E112*$D$34</f>
        <v/>
      </c>
      <c r="G112">
        <f>F112/WEO_Data!D24*100</f>
        <v/>
      </c>
      <c r="H112">
        <f>G112*$D$87</f>
        <v/>
      </c>
      <c r="I112">
        <f>(G112-H112)*$D$86</f>
        <v/>
      </c>
      <c r="J112" s="31">
        <f>WEO_Data!B24</f>
        <v/>
      </c>
      <c r="K112" s="31">
        <f>( (B112+I112) - (B111+I111) ) / (B111+I111)</f>
        <v/>
      </c>
    </row>
    <row r="113">
      <c r="A113" t="n">
        <v>2043</v>
      </c>
      <c r="B113">
        <f>B112*(1+J113)</f>
        <v/>
      </c>
      <c r="D113" s="31" t="n">
        <v>0</v>
      </c>
      <c r="E113">
        <f>$D$30*D113</f>
        <v/>
      </c>
      <c r="F113">
        <f>E113*$D$34</f>
        <v/>
      </c>
      <c r="G113">
        <f>F113/WEO_Data!D25*100</f>
        <v/>
      </c>
      <c r="H113">
        <f>G113*$D$87</f>
        <v/>
      </c>
      <c r="I113">
        <f>(G113-H113)*$D$86</f>
        <v/>
      </c>
      <c r="J113" s="31">
        <f>WEO_Data!B25</f>
        <v/>
      </c>
      <c r="K113" s="31">
        <f>( (B113+I113) - (B112+I112) ) / (B112+I112)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2026-01-25T19:37:53Z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