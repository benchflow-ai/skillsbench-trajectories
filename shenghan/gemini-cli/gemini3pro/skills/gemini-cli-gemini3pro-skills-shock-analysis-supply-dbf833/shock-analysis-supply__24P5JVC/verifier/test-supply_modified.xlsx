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A4" t="inlineStr">
        <is>
          <t>Capital Share (alpha)</t>
        </is>
      </c>
      <c r="B4" t="n">
        <v>0.5763409140706062</v>
      </c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SUM(O6:O27) + 100*SUM(M6:M27)</f>
        <v/>
      </c>
    </row>
    <row r="6">
      <c r="C6" t="n">
        <v>2002</v>
      </c>
      <c r="D6" s="19" t="n">
        <v>240523.046875</v>
      </c>
      <c r="E6" t="n">
        <v>6600</v>
      </c>
      <c r="F6">
        <f>LN(D6)</f>
        <v/>
      </c>
      <c r="G6">
        <f>LN(E6)</f>
        <v/>
      </c>
      <c r="H6">
        <f>G6-$B$4*F6</f>
        <v/>
      </c>
      <c r="K6" s="4" t="n"/>
      <c r="L6" t="n">
        <v>1.715650296331399</v>
      </c>
      <c r="M6" t="n">
        <v>0</v>
      </c>
      <c r="N6" s="5">
        <f>H6-L6</f>
        <v/>
      </c>
      <c r="O6">
        <f>N6^2</f>
        <v/>
      </c>
    </row>
    <row r="7">
      <c r="C7" t="n">
        <v>2003</v>
      </c>
      <c r="D7" s="19" t="n">
        <v>242715.265625</v>
      </c>
      <c r="E7" t="n">
        <v>7400</v>
      </c>
      <c r="F7">
        <f>LN(D7)</f>
        <v/>
      </c>
      <c r="G7">
        <f>LN(E7)</f>
        <v/>
      </c>
      <c r="H7">
        <f>G7-$B$4*F7</f>
        <v/>
      </c>
      <c r="K7" s="4" t="n"/>
      <c r="L7" t="n">
        <v>1.780174660884361</v>
      </c>
      <c r="M7" t="n">
        <v>0</v>
      </c>
      <c r="N7" s="5">
        <f>H7-L7</f>
        <v/>
      </c>
      <c r="O7">
        <f>N7^2</f>
        <v/>
      </c>
    </row>
    <row r="8">
      <c r="C8" t="n">
        <v>2004</v>
      </c>
      <c r="D8" s="19" t="n">
        <v>245580.140625</v>
      </c>
      <c r="E8" t="n">
        <v>7900</v>
      </c>
      <c r="F8">
        <f>LN(D8)</f>
        <v/>
      </c>
      <c r="G8">
        <f>LN(E8)</f>
        <v/>
      </c>
      <c r="H8">
        <f>G8-$B$4*F8</f>
        <v/>
      </c>
      <c r="K8" s="4" t="n"/>
      <c r="L8" t="n">
        <v>1.844078840482205</v>
      </c>
      <c r="M8">
        <f>(L8-2*L7+L6)^2</f>
        <v/>
      </c>
      <c r="N8" s="5">
        <f>H8-L8</f>
        <v/>
      </c>
      <c r="O8">
        <f>N8^2</f>
        <v/>
      </c>
    </row>
    <row r="9">
      <c r="C9" t="n">
        <v>2005</v>
      </c>
      <c r="D9" s="19" t="n">
        <v>249248.984375</v>
      </c>
      <c r="E9" t="n">
        <v>8700</v>
      </c>
      <c r="F9">
        <f>LN(D9)</f>
        <v/>
      </c>
      <c r="G9">
        <f>LN(E9)</f>
        <v/>
      </c>
      <c r="H9">
        <f>G9-$B$4*F9</f>
        <v/>
      </c>
      <c r="K9" s="4" t="n"/>
      <c r="L9" t="n">
        <v>1.906569033116789</v>
      </c>
      <c r="M9">
        <f>(L9-2*L8+L7)^2</f>
        <v/>
      </c>
      <c r="N9" s="5">
        <f>H9-L9</f>
        <v/>
      </c>
      <c r="O9">
        <f>N9^2</f>
        <v/>
      </c>
    </row>
    <row r="10">
      <c r="C10" t="n">
        <v>2006</v>
      </c>
      <c r="D10" s="19" t="n">
        <v>252297.078125</v>
      </c>
      <c r="E10" t="n">
        <v>9500</v>
      </c>
      <c r="F10">
        <f>LN(D10)</f>
        <v/>
      </c>
      <c r="G10">
        <f>LN(E10)</f>
        <v/>
      </c>
      <c r="H10">
        <f>G10-$B$4*F10</f>
        <v/>
      </c>
      <c r="K10" s="4" t="n"/>
      <c r="L10" t="n">
        <v>1.966624975822349</v>
      </c>
      <c r="M10">
        <f>(L10-2*L9+L8)^2</f>
        <v/>
      </c>
      <c r="N10" s="5">
        <f>H10-L10</f>
        <v/>
      </c>
      <c r="O10">
        <f>N10^2</f>
        <v/>
      </c>
    </row>
    <row r="11">
      <c r="C11" t="n">
        <v>2007</v>
      </c>
      <c r="D11" s="19" t="n">
        <v>256234.109375</v>
      </c>
      <c r="E11" t="n">
        <v>10700</v>
      </c>
      <c r="F11">
        <f>LN(D11)</f>
        <v/>
      </c>
      <c r="G11">
        <f>LN(E11)</f>
        <v/>
      </c>
      <c r="H11">
        <f>G11-$B$4*F11</f>
        <v/>
      </c>
      <c r="K11" s="4" t="n"/>
      <c r="L11" t="n">
        <v>2.023254179806774</v>
      </c>
      <c r="M11">
        <f>(L11-2*L10+L9)^2</f>
        <v/>
      </c>
      <c r="N11" s="5">
        <f>H11-L11</f>
        <v/>
      </c>
      <c r="O11">
        <f>N11^2</f>
        <v/>
      </c>
    </row>
    <row r="12">
      <c r="C12" t="n">
        <v>2008</v>
      </c>
      <c r="D12" s="19" t="n">
        <v>257715.4375</v>
      </c>
      <c r="E12" t="n">
        <v>11000</v>
      </c>
      <c r="F12">
        <f>LN(D12)</f>
        <v/>
      </c>
      <c r="G12">
        <f>LN(E12)</f>
        <v/>
      </c>
      <c r="H12">
        <f>G12-$B$4*F12</f>
        <v/>
      </c>
      <c r="K12" s="4" t="n"/>
      <c r="L12" t="n">
        <v>2.075701004858747</v>
      </c>
      <c r="M12">
        <f>(L12-2*L11+L10)^2</f>
        <v/>
      </c>
      <c r="N12" s="5">
        <f>H12-L12</f>
        <v/>
      </c>
      <c r="O12">
        <f>N12^2</f>
        <v/>
      </c>
    </row>
    <row r="13">
      <c r="C13" t="n">
        <v>2009</v>
      </c>
      <c r="D13" s="19" t="n">
        <v>255596.078125</v>
      </c>
      <c r="E13" t="n">
        <v>10600</v>
      </c>
      <c r="F13">
        <f>LN(D13)</f>
        <v/>
      </c>
      <c r="G13">
        <f>LN(E13)</f>
        <v/>
      </c>
      <c r="H13">
        <f>G13-$B$4*F13</f>
        <v/>
      </c>
      <c r="K13" s="4" t="n"/>
      <c r="L13" t="n">
        <v>2.1239806447163</v>
      </c>
      <c r="M13">
        <f>(L13-2*L12+L11)^2</f>
        <v/>
      </c>
      <c r="N13" s="5">
        <f>H13-L13</f>
        <v/>
      </c>
      <c r="O13">
        <f>N13^2</f>
        <v/>
      </c>
    </row>
    <row r="14">
      <c r="C14" t="n">
        <v>2010</v>
      </c>
      <c r="D14" s="19" t="n">
        <v>256185.140625</v>
      </c>
      <c r="E14" t="n">
        <v>11200</v>
      </c>
      <c r="F14">
        <f>LN(D14)</f>
        <v/>
      </c>
      <c r="G14">
        <f>LN(E14)</f>
        <v/>
      </c>
      <c r="H14">
        <f>G14-$B$4*F14</f>
        <v/>
      </c>
      <c r="K14" s="4" t="n"/>
      <c r="L14" t="n">
        <v>2.168597950931918</v>
      </c>
      <c r="M14">
        <f>(L14-2*L13+L12)^2</f>
        <v/>
      </c>
      <c r="N14" s="5">
        <f>H14-L14</f>
        <v/>
      </c>
      <c r="O14">
        <f>N14^2</f>
        <v/>
      </c>
    </row>
    <row r="15">
      <c r="C15" t="n">
        <v>2011</v>
      </c>
      <c r="D15" s="19" t="n">
        <v>258197.40625</v>
      </c>
      <c r="E15" t="n">
        <v>12000</v>
      </c>
      <c r="F15">
        <f>LN(D15)</f>
        <v/>
      </c>
      <c r="G15">
        <f>LN(E15)</f>
        <v/>
      </c>
      <c r="H15">
        <f>G15-$B$4*F15</f>
        <v/>
      </c>
      <c r="K15" s="4" t="n"/>
      <c r="L15" t="n">
        <v>2.20974181592773</v>
      </c>
      <c r="M15">
        <f>(L15-2*L14+L13)^2</f>
        <v/>
      </c>
      <c r="N15" s="5">
        <f>H15-L15</f>
        <v/>
      </c>
      <c r="O15">
        <f>N15^2</f>
        <v/>
      </c>
    </row>
    <row r="16">
      <c r="C16" t="n">
        <v>2012</v>
      </c>
      <c r="D16" s="19" t="n">
        <v>260772.96875</v>
      </c>
      <c r="E16" t="n">
        <v>12700</v>
      </c>
      <c r="F16">
        <f>LN(D16)</f>
        <v/>
      </c>
      <c r="G16">
        <f>LN(E16)</f>
        <v/>
      </c>
      <c r="H16">
        <f>G16-$B$4*F16</f>
        <v/>
      </c>
      <c r="K16" s="4" t="n"/>
      <c r="L16" t="n">
        <v>2.247376330279287</v>
      </c>
      <c r="M16">
        <f>(L16-2*L15+L14)^2</f>
        <v/>
      </c>
      <c r="N16" s="5">
        <f>H16-L16</f>
        <v/>
      </c>
      <c r="O16">
        <f>N16^2</f>
        <v/>
      </c>
    </row>
    <row r="17">
      <c r="C17" t="n">
        <v>2013</v>
      </c>
      <c r="D17" s="19" t="n">
        <v>261943.109375</v>
      </c>
      <c r="E17" t="n">
        <v>13100</v>
      </c>
      <c r="F17">
        <f>LN(D17)</f>
        <v/>
      </c>
      <c r="G17">
        <f>LN(E17)</f>
        <v/>
      </c>
      <c r="H17">
        <f>G17-$B$4*F17</f>
        <v/>
      </c>
      <c r="K17" s="4" t="n"/>
      <c r="L17" t="n">
        <v>2.281474179612644</v>
      </c>
      <c r="M17">
        <f>(L17-2*L16+L15)^2</f>
        <v/>
      </c>
      <c r="N17" s="5">
        <f>H17-L17</f>
        <v/>
      </c>
      <c r="O17">
        <f>N17^2</f>
        <v/>
      </c>
    </row>
    <row r="18">
      <c r="C18" t="n">
        <v>2014</v>
      </c>
      <c r="D18" s="19" t="n">
        <v>265818.40625</v>
      </c>
      <c r="E18" t="n">
        <v>13700</v>
      </c>
      <c r="F18">
        <f>LN(D18)</f>
        <v/>
      </c>
      <c r="G18">
        <f>LN(E18)</f>
        <v/>
      </c>
      <c r="H18">
        <f>G18-$B$4*F18</f>
        <v/>
      </c>
      <c r="K18" s="4" t="n"/>
      <c r="L18" t="n">
        <v>2.31215004677163</v>
      </c>
      <c r="M18">
        <f>(L18-2*L17+L16)^2</f>
        <v/>
      </c>
      <c r="N18" s="5">
        <f>H18-L18</f>
        <v/>
      </c>
      <c r="O18">
        <f>N18^2</f>
        <v/>
      </c>
    </row>
    <row r="19">
      <c r="C19" t="n">
        <v>2015</v>
      </c>
      <c r="D19" s="19" t="n">
        <v>271425.46875</v>
      </c>
      <c r="E19" t="n">
        <v>14100</v>
      </c>
      <c r="F19">
        <f>LN(D19)</f>
        <v/>
      </c>
      <c r="G19">
        <f>LN(E19)</f>
        <v/>
      </c>
      <c r="H19">
        <f>G19-$B$4*F19</f>
        <v/>
      </c>
      <c r="K19" s="4" t="n"/>
      <c r="L19" t="n">
        <v>2.339603931968958</v>
      </c>
      <c r="M19">
        <f>(L19-2*L18+L17)^2</f>
        <v/>
      </c>
      <c r="N19" s="5">
        <f>H19-L19</f>
        <v/>
      </c>
      <c r="O19">
        <f>N19^2</f>
        <v/>
      </c>
    </row>
    <row r="20">
      <c r="C20" t="n">
        <v>2016</v>
      </c>
      <c r="D20" s="19" t="n">
        <v>277588.15625</v>
      </c>
      <c r="E20" t="n">
        <v>14500</v>
      </c>
      <c r="F20">
        <f>LN(D20)</f>
        <v/>
      </c>
      <c r="G20">
        <f>LN(E20)</f>
        <v/>
      </c>
      <c r="H20">
        <f>G20-$B$4*F20</f>
        <v/>
      </c>
      <c r="K20" s="4" t="n"/>
      <c r="L20" t="n">
        <v>2.364177588414665</v>
      </c>
      <c r="M20">
        <f>(L20-2*L19+L18)^2</f>
        <v/>
      </c>
      <c r="N20" s="5">
        <f>H20-L20</f>
        <v/>
      </c>
      <c r="O20">
        <f>N20^2</f>
        <v/>
      </c>
    </row>
    <row r="21">
      <c r="C21" t="n">
        <v>2017</v>
      </c>
      <c r="D21" s="19" t="n">
        <v>283682.15625</v>
      </c>
      <c r="E21" t="n">
        <v>15200</v>
      </c>
      <c r="F21">
        <f>LN(D21)</f>
        <v/>
      </c>
      <c r="G21">
        <f>LN(E21)</f>
        <v/>
      </c>
      <c r="H21">
        <f>G21-$B$4*F21</f>
        <v/>
      </c>
      <c r="K21" s="4" t="n"/>
      <c r="L21" t="n">
        <v>2.386247466596413</v>
      </c>
      <c r="M21">
        <f>(L21-2*L20+L19)^2</f>
        <v/>
      </c>
      <c r="N21" s="5">
        <f>H21-L21</f>
        <v/>
      </c>
      <c r="O21">
        <f>N21^2</f>
        <v/>
      </c>
    </row>
    <row r="22">
      <c r="C22" t="n">
        <v>2018</v>
      </c>
      <c r="D22" s="19" t="n">
        <v>289560.90625</v>
      </c>
      <c r="E22" t="n">
        <v>15900</v>
      </c>
      <c r="F22">
        <f>LN(D22)</f>
        <v/>
      </c>
      <c r="G22">
        <f>LN(E22)</f>
        <v/>
      </c>
      <c r="H22">
        <f>G22-$B$4*F22</f>
        <v/>
      </c>
      <c r="K22" s="4" t="n"/>
      <c r="L22" t="n">
        <v>2.406129322064762</v>
      </c>
      <c r="M22">
        <f>(L22-2*L21+L20)^2</f>
        <v/>
      </c>
      <c r="N22" s="5">
        <f>H22-L22</f>
        <v/>
      </c>
      <c r="O22">
        <f>N22^2</f>
        <v/>
      </c>
    </row>
    <row r="23">
      <c r="C23" t="n">
        <v>2019</v>
      </c>
      <c r="D23" s="19" t="n">
        <v>298215.0625</v>
      </c>
      <c r="E23" t="n">
        <v>16700</v>
      </c>
      <c r="F23">
        <f>LN(D23)</f>
        <v/>
      </c>
      <c r="G23">
        <f>LN(E23)</f>
        <v/>
      </c>
      <c r="H23">
        <f>G23-$B$4*F23</f>
        <v/>
      </c>
      <c r="K23" s="4" t="n"/>
      <c r="L23" t="n">
        <v>2.424203826932166</v>
      </c>
      <c r="M23">
        <f>(L23-2*L22+L21)^2</f>
        <v/>
      </c>
      <c r="N23" s="5">
        <f>H23-L23</f>
        <v/>
      </c>
      <c r="O23">
        <f>N23^2</f>
        <v/>
      </c>
    </row>
    <row r="24">
      <c r="C24" t="n">
        <v>2020</v>
      </c>
      <c r="D24" s="19" t="n">
        <v>304534.8653322637</v>
      </c>
      <c r="E24" t="n">
        <v>15700</v>
      </c>
      <c r="F24">
        <f>LN(D24)</f>
        <v/>
      </c>
      <c r="G24">
        <f>LN(E24)</f>
        <v/>
      </c>
      <c r="H24">
        <f>G24-$B$4*F24</f>
        <v/>
      </c>
      <c r="K24" s="4" t="n"/>
      <c r="L24" t="n">
        <v>2.441049773602947</v>
      </c>
      <c r="M24">
        <f>(L24-2*L23+L22)^2</f>
        <v/>
      </c>
      <c r="N24" s="5">
        <f>H24-L24</f>
        <v/>
      </c>
      <c r="O24">
        <f>N24^2</f>
        <v/>
      </c>
    </row>
    <row r="25">
      <c r="C25" t="n">
        <v>2021</v>
      </c>
      <c r="D25" s="19" t="n">
        <v>335570.2656209021</v>
      </c>
      <c r="E25" t="n">
        <v>17300</v>
      </c>
      <c r="F25">
        <f>LN(D25)</f>
        <v/>
      </c>
      <c r="G25">
        <f>LN(E25)</f>
        <v/>
      </c>
      <c r="H25">
        <f>G25-$B$4*F25</f>
        <v/>
      </c>
      <c r="K25" s="4" t="n"/>
      <c r="L25" t="n">
        <v>2.457584497731003</v>
      </c>
      <c r="M25">
        <f>(L25-2*L24+L23)^2</f>
        <v/>
      </c>
      <c r="N25" s="5">
        <f>H25-L25</f>
        <v/>
      </c>
      <c r="O25">
        <f>N25^2</f>
        <v/>
      </c>
    </row>
    <row r="26">
      <c r="C26" t="n">
        <v>2022</v>
      </c>
      <c r="D26" s="19" t="n">
        <v>368545.3784275803</v>
      </c>
      <c r="E26" t="n">
        <v>19000</v>
      </c>
      <c r="F26">
        <f>LN(D26)</f>
        <v/>
      </c>
      <c r="G26">
        <f>LN(E26)</f>
        <v/>
      </c>
      <c r="H26">
        <f>G26-$B$4*F26</f>
        <v/>
      </c>
      <c r="K26" s="4" t="n"/>
      <c r="L26" t="n">
        <v>2.474157076140425</v>
      </c>
      <c r="M26">
        <f>(L26-2*L25+L24)^2</f>
        <v/>
      </c>
      <c r="N26" s="5">
        <f>H26-L26</f>
        <v/>
      </c>
      <c r="O26">
        <f>N26^2</f>
        <v/>
      </c>
    </row>
    <row r="27">
      <c r="C27" t="n">
        <v>2023</v>
      </c>
      <c r="D27" s="19" t="n">
        <v>397641.0661981787</v>
      </c>
      <c r="E27" t="n">
        <v>20500</v>
      </c>
      <c r="F27">
        <f>LN(D27)</f>
        <v/>
      </c>
      <c r="G27">
        <f>LN(E27)</f>
        <v/>
      </c>
      <c r="H27">
        <f>G27-$B$4*F27</f>
        <v/>
      </c>
      <c r="K27" s="6" t="n"/>
      <c r="L27" s="7" t="n">
        <v>2.490794122887459</v>
      </c>
      <c r="M27" s="7">
        <f>(L27-2*L26+L25)^2</f>
        <v/>
      </c>
      <c r="N27" s="8">
        <f>H27-L27</f>
        <v/>
      </c>
      <c r="O27">
        <f>N27^2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2024</v>
      </c>
      <c r="E36" s="19" t="n"/>
      <c r="G36" t="n">
        <v>2.50744422779322</v>
      </c>
      <c r="H36">
        <f>EXP((G36 + $B$4*2.9651248685111935) / (1-$B$4))</f>
        <v/>
      </c>
      <c r="I36">
        <f>VLOOKUP(C36, Investment!B:C, 2, FALSE)</f>
        <v/>
      </c>
      <c r="J36">
        <f>I36</f>
        <v/>
      </c>
      <c r="K36" s="19">
        <f>H36*19.397125180398962 + J36</f>
        <v/>
      </c>
      <c r="L36">
        <f>EXP(G36 + $B$4*LN(K36))</f>
        <v/>
      </c>
    </row>
    <row r="37">
      <c r="C37" t="n">
        <v>2025</v>
      </c>
      <c r="E37" s="19" t="n"/>
      <c r="G37" t="n">
        <v>2.524073017238027</v>
      </c>
      <c r="H37">
        <f>EXP((G37 + $B$4*2.9651248685111935) / (1-$B$4))</f>
        <v/>
      </c>
      <c r="I37">
        <f>VLOOKUP(C37, Investment!B:C, 2, FALSE)</f>
        <v/>
      </c>
      <c r="J37">
        <f>(1-$B$3)*J36 + I37</f>
        <v/>
      </c>
      <c r="K37" s="19">
        <f>H37*19.397125180398962 + J37</f>
        <v/>
      </c>
      <c r="L37">
        <f>EXP(G37 + $B$4*LN(K37))</f>
        <v/>
      </c>
    </row>
    <row r="38">
      <c r="C38" t="n">
        <v>2026</v>
      </c>
      <c r="E38" s="19" t="n"/>
      <c r="G38" t="n">
        <v>2.540701806682834</v>
      </c>
      <c r="H38">
        <f>EXP((G38 + $B$4*2.9651248685111935) / (1-$B$4))</f>
        <v/>
      </c>
      <c r="I38">
        <f>VLOOKUP(C38, Investment!B:C, 2, FALSE)</f>
        <v/>
      </c>
      <c r="J38">
        <f>(1-$B$3)*J37 + I38</f>
        <v/>
      </c>
      <c r="K38" s="19">
        <f>H38*19.397125180398962 + J38</f>
        <v/>
      </c>
      <c r="L38">
        <f>EXP(G38 + $B$4*LN(K38))</f>
        <v/>
      </c>
    </row>
    <row r="39">
      <c r="C39" t="n">
        <v>2027</v>
      </c>
      <c r="E39" s="19" t="n"/>
      <c r="G39" t="n">
        <v>2.55733059612764</v>
      </c>
      <c r="H39">
        <f>EXP((G39 + $B$4*2.9651248685111935) / (1-$B$4))</f>
        <v/>
      </c>
      <c r="I39">
        <f>VLOOKUP(C39, Investment!B:C, 2, FALSE)</f>
        <v/>
      </c>
      <c r="J39">
        <f>(1-$B$3)*J38 + I39</f>
        <v/>
      </c>
      <c r="K39" s="19">
        <f>H39*19.397125180398962 + J39</f>
        <v/>
      </c>
      <c r="L39">
        <f>EXP(G39 + $B$4*LN(K39))</f>
        <v/>
      </c>
    </row>
    <row r="40">
      <c r="C40" t="n">
        <v>2028</v>
      </c>
      <c r="E40" s="19" t="n"/>
      <c r="G40" t="n">
        <v>2.573959385572447</v>
      </c>
      <c r="H40">
        <f>EXP((G40 + $B$4*2.9651248685111935) / (1-$B$4))</f>
        <v/>
      </c>
      <c r="I40">
        <f>VLOOKUP(C40, Investment!B:C, 2, FALSE)</f>
        <v/>
      </c>
      <c r="J40">
        <f>(1-$B$3)*J39 + I40</f>
        <v/>
      </c>
      <c r="K40" s="19">
        <f>H40*19.397125180398962 + J40</f>
        <v/>
      </c>
      <c r="L40">
        <f>EXP(G40 + $B$4*LN(K40))</f>
        <v/>
      </c>
    </row>
    <row r="41">
      <c r="C41" t="n">
        <v>2029</v>
      </c>
      <c r="E41" s="19" t="n"/>
      <c r="G41" t="n">
        <v>2.590588175017254</v>
      </c>
      <c r="H41">
        <f>EXP((G41 + $B$4*2.9651248685111935) / (1-$B$4))</f>
        <v/>
      </c>
      <c r="I41">
        <f>VLOOKUP(C41, Investment!B:C, 2, FALSE)</f>
        <v/>
      </c>
      <c r="J41">
        <f>(1-$B$3)*J40 + I41</f>
        <v/>
      </c>
      <c r="K41" s="19">
        <f>H41*19.397125180398962 + J41</f>
        <v/>
      </c>
      <c r="L41">
        <f>EXP(G41 + $B$4*LN(K41))</f>
        <v/>
      </c>
    </row>
    <row r="42">
      <c r="C42" t="n">
        <v>2030</v>
      </c>
      <c r="E42" s="19" t="n"/>
      <c r="G42" t="n">
        <v>2.607216964462061</v>
      </c>
      <c r="H42">
        <f>EXP((G42 + $B$4*2.9651248685111935) / (1-$B$4))</f>
        <v/>
      </c>
      <c r="I42">
        <f>VLOOKUP(C42, Investment!B:C, 2, FALSE)</f>
        <v/>
      </c>
      <c r="J42">
        <f>(1-$B$3)*J41 + I42</f>
        <v/>
      </c>
      <c r="K42" s="19">
        <f>H42*19.397125180398962 + J42</f>
        <v/>
      </c>
      <c r="L42">
        <f>EXP(G42 + $B$4*LN(K42))</f>
        <v/>
      </c>
    </row>
    <row r="43">
      <c r="C43" t="n">
        <v>2031</v>
      </c>
      <c r="E43" s="19" t="n"/>
      <c r="G43" t="n">
        <v>2.623845753906867</v>
      </c>
      <c r="H43">
        <f>EXP((G43 + $B$4*2.9651248685111935) / (1-$B$4))</f>
        <v/>
      </c>
      <c r="I43">
        <f>VLOOKUP(C43, Investment!B:C, 2, FALSE)</f>
        <v/>
      </c>
      <c r="J43">
        <f>(1-$B$3)*J42 + I43</f>
        <v/>
      </c>
      <c r="K43" s="19">
        <f>H43*19.397125180398962 + J43</f>
        <v/>
      </c>
      <c r="L43">
        <f>EXP(G43 + $B$4*LN(K43))</f>
        <v/>
      </c>
    </row>
    <row r="44">
      <c r="C44" t="n">
        <v>2032</v>
      </c>
      <c r="E44" s="19" t="n"/>
      <c r="G44" t="n">
        <v>2.640474543351674</v>
      </c>
      <c r="H44">
        <f>EXP((G44 + $B$4*2.9651248685111935) / (1-$B$4))</f>
        <v/>
      </c>
      <c r="I44">
        <f>VLOOKUP(C44, Investment!B:C, 2, FALSE)</f>
        <v/>
      </c>
      <c r="J44">
        <f>(1-$B$3)*J43 + I44</f>
        <v/>
      </c>
      <c r="K44" s="19">
        <f>H44*19.397125180398962 + J44</f>
        <v/>
      </c>
      <c r="L44">
        <f>EXP(G44 + $B$4*LN(K44))</f>
        <v/>
      </c>
    </row>
    <row r="45">
      <c r="C45" t="n">
        <v>2033</v>
      </c>
      <c r="E45" s="19" t="n"/>
      <c r="G45" t="n">
        <v>2.65710333279648</v>
      </c>
      <c r="H45">
        <f>EXP((G45 + $B$4*2.9651248685111935) / (1-$B$4))</f>
        <v/>
      </c>
      <c r="I45">
        <f>VLOOKUP(C45, Investment!B:C, 2, FALSE)</f>
        <v/>
      </c>
      <c r="J45">
        <f>(1-$B$3)*J44 + I45</f>
        <v/>
      </c>
      <c r="K45" s="19">
        <f>H45*19.397125180398962 + J45</f>
        <v/>
      </c>
      <c r="L45">
        <f>EXP(G45 + $B$4*LN(K45))</f>
        <v/>
      </c>
    </row>
    <row r="46">
      <c r="C46" t="n">
        <v>2034</v>
      </c>
      <c r="E46" s="19" t="n"/>
      <c r="G46" t="n">
        <v>2.673732122241287</v>
      </c>
      <c r="H46">
        <f>EXP((G46 + $B$4*2.9651248685111935) / (1-$B$4))</f>
        <v/>
      </c>
      <c r="I46">
        <f>VLOOKUP(C46, Investment!B:C, 2, FALSE)</f>
        <v/>
      </c>
      <c r="J46">
        <f>(1-$B$3)*J45 + I46</f>
        <v/>
      </c>
      <c r="K46" s="19">
        <f>H46*19.397125180398962 + J46</f>
        <v/>
      </c>
      <c r="L46">
        <f>EXP(G46 + $B$4*LN(K46))</f>
        <v/>
      </c>
    </row>
    <row r="47">
      <c r="C47" t="n">
        <v>2035</v>
      </c>
      <c r="E47" s="19" t="n"/>
      <c r="G47" t="n">
        <v>2.690360911686094</v>
      </c>
      <c r="H47">
        <f>EXP((G47 + $B$4*2.9651248685111935) / (1-$B$4))</f>
        <v/>
      </c>
      <c r="I47">
        <f>VLOOKUP(C47, Investment!B:C, 2, FALSE)</f>
        <v/>
      </c>
      <c r="J47">
        <f>(1-$B$3)*J46 + I47</f>
        <v/>
      </c>
      <c r="K47" s="19">
        <f>H47*19.397125180398962 + J47</f>
        <v/>
      </c>
      <c r="L47">
        <f>EXP(G47 + $B$4*LN(K47))</f>
        <v/>
      </c>
    </row>
    <row r="48">
      <c r="C48" t="n">
        <v>2036</v>
      </c>
      <c r="E48" s="19" t="n"/>
      <c r="G48" t="n">
        <v>2.706989701130901</v>
      </c>
      <c r="H48">
        <f>EXP((G48 + $B$4*2.9651248685111935) / (1-$B$4))</f>
        <v/>
      </c>
      <c r="I48">
        <f>VLOOKUP(C48, Investment!B:C, 2, FALSE)</f>
        <v/>
      </c>
      <c r="J48">
        <f>(1-$B$3)*J47 + I48</f>
        <v/>
      </c>
      <c r="K48" s="19">
        <f>H48*19.397125180398962 + J48</f>
        <v/>
      </c>
      <c r="L48">
        <f>EXP(G48 + $B$4*LN(K48))</f>
        <v/>
      </c>
    </row>
    <row r="49">
      <c r="C49" t="n">
        <v>2037</v>
      </c>
      <c r="E49" s="19" t="n"/>
      <c r="G49" t="n">
        <v>2.723618490575707</v>
      </c>
      <c r="H49">
        <f>EXP((G49 + $B$4*2.9651248685111935) / (1-$B$4))</f>
        <v/>
      </c>
      <c r="I49">
        <f>VLOOKUP(C49, Investment!B:C, 2, FALSE)</f>
        <v/>
      </c>
      <c r="J49">
        <f>(1-$B$3)*J48 + I49</f>
        <v/>
      </c>
      <c r="K49" s="19">
        <f>H49*19.397125180398962 + J49</f>
        <v/>
      </c>
      <c r="L49">
        <f>EXP(G49 + $B$4*LN(K49))</f>
        <v/>
      </c>
    </row>
    <row r="50">
      <c r="C50" t="n">
        <v>2038</v>
      </c>
      <c r="E50" s="19" t="n"/>
      <c r="G50" t="n">
        <v>2.740247280020514</v>
      </c>
      <c r="H50">
        <f>EXP((G50 + $B$4*2.9651248685111935) / (1-$B$4))</f>
        <v/>
      </c>
      <c r="I50">
        <f>VLOOKUP(C50, Investment!B:C, 2, FALSE)</f>
        <v/>
      </c>
      <c r="J50">
        <f>(1-$B$3)*J49 + I50</f>
        <v/>
      </c>
      <c r="K50" s="19">
        <f>H50*19.397125180398962 + J50</f>
        <v/>
      </c>
      <c r="L50">
        <f>EXP(G50 + $B$4*LN(K50))</f>
        <v/>
      </c>
    </row>
    <row r="51">
      <c r="C51" t="n">
        <v>2039</v>
      </c>
      <c r="E51" s="19" t="n"/>
      <c r="G51" t="n">
        <v>2.756876069465321</v>
      </c>
      <c r="H51">
        <f>EXP((G51 + $B$4*2.9651248685111935) / (1-$B$4))</f>
        <v/>
      </c>
      <c r="I51">
        <f>VLOOKUP(C51, Investment!B:C, 2, FALSE)</f>
        <v/>
      </c>
      <c r="J51">
        <f>(1-$B$3)*J50 + I51</f>
        <v/>
      </c>
      <c r="K51" s="19">
        <f>H51*19.397125180398962 + J51</f>
        <v/>
      </c>
      <c r="L51">
        <f>EXP(G51 + $B$4*LN(K51))</f>
        <v/>
      </c>
    </row>
    <row r="52">
      <c r="C52" t="n">
        <v>2040</v>
      </c>
      <c r="E52" s="19" t="n"/>
      <c r="G52" t="n">
        <v>2.773504858910127</v>
      </c>
      <c r="H52">
        <f>EXP((G52 + $B$4*2.9651248685111935) / (1-$B$4))</f>
        <v/>
      </c>
      <c r="I52">
        <f>VLOOKUP(C52, Investment!B:C, 2, FALSE)</f>
        <v/>
      </c>
      <c r="J52">
        <f>(1-$B$3)*J51 + I52</f>
        <v/>
      </c>
      <c r="K52" s="19">
        <f>H52*19.397125180398962 + J52</f>
        <v/>
      </c>
      <c r="L52">
        <f>EXP(G52 + $B$4*LN(K52))</f>
        <v/>
      </c>
    </row>
    <row r="53">
      <c r="C53" t="n">
        <v>2041</v>
      </c>
      <c r="E53" s="19" t="n"/>
      <c r="G53" t="n">
        <v>2.790133648354934</v>
      </c>
      <c r="H53">
        <f>EXP((G53 + $B$4*2.9651248685111935) / (1-$B$4))</f>
        <v/>
      </c>
      <c r="I53">
        <f>VLOOKUP(C53, Investment!B:C, 2, FALSE)</f>
        <v/>
      </c>
      <c r="J53">
        <f>(1-$B$3)*J52 + I53</f>
        <v/>
      </c>
      <c r="K53" s="19">
        <f>H53*19.397125180398962 + J53</f>
        <v/>
      </c>
      <c r="L53">
        <f>EXP(G53 + $B$4*LN(K53))</f>
        <v/>
      </c>
    </row>
    <row r="54">
      <c r="C54" t="n">
        <v>2020</v>
      </c>
      <c r="E54" s="19" t="n"/>
      <c r="K54" s="19" t="n"/>
    </row>
    <row r="55">
      <c r="C55" t="n">
        <v>2021</v>
      </c>
      <c r="E55" s="19" t="n"/>
      <c r="K55" s="19" t="n"/>
    </row>
    <row r="56">
      <c r="C56" t="n">
        <v>2022</v>
      </c>
      <c r="E56" s="19" t="n"/>
      <c r="K56" s="19" t="n"/>
    </row>
    <row r="57">
      <c r="C57" t="n">
        <v>2023</v>
      </c>
      <c r="E57" s="19" t="n"/>
      <c r="K57" s="19" t="n"/>
    </row>
    <row r="58">
      <c r="C58" t="n">
        <v>2024</v>
      </c>
      <c r="E58" s="21" t="n"/>
      <c r="G58" s="20" t="n"/>
      <c r="K58" s="19" t="n"/>
    </row>
    <row r="59">
      <c r="C59" t="n">
        <v>2025</v>
      </c>
      <c r="E59" s="21" t="n"/>
      <c r="G59" s="20" t="n"/>
      <c r="K59" s="19" t="n"/>
    </row>
    <row r="60">
      <c r="C60" t="n">
        <v>2026</v>
      </c>
      <c r="E60" s="21" t="n"/>
      <c r="F60" s="20" t="n"/>
      <c r="G60" s="20" t="n"/>
      <c r="I60" s="17" t="n"/>
      <c r="K60" s="19" t="n"/>
    </row>
    <row r="61">
      <c r="C61" t="n">
        <v>2027</v>
      </c>
      <c r="E61" s="21" t="n"/>
      <c r="F61" s="20" t="n"/>
      <c r="G61" s="20" t="n"/>
      <c r="I61" s="17" t="n"/>
      <c r="K61" s="19" t="n"/>
    </row>
    <row r="62">
      <c r="C62" t="n">
        <v>2028</v>
      </c>
      <c r="E62" s="21" t="n"/>
      <c r="F62" s="20" t="n"/>
      <c r="G62" s="20" t="n"/>
      <c r="I62" s="17" t="n"/>
      <c r="K62" s="19" t="n"/>
    </row>
    <row r="63">
      <c r="C63" t="n">
        <v>2029</v>
      </c>
      <c r="E63" s="21" t="n"/>
      <c r="F63" s="20" t="n"/>
      <c r="G63" s="20" t="n"/>
      <c r="I63" s="17" t="n"/>
      <c r="K63" s="19" t="n"/>
    </row>
    <row r="64">
      <c r="C64" t="n">
        <v>2030</v>
      </c>
      <c r="E64" s="21" t="n"/>
      <c r="F64" s="20" t="n"/>
      <c r="G64" s="20" t="n"/>
      <c r="I64" s="17" t="n"/>
      <c r="K64" s="19" t="n"/>
    </row>
    <row r="65">
      <c r="C65" t="n">
        <v>2031</v>
      </c>
      <c r="E65" s="21" t="n"/>
      <c r="F65" s="20" t="n"/>
      <c r="G65" s="20" t="n"/>
      <c r="I65" s="17" t="n"/>
      <c r="K65" s="19" t="n"/>
    </row>
    <row r="66">
      <c r="C66" t="n">
        <v>2032</v>
      </c>
      <c r="E66" s="21" t="n"/>
      <c r="F66" s="20" t="n"/>
      <c r="G66" s="20" t="n"/>
      <c r="I66" s="17" t="n"/>
      <c r="K66" s="19" t="n"/>
    </row>
    <row r="67">
      <c r="C67" t="n">
        <v>2033</v>
      </c>
      <c r="E67" s="21" t="n"/>
      <c r="F67" s="20" t="n"/>
      <c r="G67" s="20" t="n"/>
      <c r="I67" s="17" t="n"/>
      <c r="K67" s="19" t="n"/>
    </row>
    <row r="68">
      <c r="C68" t="n">
        <v>2034</v>
      </c>
      <c r="E68" s="21" t="n"/>
      <c r="F68" s="20" t="n"/>
      <c r="G68" s="20" t="n"/>
      <c r="K68" s="19" t="n"/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3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t="n">
        <v>2020</v>
      </c>
      <c r="C2" t="n">
        <v>0</v>
      </c>
    </row>
    <row r="3">
      <c r="B3" t="n">
        <v>2021</v>
      </c>
      <c r="C3" t="n">
        <v>0</v>
      </c>
    </row>
    <row r="4">
      <c r="B4" t="n">
        <v>2022</v>
      </c>
      <c r="C4" t="n">
        <v>0</v>
      </c>
    </row>
    <row r="5">
      <c r="B5" t="n">
        <v>2023</v>
      </c>
      <c r="C5" t="n">
        <v>0</v>
      </c>
    </row>
    <row r="6">
      <c r="B6" t="n">
        <v>2024</v>
      </c>
      <c r="C6" t="n">
        <v>0</v>
      </c>
    </row>
    <row r="7">
      <c r="B7" t="n">
        <v>2025</v>
      </c>
      <c r="C7" t="n">
        <v>0</v>
      </c>
    </row>
    <row r="8">
      <c r="B8" t="n">
        <v>2026</v>
      </c>
      <c r="C8" t="n">
        <v>812.5</v>
      </c>
    </row>
    <row r="9">
      <c r="B9" t="n">
        <v>2027</v>
      </c>
      <c r="C9" t="n">
        <v>812.5</v>
      </c>
    </row>
    <row r="10">
      <c r="B10" t="n">
        <v>2028</v>
      </c>
      <c r="C10" t="n">
        <v>812.5</v>
      </c>
    </row>
    <row r="11">
      <c r="B11" t="n">
        <v>2029</v>
      </c>
      <c r="C11" t="n">
        <v>812.5</v>
      </c>
    </row>
    <row r="12">
      <c r="B12" t="n">
        <v>2030</v>
      </c>
      <c r="C12" t="n">
        <v>812.5</v>
      </c>
    </row>
    <row r="13">
      <c r="B13" t="n">
        <v>2031</v>
      </c>
      <c r="C13" t="n">
        <v>812.5</v>
      </c>
    </row>
    <row r="14">
      <c r="B14" t="n">
        <v>2032</v>
      </c>
      <c r="C14" t="n">
        <v>812.5</v>
      </c>
    </row>
    <row r="15">
      <c r="B15" t="n">
        <v>2033</v>
      </c>
      <c r="C15" t="n">
        <v>812.5</v>
      </c>
    </row>
    <row r="16">
      <c r="B16" t="n">
        <v>2034</v>
      </c>
      <c r="C16" t="n">
        <v>0</v>
      </c>
    </row>
    <row r="17">
      <c r="B17" t="n">
        <v>2035</v>
      </c>
      <c r="C17" t="n">
        <v>0</v>
      </c>
    </row>
    <row r="18">
      <c r="B18" t="n">
        <v>2036</v>
      </c>
      <c r="C18" t="n">
        <v>0</v>
      </c>
    </row>
    <row r="19">
      <c r="B19" t="n">
        <v>2037</v>
      </c>
      <c r="C19" t="n">
        <v>0</v>
      </c>
    </row>
    <row r="20">
      <c r="B20" t="n">
        <v>2038</v>
      </c>
      <c r="C20" t="n">
        <v>0</v>
      </c>
    </row>
    <row r="21">
      <c r="B21" t="n">
        <v>2039</v>
      </c>
      <c r="C21" t="n">
        <v>0</v>
      </c>
    </row>
    <row r="22">
      <c r="B22" t="n">
        <v>2040</v>
      </c>
      <c r="C22" t="n">
        <v>0</v>
      </c>
    </row>
    <row r="23">
      <c r="B23" t="n">
        <v>2041</v>
      </c>
      <c r="C2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t="inlineStr">
        <is>
          <t>1996-01-01</t>
        </is>
      </c>
      <c r="B2" t="n">
        <v>1996</v>
      </c>
      <c r="C2" t="n">
        <v>304515091.7602</v>
      </c>
      <c r="D2">
        <f>VLOOKUP(B2, PWT!A:B, 2, FALSE)</f>
        <v/>
      </c>
      <c r="E2">
        <f>(C2/1000000)/D2</f>
        <v/>
      </c>
    </row>
    <row r="3">
      <c r="A3" t="inlineStr">
        <is>
          <t>1997-01-01</t>
        </is>
      </c>
      <c r="B3" t="n">
        <v>1997</v>
      </c>
      <c r="C3" t="n">
        <v>383641663.608596</v>
      </c>
      <c r="D3">
        <f>VLOOKUP(B3, PWT!A:B, 2, FALSE)</f>
        <v/>
      </c>
      <c r="E3">
        <f>(C3/1000000)/D3</f>
        <v/>
      </c>
    </row>
    <row r="4">
      <c r="A4" t="inlineStr">
        <is>
          <t>1998-01-01</t>
        </is>
      </c>
      <c r="B4" t="n">
        <v>1998</v>
      </c>
      <c r="C4" t="n">
        <v>516397121.222809</v>
      </c>
      <c r="D4">
        <f>VLOOKUP(B4, PWT!A:B, 2, FALSE)</f>
        <v/>
      </c>
      <c r="E4">
        <f>(C4/1000000)/D4</f>
        <v/>
      </c>
    </row>
    <row r="5">
      <c r="A5" t="inlineStr">
        <is>
          <t>1999-01-01</t>
        </is>
      </c>
      <c r="B5" t="n">
        <v>1999</v>
      </c>
      <c r="C5" t="n">
        <v>661603834.429231</v>
      </c>
      <c r="D5">
        <f>VLOOKUP(B5, PWT!A:B, 2, FALSE)</f>
        <v/>
      </c>
      <c r="E5">
        <f>(C5/1000000)/D5</f>
        <v/>
      </c>
    </row>
    <row r="6">
      <c r="A6" t="inlineStr">
        <is>
          <t>2000-01-01</t>
        </is>
      </c>
      <c r="B6" t="n">
        <v>2000</v>
      </c>
      <c r="C6" t="n">
        <v>631701000.88782</v>
      </c>
      <c r="D6">
        <f>VLOOKUP(B6, PWT!A:B, 2, FALSE)</f>
        <v/>
      </c>
      <c r="E6">
        <f>(C6/1000000)/D6</f>
        <v/>
      </c>
    </row>
    <row r="7">
      <c r="A7" t="inlineStr">
        <is>
          <t>2001-01-01</t>
        </is>
      </c>
      <c r="B7" t="n">
        <v>2001</v>
      </c>
      <c r="C7" t="n">
        <v>706983726.789065</v>
      </c>
      <c r="D7">
        <f>VLOOKUP(B7, PWT!A:B, 2, FALSE)</f>
        <v/>
      </c>
      <c r="E7">
        <f>(C7/1000000)/D7</f>
        <v/>
      </c>
    </row>
    <row r="8">
      <c r="A8" t="inlineStr">
        <is>
          <t>2002-01-01</t>
        </is>
      </c>
      <c r="B8" t="n">
        <v>2002</v>
      </c>
      <c r="C8" t="n">
        <v>790112565.198609</v>
      </c>
      <c r="D8">
        <f>VLOOKUP(B8, PWT!A:B, 2, FALSE)</f>
        <v/>
      </c>
      <c r="E8">
        <f>(C8/1000000)/D8</f>
        <v/>
      </c>
    </row>
    <row r="9">
      <c r="A9" t="inlineStr">
        <is>
          <t>2003-01-01</t>
        </is>
      </c>
      <c r="B9" t="n">
        <v>2003</v>
      </c>
      <c r="C9" t="n">
        <v>932916219.671159</v>
      </c>
      <c r="D9">
        <f>VLOOKUP(B9, PWT!A:B, 2, FALSE)</f>
        <v/>
      </c>
      <c r="E9">
        <f>(C9/1000000)/D9</f>
        <v/>
      </c>
    </row>
    <row r="10">
      <c r="A10" t="inlineStr">
        <is>
          <t>2004-01-01</t>
        </is>
      </c>
      <c r="B10" t="n">
        <v>2004</v>
      </c>
      <c r="C10" t="n">
        <v>976818537.799271</v>
      </c>
      <c r="D10">
        <f>VLOOKUP(B10, PWT!A:B, 2, FALSE)</f>
        <v/>
      </c>
      <c r="E10">
        <f>(C10/1000000)/D10</f>
        <v/>
      </c>
    </row>
    <row r="11">
      <c r="A11" t="inlineStr">
        <is>
          <t>2005-01-01</t>
        </is>
      </c>
      <c r="B11" t="n">
        <v>2005</v>
      </c>
      <c r="C11" t="n">
        <v>1113450058.59263</v>
      </c>
      <c r="D11">
        <f>VLOOKUP(B11, PWT!A:B, 2, FALSE)</f>
        <v/>
      </c>
      <c r="E11">
        <f>(C11/1000000)/D11</f>
        <v/>
      </c>
    </row>
    <row r="12">
      <c r="A12" t="inlineStr">
        <is>
          <t>2006-01-01</t>
        </is>
      </c>
      <c r="B12" t="n">
        <v>2006</v>
      </c>
      <c r="C12" t="n">
        <v>1306373084.13224</v>
      </c>
      <c r="D12">
        <f>VLOOKUP(B12, PWT!A:B, 2, FALSE)</f>
        <v/>
      </c>
      <c r="E12">
        <f>(C12/1000000)/D12</f>
        <v/>
      </c>
    </row>
    <row r="13">
      <c r="A13" t="inlineStr">
        <is>
          <t>2007-01-01</t>
        </is>
      </c>
      <c r="B13" t="n">
        <v>2007</v>
      </c>
      <c r="C13" t="n">
        <v>1617029966.25711</v>
      </c>
      <c r="D13">
        <f>VLOOKUP(B13, PWT!A:B, 2, FALSE)</f>
        <v/>
      </c>
      <c r="E13">
        <f>(C13/1000000)/D13</f>
        <v/>
      </c>
    </row>
    <row r="14">
      <c r="A14" t="inlineStr">
        <is>
          <t>2008-01-01</t>
        </is>
      </c>
      <c r="B14" t="n">
        <v>2008</v>
      </c>
      <c r="C14" t="n">
        <v>1758049267.6717</v>
      </c>
      <c r="D14">
        <f>VLOOKUP(B14, PWT!A:B, 2, FALSE)</f>
        <v/>
      </c>
      <c r="E14">
        <f>(C14/1000000)/D14</f>
        <v/>
      </c>
    </row>
    <row r="15">
      <c r="A15" t="inlineStr">
        <is>
          <t>2009-01-01</t>
        </is>
      </c>
      <c r="B15" t="n">
        <v>2009</v>
      </c>
      <c r="C15" t="n">
        <v>1751366684.88131</v>
      </c>
      <c r="D15">
        <f>VLOOKUP(B15, PWT!A:B, 2, FALSE)</f>
        <v/>
      </c>
      <c r="E15">
        <f>(C15/1000000)/D15</f>
        <v/>
      </c>
    </row>
    <row r="16">
      <c r="A16" t="inlineStr">
        <is>
          <t>2010-01-01</t>
        </is>
      </c>
      <c r="B16" t="n">
        <v>2010</v>
      </c>
      <c r="C16" t="n">
        <v>2046413234.66733</v>
      </c>
      <c r="D16">
        <f>VLOOKUP(B16, PWT!A:B, 2, FALSE)</f>
        <v/>
      </c>
      <c r="E16">
        <f>(C16/1000000)/D16</f>
        <v/>
      </c>
    </row>
    <row r="17">
      <c r="A17" t="inlineStr">
        <is>
          <t>2011-01-01</t>
        </is>
      </c>
      <c r="B17" t="n">
        <v>2011</v>
      </c>
      <c r="C17" t="n">
        <v>2350512405.90543</v>
      </c>
      <c r="D17">
        <f>VLOOKUP(B17, PWT!A:B, 2, FALSE)</f>
        <v/>
      </c>
      <c r="E17">
        <f>(C17/1000000)/D17</f>
        <v/>
      </c>
    </row>
    <row r="18">
      <c r="A18" t="inlineStr">
        <is>
          <t>2012-01-01</t>
        </is>
      </c>
      <c r="B18" t="n">
        <v>2012</v>
      </c>
      <c r="C18" t="n">
        <v>2643602887.96874</v>
      </c>
      <c r="D18">
        <f>VLOOKUP(B18, PWT!A:B, 2, FALSE)</f>
        <v/>
      </c>
      <c r="E18">
        <f>(C18/1000000)/D18</f>
        <v/>
      </c>
    </row>
    <row r="19">
      <c r="A19" t="inlineStr">
        <is>
          <t>2013-01-01</t>
        </is>
      </c>
      <c r="B19" t="n">
        <v>2013</v>
      </c>
      <c r="C19" t="n">
        <v>1555932152.31816</v>
      </c>
      <c r="D19">
        <f>VLOOKUP(B19, PWT!A:B, 2, FALSE)</f>
        <v/>
      </c>
      <c r="E19">
        <f>(C19/1000000)/D19</f>
        <v/>
      </c>
    </row>
    <row r="20">
      <c r="A20" t="inlineStr">
        <is>
          <t>2014-01-01</t>
        </is>
      </c>
      <c r="B20" t="n">
        <v>2014</v>
      </c>
      <c r="C20" t="n">
        <v>2984890468.6878</v>
      </c>
      <c r="D20">
        <f>VLOOKUP(B20, PWT!A:B, 2, FALSE)</f>
        <v/>
      </c>
      <c r="E20">
        <f>(C20/1000000)/D20</f>
        <v/>
      </c>
    </row>
    <row r="21">
      <c r="A21" t="inlineStr">
        <is>
          <t>2015-01-01</t>
        </is>
      </c>
      <c r="B21" t="n">
        <v>2015</v>
      </c>
      <c r="C21" t="n">
        <v>3657280672.54249</v>
      </c>
      <c r="D21">
        <f>VLOOKUP(B21, PWT!A:B, 2, FALSE)</f>
        <v/>
      </c>
      <c r="E21">
        <f>(C21/1000000)/D21</f>
        <v/>
      </c>
    </row>
    <row r="22">
      <c r="A22" t="inlineStr">
        <is>
          <t>2016-01-01</t>
        </is>
      </c>
      <c r="B22" t="n">
        <v>2016</v>
      </c>
      <c r="C22" t="n">
        <v>4004828719.85304</v>
      </c>
      <c r="D22">
        <f>VLOOKUP(B22, PWT!A:B, 2, FALSE)</f>
        <v/>
      </c>
      <c r="E22">
        <f>(C22/1000000)/D22</f>
        <v/>
      </c>
    </row>
    <row r="23">
      <c r="A23" t="inlineStr">
        <is>
          <t>2017-01-01</t>
        </is>
      </c>
      <c r="B23" t="n">
        <v>2017</v>
      </c>
      <c r="C23" t="n">
        <v>4492921334.90825</v>
      </c>
      <c r="D23">
        <f>VLOOKUP(B23, PWT!A:B, 2, FALSE)</f>
        <v/>
      </c>
      <c r="E23">
        <f>(C23/1000000)/D23</f>
        <v/>
      </c>
    </row>
    <row r="24">
      <c r="A24" t="inlineStr">
        <is>
          <t>2018-01-01</t>
        </is>
      </c>
      <c r="B24" t="n">
        <v>2018</v>
      </c>
      <c r="C24" t="n">
        <v>4843616440.28627</v>
      </c>
      <c r="D24">
        <f>VLOOKUP(B24, PWT!A:B, 2, FALSE)</f>
        <v/>
      </c>
      <c r="E24">
        <f>(C24/1000000)/D24</f>
        <v/>
      </c>
    </row>
    <row r="25">
      <c r="A25" t="inlineStr">
        <is>
          <t>2019-01-01</t>
        </is>
      </c>
      <c r="B25" t="n">
        <v>2019</v>
      </c>
      <c r="C25" t="n">
        <v>5452957379.35004</v>
      </c>
      <c r="D25">
        <f>VLOOKUP(B25, PWT!A:B, 2, FALSE)</f>
        <v/>
      </c>
      <c r="E25">
        <f>(C25/1000000)/D25</f>
        <v/>
      </c>
    </row>
    <row r="26">
      <c r="A26" t="inlineStr">
        <is>
          <t>2020-01-01</t>
        </is>
      </c>
      <c r="B26" t="n">
        <v>2020</v>
      </c>
      <c r="C26" t="n">
        <v>6152769261.61805</v>
      </c>
      <c r="D26">
        <f>VLOOKUP(B26, PWT!A:B, 2, FALSE)</f>
        <v/>
      </c>
      <c r="E26">
        <f>(C26/1000000)/D26</f>
        <v/>
      </c>
    </row>
    <row r="27">
      <c r="A27" t="inlineStr">
        <is>
          <t>2021-01-01</t>
        </is>
      </c>
      <c r="B27" t="n">
        <v>2021</v>
      </c>
      <c r="C27" t="n">
        <v>7072625348.89823</v>
      </c>
      <c r="D27">
        <f>VLOOKUP(B27, PWT!A:B, 2, FALSE)</f>
        <v/>
      </c>
      <c r="E27">
        <f>(C27/1000000)/D27</f>
        <v/>
      </c>
    </row>
    <row r="28">
      <c r="A28" t="inlineStr">
        <is>
          <t>2022-01-01</t>
        </is>
      </c>
      <c r="B28" t="n">
        <v>2022</v>
      </c>
      <c r="C28" t="n">
        <v>7661448474.88107</v>
      </c>
      <c r="D28">
        <f>VLOOKUP(B28, PWT!A:B, 2, FALSE)</f>
        <v/>
      </c>
      <c r="E28">
        <f>(C28/1000000)/D28</f>
        <v/>
      </c>
    </row>
    <row r="29">
      <c r="A29" t="inlineStr">
        <is>
          <t>2023-01-01</t>
        </is>
      </c>
      <c r="B29" t="n">
        <v>2023</v>
      </c>
      <c r="C29" t="n">
        <v>9410657843.71035</v>
      </c>
      <c r="D29">
        <f>VLOOKUP(B29, PWT!A:B, 2, FALSE)</f>
        <v/>
      </c>
      <c r="E29">
        <f>(C29/1000000)/D29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t="n">
        <v>1950</v>
      </c>
    </row>
    <row r="3">
      <c r="A3" t="n">
        <v>1951</v>
      </c>
    </row>
    <row r="4">
      <c r="A4" t="n">
        <v>1952</v>
      </c>
    </row>
    <row r="5">
      <c r="A5" t="n">
        <v>1953</v>
      </c>
    </row>
    <row r="6">
      <c r="A6" t="n">
        <v>1954</v>
      </c>
    </row>
    <row r="7">
      <c r="A7" t="n">
        <v>1955</v>
      </c>
    </row>
    <row r="8">
      <c r="A8" t="n">
        <v>1956</v>
      </c>
    </row>
    <row r="9">
      <c r="A9" t="n">
        <v>1957</v>
      </c>
    </row>
    <row r="10">
      <c r="A10" t="n">
        <v>1958</v>
      </c>
    </row>
    <row r="11">
      <c r="A11" t="n">
        <v>1959</v>
      </c>
    </row>
    <row r="12">
      <c r="A12" t="n">
        <v>1960</v>
      </c>
    </row>
    <row r="13">
      <c r="A13" t="n">
        <v>1961</v>
      </c>
    </row>
    <row r="14">
      <c r="A14" t="n">
        <v>1962</v>
      </c>
    </row>
    <row r="15">
      <c r="A15" t="n">
        <v>1963</v>
      </c>
    </row>
    <row r="16">
      <c r="A16" t="n">
        <v>1964</v>
      </c>
    </row>
    <row r="17">
      <c r="A17" t="n">
        <v>1965</v>
      </c>
    </row>
    <row r="18">
      <c r="A18" t="n">
        <v>1966</v>
      </c>
    </row>
    <row r="19">
      <c r="A19" t="n">
        <v>1967</v>
      </c>
    </row>
    <row r="20">
      <c r="A20" t="n">
        <v>1968</v>
      </c>
    </row>
    <row r="21">
      <c r="A21" t="n">
        <v>1969</v>
      </c>
    </row>
    <row r="22">
      <c r="A22" t="n">
        <v>1970</v>
      </c>
    </row>
    <row r="23">
      <c r="A23" t="n">
        <v>1971</v>
      </c>
    </row>
    <row r="24">
      <c r="A24" t="n">
        <v>1972</v>
      </c>
    </row>
    <row r="25">
      <c r="A25" t="n">
        <v>1973</v>
      </c>
    </row>
    <row r="26">
      <c r="A26" t="n">
        <v>1974</v>
      </c>
    </row>
    <row r="27">
      <c r="A27" t="n">
        <v>1975</v>
      </c>
    </row>
    <row r="28">
      <c r="A28" t="n">
        <v>1976</v>
      </c>
    </row>
    <row r="29">
      <c r="A29" t="n">
        <v>1977</v>
      </c>
    </row>
    <row r="30">
      <c r="A30" t="n">
        <v>1978</v>
      </c>
    </row>
    <row r="31">
      <c r="A31" t="n">
        <v>1979</v>
      </c>
    </row>
    <row r="32">
      <c r="A32" t="n">
        <v>1980</v>
      </c>
    </row>
    <row r="33">
      <c r="A33" t="n">
        <v>1981</v>
      </c>
    </row>
    <row r="34">
      <c r="A34" t="n">
        <v>1982</v>
      </c>
    </row>
    <row r="35">
      <c r="A35" t="n">
        <v>1983</v>
      </c>
    </row>
    <row r="36">
      <c r="A36" t="n">
        <v>1984</v>
      </c>
    </row>
    <row r="37">
      <c r="A37" t="n">
        <v>1985</v>
      </c>
    </row>
    <row r="38">
      <c r="A38" t="n">
        <v>1986</v>
      </c>
    </row>
    <row r="39">
      <c r="A39" t="n">
        <v>1987</v>
      </c>
    </row>
    <row r="40">
      <c r="A40" t="n">
        <v>1988</v>
      </c>
    </row>
    <row r="41">
      <c r="A41" t="n">
        <v>1989</v>
      </c>
    </row>
    <row r="42">
      <c r="A42" t="n">
        <v>1990</v>
      </c>
      <c r="B42" t="n">
        <v>269494.40625</v>
      </c>
    </row>
    <row r="43">
      <c r="A43" t="n">
        <v>1991</v>
      </c>
      <c r="B43" t="n">
        <v>271117.4375</v>
      </c>
    </row>
    <row r="44">
      <c r="A44" t="n">
        <v>1992</v>
      </c>
      <c r="B44" t="n">
        <v>266614.8125</v>
      </c>
    </row>
    <row r="45">
      <c r="A45" t="n">
        <v>1993</v>
      </c>
      <c r="B45" t="n">
        <v>256535.46875</v>
      </c>
    </row>
    <row r="46">
      <c r="A46" t="n">
        <v>1994</v>
      </c>
      <c r="B46" t="n">
        <v>249672.46875</v>
      </c>
    </row>
    <row r="47">
      <c r="A47" t="n">
        <v>1995</v>
      </c>
      <c r="B47" t="n">
        <v>245497.8125</v>
      </c>
    </row>
    <row r="48">
      <c r="A48" t="n">
        <v>1996</v>
      </c>
      <c r="B48" t="n">
        <v>242089.6875</v>
      </c>
    </row>
    <row r="49">
      <c r="A49" t="n">
        <v>1997</v>
      </c>
      <c r="B49" t="n">
        <v>239425.359375</v>
      </c>
    </row>
    <row r="50">
      <c r="A50" t="n">
        <v>1998</v>
      </c>
      <c r="B50" t="n">
        <v>239121.890625</v>
      </c>
    </row>
    <row r="51">
      <c r="A51" t="n">
        <v>1999</v>
      </c>
      <c r="B51" t="n">
        <v>239199.265625</v>
      </c>
    </row>
    <row r="52">
      <c r="A52" t="n">
        <v>2000</v>
      </c>
      <c r="B52" t="n">
        <v>239171.609375</v>
      </c>
    </row>
    <row r="53">
      <c r="A53" t="n">
        <v>2001</v>
      </c>
      <c r="B53" t="n">
        <v>240066.265625</v>
      </c>
    </row>
    <row r="54">
      <c r="A54" t="n">
        <v>2002</v>
      </c>
      <c r="B54" t="n">
        <v>240523.046875</v>
      </c>
    </row>
    <row r="55">
      <c r="A55" t="n">
        <v>2003</v>
      </c>
      <c r="B55" t="n">
        <v>242715.265625</v>
      </c>
    </row>
    <row r="56">
      <c r="A56" t="n">
        <v>2004</v>
      </c>
      <c r="B56" t="n">
        <v>245580.140625</v>
      </c>
    </row>
    <row r="57">
      <c r="A57" t="n">
        <v>2005</v>
      </c>
      <c r="B57" t="n">
        <v>249248.984375</v>
      </c>
    </row>
    <row r="58">
      <c r="A58" t="n">
        <v>2006</v>
      </c>
      <c r="B58" t="n">
        <v>252297.078125</v>
      </c>
    </row>
    <row r="59">
      <c r="A59" t="n">
        <v>2007</v>
      </c>
      <c r="B59" t="n">
        <v>256234.109375</v>
      </c>
    </row>
    <row r="60">
      <c r="A60" t="n">
        <v>2008</v>
      </c>
      <c r="B60" t="n">
        <v>257715.4375</v>
      </c>
    </row>
    <row r="61">
      <c r="A61" t="n">
        <v>2009</v>
      </c>
      <c r="B61" t="n">
        <v>255596.078125</v>
      </c>
    </row>
    <row r="62">
      <c r="A62" t="n">
        <v>2010</v>
      </c>
      <c r="B62" t="n">
        <v>256185.140625</v>
      </c>
    </row>
    <row r="63">
      <c r="A63" t="n">
        <v>2011</v>
      </c>
      <c r="B63" t="n">
        <v>258197.40625</v>
      </c>
    </row>
    <row r="64">
      <c r="A64" t="n">
        <v>2012</v>
      </c>
      <c r="B64" t="n">
        <v>260772.96875</v>
      </c>
    </row>
    <row r="65">
      <c r="A65" t="n">
        <v>2013</v>
      </c>
      <c r="B65" t="n">
        <v>261943.109375</v>
      </c>
    </row>
    <row r="66">
      <c r="A66" t="n">
        <v>2014</v>
      </c>
      <c r="B66" t="n">
        <v>265818.40625</v>
      </c>
    </row>
    <row r="67">
      <c r="A67" t="n">
        <v>2015</v>
      </c>
      <c r="B67" t="n">
        <v>271425.46875</v>
      </c>
    </row>
    <row r="68">
      <c r="A68" t="n">
        <v>2016</v>
      </c>
      <c r="B68" t="n">
        <v>277588.15625</v>
      </c>
    </row>
    <row r="69">
      <c r="A69" t="n">
        <v>2017</v>
      </c>
      <c r="B69" t="n">
        <v>283682.15625</v>
      </c>
    </row>
    <row r="70">
      <c r="A70" t="n">
        <v>2018</v>
      </c>
      <c r="B70" t="n">
        <v>289560.90625</v>
      </c>
    </row>
    <row r="71">
      <c r="A71" t="n">
        <v>2019</v>
      </c>
      <c r="B71" t="n">
        <v>298215.0625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H24" sqref="H24"/>
    </sheetView>
  </sheetViews>
  <sheetFormatPr baseColWidth="8" defaultRowHeight="12.45"/>
  <sheetData>
    <row r="1">
      <c r="A1" t="inlineStr">
        <is>
          <t>Year</t>
        </is>
      </c>
      <c r="B1" t="inlineStr">
        <is>
          <t>Real GDP</t>
        </is>
      </c>
      <c r="C1" t="inlineStr">
        <is>
          <t>Real GDP Growth (%)</t>
        </is>
      </c>
      <c r="D1" t="inlineStr">
        <is>
          <t>Real GDP Projection</t>
        </is>
      </c>
    </row>
    <row r="2">
      <c r="A2" t="n">
        <v>2000</v>
      </c>
      <c r="B2" t="n">
        <v>6</v>
      </c>
      <c r="C2" t="n">
        <v>1.6</v>
      </c>
      <c r="D2" t="n">
        <v>6</v>
      </c>
    </row>
    <row r="3">
      <c r="A3" t="n">
        <v>2001</v>
      </c>
      <c r="B3" t="n">
        <v>6.3</v>
      </c>
      <c r="C3" t="n">
        <v>4.5</v>
      </c>
      <c r="D3" t="n">
        <v>6.3</v>
      </c>
    </row>
    <row r="4">
      <c r="A4" t="n">
        <v>2002</v>
      </c>
      <c r="B4" t="n">
        <v>6.6</v>
      </c>
      <c r="C4" t="n">
        <v>5.5</v>
      </c>
      <c r="D4" t="n">
        <v>6.6</v>
      </c>
    </row>
    <row r="5">
      <c r="A5" t="n">
        <v>2003</v>
      </c>
      <c r="B5" t="n">
        <v>7.4</v>
      </c>
      <c r="C5" t="n">
        <v>11.1</v>
      </c>
      <c r="D5" t="n">
        <v>7.4</v>
      </c>
    </row>
    <row r="6">
      <c r="A6" t="n">
        <v>2004</v>
      </c>
      <c r="B6" t="n">
        <v>7.9</v>
      </c>
      <c r="C6" t="n">
        <v>6.2</v>
      </c>
      <c r="D6" t="n">
        <v>7.9</v>
      </c>
    </row>
    <row r="7">
      <c r="A7" t="n">
        <v>2005</v>
      </c>
      <c r="B7" t="n">
        <v>8.699999999999999</v>
      </c>
      <c r="C7" t="n">
        <v>9.6</v>
      </c>
      <c r="D7" t="n">
        <v>8.699999999999999</v>
      </c>
    </row>
    <row r="8">
      <c r="A8" t="n">
        <v>2006</v>
      </c>
      <c r="B8" t="n">
        <v>9.5</v>
      </c>
      <c r="C8" t="n">
        <v>9.4</v>
      </c>
      <c r="D8" t="n">
        <v>9.5</v>
      </c>
    </row>
    <row r="9">
      <c r="A9" t="n">
        <v>2007</v>
      </c>
      <c r="B9" t="n">
        <v>10.7</v>
      </c>
      <c r="C9" t="n">
        <v>12.6</v>
      </c>
      <c r="D9" t="n">
        <v>10.7</v>
      </c>
    </row>
    <row r="10">
      <c r="A10" t="n">
        <v>2008</v>
      </c>
      <c r="B10" t="n">
        <v>11</v>
      </c>
      <c r="C10" t="n">
        <v>2.6</v>
      </c>
      <c r="D10" t="n">
        <v>11</v>
      </c>
    </row>
    <row r="11">
      <c r="A11" t="n">
        <v>2009</v>
      </c>
      <c r="B11" t="n">
        <v>10.6</v>
      </c>
      <c r="C11" t="n">
        <v>-3.7</v>
      </c>
      <c r="D11" t="n">
        <v>10.6</v>
      </c>
    </row>
    <row r="12">
      <c r="A12" t="n">
        <v>2010</v>
      </c>
      <c r="B12" t="n">
        <v>11.2</v>
      </c>
      <c r="C12" t="n">
        <v>6.3</v>
      </c>
      <c r="D12" t="n">
        <v>11.2</v>
      </c>
    </row>
    <row r="13">
      <c r="A13" t="n">
        <v>2011</v>
      </c>
      <c r="B13" t="n">
        <v>12</v>
      </c>
      <c r="C13" t="n">
        <v>7.2</v>
      </c>
      <c r="D13" t="n">
        <v>12</v>
      </c>
    </row>
    <row r="14">
      <c r="A14" t="n">
        <v>2012</v>
      </c>
      <c r="B14" t="n">
        <v>12.7</v>
      </c>
      <c r="C14" t="n">
        <v>6.2</v>
      </c>
      <c r="D14" t="n">
        <v>12.7</v>
      </c>
    </row>
    <row r="15">
      <c r="A15" t="n">
        <v>2013</v>
      </c>
      <c r="B15" t="n">
        <v>13.1</v>
      </c>
      <c r="C15" t="n">
        <v>3.3</v>
      </c>
      <c r="D15" t="n">
        <v>13.1</v>
      </c>
    </row>
    <row r="16">
      <c r="A16" t="n">
        <v>2014</v>
      </c>
      <c r="B16" t="n">
        <v>13.7</v>
      </c>
      <c r="C16" t="n">
        <v>4.6</v>
      </c>
      <c r="D16" t="n">
        <v>13.7</v>
      </c>
    </row>
    <row r="17">
      <c r="A17" t="n">
        <v>2015</v>
      </c>
      <c r="B17" t="n">
        <v>14.1</v>
      </c>
      <c r="C17" t="n">
        <v>2.9</v>
      </c>
      <c r="D17" t="n">
        <v>14.1</v>
      </c>
    </row>
    <row r="18">
      <c r="A18" t="n">
        <v>2016</v>
      </c>
      <c r="B18" t="n">
        <v>14.5</v>
      </c>
      <c r="C18" t="n">
        <v>2.8</v>
      </c>
      <c r="D18" t="n">
        <v>14.5</v>
      </c>
    </row>
    <row r="19">
      <c r="A19" t="n">
        <v>2017</v>
      </c>
      <c r="B19" t="n">
        <v>15.2</v>
      </c>
      <c r="C19" t="n">
        <v>4.8</v>
      </c>
      <c r="D19" t="n">
        <v>15.2</v>
      </c>
    </row>
    <row r="20">
      <c r="A20" t="n">
        <v>2018</v>
      </c>
      <c r="B20" t="n">
        <v>15.9</v>
      </c>
      <c r="C20" t="n">
        <v>4.8</v>
      </c>
      <c r="D20" t="n">
        <v>15.9</v>
      </c>
    </row>
    <row r="21">
      <c r="A21" t="n">
        <v>2019</v>
      </c>
      <c r="B21" t="n">
        <v>16.7</v>
      </c>
      <c r="C21" t="n">
        <v>5</v>
      </c>
      <c r="D21" t="n">
        <v>16.7</v>
      </c>
    </row>
    <row r="22">
      <c r="A22" t="n">
        <v>2020</v>
      </c>
      <c r="B22" t="n">
        <v>15.7</v>
      </c>
      <c r="C22" t="n">
        <v>-6.3</v>
      </c>
      <c r="D22" t="n">
        <v>15.7</v>
      </c>
    </row>
    <row r="23">
      <c r="A23" t="n">
        <v>2021</v>
      </c>
      <c r="B23" t="n">
        <v>17.3</v>
      </c>
      <c r="C23" t="n">
        <v>10.5</v>
      </c>
      <c r="D23" t="n">
        <v>17.3</v>
      </c>
    </row>
    <row r="24">
      <c r="A24" t="n">
        <v>2022</v>
      </c>
      <c r="B24" t="n">
        <v>19</v>
      </c>
      <c r="C24" t="n">
        <v>10.1</v>
      </c>
      <c r="D24" t="n">
        <v>19</v>
      </c>
    </row>
    <row r="25">
      <c r="A25" t="n">
        <v>2023</v>
      </c>
      <c r="B25" t="n">
        <v>20.5</v>
      </c>
      <c r="C25" t="n">
        <v>7.8</v>
      </c>
      <c r="D25" t="n">
        <v>20.5</v>
      </c>
    </row>
    <row r="26">
      <c r="A26" t="n">
        <v>2024</v>
      </c>
      <c r="B26" t="n">
        <v>22.4</v>
      </c>
      <c r="C26" t="n">
        <v>9.4</v>
      </c>
      <c r="D26" t="n">
        <v>22.4</v>
      </c>
    </row>
    <row r="27">
      <c r="A27" t="n">
        <v>2025</v>
      </c>
      <c r="B27" t="n">
        <v>23.7</v>
      </c>
      <c r="C27" t="n">
        <v>6</v>
      </c>
      <c r="D27" t="n">
        <v>23.7</v>
      </c>
    </row>
    <row r="28">
      <c r="A28" t="n">
        <v>2026</v>
      </c>
      <c r="B28" t="n">
        <v>24.9</v>
      </c>
      <c r="C28" t="n">
        <v>5</v>
      </c>
      <c r="D28" t="n">
        <v>24.9</v>
      </c>
    </row>
    <row r="29">
      <c r="A29" t="n">
        <v>2027</v>
      </c>
      <c r="B29" t="n">
        <v>26.1</v>
      </c>
      <c r="C29" t="n">
        <v>5</v>
      </c>
      <c r="D29" t="n">
        <v>26.1</v>
      </c>
    </row>
    <row r="30">
      <c r="A30" t="n">
        <v>2028</v>
      </c>
      <c r="C30" t="n">
        <v>5</v>
      </c>
      <c r="D30" t="n">
        <v>27.405</v>
      </c>
    </row>
    <row r="31">
      <c r="A31" t="n">
        <v>2029</v>
      </c>
      <c r="C31" t="n">
        <v>5</v>
      </c>
      <c r="D31" t="n">
        <v>28.77525</v>
      </c>
    </row>
    <row r="32">
      <c r="A32" t="n">
        <v>2030</v>
      </c>
      <c r="C32" t="n">
        <v>5</v>
      </c>
      <c r="D32" t="n">
        <v>30.21401250000001</v>
      </c>
    </row>
    <row r="33">
      <c r="A33" t="n">
        <v>2031</v>
      </c>
      <c r="C33" t="n">
        <v>5</v>
      </c>
      <c r="D33" t="n">
        <v>31.72471312500001</v>
      </c>
    </row>
    <row r="34">
      <c r="A34" t="n">
        <v>2032</v>
      </c>
      <c r="C34" t="n">
        <v>5</v>
      </c>
      <c r="D34" t="n">
        <v>33.31094878125001</v>
      </c>
    </row>
    <row r="35">
      <c r="A35" t="n">
        <v>2033</v>
      </c>
      <c r="C35" t="n">
        <v>5</v>
      </c>
      <c r="D35" t="n">
        <v>34.97649622031251</v>
      </c>
    </row>
    <row r="36">
      <c r="A36" t="n">
        <v>2034</v>
      </c>
      <c r="C36" t="n">
        <v>5</v>
      </c>
      <c r="D36" t="n">
        <v>36.72532103132814</v>
      </c>
    </row>
    <row r="37">
      <c r="A37" t="n">
        <v>2035</v>
      </c>
      <c r="C37" t="n">
        <v>5</v>
      </c>
      <c r="D37" t="n">
        <v>38.56158708289455</v>
      </c>
    </row>
    <row r="38">
      <c r="A38" t="n">
        <v>2036</v>
      </c>
      <c r="C38" t="n">
        <v>5</v>
      </c>
      <c r="D38" t="n">
        <v>40.48966643703928</v>
      </c>
    </row>
    <row r="39">
      <c r="A39" t="n">
        <v>2037</v>
      </c>
      <c r="C39" t="n">
        <v>5</v>
      </c>
      <c r="D39" t="n">
        <v>42.51414975889125</v>
      </c>
    </row>
    <row r="40">
      <c r="A40" t="n">
        <v>2038</v>
      </c>
      <c r="C40" t="n">
        <v>5</v>
      </c>
      <c r="D40" t="n">
        <v>44.63985724683582</v>
      </c>
    </row>
    <row r="41">
      <c r="A41" t="n">
        <v>2039</v>
      </c>
      <c r="C41" t="n">
        <v>5</v>
      </c>
      <c r="D41" t="n">
        <v>46.87185010917761</v>
      </c>
    </row>
    <row r="42">
      <c r="A42" t="n">
        <v>2040</v>
      </c>
      <c r="C42" t="n">
        <v>5</v>
      </c>
      <c r="D42" t="n">
        <v>49.21544261463649</v>
      </c>
    </row>
    <row r="43">
      <c r="A43" t="n">
        <v>2041</v>
      </c>
      <c r="C43" t="n">
        <v>5</v>
      </c>
      <c r="D43" t="n">
        <v>51.67621474536831</v>
      </c>
    </row>
    <row r="44">
      <c r="A44" t="n">
        <v>2042</v>
      </c>
      <c r="C44" t="n">
        <v>5</v>
      </c>
      <c r="D44" t="n">
        <v>54.26002548263673</v>
      </c>
    </row>
    <row r="45">
      <c r="A45" t="n">
        <v>2043</v>
      </c>
      <c r="C45" t="n">
        <v>5</v>
      </c>
      <c r="D45" t="n">
        <v>56.97302675676857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2026-01-25T19:42:16Z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