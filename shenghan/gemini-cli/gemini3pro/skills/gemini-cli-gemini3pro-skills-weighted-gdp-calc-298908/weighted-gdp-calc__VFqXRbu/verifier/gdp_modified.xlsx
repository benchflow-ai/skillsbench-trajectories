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<sst xmlns="http://schemas.openxmlformats.org/spreadsheetml/2006/main" count="362" uniqueCount="110">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</sst>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MIN(H$35:H$40)</f>
        <v>0.0797616178011037</v>
      </c>
      <c r="I42" s="9" t="n">
        <f aca="false">MIN(I$35:I$40)</f>
        <v>0.000904842788332159</v>
      </c>
      <c r="J42" s="9" t="n">
        <f aca="false">MIN(J$35:J$40)</f>
        <v>0.0834931064935778</v>
      </c>
      <c r="K42" s="9" t="n">
        <f aca="false">MIN(K$35:K$40)</f>
        <v>0.169288417892568</v>
      </c>
      <c r="L42" s="10" t="n">
        <f aca="false">MIN(L$35:L$40)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MAX(H$35:H$40)</f>
        <v>0.197424607525274</v>
      </c>
      <c r="I43" s="14" t="n">
        <f aca="false">MAX(I$35:I$40)</f>
        <v>0.219176587919964</v>
      </c>
      <c r="J43" s="14" t="n">
        <f aca="false">MAX(J$35:J$40)</f>
        <v>0.252239064393758</v>
      </c>
      <c r="K43" s="14" t="n">
        <f aca="false">MAX(K$35:K$40)</f>
        <v>0.368972534244982</v>
      </c>
      <c r="L43" s="15" t="n">
        <f aca="false">MAX(L$35:L$40)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MEDIAN(H$35:H$40)</f>
        <v>0.125464972847069</v>
      </c>
      <c r="I44" s="14" t="n">
        <f aca="false">MEDIAN(I$35:I$40)</f>
        <v>0.0561695882823094</v>
      </c>
      <c r="J44" s="14" t="n">
        <f aca="false">MEDIAN(J$35:J$40)</f>
        <v>0.20967437124876</v>
      </c>
      <c r="K44" s="14" t="n">
        <f aca="false">MEDIAN(K$35:K$40)</f>
        <v>0.25357688704637</v>
      </c>
      <c r="L44" s="15" t="n">
        <f aca="false">MEDIAN(L$35:L$40)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AVERAGE(H$35:H$40)</f>
        <v>0.130689857099601</v>
      </c>
      <c r="I45" s="14" t="n">
        <f aca="false">AVERAGE(I$35:I$40)</f>
        <v>0.0731944045743003</v>
      </c>
      <c r="J45" s="14" t="n">
        <f aca="false">AVERAGE(J$35:J$40)</f>
        <v>0.18465046766238</v>
      </c>
      <c r="K45" s="14" t="n">
        <f aca="false">AVERAGE(K$35:K$40)</f>
        <v>0.258370356580984</v>
      </c>
      <c r="L45" s="15" t="n">
        <f aca="false">AVERAGE(L$35:L$40)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PERCENTILE(H$35:H$40,0.25)</f>
        <v>0.115698271629447</v>
      </c>
      <c r="I46" s="14" t="n">
        <f aca="false">PERCENTILE(I$35:I$40,0.25)</f>
        <v>0.0324061602330335</v>
      </c>
      <c r="J46" s="14" t="n">
        <f aca="false">PERCENTILE(J$35:J$40,0.25)</f>
        <v>0.128293805916233</v>
      </c>
      <c r="K46" s="14" t="n">
        <f aca="false">PERCENTILE(K$35:K$40,0.25)</f>
        <v>0.214828881266807</v>
      </c>
      <c r="L46" s="15" t="n">
        <f aca="false">PERCENTILE(L$35:L$40,0.25)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PERCENTILE(H$35:H$40,0.75)</f>
        <v>0.139051443476907</v>
      </c>
      <c r="I47" s="17" t="n">
        <f aca="false">PERCENTILE(I$35:I$40,0.75)</f>
        <v>0.0757379990377864</v>
      </c>
      <c r="J47" s="17" t="n">
        <f aca="false">PERCENTILE(J$35:J$40,0.75)</f>
        <v>0.241159799150216</v>
      </c>
      <c r="K47" s="17" t="n">
        <f aca="false">PERCENTILE(K$35:K$40,0.75)</f>
        <v>0.290565122198088</v>
      </c>
      <c r="L47" s="18" t="n">
        <f aca="false">PERCENTILE(L$35:L$40,0.75)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SUMPRODUCT(H$35:H$40,H$26:H$31)/SUM(H$26:H$31)</f>
        <v>0.122196268771574</v>
      </c>
      <c r="I50" s="23" t="n">
        <f aca="false">SUMPRODUCT(I$35:I$40,I$26:I$31)/SUM(I$26:I$31)</f>
        <v>0.0684283751316843</v>
      </c>
      <c r="J50" s="23" t="n">
        <f aca="false">SUMPRODUCT(J$35:J$40,J$26:J$31)/SUM(J$26:J$31)</f>
        <v>0.155834645913624</v>
      </c>
      <c r="K50" s="23" t="n">
        <f aca="false">SUMPRODUCT(K$35:K$40,K$26:K$31)/SUM(K$26:K$31)</f>
        <v>0.223533046476382</v>
      </c>
      <c r="L50" s="24" t="n">
        <f aca="false">SUMPRODUCT(L$35:L$40,L$26:L$31)/SUM(L$26:L$31)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2026-01-25T19:39:26Z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