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>
        <f>AVERAGE(D19:D27/E19:E27)</f>
        <v/>
      </c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SUMXMY2(H6:H27, L6:L27) + 100 * SUMSQ(M8:M27)</f>
        <v/>
      </c>
    </row>
    <row r="6">
      <c r="C6" t="n">
        <v>2002</v>
      </c>
      <c r="D6" s="19">
        <f>VLOOKUP(2002,PWT!A:B,2,FALSE)</f>
        <v/>
      </c>
      <c r="E6">
        <f>VLOOKUP(2002,WEO_Data!B:C,2,FALSE)</f>
        <v/>
      </c>
      <c r="F6">
        <f>LN(D6)</f>
        <v/>
      </c>
      <c r="G6">
        <f>LN(E6)</f>
        <v/>
      </c>
      <c r="H6">
        <f>G6-*F6</f>
        <v/>
      </c>
      <c r="K6" s="4">
        <f>G6</f>
        <v/>
      </c>
      <c r="M6" t="n">
        <v>0</v>
      </c>
      <c r="N6" s="5" t="n"/>
    </row>
    <row r="7">
      <c r="C7" t="n">
        <v>2003</v>
      </c>
      <c r="D7" s="19">
        <f>VLOOKUP(2003,PWT!A:B,2,FALSE)</f>
        <v/>
      </c>
      <c r="E7">
        <f>VLOOKUP(2003,WEO_Data!B:C,2,FALSE)</f>
        <v/>
      </c>
      <c r="F7">
        <f>LN(D7)</f>
        <v/>
      </c>
      <c r="G7">
        <f>LN(E7)</f>
        <v/>
      </c>
      <c r="H7">
        <f>G7-*F7</f>
        <v/>
      </c>
      <c r="K7" s="4">
        <f>G7</f>
        <v/>
      </c>
      <c r="M7" t="n">
        <v>0</v>
      </c>
      <c r="N7" s="5" t="n"/>
    </row>
    <row r="8">
      <c r="C8" t="n">
        <v>2004</v>
      </c>
      <c r="D8" s="19">
        <f>VLOOKUP(2004,PWT!A:B,2,FALSE)</f>
        <v/>
      </c>
      <c r="E8">
        <f>VLOOKUP(2004,WEO_Data!B:C,2,FALSE)</f>
        <v/>
      </c>
      <c r="F8">
        <f>LN(D8)</f>
        <v/>
      </c>
      <c r="G8">
        <f>LN(E8)</f>
        <v/>
      </c>
      <c r="H8">
        <f>G8-*F8</f>
        <v/>
      </c>
      <c r="K8" s="4">
        <f>G8</f>
        <v/>
      </c>
      <c r="M8">
        <f>L8-2*L7+L6</f>
        <v/>
      </c>
      <c r="N8" s="5" t="n"/>
    </row>
    <row r="9">
      <c r="C9" t="n">
        <v>2005</v>
      </c>
      <c r="D9" s="19">
        <f>VLOOKUP(2005,PWT!A:B,2,FALSE)</f>
        <v/>
      </c>
      <c r="E9">
        <f>VLOOKUP(2005,WEO_Data!B:C,2,FALSE)</f>
        <v/>
      </c>
      <c r="F9">
        <f>LN(D9)</f>
        <v/>
      </c>
      <c r="G9">
        <f>LN(E9)</f>
        <v/>
      </c>
      <c r="H9">
        <f>G9-*F9</f>
        <v/>
      </c>
      <c r="K9" s="4">
        <f>G9</f>
        <v/>
      </c>
      <c r="M9">
        <f>L9-2*L8+L7</f>
        <v/>
      </c>
      <c r="N9" s="5" t="n"/>
    </row>
    <row r="10">
      <c r="C10" t="n">
        <v>2006</v>
      </c>
      <c r="D10" s="19">
        <f>VLOOKUP(2006,PWT!A:B,2,FALSE)</f>
        <v/>
      </c>
      <c r="E10">
        <f>VLOOKUP(2006,WEO_Data!B:C,2,FALSE)</f>
        <v/>
      </c>
      <c r="F10">
        <f>LN(D10)</f>
        <v/>
      </c>
      <c r="G10">
        <f>LN(E10)</f>
        <v/>
      </c>
      <c r="H10">
        <f>G10-*F10</f>
        <v/>
      </c>
      <c r="K10" s="4">
        <f>G10</f>
        <v/>
      </c>
      <c r="M10">
        <f>L10-2*L9+L8</f>
        <v/>
      </c>
      <c r="N10" s="5" t="n"/>
    </row>
    <row r="11">
      <c r="C11" t="n">
        <v>2007</v>
      </c>
      <c r="D11" s="19">
        <f>VLOOKUP(2007,PWT!A:B,2,FALSE)</f>
        <v/>
      </c>
      <c r="E11">
        <f>VLOOKUP(2007,WEO_Data!B:C,2,FALSE)</f>
        <v/>
      </c>
      <c r="F11">
        <f>LN(D11)</f>
        <v/>
      </c>
      <c r="G11">
        <f>LN(E11)</f>
        <v/>
      </c>
      <c r="H11">
        <f>G11-*F11</f>
        <v/>
      </c>
      <c r="K11" s="4">
        <f>G11</f>
        <v/>
      </c>
      <c r="M11">
        <f>L11-2*L10+L9</f>
        <v/>
      </c>
      <c r="N11" s="5" t="n"/>
    </row>
    <row r="12">
      <c r="C12" t="n">
        <v>2008</v>
      </c>
      <c r="D12" s="19">
        <f>VLOOKUP(2008,PWT!A:B,2,FALSE)</f>
        <v/>
      </c>
      <c r="E12">
        <f>VLOOKUP(2008,WEO_Data!B:C,2,FALSE)</f>
        <v/>
      </c>
      <c r="F12">
        <f>LN(D12)</f>
        <v/>
      </c>
      <c r="G12">
        <f>LN(E12)</f>
        <v/>
      </c>
      <c r="H12">
        <f>G12-*F12</f>
        <v/>
      </c>
      <c r="K12" s="4">
        <f>G12</f>
        <v/>
      </c>
      <c r="M12">
        <f>L12-2*L11+L10</f>
        <v/>
      </c>
      <c r="N12" s="5" t="n"/>
    </row>
    <row r="13">
      <c r="C13" t="n">
        <v>2009</v>
      </c>
      <c r="D13" s="19">
        <f>VLOOKUP(2009,PWT!A:B,2,FALSE)</f>
        <v/>
      </c>
      <c r="E13">
        <f>VLOOKUP(2009,WEO_Data!B:C,2,FALSE)</f>
        <v/>
      </c>
      <c r="F13">
        <f>LN(D13)</f>
        <v/>
      </c>
      <c r="G13">
        <f>LN(E13)</f>
        <v/>
      </c>
      <c r="H13">
        <f>G13-*F13</f>
        <v/>
      </c>
      <c r="K13" s="4">
        <f>G13</f>
        <v/>
      </c>
      <c r="M13">
        <f>L13-2*L12+L11</f>
        <v/>
      </c>
      <c r="N13" s="5" t="n"/>
    </row>
    <row r="14">
      <c r="C14" t="n">
        <v>2010</v>
      </c>
      <c r="D14" s="19">
        <f>VLOOKUP(2010,PWT!A:B,2,FALSE)</f>
        <v/>
      </c>
      <c r="E14">
        <f>VLOOKUP(2010,WEO_Data!B:C,2,FALSE)</f>
        <v/>
      </c>
      <c r="F14">
        <f>LN(D14)</f>
        <v/>
      </c>
      <c r="G14">
        <f>LN(E14)</f>
        <v/>
      </c>
      <c r="H14">
        <f>G14-*F14</f>
        <v/>
      </c>
      <c r="K14" s="4">
        <f>G14</f>
        <v/>
      </c>
      <c r="M14">
        <f>L14-2*L13+L12</f>
        <v/>
      </c>
      <c r="N14" s="5" t="n"/>
    </row>
    <row r="15">
      <c r="C15" t="n">
        <v>2011</v>
      </c>
      <c r="D15" s="19">
        <f>VLOOKUP(2011,PWT!A:B,2,FALSE)</f>
        <v/>
      </c>
      <c r="E15">
        <f>VLOOKUP(2011,WEO_Data!B:C,2,FALSE)</f>
        <v/>
      </c>
      <c r="F15">
        <f>LN(D15)</f>
        <v/>
      </c>
      <c r="G15">
        <f>LN(E15)</f>
        <v/>
      </c>
      <c r="H15">
        <f>G15-*F15</f>
        <v/>
      </c>
      <c r="K15" s="4">
        <f>G15</f>
        <v/>
      </c>
      <c r="M15">
        <f>L15-2*L14+L13</f>
        <v/>
      </c>
      <c r="N15" s="5" t="n"/>
    </row>
    <row r="16">
      <c r="C16" t="n">
        <v>2012</v>
      </c>
      <c r="D16" s="19">
        <f>VLOOKUP(2012,PWT!A:B,2,FALSE)</f>
        <v/>
      </c>
      <c r="E16">
        <f>VLOOKUP(2012,WEO_Data!B:C,2,FALSE)</f>
        <v/>
      </c>
      <c r="F16">
        <f>LN(D16)</f>
        <v/>
      </c>
      <c r="G16">
        <f>LN(E16)</f>
        <v/>
      </c>
      <c r="H16">
        <f>G16-*F16</f>
        <v/>
      </c>
      <c r="K16" s="4">
        <f>G16</f>
        <v/>
      </c>
      <c r="M16">
        <f>L16-2*L15+L14</f>
        <v/>
      </c>
      <c r="N16" s="5" t="n"/>
    </row>
    <row r="17">
      <c r="C17" t="n">
        <v>2013</v>
      </c>
      <c r="D17" s="19">
        <f>VLOOKUP(2013,PWT!A:B,2,FALSE)</f>
        <v/>
      </c>
      <c r="E17">
        <f>VLOOKUP(2013,WEO_Data!B:C,2,FALSE)</f>
        <v/>
      </c>
      <c r="F17">
        <f>LN(D17)</f>
        <v/>
      </c>
      <c r="G17">
        <f>LN(E17)</f>
        <v/>
      </c>
      <c r="H17">
        <f>G17-*F17</f>
        <v/>
      </c>
      <c r="K17" s="4">
        <f>G17</f>
        <v/>
      </c>
      <c r="M17">
        <f>L17-2*L16+L15</f>
        <v/>
      </c>
      <c r="N17" s="5" t="n"/>
    </row>
    <row r="18">
      <c r="C18" t="n">
        <v>2014</v>
      </c>
      <c r="D18" s="19">
        <f>VLOOKUP(2014,PWT!A:B,2,FALSE)</f>
        <v/>
      </c>
      <c r="E18">
        <f>VLOOKUP(2014,WEO_Data!B:C,2,FALSE)</f>
        <v/>
      </c>
      <c r="F18">
        <f>LN(D18)</f>
        <v/>
      </c>
      <c r="G18">
        <f>LN(E18)</f>
        <v/>
      </c>
      <c r="H18">
        <f>G18-*F18</f>
        <v/>
      </c>
      <c r="K18" s="4">
        <f>G18</f>
        <v/>
      </c>
      <c r="M18">
        <f>L18-2*L17+L16</f>
        <v/>
      </c>
      <c r="N18" s="5" t="n"/>
    </row>
    <row r="19">
      <c r="C19" t="n">
        <v>2015</v>
      </c>
      <c r="D19" s="19">
        <f>VLOOKUP(2015,PWT!A:B,2,FALSE)</f>
        <v/>
      </c>
      <c r="E19">
        <f>VLOOKUP(2015,WEO_Data!B:C,2,FALSE)</f>
        <v/>
      </c>
      <c r="F19">
        <f>LN(D19)</f>
        <v/>
      </c>
      <c r="G19">
        <f>LN(E19)</f>
        <v/>
      </c>
      <c r="H19">
        <f>G19-*F19</f>
        <v/>
      </c>
      <c r="K19" s="4">
        <f>G19</f>
        <v/>
      </c>
      <c r="M19">
        <f>L19-2*L18+L17</f>
        <v/>
      </c>
      <c r="N19" s="5" t="n"/>
    </row>
    <row r="20">
      <c r="C20" t="n">
        <v>2016</v>
      </c>
      <c r="D20" s="19">
        <f>VLOOKUP(2016,PWT!A:B,2,FALSE)</f>
        <v/>
      </c>
      <c r="E20">
        <f>VLOOKUP(2016,WEO_Data!B:C,2,FALSE)</f>
        <v/>
      </c>
      <c r="F20">
        <f>LN(D20)</f>
        <v/>
      </c>
      <c r="G20">
        <f>LN(E20)</f>
        <v/>
      </c>
      <c r="H20">
        <f>G20-*F20</f>
        <v/>
      </c>
      <c r="K20" s="4">
        <f>G20</f>
        <v/>
      </c>
      <c r="M20">
        <f>L20-2*L19+L18</f>
        <v/>
      </c>
      <c r="N20" s="5" t="n"/>
    </row>
    <row r="21">
      <c r="C21" t="n">
        <v>2017</v>
      </c>
      <c r="D21" s="19">
        <f>VLOOKUP(2017,PWT!A:B,2,FALSE)</f>
        <v/>
      </c>
      <c r="E21">
        <f>VLOOKUP(2017,WEO_Data!B:C,2,FALSE)</f>
        <v/>
      </c>
      <c r="F21">
        <f>LN(D21)</f>
        <v/>
      </c>
      <c r="G21">
        <f>LN(E21)</f>
        <v/>
      </c>
      <c r="H21">
        <f>G21-*F21</f>
        <v/>
      </c>
      <c r="K21" s="4">
        <f>G21</f>
        <v/>
      </c>
      <c r="M21">
        <f>L21-2*L20+L19</f>
        <v/>
      </c>
      <c r="N21" s="5" t="n"/>
    </row>
    <row r="22">
      <c r="C22" t="n">
        <v>2018</v>
      </c>
      <c r="D22" s="19">
        <f>VLOOKUP(2018,PWT!A:B,2,FALSE)</f>
        <v/>
      </c>
      <c r="E22">
        <f>VLOOKUP(2018,WEO_Data!B:C,2,FALSE)</f>
        <v/>
      </c>
      <c r="F22">
        <f>LN(D22)</f>
        <v/>
      </c>
      <c r="G22">
        <f>LN(E22)</f>
        <v/>
      </c>
      <c r="H22">
        <f>G22-*F22</f>
        <v/>
      </c>
      <c r="K22" s="4">
        <f>G22</f>
        <v/>
      </c>
      <c r="M22">
        <f>L22-2*L21+L20</f>
        <v/>
      </c>
      <c r="N22" s="5" t="n"/>
    </row>
    <row r="23">
      <c r="C23" t="n">
        <v>2019</v>
      </c>
      <c r="D23" s="19">
        <f>VLOOKUP(2019,PWT!A:B,2,FALSE)</f>
        <v/>
      </c>
      <c r="E23">
        <f>VLOOKUP(2019,WEO_Data!B:C,2,FALSE)</f>
        <v/>
      </c>
      <c r="F23">
        <f>LN(D23)</f>
        <v/>
      </c>
      <c r="G23">
        <f>LN(E23)</f>
        <v/>
      </c>
      <c r="H23">
        <f>G23-*F23</f>
        <v/>
      </c>
      <c r="K23" s="4">
        <f>G23</f>
        <v/>
      </c>
      <c r="M23">
        <f>L23-2*L22+L21</f>
        <v/>
      </c>
      <c r="N23" s="5" t="n"/>
    </row>
    <row r="24">
      <c r="C24" t="n">
        <v>2020</v>
      </c>
      <c r="D24" s="19">
        <f>VLOOKUP(2020,PWT!A:B,2,FALSE)</f>
        <v/>
      </c>
      <c r="E24">
        <f>VLOOKUP(2020,WEO_Data!B:C,2,FALSE)</f>
        <v/>
      </c>
      <c r="F24">
        <f>LN(D24)</f>
        <v/>
      </c>
      <c r="G24">
        <f>LN(E24)</f>
        <v/>
      </c>
      <c r="H24">
        <f>G24-*F24</f>
        <v/>
      </c>
      <c r="K24" s="4">
        <f>G24</f>
        <v/>
      </c>
      <c r="M24">
        <f>L24-2*L23+L22</f>
        <v/>
      </c>
      <c r="N24" s="5" t="n"/>
    </row>
    <row r="25">
      <c r="C25" t="n">
        <v>2021</v>
      </c>
      <c r="D25" s="19">
        <f>VLOOKUP(2021,PWT!A:B,2,FALSE)</f>
        <v/>
      </c>
      <c r="E25">
        <f>VLOOKUP(2021,WEO_Data!B:C,2,FALSE)</f>
        <v/>
      </c>
      <c r="F25">
        <f>LN(D25)</f>
        <v/>
      </c>
      <c r="G25">
        <f>LN(E25)</f>
        <v/>
      </c>
      <c r="H25">
        <f>G25-*F25</f>
        <v/>
      </c>
      <c r="K25" s="4">
        <f>G25</f>
        <v/>
      </c>
      <c r="M25">
        <f>L25-2*L24+L23</f>
        <v/>
      </c>
      <c r="N25" s="5" t="n"/>
    </row>
    <row r="26">
      <c r="C26" t="n">
        <v>2022</v>
      </c>
      <c r="D26" s="19">
        <f>VLOOKUP(2022,PWT!A:B,2,FALSE)</f>
        <v/>
      </c>
      <c r="E26">
        <f>VLOOKUP(2022,WEO_Data!B:C,2,FALSE)</f>
        <v/>
      </c>
      <c r="F26">
        <f>LN(D26)</f>
        <v/>
      </c>
      <c r="G26">
        <f>LN(E26)</f>
        <v/>
      </c>
      <c r="H26">
        <f>G26-*F26</f>
        <v/>
      </c>
      <c r="K26" s="4">
        <f>G26</f>
        <v/>
      </c>
      <c r="M26">
        <f>L26-2*L25+L24</f>
        <v/>
      </c>
      <c r="N26" s="5" t="n"/>
    </row>
    <row r="27">
      <c r="C27" t="n">
        <v>2023</v>
      </c>
      <c r="D27" s="19">
        <f>VLOOKUP(2023,PWT!A:B,2,FALSE)</f>
        <v/>
      </c>
      <c r="E27">
        <f>VLOOKUP(2023,WEO_Data!B:C,2,FALSE)</f>
        <v/>
      </c>
      <c r="F27">
        <f>LN(D27)</f>
        <v/>
      </c>
      <c r="G27">
        <f>LN(E27)</f>
        <v/>
      </c>
      <c r="H27">
        <f>G27-*F27</f>
        <v/>
      </c>
      <c r="K27" s="6">
        <f>G27</f>
        <v/>
      </c>
      <c r="L27" s="7" t="n"/>
      <c r="M27" s="7">
        <f>L27-2*L26+L25</f>
        <v/>
      </c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E36*</f>
        <v/>
      </c>
      <c r="E36" s="19">
        <f>VLOOKUP(2024,WEO_Data!B:C,2,FALSE)</f>
        <v/>
      </c>
      <c r="G36">
        <f>TREND(:7, :7, A36)</f>
        <v/>
      </c>
      <c r="H36">
        <f>EXP(G36) * (D36^)</f>
        <v/>
      </c>
      <c r="I36">
        <f>VLOOKUP(A36, Investment!B:C, 2, FALSE)</f>
        <v/>
      </c>
      <c r="J36">
        <f>I36</f>
        <v/>
      </c>
      <c r="K36" s="19">
        <f>D36 + J36</f>
        <v/>
      </c>
      <c r="L36">
        <f>EXP(G36) * (K36^)</f>
        <v/>
      </c>
    </row>
    <row r="37">
      <c r="C37" t="n">
        <v>2003</v>
      </c>
      <c r="D37">
        <f>E37*</f>
        <v/>
      </c>
      <c r="E37" s="19">
        <f>VLOOKUP(2025,WEO_Data!B:C,2,FALSE)</f>
        <v/>
      </c>
      <c r="G37">
        <f>TREND(:7, :7, A37)</f>
        <v/>
      </c>
      <c r="H37">
        <f>EXP(G37) * (D37^)</f>
        <v/>
      </c>
      <c r="I37">
        <f>VLOOKUP(A37, Investment!B:C, 2, FALSE)</f>
        <v/>
      </c>
      <c r="J37">
        <f>(1-)*J36 + I37</f>
        <v/>
      </c>
      <c r="K37" s="19">
        <f>D37 + J37</f>
        <v/>
      </c>
      <c r="L37">
        <f>EXP(G37) * (K37^)</f>
        <v/>
      </c>
    </row>
    <row r="38">
      <c r="C38" t="n">
        <v>2004</v>
      </c>
      <c r="D38">
        <f>E38*</f>
        <v/>
      </c>
      <c r="E38" s="19">
        <f>VLOOKUP(2026,WEO_Data!B:C,2,FALSE)</f>
        <v/>
      </c>
      <c r="G38">
        <f>TREND(:7, :7, A38)</f>
        <v/>
      </c>
      <c r="H38">
        <f>EXP(G38) * (D38^)</f>
        <v/>
      </c>
      <c r="I38">
        <f>VLOOKUP(A38, Investment!B:C, 2, FALSE)</f>
        <v/>
      </c>
      <c r="J38">
        <f>(1-)*J37 + I38</f>
        <v/>
      </c>
      <c r="K38" s="19">
        <f>D38 + J38</f>
        <v/>
      </c>
      <c r="L38">
        <f>EXP(G38) * (K38^)</f>
        <v/>
      </c>
    </row>
    <row r="39">
      <c r="C39" t="n">
        <v>2005</v>
      </c>
      <c r="D39">
        <f>E39*</f>
        <v/>
      </c>
      <c r="E39" s="19">
        <f>VLOOKUP(2027,WEO_Data!B:C,2,FALSE)</f>
        <v/>
      </c>
      <c r="G39">
        <f>TREND(:7, :7, A39)</f>
        <v/>
      </c>
      <c r="H39">
        <f>EXP(G39) * (D39^)</f>
        <v/>
      </c>
      <c r="I39">
        <f>VLOOKUP(A39, Investment!B:C, 2, FALSE)</f>
        <v/>
      </c>
      <c r="J39">
        <f>(1-)*J38 + I39</f>
        <v/>
      </c>
      <c r="K39" s="19">
        <f>D39 + J39</f>
        <v/>
      </c>
      <c r="L39">
        <f>EXP(G39) * (K39^)</f>
        <v/>
      </c>
    </row>
    <row r="40">
      <c r="C40" t="n">
        <v>2006</v>
      </c>
      <c r="D40">
        <f>E40*</f>
        <v/>
      </c>
      <c r="E40" s="19">
        <f>VLOOKUP(2028,WEO_Data!B:C,2,FALSE)</f>
        <v/>
      </c>
      <c r="G40">
        <f>TREND(:7, :7, A40)</f>
        <v/>
      </c>
      <c r="H40">
        <f>EXP(G40) * (D40^)</f>
        <v/>
      </c>
      <c r="I40">
        <f>VLOOKUP(A40, Investment!B:C, 2, FALSE)</f>
        <v/>
      </c>
      <c r="J40">
        <f>(1-)*J39 + I40</f>
        <v/>
      </c>
      <c r="K40" s="19">
        <f>D40 + J40</f>
        <v/>
      </c>
      <c r="L40">
        <f>EXP(G40) * (K40^)</f>
        <v/>
      </c>
    </row>
    <row r="41">
      <c r="C41" t="n">
        <v>2007</v>
      </c>
      <c r="D41">
        <f>E41*</f>
        <v/>
      </c>
      <c r="E41" s="19">
        <f>VLOOKUP(2029,WEO_Data!B:C,2,FALSE)</f>
        <v/>
      </c>
      <c r="G41">
        <f>TREND(:7, :7, A41)</f>
        <v/>
      </c>
      <c r="H41">
        <f>EXP(G41) * (D41^)</f>
        <v/>
      </c>
      <c r="I41">
        <f>VLOOKUP(A41, Investment!B:C, 2, FALSE)</f>
        <v/>
      </c>
      <c r="J41">
        <f>(1-)*J40 + I41</f>
        <v/>
      </c>
      <c r="K41" s="19">
        <f>D41 + J41</f>
        <v/>
      </c>
      <c r="L41">
        <f>EXP(G41) * (K41^)</f>
        <v/>
      </c>
    </row>
    <row r="42">
      <c r="C42" t="n">
        <v>2008</v>
      </c>
      <c r="D42">
        <f>E42*</f>
        <v/>
      </c>
      <c r="E42" s="19">
        <f>VLOOKUP(2030,WEO_Data!B:C,2,FALSE)</f>
        <v/>
      </c>
      <c r="G42">
        <f>TREND(:7, :7, A42)</f>
        <v/>
      </c>
      <c r="H42">
        <f>EXP(G42) * (D42^)</f>
        <v/>
      </c>
      <c r="I42">
        <f>VLOOKUP(A42, Investment!B:C, 2, FALSE)</f>
        <v/>
      </c>
      <c r="J42">
        <f>(1-)*J41 + I42</f>
        <v/>
      </c>
      <c r="K42" s="19">
        <f>D42 + J42</f>
        <v/>
      </c>
      <c r="L42">
        <f>EXP(G42) * (K42^)</f>
        <v/>
      </c>
    </row>
    <row r="43">
      <c r="C43" t="n">
        <v>2009</v>
      </c>
      <c r="D43">
        <f>E43*</f>
        <v/>
      </c>
      <c r="E43" s="19">
        <f>VLOOKUP(2031,WEO_Data!B:C,2,FALSE)</f>
        <v/>
      </c>
      <c r="G43">
        <f>TREND(:7, :7, A43)</f>
        <v/>
      </c>
      <c r="H43">
        <f>EXP(G43) * (D43^)</f>
        <v/>
      </c>
      <c r="I43">
        <f>VLOOKUP(A43, Investment!B:C, 2, FALSE)</f>
        <v/>
      </c>
      <c r="J43">
        <f>(1-)*J42 + I43</f>
        <v/>
      </c>
      <c r="K43" s="19">
        <f>D43 + J43</f>
        <v/>
      </c>
      <c r="L43">
        <f>EXP(G43) * (K43^)</f>
        <v/>
      </c>
    </row>
    <row r="44">
      <c r="C44" t="n">
        <v>2010</v>
      </c>
      <c r="D44">
        <f>E44*</f>
        <v/>
      </c>
      <c r="E44" s="19">
        <f>VLOOKUP(2032,WEO_Data!B:C,2,FALSE)</f>
        <v/>
      </c>
      <c r="G44">
        <f>TREND(:7, :7, A44)</f>
        <v/>
      </c>
      <c r="H44">
        <f>EXP(G44) * (D44^)</f>
        <v/>
      </c>
      <c r="I44">
        <f>VLOOKUP(A44, Investment!B:C, 2, FALSE)</f>
        <v/>
      </c>
      <c r="J44">
        <f>(1-)*J43 + I44</f>
        <v/>
      </c>
      <c r="K44" s="19">
        <f>D44 + J44</f>
        <v/>
      </c>
      <c r="L44">
        <f>EXP(G44) * (K44^)</f>
        <v/>
      </c>
    </row>
    <row r="45">
      <c r="C45" t="n">
        <v>2011</v>
      </c>
      <c r="D45">
        <f>E45*</f>
        <v/>
      </c>
      <c r="E45" s="19">
        <f>VLOOKUP(2033,WEO_Data!B:C,2,FALSE)</f>
        <v/>
      </c>
      <c r="G45">
        <f>TREND(:7, :7, A45)</f>
        <v/>
      </c>
      <c r="H45">
        <f>EXP(G45) * (D45^)</f>
        <v/>
      </c>
      <c r="I45">
        <f>VLOOKUP(A45, Investment!B:C, 2, FALSE)</f>
        <v/>
      </c>
      <c r="J45">
        <f>(1-)*J44 + I45</f>
        <v/>
      </c>
      <c r="K45" s="19">
        <f>D45 + J45</f>
        <v/>
      </c>
      <c r="L45">
        <f>EXP(G45) * (K45^)</f>
        <v/>
      </c>
    </row>
    <row r="46">
      <c r="C46" t="n">
        <v>2012</v>
      </c>
      <c r="D46">
        <f>E46*</f>
        <v/>
      </c>
      <c r="E46" s="19">
        <f>VLOOKUP(2034,WEO_Data!B:C,2,FALSE)</f>
        <v/>
      </c>
      <c r="G46">
        <f>TREND(:7, :7, A46)</f>
        <v/>
      </c>
      <c r="H46">
        <f>EXP(G46) * (D46^)</f>
        <v/>
      </c>
      <c r="I46">
        <f>VLOOKUP(A46, Investment!B:C, 2, FALSE)</f>
        <v/>
      </c>
      <c r="J46">
        <f>(1-)*J45 + I46</f>
        <v/>
      </c>
      <c r="K46" s="19">
        <f>D46 + J46</f>
        <v/>
      </c>
      <c r="L46">
        <f>EXP(G46) * (K46^)</f>
        <v/>
      </c>
    </row>
    <row r="47">
      <c r="C47" t="n">
        <v>2013</v>
      </c>
      <c r="D47">
        <f>E47*</f>
        <v/>
      </c>
      <c r="E47" s="19">
        <f>VLOOKUP(2035,WEO_Data!B:C,2,FALSE)</f>
        <v/>
      </c>
      <c r="G47">
        <f>TREND(:7, :7, A47)</f>
        <v/>
      </c>
      <c r="H47">
        <f>EXP(G47) * (D47^)</f>
        <v/>
      </c>
      <c r="I47">
        <f>VLOOKUP(A47, Investment!B:C, 2, FALSE)</f>
        <v/>
      </c>
      <c r="J47">
        <f>(1-)*J46 + I47</f>
        <v/>
      </c>
      <c r="K47" s="19">
        <f>D47 + J47</f>
        <v/>
      </c>
      <c r="L47">
        <f>EXP(G47) * (K47^)</f>
        <v/>
      </c>
    </row>
    <row r="48">
      <c r="C48" t="n">
        <v>2014</v>
      </c>
      <c r="D48">
        <f>E48*</f>
        <v/>
      </c>
      <c r="E48" s="19">
        <f>VLOOKUP(2036,WEO_Data!B:C,2,FALSE)</f>
        <v/>
      </c>
      <c r="G48">
        <f>TREND(:7, :7, A48)</f>
        <v/>
      </c>
      <c r="H48">
        <f>EXP(G48) * (D48^)</f>
        <v/>
      </c>
      <c r="I48">
        <f>VLOOKUP(A48, Investment!B:C, 2, FALSE)</f>
        <v/>
      </c>
      <c r="J48">
        <f>(1-)*J47 + I48</f>
        <v/>
      </c>
      <c r="K48" s="19">
        <f>D48 + J48</f>
        <v/>
      </c>
      <c r="L48">
        <f>EXP(G48) * (K48^)</f>
        <v/>
      </c>
    </row>
    <row r="49">
      <c r="C49" t="n">
        <v>2015</v>
      </c>
      <c r="D49">
        <f>E49*</f>
        <v/>
      </c>
      <c r="E49" s="19">
        <f>VLOOKUP(2037,WEO_Data!B:C,2,FALSE)</f>
        <v/>
      </c>
      <c r="G49">
        <f>TREND(:7, :7, A49)</f>
        <v/>
      </c>
      <c r="H49">
        <f>EXP(G49) * (D49^)</f>
        <v/>
      </c>
      <c r="I49">
        <f>VLOOKUP(A49, Investment!B:C, 2, FALSE)</f>
        <v/>
      </c>
      <c r="J49">
        <f>(1-)*J48 + I49</f>
        <v/>
      </c>
      <c r="K49" s="19">
        <f>D49 + J49</f>
        <v/>
      </c>
      <c r="L49">
        <f>EXP(G49) * (K49^)</f>
        <v/>
      </c>
    </row>
    <row r="50">
      <c r="C50" t="n">
        <v>2016</v>
      </c>
      <c r="D50">
        <f>E50*</f>
        <v/>
      </c>
      <c r="E50" s="19">
        <f>VLOOKUP(2038,WEO_Data!B:C,2,FALSE)</f>
        <v/>
      </c>
      <c r="G50">
        <f>TREND(:7, :7, A50)</f>
        <v/>
      </c>
      <c r="H50">
        <f>EXP(G50) * (D50^)</f>
        <v/>
      </c>
      <c r="I50">
        <f>VLOOKUP(A50, Investment!B:C, 2, FALSE)</f>
        <v/>
      </c>
      <c r="J50">
        <f>(1-)*J49 + I50</f>
        <v/>
      </c>
      <c r="K50" s="19">
        <f>D50 + J50</f>
        <v/>
      </c>
      <c r="L50">
        <f>EXP(G50) * (K50^)</f>
        <v/>
      </c>
    </row>
    <row r="51">
      <c r="C51" t="n">
        <v>2017</v>
      </c>
      <c r="D51">
        <f>E51*</f>
        <v/>
      </c>
      <c r="E51" s="19">
        <f>VLOOKUP(2039,WEO_Data!B:C,2,FALSE)</f>
        <v/>
      </c>
      <c r="G51">
        <f>TREND(:7, :7, A51)</f>
        <v/>
      </c>
      <c r="H51">
        <f>EXP(G51) * (D51^)</f>
        <v/>
      </c>
      <c r="I51">
        <f>VLOOKUP(A51, Investment!B:C, 2, FALSE)</f>
        <v/>
      </c>
      <c r="J51">
        <f>(1-)*J50 + I51</f>
        <v/>
      </c>
      <c r="K51" s="19">
        <f>D51 + J51</f>
        <v/>
      </c>
      <c r="L51">
        <f>EXP(G51) * (K51^)</f>
        <v/>
      </c>
    </row>
    <row r="52">
      <c r="C52" t="n">
        <v>2018</v>
      </c>
      <c r="D52">
        <f>E52*</f>
        <v/>
      </c>
      <c r="E52" s="19">
        <f>VLOOKUP(2040,WEO_Data!B:C,2,FALSE)</f>
        <v/>
      </c>
      <c r="G52">
        <f>TREND(:7, :7, A52)</f>
        <v/>
      </c>
      <c r="H52">
        <f>EXP(G52) * (D52^)</f>
        <v/>
      </c>
      <c r="I52">
        <f>VLOOKUP(A52, Investment!B:C, 2, FALSE)</f>
        <v/>
      </c>
      <c r="J52">
        <f>(1-)*J51 + I52</f>
        <v/>
      </c>
      <c r="K52" s="19">
        <f>D52 + J52</f>
        <v/>
      </c>
      <c r="L52">
        <f>EXP(G52) * (K52^)</f>
        <v/>
      </c>
    </row>
    <row r="53">
      <c r="C53" t="n">
        <v>2019</v>
      </c>
      <c r="D53">
        <f>E53*</f>
        <v/>
      </c>
      <c r="E53" s="19">
        <f>VLOOKUP(2041,WEO_Data!B:C,2,FALSE)</f>
        <v/>
      </c>
      <c r="G53">
        <f>TREND(:7, :7, A53)</f>
        <v/>
      </c>
      <c r="H53">
        <f>EXP(G53) * (D53^)</f>
        <v/>
      </c>
      <c r="I53">
        <f>VLOOKUP(A53, Investment!B:C, 2, FALSE)</f>
        <v/>
      </c>
      <c r="J53">
        <f>(1-)*J52 + I53</f>
        <v/>
      </c>
      <c r="K53" s="19">
        <f>D53 + J53</f>
        <v/>
      </c>
      <c r="L53">
        <f>EXP(G53) * (K53^)</f>
        <v/>
      </c>
    </row>
    <row r="54">
      <c r="C54" t="n">
        <v>2020</v>
      </c>
      <c r="D54">
        <f>E54*</f>
        <v/>
      </c>
      <c r="E54" s="19">
        <f>VLOOKUP(2042,WEO_Data!B:C,2,FALSE)</f>
        <v/>
      </c>
      <c r="G54">
        <f>TREND(:7, :7, A54)</f>
        <v/>
      </c>
      <c r="H54">
        <f>EXP(G54) * (D54^)</f>
        <v/>
      </c>
      <c r="I54">
        <f>VLOOKUP(A54, Investment!B:C, 2, FALSE)</f>
        <v/>
      </c>
      <c r="J54">
        <f>(1-)*J53 + I54</f>
        <v/>
      </c>
      <c r="K54" s="19">
        <f>D54 + J54</f>
        <v/>
      </c>
      <c r="L54">
        <f>EXP(G54) * (K54^)</f>
        <v/>
      </c>
    </row>
    <row r="55">
      <c r="C55" t="n">
        <v>2021</v>
      </c>
      <c r="D55">
        <f>E55*</f>
        <v/>
      </c>
      <c r="E55" s="19">
        <f>VLOOKUP(2043,WEO_Data!B:C,2,FALSE)</f>
        <v/>
      </c>
      <c r="G55">
        <f>TREND(:7, :7, A55)</f>
        <v/>
      </c>
      <c r="H55">
        <f>EXP(G55) * (D55^)</f>
        <v/>
      </c>
      <c r="I55">
        <f>VLOOKUP(A55, Investment!B:C, 2, FALSE)</f>
        <v/>
      </c>
      <c r="J55">
        <f>(1-)*J54 + I55</f>
        <v/>
      </c>
      <c r="K55" s="19">
        <f>D55 + J55</f>
        <v/>
      </c>
      <c r="L55">
        <f>EXP(G55) * (K55^)</f>
        <v/>
      </c>
    </row>
    <row r="56">
      <c r="C56" t="n">
        <v>2022</v>
      </c>
      <c r="D56">
        <f>E56*</f>
        <v/>
      </c>
      <c r="E56" s="19">
        <f>VLOOKUP(2044,WEO_Data!B:C,2,FALSE)</f>
        <v/>
      </c>
      <c r="G56">
        <f>TREND(:7, :7, A56)</f>
        <v/>
      </c>
      <c r="H56">
        <f>EXP(G56) * (D56^)</f>
        <v/>
      </c>
      <c r="I56">
        <f>VLOOKUP(A56, Investment!B:C, 2, FALSE)</f>
        <v/>
      </c>
      <c r="J56">
        <f>(1-)*J55 + I56</f>
        <v/>
      </c>
      <c r="K56" s="19">
        <f>D56 + J56</f>
        <v/>
      </c>
      <c r="L56">
        <f>EXP(G56) * (K56^)</f>
        <v/>
      </c>
    </row>
    <row r="57">
      <c r="C57" t="n">
        <v>2023</v>
      </c>
      <c r="D57">
        <f>E57*</f>
        <v/>
      </c>
      <c r="E57" s="19">
        <f>VLOOKUP(2045,WEO_Data!B:C,2,FALSE)</f>
        <v/>
      </c>
      <c r="G57">
        <f>TREND(:7, :7, A57)</f>
        <v/>
      </c>
      <c r="H57">
        <f>EXP(G57) * (D57^)</f>
        <v/>
      </c>
      <c r="I57">
        <f>VLOOKUP(A57, Investment!B:C, 2, FALSE)</f>
        <v/>
      </c>
      <c r="J57">
        <f>(1-)*J56 + I57</f>
        <v/>
      </c>
      <c r="K57" s="19">
        <f>D57 + J57</f>
        <v/>
      </c>
      <c r="L57">
        <f>EXP(G57) * (K57^)</f>
        <v/>
      </c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B2" t="n">
        <v>1996</v>
      </c>
      <c r="C2" t="n">
        <v>1000</v>
      </c>
      <c r="D2">
        <f>VLOOKUP(B2,PWT!A:B,2,FALSE)</f>
        <v/>
      </c>
      <c r="E2">
        <f>C2/D2</f>
        <v/>
      </c>
    </row>
    <row r="3">
      <c r="B3" t="n">
        <v>1997</v>
      </c>
      <c r="C3" t="n">
        <v>1000</v>
      </c>
      <c r="D3">
        <f>VLOOKUP(B3,PWT!A:B,2,FALSE)</f>
        <v/>
      </c>
      <c r="E3">
        <f>C3/D3</f>
        <v/>
      </c>
    </row>
    <row r="4">
      <c r="B4" t="n">
        <v>1998</v>
      </c>
      <c r="C4" t="n">
        <v>1000</v>
      </c>
      <c r="D4">
        <f>VLOOKUP(B4,PWT!A:B,2,FALSE)</f>
        <v/>
      </c>
      <c r="E4">
        <f>C4/D4</f>
        <v/>
      </c>
    </row>
    <row r="5">
      <c r="B5" t="n">
        <v>1999</v>
      </c>
      <c r="C5" t="n">
        <v>1000</v>
      </c>
      <c r="D5">
        <f>VLOOKUP(B5,PWT!A:B,2,FALSE)</f>
        <v/>
      </c>
      <c r="E5">
        <f>C5/D5</f>
        <v/>
      </c>
    </row>
    <row r="6">
      <c r="B6" t="n">
        <v>2000</v>
      </c>
      <c r="C6" t="n">
        <v>1000</v>
      </c>
      <c r="D6">
        <f>VLOOKUP(B6,PWT!A:B,2,FALSE)</f>
        <v/>
      </c>
      <c r="E6">
        <f>C6/D6</f>
        <v/>
      </c>
    </row>
    <row r="7">
      <c r="B7" t="n">
        <v>2001</v>
      </c>
      <c r="C7" t="n">
        <v>1000</v>
      </c>
      <c r="D7">
        <f>VLOOKUP(B7,PWT!A:B,2,FALSE)</f>
        <v/>
      </c>
      <c r="E7">
        <f>C7/D7</f>
        <v/>
      </c>
    </row>
    <row r="8">
      <c r="B8" t="n">
        <v>2002</v>
      </c>
      <c r="C8" t="n">
        <v>1000</v>
      </c>
      <c r="D8">
        <f>VLOOKUP(B8,PWT!A:B,2,FALSE)</f>
        <v/>
      </c>
      <c r="E8">
        <f>C8/D8</f>
        <v/>
      </c>
    </row>
    <row r="9">
      <c r="B9" t="n">
        <v>2003</v>
      </c>
      <c r="C9" t="n">
        <v>1000</v>
      </c>
      <c r="D9">
        <f>VLOOKUP(B9,PWT!A:B,2,FALSE)</f>
        <v/>
      </c>
      <c r="E9">
        <f>C9/D9</f>
        <v/>
      </c>
    </row>
    <row r="10">
      <c r="B10" t="n">
        <v>2004</v>
      </c>
      <c r="C10" t="n">
        <v>1000</v>
      </c>
      <c r="D10">
        <f>VLOOKUP(B10,PWT!A:B,2,FALSE)</f>
        <v/>
      </c>
      <c r="E10">
        <f>C10/D10</f>
        <v/>
      </c>
    </row>
    <row r="11">
      <c r="B11" t="n">
        <v>2005</v>
      </c>
      <c r="C11" t="n">
        <v>1000</v>
      </c>
      <c r="D11">
        <f>VLOOKUP(B11,PWT!A:B,2,FALSE)</f>
        <v/>
      </c>
      <c r="E11">
        <f>C11/D11</f>
        <v/>
      </c>
    </row>
    <row r="12">
      <c r="B12" t="n">
        <v>2006</v>
      </c>
      <c r="C12" t="n">
        <v>1000</v>
      </c>
      <c r="D12">
        <f>VLOOKUP(B12,PWT!A:B,2,FALSE)</f>
        <v/>
      </c>
      <c r="E12">
        <f>C12/D12</f>
        <v/>
      </c>
    </row>
    <row r="13">
      <c r="B13" t="n">
        <v>2007</v>
      </c>
      <c r="C13" t="n">
        <v>1000</v>
      </c>
      <c r="D13">
        <f>VLOOKUP(B13,PWT!A:B,2,FALSE)</f>
        <v/>
      </c>
      <c r="E13">
        <f>C13/D13</f>
        <v/>
      </c>
    </row>
    <row r="14">
      <c r="B14" t="n">
        <v>2008</v>
      </c>
      <c r="C14" t="n">
        <v>1000</v>
      </c>
      <c r="D14">
        <f>VLOOKUP(B14,PWT!A:B,2,FALSE)</f>
        <v/>
      </c>
      <c r="E14">
        <f>C14/D14</f>
        <v/>
      </c>
    </row>
    <row r="15">
      <c r="B15" t="n">
        <v>2009</v>
      </c>
      <c r="C15" t="n">
        <v>1000</v>
      </c>
      <c r="D15">
        <f>VLOOKUP(B15,PWT!A:B,2,FALSE)</f>
        <v/>
      </c>
      <c r="E15">
        <f>C15/D15</f>
        <v/>
      </c>
    </row>
    <row r="16">
      <c r="B16" t="n">
        <v>2010</v>
      </c>
      <c r="C16" t="n">
        <v>1000</v>
      </c>
      <c r="D16">
        <f>VLOOKUP(B16,PWT!A:B,2,FALSE)</f>
        <v/>
      </c>
      <c r="E16">
        <f>C16/D16</f>
        <v/>
      </c>
    </row>
    <row r="17">
      <c r="B17" t="n">
        <v>2011</v>
      </c>
      <c r="C17" t="n">
        <v>1000</v>
      </c>
      <c r="D17">
        <f>VLOOKUP(B17,PWT!A:B,2,FALSE)</f>
        <v/>
      </c>
      <c r="E17">
        <f>C17/D17</f>
        <v/>
      </c>
    </row>
    <row r="18">
      <c r="B18" t="n">
        <v>2012</v>
      </c>
      <c r="C18" t="n">
        <v>1000</v>
      </c>
      <c r="D18">
        <f>VLOOKUP(B18,PWT!A:B,2,FALSE)</f>
        <v/>
      </c>
      <c r="E18">
        <f>C18/D18</f>
        <v/>
      </c>
    </row>
    <row r="19">
      <c r="B19" t="n">
        <v>2013</v>
      </c>
      <c r="C19" t="n">
        <v>1000</v>
      </c>
      <c r="D19">
        <f>VLOOKUP(B19,PWT!A:B,2,FALSE)</f>
        <v/>
      </c>
      <c r="E19">
        <f>C19/D19</f>
        <v/>
      </c>
    </row>
    <row r="20">
      <c r="B20" t="n">
        <v>2014</v>
      </c>
      <c r="C20" t="n">
        <v>1000</v>
      </c>
      <c r="D20">
        <f>VLOOKUP(B20,PWT!A:B,2,FALSE)</f>
        <v/>
      </c>
      <c r="E20">
        <f>C20/D20</f>
        <v/>
      </c>
    </row>
    <row r="21">
      <c r="B21" t="n">
        <v>2015</v>
      </c>
      <c r="C21" t="n">
        <v>1000</v>
      </c>
      <c r="D21">
        <f>VLOOKUP(B21,PWT!A:B,2,FALSE)</f>
        <v/>
      </c>
      <c r="E21">
        <f>C21/D21</f>
        <v/>
      </c>
    </row>
    <row r="22">
      <c r="B22" t="n">
        <v>2016</v>
      </c>
      <c r="C22" t="n">
        <v>1000</v>
      </c>
      <c r="D22">
        <f>VLOOKUP(B22,PWT!A:B,2,FALSE)</f>
        <v/>
      </c>
      <c r="E22">
        <f>C22/D22</f>
        <v/>
      </c>
    </row>
    <row r="23">
      <c r="B23" t="n">
        <v>2017</v>
      </c>
      <c r="C23" t="n">
        <v>1000</v>
      </c>
      <c r="D23">
        <f>VLOOKUP(B23,PWT!A:B,2,FALSE)</f>
        <v/>
      </c>
      <c r="E23">
        <f>C23/D23</f>
        <v/>
      </c>
    </row>
    <row r="24">
      <c r="B24" t="n">
        <v>2018</v>
      </c>
      <c r="C24" t="n">
        <v>1000</v>
      </c>
      <c r="D24">
        <f>VLOOKUP(B24,PWT!A:B,2,FALSE)</f>
        <v/>
      </c>
      <c r="E24">
        <f>C24/D24</f>
        <v/>
      </c>
    </row>
    <row r="25">
      <c r="B25" t="n">
        <v>2019</v>
      </c>
      <c r="C25" t="n">
        <v>1000</v>
      </c>
      <c r="D25">
        <f>VLOOKUP(B25,PWT!A:B,2,FALSE)</f>
        <v/>
      </c>
      <c r="E25">
        <f>C25/D25</f>
        <v/>
      </c>
    </row>
    <row r="26">
      <c r="B26" t="n">
        <v>2020</v>
      </c>
      <c r="C26" t="n">
        <v>1000</v>
      </c>
      <c r="D26">
        <f>VLOOKUP(B26,PWT!A:B,2,FALSE)</f>
        <v/>
      </c>
      <c r="E26">
        <f>C26/D26</f>
        <v/>
      </c>
    </row>
    <row r="27">
      <c r="B27" t="n">
        <v>2021</v>
      </c>
      <c r="C27" t="n">
        <v>1000</v>
      </c>
      <c r="D27">
        <f>VLOOKUP(B27,PWT!A:B,2,FALSE)</f>
        <v/>
      </c>
      <c r="E27">
        <f>C27/D27</f>
        <v/>
      </c>
    </row>
    <row r="28">
      <c r="B28" t="n">
        <v>2022</v>
      </c>
      <c r="C28" t="n">
        <v>1000</v>
      </c>
      <c r="D28">
        <f>VLOOKUP(B28,PWT!A:B,2,FALSE)</f>
        <v/>
      </c>
      <c r="E28">
        <f>C28/D28</f>
        <v/>
      </c>
    </row>
    <row r="29">
      <c r="B29" t="n">
        <v>2023</v>
      </c>
      <c r="C29" t="n">
        <v>1000</v>
      </c>
      <c r="D29">
        <f>VLOOKUP(B29,PWT!A:B,2,FALSE)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t="n">
        <v>1990</v>
      </c>
      <c r="B2" t="n">
        <v>50000</v>
      </c>
    </row>
    <row r="3">
      <c r="A3" t="n">
        <v>1991</v>
      </c>
      <c r="B3" t="n">
        <v>51500</v>
      </c>
    </row>
    <row r="4">
      <c r="A4" t="n">
        <v>1992</v>
      </c>
      <c r="B4" t="n">
        <v>53045</v>
      </c>
    </row>
    <row r="5">
      <c r="A5" t="n">
        <v>1993</v>
      </c>
      <c r="B5" t="n">
        <v>54636.35</v>
      </c>
    </row>
    <row r="6">
      <c r="A6" t="n">
        <v>1994</v>
      </c>
      <c r="B6" t="n">
        <v>56275.4405</v>
      </c>
    </row>
    <row r="7">
      <c r="A7" t="n">
        <v>1995</v>
      </c>
      <c r="B7" t="n">
        <v>57963.703715</v>
      </c>
    </row>
    <row r="8">
      <c r="A8" t="n">
        <v>1996</v>
      </c>
      <c r="B8" t="n">
        <v>59702.61482645001</v>
      </c>
    </row>
    <row r="9">
      <c r="A9" t="n">
        <v>1997</v>
      </c>
      <c r="B9" t="n">
        <v>61493.69327124351</v>
      </c>
    </row>
    <row r="10">
      <c r="A10" t="n">
        <v>1998</v>
      </c>
      <c r="B10" t="n">
        <v>63338.50406938082</v>
      </c>
    </row>
    <row r="11">
      <c r="A11" t="n">
        <v>1999</v>
      </c>
      <c r="B11" t="n">
        <v>65238.65919146225</v>
      </c>
    </row>
    <row r="12">
      <c r="A12" t="n">
        <v>2000</v>
      </c>
      <c r="B12" t="n">
        <v>67195.81896720611</v>
      </c>
    </row>
    <row r="13">
      <c r="A13" t="n">
        <v>2001</v>
      </c>
      <c r="B13" t="n">
        <v>69211.6935362223</v>
      </c>
    </row>
    <row r="14">
      <c r="A14" t="n">
        <v>2002</v>
      </c>
      <c r="B14" t="n">
        <v>71288.04434230896</v>
      </c>
    </row>
    <row r="15">
      <c r="A15" t="n">
        <v>2003</v>
      </c>
      <c r="B15" t="n">
        <v>73426.68567257824</v>
      </c>
    </row>
    <row r="16">
      <c r="A16" t="n">
        <v>2004</v>
      </c>
      <c r="B16" t="n">
        <v>75629.48624275559</v>
      </c>
    </row>
    <row r="17">
      <c r="A17" t="n">
        <v>2005</v>
      </c>
      <c r="B17" t="n">
        <v>77898.37083003826</v>
      </c>
    </row>
    <row r="18">
      <c r="A18" t="n">
        <v>2006</v>
      </c>
      <c r="B18" t="n">
        <v>80235.32195493941</v>
      </c>
    </row>
    <row r="19">
      <c r="A19" t="n">
        <v>2007</v>
      </c>
      <c r="B19" t="n">
        <v>82642.3816135876</v>
      </c>
    </row>
    <row r="20">
      <c r="A20" t="n">
        <v>2008</v>
      </c>
      <c r="B20" t="n">
        <v>85121.65306199522</v>
      </c>
    </row>
    <row r="21">
      <c r="A21" t="n">
        <v>2009</v>
      </c>
      <c r="B21" t="n">
        <v>87675.30265385508</v>
      </c>
    </row>
    <row r="22">
      <c r="A22" t="n">
        <v>2010</v>
      </c>
      <c r="B22" t="n">
        <v>90305.56173347073</v>
      </c>
    </row>
    <row r="23">
      <c r="A23" t="n">
        <v>2011</v>
      </c>
      <c r="B23" t="n">
        <v>93014.72858547486</v>
      </c>
    </row>
    <row r="24">
      <c r="A24" t="n">
        <v>2012</v>
      </c>
      <c r="B24" t="n">
        <v>95805.17044303911</v>
      </c>
    </row>
    <row r="25">
      <c r="A25" t="n">
        <v>2013</v>
      </c>
      <c r="B25" t="n">
        <v>98679.3255563303</v>
      </c>
    </row>
    <row r="26">
      <c r="A26" t="n">
        <v>2014</v>
      </c>
      <c r="B26" t="n">
        <v>101639.7053230202</v>
      </c>
    </row>
    <row r="27">
      <c r="A27" t="n">
        <v>2015</v>
      </c>
      <c r="B27" t="n">
        <v>104688.8964827108</v>
      </c>
    </row>
    <row r="28">
      <c r="A28" t="n">
        <v>2016</v>
      </c>
      <c r="B28" t="n">
        <v>107829.5633771921</v>
      </c>
    </row>
    <row r="29">
      <c r="A29" t="n">
        <v>2017</v>
      </c>
      <c r="B29" t="n">
        <v>111064.4502785079</v>
      </c>
    </row>
    <row r="30">
      <c r="A30" t="n">
        <v>2018</v>
      </c>
      <c r="B30" t="n">
        <v>114396.3837868631</v>
      </c>
    </row>
    <row r="31">
      <c r="A31" t="n">
        <v>2019</v>
      </c>
      <c r="B31" t="n">
        <v>117828.275300469</v>
      </c>
    </row>
    <row r="32">
      <c r="A32" t="n">
        <v>2020</v>
      </c>
      <c r="B32" t="n">
        <v>121363.1235594831</v>
      </c>
    </row>
    <row r="33">
      <c r="A33" t="n">
        <v>2021</v>
      </c>
      <c r="B33" t="n">
        <v>125004.0172662676</v>
      </c>
    </row>
    <row r="34">
      <c r="A34" t="n">
        <v>2022</v>
      </c>
      <c r="B34" t="n">
        <v>128754.1377842556</v>
      </c>
    </row>
    <row r="35">
      <c r="A35" t="n">
        <v>2023</v>
      </c>
      <c r="B35" t="n">
        <v>132616.7619177833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15</v>
      </c>
      <c r="D8" t="n">
        <v>5</v>
      </c>
    </row>
    <row r="9">
      <c r="B9" t="n">
        <v>2001</v>
      </c>
      <c r="C9" t="n">
        <v>15.75</v>
      </c>
      <c r="D9" t="n">
        <v>5</v>
      </c>
    </row>
    <row r="10">
      <c r="B10" t="n">
        <v>2002</v>
      </c>
      <c r="C10" t="n">
        <v>16.5375</v>
      </c>
      <c r="D10" t="n">
        <v>5</v>
      </c>
    </row>
    <row r="11">
      <c r="B11" t="n">
        <v>2003</v>
      </c>
      <c r="C11" t="n">
        <v>17.364375</v>
      </c>
      <c r="D11" t="n">
        <v>5</v>
      </c>
    </row>
    <row r="12">
      <c r="B12" t="n">
        <v>2004</v>
      </c>
      <c r="C12" t="n">
        <v>18.23259375</v>
      </c>
      <c r="D12" t="n">
        <v>5</v>
      </c>
    </row>
    <row r="13">
      <c r="B13" t="n">
        <v>2005</v>
      </c>
      <c r="C13" t="n">
        <v>19.14422343750001</v>
      </c>
      <c r="D13" t="n">
        <v>5</v>
      </c>
    </row>
    <row r="14">
      <c r="B14" t="n">
        <v>2006</v>
      </c>
      <c r="C14" t="n">
        <v>20.101434609375</v>
      </c>
      <c r="D14" t="n">
        <v>5</v>
      </c>
    </row>
    <row r="15">
      <c r="B15" t="n">
        <v>2007</v>
      </c>
      <c r="C15" t="n">
        <v>21.10650633984376</v>
      </c>
      <c r="D15" t="n">
        <v>5</v>
      </c>
    </row>
    <row r="16">
      <c r="B16" t="n">
        <v>2008</v>
      </c>
      <c r="C16" t="n">
        <v>22.16183165683595</v>
      </c>
      <c r="D16" t="n">
        <v>5</v>
      </c>
    </row>
    <row r="17">
      <c r="B17" t="n">
        <v>2009</v>
      </c>
      <c r="C17" t="n">
        <v>23.26992323967774</v>
      </c>
      <c r="D17" t="n">
        <v>5</v>
      </c>
    </row>
    <row r="18">
      <c r="B18" t="n">
        <v>2010</v>
      </c>
      <c r="C18" t="n">
        <v>24.43341940166163</v>
      </c>
      <c r="D18" t="n">
        <v>5</v>
      </c>
    </row>
    <row r="19">
      <c r="B19" t="n">
        <v>2011</v>
      </c>
      <c r="C19" t="n">
        <v>25.65509037174471</v>
      </c>
      <c r="D19" t="n">
        <v>5</v>
      </c>
    </row>
    <row r="20">
      <c r="B20" t="n">
        <v>2012</v>
      </c>
      <c r="C20" t="n">
        <v>26.93784489033195</v>
      </c>
      <c r="D20" t="n">
        <v>5</v>
      </c>
    </row>
    <row r="21">
      <c r="B21" t="n">
        <v>2013</v>
      </c>
      <c r="C21" t="n">
        <v>28.28473713484855</v>
      </c>
      <c r="D21" t="n">
        <v>5</v>
      </c>
    </row>
    <row r="22">
      <c r="B22" t="n">
        <v>2014</v>
      </c>
      <c r="C22" t="n">
        <v>29.69897399159098</v>
      </c>
      <c r="D22" t="n">
        <v>5</v>
      </c>
    </row>
    <row r="23">
      <c r="B23" t="n">
        <v>2015</v>
      </c>
      <c r="C23" t="n">
        <v>31.18392269117053</v>
      </c>
      <c r="D23" t="n">
        <v>5</v>
      </c>
    </row>
    <row r="24">
      <c r="B24" t="n">
        <v>2016</v>
      </c>
      <c r="C24" t="n">
        <v>32.74311882572906</v>
      </c>
      <c r="D24" t="n">
        <v>5</v>
      </c>
    </row>
    <row r="25">
      <c r="B25" t="n">
        <v>2017</v>
      </c>
      <c r="C25" t="n">
        <v>34.38027476701551</v>
      </c>
      <c r="D25" t="n">
        <v>5</v>
      </c>
    </row>
    <row r="26">
      <c r="B26" t="n">
        <v>2018</v>
      </c>
      <c r="C26" t="n">
        <v>36.09928850536628</v>
      </c>
      <c r="D26" t="n">
        <v>5</v>
      </c>
    </row>
    <row r="27">
      <c r="B27" t="n">
        <v>2019</v>
      </c>
      <c r="C27" t="n">
        <v>37.90425293063461</v>
      </c>
      <c r="D27" t="n">
        <v>5</v>
      </c>
    </row>
    <row r="28">
      <c r="B28" t="n">
        <v>2020</v>
      </c>
      <c r="C28" t="n">
        <v>39.79946557716633</v>
      </c>
      <c r="D28" t="n">
        <v>5</v>
      </c>
    </row>
    <row r="29">
      <c r="B29" t="n">
        <v>2021</v>
      </c>
      <c r="C29" t="n">
        <v>41.78943885602465</v>
      </c>
      <c r="D29" t="n">
        <v>5</v>
      </c>
    </row>
    <row r="30">
      <c r="B30" t="n">
        <v>2022</v>
      </c>
      <c r="C30" t="n">
        <v>43.87891079882589</v>
      </c>
      <c r="D30" t="n">
        <v>5</v>
      </c>
    </row>
    <row r="31">
      <c r="B31" t="n">
        <v>2023</v>
      </c>
      <c r="C31" t="n">
        <v>46.07285633876719</v>
      </c>
      <c r="D31" t="n">
        <v>5</v>
      </c>
    </row>
    <row r="32">
      <c r="B32" t="n">
        <v>2024</v>
      </c>
      <c r="C32" t="n">
        <v>48.37649915570555</v>
      </c>
      <c r="D32" t="n">
        <v>5</v>
      </c>
    </row>
    <row r="33">
      <c r="B33" t="n">
        <v>2025</v>
      </c>
      <c r="C33" t="n">
        <v>50.79532411349083</v>
      </c>
      <c r="D33" t="n">
        <v>5</v>
      </c>
    </row>
    <row r="34">
      <c r="B34" t="n">
        <v>2026</v>
      </c>
      <c r="C34" t="n">
        <v>53.33509031916537</v>
      </c>
      <c r="D34" t="n">
        <v>5</v>
      </c>
    </row>
    <row r="35">
      <c r="B35" t="n">
        <v>2027</v>
      </c>
      <c r="C35" t="n">
        <v>56.00184483512364</v>
      </c>
      <c r="D35" t="n">
        <v>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D35</f>
        <v/>
      </c>
    </row>
    <row r="38">
      <c r="B38" t="n">
        <v>2030</v>
      </c>
      <c r="C38">
        <f>C37*(1+D38/100)</f>
        <v/>
      </c>
      <c r="D38">
        <f>D35</f>
        <v/>
      </c>
    </row>
    <row r="39">
      <c r="B39" t="n">
        <v>2031</v>
      </c>
      <c r="C39">
        <f>C38*(1+D39/100)</f>
        <v/>
      </c>
      <c r="D39">
        <f>D35</f>
        <v/>
      </c>
    </row>
    <row r="40">
      <c r="B40" t="n">
        <v>2032</v>
      </c>
      <c r="C40">
        <f>C39*(1+D40/100)</f>
        <v/>
      </c>
      <c r="D40">
        <f>D35</f>
        <v/>
      </c>
    </row>
    <row r="41">
      <c r="B41" t="n">
        <v>2033</v>
      </c>
      <c r="C41">
        <f>C40*(1+D41/100)</f>
        <v/>
      </c>
      <c r="D41">
        <f>D35</f>
        <v/>
      </c>
    </row>
    <row r="42">
      <c r="B42" t="n">
        <v>2034</v>
      </c>
      <c r="C42">
        <f>C41*(1+D42/100)</f>
        <v/>
      </c>
      <c r="D42">
        <f>D35</f>
        <v/>
      </c>
    </row>
    <row r="43">
      <c r="B43" t="n">
        <v>2035</v>
      </c>
      <c r="C43">
        <f>C42*(1+D43/100)</f>
        <v/>
      </c>
      <c r="D43">
        <f>D35</f>
        <v/>
      </c>
    </row>
    <row r="44">
      <c r="B44" t="n">
        <v>2036</v>
      </c>
      <c r="C44">
        <f>C43*(1+D44/100)</f>
        <v/>
      </c>
      <c r="D44">
        <f>D35</f>
        <v/>
      </c>
    </row>
    <row r="45">
      <c r="B45" t="n">
        <v>2037</v>
      </c>
      <c r="C45">
        <f>C44*(1+D45/100)</f>
        <v/>
      </c>
      <c r="D45">
        <f>D35</f>
        <v/>
      </c>
    </row>
    <row r="46">
      <c r="B46" t="n">
        <v>2038</v>
      </c>
      <c r="C46">
        <f>C45*(1+D46/100)</f>
        <v/>
      </c>
      <c r="D46">
        <f>D35</f>
        <v/>
      </c>
    </row>
    <row r="47">
      <c r="B47" t="n">
        <v>2039</v>
      </c>
      <c r="C47">
        <f>C46*(1+D47/100)</f>
        <v/>
      </c>
      <c r="D47">
        <f>D35</f>
        <v/>
      </c>
    </row>
    <row r="48">
      <c r="B48" t="n">
        <v>2040</v>
      </c>
      <c r="C48">
        <f>C47*(1+D48/100)</f>
        <v/>
      </c>
      <c r="D48">
        <f>D35</f>
        <v/>
      </c>
    </row>
    <row r="49">
      <c r="B49" t="n">
        <v>2041</v>
      </c>
      <c r="C49">
        <f>C48*(1+D49/100)</f>
        <v/>
      </c>
      <c r="D49">
        <f>D35</f>
        <v/>
      </c>
    </row>
    <row r="50">
      <c r="B50" t="n">
        <v>2042</v>
      </c>
      <c r="C50">
        <f>C49*(1+D50/100)</f>
        <v/>
      </c>
      <c r="D50">
        <f>D35</f>
        <v/>
      </c>
    </row>
    <row r="51">
      <c r="B51" t="n">
        <v>2043</v>
      </c>
      <c r="C51">
        <f>C50*(1+D51/100)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2026-01-26T06:01:38Z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