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INDEX(Data!1:0,MATCH(12,Data!1:0,0),MATCH(H,Data!:,0))</f>
        <v/>
      </c>
      <c r="I12" s="19">
        <f>INDEX(Data!1:0,MATCH(12,Data!1:0,0),MATCH(I,Data!:,0))</f>
        <v/>
      </c>
      <c r="J12" s="19">
        <f>INDEX(Data!1:0,MATCH(12,Data!1:0,0),MATCH(J,Data!:,0))</f>
        <v/>
      </c>
      <c r="K12" s="19">
        <f>INDEX(Data!1:0,MATCH(12,Data!1:0,0),MATCH(K,Data!:,0))</f>
        <v/>
      </c>
      <c r="L12" s="20">
        <f>INDEX(Data!1:0,MATCH(12,Data!1:0,0),MATCH(L,Data!:,0))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INDEX(Data!1:0,MATCH(13,Data!1:0,0),MATCH(H,Data!:,0))</f>
        <v/>
      </c>
      <c r="I13" s="4">
        <f>INDEX(Data!1:0,MATCH(13,Data!1:0,0),MATCH(I,Data!:,0))</f>
        <v/>
      </c>
      <c r="J13" s="4">
        <f>INDEX(Data!1:0,MATCH(13,Data!1:0,0),MATCH(J,Data!:,0))</f>
        <v/>
      </c>
      <c r="K13" s="4">
        <f>INDEX(Data!1:0,MATCH(13,Data!1:0,0),MATCH(K,Data!:,0))</f>
        <v/>
      </c>
      <c r="L13" s="5">
        <f>INDEX(Data!1:0,MATCH(13,Data!1:0,0),MATCH(L,Data!:,0))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INDEX(Data!1:0,MATCH(14,Data!1:0,0),MATCH(H,Data!:,0))</f>
        <v/>
      </c>
      <c r="I14" s="4">
        <f>INDEX(Data!1:0,MATCH(14,Data!1:0,0),MATCH(I,Data!:,0))</f>
        <v/>
      </c>
      <c r="J14" s="4">
        <f>INDEX(Data!1:0,MATCH(14,Data!1:0,0),MATCH(J,Data!:,0))</f>
        <v/>
      </c>
      <c r="K14" s="4">
        <f>INDEX(Data!1:0,MATCH(14,Data!1:0,0),MATCH(K,Data!:,0))</f>
        <v/>
      </c>
      <c r="L14" s="5">
        <f>INDEX(Data!1:0,MATCH(14,Data!1:0,0),MATCH(L,Data!:,0))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INDEX(Data!1:0,MATCH(15,Data!1:0,0),MATCH(H,Data!:,0))</f>
        <v/>
      </c>
      <c r="I15" s="4">
        <f>INDEX(Data!1:0,MATCH(15,Data!1:0,0),MATCH(I,Data!:,0))</f>
        <v/>
      </c>
      <c r="J15" s="4">
        <f>INDEX(Data!1:0,MATCH(15,Data!1:0,0),MATCH(J,Data!:,0))</f>
        <v/>
      </c>
      <c r="K15" s="4">
        <f>INDEX(Data!1:0,MATCH(15,Data!1:0,0),MATCH(K,Data!:,0))</f>
        <v/>
      </c>
      <c r="L15" s="5">
        <f>INDEX(Data!1:0,MATCH(15,Data!1:0,0),MATCH(L,Data!:,0))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INDEX(Data!1:0,MATCH(16,Data!1:0,0),MATCH(H,Data!:,0))</f>
        <v/>
      </c>
      <c r="I16" s="4">
        <f>INDEX(Data!1:0,MATCH(16,Data!1:0,0),MATCH(I,Data!:,0))</f>
        <v/>
      </c>
      <c r="J16" s="4">
        <f>INDEX(Data!1:0,MATCH(16,Data!1:0,0),MATCH(J,Data!:,0))</f>
        <v/>
      </c>
      <c r="K16" s="4">
        <f>INDEX(Data!1:0,MATCH(16,Data!1:0,0),MATCH(K,Data!:,0))</f>
        <v/>
      </c>
      <c r="L16" s="5">
        <f>INDEX(Data!1:0,MATCH(16,Data!1:0,0),MATCH(L,Data!:,0))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INDEX(Data!1:0,MATCH(17,Data!1:0,0),MATCH(H,Data!:,0))</f>
        <v/>
      </c>
      <c r="I17" s="6">
        <f>INDEX(Data!1:0,MATCH(17,Data!1:0,0),MATCH(I,Data!:,0))</f>
        <v/>
      </c>
      <c r="J17" s="6">
        <f>INDEX(Data!1:0,MATCH(17,Data!1:0,0),MATCH(J,Data!:,0))</f>
        <v/>
      </c>
      <c r="K17" s="6">
        <f>INDEX(Data!1:0,MATCH(17,Data!1:0,0),MATCH(K,Data!:,0))</f>
        <v/>
      </c>
      <c r="L17" s="7">
        <f>INDEX(Data!1:0,MATCH(17,Data!1:0,0),MATCH(L,Data!:,0))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INDEX(Data!1:0,MATCH(19,Data!1:0,0),MATCH(H,Data!:,0))</f>
        <v/>
      </c>
      <c r="I19" s="19">
        <f>INDEX(Data!1:0,MATCH(19,Data!1:0,0),MATCH(I,Data!:,0))</f>
        <v/>
      </c>
      <c r="J19" s="19">
        <f>INDEX(Data!1:0,MATCH(19,Data!1:0,0),MATCH(J,Data!:,0))</f>
        <v/>
      </c>
      <c r="K19" s="19">
        <f>INDEX(Data!1:0,MATCH(19,Data!1:0,0),MATCH(K,Data!:,0))</f>
        <v/>
      </c>
      <c r="L19" s="20">
        <f>INDEX(Data!1:0,MATCH(19,Data!1:0,0),MATCH(L,Data!:,0))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INDEX(Data!1:0,MATCH(20,Data!1:0,0),MATCH(H,Data!:,0))</f>
        <v/>
      </c>
      <c r="I20" s="4">
        <f>INDEX(Data!1:0,MATCH(20,Data!1:0,0),MATCH(I,Data!:,0))</f>
        <v/>
      </c>
      <c r="J20" s="4">
        <f>INDEX(Data!1:0,MATCH(20,Data!1:0,0),MATCH(J,Data!:,0))</f>
        <v/>
      </c>
      <c r="K20" s="4">
        <f>INDEX(Data!1:0,MATCH(20,Data!1:0,0),MATCH(K,Data!:,0))</f>
        <v/>
      </c>
      <c r="L20" s="5">
        <f>INDEX(Data!1:0,MATCH(20,Data!1:0,0),MATCH(L,Data!:,0))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INDEX(Data!1:0,MATCH(21,Data!1:0,0),MATCH(H,Data!:,0))</f>
        <v/>
      </c>
      <c r="I21" s="4">
        <f>INDEX(Data!1:0,MATCH(21,Data!1:0,0),MATCH(I,Data!:,0))</f>
        <v/>
      </c>
      <c r="J21" s="4">
        <f>INDEX(Data!1:0,MATCH(21,Data!1:0,0),MATCH(J,Data!:,0))</f>
        <v/>
      </c>
      <c r="K21" s="4">
        <f>INDEX(Data!1:0,MATCH(21,Data!1:0,0),MATCH(K,Data!:,0))</f>
        <v/>
      </c>
      <c r="L21" s="5">
        <f>INDEX(Data!1:0,MATCH(21,Data!1:0,0),MATCH(L,Data!:,0))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INDEX(Data!1:0,MATCH(22,Data!1:0,0),MATCH(H,Data!:,0))</f>
        <v/>
      </c>
      <c r="I22" s="4">
        <f>INDEX(Data!1:0,MATCH(22,Data!1:0,0),MATCH(I,Data!:,0))</f>
        <v/>
      </c>
      <c r="J22" s="4">
        <f>INDEX(Data!1:0,MATCH(22,Data!1:0,0),MATCH(J,Data!:,0))</f>
        <v/>
      </c>
      <c r="K22" s="4">
        <f>INDEX(Data!1:0,MATCH(22,Data!1:0,0),MATCH(K,Data!:,0))</f>
        <v/>
      </c>
      <c r="L22" s="5">
        <f>INDEX(Data!1:0,MATCH(22,Data!1:0,0),MATCH(L,Data!:,0))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INDEX(Data!1:0,MATCH(23,Data!1:0,0),MATCH(H,Data!:,0))</f>
        <v/>
      </c>
      <c r="I23" s="4">
        <f>INDEX(Data!1:0,MATCH(23,Data!1:0,0),MATCH(I,Data!:,0))</f>
        <v/>
      </c>
      <c r="J23" s="4">
        <f>INDEX(Data!1:0,MATCH(23,Data!1:0,0),MATCH(J,Data!:,0))</f>
        <v/>
      </c>
      <c r="K23" s="4">
        <f>INDEX(Data!1:0,MATCH(23,Data!1:0,0),MATCH(K,Data!:,0))</f>
        <v/>
      </c>
      <c r="L23" s="5">
        <f>INDEX(Data!1:0,MATCH(23,Data!1:0,0),MATCH(L,Data!:,0))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INDEX(Data!1:0,MATCH(24,Data!1:0,0),MATCH(H,Data!:,0))</f>
        <v/>
      </c>
      <c r="I24" s="6">
        <f>INDEX(Data!1:0,MATCH(24,Data!1:0,0),MATCH(I,Data!:,0))</f>
        <v/>
      </c>
      <c r="J24" s="6">
        <f>INDEX(Data!1:0,MATCH(24,Data!1:0,0),MATCH(J,Data!:,0))</f>
        <v/>
      </c>
      <c r="K24" s="6">
        <f>INDEX(Data!1:0,MATCH(24,Data!1:0,0),MATCH(K,Data!:,0))</f>
        <v/>
      </c>
      <c r="L24" s="7">
        <f>INDEX(Data!1:0,MATCH(24,Data!1:0,0),MATCH(L,Data!:,0))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INDEX(Data!1:0,MATCH(26,Data!1:0,0),MATCH(H,Data!:,0))</f>
        <v/>
      </c>
      <c r="I26" s="19">
        <f>INDEX(Data!1:0,MATCH(26,Data!1:0,0),MATCH(I,Data!:,0))</f>
        <v/>
      </c>
      <c r="J26" s="19">
        <f>INDEX(Data!1:0,MATCH(26,Data!1:0,0),MATCH(J,Data!:,0))</f>
        <v/>
      </c>
      <c r="K26" s="19">
        <f>INDEX(Data!1:0,MATCH(26,Data!1:0,0),MATCH(K,Data!:,0))</f>
        <v/>
      </c>
      <c r="L26" s="20">
        <f>INDEX(Data!1:0,MATCH(26,Data!1:0,0),MATCH(L,Data!:,0))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INDEX(Data!1:0,MATCH(27,Data!1:0,0),MATCH(H,Data!:,0))</f>
        <v/>
      </c>
      <c r="I27" s="4">
        <f>INDEX(Data!1:0,MATCH(27,Data!1:0,0),MATCH(I,Data!:,0))</f>
        <v/>
      </c>
      <c r="J27" s="4">
        <f>INDEX(Data!1:0,MATCH(27,Data!1:0,0),MATCH(J,Data!:,0))</f>
        <v/>
      </c>
      <c r="K27" s="4">
        <f>INDEX(Data!1:0,MATCH(27,Data!1:0,0),MATCH(K,Data!:,0))</f>
        <v/>
      </c>
      <c r="L27" s="5">
        <f>INDEX(Data!1:0,MATCH(27,Data!1:0,0),MATCH(L,Data!:,0))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INDEX(Data!1:0,MATCH(28,Data!1:0,0),MATCH(H,Data!:,0))</f>
        <v/>
      </c>
      <c r="I28" s="4">
        <f>INDEX(Data!1:0,MATCH(28,Data!1:0,0),MATCH(I,Data!:,0))</f>
        <v/>
      </c>
      <c r="J28" s="4">
        <f>INDEX(Data!1:0,MATCH(28,Data!1:0,0),MATCH(J,Data!:,0))</f>
        <v/>
      </c>
      <c r="K28" s="4">
        <f>INDEX(Data!1:0,MATCH(28,Data!1:0,0),MATCH(K,Data!:,0))</f>
        <v/>
      </c>
      <c r="L28" s="5">
        <f>INDEX(Data!1:0,MATCH(28,Data!1:0,0),MATCH(L,Data!:,0))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INDEX(Data!1:0,MATCH(29,Data!1:0,0),MATCH(H,Data!:,0))</f>
        <v/>
      </c>
      <c r="I29" s="4">
        <f>INDEX(Data!1:0,MATCH(29,Data!1:0,0),MATCH(I,Data!:,0))</f>
        <v/>
      </c>
      <c r="J29" s="4">
        <f>INDEX(Data!1:0,MATCH(29,Data!1:0,0),MATCH(J,Data!:,0))</f>
        <v/>
      </c>
      <c r="K29" s="4">
        <f>INDEX(Data!1:0,MATCH(29,Data!1:0,0),MATCH(K,Data!:,0))</f>
        <v/>
      </c>
      <c r="L29" s="5">
        <f>INDEX(Data!1:0,MATCH(29,Data!1:0,0),MATCH(L,Data!:,0))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INDEX(Data!1:0,MATCH(30,Data!1:0,0),MATCH(H,Data!:,0))</f>
        <v/>
      </c>
      <c r="I30" s="4">
        <f>INDEX(Data!1:0,MATCH(30,Data!1:0,0),MATCH(I,Data!:,0))</f>
        <v/>
      </c>
      <c r="J30" s="4">
        <f>INDEX(Data!1:0,MATCH(30,Data!1:0,0),MATCH(J,Data!:,0))</f>
        <v/>
      </c>
      <c r="K30" s="4">
        <f>INDEX(Data!1:0,MATCH(30,Data!1:0,0),MATCH(K,Data!:,0))</f>
        <v/>
      </c>
      <c r="L30" s="5">
        <f>INDEX(Data!1:0,MATCH(30,Data!1:0,0),MATCH(L,Data!:,0))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INDEX(Data!1:0,MATCH(31,Data!1:0,0),MATCH(H,Data!:,0))</f>
        <v/>
      </c>
      <c r="I31" s="6">
        <f>INDEX(Data!1:0,MATCH(31,Data!1:0,0),MATCH(I,Data!:,0))</f>
        <v/>
      </c>
      <c r="J31" s="6">
        <f>INDEX(Data!1:0,MATCH(31,Data!1:0,0),MATCH(J,Data!:,0))</f>
        <v/>
      </c>
      <c r="K31" s="6">
        <f>INDEX(Data!1:0,MATCH(31,Data!1:0,0),MATCH(K,Data!:,0))</f>
        <v/>
      </c>
      <c r="L31" s="7">
        <f>INDEX(Data!1:0,MATCH(31,Data!1:0,0),MATCH(L,Data!:,0))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MIN(H5:H0)</f>
        <v/>
      </c>
      <c r="I42" s="19">
        <f>MIN(I5:I0)</f>
        <v/>
      </c>
      <c r="J42" s="19">
        <f>MIN(J5:J0)</f>
        <v/>
      </c>
      <c r="K42" s="19">
        <f>MIN(K5:K0)</f>
        <v/>
      </c>
      <c r="L42" s="20">
        <f>MIN(L5:L0)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MAX(H5:H0)</f>
        <v/>
      </c>
      <c r="I43" s="4">
        <f>MAX(I5:I0)</f>
        <v/>
      </c>
      <c r="J43" s="4">
        <f>MAX(J5:J0)</f>
        <v/>
      </c>
      <c r="K43" s="4">
        <f>MAX(K5:K0)</f>
        <v/>
      </c>
      <c r="L43" s="5">
        <f>MAX(L5:L0)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MEDIAN(H5:H0)</f>
        <v/>
      </c>
      <c r="I44" s="4">
        <f>MEDIAN(I5:I0)</f>
        <v/>
      </c>
      <c r="J44" s="4">
        <f>MEDIAN(J5:J0)</f>
        <v/>
      </c>
      <c r="K44" s="4">
        <f>MEDIAN(K5:K0)</f>
        <v/>
      </c>
      <c r="L44" s="5">
        <f>MEDIAN(L5:L0)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AVERAGE(H5:H0)</f>
        <v/>
      </c>
      <c r="I45" s="4">
        <f>AVERAGE(I5:I0)</f>
        <v/>
      </c>
      <c r="J45" s="4">
        <f>AVERAGE(J5:J0)</f>
        <v/>
      </c>
      <c r="K45" s="4">
        <f>AVERAGE(K5:K0)</f>
        <v/>
      </c>
      <c r="L45" s="5">
        <f>AVERAGE(L5:L0)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PERCENTILE.INC(H5:H0, 0.25)</f>
        <v/>
      </c>
      <c r="I46" s="4">
        <f>PERCENTILE.INC(I5:I0, 0.25)</f>
        <v/>
      </c>
      <c r="J46" s="4">
        <f>PERCENTILE.INC(J5:J0, 0.25)</f>
        <v/>
      </c>
      <c r="K46" s="4">
        <f>PERCENTILE.INC(K5:K0, 0.25)</f>
        <v/>
      </c>
      <c r="L46" s="5">
        <f>PERCENTILE.INC(L5:L0, 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PERCENTILE.INC(H5:H0, 0.75)</f>
        <v/>
      </c>
      <c r="I47" s="6">
        <f>PERCENTILE.INC(I5:I0, 0.75)</f>
        <v/>
      </c>
      <c r="J47" s="6">
        <f>PERCENTILE.INC(J5:J0, 0.75)</f>
        <v/>
      </c>
      <c r="K47" s="6">
        <f>PERCENTILE.INC(K5:K0, 0.75)</f>
        <v/>
      </c>
      <c r="L47" s="7">
        <f>PERCENTILE.INC(L5:L0, 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2026-01-26T05:53:32Z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