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WT" sheetId="1" state="visible" r:id="rId1"/>
    <sheet xmlns:r="http://schemas.openxmlformats.org/officeDocument/2006/relationships" name="WEO_Data" sheetId="2" state="visible" r:id="rId2"/>
    <sheet xmlns:r="http://schemas.openxmlformats.org/officeDocument/2006/relationships" name="CFC data" sheetId="3" state="visible" r:id="rId3"/>
    <sheet xmlns:r="http://schemas.openxmlformats.org/officeDocument/2006/relationships" name="Investment" sheetId="4" state="visible" r:id="rId4"/>
    <sheet xmlns:r="http://schemas.openxmlformats.org/officeDocument/2006/relationships" name="Produ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rnna</t>
        </is>
      </c>
    </row>
    <row r="2">
      <c r="A2" t="n">
        <v>2000</v>
      </c>
      <c r="B2" t="n">
        <v>195327.078125</v>
      </c>
    </row>
    <row r="3">
      <c r="A3" t="n">
        <v>2001</v>
      </c>
      <c r="B3" t="n">
        <v>196512.453125</v>
      </c>
    </row>
    <row r="4">
      <c r="A4" t="n">
        <v>2002</v>
      </c>
      <c r="B4" t="n">
        <v>197317.59375</v>
      </c>
    </row>
    <row r="5">
      <c r="A5" t="n">
        <v>2003</v>
      </c>
      <c r="B5" t="n">
        <v>199678.921875</v>
      </c>
    </row>
    <row r="6">
      <c r="A6" t="n">
        <v>2004</v>
      </c>
      <c r="B6" t="n">
        <v>202658.8125</v>
      </c>
    </row>
    <row r="7">
      <c r="A7" t="n">
        <v>2005</v>
      </c>
      <c r="B7" t="n">
        <v>206400.5</v>
      </c>
    </row>
    <row r="8">
      <c r="A8" t="n">
        <v>2006</v>
      </c>
      <c r="B8" t="n">
        <v>209660.25</v>
      </c>
    </row>
    <row r="9">
      <c r="A9" t="n">
        <v>2007</v>
      </c>
      <c r="B9" t="n">
        <v>213821.375</v>
      </c>
    </row>
    <row r="10">
      <c r="A10" t="n">
        <v>2008</v>
      </c>
      <c r="B10" t="n">
        <v>215825.90625</v>
      </c>
    </row>
    <row r="11">
      <c r="A11" t="n">
        <v>2009</v>
      </c>
      <c r="B11" t="n">
        <v>214505.90625</v>
      </c>
    </row>
    <row r="12">
      <c r="A12" t="n">
        <v>2010</v>
      </c>
      <c r="B12" t="n">
        <v>215740.28125</v>
      </c>
    </row>
    <row r="13">
      <c r="A13" t="n">
        <v>2011</v>
      </c>
      <c r="B13" t="n">
        <v>218333.703125</v>
      </c>
    </row>
    <row r="14">
      <c r="A14" t="n">
        <v>2012</v>
      </c>
      <c r="B14" t="n">
        <v>221570.09375</v>
      </c>
    </row>
    <row r="15">
      <c r="A15" t="n">
        <v>2013</v>
      </c>
      <c r="B15" t="n">
        <v>223431.875</v>
      </c>
    </row>
    <row r="16">
      <c r="A16" t="n">
        <v>2014</v>
      </c>
      <c r="B16" t="n">
        <v>227911.96875</v>
      </c>
    </row>
    <row r="17">
      <c r="A17" t="n">
        <v>2015</v>
      </c>
      <c r="B17" t="n">
        <v>234164.859375</v>
      </c>
    </row>
    <row r="18">
      <c r="A18" t="n">
        <v>2016</v>
      </c>
      <c r="B18" t="n">
        <v>241138.375</v>
      </c>
    </row>
    <row r="19">
      <c r="A19" t="n">
        <v>2017</v>
      </c>
      <c r="B19" t="n">
        <v>248033.09375</v>
      </c>
    </row>
    <row r="20">
      <c r="A20" t="n">
        <v>2018</v>
      </c>
      <c r="B20" t="n">
        <v>254809.796875</v>
      </c>
    </row>
    <row r="21">
      <c r="A21" t="n">
        <v>2019</v>
      </c>
      <c r="B21" t="n">
        <v>264125.5625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Real GDP</t>
        </is>
      </c>
      <c r="C1" t="inlineStr">
        <is>
          <t>Growth Rate</t>
        </is>
      </c>
    </row>
    <row r="2">
      <c r="A2" t="n">
        <v>2000</v>
      </c>
      <c r="B2" t="n">
        <v>22802.8359375</v>
      </c>
    </row>
    <row r="3">
      <c r="A3" t="n">
        <v>2001</v>
      </c>
      <c r="B3" t="n">
        <v>23898.615234375</v>
      </c>
      <c r="C3" t="n">
        <v>4.805451830107477</v>
      </c>
    </row>
    <row r="4">
      <c r="A4" t="n">
        <v>2002</v>
      </c>
      <c r="B4" t="n">
        <v>25206.78515625</v>
      </c>
      <c r="C4" t="n">
        <v>5.47383147117817</v>
      </c>
    </row>
    <row r="5">
      <c r="A5" t="n">
        <v>2003</v>
      </c>
      <c r="B5" t="n">
        <v>27994.177734375</v>
      </c>
      <c r="C5" t="n">
        <v>11.05810423997631</v>
      </c>
    </row>
    <row r="6">
      <c r="A6" t="n">
        <v>2004</v>
      </c>
      <c r="B6" t="n">
        <v>29616.71484375</v>
      </c>
      <c r="C6" t="n">
        <v>5.795980595574446</v>
      </c>
    </row>
    <row r="7">
      <c r="A7" t="n">
        <v>2005</v>
      </c>
      <c r="B7" t="n">
        <v>32456.451171875</v>
      </c>
      <c r="C7" t="n">
        <v>9.58828939369778</v>
      </c>
    </row>
    <row r="8">
      <c r="A8" t="n">
        <v>2006</v>
      </c>
      <c r="B8" t="n">
        <v>35514.08984375</v>
      </c>
      <c r="C8" t="n">
        <v>9.420742445571451</v>
      </c>
    </row>
    <row r="9">
      <c r="A9" t="n">
        <v>2007</v>
      </c>
      <c r="B9" t="n">
        <v>39981.328125</v>
      </c>
      <c r="C9" t="n">
        <v>12.57877732726458</v>
      </c>
    </row>
    <row r="10">
      <c r="A10" t="n">
        <v>2008</v>
      </c>
      <c r="B10" t="n">
        <v>40948.1171875</v>
      </c>
      <c r="C10" t="n">
        <v>2.41810141843557</v>
      </c>
    </row>
    <row r="11">
      <c r="A11" t="n">
        <v>2009</v>
      </c>
      <c r="B11" t="n">
        <v>39453.47265625</v>
      </c>
      <c r="C11" t="n">
        <v>-3.650093420427791</v>
      </c>
    </row>
    <row r="12">
      <c r="A12" t="n">
        <v>2010</v>
      </c>
      <c r="B12" t="n">
        <v>41919.0859375</v>
      </c>
      <c r="C12" t="n">
        <v>6.249420178376641</v>
      </c>
    </row>
    <row r="13">
      <c r="A13" t="n">
        <v>2011</v>
      </c>
      <c r="B13" t="n">
        <v>45004.60546875</v>
      </c>
      <c r="C13" t="n">
        <v>7.360655563555007</v>
      </c>
    </row>
    <row r="14">
      <c r="A14" t="n">
        <v>2012</v>
      </c>
      <c r="B14" t="n">
        <v>47892.44921875</v>
      </c>
      <c r="C14" t="n">
        <v>6.416773838857992</v>
      </c>
    </row>
    <row r="15">
      <c r="A15" t="n">
        <v>2013</v>
      </c>
      <c r="B15" t="n">
        <v>49624.02734375</v>
      </c>
      <c r="C15" t="n">
        <v>3.615555590174502</v>
      </c>
    </row>
    <row r="16">
      <c r="A16" t="n">
        <v>2014</v>
      </c>
      <c r="B16" t="n">
        <v>51828.1015625</v>
      </c>
      <c r="C16" t="n">
        <v>4.441546437741106</v>
      </c>
    </row>
    <row r="17">
      <c r="A17" t="n">
        <v>2015</v>
      </c>
      <c r="B17" t="n">
        <v>53396.7421875</v>
      </c>
      <c r="C17" t="n">
        <v>3.026621808843144</v>
      </c>
    </row>
    <row r="18">
      <c r="A18" t="n">
        <v>2016</v>
      </c>
      <c r="B18" t="n">
        <v>54948.359375</v>
      </c>
      <c r="C18" t="n">
        <v>2.905827441778319</v>
      </c>
    </row>
    <row r="19">
      <c r="A19" t="n">
        <v>2017</v>
      </c>
      <c r="B19" t="n">
        <v>57609.7109375</v>
      </c>
      <c r="C19" t="n">
        <v>4.843368560537664</v>
      </c>
    </row>
    <row r="20">
      <c r="A20" t="n">
        <v>2018</v>
      </c>
      <c r="B20" t="n">
        <v>60399.59375</v>
      </c>
      <c r="C20" t="n">
        <v>4.84273010070595</v>
      </c>
    </row>
    <row r="21">
      <c r="A21" t="n">
        <v>2019</v>
      </c>
      <c r="B21" t="n">
        <v>63508.82421875</v>
      </c>
      <c r="C21" t="n">
        <v>5.147767188003649</v>
      </c>
    </row>
    <row r="22">
      <c r="A22" t="n">
        <v>2020</v>
      </c>
      <c r="B22" t="n">
        <v>66146.51272944747</v>
      </c>
      <c r="C22" t="n">
        <v>4.153263019973745</v>
      </c>
    </row>
    <row r="23">
      <c r="A23" t="n">
        <v>2021</v>
      </c>
      <c r="B23" t="n">
        <v>68893.75138164184</v>
      </c>
      <c r="C23" t="n">
        <v>4.153263019973745</v>
      </c>
    </row>
    <row r="24">
      <c r="A24" t="n">
        <v>2022</v>
      </c>
      <c r="B24" t="n">
        <v>71755.09008084821</v>
      </c>
      <c r="C24" t="n">
        <v>4.153263019973745</v>
      </c>
    </row>
    <row r="25">
      <c r="A25" t="n">
        <v>2023</v>
      </c>
      <c r="B25" t="n">
        <v>74735.26770212493</v>
      </c>
      <c r="C25" t="n">
        <v>4.153263019973745</v>
      </c>
    </row>
    <row r="26">
      <c r="A26" t="n">
        <v>2024</v>
      </c>
      <c r="B26" t="n">
        <v>77839.21993847565</v>
      </c>
      <c r="C26" t="n">
        <v>4.153263019973745</v>
      </c>
    </row>
    <row r="27">
      <c r="A27" t="n">
        <v>2025</v>
      </c>
      <c r="B27" t="n">
        <v>81072.08747521639</v>
      </c>
      <c r="C27" t="n">
        <v>4.153263019973745</v>
      </c>
    </row>
    <row r="28">
      <c r="A28" t="n">
        <v>2026</v>
      </c>
      <c r="B28" t="n">
        <v>84439.22450384533</v>
      </c>
      <c r="C28" t="n">
        <v>4.153263019973745</v>
      </c>
    </row>
    <row r="29">
      <c r="A29" t="n">
        <v>2027</v>
      </c>
      <c r="B29" t="n">
        <v>87946.20758951614</v>
      </c>
      <c r="C29" t="n">
        <v>4.153263019973745</v>
      </c>
    </row>
    <row r="30">
      <c r="A30" t="n">
        <v>2028</v>
      </c>
      <c r="B30" t="n">
        <v>91598.84490680085</v>
      </c>
      <c r="C30" t="n">
        <v>4.153263019973745</v>
      </c>
    </row>
    <row r="31">
      <c r="A31" t="n">
        <v>2029</v>
      </c>
      <c r="B31" t="n">
        <v>95403.1858590381</v>
      </c>
      <c r="C31" t="n">
        <v>4.153263019973745</v>
      </c>
    </row>
    <row r="32">
      <c r="A32" t="n">
        <v>2030</v>
      </c>
      <c r="B32" t="n">
        <v>99365.53109719834</v>
      </c>
      <c r="C32" t="n">
        <v>4.153263019973745</v>
      </c>
    </row>
    <row r="33">
      <c r="A33" t="n">
        <v>2031</v>
      </c>
      <c r="B33" t="n">
        <v>103492.4429548588</v>
      </c>
      <c r="C33" t="n">
        <v>4.153263019973745</v>
      </c>
    </row>
    <row r="34">
      <c r="A34" t="n">
        <v>2032</v>
      </c>
      <c r="B34" t="n">
        <v>107790.7563165704</v>
      </c>
      <c r="C34" t="n">
        <v>4.153263019973745</v>
      </c>
    </row>
    <row r="35">
      <c r="A35" t="n">
        <v>2033</v>
      </c>
      <c r="B35" t="n">
        <v>112267.5899376165</v>
      </c>
      <c r="C35" t="n">
        <v>4.153263019973745</v>
      </c>
    </row>
    <row r="36">
      <c r="A36" t="n">
        <v>2034</v>
      </c>
      <c r="B36" t="n">
        <v>116930.3582339113</v>
      </c>
      <c r="C36" t="n">
        <v>4.153263019973745</v>
      </c>
    </row>
    <row r="37">
      <c r="A37" t="n">
        <v>2035</v>
      </c>
      <c r="B37" t="n">
        <v>121786.7835615631</v>
      </c>
      <c r="C37" t="n">
        <v>4.153263019973745</v>
      </c>
    </row>
    <row r="38">
      <c r="A38" t="n">
        <v>2036</v>
      </c>
      <c r="B38" t="n">
        <v>126844.909006441</v>
      </c>
      <c r="C38" t="n">
        <v>4.153263019973745</v>
      </c>
    </row>
    <row r="39">
      <c r="A39" t="n">
        <v>2037</v>
      </c>
      <c r="B39" t="n">
        <v>132113.1117049248</v>
      </c>
      <c r="C39" t="n">
        <v>4.153263019973745</v>
      </c>
    </row>
    <row r="40">
      <c r="A40" t="n">
        <v>2038</v>
      </c>
      <c r="B40" t="n">
        <v>137600.1167179021</v>
      </c>
      <c r="C40" t="n">
        <v>4.153263019973745</v>
      </c>
    </row>
    <row r="41">
      <c r="A41" t="n">
        <v>2039</v>
      </c>
      <c r="B41" t="n">
        <v>143315.0114809874</v>
      </c>
      <c r="C41" t="n">
        <v>4.153263019973745</v>
      </c>
    </row>
    <row r="42">
      <c r="A42" t="n">
        <v>2040</v>
      </c>
      <c r="B42" t="n">
        <v>149267.2608548984</v>
      </c>
      <c r="C42" t="n">
        <v>4.153263019973745</v>
      </c>
    </row>
    <row r="43">
      <c r="A43" t="n">
        <v>2041</v>
      </c>
      <c r="B43" t="n">
        <v>155466.7228009126</v>
      </c>
      <c r="C43" t="n">
        <v>4.153263019973745</v>
      </c>
    </row>
    <row r="44">
      <c r="A44" t="n">
        <v>2042</v>
      </c>
      <c r="B44" t="n">
        <v>161923.664707368</v>
      </c>
      <c r="C44" t="n">
        <v>4.153263019973745</v>
      </c>
    </row>
    <row r="45">
      <c r="A45" t="n">
        <v>2043</v>
      </c>
      <c r="B45" t="n">
        <v>168648.7803942454</v>
      </c>
      <c r="C45" t="n">
        <v>4.153263019973745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CFC</t>
        </is>
      </c>
      <c r="C1" t="inlineStr">
        <is>
          <t>Capital Stock</t>
        </is>
      </c>
      <c r="D1" t="inlineStr">
        <is>
          <t>Depreciation rate</t>
        </is>
      </c>
    </row>
    <row r="2">
      <c r="A2" t="n">
        <v>2000</v>
      </c>
      <c r="B2" t="n">
        <v>6236.362027940515</v>
      </c>
      <c r="C2" t="n">
        <v>195327.078125</v>
      </c>
      <c r="D2" t="n">
        <v>0.03192779049277306</v>
      </c>
    </row>
    <row r="3">
      <c r="A3" t="n">
        <v>2001</v>
      </c>
      <c r="B3" t="n">
        <v>6256.848953075591</v>
      </c>
      <c r="C3" t="n">
        <v>196512.453125</v>
      </c>
      <c r="D3" t="n">
        <v>0.03183945268392563</v>
      </c>
    </row>
    <row r="4">
      <c r="A4" t="n">
        <v>2002</v>
      </c>
      <c r="B4" t="n">
        <v>6239.93934438529</v>
      </c>
      <c r="C4" t="n">
        <v>197317.59375</v>
      </c>
      <c r="D4" t="n">
        <v>0.03162383660674095</v>
      </c>
    </row>
    <row r="5">
      <c r="A5" t="n">
        <v>2003</v>
      </c>
      <c r="B5" t="n">
        <v>6249.06820341968</v>
      </c>
      <c r="C5" t="n">
        <v>199678.921875</v>
      </c>
      <c r="D5" t="n">
        <v>0.03129558265209198</v>
      </c>
    </row>
    <row r="6">
      <c r="A6" t="n">
        <v>2004</v>
      </c>
      <c r="B6" t="n">
        <v>6431.608285243856</v>
      </c>
      <c r="C6" t="n">
        <v>202658.8125</v>
      </c>
      <c r="D6" t="n">
        <v>0.03173613920807838</v>
      </c>
    </row>
    <row r="7">
      <c r="A7" t="n">
        <v>2005</v>
      </c>
      <c r="B7" t="n">
        <v>6815.125559743494</v>
      </c>
      <c r="C7" t="n">
        <v>206400.5</v>
      </c>
      <c r="D7" t="n">
        <v>0.03301893919706345</v>
      </c>
    </row>
    <row r="8">
      <c r="A8" t="n">
        <v>2006</v>
      </c>
      <c r="B8" t="n">
        <v>7250.061545102857</v>
      </c>
      <c r="C8" t="n">
        <v>209660.25</v>
      </c>
      <c r="D8" t="n">
        <v>0.034580048173666</v>
      </c>
    </row>
    <row r="9">
      <c r="A9" t="n">
        <v>2007</v>
      </c>
      <c r="B9" t="n">
        <v>7758.795730262529</v>
      </c>
      <c r="C9" t="n">
        <v>213821.375</v>
      </c>
      <c r="D9" t="n">
        <v>0.03628634288907051</v>
      </c>
    </row>
    <row r="10">
      <c r="A10" t="n">
        <v>2008</v>
      </c>
      <c r="B10" t="n">
        <v>8124.774489065981</v>
      </c>
      <c r="C10" t="n">
        <v>215825.90625</v>
      </c>
      <c r="D10" t="n">
        <v>0.03764503821730614</v>
      </c>
    </row>
    <row r="11">
      <c r="A11" t="n">
        <v>2009</v>
      </c>
      <c r="B11" t="n">
        <v>8120.57162233768</v>
      </c>
      <c r="C11" t="n">
        <v>214505.90625</v>
      </c>
      <c r="D11" t="n">
        <v>0.03785710036754608</v>
      </c>
    </row>
    <row r="12">
      <c r="A12" t="n">
        <v>2010</v>
      </c>
      <c r="B12" t="n">
        <v>8106.413534014951</v>
      </c>
      <c r="C12" t="n">
        <v>215740.28125</v>
      </c>
      <c r="D12" t="n">
        <v>0.03757487237453461</v>
      </c>
    </row>
    <row r="13">
      <c r="A13" t="n">
        <v>2011</v>
      </c>
      <c r="B13" t="n">
        <v>8208.611031509703</v>
      </c>
      <c r="C13" t="n">
        <v>218333.703125</v>
      </c>
      <c r="D13" t="n">
        <v>0.03759662806987762</v>
      </c>
    </row>
    <row r="14">
      <c r="A14" t="n">
        <v>2012</v>
      </c>
      <c r="B14" t="n">
        <v>8348.260121648549</v>
      </c>
      <c r="C14" t="n">
        <v>221570.09375</v>
      </c>
      <c r="D14" t="n">
        <v>0.03767773881554604</v>
      </c>
    </row>
    <row r="15">
      <c r="A15" t="n">
        <v>2013</v>
      </c>
      <c r="B15" t="n">
        <v>8449.652530925814</v>
      </c>
      <c r="C15" t="n">
        <v>223431.875</v>
      </c>
      <c r="D15" t="n">
        <v>0.0378175787627697</v>
      </c>
    </row>
    <row r="16">
      <c r="A16" t="n">
        <v>2014</v>
      </c>
      <c r="B16" t="n">
        <v>8718.152253078762</v>
      </c>
      <c r="C16" t="n">
        <v>227911.96875</v>
      </c>
      <c r="D16" t="n">
        <v>0.03825227916240692</v>
      </c>
    </row>
    <row r="17">
      <c r="A17" t="n">
        <v>2015</v>
      </c>
      <c r="B17" t="n">
        <v>9172.181004550774</v>
      </c>
      <c r="C17" t="n">
        <v>234164.859375</v>
      </c>
      <c r="D17" t="n">
        <v>0.03916975855827332</v>
      </c>
    </row>
    <row r="18">
      <c r="A18" t="n">
        <v>2016</v>
      </c>
      <c r="B18" t="n">
        <v>9727.316967680119</v>
      </c>
      <c r="C18" t="n">
        <v>241138.375</v>
      </c>
      <c r="D18" t="n">
        <v>0.0403391495347023</v>
      </c>
    </row>
    <row r="19">
      <c r="A19" t="n">
        <v>2017</v>
      </c>
      <c r="B19" t="n">
        <v>10330.68762415147</v>
      </c>
      <c r="C19" t="n">
        <v>248033.09375</v>
      </c>
      <c r="D19" t="n">
        <v>0.04165044054389</v>
      </c>
    </row>
    <row r="20">
      <c r="A20" t="n">
        <v>2018</v>
      </c>
      <c r="B20" t="n">
        <v>10860.2012985925</v>
      </c>
      <c r="C20" t="n">
        <v>254809.796875</v>
      </c>
      <c r="D20" t="n">
        <v>0.04262081533670425</v>
      </c>
    </row>
    <row r="21">
      <c r="A21" t="n">
        <v>2019</v>
      </c>
      <c r="B21" t="n">
        <v>11506.89713283395</v>
      </c>
      <c r="C21" t="n">
        <v>264125.5625</v>
      </c>
      <c r="D21" t="n">
        <v>0.0435660108923912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Project Investment (Deflated)</t>
        </is>
      </c>
    </row>
    <row r="2">
      <c r="A2" t="n">
        <v>2026</v>
      </c>
      <c r="B2" t="n">
        <v>648.59</v>
      </c>
    </row>
    <row r="3">
      <c r="A3" t="n">
        <v>2027</v>
      </c>
      <c r="B3" t="n">
        <v>1220.08</v>
      </c>
    </row>
    <row r="4">
      <c r="A4" t="n">
        <v>2028</v>
      </c>
      <c r="B4" t="n">
        <v>1756.17</v>
      </c>
    </row>
    <row r="5">
      <c r="A5" t="n">
        <v>2029</v>
      </c>
      <c r="B5" t="n">
        <v>2221.19</v>
      </c>
    </row>
    <row r="6">
      <c r="A6" t="n">
        <v>2030</v>
      </c>
      <c r="B6" t="n">
        <v>2122.47</v>
      </c>
    </row>
    <row r="7">
      <c r="A7" t="n">
        <v>2031</v>
      </c>
      <c r="B7" t="n">
        <v>2000</v>
      </c>
    </row>
    <row r="8">
      <c r="A8" t="n">
        <v>2032</v>
      </c>
      <c r="B8" t="n">
        <v>1800</v>
      </c>
    </row>
    <row r="9">
      <c r="A9" t="n">
        <v>2033</v>
      </c>
      <c r="B9" t="n">
        <v>1500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</row>
    <row r="2">
      <c r="A2" t="inlineStr">
        <is>
          <t>capital's share</t>
        </is>
      </c>
      <c r="B2" t="n">
        <v>0.35</v>
      </c>
    </row>
    <row r="3">
      <c r="A3" t="inlineStr">
        <is>
          <t>annual depreciation rate</t>
        </is>
      </c>
      <c r="B3">
        <f>AVERAGE('CFC data'!D14:D21)</f>
        <v/>
      </c>
    </row>
    <row r="4">
      <c r="A4" t="inlineStr">
        <is>
          <t>Fixed K/Y</t>
        </is>
      </c>
      <c r="B4">
        <f>AVERAGE(M20:M28)</f>
        <v/>
      </c>
    </row>
    <row r="5">
      <c r="E5" t="inlineStr">
        <is>
          <t>Year</t>
        </is>
      </c>
      <c r="F5" t="inlineStr">
        <is>
          <t>K</t>
        </is>
      </c>
      <c r="G5" t="inlineStr">
        <is>
          <t>Y</t>
        </is>
      </c>
      <c r="H5" t="inlineStr">
        <is>
          <t>LnK</t>
        </is>
      </c>
      <c r="I5" t="inlineStr">
        <is>
          <t>LnY</t>
        </is>
      </c>
      <c r="J5" t="inlineStr">
        <is>
          <t>LnZ</t>
        </is>
      </c>
      <c r="K5" t="inlineStr">
        <is>
          <t>LnZ_HP</t>
        </is>
      </c>
      <c r="L5" t="inlineStr">
        <is>
          <t>2nd Diff</t>
        </is>
      </c>
      <c r="M5" t="inlineStr">
        <is>
          <t>K/Y</t>
        </is>
      </c>
      <c r="N5" t="inlineStr">
        <is>
          <t>Inv_Shock</t>
        </is>
      </c>
      <c r="O5" t="inlineStr">
        <is>
          <t>K_With</t>
        </is>
      </c>
      <c r="P5">
        <f>SUM(L8:L27) + 100*SUMXMY2(J6:J27, K6:K27)</f>
        <v/>
      </c>
      <c r="Q5" t="inlineStr">
        <is>
          <t>Ystar_With</t>
        </is>
      </c>
    </row>
    <row r="6">
      <c r="E6" t="n">
        <v>2002</v>
      </c>
      <c r="F6">
        <f>'CFC data'!C4</f>
        <v/>
      </c>
      <c r="G6">
        <f>'WEO_Data'!B4</f>
        <v/>
      </c>
      <c r="H6">
        <f>LN(F6)</f>
        <v/>
      </c>
      <c r="I6">
        <f>LN(G6)</f>
        <v/>
      </c>
      <c r="J6">
        <f>I6-$B$2*H6</f>
        <v/>
      </c>
      <c r="K6">
        <f>J6</f>
        <v/>
      </c>
      <c r="M6">
        <f>F6/G6</f>
        <v/>
      </c>
      <c r="N6" t="n">
        <v>0</v>
      </c>
      <c r="O6">
        <f>F6</f>
        <v/>
      </c>
      <c r="P6">
        <f>EXP(K6 + $B$2 * H6)</f>
        <v/>
      </c>
      <c r="Q6">
        <f>EXP(K6 + $B$2 * LN(O6))</f>
        <v/>
      </c>
    </row>
    <row r="7">
      <c r="E7" t="n">
        <v>2003</v>
      </c>
      <c r="F7">
        <f>'CFC data'!C5</f>
        <v/>
      </c>
      <c r="G7">
        <f>'WEO_Data'!B5</f>
        <v/>
      </c>
      <c r="H7">
        <f>LN(F7)</f>
        <v/>
      </c>
      <c r="I7">
        <f>LN(G7)</f>
        <v/>
      </c>
      <c r="J7">
        <f>I7-$B$2*H7</f>
        <v/>
      </c>
      <c r="K7">
        <f>J7</f>
        <v/>
      </c>
      <c r="M7">
        <f>F7/G7</f>
        <v/>
      </c>
      <c r="N7" t="n">
        <v>0</v>
      </c>
      <c r="O7">
        <f>F7</f>
        <v/>
      </c>
      <c r="P7">
        <f>EXP(K7 + $B$2 * H7)</f>
        <v/>
      </c>
      <c r="Q7">
        <f>EXP(K7 + $B$2 * LN(O7))</f>
        <v/>
      </c>
    </row>
    <row r="8">
      <c r="E8" t="n">
        <v>2004</v>
      </c>
      <c r="F8">
        <f>'CFC data'!C6</f>
        <v/>
      </c>
      <c r="G8">
        <f>'WEO_Data'!B6</f>
        <v/>
      </c>
      <c r="H8">
        <f>LN(F8)</f>
        <v/>
      </c>
      <c r="I8">
        <f>LN(G8)</f>
        <v/>
      </c>
      <c r="J8">
        <f>I8-$B$2*H8</f>
        <v/>
      </c>
      <c r="K8">
        <f>J8</f>
        <v/>
      </c>
      <c r="L8">
        <f>(K8-2*K7+K6)^2</f>
        <v/>
      </c>
      <c r="M8">
        <f>F8/G8</f>
        <v/>
      </c>
      <c r="N8" t="n">
        <v>0</v>
      </c>
      <c r="O8">
        <f>F8</f>
        <v/>
      </c>
      <c r="P8">
        <f>EXP(K8 + $B$2 * H8)</f>
        <v/>
      </c>
      <c r="Q8">
        <f>EXP(K8 + $B$2 * LN(O8))</f>
        <v/>
      </c>
    </row>
    <row r="9">
      <c r="E9" t="n">
        <v>2005</v>
      </c>
      <c r="F9">
        <f>'CFC data'!C7</f>
        <v/>
      </c>
      <c r="G9">
        <f>'WEO_Data'!B7</f>
        <v/>
      </c>
      <c r="H9">
        <f>LN(F9)</f>
        <v/>
      </c>
      <c r="I9">
        <f>LN(G9)</f>
        <v/>
      </c>
      <c r="J9">
        <f>I9-$B$2*H9</f>
        <v/>
      </c>
      <c r="K9">
        <f>J9</f>
        <v/>
      </c>
      <c r="L9">
        <f>(K9-2*K8+K7)^2</f>
        <v/>
      </c>
      <c r="M9">
        <f>F9/G9</f>
        <v/>
      </c>
      <c r="N9" t="n">
        <v>0</v>
      </c>
      <c r="O9">
        <f>F9</f>
        <v/>
      </c>
      <c r="P9">
        <f>EXP(K9 + $B$2 * H9)</f>
        <v/>
      </c>
      <c r="Q9">
        <f>EXP(K9 + $B$2 * LN(O9))</f>
        <v/>
      </c>
    </row>
    <row r="10">
      <c r="E10" t="n">
        <v>2006</v>
      </c>
      <c r="F10">
        <f>'CFC data'!C8</f>
        <v/>
      </c>
      <c r="G10">
        <f>'WEO_Data'!B8</f>
        <v/>
      </c>
      <c r="H10">
        <f>LN(F10)</f>
        <v/>
      </c>
      <c r="I10">
        <f>LN(G10)</f>
        <v/>
      </c>
      <c r="J10">
        <f>I10-$B$2*H10</f>
        <v/>
      </c>
      <c r="K10">
        <f>J10</f>
        <v/>
      </c>
      <c r="L10">
        <f>(K10-2*K9+K8)^2</f>
        <v/>
      </c>
      <c r="M10">
        <f>F10/G10</f>
        <v/>
      </c>
      <c r="N10" t="n">
        <v>0</v>
      </c>
      <c r="O10">
        <f>F10</f>
        <v/>
      </c>
      <c r="P10">
        <f>EXP(K10 + $B$2 * H10)</f>
        <v/>
      </c>
      <c r="Q10">
        <f>EXP(K10 + $B$2 * LN(O10))</f>
        <v/>
      </c>
    </row>
    <row r="11">
      <c r="E11" t="n">
        <v>2007</v>
      </c>
      <c r="F11">
        <f>'CFC data'!C9</f>
        <v/>
      </c>
      <c r="G11">
        <f>'WEO_Data'!B9</f>
        <v/>
      </c>
      <c r="H11">
        <f>LN(F11)</f>
        <v/>
      </c>
      <c r="I11">
        <f>LN(G11)</f>
        <v/>
      </c>
      <c r="J11">
        <f>I11-$B$2*H11</f>
        <v/>
      </c>
      <c r="K11">
        <f>J11</f>
        <v/>
      </c>
      <c r="L11">
        <f>(K11-2*K10+K9)^2</f>
        <v/>
      </c>
      <c r="M11">
        <f>F11/G11</f>
        <v/>
      </c>
      <c r="N11" t="n">
        <v>0</v>
      </c>
      <c r="O11">
        <f>F11</f>
        <v/>
      </c>
      <c r="P11">
        <f>EXP(K11 + $B$2 * H11)</f>
        <v/>
      </c>
      <c r="Q11">
        <f>EXP(K11 + $B$2 * LN(O11))</f>
        <v/>
      </c>
    </row>
    <row r="12">
      <c r="E12" t="n">
        <v>2008</v>
      </c>
      <c r="F12">
        <f>'CFC data'!C10</f>
        <v/>
      </c>
      <c r="G12">
        <f>'WEO_Data'!B10</f>
        <v/>
      </c>
      <c r="H12">
        <f>LN(F12)</f>
        <v/>
      </c>
      <c r="I12">
        <f>LN(G12)</f>
        <v/>
      </c>
      <c r="J12">
        <f>I12-$B$2*H12</f>
        <v/>
      </c>
      <c r="K12">
        <f>J12</f>
        <v/>
      </c>
      <c r="L12">
        <f>(K12-2*K11+K10)^2</f>
        <v/>
      </c>
      <c r="M12">
        <f>F12/G12</f>
        <v/>
      </c>
      <c r="N12" t="n">
        <v>0</v>
      </c>
      <c r="O12">
        <f>F12</f>
        <v/>
      </c>
      <c r="P12">
        <f>EXP(K12 + $B$2 * H12)</f>
        <v/>
      </c>
      <c r="Q12">
        <f>EXP(K12 + $B$2 * LN(O12))</f>
        <v/>
      </c>
    </row>
    <row r="13">
      <c r="E13" t="n">
        <v>2009</v>
      </c>
      <c r="F13">
        <f>'CFC data'!C11</f>
        <v/>
      </c>
      <c r="G13">
        <f>'WEO_Data'!B11</f>
        <v/>
      </c>
      <c r="H13">
        <f>LN(F13)</f>
        <v/>
      </c>
      <c r="I13">
        <f>LN(G13)</f>
        <v/>
      </c>
      <c r="J13">
        <f>I13-$B$2*H13</f>
        <v/>
      </c>
      <c r="K13">
        <f>J13</f>
        <v/>
      </c>
      <c r="L13">
        <f>(K13-2*K12+K11)^2</f>
        <v/>
      </c>
      <c r="M13">
        <f>F13/G13</f>
        <v/>
      </c>
      <c r="N13" t="n">
        <v>0</v>
      </c>
      <c r="O13">
        <f>F13</f>
        <v/>
      </c>
      <c r="P13">
        <f>EXP(K13 + $B$2 * H13)</f>
        <v/>
      </c>
      <c r="Q13">
        <f>EXP(K13 + $B$2 * LN(O13))</f>
        <v/>
      </c>
    </row>
    <row r="14">
      <c r="E14" t="n">
        <v>2010</v>
      </c>
      <c r="F14">
        <f>'CFC data'!C12</f>
        <v/>
      </c>
      <c r="G14">
        <f>'WEO_Data'!B12</f>
        <v/>
      </c>
      <c r="H14">
        <f>LN(F14)</f>
        <v/>
      </c>
      <c r="I14">
        <f>LN(G14)</f>
        <v/>
      </c>
      <c r="J14">
        <f>I14-$B$2*H14</f>
        <v/>
      </c>
      <c r="K14">
        <f>J14</f>
        <v/>
      </c>
      <c r="L14">
        <f>(K14-2*K13+K12)^2</f>
        <v/>
      </c>
      <c r="M14">
        <f>F14/G14</f>
        <v/>
      </c>
      <c r="N14" t="n">
        <v>0</v>
      </c>
      <c r="O14">
        <f>F14</f>
        <v/>
      </c>
      <c r="P14">
        <f>EXP(K14 + $B$2 * H14)</f>
        <v/>
      </c>
      <c r="Q14">
        <f>EXP(K14 + $B$2 * LN(O14))</f>
        <v/>
      </c>
    </row>
    <row r="15">
      <c r="E15" t="n">
        <v>2011</v>
      </c>
      <c r="F15">
        <f>'CFC data'!C13</f>
        <v/>
      </c>
      <c r="G15">
        <f>'WEO_Data'!B13</f>
        <v/>
      </c>
      <c r="H15">
        <f>LN(F15)</f>
        <v/>
      </c>
      <c r="I15">
        <f>LN(G15)</f>
        <v/>
      </c>
      <c r="J15">
        <f>I15-$B$2*H15</f>
        <v/>
      </c>
      <c r="K15">
        <f>J15</f>
        <v/>
      </c>
      <c r="L15">
        <f>(K15-2*K14+K13)^2</f>
        <v/>
      </c>
      <c r="M15">
        <f>F15/G15</f>
        <v/>
      </c>
      <c r="N15" t="n">
        <v>0</v>
      </c>
      <c r="O15">
        <f>F15</f>
        <v/>
      </c>
      <c r="P15">
        <f>EXP(K15 + $B$2 * H15)</f>
        <v/>
      </c>
      <c r="Q15">
        <f>EXP(K15 + $B$2 * LN(O15))</f>
        <v/>
      </c>
    </row>
    <row r="16">
      <c r="E16" t="n">
        <v>2012</v>
      </c>
      <c r="F16">
        <f>'CFC data'!C14</f>
        <v/>
      </c>
      <c r="G16">
        <f>'WEO_Data'!B14</f>
        <v/>
      </c>
      <c r="H16">
        <f>LN(F16)</f>
        <v/>
      </c>
      <c r="I16">
        <f>LN(G16)</f>
        <v/>
      </c>
      <c r="J16">
        <f>I16-$B$2*H16</f>
        <v/>
      </c>
      <c r="K16">
        <f>J16</f>
        <v/>
      </c>
      <c r="L16">
        <f>(K16-2*K15+K14)^2</f>
        <v/>
      </c>
      <c r="M16">
        <f>F16/G16</f>
        <v/>
      </c>
      <c r="N16" t="n">
        <v>0</v>
      </c>
      <c r="O16">
        <f>F16</f>
        <v/>
      </c>
      <c r="P16">
        <f>EXP(K16 + $B$2 * H16)</f>
        <v/>
      </c>
      <c r="Q16">
        <f>EXP(K16 + $B$2 * LN(O16))</f>
        <v/>
      </c>
    </row>
    <row r="17">
      <c r="E17" t="n">
        <v>2013</v>
      </c>
      <c r="F17">
        <f>'CFC data'!C15</f>
        <v/>
      </c>
      <c r="G17">
        <f>'WEO_Data'!B15</f>
        <v/>
      </c>
      <c r="H17">
        <f>LN(F17)</f>
        <v/>
      </c>
      <c r="I17">
        <f>LN(G17)</f>
        <v/>
      </c>
      <c r="J17">
        <f>I17-$B$2*H17</f>
        <v/>
      </c>
      <c r="K17">
        <f>J17</f>
        <v/>
      </c>
      <c r="L17">
        <f>(K17-2*K16+K15)^2</f>
        <v/>
      </c>
      <c r="M17">
        <f>F17/G17</f>
        <v/>
      </c>
      <c r="N17" t="n">
        <v>0</v>
      </c>
      <c r="O17">
        <f>F17</f>
        <v/>
      </c>
      <c r="P17">
        <f>EXP(K17 + $B$2 * H17)</f>
        <v/>
      </c>
      <c r="Q17">
        <f>EXP(K17 + $B$2 * LN(O17))</f>
        <v/>
      </c>
    </row>
    <row r="18">
      <c r="E18" t="n">
        <v>2014</v>
      </c>
      <c r="F18">
        <f>'CFC data'!C16</f>
        <v/>
      </c>
      <c r="G18">
        <f>'WEO_Data'!B16</f>
        <v/>
      </c>
      <c r="H18">
        <f>LN(F18)</f>
        <v/>
      </c>
      <c r="I18">
        <f>LN(G18)</f>
        <v/>
      </c>
      <c r="J18">
        <f>I18-$B$2*H18</f>
        <v/>
      </c>
      <c r="K18">
        <f>J18</f>
        <v/>
      </c>
      <c r="L18">
        <f>(K18-2*K17+K16)^2</f>
        <v/>
      </c>
      <c r="M18">
        <f>F18/G18</f>
        <v/>
      </c>
      <c r="N18" t="n">
        <v>0</v>
      </c>
      <c r="O18">
        <f>F18</f>
        <v/>
      </c>
      <c r="P18">
        <f>EXP(K18 + $B$2 * H18)</f>
        <v/>
      </c>
      <c r="Q18">
        <f>EXP(K18 + $B$2 * LN(O18))</f>
        <v/>
      </c>
    </row>
    <row r="19">
      <c r="E19" t="n">
        <v>2015</v>
      </c>
      <c r="F19">
        <f>'CFC data'!C17</f>
        <v/>
      </c>
      <c r="G19">
        <f>'WEO_Data'!B17</f>
        <v/>
      </c>
      <c r="H19">
        <f>LN(F19)</f>
        <v/>
      </c>
      <c r="I19">
        <f>LN(G19)</f>
        <v/>
      </c>
      <c r="J19">
        <f>I19-$B$2*H19</f>
        <v/>
      </c>
      <c r="K19">
        <f>J19</f>
        <v/>
      </c>
      <c r="L19">
        <f>(K19-2*K18+K17)^2</f>
        <v/>
      </c>
      <c r="M19">
        <f>F19/G19</f>
        <v/>
      </c>
      <c r="N19" t="n">
        <v>0</v>
      </c>
      <c r="O19">
        <f>F19</f>
        <v/>
      </c>
      <c r="P19">
        <f>EXP(K19 + $B$2 * H19)</f>
        <v/>
      </c>
      <c r="Q19">
        <f>EXP(K19 + $B$2 * LN(O19))</f>
        <v/>
      </c>
    </row>
    <row r="20">
      <c r="E20" t="n">
        <v>2016</v>
      </c>
      <c r="F20">
        <f>'CFC data'!C18</f>
        <v/>
      </c>
      <c r="G20">
        <f>'WEO_Data'!B18</f>
        <v/>
      </c>
      <c r="H20">
        <f>LN(F20)</f>
        <v/>
      </c>
      <c r="I20">
        <f>LN(G20)</f>
        <v/>
      </c>
      <c r="J20">
        <f>I20-$B$2*H20</f>
        <v/>
      </c>
      <c r="K20">
        <f>J20</f>
        <v/>
      </c>
      <c r="L20">
        <f>(K20-2*K19+K18)^2</f>
        <v/>
      </c>
      <c r="M20">
        <f>F20/G20</f>
        <v/>
      </c>
      <c r="N20" t="n">
        <v>0</v>
      </c>
      <c r="O20">
        <f>F20</f>
        <v/>
      </c>
      <c r="P20">
        <f>EXP(K20 + $B$2 * H20)</f>
        <v/>
      </c>
      <c r="Q20">
        <f>EXP(K20 + $B$2 * LN(O20))</f>
        <v/>
      </c>
    </row>
    <row r="21">
      <c r="E21" t="n">
        <v>2017</v>
      </c>
      <c r="F21">
        <f>'CFC data'!C19</f>
        <v/>
      </c>
      <c r="G21">
        <f>'WEO_Data'!B19</f>
        <v/>
      </c>
      <c r="H21">
        <f>LN(F21)</f>
        <v/>
      </c>
      <c r="I21">
        <f>LN(G21)</f>
        <v/>
      </c>
      <c r="J21">
        <f>I21-$B$2*H21</f>
        <v/>
      </c>
      <c r="K21">
        <f>J21</f>
        <v/>
      </c>
      <c r="L21">
        <f>(K21-2*K20+K19)^2</f>
        <v/>
      </c>
      <c r="M21">
        <f>F21/G21</f>
        <v/>
      </c>
      <c r="N21" t="n">
        <v>0</v>
      </c>
      <c r="O21">
        <f>F21</f>
        <v/>
      </c>
      <c r="P21">
        <f>EXP(K21 + $B$2 * H21)</f>
        <v/>
      </c>
      <c r="Q21">
        <f>EXP(K21 + $B$2 * LN(O21))</f>
        <v/>
      </c>
    </row>
    <row r="22">
      <c r="E22" t="n">
        <v>2018</v>
      </c>
      <c r="F22">
        <f>'CFC data'!C20</f>
        <v/>
      </c>
      <c r="G22">
        <f>'WEO_Data'!B20</f>
        <v/>
      </c>
      <c r="H22">
        <f>LN(F22)</f>
        <v/>
      </c>
      <c r="I22">
        <f>LN(G22)</f>
        <v/>
      </c>
      <c r="J22">
        <f>I22-$B$2*H22</f>
        <v/>
      </c>
      <c r="K22">
        <f>J22</f>
        <v/>
      </c>
      <c r="L22">
        <f>(K22-2*K21+K20)^2</f>
        <v/>
      </c>
      <c r="M22">
        <f>F22/G22</f>
        <v/>
      </c>
      <c r="N22" t="n">
        <v>0</v>
      </c>
      <c r="O22">
        <f>F22</f>
        <v/>
      </c>
      <c r="P22">
        <f>EXP(K22 + $B$2 * H22)</f>
        <v/>
      </c>
      <c r="Q22">
        <f>EXP(K22 + $B$2 * LN(O22))</f>
        <v/>
      </c>
    </row>
    <row r="23">
      <c r="E23" t="n">
        <v>2019</v>
      </c>
      <c r="F23">
        <f>'CFC data'!C21</f>
        <v/>
      </c>
      <c r="G23">
        <f>'WEO_Data'!B21</f>
        <v/>
      </c>
      <c r="H23">
        <f>LN(F23)</f>
        <v/>
      </c>
      <c r="I23">
        <f>LN(G23)</f>
        <v/>
      </c>
      <c r="J23">
        <f>I23-$B$2*H23</f>
        <v/>
      </c>
      <c r="K23">
        <f>J23</f>
        <v/>
      </c>
      <c r="L23">
        <f>(K23-2*K22+K21)^2</f>
        <v/>
      </c>
      <c r="M23">
        <f>F23/G23</f>
        <v/>
      </c>
      <c r="N23" t="n">
        <v>0</v>
      </c>
      <c r="O23">
        <f>F23</f>
        <v/>
      </c>
      <c r="P23">
        <f>EXP(K23 + $B$2 * H23)</f>
        <v/>
      </c>
      <c r="Q23">
        <f>EXP(K23 + $B$2 * LN(O23))</f>
        <v/>
      </c>
    </row>
    <row r="24">
      <c r="E24" t="n">
        <v>2020</v>
      </c>
      <c r="F24">
        <f>G24*$B$4</f>
        <v/>
      </c>
      <c r="G24">
        <f>'WEO_Data'!B22</f>
        <v/>
      </c>
      <c r="H24">
        <f>LN(F24)</f>
        <v/>
      </c>
      <c r="I24">
        <f>LN(G24)</f>
        <v/>
      </c>
      <c r="J24">
        <f>I24-$B$2*H24</f>
        <v/>
      </c>
      <c r="K24">
        <f>J24</f>
        <v/>
      </c>
      <c r="L24">
        <f>(K24-2*K23+K22)^2</f>
        <v/>
      </c>
      <c r="M24">
        <f>F24/G24</f>
        <v/>
      </c>
      <c r="N24" t="n">
        <v>0</v>
      </c>
      <c r="O24">
        <f>F24</f>
        <v/>
      </c>
      <c r="P24">
        <f>EXP(K24 + $B$2 * H24)</f>
        <v/>
      </c>
      <c r="Q24">
        <f>EXP(K24 + $B$2 * LN(O24))</f>
        <v/>
      </c>
    </row>
    <row r="25">
      <c r="E25" t="n">
        <v>2021</v>
      </c>
      <c r="F25">
        <f>G25*$B$4</f>
        <v/>
      </c>
      <c r="G25">
        <f>'WEO_Data'!B23</f>
        <v/>
      </c>
      <c r="H25">
        <f>LN(F25)</f>
        <v/>
      </c>
      <c r="I25">
        <f>LN(G25)</f>
        <v/>
      </c>
      <c r="J25">
        <f>I25-$B$2*H25</f>
        <v/>
      </c>
      <c r="K25">
        <f>J25</f>
        <v/>
      </c>
      <c r="L25">
        <f>(K25-2*K24+K23)^2</f>
        <v/>
      </c>
      <c r="M25">
        <f>F25/G25</f>
        <v/>
      </c>
      <c r="N25" t="n">
        <v>0</v>
      </c>
      <c r="O25">
        <f>F25</f>
        <v/>
      </c>
      <c r="P25">
        <f>EXP(K25 + $B$2 * H25)</f>
        <v/>
      </c>
      <c r="Q25">
        <f>EXP(K25 + $B$2 * LN(O25))</f>
        <v/>
      </c>
    </row>
    <row r="26">
      <c r="E26" t="n">
        <v>2022</v>
      </c>
      <c r="F26">
        <f>G26*$B$4</f>
        <v/>
      </c>
      <c r="G26">
        <f>'WEO_Data'!B24</f>
        <v/>
      </c>
      <c r="H26">
        <f>LN(F26)</f>
        <v/>
      </c>
      <c r="I26">
        <f>LN(G26)</f>
        <v/>
      </c>
      <c r="J26">
        <f>I26-$B$2*H26</f>
        <v/>
      </c>
      <c r="K26">
        <f>J26</f>
        <v/>
      </c>
      <c r="L26">
        <f>(K26-2*K25+K24)^2</f>
        <v/>
      </c>
      <c r="M26">
        <f>F26/G26</f>
        <v/>
      </c>
      <c r="N26" t="n">
        <v>0</v>
      </c>
      <c r="O26">
        <f>F26</f>
        <v/>
      </c>
      <c r="P26">
        <f>EXP(K26 + $B$2 * H26)</f>
        <v/>
      </c>
      <c r="Q26">
        <f>EXP(K26 + $B$2 * LN(O26))</f>
        <v/>
      </c>
    </row>
    <row r="27">
      <c r="E27" t="n">
        <v>2023</v>
      </c>
      <c r="F27">
        <f>G27*$B$4</f>
        <v/>
      </c>
      <c r="G27">
        <f>'WEO_Data'!B25</f>
        <v/>
      </c>
      <c r="H27">
        <f>LN(F27)</f>
        <v/>
      </c>
      <c r="I27">
        <f>LN(G27)</f>
        <v/>
      </c>
      <c r="J27">
        <f>I27-$B$2*H27</f>
        <v/>
      </c>
      <c r="K27">
        <f>J27</f>
        <v/>
      </c>
      <c r="L27">
        <f>(K27-2*K26+K25)^2</f>
        <v/>
      </c>
      <c r="M27">
        <f>F27/G27</f>
        <v/>
      </c>
      <c r="N27" t="n">
        <v>0</v>
      </c>
      <c r="O27">
        <f>F27</f>
        <v/>
      </c>
      <c r="P27">
        <f>EXP(K27 + $B$2 * H27)</f>
        <v/>
      </c>
      <c r="Q27">
        <f>EXP(K27 + $B$2 * LN(O27))</f>
        <v/>
      </c>
    </row>
    <row r="28">
      <c r="E28" t="n">
        <v>2024</v>
      </c>
      <c r="F28">
        <f>G28*$B$4</f>
        <v/>
      </c>
      <c r="G28">
        <f>'WEO_Data'!B26</f>
        <v/>
      </c>
      <c r="H28">
        <f>LN(F28)</f>
        <v/>
      </c>
      <c r="I28">
        <f>LN(G28)</f>
        <v/>
      </c>
      <c r="J28">
        <f>I28-$B$2*H28</f>
        <v/>
      </c>
      <c r="K28">
        <f>TREND(K6:K27, E6:E27, E28)</f>
        <v/>
      </c>
      <c r="L28">
        <f>(K28-2*K27+K26)^2</f>
        <v/>
      </c>
      <c r="M28">
        <f>F28/G28</f>
        <v/>
      </c>
      <c r="N28" t="n">
        <v>0</v>
      </c>
      <c r="O28">
        <f>F28</f>
        <v/>
      </c>
      <c r="P28">
        <f>EXP(K28 + $B$2 * H28)</f>
        <v/>
      </c>
      <c r="Q28">
        <f>EXP(K28 + $B$2 * LN(O28))</f>
        <v/>
      </c>
    </row>
    <row r="29">
      <c r="E29" t="n">
        <v>2025</v>
      </c>
      <c r="F29">
        <f>G29*$B$4</f>
        <v/>
      </c>
      <c r="G29">
        <f>'WEO_Data'!B27</f>
        <v/>
      </c>
      <c r="H29">
        <f>LN(F29)</f>
        <v/>
      </c>
      <c r="I29">
        <f>LN(G29)</f>
        <v/>
      </c>
      <c r="J29">
        <f>I29-$B$2*H29</f>
        <v/>
      </c>
      <c r="K29">
        <f>TREND(K6:K27, E6:E27, E29)</f>
        <v/>
      </c>
      <c r="L29">
        <f>(K29-2*K28+K27)^2</f>
        <v/>
      </c>
      <c r="M29">
        <f>F29/G29</f>
        <v/>
      </c>
      <c r="N29" t="n">
        <v>0</v>
      </c>
      <c r="O29">
        <f>F29</f>
        <v/>
      </c>
      <c r="P29">
        <f>EXP(K29 + $B$2 * H29)</f>
        <v/>
      </c>
      <c r="Q29">
        <f>EXP(K29 + $B$2 * LN(O29))</f>
        <v/>
      </c>
    </row>
    <row r="30">
      <c r="E30" t="n">
        <v>2026</v>
      </c>
      <c r="F30">
        <f>G30*$B$4</f>
        <v/>
      </c>
      <c r="G30">
        <f>'WEO_Data'!B28</f>
        <v/>
      </c>
      <c r="H30">
        <f>LN(F30)</f>
        <v/>
      </c>
      <c r="I30">
        <f>LN(G30)</f>
        <v/>
      </c>
      <c r="J30">
        <f>I30-$B$2*H30</f>
        <v/>
      </c>
      <c r="K30">
        <f>TREND(K6:K27, E6:E27, E30)</f>
        <v/>
      </c>
      <c r="L30">
        <f>(K30-2*K29+K28)^2</f>
        <v/>
      </c>
      <c r="M30">
        <f>F30/G30</f>
        <v/>
      </c>
      <c r="N30">
        <f>'Investment'!B2</f>
        <v/>
      </c>
      <c r="O30">
        <f>(O29-F29)*(1-$B$3) + F30 + N30</f>
        <v/>
      </c>
      <c r="P30">
        <f>EXP(K30 + $B$2 * H30)</f>
        <v/>
      </c>
      <c r="Q30">
        <f>EXP(K30 + $B$2 * LN(O30))</f>
        <v/>
      </c>
    </row>
    <row r="31">
      <c r="E31" t="n">
        <v>2027</v>
      </c>
      <c r="F31">
        <f>G31*$B$4</f>
        <v/>
      </c>
      <c r="G31">
        <f>'WEO_Data'!B29</f>
        <v/>
      </c>
      <c r="H31">
        <f>LN(F31)</f>
        <v/>
      </c>
      <c r="I31">
        <f>LN(G31)</f>
        <v/>
      </c>
      <c r="J31">
        <f>I31-$B$2*H31</f>
        <v/>
      </c>
      <c r="K31">
        <f>TREND(K6:K27, E6:E27, E31)</f>
        <v/>
      </c>
      <c r="L31">
        <f>(K31-2*K30+K29)^2</f>
        <v/>
      </c>
      <c r="M31">
        <f>F31/G31</f>
        <v/>
      </c>
      <c r="N31">
        <f>'Investment'!B3</f>
        <v/>
      </c>
      <c r="O31">
        <f>(O30-F30)*(1-$B$3) + F31 + N31</f>
        <v/>
      </c>
      <c r="P31">
        <f>EXP(K31 + $B$2 * H31)</f>
        <v/>
      </c>
      <c r="Q31">
        <f>EXP(K31 + $B$2 * LN(O31))</f>
        <v/>
      </c>
    </row>
    <row r="32">
      <c r="E32" t="n">
        <v>2028</v>
      </c>
      <c r="F32">
        <f>G32*$B$4</f>
        <v/>
      </c>
      <c r="G32">
        <f>'WEO_Data'!B30</f>
        <v/>
      </c>
      <c r="H32">
        <f>LN(F32)</f>
        <v/>
      </c>
      <c r="I32">
        <f>LN(G32)</f>
        <v/>
      </c>
      <c r="J32">
        <f>I32-$B$2*H32</f>
        <v/>
      </c>
      <c r="K32">
        <f>TREND(K6:K27, E6:E27, E32)</f>
        <v/>
      </c>
      <c r="L32">
        <f>(K32-2*K31+K30)^2</f>
        <v/>
      </c>
      <c r="M32">
        <f>F32/G32</f>
        <v/>
      </c>
      <c r="N32">
        <f>'Investment'!B4</f>
        <v/>
      </c>
      <c r="O32">
        <f>(O31-F31)*(1-$B$3) + F32 + N32</f>
        <v/>
      </c>
      <c r="P32">
        <f>EXP(K32 + $B$2 * H32)</f>
        <v/>
      </c>
      <c r="Q32">
        <f>EXP(K32 + $B$2 * LN(O32))</f>
        <v/>
      </c>
    </row>
    <row r="33">
      <c r="E33" t="n">
        <v>2029</v>
      </c>
      <c r="F33">
        <f>G33*$B$4</f>
        <v/>
      </c>
      <c r="G33">
        <f>'WEO_Data'!B31</f>
        <v/>
      </c>
      <c r="H33">
        <f>LN(F33)</f>
        <v/>
      </c>
      <c r="I33">
        <f>LN(G33)</f>
        <v/>
      </c>
      <c r="J33">
        <f>I33-$B$2*H33</f>
        <v/>
      </c>
      <c r="K33">
        <f>TREND(K6:K27, E6:E27, E33)</f>
        <v/>
      </c>
      <c r="L33">
        <f>(K33-2*K32+K31)^2</f>
        <v/>
      </c>
      <c r="M33">
        <f>F33/G33</f>
        <v/>
      </c>
      <c r="N33">
        <f>'Investment'!B5</f>
        <v/>
      </c>
      <c r="O33">
        <f>(O32-F32)*(1-$B$3) + F33 + N33</f>
        <v/>
      </c>
      <c r="P33">
        <f>EXP(K33 + $B$2 * H33)</f>
        <v/>
      </c>
      <c r="Q33">
        <f>EXP(K33 + $B$2 * LN(O33))</f>
        <v/>
      </c>
    </row>
    <row r="34">
      <c r="E34" t="n">
        <v>2030</v>
      </c>
      <c r="F34">
        <f>G34*$B$4</f>
        <v/>
      </c>
      <c r="G34">
        <f>'WEO_Data'!B32</f>
        <v/>
      </c>
      <c r="H34">
        <f>LN(F34)</f>
        <v/>
      </c>
      <c r="I34">
        <f>LN(G34)</f>
        <v/>
      </c>
      <c r="J34">
        <f>I34-$B$2*H34</f>
        <v/>
      </c>
      <c r="K34">
        <f>TREND(K6:K27, E6:E27, E34)</f>
        <v/>
      </c>
      <c r="L34">
        <f>(K34-2*K33+K32)^2</f>
        <v/>
      </c>
      <c r="M34">
        <f>F34/G34</f>
        <v/>
      </c>
      <c r="N34">
        <f>'Investment'!B6</f>
        <v/>
      </c>
      <c r="O34">
        <f>(O33-F33)*(1-$B$3) + F34 + N34</f>
        <v/>
      </c>
      <c r="P34">
        <f>EXP(K34 + $B$2 * H34)</f>
        <v/>
      </c>
      <c r="Q34">
        <f>EXP(K34 + $B$2 * LN(O34))</f>
        <v/>
      </c>
    </row>
    <row r="35">
      <c r="E35" t="n">
        <v>2031</v>
      </c>
      <c r="F35">
        <f>G35*$B$4</f>
        <v/>
      </c>
      <c r="G35">
        <f>'WEO_Data'!B33</f>
        <v/>
      </c>
      <c r="H35">
        <f>LN(F35)</f>
        <v/>
      </c>
      <c r="I35">
        <f>LN(G35)</f>
        <v/>
      </c>
      <c r="J35">
        <f>I35-$B$2*H35</f>
        <v/>
      </c>
      <c r="K35">
        <f>TREND(K6:K27, E6:E27, E35)</f>
        <v/>
      </c>
      <c r="L35">
        <f>(K35-2*K34+K33)^2</f>
        <v/>
      </c>
      <c r="M35">
        <f>F35/G35</f>
        <v/>
      </c>
      <c r="N35">
        <f>'Investment'!B7</f>
        <v/>
      </c>
      <c r="O35">
        <f>(O34-F34)*(1-$B$3) + F35 + N35</f>
        <v/>
      </c>
      <c r="P35">
        <f>EXP(K35 + $B$2 * H35)</f>
        <v/>
      </c>
      <c r="Q35">
        <f>EXP(K35 + $B$2 * LN(O35))</f>
        <v/>
      </c>
    </row>
    <row r="36">
      <c r="E36" t="n">
        <v>2032</v>
      </c>
      <c r="F36">
        <f>G36*$B$4</f>
        <v/>
      </c>
      <c r="G36">
        <f>'WEO_Data'!B34</f>
        <v/>
      </c>
      <c r="H36">
        <f>LN(F36)</f>
        <v/>
      </c>
      <c r="I36">
        <f>LN(G36)</f>
        <v/>
      </c>
      <c r="J36">
        <f>I36-$B$2*H36</f>
        <v/>
      </c>
      <c r="K36">
        <f>TREND(K6:K27, E6:E27, E36)</f>
        <v/>
      </c>
      <c r="L36">
        <f>(K36-2*K35+K34)^2</f>
        <v/>
      </c>
      <c r="M36">
        <f>F36/G36</f>
        <v/>
      </c>
      <c r="N36">
        <f>'Investment'!B8</f>
        <v/>
      </c>
      <c r="O36">
        <f>(O35-F35)*(1-$B$3) + F36 + N36</f>
        <v/>
      </c>
      <c r="P36">
        <f>EXP(K36 + $B$2 * H36)</f>
        <v/>
      </c>
      <c r="Q36">
        <f>EXP(K36 + $B$2 * LN(O36))</f>
        <v/>
      </c>
    </row>
    <row r="37">
      <c r="E37" t="n">
        <v>2033</v>
      </c>
      <c r="F37">
        <f>G37*$B$4</f>
        <v/>
      </c>
      <c r="G37">
        <f>'WEO_Data'!B35</f>
        <v/>
      </c>
      <c r="H37">
        <f>LN(F37)</f>
        <v/>
      </c>
      <c r="I37">
        <f>LN(G37)</f>
        <v/>
      </c>
      <c r="J37">
        <f>I37-$B$2*H37</f>
        <v/>
      </c>
      <c r="K37">
        <f>TREND(K6:K27, E6:E27, E37)</f>
        <v/>
      </c>
      <c r="L37">
        <f>(K37-2*K36+K35)^2</f>
        <v/>
      </c>
      <c r="M37">
        <f>F37/G37</f>
        <v/>
      </c>
      <c r="N37">
        <f>'Investment'!B9</f>
        <v/>
      </c>
      <c r="O37">
        <f>(O36-F36)*(1-$B$3) + F37 + N37</f>
        <v/>
      </c>
      <c r="P37">
        <f>EXP(K37 + $B$2 * H37)</f>
        <v/>
      </c>
      <c r="Q37">
        <f>EXP(K37 + $B$2 * LN(O37))</f>
        <v/>
      </c>
    </row>
    <row r="38">
      <c r="E38" t="n">
        <v>2034</v>
      </c>
      <c r="F38">
        <f>G38*$B$4</f>
        <v/>
      </c>
      <c r="G38">
        <f>'WEO_Data'!B36</f>
        <v/>
      </c>
      <c r="H38">
        <f>LN(F38)</f>
        <v/>
      </c>
      <c r="I38">
        <f>LN(G38)</f>
        <v/>
      </c>
      <c r="J38">
        <f>I38-$B$2*H38</f>
        <v/>
      </c>
      <c r="K38">
        <f>TREND(K6:K27, E6:E27, E38)</f>
        <v/>
      </c>
      <c r="L38">
        <f>(K38-2*K37+K36)^2</f>
        <v/>
      </c>
      <c r="M38">
        <f>F38/G38</f>
        <v/>
      </c>
      <c r="N38" t="n">
        <v>0</v>
      </c>
      <c r="O38">
        <f>(O37-F37)*(1-$B$3) + F38 + N38</f>
        <v/>
      </c>
      <c r="P38">
        <f>EXP(K38 + $B$2 * H38)</f>
        <v/>
      </c>
      <c r="Q38">
        <f>EXP(K38 + $B$2 * LN(O38))</f>
        <v/>
      </c>
    </row>
    <row r="39">
      <c r="E39" t="n">
        <v>2035</v>
      </c>
      <c r="F39">
        <f>G39*$B$4</f>
        <v/>
      </c>
      <c r="G39">
        <f>'WEO_Data'!B37</f>
        <v/>
      </c>
      <c r="H39">
        <f>LN(F39)</f>
        <v/>
      </c>
      <c r="I39">
        <f>LN(G39)</f>
        <v/>
      </c>
      <c r="J39">
        <f>I39-$B$2*H39</f>
        <v/>
      </c>
      <c r="K39">
        <f>TREND(K6:K27, E6:E27, E39)</f>
        <v/>
      </c>
      <c r="L39">
        <f>(K39-2*K38+K37)^2</f>
        <v/>
      </c>
      <c r="M39">
        <f>F39/G39</f>
        <v/>
      </c>
      <c r="N39" t="n">
        <v>0</v>
      </c>
      <c r="O39">
        <f>(O38-F38)*(1-$B$3) + F39 + N39</f>
        <v/>
      </c>
      <c r="P39">
        <f>EXP(K39 + $B$2 * H39)</f>
        <v/>
      </c>
      <c r="Q39">
        <f>EXP(K39 + $B$2 * LN(O39))</f>
        <v/>
      </c>
    </row>
    <row r="40">
      <c r="E40" t="n">
        <v>2036</v>
      </c>
      <c r="F40">
        <f>G40*$B$4</f>
        <v/>
      </c>
      <c r="G40">
        <f>'WEO_Data'!B38</f>
        <v/>
      </c>
      <c r="H40">
        <f>LN(F40)</f>
        <v/>
      </c>
      <c r="I40">
        <f>LN(G40)</f>
        <v/>
      </c>
      <c r="J40">
        <f>I40-$B$2*H40</f>
        <v/>
      </c>
      <c r="K40">
        <f>TREND(K6:K27, E6:E27, E40)</f>
        <v/>
      </c>
      <c r="L40">
        <f>(K40-2*K39+K38)^2</f>
        <v/>
      </c>
      <c r="M40">
        <f>F40/G40</f>
        <v/>
      </c>
      <c r="N40" t="n">
        <v>0</v>
      </c>
      <c r="O40">
        <f>(O39-F39)*(1-$B$3) + F40 + N40</f>
        <v/>
      </c>
      <c r="P40">
        <f>EXP(K40 + $B$2 * H40)</f>
        <v/>
      </c>
      <c r="Q40">
        <f>EXP(K40 + $B$2 * LN(O40))</f>
        <v/>
      </c>
    </row>
    <row r="41">
      <c r="E41" t="n">
        <v>2037</v>
      </c>
      <c r="F41">
        <f>G41*$B$4</f>
        <v/>
      </c>
      <c r="G41">
        <f>'WEO_Data'!B39</f>
        <v/>
      </c>
      <c r="H41">
        <f>LN(F41)</f>
        <v/>
      </c>
      <c r="I41">
        <f>LN(G41)</f>
        <v/>
      </c>
      <c r="J41">
        <f>I41-$B$2*H41</f>
        <v/>
      </c>
      <c r="K41">
        <f>TREND(K6:K27, E6:E27, E41)</f>
        <v/>
      </c>
      <c r="L41">
        <f>(K41-2*K40+K39)^2</f>
        <v/>
      </c>
      <c r="M41">
        <f>F41/G41</f>
        <v/>
      </c>
      <c r="N41" t="n">
        <v>0</v>
      </c>
      <c r="O41">
        <f>(O40-F40)*(1-$B$3) + F41 + N41</f>
        <v/>
      </c>
      <c r="P41">
        <f>EXP(K41 + $B$2 * H41)</f>
        <v/>
      </c>
      <c r="Q41">
        <f>EXP(K41 + $B$2 * LN(O41))</f>
        <v/>
      </c>
    </row>
    <row r="42">
      <c r="E42" t="n">
        <v>2038</v>
      </c>
      <c r="F42">
        <f>G42*$B$4</f>
        <v/>
      </c>
      <c r="G42">
        <f>'WEO_Data'!B40</f>
        <v/>
      </c>
      <c r="H42">
        <f>LN(F42)</f>
        <v/>
      </c>
      <c r="I42">
        <f>LN(G42)</f>
        <v/>
      </c>
      <c r="J42">
        <f>I42-$B$2*H42</f>
        <v/>
      </c>
      <c r="K42">
        <f>TREND(K6:K27, E6:E27, E42)</f>
        <v/>
      </c>
      <c r="L42">
        <f>(K42-2*K41+K40)^2</f>
        <v/>
      </c>
      <c r="M42">
        <f>F42/G42</f>
        <v/>
      </c>
      <c r="N42" t="n">
        <v>0</v>
      </c>
      <c r="O42">
        <f>(O41-F41)*(1-$B$3) + F42 + N42</f>
        <v/>
      </c>
      <c r="P42">
        <f>EXP(K42 + $B$2 * H42)</f>
        <v/>
      </c>
      <c r="Q42">
        <f>EXP(K42 + $B$2 * LN(O42))</f>
        <v/>
      </c>
    </row>
    <row r="43">
      <c r="E43" t="n">
        <v>2039</v>
      </c>
      <c r="F43">
        <f>G43*$B$4</f>
        <v/>
      </c>
      <c r="G43">
        <f>'WEO_Data'!B41</f>
        <v/>
      </c>
      <c r="H43">
        <f>LN(F43)</f>
        <v/>
      </c>
      <c r="I43">
        <f>LN(G43)</f>
        <v/>
      </c>
      <c r="J43">
        <f>I43-$B$2*H43</f>
        <v/>
      </c>
      <c r="K43">
        <f>TREND(K6:K27, E6:E27, E43)</f>
        <v/>
      </c>
      <c r="L43">
        <f>(K43-2*K42+K41)^2</f>
        <v/>
      </c>
      <c r="M43">
        <f>F43/G43</f>
        <v/>
      </c>
      <c r="N43" t="n">
        <v>0</v>
      </c>
      <c r="O43">
        <f>(O42-F42)*(1-$B$3) + F43 + N43</f>
        <v/>
      </c>
      <c r="P43">
        <f>EXP(K43 + $B$2 * H43)</f>
        <v/>
      </c>
      <c r="Q43">
        <f>EXP(K43 + $B$2 * LN(O43))</f>
        <v/>
      </c>
    </row>
    <row r="44">
      <c r="E44" t="n">
        <v>2040</v>
      </c>
      <c r="F44">
        <f>G44*$B$4</f>
        <v/>
      </c>
      <c r="G44">
        <f>'WEO_Data'!B42</f>
        <v/>
      </c>
      <c r="H44">
        <f>LN(F44)</f>
        <v/>
      </c>
      <c r="I44">
        <f>LN(G44)</f>
        <v/>
      </c>
      <c r="J44">
        <f>I44-$B$2*H44</f>
        <v/>
      </c>
      <c r="K44">
        <f>TREND(K6:K27, E6:E27, E44)</f>
        <v/>
      </c>
      <c r="L44">
        <f>(K44-2*K43+K42)^2</f>
        <v/>
      </c>
      <c r="M44">
        <f>F44/G44</f>
        <v/>
      </c>
      <c r="N44" t="n">
        <v>0</v>
      </c>
      <c r="O44">
        <f>(O43-F43)*(1-$B$3) + F44 + N44</f>
        <v/>
      </c>
      <c r="P44">
        <f>EXP(K44 + $B$2 * H44)</f>
        <v/>
      </c>
      <c r="Q44">
        <f>EXP(K44 + $B$2 * LN(O44))</f>
        <v/>
      </c>
    </row>
    <row r="45">
      <c r="E45" t="n">
        <v>2041</v>
      </c>
      <c r="F45">
        <f>G45*$B$4</f>
        <v/>
      </c>
      <c r="G45">
        <f>'WEO_Data'!B43</f>
        <v/>
      </c>
      <c r="H45">
        <f>LN(F45)</f>
        <v/>
      </c>
      <c r="I45">
        <f>LN(G45)</f>
        <v/>
      </c>
      <c r="J45">
        <f>I45-$B$2*H45</f>
        <v/>
      </c>
      <c r="K45">
        <f>TREND(K6:K27, E6:E27, E45)</f>
        <v/>
      </c>
      <c r="L45">
        <f>(K45-2*K44+K43)^2</f>
        <v/>
      </c>
      <c r="M45">
        <f>F45/G45</f>
        <v/>
      </c>
      <c r="N45" t="n">
        <v>0</v>
      </c>
      <c r="O45">
        <f>(O44-F44)*(1-$B$3) + F45 + N45</f>
        <v/>
      </c>
      <c r="P45">
        <f>EXP(K45 + $B$2 * H45)</f>
        <v/>
      </c>
      <c r="Q45">
        <f>EXP(K45 + $B$2 * LN(O45))</f>
        <v/>
      </c>
    </row>
    <row r="46">
      <c r="E46" t="n">
        <v>2042</v>
      </c>
      <c r="F46">
        <f>G46*$B$4</f>
        <v/>
      </c>
      <c r="G46">
        <f>'WEO_Data'!B44</f>
        <v/>
      </c>
      <c r="H46">
        <f>LN(F46)</f>
        <v/>
      </c>
      <c r="I46">
        <f>LN(G46)</f>
        <v/>
      </c>
      <c r="J46">
        <f>I46-$B$2*H46</f>
        <v/>
      </c>
      <c r="K46">
        <f>TREND(K6:K27, E6:E27, E46)</f>
        <v/>
      </c>
      <c r="L46">
        <f>(K46-2*K45+K44)^2</f>
        <v/>
      </c>
      <c r="M46">
        <f>F46/G46</f>
        <v/>
      </c>
      <c r="N46" t="n">
        <v>0</v>
      </c>
      <c r="O46">
        <f>(O45-F45)*(1-$B$3) + F46 + N46</f>
        <v/>
      </c>
      <c r="P46">
        <f>EXP(K46 + $B$2 * H46)</f>
        <v/>
      </c>
      <c r="Q46">
        <f>EXP(K46 + $B$2 * LN(O46))</f>
        <v/>
      </c>
    </row>
    <row r="47">
      <c r="E47" t="n">
        <v>2043</v>
      </c>
      <c r="F47">
        <f>G47*$B$4</f>
        <v/>
      </c>
      <c r="G47">
        <f>'WEO_Data'!B45</f>
        <v/>
      </c>
      <c r="H47">
        <f>LN(F47)</f>
        <v/>
      </c>
      <c r="I47">
        <f>LN(G47)</f>
        <v/>
      </c>
      <c r="J47">
        <f>I47-$B$2*H47</f>
        <v/>
      </c>
      <c r="K47">
        <f>TREND(K6:K27, E6:E27, E47)</f>
        <v/>
      </c>
      <c r="L47">
        <f>(K47-2*K46+K45)^2</f>
        <v/>
      </c>
      <c r="M47">
        <f>F47/G47</f>
        <v/>
      </c>
      <c r="N47" t="n">
        <v>0</v>
      </c>
      <c r="O47">
        <f>(O46-F46)*(1-$B$3) + F47 + N47</f>
        <v/>
      </c>
      <c r="P47">
        <f>EXP(K47 + $B$2 * H47)</f>
        <v/>
      </c>
      <c r="Q47">
        <f>EXP(K47 + $B$2 * LN(O47))</f>
        <v/>
      </c>
    </row>
    <row r="48">
      <c r="K48">
        <f>TREND(K6:K27, E6:E27, E48)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2026-01-26T05:28:46Z</dcterms:created>
  <dcterms:modified xmlns:dcterms="http://purl.org/dc/terms/" xmlns:xsi="http://www.w3.org/2001/XMLSchema-instance" xsi:type="dcterms:W3CDTF">2026-01-26T05:28:55Z</dcterms:modified>
</cp:coreProperties>
</file>