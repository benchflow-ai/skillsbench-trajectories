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WT" sheetId="1" state="visible" r:id="rId1"/>
    <sheet name="WEO_Data" sheetId="2" state="visible" r:id="rId2"/>
    <sheet name="CFC data" sheetId="3" state="visible" r:id="rId3"/>
    <sheet name="Production" sheetId="4" state="visible" r:id="rId4"/>
    <sheet name="Investme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Real GDP (rgdpna)</t>
        </is>
      </c>
      <c r="C1" t="inlineStr">
        <is>
          <t>Capital Stock (rnna)</t>
        </is>
      </c>
    </row>
    <row r="2">
      <c r="A2" t="n">
        <v>1950</v>
      </c>
    </row>
    <row r="3">
      <c r="A3" t="n">
        <v>1951</v>
      </c>
    </row>
    <row r="4">
      <c r="A4" t="n">
        <v>1952</v>
      </c>
    </row>
    <row r="5">
      <c r="A5" t="n">
        <v>1953</v>
      </c>
    </row>
    <row r="6">
      <c r="A6" t="n">
        <v>1954</v>
      </c>
    </row>
    <row r="7">
      <c r="A7" t="n">
        <v>1955</v>
      </c>
    </row>
    <row r="8">
      <c r="A8" t="n">
        <v>1956</v>
      </c>
    </row>
    <row r="9">
      <c r="A9" t="n">
        <v>1957</v>
      </c>
    </row>
    <row r="10">
      <c r="A10" t="n">
        <v>1958</v>
      </c>
    </row>
    <row r="11">
      <c r="A11" t="n">
        <v>1959</v>
      </c>
    </row>
    <row r="12">
      <c r="A12" t="n">
        <v>1960</v>
      </c>
    </row>
    <row r="13">
      <c r="A13" t="n">
        <v>1961</v>
      </c>
    </row>
    <row r="14">
      <c r="A14" t="n">
        <v>1962</v>
      </c>
    </row>
    <row r="15">
      <c r="A15" t="n">
        <v>1963</v>
      </c>
    </row>
    <row r="16">
      <c r="A16" t="n">
        <v>1964</v>
      </c>
    </row>
    <row r="17">
      <c r="A17" t="n">
        <v>1965</v>
      </c>
    </row>
    <row r="18">
      <c r="A18" t="n">
        <v>1966</v>
      </c>
    </row>
    <row r="19">
      <c r="A19" t="n">
        <v>1967</v>
      </c>
    </row>
    <row r="20">
      <c r="A20" t="n">
        <v>1968</v>
      </c>
    </row>
    <row r="21">
      <c r="A21" t="n">
        <v>1969</v>
      </c>
    </row>
    <row r="22">
      <c r="A22" t="n">
        <v>1970</v>
      </c>
    </row>
    <row r="23">
      <c r="A23" t="n">
        <v>1971</v>
      </c>
    </row>
    <row r="24">
      <c r="A24" t="n">
        <v>1972</v>
      </c>
    </row>
    <row r="25">
      <c r="A25" t="n">
        <v>1973</v>
      </c>
    </row>
    <row r="26">
      <c r="A26" t="n">
        <v>1974</v>
      </c>
    </row>
    <row r="27">
      <c r="A27" t="n">
        <v>1975</v>
      </c>
    </row>
    <row r="28">
      <c r="A28" t="n">
        <v>1976</v>
      </c>
    </row>
    <row r="29">
      <c r="A29" t="n">
        <v>1977</v>
      </c>
    </row>
    <row r="30">
      <c r="A30" t="n">
        <v>1978</v>
      </c>
    </row>
    <row r="31">
      <c r="A31" t="n">
        <v>1979</v>
      </c>
    </row>
    <row r="32">
      <c r="A32" t="n">
        <v>1980</v>
      </c>
    </row>
    <row r="33">
      <c r="A33" t="n">
        <v>1981</v>
      </c>
    </row>
    <row r="34">
      <c r="A34" t="n">
        <v>1982</v>
      </c>
    </row>
    <row r="35">
      <c r="A35" t="n">
        <v>1983</v>
      </c>
    </row>
    <row r="36">
      <c r="A36" t="n">
        <v>1984</v>
      </c>
    </row>
    <row r="37">
      <c r="A37" t="n">
        <v>1985</v>
      </c>
    </row>
    <row r="38">
      <c r="A38" t="n">
        <v>1986</v>
      </c>
    </row>
    <row r="39">
      <c r="A39" t="n">
        <v>1987</v>
      </c>
    </row>
    <row r="40">
      <c r="A40" t="n">
        <v>1988</v>
      </c>
    </row>
    <row r="41">
      <c r="A41" t="n">
        <v>1989</v>
      </c>
    </row>
    <row r="42">
      <c r="A42" t="n">
        <v>1990</v>
      </c>
      <c r="B42" t="n">
        <v>60484.3359375</v>
      </c>
      <c r="C42" t="n">
        <v>269494.40625</v>
      </c>
    </row>
    <row r="43">
      <c r="A43" t="n">
        <v>1991</v>
      </c>
      <c r="B43" t="n">
        <v>47581.01171875</v>
      </c>
      <c r="C43" t="n">
        <v>271117.4375</v>
      </c>
    </row>
    <row r="44">
      <c r="A44" t="n">
        <v>1992</v>
      </c>
      <c r="B44" t="n">
        <v>26406.21484375</v>
      </c>
      <c r="C44" t="n">
        <v>266614.8125</v>
      </c>
    </row>
    <row r="45">
      <c r="A45" t="n">
        <v>1993</v>
      </c>
      <c r="B45" t="n">
        <v>18671.65625</v>
      </c>
      <c r="C45" t="n">
        <v>256535.46875</v>
      </c>
    </row>
    <row r="46">
      <c r="A46" t="n">
        <v>1994</v>
      </c>
      <c r="B46" t="n">
        <v>16733.326171875</v>
      </c>
      <c r="C46" t="n">
        <v>249672.46875</v>
      </c>
    </row>
    <row r="47">
      <c r="A47" t="n">
        <v>1995</v>
      </c>
      <c r="B47" t="n">
        <v>17164.638671875</v>
      </c>
      <c r="C47" t="n">
        <v>245497.8125</v>
      </c>
    </row>
    <row r="48">
      <c r="A48" t="n">
        <v>1996</v>
      </c>
      <c r="B48" t="n">
        <v>19101.853515625</v>
      </c>
      <c r="C48" t="n">
        <v>242089.6875</v>
      </c>
    </row>
    <row r="49">
      <c r="A49" t="n">
        <v>1997</v>
      </c>
      <c r="B49" t="n">
        <v>21111.173828125</v>
      </c>
      <c r="C49" t="n">
        <v>239425.359375</v>
      </c>
    </row>
    <row r="50">
      <c r="A50" t="n">
        <v>1998</v>
      </c>
      <c r="B50" t="n">
        <v>21766.669921875</v>
      </c>
      <c r="C50" t="n">
        <v>239121.890625</v>
      </c>
    </row>
    <row r="51">
      <c r="A51" t="n">
        <v>1999</v>
      </c>
      <c r="B51" t="n">
        <v>22391.20703125</v>
      </c>
      <c r="C51" t="n">
        <v>239199.265625</v>
      </c>
    </row>
    <row r="52">
      <c r="A52" t="n">
        <v>2000</v>
      </c>
      <c r="B52" t="n">
        <v>22802.8359375</v>
      </c>
      <c r="C52" t="n">
        <v>239171.609375</v>
      </c>
    </row>
    <row r="53">
      <c r="A53" t="n">
        <v>2001</v>
      </c>
      <c r="B53" t="n">
        <v>23898.615234375</v>
      </c>
      <c r="C53" t="n">
        <v>240066.265625</v>
      </c>
    </row>
    <row r="54">
      <c r="A54" t="n">
        <v>2002</v>
      </c>
      <c r="B54" t="n">
        <v>25206.78515625</v>
      </c>
      <c r="C54" t="n">
        <v>240523.046875</v>
      </c>
    </row>
    <row r="55">
      <c r="A55" t="n">
        <v>2003</v>
      </c>
      <c r="B55" t="n">
        <v>27994.177734375</v>
      </c>
      <c r="C55" t="n">
        <v>242715.265625</v>
      </c>
    </row>
    <row r="56">
      <c r="A56" t="n">
        <v>2004</v>
      </c>
      <c r="B56" t="n">
        <v>29616.71484375</v>
      </c>
      <c r="C56" t="n">
        <v>245580.140625</v>
      </c>
    </row>
    <row r="57">
      <c r="A57" t="n">
        <v>2005</v>
      </c>
      <c r="B57" t="n">
        <v>32456.451171875</v>
      </c>
      <c r="C57" t="n">
        <v>249248.984375</v>
      </c>
    </row>
    <row r="58">
      <c r="A58" t="n">
        <v>2006</v>
      </c>
      <c r="B58" t="n">
        <v>35514.08984375</v>
      </c>
      <c r="C58" t="n">
        <v>252297.078125</v>
      </c>
    </row>
    <row r="59">
      <c r="A59" t="n">
        <v>2007</v>
      </c>
      <c r="B59" t="n">
        <v>39981.328125</v>
      </c>
      <c r="C59" t="n">
        <v>256234.109375</v>
      </c>
    </row>
    <row r="60">
      <c r="A60" t="n">
        <v>2008</v>
      </c>
      <c r="B60" t="n">
        <v>40948.1171875</v>
      </c>
      <c r="C60" t="n">
        <v>257715.4375</v>
      </c>
    </row>
    <row r="61">
      <c r="A61" t="n">
        <v>2009</v>
      </c>
      <c r="B61" t="n">
        <v>39453.47265625</v>
      </c>
      <c r="C61" t="n">
        <v>255596.078125</v>
      </c>
    </row>
    <row r="62">
      <c r="A62" t="n">
        <v>2010</v>
      </c>
      <c r="B62" t="n">
        <v>41919.0859375</v>
      </c>
      <c r="C62" t="n">
        <v>256185.140625</v>
      </c>
    </row>
    <row r="63">
      <c r="A63" t="n">
        <v>2011</v>
      </c>
      <c r="B63" t="n">
        <v>45004.60546875</v>
      </c>
      <c r="C63" t="n">
        <v>258197.40625</v>
      </c>
    </row>
    <row r="64">
      <c r="A64" t="n">
        <v>2012</v>
      </c>
      <c r="B64" t="n">
        <v>47892.44921875</v>
      </c>
      <c r="C64" t="n">
        <v>260772.96875</v>
      </c>
    </row>
    <row r="65">
      <c r="A65" t="n">
        <v>2013</v>
      </c>
      <c r="B65" t="n">
        <v>49624.02734375</v>
      </c>
      <c r="C65" t="n">
        <v>261943.109375</v>
      </c>
    </row>
    <row r="66">
      <c r="A66" t="n">
        <v>2014</v>
      </c>
      <c r="B66" t="n">
        <v>51828.1015625</v>
      </c>
      <c r="C66" t="n">
        <v>265818.40625</v>
      </c>
    </row>
    <row r="67">
      <c r="A67" t="n">
        <v>2015</v>
      </c>
      <c r="B67" t="n">
        <v>53396.7421875</v>
      </c>
      <c r="C67" t="n">
        <v>271425.46875</v>
      </c>
    </row>
    <row r="68">
      <c r="A68" t="n">
        <v>2016</v>
      </c>
      <c r="B68" t="n">
        <v>54948.359375</v>
      </c>
      <c r="C68" t="n">
        <v>277588.15625</v>
      </c>
    </row>
    <row r="69">
      <c r="A69" t="n">
        <v>2017</v>
      </c>
      <c r="B69" t="n">
        <v>57609.7109375</v>
      </c>
      <c r="C69" t="n">
        <v>283682.15625</v>
      </c>
    </row>
    <row r="70">
      <c r="A70" t="n">
        <v>2018</v>
      </c>
      <c r="B70" t="n">
        <v>60399.59375</v>
      </c>
      <c r="C70" t="n">
        <v>289560.90625</v>
      </c>
    </row>
    <row r="71">
      <c r="A71" t="n">
        <v>2019</v>
      </c>
      <c r="B71" t="n">
        <v>63508.82421875</v>
      </c>
      <c r="C71" t="n">
        <v>298215.0625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n">
        <v>2000</v>
      </c>
      <c r="C1" t="n">
        <v>2001</v>
      </c>
      <c r="D1" t="n">
        <v>2002</v>
      </c>
      <c r="E1" t="n">
        <v>2003</v>
      </c>
      <c r="F1" t="n">
        <v>2004</v>
      </c>
      <c r="G1" t="n">
        <v>2005</v>
      </c>
      <c r="H1" t="n">
        <v>2006</v>
      </c>
      <c r="I1" t="n">
        <v>2007</v>
      </c>
      <c r="J1" t="n">
        <v>2008</v>
      </c>
      <c r="K1" t="n">
        <v>2009</v>
      </c>
      <c r="L1" t="n">
        <v>2010</v>
      </c>
      <c r="M1" t="n">
        <v>2011</v>
      </c>
      <c r="N1" t="n">
        <v>2012</v>
      </c>
      <c r="O1" t="n">
        <v>2013</v>
      </c>
      <c r="P1" t="n">
        <v>2014</v>
      </c>
      <c r="Q1" t="n">
        <v>2015</v>
      </c>
      <c r="R1" t="n">
        <v>2016</v>
      </c>
      <c r="S1" t="n">
        <v>2017</v>
      </c>
      <c r="T1" t="n">
        <v>2018</v>
      </c>
      <c r="U1" t="n">
        <v>2019</v>
      </c>
      <c r="V1" t="n">
        <v>2020</v>
      </c>
      <c r="W1" t="n">
        <v>2021</v>
      </c>
      <c r="X1" t="n">
        <v>2022</v>
      </c>
      <c r="Y1" t="n">
        <v>2023</v>
      </c>
      <c r="Z1" t="n">
        <v>2024</v>
      </c>
      <c r="AA1" t="n">
        <v>2025</v>
      </c>
      <c r="AB1" t="n">
        <v>2026</v>
      </c>
      <c r="AC1" t="n">
        <v>2027</v>
      </c>
      <c r="AD1" t="n">
        <v>2028</v>
      </c>
      <c r="AE1" t="n">
        <v>2029</v>
      </c>
      <c r="AF1" t="n">
        <v>2030</v>
      </c>
      <c r="AG1" t="n">
        <v>2031</v>
      </c>
      <c r="AH1" t="n">
        <v>2032</v>
      </c>
      <c r="AI1" t="n">
        <v>2033</v>
      </c>
      <c r="AJ1" t="n">
        <v>2034</v>
      </c>
      <c r="AK1" t="n">
        <v>2035</v>
      </c>
      <c r="AL1" t="n">
        <v>2036</v>
      </c>
      <c r="AM1" t="n">
        <v>2037</v>
      </c>
      <c r="AN1" t="n">
        <v>2038</v>
      </c>
      <c r="AO1" t="n">
        <v>2039</v>
      </c>
      <c r="AP1" t="n">
        <v>2040</v>
      </c>
      <c r="AQ1" t="n">
        <v>2041</v>
      </c>
      <c r="AR1" t="n">
        <v>2042</v>
      </c>
      <c r="AS1" t="n">
        <v>2043</v>
      </c>
    </row>
    <row r="2">
      <c r="A2" t="inlineStr">
        <is>
          <t>Real GDP growth rate (%)</t>
        </is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</row>
    <row r="3">
      <c r="A3" t="inlineStr">
        <is>
          <t>Real GDP level</t>
        </is>
      </c>
      <c r="AD3">
        <f>AC3*(1+AD2/100)</f>
        <v/>
      </c>
      <c r="AE3">
        <f>AD3*(1+AE2/100)</f>
        <v/>
      </c>
      <c r="AF3">
        <f>AE3*(1+AF2/100)</f>
        <v/>
      </c>
      <c r="AG3">
        <f>AF3*(1+AG2/100)</f>
        <v/>
      </c>
      <c r="AH3">
        <f>AG3*(1+AH2/100)</f>
        <v/>
      </c>
      <c r="AI3">
        <f>AH3*(1+AI2/100)</f>
        <v/>
      </c>
      <c r="AJ3">
        <f>AI3*(1+AJ2/100)</f>
        <v/>
      </c>
      <c r="AK3">
        <f>AJ3*(1+AK2/100)</f>
        <v/>
      </c>
      <c r="AL3">
        <f>AK3*(1+AL2/100)</f>
        <v/>
      </c>
      <c r="AM3">
        <f>AL3*(1+AM2/100)</f>
        <v/>
      </c>
      <c r="AN3">
        <f>AM3*(1+AN2/100)</f>
        <v/>
      </c>
      <c r="AO3">
        <f>AN3*(1+AO2/100)</f>
        <v/>
      </c>
      <c r="AP3">
        <f>AO3*(1+AP2/100)</f>
        <v/>
      </c>
      <c r="AQ3">
        <f>AP3*(1+AQ2/100)</f>
        <v/>
      </c>
      <c r="AR3">
        <f>AQ3*(1+AR2/100)</f>
        <v/>
      </c>
      <c r="AS3">
        <f>AR3*(1+AS2/100)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Placeholder</t>
        </is>
      </c>
      <c r="C1" t="inlineStr">
        <is>
          <t>CFC</t>
        </is>
      </c>
      <c r="D1" t="inlineStr">
        <is>
          <t>Capital Stock</t>
        </is>
      </c>
      <c r="E1" t="inlineStr">
        <is>
          <t>Depreciation Rate</t>
        </is>
      </c>
    </row>
    <row r="2">
      <c r="A2" t="n">
        <v>1950</v>
      </c>
      <c r="E2">
        <f>C2/D2</f>
        <v/>
      </c>
    </row>
    <row r="3">
      <c r="A3" t="n">
        <v>1951</v>
      </c>
      <c r="E3">
        <f>C3/D3</f>
        <v/>
      </c>
    </row>
    <row r="4">
      <c r="A4" t="n">
        <v>1952</v>
      </c>
      <c r="E4">
        <f>C4/D4</f>
        <v/>
      </c>
    </row>
    <row r="5">
      <c r="A5" t="n">
        <v>1953</v>
      </c>
      <c r="E5">
        <f>C5/D5</f>
        <v/>
      </c>
    </row>
    <row r="6">
      <c r="A6" t="n">
        <v>1954</v>
      </c>
      <c r="E6">
        <f>C6/D6</f>
        <v/>
      </c>
    </row>
    <row r="7">
      <c r="A7" t="n">
        <v>1955</v>
      </c>
      <c r="E7">
        <f>C7/D7</f>
        <v/>
      </c>
    </row>
    <row r="8">
      <c r="A8" t="n">
        <v>1956</v>
      </c>
      <c r="E8">
        <f>C8/D8</f>
        <v/>
      </c>
    </row>
    <row r="9">
      <c r="A9" t="n">
        <v>1957</v>
      </c>
      <c r="E9">
        <f>C9/D9</f>
        <v/>
      </c>
    </row>
    <row r="10">
      <c r="A10" t="n">
        <v>1958</v>
      </c>
      <c r="E10">
        <f>C10/D10</f>
        <v/>
      </c>
    </row>
    <row r="11">
      <c r="A11" t="n">
        <v>1959</v>
      </c>
      <c r="E11">
        <f>C11/D11</f>
        <v/>
      </c>
    </row>
    <row r="12">
      <c r="A12" t="n">
        <v>1960</v>
      </c>
      <c r="E12">
        <f>C12/D12</f>
        <v/>
      </c>
    </row>
    <row r="13">
      <c r="A13" t="n">
        <v>1961</v>
      </c>
      <c r="E13">
        <f>C13/D13</f>
        <v/>
      </c>
    </row>
    <row r="14">
      <c r="A14" t="n">
        <v>1962</v>
      </c>
      <c r="E14">
        <f>C14/D14</f>
        <v/>
      </c>
    </row>
    <row r="15">
      <c r="A15" t="n">
        <v>1963</v>
      </c>
      <c r="E15">
        <f>C15/D15</f>
        <v/>
      </c>
    </row>
    <row r="16">
      <c r="A16" t="n">
        <v>1964</v>
      </c>
      <c r="E16">
        <f>C16/D16</f>
        <v/>
      </c>
    </row>
    <row r="17">
      <c r="A17" t="n">
        <v>1965</v>
      </c>
      <c r="E17">
        <f>C17/D17</f>
        <v/>
      </c>
    </row>
    <row r="18">
      <c r="A18" t="n">
        <v>1966</v>
      </c>
      <c r="E18">
        <f>C18/D18</f>
        <v/>
      </c>
    </row>
    <row r="19">
      <c r="A19" t="n">
        <v>1967</v>
      </c>
      <c r="E19">
        <f>C19/D19</f>
        <v/>
      </c>
    </row>
    <row r="20">
      <c r="A20" t="n">
        <v>1968</v>
      </c>
      <c r="E20">
        <f>C20/D20</f>
        <v/>
      </c>
    </row>
    <row r="21">
      <c r="A21" t="n">
        <v>1969</v>
      </c>
      <c r="E21">
        <f>C21/D21</f>
        <v/>
      </c>
    </row>
    <row r="22">
      <c r="A22" t="n">
        <v>1970</v>
      </c>
      <c r="E22">
        <f>C22/D22</f>
        <v/>
      </c>
    </row>
    <row r="23">
      <c r="A23" t="n">
        <v>1971</v>
      </c>
      <c r="E23">
        <f>C23/D23</f>
        <v/>
      </c>
    </row>
    <row r="24">
      <c r="A24" t="n">
        <v>1972</v>
      </c>
      <c r="E24">
        <f>C24/D24</f>
        <v/>
      </c>
    </row>
    <row r="25">
      <c r="A25" t="n">
        <v>1973</v>
      </c>
      <c r="E25">
        <f>C25/D25</f>
        <v/>
      </c>
    </row>
    <row r="26">
      <c r="A26" t="n">
        <v>1974</v>
      </c>
      <c r="E26">
        <f>C26/D26</f>
        <v/>
      </c>
    </row>
    <row r="27">
      <c r="A27" t="n">
        <v>1975</v>
      </c>
      <c r="E27">
        <f>C27/D27</f>
        <v/>
      </c>
    </row>
    <row r="28">
      <c r="A28" t="n">
        <v>1976</v>
      </c>
      <c r="E28">
        <f>C28/D28</f>
        <v/>
      </c>
    </row>
    <row r="29">
      <c r="A29" t="n">
        <v>1977</v>
      </c>
      <c r="E29">
        <f>C29/D29</f>
        <v/>
      </c>
    </row>
    <row r="30">
      <c r="A30" t="n">
        <v>1978</v>
      </c>
      <c r="E30">
        <f>C30/D30</f>
        <v/>
      </c>
    </row>
    <row r="31">
      <c r="A31" t="n">
        <v>1979</v>
      </c>
      <c r="E31">
        <f>C31/D31</f>
        <v/>
      </c>
    </row>
    <row r="32">
      <c r="A32" t="n">
        <v>1980</v>
      </c>
      <c r="E32">
        <f>C32/D32</f>
        <v/>
      </c>
    </row>
    <row r="33">
      <c r="A33" t="n">
        <v>1981</v>
      </c>
      <c r="E33">
        <f>C33/D33</f>
        <v/>
      </c>
    </row>
    <row r="34">
      <c r="A34" t="n">
        <v>1982</v>
      </c>
      <c r="E34">
        <f>C34/D34</f>
        <v/>
      </c>
    </row>
    <row r="35">
      <c r="A35" t="n">
        <v>1983</v>
      </c>
      <c r="E35">
        <f>C35/D35</f>
        <v/>
      </c>
    </row>
    <row r="36">
      <c r="A36" t="n">
        <v>1984</v>
      </c>
      <c r="E36">
        <f>C36/D36</f>
        <v/>
      </c>
    </row>
    <row r="37">
      <c r="A37" t="n">
        <v>1985</v>
      </c>
      <c r="E37">
        <f>C37/D37</f>
        <v/>
      </c>
    </row>
    <row r="38">
      <c r="A38" t="n">
        <v>1986</v>
      </c>
      <c r="E38">
        <f>C38/D38</f>
        <v/>
      </c>
    </row>
    <row r="39">
      <c r="A39" t="n">
        <v>1987</v>
      </c>
      <c r="E39">
        <f>C39/D39</f>
        <v/>
      </c>
    </row>
    <row r="40">
      <c r="A40" t="n">
        <v>1988</v>
      </c>
      <c r="E40">
        <f>C40/D40</f>
        <v/>
      </c>
    </row>
    <row r="41">
      <c r="A41" t="n">
        <v>1989</v>
      </c>
      <c r="E41">
        <f>C41/D41</f>
        <v/>
      </c>
    </row>
    <row r="42">
      <c r="A42" t="n">
        <v>1990</v>
      </c>
      <c r="C42" t="n">
        <v>11029.5685428438</v>
      </c>
      <c r="D42" t="n">
        <v>269494.40625</v>
      </c>
      <c r="E42">
        <f>C42/D42</f>
        <v/>
      </c>
    </row>
    <row r="43">
      <c r="A43" t="n">
        <v>1991</v>
      </c>
      <c r="C43" t="n">
        <v>11104.35689483094</v>
      </c>
      <c r="D43" t="n">
        <v>271117.4375</v>
      </c>
      <c r="E43">
        <f>C43/D43</f>
        <v/>
      </c>
    </row>
    <row r="44">
      <c r="A44" t="n">
        <v>1992</v>
      </c>
      <c r="C44" t="n">
        <v>10672.54197509354</v>
      </c>
      <c r="D44" t="n">
        <v>266614.8125</v>
      </c>
      <c r="E44">
        <f>C44/D44</f>
        <v/>
      </c>
    </row>
    <row r="45">
      <c r="A45" t="n">
        <v>1993</v>
      </c>
      <c r="C45" t="n">
        <v>9797.90371985524</v>
      </c>
      <c r="D45" t="n">
        <v>256535.46875</v>
      </c>
      <c r="E45">
        <f>C45/D45</f>
        <v/>
      </c>
    </row>
    <row r="46">
      <c r="A46" t="n">
        <v>1994</v>
      </c>
      <c r="C46" t="n">
        <v>9028.150806643534</v>
      </c>
      <c r="D46" t="n">
        <v>249672.46875</v>
      </c>
      <c r="E46">
        <f>C46/D46</f>
        <v/>
      </c>
    </row>
    <row r="47">
      <c r="A47" t="n">
        <v>1995</v>
      </c>
      <c r="C47" t="n">
        <v>8454.254995634547</v>
      </c>
      <c r="D47" t="n">
        <v>245497.8125</v>
      </c>
      <c r="E47">
        <f>C47/D47</f>
        <v/>
      </c>
    </row>
    <row r="48">
      <c r="A48" t="n">
        <v>1996</v>
      </c>
      <c r="C48" t="n">
        <v>8018.788477306953</v>
      </c>
      <c r="D48" t="n">
        <v>242089.6875</v>
      </c>
      <c r="E48">
        <f>C48/D48</f>
        <v/>
      </c>
    </row>
    <row r="49">
      <c r="A49" t="n">
        <v>1997</v>
      </c>
      <c r="C49" t="n">
        <v>7722.24519518466</v>
      </c>
      <c r="D49" t="n">
        <v>239425.359375</v>
      </c>
      <c r="E49">
        <f>C49/D49</f>
        <v/>
      </c>
    </row>
    <row r="50">
      <c r="A50" t="n">
        <v>1998</v>
      </c>
      <c r="C50" t="n">
        <v>7622.047534679412</v>
      </c>
      <c r="D50" t="n">
        <v>239121.890625</v>
      </c>
      <c r="E50">
        <f>C50/D50</f>
        <v/>
      </c>
    </row>
    <row r="51">
      <c r="A51" t="n">
        <v>1999</v>
      </c>
      <c r="C51" t="n">
        <v>7604.477790333389</v>
      </c>
      <c r="D51" t="n">
        <v>239199.265625</v>
      </c>
      <c r="E51">
        <f>C51/D51</f>
        <v/>
      </c>
    </row>
    <row r="52">
      <c r="A52" t="n">
        <v>2000</v>
      </c>
      <c r="C52" t="n">
        <v>7563.531023715681</v>
      </c>
      <c r="D52" t="n">
        <v>239171.609375</v>
      </c>
      <c r="E52">
        <f>C52/D52</f>
        <v/>
      </c>
    </row>
    <row r="53">
      <c r="A53" t="n">
        <v>2001</v>
      </c>
      <c r="C53" t="n">
        <v>7559.874949718534</v>
      </c>
      <c r="D53" t="n">
        <v>240066.265625</v>
      </c>
      <c r="E53">
        <f>C53/D53</f>
        <v/>
      </c>
    </row>
    <row r="54">
      <c r="A54" t="n">
        <v>2002</v>
      </c>
      <c r="C54" t="n">
        <v>7514.505689534417</v>
      </c>
      <c r="D54" t="n">
        <v>240523.046875</v>
      </c>
      <c r="E54">
        <f>C54/D54</f>
        <v/>
      </c>
    </row>
    <row r="55">
      <c r="A55" t="n">
        <v>2003</v>
      </c>
      <c r="C55" t="n">
        <v>7497.883485546306</v>
      </c>
      <c r="D55" t="n">
        <v>242715.265625</v>
      </c>
      <c r="E55">
        <f>C55/D55</f>
        <v/>
      </c>
    </row>
    <row r="56">
      <c r="A56" t="n">
        <v>2004</v>
      </c>
      <c r="C56" t="n">
        <v>7677.220026495459</v>
      </c>
      <c r="D56" t="n">
        <v>245580.140625</v>
      </c>
      <c r="E56">
        <f>C56/D56</f>
        <v/>
      </c>
    </row>
    <row r="57">
      <c r="A57" t="n">
        <v>2005</v>
      </c>
      <c r="C57" t="n">
        <v>8080.925539300079</v>
      </c>
      <c r="D57" t="n">
        <v>249248.984375</v>
      </c>
      <c r="E57">
        <f>C57/D57</f>
        <v/>
      </c>
    </row>
    <row r="58">
      <c r="A58" t="n">
        <v>2006</v>
      </c>
      <c r="C58" t="n">
        <v>8538.204162360693</v>
      </c>
      <c r="D58" t="n">
        <v>252297.078125</v>
      </c>
      <c r="E58">
        <f>C58/D58</f>
        <v/>
      </c>
    </row>
    <row r="59">
      <c r="A59" t="n">
        <v>2007</v>
      </c>
      <c r="C59" t="n">
        <v>9069.600107550388</v>
      </c>
      <c r="D59" t="n">
        <v>256234.109375</v>
      </c>
      <c r="E59">
        <f>C59/D59</f>
        <v/>
      </c>
    </row>
    <row r="60">
      <c r="A60" t="n">
        <v>2008</v>
      </c>
      <c r="C60" t="n">
        <v>9435.355751054361</v>
      </c>
      <c r="D60" t="n">
        <v>257715.4375</v>
      </c>
      <c r="E60">
        <f>C60/D60</f>
        <v/>
      </c>
    </row>
    <row r="61">
      <c r="A61" t="n">
        <v>2009</v>
      </c>
      <c r="C61" t="n">
        <v>9391.729513430328</v>
      </c>
      <c r="D61" t="n">
        <v>255596.078125</v>
      </c>
      <c r="E61">
        <f>C61/D61</f>
        <v/>
      </c>
    </row>
    <row r="62">
      <c r="A62" t="n">
        <v>2010</v>
      </c>
      <c r="C62" t="n">
        <v>9329.518124141672</v>
      </c>
      <c r="D62" t="n">
        <v>256185.140625</v>
      </c>
      <c r="E62">
        <f>C62/D62</f>
        <v/>
      </c>
    </row>
    <row r="63">
      <c r="A63" t="n">
        <v>2011</v>
      </c>
      <c r="C63" t="n">
        <v>9393.269838886801</v>
      </c>
      <c r="D63" t="n">
        <v>258197.40625</v>
      </c>
      <c r="E63">
        <f>C63/D63</f>
        <v/>
      </c>
    </row>
    <row r="64">
      <c r="A64" t="n">
        <v>2012</v>
      </c>
      <c r="C64" t="n">
        <v>9486.174633236369</v>
      </c>
      <c r="D64" t="n">
        <v>260772.96875</v>
      </c>
      <c r="E64">
        <f>C64/D64</f>
        <v/>
      </c>
    </row>
    <row r="65">
      <c r="A65" t="n">
        <v>2013</v>
      </c>
      <c r="C65" t="n">
        <v>9537.892186713172</v>
      </c>
      <c r="D65" t="n">
        <v>261943.109375</v>
      </c>
      <c r="E65">
        <f>C65/D65</f>
        <v/>
      </c>
    </row>
    <row r="66">
      <c r="A66" t="n">
        <v>2014</v>
      </c>
      <c r="C66" t="n">
        <v>9766.950886882958</v>
      </c>
      <c r="D66" t="n">
        <v>265818.40625</v>
      </c>
      <c r="E66">
        <f>C66/D66</f>
        <v/>
      </c>
    </row>
    <row r="67">
      <c r="A67" t="n">
        <v>2015</v>
      </c>
      <c r="C67" t="n">
        <v>10188.66798310191</v>
      </c>
      <c r="D67" t="n">
        <v>271425.46875</v>
      </c>
      <c r="E67">
        <f>C67/D67</f>
        <v/>
      </c>
    </row>
    <row r="68">
      <c r="A68" t="n">
        <v>2016</v>
      </c>
      <c r="C68" t="n">
        <v>10696.94822630449</v>
      </c>
      <c r="D68" t="n">
        <v>277588.15625</v>
      </c>
      <c r="E68">
        <f>C68/D68</f>
        <v/>
      </c>
    </row>
    <row r="69">
      <c r="A69" t="n">
        <v>2017</v>
      </c>
      <c r="C69" t="n">
        <v>11249.15169838141</v>
      </c>
      <c r="D69" t="n">
        <v>283682.15625</v>
      </c>
      <c r="E69">
        <f>C69/D69</f>
        <v/>
      </c>
    </row>
    <row r="70">
      <c r="A70" t="n">
        <v>2018</v>
      </c>
      <c r="C70" t="n">
        <v>11724.53185723897</v>
      </c>
      <c r="D70" t="n">
        <v>289560.90625</v>
      </c>
      <c r="E70">
        <f>C70/D70</f>
        <v/>
      </c>
    </row>
    <row r="71">
      <c r="A71" t="n">
        <v>2019</v>
      </c>
      <c r="C71" t="n">
        <v>12345.54825375043</v>
      </c>
      <c r="D71" t="n">
        <v>298215.0625</v>
      </c>
      <c r="E71">
        <f>C71/D71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Depreciation Rate</t>
        </is>
      </c>
      <c r="B1" t="inlineStr">
        <is>
          <t>Alpha (Capital Share)</t>
        </is>
      </c>
      <c r="C1" t="n">
        <v>0.3</v>
      </c>
    </row>
    <row r="3">
      <c r="B3">
        <f>AVERAGE('CFC data'!E63:'CFC data'!E71)</f>
        <v/>
      </c>
    </row>
    <row r="4">
      <c r="A4" t="inlineStr">
        <is>
          <t>Year</t>
        </is>
      </c>
      <c r="B4" t="inlineStr">
        <is>
          <t>K</t>
        </is>
      </c>
      <c r="C4" t="inlineStr">
        <is>
          <t>Y</t>
        </is>
      </c>
      <c r="D4" t="inlineStr">
        <is>
          <t>LnK</t>
        </is>
      </c>
      <c r="E4" t="inlineStr">
        <is>
          <t>LnY</t>
        </is>
      </c>
      <c r="F4" t="inlineStr">
        <is>
          <t>LnZ</t>
        </is>
      </c>
      <c r="G4" t="inlineStr">
        <is>
          <t>LnZ_HP</t>
        </is>
      </c>
      <c r="H4" t="inlineStr">
        <is>
          <t>LnZ_Trend</t>
        </is>
      </c>
      <c r="I4" t="inlineStr">
        <is>
          <t>2nd Diff</t>
        </is>
      </c>
    </row>
    <row r="5">
      <c r="P5">
        <f>SUMPRODUCT((F6:F27-G6:G27)^2) + 100*SUMPRODUCT(I8:I27^2)</f>
        <v/>
      </c>
    </row>
    <row r="6">
      <c r="A6" t="n">
        <v>2002</v>
      </c>
      <c r="B6">
        <f>VLOOKUP(A6, PWT!A:C, 3, FALSE)</f>
        <v/>
      </c>
      <c r="C6">
        <f>VLOOKUP(A6, WEO_Data!A:AZ, MATCH(A6, WEO_Data!:, 0), FALSE)</f>
        <v/>
      </c>
      <c r="D6">
        <f>LN(B6)</f>
        <v/>
      </c>
      <c r="E6">
        <f>LN(C6)</f>
        <v/>
      </c>
      <c r="F6">
        <f>E6-*D6</f>
        <v/>
      </c>
      <c r="G6">
        <f>F6</f>
        <v/>
      </c>
    </row>
    <row r="7">
      <c r="A7" t="n">
        <v>2003</v>
      </c>
      <c r="B7">
        <f>VLOOKUP(A7, PWT!A:C, 3, FALSE)</f>
        <v/>
      </c>
      <c r="C7">
        <f>VLOOKUP(A7, WEO_Data!A:AZ, MATCH(A7, WEO_Data!:, 0), FALSE)</f>
        <v/>
      </c>
      <c r="D7">
        <f>LN(B7)</f>
        <v/>
      </c>
      <c r="E7">
        <f>LN(C7)</f>
        <v/>
      </c>
      <c r="F7">
        <f>E7-*D7</f>
        <v/>
      </c>
      <c r="G7">
        <f>F7</f>
        <v/>
      </c>
    </row>
    <row r="8">
      <c r="A8" t="n">
        <v>2004</v>
      </c>
      <c r="B8">
        <f>VLOOKUP(A8, PWT!A:C, 3, FALSE)</f>
        <v/>
      </c>
      <c r="C8">
        <f>VLOOKUP(A8, WEO_Data!A:AZ, MATCH(A8, WEO_Data!:, 0), FALSE)</f>
        <v/>
      </c>
      <c r="D8">
        <f>LN(B8)</f>
        <v/>
      </c>
      <c r="E8">
        <f>LN(C8)</f>
        <v/>
      </c>
      <c r="F8">
        <f>E8-*D8</f>
        <v/>
      </c>
      <c r="G8">
        <f>F8</f>
        <v/>
      </c>
      <c r="I8">
        <f>(G8-G7)-(G7-G6)</f>
        <v/>
      </c>
    </row>
    <row r="9">
      <c r="A9" t="n">
        <v>2005</v>
      </c>
      <c r="B9">
        <f>VLOOKUP(A9, PWT!A:C, 3, FALSE)</f>
        <v/>
      </c>
      <c r="C9">
        <f>VLOOKUP(A9, WEO_Data!A:AZ, MATCH(A9, WEO_Data!:, 0), FALSE)</f>
        <v/>
      </c>
      <c r="D9">
        <f>LN(B9)</f>
        <v/>
      </c>
      <c r="E9">
        <f>LN(C9)</f>
        <v/>
      </c>
      <c r="F9">
        <f>E9-*D9</f>
        <v/>
      </c>
      <c r="G9">
        <f>F9</f>
        <v/>
      </c>
      <c r="I9">
        <f>(G9-G8)-(G8-G7)</f>
        <v/>
      </c>
    </row>
    <row r="10">
      <c r="A10" t="n">
        <v>2006</v>
      </c>
      <c r="B10">
        <f>VLOOKUP(A10, PWT!A:C, 3, FALSE)</f>
        <v/>
      </c>
      <c r="C10">
        <f>VLOOKUP(A10, WEO_Data!A:AZ, MATCH(A10, WEO_Data!:, 0), FALSE)</f>
        <v/>
      </c>
      <c r="D10">
        <f>LN(B10)</f>
        <v/>
      </c>
      <c r="E10">
        <f>LN(C10)</f>
        <v/>
      </c>
      <c r="F10">
        <f>E10-*D10</f>
        <v/>
      </c>
      <c r="G10">
        <f>F10</f>
        <v/>
      </c>
      <c r="I10">
        <f>(G10-G9)-(G9-G8)</f>
        <v/>
      </c>
    </row>
    <row r="11">
      <c r="A11" t="n">
        <v>2007</v>
      </c>
      <c r="B11">
        <f>VLOOKUP(A11, PWT!A:C, 3, FALSE)</f>
        <v/>
      </c>
      <c r="C11">
        <f>VLOOKUP(A11, WEO_Data!A:AZ, MATCH(A11, WEO_Data!:, 0), FALSE)</f>
        <v/>
      </c>
      <c r="D11">
        <f>LN(B11)</f>
        <v/>
      </c>
      <c r="E11">
        <f>LN(C11)</f>
        <v/>
      </c>
      <c r="F11">
        <f>E11-*D11</f>
        <v/>
      </c>
      <c r="G11">
        <f>F11</f>
        <v/>
      </c>
      <c r="I11">
        <f>(G11-G10)-(G10-G9)</f>
        <v/>
      </c>
    </row>
    <row r="12">
      <c r="A12" t="n">
        <v>2008</v>
      </c>
      <c r="B12">
        <f>VLOOKUP(A12, PWT!A:C, 3, FALSE)</f>
        <v/>
      </c>
      <c r="C12">
        <f>VLOOKUP(A12, WEO_Data!A:AZ, MATCH(A12, WEO_Data!:, 0), FALSE)</f>
        <v/>
      </c>
      <c r="D12">
        <f>LN(B12)</f>
        <v/>
      </c>
      <c r="E12">
        <f>LN(C12)</f>
        <v/>
      </c>
      <c r="F12">
        <f>E12-*D12</f>
        <v/>
      </c>
      <c r="G12">
        <f>F12</f>
        <v/>
      </c>
      <c r="I12">
        <f>(G12-G11)-(G11-G10)</f>
        <v/>
      </c>
    </row>
    <row r="13">
      <c r="A13" t="n">
        <v>2009</v>
      </c>
      <c r="B13">
        <f>VLOOKUP(A13, PWT!A:C, 3, FALSE)</f>
        <v/>
      </c>
      <c r="C13">
        <f>VLOOKUP(A13, WEO_Data!A:AZ, MATCH(A13, WEO_Data!:, 0), FALSE)</f>
        <v/>
      </c>
      <c r="D13">
        <f>LN(B13)</f>
        <v/>
      </c>
      <c r="E13">
        <f>LN(C13)</f>
        <v/>
      </c>
      <c r="F13">
        <f>E13-*D13</f>
        <v/>
      </c>
      <c r="G13">
        <f>F13</f>
        <v/>
      </c>
      <c r="I13">
        <f>(G13-G12)-(G12-G11)</f>
        <v/>
      </c>
    </row>
    <row r="14">
      <c r="A14" t="n">
        <v>2010</v>
      </c>
      <c r="B14">
        <f>VLOOKUP(A14, PWT!A:C, 3, FALSE)</f>
        <v/>
      </c>
      <c r="C14">
        <f>VLOOKUP(A14, WEO_Data!A:AZ, MATCH(A14, WEO_Data!:, 0), FALSE)</f>
        <v/>
      </c>
      <c r="D14">
        <f>LN(B14)</f>
        <v/>
      </c>
      <c r="E14">
        <f>LN(C14)</f>
        <v/>
      </c>
      <c r="F14">
        <f>E14-*D14</f>
        <v/>
      </c>
      <c r="G14">
        <f>F14</f>
        <v/>
      </c>
      <c r="I14">
        <f>(G14-G13)-(G13-G12)</f>
        <v/>
      </c>
    </row>
    <row r="15">
      <c r="A15" t="n">
        <v>2011</v>
      </c>
      <c r="B15">
        <f>VLOOKUP(A15, PWT!A:C, 3, FALSE)</f>
        <v/>
      </c>
      <c r="C15">
        <f>VLOOKUP(A15, WEO_Data!A:AZ, MATCH(A15, WEO_Data!:, 0), FALSE)</f>
        <v/>
      </c>
      <c r="D15">
        <f>LN(B15)</f>
        <v/>
      </c>
      <c r="E15">
        <f>LN(C15)</f>
        <v/>
      </c>
      <c r="F15">
        <f>E15-*D15</f>
        <v/>
      </c>
      <c r="G15">
        <f>F15</f>
        <v/>
      </c>
      <c r="I15">
        <f>(G15-G14)-(G14-G13)</f>
        <v/>
      </c>
    </row>
    <row r="16">
      <c r="A16" t="n">
        <v>2012</v>
      </c>
      <c r="B16">
        <f>VLOOKUP(A16, PWT!A:C, 3, FALSE)</f>
        <v/>
      </c>
      <c r="C16">
        <f>VLOOKUP(A16, WEO_Data!A:AZ, MATCH(A16, WEO_Data!:, 0), FALSE)</f>
        <v/>
      </c>
      <c r="D16">
        <f>LN(B16)</f>
        <v/>
      </c>
      <c r="E16">
        <f>LN(C16)</f>
        <v/>
      </c>
      <c r="F16">
        <f>E16-*D16</f>
        <v/>
      </c>
      <c r="G16">
        <f>F16</f>
        <v/>
      </c>
      <c r="I16">
        <f>(G16-G15)-(G15-G14)</f>
        <v/>
      </c>
    </row>
    <row r="17">
      <c r="A17" t="n">
        <v>2013</v>
      </c>
      <c r="B17">
        <f>VLOOKUP(A17, PWT!A:C, 3, FALSE)</f>
        <v/>
      </c>
      <c r="C17">
        <f>VLOOKUP(A17, WEO_Data!A:AZ, MATCH(A17, WEO_Data!:, 0), FALSE)</f>
        <v/>
      </c>
      <c r="D17">
        <f>LN(B17)</f>
        <v/>
      </c>
      <c r="E17">
        <f>LN(C17)</f>
        <v/>
      </c>
      <c r="F17">
        <f>E17-*D17</f>
        <v/>
      </c>
      <c r="G17">
        <f>F17</f>
        <v/>
      </c>
      <c r="I17">
        <f>(G17-G16)-(G16-G15)</f>
        <v/>
      </c>
    </row>
    <row r="18">
      <c r="A18" t="n">
        <v>2014</v>
      </c>
      <c r="B18">
        <f>VLOOKUP(A18, PWT!A:C, 3, FALSE)</f>
        <v/>
      </c>
      <c r="C18">
        <f>VLOOKUP(A18, WEO_Data!A:AZ, MATCH(A18, WEO_Data!:, 0), FALSE)</f>
        <v/>
      </c>
      <c r="D18">
        <f>LN(B18)</f>
        <v/>
      </c>
      <c r="E18">
        <f>LN(C18)</f>
        <v/>
      </c>
      <c r="F18">
        <f>E18-*D18</f>
        <v/>
      </c>
      <c r="G18">
        <f>F18</f>
        <v/>
      </c>
      <c r="I18">
        <f>(G18-G17)-(G17-G16)</f>
        <v/>
      </c>
    </row>
    <row r="19">
      <c r="A19" t="n">
        <v>2015</v>
      </c>
      <c r="B19">
        <f>VLOOKUP(A19, PWT!A:C, 3, FALSE)</f>
        <v/>
      </c>
      <c r="C19">
        <f>VLOOKUP(A19, WEO_Data!A:AZ, MATCH(A19, WEO_Data!:, 0), FALSE)</f>
        <v/>
      </c>
      <c r="D19">
        <f>LN(B19)</f>
        <v/>
      </c>
      <c r="E19">
        <f>LN(C19)</f>
        <v/>
      </c>
      <c r="F19">
        <f>E19-*D19</f>
        <v/>
      </c>
      <c r="G19">
        <f>F19</f>
        <v/>
      </c>
      <c r="I19">
        <f>(G19-G18)-(G18-G17)</f>
        <v/>
      </c>
    </row>
    <row r="20">
      <c r="A20" t="n">
        <v>2016</v>
      </c>
      <c r="B20">
        <f>VLOOKUP(A20, PWT!A:C, 3, FALSE)</f>
        <v/>
      </c>
      <c r="C20">
        <f>VLOOKUP(A20, WEO_Data!A:AZ, MATCH(A20, WEO_Data!:, 0), FALSE)</f>
        <v/>
      </c>
      <c r="D20">
        <f>LN(B20)</f>
        <v/>
      </c>
      <c r="E20">
        <f>LN(C20)</f>
        <v/>
      </c>
      <c r="F20">
        <f>E20-*D20</f>
        <v/>
      </c>
      <c r="G20">
        <f>F20</f>
        <v/>
      </c>
      <c r="I20">
        <f>(G20-G19)-(G19-G18)</f>
        <v/>
      </c>
    </row>
    <row r="21">
      <c r="A21" t="n">
        <v>2017</v>
      </c>
      <c r="B21">
        <f>VLOOKUP(A21, PWT!A:C, 3, FALSE)</f>
        <v/>
      </c>
      <c r="C21">
        <f>VLOOKUP(A21, WEO_Data!A:AZ, MATCH(A21, WEO_Data!:, 0), FALSE)</f>
        <v/>
      </c>
      <c r="D21">
        <f>LN(B21)</f>
        <v/>
      </c>
      <c r="E21">
        <f>LN(C21)</f>
        <v/>
      </c>
      <c r="F21">
        <f>E21-*D21</f>
        <v/>
      </c>
      <c r="G21">
        <f>F21</f>
        <v/>
      </c>
      <c r="I21">
        <f>(G21-G20)-(G20-G19)</f>
        <v/>
      </c>
    </row>
    <row r="22">
      <c r="A22" t="n">
        <v>2018</v>
      </c>
      <c r="B22">
        <f>VLOOKUP(A22, PWT!A:C, 3, FALSE)</f>
        <v/>
      </c>
      <c r="C22">
        <f>VLOOKUP(A22, WEO_Data!A:AZ, MATCH(A22, WEO_Data!:, 0), FALSE)</f>
        <v/>
      </c>
      <c r="D22">
        <f>LN(B22)</f>
        <v/>
      </c>
      <c r="E22">
        <f>LN(C22)</f>
        <v/>
      </c>
      <c r="F22">
        <f>E22-*D22</f>
        <v/>
      </c>
      <c r="G22">
        <f>F22</f>
        <v/>
      </c>
      <c r="I22">
        <f>(G22-G21)-(G21-G20)</f>
        <v/>
      </c>
    </row>
    <row r="23">
      <c r="A23" t="n">
        <v>2019</v>
      </c>
      <c r="B23">
        <f>VLOOKUP(A23, PWT!A:C, 3, FALSE)</f>
        <v/>
      </c>
      <c r="C23">
        <f>VLOOKUP(A23, WEO_Data!A:AZ, MATCH(A23, WEO_Data!:, 0), FALSE)</f>
        <v/>
      </c>
      <c r="D23">
        <f>LN(B23)</f>
        <v/>
      </c>
      <c r="E23">
        <f>LN(C23)</f>
        <v/>
      </c>
      <c r="F23">
        <f>E23-*D23</f>
        <v/>
      </c>
      <c r="G23">
        <f>F23</f>
        <v/>
      </c>
      <c r="I23">
        <f>(G23-G22)-(G22-G21)</f>
        <v/>
      </c>
    </row>
    <row r="24">
      <c r="A24" t="n">
        <v>2020</v>
      </c>
      <c r="B24">
        <f>VLOOKUP(A24, PWT!A:C, 3, FALSE)</f>
        <v/>
      </c>
      <c r="C24">
        <f>VLOOKUP(A24, WEO_Data!A:AZ, MATCH(A24, WEO_Data!:, 0), FALSE)</f>
        <v/>
      </c>
      <c r="D24">
        <f>LN(B24)</f>
        <v/>
      </c>
      <c r="E24">
        <f>LN(C24)</f>
        <v/>
      </c>
      <c r="F24">
        <f>E24-*D24</f>
        <v/>
      </c>
      <c r="G24">
        <f>F24</f>
        <v/>
      </c>
      <c r="I24">
        <f>(G24-G23)-(G23-G22)</f>
        <v/>
      </c>
    </row>
    <row r="25">
      <c r="A25" t="n">
        <v>2021</v>
      </c>
      <c r="B25">
        <f>VLOOKUP(A25, PWT!A:C, 3, FALSE)</f>
        <v/>
      </c>
      <c r="C25">
        <f>VLOOKUP(A25, WEO_Data!A:AZ, MATCH(A25, WEO_Data!:, 0), FALSE)</f>
        <v/>
      </c>
      <c r="D25">
        <f>LN(B25)</f>
        <v/>
      </c>
      <c r="E25">
        <f>LN(C25)</f>
        <v/>
      </c>
      <c r="F25">
        <f>E25-*D25</f>
        <v/>
      </c>
      <c r="G25">
        <f>F25</f>
        <v/>
      </c>
      <c r="I25">
        <f>(G25-G24)-(G24-G23)</f>
        <v/>
      </c>
    </row>
    <row r="26">
      <c r="A26" t="n">
        <v>2022</v>
      </c>
      <c r="B26">
        <f>VLOOKUP(A26, PWT!A:C, 3, FALSE)</f>
        <v/>
      </c>
      <c r="C26">
        <f>VLOOKUP(A26, WEO_Data!A:AZ, MATCH(A26, WEO_Data!:, 0), FALSE)</f>
        <v/>
      </c>
      <c r="D26">
        <f>LN(B26)</f>
        <v/>
      </c>
      <c r="E26">
        <f>LN(C26)</f>
        <v/>
      </c>
      <c r="F26">
        <f>E26-*D26</f>
        <v/>
      </c>
      <c r="G26">
        <f>F26</f>
        <v/>
      </c>
      <c r="I26">
        <f>(G26-G25)-(G25-G24)</f>
        <v/>
      </c>
    </row>
    <row r="27">
      <c r="A27" t="n">
        <v>2023</v>
      </c>
      <c r="B27">
        <f>VLOOKUP(A27, PWT!A:C, 3, FALSE)</f>
        <v/>
      </c>
      <c r="C27">
        <f>VLOOKUP(A27, WEO_Data!A:AZ, MATCH(A27, WEO_Data!:, 0), FALSE)</f>
        <v/>
      </c>
      <c r="D27">
        <f>LN(B27)</f>
        <v/>
      </c>
      <c r="E27">
        <f>LN(C27)</f>
        <v/>
      </c>
      <c r="F27">
        <f>E27-*D27</f>
        <v/>
      </c>
      <c r="G27">
        <f>F27</f>
        <v/>
      </c>
      <c r="I27">
        <f>(G27-G26)-(G26-G25)</f>
        <v/>
      </c>
    </row>
    <row r="35">
      <c r="B35" t="inlineStr">
        <is>
          <t>Average K/Y (2015-2023)</t>
        </is>
      </c>
      <c r="C35">
        <f>AVERAGE(B19:B27/C19:C27)</f>
        <v/>
      </c>
      <c r="E35" t="inlineStr">
        <is>
          <t>Year</t>
        </is>
      </c>
      <c r="F35" t="inlineStr">
        <is>
          <t>LnZ_Trend</t>
        </is>
      </c>
      <c r="G35" t="inlineStr">
        <is>
          <t>K_Base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deltaK</t>
        </is>
      </c>
      <c r="K35" t="inlineStr">
        <is>
          <t>K_With</t>
        </is>
      </c>
      <c r="L35" t="inlineStr">
        <is>
          <t>Ystar_With</t>
        </is>
      </c>
    </row>
    <row r="36">
      <c r="E36" t="n">
        <v>2024</v>
      </c>
      <c r="F36">
        <f>TREND(:7, :7, E36)</f>
        <v/>
      </c>
      <c r="G36">
        <f>5 * VLOOKUP(E36, WEO_Data!A:AZ, MATCH(E36, WEO_Data!:, 0), FALSE)</f>
        <v/>
      </c>
      <c r="H36">
        <f>EXP(F36) * (G36^)</f>
        <v/>
      </c>
      <c r="I36">
        <f>IFERROR(VLOOKUP(E36, Investment!A:B, 2, FALSE), 0)</f>
        <v/>
      </c>
      <c r="J36">
        <f>G36 - B27</f>
        <v/>
      </c>
      <c r="K36">
        <f>B27*(1-) + I36</f>
        <v/>
      </c>
      <c r="L36">
        <f>EXP(F36) * (K36^)</f>
        <v/>
      </c>
    </row>
    <row r="37">
      <c r="E37" t="n">
        <v>2025</v>
      </c>
      <c r="F37">
        <f>TREND(:7, :7, E37)</f>
        <v/>
      </c>
      <c r="G37">
        <f>5 * VLOOKUP(E37, WEO_Data!A:AZ, MATCH(E37, WEO_Data!:, 0), FALSE)</f>
        <v/>
      </c>
      <c r="H37">
        <f>EXP(F37) * (G37^)</f>
        <v/>
      </c>
      <c r="I37">
        <f>IFERROR(VLOOKUP(E37, Investment!A:B, 2, FALSE), 0)</f>
        <v/>
      </c>
      <c r="J37">
        <f>G37 - G36</f>
        <v/>
      </c>
      <c r="K37">
        <f>K36*(1-) + I37</f>
        <v/>
      </c>
      <c r="L37">
        <f>EXP(F37) * (K37^)</f>
        <v/>
      </c>
    </row>
    <row r="38">
      <c r="E38" t="n">
        <v>2026</v>
      </c>
      <c r="F38">
        <f>TREND(:7, :7, E38)</f>
        <v/>
      </c>
      <c r="G38">
        <f>5 * VLOOKUP(E38, WEO_Data!A:AZ, MATCH(E38, WEO_Data!:, 0), FALSE)</f>
        <v/>
      </c>
      <c r="H38">
        <f>EXP(F38) * (G38^)</f>
        <v/>
      </c>
      <c r="I38">
        <f>IFERROR(VLOOKUP(E38, Investment!A:B, 2, FALSE), 0)</f>
        <v/>
      </c>
      <c r="J38">
        <f>G38 - G37</f>
        <v/>
      </c>
      <c r="K38">
        <f>K37*(1-) + I38</f>
        <v/>
      </c>
      <c r="L38">
        <f>EXP(F38) * (K38^)</f>
        <v/>
      </c>
    </row>
    <row r="39">
      <c r="E39" t="n">
        <v>2027</v>
      </c>
      <c r="F39">
        <f>TREND(:7, :7, E39)</f>
        <v/>
      </c>
      <c r="G39">
        <f>5 * VLOOKUP(E39, WEO_Data!A:AZ, MATCH(E39, WEO_Data!:, 0), FALSE)</f>
        <v/>
      </c>
      <c r="H39">
        <f>EXP(F39) * (G39^)</f>
        <v/>
      </c>
      <c r="I39">
        <f>IFERROR(VLOOKUP(E39, Investment!A:B, 2, FALSE), 0)</f>
        <v/>
      </c>
      <c r="J39">
        <f>G39 - G38</f>
        <v/>
      </c>
      <c r="K39">
        <f>K38*(1-) + I39</f>
        <v/>
      </c>
      <c r="L39">
        <f>EXP(F39) * (K39^)</f>
        <v/>
      </c>
    </row>
    <row r="40">
      <c r="E40" t="n">
        <v>2028</v>
      </c>
      <c r="F40">
        <f>TREND(:7, :7, E40)</f>
        <v/>
      </c>
      <c r="G40">
        <f>5 * VLOOKUP(E40, WEO_Data!A:AZ, MATCH(E40, WEO_Data!:, 0), FALSE)</f>
        <v/>
      </c>
      <c r="H40">
        <f>EXP(F40) * (G40^)</f>
        <v/>
      </c>
      <c r="I40">
        <f>IFERROR(VLOOKUP(E40, Investment!A:B, 2, FALSE), 0)</f>
        <v/>
      </c>
      <c r="J40">
        <f>G40 - G39</f>
        <v/>
      </c>
      <c r="K40">
        <f>K39*(1-) + I40</f>
        <v/>
      </c>
      <c r="L40">
        <f>EXP(F40) * (K40^)</f>
        <v/>
      </c>
    </row>
    <row r="41">
      <c r="E41" t="n">
        <v>2029</v>
      </c>
      <c r="F41">
        <f>TREND(:7, :7, E41)</f>
        <v/>
      </c>
      <c r="G41">
        <f>5 * VLOOKUP(E41, WEO_Data!A:AZ, MATCH(E41, WEO_Data!:, 0), FALSE)</f>
        <v/>
      </c>
      <c r="H41">
        <f>EXP(F41) * (G41^)</f>
        <v/>
      </c>
      <c r="I41">
        <f>IFERROR(VLOOKUP(E41, Investment!A:B, 2, FALSE), 0)</f>
        <v/>
      </c>
      <c r="J41">
        <f>G41 - G40</f>
        <v/>
      </c>
      <c r="K41">
        <f>K40*(1-) + I41</f>
        <v/>
      </c>
      <c r="L41">
        <f>EXP(F41) * (K41^)</f>
        <v/>
      </c>
    </row>
    <row r="42">
      <c r="E42" t="n">
        <v>2030</v>
      </c>
      <c r="F42">
        <f>TREND(:7, :7, E42)</f>
        <v/>
      </c>
      <c r="G42">
        <f>5 * VLOOKUP(E42, WEO_Data!A:AZ, MATCH(E42, WEO_Data!:, 0), FALSE)</f>
        <v/>
      </c>
      <c r="H42">
        <f>EXP(F42) * (G42^)</f>
        <v/>
      </c>
      <c r="I42">
        <f>IFERROR(VLOOKUP(E42, Investment!A:B, 2, FALSE), 0)</f>
        <v/>
      </c>
      <c r="J42">
        <f>G42 - G41</f>
        <v/>
      </c>
      <c r="K42">
        <f>K41*(1-) + I42</f>
        <v/>
      </c>
      <c r="L42">
        <f>EXP(F42) * (K42^)</f>
        <v/>
      </c>
    </row>
    <row r="43">
      <c r="E43" t="n">
        <v>2031</v>
      </c>
      <c r="F43">
        <f>TREND(:7, :7, E43)</f>
        <v/>
      </c>
      <c r="G43">
        <f>5 * VLOOKUP(E43, WEO_Data!A:AZ, MATCH(E43, WEO_Data!:, 0), FALSE)</f>
        <v/>
      </c>
      <c r="H43">
        <f>EXP(F43) * (G43^)</f>
        <v/>
      </c>
      <c r="I43">
        <f>IFERROR(VLOOKUP(E43, Investment!A:B, 2, FALSE), 0)</f>
        <v/>
      </c>
      <c r="J43">
        <f>G43 - G42</f>
        <v/>
      </c>
      <c r="K43">
        <f>K42*(1-) + I43</f>
        <v/>
      </c>
      <c r="L43">
        <f>EXP(F43) * (K43^)</f>
        <v/>
      </c>
    </row>
    <row r="44">
      <c r="E44" t="n">
        <v>2032</v>
      </c>
      <c r="F44">
        <f>TREND(:7, :7, E44)</f>
        <v/>
      </c>
      <c r="G44">
        <f>5 * VLOOKUP(E44, WEO_Data!A:AZ, MATCH(E44, WEO_Data!:, 0), FALSE)</f>
        <v/>
      </c>
      <c r="H44">
        <f>EXP(F44) * (G44^)</f>
        <v/>
      </c>
      <c r="I44">
        <f>IFERROR(VLOOKUP(E44, Investment!A:B, 2, FALSE), 0)</f>
        <v/>
      </c>
      <c r="J44">
        <f>G44 - G43</f>
        <v/>
      </c>
      <c r="K44">
        <f>K43*(1-) + I44</f>
        <v/>
      </c>
      <c r="L44">
        <f>EXP(F44) * (K44^)</f>
        <v/>
      </c>
    </row>
    <row r="45">
      <c r="E45" t="n">
        <v>2033</v>
      </c>
      <c r="F45">
        <f>TREND(:7, :7, E45)</f>
        <v/>
      </c>
      <c r="G45">
        <f>5 * VLOOKUP(E45, WEO_Data!A:AZ, MATCH(E45, WEO_Data!:, 0), FALSE)</f>
        <v/>
      </c>
      <c r="H45">
        <f>EXP(F45) * (G45^)</f>
        <v/>
      </c>
      <c r="I45">
        <f>IFERROR(VLOOKUP(E45, Investment!A:B, 2, FALSE), 0)</f>
        <v/>
      </c>
      <c r="J45">
        <f>G45 - G44</f>
        <v/>
      </c>
      <c r="K45">
        <f>K44*(1-) + I45</f>
        <v/>
      </c>
      <c r="L45">
        <f>EXP(F45) * (K45^)</f>
        <v/>
      </c>
    </row>
    <row r="46">
      <c r="E46" t="n">
        <v>2034</v>
      </c>
      <c r="F46">
        <f>TREND(:7, :7, E46)</f>
        <v/>
      </c>
      <c r="G46">
        <f>5 * VLOOKUP(E46, WEO_Data!A:AZ, MATCH(E46, WEO_Data!:, 0), FALSE)</f>
        <v/>
      </c>
      <c r="H46">
        <f>EXP(F46) * (G46^)</f>
        <v/>
      </c>
      <c r="I46">
        <f>IFERROR(VLOOKUP(E46, Investment!A:B, 2, FALSE), 0)</f>
        <v/>
      </c>
      <c r="J46">
        <f>G46 - G45</f>
        <v/>
      </c>
      <c r="K46">
        <f>K45*(1-) + I46</f>
        <v/>
      </c>
      <c r="L46">
        <f>EXP(F46) * (K46^)</f>
        <v/>
      </c>
    </row>
    <row r="47">
      <c r="E47" t="n">
        <v>2035</v>
      </c>
      <c r="F47">
        <f>TREND(:7, :7, E47)</f>
        <v/>
      </c>
      <c r="G47">
        <f>5 * VLOOKUP(E47, WEO_Data!A:AZ, MATCH(E47, WEO_Data!:, 0), FALSE)</f>
        <v/>
      </c>
      <c r="H47">
        <f>EXP(F47) * (G47^)</f>
        <v/>
      </c>
      <c r="I47">
        <f>IFERROR(VLOOKUP(E47, Investment!A:B, 2, FALSE), 0)</f>
        <v/>
      </c>
      <c r="J47">
        <f>G47 - G46</f>
        <v/>
      </c>
      <c r="K47">
        <f>K46*(1-) + I47</f>
        <v/>
      </c>
      <c r="L47">
        <f>EXP(F47) * (K47^)</f>
        <v/>
      </c>
    </row>
    <row r="48">
      <c r="E48" t="n">
        <v>2036</v>
      </c>
      <c r="F48">
        <f>TREND(:7, :7, E48)</f>
        <v/>
      </c>
      <c r="G48">
        <f>5 * VLOOKUP(E48, WEO_Data!A:AZ, MATCH(E48, WEO_Data!:, 0), FALSE)</f>
        <v/>
      </c>
      <c r="H48">
        <f>EXP(F48) * (G48^)</f>
        <v/>
      </c>
      <c r="I48">
        <f>IFERROR(VLOOKUP(E48, Investment!A:B, 2, FALSE), 0)</f>
        <v/>
      </c>
      <c r="J48">
        <f>G48 - G47</f>
        <v/>
      </c>
      <c r="K48">
        <f>K47*(1-) + I48</f>
        <v/>
      </c>
      <c r="L48">
        <f>EXP(F48) * (K48^)</f>
        <v/>
      </c>
    </row>
    <row r="49">
      <c r="E49" t="n">
        <v>2037</v>
      </c>
      <c r="F49">
        <f>TREND(:7, :7, E49)</f>
        <v/>
      </c>
      <c r="G49">
        <f>5 * VLOOKUP(E49, WEO_Data!A:AZ, MATCH(E49, WEO_Data!:, 0), FALSE)</f>
        <v/>
      </c>
      <c r="H49">
        <f>EXP(F49) * (G49^)</f>
        <v/>
      </c>
      <c r="I49">
        <f>IFERROR(VLOOKUP(E49, Investment!A:B, 2, FALSE), 0)</f>
        <v/>
      </c>
      <c r="J49">
        <f>G49 - G48</f>
        <v/>
      </c>
      <c r="K49">
        <f>K48*(1-) + I49</f>
        <v/>
      </c>
      <c r="L49">
        <f>EXP(F49) * (K49^)</f>
        <v/>
      </c>
    </row>
    <row r="50">
      <c r="E50" t="n">
        <v>2038</v>
      </c>
      <c r="F50">
        <f>TREND(:7, :7, E50)</f>
        <v/>
      </c>
      <c r="G50">
        <f>5 * VLOOKUP(E50, WEO_Data!A:AZ, MATCH(E50, WEO_Data!:, 0), FALSE)</f>
        <v/>
      </c>
      <c r="H50">
        <f>EXP(F50) * (G50^)</f>
        <v/>
      </c>
      <c r="I50">
        <f>IFERROR(VLOOKUP(E50, Investment!A:B, 2, FALSE), 0)</f>
        <v/>
      </c>
      <c r="J50">
        <f>G50 - G49</f>
        <v/>
      </c>
      <c r="K50">
        <f>K49*(1-) + I50</f>
        <v/>
      </c>
      <c r="L50">
        <f>EXP(F50) * (K50^)</f>
        <v/>
      </c>
    </row>
    <row r="51">
      <c r="E51" t="n">
        <v>2039</v>
      </c>
      <c r="F51">
        <f>TREND(:7, :7, E51)</f>
        <v/>
      </c>
      <c r="G51">
        <f>5 * VLOOKUP(E51, WEO_Data!A:AZ, MATCH(E51, WEO_Data!:, 0), FALSE)</f>
        <v/>
      </c>
      <c r="H51">
        <f>EXP(F51) * (G51^)</f>
        <v/>
      </c>
      <c r="I51">
        <f>IFERROR(VLOOKUP(E51, Investment!A:B, 2, FALSE), 0)</f>
        <v/>
      </c>
      <c r="J51">
        <f>G51 - G50</f>
        <v/>
      </c>
      <c r="K51">
        <f>K50*(1-) + I51</f>
        <v/>
      </c>
      <c r="L51">
        <f>EXP(F51) * (K51^)</f>
        <v/>
      </c>
    </row>
    <row r="52">
      <c r="E52" t="n">
        <v>2040</v>
      </c>
      <c r="F52">
        <f>TREND(:7, :7, E52)</f>
        <v/>
      </c>
      <c r="G52">
        <f>5 * VLOOKUP(E52, WEO_Data!A:AZ, MATCH(E52, WEO_Data!:, 0), FALSE)</f>
        <v/>
      </c>
      <c r="H52">
        <f>EXP(F52) * (G52^)</f>
        <v/>
      </c>
      <c r="I52">
        <f>IFERROR(VLOOKUP(E52, Investment!A:B, 2, FALSE), 0)</f>
        <v/>
      </c>
      <c r="J52">
        <f>G52 - G51</f>
        <v/>
      </c>
      <c r="K52">
        <f>K51*(1-) + I52</f>
        <v/>
      </c>
      <c r="L52">
        <f>EXP(F52) * (K52^)</f>
        <v/>
      </c>
    </row>
    <row r="53">
      <c r="E53" t="n">
        <v>2041</v>
      </c>
      <c r="F53">
        <f>TREND(:7, :7, E53)</f>
        <v/>
      </c>
      <c r="G53">
        <f>5 * VLOOKUP(E53, WEO_Data!A:AZ, MATCH(E53, WEO_Data!:, 0), FALSE)</f>
        <v/>
      </c>
      <c r="H53">
        <f>EXP(F53) * (G53^)</f>
        <v/>
      </c>
      <c r="I53">
        <f>IFERROR(VLOOKUP(E53, Investment!A:B, 2, FALSE), 0)</f>
        <v/>
      </c>
      <c r="J53">
        <f>G53 - G52</f>
        <v/>
      </c>
      <c r="K53">
        <f>K52*(1-) + I53</f>
        <v/>
      </c>
      <c r="L53">
        <f>EXP(F53) * (K53^)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Investment Shock</t>
        </is>
      </c>
    </row>
    <row r="2">
      <c r="A2" t="n">
        <v>2026</v>
      </c>
      <c r="B2" t="n">
        <v>0.8125</v>
      </c>
    </row>
    <row r="3">
      <c r="A3" t="n">
        <v>2027</v>
      </c>
      <c r="B3" t="n">
        <v>0.8125</v>
      </c>
    </row>
    <row r="4">
      <c r="A4" t="n">
        <v>2028</v>
      </c>
      <c r="B4" t="n">
        <v>0.8125</v>
      </c>
    </row>
    <row r="5">
      <c r="A5" t="n">
        <v>2029</v>
      </c>
      <c r="B5" t="n">
        <v>0.8125</v>
      </c>
    </row>
    <row r="6">
      <c r="A6" t="n">
        <v>2030</v>
      </c>
      <c r="B6" t="n">
        <v>0.8125</v>
      </c>
    </row>
    <row r="7">
      <c r="A7" t="n">
        <v>2031</v>
      </c>
      <c r="B7" t="n">
        <v>0.8125</v>
      </c>
    </row>
    <row r="8">
      <c r="A8" t="n">
        <v>2032</v>
      </c>
      <c r="B8" t="n">
        <v>0.8125</v>
      </c>
    </row>
    <row r="9">
      <c r="A9" t="n">
        <v>2033</v>
      </c>
      <c r="B9" t="n">
        <v>0.8125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2026-01-26T04:33:45Z</dcterms:created>
  <dcterms:modified xsi:type="dcterms:W3CDTF">2026-01-26T04:34:07Z</dcterms:modified>
</cp:coreProperties>
</file>