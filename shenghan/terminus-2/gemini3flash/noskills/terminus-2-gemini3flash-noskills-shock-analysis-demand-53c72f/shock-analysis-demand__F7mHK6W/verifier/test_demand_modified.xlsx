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" sheetId="2" state="visible" r:id="rId2"/>
    <sheet name="USE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None</t>
        </is>
      </c>
      <c r="C1" t="inlineStr">
        <is>
          <t>Real GDP Growth</t>
        </is>
      </c>
      <c r="D1" t="inlineStr">
        <is>
          <t>None</t>
        </is>
      </c>
      <c r="E1" t="inlineStr">
        <is>
          <t>None</t>
        </is>
      </c>
      <c r="F1" t="inlineStr">
        <is>
          <t>None</t>
        </is>
      </c>
      <c r="G1" t="inlineStr">
        <is>
          <t>None</t>
        </is>
      </c>
      <c r="H1" t="inlineStr">
        <is>
          <t>None</t>
        </is>
      </c>
      <c r="I1" t="inlineStr">
        <is>
          <t>None</t>
        </is>
      </c>
      <c r="J1" t="inlineStr">
        <is>
          <t>GDP Deflator</t>
        </is>
      </c>
    </row>
    <row r="2">
      <c r="A2" t="n">
        <v>2022</v>
      </c>
      <c r="C2" t="n">
        <v>0.104</v>
      </c>
      <c r="J2" t="n">
        <v>100</v>
      </c>
    </row>
    <row r="3">
      <c r="A3" t="n">
        <v>2023</v>
      </c>
      <c r="C3" t="n">
        <v>0.062</v>
      </c>
      <c r="J3" t="n">
        <v>104</v>
      </c>
    </row>
    <row r="4">
      <c r="A4" t="n">
        <v>2024</v>
      </c>
      <c r="C4" t="n">
        <v>0.048</v>
      </c>
      <c r="J4" t="n">
        <v>107.6</v>
      </c>
    </row>
    <row r="5">
      <c r="A5" t="n">
        <v>2025</v>
      </c>
      <c r="C5" t="n">
        <v>0.05</v>
      </c>
      <c r="J5" t="n">
        <v>110.8</v>
      </c>
    </row>
    <row r="6">
      <c r="A6" t="n">
        <v>2026</v>
      </c>
      <c r="C6" t="n">
        <v>0.05</v>
      </c>
      <c r="J6" t="n">
        <v>114.1</v>
      </c>
    </row>
    <row r="7">
      <c r="A7" t="n">
        <v>2027</v>
      </c>
      <c r="C7" t="n">
        <v>0.05</v>
      </c>
      <c r="J7" t="n">
        <v>117.6</v>
      </c>
    </row>
    <row r="8">
      <c r="A8" t="n">
        <v>2028</v>
      </c>
      <c r="C8" t="n">
        <v>0.05</v>
      </c>
      <c r="J8">
        <f>J7*(1+0.03120335042365735)</f>
        <v/>
      </c>
    </row>
    <row r="9">
      <c r="A9" t="n">
        <v>2029</v>
      </c>
      <c r="C9" t="n">
        <v>0.05</v>
      </c>
      <c r="J9">
        <f>J8*(1+0.03120335042365735)</f>
        <v/>
      </c>
    </row>
    <row r="10">
      <c r="A10" t="n">
        <v>2030</v>
      </c>
      <c r="C10" t="n">
        <v>0.05</v>
      </c>
      <c r="J10">
        <f>J9*(1+0.03120335042365735)</f>
        <v/>
      </c>
    </row>
    <row r="11">
      <c r="A11" t="n">
        <v>2031</v>
      </c>
      <c r="C11" t="n">
        <v>0.05</v>
      </c>
      <c r="J11">
        <f>J10*(1+0.03120335042365735)</f>
        <v/>
      </c>
    </row>
    <row r="12">
      <c r="A12" t="n">
        <v>2032</v>
      </c>
      <c r="C12" t="n">
        <v>0.05</v>
      </c>
      <c r="J12">
        <f>J11*(1+0.03120335042365735)</f>
        <v/>
      </c>
    </row>
    <row r="13">
      <c r="A13" t="n">
        <v>2033</v>
      </c>
      <c r="C13" t="n">
        <v>0.05</v>
      </c>
      <c r="J13">
        <f>J12*(1+0.03120335042365735)</f>
        <v/>
      </c>
    </row>
    <row r="14">
      <c r="A14" t="n">
        <v>2034</v>
      </c>
      <c r="C14" t="n">
        <v>0.05</v>
      </c>
      <c r="J14">
        <f>J13*(1+0.03120335042365735)</f>
        <v/>
      </c>
    </row>
    <row r="15">
      <c r="A15" t="n">
        <v>2035</v>
      </c>
      <c r="C15" t="n">
        <v>0.05</v>
      </c>
      <c r="J15">
        <f>J14*(1+0.03120335042365735)</f>
        <v/>
      </c>
    </row>
    <row r="16">
      <c r="A16" t="n">
        <v>2036</v>
      </c>
      <c r="C16" t="n">
        <v>0.05</v>
      </c>
      <c r="J16">
        <f>J15*(1+0.03120335042365735)</f>
        <v/>
      </c>
    </row>
    <row r="17">
      <c r="A17" t="n">
        <v>2037</v>
      </c>
      <c r="C17" t="n">
        <v>0.05</v>
      </c>
      <c r="J17">
        <f>J16*(1+0.03120335042365735)</f>
        <v/>
      </c>
    </row>
    <row r="18">
      <c r="A18" t="n">
        <v>2038</v>
      </c>
      <c r="C18" t="n">
        <v>0.05</v>
      </c>
      <c r="J18">
        <f>J17*(1+0.03120335042365735)</f>
        <v/>
      </c>
    </row>
    <row r="19">
      <c r="A19" t="n">
        <v>2039</v>
      </c>
      <c r="C19" t="n">
        <v>0.05</v>
      </c>
      <c r="J19">
        <f>J18*(1+0.03120335042365735)</f>
        <v/>
      </c>
    </row>
    <row r="20">
      <c r="A20" t="n">
        <v>2040</v>
      </c>
      <c r="C20" t="n">
        <v>0.05</v>
      </c>
      <c r="J20">
        <f>J19*(1+0.03120335042365735)</f>
        <v/>
      </c>
    </row>
    <row r="21">
      <c r="A21" t="n">
        <v>2041</v>
      </c>
      <c r="C21" t="n">
        <v>0.05</v>
      </c>
      <c r="J21">
        <f>J20*(1+0.03120335042365735)</f>
        <v/>
      </c>
    </row>
    <row r="22">
      <c r="A22" t="n">
        <v>2042</v>
      </c>
      <c r="C22" t="n">
        <v>0.05</v>
      </c>
      <c r="J22">
        <f>J21*(1+0.03120335042365735)</f>
        <v/>
      </c>
    </row>
    <row r="23">
      <c r="A23" t="n">
        <v>2043</v>
      </c>
      <c r="C23" t="n">
        <v>0.05</v>
      </c>
      <c r="J23">
        <f>J22*(1+0.03120335042365735)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1</t>
        </is>
      </c>
      <c r="C1" t="n">
        <v>1000</v>
      </c>
    </row>
    <row r="2">
      <c r="A2" t="inlineStr">
        <is>
          <t>Product 2</t>
        </is>
      </c>
      <c r="C2" t="n">
        <v>1000</v>
      </c>
    </row>
    <row r="3">
      <c r="A3" t="inlineStr">
        <is>
          <t>Product 3</t>
        </is>
      </c>
      <c r="C3" t="n">
        <v>1000</v>
      </c>
    </row>
    <row r="4">
      <c r="A4" t="inlineStr">
        <is>
          <t>Product 4</t>
        </is>
      </c>
      <c r="C4" t="n">
        <v>1000</v>
      </c>
    </row>
    <row r="5">
      <c r="A5" t="inlineStr">
        <is>
          <t>Product 5</t>
        </is>
      </c>
      <c r="C5" t="n">
        <v>1000</v>
      </c>
    </row>
    <row r="6">
      <c r="A6" t="inlineStr">
        <is>
          <t>Product 6</t>
        </is>
      </c>
      <c r="C6" t="n">
        <v>1000</v>
      </c>
    </row>
    <row r="7">
      <c r="A7" t="inlineStr">
        <is>
          <t>Product 7</t>
        </is>
      </c>
      <c r="C7" t="n">
        <v>1000</v>
      </c>
    </row>
    <row r="8">
      <c r="A8" t="inlineStr">
        <is>
          <t>Product 8</t>
        </is>
      </c>
      <c r="C8" t="n">
        <v>1000</v>
      </c>
    </row>
    <row r="9">
      <c r="A9" t="inlineStr">
        <is>
          <t>Product 9</t>
        </is>
      </c>
      <c r="C9" t="n">
        <v>1000</v>
      </c>
    </row>
    <row r="10">
      <c r="A10" t="inlineStr">
        <is>
          <t>Product 10</t>
        </is>
      </c>
      <c r="C10" t="n">
        <v>1000</v>
      </c>
    </row>
    <row r="11">
      <c r="A11" t="inlineStr">
        <is>
          <t>Product 11</t>
        </is>
      </c>
      <c r="C11" t="n">
        <v>1000</v>
      </c>
    </row>
    <row r="12">
      <c r="A12" t="inlineStr">
        <is>
          <t>Product 12</t>
        </is>
      </c>
      <c r="C12" t="n">
        <v>1000</v>
      </c>
    </row>
    <row r="13">
      <c r="A13" t="inlineStr">
        <is>
          <t>Product 13</t>
        </is>
      </c>
      <c r="C13" t="n">
        <v>1000</v>
      </c>
    </row>
    <row r="14">
      <c r="A14" t="inlineStr">
        <is>
          <t>Product 14</t>
        </is>
      </c>
      <c r="C14" t="n">
        <v>1000</v>
      </c>
    </row>
    <row r="15">
      <c r="A15" t="inlineStr">
        <is>
          <t>Product 15</t>
        </is>
      </c>
      <c r="C15" t="n">
        <v>1000</v>
      </c>
    </row>
    <row r="16">
      <c r="A16" t="inlineStr">
        <is>
          <t>Product 16</t>
        </is>
      </c>
      <c r="C16" t="n">
        <v>1000</v>
      </c>
    </row>
    <row r="17">
      <c r="A17" t="inlineStr">
        <is>
          <t>Product 17</t>
        </is>
      </c>
      <c r="C17" t="n">
        <v>1000</v>
      </c>
    </row>
    <row r="18">
      <c r="A18" t="inlineStr">
        <is>
          <t>Product 18</t>
        </is>
      </c>
      <c r="C18" t="n">
        <v>1000</v>
      </c>
    </row>
    <row r="19">
      <c r="A19" t="inlineStr">
        <is>
          <t>Product 19</t>
        </is>
      </c>
      <c r="C19" t="n">
        <v>1000</v>
      </c>
    </row>
    <row r="20">
      <c r="A20" t="inlineStr">
        <is>
          <t>Product 20</t>
        </is>
      </c>
      <c r="C20" t="n">
        <v>1000</v>
      </c>
    </row>
    <row r="21">
      <c r="A21" t="inlineStr">
        <is>
          <t>Product 21</t>
        </is>
      </c>
      <c r="C21" t="n">
        <v>1000</v>
      </c>
    </row>
    <row r="22">
      <c r="A22" t="inlineStr">
        <is>
          <t>Product 22</t>
        </is>
      </c>
      <c r="C22" t="n">
        <v>1000</v>
      </c>
    </row>
    <row r="23">
      <c r="A23" t="inlineStr">
        <is>
          <t>Product 23</t>
        </is>
      </c>
      <c r="C23" t="n">
        <v>1000</v>
      </c>
    </row>
    <row r="24">
      <c r="A24" t="inlineStr">
        <is>
          <t>Product 24</t>
        </is>
      </c>
      <c r="C24" t="n">
        <v>1000</v>
      </c>
    </row>
    <row r="25">
      <c r="A25" t="inlineStr">
        <is>
          <t>Product 25</t>
        </is>
      </c>
      <c r="C25" t="n">
        <v>1000</v>
      </c>
    </row>
    <row r="26">
      <c r="A26" t="inlineStr">
        <is>
          <t>Product 26</t>
        </is>
      </c>
      <c r="C26" t="n">
        <v>1000</v>
      </c>
    </row>
    <row r="27">
      <c r="A27" t="inlineStr">
        <is>
          <t>Product 27</t>
        </is>
      </c>
      <c r="C27" t="n">
        <v>1000</v>
      </c>
    </row>
    <row r="28">
      <c r="A28" t="inlineStr">
        <is>
          <t>Product 28</t>
        </is>
      </c>
      <c r="C28" t="n">
        <v>1000</v>
      </c>
    </row>
    <row r="29">
      <c r="A29" t="inlineStr">
        <is>
          <t>Product 29</t>
        </is>
      </c>
      <c r="C29" t="n">
        <v>1000</v>
      </c>
    </row>
    <row r="30">
      <c r="A30" t="inlineStr">
        <is>
          <t>Product 30</t>
        </is>
      </c>
      <c r="C30" t="n">
        <v>1000</v>
      </c>
    </row>
    <row r="31">
      <c r="A31" t="inlineStr">
        <is>
          <t>Product 31</t>
        </is>
      </c>
      <c r="C31" t="n">
        <v>1000</v>
      </c>
    </row>
    <row r="32">
      <c r="A32" t="inlineStr">
        <is>
          <t>Product 32</t>
        </is>
      </c>
      <c r="C32" t="n">
        <v>1000</v>
      </c>
    </row>
    <row r="33">
      <c r="A33" t="inlineStr">
        <is>
          <t>Product 33</t>
        </is>
      </c>
      <c r="C33" t="n">
        <v>1000</v>
      </c>
    </row>
    <row r="34">
      <c r="A34" t="inlineStr">
        <is>
          <t>Product 34</t>
        </is>
      </c>
      <c r="C34" t="n">
        <v>1000</v>
      </c>
    </row>
    <row r="35">
      <c r="A35" t="inlineStr">
        <is>
          <t>Product 35</t>
        </is>
      </c>
      <c r="C35" t="n">
        <v>1000</v>
      </c>
    </row>
    <row r="36">
      <c r="A36" t="inlineStr">
        <is>
          <t>Product 36</t>
        </is>
      </c>
      <c r="C36" t="n">
        <v>1000</v>
      </c>
    </row>
    <row r="37">
      <c r="A37" t="inlineStr">
        <is>
          <t>Product 37</t>
        </is>
      </c>
      <c r="C37" t="n">
        <v>1000</v>
      </c>
    </row>
    <row r="38">
      <c r="A38" t="inlineStr">
        <is>
          <t>Product 38</t>
        </is>
      </c>
      <c r="C38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1</t>
        </is>
      </c>
      <c r="E1" t="n">
        <v>200</v>
      </c>
      <c r="F1" t="n">
        <v>80</v>
      </c>
    </row>
    <row r="2">
      <c r="A2" t="inlineStr">
        <is>
          <t>Product 2</t>
        </is>
      </c>
      <c r="E2" t="n">
        <v>200</v>
      </c>
      <c r="F2" t="n">
        <v>80</v>
      </c>
    </row>
    <row r="3">
      <c r="A3" t="inlineStr">
        <is>
          <t>Product 3</t>
        </is>
      </c>
      <c r="E3" t="n">
        <v>200</v>
      </c>
      <c r="F3" t="n">
        <v>80</v>
      </c>
    </row>
    <row r="4">
      <c r="A4" t="inlineStr">
        <is>
          <t>Product 4</t>
        </is>
      </c>
      <c r="E4" t="n">
        <v>200</v>
      </c>
      <c r="F4" t="n">
        <v>80</v>
      </c>
    </row>
    <row r="5">
      <c r="A5" t="inlineStr">
        <is>
          <t>Product 5</t>
        </is>
      </c>
      <c r="E5" t="n">
        <v>200</v>
      </c>
      <c r="F5" t="n">
        <v>80</v>
      </c>
    </row>
    <row r="6">
      <c r="A6" t="inlineStr">
        <is>
          <t>Product 6</t>
        </is>
      </c>
      <c r="E6" t="n">
        <v>200</v>
      </c>
      <c r="F6" t="n">
        <v>80</v>
      </c>
    </row>
    <row r="7">
      <c r="A7" t="inlineStr">
        <is>
          <t>Product 7</t>
        </is>
      </c>
      <c r="E7" t="n">
        <v>200</v>
      </c>
      <c r="F7" t="n">
        <v>80</v>
      </c>
    </row>
    <row r="8">
      <c r="A8" t="inlineStr">
        <is>
          <t>Product 8</t>
        </is>
      </c>
      <c r="E8" t="n">
        <v>200</v>
      </c>
      <c r="F8" t="n">
        <v>80</v>
      </c>
    </row>
    <row r="9">
      <c r="A9" t="inlineStr">
        <is>
          <t>Product 9</t>
        </is>
      </c>
      <c r="E9" t="n">
        <v>200</v>
      </c>
      <c r="F9" t="n">
        <v>80</v>
      </c>
    </row>
    <row r="10">
      <c r="A10" t="inlineStr">
        <is>
          <t>Product 10</t>
        </is>
      </c>
      <c r="E10" t="n">
        <v>200</v>
      </c>
      <c r="F10" t="n">
        <v>80</v>
      </c>
    </row>
    <row r="11">
      <c r="A11" t="inlineStr">
        <is>
          <t>Product 11</t>
        </is>
      </c>
      <c r="E11" t="n">
        <v>200</v>
      </c>
      <c r="F11" t="n">
        <v>80</v>
      </c>
    </row>
    <row r="12">
      <c r="A12" t="inlineStr">
        <is>
          <t>Product 12</t>
        </is>
      </c>
      <c r="E12" t="n">
        <v>200</v>
      </c>
      <c r="F12" t="n">
        <v>80</v>
      </c>
    </row>
    <row r="13">
      <c r="A13" t="inlineStr">
        <is>
          <t>Product 13</t>
        </is>
      </c>
      <c r="E13" t="n">
        <v>200</v>
      </c>
      <c r="F13" t="n">
        <v>80</v>
      </c>
    </row>
    <row r="14">
      <c r="A14" t="inlineStr">
        <is>
          <t>Product 14</t>
        </is>
      </c>
      <c r="E14" t="n">
        <v>200</v>
      </c>
      <c r="F14" t="n">
        <v>80</v>
      </c>
    </row>
    <row r="15">
      <c r="A15" t="inlineStr">
        <is>
          <t>Product 15</t>
        </is>
      </c>
      <c r="E15" t="n">
        <v>200</v>
      </c>
      <c r="F15" t="n">
        <v>80</v>
      </c>
    </row>
    <row r="16">
      <c r="A16" t="inlineStr">
        <is>
          <t>Product 16</t>
        </is>
      </c>
      <c r="E16" t="n">
        <v>200</v>
      </c>
      <c r="F16" t="n">
        <v>80</v>
      </c>
    </row>
    <row r="17">
      <c r="A17" t="inlineStr">
        <is>
          <t>Product 17</t>
        </is>
      </c>
      <c r="E17" t="n">
        <v>200</v>
      </c>
      <c r="F17" t="n">
        <v>80</v>
      </c>
    </row>
    <row r="18">
      <c r="A18" t="inlineStr">
        <is>
          <t>Product 18</t>
        </is>
      </c>
      <c r="E18" t="n">
        <v>200</v>
      </c>
      <c r="F18" t="n">
        <v>80</v>
      </c>
    </row>
    <row r="19">
      <c r="A19" t="inlineStr">
        <is>
          <t>Product 19</t>
        </is>
      </c>
      <c r="E19" t="n">
        <v>200</v>
      </c>
      <c r="F19" t="n">
        <v>80</v>
      </c>
    </row>
    <row r="20">
      <c r="A20" t="inlineStr">
        <is>
          <t>Product 20</t>
        </is>
      </c>
      <c r="E20" t="n">
        <v>200</v>
      </c>
      <c r="F20" t="n">
        <v>80</v>
      </c>
    </row>
    <row r="21">
      <c r="A21" t="inlineStr">
        <is>
          <t>Product 21</t>
        </is>
      </c>
      <c r="E21" t="n">
        <v>200</v>
      </c>
      <c r="F21" t="n">
        <v>80</v>
      </c>
    </row>
    <row r="22">
      <c r="A22" t="inlineStr">
        <is>
          <t>Product 22</t>
        </is>
      </c>
      <c r="E22" t="n">
        <v>200</v>
      </c>
      <c r="F22" t="n">
        <v>80</v>
      </c>
    </row>
    <row r="23">
      <c r="A23" t="inlineStr">
        <is>
          <t>Product 23</t>
        </is>
      </c>
      <c r="E23" t="n">
        <v>200</v>
      </c>
      <c r="F23" t="n">
        <v>80</v>
      </c>
    </row>
    <row r="24">
      <c r="A24" t="inlineStr">
        <is>
          <t>Product 24</t>
        </is>
      </c>
      <c r="E24" t="n">
        <v>200</v>
      </c>
      <c r="F24" t="n">
        <v>80</v>
      </c>
    </row>
    <row r="25">
      <c r="A25" t="inlineStr">
        <is>
          <t>Product 25</t>
        </is>
      </c>
      <c r="E25" t="n">
        <v>200</v>
      </c>
      <c r="F25" t="n">
        <v>80</v>
      </c>
    </row>
    <row r="26">
      <c r="A26" t="inlineStr">
        <is>
          <t>Product 26</t>
        </is>
      </c>
      <c r="E26" t="n">
        <v>200</v>
      </c>
      <c r="F26" t="n">
        <v>80</v>
      </c>
    </row>
    <row r="27">
      <c r="A27" t="inlineStr">
        <is>
          <t>Product 27</t>
        </is>
      </c>
      <c r="E27" t="n">
        <v>200</v>
      </c>
      <c r="F27" t="n">
        <v>80</v>
      </c>
    </row>
    <row r="28">
      <c r="A28" t="inlineStr">
        <is>
          <t>Product 28</t>
        </is>
      </c>
      <c r="E28" t="n">
        <v>200</v>
      </c>
      <c r="F28" t="n">
        <v>80</v>
      </c>
    </row>
    <row r="29">
      <c r="A29" t="inlineStr">
        <is>
          <t>Product 29</t>
        </is>
      </c>
      <c r="E29" t="n">
        <v>200</v>
      </c>
      <c r="F29" t="n">
        <v>80</v>
      </c>
    </row>
    <row r="30">
      <c r="A30" t="inlineStr">
        <is>
          <t>Product 30</t>
        </is>
      </c>
      <c r="E30" t="n">
        <v>200</v>
      </c>
      <c r="F30" t="n">
        <v>80</v>
      </c>
    </row>
    <row r="31">
      <c r="A31" t="inlineStr">
        <is>
          <t>Product 31</t>
        </is>
      </c>
      <c r="E31" t="n">
        <v>200</v>
      </c>
      <c r="F31" t="n">
        <v>80</v>
      </c>
    </row>
    <row r="32">
      <c r="A32" t="inlineStr">
        <is>
          <t>Product 32</t>
        </is>
      </c>
      <c r="E32" t="n">
        <v>200</v>
      </c>
      <c r="F32" t="n">
        <v>80</v>
      </c>
    </row>
    <row r="33">
      <c r="A33" t="inlineStr">
        <is>
          <t>Product 33</t>
        </is>
      </c>
      <c r="E33" t="n">
        <v>200</v>
      </c>
      <c r="F33" t="n">
        <v>80</v>
      </c>
    </row>
    <row r="34">
      <c r="A34" t="inlineStr">
        <is>
          <t>Product 34</t>
        </is>
      </c>
      <c r="E34" t="n">
        <v>200</v>
      </c>
      <c r="F34" t="n">
        <v>80</v>
      </c>
    </row>
    <row r="35">
      <c r="A35" t="inlineStr">
        <is>
          <t>Product 35</t>
        </is>
      </c>
      <c r="E35" t="n">
        <v>200</v>
      </c>
      <c r="F35" t="n">
        <v>80</v>
      </c>
    </row>
    <row r="36">
      <c r="A36" t="inlineStr">
        <is>
          <t>Product 36</t>
        </is>
      </c>
      <c r="E36" t="n">
        <v>200</v>
      </c>
      <c r="F36" t="n">
        <v>80</v>
      </c>
    </row>
    <row r="37">
      <c r="A37" t="inlineStr">
        <is>
          <t>Product 37</t>
        </is>
      </c>
      <c r="E37" t="n">
        <v>200</v>
      </c>
      <c r="F37" t="n">
        <v>80</v>
      </c>
    </row>
    <row r="38">
      <c r="A38" t="inlineStr">
        <is>
          <t>Product 38</t>
        </is>
      </c>
      <c r="E38" t="n">
        <v>200</v>
      </c>
      <c r="F38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1:H46"/>
  <sheetViews>
    <sheetView workbookViewId="0">
      <selection activeCell="A1" sqref="A1"/>
    </sheetView>
  </sheetViews>
  <sheetFormatPr baseColWidth="8" defaultRowHeight="15"/>
  <sheetData>
    <row r="1">
      <c r="C1">
        <f>SUPPLY!C1</f>
        <v/>
      </c>
      <c r="D1">
        <f>USE!E1</f>
        <v/>
      </c>
      <c r="E1">
        <f>USE!F1</f>
        <v/>
      </c>
      <c r="F1">
        <f>E1/D1</f>
        <v/>
      </c>
      <c r="G1" t="n">
        <v>0</v>
      </c>
      <c r="H1" t="n">
        <v>0</v>
      </c>
    </row>
    <row r="2">
      <c r="C2">
        <f>SUPPLY!C2</f>
        <v/>
      </c>
      <c r="D2">
        <f>USE!E2</f>
        <v/>
      </c>
      <c r="E2">
        <f>USE!F2</f>
        <v/>
      </c>
      <c r="F2">
        <f>E2/D2</f>
        <v/>
      </c>
      <c r="G2" t="n">
        <v>0</v>
      </c>
      <c r="H2" t="n">
        <v>0</v>
      </c>
    </row>
    <row r="3">
      <c r="C3">
        <f>SUPPLY!C3</f>
        <v/>
      </c>
      <c r="D3">
        <f>USE!E3</f>
        <v/>
      </c>
      <c r="E3">
        <f>USE!F3</f>
        <v/>
      </c>
      <c r="F3">
        <f>E3/D3</f>
        <v/>
      </c>
      <c r="G3" t="n">
        <v>0</v>
      </c>
      <c r="H3" t="n">
        <v>0</v>
      </c>
    </row>
    <row r="4">
      <c r="C4">
        <f>SUPPLY!C4</f>
        <v/>
      </c>
      <c r="D4">
        <f>USE!E4</f>
        <v/>
      </c>
      <c r="E4">
        <f>USE!F4</f>
        <v/>
      </c>
      <c r="F4">
        <f>E4/D4</f>
        <v/>
      </c>
      <c r="G4" t="n">
        <v>0</v>
      </c>
      <c r="H4" t="n">
        <v>0</v>
      </c>
    </row>
    <row r="5">
      <c r="C5">
        <f>SUPPLY!C5</f>
        <v/>
      </c>
      <c r="D5">
        <f>USE!E5</f>
        <v/>
      </c>
      <c r="E5">
        <f>USE!F5</f>
        <v/>
      </c>
      <c r="F5">
        <f>E5/D5</f>
        <v/>
      </c>
      <c r="G5" t="n">
        <v>0</v>
      </c>
      <c r="H5" t="n">
        <v>0</v>
      </c>
    </row>
    <row r="6">
      <c r="C6">
        <f>SUPPLY!C6</f>
        <v/>
      </c>
      <c r="D6">
        <f>USE!E6</f>
        <v/>
      </c>
      <c r="E6">
        <f>USE!F6</f>
        <v/>
      </c>
      <c r="F6">
        <f>E6/D6</f>
        <v/>
      </c>
      <c r="G6" t="n">
        <v>0</v>
      </c>
      <c r="H6" t="n">
        <v>0</v>
      </c>
    </row>
    <row r="7">
      <c r="C7">
        <f>SUPPLY!C7</f>
        <v/>
      </c>
      <c r="D7">
        <f>USE!E7</f>
        <v/>
      </c>
      <c r="E7">
        <f>USE!F7</f>
        <v/>
      </c>
      <c r="F7">
        <f>E7/D7</f>
        <v/>
      </c>
      <c r="G7" t="n">
        <v>0</v>
      </c>
      <c r="H7" t="n">
        <v>0</v>
      </c>
    </row>
    <row r="8">
      <c r="C8">
        <f>SUPPLY!C8</f>
        <v/>
      </c>
      <c r="D8">
        <f>USE!E8</f>
        <v/>
      </c>
      <c r="E8">
        <f>USE!F8</f>
        <v/>
      </c>
      <c r="F8">
        <f>E8/D8</f>
        <v/>
      </c>
      <c r="G8" t="n">
        <v>0</v>
      </c>
      <c r="H8" t="n">
        <v>0</v>
      </c>
    </row>
    <row r="9">
      <c r="C9">
        <f>SUPPLY!C9</f>
        <v/>
      </c>
      <c r="D9">
        <f>USE!E9</f>
        <v/>
      </c>
      <c r="E9">
        <f>USE!F9</f>
        <v/>
      </c>
      <c r="F9">
        <f>E9/D9</f>
        <v/>
      </c>
      <c r="G9" t="n">
        <v>0</v>
      </c>
      <c r="H9" t="n">
        <v>0</v>
      </c>
    </row>
    <row r="10">
      <c r="C10">
        <f>SUPPLY!C10</f>
        <v/>
      </c>
      <c r="D10">
        <f>USE!E10</f>
        <v/>
      </c>
      <c r="E10">
        <f>USE!F10</f>
        <v/>
      </c>
      <c r="F10">
        <f>E10/D10</f>
        <v/>
      </c>
      <c r="G10" t="n">
        <v>0</v>
      </c>
      <c r="H10" t="n">
        <v>0</v>
      </c>
    </row>
    <row r="11">
      <c r="C11">
        <f>SUPPLY!C11</f>
        <v/>
      </c>
      <c r="D11">
        <f>USE!E11</f>
        <v/>
      </c>
      <c r="E11">
        <f>USE!F11</f>
        <v/>
      </c>
      <c r="F11">
        <f>E11/D11</f>
        <v/>
      </c>
      <c r="G11" t="n">
        <v>0</v>
      </c>
      <c r="H11" t="n">
        <v>0</v>
      </c>
    </row>
    <row r="12">
      <c r="C12">
        <f>SUPPLY!C12</f>
        <v/>
      </c>
      <c r="D12">
        <f>USE!E12</f>
        <v/>
      </c>
      <c r="E12">
        <f>USE!F12</f>
        <v/>
      </c>
      <c r="F12">
        <f>E12/D12</f>
        <v/>
      </c>
      <c r="G12" t="n">
        <v>0</v>
      </c>
      <c r="H12" t="n">
        <v>0</v>
      </c>
    </row>
    <row r="13">
      <c r="C13">
        <f>SUPPLY!C13</f>
        <v/>
      </c>
      <c r="D13">
        <f>USE!E13</f>
        <v/>
      </c>
      <c r="E13">
        <f>USE!F13</f>
        <v/>
      </c>
      <c r="F13">
        <f>E13/D13</f>
        <v/>
      </c>
      <c r="G13" t="n">
        <v>0</v>
      </c>
      <c r="H13" t="n">
        <v>0</v>
      </c>
    </row>
    <row r="14">
      <c r="C14">
        <f>SUPPLY!C14</f>
        <v/>
      </c>
      <c r="D14">
        <f>USE!E14</f>
        <v/>
      </c>
      <c r="E14">
        <f>USE!F14</f>
        <v/>
      </c>
      <c r="F14">
        <f>E14/D14</f>
        <v/>
      </c>
      <c r="G14" t="n">
        <v>0</v>
      </c>
      <c r="H14" t="n">
        <v>0</v>
      </c>
    </row>
    <row r="15">
      <c r="C15">
        <f>SUPPLY!C15</f>
        <v/>
      </c>
      <c r="D15">
        <f>USE!E15</f>
        <v/>
      </c>
      <c r="E15">
        <f>USE!F15</f>
        <v/>
      </c>
      <c r="F15">
        <f>E15/D15</f>
        <v/>
      </c>
      <c r="G15" t="n">
        <v>0</v>
      </c>
      <c r="H15" t="n">
        <v>0</v>
      </c>
    </row>
    <row r="16">
      <c r="C16">
        <f>SUPPLY!C16</f>
        <v/>
      </c>
      <c r="D16">
        <f>USE!E16</f>
        <v/>
      </c>
      <c r="E16">
        <f>USE!F16</f>
        <v/>
      </c>
      <c r="F16">
        <f>E16/D16</f>
        <v/>
      </c>
      <c r="G16" t="n">
        <v>0</v>
      </c>
      <c r="H16" t="n">
        <v>0</v>
      </c>
    </row>
    <row r="17">
      <c r="C17">
        <f>SUPPLY!C17</f>
        <v/>
      </c>
      <c r="D17">
        <f>USE!E17</f>
        <v/>
      </c>
      <c r="E17">
        <f>USE!F17</f>
        <v/>
      </c>
      <c r="F17">
        <f>E17/D17</f>
        <v/>
      </c>
      <c r="G17" t="n">
        <v>0</v>
      </c>
      <c r="H17" t="n">
        <v>0</v>
      </c>
    </row>
    <row r="18">
      <c r="C18">
        <f>SUPPLY!C18</f>
        <v/>
      </c>
      <c r="D18">
        <f>USE!E18</f>
        <v/>
      </c>
      <c r="E18">
        <f>USE!F18</f>
        <v/>
      </c>
      <c r="F18">
        <f>E18/D18</f>
        <v/>
      </c>
      <c r="G18" t="n">
        <v>0</v>
      </c>
      <c r="H18" t="n">
        <v>0</v>
      </c>
    </row>
    <row r="19">
      <c r="C19">
        <f>SUPPLY!C19</f>
        <v/>
      </c>
      <c r="D19">
        <f>USE!E19</f>
        <v/>
      </c>
      <c r="E19">
        <f>USE!F19</f>
        <v/>
      </c>
      <c r="F19">
        <f>E19/D19</f>
        <v/>
      </c>
      <c r="G19" t="n">
        <v>0</v>
      </c>
      <c r="H19" t="n">
        <v>0</v>
      </c>
    </row>
    <row r="20">
      <c r="C20">
        <f>SUPPLY!C20</f>
        <v/>
      </c>
      <c r="D20">
        <f>USE!E20</f>
        <v/>
      </c>
      <c r="E20">
        <f>USE!F20</f>
        <v/>
      </c>
      <c r="F20">
        <f>E20/D20</f>
        <v/>
      </c>
      <c r="G20" t="n">
        <v>0</v>
      </c>
      <c r="H20" t="n">
        <v>0</v>
      </c>
    </row>
    <row r="21">
      <c r="C21">
        <f>SUPPLY!C21</f>
        <v/>
      </c>
      <c r="D21">
        <f>USE!E21</f>
        <v/>
      </c>
      <c r="E21">
        <f>USE!F21</f>
        <v/>
      </c>
      <c r="F21">
        <f>E21/D21</f>
        <v/>
      </c>
      <c r="G21" t="n">
        <v>0</v>
      </c>
      <c r="H21" t="n">
        <v>0</v>
      </c>
    </row>
    <row r="22">
      <c r="C22">
        <f>SUPPLY!C22</f>
        <v/>
      </c>
      <c r="D22">
        <f>USE!E22</f>
        <v/>
      </c>
      <c r="E22">
        <f>USE!F22</f>
        <v/>
      </c>
      <c r="F22">
        <f>E22/D22</f>
        <v/>
      </c>
      <c r="G22" t="n">
        <v>0</v>
      </c>
      <c r="H22" t="n">
        <v>0</v>
      </c>
    </row>
    <row r="23">
      <c r="C23">
        <f>SUPPLY!C23</f>
        <v/>
      </c>
      <c r="D23">
        <f>USE!E23</f>
        <v/>
      </c>
      <c r="E23">
        <f>USE!F23</f>
        <v/>
      </c>
      <c r="F23">
        <f>E23/D23</f>
        <v/>
      </c>
      <c r="G23" t="n">
        <v>0</v>
      </c>
      <c r="H23" t="n">
        <v>0</v>
      </c>
    </row>
    <row r="24">
      <c r="C24">
        <f>SUPPLY!C24</f>
        <v/>
      </c>
      <c r="D24">
        <f>USE!E24</f>
        <v/>
      </c>
      <c r="E24">
        <f>USE!F24</f>
        <v/>
      </c>
      <c r="F24">
        <f>E24/D24</f>
        <v/>
      </c>
      <c r="G24" t="n">
        <v>0</v>
      </c>
      <c r="H24" t="n">
        <v>0</v>
      </c>
    </row>
    <row r="25">
      <c r="C25">
        <f>SUPPLY!C25</f>
        <v/>
      </c>
      <c r="D25">
        <f>USE!E25</f>
        <v/>
      </c>
      <c r="E25">
        <f>USE!F25</f>
        <v/>
      </c>
      <c r="F25">
        <f>E25/D25</f>
        <v/>
      </c>
      <c r="G25" t="n">
        <v>0</v>
      </c>
      <c r="H25" t="n">
        <v>0</v>
      </c>
    </row>
    <row r="26">
      <c r="C26">
        <f>SUPPLY!C26</f>
        <v/>
      </c>
      <c r="D26">
        <f>USE!E26</f>
        <v/>
      </c>
      <c r="E26">
        <f>USE!F26</f>
        <v/>
      </c>
      <c r="F26">
        <f>E26/D26</f>
        <v/>
      </c>
      <c r="G26" t="n">
        <v>0</v>
      </c>
      <c r="H26" t="n">
        <v>0</v>
      </c>
    </row>
    <row r="27">
      <c r="C27">
        <f>SUPPLY!C27</f>
        <v/>
      </c>
      <c r="D27">
        <f>USE!E27</f>
        <v/>
      </c>
      <c r="E27">
        <f>USE!F27</f>
        <v/>
      </c>
      <c r="F27">
        <f>E27/D27</f>
        <v/>
      </c>
      <c r="G27" t="n">
        <v>0</v>
      </c>
      <c r="H27" t="n">
        <v>0</v>
      </c>
    </row>
    <row r="28">
      <c r="C28">
        <f>SUPPLY!C28</f>
        <v/>
      </c>
      <c r="D28">
        <f>USE!E28</f>
        <v/>
      </c>
      <c r="E28">
        <f>USE!F28</f>
        <v/>
      </c>
      <c r="F28">
        <f>E28/D28</f>
        <v/>
      </c>
      <c r="G28" t="n">
        <v>0</v>
      </c>
      <c r="H28" t="n">
        <v>0</v>
      </c>
    </row>
    <row r="29">
      <c r="C29">
        <f>SUPPLY!C29</f>
        <v/>
      </c>
      <c r="D29">
        <f>USE!E29</f>
        <v/>
      </c>
      <c r="E29">
        <f>USE!F29</f>
        <v/>
      </c>
      <c r="F29">
        <f>E29/D29</f>
        <v/>
      </c>
      <c r="G29" t="n">
        <v>0</v>
      </c>
      <c r="H29" t="n">
        <v>0</v>
      </c>
    </row>
    <row r="30">
      <c r="C30">
        <f>SUPPLY!C30</f>
        <v/>
      </c>
      <c r="D30">
        <f>USE!E30</f>
        <v/>
      </c>
      <c r="E30">
        <f>USE!F30</f>
        <v/>
      </c>
      <c r="F30">
        <f>E30/D30</f>
        <v/>
      </c>
      <c r="G30" t="n">
        <v>0</v>
      </c>
      <c r="H30" t="n">
        <v>0</v>
      </c>
    </row>
    <row r="31">
      <c r="C31">
        <f>SUPPLY!C31</f>
        <v/>
      </c>
      <c r="D31">
        <f>USE!E31</f>
        <v/>
      </c>
      <c r="E31">
        <f>USE!F31</f>
        <v/>
      </c>
      <c r="F31">
        <f>E31/D31</f>
        <v/>
      </c>
      <c r="G31" t="n">
        <v>0</v>
      </c>
      <c r="H31" t="n">
        <v>0</v>
      </c>
    </row>
    <row r="32">
      <c r="C32">
        <f>SUPPLY!C32</f>
        <v/>
      </c>
      <c r="D32">
        <f>USE!E32</f>
        <v/>
      </c>
      <c r="E32">
        <f>USE!F32</f>
        <v/>
      </c>
      <c r="F32">
        <f>E32/D32</f>
        <v/>
      </c>
      <c r="G32" t="n">
        <v>0</v>
      </c>
      <c r="H32" t="n">
        <v>0</v>
      </c>
    </row>
    <row r="33">
      <c r="C33">
        <f>SUPPLY!C33</f>
        <v/>
      </c>
      <c r="D33">
        <f>USE!E33</f>
        <v/>
      </c>
      <c r="E33">
        <f>USE!F33</f>
        <v/>
      </c>
      <c r="F33">
        <f>E33/D33</f>
        <v/>
      </c>
      <c r="G33" t="n">
        <v>0</v>
      </c>
      <c r="H33" t="n">
        <v>0</v>
      </c>
    </row>
    <row r="34">
      <c r="C34">
        <f>SUPPLY!C34</f>
        <v/>
      </c>
      <c r="D34">
        <f>USE!E34</f>
        <v/>
      </c>
      <c r="E34">
        <f>USE!F34</f>
        <v/>
      </c>
      <c r="F34">
        <f>E34/D34</f>
        <v/>
      </c>
      <c r="G34" t="n">
        <v>0</v>
      </c>
      <c r="H34" t="n">
        <v>0</v>
      </c>
    </row>
    <row r="35">
      <c r="C35">
        <f>SUPPLY!C35</f>
        <v/>
      </c>
      <c r="D35">
        <f>USE!E35</f>
        <v/>
      </c>
      <c r="E35">
        <f>USE!F35</f>
        <v/>
      </c>
      <c r="F35">
        <f>E35/D35</f>
        <v/>
      </c>
      <c r="G35" t="n">
        <v>0</v>
      </c>
      <c r="H35" t="n">
        <v>0</v>
      </c>
    </row>
    <row r="36">
      <c r="C36">
        <f>SUPPLY!C36</f>
        <v/>
      </c>
      <c r="D36">
        <f>USE!E36</f>
        <v/>
      </c>
      <c r="E36">
        <f>USE!F36</f>
        <v/>
      </c>
      <c r="F36">
        <f>E36/D36</f>
        <v/>
      </c>
      <c r="G36" t="n">
        <v>0</v>
      </c>
      <c r="H36" t="n">
        <v>0</v>
      </c>
    </row>
    <row r="37">
      <c r="C37">
        <f>SUPPLY!C37</f>
        <v/>
      </c>
      <c r="D37">
        <f>USE!E37</f>
        <v/>
      </c>
      <c r="E37">
        <f>USE!F37</f>
        <v/>
      </c>
      <c r="F37">
        <f>E37/D37</f>
        <v/>
      </c>
      <c r="G37" t="n">
        <v>0</v>
      </c>
      <c r="H37" t="n">
        <v>0</v>
      </c>
    </row>
    <row r="38">
      <c r="C38">
        <f>SUPPLY!C38</f>
        <v/>
      </c>
      <c r="D38">
        <f>USE!E38</f>
        <v/>
      </c>
      <c r="E38">
        <f>USE!F38</f>
        <v/>
      </c>
      <c r="F38">
        <f>E38/D38</f>
        <v/>
      </c>
      <c r="G38" t="n">
        <v>0</v>
      </c>
      <c r="H38" t="n">
        <v>0</v>
      </c>
    </row>
    <row r="46">
      <c r="C46">
        <f>SUM(E1:E38)/SUM(D1:D38)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1</t>
        </is>
      </c>
    </row>
    <row r="2">
      <c r="A2" t="inlineStr">
        <is>
          <t>Year</t>
        </is>
      </c>
      <c r="B2" t="inlineStr"/>
      <c r="C2" t="inlineStr">
        <is>
          <t>Real GDP Growth</t>
        </is>
      </c>
      <c r="D2" t="inlineStr">
        <is>
          <t>Inv USD</t>
        </is>
      </c>
      <c r="E2" t="inlineStr">
        <is>
          <t>Inv GEL</t>
        </is>
      </c>
      <c r="F2" t="inlineStr">
        <is>
          <t>Real Inv</t>
        </is>
      </c>
      <c r="G2" t="inlineStr"/>
      <c r="H2" t="inlineStr"/>
      <c r="I2" t="inlineStr"/>
      <c r="J2" t="inlineStr">
        <is>
          <t>Deflator</t>
        </is>
      </c>
      <c r="K2" t="inlineStr">
        <is>
          <t>GDP Shock</t>
        </is>
      </c>
    </row>
    <row r="3">
      <c r="A3" t="n">
        <v>2022</v>
      </c>
      <c r="C3">
        <f>WEO_Data!C2</f>
        <v/>
      </c>
      <c r="D3" t="n">
        <v>0</v>
      </c>
      <c r="E3">
        <f>D3*$D$30</f>
        <v/>
      </c>
      <c r="F3">
        <f>E3/(J3/100)</f>
        <v/>
      </c>
      <c r="J3">
        <f>WEO_Data!J2</f>
        <v/>
      </c>
      <c r="K3">
        <f>F3*(1-$D$33)*$D$31</f>
        <v/>
      </c>
    </row>
    <row r="4">
      <c r="A4" t="n">
        <v>2023</v>
      </c>
      <c r="C4">
        <f>WEO_Data!C3</f>
        <v/>
      </c>
      <c r="D4" t="n">
        <v>0</v>
      </c>
      <c r="E4">
        <f>D4*$D$30</f>
        <v/>
      </c>
      <c r="F4">
        <f>E4/(J4/100)</f>
        <v/>
      </c>
      <c r="J4">
        <f>WEO_Data!J3</f>
        <v/>
      </c>
      <c r="K4">
        <f>F4*(1-$D$33)*$D$31</f>
        <v/>
      </c>
    </row>
    <row r="5">
      <c r="A5" t="n">
        <v>2024</v>
      </c>
      <c r="C5">
        <f>WEO_Data!C4</f>
        <v/>
      </c>
      <c r="D5" t="n">
        <v>0</v>
      </c>
      <c r="E5">
        <f>D5*$D$30</f>
        <v/>
      </c>
      <c r="F5">
        <f>E5/(J5/100)</f>
        <v/>
      </c>
      <c r="J5">
        <f>WEO_Data!J4</f>
        <v/>
      </c>
      <c r="K5">
        <f>F5*(1-$D$33)*$D$31</f>
        <v/>
      </c>
    </row>
    <row r="6">
      <c r="A6" t="n">
        <v>2025</v>
      </c>
      <c r="C6">
        <f>WEO_Data!C5</f>
        <v/>
      </c>
      <c r="D6" t="n">
        <v>0</v>
      </c>
      <c r="E6">
        <f>D6*$D$30</f>
        <v/>
      </c>
      <c r="F6">
        <f>E6/(J6/100)</f>
        <v/>
      </c>
      <c r="J6">
        <f>WEO_Data!J5</f>
        <v/>
      </c>
      <c r="K6">
        <f>F6*(1-$D$33)*$D$31</f>
        <v/>
      </c>
    </row>
    <row r="7">
      <c r="A7" t="n">
        <v>2026</v>
      </c>
      <c r="C7">
        <f>WEO_Data!C6</f>
        <v/>
      </c>
      <c r="D7" t="n">
        <v>0.325</v>
      </c>
      <c r="E7">
        <f>D7*$D$30</f>
        <v/>
      </c>
      <c r="F7">
        <f>E7/(J7/100)</f>
        <v/>
      </c>
      <c r="J7">
        <f>WEO_Data!J6</f>
        <v/>
      </c>
      <c r="K7">
        <f>F7*(1-$D$33)*$D$31</f>
        <v/>
      </c>
    </row>
    <row r="8">
      <c r="A8" t="n">
        <v>2027</v>
      </c>
      <c r="C8">
        <f>WEO_Data!C7</f>
        <v/>
      </c>
      <c r="D8" t="n">
        <v>0.65</v>
      </c>
      <c r="E8">
        <f>D8*$D$30</f>
        <v/>
      </c>
      <c r="F8">
        <f>E8/(J8/100)</f>
        <v/>
      </c>
      <c r="J8">
        <f>WEO_Data!J7</f>
        <v/>
      </c>
      <c r="K8">
        <f>F8*(1-$D$33)*$D$31</f>
        <v/>
      </c>
    </row>
    <row r="9">
      <c r="A9" t="n">
        <v>2028</v>
      </c>
      <c r="C9">
        <f>WEO_Data!C8</f>
        <v/>
      </c>
      <c r="D9" t="n">
        <v>0.975</v>
      </c>
      <c r="E9">
        <f>D9*$D$30</f>
        <v/>
      </c>
      <c r="F9">
        <f>E9/(J9/100)</f>
        <v/>
      </c>
      <c r="J9">
        <f>WEO_Data!J8</f>
        <v/>
      </c>
      <c r="K9">
        <f>F9*(1-$D$33)*$D$31</f>
        <v/>
      </c>
    </row>
    <row r="10">
      <c r="A10" t="n">
        <v>2029</v>
      </c>
      <c r="C10">
        <f>WEO_Data!C9</f>
        <v/>
      </c>
      <c r="D10" t="n">
        <v>1.3</v>
      </c>
      <c r="E10">
        <f>D10*$D$30</f>
        <v/>
      </c>
      <c r="F10">
        <f>E10/(J10/100)</f>
        <v/>
      </c>
      <c r="J10">
        <f>WEO_Data!J9</f>
        <v/>
      </c>
      <c r="K10">
        <f>F10*(1-$D$33)*$D$31</f>
        <v/>
      </c>
    </row>
    <row r="11">
      <c r="A11" t="n">
        <v>2030</v>
      </c>
      <c r="C11">
        <f>WEO_Data!C10</f>
        <v/>
      </c>
      <c r="D11" t="n">
        <v>1.3</v>
      </c>
      <c r="E11">
        <f>D11*$D$30</f>
        <v/>
      </c>
      <c r="F11">
        <f>E11/(J11/100)</f>
        <v/>
      </c>
      <c r="J11">
        <f>WEO_Data!J10</f>
        <v/>
      </c>
      <c r="K11">
        <f>F11*(1-$D$33)*$D$31</f>
        <v/>
      </c>
    </row>
    <row r="12">
      <c r="A12" t="n">
        <v>2031</v>
      </c>
      <c r="C12">
        <f>WEO_Data!C11</f>
        <v/>
      </c>
      <c r="D12" t="n">
        <v>0.975</v>
      </c>
      <c r="E12">
        <f>D12*$D$30</f>
        <v/>
      </c>
      <c r="F12">
        <f>E12/(J12/100)</f>
        <v/>
      </c>
      <c r="J12">
        <f>WEO_Data!J11</f>
        <v/>
      </c>
      <c r="K12">
        <f>F12*(1-$D$33)*$D$31</f>
        <v/>
      </c>
    </row>
    <row r="13">
      <c r="A13" t="n">
        <v>2032</v>
      </c>
      <c r="C13">
        <f>WEO_Data!C12</f>
        <v/>
      </c>
      <c r="D13" t="n">
        <v>0.65</v>
      </c>
      <c r="E13">
        <f>D13*$D$30</f>
        <v/>
      </c>
      <c r="F13">
        <f>E13/(J13/100)</f>
        <v/>
      </c>
      <c r="J13">
        <f>WEO_Data!J12</f>
        <v/>
      </c>
      <c r="K13">
        <f>F13*(1-$D$33)*$D$31</f>
        <v/>
      </c>
    </row>
    <row r="14">
      <c r="A14" t="n">
        <v>2033</v>
      </c>
      <c r="C14">
        <f>WEO_Data!C13</f>
        <v/>
      </c>
      <c r="D14" t="n">
        <v>0.325</v>
      </c>
      <c r="E14">
        <f>D14*$D$30</f>
        <v/>
      </c>
      <c r="F14">
        <f>E14/(J14/100)</f>
        <v/>
      </c>
      <c r="J14">
        <f>WEO_Data!J13</f>
        <v/>
      </c>
      <c r="K14">
        <f>F14*(1-$D$33)*$D$31</f>
        <v/>
      </c>
    </row>
    <row r="15">
      <c r="A15" t="n">
        <v>2034</v>
      </c>
      <c r="C15">
        <f>WEO_Data!C14</f>
        <v/>
      </c>
      <c r="D15" t="n">
        <v>0</v>
      </c>
      <c r="E15">
        <f>D15*$D$30</f>
        <v/>
      </c>
      <c r="F15">
        <f>E15/(J15/100)</f>
        <v/>
      </c>
      <c r="J15">
        <f>WEO_Data!J14</f>
        <v/>
      </c>
      <c r="K15">
        <f>F15*(1-$D$33)*$D$31</f>
        <v/>
      </c>
    </row>
    <row r="16">
      <c r="A16" t="n">
        <v>2035</v>
      </c>
      <c r="C16">
        <f>WEO_Data!C15</f>
        <v/>
      </c>
      <c r="D16" t="n">
        <v>0</v>
      </c>
      <c r="E16">
        <f>D16*$D$30</f>
        <v/>
      </c>
      <c r="F16">
        <f>E16/(J16/100)</f>
        <v/>
      </c>
      <c r="J16">
        <f>WEO_Data!J15</f>
        <v/>
      </c>
      <c r="K16">
        <f>F16*(1-$D$33)*$D$31</f>
        <v/>
      </c>
    </row>
    <row r="17">
      <c r="A17" t="n">
        <v>2036</v>
      </c>
      <c r="C17">
        <f>WEO_Data!C16</f>
        <v/>
      </c>
      <c r="D17" t="n">
        <v>0</v>
      </c>
      <c r="E17">
        <f>D17*$D$30</f>
        <v/>
      </c>
      <c r="F17">
        <f>E17/(J17/100)</f>
        <v/>
      </c>
      <c r="J17">
        <f>WEO_Data!J16</f>
        <v/>
      </c>
      <c r="K17">
        <f>F17*(1-$D$33)*$D$31</f>
        <v/>
      </c>
    </row>
    <row r="18">
      <c r="A18" t="n">
        <v>2037</v>
      </c>
      <c r="C18">
        <f>WEO_Data!C17</f>
        <v/>
      </c>
      <c r="D18" t="n">
        <v>0</v>
      </c>
      <c r="E18">
        <f>D18*$D$30</f>
        <v/>
      </c>
      <c r="F18">
        <f>E18/(J18/100)</f>
        <v/>
      </c>
      <c r="J18">
        <f>WEO_Data!J17</f>
        <v/>
      </c>
      <c r="K18">
        <f>F18*(1-$D$33)*$D$31</f>
        <v/>
      </c>
    </row>
    <row r="19">
      <c r="A19" t="n">
        <v>2038</v>
      </c>
      <c r="C19">
        <f>WEO_Data!C18</f>
        <v/>
      </c>
      <c r="D19" t="n">
        <v>0</v>
      </c>
      <c r="E19">
        <f>D19*$D$30</f>
        <v/>
      </c>
      <c r="F19">
        <f>E19/(J19/100)</f>
        <v/>
      </c>
      <c r="J19">
        <f>WEO_Data!J18</f>
        <v/>
      </c>
      <c r="K19">
        <f>F19*(1-$D$33)*$D$31</f>
        <v/>
      </c>
    </row>
    <row r="20">
      <c r="A20" t="n">
        <v>2039</v>
      </c>
      <c r="C20">
        <f>WEO_Data!C19</f>
        <v/>
      </c>
      <c r="D20" t="n">
        <v>0</v>
      </c>
      <c r="E20">
        <f>D20*$D$30</f>
        <v/>
      </c>
      <c r="F20">
        <f>E20/(J20/100)</f>
        <v/>
      </c>
      <c r="J20">
        <f>WEO_Data!J19</f>
        <v/>
      </c>
      <c r="K20">
        <f>F20*(1-$D$33)*$D$31</f>
        <v/>
      </c>
    </row>
    <row r="21">
      <c r="A21" t="n">
        <v>2040</v>
      </c>
      <c r="C21">
        <f>WEO_Data!C20</f>
        <v/>
      </c>
      <c r="D21" t="n">
        <v>0</v>
      </c>
      <c r="E21">
        <f>D21*$D$30</f>
        <v/>
      </c>
      <c r="F21">
        <f>E21/(J21/100)</f>
        <v/>
      </c>
      <c r="J21">
        <f>WEO_Data!J20</f>
        <v/>
      </c>
      <c r="K21">
        <f>F21*(1-$D$33)*$D$31</f>
        <v/>
      </c>
    </row>
    <row r="22">
      <c r="A22" t="n">
        <v>2041</v>
      </c>
      <c r="C22">
        <f>WEO_Data!C21</f>
        <v/>
      </c>
      <c r="D22" t="n">
        <v>0</v>
      </c>
      <c r="E22">
        <f>D22*$D$30</f>
        <v/>
      </c>
      <c r="F22">
        <f>E22/(J22/100)</f>
        <v/>
      </c>
      <c r="J22">
        <f>WEO_Data!J21</f>
        <v/>
      </c>
      <c r="K22">
        <f>F22*(1-$D$33)*$D$31</f>
        <v/>
      </c>
    </row>
    <row r="23">
      <c r="A23" t="n">
        <v>2042</v>
      </c>
      <c r="C23">
        <f>WEO_Data!C22</f>
        <v/>
      </c>
      <c r="D23" t="n">
        <v>0</v>
      </c>
      <c r="E23">
        <f>D23*$D$30</f>
        <v/>
      </c>
      <c r="F23">
        <f>E23/(J23/100)</f>
        <v/>
      </c>
      <c r="J23">
        <f>WEO_Data!J22</f>
        <v/>
      </c>
      <c r="K23">
        <f>F23*(1-$D$33)*$D$31</f>
        <v/>
      </c>
    </row>
    <row r="24">
      <c r="A24" t="n">
        <v>2043</v>
      </c>
      <c r="C24">
        <f>WEO_Data!C23</f>
        <v/>
      </c>
      <c r="D24" t="n">
        <v>0</v>
      </c>
      <c r="E24">
        <f>D24*$D$30</f>
        <v/>
      </c>
      <c r="F24">
        <f>E24/(J24/100)</f>
        <v/>
      </c>
      <c r="J24">
        <f>WEO_Data!J23</f>
        <v/>
      </c>
      <c r="K24">
        <f>F24*(1-$D$33)*$D$31</f>
        <v/>
      </c>
    </row>
    <row r="30">
      <c r="A30" t="inlineStr">
        <is>
          <t>Scenario 2</t>
        </is>
      </c>
      <c r="D30" t="n">
        <v>2.746</v>
      </c>
    </row>
    <row r="31">
      <c r="A31" t="inlineStr">
        <is>
          <t>Year</t>
        </is>
      </c>
      <c r="B31" t="inlineStr"/>
      <c r="C31" t="inlineStr">
        <is>
          <t>Real GDP Growth</t>
        </is>
      </c>
      <c r="D31" t="inlineStr">
        <is>
          <t>Inv USD</t>
        </is>
      </c>
      <c r="E31" t="inlineStr">
        <is>
          <t>Inv GEL</t>
        </is>
      </c>
      <c r="F31" t="inlineStr">
        <is>
          <t>Real Inv</t>
        </is>
      </c>
      <c r="G31" t="inlineStr"/>
      <c r="H31" t="inlineStr"/>
      <c r="I31" t="inlineStr"/>
      <c r="J31" t="inlineStr">
        <is>
          <t>Deflator</t>
        </is>
      </c>
      <c r="K31" t="inlineStr">
        <is>
          <t>GDP Shock</t>
        </is>
      </c>
    </row>
    <row r="32">
      <c r="A32" t="n">
        <v>2022</v>
      </c>
      <c r="C32">
        <f>WEO_Data!C2</f>
        <v/>
      </c>
      <c r="D32" t="n">
        <v>0</v>
      </c>
      <c r="E32">
        <f>D32*$D$30</f>
        <v/>
      </c>
      <c r="F32">
        <f>E32/(J32/100)</f>
        <v/>
      </c>
      <c r="J32">
        <f>WEO_Data!J2</f>
        <v/>
      </c>
      <c r="K32">
        <f>F32*(1-$D$33)*1.0</f>
        <v/>
      </c>
    </row>
    <row r="33">
      <c r="A33" t="n">
        <v>2023</v>
      </c>
      <c r="C33">
        <f>WEO_Data!C3</f>
        <v/>
      </c>
      <c r="D33" t="n">
        <v>0</v>
      </c>
      <c r="E33">
        <f>D33*$D$30</f>
        <v/>
      </c>
      <c r="F33">
        <f>E33/(J33/100)</f>
        <v/>
      </c>
      <c r="J33">
        <f>WEO_Data!J3</f>
        <v/>
      </c>
      <c r="K33">
        <f>F33*(1-$D$33)*1.0</f>
        <v/>
      </c>
    </row>
    <row r="34">
      <c r="A34" t="n">
        <v>2024</v>
      </c>
      <c r="C34">
        <f>WEO_Data!C4</f>
        <v/>
      </c>
      <c r="D34" t="n">
        <v>0</v>
      </c>
      <c r="E34">
        <f>D34*$D$30</f>
        <v/>
      </c>
      <c r="F34">
        <f>E34/(J34/100)</f>
        <v/>
      </c>
      <c r="J34">
        <f>WEO_Data!J4</f>
        <v/>
      </c>
      <c r="K34">
        <f>F34*(1-$D$33)*1.0</f>
        <v/>
      </c>
    </row>
    <row r="35">
      <c r="A35" t="n">
        <v>2025</v>
      </c>
      <c r="C35">
        <f>WEO_Data!C5</f>
        <v/>
      </c>
      <c r="D35" t="n">
        <v>0</v>
      </c>
      <c r="E35">
        <f>D35*$D$30</f>
        <v/>
      </c>
      <c r="F35">
        <f>E35/(J35/100)</f>
        <v/>
      </c>
      <c r="J35">
        <f>WEO_Data!J5</f>
        <v/>
      </c>
      <c r="K35">
        <f>F35*(1-$D$33)*1.0</f>
        <v/>
      </c>
    </row>
    <row r="36">
      <c r="A36" t="n">
        <v>2026</v>
      </c>
      <c r="C36">
        <f>WEO_Data!C6</f>
        <v/>
      </c>
      <c r="D36" t="n">
        <v>0.325</v>
      </c>
      <c r="E36">
        <f>D36*$D$30</f>
        <v/>
      </c>
      <c r="F36">
        <f>E36/(J36/100)</f>
        <v/>
      </c>
      <c r="J36">
        <f>WEO_Data!J6</f>
        <v/>
      </c>
      <c r="K36">
        <f>F36*(1-$D$33)*1.0</f>
        <v/>
      </c>
    </row>
    <row r="37">
      <c r="A37" t="n">
        <v>2027</v>
      </c>
      <c r="C37">
        <f>WEO_Data!C7</f>
        <v/>
      </c>
      <c r="D37" t="n">
        <v>0.65</v>
      </c>
      <c r="E37">
        <f>D37*$D$30</f>
        <v/>
      </c>
      <c r="F37">
        <f>E37/(J37/100)</f>
        <v/>
      </c>
      <c r="J37">
        <f>WEO_Data!J7</f>
        <v/>
      </c>
      <c r="K37">
        <f>F37*(1-$D$33)*1.0</f>
        <v/>
      </c>
    </row>
    <row r="38">
      <c r="A38" t="n">
        <v>2028</v>
      </c>
      <c r="C38">
        <f>WEO_Data!C8</f>
        <v/>
      </c>
      <c r="D38" t="n">
        <v>0.975</v>
      </c>
      <c r="E38">
        <f>D38*$D$30</f>
        <v/>
      </c>
      <c r="F38">
        <f>E38/(J38/100)</f>
        <v/>
      </c>
      <c r="J38">
        <f>WEO_Data!J8</f>
        <v/>
      </c>
      <c r="K38">
        <f>F38*(1-$D$33)*1.0</f>
        <v/>
      </c>
    </row>
    <row r="39">
      <c r="A39" t="n">
        <v>2029</v>
      </c>
      <c r="C39">
        <f>WEO_Data!C9</f>
        <v/>
      </c>
      <c r="D39" t="n">
        <v>1.3</v>
      </c>
      <c r="E39">
        <f>D39*$D$30</f>
        <v/>
      </c>
      <c r="F39">
        <f>E39/(J39/100)</f>
        <v/>
      </c>
      <c r="J39">
        <f>WEO_Data!J9</f>
        <v/>
      </c>
      <c r="K39">
        <f>F39*(1-$D$33)*1.0</f>
        <v/>
      </c>
    </row>
    <row r="40">
      <c r="A40" t="n">
        <v>2030</v>
      </c>
      <c r="C40">
        <f>WEO_Data!C10</f>
        <v/>
      </c>
      <c r="D40" t="n">
        <v>1.3</v>
      </c>
      <c r="E40">
        <f>D40*$D$30</f>
        <v/>
      </c>
      <c r="F40">
        <f>E40/(J40/100)</f>
        <v/>
      </c>
      <c r="J40">
        <f>WEO_Data!J10</f>
        <v/>
      </c>
      <c r="K40">
        <f>F40*(1-$D$33)*1.0</f>
        <v/>
      </c>
    </row>
    <row r="41">
      <c r="A41" t="n">
        <v>2031</v>
      </c>
      <c r="C41">
        <f>WEO_Data!C11</f>
        <v/>
      </c>
      <c r="D41" t="n">
        <v>0.975</v>
      </c>
      <c r="E41">
        <f>D41*$D$30</f>
        <v/>
      </c>
      <c r="F41">
        <f>E41/(J41/100)</f>
        <v/>
      </c>
      <c r="J41">
        <f>WEO_Data!J11</f>
        <v/>
      </c>
      <c r="K41">
        <f>F41*(1-$D$33)*1.0</f>
        <v/>
      </c>
    </row>
    <row r="42">
      <c r="A42" t="n">
        <v>2032</v>
      </c>
      <c r="C42">
        <f>WEO_Data!C12</f>
        <v/>
      </c>
      <c r="D42" t="n">
        <v>0.65</v>
      </c>
      <c r="E42">
        <f>D42*$D$30</f>
        <v/>
      </c>
      <c r="F42">
        <f>E42/(J42/100)</f>
        <v/>
      </c>
      <c r="J42">
        <f>WEO_Data!J12</f>
        <v/>
      </c>
      <c r="K42">
        <f>F42*(1-$D$33)*1.0</f>
        <v/>
      </c>
    </row>
    <row r="43">
      <c r="A43" t="n">
        <v>2033</v>
      </c>
      <c r="C43">
        <f>WEO_Data!C13</f>
        <v/>
      </c>
      <c r="D43" t="n">
        <v>0.325</v>
      </c>
      <c r="E43">
        <f>D43*$D$30</f>
        <v/>
      </c>
      <c r="F43">
        <f>E43/(J43/100)</f>
        <v/>
      </c>
      <c r="J43">
        <f>WEO_Data!J13</f>
        <v/>
      </c>
      <c r="K43">
        <f>F43*(1-$D$33)*1.0</f>
        <v/>
      </c>
    </row>
    <row r="44">
      <c r="A44" t="n">
        <v>2034</v>
      </c>
      <c r="C44">
        <f>WEO_Data!C14</f>
        <v/>
      </c>
      <c r="D44" t="n">
        <v>0</v>
      </c>
      <c r="E44">
        <f>D44*$D$30</f>
        <v/>
      </c>
      <c r="F44">
        <f>E44/(J44/100)</f>
        <v/>
      </c>
      <c r="J44">
        <f>WEO_Data!J14</f>
        <v/>
      </c>
      <c r="K44">
        <f>F44*(1-$D$33)*1.0</f>
        <v/>
      </c>
    </row>
    <row r="45">
      <c r="A45" t="n">
        <v>2035</v>
      </c>
      <c r="C45">
        <f>WEO_Data!C15</f>
        <v/>
      </c>
      <c r="D45" t="n">
        <v>0</v>
      </c>
      <c r="E45">
        <f>D45*$D$30</f>
        <v/>
      </c>
      <c r="F45">
        <f>E45/(J45/100)</f>
        <v/>
      </c>
      <c r="J45">
        <f>WEO_Data!J15</f>
        <v/>
      </c>
      <c r="K45">
        <f>F45*(1-$D$33)*1.0</f>
        <v/>
      </c>
    </row>
    <row r="46">
      <c r="A46" t="n">
        <v>2036</v>
      </c>
      <c r="C46">
        <f>WEO_Data!C16</f>
        <v/>
      </c>
      <c r="D46" t="n">
        <v>0</v>
      </c>
      <c r="E46">
        <f>D46*$D$30</f>
        <v/>
      </c>
      <c r="F46">
        <f>E46/(J46/100)</f>
        <v/>
      </c>
      <c r="J46">
        <f>WEO_Data!J16</f>
        <v/>
      </c>
      <c r="K46">
        <f>F46*(1-$D$33)*1.0</f>
        <v/>
      </c>
    </row>
    <row r="47">
      <c r="A47" t="n">
        <v>2037</v>
      </c>
      <c r="C47">
        <f>WEO_Data!C17</f>
        <v/>
      </c>
      <c r="D47" t="n">
        <v>0</v>
      </c>
      <c r="E47">
        <f>D47*$D$30</f>
        <v/>
      </c>
      <c r="F47">
        <f>E47/(J47/100)</f>
        <v/>
      </c>
      <c r="J47">
        <f>WEO_Data!J17</f>
        <v/>
      </c>
      <c r="K47">
        <f>F47*(1-$D$33)*1.0</f>
        <v/>
      </c>
    </row>
    <row r="48">
      <c r="A48" t="n">
        <v>2038</v>
      </c>
      <c r="C48">
        <f>WEO_Data!C18</f>
        <v/>
      </c>
      <c r="D48" t="n">
        <v>0</v>
      </c>
      <c r="E48">
        <f>D48*$D$30</f>
        <v/>
      </c>
      <c r="F48">
        <f>E48/(J48/100)</f>
        <v/>
      </c>
      <c r="J48">
        <f>WEO_Data!J18</f>
        <v/>
      </c>
      <c r="K48">
        <f>F48*(1-$D$33)*1.0</f>
        <v/>
      </c>
    </row>
    <row r="49">
      <c r="A49" t="n">
        <v>2039</v>
      </c>
      <c r="C49">
        <f>WEO_Data!C19</f>
        <v/>
      </c>
      <c r="D49" t="n">
        <v>0</v>
      </c>
      <c r="E49">
        <f>D49*$D$30</f>
        <v/>
      </c>
      <c r="F49">
        <f>E49/(J49/100)</f>
        <v/>
      </c>
      <c r="J49">
        <f>WEO_Data!J19</f>
        <v/>
      </c>
      <c r="K49">
        <f>F49*(1-$D$33)*1.0</f>
        <v/>
      </c>
    </row>
    <row r="50">
      <c r="A50" t="n">
        <v>2040</v>
      </c>
      <c r="C50">
        <f>WEO_Data!C20</f>
        <v/>
      </c>
      <c r="D50" t="n">
        <v>0</v>
      </c>
      <c r="E50">
        <f>D50*$D$30</f>
        <v/>
      </c>
      <c r="F50">
        <f>E50/(J50/100)</f>
        <v/>
      </c>
      <c r="J50">
        <f>WEO_Data!J20</f>
        <v/>
      </c>
      <c r="K50">
        <f>F50*(1-$D$33)*1.0</f>
        <v/>
      </c>
    </row>
    <row r="51">
      <c r="A51" t="n">
        <v>2041</v>
      </c>
      <c r="C51">
        <f>WEO_Data!C21</f>
        <v/>
      </c>
      <c r="D51" t="n">
        <v>0</v>
      </c>
      <c r="E51">
        <f>D51*$D$30</f>
        <v/>
      </c>
      <c r="F51">
        <f>E51/(J51/100)</f>
        <v/>
      </c>
      <c r="J51">
        <f>WEO_Data!J21</f>
        <v/>
      </c>
      <c r="K51">
        <f>F51*(1-$D$33)*1.0</f>
        <v/>
      </c>
    </row>
    <row r="52">
      <c r="A52" t="n">
        <v>2042</v>
      </c>
      <c r="C52">
        <f>WEO_Data!C22</f>
        <v/>
      </c>
      <c r="D52" t="n">
        <v>0</v>
      </c>
      <c r="E52">
        <f>D52*$D$30</f>
        <v/>
      </c>
      <c r="F52">
        <f>E52/(J52/100)</f>
        <v/>
      </c>
      <c r="J52">
        <f>WEO_Data!J22</f>
        <v/>
      </c>
      <c r="K52">
        <f>F52*(1-$D$33)*1.0</f>
        <v/>
      </c>
    </row>
    <row r="53">
      <c r="A53" t="n">
        <v>2043</v>
      </c>
      <c r="C53">
        <f>WEO_Data!C23</f>
        <v/>
      </c>
      <c r="D53" t="n">
        <v>0</v>
      </c>
      <c r="E53">
        <f>D53*$D$30</f>
        <v/>
      </c>
      <c r="F53">
        <f>E53/(J53/100)</f>
        <v/>
      </c>
      <c r="J53">
        <f>WEO_Data!J23</f>
        <v/>
      </c>
      <c r="K53">
        <f>F53*(1-$D$33)*1.0</f>
        <v/>
      </c>
    </row>
    <row r="60">
      <c r="A60" t="inlineStr">
        <is>
          <t>Scenario 3</t>
        </is>
      </c>
    </row>
    <row r="61">
      <c r="A61" t="inlineStr">
        <is>
          <t>Year</t>
        </is>
      </c>
      <c r="B61" t="inlineStr"/>
      <c r="C61" t="inlineStr">
        <is>
          <t>Real GDP Growth</t>
        </is>
      </c>
      <c r="D61" t="inlineStr">
        <is>
          <t>Inv USD</t>
        </is>
      </c>
      <c r="E61" t="inlineStr">
        <is>
          <t>Inv GEL</t>
        </is>
      </c>
      <c r="F61" t="inlineStr">
        <is>
          <t>Real Inv</t>
        </is>
      </c>
      <c r="G61" t="inlineStr"/>
      <c r="H61" t="inlineStr"/>
      <c r="I61" t="inlineStr"/>
      <c r="J61" t="inlineStr">
        <is>
          <t>Deflator</t>
        </is>
      </c>
      <c r="K61" t="inlineStr">
        <is>
          <t>GDP Shock</t>
        </is>
      </c>
    </row>
    <row r="62">
      <c r="A62" t="n">
        <v>2022</v>
      </c>
      <c r="C62">
        <f>WEO_Data!C2</f>
        <v/>
      </c>
      <c r="D62" t="n">
        <v>0</v>
      </c>
      <c r="E62">
        <f>D62*$D$30</f>
        <v/>
      </c>
      <c r="F62">
        <f>E62/(J62/100)</f>
        <v/>
      </c>
      <c r="J62">
        <f>WEO_Data!J2</f>
        <v/>
      </c>
      <c r="K62">
        <f>F62*(1-0.5)*$D$31</f>
        <v/>
      </c>
    </row>
    <row r="63">
      <c r="A63" t="n">
        <v>2023</v>
      </c>
      <c r="C63">
        <f>WEO_Data!C3</f>
        <v/>
      </c>
      <c r="D63" t="n">
        <v>0</v>
      </c>
      <c r="E63">
        <f>D63*$D$30</f>
        <v/>
      </c>
      <c r="F63">
        <f>E63/(J63/100)</f>
        <v/>
      </c>
      <c r="J63">
        <f>WEO_Data!J3</f>
        <v/>
      </c>
      <c r="K63">
        <f>F63*(1-0.5)*$D$31</f>
        <v/>
      </c>
    </row>
    <row r="64">
      <c r="A64" t="n">
        <v>2024</v>
      </c>
      <c r="C64">
        <f>WEO_Data!C4</f>
        <v/>
      </c>
      <c r="D64" t="n">
        <v>0</v>
      </c>
      <c r="E64">
        <f>D64*$D$30</f>
        <v/>
      </c>
      <c r="F64">
        <f>E64/(J64/100)</f>
        <v/>
      </c>
      <c r="J64">
        <f>WEO_Data!J4</f>
        <v/>
      </c>
      <c r="K64">
        <f>F64*(1-0.5)*$D$31</f>
        <v/>
      </c>
    </row>
    <row r="65">
      <c r="A65" t="n">
        <v>2025</v>
      </c>
      <c r="C65">
        <f>WEO_Data!C5</f>
        <v/>
      </c>
      <c r="D65" t="n">
        <v>0</v>
      </c>
      <c r="E65">
        <f>D65*$D$30</f>
        <v/>
      </c>
      <c r="F65">
        <f>E65/(J65/100)</f>
        <v/>
      </c>
      <c r="J65">
        <f>WEO_Data!J5</f>
        <v/>
      </c>
      <c r="K65">
        <f>F65*(1-0.5)*$D$31</f>
        <v/>
      </c>
    </row>
    <row r="66">
      <c r="A66" t="n">
        <v>2026</v>
      </c>
      <c r="C66">
        <f>WEO_Data!C6</f>
        <v/>
      </c>
      <c r="D66" t="n">
        <v>0.325</v>
      </c>
      <c r="E66">
        <f>D66*$D$30</f>
        <v/>
      </c>
      <c r="F66">
        <f>E66/(J66/100)</f>
        <v/>
      </c>
      <c r="J66">
        <f>WEO_Data!J6</f>
        <v/>
      </c>
      <c r="K66">
        <f>F66*(1-0.5)*$D$31</f>
        <v/>
      </c>
    </row>
    <row r="67">
      <c r="A67" t="n">
        <v>2027</v>
      </c>
      <c r="C67">
        <f>WEO_Data!C7</f>
        <v/>
      </c>
      <c r="D67" t="n">
        <v>0.65</v>
      </c>
      <c r="E67">
        <f>D67*$D$30</f>
        <v/>
      </c>
      <c r="F67">
        <f>E67/(J67/100)</f>
        <v/>
      </c>
      <c r="J67">
        <f>WEO_Data!J7</f>
        <v/>
      </c>
      <c r="K67">
        <f>F67*(1-0.5)*$D$31</f>
        <v/>
      </c>
    </row>
    <row r="68">
      <c r="A68" t="n">
        <v>2028</v>
      </c>
      <c r="C68">
        <f>WEO_Data!C8</f>
        <v/>
      </c>
      <c r="D68" t="n">
        <v>0.975</v>
      </c>
      <c r="E68">
        <f>D68*$D$30</f>
        <v/>
      </c>
      <c r="F68">
        <f>E68/(J68/100)</f>
        <v/>
      </c>
      <c r="J68">
        <f>WEO_Data!J8</f>
        <v/>
      </c>
      <c r="K68">
        <f>F68*(1-0.5)*$D$31</f>
        <v/>
      </c>
    </row>
    <row r="69">
      <c r="A69" t="n">
        <v>2029</v>
      </c>
      <c r="C69">
        <f>WEO_Data!C9</f>
        <v/>
      </c>
      <c r="D69" t="n">
        <v>1.3</v>
      </c>
      <c r="E69">
        <f>D69*$D$30</f>
        <v/>
      </c>
      <c r="F69">
        <f>E69/(J69/100)</f>
        <v/>
      </c>
      <c r="J69">
        <f>WEO_Data!J9</f>
        <v/>
      </c>
      <c r="K69">
        <f>F69*(1-0.5)*$D$31</f>
        <v/>
      </c>
    </row>
    <row r="70">
      <c r="A70" t="n">
        <v>2030</v>
      </c>
      <c r="C70">
        <f>WEO_Data!C10</f>
        <v/>
      </c>
      <c r="D70" t="n">
        <v>1.3</v>
      </c>
      <c r="E70">
        <f>D70*$D$30</f>
        <v/>
      </c>
      <c r="F70">
        <f>E70/(J70/100)</f>
        <v/>
      </c>
      <c r="J70">
        <f>WEO_Data!J10</f>
        <v/>
      </c>
      <c r="K70">
        <f>F70*(1-0.5)*$D$31</f>
        <v/>
      </c>
    </row>
    <row r="71">
      <c r="A71" t="n">
        <v>2031</v>
      </c>
      <c r="C71">
        <f>WEO_Data!C11</f>
        <v/>
      </c>
      <c r="D71" t="n">
        <v>0.975</v>
      </c>
      <c r="E71">
        <f>D71*$D$30</f>
        <v/>
      </c>
      <c r="F71">
        <f>E71/(J71/100)</f>
        <v/>
      </c>
      <c r="J71">
        <f>WEO_Data!J11</f>
        <v/>
      </c>
      <c r="K71">
        <f>F71*(1-0.5)*$D$31</f>
        <v/>
      </c>
    </row>
    <row r="72">
      <c r="A72" t="n">
        <v>2032</v>
      </c>
      <c r="C72">
        <f>WEO_Data!C12</f>
        <v/>
      </c>
      <c r="D72" t="n">
        <v>0.65</v>
      </c>
      <c r="E72">
        <f>D72*$D$30</f>
        <v/>
      </c>
      <c r="F72">
        <f>E72/(J72/100)</f>
        <v/>
      </c>
      <c r="J72">
        <f>WEO_Data!J12</f>
        <v/>
      </c>
      <c r="K72">
        <f>F72*(1-0.5)*$D$31</f>
        <v/>
      </c>
    </row>
    <row r="73">
      <c r="A73" t="n">
        <v>2033</v>
      </c>
      <c r="C73">
        <f>WEO_Data!C13</f>
        <v/>
      </c>
      <c r="D73" t="n">
        <v>0.325</v>
      </c>
      <c r="E73">
        <f>D73*$D$30</f>
        <v/>
      </c>
      <c r="F73">
        <f>E73/(J73/100)</f>
        <v/>
      </c>
      <c r="J73">
        <f>WEO_Data!J13</f>
        <v/>
      </c>
      <c r="K73">
        <f>F73*(1-0.5)*$D$31</f>
        <v/>
      </c>
    </row>
    <row r="74">
      <c r="A74" t="n">
        <v>2034</v>
      </c>
      <c r="C74">
        <f>WEO_Data!C14</f>
        <v/>
      </c>
      <c r="D74" t="n">
        <v>0</v>
      </c>
      <c r="E74">
        <f>D74*$D$30</f>
        <v/>
      </c>
      <c r="F74">
        <f>E74/(J74/100)</f>
        <v/>
      </c>
      <c r="J74">
        <f>WEO_Data!J14</f>
        <v/>
      </c>
      <c r="K74">
        <f>F74*(1-0.5)*$D$31</f>
        <v/>
      </c>
    </row>
    <row r="75">
      <c r="A75" t="n">
        <v>2035</v>
      </c>
      <c r="C75">
        <f>WEO_Data!C15</f>
        <v/>
      </c>
      <c r="D75" t="n">
        <v>0</v>
      </c>
      <c r="E75">
        <f>D75*$D$30</f>
        <v/>
      </c>
      <c r="F75">
        <f>E75/(J75/100)</f>
        <v/>
      </c>
      <c r="J75">
        <f>WEO_Data!J15</f>
        <v/>
      </c>
      <c r="K75">
        <f>F75*(1-0.5)*$D$31</f>
        <v/>
      </c>
    </row>
    <row r="76">
      <c r="A76" t="n">
        <v>2036</v>
      </c>
      <c r="C76">
        <f>WEO_Data!C16</f>
        <v/>
      </c>
      <c r="D76" t="n">
        <v>0</v>
      </c>
      <c r="E76">
        <f>D76*$D$30</f>
        <v/>
      </c>
      <c r="F76">
        <f>E76/(J76/100)</f>
        <v/>
      </c>
      <c r="J76">
        <f>WEO_Data!J16</f>
        <v/>
      </c>
      <c r="K76">
        <f>F76*(1-0.5)*$D$31</f>
        <v/>
      </c>
    </row>
    <row r="77">
      <c r="A77" t="n">
        <v>2037</v>
      </c>
      <c r="C77">
        <f>WEO_Data!C17</f>
        <v/>
      </c>
      <c r="D77" t="n">
        <v>0</v>
      </c>
      <c r="E77">
        <f>D77*$D$30</f>
        <v/>
      </c>
      <c r="F77">
        <f>E77/(J77/100)</f>
        <v/>
      </c>
      <c r="J77">
        <f>WEO_Data!J17</f>
        <v/>
      </c>
      <c r="K77">
        <f>F77*(1-0.5)*$D$31</f>
        <v/>
      </c>
    </row>
    <row r="78">
      <c r="A78" t="n">
        <v>2038</v>
      </c>
      <c r="C78">
        <f>WEO_Data!C18</f>
        <v/>
      </c>
      <c r="D78" t="n">
        <v>0</v>
      </c>
      <c r="E78">
        <f>D78*$D$30</f>
        <v/>
      </c>
      <c r="F78">
        <f>E78/(J78/100)</f>
        <v/>
      </c>
      <c r="J78">
        <f>WEO_Data!J18</f>
        <v/>
      </c>
      <c r="K78">
        <f>F78*(1-0.5)*$D$31</f>
        <v/>
      </c>
    </row>
    <row r="79">
      <c r="A79" t="n">
        <v>2039</v>
      </c>
      <c r="C79">
        <f>WEO_Data!C19</f>
        <v/>
      </c>
      <c r="D79" t="n">
        <v>0</v>
      </c>
      <c r="E79">
        <f>D79*$D$30</f>
        <v/>
      </c>
      <c r="F79">
        <f>E79/(J79/100)</f>
        <v/>
      </c>
      <c r="J79">
        <f>WEO_Data!J19</f>
        <v/>
      </c>
      <c r="K79">
        <f>F79*(1-0.5)*$D$31</f>
        <v/>
      </c>
    </row>
    <row r="80">
      <c r="A80" t="n">
        <v>2040</v>
      </c>
      <c r="C80">
        <f>WEO_Data!C20</f>
        <v/>
      </c>
      <c r="D80" t="n">
        <v>0</v>
      </c>
      <c r="E80">
        <f>D80*$D$30</f>
        <v/>
      </c>
      <c r="F80">
        <f>E80/(J80/100)</f>
        <v/>
      </c>
      <c r="J80">
        <f>WEO_Data!J20</f>
        <v/>
      </c>
      <c r="K80">
        <f>F80*(1-0.5)*$D$31</f>
        <v/>
      </c>
    </row>
    <row r="81">
      <c r="A81" t="n">
        <v>2041</v>
      </c>
      <c r="C81">
        <f>WEO_Data!C21</f>
        <v/>
      </c>
      <c r="D81" t="n">
        <v>0</v>
      </c>
      <c r="E81">
        <f>D81*$D$30</f>
        <v/>
      </c>
      <c r="F81">
        <f>E81/(J81/100)</f>
        <v/>
      </c>
      <c r="J81">
        <f>WEO_Data!J21</f>
        <v/>
      </c>
      <c r="K81">
        <f>F81*(1-0.5)*$D$31</f>
        <v/>
      </c>
    </row>
    <row r="82">
      <c r="A82" t="n">
        <v>2042</v>
      </c>
      <c r="C82">
        <f>WEO_Data!C22</f>
        <v/>
      </c>
      <c r="D82" t="n">
        <v>0</v>
      </c>
      <c r="E82">
        <f>D82*$D$30</f>
        <v/>
      </c>
      <c r="F82">
        <f>E82/(J82/100)</f>
        <v/>
      </c>
      <c r="J82">
        <f>WEO_Data!J22</f>
        <v/>
      </c>
      <c r="K82">
        <f>F82*(1-0.5)*$D$31</f>
        <v/>
      </c>
    </row>
    <row r="83">
      <c r="A83" t="n">
        <v>2043</v>
      </c>
      <c r="C83">
        <f>WEO_Data!C23</f>
        <v/>
      </c>
      <c r="D83" t="n">
        <v>0</v>
      </c>
      <c r="E83">
        <f>D83*$D$30</f>
        <v/>
      </c>
      <c r="F83">
        <f>E83/(J83/100)</f>
        <v/>
      </c>
      <c r="J83">
        <f>WEO_Data!J23</f>
        <v/>
      </c>
      <c r="K83">
        <f>F83*(1-0.5)*$D$31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2026-01-26T04:33:38Z</dcterms:created>
  <dcterms:modified xsi:type="dcterms:W3CDTF">2026-01-26T04:33:38Z</dcterms:modified>
</cp:coreProperties>
</file>