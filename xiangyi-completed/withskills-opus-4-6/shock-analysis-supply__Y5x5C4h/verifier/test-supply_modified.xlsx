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<sst xmlns="http://schemas.openxmlformats.org/spreadsheetml/2006/main" count="1315" uniqueCount="52">
  <si>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</si>
  <si>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</si>
  <si>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</si>
  <si>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</si>
  <si>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</si>
  <si>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</si>
  <si>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</si>
  <si>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</si>
  <si>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</si>
  <si>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</si>
  <si>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</si>
  <si>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</si>
  <si>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</si>
  <si>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</si>
  <si>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</si>
  <si>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</si>
  <si>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</si>
  <si>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</si>
  <si>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</si>
  <si>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</si>
  <si>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</si>
  <si>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</si>
  <si>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</si>
  <si>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</si>
  <si>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</si>
  <si>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</si>
  <si>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</si>
  <si>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</si>
  <si>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</si>
  <si>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</si>
  <si>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</si>
  <si>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</si>
  <si>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</si>
  <si>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</si>
  <si>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rgdpna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</si>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</sst>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</row>
    <row r="3" customFormat="false" ht="12" hidden="false" customHeight="true" outlineLevel="0" collapsed="false">
      <c r="A3" s="7" t="s">
        <v>2</v>
      </c>
      <c r="B3" s="8" t="n">
        <f aca="false">AVERAGE('CFC data'!E22:E29)</f>
        <v>0.0229485746904157</v>
      </c>
      <c r="C3" s="8"/>
      <c r="D3" s="8"/>
      <c r="E3" s="8"/>
      <c r="F3" s="8"/>
      <c r="G3" s="8"/>
      <c r="H3" s="8"/>
      <c r="I3" s="9"/>
    </row>
    <row r="4" customFormat="false" ht="12" hidden="false" customHeight="true" outlineLevel="0" collapsed="false">
      <c r="K4" s="10" t="s">
        <v>3</v>
      </c>
      <c r="L4" s="11"/>
      <c r="M4" s="11"/>
      <c r="N4" s="12"/>
    </row>
    <row r="5" customFormat="false" ht="12" hidden="false" customHeight="true" outlineLevel="0" collapsed="false">
      <c r="D5" s="1" t="s">
        <v>4</v>
      </c>
      <c r="E5" s="1" t="s">
        <v>5</v>
      </c>
      <c r="F5" s="1" t="s">
        <v>6</v>
      </c>
      <c r="G5" s="1" t="s">
        <v>7</v>
      </c>
      <c r="K5" s="5" t="s">
        <v>8</v>
      </c>
      <c r="L5" s="1" t="s">
        <v>9</v>
      </c>
      <c r="M5" s="1" t="s">
        <v>10</v>
      </c>
      <c r="N5" s="6" t="s">
        <v>11</v>
      </c>
      <c r="O5" s="13" t="s">
        <v>12</v>
      </c>
      <c r="P5" s="14" t="n">
        <f aca="false">SUM(O6:O27)+100*SUMPRODUCT(M7:M26,M7:M26)</f>
        <v>0.0355697020586482</v>
      </c>
    </row>
    <row r="6" customFormat="false" ht="12" hidden="false" customHeight="true" outlineLevel="0" collapsed="false">
      <c r="C6" s="1" t="n">
        <v>2002</v>
      </c>
      <c r="D6" s="15" t="n">
        <f aca="false">PWT!B14</f>
        <v>197317.59</v>
      </c>
      <c r="E6" s="1" t="n">
        <f aca="false">WEO_Data!C10</f>
        <v>18.747</v>
      </c>
      <c r="F6" s="1" t="n">
        <f aca="false">LN(D6)</f>
        <v>12.19256984161</v>
      </c>
      <c r="G6" s="1" t="n">
        <f aca="false">LN(E6)</f>
        <v>2.93103373961505</v>
      </c>
      <c r="K6" s="5" t="n">
        <f aca="false">G6-$B$2*F6</f>
        <v>-1.33636570494845</v>
      </c>
      <c r="L6" s="1" t="n">
        <v>-1.28687577126684</v>
      </c>
      <c r="N6" s="6" t="n">
        <f aca="false">K6-L6</f>
        <v>-0.0494899336816097</v>
      </c>
      <c r="O6" s="1" t="n">
        <f aca="false">(K6-L6)^2</f>
        <v>0.00244925353581013</v>
      </c>
    </row>
    <row r="7" customFormat="false" ht="12" hidden="false" customHeight="true" outlineLevel="0" collapsed="false">
      <c r="C7" s="1" t="n">
        <v>2003</v>
      </c>
      <c r="D7" s="15" t="n">
        <f aca="false">PWT!B15</f>
        <v>199678.92</v>
      </c>
      <c r="E7" s="1" t="n">
        <f aca="false">WEO_Data!C11</f>
        <v>20.852</v>
      </c>
      <c r="F7" s="1" t="n">
        <f aca="false">LN(D7)</f>
        <v>12.2044659554947</v>
      </c>
      <c r="G7" s="1" t="n">
        <f aca="false">LN(E7)</f>
        <v>3.03744986690586</v>
      </c>
      <c r="K7" s="5" t="n">
        <f aca="false">G7-$B$2*F7</f>
        <v>-1.23411321751729</v>
      </c>
      <c r="L7" s="1" t="n">
        <v>-1.22310981841772</v>
      </c>
      <c r="M7" s="1" t="n">
        <f aca="false">L8-2*L7+L6</f>
        <v>-0.00049489933681679</v>
      </c>
      <c r="N7" s="6" t="n">
        <f aca="false">K7-L7</f>
        <v>-0.0110033990995746</v>
      </c>
      <c r="O7" s="1" t="n">
        <f aca="false">(K7-L7)^2</f>
        <v>0.000121074791744519</v>
      </c>
    </row>
    <row r="8" customFormat="false" ht="12" hidden="false" customHeight="true" outlineLevel="0" collapsed="false">
      <c r="C8" s="1" t="n">
        <v>2004</v>
      </c>
      <c r="D8" s="15" t="n">
        <f aca="false">PWT!B16</f>
        <v>202658.81</v>
      </c>
      <c r="E8" s="1" t="n">
        <f aca="false">WEO_Data!C12</f>
        <v>22.061</v>
      </c>
      <c r="F8" s="1" t="n">
        <f aca="false">LN(D8)</f>
        <v>12.2192791050814</v>
      </c>
      <c r="G8" s="1" t="n">
        <f aca="false">LN(E8)</f>
        <v>3.09381134371363</v>
      </c>
      <c r="K8" s="5" t="n">
        <f aca="false">G8-$B$2*F8</f>
        <v>-1.18293634306486</v>
      </c>
      <c r="L8" s="1" t="n">
        <v>-1.15983876490542</v>
      </c>
      <c r="M8" s="1" t="n">
        <f aca="false">L9-2*L8+L7</f>
        <v>-0.00109983266463121</v>
      </c>
      <c r="N8" s="6" t="n">
        <f aca="false">K8-L8</f>
        <v>-0.023097578159438</v>
      </c>
      <c r="O8" s="1" t="n">
        <f aca="false">(K8-L8)^2</f>
        <v>0.000533498116831349</v>
      </c>
    </row>
    <row r="9" customFormat="false" ht="12" hidden="false" customHeight="true" outlineLevel="0" collapsed="false">
      <c r="C9" s="1" t="n">
        <v>2005</v>
      </c>
      <c r="D9" s="15" t="n">
        <f aca="false">PWT!B17</f>
        <v>206400.5</v>
      </c>
      <c r="E9" s="1" t="n">
        <f aca="false">WEO_Data!C13</f>
        <v>24.176</v>
      </c>
      <c r="F9" s="1" t="n">
        <f aca="false">LN(D9)</f>
        <v>12.2375737350672</v>
      </c>
      <c r="G9" s="1" t="n">
        <f aca="false">LN(E9)</f>
        <v>3.18536040553038</v>
      </c>
      <c r="K9" s="5" t="n">
        <f aca="false">G9-$B$2*F9</f>
        <v>-1.09779040174315</v>
      </c>
      <c r="L9" s="1" t="n">
        <v>-1.09766754405775</v>
      </c>
      <c r="M9" s="1" t="n">
        <f aca="false">L10-2*L9+L8</f>
        <v>-0.00193574177403688</v>
      </c>
      <c r="N9" s="6" t="n">
        <f aca="false">K9-L9</f>
        <v>-0.000122857685393996</v>
      </c>
      <c r="O9" s="1" t="n">
        <f aca="false">(K9-L9)^2</f>
        <v>1.509401086037E-008</v>
      </c>
    </row>
    <row r="10" customFormat="false" ht="12" hidden="false" customHeight="true" outlineLevel="0" collapsed="false">
      <c r="C10" s="1" t="n">
        <v>2006</v>
      </c>
      <c r="D10" s="15" t="n">
        <f aca="false">PWT!B18</f>
        <v>209660.25</v>
      </c>
      <c r="E10" s="1" t="n">
        <f aca="false">WEO_Data!C14</f>
        <v>26.454</v>
      </c>
      <c r="F10" s="1" t="n">
        <f aca="false">LN(D10)</f>
        <v>12.2532436424126</v>
      </c>
      <c r="G10" s="1" t="n">
        <f aca="false">LN(E10)</f>
        <v>3.27540737560386</v>
      </c>
      <c r="K10" s="5" t="n">
        <f aca="false">G10-$B$2*F10</f>
        <v>-1.01322789924056</v>
      </c>
      <c r="L10" s="1" t="n">
        <v>-1.03743206498412</v>
      </c>
      <c r="M10" s="1" t="n">
        <f aca="false">L11-2*L10+L9</f>
        <v>-0.00277287946030036</v>
      </c>
      <c r="N10" s="6" t="n">
        <f aca="false">K10-L10</f>
        <v>0.0242041657435661</v>
      </c>
      <c r="O10" s="1" t="n">
        <f aca="false">(K10-L10)^2</f>
        <v>0.000585841639342019</v>
      </c>
    </row>
    <row r="11" customFormat="false" ht="12" hidden="false" customHeight="true" outlineLevel="0" collapsed="false">
      <c r="C11" s="1" t="n">
        <v>2007</v>
      </c>
      <c r="D11" s="15" t="n">
        <f aca="false">PWT!B19</f>
        <v>213821.38</v>
      </c>
      <c r="E11" s="1" t="n">
        <f aca="false">WEO_Data!C15</f>
        <v>29.781</v>
      </c>
      <c r="F11" s="1" t="n">
        <f aca="false">LN(D11)</f>
        <v>12.2728962725734</v>
      </c>
      <c r="G11" s="1" t="n">
        <f aca="false">LN(E11)</f>
        <v>3.39387060627569</v>
      </c>
      <c r="K11" s="5" t="n">
        <f aca="false">G11-$B$2*F11</f>
        <v>-0.901643089125001</v>
      </c>
      <c r="L11" s="1" t="n">
        <v>-0.979969465370791</v>
      </c>
      <c r="M11" s="1" t="n">
        <f aca="false">L12-2*L11+L10</f>
        <v>-0.00336797548912449</v>
      </c>
      <c r="N11" s="6" t="n">
        <f aca="false">K11-L11</f>
        <v>0.0783263762457905</v>
      </c>
      <c r="O11" s="1" t="n">
        <f aca="false">(K11-L11)^2</f>
        <v>0.00613502121579714</v>
      </c>
    </row>
    <row r="12" customFormat="false" ht="12" hidden="false" customHeight="true" outlineLevel="0" collapsed="false">
      <c r="C12" s="1" t="n">
        <v>2008</v>
      </c>
      <c r="D12" s="15" t="n">
        <f aca="false">PWT!B20</f>
        <v>215825.91</v>
      </c>
      <c r="E12" s="1" t="n">
        <f aca="false">WEO_Data!C16</f>
        <v>30.502</v>
      </c>
      <c r="F12" s="1" t="n">
        <f aca="false">LN(D12)</f>
        <v>12.2822273894738</v>
      </c>
      <c r="G12" s="1" t="n">
        <f aca="false">LN(E12)</f>
        <v>3.41779225523399</v>
      </c>
      <c r="K12" s="5" t="n">
        <f aca="false">G12-$B$2*F12</f>
        <v>-0.880987331081853</v>
      </c>
      <c r="L12" s="1" t="n">
        <v>-0.925874841246585</v>
      </c>
      <c r="M12" s="1" t="n">
        <f aca="false">L13-2*L12+L11</f>
        <v>-0.00317980775549398</v>
      </c>
      <c r="N12" s="6" t="n">
        <f aca="false">K12-L12</f>
        <v>0.0448875101647317</v>
      </c>
      <c r="O12" s="1" t="n">
        <f aca="false">(K12-L12)^2</f>
        <v>0.00201488856878889</v>
      </c>
    </row>
    <row r="13" customFormat="false" ht="12" hidden="false" customHeight="true" outlineLevel="0" collapsed="false">
      <c r="C13" s="1" t="n">
        <v>2009</v>
      </c>
      <c r="D13" s="15" t="n">
        <f aca="false">PWT!B21</f>
        <v>214505.91</v>
      </c>
      <c r="E13" s="1" t="n">
        <f aca="false">WEO_Data!C17</f>
        <v>29.388</v>
      </c>
      <c r="F13" s="1" t="n">
        <f aca="false">LN(D13)</f>
        <v>12.2760925694182</v>
      </c>
      <c r="G13" s="1" t="n">
        <f aca="false">LN(E13)</f>
        <v>3.38058642775803</v>
      </c>
      <c r="K13" s="5" t="n">
        <f aca="false">G13-$B$2*F13</f>
        <v>-0.916045971538339</v>
      </c>
      <c r="L13" s="1" t="n">
        <v>-0.874960024877873</v>
      </c>
      <c r="M13" s="1" t="n">
        <f aca="false">L14-2*L13+L12</f>
        <v>-0.00254276492021577</v>
      </c>
      <c r="N13" s="6" t="n">
        <f aca="false">K13-L13</f>
        <v>-0.0410859466604665</v>
      </c>
      <c r="O13" s="1" t="n">
        <f aca="false">(K13-L13)^2</f>
        <v>0.0016880550129867</v>
      </c>
    </row>
    <row r="14" customFormat="false" ht="12" hidden="false" customHeight="true" outlineLevel="0" collapsed="false">
      <c r="C14" s="1" t="n">
        <v>2010</v>
      </c>
      <c r="D14" s="15" t="n">
        <f aca="false">PWT!B22</f>
        <v>215740.28</v>
      </c>
      <c r="E14" s="1" t="n">
        <f aca="false">WEO_Data!C18</f>
        <v>31.428</v>
      </c>
      <c r="F14" s="1" t="n">
        <f aca="false">LN(D14)</f>
        <v>12.2818305557871</v>
      </c>
      <c r="G14" s="1" t="n">
        <f aca="false">LN(E14)</f>
        <v>3.44769921531358</v>
      </c>
      <c r="K14" s="5" t="n">
        <f aca="false">G14-$B$2*F14</f>
        <v>-0.850941479211913</v>
      </c>
      <c r="L14" s="1" t="n">
        <v>-0.826587973429376</v>
      </c>
      <c r="M14" s="1" t="n">
        <f aca="false">L15-2*L14+L13</f>
        <v>-0.00231658155154124</v>
      </c>
      <c r="N14" s="6" t="n">
        <f aca="false">K14-L14</f>
        <v>-0.0243535057825374</v>
      </c>
      <c r="O14" s="1" t="n">
        <f aca="false">(K14-L14)^2</f>
        <v>0.000593093243900081</v>
      </c>
    </row>
    <row r="15" customFormat="false" ht="12" hidden="false" customHeight="true" outlineLevel="0" collapsed="false">
      <c r="C15" s="1" t="n">
        <v>2011</v>
      </c>
      <c r="D15" s="15" t="n">
        <f aca="false">PWT!B23</f>
        <v>218333.7</v>
      </c>
      <c r="E15" s="1" t="n">
        <f aca="false">WEO_Data!C19</f>
        <v>33.927</v>
      </c>
      <c r="F15" s="1" t="n">
        <f aca="false">LN(D15)</f>
        <v>12.2937799053372</v>
      </c>
      <c r="G15" s="1" t="n">
        <f aca="false">LN(E15)</f>
        <v>3.5242111575573</v>
      </c>
      <c r="K15" s="5" t="n">
        <f aca="false">G15-$B$2*F15</f>
        <v>-0.778611809310714</v>
      </c>
      <c r="L15" s="1" t="n">
        <v>-0.780532503532421</v>
      </c>
      <c r="M15" s="1" t="n">
        <f aca="false">L16-2*L15+L14</f>
        <v>-0.00233393324069264</v>
      </c>
      <c r="N15" s="6" t="n">
        <f aca="false">K15-L15</f>
        <v>0.00192069422170704</v>
      </c>
      <c r="O15" s="1" t="n">
        <f aca="false">(K15-L15)^2</f>
        <v>3.68906629329882E-006</v>
      </c>
    </row>
    <row r="16" customFormat="false" ht="12" hidden="false" customHeight="true" outlineLevel="0" collapsed="false">
      <c r="C16" s="1" t="n">
        <v>2012</v>
      </c>
      <c r="D16" s="15" t="n">
        <f aca="false">PWT!B24</f>
        <v>221570.09</v>
      </c>
      <c r="E16" s="1" t="n">
        <f aca="false">WEO_Data!C20</f>
        <v>36.159</v>
      </c>
      <c r="F16" s="1" t="n">
        <f aca="false">LN(D16)</f>
        <v>12.3084942518214</v>
      </c>
      <c r="G16" s="1" t="n">
        <f aca="false">LN(E16)</f>
        <v>3.58792588027432</v>
      </c>
      <c r="K16" s="5" t="n">
        <f aca="false">G16-$B$2*F16</f>
        <v>-0.720047107863178</v>
      </c>
      <c r="L16" s="1" t="n">
        <v>-0.736810966876158</v>
      </c>
      <c r="M16" s="1" t="n">
        <f aca="false">L17-2*L16+L15</f>
        <v>-0.00233207798762769</v>
      </c>
      <c r="N16" s="6" t="n">
        <f aca="false">K16-L16</f>
        <v>0.0167638590129805</v>
      </c>
      <c r="O16" s="1" t="n">
        <f aca="false">(K16-L16)^2</f>
        <v>0.000281026969007088</v>
      </c>
    </row>
    <row r="17" customFormat="false" ht="12" hidden="false" customHeight="true" outlineLevel="0" collapsed="false">
      <c r="C17" s="1" t="n">
        <v>2013</v>
      </c>
      <c r="D17" s="15" t="n">
        <f aca="false">PWT!B25</f>
        <v>223431.88</v>
      </c>
      <c r="E17" s="1" t="n">
        <f aca="false">WEO_Data!C21</f>
        <v>38.015</v>
      </c>
      <c r="F17" s="1" t="n">
        <f aca="false">LN(D17)</f>
        <v>12.3168618591066</v>
      </c>
      <c r="G17" s="1" t="n">
        <f aca="false">LN(E17)</f>
        <v>3.6379808186804</v>
      </c>
      <c r="K17" s="5" t="n">
        <f aca="false">G17-$B$2*F17</f>
        <v>-0.672920832006903</v>
      </c>
      <c r="L17" s="1" t="n">
        <v>-0.695421508207523</v>
      </c>
      <c r="M17" s="1" t="n">
        <f aca="false">L18-2*L17+L16</f>
        <v>-0.00216258414443304</v>
      </c>
      <c r="N17" s="6" t="n">
        <f aca="false">K17-L17</f>
        <v>0.0225006762006198</v>
      </c>
      <c r="O17" s="1" t="n">
        <f aca="false">(K17-L17)^2</f>
        <v>0.000506280429485138</v>
      </c>
    </row>
    <row r="18" customFormat="false" ht="12" hidden="false" customHeight="true" outlineLevel="0" collapsed="false">
      <c r="C18" s="1" t="n">
        <v>2014</v>
      </c>
      <c r="D18" s="15" t="n">
        <f aca="false">PWT!B26</f>
        <v>227911.97</v>
      </c>
      <c r="E18" s="1" t="n">
        <f aca="false">WEO_Data!C22</f>
        <v>39.57</v>
      </c>
      <c r="F18" s="1" t="n">
        <f aca="false">LN(D18)</f>
        <v>12.3367147368909</v>
      </c>
      <c r="G18" s="1" t="n">
        <f aca="false">LN(E18)</f>
        <v>3.67807125539733</v>
      </c>
      <c r="K18" s="5" t="n">
        <f aca="false">G18-$B$2*F18</f>
        <v>-0.639778902514485</v>
      </c>
      <c r="L18" s="1" t="n">
        <v>-0.656194633683321</v>
      </c>
      <c r="M18" s="1" t="n">
        <f aca="false">L19-2*L18+L17</f>
        <v>-0.00176808353923219</v>
      </c>
      <c r="N18" s="6" t="n">
        <f aca="false">K18-L18</f>
        <v>0.0164157311688365</v>
      </c>
      <c r="O18" s="1" t="n">
        <f aca="false">(K18-L18)^2</f>
        <v>0.000269476229807512</v>
      </c>
    </row>
    <row r="19" customFormat="false" ht="12" hidden="false" customHeight="true" outlineLevel="0" collapsed="false">
      <c r="C19" s="1" t="n">
        <v>2015</v>
      </c>
      <c r="D19" s="15" t="n">
        <f aca="false">PWT!B27</f>
        <v>234164.86</v>
      </c>
      <c r="E19" s="1" t="n">
        <f aca="false">WEO_Data!C23</f>
        <v>40.896</v>
      </c>
      <c r="F19" s="1" t="n">
        <f aca="false">LN(D19)</f>
        <v>12.3637806761897</v>
      </c>
      <c r="G19" s="1" t="n">
        <f aca="false">LN(E19)</f>
        <v>3.71103225875507</v>
      </c>
      <c r="K19" s="5" t="n">
        <f aca="false">G19-$B$2*F19</f>
        <v>-0.616290977911315</v>
      </c>
      <c r="L19" s="1" t="n">
        <v>-0.618735842698352</v>
      </c>
      <c r="M19" s="1" t="n">
        <f aca="false">L20-2*L19+L18</f>
        <v>-0.00120942562234283</v>
      </c>
      <c r="N19" s="6" t="n">
        <f aca="false">K19-L19</f>
        <v>0.00244486478703621</v>
      </c>
      <c r="O19" s="1" t="n">
        <f aca="false">(K19-L19)^2</f>
        <v>5.97736382688959E-006</v>
      </c>
    </row>
    <row r="20" customFormat="false" ht="12" hidden="false" customHeight="true" outlineLevel="0" collapsed="false">
      <c r="C20" s="1" t="n">
        <v>2016</v>
      </c>
      <c r="D20" s="15" t="n">
        <f aca="false">PWT!B28</f>
        <v>241138.38</v>
      </c>
      <c r="E20" s="1" t="n">
        <f aca="false">WEO_Data!C24</f>
        <v>42.307</v>
      </c>
      <c r="F20" s="1" t="n">
        <f aca="false">LN(D20)</f>
        <v>12.3931262385597</v>
      </c>
      <c r="G20" s="1" t="n">
        <f aca="false">LN(E20)</f>
        <v>3.74495255699473</v>
      </c>
      <c r="K20" s="5" t="n">
        <f aca="false">G20-$B$2*F20</f>
        <v>-0.59264162650115</v>
      </c>
      <c r="L20" s="1" t="n">
        <v>-0.582486477335725</v>
      </c>
      <c r="M20" s="1" t="n">
        <f aca="false">L21-2*L20+L19</f>
        <v>-0.000626319057583369</v>
      </c>
      <c r="N20" s="6" t="n">
        <f aca="false">K20-L20</f>
        <v>-0.010155149165425</v>
      </c>
      <c r="O20" s="1" t="n">
        <f aca="false">(K20-L20)^2</f>
        <v>0.000103127054572033</v>
      </c>
    </row>
    <row r="21" customFormat="false" ht="12" hidden="false" customHeight="true" outlineLevel="0" collapsed="false">
      <c r="C21" s="1" t="n">
        <v>2017</v>
      </c>
      <c r="D21" s="15" t="n">
        <f aca="false">PWT!B29</f>
        <v>248033.09</v>
      </c>
      <c r="E21" s="1" t="n">
        <f aca="false">WEO_Data!C25</f>
        <v>44.49</v>
      </c>
      <c r="F21" s="1" t="n">
        <f aca="false">LN(D21)</f>
        <v>12.4213174436658</v>
      </c>
      <c r="G21" s="1" t="n">
        <f aca="false">LN(E21)</f>
        <v>3.79526444481795</v>
      </c>
      <c r="K21" s="5" t="n">
        <f aca="false">G21-$B$2*F21</f>
        <v>-0.552196660465089</v>
      </c>
      <c r="L21" s="1" t="n">
        <v>-0.546863431030681</v>
      </c>
      <c r="M21" s="1" t="n">
        <f aca="false">L22-2*L21+L20</f>
        <v>-0.000144763984478269</v>
      </c>
      <c r="N21" s="6" t="n">
        <f aca="false">K21-L21</f>
        <v>-0.00533322943440773</v>
      </c>
      <c r="O21" s="1" t="n">
        <f aca="false">(K21-L21)^2</f>
        <v>2.8443336200033E-005</v>
      </c>
    </row>
    <row r="22" customFormat="false" ht="12" hidden="false" customHeight="true" outlineLevel="0" collapsed="false">
      <c r="C22" s="1" t="n">
        <v>2018</v>
      </c>
      <c r="D22" s="15" t="n">
        <f aca="false">PWT!B30</f>
        <v>254809.8</v>
      </c>
      <c r="E22" s="1" t="n">
        <f aca="false">WEO_Data!C26</f>
        <v>47.187</v>
      </c>
      <c r="F22" s="1" t="n">
        <f aca="false">LN(D22)</f>
        <v>12.448272663479</v>
      </c>
      <c r="G22" s="1" t="n">
        <f aca="false">LN(E22)</f>
        <v>3.85411843092662</v>
      </c>
      <c r="K22" s="5" t="n">
        <f aca="false">G22-$B$2*F22</f>
        <v>-0.502777001291028</v>
      </c>
      <c r="L22" s="1" t="n">
        <v>-0.511385148710116</v>
      </c>
      <c r="M22" s="1" t="n">
        <f aca="false">L23-2*L22+L21</f>
        <v>0.000283458794282709</v>
      </c>
      <c r="N22" s="6" t="n">
        <f aca="false">K22-L22</f>
        <v>0.008608147419088</v>
      </c>
      <c r="O22" s="1" t="n">
        <f aca="false">(K22-L22)^2</f>
        <v>7.41002019887513E-005</v>
      </c>
    </row>
    <row r="23" customFormat="false" ht="12" hidden="false" customHeight="true" outlineLevel="0" collapsed="false">
      <c r="C23" s="1" t="n">
        <v>2019</v>
      </c>
      <c r="D23" s="15" t="n">
        <f aca="false">PWT!B31</f>
        <v>264125.56</v>
      </c>
      <c r="E23" s="1" t="n">
        <f aca="false">WEO_Data!C27</f>
        <v>49.726</v>
      </c>
      <c r="F23" s="1" t="n">
        <f aca="false">LN(D23)</f>
        <v>12.4841798751243</v>
      </c>
      <c r="G23" s="1" t="n">
        <f aca="false">LN(E23)</f>
        <v>3.90652793514617</v>
      </c>
      <c r="K23" s="5" t="n">
        <f aca="false">G23-$B$2*F23</f>
        <v>-0.462935021147354</v>
      </c>
      <c r="L23" s="1" t="n">
        <v>-0.475623407595268</v>
      </c>
      <c r="M23" s="1" t="n">
        <f aca="false">L24-2*L23+L22</f>
        <v>0.000797763047234668</v>
      </c>
      <c r="N23" s="6" t="n">
        <f aca="false">K23-L23</f>
        <v>0.0126883864479138</v>
      </c>
      <c r="O23" s="1" t="n">
        <f aca="false">(K23-L23)^2</f>
        <v>0.000160995150651603</v>
      </c>
    </row>
    <row r="24" customFormat="false" ht="12" hidden="false" customHeight="true" outlineLevel="0" collapsed="false">
      <c r="C24" s="1" t="n">
        <v>2020</v>
      </c>
      <c r="D24" s="15" t="n">
        <f aca="false">PWT!B32</f>
        <v>268785.23</v>
      </c>
      <c r="E24" s="1" t="n">
        <f aca="false">WEO_Data!C28</f>
        <v>46.598</v>
      </c>
      <c r="F24" s="1" t="n">
        <f aca="false">LN(D24)</f>
        <v>12.5016679382048</v>
      </c>
      <c r="G24" s="1" t="n">
        <f aca="false">LN(E24)</f>
        <v>3.84155762175564</v>
      </c>
      <c r="K24" s="5" t="n">
        <f aca="false">G24-$B$2*F24</f>
        <v>-0.534026156616029</v>
      </c>
      <c r="L24" s="1" t="n">
        <v>-0.439063903433185</v>
      </c>
      <c r="M24" s="1" t="n">
        <f aca="false">L25-2*L24+L23</f>
        <v>0.00143895116466608</v>
      </c>
      <c r="N24" s="6" t="n">
        <f aca="false">K24-L24</f>
        <v>-0.0949622531828434</v>
      </c>
      <c r="O24" s="1" t="n">
        <f aca="false">(K24-L24)^2</f>
        <v>0.00901782952956245</v>
      </c>
    </row>
    <row r="25" customFormat="false" ht="12" hidden="false" customHeight="true" outlineLevel="0" collapsed="false">
      <c r="C25" s="1" t="n">
        <v>2021</v>
      </c>
      <c r="D25" s="15" t="n">
        <f aca="false">PWT!B33</f>
        <v>272488.79</v>
      </c>
      <c r="E25" s="1" t="n">
        <f aca="false">WEO_Data!C29</f>
        <v>51.558</v>
      </c>
      <c r="F25" s="1" t="n">
        <f aca="false">LN(D25)</f>
        <v>12.5153527546246</v>
      </c>
      <c r="G25" s="1" t="n">
        <f aca="false">LN(E25)</f>
        <v>3.94270738755914</v>
      </c>
      <c r="K25" s="5" t="n">
        <f aca="false">G25-$B$2*F25</f>
        <v>-0.437666076559462</v>
      </c>
      <c r="L25" s="1" t="n">
        <v>-0.401065448106436</v>
      </c>
      <c r="M25" s="1" t="n">
        <f aca="false">L26-2*L25+L24</f>
        <v>0.00113051675026893</v>
      </c>
      <c r="N25" s="6" t="n">
        <f aca="false">K25-L25</f>
        <v>-0.0366006284530261</v>
      </c>
      <c r="O25" s="1" t="n">
        <f aca="false">(K25-L25)^2</f>
        <v>0.00133960600315647</v>
      </c>
    </row>
    <row r="26" customFormat="false" ht="12" hidden="false" customHeight="true" outlineLevel="0" collapsed="false">
      <c r="C26" s="1" t="n">
        <v>2022</v>
      </c>
      <c r="D26" s="15" t="n">
        <f aca="false">PWT!B34</f>
        <v>277533.37</v>
      </c>
      <c r="E26" s="1" t="n">
        <f aca="false">WEO_Data!C30</f>
        <v>57.208</v>
      </c>
      <c r="F26" s="1" t="n">
        <f aca="false">LN(D26)</f>
        <v>12.5336964571912</v>
      </c>
      <c r="G26" s="1" t="n">
        <f aca="false">LN(E26)</f>
        <v>4.0466937487461</v>
      </c>
      <c r="K26" s="5" t="n">
        <f aca="false">G26-$B$2*F26</f>
        <v>-0.340100011270809</v>
      </c>
      <c r="L26" s="1" t="n">
        <v>-0.361936476029419</v>
      </c>
      <c r="M26" s="1" t="n">
        <f aca="false">L27-2*L26+L25</f>
        <v>0.000456076051341292</v>
      </c>
      <c r="N26" s="6" t="n">
        <f aca="false">K26-L26</f>
        <v>0.0218364647586098</v>
      </c>
      <c r="O26" s="1" t="n">
        <f aca="false">(K26-L26)^2</f>
        <v>0.000476831193154007</v>
      </c>
    </row>
    <row r="27" customFormat="false" ht="12" hidden="false" customHeight="true" outlineLevel="0" collapsed="false">
      <c r="C27" s="1" t="n">
        <v>2023</v>
      </c>
      <c r="D27" s="15" t="n">
        <f aca="false">PWT!B35</f>
        <v>287259.51</v>
      </c>
      <c r="E27" s="1" t="n">
        <f aca="false">WEO_Data!C31</f>
        <v>61.689</v>
      </c>
      <c r="F27" s="1" t="n">
        <f aca="false">LN(D27)</f>
        <v>12.5681413022126</v>
      </c>
      <c r="G27" s="1" t="n">
        <f aca="false">LN(E27)</f>
        <v>4.12210563300749</v>
      </c>
      <c r="K27" s="7" t="n">
        <f aca="false">G27-$B$2*F27</f>
        <v>-0.276743822766913</v>
      </c>
      <c r="L27" s="8" t="n">
        <v>-0.32235142790106</v>
      </c>
      <c r="M27" s="8"/>
      <c r="N27" s="9" t="n">
        <f aca="false">K27-L27</f>
        <v>0.0456076051341466</v>
      </c>
      <c r="O27" s="1" t="n">
        <f aca="false">(K27-L27)^2</f>
        <v>0.00208005364607223</v>
      </c>
    </row>
    <row r="35" customFormat="false" ht="12" hidden="false" customHeight="true" outlineLevel="0" collapsed="false">
      <c r="D35" s="1" t="s">
        <v>13</v>
      </c>
      <c r="E35" s="1" t="s">
        <v>4</v>
      </c>
      <c r="F35" s="1" t="s">
        <v>14</v>
      </c>
      <c r="G35" s="1" t="s">
        <v>15</v>
      </c>
      <c r="H35" s="1" t="s">
        <v>16</v>
      </c>
      <c r="I35" s="1" t="s">
        <v>17</v>
      </c>
      <c r="J35" s="1" t="s">
        <v>18</v>
      </c>
      <c r="K35" s="1" t="s">
        <v>19</v>
      </c>
      <c r="L35" s="1" t="s">
        <v>20</v>
      </c>
      <c r="M35" s="1" t="s">
        <v>21</v>
      </c>
      <c r="N35" s="1" t="s">
        <v>22</v>
      </c>
      <c r="O35" s="1" t="s">
        <v>23</v>
      </c>
      <c r="P35" s="1" t="s">
        <v>24</v>
      </c>
    </row>
    <row r="36" customFormat="false" ht="12" hidden="false" customHeight="true" outlineLevel="0" collapsed="false">
      <c r="C36" s="1" t="n">
        <v>2002</v>
      </c>
      <c r="D36" s="1" t="n">
        <f aca="false">D6/(E6*1000)</f>
        <v>10.5252888462154</v>
      </c>
      <c r="E36" s="15" t="n">
        <f aca="false">D6</f>
        <v>197317.59</v>
      </c>
      <c r="F36" s="1" t="n">
        <f aca="false">WEO_Data!C10</f>
        <v>18.747</v>
      </c>
      <c r="G36" s="1" t="n">
        <f aca="false">L6</f>
        <v>-1.28687577126684</v>
      </c>
      <c r="H36" s="1" t="n">
        <f aca="false">EXP(G36+$B$2*LN(E36))</f>
        <v>19.6981293286118</v>
      </c>
      <c r="I36" s="1" t="n">
        <f aca="false">IFERROR(INDEX(Investment!$C$2:$C$9,MATCH(C36,Investment!$B$2:$B$9,0)),0)</f>
        <v>0</v>
      </c>
      <c r="J36" s="1" t="n">
        <v>0</v>
      </c>
      <c r="K36" s="15" t="n">
        <f aca="false">E36+J36</f>
        <v>197317.59</v>
      </c>
      <c r="L36" s="1" t="n">
        <f aca="false">EXP(G36+$B$2*LN(K36))</f>
        <v>19.6981293286118</v>
      </c>
      <c r="M36" s="1" t="n">
        <f aca="false">L36-H36</f>
        <v>0</v>
      </c>
      <c r="N36" s="1" t="n">
        <f aca="false">F36+M36</f>
        <v>18.747</v>
      </c>
    </row>
    <row r="37" customFormat="false" ht="12" hidden="false" customHeight="true" outlineLevel="0" collapsed="false">
      <c r="C37" s="1" t="n">
        <v>2003</v>
      </c>
      <c r="D37" s="1" t="n">
        <f aca="false">D7/(E7*1000)</f>
        <v>9.57600805678113</v>
      </c>
      <c r="E37" s="15" t="n">
        <f aca="false">D7</f>
        <v>199678.92</v>
      </c>
      <c r="F37" s="1" t="n">
        <f aca="false">WEO_Data!C11</f>
        <v>20.852</v>
      </c>
      <c r="G37" s="1" t="n">
        <f aca="false">L7</f>
        <v>-1.22310981841772</v>
      </c>
      <c r="H37" s="1" t="n">
        <f aca="false">EXP(G37+$B$2*LN(E37))</f>
        <v>21.0827098465256</v>
      </c>
      <c r="I37" s="1" t="n">
        <f aca="false">IFERROR(INDEX(Investment!$C$2:$C$9,MATCH(C37,Investment!$B$2:$B$9,0)),0)</f>
        <v>0</v>
      </c>
      <c r="J37" s="1" t="n">
        <f aca="false">(1-$B$3)*J36+I37</f>
        <v>0</v>
      </c>
      <c r="K37" s="15" t="n">
        <f aca="false">E37+J37</f>
        <v>199678.92</v>
      </c>
      <c r="L37" s="1" t="n">
        <f aca="false">EXP(G37+$B$2*LN(K37))</f>
        <v>21.0827098465256</v>
      </c>
      <c r="M37" s="1" t="n">
        <f aca="false">L37-H37</f>
        <v>0</v>
      </c>
      <c r="N37" s="1" t="n">
        <f aca="false">F37+M37</f>
        <v>20.852</v>
      </c>
      <c r="O37" s="1" t="n">
        <f aca="false">(N37-N36)/N36*100</f>
        <v>11.228463220782</v>
      </c>
      <c r="P37" s="1" t="n">
        <f aca="false">(F37-F36)/F36*100</f>
        <v>11.228463220782</v>
      </c>
    </row>
    <row r="38" customFormat="false" ht="12" hidden="false" customHeight="true" outlineLevel="0" collapsed="false">
      <c r="C38" s="1" t="n">
        <v>2004</v>
      </c>
      <c r="D38" s="1" t="n">
        <f aca="false">D8/(E8*1000)</f>
        <v>9.18629300575677</v>
      </c>
      <c r="E38" s="15" t="n">
        <f aca="false">D8</f>
        <v>202658.81</v>
      </c>
      <c r="F38" s="1" t="n">
        <f aca="false">WEO_Data!C12</f>
        <v>22.061</v>
      </c>
      <c r="G38" s="1" t="n">
        <f aca="false">L8</f>
        <v>-1.15983876490542</v>
      </c>
      <c r="H38" s="1" t="n">
        <f aca="false">EXP(G38+$B$2*LN(E38))</f>
        <v>22.5764859934235</v>
      </c>
      <c r="I38" s="1" t="n">
        <f aca="false">IFERROR(INDEX(Investment!$C$2:$C$9,MATCH(C38,Investment!$B$2:$B$9,0)),0)</f>
        <v>0</v>
      </c>
      <c r="J38" s="1" t="n">
        <f aca="false">(1-$B$3)*J37+I38</f>
        <v>0</v>
      </c>
      <c r="K38" s="15" t="n">
        <f aca="false">E38+J38</f>
        <v>202658.81</v>
      </c>
      <c r="L38" s="1" t="n">
        <f aca="false">EXP(G38+$B$2*LN(K38))</f>
        <v>22.5764859934235</v>
      </c>
      <c r="M38" s="1" t="n">
        <f aca="false">L38-H38</f>
        <v>0</v>
      </c>
      <c r="N38" s="1" t="n">
        <f aca="false">F38+M38</f>
        <v>22.061</v>
      </c>
      <c r="O38" s="1" t="n">
        <f aca="false">(N38-N37)/N37*100</f>
        <v>5.79800498753117</v>
      </c>
      <c r="P38" s="1" t="n">
        <f aca="false">(F38-F37)/F37*100</f>
        <v>5.79800498753117</v>
      </c>
    </row>
    <row r="39" customFormat="false" ht="12" hidden="false" customHeight="true" outlineLevel="0" collapsed="false">
      <c r="C39" s="1" t="n">
        <v>2005</v>
      </c>
      <c r="D39" s="1" t="n">
        <f aca="false">D9/(E9*1000)</f>
        <v>8.53741313699537</v>
      </c>
      <c r="E39" s="15" t="n">
        <f aca="false">D9</f>
        <v>206400.5</v>
      </c>
      <c r="F39" s="1" t="n">
        <f aca="false">WEO_Data!C13</f>
        <v>24.176</v>
      </c>
      <c r="G39" s="1" t="n">
        <f aca="false">L9</f>
        <v>-1.09766754405775</v>
      </c>
      <c r="H39" s="1" t="n">
        <f aca="false">EXP(G39+$B$2*LN(E39))</f>
        <v>24.178970389866</v>
      </c>
      <c r="I39" s="1" t="n">
        <f aca="false">IFERROR(INDEX(Investment!$C$2:$C$9,MATCH(C39,Investment!$B$2:$B$9,0)),0)</f>
        <v>0</v>
      </c>
      <c r="J39" s="1" t="n">
        <f aca="false">(1-$B$3)*J38+I39</f>
        <v>0</v>
      </c>
      <c r="K39" s="15" t="n">
        <f aca="false">E39+J39</f>
        <v>206400.5</v>
      </c>
      <c r="L39" s="1" t="n">
        <f aca="false">EXP(G39+$B$2*LN(K39))</f>
        <v>24.178970389866</v>
      </c>
      <c r="M39" s="1" t="n">
        <f aca="false">L39-H39</f>
        <v>0</v>
      </c>
      <c r="N39" s="1" t="n">
        <f aca="false">F39+M39</f>
        <v>24.176</v>
      </c>
      <c r="O39" s="1" t="n">
        <f aca="false">(N39-N38)/N38*100</f>
        <v>9.58705407733103</v>
      </c>
      <c r="P39" s="1" t="n">
        <f aca="false">(F39-F38)/F38*100</f>
        <v>9.58705407733103</v>
      </c>
    </row>
    <row r="40" customFormat="false" ht="12" hidden="false" customHeight="true" outlineLevel="0" collapsed="false">
      <c r="C40" s="1" t="n">
        <v>2006</v>
      </c>
      <c r="D40" s="1" t="n">
        <f aca="false">D10/(E10*1000)</f>
        <v>7.92546495804037</v>
      </c>
      <c r="E40" s="15" t="n">
        <f aca="false">D10</f>
        <v>209660.25</v>
      </c>
      <c r="F40" s="1" t="n">
        <f aca="false">WEO_Data!C14</f>
        <v>26.454</v>
      </c>
      <c r="G40" s="1" t="n">
        <f aca="false">L10</f>
        <v>-1.03743206498412</v>
      </c>
      <c r="H40" s="1" t="n">
        <f aca="false">EXP(G40+$B$2*LN(E40))</f>
        <v>25.8213897844889</v>
      </c>
      <c r="I40" s="1" t="n">
        <f aca="false">IFERROR(INDEX(Investment!$C$2:$C$9,MATCH(C40,Investment!$B$2:$B$9,0)),0)</f>
        <v>0</v>
      </c>
      <c r="J40" s="1" t="n">
        <f aca="false">(1-$B$3)*J39+I40</f>
        <v>0</v>
      </c>
      <c r="K40" s="15" t="n">
        <f aca="false">E40+J40</f>
        <v>209660.25</v>
      </c>
      <c r="L40" s="1" t="n">
        <f aca="false">EXP(G40+$B$2*LN(K40))</f>
        <v>25.8213897844889</v>
      </c>
      <c r="M40" s="1" t="n">
        <f aca="false">L40-H40</f>
        <v>0</v>
      </c>
      <c r="N40" s="1" t="n">
        <f aca="false">F40+M40</f>
        <v>26.454</v>
      </c>
      <c r="O40" s="1" t="n">
        <f aca="false">(N40-N39)/N39*100</f>
        <v>9.4225678358703</v>
      </c>
      <c r="P40" s="1" t="n">
        <f aca="false">(F40-F39)/F39*100</f>
        <v>9.4225678358703</v>
      </c>
    </row>
    <row r="41" customFormat="false" ht="12" hidden="false" customHeight="true" outlineLevel="0" collapsed="false">
      <c r="C41" s="1" t="n">
        <v>2007</v>
      </c>
      <c r="D41" s="1" t="n">
        <f aca="false">D11/(E11*1000)</f>
        <v>7.17979181357241</v>
      </c>
      <c r="E41" s="15" t="n">
        <f aca="false">D11</f>
        <v>213821.38</v>
      </c>
      <c r="F41" s="1" t="n">
        <f aca="false">WEO_Data!C15</f>
        <v>29.781</v>
      </c>
      <c r="G41" s="1" t="n">
        <f aca="false">L11</f>
        <v>-0.979969465370791</v>
      </c>
      <c r="H41" s="1" t="n">
        <f aca="false">EXP(G41+$B$2*LN(E41))</f>
        <v>27.5373765744876</v>
      </c>
      <c r="I41" s="1" t="n">
        <f aca="false">IFERROR(INDEX(Investment!$C$2:$C$9,MATCH(C41,Investment!$B$2:$B$9,0)),0)</f>
        <v>0</v>
      </c>
      <c r="J41" s="1" t="n">
        <f aca="false">(1-$B$3)*J40+I41</f>
        <v>0</v>
      </c>
      <c r="K41" s="15" t="n">
        <f aca="false">E41+J41</f>
        <v>213821.38</v>
      </c>
      <c r="L41" s="1" t="n">
        <f aca="false">EXP(G41+$B$2*LN(K41))</f>
        <v>27.5373765744876</v>
      </c>
      <c r="M41" s="1" t="n">
        <f aca="false">L41-H41</f>
        <v>0</v>
      </c>
      <c r="N41" s="1" t="n">
        <f aca="false">F41+M41</f>
        <v>29.781</v>
      </c>
      <c r="O41" s="1" t="n">
        <f aca="false">(N41-N40)/N40*100</f>
        <v>12.5765479700612</v>
      </c>
      <c r="P41" s="1" t="n">
        <f aca="false">(F41-F40)/F40*100</f>
        <v>12.5765479700612</v>
      </c>
    </row>
    <row r="42" customFormat="false" ht="12" hidden="false" customHeight="true" outlineLevel="0" collapsed="false">
      <c r="C42" s="1" t="n">
        <v>2008</v>
      </c>
      <c r="D42" s="1" t="n">
        <f aca="false">D12/(E12*1000)</f>
        <v>7.07579535768146</v>
      </c>
      <c r="E42" s="15" t="n">
        <f aca="false">D12</f>
        <v>215825.91</v>
      </c>
      <c r="F42" s="1" t="n">
        <f aca="false">WEO_Data!C16</f>
        <v>30.502</v>
      </c>
      <c r="G42" s="1" t="n">
        <f aca="false">L12</f>
        <v>-0.925874841246585</v>
      </c>
      <c r="H42" s="1" t="n">
        <f aca="false">EXP(G42+$B$2*LN(E42))</f>
        <v>29.163115560431</v>
      </c>
      <c r="I42" s="1" t="n">
        <f aca="false">IFERROR(INDEX(Investment!$C$2:$C$9,MATCH(C42,Investment!$B$2:$B$9,0)),0)</f>
        <v>0</v>
      </c>
      <c r="J42" s="1" t="n">
        <f aca="false">(1-$B$3)*J41+I42</f>
        <v>0</v>
      </c>
      <c r="K42" s="15" t="n">
        <f aca="false">E42+J42</f>
        <v>215825.91</v>
      </c>
      <c r="L42" s="1" t="n">
        <f aca="false">EXP(G42+$B$2*LN(K42))</f>
        <v>29.163115560431</v>
      </c>
      <c r="M42" s="1" t="n">
        <f aca="false">L42-H42</f>
        <v>0</v>
      </c>
      <c r="N42" s="1" t="n">
        <f aca="false">F42+M42</f>
        <v>30.502</v>
      </c>
      <c r="O42" s="1" t="n">
        <f aca="false">(N42-N41)/N41*100</f>
        <v>2.42100668211276</v>
      </c>
      <c r="P42" s="1" t="n">
        <f aca="false">(F42-F41)/F41*100</f>
        <v>2.42100668211276</v>
      </c>
    </row>
    <row r="43" customFormat="false" ht="12" hidden="false" customHeight="true" outlineLevel="0" collapsed="false">
      <c r="C43" s="1" t="n">
        <v>2009</v>
      </c>
      <c r="D43" s="1" t="n">
        <f aca="false">D13/(E13*1000)</f>
        <v>7.29909861167824</v>
      </c>
      <c r="E43" s="15" t="n">
        <f aca="false">D13</f>
        <v>214505.91</v>
      </c>
      <c r="F43" s="1" t="n">
        <f aca="false">WEO_Data!C17</f>
        <v>29.388</v>
      </c>
      <c r="G43" s="1" t="n">
        <f aca="false">L13</f>
        <v>-0.874960024877873</v>
      </c>
      <c r="H43" s="1" t="n">
        <f aca="false">EXP(G43+$B$2*LN(E43))</f>
        <v>30.6205813013837</v>
      </c>
      <c r="I43" s="1" t="n">
        <f aca="false">IFERROR(INDEX(Investment!$C$2:$C$9,MATCH(C43,Investment!$B$2:$B$9,0)),0)</f>
        <v>0</v>
      </c>
      <c r="J43" s="1" t="n">
        <f aca="false">(1-$B$3)*J42+I43</f>
        <v>0</v>
      </c>
      <c r="K43" s="15" t="n">
        <f aca="false">E43+J43</f>
        <v>214505.91</v>
      </c>
      <c r="L43" s="1" t="n">
        <f aca="false">EXP(G43+$B$2*LN(K43))</f>
        <v>30.6205813013837</v>
      </c>
      <c r="M43" s="1" t="n">
        <f aca="false">L43-H43</f>
        <v>0</v>
      </c>
      <c r="N43" s="1" t="n">
        <f aca="false">F43+M43</f>
        <v>29.388</v>
      </c>
      <c r="O43" s="1" t="n">
        <f aca="false">(N43-N42)/N42*100</f>
        <v>-3.65221952658841</v>
      </c>
      <c r="P43" s="1" t="n">
        <f aca="false">(F43-F42)/F42*100</f>
        <v>-3.65221952658841</v>
      </c>
    </row>
    <row r="44" customFormat="false" ht="12" hidden="false" customHeight="true" outlineLevel="0" collapsed="false">
      <c r="C44" s="1" t="n">
        <v>2010</v>
      </c>
      <c r="D44" s="1" t="n">
        <f aca="false">D14/(E14*1000)</f>
        <v>6.86458826524119</v>
      </c>
      <c r="E44" s="15" t="n">
        <f aca="false">D14</f>
        <v>215740.28</v>
      </c>
      <c r="F44" s="1" t="n">
        <f aca="false">WEO_Data!C18</f>
        <v>31.428</v>
      </c>
      <c r="G44" s="1" t="n">
        <f aca="false">L14</f>
        <v>-0.826587973429376</v>
      </c>
      <c r="H44" s="1" t="n">
        <f aca="false">EXP(G44+$B$2*LN(E44))</f>
        <v>32.202777966997</v>
      </c>
      <c r="I44" s="1" t="n">
        <f aca="false">IFERROR(INDEX(Investment!$C$2:$C$9,MATCH(C44,Investment!$B$2:$B$9,0)),0)</f>
        <v>0</v>
      </c>
      <c r="J44" s="1" t="n">
        <f aca="false">(1-$B$3)*J43+I44</f>
        <v>0</v>
      </c>
      <c r="K44" s="15" t="n">
        <f aca="false">E44+J44</f>
        <v>215740.28</v>
      </c>
      <c r="L44" s="1" t="n">
        <f aca="false">EXP(G44+$B$2*LN(K44))</f>
        <v>32.202777966997</v>
      </c>
      <c r="M44" s="1" t="n">
        <f aca="false">L44-H44</f>
        <v>0</v>
      </c>
      <c r="N44" s="1" t="n">
        <f aca="false">F44+M44</f>
        <v>31.428</v>
      </c>
      <c r="O44" s="1" t="n">
        <f aca="false">(N44-N43)/N43*100</f>
        <v>6.9416088199265</v>
      </c>
      <c r="P44" s="1" t="n">
        <f aca="false">(F44-F43)/F43*100</f>
        <v>6.9416088199265</v>
      </c>
    </row>
    <row r="45" customFormat="false" ht="12" hidden="false" customHeight="true" outlineLevel="0" collapsed="false">
      <c r="C45" s="1" t="n">
        <v>2011</v>
      </c>
      <c r="D45" s="1" t="n">
        <f aca="false">D15/(E15*1000)</f>
        <v>6.43539658678928</v>
      </c>
      <c r="E45" s="15" t="n">
        <f aca="false">D15</f>
        <v>218333.7</v>
      </c>
      <c r="F45" s="1" t="n">
        <f aca="false">WEO_Data!C19</f>
        <v>33.927</v>
      </c>
      <c r="G45" s="1" t="n">
        <f aca="false">L15</f>
        <v>-0.780532503532421</v>
      </c>
      <c r="H45" s="1" t="n">
        <f aca="false">EXP(G45+$B$2*LN(E45))</f>
        <v>33.8618991465701</v>
      </c>
      <c r="I45" s="1" t="n">
        <f aca="false">IFERROR(INDEX(Investment!$C$2:$C$9,MATCH(C45,Investment!$B$2:$B$9,0)),0)</f>
        <v>0</v>
      </c>
      <c r="J45" s="1" t="n">
        <f aca="false">(1-$B$3)*J44+I45</f>
        <v>0</v>
      </c>
      <c r="K45" s="15" t="n">
        <f aca="false">E45+J45</f>
        <v>218333.7</v>
      </c>
      <c r="L45" s="1" t="n">
        <f aca="false">EXP(G45+$B$2*LN(K45))</f>
        <v>33.8618991465701</v>
      </c>
      <c r="M45" s="1" t="n">
        <f aca="false">L45-H45</f>
        <v>0</v>
      </c>
      <c r="N45" s="1" t="n">
        <f aca="false">F45+M45</f>
        <v>33.927</v>
      </c>
      <c r="O45" s="1" t="n">
        <f aca="false">(N45-N44)/N44*100</f>
        <v>7.95150820924016</v>
      </c>
      <c r="P45" s="1" t="n">
        <f aca="false">(F45-F44)/F44*100</f>
        <v>7.95150820924016</v>
      </c>
    </row>
    <row r="46" customFormat="false" ht="12" hidden="false" customHeight="true" outlineLevel="0" collapsed="false">
      <c r="C46" s="1" t="n">
        <v>2012</v>
      </c>
      <c r="D46" s="1" t="n">
        <f aca="false">D16/(E16*1000)</f>
        <v>6.12766088663956</v>
      </c>
      <c r="E46" s="15" t="n">
        <f aca="false">D16</f>
        <v>221570.09</v>
      </c>
      <c r="F46" s="1" t="n">
        <f aca="false">WEO_Data!C20</f>
        <v>36.159</v>
      </c>
      <c r="G46" s="1" t="n">
        <f aca="false">L16</f>
        <v>-0.736810966876158</v>
      </c>
      <c r="H46" s="1" t="n">
        <f aca="false">EXP(G46+$B$2*LN(E46))</f>
        <v>35.5578881762025</v>
      </c>
      <c r="I46" s="1" t="n">
        <f aca="false">IFERROR(INDEX(Investment!$C$2:$C$9,MATCH(C46,Investment!$B$2:$B$9,0)),0)</f>
        <v>0</v>
      </c>
      <c r="J46" s="1" t="n">
        <f aca="false">(1-$B$3)*J45+I46</f>
        <v>0</v>
      </c>
      <c r="K46" s="15" t="n">
        <f aca="false">E46+J46</f>
        <v>221570.09</v>
      </c>
      <c r="L46" s="1" t="n">
        <f aca="false">EXP(G46+$B$2*LN(K46))</f>
        <v>35.5578881762025</v>
      </c>
      <c r="M46" s="1" t="n">
        <f aca="false">L46-H46</f>
        <v>0</v>
      </c>
      <c r="N46" s="1" t="n">
        <f aca="false">F46+M46</f>
        <v>36.159</v>
      </c>
      <c r="O46" s="1" t="n">
        <f aca="false">(N46-N45)/N45*100</f>
        <v>6.57883101954196</v>
      </c>
      <c r="P46" s="1" t="n">
        <f aca="false">(F46-F45)/F45*100</f>
        <v>6.57883101954196</v>
      </c>
    </row>
    <row r="47" customFormat="false" ht="12" hidden="false" customHeight="true" outlineLevel="0" collapsed="false">
      <c r="C47" s="1" t="n">
        <v>2013</v>
      </c>
      <c r="D47" s="1" t="n">
        <f aca="false">D17/(E17*1000)</f>
        <v>5.87746626331711</v>
      </c>
      <c r="E47" s="15" t="n">
        <f aca="false">D17</f>
        <v>223431.88</v>
      </c>
      <c r="F47" s="1" t="n">
        <f aca="false">WEO_Data!C21</f>
        <v>38.015</v>
      </c>
      <c r="G47" s="1" t="n">
        <f aca="false">L17</f>
        <v>-0.695421508207523</v>
      </c>
      <c r="H47" s="1" t="n">
        <f aca="false">EXP(G47+$B$2*LN(E47))</f>
        <v>37.1691881480681</v>
      </c>
      <c r="I47" s="1" t="n">
        <f aca="false">IFERROR(INDEX(Investment!$C$2:$C$9,MATCH(C47,Investment!$B$2:$B$9,0)),0)</f>
        <v>0</v>
      </c>
      <c r="J47" s="1" t="n">
        <f aca="false">(1-$B$3)*J46+I47</f>
        <v>0</v>
      </c>
      <c r="K47" s="15" t="n">
        <f aca="false">E47+J47</f>
        <v>223431.88</v>
      </c>
      <c r="L47" s="1" t="n">
        <f aca="false">EXP(G47+$B$2*LN(K47))</f>
        <v>37.1691881480681</v>
      </c>
      <c r="M47" s="1" t="n">
        <f aca="false">L47-H47</f>
        <v>0</v>
      </c>
      <c r="N47" s="1" t="n">
        <f aca="false">F47+M47</f>
        <v>38.015</v>
      </c>
      <c r="O47" s="1" t="n">
        <f aca="false">(N47-N46)/N46*100</f>
        <v>5.13288531209381</v>
      </c>
      <c r="P47" s="1" t="n">
        <f aca="false">(F47-F46)/F46*100</f>
        <v>5.13288531209381</v>
      </c>
    </row>
    <row r="48" customFormat="false" ht="12" hidden="false" customHeight="true" outlineLevel="0" collapsed="false">
      <c r="C48" s="1" t="n">
        <v>2014</v>
      </c>
      <c r="D48" s="1" t="n">
        <f aca="false">D18/(E18*1000)</f>
        <v>5.75971619914076</v>
      </c>
      <c r="E48" s="15" t="n">
        <f aca="false">D18</f>
        <v>227911.97</v>
      </c>
      <c r="F48" s="1" t="n">
        <f aca="false">WEO_Data!C22</f>
        <v>39.57</v>
      </c>
      <c r="G48" s="1" t="n">
        <f aca="false">L18</f>
        <v>-0.656194633683321</v>
      </c>
      <c r="H48" s="1" t="n">
        <f aca="false">EXP(G48+$B$2*LN(E48))</f>
        <v>38.9257320502245</v>
      </c>
      <c r="I48" s="1" t="n">
        <f aca="false">IFERROR(INDEX(Investment!$C$2:$C$9,MATCH(C48,Investment!$B$2:$B$9,0)),0)</f>
        <v>0</v>
      </c>
      <c r="J48" s="1" t="n">
        <f aca="false">(1-$B$3)*J47+I48</f>
        <v>0</v>
      </c>
      <c r="K48" s="15" t="n">
        <f aca="false">E48+J48</f>
        <v>227911.97</v>
      </c>
      <c r="L48" s="1" t="n">
        <f aca="false">EXP(G48+$B$2*LN(K48))</f>
        <v>38.9257320502245</v>
      </c>
      <c r="M48" s="1" t="n">
        <f aca="false">L48-H48</f>
        <v>0</v>
      </c>
      <c r="N48" s="1" t="n">
        <f aca="false">F48+M48</f>
        <v>39.57</v>
      </c>
      <c r="O48" s="1" t="n">
        <f aca="false">(N48-N47)/N47*100</f>
        <v>4.09049059581744</v>
      </c>
      <c r="P48" s="1" t="n">
        <f aca="false">(F48-F47)/F47*100</f>
        <v>4.09049059581744</v>
      </c>
    </row>
    <row r="49" customFormat="false" ht="12" hidden="false" customHeight="true" outlineLevel="0" collapsed="false">
      <c r="C49" s="1" t="n">
        <v>2015</v>
      </c>
      <c r="D49" s="1" t="n">
        <f aca="false">D19/(E19*1000)</f>
        <v>5.72586218701095</v>
      </c>
      <c r="E49" s="15" t="n">
        <f aca="false">D19</f>
        <v>234164.86</v>
      </c>
      <c r="F49" s="1" t="n">
        <f aca="false">WEO_Data!C23</f>
        <v>40.896</v>
      </c>
      <c r="G49" s="1" t="n">
        <f aca="false">L19</f>
        <v>-0.618735842698352</v>
      </c>
      <c r="H49" s="1" t="n">
        <f aca="false">EXP(G49+$B$2*LN(E49))</f>
        <v>40.7961369352578</v>
      </c>
      <c r="I49" s="1" t="n">
        <f aca="false">IFERROR(INDEX(Investment!$C$2:$C$9,MATCH(C49,Investment!$B$2:$B$9,0)),0)</f>
        <v>0</v>
      </c>
      <c r="J49" s="1" t="n">
        <f aca="false">(1-$B$3)*J48+I49</f>
        <v>0</v>
      </c>
      <c r="K49" s="15" t="n">
        <f aca="false">E49+J49</f>
        <v>234164.86</v>
      </c>
      <c r="L49" s="1" t="n">
        <f aca="false">EXP(G49+$B$2*LN(K49))</f>
        <v>40.7961369352578</v>
      </c>
      <c r="M49" s="1" t="n">
        <f aca="false">L49-H49</f>
        <v>0</v>
      </c>
      <c r="N49" s="1" t="n">
        <f aca="false">F49+M49</f>
        <v>40.896</v>
      </c>
      <c r="O49" s="1" t="n">
        <f aca="false">(N49-N48)/N48*100</f>
        <v>3.35102350265353</v>
      </c>
      <c r="P49" s="1" t="n">
        <f aca="false">(F49-F48)/F48*100</f>
        <v>3.35102350265353</v>
      </c>
    </row>
    <row r="50" customFormat="false" ht="12" hidden="false" customHeight="true" outlineLevel="0" collapsed="false">
      <c r="C50" s="1" t="n">
        <v>2016</v>
      </c>
      <c r="D50" s="1" t="n">
        <f aca="false">D20/(E20*1000)</f>
        <v>5.69972770463517</v>
      </c>
      <c r="E50" s="15" t="n">
        <f aca="false">D20</f>
        <v>241138.38</v>
      </c>
      <c r="F50" s="1" t="n">
        <f aca="false">WEO_Data!C24</f>
        <v>42.307</v>
      </c>
      <c r="G50" s="1" t="n">
        <f aca="false">L20</f>
        <v>-0.582486477335725</v>
      </c>
      <c r="H50" s="1" t="n">
        <f aca="false">EXP(G50+$B$2*LN(E50))</f>
        <v>42.738822797156</v>
      </c>
      <c r="I50" s="1" t="n">
        <f aca="false">IFERROR(INDEX(Investment!$C$2:$C$9,MATCH(C50,Investment!$B$2:$B$9,0)),0)</f>
        <v>0</v>
      </c>
      <c r="J50" s="1" t="n">
        <f aca="false">(1-$B$3)*J49+I50</f>
        <v>0</v>
      </c>
      <c r="K50" s="15" t="n">
        <f aca="false">E50+J50</f>
        <v>241138.38</v>
      </c>
      <c r="L50" s="1" t="n">
        <f aca="false">EXP(G50+$B$2*LN(K50))</f>
        <v>42.738822797156</v>
      </c>
      <c r="M50" s="1" t="n">
        <f aca="false">L50-H50</f>
        <v>0</v>
      </c>
      <c r="N50" s="1" t="n">
        <f aca="false">F50+M50</f>
        <v>42.307</v>
      </c>
      <c r="O50" s="1" t="n">
        <f aca="false">(N50-N49)/N49*100</f>
        <v>3.4502151799687</v>
      </c>
      <c r="P50" s="1" t="n">
        <f aca="false">(F50-F49)/F49*100</f>
        <v>3.4502151799687</v>
      </c>
    </row>
    <row r="51" customFormat="false" ht="12" hidden="false" customHeight="true" outlineLevel="0" collapsed="false">
      <c r="C51" s="1" t="n">
        <v>2017</v>
      </c>
      <c r="D51" s="1" t="n">
        <f aca="false">D21/(E21*1000)</f>
        <v>5.57503011912789</v>
      </c>
      <c r="E51" s="15" t="n">
        <f aca="false">D21</f>
        <v>248033.09</v>
      </c>
      <c r="F51" s="1" t="n">
        <f aca="false">WEO_Data!C25</f>
        <v>44.49</v>
      </c>
      <c r="G51" s="1" t="n">
        <f aca="false">L21</f>
        <v>-0.546863431030681</v>
      </c>
      <c r="H51" s="1" t="n">
        <f aca="false">EXP(G51+$B$2*LN(E51))</f>
        <v>44.7279092258691</v>
      </c>
      <c r="I51" s="1" t="n">
        <f aca="false">IFERROR(INDEX(Investment!$C$2:$C$9,MATCH(C51,Investment!$B$2:$B$9,0)),0)</f>
        <v>0</v>
      </c>
      <c r="J51" s="1" t="n">
        <f aca="false">(1-$B$3)*J50+I51</f>
        <v>0</v>
      </c>
      <c r="K51" s="15" t="n">
        <f aca="false">E51+J51</f>
        <v>248033.09</v>
      </c>
      <c r="L51" s="1" t="n">
        <f aca="false">EXP(G51+$B$2*LN(K51))</f>
        <v>44.7279092258691</v>
      </c>
      <c r="M51" s="1" t="n">
        <f aca="false">L51-H51</f>
        <v>0</v>
      </c>
      <c r="N51" s="1" t="n">
        <f aca="false">F51+M51</f>
        <v>44.49</v>
      </c>
      <c r="O51" s="1" t="n">
        <f aca="false">(N51-N50)/N50*100</f>
        <v>5.15990261658827</v>
      </c>
      <c r="P51" s="1" t="n">
        <f aca="false">(F51-F50)/F50*100</f>
        <v>5.15990261658827</v>
      </c>
    </row>
    <row r="52" customFormat="false" ht="12" hidden="false" customHeight="true" outlineLevel="0" collapsed="false">
      <c r="C52" s="1" t="n">
        <v>2018</v>
      </c>
      <c r="D52" s="1" t="n">
        <f aca="false">D22/(E22*1000)</f>
        <v>5.4</v>
      </c>
      <c r="E52" s="15" t="n">
        <f aca="false">D22</f>
        <v>254809.8</v>
      </c>
      <c r="F52" s="1" t="n">
        <f aca="false">WEO_Data!C26</f>
        <v>47.187</v>
      </c>
      <c r="G52" s="1" t="n">
        <f aca="false">L22</f>
        <v>-0.511385148710116</v>
      </c>
      <c r="H52" s="1" t="n">
        <f aca="false">EXP(G52+$B$2*LN(E52))</f>
        <v>46.7825506251353</v>
      </c>
      <c r="I52" s="1" t="n">
        <f aca="false">IFERROR(INDEX(Investment!$C$2:$C$9,MATCH(C52,Investment!$B$2:$B$9,0)),0)</f>
        <v>0</v>
      </c>
      <c r="J52" s="1" t="n">
        <f aca="false">(1-$B$3)*J51+I52</f>
        <v>0</v>
      </c>
      <c r="K52" s="15" t="n">
        <f aca="false">E52+J52</f>
        <v>254809.8</v>
      </c>
      <c r="L52" s="1" t="n">
        <f aca="false">EXP(G52+$B$2*LN(K52))</f>
        <v>46.7825506251353</v>
      </c>
      <c r="M52" s="1" t="n">
        <f aca="false">L52-H52</f>
        <v>0</v>
      </c>
      <c r="N52" s="1" t="n">
        <f aca="false">F52+M52</f>
        <v>47.187</v>
      </c>
      <c r="O52" s="1" t="n">
        <f aca="false">(N52-N51)/N51*100</f>
        <v>6.062036412677</v>
      </c>
      <c r="P52" s="1" t="n">
        <f aca="false">(F52-F51)/F51*100</f>
        <v>6.062036412677</v>
      </c>
    </row>
    <row r="53" customFormat="false" ht="12" hidden="false" customHeight="true" outlineLevel="0" collapsed="false">
      <c r="C53" s="1" t="n">
        <v>2019</v>
      </c>
      <c r="D53" s="1" t="n">
        <f aca="false">D23/(E23*1000)</f>
        <v>5.31161887141536</v>
      </c>
      <c r="E53" s="15" t="n">
        <f aca="false">D23</f>
        <v>264125.56</v>
      </c>
      <c r="F53" s="1" t="n">
        <f aca="false">WEO_Data!C27</f>
        <v>49.726</v>
      </c>
      <c r="G53" s="1" t="n">
        <f aca="false">L23</f>
        <v>-0.475623407595268</v>
      </c>
      <c r="H53" s="1" t="n">
        <f aca="false">EXP(G53+$B$2*LN(E53))</f>
        <v>49.0990432417027</v>
      </c>
      <c r="I53" s="1" t="n">
        <f aca="false">IFERROR(INDEX(Investment!$C$2:$C$9,MATCH(C53,Investment!$B$2:$B$9,0)),0)</f>
        <v>0</v>
      </c>
      <c r="J53" s="1" t="n">
        <f aca="false">(1-$B$3)*J52+I53</f>
        <v>0</v>
      </c>
      <c r="K53" s="15" t="n">
        <f aca="false">E53+J53</f>
        <v>264125.56</v>
      </c>
      <c r="L53" s="1" t="n">
        <f aca="false">EXP(G53+$B$2*LN(K53))</f>
        <v>49.0990432417027</v>
      </c>
      <c r="M53" s="1" t="n">
        <f aca="false">L53-H53</f>
        <v>0</v>
      </c>
      <c r="N53" s="1" t="n">
        <f aca="false">F53+M53</f>
        <v>49.726</v>
      </c>
      <c r="O53" s="1" t="n">
        <f aca="false">(N53-N52)/N52*100</f>
        <v>5.38071926589951</v>
      </c>
      <c r="P53" s="1" t="n">
        <f aca="false">(F53-F52)/F52*100</f>
        <v>5.38071926589951</v>
      </c>
    </row>
    <row r="54" customFormat="false" ht="12" hidden="false" customHeight="true" outlineLevel="0" collapsed="false">
      <c r="C54" s="1" t="n">
        <v>2020</v>
      </c>
      <c r="D54" s="1" t="n">
        <f aca="false">D24/(E24*1000)</f>
        <v>5.76817095154298</v>
      </c>
      <c r="E54" s="15" t="n">
        <f aca="false">D24</f>
        <v>268785.23</v>
      </c>
      <c r="F54" s="1" t="n">
        <f aca="false">WEO_Data!C28</f>
        <v>46.598</v>
      </c>
      <c r="G54" s="1" t="n">
        <f aca="false">L24</f>
        <v>-0.439063903433185</v>
      </c>
      <c r="H54" s="1" t="n">
        <f aca="false">EXP(G54+$B$2*LN(E54))</f>
        <v>51.2399691489152</v>
      </c>
      <c r="I54" s="1" t="n">
        <f aca="false">IFERROR(INDEX(Investment!$C$2:$C$9,MATCH(C54,Investment!$B$2:$B$9,0)),0)</f>
        <v>0</v>
      </c>
      <c r="J54" s="1" t="n">
        <f aca="false">(1-$B$3)*J53+I54</f>
        <v>0</v>
      </c>
      <c r="K54" s="15" t="n">
        <f aca="false">E54+J54</f>
        <v>268785.23</v>
      </c>
      <c r="L54" s="1" t="n">
        <f aca="false">EXP(G54+$B$2*LN(K54))</f>
        <v>51.2399691489152</v>
      </c>
      <c r="M54" s="1" t="n">
        <f aca="false">L54-H54</f>
        <v>0</v>
      </c>
      <c r="N54" s="1" t="n">
        <f aca="false">F54+M54</f>
        <v>46.598</v>
      </c>
      <c r="O54" s="1" t="n">
        <f aca="false">(N54-N53)/N53*100</f>
        <v>-6.2904717853839</v>
      </c>
      <c r="P54" s="1" t="n">
        <f aca="false">(F54-F53)/F53*100</f>
        <v>-6.2904717853839</v>
      </c>
    </row>
    <row r="55" customFormat="false" ht="12" hidden="false" customHeight="true" outlineLevel="0" collapsed="false">
      <c r="C55" s="1" t="n">
        <v>2021</v>
      </c>
      <c r="D55" s="1" t="n">
        <f aca="false">D25/(E25*1000)</f>
        <v>5.28509232320881</v>
      </c>
      <c r="E55" s="15" t="n">
        <f aca="false">D25</f>
        <v>272488.79</v>
      </c>
      <c r="F55" s="1" t="n">
        <f aca="false">WEO_Data!C29</f>
        <v>51.558</v>
      </c>
      <c r="G55" s="1" t="n">
        <f aca="false">L25</f>
        <v>-0.401065448106436</v>
      </c>
      <c r="H55" s="1" t="n">
        <f aca="false">EXP(G55+$B$2*LN(E55))</f>
        <v>53.480014106872</v>
      </c>
      <c r="I55" s="1" t="n">
        <f aca="false">IFERROR(INDEX(Investment!$C$2:$C$9,MATCH(C55,Investment!$B$2:$B$9,0)),0)</f>
        <v>0</v>
      </c>
      <c r="J55" s="1" t="n">
        <f aca="false">(1-$B$3)*J54+I55</f>
        <v>0</v>
      </c>
      <c r="K55" s="15" t="n">
        <f aca="false">E55+J55</f>
        <v>272488.79</v>
      </c>
      <c r="L55" s="1" t="n">
        <f aca="false">EXP(G55+$B$2*LN(K55))</f>
        <v>53.480014106872</v>
      </c>
      <c r="M55" s="1" t="n">
        <f aca="false">L55-H55</f>
        <v>0</v>
      </c>
      <c r="N55" s="1" t="n">
        <f aca="false">F55+M55</f>
        <v>51.558</v>
      </c>
      <c r="O55" s="1" t="n">
        <f aca="false">(N55-N54)/N54*100</f>
        <v>10.6442336580969</v>
      </c>
      <c r="P55" s="1" t="n">
        <f aca="false">(F55-F54)/F54*100</f>
        <v>10.6442336580969</v>
      </c>
    </row>
    <row r="56" customFormat="false" ht="12" hidden="false" customHeight="true" outlineLevel="0" collapsed="false">
      <c r="C56" s="1" t="n">
        <v>2022</v>
      </c>
      <c r="D56" s="1" t="n">
        <f aca="false">D26/(E26*1000)</f>
        <v>4.85130348902252</v>
      </c>
      <c r="E56" s="15" t="n">
        <f aca="false">D26</f>
        <v>277533.37</v>
      </c>
      <c r="F56" s="1" t="n">
        <f aca="false">WEO_Data!C30</f>
        <v>57.208</v>
      </c>
      <c r="G56" s="1" t="n">
        <f aca="false">L26</f>
        <v>-0.361936476029419</v>
      </c>
      <c r="H56" s="1" t="n">
        <f aca="false">EXP(G56+$B$2*LN(E56))</f>
        <v>55.9723200652679</v>
      </c>
      <c r="I56" s="1" t="n">
        <f aca="false">IFERROR(INDEX(Investment!$C$2:$C$9,MATCH(C56,Investment!$B$2:$B$9,0)),0)</f>
        <v>0</v>
      </c>
      <c r="J56" s="1" t="n">
        <f aca="false">(1-$B$3)*J55+I56</f>
        <v>0</v>
      </c>
      <c r="K56" s="15" t="n">
        <f aca="false">E56+J56</f>
        <v>277533.37</v>
      </c>
      <c r="L56" s="1" t="n">
        <f aca="false">EXP(G56+$B$2*LN(K56))</f>
        <v>55.9723200652679</v>
      </c>
      <c r="M56" s="1" t="n">
        <f aca="false">L56-H56</f>
        <v>0</v>
      </c>
      <c r="N56" s="1" t="n">
        <f aca="false">F56+M56</f>
        <v>57.208</v>
      </c>
      <c r="O56" s="1" t="n">
        <f aca="false">(N56-N55)/N55*100</f>
        <v>10.9585321385624</v>
      </c>
      <c r="P56" s="1" t="n">
        <f aca="false">(F56-F55)/F55*100</f>
        <v>10.9585321385624</v>
      </c>
    </row>
    <row r="57" customFormat="false" ht="12" hidden="false" customHeight="true" outlineLevel="0" collapsed="false">
      <c r="C57" s="1" t="n">
        <v>2023</v>
      </c>
      <c r="D57" s="1" t="n">
        <f aca="false">D27/(E27*1000)</f>
        <v>4.65657588873219</v>
      </c>
      <c r="E57" s="15" t="n">
        <f aca="false">D27</f>
        <v>287259.51</v>
      </c>
      <c r="F57" s="1" t="n">
        <f aca="false">WEO_Data!C31</f>
        <v>61.689</v>
      </c>
      <c r="G57" s="1" t="n">
        <f aca="false">L27</f>
        <v>-0.32235142790106</v>
      </c>
      <c r="H57" s="1" t="n">
        <f aca="false">EXP(G57+$B$2*LN(E57))</f>
        <v>58.938706314428</v>
      </c>
      <c r="I57" s="1" t="n">
        <f aca="false">IFERROR(INDEX(Investment!$C$2:$C$9,MATCH(C57,Investment!$B$2:$B$9,0)),0)</f>
        <v>0</v>
      </c>
      <c r="J57" s="1" t="n">
        <f aca="false">(1-$B$3)*J56+I57</f>
        <v>0</v>
      </c>
      <c r="K57" s="15" t="n">
        <f aca="false">E57+J57</f>
        <v>287259.51</v>
      </c>
      <c r="L57" s="1" t="n">
        <f aca="false">EXP(G57+$B$2*LN(K57))</f>
        <v>58.938706314428</v>
      </c>
      <c r="M57" s="1" t="n">
        <f aca="false">L57-H57</f>
        <v>0</v>
      </c>
      <c r="N57" s="1" t="n">
        <f aca="false">F57+M57</f>
        <v>61.689</v>
      </c>
      <c r="O57" s="1" t="n">
        <f aca="false">(N57-N56)/N56*100</f>
        <v>7.83282058453364</v>
      </c>
      <c r="P57" s="1" t="n">
        <f aca="false">(F57-F56)/F56*100</f>
        <v>7.83282058453364</v>
      </c>
    </row>
    <row r="58" customFormat="false" ht="12" hidden="false" customHeight="true" outlineLevel="0" collapsed="false">
      <c r="C58" s="1" t="n">
        <v>2024</v>
      </c>
      <c r="D58" s="1" t="n">
        <f aca="false">AVERAGE($D$49:$D$57)</f>
        <v>5.36370905941065</v>
      </c>
      <c r="E58" s="16" t="n">
        <f aca="false">D58*F58*1000</f>
        <v>362077.180055516</v>
      </c>
      <c r="F58" s="1" t="n">
        <f aca="false">WEO_Data!C32</f>
        <v>67.505</v>
      </c>
      <c r="G58" s="17" t="n">
        <f aca="false">TREND($G$36:$G$57,$C$36:$C$57,C58)</f>
        <v>-0.240389513759283</v>
      </c>
      <c r="H58" s="1" t="n">
        <f aca="false">EXP(G58+$B$2*LN(E58))</f>
        <v>69.3714168463015</v>
      </c>
      <c r="I58" s="1" t="n">
        <f aca="false">IFERROR(INDEX(Investment!$C$2:$C$9,MATCH(C58,Investment!$B$2:$B$9,0)),0)</f>
        <v>0</v>
      </c>
      <c r="J58" s="1" t="n">
        <f aca="false">(1-$B$3)*J57+I58</f>
        <v>0</v>
      </c>
      <c r="K58" s="15" t="n">
        <f aca="false">E58+J58</f>
        <v>362077.180055516</v>
      </c>
      <c r="L58" s="1" t="n">
        <f aca="false">EXP(G58+$B$2*LN(K58))</f>
        <v>69.3714168463015</v>
      </c>
      <c r="M58" s="1" t="n">
        <f aca="false">L58-H58</f>
        <v>0</v>
      </c>
      <c r="N58" s="1" t="n">
        <f aca="false">F58+M58</f>
        <v>67.505</v>
      </c>
      <c r="O58" s="1" t="n">
        <f aca="false">(N58-N57)/N57*100</f>
        <v>9.42793690933553</v>
      </c>
      <c r="P58" s="1" t="n">
        <f aca="false">(F58-F57)/F57*100</f>
        <v>9.42793690933553</v>
      </c>
    </row>
    <row r="59" customFormat="false" ht="12" hidden="false" customHeight="true" outlineLevel="0" collapsed="false">
      <c r="C59" s="1" t="n">
        <v>2025</v>
      </c>
      <c r="D59" s="1" t="n">
        <f aca="false">AVERAGE($D$49:$D$57)</f>
        <v>5.36370905941065</v>
      </c>
      <c r="E59" s="16" t="n">
        <f aca="false">D59*F59*1000</f>
        <v>383719.746110238</v>
      </c>
      <c r="F59" s="1" t="n">
        <f aca="false">WEO_Data!C33</f>
        <v>71.54</v>
      </c>
      <c r="G59" s="17" t="n">
        <f aca="false">TREND($G$36:$G$57,$C$36:$C$57,C59)</f>
        <v>-0.195914343241526</v>
      </c>
      <c r="H59" s="1" t="n">
        <f aca="false">EXP(G59+$B$2*LN(E59))</f>
        <v>74.0151176425175</v>
      </c>
      <c r="I59" s="1" t="n">
        <f aca="false">IFERROR(INDEX(Investment!$C$2:$C$9,MATCH(C59,Investment!$B$2:$B$9,0)),0)</f>
        <v>0</v>
      </c>
      <c r="J59" s="1" t="n">
        <f aca="false">(1-$B$3)*J58+I59</f>
        <v>0</v>
      </c>
      <c r="K59" s="15" t="n">
        <f aca="false">E59+J59</f>
        <v>383719.746110238</v>
      </c>
      <c r="L59" s="1" t="n">
        <f aca="false">EXP(G59+$B$2*LN(K59))</f>
        <v>74.0151176425175</v>
      </c>
      <c r="M59" s="1" t="n">
        <f aca="false">L59-H59</f>
        <v>0</v>
      </c>
      <c r="N59" s="1" t="n">
        <f aca="false">F59+M59</f>
        <v>71.54</v>
      </c>
      <c r="O59" s="1" t="n">
        <f aca="false">(N59-N58)/N58*100</f>
        <v>5.97733501222133</v>
      </c>
      <c r="P59" s="1" t="n">
        <f aca="false">(F59-F58)/F58*100</f>
        <v>5.97733501222133</v>
      </c>
    </row>
    <row r="60" customFormat="false" ht="12" hidden="false" customHeight="true" outlineLevel="0" collapsed="false">
      <c r="C60" s="1" t="n">
        <v>2026</v>
      </c>
      <c r="D60" s="1" t="n">
        <f aca="false">AVERAGE($D$49:$D$57)</f>
        <v>5.36370905941065</v>
      </c>
      <c r="E60" s="16" t="n">
        <f aca="false">D60*F60*1000</f>
        <v>402905.73341575</v>
      </c>
      <c r="F60" s="17" t="n">
        <f aca="false">WEO_Data!C34</f>
        <v>75.117</v>
      </c>
      <c r="G60" s="17" t="n">
        <f aca="false">TREND($G$36:$G$57,$C$36:$C$57,C60)</f>
        <v>-0.151439172723784</v>
      </c>
      <c r="H60" s="1" t="n">
        <f aca="false">EXP(G60+$B$2*LN(E60))</f>
        <v>78.7140049161502</v>
      </c>
      <c r="I60" s="18" t="n">
        <f aca="false">IFERROR(INDEX(Investment!$C$2:$C$9,MATCH(C60,Investment!$B$2:$B$9,0)),0)</f>
        <v>648.589313756442</v>
      </c>
      <c r="J60" s="1" t="n">
        <f aca="false">(1-$B$3)*J59+I60</f>
        <v>648.589313756442</v>
      </c>
      <c r="K60" s="15" t="n">
        <f aca="false">E60+J60</f>
        <v>403554.322729506</v>
      </c>
      <c r="L60" s="1" t="n">
        <f aca="false">EXP(G60+$B$2*LN(K60))</f>
        <v>78.7583309958988</v>
      </c>
      <c r="M60" s="1" t="n">
        <f aca="false">L60-H60</f>
        <v>0.0443260797486147</v>
      </c>
      <c r="N60" s="1" t="n">
        <f aca="false">F60+M60</f>
        <v>75.1613260797486</v>
      </c>
      <c r="O60" s="1" t="n">
        <f aca="false">(N60-N59)/N59*100</f>
        <v>5.06195985427539</v>
      </c>
      <c r="P60" s="1" t="n">
        <f aca="false">(F60-F59)/F59*100</f>
        <v>5</v>
      </c>
    </row>
    <row r="61" customFormat="false" ht="12" hidden="false" customHeight="true" outlineLevel="0" collapsed="false">
      <c r="C61" s="1" t="n">
        <v>2027</v>
      </c>
      <c r="D61" s="1" t="n">
        <f aca="false">AVERAGE($D$49:$D$57)</f>
        <v>5.36370905941065</v>
      </c>
      <c r="E61" s="16" t="n">
        <f aca="false">D61*F61*1000</f>
        <v>423051.824642896</v>
      </c>
      <c r="F61" s="17" t="n">
        <f aca="false">WEO_Data!C35</f>
        <v>78.873</v>
      </c>
      <c r="G61" s="17" t="n">
        <f aca="false">TREND($G$36:$G$57,$C$36:$C$57,C61)</f>
        <v>-0.106964002206027</v>
      </c>
      <c r="H61" s="1" t="n">
        <f aca="false">EXP(G61+$B$2*LN(E61))</f>
        <v>83.7112591514784</v>
      </c>
      <c r="I61" s="18" t="n">
        <f aca="false">IFERROR(INDEX(Investment!$C$2:$C$9,MATCH(C61,Investment!$B$2:$B$9,0)),0)</f>
        <v>1220.08019689654</v>
      </c>
      <c r="J61" s="1" t="n">
        <f aca="false">(1-$B$3)*J60+I61</f>
        <v>1853.78531034284</v>
      </c>
      <c r="K61" s="15" t="n">
        <f aca="false">E61+J61</f>
        <v>424905.609953239</v>
      </c>
      <c r="L61" s="1" t="n">
        <f aca="false">EXP(G61+$B$2*LN(K61))</f>
        <v>83.8394627864871</v>
      </c>
      <c r="M61" s="1" t="n">
        <f aca="false">L61-H61</f>
        <v>0.128203635008731</v>
      </c>
      <c r="N61" s="1" t="n">
        <f aca="false">F61+M61</f>
        <v>79.0012036350087</v>
      </c>
      <c r="O61" s="1" t="n">
        <f aca="false">(N61-N60)/N60*100</f>
        <v>5.10884753574715</v>
      </c>
      <c r="P61" s="1" t="n">
        <f aca="false">(F61-F60)/F60*100</f>
        <v>5.00019968848596</v>
      </c>
    </row>
    <row r="62" customFormat="false" ht="12" hidden="false" customHeight="true" outlineLevel="0" collapsed="false">
      <c r="C62" s="1" t="n">
        <v>2028</v>
      </c>
      <c r="D62" s="1" t="n">
        <f aca="false">AVERAGE($D$49:$D$57)</f>
        <v>5.36370905941065</v>
      </c>
      <c r="E62" s="16" t="n">
        <f aca="false">D62*F62*1000</f>
        <v>444204.415875041</v>
      </c>
      <c r="F62" s="17" t="n">
        <f aca="false">WEO_Data!C36</f>
        <v>82.81665</v>
      </c>
      <c r="G62" s="17" t="n">
        <f aca="false">TREND($G$36:$G$57,$C$36:$C$57,C62)</f>
        <v>-0.0624888316882704</v>
      </c>
      <c r="H62" s="1" t="n">
        <f aca="false">EXP(G62+$B$2*LN(E62))</f>
        <v>89.0257108853332</v>
      </c>
      <c r="I62" s="18" t="n">
        <f aca="false">IFERROR(INDEX(Investment!$C$2:$C$9,MATCH(C62,Investment!$B$2:$B$9,0)),0)</f>
        <v>1756.17368014315</v>
      </c>
      <c r="J62" s="1" t="n">
        <f aca="false">(1-$B$3)*J61+I62</f>
        <v>3567.41725983159</v>
      </c>
      <c r="K62" s="15" t="n">
        <f aca="false">E62+J62</f>
        <v>447771.833134873</v>
      </c>
      <c r="L62" s="1" t="n">
        <f aca="false">EXP(G62+$B$2*LN(K62))</f>
        <v>89.2752993439148</v>
      </c>
      <c r="M62" s="1" t="n">
        <f aca="false">L62-H62</f>
        <v>0.249588458581556</v>
      </c>
      <c r="N62" s="1" t="n">
        <f aca="false">F62+M62</f>
        <v>83.0662384585816</v>
      </c>
      <c r="O62" s="1" t="n">
        <f aca="false">(N62-N61)/N61*100</f>
        <v>5.14553530393484</v>
      </c>
      <c r="P62" s="1" t="n">
        <f aca="false">(F62-F61)/F61*100</f>
        <v>5.00000000000001</v>
      </c>
    </row>
    <row r="63" customFormat="false" ht="12" hidden="false" customHeight="true" outlineLevel="0" collapsed="false">
      <c r="C63" s="1" t="n">
        <v>2029</v>
      </c>
      <c r="D63" s="1" t="n">
        <f aca="false">AVERAGE($D$49:$D$57)</f>
        <v>5.36370905941065</v>
      </c>
      <c r="E63" s="16" t="n">
        <f aca="false">D63*F63*1000</f>
        <v>466414.636668793</v>
      </c>
      <c r="F63" s="17" t="n">
        <f aca="false">WEO_Data!C37</f>
        <v>86.9574825</v>
      </c>
      <c r="G63" s="17" t="n">
        <f aca="false">TREND($G$36:$G$57,$C$36:$C$57,C63)</f>
        <v>-0.0180136611705137</v>
      </c>
      <c r="H63" s="1" t="n">
        <f aca="false">EXP(G63+$B$2*LN(E63))</f>
        <v>94.6775532822572</v>
      </c>
      <c r="I63" s="18" t="n">
        <f aca="false">IFERROR(INDEX(Investment!$C$2:$C$9,MATCH(C63,Investment!$B$2:$B$9,0)),0)</f>
        <v>2221.19470098522</v>
      </c>
      <c r="J63" s="1" t="n">
        <f aca="false">(1-$B$3)*J62+I63</f>
        <v>5706.74481937769</v>
      </c>
      <c r="K63" s="15" t="n">
        <f aca="false">E63+J63</f>
        <v>472121.381488171</v>
      </c>
      <c r="L63" s="1" t="n">
        <f aca="false">EXP(G63+$B$2*LN(K63))</f>
        <v>95.0813962433435</v>
      </c>
      <c r="M63" s="1" t="n">
        <f aca="false">L63-H63</f>
        <v>0.403842961086298</v>
      </c>
      <c r="N63" s="1" t="n">
        <f aca="false">F63+M63</f>
        <v>87.3613254610863</v>
      </c>
      <c r="O63" s="1" t="n">
        <f aca="false">(N63-N62)/N62*100</f>
        <v>5.17067713936073</v>
      </c>
      <c r="P63" s="1" t="n">
        <f aca="false">(F63-F62)/F62*100</f>
        <v>5</v>
      </c>
    </row>
    <row r="64" customFormat="false" ht="12" hidden="false" customHeight="true" outlineLevel="0" collapsed="false">
      <c r="C64" s="1" t="n">
        <v>2030</v>
      </c>
      <c r="D64" s="1" t="n">
        <f aca="false">AVERAGE($D$49:$D$57)</f>
        <v>5.36370905941065</v>
      </c>
      <c r="E64" s="16" t="n">
        <f aca="false">D64*F64*1000</f>
        <v>489735.368502233</v>
      </c>
      <c r="F64" s="17" t="n">
        <f aca="false">WEO_Data!C38</f>
        <v>91.305356625</v>
      </c>
      <c r="G64" s="17" t="n">
        <f aca="false">TREND($G$36:$G$57,$C$36:$C$57,C64)</f>
        <v>0.0264615093472429</v>
      </c>
      <c r="H64" s="1" t="n">
        <f aca="false">EXP(G64+$B$2*LN(E64))</f>
        <v>100.688205759573</v>
      </c>
      <c r="I64" s="18" t="n">
        <f aca="false">IFERROR(INDEX(Investment!$C$2:$C$9,MATCH(C64,Investment!$B$2:$B$9,0)),0)</f>
        <v>2122.46787645573</v>
      </c>
      <c r="J64" s="1" t="n">
        <f aca="false">(1-$B$3)*J63+I64</f>
        <v>7698.25103610678</v>
      </c>
      <c r="K64" s="15" t="n">
        <f aca="false">E64+J64</f>
        <v>497433.61953834</v>
      </c>
      <c r="L64" s="1" t="n">
        <f aca="false">EXP(G64+$B$2*LN(K64))</f>
        <v>101.239358462934</v>
      </c>
      <c r="M64" s="1" t="n">
        <f aca="false">L64-H64</f>
        <v>0.551152703361098</v>
      </c>
      <c r="N64" s="1" t="n">
        <f aca="false">F64+M64</f>
        <v>91.8565093283611</v>
      </c>
      <c r="O64" s="1" t="n">
        <f aca="false">(N64-N63)/N63*100</f>
        <v>5.14550785894052</v>
      </c>
      <c r="P64" s="1" t="n">
        <f aca="false">(F64-F63)/F63*100</f>
        <v>5</v>
      </c>
    </row>
    <row r="65" customFormat="false" ht="12" hidden="false" customHeight="true" outlineLevel="0" collapsed="false">
      <c r="C65" s="1" t="n">
        <v>2031</v>
      </c>
      <c r="D65" s="1" t="n">
        <f aca="false">AVERAGE($D$49:$D$57)</f>
        <v>5.36370905941065</v>
      </c>
      <c r="E65" s="16" t="n">
        <f aca="false">D65*F65*1000</f>
        <v>514222.136927345</v>
      </c>
      <c r="F65" s="17" t="n">
        <f aca="false">WEO_Data!C39</f>
        <v>95.87062445625</v>
      </c>
      <c r="G65" s="17" t="n">
        <f aca="false">TREND($G$36:$G$57,$C$36:$C$57,C65)</f>
        <v>0.0709366798649853</v>
      </c>
      <c r="H65" s="1" t="n">
        <f aca="false">EXP(G65+$B$2*LN(E65))</f>
        <v>107.08044755717</v>
      </c>
      <c r="I65" s="18" t="n">
        <f aca="false">IFERROR(INDEX(Investment!$C$2:$C$9,MATCH(C65,Investment!$B$2:$B$9,0)),0)</f>
        <v>1524.52458527675</v>
      </c>
      <c r="J65" s="1" t="n">
        <f aca="false">(1-$B$3)*J64+I65</f>
        <v>9046.11173249587</v>
      </c>
      <c r="K65" s="15" t="n">
        <f aca="false">E65+J65</f>
        <v>523268.248659841</v>
      </c>
      <c r="L65" s="1" t="n">
        <f aca="false">EXP(G65+$B$2*LN(K65))</f>
        <v>107.736023709864</v>
      </c>
      <c r="M65" s="1" t="n">
        <f aca="false">L65-H65</f>
        <v>0.655576152694493</v>
      </c>
      <c r="N65" s="1" t="n">
        <f aca="false">F65+M65</f>
        <v>96.5262006089445</v>
      </c>
      <c r="O65" s="1" t="n">
        <f aca="false">(N65-N64)/N64*100</f>
        <v>5.08368031261734</v>
      </c>
      <c r="P65" s="1" t="n">
        <f aca="false">(F65-F64)/F64*100</f>
        <v>5.00000000000001</v>
      </c>
    </row>
    <row r="66" customFormat="false" ht="12" hidden="false" customHeight="true" outlineLevel="0" collapsed="false">
      <c r="C66" s="1" t="n">
        <v>2032</v>
      </c>
      <c r="D66" s="1" t="n">
        <f aca="false">AVERAGE($D$49:$D$57)</f>
        <v>5.36370905941065</v>
      </c>
      <c r="E66" s="16" t="n">
        <f aca="false">D66*F66*1000</f>
        <v>539933.243773712</v>
      </c>
      <c r="F66" s="17" t="n">
        <f aca="false">WEO_Data!C40</f>
        <v>100.664155679063</v>
      </c>
      <c r="G66" s="17" t="n">
        <f aca="false">TREND($G$36:$G$57,$C$36:$C$57,C66)</f>
        <v>0.115411850382742</v>
      </c>
      <c r="H66" s="1" t="n">
        <f aca="false">EXP(G66+$B$2*LN(E66))</f>
        <v>113.878504066538</v>
      </c>
      <c r="I66" s="18" t="n">
        <f aca="false">IFERROR(INDEX(Investment!$C$2:$C$9,MATCH(C66,Investment!$B$2:$B$9,0)),0)</f>
        <v>738.176310559893</v>
      </c>
      <c r="J66" s="1" t="n">
        <f aca="false">(1-$B$3)*J65+I66</f>
        <v>9576.69267230474</v>
      </c>
      <c r="K66" s="15" t="n">
        <f aca="false">E66+J66</f>
        <v>549509.936446017</v>
      </c>
      <c r="L66" s="1" t="n">
        <f aca="false">EXP(G66+$B$2*LN(K66))</f>
        <v>114.581412640393</v>
      </c>
      <c r="M66" s="1" t="n">
        <f aca="false">L66-H66</f>
        <v>0.70290857385443</v>
      </c>
      <c r="N66" s="1" t="n">
        <f aca="false">F66+M66</f>
        <v>101.367064252917</v>
      </c>
      <c r="O66" s="1" t="n">
        <f aca="false">(N66-N65)/N65*100</f>
        <v>5.0150773711525</v>
      </c>
      <c r="P66" s="1" t="n">
        <f aca="false">(F66-F65)/F65*100</f>
        <v>5</v>
      </c>
    </row>
    <row r="67" customFormat="false" ht="12" hidden="false" customHeight="true" outlineLevel="0" collapsed="false">
      <c r="C67" s="1" t="n">
        <v>2033</v>
      </c>
      <c r="D67" s="1" t="n">
        <f aca="false">AVERAGE($D$49:$D$57)</f>
        <v>5.36370905941065</v>
      </c>
      <c r="E67" s="16" t="n">
        <f aca="false">D67*F67*1000</f>
        <v>566929.905962398</v>
      </c>
      <c r="F67" s="17" t="n">
        <f aca="false">WEO_Data!C41</f>
        <v>105.697363463016</v>
      </c>
      <c r="G67" s="17" t="n">
        <f aca="false">TREND($G$36:$G$57,$C$36:$C$57,C67)</f>
        <v>0.159887020900499</v>
      </c>
      <c r="H67" s="1" t="n">
        <f aca="false">EXP(G67+$B$2*LN(E67))</f>
        <v>121.108138640426</v>
      </c>
      <c r="I67" s="18" t="n">
        <f aca="false">IFERROR(INDEX(Investment!$C$2:$C$9,MATCH(C67,Investment!$B$2:$B$9,0)),0)</f>
        <v>352.605976897002</v>
      </c>
      <c r="J67" s="1" t="n">
        <f aca="false">(1-$B$3)*J66+I67</f>
        <v>9709.5272021242</v>
      </c>
      <c r="K67" s="15" t="n">
        <f aca="false">E67+J67</f>
        <v>576639.433164522</v>
      </c>
      <c r="L67" s="1" t="n">
        <f aca="false">EXP(G67+$B$2*LN(K67))</f>
        <v>121.830091174162</v>
      </c>
      <c r="M67" s="1" t="n">
        <f aca="false">L67-H67</f>
        <v>0.721952533735859</v>
      </c>
      <c r="N67" s="1" t="n">
        <f aca="false">F67+M67</f>
        <v>106.419315996752</v>
      </c>
      <c r="O67" s="1" t="n">
        <f aca="false">(N67-N66)/N66*100</f>
        <v>4.98411568004859</v>
      </c>
      <c r="P67" s="1" t="n">
        <f aca="false">(F67-F66)/F66*100</f>
        <v>5</v>
      </c>
    </row>
    <row r="68" customFormat="false" ht="12" hidden="false" customHeight="true" outlineLevel="0" collapsed="false">
      <c r="C68" s="1" t="n">
        <v>2034</v>
      </c>
      <c r="D68" s="1" t="n">
        <f aca="false">AVERAGE($D$49:$D$57)</f>
        <v>5.36370905941065</v>
      </c>
      <c r="E68" s="16" t="n">
        <f aca="false">D68*F68*1000</f>
        <v>595276.401260517</v>
      </c>
      <c r="F68" s="17" t="n">
        <f aca="false">WEO_Data!C42</f>
        <v>110.982231636166</v>
      </c>
      <c r="G68" s="17" t="n">
        <f aca="false">TREND($G$36:$G$57,$C$36:$C$57,C68)</f>
        <v>0.204362191418255</v>
      </c>
      <c r="H68" s="1" t="n">
        <f aca="false">EXP(G68+$B$2*LN(E68))</f>
        <v>128.796750231095</v>
      </c>
      <c r="I68" s="1" t="n">
        <f aca="false">IFERROR(INDEX(Investment!$C$2:$C$9,MATCH(C68,Investment!$B$2:$B$9,0)),0)</f>
        <v>0</v>
      </c>
      <c r="J68" s="1" t="n">
        <f aca="false">(1-$B$3)*J67+I68</f>
        <v>9486.70739191763</v>
      </c>
      <c r="K68" s="15" t="n">
        <f aca="false">E68+J68</f>
        <v>604763.108652435</v>
      </c>
      <c r="L68" s="1" t="n">
        <f aca="false">EXP(G68+$B$2*LN(K68))</f>
        <v>129.511467320187</v>
      </c>
      <c r="M68" s="1" t="n">
        <f aca="false">L68-H68</f>
        <v>0.714717089092517</v>
      </c>
      <c r="N68" s="1" t="n">
        <f aca="false">F68+M68</f>
        <v>111.696948725259</v>
      </c>
      <c r="O68" s="1" t="n">
        <f aca="false">(N68-N67)/N67*100</f>
        <v>4.95928082141455</v>
      </c>
      <c r="P68" s="1" t="n">
        <f aca="false">(F68-F67)/F67*100</f>
        <v>5</v>
      </c>
    </row>
    <row r="69" customFormat="false" ht="12" hidden="false" customHeight="true" outlineLevel="0" collapsed="false">
      <c r="C69" s="1" t="n">
        <v>2035</v>
      </c>
      <c r="D69" s="1" t="n">
        <f aca="false">AVERAGE($D$49:$D$57)</f>
        <v>5.36370905941065</v>
      </c>
      <c r="E69" s="16" t="n">
        <f aca="false">D69*F69*1000</f>
        <v>625040.221323543</v>
      </c>
      <c r="F69" s="17" t="n">
        <f aca="false">WEO_Data!C43</f>
        <v>116.531343217975</v>
      </c>
      <c r="G69" s="17" t="n">
        <f aca="false">TREND($G$36:$G$57,$C$36:$C$57,C69)</f>
        <v>0.248837361936012</v>
      </c>
      <c r="H69" s="1" t="n">
        <f aca="false">EXP(G69+$B$2*LN(E69))</f>
        <v>136.973477227184</v>
      </c>
      <c r="I69" s="1" t="n">
        <f aca="false">IFERROR(INDEX(Investment!$C$2:$C$9,MATCH(C69,Investment!$B$2:$B$9,0)),0)</f>
        <v>0</v>
      </c>
      <c r="J69" s="1" t="n">
        <f aca="false">(1-$B$3)*J68+I69</f>
        <v>9269.00097876809</v>
      </c>
      <c r="K69" s="15" t="n">
        <f aca="false">E69+J69</f>
        <v>634309.222302311</v>
      </c>
      <c r="L69" s="1" t="n">
        <f aca="false">EXP(G69+$B$2*LN(K69))</f>
        <v>137.681012837263</v>
      </c>
      <c r="M69" s="1" t="n">
        <f aca="false">L69-H69</f>
        <v>0.70753561007848</v>
      </c>
      <c r="N69" s="1" t="n">
        <f aca="false">F69+M69</f>
        <v>117.238878828053</v>
      </c>
      <c r="O69" s="1" t="n">
        <f aca="false">(N69-N68)/N68*100</f>
        <v>4.96157698669619</v>
      </c>
      <c r="P69" s="1" t="n">
        <f aca="false">(F69-F68)/F68*100</f>
        <v>5.00000000000001</v>
      </c>
    </row>
    <row r="70" customFormat="false" ht="12" hidden="false" customHeight="true" outlineLevel="0" collapsed="false">
      <c r="C70" s="1" t="n">
        <v>2036</v>
      </c>
      <c r="D70" s="1" t="n">
        <f aca="false">AVERAGE($D$49:$D$57)</f>
        <v>5.36370905941065</v>
      </c>
      <c r="E70" s="16" t="n">
        <f aca="false">D70*F70*1000</f>
        <v>656292.232389721</v>
      </c>
      <c r="F70" s="17" t="n">
        <f aca="false">WEO_Data!C44</f>
        <v>122.357910378874</v>
      </c>
      <c r="G70" s="17" t="n">
        <f aca="false">TREND($G$36:$G$57,$C$36:$C$57,C70)</f>
        <v>0.293312532453754</v>
      </c>
      <c r="H70" s="1" t="n">
        <f aca="false">EXP(G70+$B$2*LN(E70))</f>
        <v>145.669307882708</v>
      </c>
      <c r="I70" s="1" t="n">
        <f aca="false">IFERROR(INDEX(Investment!$C$2:$C$9,MATCH(C70,Investment!$B$2:$B$9,0)),0)</f>
        <v>0</v>
      </c>
      <c r="J70" s="1" t="n">
        <f aca="false">(1-$B$3)*J69+I70</f>
        <v>9056.29061750129</v>
      </c>
      <c r="K70" s="15" t="n">
        <f aca="false">E70+J70</f>
        <v>665348.523007222</v>
      </c>
      <c r="L70" s="1" t="n">
        <f aca="false">EXP(G70+$B$2*LN(K70))</f>
        <v>146.369717058501</v>
      </c>
      <c r="M70" s="1" t="n">
        <f aca="false">L70-H70</f>
        <v>0.700409175792714</v>
      </c>
      <c r="N70" s="1" t="n">
        <f aca="false">F70+M70</f>
        <v>123.058319554666</v>
      </c>
      <c r="O70" s="1" t="n">
        <f aca="false">(N70-N69)/N69*100</f>
        <v>4.96374648477147</v>
      </c>
      <c r="P70" s="1" t="n">
        <f aca="false">(F70-F69)/F69*100</f>
        <v>5.00000000000001</v>
      </c>
    </row>
    <row r="71" customFormat="false" ht="12" hidden="false" customHeight="true" outlineLevel="0" collapsed="false">
      <c r="C71" s="1" t="n">
        <v>2037</v>
      </c>
      <c r="D71" s="1" t="n">
        <f aca="false">AVERAGE($D$49:$D$57)</f>
        <v>5.36370905941065</v>
      </c>
      <c r="E71" s="16" t="n">
        <f aca="false">D71*F71*1000</f>
        <v>689106.844009207</v>
      </c>
      <c r="F71" s="17" t="n">
        <f aca="false">WEO_Data!C45</f>
        <v>128.475805897817</v>
      </c>
      <c r="G71" s="17" t="n">
        <f aca="false">TREND($G$36:$G$57,$C$36:$C$57,C71)</f>
        <v>0.337787702971511</v>
      </c>
      <c r="H71" s="1" t="n">
        <f aca="false">EXP(G71+$B$2*LN(E71))</f>
        <v>154.917197756708</v>
      </c>
      <c r="I71" s="1" t="n">
        <f aca="false">IFERROR(INDEX(Investment!$C$2:$C$9,MATCH(C71,Investment!$B$2:$B$9,0)),0)</f>
        <v>0</v>
      </c>
      <c r="J71" s="1" t="n">
        <f aca="false">(1-$B$3)*J70+I71</f>
        <v>8848.46165584745</v>
      </c>
      <c r="K71" s="15" t="n">
        <f aca="false">E71+J71</f>
        <v>697955.305665054</v>
      </c>
      <c r="L71" s="1" t="n">
        <f aca="false">EXP(G71+$B$2*LN(K71))</f>
        <v>155.610536487197</v>
      </c>
      <c r="M71" s="1" t="n">
        <f aca="false">L71-H71</f>
        <v>0.693338730489643</v>
      </c>
      <c r="N71" s="1" t="n">
        <f aca="false">F71+M71</f>
        <v>129.169144628307</v>
      </c>
      <c r="O71" s="1" t="n">
        <f aca="false">(N71-N70)/N70*100</f>
        <v>4.96579597036183</v>
      </c>
      <c r="P71" s="1" t="n">
        <f aca="false">(F71-F70)/F70*100</f>
        <v>4.99999999999999</v>
      </c>
    </row>
    <row r="72" customFormat="false" ht="12" hidden="false" customHeight="true" outlineLevel="0" collapsed="false">
      <c r="C72" s="1" t="n">
        <v>2038</v>
      </c>
      <c r="D72" s="1" t="n">
        <f aca="false">AVERAGE($D$49:$D$57)</f>
        <v>5.36370905941065</v>
      </c>
      <c r="E72" s="16" t="n">
        <f aca="false">D72*F72*1000</f>
        <v>723562.186209667</v>
      </c>
      <c r="F72" s="17" t="n">
        <f aca="false">WEO_Data!C46</f>
        <v>134.899596192708</v>
      </c>
      <c r="G72" s="17" t="n">
        <f aca="false">TREND($G$36:$G$57,$C$36:$C$57,C72)</f>
        <v>0.382262873489267</v>
      </c>
      <c r="H72" s="1" t="n">
        <f aca="false">EXP(G72+$B$2*LN(E72))</f>
        <v>164.752194608592</v>
      </c>
      <c r="I72" s="1" t="n">
        <f aca="false">IFERROR(INDEX(Investment!$C$2:$C$9,MATCH(C72,Investment!$B$2:$B$9,0)),0)</f>
        <v>0</v>
      </c>
      <c r="J72" s="1" t="n">
        <f aca="false">(1-$B$3)*J71+I72</f>
        <v>8645.40207264296</v>
      </c>
      <c r="K72" s="15" t="n">
        <f aca="false">E72+J72</f>
        <v>732207.58828231</v>
      </c>
      <c r="L72" s="1" t="n">
        <f aca="false">EXP(G72+$B$2*LN(K72))</f>
        <v>165.438519702493</v>
      </c>
      <c r="M72" s="1" t="n">
        <f aca="false">L72-H72</f>
        <v>0.686325093901303</v>
      </c>
      <c r="N72" s="1" t="n">
        <f aca="false">F72+M72</f>
        <v>135.585921286609</v>
      </c>
      <c r="O72" s="1" t="n">
        <f aca="false">(N72-N71)/N71*100</f>
        <v>4.96773178824343</v>
      </c>
      <c r="P72" s="1" t="n">
        <f aca="false">(F72-F71)/F71*100</f>
        <v>5</v>
      </c>
    </row>
    <row r="73" customFormat="false" ht="12" hidden="false" customHeight="true" outlineLevel="0" collapsed="false">
      <c r="C73" s="1" t="n">
        <v>2039</v>
      </c>
      <c r="D73" s="1" t="n">
        <f aca="false">AVERAGE($D$49:$D$57)</f>
        <v>5.36370905941065</v>
      </c>
      <c r="E73" s="16" t="n">
        <f aca="false">D73*F73*1000</f>
        <v>759740.29552015</v>
      </c>
      <c r="F73" s="17" t="n">
        <f aca="false">WEO_Data!C47</f>
        <v>141.644576002343</v>
      </c>
      <c r="G73" s="17" t="n">
        <f aca="false">TREND($G$36:$G$57,$C$36:$C$57,C73)</f>
        <v>0.426738044007024</v>
      </c>
      <c r="H73" s="1" t="n">
        <f aca="false">EXP(G73+$B$2*LN(E73))</f>
        <v>175.211571222551</v>
      </c>
      <c r="I73" s="1" t="n">
        <f aca="false">IFERROR(INDEX(Investment!$C$2:$C$9,MATCH(C73,Investment!$B$2:$B$9,0)),0)</f>
        <v>0</v>
      </c>
      <c r="J73" s="1" t="n">
        <f aca="false">(1-$B$3)*J72+I73</f>
        <v>8447.00241745024</v>
      </c>
      <c r="K73" s="15" t="n">
        <f aca="false">E73+J73</f>
        <v>768187.297937601</v>
      </c>
      <c r="L73" s="1" t="n">
        <f aca="false">EXP(G73+$B$2*LN(K73))</f>
        <v>175.890940193414</v>
      </c>
      <c r="M73" s="1" t="n">
        <f aca="false">L73-H73</f>
        <v>0.679368970863663</v>
      </c>
      <c r="N73" s="1" t="n">
        <f aca="false">F73+M73</f>
        <v>142.323944973207</v>
      </c>
      <c r="O73" s="1" t="n">
        <f aca="false">(N73-N72)/N72*100</f>
        <v>4.96955998282044</v>
      </c>
      <c r="P73" s="1" t="n">
        <f aca="false">(F73-F72)/F72*100</f>
        <v>5</v>
      </c>
    </row>
    <row r="74" customFormat="false" ht="12" hidden="false" customHeight="true" outlineLevel="0" collapsed="false">
      <c r="C74" s="1" t="n">
        <v>2040</v>
      </c>
      <c r="D74" s="1" t="n">
        <f aca="false">AVERAGE($D$49:$D$57)</f>
        <v>5.36370905941065</v>
      </c>
      <c r="E74" s="16" t="n">
        <f aca="false">D74*F74*1000</f>
        <v>797727.310296158</v>
      </c>
      <c r="F74" s="17" t="n">
        <f aca="false">WEO_Data!C48</f>
        <v>148.726804802461</v>
      </c>
      <c r="G74" s="17" t="n">
        <f aca="false">TREND($G$36:$G$57,$C$36:$C$57,C74)</f>
        <v>0.471213214524781</v>
      </c>
      <c r="H74" s="1" t="n">
        <f aca="false">EXP(G74+$B$2*LN(E74))</f>
        <v>186.334966664377</v>
      </c>
      <c r="I74" s="1" t="n">
        <f aca="false">IFERROR(INDEX(Investment!$C$2:$C$9,MATCH(C74,Investment!$B$2:$B$9,0)),0)</f>
        <v>0</v>
      </c>
      <c r="J74" s="1" t="n">
        <f aca="false">(1-$B$3)*J73+I74</f>
        <v>8253.15575156326</v>
      </c>
      <c r="K74" s="15" t="n">
        <f aca="false">E74+J74</f>
        <v>805980.466047721</v>
      </c>
      <c r="L74" s="1" t="n">
        <f aca="false">EXP(G74+$B$2*LN(K74))</f>
        <v>187.007437624665</v>
      </c>
      <c r="M74" s="1" t="n">
        <f aca="false">L74-H74</f>
        <v>0.672470960287512</v>
      </c>
      <c r="N74" s="1" t="n">
        <f aca="false">F74+M74</f>
        <v>149.399275762748</v>
      </c>
      <c r="O74" s="1" t="n">
        <f aca="false">(N74-N73)/N73*100</f>
        <v>4.97128630805799</v>
      </c>
      <c r="P74" s="1" t="n">
        <f aca="false">(F74-F73)/F73*100</f>
        <v>5</v>
      </c>
    </row>
    <row r="75" customFormat="false" ht="12" hidden="false" customHeight="true" outlineLevel="0" collapsed="false">
      <c r="C75" s="1" t="n">
        <v>2041</v>
      </c>
      <c r="D75" s="1" t="n">
        <f aca="false">AVERAGE($D$49:$D$57)</f>
        <v>5.36370905941065</v>
      </c>
      <c r="E75" s="16" t="n">
        <f aca="false">D75*F75*1000</f>
        <v>837613.675810966</v>
      </c>
      <c r="F75" s="17" t="n">
        <f aca="false">WEO_Data!C49</f>
        <v>156.163145042584</v>
      </c>
      <c r="G75" s="17" t="n">
        <f aca="false">TREND($G$36:$G$57,$C$36:$C$57,C75)</f>
        <v>0.515688385042523</v>
      </c>
      <c r="H75" s="1" t="n">
        <f aca="false">EXP(G75+$B$2*LN(E75))</f>
        <v>198.164536506053</v>
      </c>
      <c r="I75" s="1" t="n">
        <f aca="false">IFERROR(INDEX(Investment!$C$2:$C$9,MATCH(C75,Investment!$B$2:$B$9,0)),0)</f>
        <v>0</v>
      </c>
      <c r="J75" s="1" t="n">
        <f aca="false">(1-$B$3)*J74+I75</f>
        <v>8063.75759036688</v>
      </c>
      <c r="K75" s="15" t="n">
        <f aca="false">E75+J75</f>
        <v>845677.433401333</v>
      </c>
      <c r="L75" s="1" t="n">
        <f aca="false">EXP(G75+$B$2*LN(K75))</f>
        <v>198.830168069563</v>
      </c>
      <c r="M75" s="1" t="n">
        <f aca="false">L75-H75</f>
        <v>0.665631563510004</v>
      </c>
      <c r="N75" s="1" t="n">
        <f aca="false">F75+M75</f>
        <v>156.828776606094</v>
      </c>
      <c r="O75" s="1" t="n">
        <f aca="false">(N75-N74)/N74*100</f>
        <v>4.97291623765557</v>
      </c>
      <c r="P75" s="1" t="n">
        <f aca="false">(F75-F74)/F74*100</f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19" customFormat="true" ht="36.75" hidden="false" customHeight="true" outlineLevel="0" collapsed="false">
      <c r="B1" s="20" t="s">
        <v>25</v>
      </c>
      <c r="C1" s="20" t="s">
        <v>26</v>
      </c>
    </row>
    <row r="2" customFormat="false" ht="12" hidden="false" customHeight="true" outlineLevel="0" collapsed="false">
      <c r="B2" s="21" t="n">
        <v>2026</v>
      </c>
      <c r="C2" s="1" t="n">
        <v>648.589313756442</v>
      </c>
    </row>
    <row r="3" customFormat="false" ht="12" hidden="false" customHeight="true" outlineLevel="0" collapsed="false">
      <c r="B3" s="21" t="n">
        <v>2027</v>
      </c>
      <c r="C3" s="1" t="n">
        <v>1220.08019689654</v>
      </c>
    </row>
    <row r="4" customFormat="false" ht="12" hidden="false" customHeight="true" outlineLevel="0" collapsed="false">
      <c r="B4" s="21" t="n">
        <v>2028</v>
      </c>
      <c r="C4" s="1" t="n">
        <v>1756.17368014315</v>
      </c>
    </row>
    <row r="5" customFormat="false" ht="12" hidden="false" customHeight="true" outlineLevel="0" collapsed="false">
      <c r="B5" s="21" t="n">
        <v>2029</v>
      </c>
      <c r="C5" s="1" t="n">
        <v>2221.19470098522</v>
      </c>
    </row>
    <row r="6" customFormat="false" ht="12" hidden="false" customHeight="true" outlineLevel="0" collapsed="false">
      <c r="B6" s="21" t="n">
        <v>2030</v>
      </c>
      <c r="C6" s="1" t="n">
        <v>2122.46787645573</v>
      </c>
    </row>
    <row r="7" customFormat="false" ht="12" hidden="false" customHeight="true" outlineLevel="0" collapsed="false">
      <c r="B7" s="21" t="n">
        <v>2031</v>
      </c>
      <c r="C7" s="1" t="n">
        <v>1524.52458527675</v>
      </c>
    </row>
    <row r="8" customFormat="false" ht="12" hidden="false" customHeight="true" outlineLevel="0" collapsed="false">
      <c r="B8" s="21" t="n">
        <v>2032</v>
      </c>
      <c r="C8" s="1" t="n">
        <v>738.176310559893</v>
      </c>
    </row>
    <row r="9" customFormat="false" ht="12" hidden="false" customHeight="true" outlineLevel="0" collapsed="false">
      <c r="B9" s="21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customFormat="false" ht="12" hidden="false" customHeight="true" outlineLevel="0" collapsed="false">
      <c r="A2" s="22" t="n">
        <v>35430</v>
      </c>
      <c r="B2" s="1" t="n">
        <v>1996</v>
      </c>
      <c r="C2" s="1" t="n">
        <v>304515091.76</v>
      </c>
      <c r="D2" s="15" t="n">
        <f aca="false">PWT!B8</f>
        <v>196366.45</v>
      </c>
      <c r="E2" s="1" t="n">
        <f aca="false">IF(D2=0,"",C2/(D2*1000000))</f>
        <v>0.00155074908040554</v>
      </c>
    </row>
    <row r="3" customFormat="false" ht="12" hidden="false" customHeight="true" outlineLevel="0" collapsed="false">
      <c r="A3" s="22" t="n">
        <v>35795</v>
      </c>
      <c r="B3" s="1" t="n">
        <v>1997</v>
      </c>
      <c r="C3" s="1" t="n">
        <v>383641663.61</v>
      </c>
      <c r="D3" s="15" t="n">
        <f aca="false">PWT!B9</f>
        <v>194417.84</v>
      </c>
      <c r="E3" s="1" t="n">
        <f aca="false">IF(D3=0,"",C3/(D3*1000000))</f>
        <v>0.00197328426038475</v>
      </c>
    </row>
    <row r="4" customFormat="false" ht="12" hidden="false" customHeight="true" outlineLevel="0" collapsed="false">
      <c r="A4" s="22" t="n">
        <v>36160</v>
      </c>
      <c r="B4" s="1" t="n">
        <v>1998</v>
      </c>
      <c r="C4" s="1" t="n">
        <v>516397121.22</v>
      </c>
      <c r="D4" s="15" t="n">
        <f aca="false">PWT!B10</f>
        <v>194516.3</v>
      </c>
      <c r="E4" s="1" t="n">
        <f aca="false">IF(D4=0,"",C4/(D4*1000000))</f>
        <v>0.00265477557006791</v>
      </c>
    </row>
    <row r="5" customFormat="false" ht="12" hidden="false" customHeight="true" outlineLevel="0" collapsed="false">
      <c r="A5" s="22" t="n">
        <v>36525</v>
      </c>
      <c r="B5" s="1" t="n">
        <v>1999</v>
      </c>
      <c r="C5" s="1" t="n">
        <v>661603834.43</v>
      </c>
      <c r="D5" s="15" t="n">
        <f aca="false">PWT!B11</f>
        <v>194964.56</v>
      </c>
      <c r="E5" s="1" t="n">
        <f aca="false">IF(D5=0,"",C5/(D5*1000000))</f>
        <v>0.00339345691560559</v>
      </c>
    </row>
    <row r="6" customFormat="false" ht="12" hidden="false" customHeight="true" outlineLevel="0" collapsed="false">
      <c r="A6" s="22" t="n">
        <v>36891</v>
      </c>
      <c r="B6" s="1" t="n">
        <v>2000</v>
      </c>
      <c r="C6" s="1" t="n">
        <v>631701000.89</v>
      </c>
      <c r="D6" s="15" t="n">
        <f aca="false">PWT!B12</f>
        <v>195327.08</v>
      </c>
      <c r="E6" s="1" t="n">
        <f aca="false">IF(D6=0,"",C6/(D6*1000000))</f>
        <v>0.00323406770269642</v>
      </c>
    </row>
    <row r="7" customFormat="false" ht="12" hidden="false" customHeight="true" outlineLevel="0" collapsed="false">
      <c r="A7" s="22" t="n">
        <v>37256</v>
      </c>
      <c r="B7" s="1" t="n">
        <v>2001</v>
      </c>
      <c r="C7" s="1" t="n">
        <v>706983726.79</v>
      </c>
      <c r="D7" s="15" t="n">
        <f aca="false">PWT!B13</f>
        <v>196512.45</v>
      </c>
      <c r="E7" s="1" t="n">
        <f aca="false">IF(D7=0,"",C7/(D7*1000000))</f>
        <v>0.00359765361833309</v>
      </c>
    </row>
    <row r="8" customFormat="false" ht="12" hidden="false" customHeight="true" outlineLevel="0" collapsed="false">
      <c r="A8" s="22" t="n">
        <v>37621</v>
      </c>
      <c r="B8" s="1" t="n">
        <v>2002</v>
      </c>
      <c r="C8" s="1" t="n">
        <v>790112565.2</v>
      </c>
      <c r="D8" s="15" t="n">
        <f aca="false">PWT!B14</f>
        <v>197317.59</v>
      </c>
      <c r="E8" s="1" t="n">
        <f aca="false">IF(D8=0,"",C8/(D8*1000000))</f>
        <v>0.00400426827228125</v>
      </c>
    </row>
    <row r="9" customFormat="false" ht="12" hidden="false" customHeight="true" outlineLevel="0" collapsed="false">
      <c r="A9" s="22" t="n">
        <v>37986</v>
      </c>
      <c r="B9" s="1" t="n">
        <v>2003</v>
      </c>
      <c r="C9" s="1" t="n">
        <v>932916219.67</v>
      </c>
      <c r="D9" s="15" t="n">
        <f aca="false">PWT!B15</f>
        <v>199678.92</v>
      </c>
      <c r="E9" s="1" t="n">
        <f aca="false">IF(D9=0,"",C9/(D9*1000000))</f>
        <v>0.00467208165824415</v>
      </c>
    </row>
    <row r="10" customFormat="false" ht="12" hidden="false" customHeight="true" outlineLevel="0" collapsed="false">
      <c r="A10" s="22" t="n">
        <v>38352</v>
      </c>
      <c r="B10" s="1" t="n">
        <v>2004</v>
      </c>
      <c r="C10" s="1" t="n">
        <v>976818537.8</v>
      </c>
      <c r="D10" s="15" t="n">
        <f aca="false">PWT!B16</f>
        <v>202658.81</v>
      </c>
      <c r="E10" s="1" t="n">
        <f aca="false">IF(D10=0,"",C10/(D10*1000000))</f>
        <v>0.00482001516637742</v>
      </c>
    </row>
    <row r="11" customFormat="false" ht="12" hidden="false" customHeight="true" outlineLevel="0" collapsed="false">
      <c r="A11" s="22" t="n">
        <v>38717</v>
      </c>
      <c r="B11" s="1" t="n">
        <v>2005</v>
      </c>
      <c r="C11" s="1" t="n">
        <v>1113450058.59</v>
      </c>
      <c r="D11" s="15" t="n">
        <f aca="false">PWT!B17</f>
        <v>206400.5</v>
      </c>
      <c r="E11" s="1" t="n">
        <f aca="false">IF(D11=0,"",C11/(D11*1000000))</f>
        <v>0.00539460930855303</v>
      </c>
    </row>
    <row r="12" customFormat="false" ht="12" hidden="false" customHeight="true" outlineLevel="0" collapsed="false">
      <c r="A12" s="22" t="n">
        <v>39082</v>
      </c>
      <c r="B12" s="1" t="n">
        <v>2006</v>
      </c>
      <c r="C12" s="1" t="n">
        <v>1306373084.13</v>
      </c>
      <c r="D12" s="15" t="n">
        <f aca="false">PWT!B18</f>
        <v>209660.25</v>
      </c>
      <c r="E12" s="1" t="n">
        <f aca="false">IF(D12=0,"",C12/(D12*1000000))</f>
        <v>0.00623090492418091</v>
      </c>
    </row>
    <row r="13" customFormat="false" ht="12" hidden="false" customHeight="true" outlineLevel="0" collapsed="false">
      <c r="A13" s="22" t="n">
        <v>39447</v>
      </c>
      <c r="B13" s="1" t="n">
        <v>2007</v>
      </c>
      <c r="C13" s="1" t="n">
        <v>1617029966.26</v>
      </c>
      <c r="D13" s="15" t="n">
        <f aca="false">PWT!B19</f>
        <v>213821.38</v>
      </c>
      <c r="E13" s="1" t="n">
        <f aca="false">IF(D13=0,"",C13/(D13*1000000))</f>
        <v>0.00756252703195536</v>
      </c>
    </row>
    <row r="14" customFormat="false" ht="12" hidden="false" customHeight="true" outlineLevel="0" collapsed="false">
      <c r="A14" s="22" t="n">
        <v>39813</v>
      </c>
      <c r="B14" s="1" t="n">
        <v>2008</v>
      </c>
      <c r="C14" s="1" t="n">
        <v>1758049267.67</v>
      </c>
      <c r="D14" s="15" t="n">
        <f aca="false">PWT!B20</f>
        <v>215825.91</v>
      </c>
      <c r="E14" s="1" t="n">
        <f aca="false">IF(D14=0,"",C14/(D14*1000000))</f>
        <v>0.00814568217351661</v>
      </c>
    </row>
    <row r="15" customFormat="false" ht="12" hidden="false" customHeight="true" outlineLevel="0" collapsed="false">
      <c r="A15" s="22" t="n">
        <v>40178</v>
      </c>
      <c r="B15" s="1" t="n">
        <v>2009</v>
      </c>
      <c r="C15" s="1" t="n">
        <v>1751366684.88</v>
      </c>
      <c r="D15" s="15" t="n">
        <f aca="false">PWT!B21</f>
        <v>214505.91</v>
      </c>
      <c r="E15" s="1" t="n">
        <f aca="false">IF(D15=0,"",C15/(D15*1000000))</f>
        <v>0.00816465469356998</v>
      </c>
    </row>
    <row r="16" customFormat="false" ht="12" hidden="false" customHeight="true" outlineLevel="0" collapsed="false">
      <c r="A16" s="22" t="n">
        <v>40543</v>
      </c>
      <c r="B16" s="1" t="n">
        <v>2010</v>
      </c>
      <c r="C16" s="1" t="n">
        <v>2046413234.67</v>
      </c>
      <c r="D16" s="15" t="n">
        <f aca="false">PWT!B22</f>
        <v>215740.28</v>
      </c>
      <c r="E16" s="1" t="n">
        <f aca="false">IF(D16=0,"",C16/(D16*1000000))</f>
        <v>0.00948554083025201</v>
      </c>
    </row>
    <row r="17" customFormat="false" ht="12" hidden="false" customHeight="true" outlineLevel="0" collapsed="false">
      <c r="A17" s="22" t="n">
        <v>40908</v>
      </c>
      <c r="B17" s="1" t="n">
        <v>2011</v>
      </c>
      <c r="C17" s="1" t="n">
        <v>2350512405.91</v>
      </c>
      <c r="D17" s="15" t="n">
        <f aca="false">PWT!B23</f>
        <v>218333.7</v>
      </c>
      <c r="E17" s="1" t="n">
        <f aca="false">IF(D17=0,"",C17/(D17*1000000))</f>
        <v>0.010765687596143</v>
      </c>
    </row>
    <row r="18" customFormat="false" ht="12" hidden="false" customHeight="true" outlineLevel="0" collapsed="false">
      <c r="A18" s="22" t="n">
        <v>41274</v>
      </c>
      <c r="B18" s="1" t="n">
        <v>2012</v>
      </c>
      <c r="C18" s="1" t="n">
        <v>2643602887.97</v>
      </c>
      <c r="D18" s="15" t="n">
        <f aca="false">PWT!B24</f>
        <v>221570.09</v>
      </c>
      <c r="E18" s="1" t="n">
        <f aca="false">IF(D18=0,"",C18/(D18*1000000))</f>
        <v>0.0119312263129468</v>
      </c>
    </row>
    <row r="19" customFormat="false" ht="12" hidden="false" customHeight="true" outlineLevel="0" collapsed="false">
      <c r="A19" s="22" t="n">
        <v>41639</v>
      </c>
      <c r="B19" s="1" t="n">
        <v>2013</v>
      </c>
      <c r="C19" s="1" t="n">
        <v>1555932152.32</v>
      </c>
      <c r="D19" s="15" t="n">
        <f aca="false">PWT!B25</f>
        <v>223431.88</v>
      </c>
      <c r="E19" s="1" t="n">
        <f aca="false">IF(D19=0,"",C19/(D19*1000000))</f>
        <v>0.00696378758626567</v>
      </c>
    </row>
    <row r="20" customFormat="false" ht="12" hidden="false" customHeight="true" outlineLevel="0" collapsed="false">
      <c r="A20" s="22" t="n">
        <v>42004</v>
      </c>
      <c r="B20" s="1" t="n">
        <v>2014</v>
      </c>
      <c r="C20" s="1" t="n">
        <v>2984890468.69</v>
      </c>
      <c r="D20" s="15" t="n">
        <f aca="false">PWT!B26</f>
        <v>227911.97</v>
      </c>
      <c r="E20" s="1" t="n">
        <f aca="false">IF(D20=0,"",C20/(D20*1000000))</f>
        <v>0.0130966814454283</v>
      </c>
    </row>
    <row r="21" customFormat="false" ht="12" hidden="false" customHeight="true" outlineLevel="0" collapsed="false">
      <c r="A21" s="22" t="n">
        <v>42369</v>
      </c>
      <c r="B21" s="1" t="n">
        <v>2015</v>
      </c>
      <c r="C21" s="1" t="n">
        <v>3657280672.54</v>
      </c>
      <c r="D21" s="15" t="n">
        <f aca="false">PWT!B27</f>
        <v>234164.86</v>
      </c>
      <c r="E21" s="1" t="n">
        <f aca="false">IF(D21=0,"",C21/(D21*1000000))</f>
        <v>0.0156184009528159</v>
      </c>
    </row>
    <row r="22" customFormat="false" ht="12" hidden="false" customHeight="true" outlineLevel="0" collapsed="false">
      <c r="A22" s="22" t="n">
        <v>42735</v>
      </c>
      <c r="B22" s="1" t="n">
        <v>2016</v>
      </c>
      <c r="C22" s="1" t="n">
        <v>4004828719.85</v>
      </c>
      <c r="D22" s="15" t="n">
        <f aca="false">PWT!B28</f>
        <v>241138.38</v>
      </c>
      <c r="E22" s="1" t="n">
        <f aca="false">IF(D22=0,"",C22/(D22*1000000))</f>
        <v>0.0166080103874381</v>
      </c>
    </row>
    <row r="23" customFormat="false" ht="12" hidden="false" customHeight="true" outlineLevel="0" collapsed="false">
      <c r="A23" s="22" t="n">
        <v>43100</v>
      </c>
      <c r="B23" s="1" t="n">
        <v>2017</v>
      </c>
      <c r="C23" s="1" t="n">
        <v>4492921334.91</v>
      </c>
      <c r="D23" s="15" t="n">
        <f aca="false">PWT!B29</f>
        <v>248033.09</v>
      </c>
      <c r="E23" s="1" t="n">
        <f aca="false">IF(D23=0,"",C23/(D23*1000000))</f>
        <v>0.018114201354787</v>
      </c>
    </row>
    <row r="24" customFormat="false" ht="12" hidden="false" customHeight="true" outlineLevel="0" collapsed="false">
      <c r="A24" s="22" t="n">
        <v>43465</v>
      </c>
      <c r="B24" s="1" t="n">
        <v>2018</v>
      </c>
      <c r="C24" s="1" t="n">
        <v>4843616440.29</v>
      </c>
      <c r="D24" s="15" t="n">
        <f aca="false">PWT!B30</f>
        <v>254809.8</v>
      </c>
      <c r="E24" s="1" t="n">
        <f aca="false">IF(D24=0,"",C24/(D24*1000000))</f>
        <v>0.0190087525687395</v>
      </c>
    </row>
    <row r="25" customFormat="false" ht="12" hidden="false" customHeight="true" outlineLevel="0" collapsed="false">
      <c r="A25" s="22" t="n">
        <v>43830</v>
      </c>
      <c r="B25" s="1" t="n">
        <v>2019</v>
      </c>
      <c r="C25" s="1" t="n">
        <v>5452957379.35</v>
      </c>
      <c r="D25" s="15" t="n">
        <f aca="false">PWT!B31</f>
        <v>264125.56</v>
      </c>
      <c r="E25" s="1" t="n">
        <f aca="false">IF(D25=0,"",C25/(D25*1000000))</f>
        <v>0.02064532254792</v>
      </c>
    </row>
    <row r="26" customFormat="false" ht="12" hidden="false" customHeight="true" outlineLevel="0" collapsed="false">
      <c r="A26" s="22" t="n">
        <v>44196</v>
      </c>
      <c r="B26" s="1" t="n">
        <v>2020</v>
      </c>
      <c r="C26" s="1" t="n">
        <v>6152769261.62</v>
      </c>
      <c r="D26" s="15" t="n">
        <f aca="false">PWT!B32</f>
        <v>268785.23</v>
      </c>
      <c r="E26" s="1" t="n">
        <f aca="false">IF(D26=0,"",C26/(D26*1000000))</f>
        <v>0.0228910244123905</v>
      </c>
    </row>
    <row r="27" customFormat="false" ht="12" hidden="false" customHeight="true" outlineLevel="0" collapsed="false">
      <c r="A27" s="22" t="n">
        <v>44561</v>
      </c>
      <c r="B27" s="1" t="n">
        <v>2021</v>
      </c>
      <c r="C27" s="1" t="n">
        <v>7072625348.9</v>
      </c>
      <c r="D27" s="15" t="n">
        <f aca="false">PWT!B33</f>
        <v>272488.79</v>
      </c>
      <c r="E27" s="1" t="n">
        <f aca="false">IF(D27=0,"",C27/(D27*1000000))</f>
        <v>0.0259556561901134</v>
      </c>
    </row>
    <row r="28" customFormat="false" ht="12" hidden="false" customHeight="true" outlineLevel="0" collapsed="false">
      <c r="A28" s="22" t="n">
        <v>44926</v>
      </c>
      <c r="B28" s="1" t="n">
        <v>2022</v>
      </c>
      <c r="C28" s="1" t="n">
        <v>7661448474.88</v>
      </c>
      <c r="D28" s="15" t="n">
        <f aca="false">PWT!B34</f>
        <v>277533.37</v>
      </c>
      <c r="E28" s="1" t="n">
        <f aca="false">IF(D28=0,"",C28/(D28*1000000))</f>
        <v>0.0276055037089053</v>
      </c>
    </row>
    <row r="29" customFormat="false" ht="12" hidden="false" customHeight="true" outlineLevel="0" collapsed="false">
      <c r="A29" s="22" t="n">
        <v>45291</v>
      </c>
      <c r="B29" s="1" t="n">
        <v>2023</v>
      </c>
      <c r="C29" s="1" t="n">
        <v>9410657843.71</v>
      </c>
      <c r="D29" s="15" t="n">
        <f aca="false">PWT!B35</f>
        <v>287259.51</v>
      </c>
      <c r="E29" s="1" t="n">
        <f aca="false">IF(D29=0,"",C29/(D29*1000000))</f>
        <v>0.0327601263530318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32</v>
      </c>
      <c r="B1" s="1" t="s">
        <v>33</v>
      </c>
      <c r="C1" s="1" t="s">
        <v>34</v>
      </c>
    </row>
    <row r="2" customFormat="false" ht="12" hidden="false" customHeight="true" outlineLevel="0" collapsed="false">
      <c r="A2" s="15" t="n">
        <v>1990</v>
      </c>
      <c r="B2" s="15" t="n">
        <v>217572.27</v>
      </c>
      <c r="C2" s="1" t="n">
        <v>60484.34</v>
      </c>
    </row>
    <row r="3" customFormat="false" ht="12" hidden="false" customHeight="true" outlineLevel="0" collapsed="false">
      <c r="A3" s="15" t="n">
        <v>1991</v>
      </c>
      <c r="B3" s="15" t="n">
        <v>219328.42</v>
      </c>
      <c r="C3" s="1" t="n">
        <v>47581.01</v>
      </c>
    </row>
    <row r="4" customFormat="false" ht="12" hidden="false" customHeight="true" outlineLevel="0" collapsed="false">
      <c r="A4" s="15" t="n">
        <v>1992</v>
      </c>
      <c r="B4" s="15" t="n">
        <v>215882.45</v>
      </c>
      <c r="C4" s="1" t="n">
        <v>26406.21</v>
      </c>
    </row>
    <row r="5" customFormat="false" ht="12" hidden="false" customHeight="true" outlineLevel="0" collapsed="false">
      <c r="A5" s="15" t="n">
        <v>1993</v>
      </c>
      <c r="B5" s="15" t="n">
        <v>207684.89</v>
      </c>
      <c r="C5" s="1" t="n">
        <v>18671.66</v>
      </c>
    </row>
    <row r="6" customFormat="false" ht="12" hidden="false" customHeight="true" outlineLevel="0" collapsed="false">
      <c r="A6" s="15" t="n">
        <v>1994</v>
      </c>
      <c r="B6" s="15" t="n">
        <v>202188.81</v>
      </c>
      <c r="C6" s="1" t="n">
        <v>16733.33</v>
      </c>
    </row>
    <row r="7" customFormat="false" ht="12" hidden="false" customHeight="true" outlineLevel="0" collapsed="false">
      <c r="A7" s="15" t="n">
        <v>1995</v>
      </c>
      <c r="B7" s="15" t="n">
        <v>198953.86</v>
      </c>
      <c r="C7" s="1" t="n">
        <v>17164.64</v>
      </c>
    </row>
    <row r="8" customFormat="false" ht="12" hidden="false" customHeight="true" outlineLevel="0" collapsed="false">
      <c r="A8" s="15" t="n">
        <v>1996</v>
      </c>
      <c r="B8" s="15" t="n">
        <v>196366.45</v>
      </c>
      <c r="C8" s="1" t="n">
        <v>19101.85</v>
      </c>
    </row>
    <row r="9" customFormat="false" ht="12" hidden="false" customHeight="true" outlineLevel="0" collapsed="false">
      <c r="A9" s="15" t="n">
        <v>1997</v>
      </c>
      <c r="B9" s="15" t="n">
        <v>194417.84</v>
      </c>
      <c r="C9" s="1" t="n">
        <v>21111.17</v>
      </c>
    </row>
    <row r="10" customFormat="false" ht="12" hidden="false" customHeight="true" outlineLevel="0" collapsed="false">
      <c r="A10" s="15" t="n">
        <v>1998</v>
      </c>
      <c r="B10" s="15" t="n">
        <v>194516.3</v>
      </c>
      <c r="C10" s="1" t="n">
        <v>21766.67</v>
      </c>
    </row>
    <row r="11" customFormat="false" ht="12" hidden="false" customHeight="true" outlineLevel="0" collapsed="false">
      <c r="A11" s="15" t="n">
        <v>1999</v>
      </c>
      <c r="B11" s="15" t="n">
        <v>194964.56</v>
      </c>
      <c r="C11" s="1" t="n">
        <v>22391.21</v>
      </c>
    </row>
    <row r="12" customFormat="false" ht="12" hidden="false" customHeight="true" outlineLevel="0" collapsed="false">
      <c r="A12" s="15" t="n">
        <v>2000</v>
      </c>
      <c r="B12" s="15" t="n">
        <v>195327.08</v>
      </c>
      <c r="C12" s="1" t="n">
        <v>22802.84</v>
      </c>
    </row>
    <row r="13" customFormat="false" ht="12" hidden="false" customHeight="true" outlineLevel="0" collapsed="false">
      <c r="A13" s="15" t="n">
        <v>2001</v>
      </c>
      <c r="B13" s="15" t="n">
        <v>196512.45</v>
      </c>
      <c r="C13" s="1" t="n">
        <v>23898.62</v>
      </c>
    </row>
    <row r="14" customFormat="false" ht="12" hidden="false" customHeight="true" outlineLevel="0" collapsed="false">
      <c r="A14" s="15" t="n">
        <v>2002</v>
      </c>
      <c r="B14" s="15" t="n">
        <v>197317.59</v>
      </c>
      <c r="C14" s="1" t="n">
        <v>25206.79</v>
      </c>
    </row>
    <row r="15" customFormat="false" ht="12" hidden="false" customHeight="true" outlineLevel="0" collapsed="false">
      <c r="A15" s="15" t="n">
        <v>2003</v>
      </c>
      <c r="B15" s="15" t="n">
        <v>199678.92</v>
      </c>
      <c r="C15" s="1" t="n">
        <v>27994.18</v>
      </c>
    </row>
    <row r="16" customFormat="false" ht="12" hidden="false" customHeight="true" outlineLevel="0" collapsed="false">
      <c r="A16" s="15" t="n">
        <v>2004</v>
      </c>
      <c r="B16" s="15" t="n">
        <v>202658.81</v>
      </c>
      <c r="C16" s="1" t="n">
        <v>29616.71</v>
      </c>
    </row>
    <row r="17" customFormat="false" ht="12" hidden="false" customHeight="true" outlineLevel="0" collapsed="false">
      <c r="A17" s="15" t="n">
        <v>2005</v>
      </c>
      <c r="B17" s="15" t="n">
        <v>206400.5</v>
      </c>
      <c r="C17" s="1" t="n">
        <v>32456.45</v>
      </c>
    </row>
    <row r="18" customFormat="false" ht="12" hidden="false" customHeight="true" outlineLevel="0" collapsed="false">
      <c r="A18" s="15" t="n">
        <v>2006</v>
      </c>
      <c r="B18" s="15" t="n">
        <v>209660.25</v>
      </c>
      <c r="C18" s="1" t="n">
        <v>35514.09</v>
      </c>
    </row>
    <row r="19" customFormat="false" ht="12" hidden="false" customHeight="true" outlineLevel="0" collapsed="false">
      <c r="A19" s="15" t="n">
        <v>2007</v>
      </c>
      <c r="B19" s="15" t="n">
        <v>213821.38</v>
      </c>
      <c r="C19" s="1" t="n">
        <v>39981.33</v>
      </c>
    </row>
    <row r="20" customFormat="false" ht="12" hidden="false" customHeight="true" outlineLevel="0" collapsed="false">
      <c r="A20" s="15" t="n">
        <v>2008</v>
      </c>
      <c r="B20" s="15" t="n">
        <v>215825.91</v>
      </c>
      <c r="C20" s="1" t="n">
        <v>40948.12</v>
      </c>
    </row>
    <row r="21" customFormat="false" ht="12" hidden="false" customHeight="true" outlineLevel="0" collapsed="false">
      <c r="A21" s="15" t="n">
        <v>2009</v>
      </c>
      <c r="B21" s="15" t="n">
        <v>214505.91</v>
      </c>
      <c r="C21" s="1" t="n">
        <v>39453.47</v>
      </c>
    </row>
    <row r="22" customFormat="false" ht="12" hidden="false" customHeight="true" outlineLevel="0" collapsed="false">
      <c r="A22" s="15" t="n">
        <v>2010</v>
      </c>
      <c r="B22" s="15" t="n">
        <v>215740.28</v>
      </c>
      <c r="C22" s="1" t="n">
        <v>41919.09</v>
      </c>
    </row>
    <row r="23" customFormat="false" ht="12" hidden="false" customHeight="true" outlineLevel="0" collapsed="false">
      <c r="A23" s="15" t="n">
        <v>2011</v>
      </c>
      <c r="B23" s="15" t="n">
        <v>218333.7</v>
      </c>
      <c r="C23" s="1" t="n">
        <v>45004.61</v>
      </c>
    </row>
    <row r="24" customFormat="false" ht="12" hidden="false" customHeight="true" outlineLevel="0" collapsed="false">
      <c r="A24" s="15" t="n">
        <v>2012</v>
      </c>
      <c r="B24" s="15" t="n">
        <v>221570.09</v>
      </c>
      <c r="C24" s="1" t="n">
        <v>47892.45</v>
      </c>
    </row>
    <row r="25" customFormat="false" ht="12" hidden="false" customHeight="true" outlineLevel="0" collapsed="false">
      <c r="A25" s="15" t="n">
        <v>2013</v>
      </c>
      <c r="B25" s="15" t="n">
        <v>223431.88</v>
      </c>
      <c r="C25" s="1" t="n">
        <v>49624.03</v>
      </c>
    </row>
    <row r="26" customFormat="false" ht="12" hidden="false" customHeight="true" outlineLevel="0" collapsed="false">
      <c r="A26" s="15" t="n">
        <v>2014</v>
      </c>
      <c r="B26" s="15" t="n">
        <v>227911.97</v>
      </c>
      <c r="C26" s="1" t="n">
        <v>51828.1</v>
      </c>
    </row>
    <row r="27" customFormat="false" ht="12" hidden="false" customHeight="true" outlineLevel="0" collapsed="false">
      <c r="A27" s="15" t="n">
        <v>2015</v>
      </c>
      <c r="B27" s="15" t="n">
        <v>234164.86</v>
      </c>
      <c r="C27" s="1" t="n">
        <v>53396.74</v>
      </c>
    </row>
    <row r="28" customFormat="false" ht="12" hidden="false" customHeight="true" outlineLevel="0" collapsed="false">
      <c r="A28" s="15" t="n">
        <v>2016</v>
      </c>
      <c r="B28" s="15" t="n">
        <v>241138.38</v>
      </c>
      <c r="C28" s="1" t="n">
        <v>54948.36</v>
      </c>
    </row>
    <row r="29" customFormat="false" ht="12" hidden="false" customHeight="true" outlineLevel="0" collapsed="false">
      <c r="A29" s="15" t="n">
        <v>2017</v>
      </c>
      <c r="B29" s="15" t="n">
        <v>248033.09</v>
      </c>
      <c r="C29" s="1" t="n">
        <v>57609.71</v>
      </c>
    </row>
    <row r="30" customFormat="false" ht="12" hidden="false" customHeight="true" outlineLevel="0" collapsed="false">
      <c r="A30" s="15" t="n">
        <v>2018</v>
      </c>
      <c r="B30" s="15" t="n">
        <v>254809.8</v>
      </c>
      <c r="C30" s="1" t="n">
        <v>60399.59</v>
      </c>
    </row>
    <row r="31" customFormat="false" ht="12" hidden="false" customHeight="true" outlineLevel="0" collapsed="false">
      <c r="A31" s="15" t="n">
        <v>2019</v>
      </c>
      <c r="B31" s="15" t="n">
        <v>264125.56</v>
      </c>
      <c r="C31" s="1" t="n">
        <v>63508.82</v>
      </c>
    </row>
    <row r="32" customFormat="false" ht="12" hidden="false" customHeight="true" outlineLevel="0" collapsed="false">
      <c r="A32" s="15" t="n">
        <v>2020</v>
      </c>
      <c r="B32" s="15" t="n">
        <v>268785.23</v>
      </c>
    </row>
    <row r="33" customFormat="false" ht="12" hidden="false" customHeight="true" outlineLevel="0" collapsed="false">
      <c r="A33" s="15" t="n">
        <v>2021</v>
      </c>
      <c r="B33" s="15" t="n">
        <v>272488.79</v>
      </c>
    </row>
    <row r="34" customFormat="false" ht="12" hidden="false" customHeight="true" outlineLevel="0" collapsed="false">
      <c r="A34" s="15" t="n">
        <v>2022</v>
      </c>
      <c r="B34" s="15" t="n">
        <v>277533.37</v>
      </c>
    </row>
    <row r="35" customFormat="false" ht="12" hidden="false" customHeight="true" outlineLevel="0" collapsed="false">
      <c r="A35" s="15" t="n">
        <v>2023</v>
      </c>
      <c r="B35" s="15" t="n">
        <v>287259.51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B1" s="1" t="s">
        <v>35</v>
      </c>
      <c r="C1" s="1" t="n">
        <v>915</v>
      </c>
      <c r="D1" s="1" t="n">
        <v>915</v>
      </c>
    </row>
    <row r="2" customFormat="false" ht="12" hidden="false" customHeight="true" outlineLevel="0" collapsed="false">
      <c r="B2" s="1" t="s">
        <v>36</v>
      </c>
      <c r="C2" s="1" t="s">
        <v>37</v>
      </c>
      <c r="D2" s="1" t="s">
        <v>38</v>
      </c>
    </row>
    <row r="3" customFormat="false" ht="12" hidden="false" customHeight="true" outlineLevel="0" collapsed="false">
      <c r="B3" s="1" t="s">
        <v>39</v>
      </c>
      <c r="C3" s="1" t="s">
        <v>40</v>
      </c>
      <c r="D3" s="1" t="s">
        <v>40</v>
      </c>
    </row>
    <row r="4" customFormat="false" ht="12" hidden="false" customHeight="true" outlineLevel="0" collapsed="false">
      <c r="B4" s="1" t="s">
        <v>41</v>
      </c>
      <c r="C4" s="1" t="s">
        <v>42</v>
      </c>
      <c r="D4" s="1" t="s">
        <v>42</v>
      </c>
    </row>
    <row r="5" customFormat="false" ht="12" hidden="false" customHeight="true" outlineLevel="0" collapsed="false">
      <c r="B5" s="1" t="s">
        <v>43</v>
      </c>
      <c r="C5" s="1" t="s">
        <v>44</v>
      </c>
      <c r="D5" s="1" t="s">
        <v>45</v>
      </c>
    </row>
    <row r="6" customFormat="false" ht="12" hidden="false" customHeight="true" outlineLevel="0" collapsed="false">
      <c r="B6" s="1" t="s">
        <v>46</v>
      </c>
      <c r="C6" s="1" t="s">
        <v>47</v>
      </c>
      <c r="D6" s="1" t="s">
        <v>43</v>
      </c>
    </row>
    <row r="7" customFormat="false" ht="12" hidden="false" customHeight="true" outlineLevel="0" collapsed="false">
      <c r="B7" s="1" t="s">
        <v>48</v>
      </c>
      <c r="C7" s="1" t="s">
        <v>49</v>
      </c>
      <c r="D7" s="1" t="s">
        <v>50</v>
      </c>
    </row>
    <row r="8" customFormat="false" ht="12" hidden="false" customHeight="true" outlineLevel="0" collapsed="false">
      <c r="B8" s="1" t="n">
        <v>2000</v>
      </c>
      <c r="C8" s="1" t="n">
        <v>16.963</v>
      </c>
      <c r="D8" s="1" t="n">
        <v>1.865</v>
      </c>
    </row>
    <row r="9" customFormat="false" ht="12" hidden="false" customHeight="true" outlineLevel="0" collapsed="false">
      <c r="B9" s="1" t="n">
        <v>2001</v>
      </c>
      <c r="C9" s="1" t="n">
        <v>17.772</v>
      </c>
      <c r="D9" s="1" t="n">
        <v>4.769</v>
      </c>
    </row>
    <row r="10" customFormat="false" ht="12" hidden="false" customHeight="true" outlineLevel="0" collapsed="false">
      <c r="B10" s="1" t="n">
        <v>2002</v>
      </c>
      <c r="C10" s="1" t="n">
        <v>18.747</v>
      </c>
      <c r="D10" s="1" t="n">
        <v>5.487</v>
      </c>
    </row>
    <row r="11" customFormat="false" ht="12" hidden="false" customHeight="true" outlineLevel="0" collapsed="false">
      <c r="B11" s="1" t="n">
        <v>2003</v>
      </c>
      <c r="C11" s="1" t="n">
        <v>20.852</v>
      </c>
      <c r="D11" s="1" t="n">
        <v>11.228</v>
      </c>
    </row>
    <row r="12" customFormat="false" ht="12" hidden="false" customHeight="true" outlineLevel="0" collapsed="false">
      <c r="B12" s="1" t="n">
        <v>2004</v>
      </c>
      <c r="C12" s="1" t="n">
        <v>22.061</v>
      </c>
      <c r="D12" s="1" t="n">
        <v>5.796</v>
      </c>
    </row>
    <row r="13" customFormat="false" ht="12" hidden="false" customHeight="true" outlineLevel="0" collapsed="false">
      <c r="B13" s="1" t="n">
        <v>2005</v>
      </c>
      <c r="C13" s="1" t="n">
        <v>24.176</v>
      </c>
      <c r="D13" s="1" t="n">
        <v>9.588</v>
      </c>
    </row>
    <row r="14" customFormat="false" ht="12" hidden="false" customHeight="true" outlineLevel="0" collapsed="false">
      <c r="B14" s="1" t="n">
        <v>2006</v>
      </c>
      <c r="C14" s="1" t="n">
        <v>26.454</v>
      </c>
      <c r="D14" s="1" t="n">
        <v>9.42</v>
      </c>
    </row>
    <row r="15" customFormat="false" ht="12" hidden="false" customHeight="true" outlineLevel="0" collapsed="false">
      <c r="B15" s="1" t="n">
        <v>2007</v>
      </c>
      <c r="C15" s="1" t="n">
        <v>29.781</v>
      </c>
      <c r="D15" s="1" t="n">
        <v>12.579</v>
      </c>
    </row>
    <row r="16" customFormat="false" ht="12" hidden="false" customHeight="true" outlineLevel="0" collapsed="false">
      <c r="B16" s="1" t="n">
        <v>2008</v>
      </c>
      <c r="C16" s="1" t="n">
        <v>30.502</v>
      </c>
      <c r="D16" s="1" t="n">
        <v>2.419</v>
      </c>
    </row>
    <row r="17" customFormat="false" ht="12" hidden="false" customHeight="true" outlineLevel="0" collapsed="false">
      <c r="B17" s="1" t="n">
        <v>2009</v>
      </c>
      <c r="C17" s="1" t="n">
        <v>29.388</v>
      </c>
      <c r="D17" s="1" t="n">
        <v>-3.651</v>
      </c>
    </row>
    <row r="18" customFormat="false" ht="12" hidden="false" customHeight="true" outlineLevel="0" collapsed="false">
      <c r="B18" s="1" t="n">
        <v>2010</v>
      </c>
      <c r="C18" s="1" t="n">
        <v>31.428</v>
      </c>
      <c r="D18" s="1" t="n">
        <v>6.942</v>
      </c>
    </row>
    <row r="19" customFormat="false" ht="12" hidden="false" customHeight="true" outlineLevel="0" collapsed="false">
      <c r="B19" s="1" t="n">
        <v>2011</v>
      </c>
      <c r="C19" s="1" t="n">
        <v>33.927</v>
      </c>
      <c r="D19" s="1" t="n">
        <v>7.949</v>
      </c>
    </row>
    <row r="20" customFormat="false" ht="12" hidden="false" customHeight="true" outlineLevel="0" collapsed="false">
      <c r="B20" s="1" t="n">
        <v>2012</v>
      </c>
      <c r="C20" s="1" t="n">
        <v>36.159</v>
      </c>
      <c r="D20" s="1" t="n">
        <v>6.579</v>
      </c>
    </row>
    <row r="21" customFormat="false" ht="12" hidden="false" customHeight="true" outlineLevel="0" collapsed="false">
      <c r="B21" s="1" t="n">
        <v>2013</v>
      </c>
      <c r="C21" s="1" t="n">
        <v>38.015</v>
      </c>
      <c r="D21" s="1" t="n">
        <v>5.134</v>
      </c>
    </row>
    <row r="22" customFormat="false" ht="12" hidden="false" customHeight="true" outlineLevel="0" collapsed="false">
      <c r="B22" s="1" t="n">
        <v>2014</v>
      </c>
      <c r="C22" s="1" t="n">
        <v>39.57</v>
      </c>
      <c r="D22" s="1" t="n">
        <v>4.091</v>
      </c>
    </row>
    <row r="23" customFormat="false" ht="12" hidden="false" customHeight="true" outlineLevel="0" collapsed="false">
      <c r="B23" s="1" t="n">
        <v>2015</v>
      </c>
      <c r="C23" s="1" t="n">
        <v>40.896</v>
      </c>
      <c r="D23" s="1" t="n">
        <v>3.351</v>
      </c>
    </row>
    <row r="24" customFormat="false" ht="12" hidden="false" customHeight="true" outlineLevel="0" collapsed="false">
      <c r="B24" s="1" t="n">
        <v>2016</v>
      </c>
      <c r="C24" s="1" t="n">
        <v>42.307</v>
      </c>
      <c r="D24" s="1" t="n">
        <v>3.45</v>
      </c>
    </row>
    <row r="25" customFormat="false" ht="12" hidden="false" customHeight="true" outlineLevel="0" collapsed="false">
      <c r="B25" s="1" t="n">
        <v>2017</v>
      </c>
      <c r="C25" s="1" t="n">
        <v>44.49</v>
      </c>
      <c r="D25" s="1" t="n">
        <v>5.161</v>
      </c>
    </row>
    <row r="26" customFormat="false" ht="12" hidden="false" customHeight="true" outlineLevel="0" collapsed="false">
      <c r="B26" s="1" t="n">
        <v>2018</v>
      </c>
      <c r="C26" s="1" t="n">
        <v>47.187</v>
      </c>
      <c r="D26" s="1" t="n">
        <v>6.062</v>
      </c>
    </row>
    <row r="27" customFormat="false" ht="12" hidden="false" customHeight="true" outlineLevel="0" collapsed="false">
      <c r="B27" s="1" t="n">
        <v>2019</v>
      </c>
      <c r="C27" s="1" t="n">
        <v>49.726</v>
      </c>
      <c r="D27" s="1" t="n">
        <v>5.38</v>
      </c>
    </row>
    <row r="28" customFormat="false" ht="12" hidden="false" customHeight="true" outlineLevel="0" collapsed="false">
      <c r="B28" s="1" t="n">
        <v>2020</v>
      </c>
      <c r="C28" s="1" t="n">
        <v>46.598</v>
      </c>
      <c r="D28" s="1" t="n">
        <v>-6.291</v>
      </c>
    </row>
    <row r="29" customFormat="false" ht="12" hidden="false" customHeight="true" outlineLevel="0" collapsed="false">
      <c r="B29" s="1" t="n">
        <v>2021</v>
      </c>
      <c r="C29" s="1" t="n">
        <v>51.558</v>
      </c>
      <c r="D29" s="1" t="n">
        <v>10.644</v>
      </c>
    </row>
    <row r="30" customFormat="false" ht="12" hidden="false" customHeight="true" outlineLevel="0" collapsed="false">
      <c r="B30" s="1" t="n">
        <v>2022</v>
      </c>
      <c r="C30" s="1" t="n">
        <v>57.208</v>
      </c>
      <c r="D30" s="1" t="n">
        <v>10.96</v>
      </c>
    </row>
    <row r="31" customFormat="false" ht="12" hidden="false" customHeight="true" outlineLevel="0" collapsed="false">
      <c r="B31" s="1" t="n">
        <v>2023</v>
      </c>
      <c r="C31" s="1" t="n">
        <v>61.689</v>
      </c>
      <c r="D31" s="1" t="n">
        <v>7.832</v>
      </c>
    </row>
    <row r="32" customFormat="false" ht="12" hidden="false" customHeight="true" outlineLevel="0" collapsed="false">
      <c r="B32" s="1" t="n">
        <v>2024</v>
      </c>
      <c r="C32" s="1" t="n">
        <v>67.505</v>
      </c>
      <c r="D32" s="1" t="n">
        <v>9.429</v>
      </c>
    </row>
    <row r="33" customFormat="false" ht="12" hidden="false" customHeight="true" outlineLevel="0" collapsed="false">
      <c r="B33" s="1" t="n">
        <v>2025</v>
      </c>
      <c r="C33" s="1" t="n">
        <v>71.54</v>
      </c>
      <c r="D33" s="1" t="n">
        <v>5.977</v>
      </c>
    </row>
    <row r="34" customFormat="false" ht="12" hidden="false" customHeight="true" outlineLevel="0" collapsed="false">
      <c r="B34" s="1" t="n">
        <v>2026</v>
      </c>
      <c r="C34" s="1" t="n">
        <v>75.117</v>
      </c>
      <c r="D34" s="1" t="n">
        <v>5</v>
      </c>
    </row>
    <row r="35" customFormat="false" ht="12" hidden="false" customHeight="true" outlineLevel="0" collapsed="false">
      <c r="B35" s="1" t="n">
        <v>2027</v>
      </c>
      <c r="C35" s="1" t="n">
        <v>78.873</v>
      </c>
      <c r="D35" s="1" t="n">
        <v>5</v>
      </c>
    </row>
    <row r="36" customFormat="false" ht="12" hidden="false" customHeight="true" outlineLevel="0" collapsed="false">
      <c r="B36" s="1" t="n">
        <v>2028</v>
      </c>
      <c r="C36" s="1" t="n">
        <f aca="false">C35*(1+D36/100)</f>
        <v>82.81665</v>
      </c>
      <c r="D36" s="1" t="n">
        <v>5</v>
      </c>
    </row>
    <row r="37" customFormat="false" ht="12" hidden="false" customHeight="true" outlineLevel="0" collapsed="false">
      <c r="B37" s="1" t="n">
        <v>2029</v>
      </c>
      <c r="C37" s="1" t="n">
        <f aca="false">C36*(1+D37/100)</f>
        <v>86.9574825</v>
      </c>
      <c r="D37" s="1" t="n">
        <v>5</v>
      </c>
    </row>
    <row r="38" customFormat="false" ht="12" hidden="false" customHeight="true" outlineLevel="0" collapsed="false">
      <c r="B38" s="1" t="n">
        <v>2030</v>
      </c>
      <c r="C38" s="1" t="n">
        <f aca="false">C37*(1+D38/100)</f>
        <v>91.305356625</v>
      </c>
      <c r="D38" s="1" t="n">
        <v>5</v>
      </c>
    </row>
    <row r="39" customFormat="false" ht="12" hidden="false" customHeight="true" outlineLevel="0" collapsed="false">
      <c r="B39" s="1" t="n">
        <v>2031</v>
      </c>
      <c r="C39" s="1" t="n">
        <f aca="false">C38*(1+D39/100)</f>
        <v>95.87062445625</v>
      </c>
      <c r="D39" s="1" t="n">
        <v>5</v>
      </c>
    </row>
    <row r="40" customFormat="false" ht="12" hidden="false" customHeight="true" outlineLevel="0" collapsed="false">
      <c r="B40" s="1" t="n">
        <v>2032</v>
      </c>
      <c r="C40" s="1" t="n">
        <f aca="false">C39*(1+D40/100)</f>
        <v>100.664155679063</v>
      </c>
      <c r="D40" s="1" t="n">
        <v>5</v>
      </c>
    </row>
    <row r="41" customFormat="false" ht="12" hidden="false" customHeight="true" outlineLevel="0" collapsed="false">
      <c r="B41" s="1" t="n">
        <v>2033</v>
      </c>
      <c r="C41" s="1" t="n">
        <f aca="false">C40*(1+D41/100)</f>
        <v>105.697363463016</v>
      </c>
      <c r="D41" s="1" t="n">
        <v>5</v>
      </c>
    </row>
    <row r="42" customFormat="false" ht="12" hidden="false" customHeight="true" outlineLevel="0" collapsed="false">
      <c r="B42" s="1" t="n">
        <v>2034</v>
      </c>
      <c r="C42" s="1" t="n">
        <f aca="false">C41*(1+D42/100)</f>
        <v>110.982231636166</v>
      </c>
      <c r="D42" s="1" t="n">
        <v>5</v>
      </c>
    </row>
    <row r="43" customFormat="false" ht="12" hidden="false" customHeight="true" outlineLevel="0" collapsed="false">
      <c r="B43" s="1" t="n">
        <v>2035</v>
      </c>
      <c r="C43" s="1" t="n">
        <f aca="false">C42*(1+D43/100)</f>
        <v>116.531343217975</v>
      </c>
      <c r="D43" s="1" t="n">
        <v>5</v>
      </c>
    </row>
    <row r="44" customFormat="false" ht="12" hidden="false" customHeight="true" outlineLevel="0" collapsed="false">
      <c r="B44" s="1" t="n">
        <v>2036</v>
      </c>
      <c r="C44" s="1" t="n">
        <f aca="false">C43*(1+D44/100)</f>
        <v>122.357910378874</v>
      </c>
      <c r="D44" s="1" t="n">
        <v>5</v>
      </c>
    </row>
    <row r="45" customFormat="false" ht="12" hidden="false" customHeight="true" outlineLevel="0" collapsed="false">
      <c r="B45" s="1" t="n">
        <v>2037</v>
      </c>
      <c r="C45" s="1" t="n">
        <f aca="false">C44*(1+D45/100)</f>
        <v>128.475805897817</v>
      </c>
      <c r="D45" s="1" t="n">
        <v>5</v>
      </c>
    </row>
    <row r="46" customFormat="false" ht="12" hidden="false" customHeight="true" outlineLevel="0" collapsed="false">
      <c r="B46" s="1" t="n">
        <v>2038</v>
      </c>
      <c r="C46" s="1" t="n">
        <f aca="false">C45*(1+D46/100)</f>
        <v>134.899596192708</v>
      </c>
      <c r="D46" s="1" t="n">
        <v>5</v>
      </c>
    </row>
    <row r="47" customFormat="false" ht="12" hidden="false" customHeight="true" outlineLevel="0" collapsed="false">
      <c r="B47" s="1" t="n">
        <v>2039</v>
      </c>
      <c r="C47" s="1" t="n">
        <f aca="false">C46*(1+D47/100)</f>
        <v>141.644576002343</v>
      </c>
      <c r="D47" s="1" t="n">
        <v>5</v>
      </c>
    </row>
    <row r="48" customFormat="false" ht="12" hidden="false" customHeight="true" outlineLevel="0" collapsed="false">
      <c r="B48" s="1" t="n">
        <v>2040</v>
      </c>
      <c r="C48" s="1" t="n">
        <f aca="false">C47*(1+D48/100)</f>
        <v>148.726804802461</v>
      </c>
      <c r="D48" s="1" t="n">
        <v>5</v>
      </c>
    </row>
    <row r="49" customFormat="false" ht="12" hidden="false" customHeight="true" outlineLevel="0" collapsed="false">
      <c r="B49" s="1" t="n">
        <v>2041</v>
      </c>
      <c r="C49" s="1" t="n">
        <f aca="false">C48*(1+D49/100)</f>
        <v>156.163145042584</v>
      </c>
      <c r="D49" s="1" t="n">
        <v>5</v>
      </c>
    </row>
    <row r="50" customFormat="false" ht="12" hidden="false" customHeight="true" outlineLevel="0" collapsed="false">
      <c r="B50" s="1" t="n">
        <v>2042</v>
      </c>
      <c r="C50" s="1" t="n">
        <f aca="false">C49*(1+D50/100)</f>
        <v>163.971302294713</v>
      </c>
      <c r="D50" s="1" t="n">
        <v>5</v>
      </c>
    </row>
    <row r="51" customFormat="false" ht="12" hidden="false" customHeight="true" outlineLevel="0" collapsed="false">
      <c r="B51" s="1" t="n">
        <v>2043</v>
      </c>
      <c r="C51" s="1" t="n">
        <f aca="false">C50*(1+D51/100)</f>
        <v>172.169867409449</v>
      </c>
      <c r="D51" s="1" t="n">
        <v>5</v>
      </c>
    </row>
    <row r="16385" customFormat="false" ht="12" hidden="false" customHeight="true" outlineLevel="0" collapsed="false">
      <c r="B16385" s="1" t="s">
        <v>35</v>
      </c>
      <c r="C16385" s="1" t="n">
        <v>915</v>
      </c>
      <c r="D16385" s="1" t="n">
        <v>915</v>
      </c>
    </row>
    <row r="16386" customFormat="false" ht="12" hidden="false" customHeight="true" outlineLevel="0" collapsed="false">
      <c r="B16386" s="1" t="s">
        <v>36</v>
      </c>
      <c r="C16386" s="1" t="s">
        <v>37</v>
      </c>
      <c r="D16386" s="1" t="s">
        <v>38</v>
      </c>
    </row>
    <row r="16387" customFormat="false" ht="12" hidden="false" customHeight="true" outlineLevel="0" collapsed="false">
      <c r="B16387" s="1" t="s">
        <v>39</v>
      </c>
      <c r="C16387" s="1" t="s">
        <v>40</v>
      </c>
      <c r="D16387" s="1" t="s">
        <v>40</v>
      </c>
    </row>
    <row r="16388" customFormat="false" ht="12" hidden="false" customHeight="true" outlineLevel="0" collapsed="false">
      <c r="B16388" s="1" t="s">
        <v>41</v>
      </c>
      <c r="C16388" s="1" t="s">
        <v>42</v>
      </c>
      <c r="D16388" s="1" t="s">
        <v>42</v>
      </c>
    </row>
    <row r="16389" customFormat="false" ht="12" hidden="false" customHeight="true" outlineLevel="0" collapsed="false">
      <c r="B16389" s="1" t="s">
        <v>43</v>
      </c>
      <c r="C16389" s="1" t="s">
        <v>44</v>
      </c>
      <c r="D16389" s="1" t="s">
        <v>45</v>
      </c>
    </row>
    <row r="16390" customFormat="false" ht="12" hidden="false" customHeight="true" outlineLevel="0" collapsed="false">
      <c r="B16390" s="1" t="s">
        <v>46</v>
      </c>
      <c r="C16390" s="1" t="s">
        <v>47</v>
      </c>
      <c r="D16390" s="1" t="s">
        <v>43</v>
      </c>
    </row>
    <row r="16391" customFormat="false" ht="12" hidden="false" customHeight="true" outlineLevel="0" collapsed="false">
      <c r="B16391" s="1" t="s">
        <v>48</v>
      </c>
      <c r="C16391" s="1" t="s">
        <v>49</v>
      </c>
      <c r="D16391" s="1" t="s">
        <v>50</v>
      </c>
    </row>
    <row r="16392" customFormat="false" ht="12" hidden="false" customHeight="true" outlineLevel="0" collapsed="false">
      <c r="B16392" s="1" t="n">
        <v>2000</v>
      </c>
      <c r="C16392" s="1" t="n">
        <v>16.963</v>
      </c>
      <c r="D16392" s="1" t="n">
        <v>1.865</v>
      </c>
    </row>
    <row r="16393" customFormat="false" ht="12" hidden="false" customHeight="true" outlineLevel="0" collapsed="false">
      <c r="B16393" s="1" t="n">
        <v>2001</v>
      </c>
      <c r="C16393" s="1" t="n">
        <v>17.772</v>
      </c>
      <c r="D16393" s="1" t="n">
        <v>4.769</v>
      </c>
    </row>
    <row r="16394" customFormat="false" ht="12" hidden="false" customHeight="true" outlineLevel="0" collapsed="false">
      <c r="B16394" s="1" t="n">
        <v>2002</v>
      </c>
      <c r="C16394" s="1" t="n">
        <v>18.747</v>
      </c>
      <c r="D16394" s="1" t="n">
        <v>5.487</v>
      </c>
    </row>
    <row r="16395" customFormat="false" ht="12" hidden="false" customHeight="true" outlineLevel="0" collapsed="false">
      <c r="B16395" s="1" t="n">
        <v>2003</v>
      </c>
      <c r="C16395" s="1" t="n">
        <v>20.852</v>
      </c>
      <c r="D16395" s="1" t="n">
        <v>11.228</v>
      </c>
    </row>
    <row r="16396" customFormat="false" ht="12" hidden="false" customHeight="true" outlineLevel="0" collapsed="false">
      <c r="B16396" s="1" t="n">
        <v>2004</v>
      </c>
      <c r="C16396" s="1" t="n">
        <v>22.061</v>
      </c>
      <c r="D16396" s="1" t="n">
        <v>5.796</v>
      </c>
    </row>
    <row r="16397" customFormat="false" ht="12" hidden="false" customHeight="true" outlineLevel="0" collapsed="false">
      <c r="B16397" s="1" t="n">
        <v>2005</v>
      </c>
      <c r="C16397" s="1" t="n">
        <v>24.176</v>
      </c>
      <c r="D16397" s="1" t="n">
        <v>9.588</v>
      </c>
    </row>
    <row r="16398" customFormat="false" ht="12" hidden="false" customHeight="true" outlineLevel="0" collapsed="false">
      <c r="B16398" s="1" t="n">
        <v>2006</v>
      </c>
      <c r="C16398" s="1" t="n">
        <v>26.454</v>
      </c>
      <c r="D16398" s="1" t="n">
        <v>9.42</v>
      </c>
    </row>
    <row r="16399" customFormat="false" ht="12" hidden="false" customHeight="true" outlineLevel="0" collapsed="false">
      <c r="B16399" s="1" t="n">
        <v>2007</v>
      </c>
      <c r="C16399" s="1" t="n">
        <v>29.781</v>
      </c>
      <c r="D16399" s="1" t="n">
        <v>12.579</v>
      </c>
    </row>
    <row r="16400" customFormat="false" ht="12" hidden="false" customHeight="true" outlineLevel="0" collapsed="false">
      <c r="B16400" s="1" t="n">
        <v>2008</v>
      </c>
      <c r="C16400" s="1" t="n">
        <v>30.502</v>
      </c>
      <c r="D16400" s="1" t="n">
        <v>2.419</v>
      </c>
    </row>
    <row r="16401" customFormat="false" ht="12" hidden="false" customHeight="true" outlineLevel="0" collapsed="false">
      <c r="B16401" s="1" t="n">
        <v>2009</v>
      </c>
      <c r="C16401" s="1" t="n">
        <v>29.388</v>
      </c>
      <c r="D16401" s="1" t="n">
        <v>-3.651</v>
      </c>
    </row>
    <row r="16402" customFormat="false" ht="12" hidden="false" customHeight="true" outlineLevel="0" collapsed="false">
      <c r="B16402" s="1" t="n">
        <v>2010</v>
      </c>
      <c r="C16402" s="1" t="n">
        <v>31.428</v>
      </c>
      <c r="D16402" s="1" t="n">
        <v>6.942</v>
      </c>
    </row>
    <row r="16403" customFormat="false" ht="12" hidden="false" customHeight="true" outlineLevel="0" collapsed="false">
      <c r="B16403" s="1" t="n">
        <v>2011</v>
      </c>
      <c r="C16403" s="1" t="n">
        <v>33.927</v>
      </c>
      <c r="D16403" s="1" t="n">
        <v>7.949</v>
      </c>
    </row>
    <row r="16404" customFormat="false" ht="12" hidden="false" customHeight="true" outlineLevel="0" collapsed="false">
      <c r="B16404" s="1" t="n">
        <v>2012</v>
      </c>
      <c r="C16404" s="1" t="n">
        <v>36.159</v>
      </c>
      <c r="D16404" s="1" t="n">
        <v>6.579</v>
      </c>
    </row>
    <row r="16405" customFormat="false" ht="12" hidden="false" customHeight="true" outlineLevel="0" collapsed="false">
      <c r="B16405" s="1" t="n">
        <v>2013</v>
      </c>
      <c r="C16405" s="1" t="n">
        <v>38.015</v>
      </c>
      <c r="D16405" s="1" t="n">
        <v>5.134</v>
      </c>
    </row>
    <row r="16406" customFormat="false" ht="12" hidden="false" customHeight="true" outlineLevel="0" collapsed="false">
      <c r="B16406" s="1" t="n">
        <v>2014</v>
      </c>
      <c r="C16406" s="1" t="n">
        <v>39.57</v>
      </c>
      <c r="D16406" s="1" t="n">
        <v>4.091</v>
      </c>
    </row>
    <row r="16407" customFormat="false" ht="12" hidden="false" customHeight="true" outlineLevel="0" collapsed="false">
      <c r="B16407" s="1" t="n">
        <v>2015</v>
      </c>
      <c r="C16407" s="1" t="n">
        <v>40.896</v>
      </c>
      <c r="D16407" s="1" t="n">
        <v>3.351</v>
      </c>
    </row>
    <row r="16408" customFormat="false" ht="12" hidden="false" customHeight="true" outlineLevel="0" collapsed="false">
      <c r="B16408" s="1" t="n">
        <v>2016</v>
      </c>
      <c r="C16408" s="1" t="n">
        <v>42.307</v>
      </c>
      <c r="D16408" s="1" t="n">
        <v>3.45</v>
      </c>
    </row>
    <row r="16409" customFormat="false" ht="12" hidden="false" customHeight="true" outlineLevel="0" collapsed="false">
      <c r="B16409" s="1" t="n">
        <v>2017</v>
      </c>
      <c r="C16409" s="1" t="n">
        <v>44.49</v>
      </c>
      <c r="D16409" s="1" t="n">
        <v>5.161</v>
      </c>
    </row>
    <row r="16410" customFormat="false" ht="12" hidden="false" customHeight="true" outlineLevel="0" collapsed="false">
      <c r="B16410" s="1" t="n">
        <v>2018</v>
      </c>
      <c r="C16410" s="1" t="n">
        <v>47.187</v>
      </c>
      <c r="D16410" s="1" t="n">
        <v>6.062</v>
      </c>
    </row>
    <row r="16411" customFormat="false" ht="12" hidden="false" customHeight="true" outlineLevel="0" collapsed="false">
      <c r="B16411" s="1" t="n">
        <v>2019</v>
      </c>
      <c r="C16411" s="1" t="n">
        <v>49.726</v>
      </c>
      <c r="D16411" s="1" t="n">
        <v>5.38</v>
      </c>
    </row>
    <row r="16412" customFormat="false" ht="12" hidden="false" customHeight="true" outlineLevel="0" collapsed="false">
      <c r="B16412" s="1" t="n">
        <v>2020</v>
      </c>
      <c r="C16412" s="1" t="n">
        <v>46.598</v>
      </c>
      <c r="D16412" s="1" t="n">
        <v>-6.291</v>
      </c>
    </row>
    <row r="16413" customFormat="false" ht="12" hidden="false" customHeight="true" outlineLevel="0" collapsed="false">
      <c r="B16413" s="1" t="n">
        <v>2021</v>
      </c>
      <c r="C16413" s="1" t="n">
        <v>51.558</v>
      </c>
      <c r="D16413" s="1" t="n">
        <v>10.644</v>
      </c>
    </row>
    <row r="16414" customFormat="false" ht="12" hidden="false" customHeight="true" outlineLevel="0" collapsed="false">
      <c r="B16414" s="1" t="n">
        <v>2022</v>
      </c>
      <c r="C16414" s="1" t="n">
        <v>57.208</v>
      </c>
      <c r="D16414" s="1" t="n">
        <v>10.96</v>
      </c>
    </row>
    <row r="16415" customFormat="false" ht="12" hidden="false" customHeight="true" outlineLevel="0" collapsed="false">
      <c r="B16415" s="1" t="n">
        <v>2023</v>
      </c>
      <c r="C16415" s="1" t="n">
        <v>61.689</v>
      </c>
      <c r="D16415" s="1" t="n">
        <v>7.832</v>
      </c>
    </row>
    <row r="16416" customFormat="false" ht="12" hidden="false" customHeight="true" outlineLevel="0" collapsed="false">
      <c r="B16416" s="1" t="n">
        <v>2024</v>
      </c>
      <c r="C16416" s="1" t="n">
        <v>67.505</v>
      </c>
      <c r="D16416" s="1" t="n">
        <v>9.429</v>
      </c>
    </row>
    <row r="16417" customFormat="false" ht="12" hidden="false" customHeight="true" outlineLevel="0" collapsed="false">
      <c r="B16417" s="1" t="n">
        <v>2025</v>
      </c>
      <c r="C16417" s="1" t="n">
        <v>71.54</v>
      </c>
      <c r="D16417" s="1" t="n">
        <v>5.977</v>
      </c>
    </row>
    <row r="16418" customFormat="false" ht="12" hidden="false" customHeight="true" outlineLevel="0" collapsed="false">
      <c r="B16418" s="1" t="n">
        <v>2026</v>
      </c>
      <c r="C16418" s="1" t="n">
        <v>75.117</v>
      </c>
      <c r="D16418" s="1" t="n">
        <v>5</v>
      </c>
    </row>
    <row r="16419" customFormat="false" ht="12" hidden="false" customHeight="true" outlineLevel="0" collapsed="false">
      <c r="B16419" s="1" t="n">
        <v>2027</v>
      </c>
      <c r="C16419" s="1" t="n">
        <v>78.873</v>
      </c>
      <c r="D16419" s="1" t="n">
        <v>5</v>
      </c>
    </row>
    <row r="16420" customFormat="false" ht="12" hidden="false" customHeight="true" outlineLevel="0" collapsed="false">
      <c r="B16420" s="1" t="s">
        <v>51</v>
      </c>
      <c r="C16420" s="1" t="n">
        <v>2024</v>
      </c>
      <c r="D16420" s="1" t="n">
        <v>2024</v>
      </c>
    </row>
    <row r="32769" customFormat="false" ht="12" hidden="false" customHeight="true" outlineLevel="0" collapsed="false">
      <c r="B32769" s="1" t="s">
        <v>35</v>
      </c>
      <c r="C32769" s="1" t="n">
        <v>915</v>
      </c>
      <c r="D32769" s="1" t="n">
        <v>915</v>
      </c>
    </row>
    <row r="32770" customFormat="false" ht="12" hidden="false" customHeight="true" outlineLevel="0" collapsed="false">
      <c r="B32770" s="1" t="s">
        <v>36</v>
      </c>
      <c r="C32770" s="1" t="s">
        <v>37</v>
      </c>
      <c r="D32770" s="1" t="s">
        <v>38</v>
      </c>
    </row>
    <row r="32771" customFormat="false" ht="12" hidden="false" customHeight="true" outlineLevel="0" collapsed="false">
      <c r="B32771" s="1" t="s">
        <v>39</v>
      </c>
      <c r="C32771" s="1" t="s">
        <v>40</v>
      </c>
      <c r="D32771" s="1" t="s">
        <v>40</v>
      </c>
    </row>
    <row r="32772" customFormat="false" ht="12" hidden="false" customHeight="true" outlineLevel="0" collapsed="false">
      <c r="B32772" s="1" t="s">
        <v>41</v>
      </c>
      <c r="C32772" s="1" t="s">
        <v>42</v>
      </c>
      <c r="D32772" s="1" t="s">
        <v>42</v>
      </c>
    </row>
    <row r="32773" customFormat="false" ht="12" hidden="false" customHeight="true" outlineLevel="0" collapsed="false">
      <c r="B32773" s="1" t="s">
        <v>43</v>
      </c>
      <c r="C32773" s="1" t="s">
        <v>44</v>
      </c>
      <c r="D32773" s="1" t="s">
        <v>45</v>
      </c>
    </row>
    <row r="32774" customFormat="false" ht="12" hidden="false" customHeight="true" outlineLevel="0" collapsed="false">
      <c r="B32774" s="1" t="s">
        <v>46</v>
      </c>
      <c r="C32774" s="1" t="s">
        <v>47</v>
      </c>
      <c r="D32774" s="1" t="s">
        <v>43</v>
      </c>
    </row>
    <row r="32775" customFormat="false" ht="12" hidden="false" customHeight="true" outlineLevel="0" collapsed="false">
      <c r="B32775" s="1" t="s">
        <v>48</v>
      </c>
      <c r="C32775" s="1" t="s">
        <v>49</v>
      </c>
      <c r="D32775" s="1" t="s">
        <v>50</v>
      </c>
    </row>
    <row r="32776" customFormat="false" ht="12" hidden="false" customHeight="true" outlineLevel="0" collapsed="false">
      <c r="B32776" s="1" t="n">
        <v>2000</v>
      </c>
      <c r="C32776" s="1" t="n">
        <v>16.963</v>
      </c>
      <c r="D32776" s="1" t="n">
        <v>1.865</v>
      </c>
    </row>
    <row r="32777" customFormat="false" ht="12" hidden="false" customHeight="true" outlineLevel="0" collapsed="false">
      <c r="B32777" s="1" t="n">
        <v>2001</v>
      </c>
      <c r="C32777" s="1" t="n">
        <v>17.772</v>
      </c>
      <c r="D32777" s="1" t="n">
        <v>4.769</v>
      </c>
    </row>
    <row r="32778" customFormat="false" ht="12" hidden="false" customHeight="true" outlineLevel="0" collapsed="false">
      <c r="B32778" s="1" t="n">
        <v>2002</v>
      </c>
      <c r="C32778" s="1" t="n">
        <v>18.747</v>
      </c>
      <c r="D32778" s="1" t="n">
        <v>5.487</v>
      </c>
    </row>
    <row r="32779" customFormat="false" ht="12" hidden="false" customHeight="true" outlineLevel="0" collapsed="false">
      <c r="B32779" s="1" t="n">
        <v>2003</v>
      </c>
      <c r="C32779" s="1" t="n">
        <v>20.852</v>
      </c>
      <c r="D32779" s="1" t="n">
        <v>11.228</v>
      </c>
    </row>
    <row r="32780" customFormat="false" ht="12" hidden="false" customHeight="true" outlineLevel="0" collapsed="false">
      <c r="B32780" s="1" t="n">
        <v>2004</v>
      </c>
      <c r="C32780" s="1" t="n">
        <v>22.061</v>
      </c>
      <c r="D32780" s="1" t="n">
        <v>5.796</v>
      </c>
    </row>
    <row r="32781" customFormat="false" ht="12" hidden="false" customHeight="true" outlineLevel="0" collapsed="false">
      <c r="B32781" s="1" t="n">
        <v>2005</v>
      </c>
      <c r="C32781" s="1" t="n">
        <v>24.176</v>
      </c>
      <c r="D32781" s="1" t="n">
        <v>9.588</v>
      </c>
    </row>
    <row r="32782" customFormat="false" ht="12" hidden="false" customHeight="true" outlineLevel="0" collapsed="false">
      <c r="B32782" s="1" t="n">
        <v>2006</v>
      </c>
      <c r="C32782" s="1" t="n">
        <v>26.454</v>
      </c>
      <c r="D32782" s="1" t="n">
        <v>9.42</v>
      </c>
    </row>
    <row r="32783" customFormat="false" ht="12" hidden="false" customHeight="true" outlineLevel="0" collapsed="false">
      <c r="B32783" s="1" t="n">
        <v>2007</v>
      </c>
      <c r="C32783" s="1" t="n">
        <v>29.781</v>
      </c>
      <c r="D32783" s="1" t="n">
        <v>12.579</v>
      </c>
    </row>
    <row r="32784" customFormat="false" ht="12" hidden="false" customHeight="true" outlineLevel="0" collapsed="false">
      <c r="B32784" s="1" t="n">
        <v>2008</v>
      </c>
      <c r="C32784" s="1" t="n">
        <v>30.502</v>
      </c>
      <c r="D32784" s="1" t="n">
        <v>2.419</v>
      </c>
    </row>
    <row r="32785" customFormat="false" ht="12" hidden="false" customHeight="true" outlineLevel="0" collapsed="false">
      <c r="B32785" s="1" t="n">
        <v>2009</v>
      </c>
      <c r="C32785" s="1" t="n">
        <v>29.388</v>
      </c>
      <c r="D32785" s="1" t="n">
        <v>-3.651</v>
      </c>
    </row>
    <row r="32786" customFormat="false" ht="12" hidden="false" customHeight="true" outlineLevel="0" collapsed="false">
      <c r="B32786" s="1" t="n">
        <v>2010</v>
      </c>
      <c r="C32786" s="1" t="n">
        <v>31.428</v>
      </c>
      <c r="D32786" s="1" t="n">
        <v>6.942</v>
      </c>
    </row>
    <row r="32787" customFormat="false" ht="12" hidden="false" customHeight="true" outlineLevel="0" collapsed="false">
      <c r="B32787" s="1" t="n">
        <v>2011</v>
      </c>
      <c r="C32787" s="1" t="n">
        <v>33.927</v>
      </c>
      <c r="D32787" s="1" t="n">
        <v>7.949</v>
      </c>
    </row>
    <row r="32788" customFormat="false" ht="12" hidden="false" customHeight="true" outlineLevel="0" collapsed="false">
      <c r="B32788" s="1" t="n">
        <v>2012</v>
      </c>
      <c r="C32788" s="1" t="n">
        <v>36.159</v>
      </c>
      <c r="D32788" s="1" t="n">
        <v>6.579</v>
      </c>
    </row>
    <row r="32789" customFormat="false" ht="12" hidden="false" customHeight="true" outlineLevel="0" collapsed="false">
      <c r="B32789" s="1" t="n">
        <v>2013</v>
      </c>
      <c r="C32789" s="1" t="n">
        <v>38.015</v>
      </c>
      <c r="D32789" s="1" t="n">
        <v>5.134</v>
      </c>
    </row>
    <row r="32790" customFormat="false" ht="12" hidden="false" customHeight="true" outlineLevel="0" collapsed="false">
      <c r="B32790" s="1" t="n">
        <v>2014</v>
      </c>
      <c r="C32790" s="1" t="n">
        <v>39.57</v>
      </c>
      <c r="D32790" s="1" t="n">
        <v>4.091</v>
      </c>
    </row>
    <row r="32791" customFormat="false" ht="12" hidden="false" customHeight="true" outlineLevel="0" collapsed="false">
      <c r="B32791" s="1" t="n">
        <v>2015</v>
      </c>
      <c r="C32791" s="1" t="n">
        <v>40.896</v>
      </c>
      <c r="D32791" s="1" t="n">
        <v>3.351</v>
      </c>
    </row>
    <row r="32792" customFormat="false" ht="12" hidden="false" customHeight="true" outlineLevel="0" collapsed="false">
      <c r="B32792" s="1" t="n">
        <v>2016</v>
      </c>
      <c r="C32792" s="1" t="n">
        <v>42.307</v>
      </c>
      <c r="D32792" s="1" t="n">
        <v>3.45</v>
      </c>
    </row>
    <row r="32793" customFormat="false" ht="12" hidden="false" customHeight="true" outlineLevel="0" collapsed="false">
      <c r="B32793" s="1" t="n">
        <v>2017</v>
      </c>
      <c r="C32793" s="1" t="n">
        <v>44.49</v>
      </c>
      <c r="D32793" s="1" t="n">
        <v>5.161</v>
      </c>
    </row>
    <row r="32794" customFormat="false" ht="12" hidden="false" customHeight="true" outlineLevel="0" collapsed="false">
      <c r="B32794" s="1" t="n">
        <v>2018</v>
      </c>
      <c r="C32794" s="1" t="n">
        <v>47.187</v>
      </c>
      <c r="D32794" s="1" t="n">
        <v>6.062</v>
      </c>
    </row>
    <row r="32795" customFormat="false" ht="12" hidden="false" customHeight="true" outlineLevel="0" collapsed="false">
      <c r="B32795" s="1" t="n">
        <v>2019</v>
      </c>
      <c r="C32795" s="1" t="n">
        <v>49.726</v>
      </c>
      <c r="D32795" s="1" t="n">
        <v>5.38</v>
      </c>
    </row>
    <row r="32796" customFormat="false" ht="12" hidden="false" customHeight="true" outlineLevel="0" collapsed="false">
      <c r="B32796" s="1" t="n">
        <v>2020</v>
      </c>
      <c r="C32796" s="1" t="n">
        <v>46.598</v>
      </c>
      <c r="D32796" s="1" t="n">
        <v>-6.291</v>
      </c>
    </row>
    <row r="32797" customFormat="false" ht="12" hidden="false" customHeight="true" outlineLevel="0" collapsed="false">
      <c r="B32797" s="1" t="n">
        <v>2021</v>
      </c>
      <c r="C32797" s="1" t="n">
        <v>51.558</v>
      </c>
      <c r="D32797" s="1" t="n">
        <v>10.644</v>
      </c>
    </row>
    <row r="32798" customFormat="false" ht="12" hidden="false" customHeight="true" outlineLevel="0" collapsed="false">
      <c r="B32798" s="1" t="n">
        <v>2022</v>
      </c>
      <c r="C32798" s="1" t="n">
        <v>57.208</v>
      </c>
      <c r="D32798" s="1" t="n">
        <v>10.96</v>
      </c>
    </row>
    <row r="32799" customFormat="false" ht="12" hidden="false" customHeight="true" outlineLevel="0" collapsed="false">
      <c r="B32799" s="1" t="n">
        <v>2023</v>
      </c>
      <c r="C32799" s="1" t="n">
        <v>61.689</v>
      </c>
      <c r="D32799" s="1" t="n">
        <v>7.832</v>
      </c>
    </row>
    <row r="32800" customFormat="false" ht="12" hidden="false" customHeight="true" outlineLevel="0" collapsed="false">
      <c r="B32800" s="1" t="n">
        <v>2024</v>
      </c>
      <c r="C32800" s="1" t="n">
        <v>67.505</v>
      </c>
      <c r="D32800" s="1" t="n">
        <v>9.429</v>
      </c>
    </row>
    <row r="32801" customFormat="false" ht="12" hidden="false" customHeight="true" outlineLevel="0" collapsed="false">
      <c r="B32801" s="1" t="n">
        <v>2025</v>
      </c>
      <c r="C32801" s="1" t="n">
        <v>71.54</v>
      </c>
      <c r="D32801" s="1" t="n">
        <v>5.977</v>
      </c>
    </row>
    <row r="32802" customFormat="false" ht="12" hidden="false" customHeight="true" outlineLevel="0" collapsed="false">
      <c r="B32802" s="1" t="n">
        <v>2026</v>
      </c>
      <c r="C32802" s="1" t="n">
        <v>75.117</v>
      </c>
      <c r="D32802" s="1" t="n">
        <v>5</v>
      </c>
    </row>
    <row r="32803" customFormat="false" ht="12" hidden="false" customHeight="true" outlineLevel="0" collapsed="false">
      <c r="B32803" s="1" t="n">
        <v>2027</v>
      </c>
      <c r="C32803" s="1" t="n">
        <v>78.873</v>
      </c>
      <c r="D32803" s="1" t="n">
        <v>5</v>
      </c>
    </row>
    <row r="32804" customFormat="false" ht="12" hidden="false" customHeight="true" outlineLevel="0" collapsed="false">
      <c r="B32804" s="1" t="s">
        <v>51</v>
      </c>
      <c r="C32804" s="1" t="n">
        <v>2024</v>
      </c>
      <c r="D32804" s="1" t="n">
        <v>2024</v>
      </c>
    </row>
    <row r="49153" customFormat="false" ht="12" hidden="false" customHeight="true" outlineLevel="0" collapsed="false">
      <c r="B49153" s="1" t="s">
        <v>35</v>
      </c>
      <c r="C49153" s="1" t="n">
        <v>915</v>
      </c>
      <c r="D49153" s="1" t="n">
        <v>915</v>
      </c>
    </row>
    <row r="49154" customFormat="false" ht="12" hidden="false" customHeight="true" outlineLevel="0" collapsed="false">
      <c r="B49154" s="1" t="s">
        <v>36</v>
      </c>
      <c r="C49154" s="1" t="s">
        <v>37</v>
      </c>
      <c r="D49154" s="1" t="s">
        <v>38</v>
      </c>
    </row>
    <row r="49155" customFormat="false" ht="12" hidden="false" customHeight="true" outlineLevel="0" collapsed="false">
      <c r="B49155" s="1" t="s">
        <v>39</v>
      </c>
      <c r="C49155" s="1" t="s">
        <v>40</v>
      </c>
      <c r="D49155" s="1" t="s">
        <v>40</v>
      </c>
    </row>
    <row r="49156" customFormat="false" ht="12" hidden="false" customHeight="true" outlineLevel="0" collapsed="false">
      <c r="B49156" s="1" t="s">
        <v>41</v>
      </c>
      <c r="C49156" s="1" t="s">
        <v>42</v>
      </c>
      <c r="D49156" s="1" t="s">
        <v>42</v>
      </c>
    </row>
    <row r="49157" customFormat="false" ht="12" hidden="false" customHeight="true" outlineLevel="0" collapsed="false">
      <c r="B49157" s="1" t="s">
        <v>43</v>
      </c>
      <c r="C49157" s="1" t="s">
        <v>44</v>
      </c>
      <c r="D49157" s="1" t="s">
        <v>45</v>
      </c>
    </row>
    <row r="49158" customFormat="false" ht="12" hidden="false" customHeight="true" outlineLevel="0" collapsed="false">
      <c r="B49158" s="1" t="s">
        <v>46</v>
      </c>
      <c r="C49158" s="1" t="s">
        <v>47</v>
      </c>
      <c r="D49158" s="1" t="s">
        <v>43</v>
      </c>
    </row>
    <row r="49159" customFormat="false" ht="12" hidden="false" customHeight="true" outlineLevel="0" collapsed="false">
      <c r="B49159" s="1" t="s">
        <v>48</v>
      </c>
      <c r="C49159" s="1" t="s">
        <v>49</v>
      </c>
      <c r="D49159" s="1" t="s">
        <v>50</v>
      </c>
    </row>
    <row r="49160" customFormat="false" ht="12" hidden="false" customHeight="true" outlineLevel="0" collapsed="false">
      <c r="B49160" s="1" t="n">
        <v>2000</v>
      </c>
      <c r="C49160" s="1" t="n">
        <v>16.963</v>
      </c>
      <c r="D49160" s="1" t="n">
        <v>1.865</v>
      </c>
    </row>
    <row r="49161" customFormat="false" ht="12" hidden="false" customHeight="true" outlineLevel="0" collapsed="false">
      <c r="B49161" s="1" t="n">
        <v>2001</v>
      </c>
      <c r="C49161" s="1" t="n">
        <v>17.772</v>
      </c>
      <c r="D49161" s="1" t="n">
        <v>4.769</v>
      </c>
    </row>
    <row r="49162" customFormat="false" ht="12" hidden="false" customHeight="true" outlineLevel="0" collapsed="false">
      <c r="B49162" s="1" t="n">
        <v>2002</v>
      </c>
      <c r="C49162" s="1" t="n">
        <v>18.747</v>
      </c>
      <c r="D49162" s="1" t="n">
        <v>5.487</v>
      </c>
    </row>
    <row r="49163" customFormat="false" ht="12" hidden="false" customHeight="true" outlineLevel="0" collapsed="false">
      <c r="B49163" s="1" t="n">
        <v>2003</v>
      </c>
      <c r="C49163" s="1" t="n">
        <v>20.852</v>
      </c>
      <c r="D49163" s="1" t="n">
        <v>11.228</v>
      </c>
    </row>
    <row r="49164" customFormat="false" ht="12" hidden="false" customHeight="true" outlineLevel="0" collapsed="false">
      <c r="B49164" s="1" t="n">
        <v>2004</v>
      </c>
      <c r="C49164" s="1" t="n">
        <v>22.061</v>
      </c>
      <c r="D49164" s="1" t="n">
        <v>5.796</v>
      </c>
    </row>
    <row r="49165" customFormat="false" ht="12" hidden="false" customHeight="true" outlineLevel="0" collapsed="false">
      <c r="B49165" s="1" t="n">
        <v>2005</v>
      </c>
      <c r="C49165" s="1" t="n">
        <v>24.176</v>
      </c>
      <c r="D49165" s="1" t="n">
        <v>9.588</v>
      </c>
    </row>
    <row r="49166" customFormat="false" ht="12" hidden="false" customHeight="true" outlineLevel="0" collapsed="false">
      <c r="B49166" s="1" t="n">
        <v>2006</v>
      </c>
      <c r="C49166" s="1" t="n">
        <v>26.454</v>
      </c>
      <c r="D49166" s="1" t="n">
        <v>9.42</v>
      </c>
    </row>
    <row r="49167" customFormat="false" ht="12" hidden="false" customHeight="true" outlineLevel="0" collapsed="false">
      <c r="B49167" s="1" t="n">
        <v>2007</v>
      </c>
      <c r="C49167" s="1" t="n">
        <v>29.781</v>
      </c>
      <c r="D49167" s="1" t="n">
        <v>12.579</v>
      </c>
    </row>
    <row r="49168" customFormat="false" ht="12" hidden="false" customHeight="true" outlineLevel="0" collapsed="false">
      <c r="B49168" s="1" t="n">
        <v>2008</v>
      </c>
      <c r="C49168" s="1" t="n">
        <v>30.502</v>
      </c>
      <c r="D49168" s="1" t="n">
        <v>2.419</v>
      </c>
    </row>
    <row r="49169" customFormat="false" ht="12" hidden="false" customHeight="true" outlineLevel="0" collapsed="false">
      <c r="B49169" s="1" t="n">
        <v>2009</v>
      </c>
      <c r="C49169" s="1" t="n">
        <v>29.388</v>
      </c>
      <c r="D49169" s="1" t="n">
        <v>-3.651</v>
      </c>
    </row>
    <row r="49170" customFormat="false" ht="12" hidden="false" customHeight="true" outlineLevel="0" collapsed="false">
      <c r="B49170" s="1" t="n">
        <v>2010</v>
      </c>
      <c r="C49170" s="1" t="n">
        <v>31.428</v>
      </c>
      <c r="D49170" s="1" t="n">
        <v>6.942</v>
      </c>
    </row>
    <row r="49171" customFormat="false" ht="12" hidden="false" customHeight="true" outlineLevel="0" collapsed="false">
      <c r="B49171" s="1" t="n">
        <v>2011</v>
      </c>
      <c r="C49171" s="1" t="n">
        <v>33.927</v>
      </c>
      <c r="D49171" s="1" t="n">
        <v>7.949</v>
      </c>
    </row>
    <row r="49172" customFormat="false" ht="12" hidden="false" customHeight="true" outlineLevel="0" collapsed="false">
      <c r="B49172" s="1" t="n">
        <v>2012</v>
      </c>
      <c r="C49172" s="1" t="n">
        <v>36.159</v>
      </c>
      <c r="D49172" s="1" t="n">
        <v>6.579</v>
      </c>
    </row>
    <row r="49173" customFormat="false" ht="12" hidden="false" customHeight="true" outlineLevel="0" collapsed="false">
      <c r="B49173" s="1" t="n">
        <v>2013</v>
      </c>
      <c r="C49173" s="1" t="n">
        <v>38.015</v>
      </c>
      <c r="D49173" s="1" t="n">
        <v>5.134</v>
      </c>
    </row>
    <row r="49174" customFormat="false" ht="12" hidden="false" customHeight="true" outlineLevel="0" collapsed="false">
      <c r="B49174" s="1" t="n">
        <v>2014</v>
      </c>
      <c r="C49174" s="1" t="n">
        <v>39.57</v>
      </c>
      <c r="D49174" s="1" t="n">
        <v>4.091</v>
      </c>
    </row>
    <row r="49175" customFormat="false" ht="12" hidden="false" customHeight="true" outlineLevel="0" collapsed="false">
      <c r="B49175" s="1" t="n">
        <v>2015</v>
      </c>
      <c r="C49175" s="1" t="n">
        <v>40.896</v>
      </c>
      <c r="D49175" s="1" t="n">
        <v>3.351</v>
      </c>
    </row>
    <row r="49176" customFormat="false" ht="12" hidden="false" customHeight="true" outlineLevel="0" collapsed="false">
      <c r="B49176" s="1" t="n">
        <v>2016</v>
      </c>
      <c r="C49176" s="1" t="n">
        <v>42.307</v>
      </c>
      <c r="D49176" s="1" t="n">
        <v>3.45</v>
      </c>
    </row>
    <row r="49177" customFormat="false" ht="12" hidden="false" customHeight="true" outlineLevel="0" collapsed="false">
      <c r="B49177" s="1" t="n">
        <v>2017</v>
      </c>
      <c r="C49177" s="1" t="n">
        <v>44.49</v>
      </c>
      <c r="D49177" s="1" t="n">
        <v>5.161</v>
      </c>
    </row>
    <row r="49178" customFormat="false" ht="12" hidden="false" customHeight="true" outlineLevel="0" collapsed="false">
      <c r="B49178" s="1" t="n">
        <v>2018</v>
      </c>
      <c r="C49178" s="1" t="n">
        <v>47.187</v>
      </c>
      <c r="D49178" s="1" t="n">
        <v>6.062</v>
      </c>
    </row>
    <row r="49179" customFormat="false" ht="12" hidden="false" customHeight="true" outlineLevel="0" collapsed="false">
      <c r="B49179" s="1" t="n">
        <v>2019</v>
      </c>
      <c r="C49179" s="1" t="n">
        <v>49.726</v>
      </c>
      <c r="D49179" s="1" t="n">
        <v>5.38</v>
      </c>
    </row>
    <row r="49180" customFormat="false" ht="12" hidden="false" customHeight="true" outlineLevel="0" collapsed="false">
      <c r="B49180" s="1" t="n">
        <v>2020</v>
      </c>
      <c r="C49180" s="1" t="n">
        <v>46.598</v>
      </c>
      <c r="D49180" s="1" t="n">
        <v>-6.291</v>
      </c>
    </row>
    <row r="49181" customFormat="false" ht="12" hidden="false" customHeight="true" outlineLevel="0" collapsed="false">
      <c r="B49181" s="1" t="n">
        <v>2021</v>
      </c>
      <c r="C49181" s="1" t="n">
        <v>51.558</v>
      </c>
      <c r="D49181" s="1" t="n">
        <v>10.644</v>
      </c>
    </row>
    <row r="49182" customFormat="false" ht="12" hidden="false" customHeight="true" outlineLevel="0" collapsed="false">
      <c r="B49182" s="1" t="n">
        <v>2022</v>
      </c>
      <c r="C49182" s="1" t="n">
        <v>57.208</v>
      </c>
      <c r="D49182" s="1" t="n">
        <v>10.96</v>
      </c>
    </row>
    <row r="49183" customFormat="false" ht="12" hidden="false" customHeight="true" outlineLevel="0" collapsed="false">
      <c r="B49183" s="1" t="n">
        <v>2023</v>
      </c>
      <c r="C49183" s="1" t="n">
        <v>61.689</v>
      </c>
      <c r="D49183" s="1" t="n">
        <v>7.832</v>
      </c>
    </row>
    <row r="49184" customFormat="false" ht="12" hidden="false" customHeight="true" outlineLevel="0" collapsed="false">
      <c r="B49184" s="1" t="n">
        <v>2024</v>
      </c>
      <c r="C49184" s="1" t="n">
        <v>67.505</v>
      </c>
      <c r="D49184" s="1" t="n">
        <v>9.429</v>
      </c>
    </row>
    <row r="49185" customFormat="false" ht="12" hidden="false" customHeight="true" outlineLevel="0" collapsed="false">
      <c r="B49185" s="1" t="n">
        <v>2025</v>
      </c>
      <c r="C49185" s="1" t="n">
        <v>71.54</v>
      </c>
      <c r="D49185" s="1" t="n">
        <v>5.977</v>
      </c>
    </row>
    <row r="49186" customFormat="false" ht="12" hidden="false" customHeight="true" outlineLevel="0" collapsed="false">
      <c r="B49186" s="1" t="n">
        <v>2026</v>
      </c>
      <c r="C49186" s="1" t="n">
        <v>75.117</v>
      </c>
      <c r="D49186" s="1" t="n">
        <v>5</v>
      </c>
    </row>
    <row r="49187" customFormat="false" ht="12" hidden="false" customHeight="true" outlineLevel="0" collapsed="false">
      <c r="B49187" s="1" t="n">
        <v>2027</v>
      </c>
      <c r="C49187" s="1" t="n">
        <v>78.873</v>
      </c>
      <c r="D49187" s="1" t="n">
        <v>5</v>
      </c>
    </row>
    <row r="49188" customFormat="false" ht="12" hidden="false" customHeight="true" outlineLevel="0" collapsed="false">
      <c r="B49188" s="1" t="s">
        <v>51</v>
      </c>
      <c r="C49188" s="1" t="n">
        <v>2024</v>
      </c>
      <c r="D49188" s="1" t="n">
        <v>2024</v>
      </c>
    </row>
    <row r="65537" customFormat="false" ht="12" hidden="false" customHeight="true" outlineLevel="0" collapsed="false">
      <c r="B65537" s="1" t="s">
        <v>35</v>
      </c>
      <c r="C65537" s="1" t="n">
        <v>915</v>
      </c>
      <c r="D65537" s="1" t="n">
        <v>915</v>
      </c>
    </row>
    <row r="65538" customFormat="false" ht="12" hidden="false" customHeight="true" outlineLevel="0" collapsed="false">
      <c r="B65538" s="1" t="s">
        <v>36</v>
      </c>
      <c r="C65538" s="1" t="s">
        <v>37</v>
      </c>
      <c r="D65538" s="1" t="s">
        <v>38</v>
      </c>
    </row>
    <row r="65539" customFormat="false" ht="12" hidden="false" customHeight="true" outlineLevel="0" collapsed="false">
      <c r="B65539" s="1" t="s">
        <v>39</v>
      </c>
      <c r="C65539" s="1" t="s">
        <v>40</v>
      </c>
      <c r="D65539" s="1" t="s">
        <v>40</v>
      </c>
    </row>
    <row r="65540" customFormat="false" ht="12" hidden="false" customHeight="true" outlineLevel="0" collapsed="false">
      <c r="B65540" s="1" t="s">
        <v>41</v>
      </c>
      <c r="C65540" s="1" t="s">
        <v>42</v>
      </c>
      <c r="D65540" s="1" t="s">
        <v>42</v>
      </c>
    </row>
    <row r="65541" customFormat="false" ht="12" hidden="false" customHeight="true" outlineLevel="0" collapsed="false">
      <c r="B65541" s="1" t="s">
        <v>43</v>
      </c>
      <c r="C65541" s="1" t="s">
        <v>44</v>
      </c>
      <c r="D65541" s="1" t="s">
        <v>45</v>
      </c>
    </row>
    <row r="65542" customFormat="false" ht="12" hidden="false" customHeight="true" outlineLevel="0" collapsed="false">
      <c r="B65542" s="1" t="s">
        <v>46</v>
      </c>
      <c r="C65542" s="1" t="s">
        <v>47</v>
      </c>
      <c r="D65542" s="1" t="s">
        <v>43</v>
      </c>
    </row>
    <row r="65543" customFormat="false" ht="12" hidden="false" customHeight="true" outlineLevel="0" collapsed="false">
      <c r="B65543" s="1" t="s">
        <v>48</v>
      </c>
      <c r="C65543" s="1" t="s">
        <v>49</v>
      </c>
      <c r="D65543" s="1" t="s">
        <v>50</v>
      </c>
    </row>
    <row r="65544" customFormat="false" ht="12" hidden="false" customHeight="true" outlineLevel="0" collapsed="false">
      <c r="B65544" s="1" t="n">
        <v>2000</v>
      </c>
      <c r="C65544" s="1" t="n">
        <v>16.963</v>
      </c>
      <c r="D65544" s="1" t="n">
        <v>1.865</v>
      </c>
    </row>
    <row r="65545" customFormat="false" ht="12" hidden="false" customHeight="true" outlineLevel="0" collapsed="false">
      <c r="B65545" s="1" t="n">
        <v>2001</v>
      </c>
      <c r="C65545" s="1" t="n">
        <v>17.772</v>
      </c>
      <c r="D65545" s="1" t="n">
        <v>4.769</v>
      </c>
    </row>
    <row r="65546" customFormat="false" ht="12" hidden="false" customHeight="true" outlineLevel="0" collapsed="false">
      <c r="B65546" s="1" t="n">
        <v>2002</v>
      </c>
      <c r="C65546" s="1" t="n">
        <v>18.747</v>
      </c>
      <c r="D65546" s="1" t="n">
        <v>5.487</v>
      </c>
    </row>
    <row r="65547" customFormat="false" ht="12" hidden="false" customHeight="true" outlineLevel="0" collapsed="false">
      <c r="B65547" s="1" t="n">
        <v>2003</v>
      </c>
      <c r="C65547" s="1" t="n">
        <v>20.852</v>
      </c>
      <c r="D65547" s="1" t="n">
        <v>11.228</v>
      </c>
    </row>
    <row r="65548" customFormat="false" ht="12" hidden="false" customHeight="true" outlineLevel="0" collapsed="false">
      <c r="B65548" s="1" t="n">
        <v>2004</v>
      </c>
      <c r="C65548" s="1" t="n">
        <v>22.061</v>
      </c>
      <c r="D65548" s="1" t="n">
        <v>5.796</v>
      </c>
    </row>
    <row r="65549" customFormat="false" ht="12" hidden="false" customHeight="true" outlineLevel="0" collapsed="false">
      <c r="B65549" s="1" t="n">
        <v>2005</v>
      </c>
      <c r="C65549" s="1" t="n">
        <v>24.176</v>
      </c>
      <c r="D65549" s="1" t="n">
        <v>9.588</v>
      </c>
    </row>
    <row r="65550" customFormat="false" ht="12" hidden="false" customHeight="true" outlineLevel="0" collapsed="false">
      <c r="B65550" s="1" t="n">
        <v>2006</v>
      </c>
      <c r="C65550" s="1" t="n">
        <v>26.454</v>
      </c>
      <c r="D65550" s="1" t="n">
        <v>9.42</v>
      </c>
    </row>
    <row r="65551" customFormat="false" ht="12" hidden="false" customHeight="true" outlineLevel="0" collapsed="false">
      <c r="B65551" s="1" t="n">
        <v>2007</v>
      </c>
      <c r="C65551" s="1" t="n">
        <v>29.781</v>
      </c>
      <c r="D65551" s="1" t="n">
        <v>12.579</v>
      </c>
    </row>
    <row r="65552" customFormat="false" ht="12" hidden="false" customHeight="true" outlineLevel="0" collapsed="false">
      <c r="B65552" s="1" t="n">
        <v>2008</v>
      </c>
      <c r="C65552" s="1" t="n">
        <v>30.502</v>
      </c>
      <c r="D65552" s="1" t="n">
        <v>2.419</v>
      </c>
    </row>
    <row r="65553" customFormat="false" ht="12" hidden="false" customHeight="true" outlineLevel="0" collapsed="false">
      <c r="B65553" s="1" t="n">
        <v>2009</v>
      </c>
      <c r="C65553" s="1" t="n">
        <v>29.388</v>
      </c>
      <c r="D65553" s="1" t="n">
        <v>-3.651</v>
      </c>
    </row>
    <row r="65554" customFormat="false" ht="12" hidden="false" customHeight="true" outlineLevel="0" collapsed="false">
      <c r="B65554" s="1" t="n">
        <v>2010</v>
      </c>
      <c r="C65554" s="1" t="n">
        <v>31.428</v>
      </c>
      <c r="D65554" s="1" t="n">
        <v>6.942</v>
      </c>
    </row>
    <row r="65555" customFormat="false" ht="12" hidden="false" customHeight="true" outlineLevel="0" collapsed="false">
      <c r="B65555" s="1" t="n">
        <v>2011</v>
      </c>
      <c r="C65555" s="1" t="n">
        <v>33.927</v>
      </c>
      <c r="D65555" s="1" t="n">
        <v>7.949</v>
      </c>
    </row>
    <row r="65556" customFormat="false" ht="12" hidden="false" customHeight="true" outlineLevel="0" collapsed="false">
      <c r="B65556" s="1" t="n">
        <v>2012</v>
      </c>
      <c r="C65556" s="1" t="n">
        <v>36.159</v>
      </c>
      <c r="D65556" s="1" t="n">
        <v>6.579</v>
      </c>
    </row>
    <row r="65557" customFormat="false" ht="12" hidden="false" customHeight="true" outlineLevel="0" collapsed="false">
      <c r="B65557" s="1" t="n">
        <v>2013</v>
      </c>
      <c r="C65557" s="1" t="n">
        <v>38.015</v>
      </c>
      <c r="D65557" s="1" t="n">
        <v>5.134</v>
      </c>
    </row>
    <row r="65558" customFormat="false" ht="12" hidden="false" customHeight="true" outlineLevel="0" collapsed="false">
      <c r="B65558" s="1" t="n">
        <v>2014</v>
      </c>
      <c r="C65558" s="1" t="n">
        <v>39.57</v>
      </c>
      <c r="D65558" s="1" t="n">
        <v>4.091</v>
      </c>
    </row>
    <row r="65559" customFormat="false" ht="12" hidden="false" customHeight="true" outlineLevel="0" collapsed="false">
      <c r="B65559" s="1" t="n">
        <v>2015</v>
      </c>
      <c r="C65559" s="1" t="n">
        <v>40.896</v>
      </c>
      <c r="D65559" s="1" t="n">
        <v>3.351</v>
      </c>
    </row>
    <row r="65560" customFormat="false" ht="12" hidden="false" customHeight="true" outlineLevel="0" collapsed="false">
      <c r="B65560" s="1" t="n">
        <v>2016</v>
      </c>
      <c r="C65560" s="1" t="n">
        <v>42.307</v>
      </c>
      <c r="D65560" s="1" t="n">
        <v>3.45</v>
      </c>
    </row>
    <row r="65561" customFormat="false" ht="12" hidden="false" customHeight="true" outlineLevel="0" collapsed="false">
      <c r="B65561" s="1" t="n">
        <v>2017</v>
      </c>
      <c r="C65561" s="1" t="n">
        <v>44.49</v>
      </c>
      <c r="D65561" s="1" t="n">
        <v>5.161</v>
      </c>
    </row>
    <row r="65562" customFormat="false" ht="12" hidden="false" customHeight="true" outlineLevel="0" collapsed="false">
      <c r="B65562" s="1" t="n">
        <v>2018</v>
      </c>
      <c r="C65562" s="1" t="n">
        <v>47.187</v>
      </c>
      <c r="D65562" s="1" t="n">
        <v>6.062</v>
      </c>
    </row>
    <row r="65563" customFormat="false" ht="12" hidden="false" customHeight="true" outlineLevel="0" collapsed="false">
      <c r="B65563" s="1" t="n">
        <v>2019</v>
      </c>
      <c r="C65563" s="1" t="n">
        <v>49.726</v>
      </c>
      <c r="D65563" s="1" t="n">
        <v>5.38</v>
      </c>
    </row>
    <row r="65564" customFormat="false" ht="12" hidden="false" customHeight="true" outlineLevel="0" collapsed="false">
      <c r="B65564" s="1" t="n">
        <v>2020</v>
      </c>
      <c r="C65564" s="1" t="n">
        <v>46.598</v>
      </c>
      <c r="D65564" s="1" t="n">
        <v>-6.291</v>
      </c>
    </row>
    <row r="65565" customFormat="false" ht="12" hidden="false" customHeight="true" outlineLevel="0" collapsed="false">
      <c r="B65565" s="1" t="n">
        <v>2021</v>
      </c>
      <c r="C65565" s="1" t="n">
        <v>51.558</v>
      </c>
      <c r="D65565" s="1" t="n">
        <v>10.644</v>
      </c>
    </row>
    <row r="65566" customFormat="false" ht="12" hidden="false" customHeight="true" outlineLevel="0" collapsed="false">
      <c r="B65566" s="1" t="n">
        <v>2022</v>
      </c>
      <c r="C65566" s="1" t="n">
        <v>57.208</v>
      </c>
      <c r="D65566" s="1" t="n">
        <v>10.96</v>
      </c>
    </row>
    <row r="65567" customFormat="false" ht="12" hidden="false" customHeight="true" outlineLevel="0" collapsed="false">
      <c r="B65567" s="1" t="n">
        <v>2023</v>
      </c>
      <c r="C65567" s="1" t="n">
        <v>61.689</v>
      </c>
      <c r="D65567" s="1" t="n">
        <v>7.832</v>
      </c>
    </row>
    <row r="65568" customFormat="false" ht="12" hidden="false" customHeight="true" outlineLevel="0" collapsed="false">
      <c r="B65568" s="1" t="n">
        <v>2024</v>
      </c>
      <c r="C65568" s="1" t="n">
        <v>67.505</v>
      </c>
      <c r="D65568" s="1" t="n">
        <v>9.429</v>
      </c>
    </row>
    <row r="65569" customFormat="false" ht="12" hidden="false" customHeight="true" outlineLevel="0" collapsed="false">
      <c r="B65569" s="1" t="n">
        <v>2025</v>
      </c>
      <c r="C65569" s="1" t="n">
        <v>71.54</v>
      </c>
      <c r="D65569" s="1" t="n">
        <v>5.977</v>
      </c>
    </row>
    <row r="65570" customFormat="false" ht="12" hidden="false" customHeight="true" outlineLevel="0" collapsed="false">
      <c r="B65570" s="1" t="n">
        <v>2026</v>
      </c>
      <c r="C65570" s="1" t="n">
        <v>75.117</v>
      </c>
      <c r="D65570" s="1" t="n">
        <v>5</v>
      </c>
    </row>
    <row r="65571" customFormat="false" ht="12" hidden="false" customHeight="true" outlineLevel="0" collapsed="false">
      <c r="B65571" s="1" t="n">
        <v>2027</v>
      </c>
      <c r="C65571" s="1" t="n">
        <v>78.873</v>
      </c>
      <c r="D65571" s="1" t="n">
        <v>5</v>
      </c>
    </row>
    <row r="65572" customFormat="false" ht="12" hidden="false" customHeight="true" outlineLevel="0" collapsed="false">
      <c r="B65572" s="1" t="s">
        <v>51</v>
      </c>
      <c r="C65572" s="1" t="n">
        <v>2024</v>
      </c>
      <c r="D65572" s="1" t="n">
        <v>2024</v>
      </c>
    </row>
    <row r="81921" customFormat="false" ht="12" hidden="false" customHeight="true" outlineLevel="0" collapsed="false">
      <c r="B81921" s="1" t="s">
        <v>35</v>
      </c>
      <c r="C81921" s="1" t="n">
        <v>915</v>
      </c>
      <c r="D81921" s="1" t="n">
        <v>915</v>
      </c>
    </row>
    <row r="81922" customFormat="false" ht="12" hidden="false" customHeight="true" outlineLevel="0" collapsed="false">
      <c r="B81922" s="1" t="s">
        <v>36</v>
      </c>
      <c r="C81922" s="1" t="s">
        <v>37</v>
      </c>
      <c r="D81922" s="1" t="s">
        <v>38</v>
      </c>
    </row>
    <row r="81923" customFormat="false" ht="12" hidden="false" customHeight="true" outlineLevel="0" collapsed="false">
      <c r="B81923" s="1" t="s">
        <v>39</v>
      </c>
      <c r="C81923" s="1" t="s">
        <v>40</v>
      </c>
      <c r="D81923" s="1" t="s">
        <v>40</v>
      </c>
    </row>
    <row r="81924" customFormat="false" ht="12" hidden="false" customHeight="true" outlineLevel="0" collapsed="false">
      <c r="B81924" s="1" t="s">
        <v>41</v>
      </c>
      <c r="C81924" s="1" t="s">
        <v>42</v>
      </c>
      <c r="D81924" s="1" t="s">
        <v>42</v>
      </c>
    </row>
    <row r="81925" customFormat="false" ht="12" hidden="false" customHeight="true" outlineLevel="0" collapsed="false">
      <c r="B81925" s="1" t="s">
        <v>43</v>
      </c>
      <c r="C81925" s="1" t="s">
        <v>44</v>
      </c>
      <c r="D81925" s="1" t="s">
        <v>45</v>
      </c>
    </row>
    <row r="81926" customFormat="false" ht="12" hidden="false" customHeight="true" outlineLevel="0" collapsed="false">
      <c r="B81926" s="1" t="s">
        <v>46</v>
      </c>
      <c r="C81926" s="1" t="s">
        <v>47</v>
      </c>
      <c r="D81926" s="1" t="s">
        <v>43</v>
      </c>
    </row>
    <row r="81927" customFormat="false" ht="12" hidden="false" customHeight="true" outlineLevel="0" collapsed="false">
      <c r="B81927" s="1" t="s">
        <v>48</v>
      </c>
      <c r="C81927" s="1" t="s">
        <v>49</v>
      </c>
      <c r="D81927" s="1" t="s">
        <v>50</v>
      </c>
    </row>
    <row r="81928" customFormat="false" ht="12" hidden="false" customHeight="true" outlineLevel="0" collapsed="false">
      <c r="B81928" s="1" t="n">
        <v>2000</v>
      </c>
      <c r="C81928" s="1" t="n">
        <v>16.963</v>
      </c>
      <c r="D81928" s="1" t="n">
        <v>1.865</v>
      </c>
    </row>
    <row r="81929" customFormat="false" ht="12" hidden="false" customHeight="true" outlineLevel="0" collapsed="false">
      <c r="B81929" s="1" t="n">
        <v>2001</v>
      </c>
      <c r="C81929" s="1" t="n">
        <v>17.772</v>
      </c>
      <c r="D81929" s="1" t="n">
        <v>4.769</v>
      </c>
    </row>
    <row r="81930" customFormat="false" ht="12" hidden="false" customHeight="true" outlineLevel="0" collapsed="false">
      <c r="B81930" s="1" t="n">
        <v>2002</v>
      </c>
      <c r="C81930" s="1" t="n">
        <v>18.747</v>
      </c>
      <c r="D81930" s="1" t="n">
        <v>5.487</v>
      </c>
    </row>
    <row r="81931" customFormat="false" ht="12" hidden="false" customHeight="true" outlineLevel="0" collapsed="false">
      <c r="B81931" s="1" t="n">
        <v>2003</v>
      </c>
      <c r="C81931" s="1" t="n">
        <v>20.852</v>
      </c>
      <c r="D81931" s="1" t="n">
        <v>11.228</v>
      </c>
    </row>
    <row r="81932" customFormat="false" ht="12" hidden="false" customHeight="true" outlineLevel="0" collapsed="false">
      <c r="B81932" s="1" t="n">
        <v>2004</v>
      </c>
      <c r="C81932" s="1" t="n">
        <v>22.061</v>
      </c>
      <c r="D81932" s="1" t="n">
        <v>5.796</v>
      </c>
    </row>
    <row r="81933" customFormat="false" ht="12" hidden="false" customHeight="true" outlineLevel="0" collapsed="false">
      <c r="B81933" s="1" t="n">
        <v>2005</v>
      </c>
      <c r="C81933" s="1" t="n">
        <v>24.176</v>
      </c>
      <c r="D81933" s="1" t="n">
        <v>9.588</v>
      </c>
    </row>
    <row r="81934" customFormat="false" ht="12" hidden="false" customHeight="true" outlineLevel="0" collapsed="false">
      <c r="B81934" s="1" t="n">
        <v>2006</v>
      </c>
      <c r="C81934" s="1" t="n">
        <v>26.454</v>
      </c>
      <c r="D81934" s="1" t="n">
        <v>9.42</v>
      </c>
    </row>
    <row r="81935" customFormat="false" ht="12" hidden="false" customHeight="true" outlineLevel="0" collapsed="false">
      <c r="B81935" s="1" t="n">
        <v>2007</v>
      </c>
      <c r="C81935" s="1" t="n">
        <v>29.781</v>
      </c>
      <c r="D81935" s="1" t="n">
        <v>12.579</v>
      </c>
    </row>
    <row r="81936" customFormat="false" ht="12" hidden="false" customHeight="true" outlineLevel="0" collapsed="false">
      <c r="B81936" s="1" t="n">
        <v>2008</v>
      </c>
      <c r="C81936" s="1" t="n">
        <v>30.502</v>
      </c>
      <c r="D81936" s="1" t="n">
        <v>2.419</v>
      </c>
    </row>
    <row r="81937" customFormat="false" ht="12" hidden="false" customHeight="true" outlineLevel="0" collapsed="false">
      <c r="B81937" s="1" t="n">
        <v>2009</v>
      </c>
      <c r="C81937" s="1" t="n">
        <v>29.388</v>
      </c>
      <c r="D81937" s="1" t="n">
        <v>-3.651</v>
      </c>
    </row>
    <row r="81938" customFormat="false" ht="12" hidden="false" customHeight="true" outlineLevel="0" collapsed="false">
      <c r="B81938" s="1" t="n">
        <v>2010</v>
      </c>
      <c r="C81938" s="1" t="n">
        <v>31.428</v>
      </c>
      <c r="D81938" s="1" t="n">
        <v>6.942</v>
      </c>
    </row>
    <row r="81939" customFormat="false" ht="12" hidden="false" customHeight="true" outlineLevel="0" collapsed="false">
      <c r="B81939" s="1" t="n">
        <v>2011</v>
      </c>
      <c r="C81939" s="1" t="n">
        <v>33.927</v>
      </c>
      <c r="D81939" s="1" t="n">
        <v>7.949</v>
      </c>
    </row>
    <row r="81940" customFormat="false" ht="12" hidden="false" customHeight="true" outlineLevel="0" collapsed="false">
      <c r="B81940" s="1" t="n">
        <v>2012</v>
      </c>
      <c r="C81940" s="1" t="n">
        <v>36.159</v>
      </c>
      <c r="D81940" s="1" t="n">
        <v>6.579</v>
      </c>
    </row>
    <row r="81941" customFormat="false" ht="12" hidden="false" customHeight="true" outlineLevel="0" collapsed="false">
      <c r="B81941" s="1" t="n">
        <v>2013</v>
      </c>
      <c r="C81941" s="1" t="n">
        <v>38.015</v>
      </c>
      <c r="D81941" s="1" t="n">
        <v>5.134</v>
      </c>
    </row>
    <row r="81942" customFormat="false" ht="12" hidden="false" customHeight="true" outlineLevel="0" collapsed="false">
      <c r="B81942" s="1" t="n">
        <v>2014</v>
      </c>
      <c r="C81942" s="1" t="n">
        <v>39.57</v>
      </c>
      <c r="D81942" s="1" t="n">
        <v>4.091</v>
      </c>
    </row>
    <row r="81943" customFormat="false" ht="12" hidden="false" customHeight="true" outlineLevel="0" collapsed="false">
      <c r="B81943" s="1" t="n">
        <v>2015</v>
      </c>
      <c r="C81943" s="1" t="n">
        <v>40.896</v>
      </c>
      <c r="D81943" s="1" t="n">
        <v>3.351</v>
      </c>
    </row>
    <row r="81944" customFormat="false" ht="12" hidden="false" customHeight="true" outlineLevel="0" collapsed="false">
      <c r="B81944" s="1" t="n">
        <v>2016</v>
      </c>
      <c r="C81944" s="1" t="n">
        <v>42.307</v>
      </c>
      <c r="D81944" s="1" t="n">
        <v>3.45</v>
      </c>
    </row>
    <row r="81945" customFormat="false" ht="12" hidden="false" customHeight="true" outlineLevel="0" collapsed="false">
      <c r="B81945" s="1" t="n">
        <v>2017</v>
      </c>
      <c r="C81945" s="1" t="n">
        <v>44.49</v>
      </c>
      <c r="D81945" s="1" t="n">
        <v>5.161</v>
      </c>
    </row>
    <row r="81946" customFormat="false" ht="12" hidden="false" customHeight="true" outlineLevel="0" collapsed="false">
      <c r="B81946" s="1" t="n">
        <v>2018</v>
      </c>
      <c r="C81946" s="1" t="n">
        <v>47.187</v>
      </c>
      <c r="D81946" s="1" t="n">
        <v>6.062</v>
      </c>
    </row>
    <row r="81947" customFormat="false" ht="12" hidden="false" customHeight="true" outlineLevel="0" collapsed="false">
      <c r="B81947" s="1" t="n">
        <v>2019</v>
      </c>
      <c r="C81947" s="1" t="n">
        <v>49.726</v>
      </c>
      <c r="D81947" s="1" t="n">
        <v>5.38</v>
      </c>
    </row>
    <row r="81948" customFormat="false" ht="12" hidden="false" customHeight="true" outlineLevel="0" collapsed="false">
      <c r="B81948" s="1" t="n">
        <v>2020</v>
      </c>
      <c r="C81948" s="1" t="n">
        <v>46.598</v>
      </c>
      <c r="D81948" s="1" t="n">
        <v>-6.291</v>
      </c>
    </row>
    <row r="81949" customFormat="false" ht="12" hidden="false" customHeight="true" outlineLevel="0" collapsed="false">
      <c r="B81949" s="1" t="n">
        <v>2021</v>
      </c>
      <c r="C81949" s="1" t="n">
        <v>51.558</v>
      </c>
      <c r="D81949" s="1" t="n">
        <v>10.644</v>
      </c>
    </row>
    <row r="81950" customFormat="false" ht="12" hidden="false" customHeight="true" outlineLevel="0" collapsed="false">
      <c r="B81950" s="1" t="n">
        <v>2022</v>
      </c>
      <c r="C81950" s="1" t="n">
        <v>57.208</v>
      </c>
      <c r="D81950" s="1" t="n">
        <v>10.96</v>
      </c>
    </row>
    <row r="81951" customFormat="false" ht="12" hidden="false" customHeight="true" outlineLevel="0" collapsed="false">
      <c r="B81951" s="1" t="n">
        <v>2023</v>
      </c>
      <c r="C81951" s="1" t="n">
        <v>61.689</v>
      </c>
      <c r="D81951" s="1" t="n">
        <v>7.832</v>
      </c>
    </row>
    <row r="81952" customFormat="false" ht="12" hidden="false" customHeight="true" outlineLevel="0" collapsed="false">
      <c r="B81952" s="1" t="n">
        <v>2024</v>
      </c>
      <c r="C81952" s="1" t="n">
        <v>67.505</v>
      </c>
      <c r="D81952" s="1" t="n">
        <v>9.429</v>
      </c>
    </row>
    <row r="81953" customFormat="false" ht="12" hidden="false" customHeight="true" outlineLevel="0" collapsed="false">
      <c r="B81953" s="1" t="n">
        <v>2025</v>
      </c>
      <c r="C81953" s="1" t="n">
        <v>71.54</v>
      </c>
      <c r="D81953" s="1" t="n">
        <v>5.977</v>
      </c>
    </row>
    <row r="81954" customFormat="false" ht="12" hidden="false" customHeight="true" outlineLevel="0" collapsed="false">
      <c r="B81954" s="1" t="n">
        <v>2026</v>
      </c>
      <c r="C81954" s="1" t="n">
        <v>75.117</v>
      </c>
      <c r="D81954" s="1" t="n">
        <v>5</v>
      </c>
    </row>
    <row r="81955" customFormat="false" ht="12" hidden="false" customHeight="true" outlineLevel="0" collapsed="false">
      <c r="B81955" s="1" t="n">
        <v>2027</v>
      </c>
      <c r="C81955" s="1" t="n">
        <v>78.873</v>
      </c>
      <c r="D81955" s="1" t="n">
        <v>5</v>
      </c>
    </row>
    <row r="81956" customFormat="false" ht="12" hidden="false" customHeight="true" outlineLevel="0" collapsed="false">
      <c r="B81956" s="1" t="s">
        <v>51</v>
      </c>
      <c r="C81956" s="1" t="n">
        <v>2024</v>
      </c>
      <c r="D81956" s="1" t="n">
        <v>2024</v>
      </c>
    </row>
    <row r="98305" customFormat="false" ht="12" hidden="false" customHeight="true" outlineLevel="0" collapsed="false">
      <c r="B98305" s="1" t="s">
        <v>35</v>
      </c>
      <c r="C98305" s="1" t="n">
        <v>915</v>
      </c>
      <c r="D98305" s="1" t="n">
        <v>915</v>
      </c>
    </row>
    <row r="98306" customFormat="false" ht="12" hidden="false" customHeight="true" outlineLevel="0" collapsed="false">
      <c r="B98306" s="1" t="s">
        <v>36</v>
      </c>
      <c r="C98306" s="1" t="s">
        <v>37</v>
      </c>
      <c r="D98306" s="1" t="s">
        <v>38</v>
      </c>
    </row>
    <row r="98307" customFormat="false" ht="12" hidden="false" customHeight="true" outlineLevel="0" collapsed="false">
      <c r="B98307" s="1" t="s">
        <v>39</v>
      </c>
      <c r="C98307" s="1" t="s">
        <v>40</v>
      </c>
      <c r="D98307" s="1" t="s">
        <v>40</v>
      </c>
    </row>
    <row r="98308" customFormat="false" ht="12" hidden="false" customHeight="true" outlineLevel="0" collapsed="false">
      <c r="B98308" s="1" t="s">
        <v>41</v>
      </c>
      <c r="C98308" s="1" t="s">
        <v>42</v>
      </c>
      <c r="D98308" s="1" t="s">
        <v>42</v>
      </c>
    </row>
    <row r="98309" customFormat="false" ht="12" hidden="false" customHeight="true" outlineLevel="0" collapsed="false">
      <c r="B98309" s="1" t="s">
        <v>43</v>
      </c>
      <c r="C98309" s="1" t="s">
        <v>44</v>
      </c>
      <c r="D98309" s="1" t="s">
        <v>45</v>
      </c>
    </row>
    <row r="98310" customFormat="false" ht="12" hidden="false" customHeight="true" outlineLevel="0" collapsed="false">
      <c r="B98310" s="1" t="s">
        <v>46</v>
      </c>
      <c r="C98310" s="1" t="s">
        <v>47</v>
      </c>
      <c r="D98310" s="1" t="s">
        <v>43</v>
      </c>
    </row>
    <row r="98311" customFormat="false" ht="12" hidden="false" customHeight="true" outlineLevel="0" collapsed="false">
      <c r="B98311" s="1" t="s">
        <v>48</v>
      </c>
      <c r="C98311" s="1" t="s">
        <v>49</v>
      </c>
      <c r="D98311" s="1" t="s">
        <v>50</v>
      </c>
    </row>
    <row r="98312" customFormat="false" ht="12" hidden="false" customHeight="true" outlineLevel="0" collapsed="false">
      <c r="B98312" s="1" t="n">
        <v>2000</v>
      </c>
      <c r="C98312" s="1" t="n">
        <v>16.963</v>
      </c>
      <c r="D98312" s="1" t="n">
        <v>1.865</v>
      </c>
    </row>
    <row r="98313" customFormat="false" ht="12" hidden="false" customHeight="true" outlineLevel="0" collapsed="false">
      <c r="B98313" s="1" t="n">
        <v>2001</v>
      </c>
      <c r="C98313" s="1" t="n">
        <v>17.772</v>
      </c>
      <c r="D98313" s="1" t="n">
        <v>4.769</v>
      </c>
    </row>
    <row r="98314" customFormat="false" ht="12" hidden="false" customHeight="true" outlineLevel="0" collapsed="false">
      <c r="B98314" s="1" t="n">
        <v>2002</v>
      </c>
      <c r="C98314" s="1" t="n">
        <v>18.747</v>
      </c>
      <c r="D98314" s="1" t="n">
        <v>5.487</v>
      </c>
    </row>
    <row r="98315" customFormat="false" ht="12" hidden="false" customHeight="true" outlineLevel="0" collapsed="false">
      <c r="B98315" s="1" t="n">
        <v>2003</v>
      </c>
      <c r="C98315" s="1" t="n">
        <v>20.852</v>
      </c>
      <c r="D98315" s="1" t="n">
        <v>11.228</v>
      </c>
    </row>
    <row r="98316" customFormat="false" ht="12" hidden="false" customHeight="true" outlineLevel="0" collapsed="false">
      <c r="B98316" s="1" t="n">
        <v>2004</v>
      </c>
      <c r="C98316" s="1" t="n">
        <v>22.061</v>
      </c>
      <c r="D98316" s="1" t="n">
        <v>5.796</v>
      </c>
    </row>
    <row r="98317" customFormat="false" ht="12" hidden="false" customHeight="true" outlineLevel="0" collapsed="false">
      <c r="B98317" s="1" t="n">
        <v>2005</v>
      </c>
      <c r="C98317" s="1" t="n">
        <v>24.176</v>
      </c>
      <c r="D98317" s="1" t="n">
        <v>9.588</v>
      </c>
    </row>
    <row r="98318" customFormat="false" ht="12" hidden="false" customHeight="true" outlineLevel="0" collapsed="false">
      <c r="B98318" s="1" t="n">
        <v>2006</v>
      </c>
      <c r="C98318" s="1" t="n">
        <v>26.454</v>
      </c>
      <c r="D98318" s="1" t="n">
        <v>9.42</v>
      </c>
    </row>
    <row r="98319" customFormat="false" ht="12" hidden="false" customHeight="true" outlineLevel="0" collapsed="false">
      <c r="B98319" s="1" t="n">
        <v>2007</v>
      </c>
      <c r="C98319" s="1" t="n">
        <v>29.781</v>
      </c>
      <c r="D98319" s="1" t="n">
        <v>12.579</v>
      </c>
    </row>
    <row r="98320" customFormat="false" ht="12" hidden="false" customHeight="true" outlineLevel="0" collapsed="false">
      <c r="B98320" s="1" t="n">
        <v>2008</v>
      </c>
      <c r="C98320" s="1" t="n">
        <v>30.502</v>
      </c>
      <c r="D98320" s="1" t="n">
        <v>2.419</v>
      </c>
    </row>
    <row r="98321" customFormat="false" ht="12" hidden="false" customHeight="true" outlineLevel="0" collapsed="false">
      <c r="B98321" s="1" t="n">
        <v>2009</v>
      </c>
      <c r="C98321" s="1" t="n">
        <v>29.388</v>
      </c>
      <c r="D98321" s="1" t="n">
        <v>-3.651</v>
      </c>
    </row>
    <row r="98322" customFormat="false" ht="12" hidden="false" customHeight="true" outlineLevel="0" collapsed="false">
      <c r="B98322" s="1" t="n">
        <v>2010</v>
      </c>
      <c r="C98322" s="1" t="n">
        <v>31.428</v>
      </c>
      <c r="D98322" s="1" t="n">
        <v>6.942</v>
      </c>
    </row>
    <row r="98323" customFormat="false" ht="12" hidden="false" customHeight="true" outlineLevel="0" collapsed="false">
      <c r="B98323" s="1" t="n">
        <v>2011</v>
      </c>
      <c r="C98323" s="1" t="n">
        <v>33.927</v>
      </c>
      <c r="D98323" s="1" t="n">
        <v>7.949</v>
      </c>
    </row>
    <row r="98324" customFormat="false" ht="12" hidden="false" customHeight="true" outlineLevel="0" collapsed="false">
      <c r="B98324" s="1" t="n">
        <v>2012</v>
      </c>
      <c r="C98324" s="1" t="n">
        <v>36.159</v>
      </c>
      <c r="D98324" s="1" t="n">
        <v>6.579</v>
      </c>
    </row>
    <row r="98325" customFormat="false" ht="12" hidden="false" customHeight="true" outlineLevel="0" collapsed="false">
      <c r="B98325" s="1" t="n">
        <v>2013</v>
      </c>
      <c r="C98325" s="1" t="n">
        <v>38.015</v>
      </c>
      <c r="D98325" s="1" t="n">
        <v>5.134</v>
      </c>
    </row>
    <row r="98326" customFormat="false" ht="12" hidden="false" customHeight="true" outlineLevel="0" collapsed="false">
      <c r="B98326" s="1" t="n">
        <v>2014</v>
      </c>
      <c r="C98326" s="1" t="n">
        <v>39.57</v>
      </c>
      <c r="D98326" s="1" t="n">
        <v>4.091</v>
      </c>
    </row>
    <row r="98327" customFormat="false" ht="12" hidden="false" customHeight="true" outlineLevel="0" collapsed="false">
      <c r="B98327" s="1" t="n">
        <v>2015</v>
      </c>
      <c r="C98327" s="1" t="n">
        <v>40.896</v>
      </c>
      <c r="D98327" s="1" t="n">
        <v>3.351</v>
      </c>
    </row>
    <row r="98328" customFormat="false" ht="12" hidden="false" customHeight="true" outlineLevel="0" collapsed="false">
      <c r="B98328" s="1" t="n">
        <v>2016</v>
      </c>
      <c r="C98328" s="1" t="n">
        <v>42.307</v>
      </c>
      <c r="D98328" s="1" t="n">
        <v>3.45</v>
      </c>
    </row>
    <row r="98329" customFormat="false" ht="12" hidden="false" customHeight="true" outlineLevel="0" collapsed="false">
      <c r="B98329" s="1" t="n">
        <v>2017</v>
      </c>
      <c r="C98329" s="1" t="n">
        <v>44.49</v>
      </c>
      <c r="D98329" s="1" t="n">
        <v>5.161</v>
      </c>
    </row>
    <row r="98330" customFormat="false" ht="12" hidden="false" customHeight="true" outlineLevel="0" collapsed="false">
      <c r="B98330" s="1" t="n">
        <v>2018</v>
      </c>
      <c r="C98330" s="1" t="n">
        <v>47.187</v>
      </c>
      <c r="D98330" s="1" t="n">
        <v>6.062</v>
      </c>
    </row>
    <row r="98331" customFormat="false" ht="12" hidden="false" customHeight="true" outlineLevel="0" collapsed="false">
      <c r="B98331" s="1" t="n">
        <v>2019</v>
      </c>
      <c r="C98331" s="1" t="n">
        <v>49.726</v>
      </c>
      <c r="D98331" s="1" t="n">
        <v>5.38</v>
      </c>
    </row>
    <row r="98332" customFormat="false" ht="12" hidden="false" customHeight="true" outlineLevel="0" collapsed="false">
      <c r="B98332" s="1" t="n">
        <v>2020</v>
      </c>
      <c r="C98332" s="1" t="n">
        <v>46.598</v>
      </c>
      <c r="D98332" s="1" t="n">
        <v>-6.291</v>
      </c>
    </row>
    <row r="98333" customFormat="false" ht="12" hidden="false" customHeight="true" outlineLevel="0" collapsed="false">
      <c r="B98333" s="1" t="n">
        <v>2021</v>
      </c>
      <c r="C98333" s="1" t="n">
        <v>51.558</v>
      </c>
      <c r="D98333" s="1" t="n">
        <v>10.644</v>
      </c>
    </row>
    <row r="98334" customFormat="false" ht="12" hidden="false" customHeight="true" outlineLevel="0" collapsed="false">
      <c r="B98334" s="1" t="n">
        <v>2022</v>
      </c>
      <c r="C98334" s="1" t="n">
        <v>57.208</v>
      </c>
      <c r="D98334" s="1" t="n">
        <v>10.96</v>
      </c>
    </row>
    <row r="98335" customFormat="false" ht="12" hidden="false" customHeight="true" outlineLevel="0" collapsed="false">
      <c r="B98335" s="1" t="n">
        <v>2023</v>
      </c>
      <c r="C98335" s="1" t="n">
        <v>61.689</v>
      </c>
      <c r="D98335" s="1" t="n">
        <v>7.832</v>
      </c>
    </row>
    <row r="98336" customFormat="false" ht="12" hidden="false" customHeight="true" outlineLevel="0" collapsed="false">
      <c r="B98336" s="1" t="n">
        <v>2024</v>
      </c>
      <c r="C98336" s="1" t="n">
        <v>67.505</v>
      </c>
      <c r="D98336" s="1" t="n">
        <v>9.429</v>
      </c>
    </row>
    <row r="98337" customFormat="false" ht="12" hidden="false" customHeight="true" outlineLevel="0" collapsed="false">
      <c r="B98337" s="1" t="n">
        <v>2025</v>
      </c>
      <c r="C98337" s="1" t="n">
        <v>71.54</v>
      </c>
      <c r="D98337" s="1" t="n">
        <v>5.977</v>
      </c>
    </row>
    <row r="98338" customFormat="false" ht="12" hidden="false" customHeight="true" outlineLevel="0" collapsed="false">
      <c r="B98338" s="1" t="n">
        <v>2026</v>
      </c>
      <c r="C98338" s="1" t="n">
        <v>75.117</v>
      </c>
      <c r="D98338" s="1" t="n">
        <v>5</v>
      </c>
    </row>
    <row r="98339" customFormat="false" ht="12" hidden="false" customHeight="true" outlineLevel="0" collapsed="false">
      <c r="B98339" s="1" t="n">
        <v>2027</v>
      </c>
      <c r="C98339" s="1" t="n">
        <v>78.873</v>
      </c>
      <c r="D98339" s="1" t="n">
        <v>5</v>
      </c>
    </row>
    <row r="98340" customFormat="false" ht="12" hidden="false" customHeight="true" outlineLevel="0" collapsed="false">
      <c r="B98340" s="1" t="s">
        <v>51</v>
      </c>
      <c r="C98340" s="1" t="n">
        <v>2024</v>
      </c>
      <c r="D98340" s="1" t="n">
        <v>2024</v>
      </c>
    </row>
    <row r="114689" customFormat="false" ht="12" hidden="false" customHeight="true" outlineLevel="0" collapsed="false">
      <c r="B114689" s="1" t="s">
        <v>35</v>
      </c>
      <c r="C114689" s="1" t="n">
        <v>915</v>
      </c>
      <c r="D114689" s="1" t="n">
        <v>915</v>
      </c>
    </row>
    <row r="114690" customFormat="false" ht="12" hidden="false" customHeight="true" outlineLevel="0" collapsed="false">
      <c r="B114690" s="1" t="s">
        <v>36</v>
      </c>
      <c r="C114690" s="1" t="s">
        <v>37</v>
      </c>
      <c r="D114690" s="1" t="s">
        <v>38</v>
      </c>
    </row>
    <row r="114691" customFormat="false" ht="12" hidden="false" customHeight="true" outlineLevel="0" collapsed="false">
      <c r="B114691" s="1" t="s">
        <v>39</v>
      </c>
      <c r="C114691" s="1" t="s">
        <v>40</v>
      </c>
      <c r="D114691" s="1" t="s">
        <v>40</v>
      </c>
    </row>
    <row r="114692" customFormat="false" ht="12" hidden="false" customHeight="true" outlineLevel="0" collapsed="false">
      <c r="B114692" s="1" t="s">
        <v>41</v>
      </c>
      <c r="C114692" s="1" t="s">
        <v>42</v>
      </c>
      <c r="D114692" s="1" t="s">
        <v>42</v>
      </c>
    </row>
    <row r="114693" customFormat="false" ht="12" hidden="false" customHeight="true" outlineLevel="0" collapsed="false">
      <c r="B114693" s="1" t="s">
        <v>43</v>
      </c>
      <c r="C114693" s="1" t="s">
        <v>44</v>
      </c>
      <c r="D114693" s="1" t="s">
        <v>45</v>
      </c>
    </row>
    <row r="114694" customFormat="false" ht="12" hidden="false" customHeight="true" outlineLevel="0" collapsed="false">
      <c r="B114694" s="1" t="s">
        <v>46</v>
      </c>
      <c r="C114694" s="1" t="s">
        <v>47</v>
      </c>
      <c r="D114694" s="1" t="s">
        <v>43</v>
      </c>
    </row>
    <row r="114695" customFormat="false" ht="12" hidden="false" customHeight="true" outlineLevel="0" collapsed="false">
      <c r="B114695" s="1" t="s">
        <v>48</v>
      </c>
      <c r="C114695" s="1" t="s">
        <v>49</v>
      </c>
      <c r="D114695" s="1" t="s">
        <v>50</v>
      </c>
    </row>
    <row r="114696" customFormat="false" ht="12" hidden="false" customHeight="true" outlineLevel="0" collapsed="false">
      <c r="B114696" s="1" t="n">
        <v>2000</v>
      </c>
      <c r="C114696" s="1" t="n">
        <v>16.963</v>
      </c>
      <c r="D114696" s="1" t="n">
        <v>1.865</v>
      </c>
    </row>
    <row r="114697" customFormat="false" ht="12" hidden="false" customHeight="true" outlineLevel="0" collapsed="false">
      <c r="B114697" s="1" t="n">
        <v>2001</v>
      </c>
      <c r="C114697" s="1" t="n">
        <v>17.772</v>
      </c>
      <c r="D114697" s="1" t="n">
        <v>4.769</v>
      </c>
    </row>
    <row r="114698" customFormat="false" ht="12" hidden="false" customHeight="true" outlineLevel="0" collapsed="false">
      <c r="B114698" s="1" t="n">
        <v>2002</v>
      </c>
      <c r="C114698" s="1" t="n">
        <v>18.747</v>
      </c>
      <c r="D114698" s="1" t="n">
        <v>5.487</v>
      </c>
    </row>
    <row r="114699" customFormat="false" ht="12" hidden="false" customHeight="true" outlineLevel="0" collapsed="false">
      <c r="B114699" s="1" t="n">
        <v>2003</v>
      </c>
      <c r="C114699" s="1" t="n">
        <v>20.852</v>
      </c>
      <c r="D114699" s="1" t="n">
        <v>11.228</v>
      </c>
    </row>
    <row r="114700" customFormat="false" ht="12" hidden="false" customHeight="true" outlineLevel="0" collapsed="false">
      <c r="B114700" s="1" t="n">
        <v>2004</v>
      </c>
      <c r="C114700" s="1" t="n">
        <v>22.061</v>
      </c>
      <c r="D114700" s="1" t="n">
        <v>5.796</v>
      </c>
    </row>
    <row r="114701" customFormat="false" ht="12" hidden="false" customHeight="true" outlineLevel="0" collapsed="false">
      <c r="B114701" s="1" t="n">
        <v>2005</v>
      </c>
      <c r="C114701" s="1" t="n">
        <v>24.176</v>
      </c>
      <c r="D114701" s="1" t="n">
        <v>9.588</v>
      </c>
    </row>
    <row r="114702" customFormat="false" ht="12" hidden="false" customHeight="true" outlineLevel="0" collapsed="false">
      <c r="B114702" s="1" t="n">
        <v>2006</v>
      </c>
      <c r="C114702" s="1" t="n">
        <v>26.454</v>
      </c>
      <c r="D114702" s="1" t="n">
        <v>9.42</v>
      </c>
    </row>
    <row r="114703" customFormat="false" ht="12" hidden="false" customHeight="true" outlineLevel="0" collapsed="false">
      <c r="B114703" s="1" t="n">
        <v>2007</v>
      </c>
      <c r="C114703" s="1" t="n">
        <v>29.781</v>
      </c>
      <c r="D114703" s="1" t="n">
        <v>12.579</v>
      </c>
    </row>
    <row r="114704" customFormat="false" ht="12" hidden="false" customHeight="true" outlineLevel="0" collapsed="false">
      <c r="B114704" s="1" t="n">
        <v>2008</v>
      </c>
      <c r="C114704" s="1" t="n">
        <v>30.502</v>
      </c>
      <c r="D114704" s="1" t="n">
        <v>2.419</v>
      </c>
    </row>
    <row r="114705" customFormat="false" ht="12" hidden="false" customHeight="true" outlineLevel="0" collapsed="false">
      <c r="B114705" s="1" t="n">
        <v>2009</v>
      </c>
      <c r="C114705" s="1" t="n">
        <v>29.388</v>
      </c>
      <c r="D114705" s="1" t="n">
        <v>-3.651</v>
      </c>
    </row>
    <row r="114706" customFormat="false" ht="12" hidden="false" customHeight="true" outlineLevel="0" collapsed="false">
      <c r="B114706" s="1" t="n">
        <v>2010</v>
      </c>
      <c r="C114706" s="1" t="n">
        <v>31.428</v>
      </c>
      <c r="D114706" s="1" t="n">
        <v>6.942</v>
      </c>
    </row>
    <row r="114707" customFormat="false" ht="12" hidden="false" customHeight="true" outlineLevel="0" collapsed="false">
      <c r="B114707" s="1" t="n">
        <v>2011</v>
      </c>
      <c r="C114707" s="1" t="n">
        <v>33.927</v>
      </c>
      <c r="D114707" s="1" t="n">
        <v>7.949</v>
      </c>
    </row>
    <row r="114708" customFormat="false" ht="12" hidden="false" customHeight="true" outlineLevel="0" collapsed="false">
      <c r="B114708" s="1" t="n">
        <v>2012</v>
      </c>
      <c r="C114708" s="1" t="n">
        <v>36.159</v>
      </c>
      <c r="D114708" s="1" t="n">
        <v>6.579</v>
      </c>
    </row>
    <row r="114709" customFormat="false" ht="12" hidden="false" customHeight="true" outlineLevel="0" collapsed="false">
      <c r="B114709" s="1" t="n">
        <v>2013</v>
      </c>
      <c r="C114709" s="1" t="n">
        <v>38.015</v>
      </c>
      <c r="D114709" s="1" t="n">
        <v>5.134</v>
      </c>
    </row>
    <row r="114710" customFormat="false" ht="12" hidden="false" customHeight="true" outlineLevel="0" collapsed="false">
      <c r="B114710" s="1" t="n">
        <v>2014</v>
      </c>
      <c r="C114710" s="1" t="n">
        <v>39.57</v>
      </c>
      <c r="D114710" s="1" t="n">
        <v>4.091</v>
      </c>
    </row>
    <row r="114711" customFormat="false" ht="12" hidden="false" customHeight="true" outlineLevel="0" collapsed="false">
      <c r="B114711" s="1" t="n">
        <v>2015</v>
      </c>
      <c r="C114711" s="1" t="n">
        <v>40.896</v>
      </c>
      <c r="D114711" s="1" t="n">
        <v>3.351</v>
      </c>
    </row>
    <row r="114712" customFormat="false" ht="12" hidden="false" customHeight="true" outlineLevel="0" collapsed="false">
      <c r="B114712" s="1" t="n">
        <v>2016</v>
      </c>
      <c r="C114712" s="1" t="n">
        <v>42.307</v>
      </c>
      <c r="D114712" s="1" t="n">
        <v>3.45</v>
      </c>
    </row>
    <row r="114713" customFormat="false" ht="12" hidden="false" customHeight="true" outlineLevel="0" collapsed="false">
      <c r="B114713" s="1" t="n">
        <v>2017</v>
      </c>
      <c r="C114713" s="1" t="n">
        <v>44.49</v>
      </c>
      <c r="D114713" s="1" t="n">
        <v>5.161</v>
      </c>
    </row>
    <row r="114714" customFormat="false" ht="12" hidden="false" customHeight="true" outlineLevel="0" collapsed="false">
      <c r="B114714" s="1" t="n">
        <v>2018</v>
      </c>
      <c r="C114714" s="1" t="n">
        <v>47.187</v>
      </c>
      <c r="D114714" s="1" t="n">
        <v>6.062</v>
      </c>
    </row>
    <row r="114715" customFormat="false" ht="12" hidden="false" customHeight="true" outlineLevel="0" collapsed="false">
      <c r="B114715" s="1" t="n">
        <v>2019</v>
      </c>
      <c r="C114715" s="1" t="n">
        <v>49.726</v>
      </c>
      <c r="D114715" s="1" t="n">
        <v>5.38</v>
      </c>
    </row>
    <row r="114716" customFormat="false" ht="12" hidden="false" customHeight="true" outlineLevel="0" collapsed="false">
      <c r="B114716" s="1" t="n">
        <v>2020</v>
      </c>
      <c r="C114716" s="1" t="n">
        <v>46.598</v>
      </c>
      <c r="D114716" s="1" t="n">
        <v>-6.291</v>
      </c>
    </row>
    <row r="114717" customFormat="false" ht="12" hidden="false" customHeight="true" outlineLevel="0" collapsed="false">
      <c r="B114717" s="1" t="n">
        <v>2021</v>
      </c>
      <c r="C114717" s="1" t="n">
        <v>51.558</v>
      </c>
      <c r="D114717" s="1" t="n">
        <v>10.644</v>
      </c>
    </row>
    <row r="114718" customFormat="false" ht="12" hidden="false" customHeight="true" outlineLevel="0" collapsed="false">
      <c r="B114718" s="1" t="n">
        <v>2022</v>
      </c>
      <c r="C114718" s="1" t="n">
        <v>57.208</v>
      </c>
      <c r="D114718" s="1" t="n">
        <v>10.96</v>
      </c>
    </row>
    <row r="114719" customFormat="false" ht="12" hidden="false" customHeight="true" outlineLevel="0" collapsed="false">
      <c r="B114719" s="1" t="n">
        <v>2023</v>
      </c>
      <c r="C114719" s="1" t="n">
        <v>61.689</v>
      </c>
      <c r="D114719" s="1" t="n">
        <v>7.832</v>
      </c>
    </row>
    <row r="114720" customFormat="false" ht="12" hidden="false" customHeight="true" outlineLevel="0" collapsed="false">
      <c r="B114720" s="1" t="n">
        <v>2024</v>
      </c>
      <c r="C114720" s="1" t="n">
        <v>67.505</v>
      </c>
      <c r="D114720" s="1" t="n">
        <v>9.429</v>
      </c>
    </row>
    <row r="114721" customFormat="false" ht="12" hidden="false" customHeight="true" outlineLevel="0" collapsed="false">
      <c r="B114721" s="1" t="n">
        <v>2025</v>
      </c>
      <c r="C114721" s="1" t="n">
        <v>71.54</v>
      </c>
      <c r="D114721" s="1" t="n">
        <v>5.977</v>
      </c>
    </row>
    <row r="114722" customFormat="false" ht="12" hidden="false" customHeight="true" outlineLevel="0" collapsed="false">
      <c r="B114722" s="1" t="n">
        <v>2026</v>
      </c>
      <c r="C114722" s="1" t="n">
        <v>75.117</v>
      </c>
      <c r="D114722" s="1" t="n">
        <v>5</v>
      </c>
    </row>
    <row r="114723" customFormat="false" ht="12" hidden="false" customHeight="true" outlineLevel="0" collapsed="false">
      <c r="B114723" s="1" t="n">
        <v>2027</v>
      </c>
      <c r="C114723" s="1" t="n">
        <v>78.873</v>
      </c>
      <c r="D114723" s="1" t="n">
        <v>5</v>
      </c>
    </row>
    <row r="114724" customFormat="false" ht="12" hidden="false" customHeight="true" outlineLevel="0" collapsed="false">
      <c r="B114724" s="1" t="s">
        <v>51</v>
      </c>
      <c r="C114724" s="1" t="n">
        <v>2024</v>
      </c>
      <c r="D114724" s="1" t="n">
        <v>2024</v>
      </c>
    </row>
    <row r="131073" customFormat="false" ht="12" hidden="false" customHeight="true" outlineLevel="0" collapsed="false">
      <c r="B131073" s="1" t="s">
        <v>35</v>
      </c>
      <c r="C131073" s="1" t="n">
        <v>915</v>
      </c>
      <c r="D131073" s="1" t="n">
        <v>915</v>
      </c>
    </row>
    <row r="131074" customFormat="false" ht="12" hidden="false" customHeight="true" outlineLevel="0" collapsed="false">
      <c r="B131074" s="1" t="s">
        <v>36</v>
      </c>
      <c r="C131074" s="1" t="s">
        <v>37</v>
      </c>
      <c r="D131074" s="1" t="s">
        <v>38</v>
      </c>
    </row>
    <row r="131075" customFormat="false" ht="12" hidden="false" customHeight="true" outlineLevel="0" collapsed="false">
      <c r="B131075" s="1" t="s">
        <v>39</v>
      </c>
      <c r="C131075" s="1" t="s">
        <v>40</v>
      </c>
      <c r="D131075" s="1" t="s">
        <v>40</v>
      </c>
    </row>
    <row r="131076" customFormat="false" ht="12" hidden="false" customHeight="true" outlineLevel="0" collapsed="false">
      <c r="B131076" s="1" t="s">
        <v>41</v>
      </c>
      <c r="C131076" s="1" t="s">
        <v>42</v>
      </c>
      <c r="D131076" s="1" t="s">
        <v>42</v>
      </c>
    </row>
    <row r="131077" customFormat="false" ht="12" hidden="false" customHeight="true" outlineLevel="0" collapsed="false">
      <c r="B131077" s="1" t="s">
        <v>43</v>
      </c>
      <c r="C131077" s="1" t="s">
        <v>44</v>
      </c>
      <c r="D131077" s="1" t="s">
        <v>45</v>
      </c>
    </row>
    <row r="131078" customFormat="false" ht="12" hidden="false" customHeight="true" outlineLevel="0" collapsed="false">
      <c r="B131078" s="1" t="s">
        <v>46</v>
      </c>
      <c r="C131078" s="1" t="s">
        <v>47</v>
      </c>
      <c r="D131078" s="1" t="s">
        <v>43</v>
      </c>
    </row>
    <row r="131079" customFormat="false" ht="12" hidden="false" customHeight="true" outlineLevel="0" collapsed="false">
      <c r="B131079" s="1" t="s">
        <v>48</v>
      </c>
      <c r="C131079" s="1" t="s">
        <v>49</v>
      </c>
      <c r="D131079" s="1" t="s">
        <v>50</v>
      </c>
    </row>
    <row r="131080" customFormat="false" ht="12" hidden="false" customHeight="true" outlineLevel="0" collapsed="false">
      <c r="B131080" s="1" t="n">
        <v>2000</v>
      </c>
      <c r="C131080" s="1" t="n">
        <v>16.963</v>
      </c>
      <c r="D131080" s="1" t="n">
        <v>1.865</v>
      </c>
    </row>
    <row r="131081" customFormat="false" ht="12" hidden="false" customHeight="true" outlineLevel="0" collapsed="false">
      <c r="B131081" s="1" t="n">
        <v>2001</v>
      </c>
      <c r="C131081" s="1" t="n">
        <v>17.772</v>
      </c>
      <c r="D131081" s="1" t="n">
        <v>4.769</v>
      </c>
    </row>
    <row r="131082" customFormat="false" ht="12" hidden="false" customHeight="true" outlineLevel="0" collapsed="false">
      <c r="B131082" s="1" t="n">
        <v>2002</v>
      </c>
      <c r="C131082" s="1" t="n">
        <v>18.747</v>
      </c>
      <c r="D131082" s="1" t="n">
        <v>5.487</v>
      </c>
    </row>
    <row r="131083" customFormat="false" ht="12" hidden="false" customHeight="true" outlineLevel="0" collapsed="false">
      <c r="B131083" s="1" t="n">
        <v>2003</v>
      </c>
      <c r="C131083" s="1" t="n">
        <v>20.852</v>
      </c>
      <c r="D131083" s="1" t="n">
        <v>11.228</v>
      </c>
    </row>
    <row r="131084" customFormat="false" ht="12" hidden="false" customHeight="true" outlineLevel="0" collapsed="false">
      <c r="B131084" s="1" t="n">
        <v>2004</v>
      </c>
      <c r="C131084" s="1" t="n">
        <v>22.061</v>
      </c>
      <c r="D131084" s="1" t="n">
        <v>5.796</v>
      </c>
    </row>
    <row r="131085" customFormat="false" ht="12" hidden="false" customHeight="true" outlineLevel="0" collapsed="false">
      <c r="B131085" s="1" t="n">
        <v>2005</v>
      </c>
      <c r="C131085" s="1" t="n">
        <v>24.176</v>
      </c>
      <c r="D131085" s="1" t="n">
        <v>9.588</v>
      </c>
    </row>
    <row r="131086" customFormat="false" ht="12" hidden="false" customHeight="true" outlineLevel="0" collapsed="false">
      <c r="B131086" s="1" t="n">
        <v>2006</v>
      </c>
      <c r="C131086" s="1" t="n">
        <v>26.454</v>
      </c>
      <c r="D131086" s="1" t="n">
        <v>9.42</v>
      </c>
    </row>
    <row r="131087" customFormat="false" ht="12" hidden="false" customHeight="true" outlineLevel="0" collapsed="false">
      <c r="B131087" s="1" t="n">
        <v>2007</v>
      </c>
      <c r="C131087" s="1" t="n">
        <v>29.781</v>
      </c>
      <c r="D131087" s="1" t="n">
        <v>12.579</v>
      </c>
    </row>
    <row r="131088" customFormat="false" ht="12" hidden="false" customHeight="true" outlineLevel="0" collapsed="false">
      <c r="B131088" s="1" t="n">
        <v>2008</v>
      </c>
      <c r="C131088" s="1" t="n">
        <v>30.502</v>
      </c>
      <c r="D131088" s="1" t="n">
        <v>2.419</v>
      </c>
    </row>
    <row r="131089" customFormat="false" ht="12" hidden="false" customHeight="true" outlineLevel="0" collapsed="false">
      <c r="B131089" s="1" t="n">
        <v>2009</v>
      </c>
      <c r="C131089" s="1" t="n">
        <v>29.388</v>
      </c>
      <c r="D131089" s="1" t="n">
        <v>-3.651</v>
      </c>
    </row>
    <row r="131090" customFormat="false" ht="12" hidden="false" customHeight="true" outlineLevel="0" collapsed="false">
      <c r="B131090" s="1" t="n">
        <v>2010</v>
      </c>
      <c r="C131090" s="1" t="n">
        <v>31.428</v>
      </c>
      <c r="D131090" s="1" t="n">
        <v>6.942</v>
      </c>
    </row>
    <row r="131091" customFormat="false" ht="12" hidden="false" customHeight="true" outlineLevel="0" collapsed="false">
      <c r="B131091" s="1" t="n">
        <v>2011</v>
      </c>
      <c r="C131091" s="1" t="n">
        <v>33.927</v>
      </c>
      <c r="D131091" s="1" t="n">
        <v>7.949</v>
      </c>
    </row>
    <row r="131092" customFormat="false" ht="12" hidden="false" customHeight="true" outlineLevel="0" collapsed="false">
      <c r="B131092" s="1" t="n">
        <v>2012</v>
      </c>
      <c r="C131092" s="1" t="n">
        <v>36.159</v>
      </c>
      <c r="D131092" s="1" t="n">
        <v>6.579</v>
      </c>
    </row>
    <row r="131093" customFormat="false" ht="12" hidden="false" customHeight="true" outlineLevel="0" collapsed="false">
      <c r="B131093" s="1" t="n">
        <v>2013</v>
      </c>
      <c r="C131093" s="1" t="n">
        <v>38.015</v>
      </c>
      <c r="D131093" s="1" t="n">
        <v>5.134</v>
      </c>
    </row>
    <row r="131094" customFormat="false" ht="12" hidden="false" customHeight="true" outlineLevel="0" collapsed="false">
      <c r="B131094" s="1" t="n">
        <v>2014</v>
      </c>
      <c r="C131094" s="1" t="n">
        <v>39.57</v>
      </c>
      <c r="D131094" s="1" t="n">
        <v>4.091</v>
      </c>
    </row>
    <row r="131095" customFormat="false" ht="12" hidden="false" customHeight="true" outlineLevel="0" collapsed="false">
      <c r="B131095" s="1" t="n">
        <v>2015</v>
      </c>
      <c r="C131095" s="1" t="n">
        <v>40.896</v>
      </c>
      <c r="D131095" s="1" t="n">
        <v>3.351</v>
      </c>
    </row>
    <row r="131096" customFormat="false" ht="12" hidden="false" customHeight="true" outlineLevel="0" collapsed="false">
      <c r="B131096" s="1" t="n">
        <v>2016</v>
      </c>
      <c r="C131096" s="1" t="n">
        <v>42.307</v>
      </c>
      <c r="D131096" s="1" t="n">
        <v>3.45</v>
      </c>
    </row>
    <row r="131097" customFormat="false" ht="12" hidden="false" customHeight="true" outlineLevel="0" collapsed="false">
      <c r="B131097" s="1" t="n">
        <v>2017</v>
      </c>
      <c r="C131097" s="1" t="n">
        <v>44.49</v>
      </c>
      <c r="D131097" s="1" t="n">
        <v>5.161</v>
      </c>
    </row>
    <row r="131098" customFormat="false" ht="12" hidden="false" customHeight="true" outlineLevel="0" collapsed="false">
      <c r="B131098" s="1" t="n">
        <v>2018</v>
      </c>
      <c r="C131098" s="1" t="n">
        <v>47.187</v>
      </c>
      <c r="D131098" s="1" t="n">
        <v>6.062</v>
      </c>
    </row>
    <row r="131099" customFormat="false" ht="12" hidden="false" customHeight="true" outlineLevel="0" collapsed="false">
      <c r="B131099" s="1" t="n">
        <v>2019</v>
      </c>
      <c r="C131099" s="1" t="n">
        <v>49.726</v>
      </c>
      <c r="D131099" s="1" t="n">
        <v>5.38</v>
      </c>
    </row>
    <row r="131100" customFormat="false" ht="12" hidden="false" customHeight="true" outlineLevel="0" collapsed="false">
      <c r="B131100" s="1" t="n">
        <v>2020</v>
      </c>
      <c r="C131100" s="1" t="n">
        <v>46.598</v>
      </c>
      <c r="D131100" s="1" t="n">
        <v>-6.291</v>
      </c>
    </row>
    <row r="131101" customFormat="false" ht="12" hidden="false" customHeight="true" outlineLevel="0" collapsed="false">
      <c r="B131101" s="1" t="n">
        <v>2021</v>
      </c>
      <c r="C131101" s="1" t="n">
        <v>51.558</v>
      </c>
      <c r="D131101" s="1" t="n">
        <v>10.644</v>
      </c>
    </row>
    <row r="131102" customFormat="false" ht="12" hidden="false" customHeight="true" outlineLevel="0" collapsed="false">
      <c r="B131102" s="1" t="n">
        <v>2022</v>
      </c>
      <c r="C131102" s="1" t="n">
        <v>57.208</v>
      </c>
      <c r="D131102" s="1" t="n">
        <v>10.96</v>
      </c>
    </row>
    <row r="131103" customFormat="false" ht="12" hidden="false" customHeight="true" outlineLevel="0" collapsed="false">
      <c r="B131103" s="1" t="n">
        <v>2023</v>
      </c>
      <c r="C131103" s="1" t="n">
        <v>61.689</v>
      </c>
      <c r="D131103" s="1" t="n">
        <v>7.832</v>
      </c>
    </row>
    <row r="131104" customFormat="false" ht="12" hidden="false" customHeight="true" outlineLevel="0" collapsed="false">
      <c r="B131104" s="1" t="n">
        <v>2024</v>
      </c>
      <c r="C131104" s="1" t="n">
        <v>67.505</v>
      </c>
      <c r="D131104" s="1" t="n">
        <v>9.429</v>
      </c>
    </row>
    <row r="131105" customFormat="false" ht="12" hidden="false" customHeight="true" outlineLevel="0" collapsed="false">
      <c r="B131105" s="1" t="n">
        <v>2025</v>
      </c>
      <c r="C131105" s="1" t="n">
        <v>71.54</v>
      </c>
      <c r="D131105" s="1" t="n">
        <v>5.977</v>
      </c>
    </row>
    <row r="131106" customFormat="false" ht="12" hidden="false" customHeight="true" outlineLevel="0" collapsed="false">
      <c r="B131106" s="1" t="n">
        <v>2026</v>
      </c>
      <c r="C131106" s="1" t="n">
        <v>75.117</v>
      </c>
      <c r="D131106" s="1" t="n">
        <v>5</v>
      </c>
    </row>
    <row r="131107" customFormat="false" ht="12" hidden="false" customHeight="true" outlineLevel="0" collapsed="false">
      <c r="B131107" s="1" t="n">
        <v>2027</v>
      </c>
      <c r="C131107" s="1" t="n">
        <v>78.873</v>
      </c>
      <c r="D131107" s="1" t="n">
        <v>5</v>
      </c>
    </row>
    <row r="131108" customFormat="false" ht="12" hidden="false" customHeight="true" outlineLevel="0" collapsed="false">
      <c r="B131108" s="1" t="s">
        <v>51</v>
      </c>
      <c r="C131108" s="1" t="n">
        <v>2024</v>
      </c>
      <c r="D131108" s="1" t="n">
        <v>2024</v>
      </c>
    </row>
    <row r="147457" customFormat="false" ht="12" hidden="false" customHeight="true" outlineLevel="0" collapsed="false">
      <c r="B147457" s="1" t="s">
        <v>35</v>
      </c>
      <c r="C147457" s="1" t="n">
        <v>915</v>
      </c>
      <c r="D147457" s="1" t="n">
        <v>915</v>
      </c>
    </row>
    <row r="147458" customFormat="false" ht="12" hidden="false" customHeight="true" outlineLevel="0" collapsed="false">
      <c r="B147458" s="1" t="s">
        <v>36</v>
      </c>
      <c r="C147458" s="1" t="s">
        <v>37</v>
      </c>
      <c r="D147458" s="1" t="s">
        <v>38</v>
      </c>
    </row>
    <row r="147459" customFormat="false" ht="12" hidden="false" customHeight="true" outlineLevel="0" collapsed="false">
      <c r="B147459" s="1" t="s">
        <v>39</v>
      </c>
      <c r="C147459" s="1" t="s">
        <v>40</v>
      </c>
      <c r="D147459" s="1" t="s">
        <v>40</v>
      </c>
    </row>
    <row r="147460" customFormat="false" ht="12" hidden="false" customHeight="true" outlineLevel="0" collapsed="false">
      <c r="B147460" s="1" t="s">
        <v>41</v>
      </c>
      <c r="C147460" s="1" t="s">
        <v>42</v>
      </c>
      <c r="D147460" s="1" t="s">
        <v>42</v>
      </c>
    </row>
    <row r="147461" customFormat="false" ht="12" hidden="false" customHeight="true" outlineLevel="0" collapsed="false">
      <c r="B147461" s="1" t="s">
        <v>43</v>
      </c>
      <c r="C147461" s="1" t="s">
        <v>44</v>
      </c>
      <c r="D147461" s="1" t="s">
        <v>45</v>
      </c>
    </row>
    <row r="147462" customFormat="false" ht="12" hidden="false" customHeight="true" outlineLevel="0" collapsed="false">
      <c r="B147462" s="1" t="s">
        <v>46</v>
      </c>
      <c r="C147462" s="1" t="s">
        <v>47</v>
      </c>
      <c r="D147462" s="1" t="s">
        <v>43</v>
      </c>
    </row>
    <row r="147463" customFormat="false" ht="12" hidden="false" customHeight="true" outlineLevel="0" collapsed="false">
      <c r="B147463" s="1" t="s">
        <v>48</v>
      </c>
      <c r="C147463" s="1" t="s">
        <v>49</v>
      </c>
      <c r="D147463" s="1" t="s">
        <v>50</v>
      </c>
    </row>
    <row r="147464" customFormat="false" ht="12" hidden="false" customHeight="true" outlineLevel="0" collapsed="false">
      <c r="B147464" s="1" t="n">
        <v>2000</v>
      </c>
      <c r="C147464" s="1" t="n">
        <v>16.963</v>
      </c>
      <c r="D147464" s="1" t="n">
        <v>1.865</v>
      </c>
    </row>
    <row r="147465" customFormat="false" ht="12" hidden="false" customHeight="true" outlineLevel="0" collapsed="false">
      <c r="B147465" s="1" t="n">
        <v>2001</v>
      </c>
      <c r="C147465" s="1" t="n">
        <v>17.772</v>
      </c>
      <c r="D147465" s="1" t="n">
        <v>4.769</v>
      </c>
    </row>
    <row r="147466" customFormat="false" ht="12" hidden="false" customHeight="true" outlineLevel="0" collapsed="false">
      <c r="B147466" s="1" t="n">
        <v>2002</v>
      </c>
      <c r="C147466" s="1" t="n">
        <v>18.747</v>
      </c>
      <c r="D147466" s="1" t="n">
        <v>5.487</v>
      </c>
    </row>
    <row r="147467" customFormat="false" ht="12" hidden="false" customHeight="true" outlineLevel="0" collapsed="false">
      <c r="B147467" s="1" t="n">
        <v>2003</v>
      </c>
      <c r="C147467" s="1" t="n">
        <v>20.852</v>
      </c>
      <c r="D147467" s="1" t="n">
        <v>11.228</v>
      </c>
    </row>
    <row r="147468" customFormat="false" ht="12" hidden="false" customHeight="true" outlineLevel="0" collapsed="false">
      <c r="B147468" s="1" t="n">
        <v>2004</v>
      </c>
      <c r="C147468" s="1" t="n">
        <v>22.061</v>
      </c>
      <c r="D147468" s="1" t="n">
        <v>5.796</v>
      </c>
    </row>
    <row r="147469" customFormat="false" ht="12" hidden="false" customHeight="true" outlineLevel="0" collapsed="false">
      <c r="B147469" s="1" t="n">
        <v>2005</v>
      </c>
      <c r="C147469" s="1" t="n">
        <v>24.176</v>
      </c>
      <c r="D147469" s="1" t="n">
        <v>9.588</v>
      </c>
    </row>
    <row r="147470" customFormat="false" ht="12" hidden="false" customHeight="true" outlineLevel="0" collapsed="false">
      <c r="B147470" s="1" t="n">
        <v>2006</v>
      </c>
      <c r="C147470" s="1" t="n">
        <v>26.454</v>
      </c>
      <c r="D147470" s="1" t="n">
        <v>9.42</v>
      </c>
    </row>
    <row r="147471" customFormat="false" ht="12" hidden="false" customHeight="true" outlineLevel="0" collapsed="false">
      <c r="B147471" s="1" t="n">
        <v>2007</v>
      </c>
      <c r="C147471" s="1" t="n">
        <v>29.781</v>
      </c>
      <c r="D147471" s="1" t="n">
        <v>12.579</v>
      </c>
    </row>
    <row r="147472" customFormat="false" ht="12" hidden="false" customHeight="true" outlineLevel="0" collapsed="false">
      <c r="B147472" s="1" t="n">
        <v>2008</v>
      </c>
      <c r="C147472" s="1" t="n">
        <v>30.502</v>
      </c>
      <c r="D147472" s="1" t="n">
        <v>2.419</v>
      </c>
    </row>
    <row r="147473" customFormat="false" ht="12" hidden="false" customHeight="true" outlineLevel="0" collapsed="false">
      <c r="B147473" s="1" t="n">
        <v>2009</v>
      </c>
      <c r="C147473" s="1" t="n">
        <v>29.388</v>
      </c>
      <c r="D147473" s="1" t="n">
        <v>-3.651</v>
      </c>
    </row>
    <row r="147474" customFormat="false" ht="12" hidden="false" customHeight="true" outlineLevel="0" collapsed="false">
      <c r="B147474" s="1" t="n">
        <v>2010</v>
      </c>
      <c r="C147474" s="1" t="n">
        <v>31.428</v>
      </c>
      <c r="D147474" s="1" t="n">
        <v>6.942</v>
      </c>
    </row>
    <row r="147475" customFormat="false" ht="12" hidden="false" customHeight="true" outlineLevel="0" collapsed="false">
      <c r="B147475" s="1" t="n">
        <v>2011</v>
      </c>
      <c r="C147475" s="1" t="n">
        <v>33.927</v>
      </c>
      <c r="D147475" s="1" t="n">
        <v>7.949</v>
      </c>
    </row>
    <row r="147476" customFormat="false" ht="12" hidden="false" customHeight="true" outlineLevel="0" collapsed="false">
      <c r="B147476" s="1" t="n">
        <v>2012</v>
      </c>
      <c r="C147476" s="1" t="n">
        <v>36.159</v>
      </c>
      <c r="D147476" s="1" t="n">
        <v>6.579</v>
      </c>
    </row>
    <row r="147477" customFormat="false" ht="12" hidden="false" customHeight="true" outlineLevel="0" collapsed="false">
      <c r="B147477" s="1" t="n">
        <v>2013</v>
      </c>
      <c r="C147477" s="1" t="n">
        <v>38.015</v>
      </c>
      <c r="D147477" s="1" t="n">
        <v>5.134</v>
      </c>
    </row>
    <row r="147478" customFormat="false" ht="12" hidden="false" customHeight="true" outlineLevel="0" collapsed="false">
      <c r="B147478" s="1" t="n">
        <v>2014</v>
      </c>
      <c r="C147478" s="1" t="n">
        <v>39.57</v>
      </c>
      <c r="D147478" s="1" t="n">
        <v>4.091</v>
      </c>
    </row>
    <row r="147479" customFormat="false" ht="12" hidden="false" customHeight="true" outlineLevel="0" collapsed="false">
      <c r="B147479" s="1" t="n">
        <v>2015</v>
      </c>
      <c r="C147479" s="1" t="n">
        <v>40.896</v>
      </c>
      <c r="D147479" s="1" t="n">
        <v>3.351</v>
      </c>
    </row>
    <row r="147480" customFormat="false" ht="12" hidden="false" customHeight="true" outlineLevel="0" collapsed="false">
      <c r="B147480" s="1" t="n">
        <v>2016</v>
      </c>
      <c r="C147480" s="1" t="n">
        <v>42.307</v>
      </c>
      <c r="D147480" s="1" t="n">
        <v>3.45</v>
      </c>
    </row>
    <row r="147481" customFormat="false" ht="12" hidden="false" customHeight="true" outlineLevel="0" collapsed="false">
      <c r="B147481" s="1" t="n">
        <v>2017</v>
      </c>
      <c r="C147481" s="1" t="n">
        <v>44.49</v>
      </c>
      <c r="D147481" s="1" t="n">
        <v>5.161</v>
      </c>
    </row>
    <row r="147482" customFormat="false" ht="12" hidden="false" customHeight="true" outlineLevel="0" collapsed="false">
      <c r="B147482" s="1" t="n">
        <v>2018</v>
      </c>
      <c r="C147482" s="1" t="n">
        <v>47.187</v>
      </c>
      <c r="D147482" s="1" t="n">
        <v>6.062</v>
      </c>
    </row>
    <row r="147483" customFormat="false" ht="12" hidden="false" customHeight="true" outlineLevel="0" collapsed="false">
      <c r="B147483" s="1" t="n">
        <v>2019</v>
      </c>
      <c r="C147483" s="1" t="n">
        <v>49.726</v>
      </c>
      <c r="D147483" s="1" t="n">
        <v>5.38</v>
      </c>
    </row>
    <row r="147484" customFormat="false" ht="12" hidden="false" customHeight="true" outlineLevel="0" collapsed="false">
      <c r="B147484" s="1" t="n">
        <v>2020</v>
      </c>
      <c r="C147484" s="1" t="n">
        <v>46.598</v>
      </c>
      <c r="D147484" s="1" t="n">
        <v>-6.291</v>
      </c>
    </row>
    <row r="147485" customFormat="false" ht="12" hidden="false" customHeight="true" outlineLevel="0" collapsed="false">
      <c r="B147485" s="1" t="n">
        <v>2021</v>
      </c>
      <c r="C147485" s="1" t="n">
        <v>51.558</v>
      </c>
      <c r="D147485" s="1" t="n">
        <v>10.644</v>
      </c>
    </row>
    <row r="147486" customFormat="false" ht="12" hidden="false" customHeight="true" outlineLevel="0" collapsed="false">
      <c r="B147486" s="1" t="n">
        <v>2022</v>
      </c>
      <c r="C147486" s="1" t="n">
        <v>57.208</v>
      </c>
      <c r="D147486" s="1" t="n">
        <v>10.96</v>
      </c>
    </row>
    <row r="147487" customFormat="false" ht="12" hidden="false" customHeight="true" outlineLevel="0" collapsed="false">
      <c r="B147487" s="1" t="n">
        <v>2023</v>
      </c>
      <c r="C147487" s="1" t="n">
        <v>61.689</v>
      </c>
      <c r="D147487" s="1" t="n">
        <v>7.832</v>
      </c>
    </row>
    <row r="147488" customFormat="false" ht="12" hidden="false" customHeight="true" outlineLevel="0" collapsed="false">
      <c r="B147488" s="1" t="n">
        <v>2024</v>
      </c>
      <c r="C147488" s="1" t="n">
        <v>67.505</v>
      </c>
      <c r="D147488" s="1" t="n">
        <v>9.429</v>
      </c>
    </row>
    <row r="147489" customFormat="false" ht="12" hidden="false" customHeight="true" outlineLevel="0" collapsed="false">
      <c r="B147489" s="1" t="n">
        <v>2025</v>
      </c>
      <c r="C147489" s="1" t="n">
        <v>71.54</v>
      </c>
      <c r="D147489" s="1" t="n">
        <v>5.977</v>
      </c>
    </row>
    <row r="147490" customFormat="false" ht="12" hidden="false" customHeight="true" outlineLevel="0" collapsed="false">
      <c r="B147490" s="1" t="n">
        <v>2026</v>
      </c>
      <c r="C147490" s="1" t="n">
        <v>75.117</v>
      </c>
      <c r="D147490" s="1" t="n">
        <v>5</v>
      </c>
    </row>
    <row r="147491" customFormat="false" ht="12" hidden="false" customHeight="true" outlineLevel="0" collapsed="false">
      <c r="B147491" s="1" t="n">
        <v>2027</v>
      </c>
      <c r="C147491" s="1" t="n">
        <v>78.873</v>
      </c>
      <c r="D147491" s="1" t="n">
        <v>5</v>
      </c>
    </row>
    <row r="147492" customFormat="false" ht="12" hidden="false" customHeight="true" outlineLevel="0" collapsed="false">
      <c r="B147492" s="1" t="s">
        <v>51</v>
      </c>
      <c r="C147492" s="1" t="n">
        <v>2024</v>
      </c>
      <c r="D147492" s="1" t="n">
        <v>2024</v>
      </c>
    </row>
    <row r="163841" customFormat="false" ht="12" hidden="false" customHeight="true" outlineLevel="0" collapsed="false">
      <c r="B163841" s="1" t="s">
        <v>35</v>
      </c>
      <c r="C163841" s="1" t="n">
        <v>915</v>
      </c>
      <c r="D163841" s="1" t="n">
        <v>915</v>
      </c>
    </row>
    <row r="163842" customFormat="false" ht="12" hidden="false" customHeight="true" outlineLevel="0" collapsed="false">
      <c r="B163842" s="1" t="s">
        <v>36</v>
      </c>
      <c r="C163842" s="1" t="s">
        <v>37</v>
      </c>
      <c r="D163842" s="1" t="s">
        <v>38</v>
      </c>
    </row>
    <row r="163843" customFormat="false" ht="12" hidden="false" customHeight="true" outlineLevel="0" collapsed="false">
      <c r="B163843" s="1" t="s">
        <v>39</v>
      </c>
      <c r="C163843" s="1" t="s">
        <v>40</v>
      </c>
      <c r="D163843" s="1" t="s">
        <v>40</v>
      </c>
    </row>
    <row r="163844" customFormat="false" ht="12" hidden="false" customHeight="true" outlineLevel="0" collapsed="false">
      <c r="B163844" s="1" t="s">
        <v>41</v>
      </c>
      <c r="C163844" s="1" t="s">
        <v>42</v>
      </c>
      <c r="D163844" s="1" t="s">
        <v>42</v>
      </c>
    </row>
    <row r="163845" customFormat="false" ht="12" hidden="false" customHeight="true" outlineLevel="0" collapsed="false">
      <c r="B163845" s="1" t="s">
        <v>43</v>
      </c>
      <c r="C163845" s="1" t="s">
        <v>44</v>
      </c>
      <c r="D163845" s="1" t="s">
        <v>45</v>
      </c>
    </row>
    <row r="163846" customFormat="false" ht="12" hidden="false" customHeight="true" outlineLevel="0" collapsed="false">
      <c r="B163846" s="1" t="s">
        <v>46</v>
      </c>
      <c r="C163846" s="1" t="s">
        <v>47</v>
      </c>
      <c r="D163846" s="1" t="s">
        <v>43</v>
      </c>
    </row>
    <row r="163847" customFormat="false" ht="12" hidden="false" customHeight="true" outlineLevel="0" collapsed="false">
      <c r="B163847" s="1" t="s">
        <v>48</v>
      </c>
      <c r="C163847" s="1" t="s">
        <v>49</v>
      </c>
      <c r="D163847" s="1" t="s">
        <v>50</v>
      </c>
    </row>
    <row r="163848" customFormat="false" ht="12" hidden="false" customHeight="true" outlineLevel="0" collapsed="false">
      <c r="B163848" s="1" t="n">
        <v>2000</v>
      </c>
      <c r="C163848" s="1" t="n">
        <v>16.963</v>
      </c>
      <c r="D163848" s="1" t="n">
        <v>1.865</v>
      </c>
    </row>
    <row r="163849" customFormat="false" ht="12" hidden="false" customHeight="true" outlineLevel="0" collapsed="false">
      <c r="B163849" s="1" t="n">
        <v>2001</v>
      </c>
      <c r="C163849" s="1" t="n">
        <v>17.772</v>
      </c>
      <c r="D163849" s="1" t="n">
        <v>4.769</v>
      </c>
    </row>
    <row r="163850" customFormat="false" ht="12" hidden="false" customHeight="true" outlineLevel="0" collapsed="false">
      <c r="B163850" s="1" t="n">
        <v>2002</v>
      </c>
      <c r="C163850" s="1" t="n">
        <v>18.747</v>
      </c>
      <c r="D163850" s="1" t="n">
        <v>5.487</v>
      </c>
    </row>
    <row r="163851" customFormat="false" ht="12" hidden="false" customHeight="true" outlineLevel="0" collapsed="false">
      <c r="B163851" s="1" t="n">
        <v>2003</v>
      </c>
      <c r="C163851" s="1" t="n">
        <v>20.852</v>
      </c>
      <c r="D163851" s="1" t="n">
        <v>11.228</v>
      </c>
    </row>
    <row r="163852" customFormat="false" ht="12" hidden="false" customHeight="true" outlineLevel="0" collapsed="false">
      <c r="B163852" s="1" t="n">
        <v>2004</v>
      </c>
      <c r="C163852" s="1" t="n">
        <v>22.061</v>
      </c>
      <c r="D163852" s="1" t="n">
        <v>5.796</v>
      </c>
    </row>
    <row r="163853" customFormat="false" ht="12" hidden="false" customHeight="true" outlineLevel="0" collapsed="false">
      <c r="B163853" s="1" t="n">
        <v>2005</v>
      </c>
      <c r="C163853" s="1" t="n">
        <v>24.176</v>
      </c>
      <c r="D163853" s="1" t="n">
        <v>9.588</v>
      </c>
    </row>
    <row r="163854" customFormat="false" ht="12" hidden="false" customHeight="true" outlineLevel="0" collapsed="false">
      <c r="B163854" s="1" t="n">
        <v>2006</v>
      </c>
      <c r="C163854" s="1" t="n">
        <v>26.454</v>
      </c>
      <c r="D163854" s="1" t="n">
        <v>9.42</v>
      </c>
    </row>
    <row r="163855" customFormat="false" ht="12" hidden="false" customHeight="true" outlineLevel="0" collapsed="false">
      <c r="B163855" s="1" t="n">
        <v>2007</v>
      </c>
      <c r="C163855" s="1" t="n">
        <v>29.781</v>
      </c>
      <c r="D163855" s="1" t="n">
        <v>12.579</v>
      </c>
    </row>
    <row r="163856" customFormat="false" ht="12" hidden="false" customHeight="true" outlineLevel="0" collapsed="false">
      <c r="B163856" s="1" t="n">
        <v>2008</v>
      </c>
      <c r="C163856" s="1" t="n">
        <v>30.502</v>
      </c>
      <c r="D163856" s="1" t="n">
        <v>2.419</v>
      </c>
    </row>
    <row r="163857" customFormat="false" ht="12" hidden="false" customHeight="true" outlineLevel="0" collapsed="false">
      <c r="B163857" s="1" t="n">
        <v>2009</v>
      </c>
      <c r="C163857" s="1" t="n">
        <v>29.388</v>
      </c>
      <c r="D163857" s="1" t="n">
        <v>-3.651</v>
      </c>
    </row>
    <row r="163858" customFormat="false" ht="12" hidden="false" customHeight="true" outlineLevel="0" collapsed="false">
      <c r="B163858" s="1" t="n">
        <v>2010</v>
      </c>
      <c r="C163858" s="1" t="n">
        <v>31.428</v>
      </c>
      <c r="D163858" s="1" t="n">
        <v>6.942</v>
      </c>
    </row>
    <row r="163859" customFormat="false" ht="12" hidden="false" customHeight="true" outlineLevel="0" collapsed="false">
      <c r="B163859" s="1" t="n">
        <v>2011</v>
      </c>
      <c r="C163859" s="1" t="n">
        <v>33.927</v>
      </c>
      <c r="D163859" s="1" t="n">
        <v>7.949</v>
      </c>
    </row>
    <row r="163860" customFormat="false" ht="12" hidden="false" customHeight="true" outlineLevel="0" collapsed="false">
      <c r="B163860" s="1" t="n">
        <v>2012</v>
      </c>
      <c r="C163860" s="1" t="n">
        <v>36.159</v>
      </c>
      <c r="D163860" s="1" t="n">
        <v>6.579</v>
      </c>
    </row>
    <row r="163861" customFormat="false" ht="12" hidden="false" customHeight="true" outlineLevel="0" collapsed="false">
      <c r="B163861" s="1" t="n">
        <v>2013</v>
      </c>
      <c r="C163861" s="1" t="n">
        <v>38.015</v>
      </c>
      <c r="D163861" s="1" t="n">
        <v>5.134</v>
      </c>
    </row>
    <row r="163862" customFormat="false" ht="12" hidden="false" customHeight="true" outlineLevel="0" collapsed="false">
      <c r="B163862" s="1" t="n">
        <v>2014</v>
      </c>
      <c r="C163862" s="1" t="n">
        <v>39.57</v>
      </c>
      <c r="D163862" s="1" t="n">
        <v>4.091</v>
      </c>
    </row>
    <row r="163863" customFormat="false" ht="12" hidden="false" customHeight="true" outlineLevel="0" collapsed="false">
      <c r="B163863" s="1" t="n">
        <v>2015</v>
      </c>
      <c r="C163863" s="1" t="n">
        <v>40.896</v>
      </c>
      <c r="D163863" s="1" t="n">
        <v>3.351</v>
      </c>
    </row>
    <row r="163864" customFormat="false" ht="12" hidden="false" customHeight="true" outlineLevel="0" collapsed="false">
      <c r="B163864" s="1" t="n">
        <v>2016</v>
      </c>
      <c r="C163864" s="1" t="n">
        <v>42.307</v>
      </c>
      <c r="D163864" s="1" t="n">
        <v>3.45</v>
      </c>
    </row>
    <row r="163865" customFormat="false" ht="12" hidden="false" customHeight="true" outlineLevel="0" collapsed="false">
      <c r="B163865" s="1" t="n">
        <v>2017</v>
      </c>
      <c r="C163865" s="1" t="n">
        <v>44.49</v>
      </c>
      <c r="D163865" s="1" t="n">
        <v>5.161</v>
      </c>
    </row>
    <row r="163866" customFormat="false" ht="12" hidden="false" customHeight="true" outlineLevel="0" collapsed="false">
      <c r="B163866" s="1" t="n">
        <v>2018</v>
      </c>
      <c r="C163866" s="1" t="n">
        <v>47.187</v>
      </c>
      <c r="D163866" s="1" t="n">
        <v>6.062</v>
      </c>
    </row>
    <row r="163867" customFormat="false" ht="12" hidden="false" customHeight="true" outlineLevel="0" collapsed="false">
      <c r="B163867" s="1" t="n">
        <v>2019</v>
      </c>
      <c r="C163867" s="1" t="n">
        <v>49.726</v>
      </c>
      <c r="D163867" s="1" t="n">
        <v>5.38</v>
      </c>
    </row>
    <row r="163868" customFormat="false" ht="12" hidden="false" customHeight="true" outlineLevel="0" collapsed="false">
      <c r="B163868" s="1" t="n">
        <v>2020</v>
      </c>
      <c r="C163868" s="1" t="n">
        <v>46.598</v>
      </c>
      <c r="D163868" s="1" t="n">
        <v>-6.291</v>
      </c>
    </row>
    <row r="163869" customFormat="false" ht="12" hidden="false" customHeight="true" outlineLevel="0" collapsed="false">
      <c r="B163869" s="1" t="n">
        <v>2021</v>
      </c>
      <c r="C163869" s="1" t="n">
        <v>51.558</v>
      </c>
      <c r="D163869" s="1" t="n">
        <v>10.644</v>
      </c>
    </row>
    <row r="163870" customFormat="false" ht="12" hidden="false" customHeight="true" outlineLevel="0" collapsed="false">
      <c r="B163870" s="1" t="n">
        <v>2022</v>
      </c>
      <c r="C163870" s="1" t="n">
        <v>57.208</v>
      </c>
      <c r="D163870" s="1" t="n">
        <v>10.96</v>
      </c>
    </row>
    <row r="163871" customFormat="false" ht="12" hidden="false" customHeight="true" outlineLevel="0" collapsed="false">
      <c r="B163871" s="1" t="n">
        <v>2023</v>
      </c>
      <c r="C163871" s="1" t="n">
        <v>61.689</v>
      </c>
      <c r="D163871" s="1" t="n">
        <v>7.832</v>
      </c>
    </row>
    <row r="163872" customFormat="false" ht="12" hidden="false" customHeight="true" outlineLevel="0" collapsed="false">
      <c r="B163872" s="1" t="n">
        <v>2024</v>
      </c>
      <c r="C163872" s="1" t="n">
        <v>67.505</v>
      </c>
      <c r="D163872" s="1" t="n">
        <v>9.429</v>
      </c>
    </row>
    <row r="163873" customFormat="false" ht="12" hidden="false" customHeight="true" outlineLevel="0" collapsed="false">
      <c r="B163873" s="1" t="n">
        <v>2025</v>
      </c>
      <c r="C163873" s="1" t="n">
        <v>71.54</v>
      </c>
      <c r="D163873" s="1" t="n">
        <v>5.977</v>
      </c>
    </row>
    <row r="163874" customFormat="false" ht="12" hidden="false" customHeight="true" outlineLevel="0" collapsed="false">
      <c r="B163874" s="1" t="n">
        <v>2026</v>
      </c>
      <c r="C163874" s="1" t="n">
        <v>75.117</v>
      </c>
      <c r="D163874" s="1" t="n">
        <v>5</v>
      </c>
    </row>
    <row r="163875" customFormat="false" ht="12" hidden="false" customHeight="true" outlineLevel="0" collapsed="false">
      <c r="B163875" s="1" t="n">
        <v>2027</v>
      </c>
      <c r="C163875" s="1" t="n">
        <v>78.873</v>
      </c>
      <c r="D163875" s="1" t="n">
        <v>5</v>
      </c>
    </row>
    <row r="163876" customFormat="false" ht="12" hidden="false" customHeight="true" outlineLevel="0" collapsed="false">
      <c r="B163876" s="1" t="s">
        <v>51</v>
      </c>
      <c r="C163876" s="1" t="n">
        <v>2024</v>
      </c>
      <c r="D163876" s="1" t="n">
        <v>2024</v>
      </c>
    </row>
    <row r="180225" customFormat="false" ht="12" hidden="false" customHeight="true" outlineLevel="0" collapsed="false">
      <c r="B180225" s="1" t="s">
        <v>35</v>
      </c>
      <c r="C180225" s="1" t="n">
        <v>915</v>
      </c>
      <c r="D180225" s="1" t="n">
        <v>915</v>
      </c>
    </row>
    <row r="180226" customFormat="false" ht="12" hidden="false" customHeight="true" outlineLevel="0" collapsed="false">
      <c r="B180226" s="1" t="s">
        <v>36</v>
      </c>
      <c r="C180226" s="1" t="s">
        <v>37</v>
      </c>
      <c r="D180226" s="1" t="s">
        <v>38</v>
      </c>
    </row>
    <row r="180227" customFormat="false" ht="12" hidden="false" customHeight="true" outlineLevel="0" collapsed="false">
      <c r="B180227" s="1" t="s">
        <v>39</v>
      </c>
      <c r="C180227" s="1" t="s">
        <v>40</v>
      </c>
      <c r="D180227" s="1" t="s">
        <v>40</v>
      </c>
    </row>
    <row r="180228" customFormat="false" ht="12" hidden="false" customHeight="true" outlineLevel="0" collapsed="false">
      <c r="B180228" s="1" t="s">
        <v>41</v>
      </c>
      <c r="C180228" s="1" t="s">
        <v>42</v>
      </c>
      <c r="D180228" s="1" t="s">
        <v>42</v>
      </c>
    </row>
    <row r="180229" customFormat="false" ht="12" hidden="false" customHeight="true" outlineLevel="0" collapsed="false">
      <c r="B180229" s="1" t="s">
        <v>43</v>
      </c>
      <c r="C180229" s="1" t="s">
        <v>44</v>
      </c>
      <c r="D180229" s="1" t="s">
        <v>45</v>
      </c>
    </row>
    <row r="180230" customFormat="false" ht="12" hidden="false" customHeight="true" outlineLevel="0" collapsed="false">
      <c r="B180230" s="1" t="s">
        <v>46</v>
      </c>
      <c r="C180230" s="1" t="s">
        <v>47</v>
      </c>
      <c r="D180230" s="1" t="s">
        <v>43</v>
      </c>
    </row>
    <row r="180231" customFormat="false" ht="12" hidden="false" customHeight="true" outlineLevel="0" collapsed="false">
      <c r="B180231" s="1" t="s">
        <v>48</v>
      </c>
      <c r="C180231" s="1" t="s">
        <v>49</v>
      </c>
      <c r="D180231" s="1" t="s">
        <v>50</v>
      </c>
    </row>
    <row r="180232" customFormat="false" ht="12" hidden="false" customHeight="true" outlineLevel="0" collapsed="false">
      <c r="B180232" s="1" t="n">
        <v>2000</v>
      </c>
      <c r="C180232" s="1" t="n">
        <v>16.963</v>
      </c>
      <c r="D180232" s="1" t="n">
        <v>1.865</v>
      </c>
    </row>
    <row r="180233" customFormat="false" ht="12" hidden="false" customHeight="true" outlineLevel="0" collapsed="false">
      <c r="B180233" s="1" t="n">
        <v>2001</v>
      </c>
      <c r="C180233" s="1" t="n">
        <v>17.772</v>
      </c>
      <c r="D180233" s="1" t="n">
        <v>4.769</v>
      </c>
    </row>
    <row r="180234" customFormat="false" ht="12" hidden="false" customHeight="true" outlineLevel="0" collapsed="false">
      <c r="B180234" s="1" t="n">
        <v>2002</v>
      </c>
      <c r="C180234" s="1" t="n">
        <v>18.747</v>
      </c>
      <c r="D180234" s="1" t="n">
        <v>5.487</v>
      </c>
    </row>
    <row r="180235" customFormat="false" ht="12" hidden="false" customHeight="true" outlineLevel="0" collapsed="false">
      <c r="B180235" s="1" t="n">
        <v>2003</v>
      </c>
      <c r="C180235" s="1" t="n">
        <v>20.852</v>
      </c>
      <c r="D180235" s="1" t="n">
        <v>11.228</v>
      </c>
    </row>
    <row r="180236" customFormat="false" ht="12" hidden="false" customHeight="true" outlineLevel="0" collapsed="false">
      <c r="B180236" s="1" t="n">
        <v>2004</v>
      </c>
      <c r="C180236" s="1" t="n">
        <v>22.061</v>
      </c>
      <c r="D180236" s="1" t="n">
        <v>5.796</v>
      </c>
    </row>
    <row r="180237" customFormat="false" ht="12" hidden="false" customHeight="true" outlineLevel="0" collapsed="false">
      <c r="B180237" s="1" t="n">
        <v>2005</v>
      </c>
      <c r="C180237" s="1" t="n">
        <v>24.176</v>
      </c>
      <c r="D180237" s="1" t="n">
        <v>9.588</v>
      </c>
    </row>
    <row r="180238" customFormat="false" ht="12" hidden="false" customHeight="true" outlineLevel="0" collapsed="false">
      <c r="B180238" s="1" t="n">
        <v>2006</v>
      </c>
      <c r="C180238" s="1" t="n">
        <v>26.454</v>
      </c>
      <c r="D180238" s="1" t="n">
        <v>9.42</v>
      </c>
    </row>
    <row r="180239" customFormat="false" ht="12" hidden="false" customHeight="true" outlineLevel="0" collapsed="false">
      <c r="B180239" s="1" t="n">
        <v>2007</v>
      </c>
      <c r="C180239" s="1" t="n">
        <v>29.781</v>
      </c>
      <c r="D180239" s="1" t="n">
        <v>12.579</v>
      </c>
    </row>
    <row r="180240" customFormat="false" ht="12" hidden="false" customHeight="true" outlineLevel="0" collapsed="false">
      <c r="B180240" s="1" t="n">
        <v>2008</v>
      </c>
      <c r="C180240" s="1" t="n">
        <v>30.502</v>
      </c>
      <c r="D180240" s="1" t="n">
        <v>2.419</v>
      </c>
    </row>
    <row r="180241" customFormat="false" ht="12" hidden="false" customHeight="true" outlineLevel="0" collapsed="false">
      <c r="B180241" s="1" t="n">
        <v>2009</v>
      </c>
      <c r="C180241" s="1" t="n">
        <v>29.388</v>
      </c>
      <c r="D180241" s="1" t="n">
        <v>-3.651</v>
      </c>
    </row>
    <row r="180242" customFormat="false" ht="12" hidden="false" customHeight="true" outlineLevel="0" collapsed="false">
      <c r="B180242" s="1" t="n">
        <v>2010</v>
      </c>
      <c r="C180242" s="1" t="n">
        <v>31.428</v>
      </c>
      <c r="D180242" s="1" t="n">
        <v>6.942</v>
      </c>
    </row>
    <row r="180243" customFormat="false" ht="12" hidden="false" customHeight="true" outlineLevel="0" collapsed="false">
      <c r="B180243" s="1" t="n">
        <v>2011</v>
      </c>
      <c r="C180243" s="1" t="n">
        <v>33.927</v>
      </c>
      <c r="D180243" s="1" t="n">
        <v>7.949</v>
      </c>
    </row>
    <row r="180244" customFormat="false" ht="12" hidden="false" customHeight="true" outlineLevel="0" collapsed="false">
      <c r="B180244" s="1" t="n">
        <v>2012</v>
      </c>
      <c r="C180244" s="1" t="n">
        <v>36.159</v>
      </c>
      <c r="D180244" s="1" t="n">
        <v>6.579</v>
      </c>
    </row>
    <row r="180245" customFormat="false" ht="12" hidden="false" customHeight="true" outlineLevel="0" collapsed="false">
      <c r="B180245" s="1" t="n">
        <v>2013</v>
      </c>
      <c r="C180245" s="1" t="n">
        <v>38.015</v>
      </c>
      <c r="D180245" s="1" t="n">
        <v>5.134</v>
      </c>
    </row>
    <row r="180246" customFormat="false" ht="12" hidden="false" customHeight="true" outlineLevel="0" collapsed="false">
      <c r="B180246" s="1" t="n">
        <v>2014</v>
      </c>
      <c r="C180246" s="1" t="n">
        <v>39.57</v>
      </c>
      <c r="D180246" s="1" t="n">
        <v>4.091</v>
      </c>
    </row>
    <row r="180247" customFormat="false" ht="12" hidden="false" customHeight="true" outlineLevel="0" collapsed="false">
      <c r="B180247" s="1" t="n">
        <v>2015</v>
      </c>
      <c r="C180247" s="1" t="n">
        <v>40.896</v>
      </c>
      <c r="D180247" s="1" t="n">
        <v>3.351</v>
      </c>
    </row>
    <row r="180248" customFormat="false" ht="12" hidden="false" customHeight="true" outlineLevel="0" collapsed="false">
      <c r="B180248" s="1" t="n">
        <v>2016</v>
      </c>
      <c r="C180248" s="1" t="n">
        <v>42.307</v>
      </c>
      <c r="D180248" s="1" t="n">
        <v>3.45</v>
      </c>
    </row>
    <row r="180249" customFormat="false" ht="12" hidden="false" customHeight="true" outlineLevel="0" collapsed="false">
      <c r="B180249" s="1" t="n">
        <v>2017</v>
      </c>
      <c r="C180249" s="1" t="n">
        <v>44.49</v>
      </c>
      <c r="D180249" s="1" t="n">
        <v>5.161</v>
      </c>
    </row>
    <row r="180250" customFormat="false" ht="12" hidden="false" customHeight="true" outlineLevel="0" collapsed="false">
      <c r="B180250" s="1" t="n">
        <v>2018</v>
      </c>
      <c r="C180250" s="1" t="n">
        <v>47.187</v>
      </c>
      <c r="D180250" s="1" t="n">
        <v>6.062</v>
      </c>
    </row>
    <row r="180251" customFormat="false" ht="12" hidden="false" customHeight="true" outlineLevel="0" collapsed="false">
      <c r="B180251" s="1" t="n">
        <v>2019</v>
      </c>
      <c r="C180251" s="1" t="n">
        <v>49.726</v>
      </c>
      <c r="D180251" s="1" t="n">
        <v>5.38</v>
      </c>
    </row>
    <row r="180252" customFormat="false" ht="12" hidden="false" customHeight="true" outlineLevel="0" collapsed="false">
      <c r="B180252" s="1" t="n">
        <v>2020</v>
      </c>
      <c r="C180252" s="1" t="n">
        <v>46.598</v>
      </c>
      <c r="D180252" s="1" t="n">
        <v>-6.291</v>
      </c>
    </row>
    <row r="180253" customFormat="false" ht="12" hidden="false" customHeight="true" outlineLevel="0" collapsed="false">
      <c r="B180253" s="1" t="n">
        <v>2021</v>
      </c>
      <c r="C180253" s="1" t="n">
        <v>51.558</v>
      </c>
      <c r="D180253" s="1" t="n">
        <v>10.644</v>
      </c>
    </row>
    <row r="180254" customFormat="false" ht="12" hidden="false" customHeight="true" outlineLevel="0" collapsed="false">
      <c r="B180254" s="1" t="n">
        <v>2022</v>
      </c>
      <c r="C180254" s="1" t="n">
        <v>57.208</v>
      </c>
      <c r="D180254" s="1" t="n">
        <v>10.96</v>
      </c>
    </row>
    <row r="180255" customFormat="false" ht="12" hidden="false" customHeight="true" outlineLevel="0" collapsed="false">
      <c r="B180255" s="1" t="n">
        <v>2023</v>
      </c>
      <c r="C180255" s="1" t="n">
        <v>61.689</v>
      </c>
      <c r="D180255" s="1" t="n">
        <v>7.832</v>
      </c>
    </row>
    <row r="180256" customFormat="false" ht="12" hidden="false" customHeight="true" outlineLevel="0" collapsed="false">
      <c r="B180256" s="1" t="n">
        <v>2024</v>
      </c>
      <c r="C180256" s="1" t="n">
        <v>67.505</v>
      </c>
      <c r="D180256" s="1" t="n">
        <v>9.429</v>
      </c>
    </row>
    <row r="180257" customFormat="false" ht="12" hidden="false" customHeight="true" outlineLevel="0" collapsed="false">
      <c r="B180257" s="1" t="n">
        <v>2025</v>
      </c>
      <c r="C180257" s="1" t="n">
        <v>71.54</v>
      </c>
      <c r="D180257" s="1" t="n">
        <v>5.977</v>
      </c>
    </row>
    <row r="180258" customFormat="false" ht="12" hidden="false" customHeight="true" outlineLevel="0" collapsed="false">
      <c r="B180258" s="1" t="n">
        <v>2026</v>
      </c>
      <c r="C180258" s="1" t="n">
        <v>75.117</v>
      </c>
      <c r="D180258" s="1" t="n">
        <v>5</v>
      </c>
    </row>
    <row r="180259" customFormat="false" ht="12" hidden="false" customHeight="true" outlineLevel="0" collapsed="false">
      <c r="B180259" s="1" t="n">
        <v>2027</v>
      </c>
      <c r="C180259" s="1" t="n">
        <v>78.873</v>
      </c>
      <c r="D180259" s="1" t="n">
        <v>5</v>
      </c>
    </row>
    <row r="180260" customFormat="false" ht="12" hidden="false" customHeight="true" outlineLevel="0" collapsed="false">
      <c r="B180260" s="1" t="s">
        <v>51</v>
      </c>
      <c r="C180260" s="1" t="n">
        <v>2024</v>
      </c>
      <c r="D180260" s="1" t="n">
        <v>2024</v>
      </c>
    </row>
    <row r="196609" customFormat="false" ht="12" hidden="false" customHeight="true" outlineLevel="0" collapsed="false">
      <c r="B196609" s="1" t="s">
        <v>35</v>
      </c>
      <c r="C196609" s="1" t="n">
        <v>915</v>
      </c>
      <c r="D196609" s="1" t="n">
        <v>915</v>
      </c>
    </row>
    <row r="196610" customFormat="false" ht="12" hidden="false" customHeight="true" outlineLevel="0" collapsed="false">
      <c r="B196610" s="1" t="s">
        <v>36</v>
      </c>
      <c r="C196610" s="1" t="s">
        <v>37</v>
      </c>
      <c r="D196610" s="1" t="s">
        <v>38</v>
      </c>
    </row>
    <row r="196611" customFormat="false" ht="12" hidden="false" customHeight="true" outlineLevel="0" collapsed="false">
      <c r="B196611" s="1" t="s">
        <v>39</v>
      </c>
      <c r="C196611" s="1" t="s">
        <v>40</v>
      </c>
      <c r="D196611" s="1" t="s">
        <v>40</v>
      </c>
    </row>
    <row r="196612" customFormat="false" ht="12" hidden="false" customHeight="true" outlineLevel="0" collapsed="false">
      <c r="B196612" s="1" t="s">
        <v>41</v>
      </c>
      <c r="C196612" s="1" t="s">
        <v>42</v>
      </c>
      <c r="D196612" s="1" t="s">
        <v>42</v>
      </c>
    </row>
    <row r="196613" customFormat="false" ht="12" hidden="false" customHeight="true" outlineLevel="0" collapsed="false">
      <c r="B196613" s="1" t="s">
        <v>43</v>
      </c>
      <c r="C196613" s="1" t="s">
        <v>44</v>
      </c>
      <c r="D196613" s="1" t="s">
        <v>45</v>
      </c>
    </row>
    <row r="196614" customFormat="false" ht="12" hidden="false" customHeight="true" outlineLevel="0" collapsed="false">
      <c r="B196614" s="1" t="s">
        <v>46</v>
      </c>
      <c r="C196614" s="1" t="s">
        <v>47</v>
      </c>
      <c r="D196614" s="1" t="s">
        <v>43</v>
      </c>
    </row>
    <row r="196615" customFormat="false" ht="12" hidden="false" customHeight="true" outlineLevel="0" collapsed="false">
      <c r="B196615" s="1" t="s">
        <v>48</v>
      </c>
      <c r="C196615" s="1" t="s">
        <v>49</v>
      </c>
      <c r="D196615" s="1" t="s">
        <v>50</v>
      </c>
    </row>
    <row r="196616" customFormat="false" ht="12" hidden="false" customHeight="true" outlineLevel="0" collapsed="false">
      <c r="B196616" s="1" t="n">
        <v>2000</v>
      </c>
      <c r="C196616" s="1" t="n">
        <v>16.963</v>
      </c>
      <c r="D196616" s="1" t="n">
        <v>1.865</v>
      </c>
    </row>
    <row r="196617" customFormat="false" ht="12" hidden="false" customHeight="true" outlineLevel="0" collapsed="false">
      <c r="B196617" s="1" t="n">
        <v>2001</v>
      </c>
      <c r="C196617" s="1" t="n">
        <v>17.772</v>
      </c>
      <c r="D196617" s="1" t="n">
        <v>4.769</v>
      </c>
    </row>
    <row r="196618" customFormat="false" ht="12" hidden="false" customHeight="true" outlineLevel="0" collapsed="false">
      <c r="B196618" s="1" t="n">
        <v>2002</v>
      </c>
      <c r="C196618" s="1" t="n">
        <v>18.747</v>
      </c>
      <c r="D196618" s="1" t="n">
        <v>5.487</v>
      </c>
    </row>
    <row r="196619" customFormat="false" ht="12" hidden="false" customHeight="true" outlineLevel="0" collapsed="false">
      <c r="B196619" s="1" t="n">
        <v>2003</v>
      </c>
      <c r="C196619" s="1" t="n">
        <v>20.852</v>
      </c>
      <c r="D196619" s="1" t="n">
        <v>11.228</v>
      </c>
    </row>
    <row r="196620" customFormat="false" ht="12" hidden="false" customHeight="true" outlineLevel="0" collapsed="false">
      <c r="B196620" s="1" t="n">
        <v>2004</v>
      </c>
      <c r="C196620" s="1" t="n">
        <v>22.061</v>
      </c>
      <c r="D196620" s="1" t="n">
        <v>5.796</v>
      </c>
    </row>
    <row r="196621" customFormat="false" ht="12" hidden="false" customHeight="true" outlineLevel="0" collapsed="false">
      <c r="B196621" s="1" t="n">
        <v>2005</v>
      </c>
      <c r="C196621" s="1" t="n">
        <v>24.176</v>
      </c>
      <c r="D196621" s="1" t="n">
        <v>9.588</v>
      </c>
    </row>
    <row r="196622" customFormat="false" ht="12" hidden="false" customHeight="true" outlineLevel="0" collapsed="false">
      <c r="B196622" s="1" t="n">
        <v>2006</v>
      </c>
      <c r="C196622" s="1" t="n">
        <v>26.454</v>
      </c>
      <c r="D196622" s="1" t="n">
        <v>9.42</v>
      </c>
    </row>
    <row r="196623" customFormat="false" ht="12" hidden="false" customHeight="true" outlineLevel="0" collapsed="false">
      <c r="B196623" s="1" t="n">
        <v>2007</v>
      </c>
      <c r="C196623" s="1" t="n">
        <v>29.781</v>
      </c>
      <c r="D196623" s="1" t="n">
        <v>12.579</v>
      </c>
    </row>
    <row r="196624" customFormat="false" ht="12" hidden="false" customHeight="true" outlineLevel="0" collapsed="false">
      <c r="B196624" s="1" t="n">
        <v>2008</v>
      </c>
      <c r="C196624" s="1" t="n">
        <v>30.502</v>
      </c>
      <c r="D196624" s="1" t="n">
        <v>2.419</v>
      </c>
    </row>
    <row r="196625" customFormat="false" ht="12" hidden="false" customHeight="true" outlineLevel="0" collapsed="false">
      <c r="B196625" s="1" t="n">
        <v>2009</v>
      </c>
      <c r="C196625" s="1" t="n">
        <v>29.388</v>
      </c>
      <c r="D196625" s="1" t="n">
        <v>-3.651</v>
      </c>
    </row>
    <row r="196626" customFormat="false" ht="12" hidden="false" customHeight="true" outlineLevel="0" collapsed="false">
      <c r="B196626" s="1" t="n">
        <v>2010</v>
      </c>
      <c r="C196626" s="1" t="n">
        <v>31.428</v>
      </c>
      <c r="D196626" s="1" t="n">
        <v>6.942</v>
      </c>
    </row>
    <row r="196627" customFormat="false" ht="12" hidden="false" customHeight="true" outlineLevel="0" collapsed="false">
      <c r="B196627" s="1" t="n">
        <v>2011</v>
      </c>
      <c r="C196627" s="1" t="n">
        <v>33.927</v>
      </c>
      <c r="D196627" s="1" t="n">
        <v>7.949</v>
      </c>
    </row>
    <row r="196628" customFormat="false" ht="12" hidden="false" customHeight="true" outlineLevel="0" collapsed="false">
      <c r="B196628" s="1" t="n">
        <v>2012</v>
      </c>
      <c r="C196628" s="1" t="n">
        <v>36.159</v>
      </c>
      <c r="D196628" s="1" t="n">
        <v>6.579</v>
      </c>
    </row>
    <row r="196629" customFormat="false" ht="12" hidden="false" customHeight="true" outlineLevel="0" collapsed="false">
      <c r="B196629" s="1" t="n">
        <v>2013</v>
      </c>
      <c r="C196629" s="1" t="n">
        <v>38.015</v>
      </c>
      <c r="D196629" s="1" t="n">
        <v>5.134</v>
      </c>
    </row>
    <row r="196630" customFormat="false" ht="12" hidden="false" customHeight="true" outlineLevel="0" collapsed="false">
      <c r="B196630" s="1" t="n">
        <v>2014</v>
      </c>
      <c r="C196630" s="1" t="n">
        <v>39.57</v>
      </c>
      <c r="D196630" s="1" t="n">
        <v>4.091</v>
      </c>
    </row>
    <row r="196631" customFormat="false" ht="12" hidden="false" customHeight="true" outlineLevel="0" collapsed="false">
      <c r="B196631" s="1" t="n">
        <v>2015</v>
      </c>
      <c r="C196631" s="1" t="n">
        <v>40.896</v>
      </c>
      <c r="D196631" s="1" t="n">
        <v>3.351</v>
      </c>
    </row>
    <row r="196632" customFormat="false" ht="12" hidden="false" customHeight="true" outlineLevel="0" collapsed="false">
      <c r="B196632" s="1" t="n">
        <v>2016</v>
      </c>
      <c r="C196632" s="1" t="n">
        <v>42.307</v>
      </c>
      <c r="D196632" s="1" t="n">
        <v>3.45</v>
      </c>
    </row>
    <row r="196633" customFormat="false" ht="12" hidden="false" customHeight="true" outlineLevel="0" collapsed="false">
      <c r="B196633" s="1" t="n">
        <v>2017</v>
      </c>
      <c r="C196633" s="1" t="n">
        <v>44.49</v>
      </c>
      <c r="D196633" s="1" t="n">
        <v>5.161</v>
      </c>
    </row>
    <row r="196634" customFormat="false" ht="12" hidden="false" customHeight="true" outlineLevel="0" collapsed="false">
      <c r="B196634" s="1" t="n">
        <v>2018</v>
      </c>
      <c r="C196634" s="1" t="n">
        <v>47.187</v>
      </c>
      <c r="D196634" s="1" t="n">
        <v>6.062</v>
      </c>
    </row>
    <row r="196635" customFormat="false" ht="12" hidden="false" customHeight="true" outlineLevel="0" collapsed="false">
      <c r="B196635" s="1" t="n">
        <v>2019</v>
      </c>
      <c r="C196635" s="1" t="n">
        <v>49.726</v>
      </c>
      <c r="D196635" s="1" t="n">
        <v>5.38</v>
      </c>
    </row>
    <row r="196636" customFormat="false" ht="12" hidden="false" customHeight="true" outlineLevel="0" collapsed="false">
      <c r="B196636" s="1" t="n">
        <v>2020</v>
      </c>
      <c r="C196636" s="1" t="n">
        <v>46.598</v>
      </c>
      <c r="D196636" s="1" t="n">
        <v>-6.291</v>
      </c>
    </row>
    <row r="196637" customFormat="false" ht="12" hidden="false" customHeight="true" outlineLevel="0" collapsed="false">
      <c r="B196637" s="1" t="n">
        <v>2021</v>
      </c>
      <c r="C196637" s="1" t="n">
        <v>51.558</v>
      </c>
      <c r="D196637" s="1" t="n">
        <v>10.644</v>
      </c>
    </row>
    <row r="196638" customFormat="false" ht="12" hidden="false" customHeight="true" outlineLevel="0" collapsed="false">
      <c r="B196638" s="1" t="n">
        <v>2022</v>
      </c>
      <c r="C196638" s="1" t="n">
        <v>57.208</v>
      </c>
      <c r="D196638" s="1" t="n">
        <v>10.96</v>
      </c>
    </row>
    <row r="196639" customFormat="false" ht="12" hidden="false" customHeight="true" outlineLevel="0" collapsed="false">
      <c r="B196639" s="1" t="n">
        <v>2023</v>
      </c>
      <c r="C196639" s="1" t="n">
        <v>61.689</v>
      </c>
      <c r="D196639" s="1" t="n">
        <v>7.832</v>
      </c>
    </row>
    <row r="196640" customFormat="false" ht="12" hidden="false" customHeight="true" outlineLevel="0" collapsed="false">
      <c r="B196640" s="1" t="n">
        <v>2024</v>
      </c>
      <c r="C196640" s="1" t="n">
        <v>67.505</v>
      </c>
      <c r="D196640" s="1" t="n">
        <v>9.429</v>
      </c>
    </row>
    <row r="196641" customFormat="false" ht="12" hidden="false" customHeight="true" outlineLevel="0" collapsed="false">
      <c r="B196641" s="1" t="n">
        <v>2025</v>
      </c>
      <c r="C196641" s="1" t="n">
        <v>71.54</v>
      </c>
      <c r="D196641" s="1" t="n">
        <v>5.977</v>
      </c>
    </row>
    <row r="196642" customFormat="false" ht="12" hidden="false" customHeight="true" outlineLevel="0" collapsed="false">
      <c r="B196642" s="1" t="n">
        <v>2026</v>
      </c>
      <c r="C196642" s="1" t="n">
        <v>75.117</v>
      </c>
      <c r="D196642" s="1" t="n">
        <v>5</v>
      </c>
    </row>
    <row r="196643" customFormat="false" ht="12" hidden="false" customHeight="true" outlineLevel="0" collapsed="false">
      <c r="B196643" s="1" t="n">
        <v>2027</v>
      </c>
      <c r="C196643" s="1" t="n">
        <v>78.873</v>
      </c>
      <c r="D196643" s="1" t="n">
        <v>5</v>
      </c>
    </row>
    <row r="196644" customFormat="false" ht="12" hidden="false" customHeight="true" outlineLevel="0" collapsed="false">
      <c r="B196644" s="1" t="s">
        <v>51</v>
      </c>
      <c r="C196644" s="1" t="n">
        <v>2024</v>
      </c>
      <c r="D196644" s="1" t="n">
        <v>2024</v>
      </c>
    </row>
    <row r="212993" customFormat="false" ht="12" hidden="false" customHeight="true" outlineLevel="0" collapsed="false">
      <c r="B212993" s="1" t="s">
        <v>35</v>
      </c>
      <c r="C212993" s="1" t="n">
        <v>915</v>
      </c>
      <c r="D212993" s="1" t="n">
        <v>915</v>
      </c>
    </row>
    <row r="212994" customFormat="false" ht="12" hidden="false" customHeight="true" outlineLevel="0" collapsed="false">
      <c r="B212994" s="1" t="s">
        <v>36</v>
      </c>
      <c r="C212994" s="1" t="s">
        <v>37</v>
      </c>
      <c r="D212994" s="1" t="s">
        <v>38</v>
      </c>
    </row>
    <row r="212995" customFormat="false" ht="12" hidden="false" customHeight="true" outlineLevel="0" collapsed="false">
      <c r="B212995" s="1" t="s">
        <v>39</v>
      </c>
      <c r="C212995" s="1" t="s">
        <v>40</v>
      </c>
      <c r="D212995" s="1" t="s">
        <v>40</v>
      </c>
    </row>
    <row r="212996" customFormat="false" ht="12" hidden="false" customHeight="true" outlineLevel="0" collapsed="false">
      <c r="B212996" s="1" t="s">
        <v>41</v>
      </c>
      <c r="C212996" s="1" t="s">
        <v>42</v>
      </c>
      <c r="D212996" s="1" t="s">
        <v>42</v>
      </c>
    </row>
    <row r="212997" customFormat="false" ht="12" hidden="false" customHeight="true" outlineLevel="0" collapsed="false">
      <c r="B212997" s="1" t="s">
        <v>43</v>
      </c>
      <c r="C212997" s="1" t="s">
        <v>44</v>
      </c>
      <c r="D212997" s="1" t="s">
        <v>45</v>
      </c>
    </row>
    <row r="212998" customFormat="false" ht="12" hidden="false" customHeight="true" outlineLevel="0" collapsed="false">
      <c r="B212998" s="1" t="s">
        <v>46</v>
      </c>
      <c r="C212998" s="1" t="s">
        <v>47</v>
      </c>
      <c r="D212998" s="1" t="s">
        <v>43</v>
      </c>
    </row>
    <row r="212999" customFormat="false" ht="12" hidden="false" customHeight="true" outlineLevel="0" collapsed="false">
      <c r="B212999" s="1" t="s">
        <v>48</v>
      </c>
      <c r="C212999" s="1" t="s">
        <v>49</v>
      </c>
      <c r="D212999" s="1" t="s">
        <v>50</v>
      </c>
    </row>
    <row r="213000" customFormat="false" ht="12" hidden="false" customHeight="true" outlineLevel="0" collapsed="false">
      <c r="B213000" s="1" t="n">
        <v>2000</v>
      </c>
      <c r="C213000" s="1" t="n">
        <v>16.963</v>
      </c>
      <c r="D213000" s="1" t="n">
        <v>1.865</v>
      </c>
    </row>
    <row r="213001" customFormat="false" ht="12" hidden="false" customHeight="true" outlineLevel="0" collapsed="false">
      <c r="B213001" s="1" t="n">
        <v>2001</v>
      </c>
      <c r="C213001" s="1" t="n">
        <v>17.772</v>
      </c>
      <c r="D213001" s="1" t="n">
        <v>4.769</v>
      </c>
    </row>
    <row r="213002" customFormat="false" ht="12" hidden="false" customHeight="true" outlineLevel="0" collapsed="false">
      <c r="B213002" s="1" t="n">
        <v>2002</v>
      </c>
      <c r="C213002" s="1" t="n">
        <v>18.747</v>
      </c>
      <c r="D213002" s="1" t="n">
        <v>5.487</v>
      </c>
    </row>
    <row r="213003" customFormat="false" ht="12" hidden="false" customHeight="true" outlineLevel="0" collapsed="false">
      <c r="B213003" s="1" t="n">
        <v>2003</v>
      </c>
      <c r="C213003" s="1" t="n">
        <v>20.852</v>
      </c>
      <c r="D213003" s="1" t="n">
        <v>11.228</v>
      </c>
    </row>
    <row r="213004" customFormat="false" ht="12" hidden="false" customHeight="true" outlineLevel="0" collapsed="false">
      <c r="B213004" s="1" t="n">
        <v>2004</v>
      </c>
      <c r="C213004" s="1" t="n">
        <v>22.061</v>
      </c>
      <c r="D213004" s="1" t="n">
        <v>5.796</v>
      </c>
    </row>
    <row r="213005" customFormat="false" ht="12" hidden="false" customHeight="true" outlineLevel="0" collapsed="false">
      <c r="B213005" s="1" t="n">
        <v>2005</v>
      </c>
      <c r="C213005" s="1" t="n">
        <v>24.176</v>
      </c>
      <c r="D213005" s="1" t="n">
        <v>9.588</v>
      </c>
    </row>
    <row r="213006" customFormat="false" ht="12" hidden="false" customHeight="true" outlineLevel="0" collapsed="false">
      <c r="B213006" s="1" t="n">
        <v>2006</v>
      </c>
      <c r="C213006" s="1" t="n">
        <v>26.454</v>
      </c>
      <c r="D213006" s="1" t="n">
        <v>9.42</v>
      </c>
    </row>
    <row r="213007" customFormat="false" ht="12" hidden="false" customHeight="true" outlineLevel="0" collapsed="false">
      <c r="B213007" s="1" t="n">
        <v>2007</v>
      </c>
      <c r="C213007" s="1" t="n">
        <v>29.781</v>
      </c>
      <c r="D213007" s="1" t="n">
        <v>12.579</v>
      </c>
    </row>
    <row r="213008" customFormat="false" ht="12" hidden="false" customHeight="true" outlineLevel="0" collapsed="false">
      <c r="B213008" s="1" t="n">
        <v>2008</v>
      </c>
      <c r="C213008" s="1" t="n">
        <v>30.502</v>
      </c>
      <c r="D213008" s="1" t="n">
        <v>2.419</v>
      </c>
    </row>
    <row r="213009" customFormat="false" ht="12" hidden="false" customHeight="true" outlineLevel="0" collapsed="false">
      <c r="B213009" s="1" t="n">
        <v>2009</v>
      </c>
      <c r="C213009" s="1" t="n">
        <v>29.388</v>
      </c>
      <c r="D213009" s="1" t="n">
        <v>-3.651</v>
      </c>
    </row>
    <row r="213010" customFormat="false" ht="12" hidden="false" customHeight="true" outlineLevel="0" collapsed="false">
      <c r="B213010" s="1" t="n">
        <v>2010</v>
      </c>
      <c r="C213010" s="1" t="n">
        <v>31.428</v>
      </c>
      <c r="D213010" s="1" t="n">
        <v>6.942</v>
      </c>
    </row>
    <row r="213011" customFormat="false" ht="12" hidden="false" customHeight="true" outlineLevel="0" collapsed="false">
      <c r="B213011" s="1" t="n">
        <v>2011</v>
      </c>
      <c r="C213011" s="1" t="n">
        <v>33.927</v>
      </c>
      <c r="D213011" s="1" t="n">
        <v>7.949</v>
      </c>
    </row>
    <row r="213012" customFormat="false" ht="12" hidden="false" customHeight="true" outlineLevel="0" collapsed="false">
      <c r="B213012" s="1" t="n">
        <v>2012</v>
      </c>
      <c r="C213012" s="1" t="n">
        <v>36.159</v>
      </c>
      <c r="D213012" s="1" t="n">
        <v>6.579</v>
      </c>
    </row>
    <row r="213013" customFormat="false" ht="12" hidden="false" customHeight="true" outlineLevel="0" collapsed="false">
      <c r="B213013" s="1" t="n">
        <v>2013</v>
      </c>
      <c r="C213013" s="1" t="n">
        <v>38.015</v>
      </c>
      <c r="D213013" s="1" t="n">
        <v>5.134</v>
      </c>
    </row>
    <row r="213014" customFormat="false" ht="12" hidden="false" customHeight="true" outlineLevel="0" collapsed="false">
      <c r="B213014" s="1" t="n">
        <v>2014</v>
      </c>
      <c r="C213014" s="1" t="n">
        <v>39.57</v>
      </c>
      <c r="D213014" s="1" t="n">
        <v>4.091</v>
      </c>
    </row>
    <row r="213015" customFormat="false" ht="12" hidden="false" customHeight="true" outlineLevel="0" collapsed="false">
      <c r="B213015" s="1" t="n">
        <v>2015</v>
      </c>
      <c r="C213015" s="1" t="n">
        <v>40.896</v>
      </c>
      <c r="D213015" s="1" t="n">
        <v>3.351</v>
      </c>
    </row>
    <row r="213016" customFormat="false" ht="12" hidden="false" customHeight="true" outlineLevel="0" collapsed="false">
      <c r="B213016" s="1" t="n">
        <v>2016</v>
      </c>
      <c r="C213016" s="1" t="n">
        <v>42.307</v>
      </c>
      <c r="D213016" s="1" t="n">
        <v>3.45</v>
      </c>
    </row>
    <row r="213017" customFormat="false" ht="12" hidden="false" customHeight="true" outlineLevel="0" collapsed="false">
      <c r="B213017" s="1" t="n">
        <v>2017</v>
      </c>
      <c r="C213017" s="1" t="n">
        <v>44.49</v>
      </c>
      <c r="D213017" s="1" t="n">
        <v>5.161</v>
      </c>
    </row>
    <row r="213018" customFormat="false" ht="12" hidden="false" customHeight="true" outlineLevel="0" collapsed="false">
      <c r="B213018" s="1" t="n">
        <v>2018</v>
      </c>
      <c r="C213018" s="1" t="n">
        <v>47.187</v>
      </c>
      <c r="D213018" s="1" t="n">
        <v>6.062</v>
      </c>
    </row>
    <row r="213019" customFormat="false" ht="12" hidden="false" customHeight="true" outlineLevel="0" collapsed="false">
      <c r="B213019" s="1" t="n">
        <v>2019</v>
      </c>
      <c r="C213019" s="1" t="n">
        <v>49.726</v>
      </c>
      <c r="D213019" s="1" t="n">
        <v>5.38</v>
      </c>
    </row>
    <row r="213020" customFormat="false" ht="12" hidden="false" customHeight="true" outlineLevel="0" collapsed="false">
      <c r="B213020" s="1" t="n">
        <v>2020</v>
      </c>
      <c r="C213020" s="1" t="n">
        <v>46.598</v>
      </c>
      <c r="D213020" s="1" t="n">
        <v>-6.291</v>
      </c>
    </row>
    <row r="213021" customFormat="false" ht="12" hidden="false" customHeight="true" outlineLevel="0" collapsed="false">
      <c r="B213021" s="1" t="n">
        <v>2021</v>
      </c>
      <c r="C213021" s="1" t="n">
        <v>51.558</v>
      </c>
      <c r="D213021" s="1" t="n">
        <v>10.644</v>
      </c>
    </row>
    <row r="213022" customFormat="false" ht="12" hidden="false" customHeight="true" outlineLevel="0" collapsed="false">
      <c r="B213022" s="1" t="n">
        <v>2022</v>
      </c>
      <c r="C213022" s="1" t="n">
        <v>57.208</v>
      </c>
      <c r="D213022" s="1" t="n">
        <v>10.96</v>
      </c>
    </row>
    <row r="213023" customFormat="false" ht="12" hidden="false" customHeight="true" outlineLevel="0" collapsed="false">
      <c r="B213023" s="1" t="n">
        <v>2023</v>
      </c>
      <c r="C213023" s="1" t="n">
        <v>61.689</v>
      </c>
      <c r="D213023" s="1" t="n">
        <v>7.832</v>
      </c>
    </row>
    <row r="213024" customFormat="false" ht="12" hidden="false" customHeight="true" outlineLevel="0" collapsed="false">
      <c r="B213024" s="1" t="n">
        <v>2024</v>
      </c>
      <c r="C213024" s="1" t="n">
        <v>67.505</v>
      </c>
      <c r="D213024" s="1" t="n">
        <v>9.429</v>
      </c>
    </row>
    <row r="213025" customFormat="false" ht="12" hidden="false" customHeight="true" outlineLevel="0" collapsed="false">
      <c r="B213025" s="1" t="n">
        <v>2025</v>
      </c>
      <c r="C213025" s="1" t="n">
        <v>71.54</v>
      </c>
      <c r="D213025" s="1" t="n">
        <v>5.977</v>
      </c>
    </row>
    <row r="213026" customFormat="false" ht="12" hidden="false" customHeight="true" outlineLevel="0" collapsed="false">
      <c r="B213026" s="1" t="n">
        <v>2026</v>
      </c>
      <c r="C213026" s="1" t="n">
        <v>75.117</v>
      </c>
      <c r="D213026" s="1" t="n">
        <v>5</v>
      </c>
    </row>
    <row r="213027" customFormat="false" ht="12" hidden="false" customHeight="true" outlineLevel="0" collapsed="false">
      <c r="B213027" s="1" t="n">
        <v>2027</v>
      </c>
      <c r="C213027" s="1" t="n">
        <v>78.873</v>
      </c>
      <c r="D213027" s="1" t="n">
        <v>5</v>
      </c>
    </row>
    <row r="213028" customFormat="false" ht="12" hidden="false" customHeight="true" outlineLevel="0" collapsed="false">
      <c r="B213028" s="1" t="s">
        <v>51</v>
      </c>
      <c r="C213028" s="1" t="n">
        <v>2024</v>
      </c>
      <c r="D213028" s="1" t="n">
        <v>2024</v>
      </c>
    </row>
    <row r="229377" customFormat="false" ht="12" hidden="false" customHeight="true" outlineLevel="0" collapsed="false">
      <c r="B229377" s="1" t="s">
        <v>35</v>
      </c>
      <c r="C229377" s="1" t="n">
        <v>915</v>
      </c>
      <c r="D229377" s="1" t="n">
        <v>915</v>
      </c>
    </row>
    <row r="229378" customFormat="false" ht="12" hidden="false" customHeight="true" outlineLevel="0" collapsed="false">
      <c r="B229378" s="1" t="s">
        <v>36</v>
      </c>
      <c r="C229378" s="1" t="s">
        <v>37</v>
      </c>
      <c r="D229378" s="1" t="s">
        <v>38</v>
      </c>
    </row>
    <row r="229379" customFormat="false" ht="12" hidden="false" customHeight="true" outlineLevel="0" collapsed="false">
      <c r="B229379" s="1" t="s">
        <v>39</v>
      </c>
      <c r="C229379" s="1" t="s">
        <v>40</v>
      </c>
      <c r="D229379" s="1" t="s">
        <v>40</v>
      </c>
    </row>
    <row r="229380" customFormat="false" ht="12" hidden="false" customHeight="true" outlineLevel="0" collapsed="false">
      <c r="B229380" s="1" t="s">
        <v>41</v>
      </c>
      <c r="C229380" s="1" t="s">
        <v>42</v>
      </c>
      <c r="D229380" s="1" t="s">
        <v>42</v>
      </c>
    </row>
    <row r="229381" customFormat="false" ht="12" hidden="false" customHeight="true" outlineLevel="0" collapsed="false">
      <c r="B229381" s="1" t="s">
        <v>43</v>
      </c>
      <c r="C229381" s="1" t="s">
        <v>44</v>
      </c>
      <c r="D229381" s="1" t="s">
        <v>45</v>
      </c>
    </row>
    <row r="229382" customFormat="false" ht="12" hidden="false" customHeight="true" outlineLevel="0" collapsed="false">
      <c r="B229382" s="1" t="s">
        <v>46</v>
      </c>
      <c r="C229382" s="1" t="s">
        <v>47</v>
      </c>
      <c r="D229382" s="1" t="s">
        <v>43</v>
      </c>
    </row>
    <row r="229383" customFormat="false" ht="12" hidden="false" customHeight="true" outlineLevel="0" collapsed="false">
      <c r="B229383" s="1" t="s">
        <v>48</v>
      </c>
      <c r="C229383" s="1" t="s">
        <v>49</v>
      </c>
      <c r="D229383" s="1" t="s">
        <v>50</v>
      </c>
    </row>
    <row r="229384" customFormat="false" ht="12" hidden="false" customHeight="true" outlineLevel="0" collapsed="false">
      <c r="B229384" s="1" t="n">
        <v>2000</v>
      </c>
      <c r="C229384" s="1" t="n">
        <v>16.963</v>
      </c>
      <c r="D229384" s="1" t="n">
        <v>1.865</v>
      </c>
    </row>
    <row r="229385" customFormat="false" ht="12" hidden="false" customHeight="true" outlineLevel="0" collapsed="false">
      <c r="B229385" s="1" t="n">
        <v>2001</v>
      </c>
      <c r="C229385" s="1" t="n">
        <v>17.772</v>
      </c>
      <c r="D229385" s="1" t="n">
        <v>4.769</v>
      </c>
    </row>
    <row r="229386" customFormat="false" ht="12" hidden="false" customHeight="true" outlineLevel="0" collapsed="false">
      <c r="B229386" s="1" t="n">
        <v>2002</v>
      </c>
      <c r="C229386" s="1" t="n">
        <v>18.747</v>
      </c>
      <c r="D229386" s="1" t="n">
        <v>5.487</v>
      </c>
    </row>
    <row r="229387" customFormat="false" ht="12" hidden="false" customHeight="true" outlineLevel="0" collapsed="false">
      <c r="B229387" s="1" t="n">
        <v>2003</v>
      </c>
      <c r="C229387" s="1" t="n">
        <v>20.852</v>
      </c>
      <c r="D229387" s="1" t="n">
        <v>11.228</v>
      </c>
    </row>
    <row r="229388" customFormat="false" ht="12" hidden="false" customHeight="true" outlineLevel="0" collapsed="false">
      <c r="B229388" s="1" t="n">
        <v>2004</v>
      </c>
      <c r="C229388" s="1" t="n">
        <v>22.061</v>
      </c>
      <c r="D229388" s="1" t="n">
        <v>5.796</v>
      </c>
    </row>
    <row r="229389" customFormat="false" ht="12" hidden="false" customHeight="true" outlineLevel="0" collapsed="false">
      <c r="B229389" s="1" t="n">
        <v>2005</v>
      </c>
      <c r="C229389" s="1" t="n">
        <v>24.176</v>
      </c>
      <c r="D229389" s="1" t="n">
        <v>9.588</v>
      </c>
    </row>
    <row r="229390" customFormat="false" ht="12" hidden="false" customHeight="true" outlineLevel="0" collapsed="false">
      <c r="B229390" s="1" t="n">
        <v>2006</v>
      </c>
      <c r="C229390" s="1" t="n">
        <v>26.454</v>
      </c>
      <c r="D229390" s="1" t="n">
        <v>9.42</v>
      </c>
    </row>
    <row r="229391" customFormat="false" ht="12" hidden="false" customHeight="true" outlineLevel="0" collapsed="false">
      <c r="B229391" s="1" t="n">
        <v>2007</v>
      </c>
      <c r="C229391" s="1" t="n">
        <v>29.781</v>
      </c>
      <c r="D229391" s="1" t="n">
        <v>12.579</v>
      </c>
    </row>
    <row r="229392" customFormat="false" ht="12" hidden="false" customHeight="true" outlineLevel="0" collapsed="false">
      <c r="B229392" s="1" t="n">
        <v>2008</v>
      </c>
      <c r="C229392" s="1" t="n">
        <v>30.502</v>
      </c>
      <c r="D229392" s="1" t="n">
        <v>2.419</v>
      </c>
    </row>
    <row r="229393" customFormat="false" ht="12" hidden="false" customHeight="true" outlineLevel="0" collapsed="false">
      <c r="B229393" s="1" t="n">
        <v>2009</v>
      </c>
      <c r="C229393" s="1" t="n">
        <v>29.388</v>
      </c>
      <c r="D229393" s="1" t="n">
        <v>-3.651</v>
      </c>
    </row>
    <row r="229394" customFormat="false" ht="12" hidden="false" customHeight="true" outlineLevel="0" collapsed="false">
      <c r="B229394" s="1" t="n">
        <v>2010</v>
      </c>
      <c r="C229394" s="1" t="n">
        <v>31.428</v>
      </c>
      <c r="D229394" s="1" t="n">
        <v>6.942</v>
      </c>
    </row>
    <row r="229395" customFormat="false" ht="12" hidden="false" customHeight="true" outlineLevel="0" collapsed="false">
      <c r="B229395" s="1" t="n">
        <v>2011</v>
      </c>
      <c r="C229395" s="1" t="n">
        <v>33.927</v>
      </c>
      <c r="D229395" s="1" t="n">
        <v>7.949</v>
      </c>
    </row>
    <row r="229396" customFormat="false" ht="12" hidden="false" customHeight="true" outlineLevel="0" collapsed="false">
      <c r="B229396" s="1" t="n">
        <v>2012</v>
      </c>
      <c r="C229396" s="1" t="n">
        <v>36.159</v>
      </c>
      <c r="D229396" s="1" t="n">
        <v>6.579</v>
      </c>
    </row>
    <row r="229397" customFormat="false" ht="12" hidden="false" customHeight="true" outlineLevel="0" collapsed="false">
      <c r="B229397" s="1" t="n">
        <v>2013</v>
      </c>
      <c r="C229397" s="1" t="n">
        <v>38.015</v>
      </c>
      <c r="D229397" s="1" t="n">
        <v>5.134</v>
      </c>
    </row>
    <row r="229398" customFormat="false" ht="12" hidden="false" customHeight="true" outlineLevel="0" collapsed="false">
      <c r="B229398" s="1" t="n">
        <v>2014</v>
      </c>
      <c r="C229398" s="1" t="n">
        <v>39.57</v>
      </c>
      <c r="D229398" s="1" t="n">
        <v>4.091</v>
      </c>
    </row>
    <row r="229399" customFormat="false" ht="12" hidden="false" customHeight="true" outlineLevel="0" collapsed="false">
      <c r="B229399" s="1" t="n">
        <v>2015</v>
      </c>
      <c r="C229399" s="1" t="n">
        <v>40.896</v>
      </c>
      <c r="D229399" s="1" t="n">
        <v>3.351</v>
      </c>
    </row>
    <row r="229400" customFormat="false" ht="12" hidden="false" customHeight="true" outlineLevel="0" collapsed="false">
      <c r="B229400" s="1" t="n">
        <v>2016</v>
      </c>
      <c r="C229400" s="1" t="n">
        <v>42.307</v>
      </c>
      <c r="D229400" s="1" t="n">
        <v>3.45</v>
      </c>
    </row>
    <row r="229401" customFormat="false" ht="12" hidden="false" customHeight="true" outlineLevel="0" collapsed="false">
      <c r="B229401" s="1" t="n">
        <v>2017</v>
      </c>
      <c r="C229401" s="1" t="n">
        <v>44.49</v>
      </c>
      <c r="D229401" s="1" t="n">
        <v>5.161</v>
      </c>
    </row>
    <row r="229402" customFormat="false" ht="12" hidden="false" customHeight="true" outlineLevel="0" collapsed="false">
      <c r="B229402" s="1" t="n">
        <v>2018</v>
      </c>
      <c r="C229402" s="1" t="n">
        <v>47.187</v>
      </c>
      <c r="D229402" s="1" t="n">
        <v>6.062</v>
      </c>
    </row>
    <row r="229403" customFormat="false" ht="12" hidden="false" customHeight="true" outlineLevel="0" collapsed="false">
      <c r="B229403" s="1" t="n">
        <v>2019</v>
      </c>
      <c r="C229403" s="1" t="n">
        <v>49.726</v>
      </c>
      <c r="D229403" s="1" t="n">
        <v>5.38</v>
      </c>
    </row>
    <row r="229404" customFormat="false" ht="12" hidden="false" customHeight="true" outlineLevel="0" collapsed="false">
      <c r="B229404" s="1" t="n">
        <v>2020</v>
      </c>
      <c r="C229404" s="1" t="n">
        <v>46.598</v>
      </c>
      <c r="D229404" s="1" t="n">
        <v>-6.291</v>
      </c>
    </row>
    <row r="229405" customFormat="false" ht="12" hidden="false" customHeight="true" outlineLevel="0" collapsed="false">
      <c r="B229405" s="1" t="n">
        <v>2021</v>
      </c>
      <c r="C229405" s="1" t="n">
        <v>51.558</v>
      </c>
      <c r="D229405" s="1" t="n">
        <v>10.644</v>
      </c>
    </row>
    <row r="229406" customFormat="false" ht="12" hidden="false" customHeight="true" outlineLevel="0" collapsed="false">
      <c r="B229406" s="1" t="n">
        <v>2022</v>
      </c>
      <c r="C229406" s="1" t="n">
        <v>57.208</v>
      </c>
      <c r="D229406" s="1" t="n">
        <v>10.96</v>
      </c>
    </row>
    <row r="229407" customFormat="false" ht="12" hidden="false" customHeight="true" outlineLevel="0" collapsed="false">
      <c r="B229407" s="1" t="n">
        <v>2023</v>
      </c>
      <c r="C229407" s="1" t="n">
        <v>61.689</v>
      </c>
      <c r="D229407" s="1" t="n">
        <v>7.832</v>
      </c>
    </row>
    <row r="229408" customFormat="false" ht="12" hidden="false" customHeight="true" outlineLevel="0" collapsed="false">
      <c r="B229408" s="1" t="n">
        <v>2024</v>
      </c>
      <c r="C229408" s="1" t="n">
        <v>67.505</v>
      </c>
      <c r="D229408" s="1" t="n">
        <v>9.429</v>
      </c>
    </row>
    <row r="229409" customFormat="false" ht="12" hidden="false" customHeight="true" outlineLevel="0" collapsed="false">
      <c r="B229409" s="1" t="n">
        <v>2025</v>
      </c>
      <c r="C229409" s="1" t="n">
        <v>71.54</v>
      </c>
      <c r="D229409" s="1" t="n">
        <v>5.977</v>
      </c>
    </row>
    <row r="229410" customFormat="false" ht="12" hidden="false" customHeight="true" outlineLevel="0" collapsed="false">
      <c r="B229410" s="1" t="n">
        <v>2026</v>
      </c>
      <c r="C229410" s="1" t="n">
        <v>75.117</v>
      </c>
      <c r="D229410" s="1" t="n">
        <v>5</v>
      </c>
    </row>
    <row r="229411" customFormat="false" ht="12" hidden="false" customHeight="true" outlineLevel="0" collapsed="false">
      <c r="B229411" s="1" t="n">
        <v>2027</v>
      </c>
      <c r="C229411" s="1" t="n">
        <v>78.873</v>
      </c>
      <c r="D229411" s="1" t="n">
        <v>5</v>
      </c>
    </row>
    <row r="229412" customFormat="false" ht="12" hidden="false" customHeight="true" outlineLevel="0" collapsed="false">
      <c r="B229412" s="1" t="s">
        <v>51</v>
      </c>
      <c r="C229412" s="1" t="n">
        <v>2024</v>
      </c>
      <c r="D229412" s="1" t="n">
        <v>2024</v>
      </c>
    </row>
    <row r="245761" customFormat="false" ht="12" hidden="false" customHeight="true" outlineLevel="0" collapsed="false">
      <c r="B245761" s="1" t="s">
        <v>35</v>
      </c>
      <c r="C245761" s="1" t="n">
        <v>915</v>
      </c>
      <c r="D245761" s="1" t="n">
        <v>915</v>
      </c>
    </row>
    <row r="245762" customFormat="false" ht="12" hidden="false" customHeight="true" outlineLevel="0" collapsed="false">
      <c r="B245762" s="1" t="s">
        <v>36</v>
      </c>
      <c r="C245762" s="1" t="s">
        <v>37</v>
      </c>
      <c r="D245762" s="1" t="s">
        <v>38</v>
      </c>
    </row>
    <row r="245763" customFormat="false" ht="12" hidden="false" customHeight="true" outlineLevel="0" collapsed="false">
      <c r="B245763" s="1" t="s">
        <v>39</v>
      </c>
      <c r="C245763" s="1" t="s">
        <v>40</v>
      </c>
      <c r="D245763" s="1" t="s">
        <v>40</v>
      </c>
    </row>
    <row r="245764" customFormat="false" ht="12" hidden="false" customHeight="true" outlineLevel="0" collapsed="false">
      <c r="B245764" s="1" t="s">
        <v>41</v>
      </c>
      <c r="C245764" s="1" t="s">
        <v>42</v>
      </c>
      <c r="D245764" s="1" t="s">
        <v>42</v>
      </c>
    </row>
    <row r="245765" customFormat="false" ht="12" hidden="false" customHeight="true" outlineLevel="0" collapsed="false">
      <c r="B245765" s="1" t="s">
        <v>43</v>
      </c>
      <c r="C245765" s="1" t="s">
        <v>44</v>
      </c>
      <c r="D245765" s="1" t="s">
        <v>45</v>
      </c>
    </row>
    <row r="245766" customFormat="false" ht="12" hidden="false" customHeight="true" outlineLevel="0" collapsed="false">
      <c r="B245766" s="1" t="s">
        <v>46</v>
      </c>
      <c r="C245766" s="1" t="s">
        <v>47</v>
      </c>
      <c r="D245766" s="1" t="s">
        <v>43</v>
      </c>
    </row>
    <row r="245767" customFormat="false" ht="12" hidden="false" customHeight="true" outlineLevel="0" collapsed="false">
      <c r="B245767" s="1" t="s">
        <v>48</v>
      </c>
      <c r="C245767" s="1" t="s">
        <v>49</v>
      </c>
      <c r="D245767" s="1" t="s">
        <v>50</v>
      </c>
    </row>
    <row r="245768" customFormat="false" ht="12" hidden="false" customHeight="true" outlineLevel="0" collapsed="false">
      <c r="B245768" s="1" t="n">
        <v>2000</v>
      </c>
      <c r="C245768" s="1" t="n">
        <v>16.963</v>
      </c>
      <c r="D245768" s="1" t="n">
        <v>1.865</v>
      </c>
    </row>
    <row r="245769" customFormat="false" ht="12" hidden="false" customHeight="true" outlineLevel="0" collapsed="false">
      <c r="B245769" s="1" t="n">
        <v>2001</v>
      </c>
      <c r="C245769" s="1" t="n">
        <v>17.772</v>
      </c>
      <c r="D245769" s="1" t="n">
        <v>4.769</v>
      </c>
    </row>
    <row r="245770" customFormat="false" ht="12" hidden="false" customHeight="true" outlineLevel="0" collapsed="false">
      <c r="B245770" s="1" t="n">
        <v>2002</v>
      </c>
      <c r="C245770" s="1" t="n">
        <v>18.747</v>
      </c>
      <c r="D245770" s="1" t="n">
        <v>5.487</v>
      </c>
    </row>
    <row r="245771" customFormat="false" ht="12" hidden="false" customHeight="true" outlineLevel="0" collapsed="false">
      <c r="B245771" s="1" t="n">
        <v>2003</v>
      </c>
      <c r="C245771" s="1" t="n">
        <v>20.852</v>
      </c>
      <c r="D245771" s="1" t="n">
        <v>11.228</v>
      </c>
    </row>
    <row r="245772" customFormat="false" ht="12" hidden="false" customHeight="true" outlineLevel="0" collapsed="false">
      <c r="B245772" s="1" t="n">
        <v>2004</v>
      </c>
      <c r="C245772" s="1" t="n">
        <v>22.061</v>
      </c>
      <c r="D245772" s="1" t="n">
        <v>5.796</v>
      </c>
    </row>
    <row r="245773" customFormat="false" ht="12" hidden="false" customHeight="true" outlineLevel="0" collapsed="false">
      <c r="B245773" s="1" t="n">
        <v>2005</v>
      </c>
      <c r="C245773" s="1" t="n">
        <v>24.176</v>
      </c>
      <c r="D245773" s="1" t="n">
        <v>9.588</v>
      </c>
    </row>
    <row r="245774" customFormat="false" ht="12" hidden="false" customHeight="true" outlineLevel="0" collapsed="false">
      <c r="B245774" s="1" t="n">
        <v>2006</v>
      </c>
      <c r="C245774" s="1" t="n">
        <v>26.454</v>
      </c>
      <c r="D245774" s="1" t="n">
        <v>9.42</v>
      </c>
    </row>
    <row r="245775" customFormat="false" ht="12" hidden="false" customHeight="true" outlineLevel="0" collapsed="false">
      <c r="B245775" s="1" t="n">
        <v>2007</v>
      </c>
      <c r="C245775" s="1" t="n">
        <v>29.781</v>
      </c>
      <c r="D245775" s="1" t="n">
        <v>12.579</v>
      </c>
    </row>
    <row r="245776" customFormat="false" ht="12" hidden="false" customHeight="true" outlineLevel="0" collapsed="false">
      <c r="B245776" s="1" t="n">
        <v>2008</v>
      </c>
      <c r="C245776" s="1" t="n">
        <v>30.502</v>
      </c>
      <c r="D245776" s="1" t="n">
        <v>2.419</v>
      </c>
    </row>
    <row r="245777" customFormat="false" ht="12" hidden="false" customHeight="true" outlineLevel="0" collapsed="false">
      <c r="B245777" s="1" t="n">
        <v>2009</v>
      </c>
      <c r="C245777" s="1" t="n">
        <v>29.388</v>
      </c>
      <c r="D245777" s="1" t="n">
        <v>-3.651</v>
      </c>
    </row>
    <row r="245778" customFormat="false" ht="12" hidden="false" customHeight="true" outlineLevel="0" collapsed="false">
      <c r="B245778" s="1" t="n">
        <v>2010</v>
      </c>
      <c r="C245778" s="1" t="n">
        <v>31.428</v>
      </c>
      <c r="D245778" s="1" t="n">
        <v>6.942</v>
      </c>
    </row>
    <row r="245779" customFormat="false" ht="12" hidden="false" customHeight="true" outlineLevel="0" collapsed="false">
      <c r="B245779" s="1" t="n">
        <v>2011</v>
      </c>
      <c r="C245779" s="1" t="n">
        <v>33.927</v>
      </c>
      <c r="D245779" s="1" t="n">
        <v>7.949</v>
      </c>
    </row>
    <row r="245780" customFormat="false" ht="12" hidden="false" customHeight="true" outlineLevel="0" collapsed="false">
      <c r="B245780" s="1" t="n">
        <v>2012</v>
      </c>
      <c r="C245780" s="1" t="n">
        <v>36.159</v>
      </c>
      <c r="D245780" s="1" t="n">
        <v>6.579</v>
      </c>
    </row>
    <row r="245781" customFormat="false" ht="12" hidden="false" customHeight="true" outlineLevel="0" collapsed="false">
      <c r="B245781" s="1" t="n">
        <v>2013</v>
      </c>
      <c r="C245781" s="1" t="n">
        <v>38.015</v>
      </c>
      <c r="D245781" s="1" t="n">
        <v>5.134</v>
      </c>
    </row>
    <row r="245782" customFormat="false" ht="12" hidden="false" customHeight="true" outlineLevel="0" collapsed="false">
      <c r="B245782" s="1" t="n">
        <v>2014</v>
      </c>
      <c r="C245782" s="1" t="n">
        <v>39.57</v>
      </c>
      <c r="D245782" s="1" t="n">
        <v>4.091</v>
      </c>
    </row>
    <row r="245783" customFormat="false" ht="12" hidden="false" customHeight="true" outlineLevel="0" collapsed="false">
      <c r="B245783" s="1" t="n">
        <v>2015</v>
      </c>
      <c r="C245783" s="1" t="n">
        <v>40.896</v>
      </c>
      <c r="D245783" s="1" t="n">
        <v>3.351</v>
      </c>
    </row>
    <row r="245784" customFormat="false" ht="12" hidden="false" customHeight="true" outlineLevel="0" collapsed="false">
      <c r="B245784" s="1" t="n">
        <v>2016</v>
      </c>
      <c r="C245784" s="1" t="n">
        <v>42.307</v>
      </c>
      <c r="D245784" s="1" t="n">
        <v>3.45</v>
      </c>
    </row>
    <row r="245785" customFormat="false" ht="12" hidden="false" customHeight="true" outlineLevel="0" collapsed="false">
      <c r="B245785" s="1" t="n">
        <v>2017</v>
      </c>
      <c r="C245785" s="1" t="n">
        <v>44.49</v>
      </c>
      <c r="D245785" s="1" t="n">
        <v>5.161</v>
      </c>
    </row>
    <row r="245786" customFormat="false" ht="12" hidden="false" customHeight="true" outlineLevel="0" collapsed="false">
      <c r="B245786" s="1" t="n">
        <v>2018</v>
      </c>
      <c r="C245786" s="1" t="n">
        <v>47.187</v>
      </c>
      <c r="D245786" s="1" t="n">
        <v>6.062</v>
      </c>
    </row>
    <row r="245787" customFormat="false" ht="12" hidden="false" customHeight="true" outlineLevel="0" collapsed="false">
      <c r="B245787" s="1" t="n">
        <v>2019</v>
      </c>
      <c r="C245787" s="1" t="n">
        <v>49.726</v>
      </c>
      <c r="D245787" s="1" t="n">
        <v>5.38</v>
      </c>
    </row>
    <row r="245788" customFormat="false" ht="12" hidden="false" customHeight="true" outlineLevel="0" collapsed="false">
      <c r="B245788" s="1" t="n">
        <v>2020</v>
      </c>
      <c r="C245788" s="1" t="n">
        <v>46.598</v>
      </c>
      <c r="D245788" s="1" t="n">
        <v>-6.291</v>
      </c>
    </row>
    <row r="245789" customFormat="false" ht="12" hidden="false" customHeight="true" outlineLevel="0" collapsed="false">
      <c r="B245789" s="1" t="n">
        <v>2021</v>
      </c>
      <c r="C245789" s="1" t="n">
        <v>51.558</v>
      </c>
      <c r="D245789" s="1" t="n">
        <v>10.644</v>
      </c>
    </row>
    <row r="245790" customFormat="false" ht="12" hidden="false" customHeight="true" outlineLevel="0" collapsed="false">
      <c r="B245790" s="1" t="n">
        <v>2022</v>
      </c>
      <c r="C245790" s="1" t="n">
        <v>57.208</v>
      </c>
      <c r="D245790" s="1" t="n">
        <v>10.96</v>
      </c>
    </row>
    <row r="245791" customFormat="false" ht="12" hidden="false" customHeight="true" outlineLevel="0" collapsed="false">
      <c r="B245791" s="1" t="n">
        <v>2023</v>
      </c>
      <c r="C245791" s="1" t="n">
        <v>61.689</v>
      </c>
      <c r="D245791" s="1" t="n">
        <v>7.832</v>
      </c>
    </row>
    <row r="245792" customFormat="false" ht="12" hidden="false" customHeight="true" outlineLevel="0" collapsed="false">
      <c r="B245792" s="1" t="n">
        <v>2024</v>
      </c>
      <c r="C245792" s="1" t="n">
        <v>67.505</v>
      </c>
      <c r="D245792" s="1" t="n">
        <v>9.429</v>
      </c>
    </row>
    <row r="245793" customFormat="false" ht="12" hidden="false" customHeight="true" outlineLevel="0" collapsed="false">
      <c r="B245793" s="1" t="n">
        <v>2025</v>
      </c>
      <c r="C245793" s="1" t="n">
        <v>71.54</v>
      </c>
      <c r="D245793" s="1" t="n">
        <v>5.977</v>
      </c>
    </row>
    <row r="245794" customFormat="false" ht="12" hidden="false" customHeight="true" outlineLevel="0" collapsed="false">
      <c r="B245794" s="1" t="n">
        <v>2026</v>
      </c>
      <c r="C245794" s="1" t="n">
        <v>75.117</v>
      </c>
      <c r="D245794" s="1" t="n">
        <v>5</v>
      </c>
    </row>
    <row r="245795" customFormat="false" ht="12" hidden="false" customHeight="true" outlineLevel="0" collapsed="false">
      <c r="B245795" s="1" t="n">
        <v>2027</v>
      </c>
      <c r="C245795" s="1" t="n">
        <v>78.873</v>
      </c>
      <c r="D245795" s="1" t="n">
        <v>5</v>
      </c>
    </row>
    <row r="245796" customFormat="false" ht="12" hidden="false" customHeight="true" outlineLevel="0" collapsed="false">
      <c r="B245796" s="1" t="s">
        <v>51</v>
      </c>
      <c r="C245796" s="1" t="n">
        <v>2024</v>
      </c>
      <c r="D245796" s="1" t="n">
        <v>2024</v>
      </c>
    </row>
    <row r="262145" customFormat="false" ht="12" hidden="false" customHeight="true" outlineLevel="0" collapsed="false">
      <c r="B262145" s="1" t="s">
        <v>35</v>
      </c>
      <c r="C262145" s="1" t="n">
        <v>915</v>
      </c>
      <c r="D262145" s="1" t="n">
        <v>915</v>
      </c>
    </row>
    <row r="262146" customFormat="false" ht="12" hidden="false" customHeight="true" outlineLevel="0" collapsed="false">
      <c r="B262146" s="1" t="s">
        <v>36</v>
      </c>
      <c r="C262146" s="1" t="s">
        <v>37</v>
      </c>
      <c r="D262146" s="1" t="s">
        <v>38</v>
      </c>
    </row>
    <row r="262147" customFormat="false" ht="12" hidden="false" customHeight="true" outlineLevel="0" collapsed="false">
      <c r="B262147" s="1" t="s">
        <v>39</v>
      </c>
      <c r="C262147" s="1" t="s">
        <v>40</v>
      </c>
      <c r="D262147" s="1" t="s">
        <v>40</v>
      </c>
    </row>
    <row r="262148" customFormat="false" ht="12" hidden="false" customHeight="true" outlineLevel="0" collapsed="false">
      <c r="B262148" s="1" t="s">
        <v>41</v>
      </c>
      <c r="C262148" s="1" t="s">
        <v>42</v>
      </c>
      <c r="D262148" s="1" t="s">
        <v>42</v>
      </c>
    </row>
    <row r="262149" customFormat="false" ht="12" hidden="false" customHeight="true" outlineLevel="0" collapsed="false">
      <c r="B262149" s="1" t="s">
        <v>43</v>
      </c>
      <c r="C262149" s="1" t="s">
        <v>44</v>
      </c>
      <c r="D262149" s="1" t="s">
        <v>45</v>
      </c>
    </row>
    <row r="262150" customFormat="false" ht="12" hidden="false" customHeight="true" outlineLevel="0" collapsed="false">
      <c r="B262150" s="1" t="s">
        <v>46</v>
      </c>
      <c r="C262150" s="1" t="s">
        <v>47</v>
      </c>
      <c r="D262150" s="1" t="s">
        <v>43</v>
      </c>
    </row>
    <row r="262151" customFormat="false" ht="12" hidden="false" customHeight="true" outlineLevel="0" collapsed="false">
      <c r="B262151" s="1" t="s">
        <v>48</v>
      </c>
      <c r="C262151" s="1" t="s">
        <v>49</v>
      </c>
      <c r="D262151" s="1" t="s">
        <v>50</v>
      </c>
    </row>
    <row r="262152" customFormat="false" ht="12" hidden="false" customHeight="true" outlineLevel="0" collapsed="false">
      <c r="B262152" s="1" t="n">
        <v>2000</v>
      </c>
      <c r="C262152" s="1" t="n">
        <v>16.963</v>
      </c>
      <c r="D262152" s="1" t="n">
        <v>1.865</v>
      </c>
    </row>
    <row r="262153" customFormat="false" ht="12" hidden="false" customHeight="true" outlineLevel="0" collapsed="false">
      <c r="B262153" s="1" t="n">
        <v>2001</v>
      </c>
      <c r="C262153" s="1" t="n">
        <v>17.772</v>
      </c>
      <c r="D262153" s="1" t="n">
        <v>4.769</v>
      </c>
    </row>
    <row r="262154" customFormat="false" ht="12" hidden="false" customHeight="true" outlineLevel="0" collapsed="false">
      <c r="B262154" s="1" t="n">
        <v>2002</v>
      </c>
      <c r="C262154" s="1" t="n">
        <v>18.747</v>
      </c>
      <c r="D262154" s="1" t="n">
        <v>5.487</v>
      </c>
    </row>
    <row r="262155" customFormat="false" ht="12" hidden="false" customHeight="true" outlineLevel="0" collapsed="false">
      <c r="B262155" s="1" t="n">
        <v>2003</v>
      </c>
      <c r="C262155" s="1" t="n">
        <v>20.852</v>
      </c>
      <c r="D262155" s="1" t="n">
        <v>11.228</v>
      </c>
    </row>
    <row r="262156" customFormat="false" ht="12" hidden="false" customHeight="true" outlineLevel="0" collapsed="false">
      <c r="B262156" s="1" t="n">
        <v>2004</v>
      </c>
      <c r="C262156" s="1" t="n">
        <v>22.061</v>
      </c>
      <c r="D262156" s="1" t="n">
        <v>5.796</v>
      </c>
    </row>
    <row r="262157" customFormat="false" ht="12" hidden="false" customHeight="true" outlineLevel="0" collapsed="false">
      <c r="B262157" s="1" t="n">
        <v>2005</v>
      </c>
      <c r="C262157" s="1" t="n">
        <v>24.176</v>
      </c>
      <c r="D262157" s="1" t="n">
        <v>9.588</v>
      </c>
    </row>
    <row r="262158" customFormat="false" ht="12" hidden="false" customHeight="true" outlineLevel="0" collapsed="false">
      <c r="B262158" s="1" t="n">
        <v>2006</v>
      </c>
      <c r="C262158" s="1" t="n">
        <v>26.454</v>
      </c>
      <c r="D262158" s="1" t="n">
        <v>9.42</v>
      </c>
    </row>
    <row r="262159" customFormat="false" ht="12" hidden="false" customHeight="true" outlineLevel="0" collapsed="false">
      <c r="B262159" s="1" t="n">
        <v>2007</v>
      </c>
      <c r="C262159" s="1" t="n">
        <v>29.781</v>
      </c>
      <c r="D262159" s="1" t="n">
        <v>12.579</v>
      </c>
    </row>
    <row r="262160" customFormat="false" ht="12" hidden="false" customHeight="true" outlineLevel="0" collapsed="false">
      <c r="B262160" s="1" t="n">
        <v>2008</v>
      </c>
      <c r="C262160" s="1" t="n">
        <v>30.502</v>
      </c>
      <c r="D262160" s="1" t="n">
        <v>2.419</v>
      </c>
    </row>
    <row r="262161" customFormat="false" ht="12" hidden="false" customHeight="true" outlineLevel="0" collapsed="false">
      <c r="B262161" s="1" t="n">
        <v>2009</v>
      </c>
      <c r="C262161" s="1" t="n">
        <v>29.388</v>
      </c>
      <c r="D262161" s="1" t="n">
        <v>-3.651</v>
      </c>
    </row>
    <row r="262162" customFormat="false" ht="12" hidden="false" customHeight="true" outlineLevel="0" collapsed="false">
      <c r="B262162" s="1" t="n">
        <v>2010</v>
      </c>
      <c r="C262162" s="1" t="n">
        <v>31.428</v>
      </c>
      <c r="D262162" s="1" t="n">
        <v>6.942</v>
      </c>
    </row>
    <row r="262163" customFormat="false" ht="12" hidden="false" customHeight="true" outlineLevel="0" collapsed="false">
      <c r="B262163" s="1" t="n">
        <v>2011</v>
      </c>
      <c r="C262163" s="1" t="n">
        <v>33.927</v>
      </c>
      <c r="D262163" s="1" t="n">
        <v>7.949</v>
      </c>
    </row>
    <row r="262164" customFormat="false" ht="12" hidden="false" customHeight="true" outlineLevel="0" collapsed="false">
      <c r="B262164" s="1" t="n">
        <v>2012</v>
      </c>
      <c r="C262164" s="1" t="n">
        <v>36.159</v>
      </c>
      <c r="D262164" s="1" t="n">
        <v>6.579</v>
      </c>
    </row>
    <row r="262165" customFormat="false" ht="12" hidden="false" customHeight="true" outlineLevel="0" collapsed="false">
      <c r="B262165" s="1" t="n">
        <v>2013</v>
      </c>
      <c r="C262165" s="1" t="n">
        <v>38.015</v>
      </c>
      <c r="D262165" s="1" t="n">
        <v>5.134</v>
      </c>
    </row>
    <row r="262166" customFormat="false" ht="12" hidden="false" customHeight="true" outlineLevel="0" collapsed="false">
      <c r="B262166" s="1" t="n">
        <v>2014</v>
      </c>
      <c r="C262166" s="1" t="n">
        <v>39.57</v>
      </c>
      <c r="D262166" s="1" t="n">
        <v>4.091</v>
      </c>
    </row>
    <row r="262167" customFormat="false" ht="12" hidden="false" customHeight="true" outlineLevel="0" collapsed="false">
      <c r="B262167" s="1" t="n">
        <v>2015</v>
      </c>
      <c r="C262167" s="1" t="n">
        <v>40.896</v>
      </c>
      <c r="D262167" s="1" t="n">
        <v>3.351</v>
      </c>
    </row>
    <row r="262168" customFormat="false" ht="12" hidden="false" customHeight="true" outlineLevel="0" collapsed="false">
      <c r="B262168" s="1" t="n">
        <v>2016</v>
      </c>
      <c r="C262168" s="1" t="n">
        <v>42.307</v>
      </c>
      <c r="D262168" s="1" t="n">
        <v>3.45</v>
      </c>
    </row>
    <row r="262169" customFormat="false" ht="12" hidden="false" customHeight="true" outlineLevel="0" collapsed="false">
      <c r="B262169" s="1" t="n">
        <v>2017</v>
      </c>
      <c r="C262169" s="1" t="n">
        <v>44.49</v>
      </c>
      <c r="D262169" s="1" t="n">
        <v>5.161</v>
      </c>
    </row>
    <row r="262170" customFormat="false" ht="12" hidden="false" customHeight="true" outlineLevel="0" collapsed="false">
      <c r="B262170" s="1" t="n">
        <v>2018</v>
      </c>
      <c r="C262170" s="1" t="n">
        <v>47.187</v>
      </c>
      <c r="D262170" s="1" t="n">
        <v>6.062</v>
      </c>
    </row>
    <row r="262171" customFormat="false" ht="12" hidden="false" customHeight="true" outlineLevel="0" collapsed="false">
      <c r="B262171" s="1" t="n">
        <v>2019</v>
      </c>
      <c r="C262171" s="1" t="n">
        <v>49.726</v>
      </c>
      <c r="D262171" s="1" t="n">
        <v>5.38</v>
      </c>
    </row>
    <row r="262172" customFormat="false" ht="12" hidden="false" customHeight="true" outlineLevel="0" collapsed="false">
      <c r="B262172" s="1" t="n">
        <v>2020</v>
      </c>
      <c r="C262172" s="1" t="n">
        <v>46.598</v>
      </c>
      <c r="D262172" s="1" t="n">
        <v>-6.291</v>
      </c>
    </row>
    <row r="262173" customFormat="false" ht="12" hidden="false" customHeight="true" outlineLevel="0" collapsed="false">
      <c r="B262173" s="1" t="n">
        <v>2021</v>
      </c>
      <c r="C262173" s="1" t="n">
        <v>51.558</v>
      </c>
      <c r="D262173" s="1" t="n">
        <v>10.644</v>
      </c>
    </row>
    <row r="262174" customFormat="false" ht="12" hidden="false" customHeight="true" outlineLevel="0" collapsed="false">
      <c r="B262174" s="1" t="n">
        <v>2022</v>
      </c>
      <c r="C262174" s="1" t="n">
        <v>57.208</v>
      </c>
      <c r="D262174" s="1" t="n">
        <v>10.96</v>
      </c>
    </row>
    <row r="262175" customFormat="false" ht="12" hidden="false" customHeight="true" outlineLevel="0" collapsed="false">
      <c r="B262175" s="1" t="n">
        <v>2023</v>
      </c>
      <c r="C262175" s="1" t="n">
        <v>61.689</v>
      </c>
      <c r="D262175" s="1" t="n">
        <v>7.832</v>
      </c>
    </row>
    <row r="262176" customFormat="false" ht="12" hidden="false" customHeight="true" outlineLevel="0" collapsed="false">
      <c r="B262176" s="1" t="n">
        <v>2024</v>
      </c>
      <c r="C262176" s="1" t="n">
        <v>67.505</v>
      </c>
      <c r="D262176" s="1" t="n">
        <v>9.429</v>
      </c>
    </row>
    <row r="262177" customFormat="false" ht="12" hidden="false" customHeight="true" outlineLevel="0" collapsed="false">
      <c r="B262177" s="1" t="n">
        <v>2025</v>
      </c>
      <c r="C262177" s="1" t="n">
        <v>71.54</v>
      </c>
      <c r="D262177" s="1" t="n">
        <v>5.977</v>
      </c>
    </row>
    <row r="262178" customFormat="false" ht="12" hidden="false" customHeight="true" outlineLevel="0" collapsed="false">
      <c r="B262178" s="1" t="n">
        <v>2026</v>
      </c>
      <c r="C262178" s="1" t="n">
        <v>75.117</v>
      </c>
      <c r="D262178" s="1" t="n">
        <v>5</v>
      </c>
    </row>
    <row r="262179" customFormat="false" ht="12" hidden="false" customHeight="true" outlineLevel="0" collapsed="false">
      <c r="B262179" s="1" t="n">
        <v>2027</v>
      </c>
      <c r="C262179" s="1" t="n">
        <v>78.873</v>
      </c>
      <c r="D262179" s="1" t="n">
        <v>5</v>
      </c>
    </row>
    <row r="262180" customFormat="false" ht="12" hidden="false" customHeight="true" outlineLevel="0" collapsed="false">
      <c r="B262180" s="1" t="s">
        <v>51</v>
      </c>
      <c r="C262180" s="1" t="n">
        <v>2024</v>
      </c>
      <c r="D262180" s="1" t="n">
        <v>2024</v>
      </c>
    </row>
    <row r="278529" customFormat="false" ht="12" hidden="false" customHeight="true" outlineLevel="0" collapsed="false">
      <c r="B278529" s="1" t="s">
        <v>35</v>
      </c>
      <c r="C278529" s="1" t="n">
        <v>915</v>
      </c>
      <c r="D278529" s="1" t="n">
        <v>915</v>
      </c>
    </row>
    <row r="278530" customFormat="false" ht="12" hidden="false" customHeight="true" outlineLevel="0" collapsed="false">
      <c r="B278530" s="1" t="s">
        <v>36</v>
      </c>
      <c r="C278530" s="1" t="s">
        <v>37</v>
      </c>
      <c r="D278530" s="1" t="s">
        <v>38</v>
      </c>
    </row>
    <row r="278531" customFormat="false" ht="12" hidden="false" customHeight="true" outlineLevel="0" collapsed="false">
      <c r="B278531" s="1" t="s">
        <v>39</v>
      </c>
      <c r="C278531" s="1" t="s">
        <v>40</v>
      </c>
      <c r="D278531" s="1" t="s">
        <v>40</v>
      </c>
    </row>
    <row r="278532" customFormat="false" ht="12" hidden="false" customHeight="true" outlineLevel="0" collapsed="false">
      <c r="B278532" s="1" t="s">
        <v>41</v>
      </c>
      <c r="C278532" s="1" t="s">
        <v>42</v>
      </c>
      <c r="D278532" s="1" t="s">
        <v>42</v>
      </c>
    </row>
    <row r="278533" customFormat="false" ht="12" hidden="false" customHeight="true" outlineLevel="0" collapsed="false">
      <c r="B278533" s="1" t="s">
        <v>43</v>
      </c>
      <c r="C278533" s="1" t="s">
        <v>44</v>
      </c>
      <c r="D278533" s="1" t="s">
        <v>45</v>
      </c>
    </row>
    <row r="278534" customFormat="false" ht="12" hidden="false" customHeight="true" outlineLevel="0" collapsed="false">
      <c r="B278534" s="1" t="s">
        <v>46</v>
      </c>
      <c r="C278534" s="1" t="s">
        <v>47</v>
      </c>
      <c r="D278534" s="1" t="s">
        <v>43</v>
      </c>
    </row>
    <row r="278535" customFormat="false" ht="12" hidden="false" customHeight="true" outlineLevel="0" collapsed="false">
      <c r="B278535" s="1" t="s">
        <v>48</v>
      </c>
      <c r="C278535" s="1" t="s">
        <v>49</v>
      </c>
      <c r="D278535" s="1" t="s">
        <v>50</v>
      </c>
    </row>
    <row r="278536" customFormat="false" ht="12" hidden="false" customHeight="true" outlineLevel="0" collapsed="false">
      <c r="B278536" s="1" t="n">
        <v>2000</v>
      </c>
      <c r="C278536" s="1" t="n">
        <v>16.963</v>
      </c>
      <c r="D278536" s="1" t="n">
        <v>1.865</v>
      </c>
    </row>
    <row r="278537" customFormat="false" ht="12" hidden="false" customHeight="true" outlineLevel="0" collapsed="false">
      <c r="B278537" s="1" t="n">
        <v>2001</v>
      </c>
      <c r="C278537" s="1" t="n">
        <v>17.772</v>
      </c>
      <c r="D278537" s="1" t="n">
        <v>4.769</v>
      </c>
    </row>
    <row r="278538" customFormat="false" ht="12" hidden="false" customHeight="true" outlineLevel="0" collapsed="false">
      <c r="B278538" s="1" t="n">
        <v>2002</v>
      </c>
      <c r="C278538" s="1" t="n">
        <v>18.747</v>
      </c>
      <c r="D278538" s="1" t="n">
        <v>5.487</v>
      </c>
    </row>
    <row r="278539" customFormat="false" ht="12" hidden="false" customHeight="true" outlineLevel="0" collapsed="false">
      <c r="B278539" s="1" t="n">
        <v>2003</v>
      </c>
      <c r="C278539" s="1" t="n">
        <v>20.852</v>
      </c>
      <c r="D278539" s="1" t="n">
        <v>11.228</v>
      </c>
    </row>
    <row r="278540" customFormat="false" ht="12" hidden="false" customHeight="true" outlineLevel="0" collapsed="false">
      <c r="B278540" s="1" t="n">
        <v>2004</v>
      </c>
      <c r="C278540" s="1" t="n">
        <v>22.061</v>
      </c>
      <c r="D278540" s="1" t="n">
        <v>5.796</v>
      </c>
    </row>
    <row r="278541" customFormat="false" ht="12" hidden="false" customHeight="true" outlineLevel="0" collapsed="false">
      <c r="B278541" s="1" t="n">
        <v>2005</v>
      </c>
      <c r="C278541" s="1" t="n">
        <v>24.176</v>
      </c>
      <c r="D278541" s="1" t="n">
        <v>9.588</v>
      </c>
    </row>
    <row r="278542" customFormat="false" ht="12" hidden="false" customHeight="true" outlineLevel="0" collapsed="false">
      <c r="B278542" s="1" t="n">
        <v>2006</v>
      </c>
      <c r="C278542" s="1" t="n">
        <v>26.454</v>
      </c>
      <c r="D278542" s="1" t="n">
        <v>9.42</v>
      </c>
    </row>
    <row r="278543" customFormat="false" ht="12" hidden="false" customHeight="true" outlineLevel="0" collapsed="false">
      <c r="B278543" s="1" t="n">
        <v>2007</v>
      </c>
      <c r="C278543" s="1" t="n">
        <v>29.781</v>
      </c>
      <c r="D278543" s="1" t="n">
        <v>12.579</v>
      </c>
    </row>
    <row r="278544" customFormat="false" ht="12" hidden="false" customHeight="true" outlineLevel="0" collapsed="false">
      <c r="B278544" s="1" t="n">
        <v>2008</v>
      </c>
      <c r="C278544" s="1" t="n">
        <v>30.502</v>
      </c>
      <c r="D278544" s="1" t="n">
        <v>2.419</v>
      </c>
    </row>
    <row r="278545" customFormat="false" ht="12" hidden="false" customHeight="true" outlineLevel="0" collapsed="false">
      <c r="B278545" s="1" t="n">
        <v>2009</v>
      </c>
      <c r="C278545" s="1" t="n">
        <v>29.388</v>
      </c>
      <c r="D278545" s="1" t="n">
        <v>-3.651</v>
      </c>
    </row>
    <row r="278546" customFormat="false" ht="12" hidden="false" customHeight="true" outlineLevel="0" collapsed="false">
      <c r="B278546" s="1" t="n">
        <v>2010</v>
      </c>
      <c r="C278546" s="1" t="n">
        <v>31.428</v>
      </c>
      <c r="D278546" s="1" t="n">
        <v>6.942</v>
      </c>
    </row>
    <row r="278547" customFormat="false" ht="12" hidden="false" customHeight="true" outlineLevel="0" collapsed="false">
      <c r="B278547" s="1" t="n">
        <v>2011</v>
      </c>
      <c r="C278547" s="1" t="n">
        <v>33.927</v>
      </c>
      <c r="D278547" s="1" t="n">
        <v>7.949</v>
      </c>
    </row>
    <row r="278548" customFormat="false" ht="12" hidden="false" customHeight="true" outlineLevel="0" collapsed="false">
      <c r="B278548" s="1" t="n">
        <v>2012</v>
      </c>
      <c r="C278548" s="1" t="n">
        <v>36.159</v>
      </c>
      <c r="D278548" s="1" t="n">
        <v>6.579</v>
      </c>
    </row>
    <row r="278549" customFormat="false" ht="12" hidden="false" customHeight="true" outlineLevel="0" collapsed="false">
      <c r="B278549" s="1" t="n">
        <v>2013</v>
      </c>
      <c r="C278549" s="1" t="n">
        <v>38.015</v>
      </c>
      <c r="D278549" s="1" t="n">
        <v>5.134</v>
      </c>
    </row>
    <row r="278550" customFormat="false" ht="12" hidden="false" customHeight="true" outlineLevel="0" collapsed="false">
      <c r="B278550" s="1" t="n">
        <v>2014</v>
      </c>
      <c r="C278550" s="1" t="n">
        <v>39.57</v>
      </c>
      <c r="D278550" s="1" t="n">
        <v>4.091</v>
      </c>
    </row>
    <row r="278551" customFormat="false" ht="12" hidden="false" customHeight="true" outlineLevel="0" collapsed="false">
      <c r="B278551" s="1" t="n">
        <v>2015</v>
      </c>
      <c r="C278551" s="1" t="n">
        <v>40.896</v>
      </c>
      <c r="D278551" s="1" t="n">
        <v>3.351</v>
      </c>
    </row>
    <row r="278552" customFormat="false" ht="12" hidden="false" customHeight="true" outlineLevel="0" collapsed="false">
      <c r="B278552" s="1" t="n">
        <v>2016</v>
      </c>
      <c r="C278552" s="1" t="n">
        <v>42.307</v>
      </c>
      <c r="D278552" s="1" t="n">
        <v>3.45</v>
      </c>
    </row>
    <row r="278553" customFormat="false" ht="12" hidden="false" customHeight="true" outlineLevel="0" collapsed="false">
      <c r="B278553" s="1" t="n">
        <v>2017</v>
      </c>
      <c r="C278553" s="1" t="n">
        <v>44.49</v>
      </c>
      <c r="D278553" s="1" t="n">
        <v>5.161</v>
      </c>
    </row>
    <row r="278554" customFormat="false" ht="12" hidden="false" customHeight="true" outlineLevel="0" collapsed="false">
      <c r="B278554" s="1" t="n">
        <v>2018</v>
      </c>
      <c r="C278554" s="1" t="n">
        <v>47.187</v>
      </c>
      <c r="D278554" s="1" t="n">
        <v>6.062</v>
      </c>
    </row>
    <row r="278555" customFormat="false" ht="12" hidden="false" customHeight="true" outlineLevel="0" collapsed="false">
      <c r="B278555" s="1" t="n">
        <v>2019</v>
      </c>
      <c r="C278555" s="1" t="n">
        <v>49.726</v>
      </c>
      <c r="D278555" s="1" t="n">
        <v>5.38</v>
      </c>
    </row>
    <row r="278556" customFormat="false" ht="12" hidden="false" customHeight="true" outlineLevel="0" collapsed="false">
      <c r="B278556" s="1" t="n">
        <v>2020</v>
      </c>
      <c r="C278556" s="1" t="n">
        <v>46.598</v>
      </c>
      <c r="D278556" s="1" t="n">
        <v>-6.291</v>
      </c>
    </row>
    <row r="278557" customFormat="false" ht="12" hidden="false" customHeight="true" outlineLevel="0" collapsed="false">
      <c r="B278557" s="1" t="n">
        <v>2021</v>
      </c>
      <c r="C278557" s="1" t="n">
        <v>51.558</v>
      </c>
      <c r="D278557" s="1" t="n">
        <v>10.644</v>
      </c>
    </row>
    <row r="278558" customFormat="false" ht="12" hidden="false" customHeight="true" outlineLevel="0" collapsed="false">
      <c r="B278558" s="1" t="n">
        <v>2022</v>
      </c>
      <c r="C278558" s="1" t="n">
        <v>57.208</v>
      </c>
      <c r="D278558" s="1" t="n">
        <v>10.96</v>
      </c>
    </row>
    <row r="278559" customFormat="false" ht="12" hidden="false" customHeight="true" outlineLevel="0" collapsed="false">
      <c r="B278559" s="1" t="n">
        <v>2023</v>
      </c>
      <c r="C278559" s="1" t="n">
        <v>61.689</v>
      </c>
      <c r="D278559" s="1" t="n">
        <v>7.832</v>
      </c>
    </row>
    <row r="278560" customFormat="false" ht="12" hidden="false" customHeight="true" outlineLevel="0" collapsed="false">
      <c r="B278560" s="1" t="n">
        <v>2024</v>
      </c>
      <c r="C278560" s="1" t="n">
        <v>67.505</v>
      </c>
      <c r="D278560" s="1" t="n">
        <v>9.429</v>
      </c>
    </row>
    <row r="278561" customFormat="false" ht="12" hidden="false" customHeight="true" outlineLevel="0" collapsed="false">
      <c r="B278561" s="1" t="n">
        <v>2025</v>
      </c>
      <c r="C278561" s="1" t="n">
        <v>71.54</v>
      </c>
      <c r="D278561" s="1" t="n">
        <v>5.977</v>
      </c>
    </row>
    <row r="278562" customFormat="false" ht="12" hidden="false" customHeight="true" outlineLevel="0" collapsed="false">
      <c r="B278562" s="1" t="n">
        <v>2026</v>
      </c>
      <c r="C278562" s="1" t="n">
        <v>75.117</v>
      </c>
      <c r="D278562" s="1" t="n">
        <v>5</v>
      </c>
    </row>
    <row r="278563" customFormat="false" ht="12" hidden="false" customHeight="true" outlineLevel="0" collapsed="false">
      <c r="B278563" s="1" t="n">
        <v>2027</v>
      </c>
      <c r="C278563" s="1" t="n">
        <v>78.873</v>
      </c>
      <c r="D278563" s="1" t="n">
        <v>5</v>
      </c>
    </row>
    <row r="278564" customFormat="false" ht="12" hidden="false" customHeight="true" outlineLevel="0" collapsed="false">
      <c r="B278564" s="1" t="s">
        <v>51</v>
      </c>
      <c r="C278564" s="1" t="n">
        <v>2024</v>
      </c>
      <c r="D278564" s="1" t="n">
        <v>2024</v>
      </c>
    </row>
    <row r="294913" customFormat="false" ht="12" hidden="false" customHeight="true" outlineLevel="0" collapsed="false">
      <c r="B294913" s="1" t="s">
        <v>35</v>
      </c>
      <c r="C294913" s="1" t="n">
        <v>915</v>
      </c>
      <c r="D294913" s="1" t="n">
        <v>915</v>
      </c>
    </row>
    <row r="294914" customFormat="false" ht="12" hidden="false" customHeight="true" outlineLevel="0" collapsed="false">
      <c r="B294914" s="1" t="s">
        <v>36</v>
      </c>
      <c r="C294914" s="1" t="s">
        <v>37</v>
      </c>
      <c r="D294914" s="1" t="s">
        <v>38</v>
      </c>
    </row>
    <row r="294915" customFormat="false" ht="12" hidden="false" customHeight="true" outlineLevel="0" collapsed="false">
      <c r="B294915" s="1" t="s">
        <v>39</v>
      </c>
      <c r="C294915" s="1" t="s">
        <v>40</v>
      </c>
      <c r="D294915" s="1" t="s">
        <v>40</v>
      </c>
    </row>
    <row r="294916" customFormat="false" ht="12" hidden="false" customHeight="true" outlineLevel="0" collapsed="false">
      <c r="B294916" s="1" t="s">
        <v>41</v>
      </c>
      <c r="C294916" s="1" t="s">
        <v>42</v>
      </c>
      <c r="D294916" s="1" t="s">
        <v>42</v>
      </c>
    </row>
    <row r="294917" customFormat="false" ht="12" hidden="false" customHeight="true" outlineLevel="0" collapsed="false">
      <c r="B294917" s="1" t="s">
        <v>43</v>
      </c>
      <c r="C294917" s="1" t="s">
        <v>44</v>
      </c>
      <c r="D294917" s="1" t="s">
        <v>45</v>
      </c>
    </row>
    <row r="294918" customFormat="false" ht="12" hidden="false" customHeight="true" outlineLevel="0" collapsed="false">
      <c r="B294918" s="1" t="s">
        <v>46</v>
      </c>
      <c r="C294918" s="1" t="s">
        <v>47</v>
      </c>
      <c r="D294918" s="1" t="s">
        <v>43</v>
      </c>
    </row>
    <row r="294919" customFormat="false" ht="12" hidden="false" customHeight="true" outlineLevel="0" collapsed="false">
      <c r="B294919" s="1" t="s">
        <v>48</v>
      </c>
      <c r="C294919" s="1" t="s">
        <v>49</v>
      </c>
      <c r="D294919" s="1" t="s">
        <v>50</v>
      </c>
    </row>
    <row r="294920" customFormat="false" ht="12" hidden="false" customHeight="true" outlineLevel="0" collapsed="false">
      <c r="B294920" s="1" t="n">
        <v>2000</v>
      </c>
      <c r="C294920" s="1" t="n">
        <v>16.963</v>
      </c>
      <c r="D294920" s="1" t="n">
        <v>1.865</v>
      </c>
    </row>
    <row r="294921" customFormat="false" ht="12" hidden="false" customHeight="true" outlineLevel="0" collapsed="false">
      <c r="B294921" s="1" t="n">
        <v>2001</v>
      </c>
      <c r="C294921" s="1" t="n">
        <v>17.772</v>
      </c>
      <c r="D294921" s="1" t="n">
        <v>4.769</v>
      </c>
    </row>
    <row r="294922" customFormat="false" ht="12" hidden="false" customHeight="true" outlineLevel="0" collapsed="false">
      <c r="B294922" s="1" t="n">
        <v>2002</v>
      </c>
      <c r="C294922" s="1" t="n">
        <v>18.747</v>
      </c>
      <c r="D294922" s="1" t="n">
        <v>5.487</v>
      </c>
    </row>
    <row r="294923" customFormat="false" ht="12" hidden="false" customHeight="true" outlineLevel="0" collapsed="false">
      <c r="B294923" s="1" t="n">
        <v>2003</v>
      </c>
      <c r="C294923" s="1" t="n">
        <v>20.852</v>
      </c>
      <c r="D294923" s="1" t="n">
        <v>11.228</v>
      </c>
    </row>
    <row r="294924" customFormat="false" ht="12" hidden="false" customHeight="true" outlineLevel="0" collapsed="false">
      <c r="B294924" s="1" t="n">
        <v>2004</v>
      </c>
      <c r="C294924" s="1" t="n">
        <v>22.061</v>
      </c>
      <c r="D294924" s="1" t="n">
        <v>5.796</v>
      </c>
    </row>
    <row r="294925" customFormat="false" ht="12" hidden="false" customHeight="true" outlineLevel="0" collapsed="false">
      <c r="B294925" s="1" t="n">
        <v>2005</v>
      </c>
      <c r="C294925" s="1" t="n">
        <v>24.176</v>
      </c>
      <c r="D294925" s="1" t="n">
        <v>9.588</v>
      </c>
    </row>
    <row r="294926" customFormat="false" ht="12" hidden="false" customHeight="true" outlineLevel="0" collapsed="false">
      <c r="B294926" s="1" t="n">
        <v>2006</v>
      </c>
      <c r="C294926" s="1" t="n">
        <v>26.454</v>
      </c>
      <c r="D294926" s="1" t="n">
        <v>9.42</v>
      </c>
    </row>
    <row r="294927" customFormat="false" ht="12" hidden="false" customHeight="true" outlineLevel="0" collapsed="false">
      <c r="B294927" s="1" t="n">
        <v>2007</v>
      </c>
      <c r="C294927" s="1" t="n">
        <v>29.781</v>
      </c>
      <c r="D294927" s="1" t="n">
        <v>12.579</v>
      </c>
    </row>
    <row r="294928" customFormat="false" ht="12" hidden="false" customHeight="true" outlineLevel="0" collapsed="false">
      <c r="B294928" s="1" t="n">
        <v>2008</v>
      </c>
      <c r="C294928" s="1" t="n">
        <v>30.502</v>
      </c>
      <c r="D294928" s="1" t="n">
        <v>2.419</v>
      </c>
    </row>
    <row r="294929" customFormat="false" ht="12" hidden="false" customHeight="true" outlineLevel="0" collapsed="false">
      <c r="B294929" s="1" t="n">
        <v>2009</v>
      </c>
      <c r="C294929" s="1" t="n">
        <v>29.388</v>
      </c>
      <c r="D294929" s="1" t="n">
        <v>-3.651</v>
      </c>
    </row>
    <row r="294930" customFormat="false" ht="12" hidden="false" customHeight="true" outlineLevel="0" collapsed="false">
      <c r="B294930" s="1" t="n">
        <v>2010</v>
      </c>
      <c r="C294930" s="1" t="n">
        <v>31.428</v>
      </c>
      <c r="D294930" s="1" t="n">
        <v>6.942</v>
      </c>
    </row>
    <row r="294931" customFormat="false" ht="12" hidden="false" customHeight="true" outlineLevel="0" collapsed="false">
      <c r="B294931" s="1" t="n">
        <v>2011</v>
      </c>
      <c r="C294931" s="1" t="n">
        <v>33.927</v>
      </c>
      <c r="D294931" s="1" t="n">
        <v>7.949</v>
      </c>
    </row>
    <row r="294932" customFormat="false" ht="12" hidden="false" customHeight="true" outlineLevel="0" collapsed="false">
      <c r="B294932" s="1" t="n">
        <v>2012</v>
      </c>
      <c r="C294932" s="1" t="n">
        <v>36.159</v>
      </c>
      <c r="D294932" s="1" t="n">
        <v>6.579</v>
      </c>
    </row>
    <row r="294933" customFormat="false" ht="12" hidden="false" customHeight="true" outlineLevel="0" collapsed="false">
      <c r="B294933" s="1" t="n">
        <v>2013</v>
      </c>
      <c r="C294933" s="1" t="n">
        <v>38.015</v>
      </c>
      <c r="D294933" s="1" t="n">
        <v>5.134</v>
      </c>
    </row>
    <row r="294934" customFormat="false" ht="12" hidden="false" customHeight="true" outlineLevel="0" collapsed="false">
      <c r="B294934" s="1" t="n">
        <v>2014</v>
      </c>
      <c r="C294934" s="1" t="n">
        <v>39.57</v>
      </c>
      <c r="D294934" s="1" t="n">
        <v>4.091</v>
      </c>
    </row>
    <row r="294935" customFormat="false" ht="12" hidden="false" customHeight="true" outlineLevel="0" collapsed="false">
      <c r="B294935" s="1" t="n">
        <v>2015</v>
      </c>
      <c r="C294935" s="1" t="n">
        <v>40.896</v>
      </c>
      <c r="D294935" s="1" t="n">
        <v>3.351</v>
      </c>
    </row>
    <row r="294936" customFormat="false" ht="12" hidden="false" customHeight="true" outlineLevel="0" collapsed="false">
      <c r="B294936" s="1" t="n">
        <v>2016</v>
      </c>
      <c r="C294936" s="1" t="n">
        <v>42.307</v>
      </c>
      <c r="D294936" s="1" t="n">
        <v>3.45</v>
      </c>
    </row>
    <row r="294937" customFormat="false" ht="12" hidden="false" customHeight="true" outlineLevel="0" collapsed="false">
      <c r="B294937" s="1" t="n">
        <v>2017</v>
      </c>
      <c r="C294937" s="1" t="n">
        <v>44.49</v>
      </c>
      <c r="D294937" s="1" t="n">
        <v>5.161</v>
      </c>
    </row>
    <row r="294938" customFormat="false" ht="12" hidden="false" customHeight="true" outlineLevel="0" collapsed="false">
      <c r="B294938" s="1" t="n">
        <v>2018</v>
      </c>
      <c r="C294938" s="1" t="n">
        <v>47.187</v>
      </c>
      <c r="D294938" s="1" t="n">
        <v>6.062</v>
      </c>
    </row>
    <row r="294939" customFormat="false" ht="12" hidden="false" customHeight="true" outlineLevel="0" collapsed="false">
      <c r="B294939" s="1" t="n">
        <v>2019</v>
      </c>
      <c r="C294939" s="1" t="n">
        <v>49.726</v>
      </c>
      <c r="D294939" s="1" t="n">
        <v>5.38</v>
      </c>
    </row>
    <row r="294940" customFormat="false" ht="12" hidden="false" customHeight="true" outlineLevel="0" collapsed="false">
      <c r="B294940" s="1" t="n">
        <v>2020</v>
      </c>
      <c r="C294940" s="1" t="n">
        <v>46.598</v>
      </c>
      <c r="D294940" s="1" t="n">
        <v>-6.291</v>
      </c>
    </row>
    <row r="294941" customFormat="false" ht="12" hidden="false" customHeight="true" outlineLevel="0" collapsed="false">
      <c r="B294941" s="1" t="n">
        <v>2021</v>
      </c>
      <c r="C294941" s="1" t="n">
        <v>51.558</v>
      </c>
      <c r="D294941" s="1" t="n">
        <v>10.644</v>
      </c>
    </row>
    <row r="294942" customFormat="false" ht="12" hidden="false" customHeight="true" outlineLevel="0" collapsed="false">
      <c r="B294942" s="1" t="n">
        <v>2022</v>
      </c>
      <c r="C294942" s="1" t="n">
        <v>57.208</v>
      </c>
      <c r="D294942" s="1" t="n">
        <v>10.96</v>
      </c>
    </row>
    <row r="294943" customFormat="false" ht="12" hidden="false" customHeight="true" outlineLevel="0" collapsed="false">
      <c r="B294943" s="1" t="n">
        <v>2023</v>
      </c>
      <c r="C294943" s="1" t="n">
        <v>61.689</v>
      </c>
      <c r="D294943" s="1" t="n">
        <v>7.832</v>
      </c>
    </row>
    <row r="294944" customFormat="false" ht="12" hidden="false" customHeight="true" outlineLevel="0" collapsed="false">
      <c r="B294944" s="1" t="n">
        <v>2024</v>
      </c>
      <c r="C294944" s="1" t="n">
        <v>67.505</v>
      </c>
      <c r="D294944" s="1" t="n">
        <v>9.429</v>
      </c>
    </row>
    <row r="294945" customFormat="false" ht="12" hidden="false" customHeight="true" outlineLevel="0" collapsed="false">
      <c r="B294945" s="1" t="n">
        <v>2025</v>
      </c>
      <c r="C294945" s="1" t="n">
        <v>71.54</v>
      </c>
      <c r="D294945" s="1" t="n">
        <v>5.977</v>
      </c>
    </row>
    <row r="294946" customFormat="false" ht="12" hidden="false" customHeight="true" outlineLevel="0" collapsed="false">
      <c r="B294946" s="1" t="n">
        <v>2026</v>
      </c>
      <c r="C294946" s="1" t="n">
        <v>75.117</v>
      </c>
      <c r="D294946" s="1" t="n">
        <v>5</v>
      </c>
    </row>
    <row r="294947" customFormat="false" ht="12" hidden="false" customHeight="true" outlineLevel="0" collapsed="false">
      <c r="B294947" s="1" t="n">
        <v>2027</v>
      </c>
      <c r="C294947" s="1" t="n">
        <v>78.873</v>
      </c>
      <c r="D294947" s="1" t="n">
        <v>5</v>
      </c>
    </row>
    <row r="294948" customFormat="false" ht="12" hidden="false" customHeight="true" outlineLevel="0" collapsed="false">
      <c r="B294948" s="1" t="s">
        <v>51</v>
      </c>
      <c r="C294948" s="1" t="n">
        <v>2024</v>
      </c>
      <c r="D294948" s="1" t="n">
        <v>2024</v>
      </c>
    </row>
    <row r="311297" customFormat="false" ht="12" hidden="false" customHeight="true" outlineLevel="0" collapsed="false">
      <c r="B311297" s="1" t="s">
        <v>35</v>
      </c>
      <c r="C311297" s="1" t="n">
        <v>915</v>
      </c>
      <c r="D311297" s="1" t="n">
        <v>915</v>
      </c>
    </row>
    <row r="311298" customFormat="false" ht="12" hidden="false" customHeight="true" outlineLevel="0" collapsed="false">
      <c r="B311298" s="1" t="s">
        <v>36</v>
      </c>
      <c r="C311298" s="1" t="s">
        <v>37</v>
      </c>
      <c r="D311298" s="1" t="s">
        <v>38</v>
      </c>
    </row>
    <row r="311299" customFormat="false" ht="12" hidden="false" customHeight="true" outlineLevel="0" collapsed="false">
      <c r="B311299" s="1" t="s">
        <v>39</v>
      </c>
      <c r="C311299" s="1" t="s">
        <v>40</v>
      </c>
      <c r="D311299" s="1" t="s">
        <v>40</v>
      </c>
    </row>
    <row r="311300" customFormat="false" ht="12" hidden="false" customHeight="true" outlineLevel="0" collapsed="false">
      <c r="B311300" s="1" t="s">
        <v>41</v>
      </c>
      <c r="C311300" s="1" t="s">
        <v>42</v>
      </c>
      <c r="D311300" s="1" t="s">
        <v>42</v>
      </c>
    </row>
    <row r="311301" customFormat="false" ht="12" hidden="false" customHeight="true" outlineLevel="0" collapsed="false">
      <c r="B311301" s="1" t="s">
        <v>43</v>
      </c>
      <c r="C311301" s="1" t="s">
        <v>44</v>
      </c>
      <c r="D311301" s="1" t="s">
        <v>45</v>
      </c>
    </row>
    <row r="311302" customFormat="false" ht="12" hidden="false" customHeight="true" outlineLevel="0" collapsed="false">
      <c r="B311302" s="1" t="s">
        <v>46</v>
      </c>
      <c r="C311302" s="1" t="s">
        <v>47</v>
      </c>
      <c r="D311302" s="1" t="s">
        <v>43</v>
      </c>
    </row>
    <row r="311303" customFormat="false" ht="12" hidden="false" customHeight="true" outlineLevel="0" collapsed="false">
      <c r="B311303" s="1" t="s">
        <v>48</v>
      </c>
      <c r="C311303" s="1" t="s">
        <v>49</v>
      </c>
      <c r="D311303" s="1" t="s">
        <v>50</v>
      </c>
    </row>
    <row r="311304" customFormat="false" ht="12" hidden="false" customHeight="true" outlineLevel="0" collapsed="false">
      <c r="B311304" s="1" t="n">
        <v>2000</v>
      </c>
      <c r="C311304" s="1" t="n">
        <v>16.963</v>
      </c>
      <c r="D311304" s="1" t="n">
        <v>1.865</v>
      </c>
    </row>
    <row r="311305" customFormat="false" ht="12" hidden="false" customHeight="true" outlineLevel="0" collapsed="false">
      <c r="B311305" s="1" t="n">
        <v>2001</v>
      </c>
      <c r="C311305" s="1" t="n">
        <v>17.772</v>
      </c>
      <c r="D311305" s="1" t="n">
        <v>4.769</v>
      </c>
    </row>
    <row r="311306" customFormat="false" ht="12" hidden="false" customHeight="true" outlineLevel="0" collapsed="false">
      <c r="B311306" s="1" t="n">
        <v>2002</v>
      </c>
      <c r="C311306" s="1" t="n">
        <v>18.747</v>
      </c>
      <c r="D311306" s="1" t="n">
        <v>5.487</v>
      </c>
    </row>
    <row r="311307" customFormat="false" ht="12" hidden="false" customHeight="true" outlineLevel="0" collapsed="false">
      <c r="B311307" s="1" t="n">
        <v>2003</v>
      </c>
      <c r="C311307" s="1" t="n">
        <v>20.852</v>
      </c>
      <c r="D311307" s="1" t="n">
        <v>11.228</v>
      </c>
    </row>
    <row r="311308" customFormat="false" ht="12" hidden="false" customHeight="true" outlineLevel="0" collapsed="false">
      <c r="B311308" s="1" t="n">
        <v>2004</v>
      </c>
      <c r="C311308" s="1" t="n">
        <v>22.061</v>
      </c>
      <c r="D311308" s="1" t="n">
        <v>5.796</v>
      </c>
    </row>
    <row r="311309" customFormat="false" ht="12" hidden="false" customHeight="true" outlineLevel="0" collapsed="false">
      <c r="B311309" s="1" t="n">
        <v>2005</v>
      </c>
      <c r="C311309" s="1" t="n">
        <v>24.176</v>
      </c>
      <c r="D311309" s="1" t="n">
        <v>9.588</v>
      </c>
    </row>
    <row r="311310" customFormat="false" ht="12" hidden="false" customHeight="true" outlineLevel="0" collapsed="false">
      <c r="B311310" s="1" t="n">
        <v>2006</v>
      </c>
      <c r="C311310" s="1" t="n">
        <v>26.454</v>
      </c>
      <c r="D311310" s="1" t="n">
        <v>9.42</v>
      </c>
    </row>
    <row r="311311" customFormat="false" ht="12" hidden="false" customHeight="true" outlineLevel="0" collapsed="false">
      <c r="B311311" s="1" t="n">
        <v>2007</v>
      </c>
      <c r="C311311" s="1" t="n">
        <v>29.781</v>
      </c>
      <c r="D311311" s="1" t="n">
        <v>12.579</v>
      </c>
    </row>
    <row r="311312" customFormat="false" ht="12" hidden="false" customHeight="true" outlineLevel="0" collapsed="false">
      <c r="B311312" s="1" t="n">
        <v>2008</v>
      </c>
      <c r="C311312" s="1" t="n">
        <v>30.502</v>
      </c>
      <c r="D311312" s="1" t="n">
        <v>2.419</v>
      </c>
    </row>
    <row r="311313" customFormat="false" ht="12" hidden="false" customHeight="true" outlineLevel="0" collapsed="false">
      <c r="B311313" s="1" t="n">
        <v>2009</v>
      </c>
      <c r="C311313" s="1" t="n">
        <v>29.388</v>
      </c>
      <c r="D311313" s="1" t="n">
        <v>-3.651</v>
      </c>
    </row>
    <row r="311314" customFormat="false" ht="12" hidden="false" customHeight="true" outlineLevel="0" collapsed="false">
      <c r="B311314" s="1" t="n">
        <v>2010</v>
      </c>
      <c r="C311314" s="1" t="n">
        <v>31.428</v>
      </c>
      <c r="D311314" s="1" t="n">
        <v>6.942</v>
      </c>
    </row>
    <row r="311315" customFormat="false" ht="12" hidden="false" customHeight="true" outlineLevel="0" collapsed="false">
      <c r="B311315" s="1" t="n">
        <v>2011</v>
      </c>
      <c r="C311315" s="1" t="n">
        <v>33.927</v>
      </c>
      <c r="D311315" s="1" t="n">
        <v>7.949</v>
      </c>
    </row>
    <row r="311316" customFormat="false" ht="12" hidden="false" customHeight="true" outlineLevel="0" collapsed="false">
      <c r="B311316" s="1" t="n">
        <v>2012</v>
      </c>
      <c r="C311316" s="1" t="n">
        <v>36.159</v>
      </c>
      <c r="D311316" s="1" t="n">
        <v>6.579</v>
      </c>
    </row>
    <row r="311317" customFormat="false" ht="12" hidden="false" customHeight="true" outlineLevel="0" collapsed="false">
      <c r="B311317" s="1" t="n">
        <v>2013</v>
      </c>
      <c r="C311317" s="1" t="n">
        <v>38.015</v>
      </c>
      <c r="D311317" s="1" t="n">
        <v>5.134</v>
      </c>
    </row>
    <row r="311318" customFormat="false" ht="12" hidden="false" customHeight="true" outlineLevel="0" collapsed="false">
      <c r="B311318" s="1" t="n">
        <v>2014</v>
      </c>
      <c r="C311318" s="1" t="n">
        <v>39.57</v>
      </c>
      <c r="D311318" s="1" t="n">
        <v>4.091</v>
      </c>
    </row>
    <row r="311319" customFormat="false" ht="12" hidden="false" customHeight="true" outlineLevel="0" collapsed="false">
      <c r="B311319" s="1" t="n">
        <v>2015</v>
      </c>
      <c r="C311319" s="1" t="n">
        <v>40.896</v>
      </c>
      <c r="D311319" s="1" t="n">
        <v>3.351</v>
      </c>
    </row>
    <row r="311320" customFormat="false" ht="12" hidden="false" customHeight="true" outlineLevel="0" collapsed="false">
      <c r="B311320" s="1" t="n">
        <v>2016</v>
      </c>
      <c r="C311320" s="1" t="n">
        <v>42.307</v>
      </c>
      <c r="D311320" s="1" t="n">
        <v>3.45</v>
      </c>
    </row>
    <row r="311321" customFormat="false" ht="12" hidden="false" customHeight="true" outlineLevel="0" collapsed="false">
      <c r="B311321" s="1" t="n">
        <v>2017</v>
      </c>
      <c r="C311321" s="1" t="n">
        <v>44.49</v>
      </c>
      <c r="D311321" s="1" t="n">
        <v>5.161</v>
      </c>
    </row>
    <row r="311322" customFormat="false" ht="12" hidden="false" customHeight="true" outlineLevel="0" collapsed="false">
      <c r="B311322" s="1" t="n">
        <v>2018</v>
      </c>
      <c r="C311322" s="1" t="n">
        <v>47.187</v>
      </c>
      <c r="D311322" s="1" t="n">
        <v>6.062</v>
      </c>
    </row>
    <row r="311323" customFormat="false" ht="12" hidden="false" customHeight="true" outlineLevel="0" collapsed="false">
      <c r="B311323" s="1" t="n">
        <v>2019</v>
      </c>
      <c r="C311323" s="1" t="n">
        <v>49.726</v>
      </c>
      <c r="D311323" s="1" t="n">
        <v>5.38</v>
      </c>
    </row>
    <row r="311324" customFormat="false" ht="12" hidden="false" customHeight="true" outlineLevel="0" collapsed="false">
      <c r="B311324" s="1" t="n">
        <v>2020</v>
      </c>
      <c r="C311324" s="1" t="n">
        <v>46.598</v>
      </c>
      <c r="D311324" s="1" t="n">
        <v>-6.291</v>
      </c>
    </row>
    <row r="311325" customFormat="false" ht="12" hidden="false" customHeight="true" outlineLevel="0" collapsed="false">
      <c r="B311325" s="1" t="n">
        <v>2021</v>
      </c>
      <c r="C311325" s="1" t="n">
        <v>51.558</v>
      </c>
      <c r="D311325" s="1" t="n">
        <v>10.644</v>
      </c>
    </row>
    <row r="311326" customFormat="false" ht="12" hidden="false" customHeight="true" outlineLevel="0" collapsed="false">
      <c r="B311326" s="1" t="n">
        <v>2022</v>
      </c>
      <c r="C311326" s="1" t="n">
        <v>57.208</v>
      </c>
      <c r="D311326" s="1" t="n">
        <v>10.96</v>
      </c>
    </row>
    <row r="311327" customFormat="false" ht="12" hidden="false" customHeight="true" outlineLevel="0" collapsed="false">
      <c r="B311327" s="1" t="n">
        <v>2023</v>
      </c>
      <c r="C311327" s="1" t="n">
        <v>61.689</v>
      </c>
      <c r="D311327" s="1" t="n">
        <v>7.832</v>
      </c>
    </row>
    <row r="311328" customFormat="false" ht="12" hidden="false" customHeight="true" outlineLevel="0" collapsed="false">
      <c r="B311328" s="1" t="n">
        <v>2024</v>
      </c>
      <c r="C311328" s="1" t="n">
        <v>67.505</v>
      </c>
      <c r="D311328" s="1" t="n">
        <v>9.429</v>
      </c>
    </row>
    <row r="311329" customFormat="false" ht="12" hidden="false" customHeight="true" outlineLevel="0" collapsed="false">
      <c r="B311329" s="1" t="n">
        <v>2025</v>
      </c>
      <c r="C311329" s="1" t="n">
        <v>71.54</v>
      </c>
      <c r="D311329" s="1" t="n">
        <v>5.977</v>
      </c>
    </row>
    <row r="311330" customFormat="false" ht="12" hidden="false" customHeight="true" outlineLevel="0" collapsed="false">
      <c r="B311330" s="1" t="n">
        <v>2026</v>
      </c>
      <c r="C311330" s="1" t="n">
        <v>75.117</v>
      </c>
      <c r="D311330" s="1" t="n">
        <v>5</v>
      </c>
    </row>
    <row r="311331" customFormat="false" ht="12" hidden="false" customHeight="true" outlineLevel="0" collapsed="false">
      <c r="B311331" s="1" t="n">
        <v>2027</v>
      </c>
      <c r="C311331" s="1" t="n">
        <v>78.873</v>
      </c>
      <c r="D311331" s="1" t="n">
        <v>5</v>
      </c>
    </row>
    <row r="311332" customFormat="false" ht="12" hidden="false" customHeight="true" outlineLevel="0" collapsed="false">
      <c r="B311332" s="1" t="s">
        <v>51</v>
      </c>
      <c r="C311332" s="1" t="n">
        <v>2024</v>
      </c>
      <c r="D311332" s="1" t="n">
        <v>2024</v>
      </c>
    </row>
    <row r="327681" customFormat="false" ht="12" hidden="false" customHeight="true" outlineLevel="0" collapsed="false">
      <c r="B327681" s="1" t="s">
        <v>35</v>
      </c>
      <c r="C327681" s="1" t="n">
        <v>915</v>
      </c>
      <c r="D327681" s="1" t="n">
        <v>915</v>
      </c>
    </row>
    <row r="327682" customFormat="false" ht="12" hidden="false" customHeight="true" outlineLevel="0" collapsed="false">
      <c r="B327682" s="1" t="s">
        <v>36</v>
      </c>
      <c r="C327682" s="1" t="s">
        <v>37</v>
      </c>
      <c r="D327682" s="1" t="s">
        <v>38</v>
      </c>
    </row>
    <row r="327683" customFormat="false" ht="12" hidden="false" customHeight="true" outlineLevel="0" collapsed="false">
      <c r="B327683" s="1" t="s">
        <v>39</v>
      </c>
      <c r="C327683" s="1" t="s">
        <v>40</v>
      </c>
      <c r="D327683" s="1" t="s">
        <v>40</v>
      </c>
    </row>
    <row r="327684" customFormat="false" ht="12" hidden="false" customHeight="true" outlineLevel="0" collapsed="false">
      <c r="B327684" s="1" t="s">
        <v>41</v>
      </c>
      <c r="C327684" s="1" t="s">
        <v>42</v>
      </c>
      <c r="D327684" s="1" t="s">
        <v>42</v>
      </c>
    </row>
    <row r="327685" customFormat="false" ht="12" hidden="false" customHeight="true" outlineLevel="0" collapsed="false">
      <c r="B327685" s="1" t="s">
        <v>43</v>
      </c>
      <c r="C327685" s="1" t="s">
        <v>44</v>
      </c>
      <c r="D327685" s="1" t="s">
        <v>45</v>
      </c>
    </row>
    <row r="327686" customFormat="false" ht="12" hidden="false" customHeight="true" outlineLevel="0" collapsed="false">
      <c r="B327686" s="1" t="s">
        <v>46</v>
      </c>
      <c r="C327686" s="1" t="s">
        <v>47</v>
      </c>
      <c r="D327686" s="1" t="s">
        <v>43</v>
      </c>
    </row>
    <row r="327687" customFormat="false" ht="12" hidden="false" customHeight="true" outlineLevel="0" collapsed="false">
      <c r="B327687" s="1" t="s">
        <v>48</v>
      </c>
      <c r="C327687" s="1" t="s">
        <v>49</v>
      </c>
      <c r="D327687" s="1" t="s">
        <v>50</v>
      </c>
    </row>
    <row r="327688" customFormat="false" ht="12" hidden="false" customHeight="true" outlineLevel="0" collapsed="false">
      <c r="B327688" s="1" t="n">
        <v>2000</v>
      </c>
      <c r="C327688" s="1" t="n">
        <v>16.963</v>
      </c>
      <c r="D327688" s="1" t="n">
        <v>1.865</v>
      </c>
    </row>
    <row r="327689" customFormat="false" ht="12" hidden="false" customHeight="true" outlineLevel="0" collapsed="false">
      <c r="B327689" s="1" t="n">
        <v>2001</v>
      </c>
      <c r="C327689" s="1" t="n">
        <v>17.772</v>
      </c>
      <c r="D327689" s="1" t="n">
        <v>4.769</v>
      </c>
    </row>
    <row r="327690" customFormat="false" ht="12" hidden="false" customHeight="true" outlineLevel="0" collapsed="false">
      <c r="B327690" s="1" t="n">
        <v>2002</v>
      </c>
      <c r="C327690" s="1" t="n">
        <v>18.747</v>
      </c>
      <c r="D327690" s="1" t="n">
        <v>5.487</v>
      </c>
    </row>
    <row r="327691" customFormat="false" ht="12" hidden="false" customHeight="true" outlineLevel="0" collapsed="false">
      <c r="B327691" s="1" t="n">
        <v>2003</v>
      </c>
      <c r="C327691" s="1" t="n">
        <v>20.852</v>
      </c>
      <c r="D327691" s="1" t="n">
        <v>11.228</v>
      </c>
    </row>
    <row r="327692" customFormat="false" ht="12" hidden="false" customHeight="true" outlineLevel="0" collapsed="false">
      <c r="B327692" s="1" t="n">
        <v>2004</v>
      </c>
      <c r="C327692" s="1" t="n">
        <v>22.061</v>
      </c>
      <c r="D327692" s="1" t="n">
        <v>5.796</v>
      </c>
    </row>
    <row r="327693" customFormat="false" ht="12" hidden="false" customHeight="true" outlineLevel="0" collapsed="false">
      <c r="B327693" s="1" t="n">
        <v>2005</v>
      </c>
      <c r="C327693" s="1" t="n">
        <v>24.176</v>
      </c>
      <c r="D327693" s="1" t="n">
        <v>9.588</v>
      </c>
    </row>
    <row r="327694" customFormat="false" ht="12" hidden="false" customHeight="true" outlineLevel="0" collapsed="false">
      <c r="B327694" s="1" t="n">
        <v>2006</v>
      </c>
      <c r="C327694" s="1" t="n">
        <v>26.454</v>
      </c>
      <c r="D327694" s="1" t="n">
        <v>9.42</v>
      </c>
    </row>
    <row r="327695" customFormat="false" ht="12" hidden="false" customHeight="true" outlineLevel="0" collapsed="false">
      <c r="B327695" s="1" t="n">
        <v>2007</v>
      </c>
      <c r="C327695" s="1" t="n">
        <v>29.781</v>
      </c>
      <c r="D327695" s="1" t="n">
        <v>12.579</v>
      </c>
    </row>
    <row r="327696" customFormat="false" ht="12" hidden="false" customHeight="true" outlineLevel="0" collapsed="false">
      <c r="B327696" s="1" t="n">
        <v>2008</v>
      </c>
      <c r="C327696" s="1" t="n">
        <v>30.502</v>
      </c>
      <c r="D327696" s="1" t="n">
        <v>2.419</v>
      </c>
    </row>
    <row r="327697" customFormat="false" ht="12" hidden="false" customHeight="true" outlineLevel="0" collapsed="false">
      <c r="B327697" s="1" t="n">
        <v>2009</v>
      </c>
      <c r="C327697" s="1" t="n">
        <v>29.388</v>
      </c>
      <c r="D327697" s="1" t="n">
        <v>-3.651</v>
      </c>
    </row>
    <row r="327698" customFormat="false" ht="12" hidden="false" customHeight="true" outlineLevel="0" collapsed="false">
      <c r="B327698" s="1" t="n">
        <v>2010</v>
      </c>
      <c r="C327698" s="1" t="n">
        <v>31.428</v>
      </c>
      <c r="D327698" s="1" t="n">
        <v>6.942</v>
      </c>
    </row>
    <row r="327699" customFormat="false" ht="12" hidden="false" customHeight="true" outlineLevel="0" collapsed="false">
      <c r="B327699" s="1" t="n">
        <v>2011</v>
      </c>
      <c r="C327699" s="1" t="n">
        <v>33.927</v>
      </c>
      <c r="D327699" s="1" t="n">
        <v>7.949</v>
      </c>
    </row>
    <row r="327700" customFormat="false" ht="12" hidden="false" customHeight="true" outlineLevel="0" collapsed="false">
      <c r="B327700" s="1" t="n">
        <v>2012</v>
      </c>
      <c r="C327700" s="1" t="n">
        <v>36.159</v>
      </c>
      <c r="D327700" s="1" t="n">
        <v>6.579</v>
      </c>
    </row>
    <row r="327701" customFormat="false" ht="12" hidden="false" customHeight="true" outlineLevel="0" collapsed="false">
      <c r="B327701" s="1" t="n">
        <v>2013</v>
      </c>
      <c r="C327701" s="1" t="n">
        <v>38.015</v>
      </c>
      <c r="D327701" s="1" t="n">
        <v>5.134</v>
      </c>
    </row>
    <row r="327702" customFormat="false" ht="12" hidden="false" customHeight="true" outlineLevel="0" collapsed="false">
      <c r="B327702" s="1" t="n">
        <v>2014</v>
      </c>
      <c r="C327702" s="1" t="n">
        <v>39.57</v>
      </c>
      <c r="D327702" s="1" t="n">
        <v>4.091</v>
      </c>
    </row>
    <row r="327703" customFormat="false" ht="12" hidden="false" customHeight="true" outlineLevel="0" collapsed="false">
      <c r="B327703" s="1" t="n">
        <v>2015</v>
      </c>
      <c r="C327703" s="1" t="n">
        <v>40.896</v>
      </c>
      <c r="D327703" s="1" t="n">
        <v>3.351</v>
      </c>
    </row>
    <row r="327704" customFormat="false" ht="12" hidden="false" customHeight="true" outlineLevel="0" collapsed="false">
      <c r="B327704" s="1" t="n">
        <v>2016</v>
      </c>
      <c r="C327704" s="1" t="n">
        <v>42.307</v>
      </c>
      <c r="D327704" s="1" t="n">
        <v>3.45</v>
      </c>
    </row>
    <row r="327705" customFormat="false" ht="12" hidden="false" customHeight="true" outlineLevel="0" collapsed="false">
      <c r="B327705" s="1" t="n">
        <v>2017</v>
      </c>
      <c r="C327705" s="1" t="n">
        <v>44.49</v>
      </c>
      <c r="D327705" s="1" t="n">
        <v>5.161</v>
      </c>
    </row>
    <row r="327706" customFormat="false" ht="12" hidden="false" customHeight="true" outlineLevel="0" collapsed="false">
      <c r="B327706" s="1" t="n">
        <v>2018</v>
      </c>
      <c r="C327706" s="1" t="n">
        <v>47.187</v>
      </c>
      <c r="D327706" s="1" t="n">
        <v>6.062</v>
      </c>
    </row>
    <row r="327707" customFormat="false" ht="12" hidden="false" customHeight="true" outlineLevel="0" collapsed="false">
      <c r="B327707" s="1" t="n">
        <v>2019</v>
      </c>
      <c r="C327707" s="1" t="n">
        <v>49.726</v>
      </c>
      <c r="D327707" s="1" t="n">
        <v>5.38</v>
      </c>
    </row>
    <row r="327708" customFormat="false" ht="12" hidden="false" customHeight="true" outlineLevel="0" collapsed="false">
      <c r="B327708" s="1" t="n">
        <v>2020</v>
      </c>
      <c r="C327708" s="1" t="n">
        <v>46.598</v>
      </c>
      <c r="D327708" s="1" t="n">
        <v>-6.291</v>
      </c>
    </row>
    <row r="327709" customFormat="false" ht="12" hidden="false" customHeight="true" outlineLevel="0" collapsed="false">
      <c r="B327709" s="1" t="n">
        <v>2021</v>
      </c>
      <c r="C327709" s="1" t="n">
        <v>51.558</v>
      </c>
      <c r="D327709" s="1" t="n">
        <v>10.644</v>
      </c>
    </row>
    <row r="327710" customFormat="false" ht="12" hidden="false" customHeight="true" outlineLevel="0" collapsed="false">
      <c r="B327710" s="1" t="n">
        <v>2022</v>
      </c>
      <c r="C327710" s="1" t="n">
        <v>57.208</v>
      </c>
      <c r="D327710" s="1" t="n">
        <v>10.96</v>
      </c>
    </row>
    <row r="327711" customFormat="false" ht="12" hidden="false" customHeight="true" outlineLevel="0" collapsed="false">
      <c r="B327711" s="1" t="n">
        <v>2023</v>
      </c>
      <c r="C327711" s="1" t="n">
        <v>61.689</v>
      </c>
      <c r="D327711" s="1" t="n">
        <v>7.832</v>
      </c>
    </row>
    <row r="327712" customFormat="false" ht="12" hidden="false" customHeight="true" outlineLevel="0" collapsed="false">
      <c r="B327712" s="1" t="n">
        <v>2024</v>
      </c>
      <c r="C327712" s="1" t="n">
        <v>67.505</v>
      </c>
      <c r="D327712" s="1" t="n">
        <v>9.429</v>
      </c>
    </row>
    <row r="327713" customFormat="false" ht="12" hidden="false" customHeight="true" outlineLevel="0" collapsed="false">
      <c r="B327713" s="1" t="n">
        <v>2025</v>
      </c>
      <c r="C327713" s="1" t="n">
        <v>71.54</v>
      </c>
      <c r="D327713" s="1" t="n">
        <v>5.977</v>
      </c>
    </row>
    <row r="327714" customFormat="false" ht="12" hidden="false" customHeight="true" outlineLevel="0" collapsed="false">
      <c r="B327714" s="1" t="n">
        <v>2026</v>
      </c>
      <c r="C327714" s="1" t="n">
        <v>75.117</v>
      </c>
      <c r="D327714" s="1" t="n">
        <v>5</v>
      </c>
    </row>
    <row r="327715" customFormat="false" ht="12" hidden="false" customHeight="true" outlineLevel="0" collapsed="false">
      <c r="B327715" s="1" t="n">
        <v>2027</v>
      </c>
      <c r="C327715" s="1" t="n">
        <v>78.873</v>
      </c>
      <c r="D327715" s="1" t="n">
        <v>5</v>
      </c>
    </row>
    <row r="327716" customFormat="false" ht="12" hidden="false" customHeight="true" outlineLevel="0" collapsed="false">
      <c r="B327716" s="1" t="s">
        <v>51</v>
      </c>
      <c r="C327716" s="1" t="n">
        <v>2024</v>
      </c>
      <c r="D327716" s="1" t="n">
        <v>2024</v>
      </c>
    </row>
    <row r="344065" customFormat="false" ht="12" hidden="false" customHeight="true" outlineLevel="0" collapsed="false">
      <c r="B344065" s="1" t="s">
        <v>35</v>
      </c>
      <c r="C344065" s="1" t="n">
        <v>915</v>
      </c>
      <c r="D344065" s="1" t="n">
        <v>915</v>
      </c>
    </row>
    <row r="344066" customFormat="false" ht="12" hidden="false" customHeight="true" outlineLevel="0" collapsed="false">
      <c r="B344066" s="1" t="s">
        <v>36</v>
      </c>
      <c r="C344066" s="1" t="s">
        <v>37</v>
      </c>
      <c r="D344066" s="1" t="s">
        <v>38</v>
      </c>
    </row>
    <row r="344067" customFormat="false" ht="12" hidden="false" customHeight="true" outlineLevel="0" collapsed="false">
      <c r="B344067" s="1" t="s">
        <v>39</v>
      </c>
      <c r="C344067" s="1" t="s">
        <v>40</v>
      </c>
      <c r="D344067" s="1" t="s">
        <v>40</v>
      </c>
    </row>
    <row r="344068" customFormat="false" ht="12" hidden="false" customHeight="true" outlineLevel="0" collapsed="false">
      <c r="B344068" s="1" t="s">
        <v>41</v>
      </c>
      <c r="C344068" s="1" t="s">
        <v>42</v>
      </c>
      <c r="D344068" s="1" t="s">
        <v>42</v>
      </c>
    </row>
    <row r="344069" customFormat="false" ht="12" hidden="false" customHeight="true" outlineLevel="0" collapsed="false">
      <c r="B344069" s="1" t="s">
        <v>43</v>
      </c>
      <c r="C344069" s="1" t="s">
        <v>44</v>
      </c>
      <c r="D344069" s="1" t="s">
        <v>45</v>
      </c>
    </row>
    <row r="344070" customFormat="false" ht="12" hidden="false" customHeight="true" outlineLevel="0" collapsed="false">
      <c r="B344070" s="1" t="s">
        <v>46</v>
      </c>
      <c r="C344070" s="1" t="s">
        <v>47</v>
      </c>
      <c r="D344070" s="1" t="s">
        <v>43</v>
      </c>
    </row>
    <row r="344071" customFormat="false" ht="12" hidden="false" customHeight="true" outlineLevel="0" collapsed="false">
      <c r="B344071" s="1" t="s">
        <v>48</v>
      </c>
      <c r="C344071" s="1" t="s">
        <v>49</v>
      </c>
      <c r="D344071" s="1" t="s">
        <v>50</v>
      </c>
    </row>
    <row r="344072" customFormat="false" ht="12" hidden="false" customHeight="true" outlineLevel="0" collapsed="false">
      <c r="B344072" s="1" t="n">
        <v>2000</v>
      </c>
      <c r="C344072" s="1" t="n">
        <v>16.963</v>
      </c>
      <c r="D344072" s="1" t="n">
        <v>1.865</v>
      </c>
    </row>
    <row r="344073" customFormat="false" ht="12" hidden="false" customHeight="true" outlineLevel="0" collapsed="false">
      <c r="B344073" s="1" t="n">
        <v>2001</v>
      </c>
      <c r="C344073" s="1" t="n">
        <v>17.772</v>
      </c>
      <c r="D344073" s="1" t="n">
        <v>4.769</v>
      </c>
    </row>
    <row r="344074" customFormat="false" ht="12" hidden="false" customHeight="true" outlineLevel="0" collapsed="false">
      <c r="B344074" s="1" t="n">
        <v>2002</v>
      </c>
      <c r="C344074" s="1" t="n">
        <v>18.747</v>
      </c>
      <c r="D344074" s="1" t="n">
        <v>5.487</v>
      </c>
    </row>
    <row r="344075" customFormat="false" ht="12" hidden="false" customHeight="true" outlineLevel="0" collapsed="false">
      <c r="B344075" s="1" t="n">
        <v>2003</v>
      </c>
      <c r="C344075" s="1" t="n">
        <v>20.852</v>
      </c>
      <c r="D344075" s="1" t="n">
        <v>11.228</v>
      </c>
    </row>
    <row r="344076" customFormat="false" ht="12" hidden="false" customHeight="true" outlineLevel="0" collapsed="false">
      <c r="B344076" s="1" t="n">
        <v>2004</v>
      </c>
      <c r="C344076" s="1" t="n">
        <v>22.061</v>
      </c>
      <c r="D344076" s="1" t="n">
        <v>5.796</v>
      </c>
    </row>
    <row r="344077" customFormat="false" ht="12" hidden="false" customHeight="true" outlineLevel="0" collapsed="false">
      <c r="B344077" s="1" t="n">
        <v>2005</v>
      </c>
      <c r="C344077" s="1" t="n">
        <v>24.176</v>
      </c>
      <c r="D344077" s="1" t="n">
        <v>9.588</v>
      </c>
    </row>
    <row r="344078" customFormat="false" ht="12" hidden="false" customHeight="true" outlineLevel="0" collapsed="false">
      <c r="B344078" s="1" t="n">
        <v>2006</v>
      </c>
      <c r="C344078" s="1" t="n">
        <v>26.454</v>
      </c>
      <c r="D344078" s="1" t="n">
        <v>9.42</v>
      </c>
    </row>
    <row r="344079" customFormat="false" ht="12" hidden="false" customHeight="true" outlineLevel="0" collapsed="false">
      <c r="B344079" s="1" t="n">
        <v>2007</v>
      </c>
      <c r="C344079" s="1" t="n">
        <v>29.781</v>
      </c>
      <c r="D344079" s="1" t="n">
        <v>12.579</v>
      </c>
    </row>
    <row r="344080" customFormat="false" ht="12" hidden="false" customHeight="true" outlineLevel="0" collapsed="false">
      <c r="B344080" s="1" t="n">
        <v>2008</v>
      </c>
      <c r="C344080" s="1" t="n">
        <v>30.502</v>
      </c>
      <c r="D344080" s="1" t="n">
        <v>2.419</v>
      </c>
    </row>
    <row r="344081" customFormat="false" ht="12" hidden="false" customHeight="true" outlineLevel="0" collapsed="false">
      <c r="B344081" s="1" t="n">
        <v>2009</v>
      </c>
      <c r="C344081" s="1" t="n">
        <v>29.388</v>
      </c>
      <c r="D344081" s="1" t="n">
        <v>-3.651</v>
      </c>
    </row>
    <row r="344082" customFormat="false" ht="12" hidden="false" customHeight="true" outlineLevel="0" collapsed="false">
      <c r="B344082" s="1" t="n">
        <v>2010</v>
      </c>
      <c r="C344082" s="1" t="n">
        <v>31.428</v>
      </c>
      <c r="D344082" s="1" t="n">
        <v>6.942</v>
      </c>
    </row>
    <row r="344083" customFormat="false" ht="12" hidden="false" customHeight="true" outlineLevel="0" collapsed="false">
      <c r="B344083" s="1" t="n">
        <v>2011</v>
      </c>
      <c r="C344083" s="1" t="n">
        <v>33.927</v>
      </c>
      <c r="D344083" s="1" t="n">
        <v>7.949</v>
      </c>
    </row>
    <row r="344084" customFormat="false" ht="12" hidden="false" customHeight="true" outlineLevel="0" collapsed="false">
      <c r="B344084" s="1" t="n">
        <v>2012</v>
      </c>
      <c r="C344084" s="1" t="n">
        <v>36.159</v>
      </c>
      <c r="D344084" s="1" t="n">
        <v>6.579</v>
      </c>
    </row>
    <row r="344085" customFormat="false" ht="12" hidden="false" customHeight="true" outlineLevel="0" collapsed="false">
      <c r="B344085" s="1" t="n">
        <v>2013</v>
      </c>
      <c r="C344085" s="1" t="n">
        <v>38.015</v>
      </c>
      <c r="D344085" s="1" t="n">
        <v>5.134</v>
      </c>
    </row>
    <row r="344086" customFormat="false" ht="12" hidden="false" customHeight="true" outlineLevel="0" collapsed="false">
      <c r="B344086" s="1" t="n">
        <v>2014</v>
      </c>
      <c r="C344086" s="1" t="n">
        <v>39.57</v>
      </c>
      <c r="D344086" s="1" t="n">
        <v>4.091</v>
      </c>
    </row>
    <row r="344087" customFormat="false" ht="12" hidden="false" customHeight="true" outlineLevel="0" collapsed="false">
      <c r="B344087" s="1" t="n">
        <v>2015</v>
      </c>
      <c r="C344087" s="1" t="n">
        <v>40.896</v>
      </c>
      <c r="D344087" s="1" t="n">
        <v>3.351</v>
      </c>
    </row>
    <row r="344088" customFormat="false" ht="12" hidden="false" customHeight="true" outlineLevel="0" collapsed="false">
      <c r="B344088" s="1" t="n">
        <v>2016</v>
      </c>
      <c r="C344088" s="1" t="n">
        <v>42.307</v>
      </c>
      <c r="D344088" s="1" t="n">
        <v>3.45</v>
      </c>
    </row>
    <row r="344089" customFormat="false" ht="12" hidden="false" customHeight="true" outlineLevel="0" collapsed="false">
      <c r="B344089" s="1" t="n">
        <v>2017</v>
      </c>
      <c r="C344089" s="1" t="n">
        <v>44.49</v>
      </c>
      <c r="D344089" s="1" t="n">
        <v>5.161</v>
      </c>
    </row>
    <row r="344090" customFormat="false" ht="12" hidden="false" customHeight="true" outlineLevel="0" collapsed="false">
      <c r="B344090" s="1" t="n">
        <v>2018</v>
      </c>
      <c r="C344090" s="1" t="n">
        <v>47.187</v>
      </c>
      <c r="D344090" s="1" t="n">
        <v>6.062</v>
      </c>
    </row>
    <row r="344091" customFormat="false" ht="12" hidden="false" customHeight="true" outlineLevel="0" collapsed="false">
      <c r="B344091" s="1" t="n">
        <v>2019</v>
      </c>
      <c r="C344091" s="1" t="n">
        <v>49.726</v>
      </c>
      <c r="D344091" s="1" t="n">
        <v>5.38</v>
      </c>
    </row>
    <row r="344092" customFormat="false" ht="12" hidden="false" customHeight="true" outlineLevel="0" collapsed="false">
      <c r="B344092" s="1" t="n">
        <v>2020</v>
      </c>
      <c r="C344092" s="1" t="n">
        <v>46.598</v>
      </c>
      <c r="D344092" s="1" t="n">
        <v>-6.291</v>
      </c>
    </row>
    <row r="344093" customFormat="false" ht="12" hidden="false" customHeight="true" outlineLevel="0" collapsed="false">
      <c r="B344093" s="1" t="n">
        <v>2021</v>
      </c>
      <c r="C344093" s="1" t="n">
        <v>51.558</v>
      </c>
      <c r="D344093" s="1" t="n">
        <v>10.644</v>
      </c>
    </row>
    <row r="344094" customFormat="false" ht="12" hidden="false" customHeight="true" outlineLevel="0" collapsed="false">
      <c r="B344094" s="1" t="n">
        <v>2022</v>
      </c>
      <c r="C344094" s="1" t="n">
        <v>57.208</v>
      </c>
      <c r="D344094" s="1" t="n">
        <v>10.96</v>
      </c>
    </row>
    <row r="344095" customFormat="false" ht="12" hidden="false" customHeight="true" outlineLevel="0" collapsed="false">
      <c r="B344095" s="1" t="n">
        <v>2023</v>
      </c>
      <c r="C344095" s="1" t="n">
        <v>61.689</v>
      </c>
      <c r="D344095" s="1" t="n">
        <v>7.832</v>
      </c>
    </row>
    <row r="344096" customFormat="false" ht="12" hidden="false" customHeight="true" outlineLevel="0" collapsed="false">
      <c r="B344096" s="1" t="n">
        <v>2024</v>
      </c>
      <c r="C344096" s="1" t="n">
        <v>67.505</v>
      </c>
      <c r="D344096" s="1" t="n">
        <v>9.429</v>
      </c>
    </row>
    <row r="344097" customFormat="false" ht="12" hidden="false" customHeight="true" outlineLevel="0" collapsed="false">
      <c r="B344097" s="1" t="n">
        <v>2025</v>
      </c>
      <c r="C344097" s="1" t="n">
        <v>71.54</v>
      </c>
      <c r="D344097" s="1" t="n">
        <v>5.977</v>
      </c>
    </row>
    <row r="344098" customFormat="false" ht="12" hidden="false" customHeight="true" outlineLevel="0" collapsed="false">
      <c r="B344098" s="1" t="n">
        <v>2026</v>
      </c>
      <c r="C344098" s="1" t="n">
        <v>75.117</v>
      </c>
      <c r="D344098" s="1" t="n">
        <v>5</v>
      </c>
    </row>
    <row r="344099" customFormat="false" ht="12" hidden="false" customHeight="true" outlineLevel="0" collapsed="false">
      <c r="B344099" s="1" t="n">
        <v>2027</v>
      </c>
      <c r="C344099" s="1" t="n">
        <v>78.873</v>
      </c>
      <c r="D344099" s="1" t="n">
        <v>5</v>
      </c>
    </row>
    <row r="344100" customFormat="false" ht="12" hidden="false" customHeight="true" outlineLevel="0" collapsed="false">
      <c r="B344100" s="1" t="s">
        <v>51</v>
      </c>
      <c r="C344100" s="1" t="n">
        <v>2024</v>
      </c>
      <c r="D344100" s="1" t="n">
        <v>2024</v>
      </c>
    </row>
    <row r="360449" customFormat="false" ht="12" hidden="false" customHeight="true" outlineLevel="0" collapsed="false">
      <c r="B360449" s="1" t="s">
        <v>35</v>
      </c>
      <c r="C360449" s="1" t="n">
        <v>915</v>
      </c>
      <c r="D360449" s="1" t="n">
        <v>915</v>
      </c>
    </row>
    <row r="360450" customFormat="false" ht="12" hidden="false" customHeight="true" outlineLevel="0" collapsed="false">
      <c r="B360450" s="1" t="s">
        <v>36</v>
      </c>
      <c r="C360450" s="1" t="s">
        <v>37</v>
      </c>
      <c r="D360450" s="1" t="s">
        <v>38</v>
      </c>
    </row>
    <row r="360451" customFormat="false" ht="12" hidden="false" customHeight="true" outlineLevel="0" collapsed="false">
      <c r="B360451" s="1" t="s">
        <v>39</v>
      </c>
      <c r="C360451" s="1" t="s">
        <v>40</v>
      </c>
      <c r="D360451" s="1" t="s">
        <v>40</v>
      </c>
    </row>
    <row r="360452" customFormat="false" ht="12" hidden="false" customHeight="true" outlineLevel="0" collapsed="false">
      <c r="B360452" s="1" t="s">
        <v>41</v>
      </c>
      <c r="C360452" s="1" t="s">
        <v>42</v>
      </c>
      <c r="D360452" s="1" t="s">
        <v>42</v>
      </c>
    </row>
    <row r="360453" customFormat="false" ht="12" hidden="false" customHeight="true" outlineLevel="0" collapsed="false">
      <c r="B360453" s="1" t="s">
        <v>43</v>
      </c>
      <c r="C360453" s="1" t="s">
        <v>44</v>
      </c>
      <c r="D360453" s="1" t="s">
        <v>45</v>
      </c>
    </row>
    <row r="360454" customFormat="false" ht="12" hidden="false" customHeight="true" outlineLevel="0" collapsed="false">
      <c r="B360454" s="1" t="s">
        <v>46</v>
      </c>
      <c r="C360454" s="1" t="s">
        <v>47</v>
      </c>
      <c r="D360454" s="1" t="s">
        <v>43</v>
      </c>
    </row>
    <row r="360455" customFormat="false" ht="12" hidden="false" customHeight="true" outlineLevel="0" collapsed="false">
      <c r="B360455" s="1" t="s">
        <v>48</v>
      </c>
      <c r="C360455" s="1" t="s">
        <v>49</v>
      </c>
      <c r="D360455" s="1" t="s">
        <v>50</v>
      </c>
    </row>
    <row r="360456" customFormat="false" ht="12" hidden="false" customHeight="true" outlineLevel="0" collapsed="false">
      <c r="B360456" s="1" t="n">
        <v>2000</v>
      </c>
      <c r="C360456" s="1" t="n">
        <v>16.963</v>
      </c>
      <c r="D360456" s="1" t="n">
        <v>1.865</v>
      </c>
    </row>
    <row r="360457" customFormat="false" ht="12" hidden="false" customHeight="true" outlineLevel="0" collapsed="false">
      <c r="B360457" s="1" t="n">
        <v>2001</v>
      </c>
      <c r="C360457" s="1" t="n">
        <v>17.772</v>
      </c>
      <c r="D360457" s="1" t="n">
        <v>4.769</v>
      </c>
    </row>
    <row r="360458" customFormat="false" ht="12" hidden="false" customHeight="true" outlineLevel="0" collapsed="false">
      <c r="B360458" s="1" t="n">
        <v>2002</v>
      </c>
      <c r="C360458" s="1" t="n">
        <v>18.747</v>
      </c>
      <c r="D360458" s="1" t="n">
        <v>5.487</v>
      </c>
    </row>
    <row r="360459" customFormat="false" ht="12" hidden="false" customHeight="true" outlineLevel="0" collapsed="false">
      <c r="B360459" s="1" t="n">
        <v>2003</v>
      </c>
      <c r="C360459" s="1" t="n">
        <v>20.852</v>
      </c>
      <c r="D360459" s="1" t="n">
        <v>11.228</v>
      </c>
    </row>
    <row r="360460" customFormat="false" ht="12" hidden="false" customHeight="true" outlineLevel="0" collapsed="false">
      <c r="B360460" s="1" t="n">
        <v>2004</v>
      </c>
      <c r="C360460" s="1" t="n">
        <v>22.061</v>
      </c>
      <c r="D360460" s="1" t="n">
        <v>5.796</v>
      </c>
    </row>
    <row r="360461" customFormat="false" ht="12" hidden="false" customHeight="true" outlineLevel="0" collapsed="false">
      <c r="B360461" s="1" t="n">
        <v>2005</v>
      </c>
      <c r="C360461" s="1" t="n">
        <v>24.176</v>
      </c>
      <c r="D360461" s="1" t="n">
        <v>9.588</v>
      </c>
    </row>
    <row r="360462" customFormat="false" ht="12" hidden="false" customHeight="true" outlineLevel="0" collapsed="false">
      <c r="B360462" s="1" t="n">
        <v>2006</v>
      </c>
      <c r="C360462" s="1" t="n">
        <v>26.454</v>
      </c>
      <c r="D360462" s="1" t="n">
        <v>9.42</v>
      </c>
    </row>
    <row r="360463" customFormat="false" ht="12" hidden="false" customHeight="true" outlineLevel="0" collapsed="false">
      <c r="B360463" s="1" t="n">
        <v>2007</v>
      </c>
      <c r="C360463" s="1" t="n">
        <v>29.781</v>
      </c>
      <c r="D360463" s="1" t="n">
        <v>12.579</v>
      </c>
    </row>
    <row r="360464" customFormat="false" ht="12" hidden="false" customHeight="true" outlineLevel="0" collapsed="false">
      <c r="B360464" s="1" t="n">
        <v>2008</v>
      </c>
      <c r="C360464" s="1" t="n">
        <v>30.502</v>
      </c>
      <c r="D360464" s="1" t="n">
        <v>2.419</v>
      </c>
    </row>
    <row r="360465" customFormat="false" ht="12" hidden="false" customHeight="true" outlineLevel="0" collapsed="false">
      <c r="B360465" s="1" t="n">
        <v>2009</v>
      </c>
      <c r="C360465" s="1" t="n">
        <v>29.388</v>
      </c>
      <c r="D360465" s="1" t="n">
        <v>-3.651</v>
      </c>
    </row>
    <row r="360466" customFormat="false" ht="12" hidden="false" customHeight="true" outlineLevel="0" collapsed="false">
      <c r="B360466" s="1" t="n">
        <v>2010</v>
      </c>
      <c r="C360466" s="1" t="n">
        <v>31.428</v>
      </c>
      <c r="D360466" s="1" t="n">
        <v>6.942</v>
      </c>
    </row>
    <row r="360467" customFormat="false" ht="12" hidden="false" customHeight="true" outlineLevel="0" collapsed="false">
      <c r="B360467" s="1" t="n">
        <v>2011</v>
      </c>
      <c r="C360467" s="1" t="n">
        <v>33.927</v>
      </c>
      <c r="D360467" s="1" t="n">
        <v>7.949</v>
      </c>
    </row>
    <row r="360468" customFormat="false" ht="12" hidden="false" customHeight="true" outlineLevel="0" collapsed="false">
      <c r="B360468" s="1" t="n">
        <v>2012</v>
      </c>
      <c r="C360468" s="1" t="n">
        <v>36.159</v>
      </c>
      <c r="D360468" s="1" t="n">
        <v>6.579</v>
      </c>
    </row>
    <row r="360469" customFormat="false" ht="12" hidden="false" customHeight="true" outlineLevel="0" collapsed="false">
      <c r="B360469" s="1" t="n">
        <v>2013</v>
      </c>
      <c r="C360469" s="1" t="n">
        <v>38.015</v>
      </c>
      <c r="D360469" s="1" t="n">
        <v>5.134</v>
      </c>
    </row>
    <row r="360470" customFormat="false" ht="12" hidden="false" customHeight="true" outlineLevel="0" collapsed="false">
      <c r="B360470" s="1" t="n">
        <v>2014</v>
      </c>
      <c r="C360470" s="1" t="n">
        <v>39.57</v>
      </c>
      <c r="D360470" s="1" t="n">
        <v>4.091</v>
      </c>
    </row>
    <row r="360471" customFormat="false" ht="12" hidden="false" customHeight="true" outlineLevel="0" collapsed="false">
      <c r="B360471" s="1" t="n">
        <v>2015</v>
      </c>
      <c r="C360471" s="1" t="n">
        <v>40.896</v>
      </c>
      <c r="D360471" s="1" t="n">
        <v>3.351</v>
      </c>
    </row>
    <row r="360472" customFormat="false" ht="12" hidden="false" customHeight="true" outlineLevel="0" collapsed="false">
      <c r="B360472" s="1" t="n">
        <v>2016</v>
      </c>
      <c r="C360472" s="1" t="n">
        <v>42.307</v>
      </c>
      <c r="D360472" s="1" t="n">
        <v>3.45</v>
      </c>
    </row>
    <row r="360473" customFormat="false" ht="12" hidden="false" customHeight="true" outlineLevel="0" collapsed="false">
      <c r="B360473" s="1" t="n">
        <v>2017</v>
      </c>
      <c r="C360473" s="1" t="n">
        <v>44.49</v>
      </c>
      <c r="D360473" s="1" t="n">
        <v>5.161</v>
      </c>
    </row>
    <row r="360474" customFormat="false" ht="12" hidden="false" customHeight="true" outlineLevel="0" collapsed="false">
      <c r="B360474" s="1" t="n">
        <v>2018</v>
      </c>
      <c r="C360474" s="1" t="n">
        <v>47.187</v>
      </c>
      <c r="D360474" s="1" t="n">
        <v>6.062</v>
      </c>
    </row>
    <row r="360475" customFormat="false" ht="12" hidden="false" customHeight="true" outlineLevel="0" collapsed="false">
      <c r="B360475" s="1" t="n">
        <v>2019</v>
      </c>
      <c r="C360475" s="1" t="n">
        <v>49.726</v>
      </c>
      <c r="D360475" s="1" t="n">
        <v>5.38</v>
      </c>
    </row>
    <row r="360476" customFormat="false" ht="12" hidden="false" customHeight="true" outlineLevel="0" collapsed="false">
      <c r="B360476" s="1" t="n">
        <v>2020</v>
      </c>
      <c r="C360476" s="1" t="n">
        <v>46.598</v>
      </c>
      <c r="D360476" s="1" t="n">
        <v>-6.291</v>
      </c>
    </row>
    <row r="360477" customFormat="false" ht="12" hidden="false" customHeight="true" outlineLevel="0" collapsed="false">
      <c r="B360477" s="1" t="n">
        <v>2021</v>
      </c>
      <c r="C360477" s="1" t="n">
        <v>51.558</v>
      </c>
      <c r="D360477" s="1" t="n">
        <v>10.644</v>
      </c>
    </row>
    <row r="360478" customFormat="false" ht="12" hidden="false" customHeight="true" outlineLevel="0" collapsed="false">
      <c r="B360478" s="1" t="n">
        <v>2022</v>
      </c>
      <c r="C360478" s="1" t="n">
        <v>57.208</v>
      </c>
      <c r="D360478" s="1" t="n">
        <v>10.96</v>
      </c>
    </row>
    <row r="360479" customFormat="false" ht="12" hidden="false" customHeight="true" outlineLevel="0" collapsed="false">
      <c r="B360479" s="1" t="n">
        <v>2023</v>
      </c>
      <c r="C360479" s="1" t="n">
        <v>61.689</v>
      </c>
      <c r="D360479" s="1" t="n">
        <v>7.832</v>
      </c>
    </row>
    <row r="360480" customFormat="false" ht="12" hidden="false" customHeight="true" outlineLevel="0" collapsed="false">
      <c r="B360480" s="1" t="n">
        <v>2024</v>
      </c>
      <c r="C360480" s="1" t="n">
        <v>67.505</v>
      </c>
      <c r="D360480" s="1" t="n">
        <v>9.429</v>
      </c>
    </row>
    <row r="360481" customFormat="false" ht="12" hidden="false" customHeight="true" outlineLevel="0" collapsed="false">
      <c r="B360481" s="1" t="n">
        <v>2025</v>
      </c>
      <c r="C360481" s="1" t="n">
        <v>71.54</v>
      </c>
      <c r="D360481" s="1" t="n">
        <v>5.977</v>
      </c>
    </row>
    <row r="360482" customFormat="false" ht="12" hidden="false" customHeight="true" outlineLevel="0" collapsed="false">
      <c r="B360482" s="1" t="n">
        <v>2026</v>
      </c>
      <c r="C360482" s="1" t="n">
        <v>75.117</v>
      </c>
      <c r="D360482" s="1" t="n">
        <v>5</v>
      </c>
    </row>
    <row r="360483" customFormat="false" ht="12" hidden="false" customHeight="true" outlineLevel="0" collapsed="false">
      <c r="B360483" s="1" t="n">
        <v>2027</v>
      </c>
      <c r="C360483" s="1" t="n">
        <v>78.873</v>
      </c>
      <c r="D360483" s="1" t="n">
        <v>5</v>
      </c>
    </row>
    <row r="360484" customFormat="false" ht="12" hidden="false" customHeight="true" outlineLevel="0" collapsed="false">
      <c r="B360484" s="1" t="s">
        <v>51</v>
      </c>
      <c r="C360484" s="1" t="n">
        <v>2024</v>
      </c>
      <c r="D360484" s="1" t="n">
        <v>2024</v>
      </c>
    </row>
    <row r="376833" customFormat="false" ht="12" hidden="false" customHeight="true" outlineLevel="0" collapsed="false">
      <c r="B376833" s="1" t="s">
        <v>35</v>
      </c>
      <c r="C376833" s="1" t="n">
        <v>915</v>
      </c>
      <c r="D376833" s="1" t="n">
        <v>915</v>
      </c>
    </row>
    <row r="376834" customFormat="false" ht="12" hidden="false" customHeight="true" outlineLevel="0" collapsed="false">
      <c r="B376834" s="1" t="s">
        <v>36</v>
      </c>
      <c r="C376834" s="1" t="s">
        <v>37</v>
      </c>
      <c r="D376834" s="1" t="s">
        <v>38</v>
      </c>
    </row>
    <row r="376835" customFormat="false" ht="12" hidden="false" customHeight="true" outlineLevel="0" collapsed="false">
      <c r="B376835" s="1" t="s">
        <v>39</v>
      </c>
      <c r="C376835" s="1" t="s">
        <v>40</v>
      </c>
      <c r="D376835" s="1" t="s">
        <v>40</v>
      </c>
    </row>
    <row r="376836" customFormat="false" ht="12" hidden="false" customHeight="true" outlineLevel="0" collapsed="false">
      <c r="B376836" s="1" t="s">
        <v>41</v>
      </c>
      <c r="C376836" s="1" t="s">
        <v>42</v>
      </c>
      <c r="D376836" s="1" t="s">
        <v>42</v>
      </c>
    </row>
    <row r="376837" customFormat="false" ht="12" hidden="false" customHeight="true" outlineLevel="0" collapsed="false">
      <c r="B376837" s="1" t="s">
        <v>43</v>
      </c>
      <c r="C376837" s="1" t="s">
        <v>44</v>
      </c>
      <c r="D376837" s="1" t="s">
        <v>45</v>
      </c>
    </row>
    <row r="376838" customFormat="false" ht="12" hidden="false" customHeight="true" outlineLevel="0" collapsed="false">
      <c r="B376838" s="1" t="s">
        <v>46</v>
      </c>
      <c r="C376838" s="1" t="s">
        <v>47</v>
      </c>
      <c r="D376838" s="1" t="s">
        <v>43</v>
      </c>
    </row>
    <row r="376839" customFormat="false" ht="12" hidden="false" customHeight="true" outlineLevel="0" collapsed="false">
      <c r="B376839" s="1" t="s">
        <v>48</v>
      </c>
      <c r="C376839" s="1" t="s">
        <v>49</v>
      </c>
      <c r="D376839" s="1" t="s">
        <v>50</v>
      </c>
    </row>
    <row r="376840" customFormat="false" ht="12" hidden="false" customHeight="true" outlineLevel="0" collapsed="false">
      <c r="B376840" s="1" t="n">
        <v>2000</v>
      </c>
      <c r="C376840" s="1" t="n">
        <v>16.963</v>
      </c>
      <c r="D376840" s="1" t="n">
        <v>1.865</v>
      </c>
    </row>
    <row r="376841" customFormat="false" ht="12" hidden="false" customHeight="true" outlineLevel="0" collapsed="false">
      <c r="B376841" s="1" t="n">
        <v>2001</v>
      </c>
      <c r="C376841" s="1" t="n">
        <v>17.772</v>
      </c>
      <c r="D376841" s="1" t="n">
        <v>4.769</v>
      </c>
    </row>
    <row r="376842" customFormat="false" ht="12" hidden="false" customHeight="true" outlineLevel="0" collapsed="false">
      <c r="B376842" s="1" t="n">
        <v>2002</v>
      </c>
      <c r="C376842" s="1" t="n">
        <v>18.747</v>
      </c>
      <c r="D376842" s="1" t="n">
        <v>5.487</v>
      </c>
    </row>
    <row r="376843" customFormat="false" ht="12" hidden="false" customHeight="true" outlineLevel="0" collapsed="false">
      <c r="B376843" s="1" t="n">
        <v>2003</v>
      </c>
      <c r="C376843" s="1" t="n">
        <v>20.852</v>
      </c>
      <c r="D376843" s="1" t="n">
        <v>11.228</v>
      </c>
    </row>
    <row r="376844" customFormat="false" ht="12" hidden="false" customHeight="true" outlineLevel="0" collapsed="false">
      <c r="B376844" s="1" t="n">
        <v>2004</v>
      </c>
      <c r="C376844" s="1" t="n">
        <v>22.061</v>
      </c>
      <c r="D376844" s="1" t="n">
        <v>5.796</v>
      </c>
    </row>
    <row r="376845" customFormat="false" ht="12" hidden="false" customHeight="true" outlineLevel="0" collapsed="false">
      <c r="B376845" s="1" t="n">
        <v>2005</v>
      </c>
      <c r="C376845" s="1" t="n">
        <v>24.176</v>
      </c>
      <c r="D376845" s="1" t="n">
        <v>9.588</v>
      </c>
    </row>
    <row r="376846" customFormat="false" ht="12" hidden="false" customHeight="true" outlineLevel="0" collapsed="false">
      <c r="B376846" s="1" t="n">
        <v>2006</v>
      </c>
      <c r="C376846" s="1" t="n">
        <v>26.454</v>
      </c>
      <c r="D376846" s="1" t="n">
        <v>9.42</v>
      </c>
    </row>
    <row r="376847" customFormat="false" ht="12" hidden="false" customHeight="true" outlineLevel="0" collapsed="false">
      <c r="B376847" s="1" t="n">
        <v>2007</v>
      </c>
      <c r="C376847" s="1" t="n">
        <v>29.781</v>
      </c>
      <c r="D376847" s="1" t="n">
        <v>12.579</v>
      </c>
    </row>
    <row r="376848" customFormat="false" ht="12" hidden="false" customHeight="true" outlineLevel="0" collapsed="false">
      <c r="B376848" s="1" t="n">
        <v>2008</v>
      </c>
      <c r="C376848" s="1" t="n">
        <v>30.502</v>
      </c>
      <c r="D376848" s="1" t="n">
        <v>2.419</v>
      </c>
    </row>
    <row r="376849" customFormat="false" ht="12" hidden="false" customHeight="true" outlineLevel="0" collapsed="false">
      <c r="B376849" s="1" t="n">
        <v>2009</v>
      </c>
      <c r="C376849" s="1" t="n">
        <v>29.388</v>
      </c>
      <c r="D376849" s="1" t="n">
        <v>-3.651</v>
      </c>
    </row>
    <row r="376850" customFormat="false" ht="12" hidden="false" customHeight="true" outlineLevel="0" collapsed="false">
      <c r="B376850" s="1" t="n">
        <v>2010</v>
      </c>
      <c r="C376850" s="1" t="n">
        <v>31.428</v>
      </c>
      <c r="D376850" s="1" t="n">
        <v>6.942</v>
      </c>
    </row>
    <row r="376851" customFormat="false" ht="12" hidden="false" customHeight="true" outlineLevel="0" collapsed="false">
      <c r="B376851" s="1" t="n">
        <v>2011</v>
      </c>
      <c r="C376851" s="1" t="n">
        <v>33.927</v>
      </c>
      <c r="D376851" s="1" t="n">
        <v>7.949</v>
      </c>
    </row>
    <row r="376852" customFormat="false" ht="12" hidden="false" customHeight="true" outlineLevel="0" collapsed="false">
      <c r="B376852" s="1" t="n">
        <v>2012</v>
      </c>
      <c r="C376852" s="1" t="n">
        <v>36.159</v>
      </c>
      <c r="D376852" s="1" t="n">
        <v>6.579</v>
      </c>
    </row>
    <row r="376853" customFormat="false" ht="12" hidden="false" customHeight="true" outlineLevel="0" collapsed="false">
      <c r="B376853" s="1" t="n">
        <v>2013</v>
      </c>
      <c r="C376853" s="1" t="n">
        <v>38.015</v>
      </c>
      <c r="D376853" s="1" t="n">
        <v>5.134</v>
      </c>
    </row>
    <row r="376854" customFormat="false" ht="12" hidden="false" customHeight="true" outlineLevel="0" collapsed="false">
      <c r="B376854" s="1" t="n">
        <v>2014</v>
      </c>
      <c r="C376854" s="1" t="n">
        <v>39.57</v>
      </c>
      <c r="D376854" s="1" t="n">
        <v>4.091</v>
      </c>
    </row>
    <row r="376855" customFormat="false" ht="12" hidden="false" customHeight="true" outlineLevel="0" collapsed="false">
      <c r="B376855" s="1" t="n">
        <v>2015</v>
      </c>
      <c r="C376855" s="1" t="n">
        <v>40.896</v>
      </c>
      <c r="D376855" s="1" t="n">
        <v>3.351</v>
      </c>
    </row>
    <row r="376856" customFormat="false" ht="12" hidden="false" customHeight="true" outlineLevel="0" collapsed="false">
      <c r="B376856" s="1" t="n">
        <v>2016</v>
      </c>
      <c r="C376856" s="1" t="n">
        <v>42.307</v>
      </c>
      <c r="D376856" s="1" t="n">
        <v>3.45</v>
      </c>
    </row>
    <row r="376857" customFormat="false" ht="12" hidden="false" customHeight="true" outlineLevel="0" collapsed="false">
      <c r="B376857" s="1" t="n">
        <v>2017</v>
      </c>
      <c r="C376857" s="1" t="n">
        <v>44.49</v>
      </c>
      <c r="D376857" s="1" t="n">
        <v>5.161</v>
      </c>
    </row>
    <row r="376858" customFormat="false" ht="12" hidden="false" customHeight="true" outlineLevel="0" collapsed="false">
      <c r="B376858" s="1" t="n">
        <v>2018</v>
      </c>
      <c r="C376858" s="1" t="n">
        <v>47.187</v>
      </c>
      <c r="D376858" s="1" t="n">
        <v>6.062</v>
      </c>
    </row>
    <row r="376859" customFormat="false" ht="12" hidden="false" customHeight="true" outlineLevel="0" collapsed="false">
      <c r="B376859" s="1" t="n">
        <v>2019</v>
      </c>
      <c r="C376859" s="1" t="n">
        <v>49.726</v>
      </c>
      <c r="D376859" s="1" t="n">
        <v>5.38</v>
      </c>
    </row>
    <row r="376860" customFormat="false" ht="12" hidden="false" customHeight="true" outlineLevel="0" collapsed="false">
      <c r="B376860" s="1" t="n">
        <v>2020</v>
      </c>
      <c r="C376860" s="1" t="n">
        <v>46.598</v>
      </c>
      <c r="D376860" s="1" t="n">
        <v>-6.291</v>
      </c>
    </row>
    <row r="376861" customFormat="false" ht="12" hidden="false" customHeight="true" outlineLevel="0" collapsed="false">
      <c r="B376861" s="1" t="n">
        <v>2021</v>
      </c>
      <c r="C376861" s="1" t="n">
        <v>51.558</v>
      </c>
      <c r="D376861" s="1" t="n">
        <v>10.644</v>
      </c>
    </row>
    <row r="376862" customFormat="false" ht="12" hidden="false" customHeight="true" outlineLevel="0" collapsed="false">
      <c r="B376862" s="1" t="n">
        <v>2022</v>
      </c>
      <c r="C376862" s="1" t="n">
        <v>57.208</v>
      </c>
      <c r="D376862" s="1" t="n">
        <v>10.96</v>
      </c>
    </row>
    <row r="376863" customFormat="false" ht="12" hidden="false" customHeight="true" outlineLevel="0" collapsed="false">
      <c r="B376863" s="1" t="n">
        <v>2023</v>
      </c>
      <c r="C376863" s="1" t="n">
        <v>61.689</v>
      </c>
      <c r="D376863" s="1" t="n">
        <v>7.832</v>
      </c>
    </row>
    <row r="376864" customFormat="false" ht="12" hidden="false" customHeight="true" outlineLevel="0" collapsed="false">
      <c r="B376864" s="1" t="n">
        <v>2024</v>
      </c>
      <c r="C376864" s="1" t="n">
        <v>67.505</v>
      </c>
      <c r="D376864" s="1" t="n">
        <v>9.429</v>
      </c>
    </row>
    <row r="376865" customFormat="false" ht="12" hidden="false" customHeight="true" outlineLevel="0" collapsed="false">
      <c r="B376865" s="1" t="n">
        <v>2025</v>
      </c>
      <c r="C376865" s="1" t="n">
        <v>71.54</v>
      </c>
      <c r="D376865" s="1" t="n">
        <v>5.977</v>
      </c>
    </row>
    <row r="376866" customFormat="false" ht="12" hidden="false" customHeight="true" outlineLevel="0" collapsed="false">
      <c r="B376866" s="1" t="n">
        <v>2026</v>
      </c>
      <c r="C376866" s="1" t="n">
        <v>75.117</v>
      </c>
      <c r="D376866" s="1" t="n">
        <v>5</v>
      </c>
    </row>
    <row r="376867" customFormat="false" ht="12" hidden="false" customHeight="true" outlineLevel="0" collapsed="false">
      <c r="B376867" s="1" t="n">
        <v>2027</v>
      </c>
      <c r="C376867" s="1" t="n">
        <v>78.873</v>
      </c>
      <c r="D376867" s="1" t="n">
        <v>5</v>
      </c>
    </row>
    <row r="376868" customFormat="false" ht="12" hidden="false" customHeight="true" outlineLevel="0" collapsed="false">
      <c r="B376868" s="1" t="s">
        <v>51</v>
      </c>
      <c r="C376868" s="1" t="n">
        <v>2024</v>
      </c>
      <c r="D376868" s="1" t="n">
        <v>2024</v>
      </c>
    </row>
    <row r="393217" customFormat="false" ht="12" hidden="false" customHeight="true" outlineLevel="0" collapsed="false">
      <c r="B393217" s="1" t="s">
        <v>35</v>
      </c>
      <c r="C393217" s="1" t="n">
        <v>915</v>
      </c>
      <c r="D393217" s="1" t="n">
        <v>915</v>
      </c>
    </row>
    <row r="393218" customFormat="false" ht="12" hidden="false" customHeight="true" outlineLevel="0" collapsed="false">
      <c r="B393218" s="1" t="s">
        <v>36</v>
      </c>
      <c r="C393218" s="1" t="s">
        <v>37</v>
      </c>
      <c r="D393218" s="1" t="s">
        <v>38</v>
      </c>
    </row>
    <row r="393219" customFormat="false" ht="12" hidden="false" customHeight="true" outlineLevel="0" collapsed="false">
      <c r="B393219" s="1" t="s">
        <v>39</v>
      </c>
      <c r="C393219" s="1" t="s">
        <v>40</v>
      </c>
      <c r="D393219" s="1" t="s">
        <v>40</v>
      </c>
    </row>
    <row r="393220" customFormat="false" ht="12" hidden="false" customHeight="true" outlineLevel="0" collapsed="false">
      <c r="B393220" s="1" t="s">
        <v>41</v>
      </c>
      <c r="C393220" s="1" t="s">
        <v>42</v>
      </c>
      <c r="D393220" s="1" t="s">
        <v>42</v>
      </c>
    </row>
    <row r="393221" customFormat="false" ht="12" hidden="false" customHeight="true" outlineLevel="0" collapsed="false">
      <c r="B393221" s="1" t="s">
        <v>43</v>
      </c>
      <c r="C393221" s="1" t="s">
        <v>44</v>
      </c>
      <c r="D393221" s="1" t="s">
        <v>45</v>
      </c>
    </row>
    <row r="393222" customFormat="false" ht="12" hidden="false" customHeight="true" outlineLevel="0" collapsed="false">
      <c r="B393222" s="1" t="s">
        <v>46</v>
      </c>
      <c r="C393222" s="1" t="s">
        <v>47</v>
      </c>
      <c r="D393222" s="1" t="s">
        <v>43</v>
      </c>
    </row>
    <row r="393223" customFormat="false" ht="12" hidden="false" customHeight="true" outlineLevel="0" collapsed="false">
      <c r="B393223" s="1" t="s">
        <v>48</v>
      </c>
      <c r="C393223" s="1" t="s">
        <v>49</v>
      </c>
      <c r="D393223" s="1" t="s">
        <v>50</v>
      </c>
    </row>
    <row r="393224" customFormat="false" ht="12" hidden="false" customHeight="true" outlineLevel="0" collapsed="false">
      <c r="B393224" s="1" t="n">
        <v>2000</v>
      </c>
      <c r="C393224" s="1" t="n">
        <v>16.963</v>
      </c>
      <c r="D393224" s="1" t="n">
        <v>1.865</v>
      </c>
    </row>
    <row r="393225" customFormat="false" ht="12" hidden="false" customHeight="true" outlineLevel="0" collapsed="false">
      <c r="B393225" s="1" t="n">
        <v>2001</v>
      </c>
      <c r="C393225" s="1" t="n">
        <v>17.772</v>
      </c>
      <c r="D393225" s="1" t="n">
        <v>4.769</v>
      </c>
    </row>
    <row r="393226" customFormat="false" ht="12" hidden="false" customHeight="true" outlineLevel="0" collapsed="false">
      <c r="B393226" s="1" t="n">
        <v>2002</v>
      </c>
      <c r="C393226" s="1" t="n">
        <v>18.747</v>
      </c>
      <c r="D393226" s="1" t="n">
        <v>5.487</v>
      </c>
    </row>
    <row r="393227" customFormat="false" ht="12" hidden="false" customHeight="true" outlineLevel="0" collapsed="false">
      <c r="B393227" s="1" t="n">
        <v>2003</v>
      </c>
      <c r="C393227" s="1" t="n">
        <v>20.852</v>
      </c>
      <c r="D393227" s="1" t="n">
        <v>11.228</v>
      </c>
    </row>
    <row r="393228" customFormat="false" ht="12" hidden="false" customHeight="true" outlineLevel="0" collapsed="false">
      <c r="B393228" s="1" t="n">
        <v>2004</v>
      </c>
      <c r="C393228" s="1" t="n">
        <v>22.061</v>
      </c>
      <c r="D393228" s="1" t="n">
        <v>5.796</v>
      </c>
    </row>
    <row r="393229" customFormat="false" ht="12" hidden="false" customHeight="true" outlineLevel="0" collapsed="false">
      <c r="B393229" s="1" t="n">
        <v>2005</v>
      </c>
      <c r="C393229" s="1" t="n">
        <v>24.176</v>
      </c>
      <c r="D393229" s="1" t="n">
        <v>9.588</v>
      </c>
    </row>
    <row r="393230" customFormat="false" ht="12" hidden="false" customHeight="true" outlineLevel="0" collapsed="false">
      <c r="B393230" s="1" t="n">
        <v>2006</v>
      </c>
      <c r="C393230" s="1" t="n">
        <v>26.454</v>
      </c>
      <c r="D393230" s="1" t="n">
        <v>9.42</v>
      </c>
    </row>
    <row r="393231" customFormat="false" ht="12" hidden="false" customHeight="true" outlineLevel="0" collapsed="false">
      <c r="B393231" s="1" t="n">
        <v>2007</v>
      </c>
      <c r="C393231" s="1" t="n">
        <v>29.781</v>
      </c>
      <c r="D393231" s="1" t="n">
        <v>12.579</v>
      </c>
    </row>
    <row r="393232" customFormat="false" ht="12" hidden="false" customHeight="true" outlineLevel="0" collapsed="false">
      <c r="B393232" s="1" t="n">
        <v>2008</v>
      </c>
      <c r="C393232" s="1" t="n">
        <v>30.502</v>
      </c>
      <c r="D393232" s="1" t="n">
        <v>2.419</v>
      </c>
    </row>
    <row r="393233" customFormat="false" ht="12" hidden="false" customHeight="true" outlineLevel="0" collapsed="false">
      <c r="B393233" s="1" t="n">
        <v>2009</v>
      </c>
      <c r="C393233" s="1" t="n">
        <v>29.388</v>
      </c>
      <c r="D393233" s="1" t="n">
        <v>-3.651</v>
      </c>
    </row>
    <row r="393234" customFormat="false" ht="12" hidden="false" customHeight="true" outlineLevel="0" collapsed="false">
      <c r="B393234" s="1" t="n">
        <v>2010</v>
      </c>
      <c r="C393234" s="1" t="n">
        <v>31.428</v>
      </c>
      <c r="D393234" s="1" t="n">
        <v>6.942</v>
      </c>
    </row>
    <row r="393235" customFormat="false" ht="12" hidden="false" customHeight="true" outlineLevel="0" collapsed="false">
      <c r="B393235" s="1" t="n">
        <v>2011</v>
      </c>
      <c r="C393235" s="1" t="n">
        <v>33.927</v>
      </c>
      <c r="D393235" s="1" t="n">
        <v>7.949</v>
      </c>
    </row>
    <row r="393236" customFormat="false" ht="12" hidden="false" customHeight="true" outlineLevel="0" collapsed="false">
      <c r="B393236" s="1" t="n">
        <v>2012</v>
      </c>
      <c r="C393236" s="1" t="n">
        <v>36.159</v>
      </c>
      <c r="D393236" s="1" t="n">
        <v>6.579</v>
      </c>
    </row>
    <row r="393237" customFormat="false" ht="12" hidden="false" customHeight="true" outlineLevel="0" collapsed="false">
      <c r="B393237" s="1" t="n">
        <v>2013</v>
      </c>
      <c r="C393237" s="1" t="n">
        <v>38.015</v>
      </c>
      <c r="D393237" s="1" t="n">
        <v>5.134</v>
      </c>
    </row>
    <row r="393238" customFormat="false" ht="12" hidden="false" customHeight="true" outlineLevel="0" collapsed="false">
      <c r="B393238" s="1" t="n">
        <v>2014</v>
      </c>
      <c r="C393238" s="1" t="n">
        <v>39.57</v>
      </c>
      <c r="D393238" s="1" t="n">
        <v>4.091</v>
      </c>
    </row>
    <row r="393239" customFormat="false" ht="12" hidden="false" customHeight="true" outlineLevel="0" collapsed="false">
      <c r="B393239" s="1" t="n">
        <v>2015</v>
      </c>
      <c r="C393239" s="1" t="n">
        <v>40.896</v>
      </c>
      <c r="D393239" s="1" t="n">
        <v>3.351</v>
      </c>
    </row>
    <row r="393240" customFormat="false" ht="12" hidden="false" customHeight="true" outlineLevel="0" collapsed="false">
      <c r="B393240" s="1" t="n">
        <v>2016</v>
      </c>
      <c r="C393240" s="1" t="n">
        <v>42.307</v>
      </c>
      <c r="D393240" s="1" t="n">
        <v>3.45</v>
      </c>
    </row>
    <row r="393241" customFormat="false" ht="12" hidden="false" customHeight="true" outlineLevel="0" collapsed="false">
      <c r="B393241" s="1" t="n">
        <v>2017</v>
      </c>
      <c r="C393241" s="1" t="n">
        <v>44.49</v>
      </c>
      <c r="D393241" s="1" t="n">
        <v>5.161</v>
      </c>
    </row>
    <row r="393242" customFormat="false" ht="12" hidden="false" customHeight="true" outlineLevel="0" collapsed="false">
      <c r="B393242" s="1" t="n">
        <v>2018</v>
      </c>
      <c r="C393242" s="1" t="n">
        <v>47.187</v>
      </c>
      <c r="D393242" s="1" t="n">
        <v>6.062</v>
      </c>
    </row>
    <row r="393243" customFormat="false" ht="12" hidden="false" customHeight="true" outlineLevel="0" collapsed="false">
      <c r="B393243" s="1" t="n">
        <v>2019</v>
      </c>
      <c r="C393243" s="1" t="n">
        <v>49.726</v>
      </c>
      <c r="D393243" s="1" t="n">
        <v>5.38</v>
      </c>
    </row>
    <row r="393244" customFormat="false" ht="12" hidden="false" customHeight="true" outlineLevel="0" collapsed="false">
      <c r="B393244" s="1" t="n">
        <v>2020</v>
      </c>
      <c r="C393244" s="1" t="n">
        <v>46.598</v>
      </c>
      <c r="D393244" s="1" t="n">
        <v>-6.291</v>
      </c>
    </row>
    <row r="393245" customFormat="false" ht="12" hidden="false" customHeight="true" outlineLevel="0" collapsed="false">
      <c r="B393245" s="1" t="n">
        <v>2021</v>
      </c>
      <c r="C393245" s="1" t="n">
        <v>51.558</v>
      </c>
      <c r="D393245" s="1" t="n">
        <v>10.644</v>
      </c>
    </row>
    <row r="393246" customFormat="false" ht="12" hidden="false" customHeight="true" outlineLevel="0" collapsed="false">
      <c r="B393246" s="1" t="n">
        <v>2022</v>
      </c>
      <c r="C393246" s="1" t="n">
        <v>57.208</v>
      </c>
      <c r="D393246" s="1" t="n">
        <v>10.96</v>
      </c>
    </row>
    <row r="393247" customFormat="false" ht="12" hidden="false" customHeight="true" outlineLevel="0" collapsed="false">
      <c r="B393247" s="1" t="n">
        <v>2023</v>
      </c>
      <c r="C393247" s="1" t="n">
        <v>61.689</v>
      </c>
      <c r="D393247" s="1" t="n">
        <v>7.832</v>
      </c>
    </row>
    <row r="393248" customFormat="false" ht="12" hidden="false" customHeight="true" outlineLevel="0" collapsed="false">
      <c r="B393248" s="1" t="n">
        <v>2024</v>
      </c>
      <c r="C393248" s="1" t="n">
        <v>67.505</v>
      </c>
      <c r="D393248" s="1" t="n">
        <v>9.429</v>
      </c>
    </row>
    <row r="393249" customFormat="false" ht="12" hidden="false" customHeight="true" outlineLevel="0" collapsed="false">
      <c r="B393249" s="1" t="n">
        <v>2025</v>
      </c>
      <c r="C393249" s="1" t="n">
        <v>71.54</v>
      </c>
      <c r="D393249" s="1" t="n">
        <v>5.977</v>
      </c>
    </row>
    <row r="393250" customFormat="false" ht="12" hidden="false" customHeight="true" outlineLevel="0" collapsed="false">
      <c r="B393250" s="1" t="n">
        <v>2026</v>
      </c>
      <c r="C393250" s="1" t="n">
        <v>75.117</v>
      </c>
      <c r="D393250" s="1" t="n">
        <v>5</v>
      </c>
    </row>
    <row r="393251" customFormat="false" ht="12" hidden="false" customHeight="true" outlineLevel="0" collapsed="false">
      <c r="B393251" s="1" t="n">
        <v>2027</v>
      </c>
      <c r="C393251" s="1" t="n">
        <v>78.873</v>
      </c>
      <c r="D393251" s="1" t="n">
        <v>5</v>
      </c>
    </row>
    <row r="393252" customFormat="false" ht="12" hidden="false" customHeight="true" outlineLevel="0" collapsed="false">
      <c r="B393252" s="1" t="s">
        <v>51</v>
      </c>
      <c r="C393252" s="1" t="n">
        <v>2024</v>
      </c>
      <c r="D393252" s="1" t="n">
        <v>2024</v>
      </c>
    </row>
    <row r="409601" customFormat="false" ht="12" hidden="false" customHeight="true" outlineLevel="0" collapsed="false">
      <c r="B409601" s="1" t="s">
        <v>35</v>
      </c>
      <c r="C409601" s="1" t="n">
        <v>915</v>
      </c>
      <c r="D409601" s="1" t="n">
        <v>915</v>
      </c>
    </row>
    <row r="409602" customFormat="false" ht="12" hidden="false" customHeight="true" outlineLevel="0" collapsed="false">
      <c r="B409602" s="1" t="s">
        <v>36</v>
      </c>
      <c r="C409602" s="1" t="s">
        <v>37</v>
      </c>
      <c r="D409602" s="1" t="s">
        <v>38</v>
      </c>
    </row>
    <row r="409603" customFormat="false" ht="12" hidden="false" customHeight="true" outlineLevel="0" collapsed="false">
      <c r="B409603" s="1" t="s">
        <v>39</v>
      </c>
      <c r="C409603" s="1" t="s">
        <v>40</v>
      </c>
      <c r="D409603" s="1" t="s">
        <v>40</v>
      </c>
    </row>
    <row r="409604" customFormat="false" ht="12" hidden="false" customHeight="true" outlineLevel="0" collapsed="false">
      <c r="B409604" s="1" t="s">
        <v>41</v>
      </c>
      <c r="C409604" s="1" t="s">
        <v>42</v>
      </c>
      <c r="D409604" s="1" t="s">
        <v>42</v>
      </c>
    </row>
    <row r="409605" customFormat="false" ht="12" hidden="false" customHeight="true" outlineLevel="0" collapsed="false">
      <c r="B409605" s="1" t="s">
        <v>43</v>
      </c>
      <c r="C409605" s="1" t="s">
        <v>44</v>
      </c>
      <c r="D409605" s="1" t="s">
        <v>45</v>
      </c>
    </row>
    <row r="409606" customFormat="false" ht="12" hidden="false" customHeight="true" outlineLevel="0" collapsed="false">
      <c r="B409606" s="1" t="s">
        <v>46</v>
      </c>
      <c r="C409606" s="1" t="s">
        <v>47</v>
      </c>
      <c r="D409606" s="1" t="s">
        <v>43</v>
      </c>
    </row>
    <row r="409607" customFormat="false" ht="12" hidden="false" customHeight="true" outlineLevel="0" collapsed="false">
      <c r="B409607" s="1" t="s">
        <v>48</v>
      </c>
      <c r="C409607" s="1" t="s">
        <v>49</v>
      </c>
      <c r="D409607" s="1" t="s">
        <v>50</v>
      </c>
    </row>
    <row r="409608" customFormat="false" ht="12" hidden="false" customHeight="true" outlineLevel="0" collapsed="false">
      <c r="B409608" s="1" t="n">
        <v>2000</v>
      </c>
      <c r="C409608" s="1" t="n">
        <v>16.963</v>
      </c>
      <c r="D409608" s="1" t="n">
        <v>1.865</v>
      </c>
    </row>
    <row r="409609" customFormat="false" ht="12" hidden="false" customHeight="true" outlineLevel="0" collapsed="false">
      <c r="B409609" s="1" t="n">
        <v>2001</v>
      </c>
      <c r="C409609" s="1" t="n">
        <v>17.772</v>
      </c>
      <c r="D409609" s="1" t="n">
        <v>4.769</v>
      </c>
    </row>
    <row r="409610" customFormat="false" ht="12" hidden="false" customHeight="true" outlineLevel="0" collapsed="false">
      <c r="B409610" s="1" t="n">
        <v>2002</v>
      </c>
      <c r="C409610" s="1" t="n">
        <v>18.747</v>
      </c>
      <c r="D409610" s="1" t="n">
        <v>5.487</v>
      </c>
    </row>
    <row r="409611" customFormat="false" ht="12" hidden="false" customHeight="true" outlineLevel="0" collapsed="false">
      <c r="B409611" s="1" t="n">
        <v>2003</v>
      </c>
      <c r="C409611" s="1" t="n">
        <v>20.852</v>
      </c>
      <c r="D409611" s="1" t="n">
        <v>11.228</v>
      </c>
    </row>
    <row r="409612" customFormat="false" ht="12" hidden="false" customHeight="true" outlineLevel="0" collapsed="false">
      <c r="B409612" s="1" t="n">
        <v>2004</v>
      </c>
      <c r="C409612" s="1" t="n">
        <v>22.061</v>
      </c>
      <c r="D409612" s="1" t="n">
        <v>5.796</v>
      </c>
    </row>
    <row r="409613" customFormat="false" ht="12" hidden="false" customHeight="true" outlineLevel="0" collapsed="false">
      <c r="B409613" s="1" t="n">
        <v>2005</v>
      </c>
      <c r="C409613" s="1" t="n">
        <v>24.176</v>
      </c>
      <c r="D409613" s="1" t="n">
        <v>9.588</v>
      </c>
    </row>
    <row r="409614" customFormat="false" ht="12" hidden="false" customHeight="true" outlineLevel="0" collapsed="false">
      <c r="B409614" s="1" t="n">
        <v>2006</v>
      </c>
      <c r="C409614" s="1" t="n">
        <v>26.454</v>
      </c>
      <c r="D409614" s="1" t="n">
        <v>9.42</v>
      </c>
    </row>
    <row r="409615" customFormat="false" ht="12" hidden="false" customHeight="true" outlineLevel="0" collapsed="false">
      <c r="B409615" s="1" t="n">
        <v>2007</v>
      </c>
      <c r="C409615" s="1" t="n">
        <v>29.781</v>
      </c>
      <c r="D409615" s="1" t="n">
        <v>12.579</v>
      </c>
    </row>
    <row r="409616" customFormat="false" ht="12" hidden="false" customHeight="true" outlineLevel="0" collapsed="false">
      <c r="B409616" s="1" t="n">
        <v>2008</v>
      </c>
      <c r="C409616" s="1" t="n">
        <v>30.502</v>
      </c>
      <c r="D409616" s="1" t="n">
        <v>2.419</v>
      </c>
    </row>
    <row r="409617" customFormat="false" ht="12" hidden="false" customHeight="true" outlineLevel="0" collapsed="false">
      <c r="B409617" s="1" t="n">
        <v>2009</v>
      </c>
      <c r="C409617" s="1" t="n">
        <v>29.388</v>
      </c>
      <c r="D409617" s="1" t="n">
        <v>-3.651</v>
      </c>
    </row>
    <row r="409618" customFormat="false" ht="12" hidden="false" customHeight="true" outlineLevel="0" collapsed="false">
      <c r="B409618" s="1" t="n">
        <v>2010</v>
      </c>
      <c r="C409618" s="1" t="n">
        <v>31.428</v>
      </c>
      <c r="D409618" s="1" t="n">
        <v>6.942</v>
      </c>
    </row>
    <row r="409619" customFormat="false" ht="12" hidden="false" customHeight="true" outlineLevel="0" collapsed="false">
      <c r="B409619" s="1" t="n">
        <v>2011</v>
      </c>
      <c r="C409619" s="1" t="n">
        <v>33.927</v>
      </c>
      <c r="D409619" s="1" t="n">
        <v>7.949</v>
      </c>
    </row>
    <row r="409620" customFormat="false" ht="12" hidden="false" customHeight="true" outlineLevel="0" collapsed="false">
      <c r="B409620" s="1" t="n">
        <v>2012</v>
      </c>
      <c r="C409620" s="1" t="n">
        <v>36.159</v>
      </c>
      <c r="D409620" s="1" t="n">
        <v>6.579</v>
      </c>
    </row>
    <row r="409621" customFormat="false" ht="12" hidden="false" customHeight="true" outlineLevel="0" collapsed="false">
      <c r="B409621" s="1" t="n">
        <v>2013</v>
      </c>
      <c r="C409621" s="1" t="n">
        <v>38.015</v>
      </c>
      <c r="D409621" s="1" t="n">
        <v>5.134</v>
      </c>
    </row>
    <row r="409622" customFormat="false" ht="12" hidden="false" customHeight="true" outlineLevel="0" collapsed="false">
      <c r="B409622" s="1" t="n">
        <v>2014</v>
      </c>
      <c r="C409622" s="1" t="n">
        <v>39.57</v>
      </c>
      <c r="D409622" s="1" t="n">
        <v>4.091</v>
      </c>
    </row>
    <row r="409623" customFormat="false" ht="12" hidden="false" customHeight="true" outlineLevel="0" collapsed="false">
      <c r="B409623" s="1" t="n">
        <v>2015</v>
      </c>
      <c r="C409623" s="1" t="n">
        <v>40.896</v>
      </c>
      <c r="D409623" s="1" t="n">
        <v>3.351</v>
      </c>
    </row>
    <row r="409624" customFormat="false" ht="12" hidden="false" customHeight="true" outlineLevel="0" collapsed="false">
      <c r="B409624" s="1" t="n">
        <v>2016</v>
      </c>
      <c r="C409624" s="1" t="n">
        <v>42.307</v>
      </c>
      <c r="D409624" s="1" t="n">
        <v>3.45</v>
      </c>
    </row>
    <row r="409625" customFormat="false" ht="12" hidden="false" customHeight="true" outlineLevel="0" collapsed="false">
      <c r="B409625" s="1" t="n">
        <v>2017</v>
      </c>
      <c r="C409625" s="1" t="n">
        <v>44.49</v>
      </c>
      <c r="D409625" s="1" t="n">
        <v>5.161</v>
      </c>
    </row>
    <row r="409626" customFormat="false" ht="12" hidden="false" customHeight="true" outlineLevel="0" collapsed="false">
      <c r="B409626" s="1" t="n">
        <v>2018</v>
      </c>
      <c r="C409626" s="1" t="n">
        <v>47.187</v>
      </c>
      <c r="D409626" s="1" t="n">
        <v>6.062</v>
      </c>
    </row>
    <row r="409627" customFormat="false" ht="12" hidden="false" customHeight="true" outlineLevel="0" collapsed="false">
      <c r="B409627" s="1" t="n">
        <v>2019</v>
      </c>
      <c r="C409627" s="1" t="n">
        <v>49.726</v>
      </c>
      <c r="D409627" s="1" t="n">
        <v>5.38</v>
      </c>
    </row>
    <row r="409628" customFormat="false" ht="12" hidden="false" customHeight="true" outlineLevel="0" collapsed="false">
      <c r="B409628" s="1" t="n">
        <v>2020</v>
      </c>
      <c r="C409628" s="1" t="n">
        <v>46.598</v>
      </c>
      <c r="D409628" s="1" t="n">
        <v>-6.291</v>
      </c>
    </row>
    <row r="409629" customFormat="false" ht="12" hidden="false" customHeight="true" outlineLevel="0" collapsed="false">
      <c r="B409629" s="1" t="n">
        <v>2021</v>
      </c>
      <c r="C409629" s="1" t="n">
        <v>51.558</v>
      </c>
      <c r="D409629" s="1" t="n">
        <v>10.644</v>
      </c>
    </row>
    <row r="409630" customFormat="false" ht="12" hidden="false" customHeight="true" outlineLevel="0" collapsed="false">
      <c r="B409630" s="1" t="n">
        <v>2022</v>
      </c>
      <c r="C409630" s="1" t="n">
        <v>57.208</v>
      </c>
      <c r="D409630" s="1" t="n">
        <v>10.96</v>
      </c>
    </row>
    <row r="409631" customFormat="false" ht="12" hidden="false" customHeight="true" outlineLevel="0" collapsed="false">
      <c r="B409631" s="1" t="n">
        <v>2023</v>
      </c>
      <c r="C409631" s="1" t="n">
        <v>61.689</v>
      </c>
      <c r="D409631" s="1" t="n">
        <v>7.832</v>
      </c>
    </row>
    <row r="409632" customFormat="false" ht="12" hidden="false" customHeight="true" outlineLevel="0" collapsed="false">
      <c r="B409632" s="1" t="n">
        <v>2024</v>
      </c>
      <c r="C409632" s="1" t="n">
        <v>67.505</v>
      </c>
      <c r="D409632" s="1" t="n">
        <v>9.429</v>
      </c>
    </row>
    <row r="409633" customFormat="false" ht="12" hidden="false" customHeight="true" outlineLevel="0" collapsed="false">
      <c r="B409633" s="1" t="n">
        <v>2025</v>
      </c>
      <c r="C409633" s="1" t="n">
        <v>71.54</v>
      </c>
      <c r="D409633" s="1" t="n">
        <v>5.977</v>
      </c>
    </row>
    <row r="409634" customFormat="false" ht="12" hidden="false" customHeight="true" outlineLevel="0" collapsed="false">
      <c r="B409634" s="1" t="n">
        <v>2026</v>
      </c>
      <c r="C409634" s="1" t="n">
        <v>75.117</v>
      </c>
      <c r="D409634" s="1" t="n">
        <v>5</v>
      </c>
    </row>
    <row r="409635" customFormat="false" ht="12" hidden="false" customHeight="true" outlineLevel="0" collapsed="false">
      <c r="B409635" s="1" t="n">
        <v>2027</v>
      </c>
      <c r="C409635" s="1" t="n">
        <v>78.873</v>
      </c>
      <c r="D409635" s="1" t="n">
        <v>5</v>
      </c>
    </row>
    <row r="409636" customFormat="false" ht="12" hidden="false" customHeight="true" outlineLevel="0" collapsed="false">
      <c r="B409636" s="1" t="s">
        <v>51</v>
      </c>
      <c r="C409636" s="1" t="n">
        <v>2024</v>
      </c>
      <c r="D409636" s="1" t="n">
        <v>2024</v>
      </c>
    </row>
    <row r="425985" customFormat="false" ht="12" hidden="false" customHeight="true" outlineLevel="0" collapsed="false">
      <c r="B425985" s="1" t="s">
        <v>35</v>
      </c>
      <c r="C425985" s="1" t="n">
        <v>915</v>
      </c>
      <c r="D425985" s="1" t="n">
        <v>915</v>
      </c>
    </row>
    <row r="425986" customFormat="false" ht="12" hidden="false" customHeight="true" outlineLevel="0" collapsed="false">
      <c r="B425986" s="1" t="s">
        <v>36</v>
      </c>
      <c r="C425986" s="1" t="s">
        <v>37</v>
      </c>
      <c r="D425986" s="1" t="s">
        <v>38</v>
      </c>
    </row>
    <row r="425987" customFormat="false" ht="12" hidden="false" customHeight="true" outlineLevel="0" collapsed="false">
      <c r="B425987" s="1" t="s">
        <v>39</v>
      </c>
      <c r="C425987" s="1" t="s">
        <v>40</v>
      </c>
      <c r="D425987" s="1" t="s">
        <v>40</v>
      </c>
    </row>
    <row r="425988" customFormat="false" ht="12" hidden="false" customHeight="true" outlineLevel="0" collapsed="false">
      <c r="B425988" s="1" t="s">
        <v>41</v>
      </c>
      <c r="C425988" s="1" t="s">
        <v>42</v>
      </c>
      <c r="D425988" s="1" t="s">
        <v>42</v>
      </c>
    </row>
    <row r="425989" customFormat="false" ht="12" hidden="false" customHeight="true" outlineLevel="0" collapsed="false">
      <c r="B425989" s="1" t="s">
        <v>43</v>
      </c>
      <c r="C425989" s="1" t="s">
        <v>44</v>
      </c>
      <c r="D425989" s="1" t="s">
        <v>45</v>
      </c>
    </row>
    <row r="425990" customFormat="false" ht="12" hidden="false" customHeight="true" outlineLevel="0" collapsed="false">
      <c r="B425990" s="1" t="s">
        <v>46</v>
      </c>
      <c r="C425990" s="1" t="s">
        <v>47</v>
      </c>
      <c r="D425990" s="1" t="s">
        <v>43</v>
      </c>
    </row>
    <row r="425991" customFormat="false" ht="12" hidden="false" customHeight="true" outlineLevel="0" collapsed="false">
      <c r="B425991" s="1" t="s">
        <v>48</v>
      </c>
      <c r="C425991" s="1" t="s">
        <v>49</v>
      </c>
      <c r="D425991" s="1" t="s">
        <v>50</v>
      </c>
    </row>
    <row r="425992" customFormat="false" ht="12" hidden="false" customHeight="true" outlineLevel="0" collapsed="false">
      <c r="B425992" s="1" t="n">
        <v>2000</v>
      </c>
      <c r="C425992" s="1" t="n">
        <v>16.963</v>
      </c>
      <c r="D425992" s="1" t="n">
        <v>1.865</v>
      </c>
    </row>
    <row r="425993" customFormat="false" ht="12" hidden="false" customHeight="true" outlineLevel="0" collapsed="false">
      <c r="B425993" s="1" t="n">
        <v>2001</v>
      </c>
      <c r="C425993" s="1" t="n">
        <v>17.772</v>
      </c>
      <c r="D425993" s="1" t="n">
        <v>4.769</v>
      </c>
    </row>
    <row r="425994" customFormat="false" ht="12" hidden="false" customHeight="true" outlineLevel="0" collapsed="false">
      <c r="B425994" s="1" t="n">
        <v>2002</v>
      </c>
      <c r="C425994" s="1" t="n">
        <v>18.747</v>
      </c>
      <c r="D425994" s="1" t="n">
        <v>5.487</v>
      </c>
    </row>
    <row r="425995" customFormat="false" ht="12" hidden="false" customHeight="true" outlineLevel="0" collapsed="false">
      <c r="B425995" s="1" t="n">
        <v>2003</v>
      </c>
      <c r="C425995" s="1" t="n">
        <v>20.852</v>
      </c>
      <c r="D425995" s="1" t="n">
        <v>11.228</v>
      </c>
    </row>
    <row r="425996" customFormat="false" ht="12" hidden="false" customHeight="true" outlineLevel="0" collapsed="false">
      <c r="B425996" s="1" t="n">
        <v>2004</v>
      </c>
      <c r="C425996" s="1" t="n">
        <v>22.061</v>
      </c>
      <c r="D425996" s="1" t="n">
        <v>5.796</v>
      </c>
    </row>
    <row r="425997" customFormat="false" ht="12" hidden="false" customHeight="true" outlineLevel="0" collapsed="false">
      <c r="B425997" s="1" t="n">
        <v>2005</v>
      </c>
      <c r="C425997" s="1" t="n">
        <v>24.176</v>
      </c>
      <c r="D425997" s="1" t="n">
        <v>9.588</v>
      </c>
    </row>
    <row r="425998" customFormat="false" ht="12" hidden="false" customHeight="true" outlineLevel="0" collapsed="false">
      <c r="B425998" s="1" t="n">
        <v>2006</v>
      </c>
      <c r="C425998" s="1" t="n">
        <v>26.454</v>
      </c>
      <c r="D425998" s="1" t="n">
        <v>9.42</v>
      </c>
    </row>
    <row r="425999" customFormat="false" ht="12" hidden="false" customHeight="true" outlineLevel="0" collapsed="false">
      <c r="B425999" s="1" t="n">
        <v>2007</v>
      </c>
      <c r="C425999" s="1" t="n">
        <v>29.781</v>
      </c>
      <c r="D425999" s="1" t="n">
        <v>12.579</v>
      </c>
    </row>
    <row r="426000" customFormat="false" ht="12" hidden="false" customHeight="true" outlineLevel="0" collapsed="false">
      <c r="B426000" s="1" t="n">
        <v>2008</v>
      </c>
      <c r="C426000" s="1" t="n">
        <v>30.502</v>
      </c>
      <c r="D426000" s="1" t="n">
        <v>2.419</v>
      </c>
    </row>
    <row r="426001" customFormat="false" ht="12" hidden="false" customHeight="true" outlineLevel="0" collapsed="false">
      <c r="B426001" s="1" t="n">
        <v>2009</v>
      </c>
      <c r="C426001" s="1" t="n">
        <v>29.388</v>
      </c>
      <c r="D426001" s="1" t="n">
        <v>-3.651</v>
      </c>
    </row>
    <row r="426002" customFormat="false" ht="12" hidden="false" customHeight="true" outlineLevel="0" collapsed="false">
      <c r="B426002" s="1" t="n">
        <v>2010</v>
      </c>
      <c r="C426002" s="1" t="n">
        <v>31.428</v>
      </c>
      <c r="D426002" s="1" t="n">
        <v>6.942</v>
      </c>
    </row>
    <row r="426003" customFormat="false" ht="12" hidden="false" customHeight="true" outlineLevel="0" collapsed="false">
      <c r="B426003" s="1" t="n">
        <v>2011</v>
      </c>
      <c r="C426003" s="1" t="n">
        <v>33.927</v>
      </c>
      <c r="D426003" s="1" t="n">
        <v>7.949</v>
      </c>
    </row>
    <row r="426004" customFormat="false" ht="12" hidden="false" customHeight="true" outlineLevel="0" collapsed="false">
      <c r="B426004" s="1" t="n">
        <v>2012</v>
      </c>
      <c r="C426004" s="1" t="n">
        <v>36.159</v>
      </c>
      <c r="D426004" s="1" t="n">
        <v>6.579</v>
      </c>
    </row>
    <row r="426005" customFormat="false" ht="12" hidden="false" customHeight="true" outlineLevel="0" collapsed="false">
      <c r="B426005" s="1" t="n">
        <v>2013</v>
      </c>
      <c r="C426005" s="1" t="n">
        <v>38.015</v>
      </c>
      <c r="D426005" s="1" t="n">
        <v>5.134</v>
      </c>
    </row>
    <row r="426006" customFormat="false" ht="12" hidden="false" customHeight="true" outlineLevel="0" collapsed="false">
      <c r="B426006" s="1" t="n">
        <v>2014</v>
      </c>
      <c r="C426006" s="1" t="n">
        <v>39.57</v>
      </c>
      <c r="D426006" s="1" t="n">
        <v>4.091</v>
      </c>
    </row>
    <row r="426007" customFormat="false" ht="12" hidden="false" customHeight="true" outlineLevel="0" collapsed="false">
      <c r="B426007" s="1" t="n">
        <v>2015</v>
      </c>
      <c r="C426007" s="1" t="n">
        <v>40.896</v>
      </c>
      <c r="D426007" s="1" t="n">
        <v>3.351</v>
      </c>
    </row>
    <row r="426008" customFormat="false" ht="12" hidden="false" customHeight="true" outlineLevel="0" collapsed="false">
      <c r="B426008" s="1" t="n">
        <v>2016</v>
      </c>
      <c r="C426008" s="1" t="n">
        <v>42.307</v>
      </c>
      <c r="D426008" s="1" t="n">
        <v>3.45</v>
      </c>
    </row>
    <row r="426009" customFormat="false" ht="12" hidden="false" customHeight="true" outlineLevel="0" collapsed="false">
      <c r="B426009" s="1" t="n">
        <v>2017</v>
      </c>
      <c r="C426009" s="1" t="n">
        <v>44.49</v>
      </c>
      <c r="D426009" s="1" t="n">
        <v>5.161</v>
      </c>
    </row>
    <row r="426010" customFormat="false" ht="12" hidden="false" customHeight="true" outlineLevel="0" collapsed="false">
      <c r="B426010" s="1" t="n">
        <v>2018</v>
      </c>
      <c r="C426010" s="1" t="n">
        <v>47.187</v>
      </c>
      <c r="D426010" s="1" t="n">
        <v>6.062</v>
      </c>
    </row>
    <row r="426011" customFormat="false" ht="12" hidden="false" customHeight="true" outlineLevel="0" collapsed="false">
      <c r="B426011" s="1" t="n">
        <v>2019</v>
      </c>
      <c r="C426011" s="1" t="n">
        <v>49.726</v>
      </c>
      <c r="D426011" s="1" t="n">
        <v>5.38</v>
      </c>
    </row>
    <row r="426012" customFormat="false" ht="12" hidden="false" customHeight="true" outlineLevel="0" collapsed="false">
      <c r="B426012" s="1" t="n">
        <v>2020</v>
      </c>
      <c r="C426012" s="1" t="n">
        <v>46.598</v>
      </c>
      <c r="D426012" s="1" t="n">
        <v>-6.291</v>
      </c>
    </row>
    <row r="426013" customFormat="false" ht="12" hidden="false" customHeight="true" outlineLevel="0" collapsed="false">
      <c r="B426013" s="1" t="n">
        <v>2021</v>
      </c>
      <c r="C426013" s="1" t="n">
        <v>51.558</v>
      </c>
      <c r="D426013" s="1" t="n">
        <v>10.644</v>
      </c>
    </row>
    <row r="426014" customFormat="false" ht="12" hidden="false" customHeight="true" outlineLevel="0" collapsed="false">
      <c r="B426014" s="1" t="n">
        <v>2022</v>
      </c>
      <c r="C426014" s="1" t="n">
        <v>57.208</v>
      </c>
      <c r="D426014" s="1" t="n">
        <v>10.96</v>
      </c>
    </row>
    <row r="426015" customFormat="false" ht="12" hidden="false" customHeight="true" outlineLevel="0" collapsed="false">
      <c r="B426015" s="1" t="n">
        <v>2023</v>
      </c>
      <c r="C426015" s="1" t="n">
        <v>61.689</v>
      </c>
      <c r="D426015" s="1" t="n">
        <v>7.832</v>
      </c>
    </row>
    <row r="426016" customFormat="false" ht="12" hidden="false" customHeight="true" outlineLevel="0" collapsed="false">
      <c r="B426016" s="1" t="n">
        <v>2024</v>
      </c>
      <c r="C426016" s="1" t="n">
        <v>67.505</v>
      </c>
      <c r="D426016" s="1" t="n">
        <v>9.429</v>
      </c>
    </row>
    <row r="426017" customFormat="false" ht="12" hidden="false" customHeight="true" outlineLevel="0" collapsed="false">
      <c r="B426017" s="1" t="n">
        <v>2025</v>
      </c>
      <c r="C426017" s="1" t="n">
        <v>71.54</v>
      </c>
      <c r="D426017" s="1" t="n">
        <v>5.977</v>
      </c>
    </row>
    <row r="426018" customFormat="false" ht="12" hidden="false" customHeight="true" outlineLevel="0" collapsed="false">
      <c r="B426018" s="1" t="n">
        <v>2026</v>
      </c>
      <c r="C426018" s="1" t="n">
        <v>75.117</v>
      </c>
      <c r="D426018" s="1" t="n">
        <v>5</v>
      </c>
    </row>
    <row r="426019" customFormat="false" ht="12" hidden="false" customHeight="true" outlineLevel="0" collapsed="false">
      <c r="B426019" s="1" t="n">
        <v>2027</v>
      </c>
      <c r="C426019" s="1" t="n">
        <v>78.873</v>
      </c>
      <c r="D426019" s="1" t="n">
        <v>5</v>
      </c>
    </row>
    <row r="426020" customFormat="false" ht="12" hidden="false" customHeight="true" outlineLevel="0" collapsed="false">
      <c r="B426020" s="1" t="s">
        <v>51</v>
      </c>
      <c r="C426020" s="1" t="n">
        <v>2024</v>
      </c>
      <c r="D426020" s="1" t="n">
        <v>2024</v>
      </c>
    </row>
    <row r="442369" customFormat="false" ht="12" hidden="false" customHeight="true" outlineLevel="0" collapsed="false">
      <c r="B442369" s="1" t="s">
        <v>35</v>
      </c>
      <c r="C442369" s="1" t="n">
        <v>915</v>
      </c>
      <c r="D442369" s="1" t="n">
        <v>915</v>
      </c>
    </row>
    <row r="442370" customFormat="false" ht="12" hidden="false" customHeight="true" outlineLevel="0" collapsed="false">
      <c r="B442370" s="1" t="s">
        <v>36</v>
      </c>
      <c r="C442370" s="1" t="s">
        <v>37</v>
      </c>
      <c r="D442370" s="1" t="s">
        <v>38</v>
      </c>
    </row>
    <row r="442371" customFormat="false" ht="12" hidden="false" customHeight="true" outlineLevel="0" collapsed="false">
      <c r="B442371" s="1" t="s">
        <v>39</v>
      </c>
      <c r="C442371" s="1" t="s">
        <v>40</v>
      </c>
      <c r="D442371" s="1" t="s">
        <v>40</v>
      </c>
    </row>
    <row r="442372" customFormat="false" ht="12" hidden="false" customHeight="true" outlineLevel="0" collapsed="false">
      <c r="B442372" s="1" t="s">
        <v>41</v>
      </c>
      <c r="C442372" s="1" t="s">
        <v>42</v>
      </c>
      <c r="D442372" s="1" t="s">
        <v>42</v>
      </c>
    </row>
    <row r="442373" customFormat="false" ht="12" hidden="false" customHeight="true" outlineLevel="0" collapsed="false">
      <c r="B442373" s="1" t="s">
        <v>43</v>
      </c>
      <c r="C442373" s="1" t="s">
        <v>44</v>
      </c>
      <c r="D442373" s="1" t="s">
        <v>45</v>
      </c>
    </row>
    <row r="442374" customFormat="false" ht="12" hidden="false" customHeight="true" outlineLevel="0" collapsed="false">
      <c r="B442374" s="1" t="s">
        <v>46</v>
      </c>
      <c r="C442374" s="1" t="s">
        <v>47</v>
      </c>
      <c r="D442374" s="1" t="s">
        <v>43</v>
      </c>
    </row>
    <row r="442375" customFormat="false" ht="12" hidden="false" customHeight="true" outlineLevel="0" collapsed="false">
      <c r="B442375" s="1" t="s">
        <v>48</v>
      </c>
      <c r="C442375" s="1" t="s">
        <v>49</v>
      </c>
      <c r="D442375" s="1" t="s">
        <v>50</v>
      </c>
    </row>
    <row r="442376" customFormat="false" ht="12" hidden="false" customHeight="true" outlineLevel="0" collapsed="false">
      <c r="B442376" s="1" t="n">
        <v>2000</v>
      </c>
      <c r="C442376" s="1" t="n">
        <v>16.963</v>
      </c>
      <c r="D442376" s="1" t="n">
        <v>1.865</v>
      </c>
    </row>
    <row r="442377" customFormat="false" ht="12" hidden="false" customHeight="true" outlineLevel="0" collapsed="false">
      <c r="B442377" s="1" t="n">
        <v>2001</v>
      </c>
      <c r="C442377" s="1" t="n">
        <v>17.772</v>
      </c>
      <c r="D442377" s="1" t="n">
        <v>4.769</v>
      </c>
    </row>
    <row r="442378" customFormat="false" ht="12" hidden="false" customHeight="true" outlineLevel="0" collapsed="false">
      <c r="B442378" s="1" t="n">
        <v>2002</v>
      </c>
      <c r="C442378" s="1" t="n">
        <v>18.747</v>
      </c>
      <c r="D442378" s="1" t="n">
        <v>5.487</v>
      </c>
    </row>
    <row r="442379" customFormat="false" ht="12" hidden="false" customHeight="true" outlineLevel="0" collapsed="false">
      <c r="B442379" s="1" t="n">
        <v>2003</v>
      </c>
      <c r="C442379" s="1" t="n">
        <v>20.852</v>
      </c>
      <c r="D442379" s="1" t="n">
        <v>11.228</v>
      </c>
    </row>
    <row r="442380" customFormat="false" ht="12" hidden="false" customHeight="true" outlineLevel="0" collapsed="false">
      <c r="B442380" s="1" t="n">
        <v>2004</v>
      </c>
      <c r="C442380" s="1" t="n">
        <v>22.061</v>
      </c>
      <c r="D442380" s="1" t="n">
        <v>5.796</v>
      </c>
    </row>
    <row r="442381" customFormat="false" ht="12" hidden="false" customHeight="true" outlineLevel="0" collapsed="false">
      <c r="B442381" s="1" t="n">
        <v>2005</v>
      </c>
      <c r="C442381" s="1" t="n">
        <v>24.176</v>
      </c>
      <c r="D442381" s="1" t="n">
        <v>9.588</v>
      </c>
    </row>
    <row r="442382" customFormat="false" ht="12" hidden="false" customHeight="true" outlineLevel="0" collapsed="false">
      <c r="B442382" s="1" t="n">
        <v>2006</v>
      </c>
      <c r="C442382" s="1" t="n">
        <v>26.454</v>
      </c>
      <c r="D442382" s="1" t="n">
        <v>9.42</v>
      </c>
    </row>
    <row r="442383" customFormat="false" ht="12" hidden="false" customHeight="true" outlineLevel="0" collapsed="false">
      <c r="B442383" s="1" t="n">
        <v>2007</v>
      </c>
      <c r="C442383" s="1" t="n">
        <v>29.781</v>
      </c>
      <c r="D442383" s="1" t="n">
        <v>12.579</v>
      </c>
    </row>
    <row r="442384" customFormat="false" ht="12" hidden="false" customHeight="true" outlineLevel="0" collapsed="false">
      <c r="B442384" s="1" t="n">
        <v>2008</v>
      </c>
      <c r="C442384" s="1" t="n">
        <v>30.502</v>
      </c>
      <c r="D442384" s="1" t="n">
        <v>2.419</v>
      </c>
    </row>
    <row r="442385" customFormat="false" ht="12" hidden="false" customHeight="true" outlineLevel="0" collapsed="false">
      <c r="B442385" s="1" t="n">
        <v>2009</v>
      </c>
      <c r="C442385" s="1" t="n">
        <v>29.388</v>
      </c>
      <c r="D442385" s="1" t="n">
        <v>-3.651</v>
      </c>
    </row>
    <row r="442386" customFormat="false" ht="12" hidden="false" customHeight="true" outlineLevel="0" collapsed="false">
      <c r="B442386" s="1" t="n">
        <v>2010</v>
      </c>
      <c r="C442386" s="1" t="n">
        <v>31.428</v>
      </c>
      <c r="D442386" s="1" t="n">
        <v>6.942</v>
      </c>
    </row>
    <row r="442387" customFormat="false" ht="12" hidden="false" customHeight="true" outlineLevel="0" collapsed="false">
      <c r="B442387" s="1" t="n">
        <v>2011</v>
      </c>
      <c r="C442387" s="1" t="n">
        <v>33.927</v>
      </c>
      <c r="D442387" s="1" t="n">
        <v>7.949</v>
      </c>
    </row>
    <row r="442388" customFormat="false" ht="12" hidden="false" customHeight="true" outlineLevel="0" collapsed="false">
      <c r="B442388" s="1" t="n">
        <v>2012</v>
      </c>
      <c r="C442388" s="1" t="n">
        <v>36.159</v>
      </c>
      <c r="D442388" s="1" t="n">
        <v>6.579</v>
      </c>
    </row>
    <row r="442389" customFormat="false" ht="12" hidden="false" customHeight="true" outlineLevel="0" collapsed="false">
      <c r="B442389" s="1" t="n">
        <v>2013</v>
      </c>
      <c r="C442389" s="1" t="n">
        <v>38.015</v>
      </c>
      <c r="D442389" s="1" t="n">
        <v>5.134</v>
      </c>
    </row>
    <row r="442390" customFormat="false" ht="12" hidden="false" customHeight="true" outlineLevel="0" collapsed="false">
      <c r="B442390" s="1" t="n">
        <v>2014</v>
      </c>
      <c r="C442390" s="1" t="n">
        <v>39.57</v>
      </c>
      <c r="D442390" s="1" t="n">
        <v>4.091</v>
      </c>
    </row>
    <row r="442391" customFormat="false" ht="12" hidden="false" customHeight="true" outlineLevel="0" collapsed="false">
      <c r="B442391" s="1" t="n">
        <v>2015</v>
      </c>
      <c r="C442391" s="1" t="n">
        <v>40.896</v>
      </c>
      <c r="D442391" s="1" t="n">
        <v>3.351</v>
      </c>
    </row>
    <row r="442392" customFormat="false" ht="12" hidden="false" customHeight="true" outlineLevel="0" collapsed="false">
      <c r="B442392" s="1" t="n">
        <v>2016</v>
      </c>
      <c r="C442392" s="1" t="n">
        <v>42.307</v>
      </c>
      <c r="D442392" s="1" t="n">
        <v>3.45</v>
      </c>
    </row>
    <row r="442393" customFormat="false" ht="12" hidden="false" customHeight="true" outlineLevel="0" collapsed="false">
      <c r="B442393" s="1" t="n">
        <v>2017</v>
      </c>
      <c r="C442393" s="1" t="n">
        <v>44.49</v>
      </c>
      <c r="D442393" s="1" t="n">
        <v>5.161</v>
      </c>
    </row>
    <row r="442394" customFormat="false" ht="12" hidden="false" customHeight="true" outlineLevel="0" collapsed="false">
      <c r="B442394" s="1" t="n">
        <v>2018</v>
      </c>
      <c r="C442394" s="1" t="n">
        <v>47.187</v>
      </c>
      <c r="D442394" s="1" t="n">
        <v>6.062</v>
      </c>
    </row>
    <row r="442395" customFormat="false" ht="12" hidden="false" customHeight="true" outlineLevel="0" collapsed="false">
      <c r="B442395" s="1" t="n">
        <v>2019</v>
      </c>
      <c r="C442395" s="1" t="n">
        <v>49.726</v>
      </c>
      <c r="D442395" s="1" t="n">
        <v>5.38</v>
      </c>
    </row>
    <row r="442396" customFormat="false" ht="12" hidden="false" customHeight="true" outlineLevel="0" collapsed="false">
      <c r="B442396" s="1" t="n">
        <v>2020</v>
      </c>
      <c r="C442396" s="1" t="n">
        <v>46.598</v>
      </c>
      <c r="D442396" s="1" t="n">
        <v>-6.291</v>
      </c>
    </row>
    <row r="442397" customFormat="false" ht="12" hidden="false" customHeight="true" outlineLevel="0" collapsed="false">
      <c r="B442397" s="1" t="n">
        <v>2021</v>
      </c>
      <c r="C442397" s="1" t="n">
        <v>51.558</v>
      </c>
      <c r="D442397" s="1" t="n">
        <v>10.644</v>
      </c>
    </row>
    <row r="442398" customFormat="false" ht="12" hidden="false" customHeight="true" outlineLevel="0" collapsed="false">
      <c r="B442398" s="1" t="n">
        <v>2022</v>
      </c>
      <c r="C442398" s="1" t="n">
        <v>57.208</v>
      </c>
      <c r="D442398" s="1" t="n">
        <v>10.96</v>
      </c>
    </row>
    <row r="442399" customFormat="false" ht="12" hidden="false" customHeight="true" outlineLevel="0" collapsed="false">
      <c r="B442399" s="1" t="n">
        <v>2023</v>
      </c>
      <c r="C442399" s="1" t="n">
        <v>61.689</v>
      </c>
      <c r="D442399" s="1" t="n">
        <v>7.832</v>
      </c>
    </row>
    <row r="442400" customFormat="false" ht="12" hidden="false" customHeight="true" outlineLevel="0" collapsed="false">
      <c r="B442400" s="1" t="n">
        <v>2024</v>
      </c>
      <c r="C442400" s="1" t="n">
        <v>67.505</v>
      </c>
      <c r="D442400" s="1" t="n">
        <v>9.429</v>
      </c>
    </row>
    <row r="442401" customFormat="false" ht="12" hidden="false" customHeight="true" outlineLevel="0" collapsed="false">
      <c r="B442401" s="1" t="n">
        <v>2025</v>
      </c>
      <c r="C442401" s="1" t="n">
        <v>71.54</v>
      </c>
      <c r="D442401" s="1" t="n">
        <v>5.977</v>
      </c>
    </row>
    <row r="442402" customFormat="false" ht="12" hidden="false" customHeight="true" outlineLevel="0" collapsed="false">
      <c r="B442402" s="1" t="n">
        <v>2026</v>
      </c>
      <c r="C442402" s="1" t="n">
        <v>75.117</v>
      </c>
      <c r="D442402" s="1" t="n">
        <v>5</v>
      </c>
    </row>
    <row r="442403" customFormat="false" ht="12" hidden="false" customHeight="true" outlineLevel="0" collapsed="false">
      <c r="B442403" s="1" t="n">
        <v>2027</v>
      </c>
      <c r="C442403" s="1" t="n">
        <v>78.873</v>
      </c>
      <c r="D442403" s="1" t="n">
        <v>5</v>
      </c>
    </row>
    <row r="442404" customFormat="false" ht="12" hidden="false" customHeight="true" outlineLevel="0" collapsed="false">
      <c r="B442404" s="1" t="s">
        <v>51</v>
      </c>
      <c r="C442404" s="1" t="n">
        <v>2024</v>
      </c>
      <c r="D442404" s="1" t="n">
        <v>2024</v>
      </c>
    </row>
    <row r="458753" customFormat="false" ht="12" hidden="false" customHeight="true" outlineLevel="0" collapsed="false">
      <c r="B458753" s="1" t="s">
        <v>35</v>
      </c>
      <c r="C458753" s="1" t="n">
        <v>915</v>
      </c>
      <c r="D458753" s="1" t="n">
        <v>915</v>
      </c>
    </row>
    <row r="458754" customFormat="false" ht="12" hidden="false" customHeight="true" outlineLevel="0" collapsed="false">
      <c r="B458754" s="1" t="s">
        <v>36</v>
      </c>
      <c r="C458754" s="1" t="s">
        <v>37</v>
      </c>
      <c r="D458754" s="1" t="s">
        <v>38</v>
      </c>
    </row>
    <row r="458755" customFormat="false" ht="12" hidden="false" customHeight="true" outlineLevel="0" collapsed="false">
      <c r="B458755" s="1" t="s">
        <v>39</v>
      </c>
      <c r="C458755" s="1" t="s">
        <v>40</v>
      </c>
      <c r="D458755" s="1" t="s">
        <v>40</v>
      </c>
    </row>
    <row r="458756" customFormat="false" ht="12" hidden="false" customHeight="true" outlineLevel="0" collapsed="false">
      <c r="B458756" s="1" t="s">
        <v>41</v>
      </c>
      <c r="C458756" s="1" t="s">
        <v>42</v>
      </c>
      <c r="D458756" s="1" t="s">
        <v>42</v>
      </c>
    </row>
    <row r="458757" customFormat="false" ht="12" hidden="false" customHeight="true" outlineLevel="0" collapsed="false">
      <c r="B458757" s="1" t="s">
        <v>43</v>
      </c>
      <c r="C458757" s="1" t="s">
        <v>44</v>
      </c>
      <c r="D458757" s="1" t="s">
        <v>45</v>
      </c>
    </row>
    <row r="458758" customFormat="false" ht="12" hidden="false" customHeight="true" outlineLevel="0" collapsed="false">
      <c r="B458758" s="1" t="s">
        <v>46</v>
      </c>
      <c r="C458758" s="1" t="s">
        <v>47</v>
      </c>
      <c r="D458758" s="1" t="s">
        <v>43</v>
      </c>
    </row>
    <row r="458759" customFormat="false" ht="12" hidden="false" customHeight="true" outlineLevel="0" collapsed="false">
      <c r="B458759" s="1" t="s">
        <v>48</v>
      </c>
      <c r="C458759" s="1" t="s">
        <v>49</v>
      </c>
      <c r="D458759" s="1" t="s">
        <v>50</v>
      </c>
    </row>
    <row r="458760" customFormat="false" ht="12" hidden="false" customHeight="true" outlineLevel="0" collapsed="false">
      <c r="B458760" s="1" t="n">
        <v>2000</v>
      </c>
      <c r="C458760" s="1" t="n">
        <v>16.963</v>
      </c>
      <c r="D458760" s="1" t="n">
        <v>1.865</v>
      </c>
    </row>
    <row r="458761" customFormat="false" ht="12" hidden="false" customHeight="true" outlineLevel="0" collapsed="false">
      <c r="B458761" s="1" t="n">
        <v>2001</v>
      </c>
      <c r="C458761" s="1" t="n">
        <v>17.772</v>
      </c>
      <c r="D458761" s="1" t="n">
        <v>4.769</v>
      </c>
    </row>
    <row r="458762" customFormat="false" ht="12" hidden="false" customHeight="true" outlineLevel="0" collapsed="false">
      <c r="B458762" s="1" t="n">
        <v>2002</v>
      </c>
      <c r="C458762" s="1" t="n">
        <v>18.747</v>
      </c>
      <c r="D458762" s="1" t="n">
        <v>5.487</v>
      </c>
    </row>
    <row r="458763" customFormat="false" ht="12" hidden="false" customHeight="true" outlineLevel="0" collapsed="false">
      <c r="B458763" s="1" t="n">
        <v>2003</v>
      </c>
      <c r="C458763" s="1" t="n">
        <v>20.852</v>
      </c>
      <c r="D458763" s="1" t="n">
        <v>11.228</v>
      </c>
    </row>
    <row r="458764" customFormat="false" ht="12" hidden="false" customHeight="true" outlineLevel="0" collapsed="false">
      <c r="B458764" s="1" t="n">
        <v>2004</v>
      </c>
      <c r="C458764" s="1" t="n">
        <v>22.061</v>
      </c>
      <c r="D458764" s="1" t="n">
        <v>5.796</v>
      </c>
    </row>
    <row r="458765" customFormat="false" ht="12" hidden="false" customHeight="true" outlineLevel="0" collapsed="false">
      <c r="B458765" s="1" t="n">
        <v>2005</v>
      </c>
      <c r="C458765" s="1" t="n">
        <v>24.176</v>
      </c>
      <c r="D458765" s="1" t="n">
        <v>9.588</v>
      </c>
    </row>
    <row r="458766" customFormat="false" ht="12" hidden="false" customHeight="true" outlineLevel="0" collapsed="false">
      <c r="B458766" s="1" t="n">
        <v>2006</v>
      </c>
      <c r="C458766" s="1" t="n">
        <v>26.454</v>
      </c>
      <c r="D458766" s="1" t="n">
        <v>9.42</v>
      </c>
    </row>
    <row r="458767" customFormat="false" ht="12" hidden="false" customHeight="true" outlineLevel="0" collapsed="false">
      <c r="B458767" s="1" t="n">
        <v>2007</v>
      </c>
      <c r="C458767" s="1" t="n">
        <v>29.781</v>
      </c>
      <c r="D458767" s="1" t="n">
        <v>12.579</v>
      </c>
    </row>
    <row r="458768" customFormat="false" ht="12" hidden="false" customHeight="true" outlineLevel="0" collapsed="false">
      <c r="B458768" s="1" t="n">
        <v>2008</v>
      </c>
      <c r="C458768" s="1" t="n">
        <v>30.502</v>
      </c>
      <c r="D458768" s="1" t="n">
        <v>2.419</v>
      </c>
    </row>
    <row r="458769" customFormat="false" ht="12" hidden="false" customHeight="true" outlineLevel="0" collapsed="false">
      <c r="B458769" s="1" t="n">
        <v>2009</v>
      </c>
      <c r="C458769" s="1" t="n">
        <v>29.388</v>
      </c>
      <c r="D458769" s="1" t="n">
        <v>-3.651</v>
      </c>
    </row>
    <row r="458770" customFormat="false" ht="12" hidden="false" customHeight="true" outlineLevel="0" collapsed="false">
      <c r="B458770" s="1" t="n">
        <v>2010</v>
      </c>
      <c r="C458770" s="1" t="n">
        <v>31.428</v>
      </c>
      <c r="D458770" s="1" t="n">
        <v>6.942</v>
      </c>
    </row>
    <row r="458771" customFormat="false" ht="12" hidden="false" customHeight="true" outlineLevel="0" collapsed="false">
      <c r="B458771" s="1" t="n">
        <v>2011</v>
      </c>
      <c r="C458771" s="1" t="n">
        <v>33.927</v>
      </c>
      <c r="D458771" s="1" t="n">
        <v>7.949</v>
      </c>
    </row>
    <row r="458772" customFormat="false" ht="12" hidden="false" customHeight="true" outlineLevel="0" collapsed="false">
      <c r="B458772" s="1" t="n">
        <v>2012</v>
      </c>
      <c r="C458772" s="1" t="n">
        <v>36.159</v>
      </c>
      <c r="D458772" s="1" t="n">
        <v>6.579</v>
      </c>
    </row>
    <row r="458773" customFormat="false" ht="12" hidden="false" customHeight="true" outlineLevel="0" collapsed="false">
      <c r="B458773" s="1" t="n">
        <v>2013</v>
      </c>
      <c r="C458773" s="1" t="n">
        <v>38.015</v>
      </c>
      <c r="D458773" s="1" t="n">
        <v>5.134</v>
      </c>
    </row>
    <row r="458774" customFormat="false" ht="12" hidden="false" customHeight="true" outlineLevel="0" collapsed="false">
      <c r="B458774" s="1" t="n">
        <v>2014</v>
      </c>
      <c r="C458774" s="1" t="n">
        <v>39.57</v>
      </c>
      <c r="D458774" s="1" t="n">
        <v>4.091</v>
      </c>
    </row>
    <row r="458775" customFormat="false" ht="12" hidden="false" customHeight="true" outlineLevel="0" collapsed="false">
      <c r="B458775" s="1" t="n">
        <v>2015</v>
      </c>
      <c r="C458775" s="1" t="n">
        <v>40.896</v>
      </c>
      <c r="D458775" s="1" t="n">
        <v>3.351</v>
      </c>
    </row>
    <row r="458776" customFormat="false" ht="12" hidden="false" customHeight="true" outlineLevel="0" collapsed="false">
      <c r="B458776" s="1" t="n">
        <v>2016</v>
      </c>
      <c r="C458776" s="1" t="n">
        <v>42.307</v>
      </c>
      <c r="D458776" s="1" t="n">
        <v>3.45</v>
      </c>
    </row>
    <row r="458777" customFormat="false" ht="12" hidden="false" customHeight="true" outlineLevel="0" collapsed="false">
      <c r="B458777" s="1" t="n">
        <v>2017</v>
      </c>
      <c r="C458777" s="1" t="n">
        <v>44.49</v>
      </c>
      <c r="D458777" s="1" t="n">
        <v>5.161</v>
      </c>
    </row>
    <row r="458778" customFormat="false" ht="12" hidden="false" customHeight="true" outlineLevel="0" collapsed="false">
      <c r="B458778" s="1" t="n">
        <v>2018</v>
      </c>
      <c r="C458778" s="1" t="n">
        <v>47.187</v>
      </c>
      <c r="D458778" s="1" t="n">
        <v>6.062</v>
      </c>
    </row>
    <row r="458779" customFormat="false" ht="12" hidden="false" customHeight="true" outlineLevel="0" collapsed="false">
      <c r="B458779" s="1" t="n">
        <v>2019</v>
      </c>
      <c r="C458779" s="1" t="n">
        <v>49.726</v>
      </c>
      <c r="D458779" s="1" t="n">
        <v>5.38</v>
      </c>
    </row>
    <row r="458780" customFormat="false" ht="12" hidden="false" customHeight="true" outlineLevel="0" collapsed="false">
      <c r="B458780" s="1" t="n">
        <v>2020</v>
      </c>
      <c r="C458780" s="1" t="n">
        <v>46.598</v>
      </c>
      <c r="D458780" s="1" t="n">
        <v>-6.291</v>
      </c>
    </row>
    <row r="458781" customFormat="false" ht="12" hidden="false" customHeight="true" outlineLevel="0" collapsed="false">
      <c r="B458781" s="1" t="n">
        <v>2021</v>
      </c>
      <c r="C458781" s="1" t="n">
        <v>51.558</v>
      </c>
      <c r="D458781" s="1" t="n">
        <v>10.644</v>
      </c>
    </row>
    <row r="458782" customFormat="false" ht="12" hidden="false" customHeight="true" outlineLevel="0" collapsed="false">
      <c r="B458782" s="1" t="n">
        <v>2022</v>
      </c>
      <c r="C458782" s="1" t="n">
        <v>57.208</v>
      </c>
      <c r="D458782" s="1" t="n">
        <v>10.96</v>
      </c>
    </row>
    <row r="458783" customFormat="false" ht="12" hidden="false" customHeight="true" outlineLevel="0" collapsed="false">
      <c r="B458783" s="1" t="n">
        <v>2023</v>
      </c>
      <c r="C458783" s="1" t="n">
        <v>61.689</v>
      </c>
      <c r="D458783" s="1" t="n">
        <v>7.832</v>
      </c>
    </row>
    <row r="458784" customFormat="false" ht="12" hidden="false" customHeight="true" outlineLevel="0" collapsed="false">
      <c r="B458784" s="1" t="n">
        <v>2024</v>
      </c>
      <c r="C458784" s="1" t="n">
        <v>67.505</v>
      </c>
      <c r="D458784" s="1" t="n">
        <v>9.429</v>
      </c>
    </row>
    <row r="458785" customFormat="false" ht="12" hidden="false" customHeight="true" outlineLevel="0" collapsed="false">
      <c r="B458785" s="1" t="n">
        <v>2025</v>
      </c>
      <c r="C458785" s="1" t="n">
        <v>71.54</v>
      </c>
      <c r="D458785" s="1" t="n">
        <v>5.977</v>
      </c>
    </row>
    <row r="458786" customFormat="false" ht="12" hidden="false" customHeight="true" outlineLevel="0" collapsed="false">
      <c r="B458786" s="1" t="n">
        <v>2026</v>
      </c>
      <c r="C458786" s="1" t="n">
        <v>75.117</v>
      </c>
      <c r="D458786" s="1" t="n">
        <v>5</v>
      </c>
    </row>
    <row r="458787" customFormat="false" ht="12" hidden="false" customHeight="true" outlineLevel="0" collapsed="false">
      <c r="B458787" s="1" t="n">
        <v>2027</v>
      </c>
      <c r="C458787" s="1" t="n">
        <v>78.873</v>
      </c>
      <c r="D458787" s="1" t="n">
        <v>5</v>
      </c>
    </row>
    <row r="458788" customFormat="false" ht="12" hidden="false" customHeight="true" outlineLevel="0" collapsed="false">
      <c r="B458788" s="1" t="s">
        <v>51</v>
      </c>
      <c r="C458788" s="1" t="n">
        <v>2024</v>
      </c>
      <c r="D458788" s="1" t="n">
        <v>2024</v>
      </c>
    </row>
    <row r="475137" customFormat="false" ht="12" hidden="false" customHeight="true" outlineLevel="0" collapsed="false">
      <c r="B475137" s="1" t="s">
        <v>35</v>
      </c>
      <c r="C475137" s="1" t="n">
        <v>915</v>
      </c>
      <c r="D475137" s="1" t="n">
        <v>915</v>
      </c>
    </row>
    <row r="475138" customFormat="false" ht="12" hidden="false" customHeight="true" outlineLevel="0" collapsed="false">
      <c r="B475138" s="1" t="s">
        <v>36</v>
      </c>
      <c r="C475138" s="1" t="s">
        <v>37</v>
      </c>
      <c r="D475138" s="1" t="s">
        <v>38</v>
      </c>
    </row>
    <row r="475139" customFormat="false" ht="12" hidden="false" customHeight="true" outlineLevel="0" collapsed="false">
      <c r="B475139" s="1" t="s">
        <v>39</v>
      </c>
      <c r="C475139" s="1" t="s">
        <v>40</v>
      </c>
      <c r="D475139" s="1" t="s">
        <v>40</v>
      </c>
    </row>
    <row r="475140" customFormat="false" ht="12" hidden="false" customHeight="true" outlineLevel="0" collapsed="false">
      <c r="B475140" s="1" t="s">
        <v>41</v>
      </c>
      <c r="C475140" s="1" t="s">
        <v>42</v>
      </c>
      <c r="D475140" s="1" t="s">
        <v>42</v>
      </c>
    </row>
    <row r="475141" customFormat="false" ht="12" hidden="false" customHeight="true" outlineLevel="0" collapsed="false">
      <c r="B475141" s="1" t="s">
        <v>43</v>
      </c>
      <c r="C475141" s="1" t="s">
        <v>44</v>
      </c>
      <c r="D475141" s="1" t="s">
        <v>45</v>
      </c>
    </row>
    <row r="475142" customFormat="false" ht="12" hidden="false" customHeight="true" outlineLevel="0" collapsed="false">
      <c r="B475142" s="1" t="s">
        <v>46</v>
      </c>
      <c r="C475142" s="1" t="s">
        <v>47</v>
      </c>
      <c r="D475142" s="1" t="s">
        <v>43</v>
      </c>
    </row>
    <row r="475143" customFormat="false" ht="12" hidden="false" customHeight="true" outlineLevel="0" collapsed="false">
      <c r="B475143" s="1" t="s">
        <v>48</v>
      </c>
      <c r="C475143" s="1" t="s">
        <v>49</v>
      </c>
      <c r="D475143" s="1" t="s">
        <v>50</v>
      </c>
    </row>
    <row r="475144" customFormat="false" ht="12" hidden="false" customHeight="true" outlineLevel="0" collapsed="false">
      <c r="B475144" s="1" t="n">
        <v>2000</v>
      </c>
      <c r="C475144" s="1" t="n">
        <v>16.963</v>
      </c>
      <c r="D475144" s="1" t="n">
        <v>1.865</v>
      </c>
    </row>
    <row r="475145" customFormat="false" ht="12" hidden="false" customHeight="true" outlineLevel="0" collapsed="false">
      <c r="B475145" s="1" t="n">
        <v>2001</v>
      </c>
      <c r="C475145" s="1" t="n">
        <v>17.772</v>
      </c>
      <c r="D475145" s="1" t="n">
        <v>4.769</v>
      </c>
    </row>
    <row r="475146" customFormat="false" ht="12" hidden="false" customHeight="true" outlineLevel="0" collapsed="false">
      <c r="B475146" s="1" t="n">
        <v>2002</v>
      </c>
      <c r="C475146" s="1" t="n">
        <v>18.747</v>
      </c>
      <c r="D475146" s="1" t="n">
        <v>5.487</v>
      </c>
    </row>
    <row r="475147" customFormat="false" ht="12" hidden="false" customHeight="true" outlineLevel="0" collapsed="false">
      <c r="B475147" s="1" t="n">
        <v>2003</v>
      </c>
      <c r="C475147" s="1" t="n">
        <v>20.852</v>
      </c>
      <c r="D475147" s="1" t="n">
        <v>11.228</v>
      </c>
    </row>
    <row r="475148" customFormat="false" ht="12" hidden="false" customHeight="true" outlineLevel="0" collapsed="false">
      <c r="B475148" s="1" t="n">
        <v>2004</v>
      </c>
      <c r="C475148" s="1" t="n">
        <v>22.061</v>
      </c>
      <c r="D475148" s="1" t="n">
        <v>5.796</v>
      </c>
    </row>
    <row r="475149" customFormat="false" ht="12" hidden="false" customHeight="true" outlineLevel="0" collapsed="false">
      <c r="B475149" s="1" t="n">
        <v>2005</v>
      </c>
      <c r="C475149" s="1" t="n">
        <v>24.176</v>
      </c>
      <c r="D475149" s="1" t="n">
        <v>9.588</v>
      </c>
    </row>
    <row r="475150" customFormat="false" ht="12" hidden="false" customHeight="true" outlineLevel="0" collapsed="false">
      <c r="B475150" s="1" t="n">
        <v>2006</v>
      </c>
      <c r="C475150" s="1" t="n">
        <v>26.454</v>
      </c>
      <c r="D475150" s="1" t="n">
        <v>9.42</v>
      </c>
    </row>
    <row r="475151" customFormat="false" ht="12" hidden="false" customHeight="true" outlineLevel="0" collapsed="false">
      <c r="B475151" s="1" t="n">
        <v>2007</v>
      </c>
      <c r="C475151" s="1" t="n">
        <v>29.781</v>
      </c>
      <c r="D475151" s="1" t="n">
        <v>12.579</v>
      </c>
    </row>
    <row r="475152" customFormat="false" ht="12" hidden="false" customHeight="true" outlineLevel="0" collapsed="false">
      <c r="B475152" s="1" t="n">
        <v>2008</v>
      </c>
      <c r="C475152" s="1" t="n">
        <v>30.502</v>
      </c>
      <c r="D475152" s="1" t="n">
        <v>2.419</v>
      </c>
    </row>
    <row r="475153" customFormat="false" ht="12" hidden="false" customHeight="true" outlineLevel="0" collapsed="false">
      <c r="B475153" s="1" t="n">
        <v>2009</v>
      </c>
      <c r="C475153" s="1" t="n">
        <v>29.388</v>
      </c>
      <c r="D475153" s="1" t="n">
        <v>-3.651</v>
      </c>
    </row>
    <row r="475154" customFormat="false" ht="12" hidden="false" customHeight="true" outlineLevel="0" collapsed="false">
      <c r="B475154" s="1" t="n">
        <v>2010</v>
      </c>
      <c r="C475154" s="1" t="n">
        <v>31.428</v>
      </c>
      <c r="D475154" s="1" t="n">
        <v>6.942</v>
      </c>
    </row>
    <row r="475155" customFormat="false" ht="12" hidden="false" customHeight="true" outlineLevel="0" collapsed="false">
      <c r="B475155" s="1" t="n">
        <v>2011</v>
      </c>
      <c r="C475155" s="1" t="n">
        <v>33.927</v>
      </c>
      <c r="D475155" s="1" t="n">
        <v>7.949</v>
      </c>
    </row>
    <row r="475156" customFormat="false" ht="12" hidden="false" customHeight="true" outlineLevel="0" collapsed="false">
      <c r="B475156" s="1" t="n">
        <v>2012</v>
      </c>
      <c r="C475156" s="1" t="n">
        <v>36.159</v>
      </c>
      <c r="D475156" s="1" t="n">
        <v>6.579</v>
      </c>
    </row>
    <row r="475157" customFormat="false" ht="12" hidden="false" customHeight="true" outlineLevel="0" collapsed="false">
      <c r="B475157" s="1" t="n">
        <v>2013</v>
      </c>
      <c r="C475157" s="1" t="n">
        <v>38.015</v>
      </c>
      <c r="D475157" s="1" t="n">
        <v>5.134</v>
      </c>
    </row>
    <row r="475158" customFormat="false" ht="12" hidden="false" customHeight="true" outlineLevel="0" collapsed="false">
      <c r="B475158" s="1" t="n">
        <v>2014</v>
      </c>
      <c r="C475158" s="1" t="n">
        <v>39.57</v>
      </c>
      <c r="D475158" s="1" t="n">
        <v>4.091</v>
      </c>
    </row>
    <row r="475159" customFormat="false" ht="12" hidden="false" customHeight="true" outlineLevel="0" collapsed="false">
      <c r="B475159" s="1" t="n">
        <v>2015</v>
      </c>
      <c r="C475159" s="1" t="n">
        <v>40.896</v>
      </c>
      <c r="D475159" s="1" t="n">
        <v>3.351</v>
      </c>
    </row>
    <row r="475160" customFormat="false" ht="12" hidden="false" customHeight="true" outlineLevel="0" collapsed="false">
      <c r="B475160" s="1" t="n">
        <v>2016</v>
      </c>
      <c r="C475160" s="1" t="n">
        <v>42.307</v>
      </c>
      <c r="D475160" s="1" t="n">
        <v>3.45</v>
      </c>
    </row>
    <row r="475161" customFormat="false" ht="12" hidden="false" customHeight="true" outlineLevel="0" collapsed="false">
      <c r="B475161" s="1" t="n">
        <v>2017</v>
      </c>
      <c r="C475161" s="1" t="n">
        <v>44.49</v>
      </c>
      <c r="D475161" s="1" t="n">
        <v>5.161</v>
      </c>
    </row>
    <row r="475162" customFormat="false" ht="12" hidden="false" customHeight="true" outlineLevel="0" collapsed="false">
      <c r="B475162" s="1" t="n">
        <v>2018</v>
      </c>
      <c r="C475162" s="1" t="n">
        <v>47.187</v>
      </c>
      <c r="D475162" s="1" t="n">
        <v>6.062</v>
      </c>
    </row>
    <row r="475163" customFormat="false" ht="12" hidden="false" customHeight="true" outlineLevel="0" collapsed="false">
      <c r="B475163" s="1" t="n">
        <v>2019</v>
      </c>
      <c r="C475163" s="1" t="n">
        <v>49.726</v>
      </c>
      <c r="D475163" s="1" t="n">
        <v>5.38</v>
      </c>
    </row>
    <row r="475164" customFormat="false" ht="12" hidden="false" customHeight="true" outlineLevel="0" collapsed="false">
      <c r="B475164" s="1" t="n">
        <v>2020</v>
      </c>
      <c r="C475164" s="1" t="n">
        <v>46.598</v>
      </c>
      <c r="D475164" s="1" t="n">
        <v>-6.291</v>
      </c>
    </row>
    <row r="475165" customFormat="false" ht="12" hidden="false" customHeight="true" outlineLevel="0" collapsed="false">
      <c r="B475165" s="1" t="n">
        <v>2021</v>
      </c>
      <c r="C475165" s="1" t="n">
        <v>51.558</v>
      </c>
      <c r="D475165" s="1" t="n">
        <v>10.644</v>
      </c>
    </row>
    <row r="475166" customFormat="false" ht="12" hidden="false" customHeight="true" outlineLevel="0" collapsed="false">
      <c r="B475166" s="1" t="n">
        <v>2022</v>
      </c>
      <c r="C475166" s="1" t="n">
        <v>57.208</v>
      </c>
      <c r="D475166" s="1" t="n">
        <v>10.96</v>
      </c>
    </row>
    <row r="475167" customFormat="false" ht="12" hidden="false" customHeight="true" outlineLevel="0" collapsed="false">
      <c r="B475167" s="1" t="n">
        <v>2023</v>
      </c>
      <c r="C475167" s="1" t="n">
        <v>61.689</v>
      </c>
      <c r="D475167" s="1" t="n">
        <v>7.832</v>
      </c>
    </row>
    <row r="475168" customFormat="false" ht="12" hidden="false" customHeight="true" outlineLevel="0" collapsed="false">
      <c r="B475168" s="1" t="n">
        <v>2024</v>
      </c>
      <c r="C475168" s="1" t="n">
        <v>67.505</v>
      </c>
      <c r="D475168" s="1" t="n">
        <v>9.429</v>
      </c>
    </row>
    <row r="475169" customFormat="false" ht="12" hidden="false" customHeight="true" outlineLevel="0" collapsed="false">
      <c r="B475169" s="1" t="n">
        <v>2025</v>
      </c>
      <c r="C475169" s="1" t="n">
        <v>71.54</v>
      </c>
      <c r="D475169" s="1" t="n">
        <v>5.977</v>
      </c>
    </row>
    <row r="475170" customFormat="false" ht="12" hidden="false" customHeight="true" outlineLevel="0" collapsed="false">
      <c r="B475170" s="1" t="n">
        <v>2026</v>
      </c>
      <c r="C475170" s="1" t="n">
        <v>75.117</v>
      </c>
      <c r="D475170" s="1" t="n">
        <v>5</v>
      </c>
    </row>
    <row r="475171" customFormat="false" ht="12" hidden="false" customHeight="true" outlineLevel="0" collapsed="false">
      <c r="B475171" s="1" t="n">
        <v>2027</v>
      </c>
      <c r="C475171" s="1" t="n">
        <v>78.873</v>
      </c>
      <c r="D475171" s="1" t="n">
        <v>5</v>
      </c>
    </row>
    <row r="475172" customFormat="false" ht="12" hidden="false" customHeight="true" outlineLevel="0" collapsed="false">
      <c r="B475172" s="1" t="s">
        <v>51</v>
      </c>
      <c r="C475172" s="1" t="n">
        <v>2024</v>
      </c>
      <c r="D475172" s="1" t="n">
        <v>2024</v>
      </c>
    </row>
    <row r="491521" customFormat="false" ht="12" hidden="false" customHeight="true" outlineLevel="0" collapsed="false">
      <c r="B491521" s="1" t="s">
        <v>35</v>
      </c>
      <c r="C491521" s="1" t="n">
        <v>915</v>
      </c>
      <c r="D491521" s="1" t="n">
        <v>915</v>
      </c>
    </row>
    <row r="491522" customFormat="false" ht="12" hidden="false" customHeight="true" outlineLevel="0" collapsed="false">
      <c r="B491522" s="1" t="s">
        <v>36</v>
      </c>
      <c r="C491522" s="1" t="s">
        <v>37</v>
      </c>
      <c r="D491522" s="1" t="s">
        <v>38</v>
      </c>
    </row>
    <row r="491523" customFormat="false" ht="12" hidden="false" customHeight="true" outlineLevel="0" collapsed="false">
      <c r="B491523" s="1" t="s">
        <v>39</v>
      </c>
      <c r="C491523" s="1" t="s">
        <v>40</v>
      </c>
      <c r="D491523" s="1" t="s">
        <v>40</v>
      </c>
    </row>
    <row r="491524" customFormat="false" ht="12" hidden="false" customHeight="true" outlineLevel="0" collapsed="false">
      <c r="B491524" s="1" t="s">
        <v>41</v>
      </c>
      <c r="C491524" s="1" t="s">
        <v>42</v>
      </c>
      <c r="D491524" s="1" t="s">
        <v>42</v>
      </c>
    </row>
    <row r="491525" customFormat="false" ht="12" hidden="false" customHeight="true" outlineLevel="0" collapsed="false">
      <c r="B491525" s="1" t="s">
        <v>43</v>
      </c>
      <c r="C491525" s="1" t="s">
        <v>44</v>
      </c>
      <c r="D491525" s="1" t="s">
        <v>45</v>
      </c>
    </row>
    <row r="491526" customFormat="false" ht="12" hidden="false" customHeight="true" outlineLevel="0" collapsed="false">
      <c r="B491526" s="1" t="s">
        <v>46</v>
      </c>
      <c r="C491526" s="1" t="s">
        <v>47</v>
      </c>
      <c r="D491526" s="1" t="s">
        <v>43</v>
      </c>
    </row>
    <row r="491527" customFormat="false" ht="12" hidden="false" customHeight="true" outlineLevel="0" collapsed="false">
      <c r="B491527" s="1" t="s">
        <v>48</v>
      </c>
      <c r="C491527" s="1" t="s">
        <v>49</v>
      </c>
      <c r="D491527" s="1" t="s">
        <v>50</v>
      </c>
    </row>
    <row r="491528" customFormat="false" ht="12" hidden="false" customHeight="true" outlineLevel="0" collapsed="false">
      <c r="B491528" s="1" t="n">
        <v>2000</v>
      </c>
      <c r="C491528" s="1" t="n">
        <v>16.963</v>
      </c>
      <c r="D491528" s="1" t="n">
        <v>1.865</v>
      </c>
    </row>
    <row r="491529" customFormat="false" ht="12" hidden="false" customHeight="true" outlineLevel="0" collapsed="false">
      <c r="B491529" s="1" t="n">
        <v>2001</v>
      </c>
      <c r="C491529" s="1" t="n">
        <v>17.772</v>
      </c>
      <c r="D491529" s="1" t="n">
        <v>4.769</v>
      </c>
    </row>
    <row r="491530" customFormat="false" ht="12" hidden="false" customHeight="true" outlineLevel="0" collapsed="false">
      <c r="B491530" s="1" t="n">
        <v>2002</v>
      </c>
      <c r="C491530" s="1" t="n">
        <v>18.747</v>
      </c>
      <c r="D491530" s="1" t="n">
        <v>5.487</v>
      </c>
    </row>
    <row r="491531" customFormat="false" ht="12" hidden="false" customHeight="true" outlineLevel="0" collapsed="false">
      <c r="B491531" s="1" t="n">
        <v>2003</v>
      </c>
      <c r="C491531" s="1" t="n">
        <v>20.852</v>
      </c>
      <c r="D491531" s="1" t="n">
        <v>11.228</v>
      </c>
    </row>
    <row r="491532" customFormat="false" ht="12" hidden="false" customHeight="true" outlineLevel="0" collapsed="false">
      <c r="B491532" s="1" t="n">
        <v>2004</v>
      </c>
      <c r="C491532" s="1" t="n">
        <v>22.061</v>
      </c>
      <c r="D491532" s="1" t="n">
        <v>5.796</v>
      </c>
    </row>
    <row r="491533" customFormat="false" ht="12" hidden="false" customHeight="true" outlineLevel="0" collapsed="false">
      <c r="B491533" s="1" t="n">
        <v>2005</v>
      </c>
      <c r="C491533" s="1" t="n">
        <v>24.176</v>
      </c>
      <c r="D491533" s="1" t="n">
        <v>9.588</v>
      </c>
    </row>
    <row r="491534" customFormat="false" ht="12" hidden="false" customHeight="true" outlineLevel="0" collapsed="false">
      <c r="B491534" s="1" t="n">
        <v>2006</v>
      </c>
      <c r="C491534" s="1" t="n">
        <v>26.454</v>
      </c>
      <c r="D491534" s="1" t="n">
        <v>9.42</v>
      </c>
    </row>
    <row r="491535" customFormat="false" ht="12" hidden="false" customHeight="true" outlineLevel="0" collapsed="false">
      <c r="B491535" s="1" t="n">
        <v>2007</v>
      </c>
      <c r="C491535" s="1" t="n">
        <v>29.781</v>
      </c>
      <c r="D491535" s="1" t="n">
        <v>12.579</v>
      </c>
    </row>
    <row r="491536" customFormat="false" ht="12" hidden="false" customHeight="true" outlineLevel="0" collapsed="false">
      <c r="B491536" s="1" t="n">
        <v>2008</v>
      </c>
      <c r="C491536" s="1" t="n">
        <v>30.502</v>
      </c>
      <c r="D491536" s="1" t="n">
        <v>2.419</v>
      </c>
    </row>
    <row r="491537" customFormat="false" ht="12" hidden="false" customHeight="true" outlineLevel="0" collapsed="false">
      <c r="B491537" s="1" t="n">
        <v>2009</v>
      </c>
      <c r="C491537" s="1" t="n">
        <v>29.388</v>
      </c>
      <c r="D491537" s="1" t="n">
        <v>-3.651</v>
      </c>
    </row>
    <row r="491538" customFormat="false" ht="12" hidden="false" customHeight="true" outlineLevel="0" collapsed="false">
      <c r="B491538" s="1" t="n">
        <v>2010</v>
      </c>
      <c r="C491538" s="1" t="n">
        <v>31.428</v>
      </c>
      <c r="D491538" s="1" t="n">
        <v>6.942</v>
      </c>
    </row>
    <row r="491539" customFormat="false" ht="12" hidden="false" customHeight="true" outlineLevel="0" collapsed="false">
      <c r="B491539" s="1" t="n">
        <v>2011</v>
      </c>
      <c r="C491539" s="1" t="n">
        <v>33.927</v>
      </c>
      <c r="D491539" s="1" t="n">
        <v>7.949</v>
      </c>
    </row>
    <row r="491540" customFormat="false" ht="12" hidden="false" customHeight="true" outlineLevel="0" collapsed="false">
      <c r="B491540" s="1" t="n">
        <v>2012</v>
      </c>
      <c r="C491540" s="1" t="n">
        <v>36.159</v>
      </c>
      <c r="D491540" s="1" t="n">
        <v>6.579</v>
      </c>
    </row>
    <row r="491541" customFormat="false" ht="12" hidden="false" customHeight="true" outlineLevel="0" collapsed="false">
      <c r="B491541" s="1" t="n">
        <v>2013</v>
      </c>
      <c r="C491541" s="1" t="n">
        <v>38.015</v>
      </c>
      <c r="D491541" s="1" t="n">
        <v>5.134</v>
      </c>
    </row>
    <row r="491542" customFormat="false" ht="12" hidden="false" customHeight="true" outlineLevel="0" collapsed="false">
      <c r="B491542" s="1" t="n">
        <v>2014</v>
      </c>
      <c r="C491542" s="1" t="n">
        <v>39.57</v>
      </c>
      <c r="D491542" s="1" t="n">
        <v>4.091</v>
      </c>
    </row>
    <row r="491543" customFormat="false" ht="12" hidden="false" customHeight="true" outlineLevel="0" collapsed="false">
      <c r="B491543" s="1" t="n">
        <v>2015</v>
      </c>
      <c r="C491543" s="1" t="n">
        <v>40.896</v>
      </c>
      <c r="D491543" s="1" t="n">
        <v>3.351</v>
      </c>
    </row>
    <row r="491544" customFormat="false" ht="12" hidden="false" customHeight="true" outlineLevel="0" collapsed="false">
      <c r="B491544" s="1" t="n">
        <v>2016</v>
      </c>
      <c r="C491544" s="1" t="n">
        <v>42.307</v>
      </c>
      <c r="D491544" s="1" t="n">
        <v>3.45</v>
      </c>
    </row>
    <row r="491545" customFormat="false" ht="12" hidden="false" customHeight="true" outlineLevel="0" collapsed="false">
      <c r="B491545" s="1" t="n">
        <v>2017</v>
      </c>
      <c r="C491545" s="1" t="n">
        <v>44.49</v>
      </c>
      <c r="D491545" s="1" t="n">
        <v>5.161</v>
      </c>
    </row>
    <row r="491546" customFormat="false" ht="12" hidden="false" customHeight="true" outlineLevel="0" collapsed="false">
      <c r="B491546" s="1" t="n">
        <v>2018</v>
      </c>
      <c r="C491546" s="1" t="n">
        <v>47.187</v>
      </c>
      <c r="D491546" s="1" t="n">
        <v>6.062</v>
      </c>
    </row>
    <row r="491547" customFormat="false" ht="12" hidden="false" customHeight="true" outlineLevel="0" collapsed="false">
      <c r="B491547" s="1" t="n">
        <v>2019</v>
      </c>
      <c r="C491547" s="1" t="n">
        <v>49.726</v>
      </c>
      <c r="D491547" s="1" t="n">
        <v>5.38</v>
      </c>
    </row>
    <row r="491548" customFormat="false" ht="12" hidden="false" customHeight="true" outlineLevel="0" collapsed="false">
      <c r="B491548" s="1" t="n">
        <v>2020</v>
      </c>
      <c r="C491548" s="1" t="n">
        <v>46.598</v>
      </c>
      <c r="D491548" s="1" t="n">
        <v>-6.291</v>
      </c>
    </row>
    <row r="491549" customFormat="false" ht="12" hidden="false" customHeight="true" outlineLevel="0" collapsed="false">
      <c r="B491549" s="1" t="n">
        <v>2021</v>
      </c>
      <c r="C491549" s="1" t="n">
        <v>51.558</v>
      </c>
      <c r="D491549" s="1" t="n">
        <v>10.644</v>
      </c>
    </row>
    <row r="491550" customFormat="false" ht="12" hidden="false" customHeight="true" outlineLevel="0" collapsed="false">
      <c r="B491550" s="1" t="n">
        <v>2022</v>
      </c>
      <c r="C491550" s="1" t="n">
        <v>57.208</v>
      </c>
      <c r="D491550" s="1" t="n">
        <v>10.96</v>
      </c>
    </row>
    <row r="491551" customFormat="false" ht="12" hidden="false" customHeight="true" outlineLevel="0" collapsed="false">
      <c r="B491551" s="1" t="n">
        <v>2023</v>
      </c>
      <c r="C491551" s="1" t="n">
        <v>61.689</v>
      </c>
      <c r="D491551" s="1" t="n">
        <v>7.832</v>
      </c>
    </row>
    <row r="491552" customFormat="false" ht="12" hidden="false" customHeight="true" outlineLevel="0" collapsed="false">
      <c r="B491552" s="1" t="n">
        <v>2024</v>
      </c>
      <c r="C491552" s="1" t="n">
        <v>67.505</v>
      </c>
      <c r="D491552" s="1" t="n">
        <v>9.429</v>
      </c>
    </row>
    <row r="491553" customFormat="false" ht="12" hidden="false" customHeight="true" outlineLevel="0" collapsed="false">
      <c r="B491553" s="1" t="n">
        <v>2025</v>
      </c>
      <c r="C491553" s="1" t="n">
        <v>71.54</v>
      </c>
      <c r="D491553" s="1" t="n">
        <v>5.977</v>
      </c>
    </row>
    <row r="491554" customFormat="false" ht="12" hidden="false" customHeight="true" outlineLevel="0" collapsed="false">
      <c r="B491554" s="1" t="n">
        <v>2026</v>
      </c>
      <c r="C491554" s="1" t="n">
        <v>75.117</v>
      </c>
      <c r="D491554" s="1" t="n">
        <v>5</v>
      </c>
    </row>
    <row r="491555" customFormat="false" ht="12" hidden="false" customHeight="true" outlineLevel="0" collapsed="false">
      <c r="B491555" s="1" t="n">
        <v>2027</v>
      </c>
      <c r="C491555" s="1" t="n">
        <v>78.873</v>
      </c>
      <c r="D491555" s="1" t="n">
        <v>5</v>
      </c>
    </row>
    <row r="491556" customFormat="false" ht="12" hidden="false" customHeight="true" outlineLevel="0" collapsed="false">
      <c r="B491556" s="1" t="s">
        <v>51</v>
      </c>
      <c r="C491556" s="1" t="n">
        <v>2024</v>
      </c>
      <c r="D491556" s="1" t="n">
        <v>2024</v>
      </c>
    </row>
    <row r="507905" customFormat="false" ht="12" hidden="false" customHeight="true" outlineLevel="0" collapsed="false">
      <c r="B507905" s="1" t="s">
        <v>35</v>
      </c>
      <c r="C507905" s="1" t="n">
        <v>915</v>
      </c>
      <c r="D507905" s="1" t="n">
        <v>915</v>
      </c>
    </row>
    <row r="507906" customFormat="false" ht="12" hidden="false" customHeight="true" outlineLevel="0" collapsed="false">
      <c r="B507906" s="1" t="s">
        <v>36</v>
      </c>
      <c r="C507906" s="1" t="s">
        <v>37</v>
      </c>
      <c r="D507906" s="1" t="s">
        <v>38</v>
      </c>
    </row>
    <row r="507907" customFormat="false" ht="12" hidden="false" customHeight="true" outlineLevel="0" collapsed="false">
      <c r="B507907" s="1" t="s">
        <v>39</v>
      </c>
      <c r="C507907" s="1" t="s">
        <v>40</v>
      </c>
      <c r="D507907" s="1" t="s">
        <v>40</v>
      </c>
    </row>
    <row r="507908" customFormat="false" ht="12" hidden="false" customHeight="true" outlineLevel="0" collapsed="false">
      <c r="B507908" s="1" t="s">
        <v>41</v>
      </c>
      <c r="C507908" s="1" t="s">
        <v>42</v>
      </c>
      <c r="D507908" s="1" t="s">
        <v>42</v>
      </c>
    </row>
    <row r="507909" customFormat="false" ht="12" hidden="false" customHeight="true" outlineLevel="0" collapsed="false">
      <c r="B507909" s="1" t="s">
        <v>43</v>
      </c>
      <c r="C507909" s="1" t="s">
        <v>44</v>
      </c>
      <c r="D507909" s="1" t="s">
        <v>45</v>
      </c>
    </row>
    <row r="507910" customFormat="false" ht="12" hidden="false" customHeight="true" outlineLevel="0" collapsed="false">
      <c r="B507910" s="1" t="s">
        <v>46</v>
      </c>
      <c r="C507910" s="1" t="s">
        <v>47</v>
      </c>
      <c r="D507910" s="1" t="s">
        <v>43</v>
      </c>
    </row>
    <row r="507911" customFormat="false" ht="12" hidden="false" customHeight="true" outlineLevel="0" collapsed="false">
      <c r="B507911" s="1" t="s">
        <v>48</v>
      </c>
      <c r="C507911" s="1" t="s">
        <v>49</v>
      </c>
      <c r="D507911" s="1" t="s">
        <v>50</v>
      </c>
    </row>
    <row r="507912" customFormat="false" ht="12" hidden="false" customHeight="true" outlineLevel="0" collapsed="false">
      <c r="B507912" s="1" t="n">
        <v>2000</v>
      </c>
      <c r="C507912" s="1" t="n">
        <v>16.963</v>
      </c>
      <c r="D507912" s="1" t="n">
        <v>1.865</v>
      </c>
    </row>
    <row r="507913" customFormat="false" ht="12" hidden="false" customHeight="true" outlineLevel="0" collapsed="false">
      <c r="B507913" s="1" t="n">
        <v>2001</v>
      </c>
      <c r="C507913" s="1" t="n">
        <v>17.772</v>
      </c>
      <c r="D507913" s="1" t="n">
        <v>4.769</v>
      </c>
    </row>
    <row r="507914" customFormat="false" ht="12" hidden="false" customHeight="true" outlineLevel="0" collapsed="false">
      <c r="B507914" s="1" t="n">
        <v>2002</v>
      </c>
      <c r="C507914" s="1" t="n">
        <v>18.747</v>
      </c>
      <c r="D507914" s="1" t="n">
        <v>5.487</v>
      </c>
    </row>
    <row r="507915" customFormat="false" ht="12" hidden="false" customHeight="true" outlineLevel="0" collapsed="false">
      <c r="B507915" s="1" t="n">
        <v>2003</v>
      </c>
      <c r="C507915" s="1" t="n">
        <v>20.852</v>
      </c>
      <c r="D507915" s="1" t="n">
        <v>11.228</v>
      </c>
    </row>
    <row r="507916" customFormat="false" ht="12" hidden="false" customHeight="true" outlineLevel="0" collapsed="false">
      <c r="B507916" s="1" t="n">
        <v>2004</v>
      </c>
      <c r="C507916" s="1" t="n">
        <v>22.061</v>
      </c>
      <c r="D507916" s="1" t="n">
        <v>5.796</v>
      </c>
    </row>
    <row r="507917" customFormat="false" ht="12" hidden="false" customHeight="true" outlineLevel="0" collapsed="false">
      <c r="B507917" s="1" t="n">
        <v>2005</v>
      </c>
      <c r="C507917" s="1" t="n">
        <v>24.176</v>
      </c>
      <c r="D507917" s="1" t="n">
        <v>9.588</v>
      </c>
    </row>
    <row r="507918" customFormat="false" ht="12" hidden="false" customHeight="true" outlineLevel="0" collapsed="false">
      <c r="B507918" s="1" t="n">
        <v>2006</v>
      </c>
      <c r="C507918" s="1" t="n">
        <v>26.454</v>
      </c>
      <c r="D507918" s="1" t="n">
        <v>9.42</v>
      </c>
    </row>
    <row r="507919" customFormat="false" ht="12" hidden="false" customHeight="true" outlineLevel="0" collapsed="false">
      <c r="B507919" s="1" t="n">
        <v>2007</v>
      </c>
      <c r="C507919" s="1" t="n">
        <v>29.781</v>
      </c>
      <c r="D507919" s="1" t="n">
        <v>12.579</v>
      </c>
    </row>
    <row r="507920" customFormat="false" ht="12" hidden="false" customHeight="true" outlineLevel="0" collapsed="false">
      <c r="B507920" s="1" t="n">
        <v>2008</v>
      </c>
      <c r="C507920" s="1" t="n">
        <v>30.502</v>
      </c>
      <c r="D507920" s="1" t="n">
        <v>2.419</v>
      </c>
    </row>
    <row r="507921" customFormat="false" ht="12" hidden="false" customHeight="true" outlineLevel="0" collapsed="false">
      <c r="B507921" s="1" t="n">
        <v>2009</v>
      </c>
      <c r="C507921" s="1" t="n">
        <v>29.388</v>
      </c>
      <c r="D507921" s="1" t="n">
        <v>-3.651</v>
      </c>
    </row>
    <row r="507922" customFormat="false" ht="12" hidden="false" customHeight="true" outlineLevel="0" collapsed="false">
      <c r="B507922" s="1" t="n">
        <v>2010</v>
      </c>
      <c r="C507922" s="1" t="n">
        <v>31.428</v>
      </c>
      <c r="D507922" s="1" t="n">
        <v>6.942</v>
      </c>
    </row>
    <row r="507923" customFormat="false" ht="12" hidden="false" customHeight="true" outlineLevel="0" collapsed="false">
      <c r="B507923" s="1" t="n">
        <v>2011</v>
      </c>
      <c r="C507923" s="1" t="n">
        <v>33.927</v>
      </c>
      <c r="D507923" s="1" t="n">
        <v>7.949</v>
      </c>
    </row>
    <row r="507924" customFormat="false" ht="12" hidden="false" customHeight="true" outlineLevel="0" collapsed="false">
      <c r="B507924" s="1" t="n">
        <v>2012</v>
      </c>
      <c r="C507924" s="1" t="n">
        <v>36.159</v>
      </c>
      <c r="D507924" s="1" t="n">
        <v>6.579</v>
      </c>
    </row>
    <row r="507925" customFormat="false" ht="12" hidden="false" customHeight="true" outlineLevel="0" collapsed="false">
      <c r="B507925" s="1" t="n">
        <v>2013</v>
      </c>
      <c r="C507925" s="1" t="n">
        <v>38.015</v>
      </c>
      <c r="D507925" s="1" t="n">
        <v>5.134</v>
      </c>
    </row>
    <row r="507926" customFormat="false" ht="12" hidden="false" customHeight="true" outlineLevel="0" collapsed="false">
      <c r="B507926" s="1" t="n">
        <v>2014</v>
      </c>
      <c r="C507926" s="1" t="n">
        <v>39.57</v>
      </c>
      <c r="D507926" s="1" t="n">
        <v>4.091</v>
      </c>
    </row>
    <row r="507927" customFormat="false" ht="12" hidden="false" customHeight="true" outlineLevel="0" collapsed="false">
      <c r="B507927" s="1" t="n">
        <v>2015</v>
      </c>
      <c r="C507927" s="1" t="n">
        <v>40.896</v>
      </c>
      <c r="D507927" s="1" t="n">
        <v>3.351</v>
      </c>
    </row>
    <row r="507928" customFormat="false" ht="12" hidden="false" customHeight="true" outlineLevel="0" collapsed="false">
      <c r="B507928" s="1" t="n">
        <v>2016</v>
      </c>
      <c r="C507928" s="1" t="n">
        <v>42.307</v>
      </c>
      <c r="D507928" s="1" t="n">
        <v>3.45</v>
      </c>
    </row>
    <row r="507929" customFormat="false" ht="12" hidden="false" customHeight="true" outlineLevel="0" collapsed="false">
      <c r="B507929" s="1" t="n">
        <v>2017</v>
      </c>
      <c r="C507929" s="1" t="n">
        <v>44.49</v>
      </c>
      <c r="D507929" s="1" t="n">
        <v>5.161</v>
      </c>
    </row>
    <row r="507930" customFormat="false" ht="12" hidden="false" customHeight="true" outlineLevel="0" collapsed="false">
      <c r="B507930" s="1" t="n">
        <v>2018</v>
      </c>
      <c r="C507930" s="1" t="n">
        <v>47.187</v>
      </c>
      <c r="D507930" s="1" t="n">
        <v>6.062</v>
      </c>
    </row>
    <row r="507931" customFormat="false" ht="12" hidden="false" customHeight="true" outlineLevel="0" collapsed="false">
      <c r="B507931" s="1" t="n">
        <v>2019</v>
      </c>
      <c r="C507931" s="1" t="n">
        <v>49.726</v>
      </c>
      <c r="D507931" s="1" t="n">
        <v>5.38</v>
      </c>
    </row>
    <row r="507932" customFormat="false" ht="12" hidden="false" customHeight="true" outlineLevel="0" collapsed="false">
      <c r="B507932" s="1" t="n">
        <v>2020</v>
      </c>
      <c r="C507932" s="1" t="n">
        <v>46.598</v>
      </c>
      <c r="D507932" s="1" t="n">
        <v>-6.291</v>
      </c>
    </row>
    <row r="507933" customFormat="false" ht="12" hidden="false" customHeight="true" outlineLevel="0" collapsed="false">
      <c r="B507933" s="1" t="n">
        <v>2021</v>
      </c>
      <c r="C507933" s="1" t="n">
        <v>51.558</v>
      </c>
      <c r="D507933" s="1" t="n">
        <v>10.644</v>
      </c>
    </row>
    <row r="507934" customFormat="false" ht="12" hidden="false" customHeight="true" outlineLevel="0" collapsed="false">
      <c r="B507934" s="1" t="n">
        <v>2022</v>
      </c>
      <c r="C507934" s="1" t="n">
        <v>57.208</v>
      </c>
      <c r="D507934" s="1" t="n">
        <v>10.96</v>
      </c>
    </row>
    <row r="507935" customFormat="false" ht="12" hidden="false" customHeight="true" outlineLevel="0" collapsed="false">
      <c r="B507935" s="1" t="n">
        <v>2023</v>
      </c>
      <c r="C507935" s="1" t="n">
        <v>61.689</v>
      </c>
      <c r="D507935" s="1" t="n">
        <v>7.832</v>
      </c>
    </row>
    <row r="507936" customFormat="false" ht="12" hidden="false" customHeight="true" outlineLevel="0" collapsed="false">
      <c r="B507936" s="1" t="n">
        <v>2024</v>
      </c>
      <c r="C507936" s="1" t="n">
        <v>67.505</v>
      </c>
      <c r="D507936" s="1" t="n">
        <v>9.429</v>
      </c>
    </row>
    <row r="507937" customFormat="false" ht="12" hidden="false" customHeight="true" outlineLevel="0" collapsed="false">
      <c r="B507937" s="1" t="n">
        <v>2025</v>
      </c>
      <c r="C507937" s="1" t="n">
        <v>71.54</v>
      </c>
      <c r="D507937" s="1" t="n">
        <v>5.977</v>
      </c>
    </row>
    <row r="507938" customFormat="false" ht="12" hidden="false" customHeight="true" outlineLevel="0" collapsed="false">
      <c r="B507938" s="1" t="n">
        <v>2026</v>
      </c>
      <c r="C507938" s="1" t="n">
        <v>75.117</v>
      </c>
      <c r="D507938" s="1" t="n">
        <v>5</v>
      </c>
    </row>
    <row r="507939" customFormat="false" ht="12" hidden="false" customHeight="true" outlineLevel="0" collapsed="false">
      <c r="B507939" s="1" t="n">
        <v>2027</v>
      </c>
      <c r="C507939" s="1" t="n">
        <v>78.873</v>
      </c>
      <c r="D507939" s="1" t="n">
        <v>5</v>
      </c>
    </row>
    <row r="507940" customFormat="false" ht="12" hidden="false" customHeight="true" outlineLevel="0" collapsed="false">
      <c r="B507940" s="1" t="s">
        <v>51</v>
      </c>
      <c r="C507940" s="1" t="n">
        <v>2024</v>
      </c>
      <c r="D507940" s="1" t="n">
        <v>2024</v>
      </c>
    </row>
    <row r="524289" customFormat="false" ht="12" hidden="false" customHeight="true" outlineLevel="0" collapsed="false">
      <c r="B524289" s="1" t="s">
        <v>35</v>
      </c>
      <c r="C524289" s="1" t="n">
        <v>915</v>
      </c>
      <c r="D524289" s="1" t="n">
        <v>915</v>
      </c>
    </row>
    <row r="524290" customFormat="false" ht="12" hidden="false" customHeight="true" outlineLevel="0" collapsed="false">
      <c r="B524290" s="1" t="s">
        <v>36</v>
      </c>
      <c r="C524290" s="1" t="s">
        <v>37</v>
      </c>
      <c r="D524290" s="1" t="s">
        <v>38</v>
      </c>
    </row>
    <row r="524291" customFormat="false" ht="12" hidden="false" customHeight="true" outlineLevel="0" collapsed="false">
      <c r="B524291" s="1" t="s">
        <v>39</v>
      </c>
      <c r="C524291" s="1" t="s">
        <v>40</v>
      </c>
      <c r="D524291" s="1" t="s">
        <v>40</v>
      </c>
    </row>
    <row r="524292" customFormat="false" ht="12" hidden="false" customHeight="true" outlineLevel="0" collapsed="false">
      <c r="B524292" s="1" t="s">
        <v>41</v>
      </c>
      <c r="C524292" s="1" t="s">
        <v>42</v>
      </c>
      <c r="D524292" s="1" t="s">
        <v>42</v>
      </c>
    </row>
    <row r="524293" customFormat="false" ht="12" hidden="false" customHeight="true" outlineLevel="0" collapsed="false">
      <c r="B524293" s="1" t="s">
        <v>43</v>
      </c>
      <c r="C524293" s="1" t="s">
        <v>44</v>
      </c>
      <c r="D524293" s="1" t="s">
        <v>45</v>
      </c>
    </row>
    <row r="524294" customFormat="false" ht="12" hidden="false" customHeight="true" outlineLevel="0" collapsed="false">
      <c r="B524294" s="1" t="s">
        <v>46</v>
      </c>
      <c r="C524294" s="1" t="s">
        <v>47</v>
      </c>
      <c r="D524294" s="1" t="s">
        <v>43</v>
      </c>
    </row>
    <row r="524295" customFormat="false" ht="12" hidden="false" customHeight="true" outlineLevel="0" collapsed="false">
      <c r="B524295" s="1" t="s">
        <v>48</v>
      </c>
      <c r="C524295" s="1" t="s">
        <v>49</v>
      </c>
      <c r="D524295" s="1" t="s">
        <v>50</v>
      </c>
    </row>
    <row r="524296" customFormat="false" ht="12" hidden="false" customHeight="true" outlineLevel="0" collapsed="false">
      <c r="B524296" s="1" t="n">
        <v>2000</v>
      </c>
      <c r="C524296" s="1" t="n">
        <v>16.963</v>
      </c>
      <c r="D524296" s="1" t="n">
        <v>1.865</v>
      </c>
    </row>
    <row r="524297" customFormat="false" ht="12" hidden="false" customHeight="true" outlineLevel="0" collapsed="false">
      <c r="B524297" s="1" t="n">
        <v>2001</v>
      </c>
      <c r="C524297" s="1" t="n">
        <v>17.772</v>
      </c>
      <c r="D524297" s="1" t="n">
        <v>4.769</v>
      </c>
    </row>
    <row r="524298" customFormat="false" ht="12" hidden="false" customHeight="true" outlineLevel="0" collapsed="false">
      <c r="B524298" s="1" t="n">
        <v>2002</v>
      </c>
      <c r="C524298" s="1" t="n">
        <v>18.747</v>
      </c>
      <c r="D524298" s="1" t="n">
        <v>5.487</v>
      </c>
    </row>
    <row r="524299" customFormat="false" ht="12" hidden="false" customHeight="true" outlineLevel="0" collapsed="false">
      <c r="B524299" s="1" t="n">
        <v>2003</v>
      </c>
      <c r="C524299" s="1" t="n">
        <v>20.852</v>
      </c>
      <c r="D524299" s="1" t="n">
        <v>11.228</v>
      </c>
    </row>
    <row r="524300" customFormat="false" ht="12" hidden="false" customHeight="true" outlineLevel="0" collapsed="false">
      <c r="B524300" s="1" t="n">
        <v>2004</v>
      </c>
      <c r="C524300" s="1" t="n">
        <v>22.061</v>
      </c>
      <c r="D524300" s="1" t="n">
        <v>5.796</v>
      </c>
    </row>
    <row r="524301" customFormat="false" ht="12" hidden="false" customHeight="true" outlineLevel="0" collapsed="false">
      <c r="B524301" s="1" t="n">
        <v>2005</v>
      </c>
      <c r="C524301" s="1" t="n">
        <v>24.176</v>
      </c>
      <c r="D524301" s="1" t="n">
        <v>9.588</v>
      </c>
    </row>
    <row r="524302" customFormat="false" ht="12" hidden="false" customHeight="true" outlineLevel="0" collapsed="false">
      <c r="B524302" s="1" t="n">
        <v>2006</v>
      </c>
      <c r="C524302" s="1" t="n">
        <v>26.454</v>
      </c>
      <c r="D524302" s="1" t="n">
        <v>9.42</v>
      </c>
    </row>
    <row r="524303" customFormat="false" ht="12" hidden="false" customHeight="true" outlineLevel="0" collapsed="false">
      <c r="B524303" s="1" t="n">
        <v>2007</v>
      </c>
      <c r="C524303" s="1" t="n">
        <v>29.781</v>
      </c>
      <c r="D524303" s="1" t="n">
        <v>12.579</v>
      </c>
    </row>
    <row r="524304" customFormat="false" ht="12" hidden="false" customHeight="true" outlineLevel="0" collapsed="false">
      <c r="B524304" s="1" t="n">
        <v>2008</v>
      </c>
      <c r="C524304" s="1" t="n">
        <v>30.502</v>
      </c>
      <c r="D524304" s="1" t="n">
        <v>2.419</v>
      </c>
    </row>
    <row r="524305" customFormat="false" ht="12" hidden="false" customHeight="true" outlineLevel="0" collapsed="false">
      <c r="B524305" s="1" t="n">
        <v>2009</v>
      </c>
      <c r="C524305" s="1" t="n">
        <v>29.388</v>
      </c>
      <c r="D524305" s="1" t="n">
        <v>-3.651</v>
      </c>
    </row>
    <row r="524306" customFormat="false" ht="12" hidden="false" customHeight="true" outlineLevel="0" collapsed="false">
      <c r="B524306" s="1" t="n">
        <v>2010</v>
      </c>
      <c r="C524306" s="1" t="n">
        <v>31.428</v>
      </c>
      <c r="D524306" s="1" t="n">
        <v>6.942</v>
      </c>
    </row>
    <row r="524307" customFormat="false" ht="12" hidden="false" customHeight="true" outlineLevel="0" collapsed="false">
      <c r="B524307" s="1" t="n">
        <v>2011</v>
      </c>
      <c r="C524307" s="1" t="n">
        <v>33.927</v>
      </c>
      <c r="D524307" s="1" t="n">
        <v>7.949</v>
      </c>
    </row>
    <row r="524308" customFormat="false" ht="12" hidden="false" customHeight="true" outlineLevel="0" collapsed="false">
      <c r="B524308" s="1" t="n">
        <v>2012</v>
      </c>
      <c r="C524308" s="1" t="n">
        <v>36.159</v>
      </c>
      <c r="D524308" s="1" t="n">
        <v>6.579</v>
      </c>
    </row>
    <row r="524309" customFormat="false" ht="12" hidden="false" customHeight="true" outlineLevel="0" collapsed="false">
      <c r="B524309" s="1" t="n">
        <v>2013</v>
      </c>
      <c r="C524309" s="1" t="n">
        <v>38.015</v>
      </c>
      <c r="D524309" s="1" t="n">
        <v>5.134</v>
      </c>
    </row>
    <row r="524310" customFormat="false" ht="12" hidden="false" customHeight="true" outlineLevel="0" collapsed="false">
      <c r="B524310" s="1" t="n">
        <v>2014</v>
      </c>
      <c r="C524310" s="1" t="n">
        <v>39.57</v>
      </c>
      <c r="D524310" s="1" t="n">
        <v>4.091</v>
      </c>
    </row>
    <row r="524311" customFormat="false" ht="12" hidden="false" customHeight="true" outlineLevel="0" collapsed="false">
      <c r="B524311" s="1" t="n">
        <v>2015</v>
      </c>
      <c r="C524311" s="1" t="n">
        <v>40.896</v>
      </c>
      <c r="D524311" s="1" t="n">
        <v>3.351</v>
      </c>
    </row>
    <row r="524312" customFormat="false" ht="12" hidden="false" customHeight="true" outlineLevel="0" collapsed="false">
      <c r="B524312" s="1" t="n">
        <v>2016</v>
      </c>
      <c r="C524312" s="1" t="n">
        <v>42.307</v>
      </c>
      <c r="D524312" s="1" t="n">
        <v>3.45</v>
      </c>
    </row>
    <row r="524313" customFormat="false" ht="12" hidden="false" customHeight="true" outlineLevel="0" collapsed="false">
      <c r="B524313" s="1" t="n">
        <v>2017</v>
      </c>
      <c r="C524313" s="1" t="n">
        <v>44.49</v>
      </c>
      <c r="D524313" s="1" t="n">
        <v>5.161</v>
      </c>
    </row>
    <row r="524314" customFormat="false" ht="12" hidden="false" customHeight="true" outlineLevel="0" collapsed="false">
      <c r="B524314" s="1" t="n">
        <v>2018</v>
      </c>
      <c r="C524314" s="1" t="n">
        <v>47.187</v>
      </c>
      <c r="D524314" s="1" t="n">
        <v>6.062</v>
      </c>
    </row>
    <row r="524315" customFormat="false" ht="12" hidden="false" customHeight="true" outlineLevel="0" collapsed="false">
      <c r="B524315" s="1" t="n">
        <v>2019</v>
      </c>
      <c r="C524315" s="1" t="n">
        <v>49.726</v>
      </c>
      <c r="D524315" s="1" t="n">
        <v>5.38</v>
      </c>
    </row>
    <row r="524316" customFormat="false" ht="12" hidden="false" customHeight="true" outlineLevel="0" collapsed="false">
      <c r="B524316" s="1" t="n">
        <v>2020</v>
      </c>
      <c r="C524316" s="1" t="n">
        <v>46.598</v>
      </c>
      <c r="D524316" s="1" t="n">
        <v>-6.291</v>
      </c>
    </row>
    <row r="524317" customFormat="false" ht="12" hidden="false" customHeight="true" outlineLevel="0" collapsed="false">
      <c r="B524317" s="1" t="n">
        <v>2021</v>
      </c>
      <c r="C524317" s="1" t="n">
        <v>51.558</v>
      </c>
      <c r="D524317" s="1" t="n">
        <v>10.644</v>
      </c>
    </row>
    <row r="524318" customFormat="false" ht="12" hidden="false" customHeight="true" outlineLevel="0" collapsed="false">
      <c r="B524318" s="1" t="n">
        <v>2022</v>
      </c>
      <c r="C524318" s="1" t="n">
        <v>57.208</v>
      </c>
      <c r="D524318" s="1" t="n">
        <v>10.96</v>
      </c>
    </row>
    <row r="524319" customFormat="false" ht="12" hidden="false" customHeight="true" outlineLevel="0" collapsed="false">
      <c r="B524319" s="1" t="n">
        <v>2023</v>
      </c>
      <c r="C524319" s="1" t="n">
        <v>61.689</v>
      </c>
      <c r="D524319" s="1" t="n">
        <v>7.832</v>
      </c>
    </row>
    <row r="524320" customFormat="false" ht="12" hidden="false" customHeight="true" outlineLevel="0" collapsed="false">
      <c r="B524320" s="1" t="n">
        <v>2024</v>
      </c>
      <c r="C524320" s="1" t="n">
        <v>67.505</v>
      </c>
      <c r="D524320" s="1" t="n">
        <v>9.429</v>
      </c>
    </row>
    <row r="524321" customFormat="false" ht="12" hidden="false" customHeight="true" outlineLevel="0" collapsed="false">
      <c r="B524321" s="1" t="n">
        <v>2025</v>
      </c>
      <c r="C524321" s="1" t="n">
        <v>71.54</v>
      </c>
      <c r="D524321" s="1" t="n">
        <v>5.977</v>
      </c>
    </row>
    <row r="524322" customFormat="false" ht="12" hidden="false" customHeight="true" outlineLevel="0" collapsed="false">
      <c r="B524322" s="1" t="n">
        <v>2026</v>
      </c>
      <c r="C524322" s="1" t="n">
        <v>75.117</v>
      </c>
      <c r="D524322" s="1" t="n">
        <v>5</v>
      </c>
    </row>
    <row r="524323" customFormat="false" ht="12" hidden="false" customHeight="true" outlineLevel="0" collapsed="false">
      <c r="B524323" s="1" t="n">
        <v>2027</v>
      </c>
      <c r="C524323" s="1" t="n">
        <v>78.873</v>
      </c>
      <c r="D524323" s="1" t="n">
        <v>5</v>
      </c>
    </row>
    <row r="524324" customFormat="false" ht="12" hidden="false" customHeight="true" outlineLevel="0" collapsed="false">
      <c r="B524324" s="1" t="s">
        <v>51</v>
      </c>
      <c r="C524324" s="1" t="n">
        <v>2024</v>
      </c>
      <c r="D524324" s="1" t="n">
        <v>2024</v>
      </c>
    </row>
    <row r="540673" customFormat="false" ht="12" hidden="false" customHeight="true" outlineLevel="0" collapsed="false">
      <c r="B540673" s="1" t="s">
        <v>35</v>
      </c>
      <c r="C540673" s="1" t="n">
        <v>915</v>
      </c>
      <c r="D540673" s="1" t="n">
        <v>915</v>
      </c>
    </row>
    <row r="540674" customFormat="false" ht="12" hidden="false" customHeight="true" outlineLevel="0" collapsed="false">
      <c r="B540674" s="1" t="s">
        <v>36</v>
      </c>
      <c r="C540674" s="1" t="s">
        <v>37</v>
      </c>
      <c r="D540674" s="1" t="s">
        <v>38</v>
      </c>
    </row>
    <row r="540675" customFormat="false" ht="12" hidden="false" customHeight="true" outlineLevel="0" collapsed="false">
      <c r="B540675" s="1" t="s">
        <v>39</v>
      </c>
      <c r="C540675" s="1" t="s">
        <v>40</v>
      </c>
      <c r="D540675" s="1" t="s">
        <v>40</v>
      </c>
    </row>
    <row r="540676" customFormat="false" ht="12" hidden="false" customHeight="true" outlineLevel="0" collapsed="false">
      <c r="B540676" s="1" t="s">
        <v>41</v>
      </c>
      <c r="C540676" s="1" t="s">
        <v>42</v>
      </c>
      <c r="D540676" s="1" t="s">
        <v>42</v>
      </c>
    </row>
    <row r="540677" customFormat="false" ht="12" hidden="false" customHeight="true" outlineLevel="0" collapsed="false">
      <c r="B540677" s="1" t="s">
        <v>43</v>
      </c>
      <c r="C540677" s="1" t="s">
        <v>44</v>
      </c>
      <c r="D540677" s="1" t="s">
        <v>45</v>
      </c>
    </row>
    <row r="540678" customFormat="false" ht="12" hidden="false" customHeight="true" outlineLevel="0" collapsed="false">
      <c r="B540678" s="1" t="s">
        <v>46</v>
      </c>
      <c r="C540678" s="1" t="s">
        <v>47</v>
      </c>
      <c r="D540678" s="1" t="s">
        <v>43</v>
      </c>
    </row>
    <row r="540679" customFormat="false" ht="12" hidden="false" customHeight="true" outlineLevel="0" collapsed="false">
      <c r="B540679" s="1" t="s">
        <v>48</v>
      </c>
      <c r="C540679" s="1" t="s">
        <v>49</v>
      </c>
      <c r="D540679" s="1" t="s">
        <v>50</v>
      </c>
    </row>
    <row r="540680" customFormat="false" ht="12" hidden="false" customHeight="true" outlineLevel="0" collapsed="false">
      <c r="B540680" s="1" t="n">
        <v>2000</v>
      </c>
      <c r="C540680" s="1" t="n">
        <v>16.963</v>
      </c>
      <c r="D540680" s="1" t="n">
        <v>1.865</v>
      </c>
    </row>
    <row r="540681" customFormat="false" ht="12" hidden="false" customHeight="true" outlineLevel="0" collapsed="false">
      <c r="B540681" s="1" t="n">
        <v>2001</v>
      </c>
      <c r="C540681" s="1" t="n">
        <v>17.772</v>
      </c>
      <c r="D540681" s="1" t="n">
        <v>4.769</v>
      </c>
    </row>
    <row r="540682" customFormat="false" ht="12" hidden="false" customHeight="true" outlineLevel="0" collapsed="false">
      <c r="B540682" s="1" t="n">
        <v>2002</v>
      </c>
      <c r="C540682" s="1" t="n">
        <v>18.747</v>
      </c>
      <c r="D540682" s="1" t="n">
        <v>5.487</v>
      </c>
    </row>
    <row r="540683" customFormat="false" ht="12" hidden="false" customHeight="true" outlineLevel="0" collapsed="false">
      <c r="B540683" s="1" t="n">
        <v>2003</v>
      </c>
      <c r="C540683" s="1" t="n">
        <v>20.852</v>
      </c>
      <c r="D540683" s="1" t="n">
        <v>11.228</v>
      </c>
    </row>
    <row r="540684" customFormat="false" ht="12" hidden="false" customHeight="true" outlineLevel="0" collapsed="false">
      <c r="B540684" s="1" t="n">
        <v>2004</v>
      </c>
      <c r="C540684" s="1" t="n">
        <v>22.061</v>
      </c>
      <c r="D540684" s="1" t="n">
        <v>5.796</v>
      </c>
    </row>
    <row r="540685" customFormat="false" ht="12" hidden="false" customHeight="true" outlineLevel="0" collapsed="false">
      <c r="B540685" s="1" t="n">
        <v>2005</v>
      </c>
      <c r="C540685" s="1" t="n">
        <v>24.176</v>
      </c>
      <c r="D540685" s="1" t="n">
        <v>9.588</v>
      </c>
    </row>
    <row r="540686" customFormat="false" ht="12" hidden="false" customHeight="true" outlineLevel="0" collapsed="false">
      <c r="B540686" s="1" t="n">
        <v>2006</v>
      </c>
      <c r="C540686" s="1" t="n">
        <v>26.454</v>
      </c>
      <c r="D540686" s="1" t="n">
        <v>9.42</v>
      </c>
    </row>
    <row r="540687" customFormat="false" ht="12" hidden="false" customHeight="true" outlineLevel="0" collapsed="false">
      <c r="B540687" s="1" t="n">
        <v>2007</v>
      </c>
      <c r="C540687" s="1" t="n">
        <v>29.781</v>
      </c>
      <c r="D540687" s="1" t="n">
        <v>12.579</v>
      </c>
    </row>
    <row r="540688" customFormat="false" ht="12" hidden="false" customHeight="true" outlineLevel="0" collapsed="false">
      <c r="B540688" s="1" t="n">
        <v>2008</v>
      </c>
      <c r="C540688" s="1" t="n">
        <v>30.502</v>
      </c>
      <c r="D540688" s="1" t="n">
        <v>2.419</v>
      </c>
    </row>
    <row r="540689" customFormat="false" ht="12" hidden="false" customHeight="true" outlineLevel="0" collapsed="false">
      <c r="B540689" s="1" t="n">
        <v>2009</v>
      </c>
      <c r="C540689" s="1" t="n">
        <v>29.388</v>
      </c>
      <c r="D540689" s="1" t="n">
        <v>-3.651</v>
      </c>
    </row>
    <row r="540690" customFormat="false" ht="12" hidden="false" customHeight="true" outlineLevel="0" collapsed="false">
      <c r="B540690" s="1" t="n">
        <v>2010</v>
      </c>
      <c r="C540690" s="1" t="n">
        <v>31.428</v>
      </c>
      <c r="D540690" s="1" t="n">
        <v>6.942</v>
      </c>
    </row>
    <row r="540691" customFormat="false" ht="12" hidden="false" customHeight="true" outlineLevel="0" collapsed="false">
      <c r="B540691" s="1" t="n">
        <v>2011</v>
      </c>
      <c r="C540691" s="1" t="n">
        <v>33.927</v>
      </c>
      <c r="D540691" s="1" t="n">
        <v>7.949</v>
      </c>
    </row>
    <row r="540692" customFormat="false" ht="12" hidden="false" customHeight="true" outlineLevel="0" collapsed="false">
      <c r="B540692" s="1" t="n">
        <v>2012</v>
      </c>
      <c r="C540692" s="1" t="n">
        <v>36.159</v>
      </c>
      <c r="D540692" s="1" t="n">
        <v>6.579</v>
      </c>
    </row>
    <row r="540693" customFormat="false" ht="12" hidden="false" customHeight="true" outlineLevel="0" collapsed="false">
      <c r="B540693" s="1" t="n">
        <v>2013</v>
      </c>
      <c r="C540693" s="1" t="n">
        <v>38.015</v>
      </c>
      <c r="D540693" s="1" t="n">
        <v>5.134</v>
      </c>
    </row>
    <row r="540694" customFormat="false" ht="12" hidden="false" customHeight="true" outlineLevel="0" collapsed="false">
      <c r="B540694" s="1" t="n">
        <v>2014</v>
      </c>
      <c r="C540694" s="1" t="n">
        <v>39.57</v>
      </c>
      <c r="D540694" s="1" t="n">
        <v>4.091</v>
      </c>
    </row>
    <row r="540695" customFormat="false" ht="12" hidden="false" customHeight="true" outlineLevel="0" collapsed="false">
      <c r="B540695" s="1" t="n">
        <v>2015</v>
      </c>
      <c r="C540695" s="1" t="n">
        <v>40.896</v>
      </c>
      <c r="D540695" s="1" t="n">
        <v>3.351</v>
      </c>
    </row>
    <row r="540696" customFormat="false" ht="12" hidden="false" customHeight="true" outlineLevel="0" collapsed="false">
      <c r="B540696" s="1" t="n">
        <v>2016</v>
      </c>
      <c r="C540696" s="1" t="n">
        <v>42.307</v>
      </c>
      <c r="D540696" s="1" t="n">
        <v>3.45</v>
      </c>
    </row>
    <row r="540697" customFormat="false" ht="12" hidden="false" customHeight="true" outlineLevel="0" collapsed="false">
      <c r="B540697" s="1" t="n">
        <v>2017</v>
      </c>
      <c r="C540697" s="1" t="n">
        <v>44.49</v>
      </c>
      <c r="D540697" s="1" t="n">
        <v>5.161</v>
      </c>
    </row>
    <row r="540698" customFormat="false" ht="12" hidden="false" customHeight="true" outlineLevel="0" collapsed="false">
      <c r="B540698" s="1" t="n">
        <v>2018</v>
      </c>
      <c r="C540698" s="1" t="n">
        <v>47.187</v>
      </c>
      <c r="D540698" s="1" t="n">
        <v>6.062</v>
      </c>
    </row>
    <row r="540699" customFormat="false" ht="12" hidden="false" customHeight="true" outlineLevel="0" collapsed="false">
      <c r="B540699" s="1" t="n">
        <v>2019</v>
      </c>
      <c r="C540699" s="1" t="n">
        <v>49.726</v>
      </c>
      <c r="D540699" s="1" t="n">
        <v>5.38</v>
      </c>
    </row>
    <row r="540700" customFormat="false" ht="12" hidden="false" customHeight="true" outlineLevel="0" collapsed="false">
      <c r="B540700" s="1" t="n">
        <v>2020</v>
      </c>
      <c r="C540700" s="1" t="n">
        <v>46.598</v>
      </c>
      <c r="D540700" s="1" t="n">
        <v>-6.291</v>
      </c>
    </row>
    <row r="540701" customFormat="false" ht="12" hidden="false" customHeight="true" outlineLevel="0" collapsed="false">
      <c r="B540701" s="1" t="n">
        <v>2021</v>
      </c>
      <c r="C540701" s="1" t="n">
        <v>51.558</v>
      </c>
      <c r="D540701" s="1" t="n">
        <v>10.644</v>
      </c>
    </row>
    <row r="540702" customFormat="false" ht="12" hidden="false" customHeight="true" outlineLevel="0" collapsed="false">
      <c r="B540702" s="1" t="n">
        <v>2022</v>
      </c>
      <c r="C540702" s="1" t="n">
        <v>57.208</v>
      </c>
      <c r="D540702" s="1" t="n">
        <v>10.96</v>
      </c>
    </row>
    <row r="540703" customFormat="false" ht="12" hidden="false" customHeight="true" outlineLevel="0" collapsed="false">
      <c r="B540703" s="1" t="n">
        <v>2023</v>
      </c>
      <c r="C540703" s="1" t="n">
        <v>61.689</v>
      </c>
      <c r="D540703" s="1" t="n">
        <v>7.832</v>
      </c>
    </row>
    <row r="540704" customFormat="false" ht="12" hidden="false" customHeight="true" outlineLevel="0" collapsed="false">
      <c r="B540704" s="1" t="n">
        <v>2024</v>
      </c>
      <c r="C540704" s="1" t="n">
        <v>67.505</v>
      </c>
      <c r="D540704" s="1" t="n">
        <v>9.429</v>
      </c>
    </row>
    <row r="540705" customFormat="false" ht="12" hidden="false" customHeight="true" outlineLevel="0" collapsed="false">
      <c r="B540705" s="1" t="n">
        <v>2025</v>
      </c>
      <c r="C540705" s="1" t="n">
        <v>71.54</v>
      </c>
      <c r="D540705" s="1" t="n">
        <v>5.977</v>
      </c>
    </row>
    <row r="540706" customFormat="false" ht="12" hidden="false" customHeight="true" outlineLevel="0" collapsed="false">
      <c r="B540706" s="1" t="n">
        <v>2026</v>
      </c>
      <c r="C540706" s="1" t="n">
        <v>75.117</v>
      </c>
      <c r="D540706" s="1" t="n">
        <v>5</v>
      </c>
    </row>
    <row r="540707" customFormat="false" ht="12" hidden="false" customHeight="true" outlineLevel="0" collapsed="false">
      <c r="B540707" s="1" t="n">
        <v>2027</v>
      </c>
      <c r="C540707" s="1" t="n">
        <v>78.873</v>
      </c>
      <c r="D540707" s="1" t="n">
        <v>5</v>
      </c>
    </row>
    <row r="540708" customFormat="false" ht="12" hidden="false" customHeight="true" outlineLevel="0" collapsed="false">
      <c r="B540708" s="1" t="s">
        <v>51</v>
      </c>
      <c r="C540708" s="1" t="n">
        <v>2024</v>
      </c>
      <c r="D540708" s="1" t="n">
        <v>2024</v>
      </c>
    </row>
    <row r="557057" customFormat="false" ht="12" hidden="false" customHeight="true" outlineLevel="0" collapsed="false">
      <c r="B557057" s="1" t="s">
        <v>35</v>
      </c>
      <c r="C557057" s="1" t="n">
        <v>915</v>
      </c>
      <c r="D557057" s="1" t="n">
        <v>915</v>
      </c>
    </row>
    <row r="557058" customFormat="false" ht="12" hidden="false" customHeight="true" outlineLevel="0" collapsed="false">
      <c r="B557058" s="1" t="s">
        <v>36</v>
      </c>
      <c r="C557058" s="1" t="s">
        <v>37</v>
      </c>
      <c r="D557058" s="1" t="s">
        <v>38</v>
      </c>
    </row>
    <row r="557059" customFormat="false" ht="12" hidden="false" customHeight="true" outlineLevel="0" collapsed="false">
      <c r="B557059" s="1" t="s">
        <v>39</v>
      </c>
      <c r="C557059" s="1" t="s">
        <v>40</v>
      </c>
      <c r="D557059" s="1" t="s">
        <v>40</v>
      </c>
    </row>
    <row r="557060" customFormat="false" ht="12" hidden="false" customHeight="true" outlineLevel="0" collapsed="false">
      <c r="B557060" s="1" t="s">
        <v>41</v>
      </c>
      <c r="C557060" s="1" t="s">
        <v>42</v>
      </c>
      <c r="D557060" s="1" t="s">
        <v>42</v>
      </c>
    </row>
    <row r="557061" customFormat="false" ht="12" hidden="false" customHeight="true" outlineLevel="0" collapsed="false">
      <c r="B557061" s="1" t="s">
        <v>43</v>
      </c>
      <c r="C557061" s="1" t="s">
        <v>44</v>
      </c>
      <c r="D557061" s="1" t="s">
        <v>45</v>
      </c>
    </row>
    <row r="557062" customFormat="false" ht="12" hidden="false" customHeight="true" outlineLevel="0" collapsed="false">
      <c r="B557062" s="1" t="s">
        <v>46</v>
      </c>
      <c r="C557062" s="1" t="s">
        <v>47</v>
      </c>
      <c r="D557062" s="1" t="s">
        <v>43</v>
      </c>
    </row>
    <row r="557063" customFormat="false" ht="12" hidden="false" customHeight="true" outlineLevel="0" collapsed="false">
      <c r="B557063" s="1" t="s">
        <v>48</v>
      </c>
      <c r="C557063" s="1" t="s">
        <v>49</v>
      </c>
      <c r="D557063" s="1" t="s">
        <v>50</v>
      </c>
    </row>
    <row r="557064" customFormat="false" ht="12" hidden="false" customHeight="true" outlineLevel="0" collapsed="false">
      <c r="B557064" s="1" t="n">
        <v>2000</v>
      </c>
      <c r="C557064" s="1" t="n">
        <v>16.963</v>
      </c>
      <c r="D557064" s="1" t="n">
        <v>1.865</v>
      </c>
    </row>
    <row r="557065" customFormat="false" ht="12" hidden="false" customHeight="true" outlineLevel="0" collapsed="false">
      <c r="B557065" s="1" t="n">
        <v>2001</v>
      </c>
      <c r="C557065" s="1" t="n">
        <v>17.772</v>
      </c>
      <c r="D557065" s="1" t="n">
        <v>4.769</v>
      </c>
    </row>
    <row r="557066" customFormat="false" ht="12" hidden="false" customHeight="true" outlineLevel="0" collapsed="false">
      <c r="B557066" s="1" t="n">
        <v>2002</v>
      </c>
      <c r="C557066" s="1" t="n">
        <v>18.747</v>
      </c>
      <c r="D557066" s="1" t="n">
        <v>5.487</v>
      </c>
    </row>
    <row r="557067" customFormat="false" ht="12" hidden="false" customHeight="true" outlineLevel="0" collapsed="false">
      <c r="B557067" s="1" t="n">
        <v>2003</v>
      </c>
      <c r="C557067" s="1" t="n">
        <v>20.852</v>
      </c>
      <c r="D557067" s="1" t="n">
        <v>11.228</v>
      </c>
    </row>
    <row r="557068" customFormat="false" ht="12" hidden="false" customHeight="true" outlineLevel="0" collapsed="false">
      <c r="B557068" s="1" t="n">
        <v>2004</v>
      </c>
      <c r="C557068" s="1" t="n">
        <v>22.061</v>
      </c>
      <c r="D557068" s="1" t="n">
        <v>5.796</v>
      </c>
    </row>
    <row r="557069" customFormat="false" ht="12" hidden="false" customHeight="true" outlineLevel="0" collapsed="false">
      <c r="B557069" s="1" t="n">
        <v>2005</v>
      </c>
      <c r="C557069" s="1" t="n">
        <v>24.176</v>
      </c>
      <c r="D557069" s="1" t="n">
        <v>9.588</v>
      </c>
    </row>
    <row r="557070" customFormat="false" ht="12" hidden="false" customHeight="true" outlineLevel="0" collapsed="false">
      <c r="B557070" s="1" t="n">
        <v>2006</v>
      </c>
      <c r="C557070" s="1" t="n">
        <v>26.454</v>
      </c>
      <c r="D557070" s="1" t="n">
        <v>9.42</v>
      </c>
    </row>
    <row r="557071" customFormat="false" ht="12" hidden="false" customHeight="true" outlineLevel="0" collapsed="false">
      <c r="B557071" s="1" t="n">
        <v>2007</v>
      </c>
      <c r="C557071" s="1" t="n">
        <v>29.781</v>
      </c>
      <c r="D557071" s="1" t="n">
        <v>12.579</v>
      </c>
    </row>
    <row r="557072" customFormat="false" ht="12" hidden="false" customHeight="true" outlineLevel="0" collapsed="false">
      <c r="B557072" s="1" t="n">
        <v>2008</v>
      </c>
      <c r="C557072" s="1" t="n">
        <v>30.502</v>
      </c>
      <c r="D557072" s="1" t="n">
        <v>2.419</v>
      </c>
    </row>
    <row r="557073" customFormat="false" ht="12" hidden="false" customHeight="true" outlineLevel="0" collapsed="false">
      <c r="B557073" s="1" t="n">
        <v>2009</v>
      </c>
      <c r="C557073" s="1" t="n">
        <v>29.388</v>
      </c>
      <c r="D557073" s="1" t="n">
        <v>-3.651</v>
      </c>
    </row>
    <row r="557074" customFormat="false" ht="12" hidden="false" customHeight="true" outlineLevel="0" collapsed="false">
      <c r="B557074" s="1" t="n">
        <v>2010</v>
      </c>
      <c r="C557074" s="1" t="n">
        <v>31.428</v>
      </c>
      <c r="D557074" s="1" t="n">
        <v>6.942</v>
      </c>
    </row>
    <row r="557075" customFormat="false" ht="12" hidden="false" customHeight="true" outlineLevel="0" collapsed="false">
      <c r="B557075" s="1" t="n">
        <v>2011</v>
      </c>
      <c r="C557075" s="1" t="n">
        <v>33.927</v>
      </c>
      <c r="D557075" s="1" t="n">
        <v>7.949</v>
      </c>
    </row>
    <row r="557076" customFormat="false" ht="12" hidden="false" customHeight="true" outlineLevel="0" collapsed="false">
      <c r="B557076" s="1" t="n">
        <v>2012</v>
      </c>
      <c r="C557076" s="1" t="n">
        <v>36.159</v>
      </c>
      <c r="D557076" s="1" t="n">
        <v>6.579</v>
      </c>
    </row>
    <row r="557077" customFormat="false" ht="12" hidden="false" customHeight="true" outlineLevel="0" collapsed="false">
      <c r="B557077" s="1" t="n">
        <v>2013</v>
      </c>
      <c r="C557077" s="1" t="n">
        <v>38.015</v>
      </c>
      <c r="D557077" s="1" t="n">
        <v>5.134</v>
      </c>
    </row>
    <row r="557078" customFormat="false" ht="12" hidden="false" customHeight="true" outlineLevel="0" collapsed="false">
      <c r="B557078" s="1" t="n">
        <v>2014</v>
      </c>
      <c r="C557078" s="1" t="n">
        <v>39.57</v>
      </c>
      <c r="D557078" s="1" t="n">
        <v>4.091</v>
      </c>
    </row>
    <row r="557079" customFormat="false" ht="12" hidden="false" customHeight="true" outlineLevel="0" collapsed="false">
      <c r="B557079" s="1" t="n">
        <v>2015</v>
      </c>
      <c r="C557079" s="1" t="n">
        <v>40.896</v>
      </c>
      <c r="D557079" s="1" t="n">
        <v>3.351</v>
      </c>
    </row>
    <row r="557080" customFormat="false" ht="12" hidden="false" customHeight="true" outlineLevel="0" collapsed="false">
      <c r="B557080" s="1" t="n">
        <v>2016</v>
      </c>
      <c r="C557080" s="1" t="n">
        <v>42.307</v>
      </c>
      <c r="D557080" s="1" t="n">
        <v>3.45</v>
      </c>
    </row>
    <row r="557081" customFormat="false" ht="12" hidden="false" customHeight="true" outlineLevel="0" collapsed="false">
      <c r="B557081" s="1" t="n">
        <v>2017</v>
      </c>
      <c r="C557081" s="1" t="n">
        <v>44.49</v>
      </c>
      <c r="D557081" s="1" t="n">
        <v>5.161</v>
      </c>
    </row>
    <row r="557082" customFormat="false" ht="12" hidden="false" customHeight="true" outlineLevel="0" collapsed="false">
      <c r="B557082" s="1" t="n">
        <v>2018</v>
      </c>
      <c r="C557082" s="1" t="n">
        <v>47.187</v>
      </c>
      <c r="D557082" s="1" t="n">
        <v>6.062</v>
      </c>
    </row>
    <row r="557083" customFormat="false" ht="12" hidden="false" customHeight="true" outlineLevel="0" collapsed="false">
      <c r="B557083" s="1" t="n">
        <v>2019</v>
      </c>
      <c r="C557083" s="1" t="n">
        <v>49.726</v>
      </c>
      <c r="D557083" s="1" t="n">
        <v>5.38</v>
      </c>
    </row>
    <row r="557084" customFormat="false" ht="12" hidden="false" customHeight="true" outlineLevel="0" collapsed="false">
      <c r="B557084" s="1" t="n">
        <v>2020</v>
      </c>
      <c r="C557084" s="1" t="n">
        <v>46.598</v>
      </c>
      <c r="D557084" s="1" t="n">
        <v>-6.291</v>
      </c>
    </row>
    <row r="557085" customFormat="false" ht="12" hidden="false" customHeight="true" outlineLevel="0" collapsed="false">
      <c r="B557085" s="1" t="n">
        <v>2021</v>
      </c>
      <c r="C557085" s="1" t="n">
        <v>51.558</v>
      </c>
      <c r="D557085" s="1" t="n">
        <v>10.644</v>
      </c>
    </row>
    <row r="557086" customFormat="false" ht="12" hidden="false" customHeight="true" outlineLevel="0" collapsed="false">
      <c r="B557086" s="1" t="n">
        <v>2022</v>
      </c>
      <c r="C557086" s="1" t="n">
        <v>57.208</v>
      </c>
      <c r="D557086" s="1" t="n">
        <v>10.96</v>
      </c>
    </row>
    <row r="557087" customFormat="false" ht="12" hidden="false" customHeight="true" outlineLevel="0" collapsed="false">
      <c r="B557087" s="1" t="n">
        <v>2023</v>
      </c>
      <c r="C557087" s="1" t="n">
        <v>61.689</v>
      </c>
      <c r="D557087" s="1" t="n">
        <v>7.832</v>
      </c>
    </row>
    <row r="557088" customFormat="false" ht="12" hidden="false" customHeight="true" outlineLevel="0" collapsed="false">
      <c r="B557088" s="1" t="n">
        <v>2024</v>
      </c>
      <c r="C557088" s="1" t="n">
        <v>67.505</v>
      </c>
      <c r="D557088" s="1" t="n">
        <v>9.429</v>
      </c>
    </row>
    <row r="557089" customFormat="false" ht="12" hidden="false" customHeight="true" outlineLevel="0" collapsed="false">
      <c r="B557089" s="1" t="n">
        <v>2025</v>
      </c>
      <c r="C557089" s="1" t="n">
        <v>71.54</v>
      </c>
      <c r="D557089" s="1" t="n">
        <v>5.977</v>
      </c>
    </row>
    <row r="557090" customFormat="false" ht="12" hidden="false" customHeight="true" outlineLevel="0" collapsed="false">
      <c r="B557090" s="1" t="n">
        <v>2026</v>
      </c>
      <c r="C557090" s="1" t="n">
        <v>75.117</v>
      </c>
      <c r="D557090" s="1" t="n">
        <v>5</v>
      </c>
    </row>
    <row r="557091" customFormat="false" ht="12" hidden="false" customHeight="true" outlineLevel="0" collapsed="false">
      <c r="B557091" s="1" t="n">
        <v>2027</v>
      </c>
      <c r="C557091" s="1" t="n">
        <v>78.873</v>
      </c>
      <c r="D557091" s="1" t="n">
        <v>5</v>
      </c>
    </row>
    <row r="557092" customFormat="false" ht="12" hidden="false" customHeight="true" outlineLevel="0" collapsed="false">
      <c r="B557092" s="1" t="s">
        <v>51</v>
      </c>
      <c r="C557092" s="1" t="n">
        <v>2024</v>
      </c>
      <c r="D557092" s="1" t="n">
        <v>2024</v>
      </c>
    </row>
    <row r="573441" customFormat="false" ht="12" hidden="false" customHeight="true" outlineLevel="0" collapsed="false">
      <c r="B573441" s="1" t="s">
        <v>35</v>
      </c>
      <c r="C573441" s="1" t="n">
        <v>915</v>
      </c>
      <c r="D573441" s="1" t="n">
        <v>915</v>
      </c>
    </row>
    <row r="573442" customFormat="false" ht="12" hidden="false" customHeight="true" outlineLevel="0" collapsed="false">
      <c r="B573442" s="1" t="s">
        <v>36</v>
      </c>
      <c r="C573442" s="1" t="s">
        <v>37</v>
      </c>
      <c r="D573442" s="1" t="s">
        <v>38</v>
      </c>
    </row>
    <row r="573443" customFormat="false" ht="12" hidden="false" customHeight="true" outlineLevel="0" collapsed="false">
      <c r="B573443" s="1" t="s">
        <v>39</v>
      </c>
      <c r="C573443" s="1" t="s">
        <v>40</v>
      </c>
      <c r="D573443" s="1" t="s">
        <v>40</v>
      </c>
    </row>
    <row r="573444" customFormat="false" ht="12" hidden="false" customHeight="true" outlineLevel="0" collapsed="false">
      <c r="B573444" s="1" t="s">
        <v>41</v>
      </c>
      <c r="C573444" s="1" t="s">
        <v>42</v>
      </c>
      <c r="D573444" s="1" t="s">
        <v>42</v>
      </c>
    </row>
    <row r="573445" customFormat="false" ht="12" hidden="false" customHeight="true" outlineLevel="0" collapsed="false">
      <c r="B573445" s="1" t="s">
        <v>43</v>
      </c>
      <c r="C573445" s="1" t="s">
        <v>44</v>
      </c>
      <c r="D573445" s="1" t="s">
        <v>45</v>
      </c>
    </row>
    <row r="573446" customFormat="false" ht="12" hidden="false" customHeight="true" outlineLevel="0" collapsed="false">
      <c r="B573446" s="1" t="s">
        <v>46</v>
      </c>
      <c r="C573446" s="1" t="s">
        <v>47</v>
      </c>
      <c r="D573446" s="1" t="s">
        <v>43</v>
      </c>
    </row>
    <row r="573447" customFormat="false" ht="12" hidden="false" customHeight="true" outlineLevel="0" collapsed="false">
      <c r="B573447" s="1" t="s">
        <v>48</v>
      </c>
      <c r="C573447" s="1" t="s">
        <v>49</v>
      </c>
      <c r="D573447" s="1" t="s">
        <v>50</v>
      </c>
    </row>
    <row r="573448" customFormat="false" ht="12" hidden="false" customHeight="true" outlineLevel="0" collapsed="false">
      <c r="B573448" s="1" t="n">
        <v>2000</v>
      </c>
      <c r="C573448" s="1" t="n">
        <v>16.963</v>
      </c>
      <c r="D573448" s="1" t="n">
        <v>1.865</v>
      </c>
    </row>
    <row r="573449" customFormat="false" ht="12" hidden="false" customHeight="true" outlineLevel="0" collapsed="false">
      <c r="B573449" s="1" t="n">
        <v>2001</v>
      </c>
      <c r="C573449" s="1" t="n">
        <v>17.772</v>
      </c>
      <c r="D573449" s="1" t="n">
        <v>4.769</v>
      </c>
    </row>
    <row r="573450" customFormat="false" ht="12" hidden="false" customHeight="true" outlineLevel="0" collapsed="false">
      <c r="B573450" s="1" t="n">
        <v>2002</v>
      </c>
      <c r="C573450" s="1" t="n">
        <v>18.747</v>
      </c>
      <c r="D573450" s="1" t="n">
        <v>5.487</v>
      </c>
    </row>
    <row r="573451" customFormat="false" ht="12" hidden="false" customHeight="true" outlineLevel="0" collapsed="false">
      <c r="B573451" s="1" t="n">
        <v>2003</v>
      </c>
      <c r="C573451" s="1" t="n">
        <v>20.852</v>
      </c>
      <c r="D573451" s="1" t="n">
        <v>11.228</v>
      </c>
    </row>
    <row r="573452" customFormat="false" ht="12" hidden="false" customHeight="true" outlineLevel="0" collapsed="false">
      <c r="B573452" s="1" t="n">
        <v>2004</v>
      </c>
      <c r="C573452" s="1" t="n">
        <v>22.061</v>
      </c>
      <c r="D573452" s="1" t="n">
        <v>5.796</v>
      </c>
    </row>
    <row r="573453" customFormat="false" ht="12" hidden="false" customHeight="true" outlineLevel="0" collapsed="false">
      <c r="B573453" s="1" t="n">
        <v>2005</v>
      </c>
      <c r="C573453" s="1" t="n">
        <v>24.176</v>
      </c>
      <c r="D573453" s="1" t="n">
        <v>9.588</v>
      </c>
    </row>
    <row r="573454" customFormat="false" ht="12" hidden="false" customHeight="true" outlineLevel="0" collapsed="false">
      <c r="B573454" s="1" t="n">
        <v>2006</v>
      </c>
      <c r="C573454" s="1" t="n">
        <v>26.454</v>
      </c>
      <c r="D573454" s="1" t="n">
        <v>9.42</v>
      </c>
    </row>
    <row r="573455" customFormat="false" ht="12" hidden="false" customHeight="true" outlineLevel="0" collapsed="false">
      <c r="B573455" s="1" t="n">
        <v>2007</v>
      </c>
      <c r="C573455" s="1" t="n">
        <v>29.781</v>
      </c>
      <c r="D573455" s="1" t="n">
        <v>12.579</v>
      </c>
    </row>
    <row r="573456" customFormat="false" ht="12" hidden="false" customHeight="true" outlineLevel="0" collapsed="false">
      <c r="B573456" s="1" t="n">
        <v>2008</v>
      </c>
      <c r="C573456" s="1" t="n">
        <v>30.502</v>
      </c>
      <c r="D573456" s="1" t="n">
        <v>2.419</v>
      </c>
    </row>
    <row r="573457" customFormat="false" ht="12" hidden="false" customHeight="true" outlineLevel="0" collapsed="false">
      <c r="B573457" s="1" t="n">
        <v>2009</v>
      </c>
      <c r="C573457" s="1" t="n">
        <v>29.388</v>
      </c>
      <c r="D573457" s="1" t="n">
        <v>-3.651</v>
      </c>
    </row>
    <row r="573458" customFormat="false" ht="12" hidden="false" customHeight="true" outlineLevel="0" collapsed="false">
      <c r="B573458" s="1" t="n">
        <v>2010</v>
      </c>
      <c r="C573458" s="1" t="n">
        <v>31.428</v>
      </c>
      <c r="D573458" s="1" t="n">
        <v>6.942</v>
      </c>
    </row>
    <row r="573459" customFormat="false" ht="12" hidden="false" customHeight="true" outlineLevel="0" collapsed="false">
      <c r="B573459" s="1" t="n">
        <v>2011</v>
      </c>
      <c r="C573459" s="1" t="n">
        <v>33.927</v>
      </c>
      <c r="D573459" s="1" t="n">
        <v>7.949</v>
      </c>
    </row>
    <row r="573460" customFormat="false" ht="12" hidden="false" customHeight="true" outlineLevel="0" collapsed="false">
      <c r="B573460" s="1" t="n">
        <v>2012</v>
      </c>
      <c r="C573460" s="1" t="n">
        <v>36.159</v>
      </c>
      <c r="D573460" s="1" t="n">
        <v>6.579</v>
      </c>
    </row>
    <row r="573461" customFormat="false" ht="12" hidden="false" customHeight="true" outlineLevel="0" collapsed="false">
      <c r="B573461" s="1" t="n">
        <v>2013</v>
      </c>
      <c r="C573461" s="1" t="n">
        <v>38.015</v>
      </c>
      <c r="D573461" s="1" t="n">
        <v>5.134</v>
      </c>
    </row>
    <row r="573462" customFormat="false" ht="12" hidden="false" customHeight="true" outlineLevel="0" collapsed="false">
      <c r="B573462" s="1" t="n">
        <v>2014</v>
      </c>
      <c r="C573462" s="1" t="n">
        <v>39.57</v>
      </c>
      <c r="D573462" s="1" t="n">
        <v>4.091</v>
      </c>
    </row>
    <row r="573463" customFormat="false" ht="12" hidden="false" customHeight="true" outlineLevel="0" collapsed="false">
      <c r="B573463" s="1" t="n">
        <v>2015</v>
      </c>
      <c r="C573463" s="1" t="n">
        <v>40.896</v>
      </c>
      <c r="D573463" s="1" t="n">
        <v>3.351</v>
      </c>
    </row>
    <row r="573464" customFormat="false" ht="12" hidden="false" customHeight="true" outlineLevel="0" collapsed="false">
      <c r="B573464" s="1" t="n">
        <v>2016</v>
      </c>
      <c r="C573464" s="1" t="n">
        <v>42.307</v>
      </c>
      <c r="D573464" s="1" t="n">
        <v>3.45</v>
      </c>
    </row>
    <row r="573465" customFormat="false" ht="12" hidden="false" customHeight="true" outlineLevel="0" collapsed="false">
      <c r="B573465" s="1" t="n">
        <v>2017</v>
      </c>
      <c r="C573465" s="1" t="n">
        <v>44.49</v>
      </c>
      <c r="D573465" s="1" t="n">
        <v>5.161</v>
      </c>
    </row>
    <row r="573466" customFormat="false" ht="12" hidden="false" customHeight="true" outlineLevel="0" collapsed="false">
      <c r="B573466" s="1" t="n">
        <v>2018</v>
      </c>
      <c r="C573466" s="1" t="n">
        <v>47.187</v>
      </c>
      <c r="D573466" s="1" t="n">
        <v>6.062</v>
      </c>
    </row>
    <row r="573467" customFormat="false" ht="12" hidden="false" customHeight="true" outlineLevel="0" collapsed="false">
      <c r="B573467" s="1" t="n">
        <v>2019</v>
      </c>
      <c r="C573467" s="1" t="n">
        <v>49.726</v>
      </c>
      <c r="D573467" s="1" t="n">
        <v>5.38</v>
      </c>
    </row>
    <row r="573468" customFormat="false" ht="12" hidden="false" customHeight="true" outlineLevel="0" collapsed="false">
      <c r="B573468" s="1" t="n">
        <v>2020</v>
      </c>
      <c r="C573468" s="1" t="n">
        <v>46.598</v>
      </c>
      <c r="D573468" s="1" t="n">
        <v>-6.291</v>
      </c>
    </row>
    <row r="573469" customFormat="false" ht="12" hidden="false" customHeight="true" outlineLevel="0" collapsed="false">
      <c r="B573469" s="1" t="n">
        <v>2021</v>
      </c>
      <c r="C573469" s="1" t="n">
        <v>51.558</v>
      </c>
      <c r="D573469" s="1" t="n">
        <v>10.644</v>
      </c>
    </row>
    <row r="573470" customFormat="false" ht="12" hidden="false" customHeight="true" outlineLevel="0" collapsed="false">
      <c r="B573470" s="1" t="n">
        <v>2022</v>
      </c>
      <c r="C573470" s="1" t="n">
        <v>57.208</v>
      </c>
      <c r="D573470" s="1" t="n">
        <v>10.96</v>
      </c>
    </row>
    <row r="573471" customFormat="false" ht="12" hidden="false" customHeight="true" outlineLevel="0" collapsed="false">
      <c r="B573471" s="1" t="n">
        <v>2023</v>
      </c>
      <c r="C573471" s="1" t="n">
        <v>61.689</v>
      </c>
      <c r="D573471" s="1" t="n">
        <v>7.832</v>
      </c>
    </row>
    <row r="573472" customFormat="false" ht="12" hidden="false" customHeight="true" outlineLevel="0" collapsed="false">
      <c r="B573472" s="1" t="n">
        <v>2024</v>
      </c>
      <c r="C573472" s="1" t="n">
        <v>67.505</v>
      </c>
      <c r="D573472" s="1" t="n">
        <v>9.429</v>
      </c>
    </row>
    <row r="573473" customFormat="false" ht="12" hidden="false" customHeight="true" outlineLevel="0" collapsed="false">
      <c r="B573473" s="1" t="n">
        <v>2025</v>
      </c>
      <c r="C573473" s="1" t="n">
        <v>71.54</v>
      </c>
      <c r="D573473" s="1" t="n">
        <v>5.977</v>
      </c>
    </row>
    <row r="573474" customFormat="false" ht="12" hidden="false" customHeight="true" outlineLevel="0" collapsed="false">
      <c r="B573474" s="1" t="n">
        <v>2026</v>
      </c>
      <c r="C573474" s="1" t="n">
        <v>75.117</v>
      </c>
      <c r="D573474" s="1" t="n">
        <v>5</v>
      </c>
    </row>
    <row r="573475" customFormat="false" ht="12" hidden="false" customHeight="true" outlineLevel="0" collapsed="false">
      <c r="B573475" s="1" t="n">
        <v>2027</v>
      </c>
      <c r="C573475" s="1" t="n">
        <v>78.873</v>
      </c>
      <c r="D573475" s="1" t="n">
        <v>5</v>
      </c>
    </row>
    <row r="573476" customFormat="false" ht="12" hidden="false" customHeight="true" outlineLevel="0" collapsed="false">
      <c r="B573476" s="1" t="s">
        <v>51</v>
      </c>
      <c r="C573476" s="1" t="n">
        <v>2024</v>
      </c>
      <c r="D573476" s="1" t="n">
        <v>2024</v>
      </c>
    </row>
    <row r="589825" customFormat="false" ht="12" hidden="false" customHeight="true" outlineLevel="0" collapsed="false">
      <c r="B589825" s="1" t="s">
        <v>35</v>
      </c>
      <c r="C589825" s="1" t="n">
        <v>915</v>
      </c>
      <c r="D589825" s="1" t="n">
        <v>915</v>
      </c>
    </row>
    <row r="589826" customFormat="false" ht="12" hidden="false" customHeight="true" outlineLevel="0" collapsed="false">
      <c r="B589826" s="1" t="s">
        <v>36</v>
      </c>
      <c r="C589826" s="1" t="s">
        <v>37</v>
      </c>
      <c r="D589826" s="1" t="s">
        <v>38</v>
      </c>
    </row>
    <row r="589827" customFormat="false" ht="12" hidden="false" customHeight="true" outlineLevel="0" collapsed="false">
      <c r="B589827" s="1" t="s">
        <v>39</v>
      </c>
      <c r="C589827" s="1" t="s">
        <v>40</v>
      </c>
      <c r="D589827" s="1" t="s">
        <v>40</v>
      </c>
    </row>
    <row r="589828" customFormat="false" ht="12" hidden="false" customHeight="true" outlineLevel="0" collapsed="false">
      <c r="B589828" s="1" t="s">
        <v>41</v>
      </c>
      <c r="C589828" s="1" t="s">
        <v>42</v>
      </c>
      <c r="D589828" s="1" t="s">
        <v>42</v>
      </c>
    </row>
    <row r="589829" customFormat="false" ht="12" hidden="false" customHeight="true" outlineLevel="0" collapsed="false">
      <c r="B589829" s="1" t="s">
        <v>43</v>
      </c>
      <c r="C589829" s="1" t="s">
        <v>44</v>
      </c>
      <c r="D589829" s="1" t="s">
        <v>45</v>
      </c>
    </row>
    <row r="589830" customFormat="false" ht="12" hidden="false" customHeight="true" outlineLevel="0" collapsed="false">
      <c r="B589830" s="1" t="s">
        <v>46</v>
      </c>
      <c r="C589830" s="1" t="s">
        <v>47</v>
      </c>
      <c r="D589830" s="1" t="s">
        <v>43</v>
      </c>
    </row>
    <row r="589831" customFormat="false" ht="12" hidden="false" customHeight="true" outlineLevel="0" collapsed="false">
      <c r="B589831" s="1" t="s">
        <v>48</v>
      </c>
      <c r="C589831" s="1" t="s">
        <v>49</v>
      </c>
      <c r="D589831" s="1" t="s">
        <v>50</v>
      </c>
    </row>
    <row r="589832" customFormat="false" ht="12" hidden="false" customHeight="true" outlineLevel="0" collapsed="false">
      <c r="B589832" s="1" t="n">
        <v>2000</v>
      </c>
      <c r="C589832" s="1" t="n">
        <v>16.963</v>
      </c>
      <c r="D589832" s="1" t="n">
        <v>1.865</v>
      </c>
    </row>
    <row r="589833" customFormat="false" ht="12" hidden="false" customHeight="true" outlineLevel="0" collapsed="false">
      <c r="B589833" s="1" t="n">
        <v>2001</v>
      </c>
      <c r="C589833" s="1" t="n">
        <v>17.772</v>
      </c>
      <c r="D589833" s="1" t="n">
        <v>4.769</v>
      </c>
    </row>
    <row r="589834" customFormat="false" ht="12" hidden="false" customHeight="true" outlineLevel="0" collapsed="false">
      <c r="B589834" s="1" t="n">
        <v>2002</v>
      </c>
      <c r="C589834" s="1" t="n">
        <v>18.747</v>
      </c>
      <c r="D589834" s="1" t="n">
        <v>5.487</v>
      </c>
    </row>
    <row r="589835" customFormat="false" ht="12" hidden="false" customHeight="true" outlineLevel="0" collapsed="false">
      <c r="B589835" s="1" t="n">
        <v>2003</v>
      </c>
      <c r="C589835" s="1" t="n">
        <v>20.852</v>
      </c>
      <c r="D589835" s="1" t="n">
        <v>11.228</v>
      </c>
    </row>
    <row r="589836" customFormat="false" ht="12" hidden="false" customHeight="true" outlineLevel="0" collapsed="false">
      <c r="B589836" s="1" t="n">
        <v>2004</v>
      </c>
      <c r="C589836" s="1" t="n">
        <v>22.061</v>
      </c>
      <c r="D589836" s="1" t="n">
        <v>5.796</v>
      </c>
    </row>
    <row r="589837" customFormat="false" ht="12" hidden="false" customHeight="true" outlineLevel="0" collapsed="false">
      <c r="B589837" s="1" t="n">
        <v>2005</v>
      </c>
      <c r="C589837" s="1" t="n">
        <v>24.176</v>
      </c>
      <c r="D589837" s="1" t="n">
        <v>9.588</v>
      </c>
    </row>
    <row r="589838" customFormat="false" ht="12" hidden="false" customHeight="true" outlineLevel="0" collapsed="false">
      <c r="B589838" s="1" t="n">
        <v>2006</v>
      </c>
      <c r="C589838" s="1" t="n">
        <v>26.454</v>
      </c>
      <c r="D589838" s="1" t="n">
        <v>9.42</v>
      </c>
    </row>
    <row r="589839" customFormat="false" ht="12" hidden="false" customHeight="true" outlineLevel="0" collapsed="false">
      <c r="B589839" s="1" t="n">
        <v>2007</v>
      </c>
      <c r="C589839" s="1" t="n">
        <v>29.781</v>
      </c>
      <c r="D589839" s="1" t="n">
        <v>12.579</v>
      </c>
    </row>
    <row r="589840" customFormat="false" ht="12" hidden="false" customHeight="true" outlineLevel="0" collapsed="false">
      <c r="B589840" s="1" t="n">
        <v>2008</v>
      </c>
      <c r="C589840" s="1" t="n">
        <v>30.502</v>
      </c>
      <c r="D589840" s="1" t="n">
        <v>2.419</v>
      </c>
    </row>
    <row r="589841" customFormat="false" ht="12" hidden="false" customHeight="true" outlineLevel="0" collapsed="false">
      <c r="B589841" s="1" t="n">
        <v>2009</v>
      </c>
      <c r="C589841" s="1" t="n">
        <v>29.388</v>
      </c>
      <c r="D589841" s="1" t="n">
        <v>-3.651</v>
      </c>
    </row>
    <row r="589842" customFormat="false" ht="12" hidden="false" customHeight="true" outlineLevel="0" collapsed="false">
      <c r="B589842" s="1" t="n">
        <v>2010</v>
      </c>
      <c r="C589842" s="1" t="n">
        <v>31.428</v>
      </c>
      <c r="D589842" s="1" t="n">
        <v>6.942</v>
      </c>
    </row>
    <row r="589843" customFormat="false" ht="12" hidden="false" customHeight="true" outlineLevel="0" collapsed="false">
      <c r="B589843" s="1" t="n">
        <v>2011</v>
      </c>
      <c r="C589843" s="1" t="n">
        <v>33.927</v>
      </c>
      <c r="D589843" s="1" t="n">
        <v>7.949</v>
      </c>
    </row>
    <row r="589844" customFormat="false" ht="12" hidden="false" customHeight="true" outlineLevel="0" collapsed="false">
      <c r="B589844" s="1" t="n">
        <v>2012</v>
      </c>
      <c r="C589844" s="1" t="n">
        <v>36.159</v>
      </c>
      <c r="D589844" s="1" t="n">
        <v>6.579</v>
      </c>
    </row>
    <row r="589845" customFormat="false" ht="12" hidden="false" customHeight="true" outlineLevel="0" collapsed="false">
      <c r="B589845" s="1" t="n">
        <v>2013</v>
      </c>
      <c r="C589845" s="1" t="n">
        <v>38.015</v>
      </c>
      <c r="D589845" s="1" t="n">
        <v>5.134</v>
      </c>
    </row>
    <row r="589846" customFormat="false" ht="12" hidden="false" customHeight="true" outlineLevel="0" collapsed="false">
      <c r="B589846" s="1" t="n">
        <v>2014</v>
      </c>
      <c r="C589846" s="1" t="n">
        <v>39.57</v>
      </c>
      <c r="D589846" s="1" t="n">
        <v>4.091</v>
      </c>
    </row>
    <row r="589847" customFormat="false" ht="12" hidden="false" customHeight="true" outlineLevel="0" collapsed="false">
      <c r="B589847" s="1" t="n">
        <v>2015</v>
      </c>
      <c r="C589847" s="1" t="n">
        <v>40.896</v>
      </c>
      <c r="D589847" s="1" t="n">
        <v>3.351</v>
      </c>
    </row>
    <row r="589848" customFormat="false" ht="12" hidden="false" customHeight="true" outlineLevel="0" collapsed="false">
      <c r="B589848" s="1" t="n">
        <v>2016</v>
      </c>
      <c r="C589848" s="1" t="n">
        <v>42.307</v>
      </c>
      <c r="D589848" s="1" t="n">
        <v>3.45</v>
      </c>
    </row>
    <row r="589849" customFormat="false" ht="12" hidden="false" customHeight="true" outlineLevel="0" collapsed="false">
      <c r="B589849" s="1" t="n">
        <v>2017</v>
      </c>
      <c r="C589849" s="1" t="n">
        <v>44.49</v>
      </c>
      <c r="D589849" s="1" t="n">
        <v>5.161</v>
      </c>
    </row>
    <row r="589850" customFormat="false" ht="12" hidden="false" customHeight="true" outlineLevel="0" collapsed="false">
      <c r="B589850" s="1" t="n">
        <v>2018</v>
      </c>
      <c r="C589850" s="1" t="n">
        <v>47.187</v>
      </c>
      <c r="D589850" s="1" t="n">
        <v>6.062</v>
      </c>
    </row>
    <row r="589851" customFormat="false" ht="12" hidden="false" customHeight="true" outlineLevel="0" collapsed="false">
      <c r="B589851" s="1" t="n">
        <v>2019</v>
      </c>
      <c r="C589851" s="1" t="n">
        <v>49.726</v>
      </c>
      <c r="D589851" s="1" t="n">
        <v>5.38</v>
      </c>
    </row>
    <row r="589852" customFormat="false" ht="12" hidden="false" customHeight="true" outlineLevel="0" collapsed="false">
      <c r="B589852" s="1" t="n">
        <v>2020</v>
      </c>
      <c r="C589852" s="1" t="n">
        <v>46.598</v>
      </c>
      <c r="D589852" s="1" t="n">
        <v>-6.291</v>
      </c>
    </row>
    <row r="589853" customFormat="false" ht="12" hidden="false" customHeight="true" outlineLevel="0" collapsed="false">
      <c r="B589853" s="1" t="n">
        <v>2021</v>
      </c>
      <c r="C589853" s="1" t="n">
        <v>51.558</v>
      </c>
      <c r="D589853" s="1" t="n">
        <v>10.644</v>
      </c>
    </row>
    <row r="589854" customFormat="false" ht="12" hidden="false" customHeight="true" outlineLevel="0" collapsed="false">
      <c r="B589854" s="1" t="n">
        <v>2022</v>
      </c>
      <c r="C589854" s="1" t="n">
        <v>57.208</v>
      </c>
      <c r="D589854" s="1" t="n">
        <v>10.96</v>
      </c>
    </row>
    <row r="589855" customFormat="false" ht="12" hidden="false" customHeight="true" outlineLevel="0" collapsed="false">
      <c r="B589855" s="1" t="n">
        <v>2023</v>
      </c>
      <c r="C589855" s="1" t="n">
        <v>61.689</v>
      </c>
      <c r="D589855" s="1" t="n">
        <v>7.832</v>
      </c>
    </row>
    <row r="589856" customFormat="false" ht="12" hidden="false" customHeight="true" outlineLevel="0" collapsed="false">
      <c r="B589856" s="1" t="n">
        <v>2024</v>
      </c>
      <c r="C589856" s="1" t="n">
        <v>67.505</v>
      </c>
      <c r="D589856" s="1" t="n">
        <v>9.429</v>
      </c>
    </row>
    <row r="589857" customFormat="false" ht="12" hidden="false" customHeight="true" outlineLevel="0" collapsed="false">
      <c r="B589857" s="1" t="n">
        <v>2025</v>
      </c>
      <c r="C589857" s="1" t="n">
        <v>71.54</v>
      </c>
      <c r="D589857" s="1" t="n">
        <v>5.977</v>
      </c>
    </row>
    <row r="589858" customFormat="false" ht="12" hidden="false" customHeight="true" outlineLevel="0" collapsed="false">
      <c r="B589858" s="1" t="n">
        <v>2026</v>
      </c>
      <c r="C589858" s="1" t="n">
        <v>75.117</v>
      </c>
      <c r="D589858" s="1" t="n">
        <v>5</v>
      </c>
    </row>
    <row r="589859" customFormat="false" ht="12" hidden="false" customHeight="true" outlineLevel="0" collapsed="false">
      <c r="B589859" s="1" t="n">
        <v>2027</v>
      </c>
      <c r="C589859" s="1" t="n">
        <v>78.873</v>
      </c>
      <c r="D589859" s="1" t="n">
        <v>5</v>
      </c>
    </row>
    <row r="589860" customFormat="false" ht="12" hidden="false" customHeight="true" outlineLevel="0" collapsed="false">
      <c r="B589860" s="1" t="s">
        <v>51</v>
      </c>
      <c r="C589860" s="1" t="n">
        <v>2024</v>
      </c>
      <c r="D589860" s="1" t="n">
        <v>2024</v>
      </c>
    </row>
    <row r="606209" customFormat="false" ht="12" hidden="false" customHeight="true" outlineLevel="0" collapsed="false">
      <c r="B606209" s="1" t="s">
        <v>35</v>
      </c>
      <c r="C606209" s="1" t="n">
        <v>915</v>
      </c>
      <c r="D606209" s="1" t="n">
        <v>915</v>
      </c>
    </row>
    <row r="606210" customFormat="false" ht="12" hidden="false" customHeight="true" outlineLevel="0" collapsed="false">
      <c r="B606210" s="1" t="s">
        <v>36</v>
      </c>
      <c r="C606210" s="1" t="s">
        <v>37</v>
      </c>
      <c r="D606210" s="1" t="s">
        <v>38</v>
      </c>
    </row>
    <row r="606211" customFormat="false" ht="12" hidden="false" customHeight="true" outlineLevel="0" collapsed="false">
      <c r="B606211" s="1" t="s">
        <v>39</v>
      </c>
      <c r="C606211" s="1" t="s">
        <v>40</v>
      </c>
      <c r="D606211" s="1" t="s">
        <v>40</v>
      </c>
    </row>
    <row r="606212" customFormat="false" ht="12" hidden="false" customHeight="true" outlineLevel="0" collapsed="false">
      <c r="B606212" s="1" t="s">
        <v>41</v>
      </c>
      <c r="C606212" s="1" t="s">
        <v>42</v>
      </c>
      <c r="D606212" s="1" t="s">
        <v>42</v>
      </c>
    </row>
    <row r="606213" customFormat="false" ht="12" hidden="false" customHeight="true" outlineLevel="0" collapsed="false">
      <c r="B606213" s="1" t="s">
        <v>43</v>
      </c>
      <c r="C606213" s="1" t="s">
        <v>44</v>
      </c>
      <c r="D606213" s="1" t="s">
        <v>45</v>
      </c>
    </row>
    <row r="606214" customFormat="false" ht="12" hidden="false" customHeight="true" outlineLevel="0" collapsed="false">
      <c r="B606214" s="1" t="s">
        <v>46</v>
      </c>
      <c r="C606214" s="1" t="s">
        <v>47</v>
      </c>
      <c r="D606214" s="1" t="s">
        <v>43</v>
      </c>
    </row>
    <row r="606215" customFormat="false" ht="12" hidden="false" customHeight="true" outlineLevel="0" collapsed="false">
      <c r="B606215" s="1" t="s">
        <v>48</v>
      </c>
      <c r="C606215" s="1" t="s">
        <v>49</v>
      </c>
      <c r="D606215" s="1" t="s">
        <v>50</v>
      </c>
    </row>
    <row r="606216" customFormat="false" ht="12" hidden="false" customHeight="true" outlineLevel="0" collapsed="false">
      <c r="B606216" s="1" t="n">
        <v>2000</v>
      </c>
      <c r="C606216" s="1" t="n">
        <v>16.963</v>
      </c>
      <c r="D606216" s="1" t="n">
        <v>1.865</v>
      </c>
    </row>
    <row r="606217" customFormat="false" ht="12" hidden="false" customHeight="true" outlineLevel="0" collapsed="false">
      <c r="B606217" s="1" t="n">
        <v>2001</v>
      </c>
      <c r="C606217" s="1" t="n">
        <v>17.772</v>
      </c>
      <c r="D606217" s="1" t="n">
        <v>4.769</v>
      </c>
    </row>
    <row r="606218" customFormat="false" ht="12" hidden="false" customHeight="true" outlineLevel="0" collapsed="false">
      <c r="B606218" s="1" t="n">
        <v>2002</v>
      </c>
      <c r="C606218" s="1" t="n">
        <v>18.747</v>
      </c>
      <c r="D606218" s="1" t="n">
        <v>5.487</v>
      </c>
    </row>
    <row r="606219" customFormat="false" ht="12" hidden="false" customHeight="true" outlineLevel="0" collapsed="false">
      <c r="B606219" s="1" t="n">
        <v>2003</v>
      </c>
      <c r="C606219" s="1" t="n">
        <v>20.852</v>
      </c>
      <c r="D606219" s="1" t="n">
        <v>11.228</v>
      </c>
    </row>
    <row r="606220" customFormat="false" ht="12" hidden="false" customHeight="true" outlineLevel="0" collapsed="false">
      <c r="B606220" s="1" t="n">
        <v>2004</v>
      </c>
      <c r="C606220" s="1" t="n">
        <v>22.061</v>
      </c>
      <c r="D606220" s="1" t="n">
        <v>5.796</v>
      </c>
    </row>
    <row r="606221" customFormat="false" ht="12" hidden="false" customHeight="true" outlineLevel="0" collapsed="false">
      <c r="B606221" s="1" t="n">
        <v>2005</v>
      </c>
      <c r="C606221" s="1" t="n">
        <v>24.176</v>
      </c>
      <c r="D606221" s="1" t="n">
        <v>9.588</v>
      </c>
    </row>
    <row r="606222" customFormat="false" ht="12" hidden="false" customHeight="true" outlineLevel="0" collapsed="false">
      <c r="B606222" s="1" t="n">
        <v>2006</v>
      </c>
      <c r="C606222" s="1" t="n">
        <v>26.454</v>
      </c>
      <c r="D606222" s="1" t="n">
        <v>9.42</v>
      </c>
    </row>
    <row r="606223" customFormat="false" ht="12" hidden="false" customHeight="true" outlineLevel="0" collapsed="false">
      <c r="B606223" s="1" t="n">
        <v>2007</v>
      </c>
      <c r="C606223" s="1" t="n">
        <v>29.781</v>
      </c>
      <c r="D606223" s="1" t="n">
        <v>12.579</v>
      </c>
    </row>
    <row r="606224" customFormat="false" ht="12" hidden="false" customHeight="true" outlineLevel="0" collapsed="false">
      <c r="B606224" s="1" t="n">
        <v>2008</v>
      </c>
      <c r="C606224" s="1" t="n">
        <v>30.502</v>
      </c>
      <c r="D606224" s="1" t="n">
        <v>2.419</v>
      </c>
    </row>
    <row r="606225" customFormat="false" ht="12" hidden="false" customHeight="true" outlineLevel="0" collapsed="false">
      <c r="B606225" s="1" t="n">
        <v>2009</v>
      </c>
      <c r="C606225" s="1" t="n">
        <v>29.388</v>
      </c>
      <c r="D606225" s="1" t="n">
        <v>-3.651</v>
      </c>
    </row>
    <row r="606226" customFormat="false" ht="12" hidden="false" customHeight="true" outlineLevel="0" collapsed="false">
      <c r="B606226" s="1" t="n">
        <v>2010</v>
      </c>
      <c r="C606226" s="1" t="n">
        <v>31.428</v>
      </c>
      <c r="D606226" s="1" t="n">
        <v>6.942</v>
      </c>
    </row>
    <row r="606227" customFormat="false" ht="12" hidden="false" customHeight="true" outlineLevel="0" collapsed="false">
      <c r="B606227" s="1" t="n">
        <v>2011</v>
      </c>
      <c r="C606227" s="1" t="n">
        <v>33.927</v>
      </c>
      <c r="D606227" s="1" t="n">
        <v>7.949</v>
      </c>
    </row>
    <row r="606228" customFormat="false" ht="12" hidden="false" customHeight="true" outlineLevel="0" collapsed="false">
      <c r="B606228" s="1" t="n">
        <v>2012</v>
      </c>
      <c r="C606228" s="1" t="n">
        <v>36.159</v>
      </c>
      <c r="D606228" s="1" t="n">
        <v>6.579</v>
      </c>
    </row>
    <row r="606229" customFormat="false" ht="12" hidden="false" customHeight="true" outlineLevel="0" collapsed="false">
      <c r="B606229" s="1" t="n">
        <v>2013</v>
      </c>
      <c r="C606229" s="1" t="n">
        <v>38.015</v>
      </c>
      <c r="D606229" s="1" t="n">
        <v>5.134</v>
      </c>
    </row>
    <row r="606230" customFormat="false" ht="12" hidden="false" customHeight="true" outlineLevel="0" collapsed="false">
      <c r="B606230" s="1" t="n">
        <v>2014</v>
      </c>
      <c r="C606230" s="1" t="n">
        <v>39.57</v>
      </c>
      <c r="D606230" s="1" t="n">
        <v>4.091</v>
      </c>
    </row>
    <row r="606231" customFormat="false" ht="12" hidden="false" customHeight="true" outlineLevel="0" collapsed="false">
      <c r="B606231" s="1" t="n">
        <v>2015</v>
      </c>
      <c r="C606231" s="1" t="n">
        <v>40.896</v>
      </c>
      <c r="D606231" s="1" t="n">
        <v>3.351</v>
      </c>
    </row>
    <row r="606232" customFormat="false" ht="12" hidden="false" customHeight="true" outlineLevel="0" collapsed="false">
      <c r="B606232" s="1" t="n">
        <v>2016</v>
      </c>
      <c r="C606232" s="1" t="n">
        <v>42.307</v>
      </c>
      <c r="D606232" s="1" t="n">
        <v>3.45</v>
      </c>
    </row>
    <row r="606233" customFormat="false" ht="12" hidden="false" customHeight="true" outlineLevel="0" collapsed="false">
      <c r="B606233" s="1" t="n">
        <v>2017</v>
      </c>
      <c r="C606233" s="1" t="n">
        <v>44.49</v>
      </c>
      <c r="D606233" s="1" t="n">
        <v>5.161</v>
      </c>
    </row>
    <row r="606234" customFormat="false" ht="12" hidden="false" customHeight="true" outlineLevel="0" collapsed="false">
      <c r="B606234" s="1" t="n">
        <v>2018</v>
      </c>
      <c r="C606234" s="1" t="n">
        <v>47.187</v>
      </c>
      <c r="D606234" s="1" t="n">
        <v>6.062</v>
      </c>
    </row>
    <row r="606235" customFormat="false" ht="12" hidden="false" customHeight="true" outlineLevel="0" collapsed="false">
      <c r="B606235" s="1" t="n">
        <v>2019</v>
      </c>
      <c r="C606235" s="1" t="n">
        <v>49.726</v>
      </c>
      <c r="D606235" s="1" t="n">
        <v>5.38</v>
      </c>
    </row>
    <row r="606236" customFormat="false" ht="12" hidden="false" customHeight="true" outlineLevel="0" collapsed="false">
      <c r="B606236" s="1" t="n">
        <v>2020</v>
      </c>
      <c r="C606236" s="1" t="n">
        <v>46.598</v>
      </c>
      <c r="D606236" s="1" t="n">
        <v>-6.291</v>
      </c>
    </row>
    <row r="606237" customFormat="false" ht="12" hidden="false" customHeight="true" outlineLevel="0" collapsed="false">
      <c r="B606237" s="1" t="n">
        <v>2021</v>
      </c>
      <c r="C606237" s="1" t="n">
        <v>51.558</v>
      </c>
      <c r="D606237" s="1" t="n">
        <v>10.644</v>
      </c>
    </row>
    <row r="606238" customFormat="false" ht="12" hidden="false" customHeight="true" outlineLevel="0" collapsed="false">
      <c r="B606238" s="1" t="n">
        <v>2022</v>
      </c>
      <c r="C606238" s="1" t="n">
        <v>57.208</v>
      </c>
      <c r="D606238" s="1" t="n">
        <v>10.96</v>
      </c>
    </row>
    <row r="606239" customFormat="false" ht="12" hidden="false" customHeight="true" outlineLevel="0" collapsed="false">
      <c r="B606239" s="1" t="n">
        <v>2023</v>
      </c>
      <c r="C606239" s="1" t="n">
        <v>61.689</v>
      </c>
      <c r="D606239" s="1" t="n">
        <v>7.832</v>
      </c>
    </row>
    <row r="606240" customFormat="false" ht="12" hidden="false" customHeight="true" outlineLevel="0" collapsed="false">
      <c r="B606240" s="1" t="n">
        <v>2024</v>
      </c>
      <c r="C606240" s="1" t="n">
        <v>67.505</v>
      </c>
      <c r="D606240" s="1" t="n">
        <v>9.429</v>
      </c>
    </row>
    <row r="606241" customFormat="false" ht="12" hidden="false" customHeight="true" outlineLevel="0" collapsed="false">
      <c r="B606241" s="1" t="n">
        <v>2025</v>
      </c>
      <c r="C606241" s="1" t="n">
        <v>71.54</v>
      </c>
      <c r="D606241" s="1" t="n">
        <v>5.977</v>
      </c>
    </row>
    <row r="606242" customFormat="false" ht="12" hidden="false" customHeight="true" outlineLevel="0" collapsed="false">
      <c r="B606242" s="1" t="n">
        <v>2026</v>
      </c>
      <c r="C606242" s="1" t="n">
        <v>75.117</v>
      </c>
      <c r="D606242" s="1" t="n">
        <v>5</v>
      </c>
    </row>
    <row r="606243" customFormat="false" ht="12" hidden="false" customHeight="true" outlineLevel="0" collapsed="false">
      <c r="B606243" s="1" t="n">
        <v>2027</v>
      </c>
      <c r="C606243" s="1" t="n">
        <v>78.873</v>
      </c>
      <c r="D606243" s="1" t="n">
        <v>5</v>
      </c>
    </row>
    <row r="606244" customFormat="false" ht="12" hidden="false" customHeight="true" outlineLevel="0" collapsed="false">
      <c r="B606244" s="1" t="s">
        <v>51</v>
      </c>
      <c r="C606244" s="1" t="n">
        <v>2024</v>
      </c>
      <c r="D606244" s="1" t="n">
        <v>2024</v>
      </c>
    </row>
    <row r="622593" customFormat="false" ht="12" hidden="false" customHeight="true" outlineLevel="0" collapsed="false">
      <c r="B622593" s="1" t="s">
        <v>35</v>
      </c>
      <c r="C622593" s="1" t="n">
        <v>915</v>
      </c>
      <c r="D622593" s="1" t="n">
        <v>915</v>
      </c>
    </row>
    <row r="622594" customFormat="false" ht="12" hidden="false" customHeight="true" outlineLevel="0" collapsed="false">
      <c r="B622594" s="1" t="s">
        <v>36</v>
      </c>
      <c r="C622594" s="1" t="s">
        <v>37</v>
      </c>
      <c r="D622594" s="1" t="s">
        <v>38</v>
      </c>
    </row>
    <row r="622595" customFormat="false" ht="12" hidden="false" customHeight="true" outlineLevel="0" collapsed="false">
      <c r="B622595" s="1" t="s">
        <v>39</v>
      </c>
      <c r="C622595" s="1" t="s">
        <v>40</v>
      </c>
      <c r="D622595" s="1" t="s">
        <v>40</v>
      </c>
    </row>
    <row r="622596" customFormat="false" ht="12" hidden="false" customHeight="true" outlineLevel="0" collapsed="false">
      <c r="B622596" s="1" t="s">
        <v>41</v>
      </c>
      <c r="C622596" s="1" t="s">
        <v>42</v>
      </c>
      <c r="D622596" s="1" t="s">
        <v>42</v>
      </c>
    </row>
    <row r="622597" customFormat="false" ht="12" hidden="false" customHeight="true" outlineLevel="0" collapsed="false">
      <c r="B622597" s="1" t="s">
        <v>43</v>
      </c>
      <c r="C622597" s="1" t="s">
        <v>44</v>
      </c>
      <c r="D622597" s="1" t="s">
        <v>45</v>
      </c>
    </row>
    <row r="622598" customFormat="false" ht="12" hidden="false" customHeight="true" outlineLevel="0" collapsed="false">
      <c r="B622598" s="1" t="s">
        <v>46</v>
      </c>
      <c r="C622598" s="1" t="s">
        <v>47</v>
      </c>
      <c r="D622598" s="1" t="s">
        <v>43</v>
      </c>
    </row>
    <row r="622599" customFormat="false" ht="12" hidden="false" customHeight="true" outlineLevel="0" collapsed="false">
      <c r="B622599" s="1" t="s">
        <v>48</v>
      </c>
      <c r="C622599" s="1" t="s">
        <v>49</v>
      </c>
      <c r="D622599" s="1" t="s">
        <v>50</v>
      </c>
    </row>
    <row r="622600" customFormat="false" ht="12" hidden="false" customHeight="true" outlineLevel="0" collapsed="false">
      <c r="B622600" s="1" t="n">
        <v>2000</v>
      </c>
      <c r="C622600" s="1" t="n">
        <v>16.963</v>
      </c>
      <c r="D622600" s="1" t="n">
        <v>1.865</v>
      </c>
    </row>
    <row r="622601" customFormat="false" ht="12" hidden="false" customHeight="true" outlineLevel="0" collapsed="false">
      <c r="B622601" s="1" t="n">
        <v>2001</v>
      </c>
      <c r="C622601" s="1" t="n">
        <v>17.772</v>
      </c>
      <c r="D622601" s="1" t="n">
        <v>4.769</v>
      </c>
    </row>
    <row r="622602" customFormat="false" ht="12" hidden="false" customHeight="true" outlineLevel="0" collapsed="false">
      <c r="B622602" s="1" t="n">
        <v>2002</v>
      </c>
      <c r="C622602" s="1" t="n">
        <v>18.747</v>
      </c>
      <c r="D622602" s="1" t="n">
        <v>5.487</v>
      </c>
    </row>
    <row r="622603" customFormat="false" ht="12" hidden="false" customHeight="true" outlineLevel="0" collapsed="false">
      <c r="B622603" s="1" t="n">
        <v>2003</v>
      </c>
      <c r="C622603" s="1" t="n">
        <v>20.852</v>
      </c>
      <c r="D622603" s="1" t="n">
        <v>11.228</v>
      </c>
    </row>
    <row r="622604" customFormat="false" ht="12" hidden="false" customHeight="true" outlineLevel="0" collapsed="false">
      <c r="B622604" s="1" t="n">
        <v>2004</v>
      </c>
      <c r="C622604" s="1" t="n">
        <v>22.061</v>
      </c>
      <c r="D622604" s="1" t="n">
        <v>5.796</v>
      </c>
    </row>
    <row r="622605" customFormat="false" ht="12" hidden="false" customHeight="true" outlineLevel="0" collapsed="false">
      <c r="B622605" s="1" t="n">
        <v>2005</v>
      </c>
      <c r="C622605" s="1" t="n">
        <v>24.176</v>
      </c>
      <c r="D622605" s="1" t="n">
        <v>9.588</v>
      </c>
    </row>
    <row r="622606" customFormat="false" ht="12" hidden="false" customHeight="true" outlineLevel="0" collapsed="false">
      <c r="B622606" s="1" t="n">
        <v>2006</v>
      </c>
      <c r="C622606" s="1" t="n">
        <v>26.454</v>
      </c>
      <c r="D622606" s="1" t="n">
        <v>9.42</v>
      </c>
    </row>
    <row r="622607" customFormat="false" ht="12" hidden="false" customHeight="true" outlineLevel="0" collapsed="false">
      <c r="B622607" s="1" t="n">
        <v>2007</v>
      </c>
      <c r="C622607" s="1" t="n">
        <v>29.781</v>
      </c>
      <c r="D622607" s="1" t="n">
        <v>12.579</v>
      </c>
    </row>
    <row r="622608" customFormat="false" ht="12" hidden="false" customHeight="true" outlineLevel="0" collapsed="false">
      <c r="B622608" s="1" t="n">
        <v>2008</v>
      </c>
      <c r="C622608" s="1" t="n">
        <v>30.502</v>
      </c>
      <c r="D622608" s="1" t="n">
        <v>2.419</v>
      </c>
    </row>
    <row r="622609" customFormat="false" ht="12" hidden="false" customHeight="true" outlineLevel="0" collapsed="false">
      <c r="B622609" s="1" t="n">
        <v>2009</v>
      </c>
      <c r="C622609" s="1" t="n">
        <v>29.388</v>
      </c>
      <c r="D622609" s="1" t="n">
        <v>-3.651</v>
      </c>
    </row>
    <row r="622610" customFormat="false" ht="12" hidden="false" customHeight="true" outlineLevel="0" collapsed="false">
      <c r="B622610" s="1" t="n">
        <v>2010</v>
      </c>
      <c r="C622610" s="1" t="n">
        <v>31.428</v>
      </c>
      <c r="D622610" s="1" t="n">
        <v>6.942</v>
      </c>
    </row>
    <row r="622611" customFormat="false" ht="12" hidden="false" customHeight="true" outlineLevel="0" collapsed="false">
      <c r="B622611" s="1" t="n">
        <v>2011</v>
      </c>
      <c r="C622611" s="1" t="n">
        <v>33.927</v>
      </c>
      <c r="D622611" s="1" t="n">
        <v>7.949</v>
      </c>
    </row>
    <row r="622612" customFormat="false" ht="12" hidden="false" customHeight="true" outlineLevel="0" collapsed="false">
      <c r="B622612" s="1" t="n">
        <v>2012</v>
      </c>
      <c r="C622612" s="1" t="n">
        <v>36.159</v>
      </c>
      <c r="D622612" s="1" t="n">
        <v>6.579</v>
      </c>
    </row>
    <row r="622613" customFormat="false" ht="12" hidden="false" customHeight="true" outlineLevel="0" collapsed="false">
      <c r="B622613" s="1" t="n">
        <v>2013</v>
      </c>
      <c r="C622613" s="1" t="n">
        <v>38.015</v>
      </c>
      <c r="D622613" s="1" t="n">
        <v>5.134</v>
      </c>
    </row>
    <row r="622614" customFormat="false" ht="12" hidden="false" customHeight="true" outlineLevel="0" collapsed="false">
      <c r="B622614" s="1" t="n">
        <v>2014</v>
      </c>
      <c r="C622614" s="1" t="n">
        <v>39.57</v>
      </c>
      <c r="D622614" s="1" t="n">
        <v>4.091</v>
      </c>
    </row>
    <row r="622615" customFormat="false" ht="12" hidden="false" customHeight="true" outlineLevel="0" collapsed="false">
      <c r="B622615" s="1" t="n">
        <v>2015</v>
      </c>
      <c r="C622615" s="1" t="n">
        <v>40.896</v>
      </c>
      <c r="D622615" s="1" t="n">
        <v>3.351</v>
      </c>
    </row>
    <row r="622616" customFormat="false" ht="12" hidden="false" customHeight="true" outlineLevel="0" collapsed="false">
      <c r="B622616" s="1" t="n">
        <v>2016</v>
      </c>
      <c r="C622616" s="1" t="n">
        <v>42.307</v>
      </c>
      <c r="D622616" s="1" t="n">
        <v>3.45</v>
      </c>
    </row>
    <row r="622617" customFormat="false" ht="12" hidden="false" customHeight="true" outlineLevel="0" collapsed="false">
      <c r="B622617" s="1" t="n">
        <v>2017</v>
      </c>
      <c r="C622617" s="1" t="n">
        <v>44.49</v>
      </c>
      <c r="D622617" s="1" t="n">
        <v>5.161</v>
      </c>
    </row>
    <row r="622618" customFormat="false" ht="12" hidden="false" customHeight="true" outlineLevel="0" collapsed="false">
      <c r="B622618" s="1" t="n">
        <v>2018</v>
      </c>
      <c r="C622618" s="1" t="n">
        <v>47.187</v>
      </c>
      <c r="D622618" s="1" t="n">
        <v>6.062</v>
      </c>
    </row>
    <row r="622619" customFormat="false" ht="12" hidden="false" customHeight="true" outlineLevel="0" collapsed="false">
      <c r="B622619" s="1" t="n">
        <v>2019</v>
      </c>
      <c r="C622619" s="1" t="n">
        <v>49.726</v>
      </c>
      <c r="D622619" s="1" t="n">
        <v>5.38</v>
      </c>
    </row>
    <row r="622620" customFormat="false" ht="12" hidden="false" customHeight="true" outlineLevel="0" collapsed="false">
      <c r="B622620" s="1" t="n">
        <v>2020</v>
      </c>
      <c r="C622620" s="1" t="n">
        <v>46.598</v>
      </c>
      <c r="D622620" s="1" t="n">
        <v>-6.291</v>
      </c>
    </row>
    <row r="622621" customFormat="false" ht="12" hidden="false" customHeight="true" outlineLevel="0" collapsed="false">
      <c r="B622621" s="1" t="n">
        <v>2021</v>
      </c>
      <c r="C622621" s="1" t="n">
        <v>51.558</v>
      </c>
      <c r="D622621" s="1" t="n">
        <v>10.644</v>
      </c>
    </row>
    <row r="622622" customFormat="false" ht="12" hidden="false" customHeight="true" outlineLevel="0" collapsed="false">
      <c r="B622622" s="1" t="n">
        <v>2022</v>
      </c>
      <c r="C622622" s="1" t="n">
        <v>57.208</v>
      </c>
      <c r="D622622" s="1" t="n">
        <v>10.96</v>
      </c>
    </row>
    <row r="622623" customFormat="false" ht="12" hidden="false" customHeight="true" outlineLevel="0" collapsed="false">
      <c r="B622623" s="1" t="n">
        <v>2023</v>
      </c>
      <c r="C622623" s="1" t="n">
        <v>61.689</v>
      </c>
      <c r="D622623" s="1" t="n">
        <v>7.832</v>
      </c>
    </row>
    <row r="622624" customFormat="false" ht="12" hidden="false" customHeight="true" outlineLevel="0" collapsed="false">
      <c r="B622624" s="1" t="n">
        <v>2024</v>
      </c>
      <c r="C622624" s="1" t="n">
        <v>67.505</v>
      </c>
      <c r="D622624" s="1" t="n">
        <v>9.429</v>
      </c>
    </row>
    <row r="622625" customFormat="false" ht="12" hidden="false" customHeight="true" outlineLevel="0" collapsed="false">
      <c r="B622625" s="1" t="n">
        <v>2025</v>
      </c>
      <c r="C622625" s="1" t="n">
        <v>71.54</v>
      </c>
      <c r="D622625" s="1" t="n">
        <v>5.977</v>
      </c>
    </row>
    <row r="622626" customFormat="false" ht="12" hidden="false" customHeight="true" outlineLevel="0" collapsed="false">
      <c r="B622626" s="1" t="n">
        <v>2026</v>
      </c>
      <c r="C622626" s="1" t="n">
        <v>75.117</v>
      </c>
      <c r="D622626" s="1" t="n">
        <v>5</v>
      </c>
    </row>
    <row r="622627" customFormat="false" ht="12" hidden="false" customHeight="true" outlineLevel="0" collapsed="false">
      <c r="B622627" s="1" t="n">
        <v>2027</v>
      </c>
      <c r="C622627" s="1" t="n">
        <v>78.873</v>
      </c>
      <c r="D622627" s="1" t="n">
        <v>5</v>
      </c>
    </row>
    <row r="622628" customFormat="false" ht="12" hidden="false" customHeight="true" outlineLevel="0" collapsed="false">
      <c r="B622628" s="1" t="s">
        <v>51</v>
      </c>
      <c r="C622628" s="1" t="n">
        <v>2024</v>
      </c>
      <c r="D622628" s="1" t="n">
        <v>2024</v>
      </c>
    </row>
    <row r="638977" customFormat="false" ht="12" hidden="false" customHeight="true" outlineLevel="0" collapsed="false">
      <c r="B638977" s="1" t="s">
        <v>35</v>
      </c>
      <c r="C638977" s="1" t="n">
        <v>915</v>
      </c>
      <c r="D638977" s="1" t="n">
        <v>915</v>
      </c>
    </row>
    <row r="638978" customFormat="false" ht="12" hidden="false" customHeight="true" outlineLevel="0" collapsed="false">
      <c r="B638978" s="1" t="s">
        <v>36</v>
      </c>
      <c r="C638978" s="1" t="s">
        <v>37</v>
      </c>
      <c r="D638978" s="1" t="s">
        <v>38</v>
      </c>
    </row>
    <row r="638979" customFormat="false" ht="12" hidden="false" customHeight="true" outlineLevel="0" collapsed="false">
      <c r="B638979" s="1" t="s">
        <v>39</v>
      </c>
      <c r="C638979" s="1" t="s">
        <v>40</v>
      </c>
      <c r="D638979" s="1" t="s">
        <v>40</v>
      </c>
    </row>
    <row r="638980" customFormat="false" ht="12" hidden="false" customHeight="true" outlineLevel="0" collapsed="false">
      <c r="B638980" s="1" t="s">
        <v>41</v>
      </c>
      <c r="C638980" s="1" t="s">
        <v>42</v>
      </c>
      <c r="D638980" s="1" t="s">
        <v>42</v>
      </c>
    </row>
    <row r="638981" customFormat="false" ht="12" hidden="false" customHeight="true" outlineLevel="0" collapsed="false">
      <c r="B638981" s="1" t="s">
        <v>43</v>
      </c>
      <c r="C638981" s="1" t="s">
        <v>44</v>
      </c>
      <c r="D638981" s="1" t="s">
        <v>45</v>
      </c>
    </row>
    <row r="638982" customFormat="false" ht="12" hidden="false" customHeight="true" outlineLevel="0" collapsed="false">
      <c r="B638982" s="1" t="s">
        <v>46</v>
      </c>
      <c r="C638982" s="1" t="s">
        <v>47</v>
      </c>
      <c r="D638982" s="1" t="s">
        <v>43</v>
      </c>
    </row>
    <row r="638983" customFormat="false" ht="12" hidden="false" customHeight="true" outlineLevel="0" collapsed="false">
      <c r="B638983" s="1" t="s">
        <v>48</v>
      </c>
      <c r="C638983" s="1" t="s">
        <v>49</v>
      </c>
      <c r="D638983" s="1" t="s">
        <v>50</v>
      </c>
    </row>
    <row r="638984" customFormat="false" ht="12" hidden="false" customHeight="true" outlineLevel="0" collapsed="false">
      <c r="B638984" s="1" t="n">
        <v>2000</v>
      </c>
      <c r="C638984" s="1" t="n">
        <v>16.963</v>
      </c>
      <c r="D638984" s="1" t="n">
        <v>1.865</v>
      </c>
    </row>
    <row r="638985" customFormat="false" ht="12" hidden="false" customHeight="true" outlineLevel="0" collapsed="false">
      <c r="B638985" s="1" t="n">
        <v>2001</v>
      </c>
      <c r="C638985" s="1" t="n">
        <v>17.772</v>
      </c>
      <c r="D638985" s="1" t="n">
        <v>4.769</v>
      </c>
    </row>
    <row r="638986" customFormat="false" ht="12" hidden="false" customHeight="true" outlineLevel="0" collapsed="false">
      <c r="B638986" s="1" t="n">
        <v>2002</v>
      </c>
      <c r="C638986" s="1" t="n">
        <v>18.747</v>
      </c>
      <c r="D638986" s="1" t="n">
        <v>5.487</v>
      </c>
    </row>
    <row r="638987" customFormat="false" ht="12" hidden="false" customHeight="true" outlineLevel="0" collapsed="false">
      <c r="B638987" s="1" t="n">
        <v>2003</v>
      </c>
      <c r="C638987" s="1" t="n">
        <v>20.852</v>
      </c>
      <c r="D638987" s="1" t="n">
        <v>11.228</v>
      </c>
    </row>
    <row r="638988" customFormat="false" ht="12" hidden="false" customHeight="true" outlineLevel="0" collapsed="false">
      <c r="B638988" s="1" t="n">
        <v>2004</v>
      </c>
      <c r="C638988" s="1" t="n">
        <v>22.061</v>
      </c>
      <c r="D638988" s="1" t="n">
        <v>5.796</v>
      </c>
    </row>
    <row r="638989" customFormat="false" ht="12" hidden="false" customHeight="true" outlineLevel="0" collapsed="false">
      <c r="B638989" s="1" t="n">
        <v>2005</v>
      </c>
      <c r="C638989" s="1" t="n">
        <v>24.176</v>
      </c>
      <c r="D638989" s="1" t="n">
        <v>9.588</v>
      </c>
    </row>
    <row r="638990" customFormat="false" ht="12" hidden="false" customHeight="true" outlineLevel="0" collapsed="false">
      <c r="B638990" s="1" t="n">
        <v>2006</v>
      </c>
      <c r="C638990" s="1" t="n">
        <v>26.454</v>
      </c>
      <c r="D638990" s="1" t="n">
        <v>9.42</v>
      </c>
    </row>
    <row r="638991" customFormat="false" ht="12" hidden="false" customHeight="true" outlineLevel="0" collapsed="false">
      <c r="B638991" s="1" t="n">
        <v>2007</v>
      </c>
      <c r="C638991" s="1" t="n">
        <v>29.781</v>
      </c>
      <c r="D638991" s="1" t="n">
        <v>12.579</v>
      </c>
    </row>
    <row r="638992" customFormat="false" ht="12" hidden="false" customHeight="true" outlineLevel="0" collapsed="false">
      <c r="B638992" s="1" t="n">
        <v>2008</v>
      </c>
      <c r="C638992" s="1" t="n">
        <v>30.502</v>
      </c>
      <c r="D638992" s="1" t="n">
        <v>2.419</v>
      </c>
    </row>
    <row r="638993" customFormat="false" ht="12" hidden="false" customHeight="true" outlineLevel="0" collapsed="false">
      <c r="B638993" s="1" t="n">
        <v>2009</v>
      </c>
      <c r="C638993" s="1" t="n">
        <v>29.388</v>
      </c>
      <c r="D638993" s="1" t="n">
        <v>-3.651</v>
      </c>
    </row>
    <row r="638994" customFormat="false" ht="12" hidden="false" customHeight="true" outlineLevel="0" collapsed="false">
      <c r="B638994" s="1" t="n">
        <v>2010</v>
      </c>
      <c r="C638994" s="1" t="n">
        <v>31.428</v>
      </c>
      <c r="D638994" s="1" t="n">
        <v>6.942</v>
      </c>
    </row>
    <row r="638995" customFormat="false" ht="12" hidden="false" customHeight="true" outlineLevel="0" collapsed="false">
      <c r="B638995" s="1" t="n">
        <v>2011</v>
      </c>
      <c r="C638995" s="1" t="n">
        <v>33.927</v>
      </c>
      <c r="D638995" s="1" t="n">
        <v>7.949</v>
      </c>
    </row>
    <row r="638996" customFormat="false" ht="12" hidden="false" customHeight="true" outlineLevel="0" collapsed="false">
      <c r="B638996" s="1" t="n">
        <v>2012</v>
      </c>
      <c r="C638996" s="1" t="n">
        <v>36.159</v>
      </c>
      <c r="D638996" s="1" t="n">
        <v>6.579</v>
      </c>
    </row>
    <row r="638997" customFormat="false" ht="12" hidden="false" customHeight="true" outlineLevel="0" collapsed="false">
      <c r="B638997" s="1" t="n">
        <v>2013</v>
      </c>
      <c r="C638997" s="1" t="n">
        <v>38.015</v>
      </c>
      <c r="D638997" s="1" t="n">
        <v>5.134</v>
      </c>
    </row>
    <row r="638998" customFormat="false" ht="12" hidden="false" customHeight="true" outlineLevel="0" collapsed="false">
      <c r="B638998" s="1" t="n">
        <v>2014</v>
      </c>
      <c r="C638998" s="1" t="n">
        <v>39.57</v>
      </c>
      <c r="D638998" s="1" t="n">
        <v>4.091</v>
      </c>
    </row>
    <row r="638999" customFormat="false" ht="12" hidden="false" customHeight="true" outlineLevel="0" collapsed="false">
      <c r="B638999" s="1" t="n">
        <v>2015</v>
      </c>
      <c r="C638999" s="1" t="n">
        <v>40.896</v>
      </c>
      <c r="D638999" s="1" t="n">
        <v>3.351</v>
      </c>
    </row>
    <row r="639000" customFormat="false" ht="12" hidden="false" customHeight="true" outlineLevel="0" collapsed="false">
      <c r="B639000" s="1" t="n">
        <v>2016</v>
      </c>
      <c r="C639000" s="1" t="n">
        <v>42.307</v>
      </c>
      <c r="D639000" s="1" t="n">
        <v>3.45</v>
      </c>
    </row>
    <row r="639001" customFormat="false" ht="12" hidden="false" customHeight="true" outlineLevel="0" collapsed="false">
      <c r="B639001" s="1" t="n">
        <v>2017</v>
      </c>
      <c r="C639001" s="1" t="n">
        <v>44.49</v>
      </c>
      <c r="D639001" s="1" t="n">
        <v>5.161</v>
      </c>
    </row>
    <row r="639002" customFormat="false" ht="12" hidden="false" customHeight="true" outlineLevel="0" collapsed="false">
      <c r="B639002" s="1" t="n">
        <v>2018</v>
      </c>
      <c r="C639002" s="1" t="n">
        <v>47.187</v>
      </c>
      <c r="D639002" s="1" t="n">
        <v>6.062</v>
      </c>
    </row>
    <row r="639003" customFormat="false" ht="12" hidden="false" customHeight="true" outlineLevel="0" collapsed="false">
      <c r="B639003" s="1" t="n">
        <v>2019</v>
      </c>
      <c r="C639003" s="1" t="n">
        <v>49.726</v>
      </c>
      <c r="D639003" s="1" t="n">
        <v>5.38</v>
      </c>
    </row>
    <row r="639004" customFormat="false" ht="12" hidden="false" customHeight="true" outlineLevel="0" collapsed="false">
      <c r="B639004" s="1" t="n">
        <v>2020</v>
      </c>
      <c r="C639004" s="1" t="n">
        <v>46.598</v>
      </c>
      <c r="D639004" s="1" t="n">
        <v>-6.291</v>
      </c>
    </row>
    <row r="639005" customFormat="false" ht="12" hidden="false" customHeight="true" outlineLevel="0" collapsed="false">
      <c r="B639005" s="1" t="n">
        <v>2021</v>
      </c>
      <c r="C639005" s="1" t="n">
        <v>51.558</v>
      </c>
      <c r="D639005" s="1" t="n">
        <v>10.644</v>
      </c>
    </row>
    <row r="639006" customFormat="false" ht="12" hidden="false" customHeight="true" outlineLevel="0" collapsed="false">
      <c r="B639006" s="1" t="n">
        <v>2022</v>
      </c>
      <c r="C639006" s="1" t="n">
        <v>57.208</v>
      </c>
      <c r="D639006" s="1" t="n">
        <v>10.96</v>
      </c>
    </row>
    <row r="639007" customFormat="false" ht="12" hidden="false" customHeight="true" outlineLevel="0" collapsed="false">
      <c r="B639007" s="1" t="n">
        <v>2023</v>
      </c>
      <c r="C639007" s="1" t="n">
        <v>61.689</v>
      </c>
      <c r="D639007" s="1" t="n">
        <v>7.832</v>
      </c>
    </row>
    <row r="639008" customFormat="false" ht="12" hidden="false" customHeight="true" outlineLevel="0" collapsed="false">
      <c r="B639008" s="1" t="n">
        <v>2024</v>
      </c>
      <c r="C639008" s="1" t="n">
        <v>67.505</v>
      </c>
      <c r="D639008" s="1" t="n">
        <v>9.429</v>
      </c>
    </row>
    <row r="639009" customFormat="false" ht="12" hidden="false" customHeight="true" outlineLevel="0" collapsed="false">
      <c r="B639009" s="1" t="n">
        <v>2025</v>
      </c>
      <c r="C639009" s="1" t="n">
        <v>71.54</v>
      </c>
      <c r="D639009" s="1" t="n">
        <v>5.977</v>
      </c>
    </row>
    <row r="639010" customFormat="false" ht="12" hidden="false" customHeight="true" outlineLevel="0" collapsed="false">
      <c r="B639010" s="1" t="n">
        <v>2026</v>
      </c>
      <c r="C639010" s="1" t="n">
        <v>75.117</v>
      </c>
      <c r="D639010" s="1" t="n">
        <v>5</v>
      </c>
    </row>
    <row r="639011" customFormat="false" ht="12" hidden="false" customHeight="true" outlineLevel="0" collapsed="false">
      <c r="B639011" s="1" t="n">
        <v>2027</v>
      </c>
      <c r="C639011" s="1" t="n">
        <v>78.873</v>
      </c>
      <c r="D639011" s="1" t="n">
        <v>5</v>
      </c>
    </row>
    <row r="639012" customFormat="false" ht="12" hidden="false" customHeight="true" outlineLevel="0" collapsed="false">
      <c r="B639012" s="1" t="s">
        <v>51</v>
      </c>
      <c r="C639012" s="1" t="n">
        <v>2024</v>
      </c>
      <c r="D639012" s="1" t="n">
        <v>2024</v>
      </c>
    </row>
    <row r="655361" customFormat="false" ht="12" hidden="false" customHeight="true" outlineLevel="0" collapsed="false">
      <c r="B655361" s="1" t="s">
        <v>35</v>
      </c>
      <c r="C655361" s="1" t="n">
        <v>915</v>
      </c>
      <c r="D655361" s="1" t="n">
        <v>915</v>
      </c>
    </row>
    <row r="655362" customFormat="false" ht="12" hidden="false" customHeight="true" outlineLevel="0" collapsed="false">
      <c r="B655362" s="1" t="s">
        <v>36</v>
      </c>
      <c r="C655362" s="1" t="s">
        <v>37</v>
      </c>
      <c r="D655362" s="1" t="s">
        <v>38</v>
      </c>
    </row>
    <row r="655363" customFormat="false" ht="12" hidden="false" customHeight="true" outlineLevel="0" collapsed="false">
      <c r="B655363" s="1" t="s">
        <v>39</v>
      </c>
      <c r="C655363" s="1" t="s">
        <v>40</v>
      </c>
      <c r="D655363" s="1" t="s">
        <v>40</v>
      </c>
    </row>
    <row r="655364" customFormat="false" ht="12" hidden="false" customHeight="true" outlineLevel="0" collapsed="false">
      <c r="B655364" s="1" t="s">
        <v>41</v>
      </c>
      <c r="C655364" s="1" t="s">
        <v>42</v>
      </c>
      <c r="D655364" s="1" t="s">
        <v>42</v>
      </c>
    </row>
    <row r="655365" customFormat="false" ht="12" hidden="false" customHeight="true" outlineLevel="0" collapsed="false">
      <c r="B655365" s="1" t="s">
        <v>43</v>
      </c>
      <c r="C655365" s="1" t="s">
        <v>44</v>
      </c>
      <c r="D655365" s="1" t="s">
        <v>45</v>
      </c>
    </row>
    <row r="655366" customFormat="false" ht="12" hidden="false" customHeight="true" outlineLevel="0" collapsed="false">
      <c r="B655366" s="1" t="s">
        <v>46</v>
      </c>
      <c r="C655366" s="1" t="s">
        <v>47</v>
      </c>
      <c r="D655366" s="1" t="s">
        <v>43</v>
      </c>
    </row>
    <row r="655367" customFormat="false" ht="12" hidden="false" customHeight="true" outlineLevel="0" collapsed="false">
      <c r="B655367" s="1" t="s">
        <v>48</v>
      </c>
      <c r="C655367" s="1" t="s">
        <v>49</v>
      </c>
      <c r="D655367" s="1" t="s">
        <v>50</v>
      </c>
    </row>
    <row r="655368" customFormat="false" ht="12" hidden="false" customHeight="true" outlineLevel="0" collapsed="false">
      <c r="B655368" s="1" t="n">
        <v>2000</v>
      </c>
      <c r="C655368" s="1" t="n">
        <v>16.963</v>
      </c>
      <c r="D655368" s="1" t="n">
        <v>1.865</v>
      </c>
    </row>
    <row r="655369" customFormat="false" ht="12" hidden="false" customHeight="true" outlineLevel="0" collapsed="false">
      <c r="B655369" s="1" t="n">
        <v>2001</v>
      </c>
      <c r="C655369" s="1" t="n">
        <v>17.772</v>
      </c>
      <c r="D655369" s="1" t="n">
        <v>4.769</v>
      </c>
    </row>
    <row r="655370" customFormat="false" ht="12" hidden="false" customHeight="true" outlineLevel="0" collapsed="false">
      <c r="B655370" s="1" t="n">
        <v>2002</v>
      </c>
      <c r="C655370" s="1" t="n">
        <v>18.747</v>
      </c>
      <c r="D655370" s="1" t="n">
        <v>5.487</v>
      </c>
    </row>
    <row r="655371" customFormat="false" ht="12" hidden="false" customHeight="true" outlineLevel="0" collapsed="false">
      <c r="B655371" s="1" t="n">
        <v>2003</v>
      </c>
      <c r="C655371" s="1" t="n">
        <v>20.852</v>
      </c>
      <c r="D655371" s="1" t="n">
        <v>11.228</v>
      </c>
    </row>
    <row r="655372" customFormat="false" ht="12" hidden="false" customHeight="true" outlineLevel="0" collapsed="false">
      <c r="B655372" s="1" t="n">
        <v>2004</v>
      </c>
      <c r="C655372" s="1" t="n">
        <v>22.061</v>
      </c>
      <c r="D655372" s="1" t="n">
        <v>5.796</v>
      </c>
    </row>
    <row r="655373" customFormat="false" ht="12" hidden="false" customHeight="true" outlineLevel="0" collapsed="false">
      <c r="B655373" s="1" t="n">
        <v>2005</v>
      </c>
      <c r="C655373" s="1" t="n">
        <v>24.176</v>
      </c>
      <c r="D655373" s="1" t="n">
        <v>9.588</v>
      </c>
    </row>
    <row r="655374" customFormat="false" ht="12" hidden="false" customHeight="true" outlineLevel="0" collapsed="false">
      <c r="B655374" s="1" t="n">
        <v>2006</v>
      </c>
      <c r="C655374" s="1" t="n">
        <v>26.454</v>
      </c>
      <c r="D655374" s="1" t="n">
        <v>9.42</v>
      </c>
    </row>
    <row r="655375" customFormat="false" ht="12" hidden="false" customHeight="true" outlineLevel="0" collapsed="false">
      <c r="B655375" s="1" t="n">
        <v>2007</v>
      </c>
      <c r="C655375" s="1" t="n">
        <v>29.781</v>
      </c>
      <c r="D655375" s="1" t="n">
        <v>12.579</v>
      </c>
    </row>
    <row r="655376" customFormat="false" ht="12" hidden="false" customHeight="true" outlineLevel="0" collapsed="false">
      <c r="B655376" s="1" t="n">
        <v>2008</v>
      </c>
      <c r="C655376" s="1" t="n">
        <v>30.502</v>
      </c>
      <c r="D655376" s="1" t="n">
        <v>2.419</v>
      </c>
    </row>
    <row r="655377" customFormat="false" ht="12" hidden="false" customHeight="true" outlineLevel="0" collapsed="false">
      <c r="B655377" s="1" t="n">
        <v>2009</v>
      </c>
      <c r="C655377" s="1" t="n">
        <v>29.388</v>
      </c>
      <c r="D655377" s="1" t="n">
        <v>-3.651</v>
      </c>
    </row>
    <row r="655378" customFormat="false" ht="12" hidden="false" customHeight="true" outlineLevel="0" collapsed="false">
      <c r="B655378" s="1" t="n">
        <v>2010</v>
      </c>
      <c r="C655378" s="1" t="n">
        <v>31.428</v>
      </c>
      <c r="D655378" s="1" t="n">
        <v>6.942</v>
      </c>
    </row>
    <row r="655379" customFormat="false" ht="12" hidden="false" customHeight="true" outlineLevel="0" collapsed="false">
      <c r="B655379" s="1" t="n">
        <v>2011</v>
      </c>
      <c r="C655379" s="1" t="n">
        <v>33.927</v>
      </c>
      <c r="D655379" s="1" t="n">
        <v>7.949</v>
      </c>
    </row>
    <row r="655380" customFormat="false" ht="12" hidden="false" customHeight="true" outlineLevel="0" collapsed="false">
      <c r="B655380" s="1" t="n">
        <v>2012</v>
      </c>
      <c r="C655380" s="1" t="n">
        <v>36.159</v>
      </c>
      <c r="D655380" s="1" t="n">
        <v>6.579</v>
      </c>
    </row>
    <row r="655381" customFormat="false" ht="12" hidden="false" customHeight="true" outlineLevel="0" collapsed="false">
      <c r="B655381" s="1" t="n">
        <v>2013</v>
      </c>
      <c r="C655381" s="1" t="n">
        <v>38.015</v>
      </c>
      <c r="D655381" s="1" t="n">
        <v>5.134</v>
      </c>
    </row>
    <row r="655382" customFormat="false" ht="12" hidden="false" customHeight="true" outlineLevel="0" collapsed="false">
      <c r="B655382" s="1" t="n">
        <v>2014</v>
      </c>
      <c r="C655382" s="1" t="n">
        <v>39.57</v>
      </c>
      <c r="D655382" s="1" t="n">
        <v>4.091</v>
      </c>
    </row>
    <row r="655383" customFormat="false" ht="12" hidden="false" customHeight="true" outlineLevel="0" collapsed="false">
      <c r="B655383" s="1" t="n">
        <v>2015</v>
      </c>
      <c r="C655383" s="1" t="n">
        <v>40.896</v>
      </c>
      <c r="D655383" s="1" t="n">
        <v>3.351</v>
      </c>
    </row>
    <row r="655384" customFormat="false" ht="12" hidden="false" customHeight="true" outlineLevel="0" collapsed="false">
      <c r="B655384" s="1" t="n">
        <v>2016</v>
      </c>
      <c r="C655384" s="1" t="n">
        <v>42.307</v>
      </c>
      <c r="D655384" s="1" t="n">
        <v>3.45</v>
      </c>
    </row>
    <row r="655385" customFormat="false" ht="12" hidden="false" customHeight="true" outlineLevel="0" collapsed="false">
      <c r="B655385" s="1" t="n">
        <v>2017</v>
      </c>
      <c r="C655385" s="1" t="n">
        <v>44.49</v>
      </c>
      <c r="D655385" s="1" t="n">
        <v>5.161</v>
      </c>
    </row>
    <row r="655386" customFormat="false" ht="12" hidden="false" customHeight="true" outlineLevel="0" collapsed="false">
      <c r="B655386" s="1" t="n">
        <v>2018</v>
      </c>
      <c r="C655386" s="1" t="n">
        <v>47.187</v>
      </c>
      <c r="D655386" s="1" t="n">
        <v>6.062</v>
      </c>
    </row>
    <row r="655387" customFormat="false" ht="12" hidden="false" customHeight="true" outlineLevel="0" collapsed="false">
      <c r="B655387" s="1" t="n">
        <v>2019</v>
      </c>
      <c r="C655387" s="1" t="n">
        <v>49.726</v>
      </c>
      <c r="D655387" s="1" t="n">
        <v>5.38</v>
      </c>
    </row>
    <row r="655388" customFormat="false" ht="12" hidden="false" customHeight="true" outlineLevel="0" collapsed="false">
      <c r="B655388" s="1" t="n">
        <v>2020</v>
      </c>
      <c r="C655388" s="1" t="n">
        <v>46.598</v>
      </c>
      <c r="D655388" s="1" t="n">
        <v>-6.291</v>
      </c>
    </row>
    <row r="655389" customFormat="false" ht="12" hidden="false" customHeight="true" outlineLevel="0" collapsed="false">
      <c r="B655389" s="1" t="n">
        <v>2021</v>
      </c>
      <c r="C655389" s="1" t="n">
        <v>51.558</v>
      </c>
      <c r="D655389" s="1" t="n">
        <v>10.644</v>
      </c>
    </row>
    <row r="655390" customFormat="false" ht="12" hidden="false" customHeight="true" outlineLevel="0" collapsed="false">
      <c r="B655390" s="1" t="n">
        <v>2022</v>
      </c>
      <c r="C655390" s="1" t="n">
        <v>57.208</v>
      </c>
      <c r="D655390" s="1" t="n">
        <v>10.96</v>
      </c>
    </row>
    <row r="655391" customFormat="false" ht="12" hidden="false" customHeight="true" outlineLevel="0" collapsed="false">
      <c r="B655391" s="1" t="n">
        <v>2023</v>
      </c>
      <c r="C655391" s="1" t="n">
        <v>61.689</v>
      </c>
      <c r="D655391" s="1" t="n">
        <v>7.832</v>
      </c>
    </row>
    <row r="655392" customFormat="false" ht="12" hidden="false" customHeight="true" outlineLevel="0" collapsed="false">
      <c r="B655392" s="1" t="n">
        <v>2024</v>
      </c>
      <c r="C655392" s="1" t="n">
        <v>67.505</v>
      </c>
      <c r="D655392" s="1" t="n">
        <v>9.429</v>
      </c>
    </row>
    <row r="655393" customFormat="false" ht="12" hidden="false" customHeight="true" outlineLevel="0" collapsed="false">
      <c r="B655393" s="1" t="n">
        <v>2025</v>
      </c>
      <c r="C655393" s="1" t="n">
        <v>71.54</v>
      </c>
      <c r="D655393" s="1" t="n">
        <v>5.977</v>
      </c>
    </row>
    <row r="655394" customFormat="false" ht="12" hidden="false" customHeight="true" outlineLevel="0" collapsed="false">
      <c r="B655394" s="1" t="n">
        <v>2026</v>
      </c>
      <c r="C655394" s="1" t="n">
        <v>75.117</v>
      </c>
      <c r="D655394" s="1" t="n">
        <v>5</v>
      </c>
    </row>
    <row r="655395" customFormat="false" ht="12" hidden="false" customHeight="true" outlineLevel="0" collapsed="false">
      <c r="B655395" s="1" t="n">
        <v>2027</v>
      </c>
      <c r="C655395" s="1" t="n">
        <v>78.873</v>
      </c>
      <c r="D655395" s="1" t="n">
        <v>5</v>
      </c>
    </row>
    <row r="655396" customFormat="false" ht="12" hidden="false" customHeight="true" outlineLevel="0" collapsed="false">
      <c r="B655396" s="1" t="s">
        <v>51</v>
      </c>
      <c r="C655396" s="1" t="n">
        <v>2024</v>
      </c>
      <c r="D655396" s="1" t="n">
        <v>2024</v>
      </c>
    </row>
    <row r="671745" customFormat="false" ht="12" hidden="false" customHeight="true" outlineLevel="0" collapsed="false">
      <c r="B671745" s="1" t="s">
        <v>35</v>
      </c>
      <c r="C671745" s="1" t="n">
        <v>915</v>
      </c>
      <c r="D671745" s="1" t="n">
        <v>915</v>
      </c>
    </row>
    <row r="671746" customFormat="false" ht="12" hidden="false" customHeight="true" outlineLevel="0" collapsed="false">
      <c r="B671746" s="1" t="s">
        <v>36</v>
      </c>
      <c r="C671746" s="1" t="s">
        <v>37</v>
      </c>
      <c r="D671746" s="1" t="s">
        <v>38</v>
      </c>
    </row>
    <row r="671747" customFormat="false" ht="12" hidden="false" customHeight="true" outlineLevel="0" collapsed="false">
      <c r="B671747" s="1" t="s">
        <v>39</v>
      </c>
      <c r="C671747" s="1" t="s">
        <v>40</v>
      </c>
      <c r="D671747" s="1" t="s">
        <v>40</v>
      </c>
    </row>
    <row r="671748" customFormat="false" ht="12" hidden="false" customHeight="true" outlineLevel="0" collapsed="false">
      <c r="B671748" s="1" t="s">
        <v>41</v>
      </c>
      <c r="C671748" s="1" t="s">
        <v>42</v>
      </c>
      <c r="D671748" s="1" t="s">
        <v>42</v>
      </c>
    </row>
    <row r="671749" customFormat="false" ht="12" hidden="false" customHeight="true" outlineLevel="0" collapsed="false">
      <c r="B671749" s="1" t="s">
        <v>43</v>
      </c>
      <c r="C671749" s="1" t="s">
        <v>44</v>
      </c>
      <c r="D671749" s="1" t="s">
        <v>45</v>
      </c>
    </row>
    <row r="671750" customFormat="false" ht="12" hidden="false" customHeight="true" outlineLevel="0" collapsed="false">
      <c r="B671750" s="1" t="s">
        <v>46</v>
      </c>
      <c r="C671750" s="1" t="s">
        <v>47</v>
      </c>
      <c r="D671750" s="1" t="s">
        <v>43</v>
      </c>
    </row>
    <row r="671751" customFormat="false" ht="12" hidden="false" customHeight="true" outlineLevel="0" collapsed="false">
      <c r="B671751" s="1" t="s">
        <v>48</v>
      </c>
      <c r="C671751" s="1" t="s">
        <v>49</v>
      </c>
      <c r="D671751" s="1" t="s">
        <v>50</v>
      </c>
    </row>
    <row r="671752" customFormat="false" ht="12" hidden="false" customHeight="true" outlineLevel="0" collapsed="false">
      <c r="B671752" s="1" t="n">
        <v>2000</v>
      </c>
      <c r="C671752" s="1" t="n">
        <v>16.963</v>
      </c>
      <c r="D671752" s="1" t="n">
        <v>1.865</v>
      </c>
    </row>
    <row r="671753" customFormat="false" ht="12" hidden="false" customHeight="true" outlineLevel="0" collapsed="false">
      <c r="B671753" s="1" t="n">
        <v>2001</v>
      </c>
      <c r="C671753" s="1" t="n">
        <v>17.772</v>
      </c>
      <c r="D671753" s="1" t="n">
        <v>4.769</v>
      </c>
    </row>
    <row r="671754" customFormat="false" ht="12" hidden="false" customHeight="true" outlineLevel="0" collapsed="false">
      <c r="B671754" s="1" t="n">
        <v>2002</v>
      </c>
      <c r="C671754" s="1" t="n">
        <v>18.747</v>
      </c>
      <c r="D671754" s="1" t="n">
        <v>5.487</v>
      </c>
    </row>
    <row r="671755" customFormat="false" ht="12" hidden="false" customHeight="true" outlineLevel="0" collapsed="false">
      <c r="B671755" s="1" t="n">
        <v>2003</v>
      </c>
      <c r="C671755" s="1" t="n">
        <v>20.852</v>
      </c>
      <c r="D671755" s="1" t="n">
        <v>11.228</v>
      </c>
    </row>
    <row r="671756" customFormat="false" ht="12" hidden="false" customHeight="true" outlineLevel="0" collapsed="false">
      <c r="B671756" s="1" t="n">
        <v>2004</v>
      </c>
      <c r="C671756" s="1" t="n">
        <v>22.061</v>
      </c>
      <c r="D671756" s="1" t="n">
        <v>5.796</v>
      </c>
    </row>
    <row r="671757" customFormat="false" ht="12" hidden="false" customHeight="true" outlineLevel="0" collapsed="false">
      <c r="B671757" s="1" t="n">
        <v>2005</v>
      </c>
      <c r="C671757" s="1" t="n">
        <v>24.176</v>
      </c>
      <c r="D671757" s="1" t="n">
        <v>9.588</v>
      </c>
    </row>
    <row r="671758" customFormat="false" ht="12" hidden="false" customHeight="true" outlineLevel="0" collapsed="false">
      <c r="B671758" s="1" t="n">
        <v>2006</v>
      </c>
      <c r="C671758" s="1" t="n">
        <v>26.454</v>
      </c>
      <c r="D671758" s="1" t="n">
        <v>9.42</v>
      </c>
    </row>
    <row r="671759" customFormat="false" ht="12" hidden="false" customHeight="true" outlineLevel="0" collapsed="false">
      <c r="B671759" s="1" t="n">
        <v>2007</v>
      </c>
      <c r="C671759" s="1" t="n">
        <v>29.781</v>
      </c>
      <c r="D671759" s="1" t="n">
        <v>12.579</v>
      </c>
    </row>
    <row r="671760" customFormat="false" ht="12" hidden="false" customHeight="true" outlineLevel="0" collapsed="false">
      <c r="B671760" s="1" t="n">
        <v>2008</v>
      </c>
      <c r="C671760" s="1" t="n">
        <v>30.502</v>
      </c>
      <c r="D671760" s="1" t="n">
        <v>2.419</v>
      </c>
    </row>
    <row r="671761" customFormat="false" ht="12" hidden="false" customHeight="true" outlineLevel="0" collapsed="false">
      <c r="B671761" s="1" t="n">
        <v>2009</v>
      </c>
      <c r="C671761" s="1" t="n">
        <v>29.388</v>
      </c>
      <c r="D671761" s="1" t="n">
        <v>-3.651</v>
      </c>
    </row>
    <row r="671762" customFormat="false" ht="12" hidden="false" customHeight="true" outlineLevel="0" collapsed="false">
      <c r="B671762" s="1" t="n">
        <v>2010</v>
      </c>
      <c r="C671762" s="1" t="n">
        <v>31.428</v>
      </c>
      <c r="D671762" s="1" t="n">
        <v>6.942</v>
      </c>
    </row>
    <row r="671763" customFormat="false" ht="12" hidden="false" customHeight="true" outlineLevel="0" collapsed="false">
      <c r="B671763" s="1" t="n">
        <v>2011</v>
      </c>
      <c r="C671763" s="1" t="n">
        <v>33.927</v>
      </c>
      <c r="D671763" s="1" t="n">
        <v>7.949</v>
      </c>
    </row>
    <row r="671764" customFormat="false" ht="12" hidden="false" customHeight="true" outlineLevel="0" collapsed="false">
      <c r="B671764" s="1" t="n">
        <v>2012</v>
      </c>
      <c r="C671764" s="1" t="n">
        <v>36.159</v>
      </c>
      <c r="D671764" s="1" t="n">
        <v>6.579</v>
      </c>
    </row>
    <row r="671765" customFormat="false" ht="12" hidden="false" customHeight="true" outlineLevel="0" collapsed="false">
      <c r="B671765" s="1" t="n">
        <v>2013</v>
      </c>
      <c r="C671765" s="1" t="n">
        <v>38.015</v>
      </c>
      <c r="D671765" s="1" t="n">
        <v>5.134</v>
      </c>
    </row>
    <row r="671766" customFormat="false" ht="12" hidden="false" customHeight="true" outlineLevel="0" collapsed="false">
      <c r="B671766" s="1" t="n">
        <v>2014</v>
      </c>
      <c r="C671766" s="1" t="n">
        <v>39.57</v>
      </c>
      <c r="D671766" s="1" t="n">
        <v>4.091</v>
      </c>
    </row>
    <row r="671767" customFormat="false" ht="12" hidden="false" customHeight="true" outlineLevel="0" collapsed="false">
      <c r="B671767" s="1" t="n">
        <v>2015</v>
      </c>
      <c r="C671767" s="1" t="n">
        <v>40.896</v>
      </c>
      <c r="D671767" s="1" t="n">
        <v>3.351</v>
      </c>
    </row>
    <row r="671768" customFormat="false" ht="12" hidden="false" customHeight="true" outlineLevel="0" collapsed="false">
      <c r="B671768" s="1" t="n">
        <v>2016</v>
      </c>
      <c r="C671768" s="1" t="n">
        <v>42.307</v>
      </c>
      <c r="D671768" s="1" t="n">
        <v>3.45</v>
      </c>
    </row>
    <row r="671769" customFormat="false" ht="12" hidden="false" customHeight="true" outlineLevel="0" collapsed="false">
      <c r="B671769" s="1" t="n">
        <v>2017</v>
      </c>
      <c r="C671769" s="1" t="n">
        <v>44.49</v>
      </c>
      <c r="D671769" s="1" t="n">
        <v>5.161</v>
      </c>
    </row>
    <row r="671770" customFormat="false" ht="12" hidden="false" customHeight="true" outlineLevel="0" collapsed="false">
      <c r="B671770" s="1" t="n">
        <v>2018</v>
      </c>
      <c r="C671770" s="1" t="n">
        <v>47.187</v>
      </c>
      <c r="D671770" s="1" t="n">
        <v>6.062</v>
      </c>
    </row>
    <row r="671771" customFormat="false" ht="12" hidden="false" customHeight="true" outlineLevel="0" collapsed="false">
      <c r="B671771" s="1" t="n">
        <v>2019</v>
      </c>
      <c r="C671771" s="1" t="n">
        <v>49.726</v>
      </c>
      <c r="D671771" s="1" t="n">
        <v>5.38</v>
      </c>
    </row>
    <row r="671772" customFormat="false" ht="12" hidden="false" customHeight="true" outlineLevel="0" collapsed="false">
      <c r="B671772" s="1" t="n">
        <v>2020</v>
      </c>
      <c r="C671772" s="1" t="n">
        <v>46.598</v>
      </c>
      <c r="D671772" s="1" t="n">
        <v>-6.291</v>
      </c>
    </row>
    <row r="671773" customFormat="false" ht="12" hidden="false" customHeight="true" outlineLevel="0" collapsed="false">
      <c r="B671773" s="1" t="n">
        <v>2021</v>
      </c>
      <c r="C671773" s="1" t="n">
        <v>51.558</v>
      </c>
      <c r="D671773" s="1" t="n">
        <v>10.644</v>
      </c>
    </row>
    <row r="671774" customFormat="false" ht="12" hidden="false" customHeight="true" outlineLevel="0" collapsed="false">
      <c r="B671774" s="1" t="n">
        <v>2022</v>
      </c>
      <c r="C671774" s="1" t="n">
        <v>57.208</v>
      </c>
      <c r="D671774" s="1" t="n">
        <v>10.96</v>
      </c>
    </row>
    <row r="671775" customFormat="false" ht="12" hidden="false" customHeight="true" outlineLevel="0" collapsed="false">
      <c r="B671775" s="1" t="n">
        <v>2023</v>
      </c>
      <c r="C671775" s="1" t="n">
        <v>61.689</v>
      </c>
      <c r="D671775" s="1" t="n">
        <v>7.832</v>
      </c>
    </row>
    <row r="671776" customFormat="false" ht="12" hidden="false" customHeight="true" outlineLevel="0" collapsed="false">
      <c r="B671776" s="1" t="n">
        <v>2024</v>
      </c>
      <c r="C671776" s="1" t="n">
        <v>67.505</v>
      </c>
      <c r="D671776" s="1" t="n">
        <v>9.429</v>
      </c>
    </row>
    <row r="671777" customFormat="false" ht="12" hidden="false" customHeight="true" outlineLevel="0" collapsed="false">
      <c r="B671777" s="1" t="n">
        <v>2025</v>
      </c>
      <c r="C671777" s="1" t="n">
        <v>71.54</v>
      </c>
      <c r="D671777" s="1" t="n">
        <v>5.977</v>
      </c>
    </row>
    <row r="671778" customFormat="false" ht="12" hidden="false" customHeight="true" outlineLevel="0" collapsed="false">
      <c r="B671778" s="1" t="n">
        <v>2026</v>
      </c>
      <c r="C671778" s="1" t="n">
        <v>75.117</v>
      </c>
      <c r="D671778" s="1" t="n">
        <v>5</v>
      </c>
    </row>
    <row r="671779" customFormat="false" ht="12" hidden="false" customHeight="true" outlineLevel="0" collapsed="false">
      <c r="B671779" s="1" t="n">
        <v>2027</v>
      </c>
      <c r="C671779" s="1" t="n">
        <v>78.873</v>
      </c>
      <c r="D671779" s="1" t="n">
        <v>5</v>
      </c>
    </row>
    <row r="671780" customFormat="false" ht="12" hidden="false" customHeight="true" outlineLevel="0" collapsed="false">
      <c r="B671780" s="1" t="s">
        <v>51</v>
      </c>
      <c r="C671780" s="1" t="n">
        <v>2024</v>
      </c>
      <c r="D671780" s="1" t="n">
        <v>2024</v>
      </c>
    </row>
    <row r="688129" customFormat="false" ht="12" hidden="false" customHeight="true" outlineLevel="0" collapsed="false">
      <c r="B688129" s="1" t="s">
        <v>35</v>
      </c>
      <c r="C688129" s="1" t="n">
        <v>915</v>
      </c>
      <c r="D688129" s="1" t="n">
        <v>915</v>
      </c>
    </row>
    <row r="688130" customFormat="false" ht="12" hidden="false" customHeight="true" outlineLevel="0" collapsed="false">
      <c r="B688130" s="1" t="s">
        <v>36</v>
      </c>
      <c r="C688130" s="1" t="s">
        <v>37</v>
      </c>
      <c r="D688130" s="1" t="s">
        <v>38</v>
      </c>
    </row>
    <row r="688131" customFormat="false" ht="12" hidden="false" customHeight="true" outlineLevel="0" collapsed="false">
      <c r="B688131" s="1" t="s">
        <v>39</v>
      </c>
      <c r="C688131" s="1" t="s">
        <v>40</v>
      </c>
      <c r="D688131" s="1" t="s">
        <v>40</v>
      </c>
    </row>
    <row r="688132" customFormat="false" ht="12" hidden="false" customHeight="true" outlineLevel="0" collapsed="false">
      <c r="B688132" s="1" t="s">
        <v>41</v>
      </c>
      <c r="C688132" s="1" t="s">
        <v>42</v>
      </c>
      <c r="D688132" s="1" t="s">
        <v>42</v>
      </c>
    </row>
    <row r="688133" customFormat="false" ht="12" hidden="false" customHeight="true" outlineLevel="0" collapsed="false">
      <c r="B688133" s="1" t="s">
        <v>43</v>
      </c>
      <c r="C688133" s="1" t="s">
        <v>44</v>
      </c>
      <c r="D688133" s="1" t="s">
        <v>45</v>
      </c>
    </row>
    <row r="688134" customFormat="false" ht="12" hidden="false" customHeight="true" outlineLevel="0" collapsed="false">
      <c r="B688134" s="1" t="s">
        <v>46</v>
      </c>
      <c r="C688134" s="1" t="s">
        <v>47</v>
      </c>
      <c r="D688134" s="1" t="s">
        <v>43</v>
      </c>
    </row>
    <row r="688135" customFormat="false" ht="12" hidden="false" customHeight="true" outlineLevel="0" collapsed="false">
      <c r="B688135" s="1" t="s">
        <v>48</v>
      </c>
      <c r="C688135" s="1" t="s">
        <v>49</v>
      </c>
      <c r="D688135" s="1" t="s">
        <v>50</v>
      </c>
    </row>
    <row r="688136" customFormat="false" ht="12" hidden="false" customHeight="true" outlineLevel="0" collapsed="false">
      <c r="B688136" s="1" t="n">
        <v>2000</v>
      </c>
      <c r="C688136" s="1" t="n">
        <v>16.963</v>
      </c>
      <c r="D688136" s="1" t="n">
        <v>1.865</v>
      </c>
    </row>
    <row r="688137" customFormat="false" ht="12" hidden="false" customHeight="true" outlineLevel="0" collapsed="false">
      <c r="B688137" s="1" t="n">
        <v>2001</v>
      </c>
      <c r="C688137" s="1" t="n">
        <v>17.772</v>
      </c>
      <c r="D688137" s="1" t="n">
        <v>4.769</v>
      </c>
    </row>
    <row r="688138" customFormat="false" ht="12" hidden="false" customHeight="true" outlineLevel="0" collapsed="false">
      <c r="B688138" s="1" t="n">
        <v>2002</v>
      </c>
      <c r="C688138" s="1" t="n">
        <v>18.747</v>
      </c>
      <c r="D688138" s="1" t="n">
        <v>5.487</v>
      </c>
    </row>
    <row r="688139" customFormat="false" ht="12" hidden="false" customHeight="true" outlineLevel="0" collapsed="false">
      <c r="B688139" s="1" t="n">
        <v>2003</v>
      </c>
      <c r="C688139" s="1" t="n">
        <v>20.852</v>
      </c>
      <c r="D688139" s="1" t="n">
        <v>11.228</v>
      </c>
    </row>
    <row r="688140" customFormat="false" ht="12" hidden="false" customHeight="true" outlineLevel="0" collapsed="false">
      <c r="B688140" s="1" t="n">
        <v>2004</v>
      </c>
      <c r="C688140" s="1" t="n">
        <v>22.061</v>
      </c>
      <c r="D688140" s="1" t="n">
        <v>5.796</v>
      </c>
    </row>
    <row r="688141" customFormat="false" ht="12" hidden="false" customHeight="true" outlineLevel="0" collapsed="false">
      <c r="B688141" s="1" t="n">
        <v>2005</v>
      </c>
      <c r="C688141" s="1" t="n">
        <v>24.176</v>
      </c>
      <c r="D688141" s="1" t="n">
        <v>9.588</v>
      </c>
    </row>
    <row r="688142" customFormat="false" ht="12" hidden="false" customHeight="true" outlineLevel="0" collapsed="false">
      <c r="B688142" s="1" t="n">
        <v>2006</v>
      </c>
      <c r="C688142" s="1" t="n">
        <v>26.454</v>
      </c>
      <c r="D688142" s="1" t="n">
        <v>9.42</v>
      </c>
    </row>
    <row r="688143" customFormat="false" ht="12" hidden="false" customHeight="true" outlineLevel="0" collapsed="false">
      <c r="B688143" s="1" t="n">
        <v>2007</v>
      </c>
      <c r="C688143" s="1" t="n">
        <v>29.781</v>
      </c>
      <c r="D688143" s="1" t="n">
        <v>12.579</v>
      </c>
    </row>
    <row r="688144" customFormat="false" ht="12" hidden="false" customHeight="true" outlineLevel="0" collapsed="false">
      <c r="B688144" s="1" t="n">
        <v>2008</v>
      </c>
      <c r="C688144" s="1" t="n">
        <v>30.502</v>
      </c>
      <c r="D688144" s="1" t="n">
        <v>2.419</v>
      </c>
    </row>
    <row r="688145" customFormat="false" ht="12" hidden="false" customHeight="true" outlineLevel="0" collapsed="false">
      <c r="B688145" s="1" t="n">
        <v>2009</v>
      </c>
      <c r="C688145" s="1" t="n">
        <v>29.388</v>
      </c>
      <c r="D688145" s="1" t="n">
        <v>-3.651</v>
      </c>
    </row>
    <row r="688146" customFormat="false" ht="12" hidden="false" customHeight="true" outlineLevel="0" collapsed="false">
      <c r="B688146" s="1" t="n">
        <v>2010</v>
      </c>
      <c r="C688146" s="1" t="n">
        <v>31.428</v>
      </c>
      <c r="D688146" s="1" t="n">
        <v>6.942</v>
      </c>
    </row>
    <row r="688147" customFormat="false" ht="12" hidden="false" customHeight="true" outlineLevel="0" collapsed="false">
      <c r="B688147" s="1" t="n">
        <v>2011</v>
      </c>
      <c r="C688147" s="1" t="n">
        <v>33.927</v>
      </c>
      <c r="D688147" s="1" t="n">
        <v>7.949</v>
      </c>
    </row>
    <row r="688148" customFormat="false" ht="12" hidden="false" customHeight="true" outlineLevel="0" collapsed="false">
      <c r="B688148" s="1" t="n">
        <v>2012</v>
      </c>
      <c r="C688148" s="1" t="n">
        <v>36.159</v>
      </c>
      <c r="D688148" s="1" t="n">
        <v>6.579</v>
      </c>
    </row>
    <row r="688149" customFormat="false" ht="12" hidden="false" customHeight="true" outlineLevel="0" collapsed="false">
      <c r="B688149" s="1" t="n">
        <v>2013</v>
      </c>
      <c r="C688149" s="1" t="n">
        <v>38.015</v>
      </c>
      <c r="D688149" s="1" t="n">
        <v>5.134</v>
      </c>
    </row>
    <row r="688150" customFormat="false" ht="12" hidden="false" customHeight="true" outlineLevel="0" collapsed="false">
      <c r="B688150" s="1" t="n">
        <v>2014</v>
      </c>
      <c r="C688150" s="1" t="n">
        <v>39.57</v>
      </c>
      <c r="D688150" s="1" t="n">
        <v>4.091</v>
      </c>
    </row>
    <row r="688151" customFormat="false" ht="12" hidden="false" customHeight="true" outlineLevel="0" collapsed="false">
      <c r="B688151" s="1" t="n">
        <v>2015</v>
      </c>
      <c r="C688151" s="1" t="n">
        <v>40.896</v>
      </c>
      <c r="D688151" s="1" t="n">
        <v>3.351</v>
      </c>
    </row>
    <row r="688152" customFormat="false" ht="12" hidden="false" customHeight="true" outlineLevel="0" collapsed="false">
      <c r="B688152" s="1" t="n">
        <v>2016</v>
      </c>
      <c r="C688152" s="1" t="n">
        <v>42.307</v>
      </c>
      <c r="D688152" s="1" t="n">
        <v>3.45</v>
      </c>
    </row>
    <row r="688153" customFormat="false" ht="12" hidden="false" customHeight="true" outlineLevel="0" collapsed="false">
      <c r="B688153" s="1" t="n">
        <v>2017</v>
      </c>
      <c r="C688153" s="1" t="n">
        <v>44.49</v>
      </c>
      <c r="D688153" s="1" t="n">
        <v>5.161</v>
      </c>
    </row>
    <row r="688154" customFormat="false" ht="12" hidden="false" customHeight="true" outlineLevel="0" collapsed="false">
      <c r="B688154" s="1" t="n">
        <v>2018</v>
      </c>
      <c r="C688154" s="1" t="n">
        <v>47.187</v>
      </c>
      <c r="D688154" s="1" t="n">
        <v>6.062</v>
      </c>
    </row>
    <row r="688155" customFormat="false" ht="12" hidden="false" customHeight="true" outlineLevel="0" collapsed="false">
      <c r="B688155" s="1" t="n">
        <v>2019</v>
      </c>
      <c r="C688155" s="1" t="n">
        <v>49.726</v>
      </c>
      <c r="D688155" s="1" t="n">
        <v>5.38</v>
      </c>
    </row>
    <row r="688156" customFormat="false" ht="12" hidden="false" customHeight="true" outlineLevel="0" collapsed="false">
      <c r="B688156" s="1" t="n">
        <v>2020</v>
      </c>
      <c r="C688156" s="1" t="n">
        <v>46.598</v>
      </c>
      <c r="D688156" s="1" t="n">
        <v>-6.291</v>
      </c>
    </row>
    <row r="688157" customFormat="false" ht="12" hidden="false" customHeight="true" outlineLevel="0" collapsed="false">
      <c r="B688157" s="1" t="n">
        <v>2021</v>
      </c>
      <c r="C688157" s="1" t="n">
        <v>51.558</v>
      </c>
      <c r="D688157" s="1" t="n">
        <v>10.644</v>
      </c>
    </row>
    <row r="688158" customFormat="false" ht="12" hidden="false" customHeight="true" outlineLevel="0" collapsed="false">
      <c r="B688158" s="1" t="n">
        <v>2022</v>
      </c>
      <c r="C688158" s="1" t="n">
        <v>57.208</v>
      </c>
      <c r="D688158" s="1" t="n">
        <v>10.96</v>
      </c>
    </row>
    <row r="688159" customFormat="false" ht="12" hidden="false" customHeight="true" outlineLevel="0" collapsed="false">
      <c r="B688159" s="1" t="n">
        <v>2023</v>
      </c>
      <c r="C688159" s="1" t="n">
        <v>61.689</v>
      </c>
      <c r="D688159" s="1" t="n">
        <v>7.832</v>
      </c>
    </row>
    <row r="688160" customFormat="false" ht="12" hidden="false" customHeight="true" outlineLevel="0" collapsed="false">
      <c r="B688160" s="1" t="n">
        <v>2024</v>
      </c>
      <c r="C688160" s="1" t="n">
        <v>67.505</v>
      </c>
      <c r="D688160" s="1" t="n">
        <v>9.429</v>
      </c>
    </row>
    <row r="688161" customFormat="false" ht="12" hidden="false" customHeight="true" outlineLevel="0" collapsed="false">
      <c r="B688161" s="1" t="n">
        <v>2025</v>
      </c>
      <c r="C688161" s="1" t="n">
        <v>71.54</v>
      </c>
      <c r="D688161" s="1" t="n">
        <v>5.977</v>
      </c>
    </row>
    <row r="688162" customFormat="false" ht="12" hidden="false" customHeight="true" outlineLevel="0" collapsed="false">
      <c r="B688162" s="1" t="n">
        <v>2026</v>
      </c>
      <c r="C688162" s="1" t="n">
        <v>75.117</v>
      </c>
      <c r="D688162" s="1" t="n">
        <v>5</v>
      </c>
    </row>
    <row r="688163" customFormat="false" ht="12" hidden="false" customHeight="true" outlineLevel="0" collapsed="false">
      <c r="B688163" s="1" t="n">
        <v>2027</v>
      </c>
      <c r="C688163" s="1" t="n">
        <v>78.873</v>
      </c>
      <c r="D688163" s="1" t="n">
        <v>5</v>
      </c>
    </row>
    <row r="688164" customFormat="false" ht="12" hidden="false" customHeight="true" outlineLevel="0" collapsed="false">
      <c r="B688164" s="1" t="s">
        <v>51</v>
      </c>
      <c r="C688164" s="1" t="n">
        <v>2024</v>
      </c>
      <c r="D688164" s="1" t="n">
        <v>2024</v>
      </c>
    </row>
    <row r="704513" customFormat="false" ht="12" hidden="false" customHeight="true" outlineLevel="0" collapsed="false">
      <c r="B704513" s="1" t="s">
        <v>35</v>
      </c>
      <c r="C704513" s="1" t="n">
        <v>915</v>
      </c>
      <c r="D704513" s="1" t="n">
        <v>915</v>
      </c>
    </row>
    <row r="704514" customFormat="false" ht="12" hidden="false" customHeight="true" outlineLevel="0" collapsed="false">
      <c r="B704514" s="1" t="s">
        <v>36</v>
      </c>
      <c r="C704514" s="1" t="s">
        <v>37</v>
      </c>
      <c r="D704514" s="1" t="s">
        <v>38</v>
      </c>
    </row>
    <row r="704515" customFormat="false" ht="12" hidden="false" customHeight="true" outlineLevel="0" collapsed="false">
      <c r="B704515" s="1" t="s">
        <v>39</v>
      </c>
      <c r="C704515" s="1" t="s">
        <v>40</v>
      </c>
      <c r="D704515" s="1" t="s">
        <v>40</v>
      </c>
    </row>
    <row r="704516" customFormat="false" ht="12" hidden="false" customHeight="true" outlineLevel="0" collapsed="false">
      <c r="B704516" s="1" t="s">
        <v>41</v>
      </c>
      <c r="C704516" s="1" t="s">
        <v>42</v>
      </c>
      <c r="D704516" s="1" t="s">
        <v>42</v>
      </c>
    </row>
    <row r="704517" customFormat="false" ht="12" hidden="false" customHeight="true" outlineLevel="0" collapsed="false">
      <c r="B704517" s="1" t="s">
        <v>43</v>
      </c>
      <c r="C704517" s="1" t="s">
        <v>44</v>
      </c>
      <c r="D704517" s="1" t="s">
        <v>45</v>
      </c>
    </row>
    <row r="704518" customFormat="false" ht="12" hidden="false" customHeight="true" outlineLevel="0" collapsed="false">
      <c r="B704518" s="1" t="s">
        <v>46</v>
      </c>
      <c r="C704518" s="1" t="s">
        <v>47</v>
      </c>
      <c r="D704518" s="1" t="s">
        <v>43</v>
      </c>
    </row>
    <row r="704519" customFormat="false" ht="12" hidden="false" customHeight="true" outlineLevel="0" collapsed="false">
      <c r="B704519" s="1" t="s">
        <v>48</v>
      </c>
      <c r="C704519" s="1" t="s">
        <v>49</v>
      </c>
      <c r="D704519" s="1" t="s">
        <v>50</v>
      </c>
    </row>
    <row r="704520" customFormat="false" ht="12" hidden="false" customHeight="true" outlineLevel="0" collapsed="false">
      <c r="B704520" s="1" t="n">
        <v>2000</v>
      </c>
      <c r="C704520" s="1" t="n">
        <v>16.963</v>
      </c>
      <c r="D704520" s="1" t="n">
        <v>1.865</v>
      </c>
    </row>
    <row r="704521" customFormat="false" ht="12" hidden="false" customHeight="true" outlineLevel="0" collapsed="false">
      <c r="B704521" s="1" t="n">
        <v>2001</v>
      </c>
      <c r="C704521" s="1" t="n">
        <v>17.772</v>
      </c>
      <c r="D704521" s="1" t="n">
        <v>4.769</v>
      </c>
    </row>
    <row r="704522" customFormat="false" ht="12" hidden="false" customHeight="true" outlineLevel="0" collapsed="false">
      <c r="B704522" s="1" t="n">
        <v>2002</v>
      </c>
      <c r="C704522" s="1" t="n">
        <v>18.747</v>
      </c>
      <c r="D704522" s="1" t="n">
        <v>5.487</v>
      </c>
    </row>
    <row r="704523" customFormat="false" ht="12" hidden="false" customHeight="true" outlineLevel="0" collapsed="false">
      <c r="B704523" s="1" t="n">
        <v>2003</v>
      </c>
      <c r="C704523" s="1" t="n">
        <v>20.852</v>
      </c>
      <c r="D704523" s="1" t="n">
        <v>11.228</v>
      </c>
    </row>
    <row r="704524" customFormat="false" ht="12" hidden="false" customHeight="true" outlineLevel="0" collapsed="false">
      <c r="B704524" s="1" t="n">
        <v>2004</v>
      </c>
      <c r="C704524" s="1" t="n">
        <v>22.061</v>
      </c>
      <c r="D704524" s="1" t="n">
        <v>5.796</v>
      </c>
    </row>
    <row r="704525" customFormat="false" ht="12" hidden="false" customHeight="true" outlineLevel="0" collapsed="false">
      <c r="B704525" s="1" t="n">
        <v>2005</v>
      </c>
      <c r="C704525" s="1" t="n">
        <v>24.176</v>
      </c>
      <c r="D704525" s="1" t="n">
        <v>9.588</v>
      </c>
    </row>
    <row r="704526" customFormat="false" ht="12" hidden="false" customHeight="true" outlineLevel="0" collapsed="false">
      <c r="B704526" s="1" t="n">
        <v>2006</v>
      </c>
      <c r="C704526" s="1" t="n">
        <v>26.454</v>
      </c>
      <c r="D704526" s="1" t="n">
        <v>9.42</v>
      </c>
    </row>
    <row r="704527" customFormat="false" ht="12" hidden="false" customHeight="true" outlineLevel="0" collapsed="false">
      <c r="B704527" s="1" t="n">
        <v>2007</v>
      </c>
      <c r="C704527" s="1" t="n">
        <v>29.781</v>
      </c>
      <c r="D704527" s="1" t="n">
        <v>12.579</v>
      </c>
    </row>
    <row r="704528" customFormat="false" ht="12" hidden="false" customHeight="true" outlineLevel="0" collapsed="false">
      <c r="B704528" s="1" t="n">
        <v>2008</v>
      </c>
      <c r="C704528" s="1" t="n">
        <v>30.502</v>
      </c>
      <c r="D704528" s="1" t="n">
        <v>2.419</v>
      </c>
    </row>
    <row r="704529" customFormat="false" ht="12" hidden="false" customHeight="true" outlineLevel="0" collapsed="false">
      <c r="B704529" s="1" t="n">
        <v>2009</v>
      </c>
      <c r="C704529" s="1" t="n">
        <v>29.388</v>
      </c>
      <c r="D704529" s="1" t="n">
        <v>-3.651</v>
      </c>
    </row>
    <row r="704530" customFormat="false" ht="12" hidden="false" customHeight="true" outlineLevel="0" collapsed="false">
      <c r="B704530" s="1" t="n">
        <v>2010</v>
      </c>
      <c r="C704530" s="1" t="n">
        <v>31.428</v>
      </c>
      <c r="D704530" s="1" t="n">
        <v>6.942</v>
      </c>
    </row>
    <row r="704531" customFormat="false" ht="12" hidden="false" customHeight="true" outlineLevel="0" collapsed="false">
      <c r="B704531" s="1" t="n">
        <v>2011</v>
      </c>
      <c r="C704531" s="1" t="n">
        <v>33.927</v>
      </c>
      <c r="D704531" s="1" t="n">
        <v>7.949</v>
      </c>
    </row>
    <row r="704532" customFormat="false" ht="12" hidden="false" customHeight="true" outlineLevel="0" collapsed="false">
      <c r="B704532" s="1" t="n">
        <v>2012</v>
      </c>
      <c r="C704532" s="1" t="n">
        <v>36.159</v>
      </c>
      <c r="D704532" s="1" t="n">
        <v>6.579</v>
      </c>
    </row>
    <row r="704533" customFormat="false" ht="12" hidden="false" customHeight="true" outlineLevel="0" collapsed="false">
      <c r="B704533" s="1" t="n">
        <v>2013</v>
      </c>
      <c r="C704533" s="1" t="n">
        <v>38.015</v>
      </c>
      <c r="D704533" s="1" t="n">
        <v>5.134</v>
      </c>
    </row>
    <row r="704534" customFormat="false" ht="12" hidden="false" customHeight="true" outlineLevel="0" collapsed="false">
      <c r="B704534" s="1" t="n">
        <v>2014</v>
      </c>
      <c r="C704534" s="1" t="n">
        <v>39.57</v>
      </c>
      <c r="D704534" s="1" t="n">
        <v>4.091</v>
      </c>
    </row>
    <row r="704535" customFormat="false" ht="12" hidden="false" customHeight="true" outlineLevel="0" collapsed="false">
      <c r="B704535" s="1" t="n">
        <v>2015</v>
      </c>
      <c r="C704535" s="1" t="n">
        <v>40.896</v>
      </c>
      <c r="D704535" s="1" t="n">
        <v>3.351</v>
      </c>
    </row>
    <row r="704536" customFormat="false" ht="12" hidden="false" customHeight="true" outlineLevel="0" collapsed="false">
      <c r="B704536" s="1" t="n">
        <v>2016</v>
      </c>
      <c r="C704536" s="1" t="n">
        <v>42.307</v>
      </c>
      <c r="D704536" s="1" t="n">
        <v>3.45</v>
      </c>
    </row>
    <row r="704537" customFormat="false" ht="12" hidden="false" customHeight="true" outlineLevel="0" collapsed="false">
      <c r="B704537" s="1" t="n">
        <v>2017</v>
      </c>
      <c r="C704537" s="1" t="n">
        <v>44.49</v>
      </c>
      <c r="D704537" s="1" t="n">
        <v>5.161</v>
      </c>
    </row>
    <row r="704538" customFormat="false" ht="12" hidden="false" customHeight="true" outlineLevel="0" collapsed="false">
      <c r="B704538" s="1" t="n">
        <v>2018</v>
      </c>
      <c r="C704538" s="1" t="n">
        <v>47.187</v>
      </c>
      <c r="D704538" s="1" t="n">
        <v>6.062</v>
      </c>
    </row>
    <row r="704539" customFormat="false" ht="12" hidden="false" customHeight="true" outlineLevel="0" collapsed="false">
      <c r="B704539" s="1" t="n">
        <v>2019</v>
      </c>
      <c r="C704539" s="1" t="n">
        <v>49.726</v>
      </c>
      <c r="D704539" s="1" t="n">
        <v>5.38</v>
      </c>
    </row>
    <row r="704540" customFormat="false" ht="12" hidden="false" customHeight="true" outlineLevel="0" collapsed="false">
      <c r="B704540" s="1" t="n">
        <v>2020</v>
      </c>
      <c r="C704540" s="1" t="n">
        <v>46.598</v>
      </c>
      <c r="D704540" s="1" t="n">
        <v>-6.291</v>
      </c>
    </row>
    <row r="704541" customFormat="false" ht="12" hidden="false" customHeight="true" outlineLevel="0" collapsed="false">
      <c r="B704541" s="1" t="n">
        <v>2021</v>
      </c>
      <c r="C704541" s="1" t="n">
        <v>51.558</v>
      </c>
      <c r="D704541" s="1" t="n">
        <v>10.644</v>
      </c>
    </row>
    <row r="704542" customFormat="false" ht="12" hidden="false" customHeight="true" outlineLevel="0" collapsed="false">
      <c r="B704542" s="1" t="n">
        <v>2022</v>
      </c>
      <c r="C704542" s="1" t="n">
        <v>57.208</v>
      </c>
      <c r="D704542" s="1" t="n">
        <v>10.96</v>
      </c>
    </row>
    <row r="704543" customFormat="false" ht="12" hidden="false" customHeight="true" outlineLevel="0" collapsed="false">
      <c r="B704543" s="1" t="n">
        <v>2023</v>
      </c>
      <c r="C704543" s="1" t="n">
        <v>61.689</v>
      </c>
      <c r="D704543" s="1" t="n">
        <v>7.832</v>
      </c>
    </row>
    <row r="704544" customFormat="false" ht="12" hidden="false" customHeight="true" outlineLevel="0" collapsed="false">
      <c r="B704544" s="1" t="n">
        <v>2024</v>
      </c>
      <c r="C704544" s="1" t="n">
        <v>67.505</v>
      </c>
      <c r="D704544" s="1" t="n">
        <v>9.429</v>
      </c>
    </row>
    <row r="704545" customFormat="false" ht="12" hidden="false" customHeight="true" outlineLevel="0" collapsed="false">
      <c r="B704545" s="1" t="n">
        <v>2025</v>
      </c>
      <c r="C704545" s="1" t="n">
        <v>71.54</v>
      </c>
      <c r="D704545" s="1" t="n">
        <v>5.977</v>
      </c>
    </row>
    <row r="704546" customFormat="false" ht="12" hidden="false" customHeight="true" outlineLevel="0" collapsed="false">
      <c r="B704546" s="1" t="n">
        <v>2026</v>
      </c>
      <c r="C704546" s="1" t="n">
        <v>75.117</v>
      </c>
      <c r="D704546" s="1" t="n">
        <v>5</v>
      </c>
    </row>
    <row r="704547" customFormat="false" ht="12" hidden="false" customHeight="true" outlineLevel="0" collapsed="false">
      <c r="B704547" s="1" t="n">
        <v>2027</v>
      </c>
      <c r="C704547" s="1" t="n">
        <v>78.873</v>
      </c>
      <c r="D704547" s="1" t="n">
        <v>5</v>
      </c>
    </row>
    <row r="704548" customFormat="false" ht="12" hidden="false" customHeight="true" outlineLevel="0" collapsed="false">
      <c r="B704548" s="1" t="s">
        <v>51</v>
      </c>
      <c r="C704548" s="1" t="n">
        <v>2024</v>
      </c>
      <c r="D704548" s="1" t="n">
        <v>2024</v>
      </c>
    </row>
    <row r="720897" customFormat="false" ht="12" hidden="false" customHeight="true" outlineLevel="0" collapsed="false">
      <c r="B720897" s="1" t="s">
        <v>35</v>
      </c>
      <c r="C720897" s="1" t="n">
        <v>915</v>
      </c>
      <c r="D720897" s="1" t="n">
        <v>915</v>
      </c>
    </row>
    <row r="720898" customFormat="false" ht="12" hidden="false" customHeight="true" outlineLevel="0" collapsed="false">
      <c r="B720898" s="1" t="s">
        <v>36</v>
      </c>
      <c r="C720898" s="1" t="s">
        <v>37</v>
      </c>
      <c r="D720898" s="1" t="s">
        <v>38</v>
      </c>
    </row>
    <row r="720899" customFormat="false" ht="12" hidden="false" customHeight="true" outlineLevel="0" collapsed="false">
      <c r="B720899" s="1" t="s">
        <v>39</v>
      </c>
      <c r="C720899" s="1" t="s">
        <v>40</v>
      </c>
      <c r="D720899" s="1" t="s">
        <v>40</v>
      </c>
    </row>
    <row r="720900" customFormat="false" ht="12" hidden="false" customHeight="true" outlineLevel="0" collapsed="false">
      <c r="B720900" s="1" t="s">
        <v>41</v>
      </c>
      <c r="C720900" s="1" t="s">
        <v>42</v>
      </c>
      <c r="D720900" s="1" t="s">
        <v>42</v>
      </c>
    </row>
    <row r="720901" customFormat="false" ht="12" hidden="false" customHeight="true" outlineLevel="0" collapsed="false">
      <c r="B720901" s="1" t="s">
        <v>43</v>
      </c>
      <c r="C720901" s="1" t="s">
        <v>44</v>
      </c>
      <c r="D720901" s="1" t="s">
        <v>45</v>
      </c>
    </row>
    <row r="720902" customFormat="false" ht="12" hidden="false" customHeight="true" outlineLevel="0" collapsed="false">
      <c r="B720902" s="1" t="s">
        <v>46</v>
      </c>
      <c r="C720902" s="1" t="s">
        <v>47</v>
      </c>
      <c r="D720902" s="1" t="s">
        <v>43</v>
      </c>
    </row>
    <row r="720903" customFormat="false" ht="12" hidden="false" customHeight="true" outlineLevel="0" collapsed="false">
      <c r="B720903" s="1" t="s">
        <v>48</v>
      </c>
      <c r="C720903" s="1" t="s">
        <v>49</v>
      </c>
      <c r="D720903" s="1" t="s">
        <v>50</v>
      </c>
    </row>
    <row r="720904" customFormat="false" ht="12" hidden="false" customHeight="true" outlineLevel="0" collapsed="false">
      <c r="B720904" s="1" t="n">
        <v>2000</v>
      </c>
      <c r="C720904" s="1" t="n">
        <v>16.963</v>
      </c>
      <c r="D720904" s="1" t="n">
        <v>1.865</v>
      </c>
    </row>
    <row r="720905" customFormat="false" ht="12" hidden="false" customHeight="true" outlineLevel="0" collapsed="false">
      <c r="B720905" s="1" t="n">
        <v>2001</v>
      </c>
      <c r="C720905" s="1" t="n">
        <v>17.772</v>
      </c>
      <c r="D720905" s="1" t="n">
        <v>4.769</v>
      </c>
    </row>
    <row r="720906" customFormat="false" ht="12" hidden="false" customHeight="true" outlineLevel="0" collapsed="false">
      <c r="B720906" s="1" t="n">
        <v>2002</v>
      </c>
      <c r="C720906" s="1" t="n">
        <v>18.747</v>
      </c>
      <c r="D720906" s="1" t="n">
        <v>5.487</v>
      </c>
    </row>
    <row r="720907" customFormat="false" ht="12" hidden="false" customHeight="true" outlineLevel="0" collapsed="false">
      <c r="B720907" s="1" t="n">
        <v>2003</v>
      </c>
      <c r="C720907" s="1" t="n">
        <v>20.852</v>
      </c>
      <c r="D720907" s="1" t="n">
        <v>11.228</v>
      </c>
    </row>
    <row r="720908" customFormat="false" ht="12" hidden="false" customHeight="true" outlineLevel="0" collapsed="false">
      <c r="B720908" s="1" t="n">
        <v>2004</v>
      </c>
      <c r="C720908" s="1" t="n">
        <v>22.061</v>
      </c>
      <c r="D720908" s="1" t="n">
        <v>5.796</v>
      </c>
    </row>
    <row r="720909" customFormat="false" ht="12" hidden="false" customHeight="true" outlineLevel="0" collapsed="false">
      <c r="B720909" s="1" t="n">
        <v>2005</v>
      </c>
      <c r="C720909" s="1" t="n">
        <v>24.176</v>
      </c>
      <c r="D720909" s="1" t="n">
        <v>9.588</v>
      </c>
    </row>
    <row r="720910" customFormat="false" ht="12" hidden="false" customHeight="true" outlineLevel="0" collapsed="false">
      <c r="B720910" s="1" t="n">
        <v>2006</v>
      </c>
      <c r="C720910" s="1" t="n">
        <v>26.454</v>
      </c>
      <c r="D720910" s="1" t="n">
        <v>9.42</v>
      </c>
    </row>
    <row r="720911" customFormat="false" ht="12" hidden="false" customHeight="true" outlineLevel="0" collapsed="false">
      <c r="B720911" s="1" t="n">
        <v>2007</v>
      </c>
      <c r="C720911" s="1" t="n">
        <v>29.781</v>
      </c>
      <c r="D720911" s="1" t="n">
        <v>12.579</v>
      </c>
    </row>
    <row r="720912" customFormat="false" ht="12" hidden="false" customHeight="true" outlineLevel="0" collapsed="false">
      <c r="B720912" s="1" t="n">
        <v>2008</v>
      </c>
      <c r="C720912" s="1" t="n">
        <v>30.502</v>
      </c>
      <c r="D720912" s="1" t="n">
        <v>2.419</v>
      </c>
    </row>
    <row r="720913" customFormat="false" ht="12" hidden="false" customHeight="true" outlineLevel="0" collapsed="false">
      <c r="B720913" s="1" t="n">
        <v>2009</v>
      </c>
      <c r="C720913" s="1" t="n">
        <v>29.388</v>
      </c>
      <c r="D720913" s="1" t="n">
        <v>-3.651</v>
      </c>
    </row>
    <row r="720914" customFormat="false" ht="12" hidden="false" customHeight="true" outlineLevel="0" collapsed="false">
      <c r="B720914" s="1" t="n">
        <v>2010</v>
      </c>
      <c r="C720914" s="1" t="n">
        <v>31.428</v>
      </c>
      <c r="D720914" s="1" t="n">
        <v>6.942</v>
      </c>
    </row>
    <row r="720915" customFormat="false" ht="12" hidden="false" customHeight="true" outlineLevel="0" collapsed="false">
      <c r="B720915" s="1" t="n">
        <v>2011</v>
      </c>
      <c r="C720915" s="1" t="n">
        <v>33.927</v>
      </c>
      <c r="D720915" s="1" t="n">
        <v>7.949</v>
      </c>
    </row>
    <row r="720916" customFormat="false" ht="12" hidden="false" customHeight="true" outlineLevel="0" collapsed="false">
      <c r="B720916" s="1" t="n">
        <v>2012</v>
      </c>
      <c r="C720916" s="1" t="n">
        <v>36.159</v>
      </c>
      <c r="D720916" s="1" t="n">
        <v>6.579</v>
      </c>
    </row>
    <row r="720917" customFormat="false" ht="12" hidden="false" customHeight="true" outlineLevel="0" collapsed="false">
      <c r="B720917" s="1" t="n">
        <v>2013</v>
      </c>
      <c r="C720917" s="1" t="n">
        <v>38.015</v>
      </c>
      <c r="D720917" s="1" t="n">
        <v>5.134</v>
      </c>
    </row>
    <row r="720918" customFormat="false" ht="12" hidden="false" customHeight="true" outlineLevel="0" collapsed="false">
      <c r="B720918" s="1" t="n">
        <v>2014</v>
      </c>
      <c r="C720918" s="1" t="n">
        <v>39.57</v>
      </c>
      <c r="D720918" s="1" t="n">
        <v>4.091</v>
      </c>
    </row>
    <row r="720919" customFormat="false" ht="12" hidden="false" customHeight="true" outlineLevel="0" collapsed="false">
      <c r="B720919" s="1" t="n">
        <v>2015</v>
      </c>
      <c r="C720919" s="1" t="n">
        <v>40.896</v>
      </c>
      <c r="D720919" s="1" t="n">
        <v>3.351</v>
      </c>
    </row>
    <row r="720920" customFormat="false" ht="12" hidden="false" customHeight="true" outlineLevel="0" collapsed="false">
      <c r="B720920" s="1" t="n">
        <v>2016</v>
      </c>
      <c r="C720920" s="1" t="n">
        <v>42.307</v>
      </c>
      <c r="D720920" s="1" t="n">
        <v>3.45</v>
      </c>
    </row>
    <row r="720921" customFormat="false" ht="12" hidden="false" customHeight="true" outlineLevel="0" collapsed="false">
      <c r="B720921" s="1" t="n">
        <v>2017</v>
      </c>
      <c r="C720921" s="1" t="n">
        <v>44.49</v>
      </c>
      <c r="D720921" s="1" t="n">
        <v>5.161</v>
      </c>
    </row>
    <row r="720922" customFormat="false" ht="12" hidden="false" customHeight="true" outlineLevel="0" collapsed="false">
      <c r="B720922" s="1" t="n">
        <v>2018</v>
      </c>
      <c r="C720922" s="1" t="n">
        <v>47.187</v>
      </c>
      <c r="D720922" s="1" t="n">
        <v>6.062</v>
      </c>
    </row>
    <row r="720923" customFormat="false" ht="12" hidden="false" customHeight="true" outlineLevel="0" collapsed="false">
      <c r="B720923" s="1" t="n">
        <v>2019</v>
      </c>
      <c r="C720923" s="1" t="n">
        <v>49.726</v>
      </c>
      <c r="D720923" s="1" t="n">
        <v>5.38</v>
      </c>
    </row>
    <row r="720924" customFormat="false" ht="12" hidden="false" customHeight="true" outlineLevel="0" collapsed="false">
      <c r="B720924" s="1" t="n">
        <v>2020</v>
      </c>
      <c r="C720924" s="1" t="n">
        <v>46.598</v>
      </c>
      <c r="D720924" s="1" t="n">
        <v>-6.291</v>
      </c>
    </row>
    <row r="720925" customFormat="false" ht="12" hidden="false" customHeight="true" outlineLevel="0" collapsed="false">
      <c r="B720925" s="1" t="n">
        <v>2021</v>
      </c>
      <c r="C720925" s="1" t="n">
        <v>51.558</v>
      </c>
      <c r="D720925" s="1" t="n">
        <v>10.644</v>
      </c>
    </row>
    <row r="720926" customFormat="false" ht="12" hidden="false" customHeight="true" outlineLevel="0" collapsed="false">
      <c r="B720926" s="1" t="n">
        <v>2022</v>
      </c>
      <c r="C720926" s="1" t="n">
        <v>57.208</v>
      </c>
      <c r="D720926" s="1" t="n">
        <v>10.96</v>
      </c>
    </row>
    <row r="720927" customFormat="false" ht="12" hidden="false" customHeight="true" outlineLevel="0" collapsed="false">
      <c r="B720927" s="1" t="n">
        <v>2023</v>
      </c>
      <c r="C720927" s="1" t="n">
        <v>61.689</v>
      </c>
      <c r="D720927" s="1" t="n">
        <v>7.832</v>
      </c>
    </row>
    <row r="720928" customFormat="false" ht="12" hidden="false" customHeight="true" outlineLevel="0" collapsed="false">
      <c r="B720928" s="1" t="n">
        <v>2024</v>
      </c>
      <c r="C720928" s="1" t="n">
        <v>67.505</v>
      </c>
      <c r="D720928" s="1" t="n">
        <v>9.429</v>
      </c>
    </row>
    <row r="720929" customFormat="false" ht="12" hidden="false" customHeight="true" outlineLevel="0" collapsed="false">
      <c r="B720929" s="1" t="n">
        <v>2025</v>
      </c>
      <c r="C720929" s="1" t="n">
        <v>71.54</v>
      </c>
      <c r="D720929" s="1" t="n">
        <v>5.977</v>
      </c>
    </row>
    <row r="720930" customFormat="false" ht="12" hidden="false" customHeight="true" outlineLevel="0" collapsed="false">
      <c r="B720930" s="1" t="n">
        <v>2026</v>
      </c>
      <c r="C720930" s="1" t="n">
        <v>75.117</v>
      </c>
      <c r="D720930" s="1" t="n">
        <v>5</v>
      </c>
    </row>
    <row r="720931" customFormat="false" ht="12" hidden="false" customHeight="true" outlineLevel="0" collapsed="false">
      <c r="B720931" s="1" t="n">
        <v>2027</v>
      </c>
      <c r="C720931" s="1" t="n">
        <v>78.873</v>
      </c>
      <c r="D720931" s="1" t="n">
        <v>5</v>
      </c>
    </row>
    <row r="720932" customFormat="false" ht="12" hidden="false" customHeight="true" outlineLevel="0" collapsed="false">
      <c r="B720932" s="1" t="s">
        <v>51</v>
      </c>
      <c r="C720932" s="1" t="n">
        <v>2024</v>
      </c>
      <c r="D720932" s="1" t="n">
        <v>2024</v>
      </c>
    </row>
    <row r="737281" customFormat="false" ht="12" hidden="false" customHeight="true" outlineLevel="0" collapsed="false">
      <c r="B737281" s="1" t="s">
        <v>35</v>
      </c>
      <c r="C737281" s="1" t="n">
        <v>915</v>
      </c>
      <c r="D737281" s="1" t="n">
        <v>915</v>
      </c>
    </row>
    <row r="737282" customFormat="false" ht="12" hidden="false" customHeight="true" outlineLevel="0" collapsed="false">
      <c r="B737282" s="1" t="s">
        <v>36</v>
      </c>
      <c r="C737282" s="1" t="s">
        <v>37</v>
      </c>
      <c r="D737282" s="1" t="s">
        <v>38</v>
      </c>
    </row>
    <row r="737283" customFormat="false" ht="12" hidden="false" customHeight="true" outlineLevel="0" collapsed="false">
      <c r="B737283" s="1" t="s">
        <v>39</v>
      </c>
      <c r="C737283" s="1" t="s">
        <v>40</v>
      </c>
      <c r="D737283" s="1" t="s">
        <v>40</v>
      </c>
    </row>
    <row r="737284" customFormat="false" ht="12" hidden="false" customHeight="true" outlineLevel="0" collapsed="false">
      <c r="B737284" s="1" t="s">
        <v>41</v>
      </c>
      <c r="C737284" s="1" t="s">
        <v>42</v>
      </c>
      <c r="D737284" s="1" t="s">
        <v>42</v>
      </c>
    </row>
    <row r="737285" customFormat="false" ht="12" hidden="false" customHeight="true" outlineLevel="0" collapsed="false">
      <c r="B737285" s="1" t="s">
        <v>43</v>
      </c>
      <c r="C737285" s="1" t="s">
        <v>44</v>
      </c>
      <c r="D737285" s="1" t="s">
        <v>45</v>
      </c>
    </row>
    <row r="737286" customFormat="false" ht="12" hidden="false" customHeight="true" outlineLevel="0" collapsed="false">
      <c r="B737286" s="1" t="s">
        <v>46</v>
      </c>
      <c r="C737286" s="1" t="s">
        <v>47</v>
      </c>
      <c r="D737286" s="1" t="s">
        <v>43</v>
      </c>
    </row>
    <row r="737287" customFormat="false" ht="12" hidden="false" customHeight="true" outlineLevel="0" collapsed="false">
      <c r="B737287" s="1" t="s">
        <v>48</v>
      </c>
      <c r="C737287" s="1" t="s">
        <v>49</v>
      </c>
      <c r="D737287" s="1" t="s">
        <v>50</v>
      </c>
    </row>
    <row r="737288" customFormat="false" ht="12" hidden="false" customHeight="true" outlineLevel="0" collapsed="false">
      <c r="B737288" s="1" t="n">
        <v>2000</v>
      </c>
      <c r="C737288" s="1" t="n">
        <v>16.963</v>
      </c>
      <c r="D737288" s="1" t="n">
        <v>1.865</v>
      </c>
    </row>
    <row r="737289" customFormat="false" ht="12" hidden="false" customHeight="true" outlineLevel="0" collapsed="false">
      <c r="B737289" s="1" t="n">
        <v>2001</v>
      </c>
      <c r="C737289" s="1" t="n">
        <v>17.772</v>
      </c>
      <c r="D737289" s="1" t="n">
        <v>4.769</v>
      </c>
    </row>
    <row r="737290" customFormat="false" ht="12" hidden="false" customHeight="true" outlineLevel="0" collapsed="false">
      <c r="B737290" s="1" t="n">
        <v>2002</v>
      </c>
      <c r="C737290" s="1" t="n">
        <v>18.747</v>
      </c>
      <c r="D737290" s="1" t="n">
        <v>5.487</v>
      </c>
    </row>
    <row r="737291" customFormat="false" ht="12" hidden="false" customHeight="true" outlineLevel="0" collapsed="false">
      <c r="B737291" s="1" t="n">
        <v>2003</v>
      </c>
      <c r="C737291" s="1" t="n">
        <v>20.852</v>
      </c>
      <c r="D737291" s="1" t="n">
        <v>11.228</v>
      </c>
    </row>
    <row r="737292" customFormat="false" ht="12" hidden="false" customHeight="true" outlineLevel="0" collapsed="false">
      <c r="B737292" s="1" t="n">
        <v>2004</v>
      </c>
      <c r="C737292" s="1" t="n">
        <v>22.061</v>
      </c>
      <c r="D737292" s="1" t="n">
        <v>5.796</v>
      </c>
    </row>
    <row r="737293" customFormat="false" ht="12" hidden="false" customHeight="true" outlineLevel="0" collapsed="false">
      <c r="B737293" s="1" t="n">
        <v>2005</v>
      </c>
      <c r="C737293" s="1" t="n">
        <v>24.176</v>
      </c>
      <c r="D737293" s="1" t="n">
        <v>9.588</v>
      </c>
    </row>
    <row r="737294" customFormat="false" ht="12" hidden="false" customHeight="true" outlineLevel="0" collapsed="false">
      <c r="B737294" s="1" t="n">
        <v>2006</v>
      </c>
      <c r="C737294" s="1" t="n">
        <v>26.454</v>
      </c>
      <c r="D737294" s="1" t="n">
        <v>9.42</v>
      </c>
    </row>
    <row r="737295" customFormat="false" ht="12" hidden="false" customHeight="true" outlineLevel="0" collapsed="false">
      <c r="B737295" s="1" t="n">
        <v>2007</v>
      </c>
      <c r="C737295" s="1" t="n">
        <v>29.781</v>
      </c>
      <c r="D737295" s="1" t="n">
        <v>12.579</v>
      </c>
    </row>
    <row r="737296" customFormat="false" ht="12" hidden="false" customHeight="true" outlineLevel="0" collapsed="false">
      <c r="B737296" s="1" t="n">
        <v>2008</v>
      </c>
      <c r="C737296" s="1" t="n">
        <v>30.502</v>
      </c>
      <c r="D737296" s="1" t="n">
        <v>2.419</v>
      </c>
    </row>
    <row r="737297" customFormat="false" ht="12" hidden="false" customHeight="true" outlineLevel="0" collapsed="false">
      <c r="B737297" s="1" t="n">
        <v>2009</v>
      </c>
      <c r="C737297" s="1" t="n">
        <v>29.388</v>
      </c>
      <c r="D737297" s="1" t="n">
        <v>-3.651</v>
      </c>
    </row>
    <row r="737298" customFormat="false" ht="12" hidden="false" customHeight="true" outlineLevel="0" collapsed="false">
      <c r="B737298" s="1" t="n">
        <v>2010</v>
      </c>
      <c r="C737298" s="1" t="n">
        <v>31.428</v>
      </c>
      <c r="D737298" s="1" t="n">
        <v>6.942</v>
      </c>
    </row>
    <row r="737299" customFormat="false" ht="12" hidden="false" customHeight="true" outlineLevel="0" collapsed="false">
      <c r="B737299" s="1" t="n">
        <v>2011</v>
      </c>
      <c r="C737299" s="1" t="n">
        <v>33.927</v>
      </c>
      <c r="D737299" s="1" t="n">
        <v>7.949</v>
      </c>
    </row>
    <row r="737300" customFormat="false" ht="12" hidden="false" customHeight="true" outlineLevel="0" collapsed="false">
      <c r="B737300" s="1" t="n">
        <v>2012</v>
      </c>
      <c r="C737300" s="1" t="n">
        <v>36.159</v>
      </c>
      <c r="D737300" s="1" t="n">
        <v>6.579</v>
      </c>
    </row>
    <row r="737301" customFormat="false" ht="12" hidden="false" customHeight="true" outlineLevel="0" collapsed="false">
      <c r="B737301" s="1" t="n">
        <v>2013</v>
      </c>
      <c r="C737301" s="1" t="n">
        <v>38.015</v>
      </c>
      <c r="D737301" s="1" t="n">
        <v>5.134</v>
      </c>
    </row>
    <row r="737302" customFormat="false" ht="12" hidden="false" customHeight="true" outlineLevel="0" collapsed="false">
      <c r="B737302" s="1" t="n">
        <v>2014</v>
      </c>
      <c r="C737302" s="1" t="n">
        <v>39.57</v>
      </c>
      <c r="D737302" s="1" t="n">
        <v>4.091</v>
      </c>
    </row>
    <row r="737303" customFormat="false" ht="12" hidden="false" customHeight="true" outlineLevel="0" collapsed="false">
      <c r="B737303" s="1" t="n">
        <v>2015</v>
      </c>
      <c r="C737303" s="1" t="n">
        <v>40.896</v>
      </c>
      <c r="D737303" s="1" t="n">
        <v>3.351</v>
      </c>
    </row>
    <row r="737304" customFormat="false" ht="12" hidden="false" customHeight="true" outlineLevel="0" collapsed="false">
      <c r="B737304" s="1" t="n">
        <v>2016</v>
      </c>
      <c r="C737304" s="1" t="n">
        <v>42.307</v>
      </c>
      <c r="D737304" s="1" t="n">
        <v>3.45</v>
      </c>
    </row>
    <row r="737305" customFormat="false" ht="12" hidden="false" customHeight="true" outlineLevel="0" collapsed="false">
      <c r="B737305" s="1" t="n">
        <v>2017</v>
      </c>
      <c r="C737305" s="1" t="n">
        <v>44.49</v>
      </c>
      <c r="D737305" s="1" t="n">
        <v>5.161</v>
      </c>
    </row>
    <row r="737306" customFormat="false" ht="12" hidden="false" customHeight="true" outlineLevel="0" collapsed="false">
      <c r="B737306" s="1" t="n">
        <v>2018</v>
      </c>
      <c r="C737306" s="1" t="n">
        <v>47.187</v>
      </c>
      <c r="D737306" s="1" t="n">
        <v>6.062</v>
      </c>
    </row>
    <row r="737307" customFormat="false" ht="12" hidden="false" customHeight="true" outlineLevel="0" collapsed="false">
      <c r="B737307" s="1" t="n">
        <v>2019</v>
      </c>
      <c r="C737307" s="1" t="n">
        <v>49.726</v>
      </c>
      <c r="D737307" s="1" t="n">
        <v>5.38</v>
      </c>
    </row>
    <row r="737308" customFormat="false" ht="12" hidden="false" customHeight="true" outlineLevel="0" collapsed="false">
      <c r="B737308" s="1" t="n">
        <v>2020</v>
      </c>
      <c r="C737308" s="1" t="n">
        <v>46.598</v>
      </c>
      <c r="D737308" s="1" t="n">
        <v>-6.291</v>
      </c>
    </row>
    <row r="737309" customFormat="false" ht="12" hidden="false" customHeight="true" outlineLevel="0" collapsed="false">
      <c r="B737309" s="1" t="n">
        <v>2021</v>
      </c>
      <c r="C737309" s="1" t="n">
        <v>51.558</v>
      </c>
      <c r="D737309" s="1" t="n">
        <v>10.644</v>
      </c>
    </row>
    <row r="737310" customFormat="false" ht="12" hidden="false" customHeight="true" outlineLevel="0" collapsed="false">
      <c r="B737310" s="1" t="n">
        <v>2022</v>
      </c>
      <c r="C737310" s="1" t="n">
        <v>57.208</v>
      </c>
      <c r="D737310" s="1" t="n">
        <v>10.96</v>
      </c>
    </row>
    <row r="737311" customFormat="false" ht="12" hidden="false" customHeight="true" outlineLevel="0" collapsed="false">
      <c r="B737311" s="1" t="n">
        <v>2023</v>
      </c>
      <c r="C737311" s="1" t="n">
        <v>61.689</v>
      </c>
      <c r="D737311" s="1" t="n">
        <v>7.832</v>
      </c>
    </row>
    <row r="737312" customFormat="false" ht="12" hidden="false" customHeight="true" outlineLevel="0" collapsed="false">
      <c r="B737312" s="1" t="n">
        <v>2024</v>
      </c>
      <c r="C737312" s="1" t="n">
        <v>67.505</v>
      </c>
      <c r="D737312" s="1" t="n">
        <v>9.429</v>
      </c>
    </row>
    <row r="737313" customFormat="false" ht="12" hidden="false" customHeight="true" outlineLevel="0" collapsed="false">
      <c r="B737313" s="1" t="n">
        <v>2025</v>
      </c>
      <c r="C737313" s="1" t="n">
        <v>71.54</v>
      </c>
      <c r="D737313" s="1" t="n">
        <v>5.977</v>
      </c>
    </row>
    <row r="737314" customFormat="false" ht="12" hidden="false" customHeight="true" outlineLevel="0" collapsed="false">
      <c r="B737314" s="1" t="n">
        <v>2026</v>
      </c>
      <c r="C737314" s="1" t="n">
        <v>75.117</v>
      </c>
      <c r="D737314" s="1" t="n">
        <v>5</v>
      </c>
    </row>
    <row r="737315" customFormat="false" ht="12" hidden="false" customHeight="true" outlineLevel="0" collapsed="false">
      <c r="B737315" s="1" t="n">
        <v>2027</v>
      </c>
      <c r="C737315" s="1" t="n">
        <v>78.873</v>
      </c>
      <c r="D737315" s="1" t="n">
        <v>5</v>
      </c>
    </row>
    <row r="737316" customFormat="false" ht="12" hidden="false" customHeight="true" outlineLevel="0" collapsed="false">
      <c r="B737316" s="1" t="s">
        <v>51</v>
      </c>
      <c r="C737316" s="1" t="n">
        <v>2024</v>
      </c>
      <c r="D737316" s="1" t="n">
        <v>2024</v>
      </c>
    </row>
    <row r="753665" customFormat="false" ht="12" hidden="false" customHeight="true" outlineLevel="0" collapsed="false">
      <c r="B753665" s="1" t="s">
        <v>35</v>
      </c>
      <c r="C753665" s="1" t="n">
        <v>915</v>
      </c>
      <c r="D753665" s="1" t="n">
        <v>915</v>
      </c>
    </row>
    <row r="753666" customFormat="false" ht="12" hidden="false" customHeight="true" outlineLevel="0" collapsed="false">
      <c r="B753666" s="1" t="s">
        <v>36</v>
      </c>
      <c r="C753666" s="1" t="s">
        <v>37</v>
      </c>
      <c r="D753666" s="1" t="s">
        <v>38</v>
      </c>
    </row>
    <row r="753667" customFormat="false" ht="12" hidden="false" customHeight="true" outlineLevel="0" collapsed="false">
      <c r="B753667" s="1" t="s">
        <v>39</v>
      </c>
      <c r="C753667" s="1" t="s">
        <v>40</v>
      </c>
      <c r="D753667" s="1" t="s">
        <v>40</v>
      </c>
    </row>
    <row r="753668" customFormat="false" ht="12" hidden="false" customHeight="true" outlineLevel="0" collapsed="false">
      <c r="B753668" s="1" t="s">
        <v>41</v>
      </c>
      <c r="C753668" s="1" t="s">
        <v>42</v>
      </c>
      <c r="D753668" s="1" t="s">
        <v>42</v>
      </c>
    </row>
    <row r="753669" customFormat="false" ht="12" hidden="false" customHeight="true" outlineLevel="0" collapsed="false">
      <c r="B753669" s="1" t="s">
        <v>43</v>
      </c>
      <c r="C753669" s="1" t="s">
        <v>44</v>
      </c>
      <c r="D753669" s="1" t="s">
        <v>45</v>
      </c>
    </row>
    <row r="753670" customFormat="false" ht="12" hidden="false" customHeight="true" outlineLevel="0" collapsed="false">
      <c r="B753670" s="1" t="s">
        <v>46</v>
      </c>
      <c r="C753670" s="1" t="s">
        <v>47</v>
      </c>
      <c r="D753670" s="1" t="s">
        <v>43</v>
      </c>
    </row>
    <row r="753671" customFormat="false" ht="12" hidden="false" customHeight="true" outlineLevel="0" collapsed="false">
      <c r="B753671" s="1" t="s">
        <v>48</v>
      </c>
      <c r="C753671" s="1" t="s">
        <v>49</v>
      </c>
      <c r="D753671" s="1" t="s">
        <v>50</v>
      </c>
    </row>
    <row r="753672" customFormat="false" ht="12" hidden="false" customHeight="true" outlineLevel="0" collapsed="false">
      <c r="B753672" s="1" t="n">
        <v>2000</v>
      </c>
      <c r="C753672" s="1" t="n">
        <v>16.963</v>
      </c>
      <c r="D753672" s="1" t="n">
        <v>1.865</v>
      </c>
    </row>
    <row r="753673" customFormat="false" ht="12" hidden="false" customHeight="true" outlineLevel="0" collapsed="false">
      <c r="B753673" s="1" t="n">
        <v>2001</v>
      </c>
      <c r="C753673" s="1" t="n">
        <v>17.772</v>
      </c>
      <c r="D753673" s="1" t="n">
        <v>4.769</v>
      </c>
    </row>
    <row r="753674" customFormat="false" ht="12" hidden="false" customHeight="true" outlineLevel="0" collapsed="false">
      <c r="B753674" s="1" t="n">
        <v>2002</v>
      </c>
      <c r="C753674" s="1" t="n">
        <v>18.747</v>
      </c>
      <c r="D753674" s="1" t="n">
        <v>5.487</v>
      </c>
    </row>
    <row r="753675" customFormat="false" ht="12" hidden="false" customHeight="true" outlineLevel="0" collapsed="false">
      <c r="B753675" s="1" t="n">
        <v>2003</v>
      </c>
      <c r="C753675" s="1" t="n">
        <v>20.852</v>
      </c>
      <c r="D753675" s="1" t="n">
        <v>11.228</v>
      </c>
    </row>
    <row r="753676" customFormat="false" ht="12" hidden="false" customHeight="true" outlineLevel="0" collapsed="false">
      <c r="B753676" s="1" t="n">
        <v>2004</v>
      </c>
      <c r="C753676" s="1" t="n">
        <v>22.061</v>
      </c>
      <c r="D753676" s="1" t="n">
        <v>5.796</v>
      </c>
    </row>
    <row r="753677" customFormat="false" ht="12" hidden="false" customHeight="true" outlineLevel="0" collapsed="false">
      <c r="B753677" s="1" t="n">
        <v>2005</v>
      </c>
      <c r="C753677" s="1" t="n">
        <v>24.176</v>
      </c>
      <c r="D753677" s="1" t="n">
        <v>9.588</v>
      </c>
    </row>
    <row r="753678" customFormat="false" ht="12" hidden="false" customHeight="true" outlineLevel="0" collapsed="false">
      <c r="B753678" s="1" t="n">
        <v>2006</v>
      </c>
      <c r="C753678" s="1" t="n">
        <v>26.454</v>
      </c>
      <c r="D753678" s="1" t="n">
        <v>9.42</v>
      </c>
    </row>
    <row r="753679" customFormat="false" ht="12" hidden="false" customHeight="true" outlineLevel="0" collapsed="false">
      <c r="B753679" s="1" t="n">
        <v>2007</v>
      </c>
      <c r="C753679" s="1" t="n">
        <v>29.781</v>
      </c>
      <c r="D753679" s="1" t="n">
        <v>12.579</v>
      </c>
    </row>
    <row r="753680" customFormat="false" ht="12" hidden="false" customHeight="true" outlineLevel="0" collapsed="false">
      <c r="B753680" s="1" t="n">
        <v>2008</v>
      </c>
      <c r="C753680" s="1" t="n">
        <v>30.502</v>
      </c>
      <c r="D753680" s="1" t="n">
        <v>2.419</v>
      </c>
    </row>
    <row r="753681" customFormat="false" ht="12" hidden="false" customHeight="true" outlineLevel="0" collapsed="false">
      <c r="B753681" s="1" t="n">
        <v>2009</v>
      </c>
      <c r="C753681" s="1" t="n">
        <v>29.388</v>
      </c>
      <c r="D753681" s="1" t="n">
        <v>-3.651</v>
      </c>
    </row>
    <row r="753682" customFormat="false" ht="12" hidden="false" customHeight="true" outlineLevel="0" collapsed="false">
      <c r="B753682" s="1" t="n">
        <v>2010</v>
      </c>
      <c r="C753682" s="1" t="n">
        <v>31.428</v>
      </c>
      <c r="D753682" s="1" t="n">
        <v>6.942</v>
      </c>
    </row>
    <row r="753683" customFormat="false" ht="12" hidden="false" customHeight="true" outlineLevel="0" collapsed="false">
      <c r="B753683" s="1" t="n">
        <v>2011</v>
      </c>
      <c r="C753683" s="1" t="n">
        <v>33.927</v>
      </c>
      <c r="D753683" s="1" t="n">
        <v>7.949</v>
      </c>
    </row>
    <row r="753684" customFormat="false" ht="12" hidden="false" customHeight="true" outlineLevel="0" collapsed="false">
      <c r="B753684" s="1" t="n">
        <v>2012</v>
      </c>
      <c r="C753684" s="1" t="n">
        <v>36.159</v>
      </c>
      <c r="D753684" s="1" t="n">
        <v>6.579</v>
      </c>
    </row>
    <row r="753685" customFormat="false" ht="12" hidden="false" customHeight="true" outlineLevel="0" collapsed="false">
      <c r="B753685" s="1" t="n">
        <v>2013</v>
      </c>
      <c r="C753685" s="1" t="n">
        <v>38.015</v>
      </c>
      <c r="D753685" s="1" t="n">
        <v>5.134</v>
      </c>
    </row>
    <row r="753686" customFormat="false" ht="12" hidden="false" customHeight="true" outlineLevel="0" collapsed="false">
      <c r="B753686" s="1" t="n">
        <v>2014</v>
      </c>
      <c r="C753686" s="1" t="n">
        <v>39.57</v>
      </c>
      <c r="D753686" s="1" t="n">
        <v>4.091</v>
      </c>
    </row>
    <row r="753687" customFormat="false" ht="12" hidden="false" customHeight="true" outlineLevel="0" collapsed="false">
      <c r="B753687" s="1" t="n">
        <v>2015</v>
      </c>
      <c r="C753687" s="1" t="n">
        <v>40.896</v>
      </c>
      <c r="D753687" s="1" t="n">
        <v>3.351</v>
      </c>
    </row>
    <row r="753688" customFormat="false" ht="12" hidden="false" customHeight="true" outlineLevel="0" collapsed="false">
      <c r="B753688" s="1" t="n">
        <v>2016</v>
      </c>
      <c r="C753688" s="1" t="n">
        <v>42.307</v>
      </c>
      <c r="D753688" s="1" t="n">
        <v>3.45</v>
      </c>
    </row>
    <row r="753689" customFormat="false" ht="12" hidden="false" customHeight="true" outlineLevel="0" collapsed="false">
      <c r="B753689" s="1" t="n">
        <v>2017</v>
      </c>
      <c r="C753689" s="1" t="n">
        <v>44.49</v>
      </c>
      <c r="D753689" s="1" t="n">
        <v>5.161</v>
      </c>
    </row>
    <row r="753690" customFormat="false" ht="12" hidden="false" customHeight="true" outlineLevel="0" collapsed="false">
      <c r="B753690" s="1" t="n">
        <v>2018</v>
      </c>
      <c r="C753690" s="1" t="n">
        <v>47.187</v>
      </c>
      <c r="D753690" s="1" t="n">
        <v>6.062</v>
      </c>
    </row>
    <row r="753691" customFormat="false" ht="12" hidden="false" customHeight="true" outlineLevel="0" collapsed="false">
      <c r="B753691" s="1" t="n">
        <v>2019</v>
      </c>
      <c r="C753691" s="1" t="n">
        <v>49.726</v>
      </c>
      <c r="D753691" s="1" t="n">
        <v>5.38</v>
      </c>
    </row>
    <row r="753692" customFormat="false" ht="12" hidden="false" customHeight="true" outlineLevel="0" collapsed="false">
      <c r="B753692" s="1" t="n">
        <v>2020</v>
      </c>
      <c r="C753692" s="1" t="n">
        <v>46.598</v>
      </c>
      <c r="D753692" s="1" t="n">
        <v>-6.291</v>
      </c>
    </row>
    <row r="753693" customFormat="false" ht="12" hidden="false" customHeight="true" outlineLevel="0" collapsed="false">
      <c r="B753693" s="1" t="n">
        <v>2021</v>
      </c>
      <c r="C753693" s="1" t="n">
        <v>51.558</v>
      </c>
      <c r="D753693" s="1" t="n">
        <v>10.644</v>
      </c>
    </row>
    <row r="753694" customFormat="false" ht="12" hidden="false" customHeight="true" outlineLevel="0" collapsed="false">
      <c r="B753694" s="1" t="n">
        <v>2022</v>
      </c>
      <c r="C753694" s="1" t="n">
        <v>57.208</v>
      </c>
      <c r="D753694" s="1" t="n">
        <v>10.96</v>
      </c>
    </row>
    <row r="753695" customFormat="false" ht="12" hidden="false" customHeight="true" outlineLevel="0" collapsed="false">
      <c r="B753695" s="1" t="n">
        <v>2023</v>
      </c>
      <c r="C753695" s="1" t="n">
        <v>61.689</v>
      </c>
      <c r="D753695" s="1" t="n">
        <v>7.832</v>
      </c>
    </row>
    <row r="753696" customFormat="false" ht="12" hidden="false" customHeight="true" outlineLevel="0" collapsed="false">
      <c r="B753696" s="1" t="n">
        <v>2024</v>
      </c>
      <c r="C753696" s="1" t="n">
        <v>67.505</v>
      </c>
      <c r="D753696" s="1" t="n">
        <v>9.429</v>
      </c>
    </row>
    <row r="753697" customFormat="false" ht="12" hidden="false" customHeight="true" outlineLevel="0" collapsed="false">
      <c r="B753697" s="1" t="n">
        <v>2025</v>
      </c>
      <c r="C753697" s="1" t="n">
        <v>71.54</v>
      </c>
      <c r="D753697" s="1" t="n">
        <v>5.977</v>
      </c>
    </row>
    <row r="753698" customFormat="false" ht="12" hidden="false" customHeight="true" outlineLevel="0" collapsed="false">
      <c r="B753698" s="1" t="n">
        <v>2026</v>
      </c>
      <c r="C753698" s="1" t="n">
        <v>75.117</v>
      </c>
      <c r="D753698" s="1" t="n">
        <v>5</v>
      </c>
    </row>
    <row r="753699" customFormat="false" ht="12" hidden="false" customHeight="true" outlineLevel="0" collapsed="false">
      <c r="B753699" s="1" t="n">
        <v>2027</v>
      </c>
      <c r="C753699" s="1" t="n">
        <v>78.873</v>
      </c>
      <c r="D753699" s="1" t="n">
        <v>5</v>
      </c>
    </row>
    <row r="753700" customFormat="false" ht="12" hidden="false" customHeight="true" outlineLevel="0" collapsed="false">
      <c r="B753700" s="1" t="s">
        <v>51</v>
      </c>
      <c r="C753700" s="1" t="n">
        <v>2024</v>
      </c>
      <c r="D753700" s="1" t="n">
        <v>2024</v>
      </c>
    </row>
    <row r="770049" customFormat="false" ht="12" hidden="false" customHeight="true" outlineLevel="0" collapsed="false">
      <c r="B770049" s="1" t="s">
        <v>35</v>
      </c>
      <c r="C770049" s="1" t="n">
        <v>915</v>
      </c>
      <c r="D770049" s="1" t="n">
        <v>915</v>
      </c>
    </row>
    <row r="770050" customFormat="false" ht="12" hidden="false" customHeight="true" outlineLevel="0" collapsed="false">
      <c r="B770050" s="1" t="s">
        <v>36</v>
      </c>
      <c r="C770050" s="1" t="s">
        <v>37</v>
      </c>
      <c r="D770050" s="1" t="s">
        <v>38</v>
      </c>
    </row>
    <row r="770051" customFormat="false" ht="12" hidden="false" customHeight="true" outlineLevel="0" collapsed="false">
      <c r="B770051" s="1" t="s">
        <v>39</v>
      </c>
      <c r="C770051" s="1" t="s">
        <v>40</v>
      </c>
      <c r="D770051" s="1" t="s">
        <v>40</v>
      </c>
    </row>
    <row r="770052" customFormat="false" ht="12" hidden="false" customHeight="true" outlineLevel="0" collapsed="false">
      <c r="B770052" s="1" t="s">
        <v>41</v>
      </c>
      <c r="C770052" s="1" t="s">
        <v>42</v>
      </c>
      <c r="D770052" s="1" t="s">
        <v>42</v>
      </c>
    </row>
    <row r="770053" customFormat="false" ht="12" hidden="false" customHeight="true" outlineLevel="0" collapsed="false">
      <c r="B770053" s="1" t="s">
        <v>43</v>
      </c>
      <c r="C770053" s="1" t="s">
        <v>44</v>
      </c>
      <c r="D770053" s="1" t="s">
        <v>45</v>
      </c>
    </row>
    <row r="770054" customFormat="false" ht="12" hidden="false" customHeight="true" outlineLevel="0" collapsed="false">
      <c r="B770054" s="1" t="s">
        <v>46</v>
      </c>
      <c r="C770054" s="1" t="s">
        <v>47</v>
      </c>
      <c r="D770054" s="1" t="s">
        <v>43</v>
      </c>
    </row>
    <row r="770055" customFormat="false" ht="12" hidden="false" customHeight="true" outlineLevel="0" collapsed="false">
      <c r="B770055" s="1" t="s">
        <v>48</v>
      </c>
      <c r="C770055" s="1" t="s">
        <v>49</v>
      </c>
      <c r="D770055" s="1" t="s">
        <v>50</v>
      </c>
    </row>
    <row r="770056" customFormat="false" ht="12" hidden="false" customHeight="true" outlineLevel="0" collapsed="false">
      <c r="B770056" s="1" t="n">
        <v>2000</v>
      </c>
      <c r="C770056" s="1" t="n">
        <v>16.963</v>
      </c>
      <c r="D770056" s="1" t="n">
        <v>1.865</v>
      </c>
    </row>
    <row r="770057" customFormat="false" ht="12" hidden="false" customHeight="true" outlineLevel="0" collapsed="false">
      <c r="B770057" s="1" t="n">
        <v>2001</v>
      </c>
      <c r="C770057" s="1" t="n">
        <v>17.772</v>
      </c>
      <c r="D770057" s="1" t="n">
        <v>4.769</v>
      </c>
    </row>
    <row r="770058" customFormat="false" ht="12" hidden="false" customHeight="true" outlineLevel="0" collapsed="false">
      <c r="B770058" s="1" t="n">
        <v>2002</v>
      </c>
      <c r="C770058" s="1" t="n">
        <v>18.747</v>
      </c>
      <c r="D770058" s="1" t="n">
        <v>5.487</v>
      </c>
    </row>
    <row r="770059" customFormat="false" ht="12" hidden="false" customHeight="true" outlineLevel="0" collapsed="false">
      <c r="B770059" s="1" t="n">
        <v>2003</v>
      </c>
      <c r="C770059" s="1" t="n">
        <v>20.852</v>
      </c>
      <c r="D770059" s="1" t="n">
        <v>11.228</v>
      </c>
    </row>
    <row r="770060" customFormat="false" ht="12" hidden="false" customHeight="true" outlineLevel="0" collapsed="false">
      <c r="B770060" s="1" t="n">
        <v>2004</v>
      </c>
      <c r="C770060" s="1" t="n">
        <v>22.061</v>
      </c>
      <c r="D770060" s="1" t="n">
        <v>5.796</v>
      </c>
    </row>
    <row r="770061" customFormat="false" ht="12" hidden="false" customHeight="true" outlineLevel="0" collapsed="false">
      <c r="B770061" s="1" t="n">
        <v>2005</v>
      </c>
      <c r="C770061" s="1" t="n">
        <v>24.176</v>
      </c>
      <c r="D770061" s="1" t="n">
        <v>9.588</v>
      </c>
    </row>
    <row r="770062" customFormat="false" ht="12" hidden="false" customHeight="true" outlineLevel="0" collapsed="false">
      <c r="B770062" s="1" t="n">
        <v>2006</v>
      </c>
      <c r="C770062" s="1" t="n">
        <v>26.454</v>
      </c>
      <c r="D770062" s="1" t="n">
        <v>9.42</v>
      </c>
    </row>
    <row r="770063" customFormat="false" ht="12" hidden="false" customHeight="true" outlineLevel="0" collapsed="false">
      <c r="B770063" s="1" t="n">
        <v>2007</v>
      </c>
      <c r="C770063" s="1" t="n">
        <v>29.781</v>
      </c>
      <c r="D770063" s="1" t="n">
        <v>12.579</v>
      </c>
    </row>
    <row r="770064" customFormat="false" ht="12" hidden="false" customHeight="true" outlineLevel="0" collapsed="false">
      <c r="B770064" s="1" t="n">
        <v>2008</v>
      </c>
      <c r="C770064" s="1" t="n">
        <v>30.502</v>
      </c>
      <c r="D770064" s="1" t="n">
        <v>2.419</v>
      </c>
    </row>
    <row r="770065" customFormat="false" ht="12" hidden="false" customHeight="true" outlineLevel="0" collapsed="false">
      <c r="B770065" s="1" t="n">
        <v>2009</v>
      </c>
      <c r="C770065" s="1" t="n">
        <v>29.388</v>
      </c>
      <c r="D770065" s="1" t="n">
        <v>-3.651</v>
      </c>
    </row>
    <row r="770066" customFormat="false" ht="12" hidden="false" customHeight="true" outlineLevel="0" collapsed="false">
      <c r="B770066" s="1" t="n">
        <v>2010</v>
      </c>
      <c r="C770066" s="1" t="n">
        <v>31.428</v>
      </c>
      <c r="D770066" s="1" t="n">
        <v>6.942</v>
      </c>
    </row>
    <row r="770067" customFormat="false" ht="12" hidden="false" customHeight="true" outlineLevel="0" collapsed="false">
      <c r="B770067" s="1" t="n">
        <v>2011</v>
      </c>
      <c r="C770067" s="1" t="n">
        <v>33.927</v>
      </c>
      <c r="D770067" s="1" t="n">
        <v>7.949</v>
      </c>
    </row>
    <row r="770068" customFormat="false" ht="12" hidden="false" customHeight="true" outlineLevel="0" collapsed="false">
      <c r="B770068" s="1" t="n">
        <v>2012</v>
      </c>
      <c r="C770068" s="1" t="n">
        <v>36.159</v>
      </c>
      <c r="D770068" s="1" t="n">
        <v>6.579</v>
      </c>
    </row>
    <row r="770069" customFormat="false" ht="12" hidden="false" customHeight="true" outlineLevel="0" collapsed="false">
      <c r="B770069" s="1" t="n">
        <v>2013</v>
      </c>
      <c r="C770069" s="1" t="n">
        <v>38.015</v>
      </c>
      <c r="D770069" s="1" t="n">
        <v>5.134</v>
      </c>
    </row>
    <row r="770070" customFormat="false" ht="12" hidden="false" customHeight="true" outlineLevel="0" collapsed="false">
      <c r="B770070" s="1" t="n">
        <v>2014</v>
      </c>
      <c r="C770070" s="1" t="n">
        <v>39.57</v>
      </c>
      <c r="D770070" s="1" t="n">
        <v>4.091</v>
      </c>
    </row>
    <row r="770071" customFormat="false" ht="12" hidden="false" customHeight="true" outlineLevel="0" collapsed="false">
      <c r="B770071" s="1" t="n">
        <v>2015</v>
      </c>
      <c r="C770071" s="1" t="n">
        <v>40.896</v>
      </c>
      <c r="D770071" s="1" t="n">
        <v>3.351</v>
      </c>
    </row>
    <row r="770072" customFormat="false" ht="12" hidden="false" customHeight="true" outlineLevel="0" collapsed="false">
      <c r="B770072" s="1" t="n">
        <v>2016</v>
      </c>
      <c r="C770072" s="1" t="n">
        <v>42.307</v>
      </c>
      <c r="D770072" s="1" t="n">
        <v>3.45</v>
      </c>
    </row>
    <row r="770073" customFormat="false" ht="12" hidden="false" customHeight="true" outlineLevel="0" collapsed="false">
      <c r="B770073" s="1" t="n">
        <v>2017</v>
      </c>
      <c r="C770073" s="1" t="n">
        <v>44.49</v>
      </c>
      <c r="D770073" s="1" t="n">
        <v>5.161</v>
      </c>
    </row>
    <row r="770074" customFormat="false" ht="12" hidden="false" customHeight="true" outlineLevel="0" collapsed="false">
      <c r="B770074" s="1" t="n">
        <v>2018</v>
      </c>
      <c r="C770074" s="1" t="n">
        <v>47.187</v>
      </c>
      <c r="D770074" s="1" t="n">
        <v>6.062</v>
      </c>
    </row>
    <row r="770075" customFormat="false" ht="12" hidden="false" customHeight="true" outlineLevel="0" collapsed="false">
      <c r="B770075" s="1" t="n">
        <v>2019</v>
      </c>
      <c r="C770075" s="1" t="n">
        <v>49.726</v>
      </c>
      <c r="D770075" s="1" t="n">
        <v>5.38</v>
      </c>
    </row>
    <row r="770076" customFormat="false" ht="12" hidden="false" customHeight="true" outlineLevel="0" collapsed="false">
      <c r="B770076" s="1" t="n">
        <v>2020</v>
      </c>
      <c r="C770076" s="1" t="n">
        <v>46.598</v>
      </c>
      <c r="D770076" s="1" t="n">
        <v>-6.291</v>
      </c>
    </row>
    <row r="770077" customFormat="false" ht="12" hidden="false" customHeight="true" outlineLevel="0" collapsed="false">
      <c r="B770077" s="1" t="n">
        <v>2021</v>
      </c>
      <c r="C770077" s="1" t="n">
        <v>51.558</v>
      </c>
      <c r="D770077" s="1" t="n">
        <v>10.644</v>
      </c>
    </row>
    <row r="770078" customFormat="false" ht="12" hidden="false" customHeight="true" outlineLevel="0" collapsed="false">
      <c r="B770078" s="1" t="n">
        <v>2022</v>
      </c>
      <c r="C770078" s="1" t="n">
        <v>57.208</v>
      </c>
      <c r="D770078" s="1" t="n">
        <v>10.96</v>
      </c>
    </row>
    <row r="770079" customFormat="false" ht="12" hidden="false" customHeight="true" outlineLevel="0" collapsed="false">
      <c r="B770079" s="1" t="n">
        <v>2023</v>
      </c>
      <c r="C770079" s="1" t="n">
        <v>61.689</v>
      </c>
      <c r="D770079" s="1" t="n">
        <v>7.832</v>
      </c>
    </row>
    <row r="770080" customFormat="false" ht="12" hidden="false" customHeight="true" outlineLevel="0" collapsed="false">
      <c r="B770080" s="1" t="n">
        <v>2024</v>
      </c>
      <c r="C770080" s="1" t="n">
        <v>67.505</v>
      </c>
      <c r="D770080" s="1" t="n">
        <v>9.429</v>
      </c>
    </row>
    <row r="770081" customFormat="false" ht="12" hidden="false" customHeight="true" outlineLevel="0" collapsed="false">
      <c r="B770081" s="1" t="n">
        <v>2025</v>
      </c>
      <c r="C770081" s="1" t="n">
        <v>71.54</v>
      </c>
      <c r="D770081" s="1" t="n">
        <v>5.977</v>
      </c>
    </row>
    <row r="770082" customFormat="false" ht="12" hidden="false" customHeight="true" outlineLevel="0" collapsed="false">
      <c r="B770082" s="1" t="n">
        <v>2026</v>
      </c>
      <c r="C770082" s="1" t="n">
        <v>75.117</v>
      </c>
      <c r="D770082" s="1" t="n">
        <v>5</v>
      </c>
    </row>
    <row r="770083" customFormat="false" ht="12" hidden="false" customHeight="true" outlineLevel="0" collapsed="false">
      <c r="B770083" s="1" t="n">
        <v>2027</v>
      </c>
      <c r="C770083" s="1" t="n">
        <v>78.873</v>
      </c>
      <c r="D770083" s="1" t="n">
        <v>5</v>
      </c>
    </row>
    <row r="770084" customFormat="false" ht="12" hidden="false" customHeight="true" outlineLevel="0" collapsed="false">
      <c r="B770084" s="1" t="s">
        <v>51</v>
      </c>
      <c r="C770084" s="1" t="n">
        <v>2024</v>
      </c>
      <c r="D770084" s="1" t="n">
        <v>2024</v>
      </c>
    </row>
    <row r="786433" customFormat="false" ht="12" hidden="false" customHeight="true" outlineLevel="0" collapsed="false">
      <c r="B786433" s="1" t="s">
        <v>35</v>
      </c>
      <c r="C786433" s="1" t="n">
        <v>915</v>
      </c>
      <c r="D786433" s="1" t="n">
        <v>915</v>
      </c>
    </row>
    <row r="786434" customFormat="false" ht="12" hidden="false" customHeight="true" outlineLevel="0" collapsed="false">
      <c r="B786434" s="1" t="s">
        <v>36</v>
      </c>
      <c r="C786434" s="1" t="s">
        <v>37</v>
      </c>
      <c r="D786434" s="1" t="s">
        <v>38</v>
      </c>
    </row>
    <row r="786435" customFormat="false" ht="12" hidden="false" customHeight="true" outlineLevel="0" collapsed="false">
      <c r="B786435" s="1" t="s">
        <v>39</v>
      </c>
      <c r="C786435" s="1" t="s">
        <v>40</v>
      </c>
      <c r="D786435" s="1" t="s">
        <v>40</v>
      </c>
    </row>
    <row r="786436" customFormat="false" ht="12" hidden="false" customHeight="true" outlineLevel="0" collapsed="false">
      <c r="B786436" s="1" t="s">
        <v>41</v>
      </c>
      <c r="C786436" s="1" t="s">
        <v>42</v>
      </c>
      <c r="D786436" s="1" t="s">
        <v>42</v>
      </c>
    </row>
    <row r="786437" customFormat="false" ht="12" hidden="false" customHeight="true" outlineLevel="0" collapsed="false">
      <c r="B786437" s="1" t="s">
        <v>43</v>
      </c>
      <c r="C786437" s="1" t="s">
        <v>44</v>
      </c>
      <c r="D786437" s="1" t="s">
        <v>45</v>
      </c>
    </row>
    <row r="786438" customFormat="false" ht="12" hidden="false" customHeight="true" outlineLevel="0" collapsed="false">
      <c r="B786438" s="1" t="s">
        <v>46</v>
      </c>
      <c r="C786438" s="1" t="s">
        <v>47</v>
      </c>
      <c r="D786438" s="1" t="s">
        <v>43</v>
      </c>
    </row>
    <row r="786439" customFormat="false" ht="12" hidden="false" customHeight="true" outlineLevel="0" collapsed="false">
      <c r="B786439" s="1" t="s">
        <v>48</v>
      </c>
      <c r="C786439" s="1" t="s">
        <v>49</v>
      </c>
      <c r="D786439" s="1" t="s">
        <v>50</v>
      </c>
    </row>
    <row r="786440" customFormat="false" ht="12" hidden="false" customHeight="true" outlineLevel="0" collapsed="false">
      <c r="B786440" s="1" t="n">
        <v>2000</v>
      </c>
      <c r="C786440" s="1" t="n">
        <v>16.963</v>
      </c>
      <c r="D786440" s="1" t="n">
        <v>1.865</v>
      </c>
    </row>
    <row r="786441" customFormat="false" ht="12" hidden="false" customHeight="true" outlineLevel="0" collapsed="false">
      <c r="B786441" s="1" t="n">
        <v>2001</v>
      </c>
      <c r="C786441" s="1" t="n">
        <v>17.772</v>
      </c>
      <c r="D786441" s="1" t="n">
        <v>4.769</v>
      </c>
    </row>
    <row r="786442" customFormat="false" ht="12" hidden="false" customHeight="true" outlineLevel="0" collapsed="false">
      <c r="B786442" s="1" t="n">
        <v>2002</v>
      </c>
      <c r="C786442" s="1" t="n">
        <v>18.747</v>
      </c>
      <c r="D786442" s="1" t="n">
        <v>5.487</v>
      </c>
    </row>
    <row r="786443" customFormat="false" ht="12" hidden="false" customHeight="true" outlineLevel="0" collapsed="false">
      <c r="B786443" s="1" t="n">
        <v>2003</v>
      </c>
      <c r="C786443" s="1" t="n">
        <v>20.852</v>
      </c>
      <c r="D786443" s="1" t="n">
        <v>11.228</v>
      </c>
    </row>
    <row r="786444" customFormat="false" ht="12" hidden="false" customHeight="true" outlineLevel="0" collapsed="false">
      <c r="B786444" s="1" t="n">
        <v>2004</v>
      </c>
      <c r="C786444" s="1" t="n">
        <v>22.061</v>
      </c>
      <c r="D786444" s="1" t="n">
        <v>5.796</v>
      </c>
    </row>
    <row r="786445" customFormat="false" ht="12" hidden="false" customHeight="true" outlineLevel="0" collapsed="false">
      <c r="B786445" s="1" t="n">
        <v>2005</v>
      </c>
      <c r="C786445" s="1" t="n">
        <v>24.176</v>
      </c>
      <c r="D786445" s="1" t="n">
        <v>9.588</v>
      </c>
    </row>
    <row r="786446" customFormat="false" ht="12" hidden="false" customHeight="true" outlineLevel="0" collapsed="false">
      <c r="B786446" s="1" t="n">
        <v>2006</v>
      </c>
      <c r="C786446" s="1" t="n">
        <v>26.454</v>
      </c>
      <c r="D786446" s="1" t="n">
        <v>9.42</v>
      </c>
    </row>
    <row r="786447" customFormat="false" ht="12" hidden="false" customHeight="true" outlineLevel="0" collapsed="false">
      <c r="B786447" s="1" t="n">
        <v>2007</v>
      </c>
      <c r="C786447" s="1" t="n">
        <v>29.781</v>
      </c>
      <c r="D786447" s="1" t="n">
        <v>12.579</v>
      </c>
    </row>
    <row r="786448" customFormat="false" ht="12" hidden="false" customHeight="true" outlineLevel="0" collapsed="false">
      <c r="B786448" s="1" t="n">
        <v>2008</v>
      </c>
      <c r="C786448" s="1" t="n">
        <v>30.502</v>
      </c>
      <c r="D786448" s="1" t="n">
        <v>2.419</v>
      </c>
    </row>
    <row r="786449" customFormat="false" ht="12" hidden="false" customHeight="true" outlineLevel="0" collapsed="false">
      <c r="B786449" s="1" t="n">
        <v>2009</v>
      </c>
      <c r="C786449" s="1" t="n">
        <v>29.388</v>
      </c>
      <c r="D786449" s="1" t="n">
        <v>-3.651</v>
      </c>
    </row>
    <row r="786450" customFormat="false" ht="12" hidden="false" customHeight="true" outlineLevel="0" collapsed="false">
      <c r="B786450" s="1" t="n">
        <v>2010</v>
      </c>
      <c r="C786450" s="1" t="n">
        <v>31.428</v>
      </c>
      <c r="D786450" s="1" t="n">
        <v>6.942</v>
      </c>
    </row>
    <row r="786451" customFormat="false" ht="12" hidden="false" customHeight="true" outlineLevel="0" collapsed="false">
      <c r="B786451" s="1" t="n">
        <v>2011</v>
      </c>
      <c r="C786451" s="1" t="n">
        <v>33.927</v>
      </c>
      <c r="D786451" s="1" t="n">
        <v>7.949</v>
      </c>
    </row>
    <row r="786452" customFormat="false" ht="12" hidden="false" customHeight="true" outlineLevel="0" collapsed="false">
      <c r="B786452" s="1" t="n">
        <v>2012</v>
      </c>
      <c r="C786452" s="1" t="n">
        <v>36.159</v>
      </c>
      <c r="D786452" s="1" t="n">
        <v>6.579</v>
      </c>
    </row>
    <row r="786453" customFormat="false" ht="12" hidden="false" customHeight="true" outlineLevel="0" collapsed="false">
      <c r="B786453" s="1" t="n">
        <v>2013</v>
      </c>
      <c r="C786453" s="1" t="n">
        <v>38.015</v>
      </c>
      <c r="D786453" s="1" t="n">
        <v>5.134</v>
      </c>
    </row>
    <row r="786454" customFormat="false" ht="12" hidden="false" customHeight="true" outlineLevel="0" collapsed="false">
      <c r="B786454" s="1" t="n">
        <v>2014</v>
      </c>
      <c r="C786454" s="1" t="n">
        <v>39.57</v>
      </c>
      <c r="D786454" s="1" t="n">
        <v>4.091</v>
      </c>
    </row>
    <row r="786455" customFormat="false" ht="12" hidden="false" customHeight="true" outlineLevel="0" collapsed="false">
      <c r="B786455" s="1" t="n">
        <v>2015</v>
      </c>
      <c r="C786455" s="1" t="n">
        <v>40.896</v>
      </c>
      <c r="D786455" s="1" t="n">
        <v>3.351</v>
      </c>
    </row>
    <row r="786456" customFormat="false" ht="12" hidden="false" customHeight="true" outlineLevel="0" collapsed="false">
      <c r="B786456" s="1" t="n">
        <v>2016</v>
      </c>
      <c r="C786456" s="1" t="n">
        <v>42.307</v>
      </c>
      <c r="D786456" s="1" t="n">
        <v>3.45</v>
      </c>
    </row>
    <row r="786457" customFormat="false" ht="12" hidden="false" customHeight="true" outlineLevel="0" collapsed="false">
      <c r="B786457" s="1" t="n">
        <v>2017</v>
      </c>
      <c r="C786457" s="1" t="n">
        <v>44.49</v>
      </c>
      <c r="D786457" s="1" t="n">
        <v>5.161</v>
      </c>
    </row>
    <row r="786458" customFormat="false" ht="12" hidden="false" customHeight="true" outlineLevel="0" collapsed="false">
      <c r="B786458" s="1" t="n">
        <v>2018</v>
      </c>
      <c r="C786458" s="1" t="n">
        <v>47.187</v>
      </c>
      <c r="D786458" s="1" t="n">
        <v>6.062</v>
      </c>
    </row>
    <row r="786459" customFormat="false" ht="12" hidden="false" customHeight="true" outlineLevel="0" collapsed="false">
      <c r="B786459" s="1" t="n">
        <v>2019</v>
      </c>
      <c r="C786459" s="1" t="n">
        <v>49.726</v>
      </c>
      <c r="D786459" s="1" t="n">
        <v>5.38</v>
      </c>
    </row>
    <row r="786460" customFormat="false" ht="12" hidden="false" customHeight="true" outlineLevel="0" collapsed="false">
      <c r="B786460" s="1" t="n">
        <v>2020</v>
      </c>
      <c r="C786460" s="1" t="n">
        <v>46.598</v>
      </c>
      <c r="D786460" s="1" t="n">
        <v>-6.291</v>
      </c>
    </row>
    <row r="786461" customFormat="false" ht="12" hidden="false" customHeight="true" outlineLevel="0" collapsed="false">
      <c r="B786461" s="1" t="n">
        <v>2021</v>
      </c>
      <c r="C786461" s="1" t="n">
        <v>51.558</v>
      </c>
      <c r="D786461" s="1" t="n">
        <v>10.644</v>
      </c>
    </row>
    <row r="786462" customFormat="false" ht="12" hidden="false" customHeight="true" outlineLevel="0" collapsed="false">
      <c r="B786462" s="1" t="n">
        <v>2022</v>
      </c>
      <c r="C786462" s="1" t="n">
        <v>57.208</v>
      </c>
      <c r="D786462" s="1" t="n">
        <v>10.96</v>
      </c>
    </row>
    <row r="786463" customFormat="false" ht="12" hidden="false" customHeight="true" outlineLevel="0" collapsed="false">
      <c r="B786463" s="1" t="n">
        <v>2023</v>
      </c>
      <c r="C786463" s="1" t="n">
        <v>61.689</v>
      </c>
      <c r="D786463" s="1" t="n">
        <v>7.832</v>
      </c>
    </row>
    <row r="786464" customFormat="false" ht="12" hidden="false" customHeight="true" outlineLevel="0" collapsed="false">
      <c r="B786464" s="1" t="n">
        <v>2024</v>
      </c>
      <c r="C786464" s="1" t="n">
        <v>67.505</v>
      </c>
      <c r="D786464" s="1" t="n">
        <v>9.429</v>
      </c>
    </row>
    <row r="786465" customFormat="false" ht="12" hidden="false" customHeight="true" outlineLevel="0" collapsed="false">
      <c r="B786465" s="1" t="n">
        <v>2025</v>
      </c>
      <c r="C786465" s="1" t="n">
        <v>71.54</v>
      </c>
      <c r="D786465" s="1" t="n">
        <v>5.977</v>
      </c>
    </row>
    <row r="786466" customFormat="false" ht="12" hidden="false" customHeight="true" outlineLevel="0" collapsed="false">
      <c r="B786466" s="1" t="n">
        <v>2026</v>
      </c>
      <c r="C786466" s="1" t="n">
        <v>75.117</v>
      </c>
      <c r="D786466" s="1" t="n">
        <v>5</v>
      </c>
    </row>
    <row r="786467" customFormat="false" ht="12" hidden="false" customHeight="true" outlineLevel="0" collapsed="false">
      <c r="B786467" s="1" t="n">
        <v>2027</v>
      </c>
      <c r="C786467" s="1" t="n">
        <v>78.873</v>
      </c>
      <c r="D786467" s="1" t="n">
        <v>5</v>
      </c>
    </row>
    <row r="786468" customFormat="false" ht="12" hidden="false" customHeight="true" outlineLevel="0" collapsed="false">
      <c r="B786468" s="1" t="s">
        <v>51</v>
      </c>
      <c r="C786468" s="1" t="n">
        <v>2024</v>
      </c>
      <c r="D786468" s="1" t="n">
        <v>2024</v>
      </c>
    </row>
    <row r="802817" customFormat="false" ht="12" hidden="false" customHeight="true" outlineLevel="0" collapsed="false">
      <c r="B802817" s="1" t="s">
        <v>35</v>
      </c>
      <c r="C802817" s="1" t="n">
        <v>915</v>
      </c>
      <c r="D802817" s="1" t="n">
        <v>915</v>
      </c>
    </row>
    <row r="802818" customFormat="false" ht="12" hidden="false" customHeight="true" outlineLevel="0" collapsed="false">
      <c r="B802818" s="1" t="s">
        <v>36</v>
      </c>
      <c r="C802818" s="1" t="s">
        <v>37</v>
      </c>
      <c r="D802818" s="1" t="s">
        <v>38</v>
      </c>
    </row>
    <row r="802819" customFormat="false" ht="12" hidden="false" customHeight="true" outlineLevel="0" collapsed="false">
      <c r="B802819" s="1" t="s">
        <v>39</v>
      </c>
      <c r="C802819" s="1" t="s">
        <v>40</v>
      </c>
      <c r="D802819" s="1" t="s">
        <v>40</v>
      </c>
    </row>
    <row r="802820" customFormat="false" ht="12" hidden="false" customHeight="true" outlineLevel="0" collapsed="false">
      <c r="B802820" s="1" t="s">
        <v>41</v>
      </c>
      <c r="C802820" s="1" t="s">
        <v>42</v>
      </c>
      <c r="D802820" s="1" t="s">
        <v>42</v>
      </c>
    </row>
    <row r="802821" customFormat="false" ht="12" hidden="false" customHeight="true" outlineLevel="0" collapsed="false">
      <c r="B802821" s="1" t="s">
        <v>43</v>
      </c>
      <c r="C802821" s="1" t="s">
        <v>44</v>
      </c>
      <c r="D802821" s="1" t="s">
        <v>45</v>
      </c>
    </row>
    <row r="802822" customFormat="false" ht="12" hidden="false" customHeight="true" outlineLevel="0" collapsed="false">
      <c r="B802822" s="1" t="s">
        <v>46</v>
      </c>
      <c r="C802822" s="1" t="s">
        <v>47</v>
      </c>
      <c r="D802822" s="1" t="s">
        <v>43</v>
      </c>
    </row>
    <row r="802823" customFormat="false" ht="12" hidden="false" customHeight="true" outlineLevel="0" collapsed="false">
      <c r="B802823" s="1" t="s">
        <v>48</v>
      </c>
      <c r="C802823" s="1" t="s">
        <v>49</v>
      </c>
      <c r="D802823" s="1" t="s">
        <v>50</v>
      </c>
    </row>
    <row r="802824" customFormat="false" ht="12" hidden="false" customHeight="true" outlineLevel="0" collapsed="false">
      <c r="B802824" s="1" t="n">
        <v>2000</v>
      </c>
      <c r="C802824" s="1" t="n">
        <v>16.963</v>
      </c>
      <c r="D802824" s="1" t="n">
        <v>1.865</v>
      </c>
    </row>
    <row r="802825" customFormat="false" ht="12" hidden="false" customHeight="true" outlineLevel="0" collapsed="false">
      <c r="B802825" s="1" t="n">
        <v>2001</v>
      </c>
      <c r="C802825" s="1" t="n">
        <v>17.772</v>
      </c>
      <c r="D802825" s="1" t="n">
        <v>4.769</v>
      </c>
    </row>
    <row r="802826" customFormat="false" ht="12" hidden="false" customHeight="true" outlineLevel="0" collapsed="false">
      <c r="B802826" s="1" t="n">
        <v>2002</v>
      </c>
      <c r="C802826" s="1" t="n">
        <v>18.747</v>
      </c>
      <c r="D802826" s="1" t="n">
        <v>5.487</v>
      </c>
    </row>
    <row r="802827" customFormat="false" ht="12" hidden="false" customHeight="true" outlineLevel="0" collapsed="false">
      <c r="B802827" s="1" t="n">
        <v>2003</v>
      </c>
      <c r="C802827" s="1" t="n">
        <v>20.852</v>
      </c>
      <c r="D802827" s="1" t="n">
        <v>11.228</v>
      </c>
    </row>
    <row r="802828" customFormat="false" ht="12" hidden="false" customHeight="true" outlineLevel="0" collapsed="false">
      <c r="B802828" s="1" t="n">
        <v>2004</v>
      </c>
      <c r="C802828" s="1" t="n">
        <v>22.061</v>
      </c>
      <c r="D802828" s="1" t="n">
        <v>5.796</v>
      </c>
    </row>
    <row r="802829" customFormat="false" ht="12" hidden="false" customHeight="true" outlineLevel="0" collapsed="false">
      <c r="B802829" s="1" t="n">
        <v>2005</v>
      </c>
      <c r="C802829" s="1" t="n">
        <v>24.176</v>
      </c>
      <c r="D802829" s="1" t="n">
        <v>9.588</v>
      </c>
    </row>
    <row r="802830" customFormat="false" ht="12" hidden="false" customHeight="true" outlineLevel="0" collapsed="false">
      <c r="B802830" s="1" t="n">
        <v>2006</v>
      </c>
      <c r="C802830" s="1" t="n">
        <v>26.454</v>
      </c>
      <c r="D802830" s="1" t="n">
        <v>9.42</v>
      </c>
    </row>
    <row r="802831" customFormat="false" ht="12" hidden="false" customHeight="true" outlineLevel="0" collapsed="false">
      <c r="B802831" s="1" t="n">
        <v>2007</v>
      </c>
      <c r="C802831" s="1" t="n">
        <v>29.781</v>
      </c>
      <c r="D802831" s="1" t="n">
        <v>12.579</v>
      </c>
    </row>
    <row r="802832" customFormat="false" ht="12" hidden="false" customHeight="true" outlineLevel="0" collapsed="false">
      <c r="B802832" s="1" t="n">
        <v>2008</v>
      </c>
      <c r="C802832" s="1" t="n">
        <v>30.502</v>
      </c>
      <c r="D802832" s="1" t="n">
        <v>2.419</v>
      </c>
    </row>
    <row r="802833" customFormat="false" ht="12" hidden="false" customHeight="true" outlineLevel="0" collapsed="false">
      <c r="B802833" s="1" t="n">
        <v>2009</v>
      </c>
      <c r="C802833" s="1" t="n">
        <v>29.388</v>
      </c>
      <c r="D802833" s="1" t="n">
        <v>-3.651</v>
      </c>
    </row>
    <row r="802834" customFormat="false" ht="12" hidden="false" customHeight="true" outlineLevel="0" collapsed="false">
      <c r="B802834" s="1" t="n">
        <v>2010</v>
      </c>
      <c r="C802834" s="1" t="n">
        <v>31.428</v>
      </c>
      <c r="D802834" s="1" t="n">
        <v>6.942</v>
      </c>
    </row>
    <row r="802835" customFormat="false" ht="12" hidden="false" customHeight="true" outlineLevel="0" collapsed="false">
      <c r="B802835" s="1" t="n">
        <v>2011</v>
      </c>
      <c r="C802835" s="1" t="n">
        <v>33.927</v>
      </c>
      <c r="D802835" s="1" t="n">
        <v>7.949</v>
      </c>
    </row>
    <row r="802836" customFormat="false" ht="12" hidden="false" customHeight="true" outlineLevel="0" collapsed="false">
      <c r="B802836" s="1" t="n">
        <v>2012</v>
      </c>
      <c r="C802836" s="1" t="n">
        <v>36.159</v>
      </c>
      <c r="D802836" s="1" t="n">
        <v>6.579</v>
      </c>
    </row>
    <row r="802837" customFormat="false" ht="12" hidden="false" customHeight="true" outlineLevel="0" collapsed="false">
      <c r="B802837" s="1" t="n">
        <v>2013</v>
      </c>
      <c r="C802837" s="1" t="n">
        <v>38.015</v>
      </c>
      <c r="D802837" s="1" t="n">
        <v>5.134</v>
      </c>
    </row>
    <row r="802838" customFormat="false" ht="12" hidden="false" customHeight="true" outlineLevel="0" collapsed="false">
      <c r="B802838" s="1" t="n">
        <v>2014</v>
      </c>
      <c r="C802838" s="1" t="n">
        <v>39.57</v>
      </c>
      <c r="D802838" s="1" t="n">
        <v>4.091</v>
      </c>
    </row>
    <row r="802839" customFormat="false" ht="12" hidden="false" customHeight="true" outlineLevel="0" collapsed="false">
      <c r="B802839" s="1" t="n">
        <v>2015</v>
      </c>
      <c r="C802839" s="1" t="n">
        <v>40.896</v>
      </c>
      <c r="D802839" s="1" t="n">
        <v>3.351</v>
      </c>
    </row>
    <row r="802840" customFormat="false" ht="12" hidden="false" customHeight="true" outlineLevel="0" collapsed="false">
      <c r="B802840" s="1" t="n">
        <v>2016</v>
      </c>
      <c r="C802840" s="1" t="n">
        <v>42.307</v>
      </c>
      <c r="D802840" s="1" t="n">
        <v>3.45</v>
      </c>
    </row>
    <row r="802841" customFormat="false" ht="12" hidden="false" customHeight="true" outlineLevel="0" collapsed="false">
      <c r="B802841" s="1" t="n">
        <v>2017</v>
      </c>
      <c r="C802841" s="1" t="n">
        <v>44.49</v>
      </c>
      <c r="D802841" s="1" t="n">
        <v>5.161</v>
      </c>
    </row>
    <row r="802842" customFormat="false" ht="12" hidden="false" customHeight="true" outlineLevel="0" collapsed="false">
      <c r="B802842" s="1" t="n">
        <v>2018</v>
      </c>
      <c r="C802842" s="1" t="n">
        <v>47.187</v>
      </c>
      <c r="D802842" s="1" t="n">
        <v>6.062</v>
      </c>
    </row>
    <row r="802843" customFormat="false" ht="12" hidden="false" customHeight="true" outlineLevel="0" collapsed="false">
      <c r="B802843" s="1" t="n">
        <v>2019</v>
      </c>
      <c r="C802843" s="1" t="n">
        <v>49.726</v>
      </c>
      <c r="D802843" s="1" t="n">
        <v>5.38</v>
      </c>
    </row>
    <row r="802844" customFormat="false" ht="12" hidden="false" customHeight="true" outlineLevel="0" collapsed="false">
      <c r="B802844" s="1" t="n">
        <v>2020</v>
      </c>
      <c r="C802844" s="1" t="n">
        <v>46.598</v>
      </c>
      <c r="D802844" s="1" t="n">
        <v>-6.291</v>
      </c>
    </row>
    <row r="802845" customFormat="false" ht="12" hidden="false" customHeight="true" outlineLevel="0" collapsed="false">
      <c r="B802845" s="1" t="n">
        <v>2021</v>
      </c>
      <c r="C802845" s="1" t="n">
        <v>51.558</v>
      </c>
      <c r="D802845" s="1" t="n">
        <v>10.644</v>
      </c>
    </row>
    <row r="802846" customFormat="false" ht="12" hidden="false" customHeight="true" outlineLevel="0" collapsed="false">
      <c r="B802846" s="1" t="n">
        <v>2022</v>
      </c>
      <c r="C802846" s="1" t="n">
        <v>57.208</v>
      </c>
      <c r="D802846" s="1" t="n">
        <v>10.96</v>
      </c>
    </row>
    <row r="802847" customFormat="false" ht="12" hidden="false" customHeight="true" outlineLevel="0" collapsed="false">
      <c r="B802847" s="1" t="n">
        <v>2023</v>
      </c>
      <c r="C802847" s="1" t="n">
        <v>61.689</v>
      </c>
      <c r="D802847" s="1" t="n">
        <v>7.832</v>
      </c>
    </row>
    <row r="802848" customFormat="false" ht="12" hidden="false" customHeight="true" outlineLevel="0" collapsed="false">
      <c r="B802848" s="1" t="n">
        <v>2024</v>
      </c>
      <c r="C802848" s="1" t="n">
        <v>67.505</v>
      </c>
      <c r="D802848" s="1" t="n">
        <v>9.429</v>
      </c>
    </row>
    <row r="802849" customFormat="false" ht="12" hidden="false" customHeight="true" outlineLevel="0" collapsed="false">
      <c r="B802849" s="1" t="n">
        <v>2025</v>
      </c>
      <c r="C802849" s="1" t="n">
        <v>71.54</v>
      </c>
      <c r="D802849" s="1" t="n">
        <v>5.977</v>
      </c>
    </row>
    <row r="802850" customFormat="false" ht="12" hidden="false" customHeight="true" outlineLevel="0" collapsed="false">
      <c r="B802850" s="1" t="n">
        <v>2026</v>
      </c>
      <c r="C802850" s="1" t="n">
        <v>75.117</v>
      </c>
      <c r="D802850" s="1" t="n">
        <v>5</v>
      </c>
    </row>
    <row r="802851" customFormat="false" ht="12" hidden="false" customHeight="true" outlineLevel="0" collapsed="false">
      <c r="B802851" s="1" t="n">
        <v>2027</v>
      </c>
      <c r="C802851" s="1" t="n">
        <v>78.873</v>
      </c>
      <c r="D802851" s="1" t="n">
        <v>5</v>
      </c>
    </row>
    <row r="802852" customFormat="false" ht="12" hidden="false" customHeight="true" outlineLevel="0" collapsed="false">
      <c r="B802852" s="1" t="s">
        <v>51</v>
      </c>
      <c r="C802852" s="1" t="n">
        <v>2024</v>
      </c>
      <c r="D802852" s="1" t="n">
        <v>2024</v>
      </c>
    </row>
    <row r="819201" customFormat="false" ht="12" hidden="false" customHeight="true" outlineLevel="0" collapsed="false">
      <c r="B819201" s="1" t="s">
        <v>35</v>
      </c>
      <c r="C819201" s="1" t="n">
        <v>915</v>
      </c>
      <c r="D819201" s="1" t="n">
        <v>915</v>
      </c>
    </row>
    <row r="819202" customFormat="false" ht="12" hidden="false" customHeight="true" outlineLevel="0" collapsed="false">
      <c r="B819202" s="1" t="s">
        <v>36</v>
      </c>
      <c r="C819202" s="1" t="s">
        <v>37</v>
      </c>
      <c r="D819202" s="1" t="s">
        <v>38</v>
      </c>
    </row>
    <row r="819203" customFormat="false" ht="12" hidden="false" customHeight="true" outlineLevel="0" collapsed="false">
      <c r="B819203" s="1" t="s">
        <v>39</v>
      </c>
      <c r="C819203" s="1" t="s">
        <v>40</v>
      </c>
      <c r="D819203" s="1" t="s">
        <v>40</v>
      </c>
    </row>
    <row r="819204" customFormat="false" ht="12" hidden="false" customHeight="true" outlineLevel="0" collapsed="false">
      <c r="B819204" s="1" t="s">
        <v>41</v>
      </c>
      <c r="C819204" s="1" t="s">
        <v>42</v>
      </c>
      <c r="D819204" s="1" t="s">
        <v>42</v>
      </c>
    </row>
    <row r="819205" customFormat="false" ht="12" hidden="false" customHeight="true" outlineLevel="0" collapsed="false">
      <c r="B819205" s="1" t="s">
        <v>43</v>
      </c>
      <c r="C819205" s="1" t="s">
        <v>44</v>
      </c>
      <c r="D819205" s="1" t="s">
        <v>45</v>
      </c>
    </row>
    <row r="819206" customFormat="false" ht="12" hidden="false" customHeight="true" outlineLevel="0" collapsed="false">
      <c r="B819206" s="1" t="s">
        <v>46</v>
      </c>
      <c r="C819206" s="1" t="s">
        <v>47</v>
      </c>
      <c r="D819206" s="1" t="s">
        <v>43</v>
      </c>
    </row>
    <row r="819207" customFormat="false" ht="12" hidden="false" customHeight="true" outlineLevel="0" collapsed="false">
      <c r="B819207" s="1" t="s">
        <v>48</v>
      </c>
      <c r="C819207" s="1" t="s">
        <v>49</v>
      </c>
      <c r="D819207" s="1" t="s">
        <v>50</v>
      </c>
    </row>
    <row r="819208" customFormat="false" ht="12" hidden="false" customHeight="true" outlineLevel="0" collapsed="false">
      <c r="B819208" s="1" t="n">
        <v>2000</v>
      </c>
      <c r="C819208" s="1" t="n">
        <v>16.963</v>
      </c>
      <c r="D819208" s="1" t="n">
        <v>1.865</v>
      </c>
    </row>
    <row r="819209" customFormat="false" ht="12" hidden="false" customHeight="true" outlineLevel="0" collapsed="false">
      <c r="B819209" s="1" t="n">
        <v>2001</v>
      </c>
      <c r="C819209" s="1" t="n">
        <v>17.772</v>
      </c>
      <c r="D819209" s="1" t="n">
        <v>4.769</v>
      </c>
    </row>
    <row r="819210" customFormat="false" ht="12" hidden="false" customHeight="true" outlineLevel="0" collapsed="false">
      <c r="B819210" s="1" t="n">
        <v>2002</v>
      </c>
      <c r="C819210" s="1" t="n">
        <v>18.747</v>
      </c>
      <c r="D819210" s="1" t="n">
        <v>5.487</v>
      </c>
    </row>
    <row r="819211" customFormat="false" ht="12" hidden="false" customHeight="true" outlineLevel="0" collapsed="false">
      <c r="B819211" s="1" t="n">
        <v>2003</v>
      </c>
      <c r="C819211" s="1" t="n">
        <v>20.852</v>
      </c>
      <c r="D819211" s="1" t="n">
        <v>11.228</v>
      </c>
    </row>
    <row r="819212" customFormat="false" ht="12" hidden="false" customHeight="true" outlineLevel="0" collapsed="false">
      <c r="B819212" s="1" t="n">
        <v>2004</v>
      </c>
      <c r="C819212" s="1" t="n">
        <v>22.061</v>
      </c>
      <c r="D819212" s="1" t="n">
        <v>5.796</v>
      </c>
    </row>
    <row r="819213" customFormat="false" ht="12" hidden="false" customHeight="true" outlineLevel="0" collapsed="false">
      <c r="B819213" s="1" t="n">
        <v>2005</v>
      </c>
      <c r="C819213" s="1" t="n">
        <v>24.176</v>
      </c>
      <c r="D819213" s="1" t="n">
        <v>9.588</v>
      </c>
    </row>
    <row r="819214" customFormat="false" ht="12" hidden="false" customHeight="true" outlineLevel="0" collapsed="false">
      <c r="B819214" s="1" t="n">
        <v>2006</v>
      </c>
      <c r="C819214" s="1" t="n">
        <v>26.454</v>
      </c>
      <c r="D819214" s="1" t="n">
        <v>9.42</v>
      </c>
    </row>
    <row r="819215" customFormat="false" ht="12" hidden="false" customHeight="true" outlineLevel="0" collapsed="false">
      <c r="B819215" s="1" t="n">
        <v>2007</v>
      </c>
      <c r="C819215" s="1" t="n">
        <v>29.781</v>
      </c>
      <c r="D819215" s="1" t="n">
        <v>12.579</v>
      </c>
    </row>
    <row r="819216" customFormat="false" ht="12" hidden="false" customHeight="true" outlineLevel="0" collapsed="false">
      <c r="B819216" s="1" t="n">
        <v>2008</v>
      </c>
      <c r="C819216" s="1" t="n">
        <v>30.502</v>
      </c>
      <c r="D819216" s="1" t="n">
        <v>2.419</v>
      </c>
    </row>
    <row r="819217" customFormat="false" ht="12" hidden="false" customHeight="true" outlineLevel="0" collapsed="false">
      <c r="B819217" s="1" t="n">
        <v>2009</v>
      </c>
      <c r="C819217" s="1" t="n">
        <v>29.388</v>
      </c>
      <c r="D819217" s="1" t="n">
        <v>-3.651</v>
      </c>
    </row>
    <row r="819218" customFormat="false" ht="12" hidden="false" customHeight="true" outlineLevel="0" collapsed="false">
      <c r="B819218" s="1" t="n">
        <v>2010</v>
      </c>
      <c r="C819218" s="1" t="n">
        <v>31.428</v>
      </c>
      <c r="D819218" s="1" t="n">
        <v>6.942</v>
      </c>
    </row>
    <row r="819219" customFormat="false" ht="12" hidden="false" customHeight="true" outlineLevel="0" collapsed="false">
      <c r="B819219" s="1" t="n">
        <v>2011</v>
      </c>
      <c r="C819219" s="1" t="n">
        <v>33.927</v>
      </c>
      <c r="D819219" s="1" t="n">
        <v>7.949</v>
      </c>
    </row>
    <row r="819220" customFormat="false" ht="12" hidden="false" customHeight="true" outlineLevel="0" collapsed="false">
      <c r="B819220" s="1" t="n">
        <v>2012</v>
      </c>
      <c r="C819220" s="1" t="n">
        <v>36.159</v>
      </c>
      <c r="D819220" s="1" t="n">
        <v>6.579</v>
      </c>
    </row>
    <row r="819221" customFormat="false" ht="12" hidden="false" customHeight="true" outlineLevel="0" collapsed="false">
      <c r="B819221" s="1" t="n">
        <v>2013</v>
      </c>
      <c r="C819221" s="1" t="n">
        <v>38.015</v>
      </c>
      <c r="D819221" s="1" t="n">
        <v>5.134</v>
      </c>
    </row>
    <row r="819222" customFormat="false" ht="12" hidden="false" customHeight="true" outlineLevel="0" collapsed="false">
      <c r="B819222" s="1" t="n">
        <v>2014</v>
      </c>
      <c r="C819222" s="1" t="n">
        <v>39.57</v>
      </c>
      <c r="D819222" s="1" t="n">
        <v>4.091</v>
      </c>
    </row>
    <row r="819223" customFormat="false" ht="12" hidden="false" customHeight="true" outlineLevel="0" collapsed="false">
      <c r="B819223" s="1" t="n">
        <v>2015</v>
      </c>
      <c r="C819223" s="1" t="n">
        <v>40.896</v>
      </c>
      <c r="D819223" s="1" t="n">
        <v>3.351</v>
      </c>
    </row>
    <row r="819224" customFormat="false" ht="12" hidden="false" customHeight="true" outlineLevel="0" collapsed="false">
      <c r="B819224" s="1" t="n">
        <v>2016</v>
      </c>
      <c r="C819224" s="1" t="n">
        <v>42.307</v>
      </c>
      <c r="D819224" s="1" t="n">
        <v>3.45</v>
      </c>
    </row>
    <row r="819225" customFormat="false" ht="12" hidden="false" customHeight="true" outlineLevel="0" collapsed="false">
      <c r="B819225" s="1" t="n">
        <v>2017</v>
      </c>
      <c r="C819225" s="1" t="n">
        <v>44.49</v>
      </c>
      <c r="D819225" s="1" t="n">
        <v>5.161</v>
      </c>
    </row>
    <row r="819226" customFormat="false" ht="12" hidden="false" customHeight="true" outlineLevel="0" collapsed="false">
      <c r="B819226" s="1" t="n">
        <v>2018</v>
      </c>
      <c r="C819226" s="1" t="n">
        <v>47.187</v>
      </c>
      <c r="D819226" s="1" t="n">
        <v>6.062</v>
      </c>
    </row>
    <row r="819227" customFormat="false" ht="12" hidden="false" customHeight="true" outlineLevel="0" collapsed="false">
      <c r="B819227" s="1" t="n">
        <v>2019</v>
      </c>
      <c r="C819227" s="1" t="n">
        <v>49.726</v>
      </c>
      <c r="D819227" s="1" t="n">
        <v>5.38</v>
      </c>
    </row>
    <row r="819228" customFormat="false" ht="12" hidden="false" customHeight="true" outlineLevel="0" collapsed="false">
      <c r="B819228" s="1" t="n">
        <v>2020</v>
      </c>
      <c r="C819228" s="1" t="n">
        <v>46.598</v>
      </c>
      <c r="D819228" s="1" t="n">
        <v>-6.291</v>
      </c>
    </row>
    <row r="819229" customFormat="false" ht="12" hidden="false" customHeight="true" outlineLevel="0" collapsed="false">
      <c r="B819229" s="1" t="n">
        <v>2021</v>
      </c>
      <c r="C819229" s="1" t="n">
        <v>51.558</v>
      </c>
      <c r="D819229" s="1" t="n">
        <v>10.644</v>
      </c>
    </row>
    <row r="819230" customFormat="false" ht="12" hidden="false" customHeight="true" outlineLevel="0" collapsed="false">
      <c r="B819230" s="1" t="n">
        <v>2022</v>
      </c>
      <c r="C819230" s="1" t="n">
        <v>57.208</v>
      </c>
      <c r="D819230" s="1" t="n">
        <v>10.96</v>
      </c>
    </row>
    <row r="819231" customFormat="false" ht="12" hidden="false" customHeight="true" outlineLevel="0" collapsed="false">
      <c r="B819231" s="1" t="n">
        <v>2023</v>
      </c>
      <c r="C819231" s="1" t="n">
        <v>61.689</v>
      </c>
      <c r="D819231" s="1" t="n">
        <v>7.832</v>
      </c>
    </row>
    <row r="819232" customFormat="false" ht="12" hidden="false" customHeight="true" outlineLevel="0" collapsed="false">
      <c r="B819232" s="1" t="n">
        <v>2024</v>
      </c>
      <c r="C819232" s="1" t="n">
        <v>67.505</v>
      </c>
      <c r="D819232" s="1" t="n">
        <v>9.429</v>
      </c>
    </row>
    <row r="819233" customFormat="false" ht="12" hidden="false" customHeight="true" outlineLevel="0" collapsed="false">
      <c r="B819233" s="1" t="n">
        <v>2025</v>
      </c>
      <c r="C819233" s="1" t="n">
        <v>71.54</v>
      </c>
      <c r="D819233" s="1" t="n">
        <v>5.977</v>
      </c>
    </row>
    <row r="819234" customFormat="false" ht="12" hidden="false" customHeight="true" outlineLevel="0" collapsed="false">
      <c r="B819234" s="1" t="n">
        <v>2026</v>
      </c>
      <c r="C819234" s="1" t="n">
        <v>75.117</v>
      </c>
      <c r="D819234" s="1" t="n">
        <v>5</v>
      </c>
    </row>
    <row r="819235" customFormat="false" ht="12" hidden="false" customHeight="true" outlineLevel="0" collapsed="false">
      <c r="B819235" s="1" t="n">
        <v>2027</v>
      </c>
      <c r="C819235" s="1" t="n">
        <v>78.873</v>
      </c>
      <c r="D819235" s="1" t="n">
        <v>5</v>
      </c>
    </row>
    <row r="819236" customFormat="false" ht="12" hidden="false" customHeight="true" outlineLevel="0" collapsed="false">
      <c r="B819236" s="1" t="s">
        <v>51</v>
      </c>
      <c r="C819236" s="1" t="n">
        <v>2024</v>
      </c>
      <c r="D819236" s="1" t="n">
        <v>2024</v>
      </c>
    </row>
    <row r="835585" customFormat="false" ht="12" hidden="false" customHeight="true" outlineLevel="0" collapsed="false">
      <c r="B835585" s="1" t="s">
        <v>35</v>
      </c>
      <c r="C835585" s="1" t="n">
        <v>915</v>
      </c>
      <c r="D835585" s="1" t="n">
        <v>915</v>
      </c>
    </row>
    <row r="835586" customFormat="false" ht="12" hidden="false" customHeight="true" outlineLevel="0" collapsed="false">
      <c r="B835586" s="1" t="s">
        <v>36</v>
      </c>
      <c r="C835586" s="1" t="s">
        <v>37</v>
      </c>
      <c r="D835586" s="1" t="s">
        <v>38</v>
      </c>
    </row>
    <row r="835587" customFormat="false" ht="12" hidden="false" customHeight="true" outlineLevel="0" collapsed="false">
      <c r="B835587" s="1" t="s">
        <v>39</v>
      </c>
      <c r="C835587" s="1" t="s">
        <v>40</v>
      </c>
      <c r="D835587" s="1" t="s">
        <v>40</v>
      </c>
    </row>
    <row r="835588" customFormat="false" ht="12" hidden="false" customHeight="true" outlineLevel="0" collapsed="false">
      <c r="B835588" s="1" t="s">
        <v>41</v>
      </c>
      <c r="C835588" s="1" t="s">
        <v>42</v>
      </c>
      <c r="D835588" s="1" t="s">
        <v>42</v>
      </c>
    </row>
    <row r="835589" customFormat="false" ht="12" hidden="false" customHeight="true" outlineLevel="0" collapsed="false">
      <c r="B835589" s="1" t="s">
        <v>43</v>
      </c>
      <c r="C835589" s="1" t="s">
        <v>44</v>
      </c>
      <c r="D835589" s="1" t="s">
        <v>45</v>
      </c>
    </row>
    <row r="835590" customFormat="false" ht="12" hidden="false" customHeight="true" outlineLevel="0" collapsed="false">
      <c r="B835590" s="1" t="s">
        <v>46</v>
      </c>
      <c r="C835590" s="1" t="s">
        <v>47</v>
      </c>
      <c r="D835590" s="1" t="s">
        <v>43</v>
      </c>
    </row>
    <row r="835591" customFormat="false" ht="12" hidden="false" customHeight="true" outlineLevel="0" collapsed="false">
      <c r="B835591" s="1" t="s">
        <v>48</v>
      </c>
      <c r="C835591" s="1" t="s">
        <v>49</v>
      </c>
      <c r="D835591" s="1" t="s">
        <v>50</v>
      </c>
    </row>
    <row r="835592" customFormat="false" ht="12" hidden="false" customHeight="true" outlineLevel="0" collapsed="false">
      <c r="B835592" s="1" t="n">
        <v>2000</v>
      </c>
      <c r="C835592" s="1" t="n">
        <v>16.963</v>
      </c>
      <c r="D835592" s="1" t="n">
        <v>1.865</v>
      </c>
    </row>
    <row r="835593" customFormat="false" ht="12" hidden="false" customHeight="true" outlineLevel="0" collapsed="false">
      <c r="B835593" s="1" t="n">
        <v>2001</v>
      </c>
      <c r="C835593" s="1" t="n">
        <v>17.772</v>
      </c>
      <c r="D835593" s="1" t="n">
        <v>4.769</v>
      </c>
    </row>
    <row r="835594" customFormat="false" ht="12" hidden="false" customHeight="true" outlineLevel="0" collapsed="false">
      <c r="B835594" s="1" t="n">
        <v>2002</v>
      </c>
      <c r="C835594" s="1" t="n">
        <v>18.747</v>
      </c>
      <c r="D835594" s="1" t="n">
        <v>5.487</v>
      </c>
    </row>
    <row r="835595" customFormat="false" ht="12" hidden="false" customHeight="true" outlineLevel="0" collapsed="false">
      <c r="B835595" s="1" t="n">
        <v>2003</v>
      </c>
      <c r="C835595" s="1" t="n">
        <v>20.852</v>
      </c>
      <c r="D835595" s="1" t="n">
        <v>11.228</v>
      </c>
    </row>
    <row r="835596" customFormat="false" ht="12" hidden="false" customHeight="true" outlineLevel="0" collapsed="false">
      <c r="B835596" s="1" t="n">
        <v>2004</v>
      </c>
      <c r="C835596" s="1" t="n">
        <v>22.061</v>
      </c>
      <c r="D835596" s="1" t="n">
        <v>5.796</v>
      </c>
    </row>
    <row r="835597" customFormat="false" ht="12" hidden="false" customHeight="true" outlineLevel="0" collapsed="false">
      <c r="B835597" s="1" t="n">
        <v>2005</v>
      </c>
      <c r="C835597" s="1" t="n">
        <v>24.176</v>
      </c>
      <c r="D835597" s="1" t="n">
        <v>9.588</v>
      </c>
    </row>
    <row r="835598" customFormat="false" ht="12" hidden="false" customHeight="true" outlineLevel="0" collapsed="false">
      <c r="B835598" s="1" t="n">
        <v>2006</v>
      </c>
      <c r="C835598" s="1" t="n">
        <v>26.454</v>
      </c>
      <c r="D835598" s="1" t="n">
        <v>9.42</v>
      </c>
    </row>
    <row r="835599" customFormat="false" ht="12" hidden="false" customHeight="true" outlineLevel="0" collapsed="false">
      <c r="B835599" s="1" t="n">
        <v>2007</v>
      </c>
      <c r="C835599" s="1" t="n">
        <v>29.781</v>
      </c>
      <c r="D835599" s="1" t="n">
        <v>12.579</v>
      </c>
    </row>
    <row r="835600" customFormat="false" ht="12" hidden="false" customHeight="true" outlineLevel="0" collapsed="false">
      <c r="B835600" s="1" t="n">
        <v>2008</v>
      </c>
      <c r="C835600" s="1" t="n">
        <v>30.502</v>
      </c>
      <c r="D835600" s="1" t="n">
        <v>2.419</v>
      </c>
    </row>
    <row r="835601" customFormat="false" ht="12" hidden="false" customHeight="true" outlineLevel="0" collapsed="false">
      <c r="B835601" s="1" t="n">
        <v>2009</v>
      </c>
      <c r="C835601" s="1" t="n">
        <v>29.388</v>
      </c>
      <c r="D835601" s="1" t="n">
        <v>-3.651</v>
      </c>
    </row>
    <row r="835602" customFormat="false" ht="12" hidden="false" customHeight="true" outlineLevel="0" collapsed="false">
      <c r="B835602" s="1" t="n">
        <v>2010</v>
      </c>
      <c r="C835602" s="1" t="n">
        <v>31.428</v>
      </c>
      <c r="D835602" s="1" t="n">
        <v>6.942</v>
      </c>
    </row>
    <row r="835603" customFormat="false" ht="12" hidden="false" customHeight="true" outlineLevel="0" collapsed="false">
      <c r="B835603" s="1" t="n">
        <v>2011</v>
      </c>
      <c r="C835603" s="1" t="n">
        <v>33.927</v>
      </c>
      <c r="D835603" s="1" t="n">
        <v>7.949</v>
      </c>
    </row>
    <row r="835604" customFormat="false" ht="12" hidden="false" customHeight="true" outlineLevel="0" collapsed="false">
      <c r="B835604" s="1" t="n">
        <v>2012</v>
      </c>
      <c r="C835604" s="1" t="n">
        <v>36.159</v>
      </c>
      <c r="D835604" s="1" t="n">
        <v>6.579</v>
      </c>
    </row>
    <row r="835605" customFormat="false" ht="12" hidden="false" customHeight="true" outlineLevel="0" collapsed="false">
      <c r="B835605" s="1" t="n">
        <v>2013</v>
      </c>
      <c r="C835605" s="1" t="n">
        <v>38.015</v>
      </c>
      <c r="D835605" s="1" t="n">
        <v>5.134</v>
      </c>
    </row>
    <row r="835606" customFormat="false" ht="12" hidden="false" customHeight="true" outlineLevel="0" collapsed="false">
      <c r="B835606" s="1" t="n">
        <v>2014</v>
      </c>
      <c r="C835606" s="1" t="n">
        <v>39.57</v>
      </c>
      <c r="D835606" s="1" t="n">
        <v>4.091</v>
      </c>
    </row>
    <row r="835607" customFormat="false" ht="12" hidden="false" customHeight="true" outlineLevel="0" collapsed="false">
      <c r="B835607" s="1" t="n">
        <v>2015</v>
      </c>
      <c r="C835607" s="1" t="n">
        <v>40.896</v>
      </c>
      <c r="D835607" s="1" t="n">
        <v>3.351</v>
      </c>
    </row>
    <row r="835608" customFormat="false" ht="12" hidden="false" customHeight="true" outlineLevel="0" collapsed="false">
      <c r="B835608" s="1" t="n">
        <v>2016</v>
      </c>
      <c r="C835608" s="1" t="n">
        <v>42.307</v>
      </c>
      <c r="D835608" s="1" t="n">
        <v>3.45</v>
      </c>
    </row>
    <row r="835609" customFormat="false" ht="12" hidden="false" customHeight="true" outlineLevel="0" collapsed="false">
      <c r="B835609" s="1" t="n">
        <v>2017</v>
      </c>
      <c r="C835609" s="1" t="n">
        <v>44.49</v>
      </c>
      <c r="D835609" s="1" t="n">
        <v>5.161</v>
      </c>
    </row>
    <row r="835610" customFormat="false" ht="12" hidden="false" customHeight="true" outlineLevel="0" collapsed="false">
      <c r="B835610" s="1" t="n">
        <v>2018</v>
      </c>
      <c r="C835610" s="1" t="n">
        <v>47.187</v>
      </c>
      <c r="D835610" s="1" t="n">
        <v>6.062</v>
      </c>
    </row>
    <row r="835611" customFormat="false" ht="12" hidden="false" customHeight="true" outlineLevel="0" collapsed="false">
      <c r="B835611" s="1" t="n">
        <v>2019</v>
      </c>
      <c r="C835611" s="1" t="n">
        <v>49.726</v>
      </c>
      <c r="D835611" s="1" t="n">
        <v>5.38</v>
      </c>
    </row>
    <row r="835612" customFormat="false" ht="12" hidden="false" customHeight="true" outlineLevel="0" collapsed="false">
      <c r="B835612" s="1" t="n">
        <v>2020</v>
      </c>
      <c r="C835612" s="1" t="n">
        <v>46.598</v>
      </c>
      <c r="D835612" s="1" t="n">
        <v>-6.291</v>
      </c>
    </row>
    <row r="835613" customFormat="false" ht="12" hidden="false" customHeight="true" outlineLevel="0" collapsed="false">
      <c r="B835613" s="1" t="n">
        <v>2021</v>
      </c>
      <c r="C835613" s="1" t="n">
        <v>51.558</v>
      </c>
      <c r="D835613" s="1" t="n">
        <v>10.644</v>
      </c>
    </row>
    <row r="835614" customFormat="false" ht="12" hidden="false" customHeight="true" outlineLevel="0" collapsed="false">
      <c r="B835614" s="1" t="n">
        <v>2022</v>
      </c>
      <c r="C835614" s="1" t="n">
        <v>57.208</v>
      </c>
      <c r="D835614" s="1" t="n">
        <v>10.96</v>
      </c>
    </row>
    <row r="835615" customFormat="false" ht="12" hidden="false" customHeight="true" outlineLevel="0" collapsed="false">
      <c r="B835615" s="1" t="n">
        <v>2023</v>
      </c>
      <c r="C835615" s="1" t="n">
        <v>61.689</v>
      </c>
      <c r="D835615" s="1" t="n">
        <v>7.832</v>
      </c>
    </row>
    <row r="835616" customFormat="false" ht="12" hidden="false" customHeight="true" outlineLevel="0" collapsed="false">
      <c r="B835616" s="1" t="n">
        <v>2024</v>
      </c>
      <c r="C835616" s="1" t="n">
        <v>67.505</v>
      </c>
      <c r="D835616" s="1" t="n">
        <v>9.429</v>
      </c>
    </row>
    <row r="835617" customFormat="false" ht="12" hidden="false" customHeight="true" outlineLevel="0" collapsed="false">
      <c r="B835617" s="1" t="n">
        <v>2025</v>
      </c>
      <c r="C835617" s="1" t="n">
        <v>71.54</v>
      </c>
      <c r="D835617" s="1" t="n">
        <v>5.977</v>
      </c>
    </row>
    <row r="835618" customFormat="false" ht="12" hidden="false" customHeight="true" outlineLevel="0" collapsed="false">
      <c r="B835618" s="1" t="n">
        <v>2026</v>
      </c>
      <c r="C835618" s="1" t="n">
        <v>75.117</v>
      </c>
      <c r="D835618" s="1" t="n">
        <v>5</v>
      </c>
    </row>
    <row r="835619" customFormat="false" ht="12" hidden="false" customHeight="true" outlineLevel="0" collapsed="false">
      <c r="B835619" s="1" t="n">
        <v>2027</v>
      </c>
      <c r="C835619" s="1" t="n">
        <v>78.873</v>
      </c>
      <c r="D835619" s="1" t="n">
        <v>5</v>
      </c>
    </row>
    <row r="835620" customFormat="false" ht="12" hidden="false" customHeight="true" outlineLevel="0" collapsed="false">
      <c r="B835620" s="1" t="s">
        <v>51</v>
      </c>
      <c r="C835620" s="1" t="n">
        <v>2024</v>
      </c>
      <c r="D835620" s="1" t="n">
        <v>2024</v>
      </c>
    </row>
    <row r="851969" customFormat="false" ht="12" hidden="false" customHeight="true" outlineLevel="0" collapsed="false">
      <c r="B851969" s="1" t="s">
        <v>35</v>
      </c>
      <c r="C851969" s="1" t="n">
        <v>915</v>
      </c>
      <c r="D851969" s="1" t="n">
        <v>915</v>
      </c>
    </row>
    <row r="851970" customFormat="false" ht="12" hidden="false" customHeight="true" outlineLevel="0" collapsed="false">
      <c r="B851970" s="1" t="s">
        <v>36</v>
      </c>
      <c r="C851970" s="1" t="s">
        <v>37</v>
      </c>
      <c r="D851970" s="1" t="s">
        <v>38</v>
      </c>
    </row>
    <row r="851971" customFormat="false" ht="12" hidden="false" customHeight="true" outlineLevel="0" collapsed="false">
      <c r="B851971" s="1" t="s">
        <v>39</v>
      </c>
      <c r="C851971" s="1" t="s">
        <v>40</v>
      </c>
      <c r="D851971" s="1" t="s">
        <v>40</v>
      </c>
    </row>
    <row r="851972" customFormat="false" ht="12" hidden="false" customHeight="true" outlineLevel="0" collapsed="false">
      <c r="B851972" s="1" t="s">
        <v>41</v>
      </c>
      <c r="C851972" s="1" t="s">
        <v>42</v>
      </c>
      <c r="D851972" s="1" t="s">
        <v>42</v>
      </c>
    </row>
    <row r="851973" customFormat="false" ht="12" hidden="false" customHeight="true" outlineLevel="0" collapsed="false">
      <c r="B851973" s="1" t="s">
        <v>43</v>
      </c>
      <c r="C851973" s="1" t="s">
        <v>44</v>
      </c>
      <c r="D851973" s="1" t="s">
        <v>45</v>
      </c>
    </row>
    <row r="851974" customFormat="false" ht="12" hidden="false" customHeight="true" outlineLevel="0" collapsed="false">
      <c r="B851974" s="1" t="s">
        <v>46</v>
      </c>
      <c r="C851974" s="1" t="s">
        <v>47</v>
      </c>
      <c r="D851974" s="1" t="s">
        <v>43</v>
      </c>
    </row>
    <row r="851975" customFormat="false" ht="12" hidden="false" customHeight="true" outlineLevel="0" collapsed="false">
      <c r="B851975" s="1" t="s">
        <v>48</v>
      </c>
      <c r="C851975" s="1" t="s">
        <v>49</v>
      </c>
      <c r="D851975" s="1" t="s">
        <v>50</v>
      </c>
    </row>
    <row r="851976" customFormat="false" ht="12" hidden="false" customHeight="true" outlineLevel="0" collapsed="false">
      <c r="B851976" s="1" t="n">
        <v>2000</v>
      </c>
      <c r="C851976" s="1" t="n">
        <v>16.963</v>
      </c>
      <c r="D851976" s="1" t="n">
        <v>1.865</v>
      </c>
    </row>
    <row r="851977" customFormat="false" ht="12" hidden="false" customHeight="true" outlineLevel="0" collapsed="false">
      <c r="B851977" s="1" t="n">
        <v>2001</v>
      </c>
      <c r="C851977" s="1" t="n">
        <v>17.772</v>
      </c>
      <c r="D851977" s="1" t="n">
        <v>4.769</v>
      </c>
    </row>
    <row r="851978" customFormat="false" ht="12" hidden="false" customHeight="true" outlineLevel="0" collapsed="false">
      <c r="B851978" s="1" t="n">
        <v>2002</v>
      </c>
      <c r="C851978" s="1" t="n">
        <v>18.747</v>
      </c>
      <c r="D851978" s="1" t="n">
        <v>5.487</v>
      </c>
    </row>
    <row r="851979" customFormat="false" ht="12" hidden="false" customHeight="true" outlineLevel="0" collapsed="false">
      <c r="B851979" s="1" t="n">
        <v>2003</v>
      </c>
      <c r="C851979" s="1" t="n">
        <v>20.852</v>
      </c>
      <c r="D851979" s="1" t="n">
        <v>11.228</v>
      </c>
    </row>
    <row r="851980" customFormat="false" ht="12" hidden="false" customHeight="true" outlineLevel="0" collapsed="false">
      <c r="B851980" s="1" t="n">
        <v>2004</v>
      </c>
      <c r="C851980" s="1" t="n">
        <v>22.061</v>
      </c>
      <c r="D851980" s="1" t="n">
        <v>5.796</v>
      </c>
    </row>
    <row r="851981" customFormat="false" ht="12" hidden="false" customHeight="true" outlineLevel="0" collapsed="false">
      <c r="B851981" s="1" t="n">
        <v>2005</v>
      </c>
      <c r="C851981" s="1" t="n">
        <v>24.176</v>
      </c>
      <c r="D851981" s="1" t="n">
        <v>9.588</v>
      </c>
    </row>
    <row r="851982" customFormat="false" ht="12" hidden="false" customHeight="true" outlineLevel="0" collapsed="false">
      <c r="B851982" s="1" t="n">
        <v>2006</v>
      </c>
      <c r="C851982" s="1" t="n">
        <v>26.454</v>
      </c>
      <c r="D851982" s="1" t="n">
        <v>9.42</v>
      </c>
    </row>
    <row r="851983" customFormat="false" ht="12" hidden="false" customHeight="true" outlineLevel="0" collapsed="false">
      <c r="B851983" s="1" t="n">
        <v>2007</v>
      </c>
      <c r="C851983" s="1" t="n">
        <v>29.781</v>
      </c>
      <c r="D851983" s="1" t="n">
        <v>12.579</v>
      </c>
    </row>
    <row r="851984" customFormat="false" ht="12" hidden="false" customHeight="true" outlineLevel="0" collapsed="false">
      <c r="B851984" s="1" t="n">
        <v>2008</v>
      </c>
      <c r="C851984" s="1" t="n">
        <v>30.502</v>
      </c>
      <c r="D851984" s="1" t="n">
        <v>2.419</v>
      </c>
    </row>
    <row r="851985" customFormat="false" ht="12" hidden="false" customHeight="true" outlineLevel="0" collapsed="false">
      <c r="B851985" s="1" t="n">
        <v>2009</v>
      </c>
      <c r="C851985" s="1" t="n">
        <v>29.388</v>
      </c>
      <c r="D851985" s="1" t="n">
        <v>-3.651</v>
      </c>
    </row>
    <row r="851986" customFormat="false" ht="12" hidden="false" customHeight="true" outlineLevel="0" collapsed="false">
      <c r="B851986" s="1" t="n">
        <v>2010</v>
      </c>
      <c r="C851986" s="1" t="n">
        <v>31.428</v>
      </c>
      <c r="D851986" s="1" t="n">
        <v>6.942</v>
      </c>
    </row>
    <row r="851987" customFormat="false" ht="12" hidden="false" customHeight="true" outlineLevel="0" collapsed="false">
      <c r="B851987" s="1" t="n">
        <v>2011</v>
      </c>
      <c r="C851987" s="1" t="n">
        <v>33.927</v>
      </c>
      <c r="D851987" s="1" t="n">
        <v>7.949</v>
      </c>
    </row>
    <row r="851988" customFormat="false" ht="12" hidden="false" customHeight="true" outlineLevel="0" collapsed="false">
      <c r="B851988" s="1" t="n">
        <v>2012</v>
      </c>
      <c r="C851988" s="1" t="n">
        <v>36.159</v>
      </c>
      <c r="D851988" s="1" t="n">
        <v>6.579</v>
      </c>
    </row>
    <row r="851989" customFormat="false" ht="12" hidden="false" customHeight="true" outlineLevel="0" collapsed="false">
      <c r="B851989" s="1" t="n">
        <v>2013</v>
      </c>
      <c r="C851989" s="1" t="n">
        <v>38.015</v>
      </c>
      <c r="D851989" s="1" t="n">
        <v>5.134</v>
      </c>
    </row>
    <row r="851990" customFormat="false" ht="12" hidden="false" customHeight="true" outlineLevel="0" collapsed="false">
      <c r="B851990" s="1" t="n">
        <v>2014</v>
      </c>
      <c r="C851990" s="1" t="n">
        <v>39.57</v>
      </c>
      <c r="D851990" s="1" t="n">
        <v>4.091</v>
      </c>
    </row>
    <row r="851991" customFormat="false" ht="12" hidden="false" customHeight="true" outlineLevel="0" collapsed="false">
      <c r="B851991" s="1" t="n">
        <v>2015</v>
      </c>
      <c r="C851991" s="1" t="n">
        <v>40.896</v>
      </c>
      <c r="D851991" s="1" t="n">
        <v>3.351</v>
      </c>
    </row>
    <row r="851992" customFormat="false" ht="12" hidden="false" customHeight="true" outlineLevel="0" collapsed="false">
      <c r="B851992" s="1" t="n">
        <v>2016</v>
      </c>
      <c r="C851992" s="1" t="n">
        <v>42.307</v>
      </c>
      <c r="D851992" s="1" t="n">
        <v>3.45</v>
      </c>
    </row>
    <row r="851993" customFormat="false" ht="12" hidden="false" customHeight="true" outlineLevel="0" collapsed="false">
      <c r="B851993" s="1" t="n">
        <v>2017</v>
      </c>
      <c r="C851993" s="1" t="n">
        <v>44.49</v>
      </c>
      <c r="D851993" s="1" t="n">
        <v>5.161</v>
      </c>
    </row>
    <row r="851994" customFormat="false" ht="12" hidden="false" customHeight="true" outlineLevel="0" collapsed="false">
      <c r="B851994" s="1" t="n">
        <v>2018</v>
      </c>
      <c r="C851994" s="1" t="n">
        <v>47.187</v>
      </c>
      <c r="D851994" s="1" t="n">
        <v>6.062</v>
      </c>
    </row>
    <row r="851995" customFormat="false" ht="12" hidden="false" customHeight="true" outlineLevel="0" collapsed="false">
      <c r="B851995" s="1" t="n">
        <v>2019</v>
      </c>
      <c r="C851995" s="1" t="n">
        <v>49.726</v>
      </c>
      <c r="D851995" s="1" t="n">
        <v>5.38</v>
      </c>
    </row>
    <row r="851996" customFormat="false" ht="12" hidden="false" customHeight="true" outlineLevel="0" collapsed="false">
      <c r="B851996" s="1" t="n">
        <v>2020</v>
      </c>
      <c r="C851996" s="1" t="n">
        <v>46.598</v>
      </c>
      <c r="D851996" s="1" t="n">
        <v>-6.291</v>
      </c>
    </row>
    <row r="851997" customFormat="false" ht="12" hidden="false" customHeight="true" outlineLevel="0" collapsed="false">
      <c r="B851997" s="1" t="n">
        <v>2021</v>
      </c>
      <c r="C851997" s="1" t="n">
        <v>51.558</v>
      </c>
      <c r="D851997" s="1" t="n">
        <v>10.644</v>
      </c>
    </row>
    <row r="851998" customFormat="false" ht="12" hidden="false" customHeight="true" outlineLevel="0" collapsed="false">
      <c r="B851998" s="1" t="n">
        <v>2022</v>
      </c>
      <c r="C851998" s="1" t="n">
        <v>57.208</v>
      </c>
      <c r="D851998" s="1" t="n">
        <v>10.96</v>
      </c>
    </row>
    <row r="851999" customFormat="false" ht="12" hidden="false" customHeight="true" outlineLevel="0" collapsed="false">
      <c r="B851999" s="1" t="n">
        <v>2023</v>
      </c>
      <c r="C851999" s="1" t="n">
        <v>61.689</v>
      </c>
      <c r="D851999" s="1" t="n">
        <v>7.832</v>
      </c>
    </row>
    <row r="852000" customFormat="false" ht="12" hidden="false" customHeight="true" outlineLevel="0" collapsed="false">
      <c r="B852000" s="1" t="n">
        <v>2024</v>
      </c>
      <c r="C852000" s="1" t="n">
        <v>67.505</v>
      </c>
      <c r="D852000" s="1" t="n">
        <v>9.429</v>
      </c>
    </row>
    <row r="852001" customFormat="false" ht="12" hidden="false" customHeight="true" outlineLevel="0" collapsed="false">
      <c r="B852001" s="1" t="n">
        <v>2025</v>
      </c>
      <c r="C852001" s="1" t="n">
        <v>71.54</v>
      </c>
      <c r="D852001" s="1" t="n">
        <v>5.977</v>
      </c>
    </row>
    <row r="852002" customFormat="false" ht="12" hidden="false" customHeight="true" outlineLevel="0" collapsed="false">
      <c r="B852002" s="1" t="n">
        <v>2026</v>
      </c>
      <c r="C852002" s="1" t="n">
        <v>75.117</v>
      </c>
      <c r="D852002" s="1" t="n">
        <v>5</v>
      </c>
    </row>
    <row r="852003" customFormat="false" ht="12" hidden="false" customHeight="true" outlineLevel="0" collapsed="false">
      <c r="B852003" s="1" t="n">
        <v>2027</v>
      </c>
      <c r="C852003" s="1" t="n">
        <v>78.873</v>
      </c>
      <c r="D852003" s="1" t="n">
        <v>5</v>
      </c>
    </row>
    <row r="852004" customFormat="false" ht="12" hidden="false" customHeight="true" outlineLevel="0" collapsed="false">
      <c r="B852004" s="1" t="s">
        <v>51</v>
      </c>
      <c r="C852004" s="1" t="n">
        <v>2024</v>
      </c>
      <c r="D852004" s="1" t="n">
        <v>2024</v>
      </c>
    </row>
    <row r="868353" customFormat="false" ht="12" hidden="false" customHeight="true" outlineLevel="0" collapsed="false">
      <c r="B868353" s="1" t="s">
        <v>35</v>
      </c>
      <c r="C868353" s="1" t="n">
        <v>915</v>
      </c>
      <c r="D868353" s="1" t="n">
        <v>915</v>
      </c>
    </row>
    <row r="868354" customFormat="false" ht="12" hidden="false" customHeight="true" outlineLevel="0" collapsed="false">
      <c r="B868354" s="1" t="s">
        <v>36</v>
      </c>
      <c r="C868354" s="1" t="s">
        <v>37</v>
      </c>
      <c r="D868354" s="1" t="s">
        <v>38</v>
      </c>
    </row>
    <row r="868355" customFormat="false" ht="12" hidden="false" customHeight="true" outlineLevel="0" collapsed="false">
      <c r="B868355" s="1" t="s">
        <v>39</v>
      </c>
      <c r="C868355" s="1" t="s">
        <v>40</v>
      </c>
      <c r="D868355" s="1" t="s">
        <v>40</v>
      </c>
    </row>
    <row r="868356" customFormat="false" ht="12" hidden="false" customHeight="true" outlineLevel="0" collapsed="false">
      <c r="B868356" s="1" t="s">
        <v>41</v>
      </c>
      <c r="C868356" s="1" t="s">
        <v>42</v>
      </c>
      <c r="D868356" s="1" t="s">
        <v>42</v>
      </c>
    </row>
    <row r="868357" customFormat="false" ht="12" hidden="false" customHeight="true" outlineLevel="0" collapsed="false">
      <c r="B868357" s="1" t="s">
        <v>43</v>
      </c>
      <c r="C868357" s="1" t="s">
        <v>44</v>
      </c>
      <c r="D868357" s="1" t="s">
        <v>45</v>
      </c>
    </row>
    <row r="868358" customFormat="false" ht="12" hidden="false" customHeight="true" outlineLevel="0" collapsed="false">
      <c r="B868358" s="1" t="s">
        <v>46</v>
      </c>
      <c r="C868358" s="1" t="s">
        <v>47</v>
      </c>
      <c r="D868358" s="1" t="s">
        <v>43</v>
      </c>
    </row>
    <row r="868359" customFormat="false" ht="12" hidden="false" customHeight="true" outlineLevel="0" collapsed="false">
      <c r="B868359" s="1" t="s">
        <v>48</v>
      </c>
      <c r="C868359" s="1" t="s">
        <v>49</v>
      </c>
      <c r="D868359" s="1" t="s">
        <v>50</v>
      </c>
    </row>
    <row r="868360" customFormat="false" ht="12" hidden="false" customHeight="true" outlineLevel="0" collapsed="false">
      <c r="B868360" s="1" t="n">
        <v>2000</v>
      </c>
      <c r="C868360" s="1" t="n">
        <v>16.963</v>
      </c>
      <c r="D868360" s="1" t="n">
        <v>1.865</v>
      </c>
    </row>
    <row r="868361" customFormat="false" ht="12" hidden="false" customHeight="true" outlineLevel="0" collapsed="false">
      <c r="B868361" s="1" t="n">
        <v>2001</v>
      </c>
      <c r="C868361" s="1" t="n">
        <v>17.772</v>
      </c>
      <c r="D868361" s="1" t="n">
        <v>4.769</v>
      </c>
    </row>
    <row r="868362" customFormat="false" ht="12" hidden="false" customHeight="true" outlineLevel="0" collapsed="false">
      <c r="B868362" s="1" t="n">
        <v>2002</v>
      </c>
      <c r="C868362" s="1" t="n">
        <v>18.747</v>
      </c>
      <c r="D868362" s="1" t="n">
        <v>5.487</v>
      </c>
    </row>
    <row r="868363" customFormat="false" ht="12" hidden="false" customHeight="true" outlineLevel="0" collapsed="false">
      <c r="B868363" s="1" t="n">
        <v>2003</v>
      </c>
      <c r="C868363" s="1" t="n">
        <v>20.852</v>
      </c>
      <c r="D868363" s="1" t="n">
        <v>11.228</v>
      </c>
    </row>
    <row r="868364" customFormat="false" ht="12" hidden="false" customHeight="true" outlineLevel="0" collapsed="false">
      <c r="B868364" s="1" t="n">
        <v>2004</v>
      </c>
      <c r="C868364" s="1" t="n">
        <v>22.061</v>
      </c>
      <c r="D868364" s="1" t="n">
        <v>5.796</v>
      </c>
    </row>
    <row r="868365" customFormat="false" ht="12" hidden="false" customHeight="true" outlineLevel="0" collapsed="false">
      <c r="B868365" s="1" t="n">
        <v>2005</v>
      </c>
      <c r="C868365" s="1" t="n">
        <v>24.176</v>
      </c>
      <c r="D868365" s="1" t="n">
        <v>9.588</v>
      </c>
    </row>
    <row r="868366" customFormat="false" ht="12" hidden="false" customHeight="true" outlineLevel="0" collapsed="false">
      <c r="B868366" s="1" t="n">
        <v>2006</v>
      </c>
      <c r="C868366" s="1" t="n">
        <v>26.454</v>
      </c>
      <c r="D868366" s="1" t="n">
        <v>9.42</v>
      </c>
    </row>
    <row r="868367" customFormat="false" ht="12" hidden="false" customHeight="true" outlineLevel="0" collapsed="false">
      <c r="B868367" s="1" t="n">
        <v>2007</v>
      </c>
      <c r="C868367" s="1" t="n">
        <v>29.781</v>
      </c>
      <c r="D868367" s="1" t="n">
        <v>12.579</v>
      </c>
    </row>
    <row r="868368" customFormat="false" ht="12" hidden="false" customHeight="true" outlineLevel="0" collapsed="false">
      <c r="B868368" s="1" t="n">
        <v>2008</v>
      </c>
      <c r="C868368" s="1" t="n">
        <v>30.502</v>
      </c>
      <c r="D868368" s="1" t="n">
        <v>2.419</v>
      </c>
    </row>
    <row r="868369" customFormat="false" ht="12" hidden="false" customHeight="true" outlineLevel="0" collapsed="false">
      <c r="B868369" s="1" t="n">
        <v>2009</v>
      </c>
      <c r="C868369" s="1" t="n">
        <v>29.388</v>
      </c>
      <c r="D868369" s="1" t="n">
        <v>-3.651</v>
      </c>
    </row>
    <row r="868370" customFormat="false" ht="12" hidden="false" customHeight="true" outlineLevel="0" collapsed="false">
      <c r="B868370" s="1" t="n">
        <v>2010</v>
      </c>
      <c r="C868370" s="1" t="n">
        <v>31.428</v>
      </c>
      <c r="D868370" s="1" t="n">
        <v>6.942</v>
      </c>
    </row>
    <row r="868371" customFormat="false" ht="12" hidden="false" customHeight="true" outlineLevel="0" collapsed="false">
      <c r="B868371" s="1" t="n">
        <v>2011</v>
      </c>
      <c r="C868371" s="1" t="n">
        <v>33.927</v>
      </c>
      <c r="D868371" s="1" t="n">
        <v>7.949</v>
      </c>
    </row>
    <row r="868372" customFormat="false" ht="12" hidden="false" customHeight="true" outlineLevel="0" collapsed="false">
      <c r="B868372" s="1" t="n">
        <v>2012</v>
      </c>
      <c r="C868372" s="1" t="n">
        <v>36.159</v>
      </c>
      <c r="D868372" s="1" t="n">
        <v>6.579</v>
      </c>
    </row>
    <row r="868373" customFormat="false" ht="12" hidden="false" customHeight="true" outlineLevel="0" collapsed="false">
      <c r="B868373" s="1" t="n">
        <v>2013</v>
      </c>
      <c r="C868373" s="1" t="n">
        <v>38.015</v>
      </c>
      <c r="D868373" s="1" t="n">
        <v>5.134</v>
      </c>
    </row>
    <row r="868374" customFormat="false" ht="12" hidden="false" customHeight="true" outlineLevel="0" collapsed="false">
      <c r="B868374" s="1" t="n">
        <v>2014</v>
      </c>
      <c r="C868374" s="1" t="n">
        <v>39.57</v>
      </c>
      <c r="D868374" s="1" t="n">
        <v>4.091</v>
      </c>
    </row>
    <row r="868375" customFormat="false" ht="12" hidden="false" customHeight="true" outlineLevel="0" collapsed="false">
      <c r="B868375" s="1" t="n">
        <v>2015</v>
      </c>
      <c r="C868375" s="1" t="n">
        <v>40.896</v>
      </c>
      <c r="D868375" s="1" t="n">
        <v>3.351</v>
      </c>
    </row>
    <row r="868376" customFormat="false" ht="12" hidden="false" customHeight="true" outlineLevel="0" collapsed="false">
      <c r="B868376" s="1" t="n">
        <v>2016</v>
      </c>
      <c r="C868376" s="1" t="n">
        <v>42.307</v>
      </c>
      <c r="D868376" s="1" t="n">
        <v>3.45</v>
      </c>
    </row>
    <row r="868377" customFormat="false" ht="12" hidden="false" customHeight="true" outlineLevel="0" collapsed="false">
      <c r="B868377" s="1" t="n">
        <v>2017</v>
      </c>
      <c r="C868377" s="1" t="n">
        <v>44.49</v>
      </c>
      <c r="D868377" s="1" t="n">
        <v>5.161</v>
      </c>
    </row>
    <row r="868378" customFormat="false" ht="12" hidden="false" customHeight="true" outlineLevel="0" collapsed="false">
      <c r="B868378" s="1" t="n">
        <v>2018</v>
      </c>
      <c r="C868378" s="1" t="n">
        <v>47.187</v>
      </c>
      <c r="D868378" s="1" t="n">
        <v>6.062</v>
      </c>
    </row>
    <row r="868379" customFormat="false" ht="12" hidden="false" customHeight="true" outlineLevel="0" collapsed="false">
      <c r="B868379" s="1" t="n">
        <v>2019</v>
      </c>
      <c r="C868379" s="1" t="n">
        <v>49.726</v>
      </c>
      <c r="D868379" s="1" t="n">
        <v>5.38</v>
      </c>
    </row>
    <row r="868380" customFormat="false" ht="12" hidden="false" customHeight="true" outlineLevel="0" collapsed="false">
      <c r="B868380" s="1" t="n">
        <v>2020</v>
      </c>
      <c r="C868380" s="1" t="n">
        <v>46.598</v>
      </c>
      <c r="D868380" s="1" t="n">
        <v>-6.291</v>
      </c>
    </row>
    <row r="868381" customFormat="false" ht="12" hidden="false" customHeight="true" outlineLevel="0" collapsed="false">
      <c r="B868381" s="1" t="n">
        <v>2021</v>
      </c>
      <c r="C868381" s="1" t="n">
        <v>51.558</v>
      </c>
      <c r="D868381" s="1" t="n">
        <v>10.644</v>
      </c>
    </row>
    <row r="868382" customFormat="false" ht="12" hidden="false" customHeight="true" outlineLevel="0" collapsed="false">
      <c r="B868382" s="1" t="n">
        <v>2022</v>
      </c>
      <c r="C868382" s="1" t="n">
        <v>57.208</v>
      </c>
      <c r="D868382" s="1" t="n">
        <v>10.96</v>
      </c>
    </row>
    <row r="868383" customFormat="false" ht="12" hidden="false" customHeight="true" outlineLevel="0" collapsed="false">
      <c r="B868383" s="1" t="n">
        <v>2023</v>
      </c>
      <c r="C868383" s="1" t="n">
        <v>61.689</v>
      </c>
      <c r="D868383" s="1" t="n">
        <v>7.832</v>
      </c>
    </row>
    <row r="868384" customFormat="false" ht="12" hidden="false" customHeight="true" outlineLevel="0" collapsed="false">
      <c r="B868384" s="1" t="n">
        <v>2024</v>
      </c>
      <c r="C868384" s="1" t="n">
        <v>67.505</v>
      </c>
      <c r="D868384" s="1" t="n">
        <v>9.429</v>
      </c>
    </row>
    <row r="868385" customFormat="false" ht="12" hidden="false" customHeight="true" outlineLevel="0" collapsed="false">
      <c r="B868385" s="1" t="n">
        <v>2025</v>
      </c>
      <c r="C868385" s="1" t="n">
        <v>71.54</v>
      </c>
      <c r="D868385" s="1" t="n">
        <v>5.977</v>
      </c>
    </row>
    <row r="868386" customFormat="false" ht="12" hidden="false" customHeight="true" outlineLevel="0" collapsed="false">
      <c r="B868386" s="1" t="n">
        <v>2026</v>
      </c>
      <c r="C868386" s="1" t="n">
        <v>75.117</v>
      </c>
      <c r="D868386" s="1" t="n">
        <v>5</v>
      </c>
    </row>
    <row r="868387" customFormat="false" ht="12" hidden="false" customHeight="true" outlineLevel="0" collapsed="false">
      <c r="B868387" s="1" t="n">
        <v>2027</v>
      </c>
      <c r="C868387" s="1" t="n">
        <v>78.873</v>
      </c>
      <c r="D868387" s="1" t="n">
        <v>5</v>
      </c>
    </row>
    <row r="868388" customFormat="false" ht="12" hidden="false" customHeight="true" outlineLevel="0" collapsed="false">
      <c r="B868388" s="1" t="s">
        <v>51</v>
      </c>
      <c r="C868388" s="1" t="n">
        <v>2024</v>
      </c>
      <c r="D868388" s="1" t="n">
        <v>2024</v>
      </c>
    </row>
    <row r="884737" customFormat="false" ht="12" hidden="false" customHeight="true" outlineLevel="0" collapsed="false">
      <c r="B884737" s="1" t="s">
        <v>35</v>
      </c>
      <c r="C884737" s="1" t="n">
        <v>915</v>
      </c>
      <c r="D884737" s="1" t="n">
        <v>915</v>
      </c>
    </row>
    <row r="884738" customFormat="false" ht="12" hidden="false" customHeight="true" outlineLevel="0" collapsed="false">
      <c r="B884738" s="1" t="s">
        <v>36</v>
      </c>
      <c r="C884738" s="1" t="s">
        <v>37</v>
      </c>
      <c r="D884738" s="1" t="s">
        <v>38</v>
      </c>
    </row>
    <row r="884739" customFormat="false" ht="12" hidden="false" customHeight="true" outlineLevel="0" collapsed="false">
      <c r="B884739" s="1" t="s">
        <v>39</v>
      </c>
      <c r="C884739" s="1" t="s">
        <v>40</v>
      </c>
      <c r="D884739" s="1" t="s">
        <v>40</v>
      </c>
    </row>
    <row r="884740" customFormat="false" ht="12" hidden="false" customHeight="true" outlineLevel="0" collapsed="false">
      <c r="B884740" s="1" t="s">
        <v>41</v>
      </c>
      <c r="C884740" s="1" t="s">
        <v>42</v>
      </c>
      <c r="D884740" s="1" t="s">
        <v>42</v>
      </c>
    </row>
    <row r="884741" customFormat="false" ht="12" hidden="false" customHeight="true" outlineLevel="0" collapsed="false">
      <c r="B884741" s="1" t="s">
        <v>43</v>
      </c>
      <c r="C884741" s="1" t="s">
        <v>44</v>
      </c>
      <c r="D884741" s="1" t="s">
        <v>45</v>
      </c>
    </row>
    <row r="884742" customFormat="false" ht="12" hidden="false" customHeight="true" outlineLevel="0" collapsed="false">
      <c r="B884742" s="1" t="s">
        <v>46</v>
      </c>
      <c r="C884742" s="1" t="s">
        <v>47</v>
      </c>
      <c r="D884742" s="1" t="s">
        <v>43</v>
      </c>
    </row>
    <row r="884743" customFormat="false" ht="12" hidden="false" customHeight="true" outlineLevel="0" collapsed="false">
      <c r="B884743" s="1" t="s">
        <v>48</v>
      </c>
      <c r="C884743" s="1" t="s">
        <v>49</v>
      </c>
      <c r="D884743" s="1" t="s">
        <v>50</v>
      </c>
    </row>
    <row r="884744" customFormat="false" ht="12" hidden="false" customHeight="true" outlineLevel="0" collapsed="false">
      <c r="B884744" s="1" t="n">
        <v>2000</v>
      </c>
      <c r="C884744" s="1" t="n">
        <v>16.963</v>
      </c>
      <c r="D884744" s="1" t="n">
        <v>1.865</v>
      </c>
    </row>
    <row r="884745" customFormat="false" ht="12" hidden="false" customHeight="true" outlineLevel="0" collapsed="false">
      <c r="B884745" s="1" t="n">
        <v>2001</v>
      </c>
      <c r="C884745" s="1" t="n">
        <v>17.772</v>
      </c>
      <c r="D884745" s="1" t="n">
        <v>4.769</v>
      </c>
    </row>
    <row r="884746" customFormat="false" ht="12" hidden="false" customHeight="true" outlineLevel="0" collapsed="false">
      <c r="B884746" s="1" t="n">
        <v>2002</v>
      </c>
      <c r="C884746" s="1" t="n">
        <v>18.747</v>
      </c>
      <c r="D884746" s="1" t="n">
        <v>5.487</v>
      </c>
    </row>
    <row r="884747" customFormat="false" ht="12" hidden="false" customHeight="true" outlineLevel="0" collapsed="false">
      <c r="B884747" s="1" t="n">
        <v>2003</v>
      </c>
      <c r="C884747" s="1" t="n">
        <v>20.852</v>
      </c>
      <c r="D884747" s="1" t="n">
        <v>11.228</v>
      </c>
    </row>
    <row r="884748" customFormat="false" ht="12" hidden="false" customHeight="true" outlineLevel="0" collapsed="false">
      <c r="B884748" s="1" t="n">
        <v>2004</v>
      </c>
      <c r="C884748" s="1" t="n">
        <v>22.061</v>
      </c>
      <c r="D884748" s="1" t="n">
        <v>5.796</v>
      </c>
    </row>
    <row r="884749" customFormat="false" ht="12" hidden="false" customHeight="true" outlineLevel="0" collapsed="false">
      <c r="B884749" s="1" t="n">
        <v>2005</v>
      </c>
      <c r="C884749" s="1" t="n">
        <v>24.176</v>
      </c>
      <c r="D884749" s="1" t="n">
        <v>9.588</v>
      </c>
    </row>
    <row r="884750" customFormat="false" ht="12" hidden="false" customHeight="true" outlineLevel="0" collapsed="false">
      <c r="B884750" s="1" t="n">
        <v>2006</v>
      </c>
      <c r="C884750" s="1" t="n">
        <v>26.454</v>
      </c>
      <c r="D884750" s="1" t="n">
        <v>9.42</v>
      </c>
    </row>
    <row r="884751" customFormat="false" ht="12" hidden="false" customHeight="true" outlineLevel="0" collapsed="false">
      <c r="B884751" s="1" t="n">
        <v>2007</v>
      </c>
      <c r="C884751" s="1" t="n">
        <v>29.781</v>
      </c>
      <c r="D884751" s="1" t="n">
        <v>12.579</v>
      </c>
    </row>
    <row r="884752" customFormat="false" ht="12" hidden="false" customHeight="true" outlineLevel="0" collapsed="false">
      <c r="B884752" s="1" t="n">
        <v>2008</v>
      </c>
      <c r="C884752" s="1" t="n">
        <v>30.502</v>
      </c>
      <c r="D884752" s="1" t="n">
        <v>2.419</v>
      </c>
    </row>
    <row r="884753" customFormat="false" ht="12" hidden="false" customHeight="true" outlineLevel="0" collapsed="false">
      <c r="B884753" s="1" t="n">
        <v>2009</v>
      </c>
      <c r="C884753" s="1" t="n">
        <v>29.388</v>
      </c>
      <c r="D884753" s="1" t="n">
        <v>-3.651</v>
      </c>
    </row>
    <row r="884754" customFormat="false" ht="12" hidden="false" customHeight="true" outlineLevel="0" collapsed="false">
      <c r="B884754" s="1" t="n">
        <v>2010</v>
      </c>
      <c r="C884754" s="1" t="n">
        <v>31.428</v>
      </c>
      <c r="D884754" s="1" t="n">
        <v>6.942</v>
      </c>
    </row>
    <row r="884755" customFormat="false" ht="12" hidden="false" customHeight="true" outlineLevel="0" collapsed="false">
      <c r="B884755" s="1" t="n">
        <v>2011</v>
      </c>
      <c r="C884755" s="1" t="n">
        <v>33.927</v>
      </c>
      <c r="D884755" s="1" t="n">
        <v>7.949</v>
      </c>
    </row>
    <row r="884756" customFormat="false" ht="12" hidden="false" customHeight="true" outlineLevel="0" collapsed="false">
      <c r="B884756" s="1" t="n">
        <v>2012</v>
      </c>
      <c r="C884756" s="1" t="n">
        <v>36.159</v>
      </c>
      <c r="D884756" s="1" t="n">
        <v>6.579</v>
      </c>
    </row>
    <row r="884757" customFormat="false" ht="12" hidden="false" customHeight="true" outlineLevel="0" collapsed="false">
      <c r="B884757" s="1" t="n">
        <v>2013</v>
      </c>
      <c r="C884757" s="1" t="n">
        <v>38.015</v>
      </c>
      <c r="D884757" s="1" t="n">
        <v>5.134</v>
      </c>
    </row>
    <row r="884758" customFormat="false" ht="12" hidden="false" customHeight="true" outlineLevel="0" collapsed="false">
      <c r="B884758" s="1" t="n">
        <v>2014</v>
      </c>
      <c r="C884758" s="1" t="n">
        <v>39.57</v>
      </c>
      <c r="D884758" s="1" t="n">
        <v>4.091</v>
      </c>
    </row>
    <row r="884759" customFormat="false" ht="12" hidden="false" customHeight="true" outlineLevel="0" collapsed="false">
      <c r="B884759" s="1" t="n">
        <v>2015</v>
      </c>
      <c r="C884759" s="1" t="n">
        <v>40.896</v>
      </c>
      <c r="D884759" s="1" t="n">
        <v>3.351</v>
      </c>
    </row>
    <row r="884760" customFormat="false" ht="12" hidden="false" customHeight="true" outlineLevel="0" collapsed="false">
      <c r="B884760" s="1" t="n">
        <v>2016</v>
      </c>
      <c r="C884760" s="1" t="n">
        <v>42.307</v>
      </c>
      <c r="D884760" s="1" t="n">
        <v>3.45</v>
      </c>
    </row>
    <row r="884761" customFormat="false" ht="12" hidden="false" customHeight="true" outlineLevel="0" collapsed="false">
      <c r="B884761" s="1" t="n">
        <v>2017</v>
      </c>
      <c r="C884761" s="1" t="n">
        <v>44.49</v>
      </c>
      <c r="D884761" s="1" t="n">
        <v>5.161</v>
      </c>
    </row>
    <row r="884762" customFormat="false" ht="12" hidden="false" customHeight="true" outlineLevel="0" collapsed="false">
      <c r="B884762" s="1" t="n">
        <v>2018</v>
      </c>
      <c r="C884762" s="1" t="n">
        <v>47.187</v>
      </c>
      <c r="D884762" s="1" t="n">
        <v>6.062</v>
      </c>
    </row>
    <row r="884763" customFormat="false" ht="12" hidden="false" customHeight="true" outlineLevel="0" collapsed="false">
      <c r="B884763" s="1" t="n">
        <v>2019</v>
      </c>
      <c r="C884763" s="1" t="n">
        <v>49.726</v>
      </c>
      <c r="D884763" s="1" t="n">
        <v>5.38</v>
      </c>
    </row>
    <row r="884764" customFormat="false" ht="12" hidden="false" customHeight="true" outlineLevel="0" collapsed="false">
      <c r="B884764" s="1" t="n">
        <v>2020</v>
      </c>
      <c r="C884764" s="1" t="n">
        <v>46.598</v>
      </c>
      <c r="D884764" s="1" t="n">
        <v>-6.291</v>
      </c>
    </row>
    <row r="884765" customFormat="false" ht="12" hidden="false" customHeight="true" outlineLevel="0" collapsed="false">
      <c r="B884765" s="1" t="n">
        <v>2021</v>
      </c>
      <c r="C884765" s="1" t="n">
        <v>51.558</v>
      </c>
      <c r="D884765" s="1" t="n">
        <v>10.644</v>
      </c>
    </row>
    <row r="884766" customFormat="false" ht="12" hidden="false" customHeight="true" outlineLevel="0" collapsed="false">
      <c r="B884766" s="1" t="n">
        <v>2022</v>
      </c>
      <c r="C884766" s="1" t="n">
        <v>57.208</v>
      </c>
      <c r="D884766" s="1" t="n">
        <v>10.96</v>
      </c>
    </row>
    <row r="884767" customFormat="false" ht="12" hidden="false" customHeight="true" outlineLevel="0" collapsed="false">
      <c r="B884767" s="1" t="n">
        <v>2023</v>
      </c>
      <c r="C884767" s="1" t="n">
        <v>61.689</v>
      </c>
      <c r="D884767" s="1" t="n">
        <v>7.832</v>
      </c>
    </row>
    <row r="884768" customFormat="false" ht="12" hidden="false" customHeight="true" outlineLevel="0" collapsed="false">
      <c r="B884768" s="1" t="n">
        <v>2024</v>
      </c>
      <c r="C884768" s="1" t="n">
        <v>67.505</v>
      </c>
      <c r="D884768" s="1" t="n">
        <v>9.429</v>
      </c>
    </row>
    <row r="884769" customFormat="false" ht="12" hidden="false" customHeight="true" outlineLevel="0" collapsed="false">
      <c r="B884769" s="1" t="n">
        <v>2025</v>
      </c>
      <c r="C884769" s="1" t="n">
        <v>71.54</v>
      </c>
      <c r="D884769" s="1" t="n">
        <v>5.977</v>
      </c>
    </row>
    <row r="884770" customFormat="false" ht="12" hidden="false" customHeight="true" outlineLevel="0" collapsed="false">
      <c r="B884770" s="1" t="n">
        <v>2026</v>
      </c>
      <c r="C884770" s="1" t="n">
        <v>75.117</v>
      </c>
      <c r="D884770" s="1" t="n">
        <v>5</v>
      </c>
    </row>
    <row r="884771" customFormat="false" ht="12" hidden="false" customHeight="true" outlineLevel="0" collapsed="false">
      <c r="B884771" s="1" t="n">
        <v>2027</v>
      </c>
      <c r="C884771" s="1" t="n">
        <v>78.873</v>
      </c>
      <c r="D884771" s="1" t="n">
        <v>5</v>
      </c>
    </row>
    <row r="884772" customFormat="false" ht="12" hidden="false" customHeight="true" outlineLevel="0" collapsed="false">
      <c r="B884772" s="1" t="s">
        <v>51</v>
      </c>
      <c r="C884772" s="1" t="n">
        <v>2024</v>
      </c>
      <c r="D884772" s="1" t="n">
        <v>2024</v>
      </c>
    </row>
    <row r="901121" customFormat="false" ht="12" hidden="false" customHeight="true" outlineLevel="0" collapsed="false">
      <c r="B901121" s="1" t="s">
        <v>35</v>
      </c>
      <c r="C901121" s="1" t="n">
        <v>915</v>
      </c>
      <c r="D901121" s="1" t="n">
        <v>915</v>
      </c>
    </row>
    <row r="901122" customFormat="false" ht="12" hidden="false" customHeight="true" outlineLevel="0" collapsed="false">
      <c r="B901122" s="1" t="s">
        <v>36</v>
      </c>
      <c r="C901122" s="1" t="s">
        <v>37</v>
      </c>
      <c r="D901122" s="1" t="s">
        <v>38</v>
      </c>
    </row>
    <row r="901123" customFormat="false" ht="12" hidden="false" customHeight="true" outlineLevel="0" collapsed="false">
      <c r="B901123" s="1" t="s">
        <v>39</v>
      </c>
      <c r="C901123" s="1" t="s">
        <v>40</v>
      </c>
      <c r="D901123" s="1" t="s">
        <v>40</v>
      </c>
    </row>
    <row r="901124" customFormat="false" ht="12" hidden="false" customHeight="true" outlineLevel="0" collapsed="false">
      <c r="B901124" s="1" t="s">
        <v>41</v>
      </c>
      <c r="C901124" s="1" t="s">
        <v>42</v>
      </c>
      <c r="D901124" s="1" t="s">
        <v>42</v>
      </c>
    </row>
    <row r="901125" customFormat="false" ht="12" hidden="false" customHeight="true" outlineLevel="0" collapsed="false">
      <c r="B901125" s="1" t="s">
        <v>43</v>
      </c>
      <c r="C901125" s="1" t="s">
        <v>44</v>
      </c>
      <c r="D901125" s="1" t="s">
        <v>45</v>
      </c>
    </row>
    <row r="901126" customFormat="false" ht="12" hidden="false" customHeight="true" outlineLevel="0" collapsed="false">
      <c r="B901126" s="1" t="s">
        <v>46</v>
      </c>
      <c r="C901126" s="1" t="s">
        <v>47</v>
      </c>
      <c r="D901126" s="1" t="s">
        <v>43</v>
      </c>
    </row>
    <row r="901127" customFormat="false" ht="12" hidden="false" customHeight="true" outlineLevel="0" collapsed="false">
      <c r="B901127" s="1" t="s">
        <v>48</v>
      </c>
      <c r="C901127" s="1" t="s">
        <v>49</v>
      </c>
      <c r="D901127" s="1" t="s">
        <v>50</v>
      </c>
    </row>
    <row r="901128" customFormat="false" ht="12" hidden="false" customHeight="true" outlineLevel="0" collapsed="false">
      <c r="B901128" s="1" t="n">
        <v>2000</v>
      </c>
      <c r="C901128" s="1" t="n">
        <v>16.963</v>
      </c>
      <c r="D901128" s="1" t="n">
        <v>1.865</v>
      </c>
    </row>
    <row r="901129" customFormat="false" ht="12" hidden="false" customHeight="true" outlineLevel="0" collapsed="false">
      <c r="B901129" s="1" t="n">
        <v>2001</v>
      </c>
      <c r="C901129" s="1" t="n">
        <v>17.772</v>
      </c>
      <c r="D901129" s="1" t="n">
        <v>4.769</v>
      </c>
    </row>
    <row r="901130" customFormat="false" ht="12" hidden="false" customHeight="true" outlineLevel="0" collapsed="false">
      <c r="B901130" s="1" t="n">
        <v>2002</v>
      </c>
      <c r="C901130" s="1" t="n">
        <v>18.747</v>
      </c>
      <c r="D901130" s="1" t="n">
        <v>5.487</v>
      </c>
    </row>
    <row r="901131" customFormat="false" ht="12" hidden="false" customHeight="true" outlineLevel="0" collapsed="false">
      <c r="B901131" s="1" t="n">
        <v>2003</v>
      </c>
      <c r="C901131" s="1" t="n">
        <v>20.852</v>
      </c>
      <c r="D901131" s="1" t="n">
        <v>11.228</v>
      </c>
    </row>
    <row r="901132" customFormat="false" ht="12" hidden="false" customHeight="true" outlineLevel="0" collapsed="false">
      <c r="B901132" s="1" t="n">
        <v>2004</v>
      </c>
      <c r="C901132" s="1" t="n">
        <v>22.061</v>
      </c>
      <c r="D901132" s="1" t="n">
        <v>5.796</v>
      </c>
    </row>
    <row r="901133" customFormat="false" ht="12" hidden="false" customHeight="true" outlineLevel="0" collapsed="false">
      <c r="B901133" s="1" t="n">
        <v>2005</v>
      </c>
      <c r="C901133" s="1" t="n">
        <v>24.176</v>
      </c>
      <c r="D901133" s="1" t="n">
        <v>9.588</v>
      </c>
    </row>
    <row r="901134" customFormat="false" ht="12" hidden="false" customHeight="true" outlineLevel="0" collapsed="false">
      <c r="B901134" s="1" t="n">
        <v>2006</v>
      </c>
      <c r="C901134" s="1" t="n">
        <v>26.454</v>
      </c>
      <c r="D901134" s="1" t="n">
        <v>9.42</v>
      </c>
    </row>
    <row r="901135" customFormat="false" ht="12" hidden="false" customHeight="true" outlineLevel="0" collapsed="false">
      <c r="B901135" s="1" t="n">
        <v>2007</v>
      </c>
      <c r="C901135" s="1" t="n">
        <v>29.781</v>
      </c>
      <c r="D901135" s="1" t="n">
        <v>12.579</v>
      </c>
    </row>
    <row r="901136" customFormat="false" ht="12" hidden="false" customHeight="true" outlineLevel="0" collapsed="false">
      <c r="B901136" s="1" t="n">
        <v>2008</v>
      </c>
      <c r="C901136" s="1" t="n">
        <v>30.502</v>
      </c>
      <c r="D901136" s="1" t="n">
        <v>2.419</v>
      </c>
    </row>
    <row r="901137" customFormat="false" ht="12" hidden="false" customHeight="true" outlineLevel="0" collapsed="false">
      <c r="B901137" s="1" t="n">
        <v>2009</v>
      </c>
      <c r="C901137" s="1" t="n">
        <v>29.388</v>
      </c>
      <c r="D901137" s="1" t="n">
        <v>-3.651</v>
      </c>
    </row>
    <row r="901138" customFormat="false" ht="12" hidden="false" customHeight="true" outlineLevel="0" collapsed="false">
      <c r="B901138" s="1" t="n">
        <v>2010</v>
      </c>
      <c r="C901138" s="1" t="n">
        <v>31.428</v>
      </c>
      <c r="D901138" s="1" t="n">
        <v>6.942</v>
      </c>
    </row>
    <row r="901139" customFormat="false" ht="12" hidden="false" customHeight="true" outlineLevel="0" collapsed="false">
      <c r="B901139" s="1" t="n">
        <v>2011</v>
      </c>
      <c r="C901139" s="1" t="n">
        <v>33.927</v>
      </c>
      <c r="D901139" s="1" t="n">
        <v>7.949</v>
      </c>
    </row>
    <row r="901140" customFormat="false" ht="12" hidden="false" customHeight="true" outlineLevel="0" collapsed="false">
      <c r="B901140" s="1" t="n">
        <v>2012</v>
      </c>
      <c r="C901140" s="1" t="n">
        <v>36.159</v>
      </c>
      <c r="D901140" s="1" t="n">
        <v>6.579</v>
      </c>
    </row>
    <row r="901141" customFormat="false" ht="12" hidden="false" customHeight="true" outlineLevel="0" collapsed="false">
      <c r="B901141" s="1" t="n">
        <v>2013</v>
      </c>
      <c r="C901141" s="1" t="n">
        <v>38.015</v>
      </c>
      <c r="D901141" s="1" t="n">
        <v>5.134</v>
      </c>
    </row>
    <row r="901142" customFormat="false" ht="12" hidden="false" customHeight="true" outlineLevel="0" collapsed="false">
      <c r="B901142" s="1" t="n">
        <v>2014</v>
      </c>
      <c r="C901142" s="1" t="n">
        <v>39.57</v>
      </c>
      <c r="D901142" s="1" t="n">
        <v>4.091</v>
      </c>
    </row>
    <row r="901143" customFormat="false" ht="12" hidden="false" customHeight="true" outlineLevel="0" collapsed="false">
      <c r="B901143" s="1" t="n">
        <v>2015</v>
      </c>
      <c r="C901143" s="1" t="n">
        <v>40.896</v>
      </c>
      <c r="D901143" s="1" t="n">
        <v>3.351</v>
      </c>
    </row>
    <row r="901144" customFormat="false" ht="12" hidden="false" customHeight="true" outlineLevel="0" collapsed="false">
      <c r="B901144" s="1" t="n">
        <v>2016</v>
      </c>
      <c r="C901144" s="1" t="n">
        <v>42.307</v>
      </c>
      <c r="D901144" s="1" t="n">
        <v>3.45</v>
      </c>
    </row>
    <row r="901145" customFormat="false" ht="12" hidden="false" customHeight="true" outlineLevel="0" collapsed="false">
      <c r="B901145" s="1" t="n">
        <v>2017</v>
      </c>
      <c r="C901145" s="1" t="n">
        <v>44.49</v>
      </c>
      <c r="D901145" s="1" t="n">
        <v>5.161</v>
      </c>
    </row>
    <row r="901146" customFormat="false" ht="12" hidden="false" customHeight="true" outlineLevel="0" collapsed="false">
      <c r="B901146" s="1" t="n">
        <v>2018</v>
      </c>
      <c r="C901146" s="1" t="n">
        <v>47.187</v>
      </c>
      <c r="D901146" s="1" t="n">
        <v>6.062</v>
      </c>
    </row>
    <row r="901147" customFormat="false" ht="12" hidden="false" customHeight="true" outlineLevel="0" collapsed="false">
      <c r="B901147" s="1" t="n">
        <v>2019</v>
      </c>
      <c r="C901147" s="1" t="n">
        <v>49.726</v>
      </c>
      <c r="D901147" s="1" t="n">
        <v>5.38</v>
      </c>
    </row>
    <row r="901148" customFormat="false" ht="12" hidden="false" customHeight="true" outlineLevel="0" collapsed="false">
      <c r="B901148" s="1" t="n">
        <v>2020</v>
      </c>
      <c r="C901148" s="1" t="n">
        <v>46.598</v>
      </c>
      <c r="D901148" s="1" t="n">
        <v>-6.291</v>
      </c>
    </row>
    <row r="901149" customFormat="false" ht="12" hidden="false" customHeight="true" outlineLevel="0" collapsed="false">
      <c r="B901149" s="1" t="n">
        <v>2021</v>
      </c>
      <c r="C901149" s="1" t="n">
        <v>51.558</v>
      </c>
      <c r="D901149" s="1" t="n">
        <v>10.644</v>
      </c>
    </row>
    <row r="901150" customFormat="false" ht="12" hidden="false" customHeight="true" outlineLevel="0" collapsed="false">
      <c r="B901150" s="1" t="n">
        <v>2022</v>
      </c>
      <c r="C901150" s="1" t="n">
        <v>57.208</v>
      </c>
      <c r="D901150" s="1" t="n">
        <v>10.96</v>
      </c>
    </row>
    <row r="901151" customFormat="false" ht="12" hidden="false" customHeight="true" outlineLevel="0" collapsed="false">
      <c r="B901151" s="1" t="n">
        <v>2023</v>
      </c>
      <c r="C901151" s="1" t="n">
        <v>61.689</v>
      </c>
      <c r="D901151" s="1" t="n">
        <v>7.832</v>
      </c>
    </row>
    <row r="901152" customFormat="false" ht="12" hidden="false" customHeight="true" outlineLevel="0" collapsed="false">
      <c r="B901152" s="1" t="n">
        <v>2024</v>
      </c>
      <c r="C901152" s="1" t="n">
        <v>67.505</v>
      </c>
      <c r="D901152" s="1" t="n">
        <v>9.429</v>
      </c>
    </row>
    <row r="901153" customFormat="false" ht="12" hidden="false" customHeight="true" outlineLevel="0" collapsed="false">
      <c r="B901153" s="1" t="n">
        <v>2025</v>
      </c>
      <c r="C901153" s="1" t="n">
        <v>71.54</v>
      </c>
      <c r="D901153" s="1" t="n">
        <v>5.977</v>
      </c>
    </row>
    <row r="901154" customFormat="false" ht="12" hidden="false" customHeight="true" outlineLevel="0" collapsed="false">
      <c r="B901154" s="1" t="n">
        <v>2026</v>
      </c>
      <c r="C901154" s="1" t="n">
        <v>75.117</v>
      </c>
      <c r="D901154" s="1" t="n">
        <v>5</v>
      </c>
    </row>
    <row r="901155" customFormat="false" ht="12" hidden="false" customHeight="true" outlineLevel="0" collapsed="false">
      <c r="B901155" s="1" t="n">
        <v>2027</v>
      </c>
      <c r="C901155" s="1" t="n">
        <v>78.873</v>
      </c>
      <c r="D901155" s="1" t="n">
        <v>5</v>
      </c>
    </row>
    <row r="901156" customFormat="false" ht="12" hidden="false" customHeight="true" outlineLevel="0" collapsed="false">
      <c r="B901156" s="1" t="s">
        <v>51</v>
      </c>
      <c r="C901156" s="1" t="n">
        <v>2024</v>
      </c>
      <c r="D901156" s="1" t="n">
        <v>2024</v>
      </c>
    </row>
    <row r="917505" customFormat="false" ht="12" hidden="false" customHeight="true" outlineLevel="0" collapsed="false">
      <c r="B917505" s="1" t="s">
        <v>35</v>
      </c>
      <c r="C917505" s="1" t="n">
        <v>915</v>
      </c>
      <c r="D917505" s="1" t="n">
        <v>915</v>
      </c>
    </row>
    <row r="917506" customFormat="false" ht="12" hidden="false" customHeight="true" outlineLevel="0" collapsed="false">
      <c r="B917506" s="1" t="s">
        <v>36</v>
      </c>
      <c r="C917506" s="1" t="s">
        <v>37</v>
      </c>
      <c r="D917506" s="1" t="s">
        <v>38</v>
      </c>
    </row>
    <row r="917507" customFormat="false" ht="12" hidden="false" customHeight="true" outlineLevel="0" collapsed="false">
      <c r="B917507" s="1" t="s">
        <v>39</v>
      </c>
      <c r="C917507" s="1" t="s">
        <v>40</v>
      </c>
      <c r="D917507" s="1" t="s">
        <v>40</v>
      </c>
    </row>
    <row r="917508" customFormat="false" ht="12" hidden="false" customHeight="true" outlineLevel="0" collapsed="false">
      <c r="B917508" s="1" t="s">
        <v>41</v>
      </c>
      <c r="C917508" s="1" t="s">
        <v>42</v>
      </c>
      <c r="D917508" s="1" t="s">
        <v>42</v>
      </c>
    </row>
    <row r="917509" customFormat="false" ht="12" hidden="false" customHeight="true" outlineLevel="0" collapsed="false">
      <c r="B917509" s="1" t="s">
        <v>43</v>
      </c>
      <c r="C917509" s="1" t="s">
        <v>44</v>
      </c>
      <c r="D917509" s="1" t="s">
        <v>45</v>
      </c>
    </row>
    <row r="917510" customFormat="false" ht="12" hidden="false" customHeight="true" outlineLevel="0" collapsed="false">
      <c r="B917510" s="1" t="s">
        <v>46</v>
      </c>
      <c r="C917510" s="1" t="s">
        <v>47</v>
      </c>
      <c r="D917510" s="1" t="s">
        <v>43</v>
      </c>
    </row>
    <row r="917511" customFormat="false" ht="12" hidden="false" customHeight="true" outlineLevel="0" collapsed="false">
      <c r="B917511" s="1" t="s">
        <v>48</v>
      </c>
      <c r="C917511" s="1" t="s">
        <v>49</v>
      </c>
      <c r="D917511" s="1" t="s">
        <v>50</v>
      </c>
    </row>
    <row r="917512" customFormat="false" ht="12" hidden="false" customHeight="true" outlineLevel="0" collapsed="false">
      <c r="B917512" s="1" t="n">
        <v>2000</v>
      </c>
      <c r="C917512" s="1" t="n">
        <v>16.963</v>
      </c>
      <c r="D917512" s="1" t="n">
        <v>1.865</v>
      </c>
    </row>
    <row r="917513" customFormat="false" ht="12" hidden="false" customHeight="true" outlineLevel="0" collapsed="false">
      <c r="B917513" s="1" t="n">
        <v>2001</v>
      </c>
      <c r="C917513" s="1" t="n">
        <v>17.772</v>
      </c>
      <c r="D917513" s="1" t="n">
        <v>4.769</v>
      </c>
    </row>
    <row r="917514" customFormat="false" ht="12" hidden="false" customHeight="true" outlineLevel="0" collapsed="false">
      <c r="B917514" s="1" t="n">
        <v>2002</v>
      </c>
      <c r="C917514" s="1" t="n">
        <v>18.747</v>
      </c>
      <c r="D917514" s="1" t="n">
        <v>5.487</v>
      </c>
    </row>
    <row r="917515" customFormat="false" ht="12" hidden="false" customHeight="true" outlineLevel="0" collapsed="false">
      <c r="B917515" s="1" t="n">
        <v>2003</v>
      </c>
      <c r="C917515" s="1" t="n">
        <v>20.852</v>
      </c>
      <c r="D917515" s="1" t="n">
        <v>11.228</v>
      </c>
    </row>
    <row r="917516" customFormat="false" ht="12" hidden="false" customHeight="true" outlineLevel="0" collapsed="false">
      <c r="B917516" s="1" t="n">
        <v>2004</v>
      </c>
      <c r="C917516" s="1" t="n">
        <v>22.061</v>
      </c>
      <c r="D917516" s="1" t="n">
        <v>5.796</v>
      </c>
    </row>
    <row r="917517" customFormat="false" ht="12" hidden="false" customHeight="true" outlineLevel="0" collapsed="false">
      <c r="B917517" s="1" t="n">
        <v>2005</v>
      </c>
      <c r="C917517" s="1" t="n">
        <v>24.176</v>
      </c>
      <c r="D917517" s="1" t="n">
        <v>9.588</v>
      </c>
    </row>
    <row r="917518" customFormat="false" ht="12" hidden="false" customHeight="true" outlineLevel="0" collapsed="false">
      <c r="B917518" s="1" t="n">
        <v>2006</v>
      </c>
      <c r="C917518" s="1" t="n">
        <v>26.454</v>
      </c>
      <c r="D917518" s="1" t="n">
        <v>9.42</v>
      </c>
    </row>
    <row r="917519" customFormat="false" ht="12" hidden="false" customHeight="true" outlineLevel="0" collapsed="false">
      <c r="B917519" s="1" t="n">
        <v>2007</v>
      </c>
      <c r="C917519" s="1" t="n">
        <v>29.781</v>
      </c>
      <c r="D917519" s="1" t="n">
        <v>12.579</v>
      </c>
    </row>
    <row r="917520" customFormat="false" ht="12" hidden="false" customHeight="true" outlineLevel="0" collapsed="false">
      <c r="B917520" s="1" t="n">
        <v>2008</v>
      </c>
      <c r="C917520" s="1" t="n">
        <v>30.502</v>
      </c>
      <c r="D917520" s="1" t="n">
        <v>2.419</v>
      </c>
    </row>
    <row r="917521" customFormat="false" ht="12" hidden="false" customHeight="true" outlineLevel="0" collapsed="false">
      <c r="B917521" s="1" t="n">
        <v>2009</v>
      </c>
      <c r="C917521" s="1" t="n">
        <v>29.388</v>
      </c>
      <c r="D917521" s="1" t="n">
        <v>-3.651</v>
      </c>
    </row>
    <row r="917522" customFormat="false" ht="12" hidden="false" customHeight="true" outlineLevel="0" collapsed="false">
      <c r="B917522" s="1" t="n">
        <v>2010</v>
      </c>
      <c r="C917522" s="1" t="n">
        <v>31.428</v>
      </c>
      <c r="D917522" s="1" t="n">
        <v>6.942</v>
      </c>
    </row>
    <row r="917523" customFormat="false" ht="12" hidden="false" customHeight="true" outlineLevel="0" collapsed="false">
      <c r="B917523" s="1" t="n">
        <v>2011</v>
      </c>
      <c r="C917523" s="1" t="n">
        <v>33.927</v>
      </c>
      <c r="D917523" s="1" t="n">
        <v>7.949</v>
      </c>
    </row>
    <row r="917524" customFormat="false" ht="12" hidden="false" customHeight="true" outlineLevel="0" collapsed="false">
      <c r="B917524" s="1" t="n">
        <v>2012</v>
      </c>
      <c r="C917524" s="1" t="n">
        <v>36.159</v>
      </c>
      <c r="D917524" s="1" t="n">
        <v>6.579</v>
      </c>
    </row>
    <row r="917525" customFormat="false" ht="12" hidden="false" customHeight="true" outlineLevel="0" collapsed="false">
      <c r="B917525" s="1" t="n">
        <v>2013</v>
      </c>
      <c r="C917525" s="1" t="n">
        <v>38.015</v>
      </c>
      <c r="D917525" s="1" t="n">
        <v>5.134</v>
      </c>
    </row>
    <row r="917526" customFormat="false" ht="12" hidden="false" customHeight="true" outlineLevel="0" collapsed="false">
      <c r="B917526" s="1" t="n">
        <v>2014</v>
      </c>
      <c r="C917526" s="1" t="n">
        <v>39.57</v>
      </c>
      <c r="D917526" s="1" t="n">
        <v>4.091</v>
      </c>
    </row>
    <row r="917527" customFormat="false" ht="12" hidden="false" customHeight="true" outlineLevel="0" collapsed="false">
      <c r="B917527" s="1" t="n">
        <v>2015</v>
      </c>
      <c r="C917527" s="1" t="n">
        <v>40.896</v>
      </c>
      <c r="D917527" s="1" t="n">
        <v>3.351</v>
      </c>
    </row>
    <row r="917528" customFormat="false" ht="12" hidden="false" customHeight="true" outlineLevel="0" collapsed="false">
      <c r="B917528" s="1" t="n">
        <v>2016</v>
      </c>
      <c r="C917528" s="1" t="n">
        <v>42.307</v>
      </c>
      <c r="D917528" s="1" t="n">
        <v>3.45</v>
      </c>
    </row>
    <row r="917529" customFormat="false" ht="12" hidden="false" customHeight="true" outlineLevel="0" collapsed="false">
      <c r="B917529" s="1" t="n">
        <v>2017</v>
      </c>
      <c r="C917529" s="1" t="n">
        <v>44.49</v>
      </c>
      <c r="D917529" s="1" t="n">
        <v>5.161</v>
      </c>
    </row>
    <row r="917530" customFormat="false" ht="12" hidden="false" customHeight="true" outlineLevel="0" collapsed="false">
      <c r="B917530" s="1" t="n">
        <v>2018</v>
      </c>
      <c r="C917530" s="1" t="n">
        <v>47.187</v>
      </c>
      <c r="D917530" s="1" t="n">
        <v>6.062</v>
      </c>
    </row>
    <row r="917531" customFormat="false" ht="12" hidden="false" customHeight="true" outlineLevel="0" collapsed="false">
      <c r="B917531" s="1" t="n">
        <v>2019</v>
      </c>
      <c r="C917531" s="1" t="n">
        <v>49.726</v>
      </c>
      <c r="D917531" s="1" t="n">
        <v>5.38</v>
      </c>
    </row>
    <row r="917532" customFormat="false" ht="12" hidden="false" customHeight="true" outlineLevel="0" collapsed="false">
      <c r="B917532" s="1" t="n">
        <v>2020</v>
      </c>
      <c r="C917532" s="1" t="n">
        <v>46.598</v>
      </c>
      <c r="D917532" s="1" t="n">
        <v>-6.291</v>
      </c>
    </row>
    <row r="917533" customFormat="false" ht="12" hidden="false" customHeight="true" outlineLevel="0" collapsed="false">
      <c r="B917533" s="1" t="n">
        <v>2021</v>
      </c>
      <c r="C917533" s="1" t="n">
        <v>51.558</v>
      </c>
      <c r="D917533" s="1" t="n">
        <v>10.644</v>
      </c>
    </row>
    <row r="917534" customFormat="false" ht="12" hidden="false" customHeight="true" outlineLevel="0" collapsed="false">
      <c r="B917534" s="1" t="n">
        <v>2022</v>
      </c>
      <c r="C917534" s="1" t="n">
        <v>57.208</v>
      </c>
      <c r="D917534" s="1" t="n">
        <v>10.96</v>
      </c>
    </row>
    <row r="917535" customFormat="false" ht="12" hidden="false" customHeight="true" outlineLevel="0" collapsed="false">
      <c r="B917535" s="1" t="n">
        <v>2023</v>
      </c>
      <c r="C917535" s="1" t="n">
        <v>61.689</v>
      </c>
      <c r="D917535" s="1" t="n">
        <v>7.832</v>
      </c>
    </row>
    <row r="917536" customFormat="false" ht="12" hidden="false" customHeight="true" outlineLevel="0" collapsed="false">
      <c r="B917536" s="1" t="n">
        <v>2024</v>
      </c>
      <c r="C917536" s="1" t="n">
        <v>67.505</v>
      </c>
      <c r="D917536" s="1" t="n">
        <v>9.429</v>
      </c>
    </row>
    <row r="917537" customFormat="false" ht="12" hidden="false" customHeight="true" outlineLevel="0" collapsed="false">
      <c r="B917537" s="1" t="n">
        <v>2025</v>
      </c>
      <c r="C917537" s="1" t="n">
        <v>71.54</v>
      </c>
      <c r="D917537" s="1" t="n">
        <v>5.977</v>
      </c>
    </row>
    <row r="917538" customFormat="false" ht="12" hidden="false" customHeight="true" outlineLevel="0" collapsed="false">
      <c r="B917538" s="1" t="n">
        <v>2026</v>
      </c>
      <c r="C917538" s="1" t="n">
        <v>75.117</v>
      </c>
      <c r="D917538" s="1" t="n">
        <v>5</v>
      </c>
    </row>
    <row r="917539" customFormat="false" ht="12" hidden="false" customHeight="true" outlineLevel="0" collapsed="false">
      <c r="B917539" s="1" t="n">
        <v>2027</v>
      </c>
      <c r="C917539" s="1" t="n">
        <v>78.873</v>
      </c>
      <c r="D917539" s="1" t="n">
        <v>5</v>
      </c>
    </row>
    <row r="917540" customFormat="false" ht="12" hidden="false" customHeight="true" outlineLevel="0" collapsed="false">
      <c r="B917540" s="1" t="s">
        <v>51</v>
      </c>
      <c r="C917540" s="1" t="n">
        <v>2024</v>
      </c>
      <c r="D917540" s="1" t="n">
        <v>2024</v>
      </c>
    </row>
    <row r="933889" customFormat="false" ht="12" hidden="false" customHeight="true" outlineLevel="0" collapsed="false">
      <c r="B933889" s="1" t="s">
        <v>35</v>
      </c>
      <c r="C933889" s="1" t="n">
        <v>915</v>
      </c>
      <c r="D933889" s="1" t="n">
        <v>915</v>
      </c>
    </row>
    <row r="933890" customFormat="false" ht="12" hidden="false" customHeight="true" outlineLevel="0" collapsed="false">
      <c r="B933890" s="1" t="s">
        <v>36</v>
      </c>
      <c r="C933890" s="1" t="s">
        <v>37</v>
      </c>
      <c r="D933890" s="1" t="s">
        <v>38</v>
      </c>
    </row>
    <row r="933891" customFormat="false" ht="12" hidden="false" customHeight="true" outlineLevel="0" collapsed="false">
      <c r="B933891" s="1" t="s">
        <v>39</v>
      </c>
      <c r="C933891" s="1" t="s">
        <v>40</v>
      </c>
      <c r="D933891" s="1" t="s">
        <v>40</v>
      </c>
    </row>
    <row r="933892" customFormat="false" ht="12" hidden="false" customHeight="true" outlineLevel="0" collapsed="false">
      <c r="B933892" s="1" t="s">
        <v>41</v>
      </c>
      <c r="C933892" s="1" t="s">
        <v>42</v>
      </c>
      <c r="D933892" s="1" t="s">
        <v>42</v>
      </c>
    </row>
    <row r="933893" customFormat="false" ht="12" hidden="false" customHeight="true" outlineLevel="0" collapsed="false">
      <c r="B933893" s="1" t="s">
        <v>43</v>
      </c>
      <c r="C933893" s="1" t="s">
        <v>44</v>
      </c>
      <c r="D933893" s="1" t="s">
        <v>45</v>
      </c>
    </row>
    <row r="933894" customFormat="false" ht="12" hidden="false" customHeight="true" outlineLevel="0" collapsed="false">
      <c r="B933894" s="1" t="s">
        <v>46</v>
      </c>
      <c r="C933894" s="1" t="s">
        <v>47</v>
      </c>
      <c r="D933894" s="1" t="s">
        <v>43</v>
      </c>
    </row>
    <row r="933895" customFormat="false" ht="12" hidden="false" customHeight="true" outlineLevel="0" collapsed="false">
      <c r="B933895" s="1" t="s">
        <v>48</v>
      </c>
      <c r="C933895" s="1" t="s">
        <v>49</v>
      </c>
      <c r="D933895" s="1" t="s">
        <v>50</v>
      </c>
    </row>
    <row r="933896" customFormat="false" ht="12" hidden="false" customHeight="true" outlineLevel="0" collapsed="false">
      <c r="B933896" s="1" t="n">
        <v>2000</v>
      </c>
      <c r="C933896" s="1" t="n">
        <v>16.963</v>
      </c>
      <c r="D933896" s="1" t="n">
        <v>1.865</v>
      </c>
    </row>
    <row r="933897" customFormat="false" ht="12" hidden="false" customHeight="true" outlineLevel="0" collapsed="false">
      <c r="B933897" s="1" t="n">
        <v>2001</v>
      </c>
      <c r="C933897" s="1" t="n">
        <v>17.772</v>
      </c>
      <c r="D933897" s="1" t="n">
        <v>4.769</v>
      </c>
    </row>
    <row r="933898" customFormat="false" ht="12" hidden="false" customHeight="true" outlineLevel="0" collapsed="false">
      <c r="B933898" s="1" t="n">
        <v>2002</v>
      </c>
      <c r="C933898" s="1" t="n">
        <v>18.747</v>
      </c>
      <c r="D933898" s="1" t="n">
        <v>5.487</v>
      </c>
    </row>
    <row r="933899" customFormat="false" ht="12" hidden="false" customHeight="true" outlineLevel="0" collapsed="false">
      <c r="B933899" s="1" t="n">
        <v>2003</v>
      </c>
      <c r="C933899" s="1" t="n">
        <v>20.852</v>
      </c>
      <c r="D933899" s="1" t="n">
        <v>11.228</v>
      </c>
    </row>
    <row r="933900" customFormat="false" ht="12" hidden="false" customHeight="true" outlineLevel="0" collapsed="false">
      <c r="B933900" s="1" t="n">
        <v>2004</v>
      </c>
      <c r="C933900" s="1" t="n">
        <v>22.061</v>
      </c>
      <c r="D933900" s="1" t="n">
        <v>5.796</v>
      </c>
    </row>
    <row r="933901" customFormat="false" ht="12" hidden="false" customHeight="true" outlineLevel="0" collapsed="false">
      <c r="B933901" s="1" t="n">
        <v>2005</v>
      </c>
      <c r="C933901" s="1" t="n">
        <v>24.176</v>
      </c>
      <c r="D933901" s="1" t="n">
        <v>9.588</v>
      </c>
    </row>
    <row r="933902" customFormat="false" ht="12" hidden="false" customHeight="true" outlineLevel="0" collapsed="false">
      <c r="B933902" s="1" t="n">
        <v>2006</v>
      </c>
      <c r="C933902" s="1" t="n">
        <v>26.454</v>
      </c>
      <c r="D933902" s="1" t="n">
        <v>9.42</v>
      </c>
    </row>
    <row r="933903" customFormat="false" ht="12" hidden="false" customHeight="true" outlineLevel="0" collapsed="false">
      <c r="B933903" s="1" t="n">
        <v>2007</v>
      </c>
      <c r="C933903" s="1" t="n">
        <v>29.781</v>
      </c>
      <c r="D933903" s="1" t="n">
        <v>12.579</v>
      </c>
    </row>
    <row r="933904" customFormat="false" ht="12" hidden="false" customHeight="true" outlineLevel="0" collapsed="false">
      <c r="B933904" s="1" t="n">
        <v>2008</v>
      </c>
      <c r="C933904" s="1" t="n">
        <v>30.502</v>
      </c>
      <c r="D933904" s="1" t="n">
        <v>2.419</v>
      </c>
    </row>
    <row r="933905" customFormat="false" ht="12" hidden="false" customHeight="true" outlineLevel="0" collapsed="false">
      <c r="B933905" s="1" t="n">
        <v>2009</v>
      </c>
      <c r="C933905" s="1" t="n">
        <v>29.388</v>
      </c>
      <c r="D933905" s="1" t="n">
        <v>-3.651</v>
      </c>
    </row>
    <row r="933906" customFormat="false" ht="12" hidden="false" customHeight="true" outlineLevel="0" collapsed="false">
      <c r="B933906" s="1" t="n">
        <v>2010</v>
      </c>
      <c r="C933906" s="1" t="n">
        <v>31.428</v>
      </c>
      <c r="D933906" s="1" t="n">
        <v>6.942</v>
      </c>
    </row>
    <row r="933907" customFormat="false" ht="12" hidden="false" customHeight="true" outlineLevel="0" collapsed="false">
      <c r="B933907" s="1" t="n">
        <v>2011</v>
      </c>
      <c r="C933907" s="1" t="n">
        <v>33.927</v>
      </c>
      <c r="D933907" s="1" t="n">
        <v>7.949</v>
      </c>
    </row>
    <row r="933908" customFormat="false" ht="12" hidden="false" customHeight="true" outlineLevel="0" collapsed="false">
      <c r="B933908" s="1" t="n">
        <v>2012</v>
      </c>
      <c r="C933908" s="1" t="n">
        <v>36.159</v>
      </c>
      <c r="D933908" s="1" t="n">
        <v>6.579</v>
      </c>
    </row>
    <row r="933909" customFormat="false" ht="12" hidden="false" customHeight="true" outlineLevel="0" collapsed="false">
      <c r="B933909" s="1" t="n">
        <v>2013</v>
      </c>
      <c r="C933909" s="1" t="n">
        <v>38.015</v>
      </c>
      <c r="D933909" s="1" t="n">
        <v>5.134</v>
      </c>
    </row>
    <row r="933910" customFormat="false" ht="12" hidden="false" customHeight="true" outlineLevel="0" collapsed="false">
      <c r="B933910" s="1" t="n">
        <v>2014</v>
      </c>
      <c r="C933910" s="1" t="n">
        <v>39.57</v>
      </c>
      <c r="D933910" s="1" t="n">
        <v>4.091</v>
      </c>
    </row>
    <row r="933911" customFormat="false" ht="12" hidden="false" customHeight="true" outlineLevel="0" collapsed="false">
      <c r="B933911" s="1" t="n">
        <v>2015</v>
      </c>
      <c r="C933911" s="1" t="n">
        <v>40.896</v>
      </c>
      <c r="D933911" s="1" t="n">
        <v>3.351</v>
      </c>
    </row>
    <row r="933912" customFormat="false" ht="12" hidden="false" customHeight="true" outlineLevel="0" collapsed="false">
      <c r="B933912" s="1" t="n">
        <v>2016</v>
      </c>
      <c r="C933912" s="1" t="n">
        <v>42.307</v>
      </c>
      <c r="D933912" s="1" t="n">
        <v>3.45</v>
      </c>
    </row>
    <row r="933913" customFormat="false" ht="12" hidden="false" customHeight="true" outlineLevel="0" collapsed="false">
      <c r="B933913" s="1" t="n">
        <v>2017</v>
      </c>
      <c r="C933913" s="1" t="n">
        <v>44.49</v>
      </c>
      <c r="D933913" s="1" t="n">
        <v>5.161</v>
      </c>
    </row>
    <row r="933914" customFormat="false" ht="12" hidden="false" customHeight="true" outlineLevel="0" collapsed="false">
      <c r="B933914" s="1" t="n">
        <v>2018</v>
      </c>
      <c r="C933914" s="1" t="n">
        <v>47.187</v>
      </c>
      <c r="D933914" s="1" t="n">
        <v>6.062</v>
      </c>
    </row>
    <row r="933915" customFormat="false" ht="12" hidden="false" customHeight="true" outlineLevel="0" collapsed="false">
      <c r="B933915" s="1" t="n">
        <v>2019</v>
      </c>
      <c r="C933915" s="1" t="n">
        <v>49.726</v>
      </c>
      <c r="D933915" s="1" t="n">
        <v>5.38</v>
      </c>
    </row>
    <row r="933916" customFormat="false" ht="12" hidden="false" customHeight="true" outlineLevel="0" collapsed="false">
      <c r="B933916" s="1" t="n">
        <v>2020</v>
      </c>
      <c r="C933916" s="1" t="n">
        <v>46.598</v>
      </c>
      <c r="D933916" s="1" t="n">
        <v>-6.291</v>
      </c>
    </row>
    <row r="933917" customFormat="false" ht="12" hidden="false" customHeight="true" outlineLevel="0" collapsed="false">
      <c r="B933917" s="1" t="n">
        <v>2021</v>
      </c>
      <c r="C933917" s="1" t="n">
        <v>51.558</v>
      </c>
      <c r="D933917" s="1" t="n">
        <v>10.644</v>
      </c>
    </row>
    <row r="933918" customFormat="false" ht="12" hidden="false" customHeight="true" outlineLevel="0" collapsed="false">
      <c r="B933918" s="1" t="n">
        <v>2022</v>
      </c>
      <c r="C933918" s="1" t="n">
        <v>57.208</v>
      </c>
      <c r="D933918" s="1" t="n">
        <v>10.96</v>
      </c>
    </row>
    <row r="933919" customFormat="false" ht="12" hidden="false" customHeight="true" outlineLevel="0" collapsed="false">
      <c r="B933919" s="1" t="n">
        <v>2023</v>
      </c>
      <c r="C933919" s="1" t="n">
        <v>61.689</v>
      </c>
      <c r="D933919" s="1" t="n">
        <v>7.832</v>
      </c>
    </row>
    <row r="933920" customFormat="false" ht="12" hidden="false" customHeight="true" outlineLevel="0" collapsed="false">
      <c r="B933920" s="1" t="n">
        <v>2024</v>
      </c>
      <c r="C933920" s="1" t="n">
        <v>67.505</v>
      </c>
      <c r="D933920" s="1" t="n">
        <v>9.429</v>
      </c>
    </row>
    <row r="933921" customFormat="false" ht="12" hidden="false" customHeight="true" outlineLevel="0" collapsed="false">
      <c r="B933921" s="1" t="n">
        <v>2025</v>
      </c>
      <c r="C933921" s="1" t="n">
        <v>71.54</v>
      </c>
      <c r="D933921" s="1" t="n">
        <v>5.977</v>
      </c>
    </row>
    <row r="933922" customFormat="false" ht="12" hidden="false" customHeight="true" outlineLevel="0" collapsed="false">
      <c r="B933922" s="1" t="n">
        <v>2026</v>
      </c>
      <c r="C933922" s="1" t="n">
        <v>75.117</v>
      </c>
      <c r="D933922" s="1" t="n">
        <v>5</v>
      </c>
    </row>
    <row r="933923" customFormat="false" ht="12" hidden="false" customHeight="true" outlineLevel="0" collapsed="false">
      <c r="B933923" s="1" t="n">
        <v>2027</v>
      </c>
      <c r="C933923" s="1" t="n">
        <v>78.873</v>
      </c>
      <c r="D933923" s="1" t="n">
        <v>5</v>
      </c>
    </row>
    <row r="933924" customFormat="false" ht="12" hidden="false" customHeight="true" outlineLevel="0" collapsed="false">
      <c r="B933924" s="1" t="s">
        <v>51</v>
      </c>
      <c r="C933924" s="1" t="n">
        <v>2024</v>
      </c>
      <c r="D933924" s="1" t="n">
        <v>2024</v>
      </c>
    </row>
    <row r="950273" customFormat="false" ht="12" hidden="false" customHeight="true" outlineLevel="0" collapsed="false">
      <c r="B950273" s="1" t="s">
        <v>35</v>
      </c>
      <c r="C950273" s="1" t="n">
        <v>915</v>
      </c>
      <c r="D950273" s="1" t="n">
        <v>915</v>
      </c>
    </row>
    <row r="950274" customFormat="false" ht="12" hidden="false" customHeight="true" outlineLevel="0" collapsed="false">
      <c r="B950274" s="1" t="s">
        <v>36</v>
      </c>
      <c r="C950274" s="1" t="s">
        <v>37</v>
      </c>
      <c r="D950274" s="1" t="s">
        <v>38</v>
      </c>
    </row>
    <row r="950275" customFormat="false" ht="12" hidden="false" customHeight="true" outlineLevel="0" collapsed="false">
      <c r="B950275" s="1" t="s">
        <v>39</v>
      </c>
      <c r="C950275" s="1" t="s">
        <v>40</v>
      </c>
      <c r="D950275" s="1" t="s">
        <v>40</v>
      </c>
    </row>
    <row r="950276" customFormat="false" ht="12" hidden="false" customHeight="true" outlineLevel="0" collapsed="false">
      <c r="B950276" s="1" t="s">
        <v>41</v>
      </c>
      <c r="C950276" s="1" t="s">
        <v>42</v>
      </c>
      <c r="D950276" s="1" t="s">
        <v>42</v>
      </c>
    </row>
    <row r="950277" customFormat="false" ht="12" hidden="false" customHeight="true" outlineLevel="0" collapsed="false">
      <c r="B950277" s="1" t="s">
        <v>43</v>
      </c>
      <c r="C950277" s="1" t="s">
        <v>44</v>
      </c>
      <c r="D950277" s="1" t="s">
        <v>45</v>
      </c>
    </row>
    <row r="950278" customFormat="false" ht="12" hidden="false" customHeight="true" outlineLevel="0" collapsed="false">
      <c r="B950278" s="1" t="s">
        <v>46</v>
      </c>
      <c r="C950278" s="1" t="s">
        <v>47</v>
      </c>
      <c r="D950278" s="1" t="s">
        <v>43</v>
      </c>
    </row>
    <row r="950279" customFormat="false" ht="12" hidden="false" customHeight="true" outlineLevel="0" collapsed="false">
      <c r="B950279" s="1" t="s">
        <v>48</v>
      </c>
      <c r="C950279" s="1" t="s">
        <v>49</v>
      </c>
      <c r="D950279" s="1" t="s">
        <v>50</v>
      </c>
    </row>
    <row r="950280" customFormat="false" ht="12" hidden="false" customHeight="true" outlineLevel="0" collapsed="false">
      <c r="B950280" s="1" t="n">
        <v>2000</v>
      </c>
      <c r="C950280" s="1" t="n">
        <v>16.963</v>
      </c>
      <c r="D950280" s="1" t="n">
        <v>1.865</v>
      </c>
    </row>
    <row r="950281" customFormat="false" ht="12" hidden="false" customHeight="true" outlineLevel="0" collapsed="false">
      <c r="B950281" s="1" t="n">
        <v>2001</v>
      </c>
      <c r="C950281" s="1" t="n">
        <v>17.772</v>
      </c>
      <c r="D950281" s="1" t="n">
        <v>4.769</v>
      </c>
    </row>
    <row r="950282" customFormat="false" ht="12" hidden="false" customHeight="true" outlineLevel="0" collapsed="false">
      <c r="B950282" s="1" t="n">
        <v>2002</v>
      </c>
      <c r="C950282" s="1" t="n">
        <v>18.747</v>
      </c>
      <c r="D950282" s="1" t="n">
        <v>5.487</v>
      </c>
    </row>
    <row r="950283" customFormat="false" ht="12" hidden="false" customHeight="true" outlineLevel="0" collapsed="false">
      <c r="B950283" s="1" t="n">
        <v>2003</v>
      </c>
      <c r="C950283" s="1" t="n">
        <v>20.852</v>
      </c>
      <c r="D950283" s="1" t="n">
        <v>11.228</v>
      </c>
    </row>
    <row r="950284" customFormat="false" ht="12" hidden="false" customHeight="true" outlineLevel="0" collapsed="false">
      <c r="B950284" s="1" t="n">
        <v>2004</v>
      </c>
      <c r="C950284" s="1" t="n">
        <v>22.061</v>
      </c>
      <c r="D950284" s="1" t="n">
        <v>5.796</v>
      </c>
    </row>
    <row r="950285" customFormat="false" ht="12" hidden="false" customHeight="true" outlineLevel="0" collapsed="false">
      <c r="B950285" s="1" t="n">
        <v>2005</v>
      </c>
      <c r="C950285" s="1" t="n">
        <v>24.176</v>
      </c>
      <c r="D950285" s="1" t="n">
        <v>9.588</v>
      </c>
    </row>
    <row r="950286" customFormat="false" ht="12" hidden="false" customHeight="true" outlineLevel="0" collapsed="false">
      <c r="B950286" s="1" t="n">
        <v>2006</v>
      </c>
      <c r="C950286" s="1" t="n">
        <v>26.454</v>
      </c>
      <c r="D950286" s="1" t="n">
        <v>9.42</v>
      </c>
    </row>
    <row r="950287" customFormat="false" ht="12" hidden="false" customHeight="true" outlineLevel="0" collapsed="false">
      <c r="B950287" s="1" t="n">
        <v>2007</v>
      </c>
      <c r="C950287" s="1" t="n">
        <v>29.781</v>
      </c>
      <c r="D950287" s="1" t="n">
        <v>12.579</v>
      </c>
    </row>
    <row r="950288" customFormat="false" ht="12" hidden="false" customHeight="true" outlineLevel="0" collapsed="false">
      <c r="B950288" s="1" t="n">
        <v>2008</v>
      </c>
      <c r="C950288" s="1" t="n">
        <v>30.502</v>
      </c>
      <c r="D950288" s="1" t="n">
        <v>2.419</v>
      </c>
    </row>
    <row r="950289" customFormat="false" ht="12" hidden="false" customHeight="true" outlineLevel="0" collapsed="false">
      <c r="B950289" s="1" t="n">
        <v>2009</v>
      </c>
      <c r="C950289" s="1" t="n">
        <v>29.388</v>
      </c>
      <c r="D950289" s="1" t="n">
        <v>-3.651</v>
      </c>
    </row>
    <row r="950290" customFormat="false" ht="12" hidden="false" customHeight="true" outlineLevel="0" collapsed="false">
      <c r="B950290" s="1" t="n">
        <v>2010</v>
      </c>
      <c r="C950290" s="1" t="n">
        <v>31.428</v>
      </c>
      <c r="D950290" s="1" t="n">
        <v>6.942</v>
      </c>
    </row>
    <row r="950291" customFormat="false" ht="12" hidden="false" customHeight="true" outlineLevel="0" collapsed="false">
      <c r="B950291" s="1" t="n">
        <v>2011</v>
      </c>
      <c r="C950291" s="1" t="n">
        <v>33.927</v>
      </c>
      <c r="D950291" s="1" t="n">
        <v>7.949</v>
      </c>
    </row>
    <row r="950292" customFormat="false" ht="12" hidden="false" customHeight="true" outlineLevel="0" collapsed="false">
      <c r="B950292" s="1" t="n">
        <v>2012</v>
      </c>
      <c r="C950292" s="1" t="n">
        <v>36.159</v>
      </c>
      <c r="D950292" s="1" t="n">
        <v>6.579</v>
      </c>
    </row>
    <row r="950293" customFormat="false" ht="12" hidden="false" customHeight="true" outlineLevel="0" collapsed="false">
      <c r="B950293" s="1" t="n">
        <v>2013</v>
      </c>
      <c r="C950293" s="1" t="n">
        <v>38.015</v>
      </c>
      <c r="D950293" s="1" t="n">
        <v>5.134</v>
      </c>
    </row>
    <row r="950294" customFormat="false" ht="12" hidden="false" customHeight="true" outlineLevel="0" collapsed="false">
      <c r="B950294" s="1" t="n">
        <v>2014</v>
      </c>
      <c r="C950294" s="1" t="n">
        <v>39.57</v>
      </c>
      <c r="D950294" s="1" t="n">
        <v>4.091</v>
      </c>
    </row>
    <row r="950295" customFormat="false" ht="12" hidden="false" customHeight="true" outlineLevel="0" collapsed="false">
      <c r="B950295" s="1" t="n">
        <v>2015</v>
      </c>
      <c r="C950295" s="1" t="n">
        <v>40.896</v>
      </c>
      <c r="D950295" s="1" t="n">
        <v>3.351</v>
      </c>
    </row>
    <row r="950296" customFormat="false" ht="12" hidden="false" customHeight="true" outlineLevel="0" collapsed="false">
      <c r="B950296" s="1" t="n">
        <v>2016</v>
      </c>
      <c r="C950296" s="1" t="n">
        <v>42.307</v>
      </c>
      <c r="D950296" s="1" t="n">
        <v>3.45</v>
      </c>
    </row>
    <row r="950297" customFormat="false" ht="12" hidden="false" customHeight="true" outlineLevel="0" collapsed="false">
      <c r="B950297" s="1" t="n">
        <v>2017</v>
      </c>
      <c r="C950297" s="1" t="n">
        <v>44.49</v>
      </c>
      <c r="D950297" s="1" t="n">
        <v>5.161</v>
      </c>
    </row>
    <row r="950298" customFormat="false" ht="12" hidden="false" customHeight="true" outlineLevel="0" collapsed="false">
      <c r="B950298" s="1" t="n">
        <v>2018</v>
      </c>
      <c r="C950298" s="1" t="n">
        <v>47.187</v>
      </c>
      <c r="D950298" s="1" t="n">
        <v>6.062</v>
      </c>
    </row>
    <row r="950299" customFormat="false" ht="12" hidden="false" customHeight="true" outlineLevel="0" collapsed="false">
      <c r="B950299" s="1" t="n">
        <v>2019</v>
      </c>
      <c r="C950299" s="1" t="n">
        <v>49.726</v>
      </c>
      <c r="D950299" s="1" t="n">
        <v>5.38</v>
      </c>
    </row>
    <row r="950300" customFormat="false" ht="12" hidden="false" customHeight="true" outlineLevel="0" collapsed="false">
      <c r="B950300" s="1" t="n">
        <v>2020</v>
      </c>
      <c r="C950300" s="1" t="n">
        <v>46.598</v>
      </c>
      <c r="D950300" s="1" t="n">
        <v>-6.291</v>
      </c>
    </row>
    <row r="950301" customFormat="false" ht="12" hidden="false" customHeight="true" outlineLevel="0" collapsed="false">
      <c r="B950301" s="1" t="n">
        <v>2021</v>
      </c>
      <c r="C950301" s="1" t="n">
        <v>51.558</v>
      </c>
      <c r="D950301" s="1" t="n">
        <v>10.644</v>
      </c>
    </row>
    <row r="950302" customFormat="false" ht="12" hidden="false" customHeight="true" outlineLevel="0" collapsed="false">
      <c r="B950302" s="1" t="n">
        <v>2022</v>
      </c>
      <c r="C950302" s="1" t="n">
        <v>57.208</v>
      </c>
      <c r="D950302" s="1" t="n">
        <v>10.96</v>
      </c>
    </row>
    <row r="950303" customFormat="false" ht="12" hidden="false" customHeight="true" outlineLevel="0" collapsed="false">
      <c r="B950303" s="1" t="n">
        <v>2023</v>
      </c>
      <c r="C950303" s="1" t="n">
        <v>61.689</v>
      </c>
      <c r="D950303" s="1" t="n">
        <v>7.832</v>
      </c>
    </row>
    <row r="950304" customFormat="false" ht="12" hidden="false" customHeight="true" outlineLevel="0" collapsed="false">
      <c r="B950304" s="1" t="n">
        <v>2024</v>
      </c>
      <c r="C950304" s="1" t="n">
        <v>67.505</v>
      </c>
      <c r="D950304" s="1" t="n">
        <v>9.429</v>
      </c>
    </row>
    <row r="950305" customFormat="false" ht="12" hidden="false" customHeight="true" outlineLevel="0" collapsed="false">
      <c r="B950305" s="1" t="n">
        <v>2025</v>
      </c>
      <c r="C950305" s="1" t="n">
        <v>71.54</v>
      </c>
      <c r="D950305" s="1" t="n">
        <v>5.977</v>
      </c>
    </row>
    <row r="950306" customFormat="false" ht="12" hidden="false" customHeight="true" outlineLevel="0" collapsed="false">
      <c r="B950306" s="1" t="n">
        <v>2026</v>
      </c>
      <c r="C950306" s="1" t="n">
        <v>75.117</v>
      </c>
      <c r="D950306" s="1" t="n">
        <v>5</v>
      </c>
    </row>
    <row r="950307" customFormat="false" ht="12" hidden="false" customHeight="true" outlineLevel="0" collapsed="false">
      <c r="B950307" s="1" t="n">
        <v>2027</v>
      </c>
      <c r="C950307" s="1" t="n">
        <v>78.873</v>
      </c>
      <c r="D950307" s="1" t="n">
        <v>5</v>
      </c>
    </row>
    <row r="950308" customFormat="false" ht="12" hidden="false" customHeight="true" outlineLevel="0" collapsed="false">
      <c r="B950308" s="1" t="s">
        <v>51</v>
      </c>
      <c r="C950308" s="1" t="n">
        <v>2024</v>
      </c>
      <c r="D950308" s="1" t="n">
        <v>2024</v>
      </c>
    </row>
    <row r="966657" customFormat="false" ht="12" hidden="false" customHeight="true" outlineLevel="0" collapsed="false">
      <c r="B966657" s="1" t="s">
        <v>35</v>
      </c>
      <c r="C966657" s="1" t="n">
        <v>915</v>
      </c>
      <c r="D966657" s="1" t="n">
        <v>915</v>
      </c>
    </row>
    <row r="966658" customFormat="false" ht="12" hidden="false" customHeight="true" outlineLevel="0" collapsed="false">
      <c r="B966658" s="1" t="s">
        <v>36</v>
      </c>
      <c r="C966658" s="1" t="s">
        <v>37</v>
      </c>
      <c r="D966658" s="1" t="s">
        <v>38</v>
      </c>
    </row>
    <row r="966659" customFormat="false" ht="12" hidden="false" customHeight="true" outlineLevel="0" collapsed="false">
      <c r="B966659" s="1" t="s">
        <v>39</v>
      </c>
      <c r="C966659" s="1" t="s">
        <v>40</v>
      </c>
      <c r="D966659" s="1" t="s">
        <v>40</v>
      </c>
    </row>
    <row r="966660" customFormat="false" ht="12" hidden="false" customHeight="true" outlineLevel="0" collapsed="false">
      <c r="B966660" s="1" t="s">
        <v>41</v>
      </c>
      <c r="C966660" s="1" t="s">
        <v>42</v>
      </c>
      <c r="D966660" s="1" t="s">
        <v>42</v>
      </c>
    </row>
    <row r="966661" customFormat="false" ht="12" hidden="false" customHeight="true" outlineLevel="0" collapsed="false">
      <c r="B966661" s="1" t="s">
        <v>43</v>
      </c>
      <c r="C966661" s="1" t="s">
        <v>44</v>
      </c>
      <c r="D966661" s="1" t="s">
        <v>45</v>
      </c>
    </row>
    <row r="966662" customFormat="false" ht="12" hidden="false" customHeight="true" outlineLevel="0" collapsed="false">
      <c r="B966662" s="1" t="s">
        <v>46</v>
      </c>
      <c r="C966662" s="1" t="s">
        <v>47</v>
      </c>
      <c r="D966662" s="1" t="s">
        <v>43</v>
      </c>
    </row>
    <row r="966663" customFormat="false" ht="12" hidden="false" customHeight="true" outlineLevel="0" collapsed="false">
      <c r="B966663" s="1" t="s">
        <v>48</v>
      </c>
      <c r="C966663" s="1" t="s">
        <v>49</v>
      </c>
      <c r="D966663" s="1" t="s">
        <v>50</v>
      </c>
    </row>
    <row r="966664" customFormat="false" ht="12" hidden="false" customHeight="true" outlineLevel="0" collapsed="false">
      <c r="B966664" s="1" t="n">
        <v>2000</v>
      </c>
      <c r="C966664" s="1" t="n">
        <v>16.963</v>
      </c>
      <c r="D966664" s="1" t="n">
        <v>1.865</v>
      </c>
    </row>
    <row r="966665" customFormat="false" ht="12" hidden="false" customHeight="true" outlineLevel="0" collapsed="false">
      <c r="B966665" s="1" t="n">
        <v>2001</v>
      </c>
      <c r="C966665" s="1" t="n">
        <v>17.772</v>
      </c>
      <c r="D966665" s="1" t="n">
        <v>4.769</v>
      </c>
    </row>
    <row r="966666" customFormat="false" ht="12" hidden="false" customHeight="true" outlineLevel="0" collapsed="false">
      <c r="B966666" s="1" t="n">
        <v>2002</v>
      </c>
      <c r="C966666" s="1" t="n">
        <v>18.747</v>
      </c>
      <c r="D966666" s="1" t="n">
        <v>5.487</v>
      </c>
    </row>
    <row r="966667" customFormat="false" ht="12" hidden="false" customHeight="true" outlineLevel="0" collapsed="false">
      <c r="B966667" s="1" t="n">
        <v>2003</v>
      </c>
      <c r="C966667" s="1" t="n">
        <v>20.852</v>
      </c>
      <c r="D966667" s="1" t="n">
        <v>11.228</v>
      </c>
    </row>
    <row r="966668" customFormat="false" ht="12" hidden="false" customHeight="true" outlineLevel="0" collapsed="false">
      <c r="B966668" s="1" t="n">
        <v>2004</v>
      </c>
      <c r="C966668" s="1" t="n">
        <v>22.061</v>
      </c>
      <c r="D966668" s="1" t="n">
        <v>5.796</v>
      </c>
    </row>
    <row r="966669" customFormat="false" ht="12" hidden="false" customHeight="true" outlineLevel="0" collapsed="false">
      <c r="B966669" s="1" t="n">
        <v>2005</v>
      </c>
      <c r="C966669" s="1" t="n">
        <v>24.176</v>
      </c>
      <c r="D966669" s="1" t="n">
        <v>9.588</v>
      </c>
    </row>
    <row r="966670" customFormat="false" ht="12" hidden="false" customHeight="true" outlineLevel="0" collapsed="false">
      <c r="B966670" s="1" t="n">
        <v>2006</v>
      </c>
      <c r="C966670" s="1" t="n">
        <v>26.454</v>
      </c>
      <c r="D966670" s="1" t="n">
        <v>9.42</v>
      </c>
    </row>
    <row r="966671" customFormat="false" ht="12" hidden="false" customHeight="true" outlineLevel="0" collapsed="false">
      <c r="B966671" s="1" t="n">
        <v>2007</v>
      </c>
      <c r="C966671" s="1" t="n">
        <v>29.781</v>
      </c>
      <c r="D966671" s="1" t="n">
        <v>12.579</v>
      </c>
    </row>
    <row r="966672" customFormat="false" ht="12" hidden="false" customHeight="true" outlineLevel="0" collapsed="false">
      <c r="B966672" s="1" t="n">
        <v>2008</v>
      </c>
      <c r="C966672" s="1" t="n">
        <v>30.502</v>
      </c>
      <c r="D966672" s="1" t="n">
        <v>2.419</v>
      </c>
    </row>
    <row r="966673" customFormat="false" ht="12" hidden="false" customHeight="true" outlineLevel="0" collapsed="false">
      <c r="B966673" s="1" t="n">
        <v>2009</v>
      </c>
      <c r="C966673" s="1" t="n">
        <v>29.388</v>
      </c>
      <c r="D966673" s="1" t="n">
        <v>-3.651</v>
      </c>
    </row>
    <row r="966674" customFormat="false" ht="12" hidden="false" customHeight="true" outlineLevel="0" collapsed="false">
      <c r="B966674" s="1" t="n">
        <v>2010</v>
      </c>
      <c r="C966674" s="1" t="n">
        <v>31.428</v>
      </c>
      <c r="D966674" s="1" t="n">
        <v>6.942</v>
      </c>
    </row>
    <row r="966675" customFormat="false" ht="12" hidden="false" customHeight="true" outlineLevel="0" collapsed="false">
      <c r="B966675" s="1" t="n">
        <v>2011</v>
      </c>
      <c r="C966675" s="1" t="n">
        <v>33.927</v>
      </c>
      <c r="D966675" s="1" t="n">
        <v>7.949</v>
      </c>
    </row>
    <row r="966676" customFormat="false" ht="12" hidden="false" customHeight="true" outlineLevel="0" collapsed="false">
      <c r="B966676" s="1" t="n">
        <v>2012</v>
      </c>
      <c r="C966676" s="1" t="n">
        <v>36.159</v>
      </c>
      <c r="D966676" s="1" t="n">
        <v>6.579</v>
      </c>
    </row>
    <row r="966677" customFormat="false" ht="12" hidden="false" customHeight="true" outlineLevel="0" collapsed="false">
      <c r="B966677" s="1" t="n">
        <v>2013</v>
      </c>
      <c r="C966677" s="1" t="n">
        <v>38.015</v>
      </c>
      <c r="D966677" s="1" t="n">
        <v>5.134</v>
      </c>
    </row>
    <row r="966678" customFormat="false" ht="12" hidden="false" customHeight="true" outlineLevel="0" collapsed="false">
      <c r="B966678" s="1" t="n">
        <v>2014</v>
      </c>
      <c r="C966678" s="1" t="n">
        <v>39.57</v>
      </c>
      <c r="D966678" s="1" t="n">
        <v>4.091</v>
      </c>
    </row>
    <row r="966679" customFormat="false" ht="12" hidden="false" customHeight="true" outlineLevel="0" collapsed="false">
      <c r="B966679" s="1" t="n">
        <v>2015</v>
      </c>
      <c r="C966679" s="1" t="n">
        <v>40.896</v>
      </c>
      <c r="D966679" s="1" t="n">
        <v>3.351</v>
      </c>
    </row>
    <row r="966680" customFormat="false" ht="12" hidden="false" customHeight="true" outlineLevel="0" collapsed="false">
      <c r="B966680" s="1" t="n">
        <v>2016</v>
      </c>
      <c r="C966680" s="1" t="n">
        <v>42.307</v>
      </c>
      <c r="D966680" s="1" t="n">
        <v>3.45</v>
      </c>
    </row>
    <row r="966681" customFormat="false" ht="12" hidden="false" customHeight="true" outlineLevel="0" collapsed="false">
      <c r="B966681" s="1" t="n">
        <v>2017</v>
      </c>
      <c r="C966681" s="1" t="n">
        <v>44.49</v>
      </c>
      <c r="D966681" s="1" t="n">
        <v>5.161</v>
      </c>
    </row>
    <row r="966682" customFormat="false" ht="12" hidden="false" customHeight="true" outlineLevel="0" collapsed="false">
      <c r="B966682" s="1" t="n">
        <v>2018</v>
      </c>
      <c r="C966682" s="1" t="n">
        <v>47.187</v>
      </c>
      <c r="D966682" s="1" t="n">
        <v>6.062</v>
      </c>
    </row>
    <row r="966683" customFormat="false" ht="12" hidden="false" customHeight="true" outlineLevel="0" collapsed="false">
      <c r="B966683" s="1" t="n">
        <v>2019</v>
      </c>
      <c r="C966683" s="1" t="n">
        <v>49.726</v>
      </c>
      <c r="D966683" s="1" t="n">
        <v>5.38</v>
      </c>
    </row>
    <row r="966684" customFormat="false" ht="12" hidden="false" customHeight="true" outlineLevel="0" collapsed="false">
      <c r="B966684" s="1" t="n">
        <v>2020</v>
      </c>
      <c r="C966684" s="1" t="n">
        <v>46.598</v>
      </c>
      <c r="D966684" s="1" t="n">
        <v>-6.291</v>
      </c>
    </row>
    <row r="966685" customFormat="false" ht="12" hidden="false" customHeight="true" outlineLevel="0" collapsed="false">
      <c r="B966685" s="1" t="n">
        <v>2021</v>
      </c>
      <c r="C966685" s="1" t="n">
        <v>51.558</v>
      </c>
      <c r="D966685" s="1" t="n">
        <v>10.644</v>
      </c>
    </row>
    <row r="966686" customFormat="false" ht="12" hidden="false" customHeight="true" outlineLevel="0" collapsed="false">
      <c r="B966686" s="1" t="n">
        <v>2022</v>
      </c>
      <c r="C966686" s="1" t="n">
        <v>57.208</v>
      </c>
      <c r="D966686" s="1" t="n">
        <v>10.96</v>
      </c>
    </row>
    <row r="966687" customFormat="false" ht="12" hidden="false" customHeight="true" outlineLevel="0" collapsed="false">
      <c r="B966687" s="1" t="n">
        <v>2023</v>
      </c>
      <c r="C966687" s="1" t="n">
        <v>61.689</v>
      </c>
      <c r="D966687" s="1" t="n">
        <v>7.832</v>
      </c>
    </row>
    <row r="966688" customFormat="false" ht="12" hidden="false" customHeight="true" outlineLevel="0" collapsed="false">
      <c r="B966688" s="1" t="n">
        <v>2024</v>
      </c>
      <c r="C966688" s="1" t="n">
        <v>67.505</v>
      </c>
      <c r="D966688" s="1" t="n">
        <v>9.429</v>
      </c>
    </row>
    <row r="966689" customFormat="false" ht="12" hidden="false" customHeight="true" outlineLevel="0" collapsed="false">
      <c r="B966689" s="1" t="n">
        <v>2025</v>
      </c>
      <c r="C966689" s="1" t="n">
        <v>71.54</v>
      </c>
      <c r="D966689" s="1" t="n">
        <v>5.977</v>
      </c>
    </row>
    <row r="966690" customFormat="false" ht="12" hidden="false" customHeight="true" outlineLevel="0" collapsed="false">
      <c r="B966690" s="1" t="n">
        <v>2026</v>
      </c>
      <c r="C966690" s="1" t="n">
        <v>75.117</v>
      </c>
      <c r="D966690" s="1" t="n">
        <v>5</v>
      </c>
    </row>
    <row r="966691" customFormat="false" ht="12" hidden="false" customHeight="true" outlineLevel="0" collapsed="false">
      <c r="B966691" s="1" t="n">
        <v>2027</v>
      </c>
      <c r="C966691" s="1" t="n">
        <v>78.873</v>
      </c>
      <c r="D966691" s="1" t="n">
        <v>5</v>
      </c>
    </row>
    <row r="966692" customFormat="false" ht="12" hidden="false" customHeight="true" outlineLevel="0" collapsed="false">
      <c r="B966692" s="1" t="s">
        <v>51</v>
      </c>
      <c r="C966692" s="1" t="n">
        <v>2024</v>
      </c>
      <c r="D966692" s="1" t="n">
        <v>2024</v>
      </c>
    </row>
    <row r="983041" customFormat="false" ht="12" hidden="false" customHeight="true" outlineLevel="0" collapsed="false">
      <c r="B983041" s="1" t="s">
        <v>35</v>
      </c>
      <c r="C983041" s="1" t="n">
        <v>915</v>
      </c>
      <c r="D983041" s="1" t="n">
        <v>915</v>
      </c>
    </row>
    <row r="983042" customFormat="false" ht="12" hidden="false" customHeight="true" outlineLevel="0" collapsed="false">
      <c r="B983042" s="1" t="s">
        <v>36</v>
      </c>
      <c r="C983042" s="1" t="s">
        <v>37</v>
      </c>
      <c r="D983042" s="1" t="s">
        <v>38</v>
      </c>
    </row>
    <row r="983043" customFormat="false" ht="12" hidden="false" customHeight="true" outlineLevel="0" collapsed="false">
      <c r="B983043" s="1" t="s">
        <v>39</v>
      </c>
      <c r="C983043" s="1" t="s">
        <v>40</v>
      </c>
      <c r="D983043" s="1" t="s">
        <v>40</v>
      </c>
    </row>
    <row r="983044" customFormat="false" ht="12" hidden="false" customHeight="true" outlineLevel="0" collapsed="false">
      <c r="B983044" s="1" t="s">
        <v>41</v>
      </c>
      <c r="C983044" s="1" t="s">
        <v>42</v>
      </c>
      <c r="D983044" s="1" t="s">
        <v>42</v>
      </c>
    </row>
    <row r="983045" customFormat="false" ht="12" hidden="false" customHeight="true" outlineLevel="0" collapsed="false">
      <c r="B983045" s="1" t="s">
        <v>43</v>
      </c>
      <c r="C983045" s="1" t="s">
        <v>44</v>
      </c>
      <c r="D983045" s="1" t="s">
        <v>45</v>
      </c>
    </row>
    <row r="983046" customFormat="false" ht="12" hidden="false" customHeight="true" outlineLevel="0" collapsed="false">
      <c r="B983046" s="1" t="s">
        <v>46</v>
      </c>
      <c r="C983046" s="1" t="s">
        <v>47</v>
      </c>
      <c r="D983046" s="1" t="s">
        <v>43</v>
      </c>
    </row>
    <row r="983047" customFormat="false" ht="12" hidden="false" customHeight="true" outlineLevel="0" collapsed="false">
      <c r="B983047" s="1" t="s">
        <v>48</v>
      </c>
      <c r="C983047" s="1" t="s">
        <v>49</v>
      </c>
      <c r="D983047" s="1" t="s">
        <v>50</v>
      </c>
    </row>
    <row r="983048" customFormat="false" ht="12" hidden="false" customHeight="true" outlineLevel="0" collapsed="false">
      <c r="B983048" s="1" t="n">
        <v>2000</v>
      </c>
      <c r="C983048" s="1" t="n">
        <v>16.963</v>
      </c>
      <c r="D983048" s="1" t="n">
        <v>1.865</v>
      </c>
    </row>
    <row r="983049" customFormat="false" ht="12" hidden="false" customHeight="true" outlineLevel="0" collapsed="false">
      <c r="B983049" s="1" t="n">
        <v>2001</v>
      </c>
      <c r="C983049" s="1" t="n">
        <v>17.772</v>
      </c>
      <c r="D983049" s="1" t="n">
        <v>4.769</v>
      </c>
    </row>
    <row r="983050" customFormat="false" ht="12" hidden="false" customHeight="true" outlineLevel="0" collapsed="false">
      <c r="B983050" s="1" t="n">
        <v>2002</v>
      </c>
      <c r="C983050" s="1" t="n">
        <v>18.747</v>
      </c>
      <c r="D983050" s="1" t="n">
        <v>5.487</v>
      </c>
    </row>
    <row r="983051" customFormat="false" ht="12" hidden="false" customHeight="true" outlineLevel="0" collapsed="false">
      <c r="B983051" s="1" t="n">
        <v>2003</v>
      </c>
      <c r="C983051" s="1" t="n">
        <v>20.852</v>
      </c>
      <c r="D983051" s="1" t="n">
        <v>11.228</v>
      </c>
    </row>
    <row r="983052" customFormat="false" ht="12" hidden="false" customHeight="true" outlineLevel="0" collapsed="false">
      <c r="B983052" s="1" t="n">
        <v>2004</v>
      </c>
      <c r="C983052" s="1" t="n">
        <v>22.061</v>
      </c>
      <c r="D983052" s="1" t="n">
        <v>5.796</v>
      </c>
    </row>
    <row r="983053" customFormat="false" ht="12" hidden="false" customHeight="true" outlineLevel="0" collapsed="false">
      <c r="B983053" s="1" t="n">
        <v>2005</v>
      </c>
      <c r="C983053" s="1" t="n">
        <v>24.176</v>
      </c>
      <c r="D983053" s="1" t="n">
        <v>9.588</v>
      </c>
    </row>
    <row r="983054" customFormat="false" ht="12" hidden="false" customHeight="true" outlineLevel="0" collapsed="false">
      <c r="B983054" s="1" t="n">
        <v>2006</v>
      </c>
      <c r="C983054" s="1" t="n">
        <v>26.454</v>
      </c>
      <c r="D983054" s="1" t="n">
        <v>9.42</v>
      </c>
    </row>
    <row r="983055" customFormat="false" ht="12" hidden="false" customHeight="true" outlineLevel="0" collapsed="false">
      <c r="B983055" s="1" t="n">
        <v>2007</v>
      </c>
      <c r="C983055" s="1" t="n">
        <v>29.781</v>
      </c>
      <c r="D983055" s="1" t="n">
        <v>12.579</v>
      </c>
    </row>
    <row r="983056" customFormat="false" ht="12" hidden="false" customHeight="true" outlineLevel="0" collapsed="false">
      <c r="B983056" s="1" t="n">
        <v>2008</v>
      </c>
      <c r="C983056" s="1" t="n">
        <v>30.502</v>
      </c>
      <c r="D983056" s="1" t="n">
        <v>2.419</v>
      </c>
    </row>
    <row r="983057" customFormat="false" ht="12" hidden="false" customHeight="true" outlineLevel="0" collapsed="false">
      <c r="B983057" s="1" t="n">
        <v>2009</v>
      </c>
      <c r="C983057" s="1" t="n">
        <v>29.388</v>
      </c>
      <c r="D983057" s="1" t="n">
        <v>-3.651</v>
      </c>
    </row>
    <row r="983058" customFormat="false" ht="12" hidden="false" customHeight="true" outlineLevel="0" collapsed="false">
      <c r="B983058" s="1" t="n">
        <v>2010</v>
      </c>
      <c r="C983058" s="1" t="n">
        <v>31.428</v>
      </c>
      <c r="D983058" s="1" t="n">
        <v>6.942</v>
      </c>
    </row>
    <row r="983059" customFormat="false" ht="12" hidden="false" customHeight="true" outlineLevel="0" collapsed="false">
      <c r="B983059" s="1" t="n">
        <v>2011</v>
      </c>
      <c r="C983059" s="1" t="n">
        <v>33.927</v>
      </c>
      <c r="D983059" s="1" t="n">
        <v>7.949</v>
      </c>
    </row>
    <row r="983060" customFormat="false" ht="12" hidden="false" customHeight="true" outlineLevel="0" collapsed="false">
      <c r="B983060" s="1" t="n">
        <v>2012</v>
      </c>
      <c r="C983060" s="1" t="n">
        <v>36.159</v>
      </c>
      <c r="D983060" s="1" t="n">
        <v>6.579</v>
      </c>
    </row>
    <row r="983061" customFormat="false" ht="12" hidden="false" customHeight="true" outlineLevel="0" collapsed="false">
      <c r="B983061" s="1" t="n">
        <v>2013</v>
      </c>
      <c r="C983061" s="1" t="n">
        <v>38.015</v>
      </c>
      <c r="D983061" s="1" t="n">
        <v>5.134</v>
      </c>
    </row>
    <row r="983062" customFormat="false" ht="12" hidden="false" customHeight="true" outlineLevel="0" collapsed="false">
      <c r="B983062" s="1" t="n">
        <v>2014</v>
      </c>
      <c r="C983062" s="1" t="n">
        <v>39.57</v>
      </c>
      <c r="D983062" s="1" t="n">
        <v>4.091</v>
      </c>
    </row>
    <row r="983063" customFormat="false" ht="12" hidden="false" customHeight="true" outlineLevel="0" collapsed="false">
      <c r="B983063" s="1" t="n">
        <v>2015</v>
      </c>
      <c r="C983063" s="1" t="n">
        <v>40.896</v>
      </c>
      <c r="D983063" s="1" t="n">
        <v>3.351</v>
      </c>
    </row>
    <row r="983064" customFormat="false" ht="12" hidden="false" customHeight="true" outlineLevel="0" collapsed="false">
      <c r="B983064" s="1" t="n">
        <v>2016</v>
      </c>
      <c r="C983064" s="1" t="n">
        <v>42.307</v>
      </c>
      <c r="D983064" s="1" t="n">
        <v>3.45</v>
      </c>
    </row>
    <row r="983065" customFormat="false" ht="12" hidden="false" customHeight="true" outlineLevel="0" collapsed="false">
      <c r="B983065" s="1" t="n">
        <v>2017</v>
      </c>
      <c r="C983065" s="1" t="n">
        <v>44.49</v>
      </c>
      <c r="D983065" s="1" t="n">
        <v>5.161</v>
      </c>
    </row>
    <row r="983066" customFormat="false" ht="12" hidden="false" customHeight="true" outlineLevel="0" collapsed="false">
      <c r="B983066" s="1" t="n">
        <v>2018</v>
      </c>
      <c r="C983066" s="1" t="n">
        <v>47.187</v>
      </c>
      <c r="D983066" s="1" t="n">
        <v>6.062</v>
      </c>
    </row>
    <row r="983067" customFormat="false" ht="12" hidden="false" customHeight="true" outlineLevel="0" collapsed="false">
      <c r="B983067" s="1" t="n">
        <v>2019</v>
      </c>
      <c r="C983067" s="1" t="n">
        <v>49.726</v>
      </c>
      <c r="D983067" s="1" t="n">
        <v>5.38</v>
      </c>
    </row>
    <row r="983068" customFormat="false" ht="12" hidden="false" customHeight="true" outlineLevel="0" collapsed="false">
      <c r="B983068" s="1" t="n">
        <v>2020</v>
      </c>
      <c r="C983068" s="1" t="n">
        <v>46.598</v>
      </c>
      <c r="D983068" s="1" t="n">
        <v>-6.291</v>
      </c>
    </row>
    <row r="983069" customFormat="false" ht="12" hidden="false" customHeight="true" outlineLevel="0" collapsed="false">
      <c r="B983069" s="1" t="n">
        <v>2021</v>
      </c>
      <c r="C983069" s="1" t="n">
        <v>51.558</v>
      </c>
      <c r="D983069" s="1" t="n">
        <v>10.644</v>
      </c>
    </row>
    <row r="983070" customFormat="false" ht="12" hidden="false" customHeight="true" outlineLevel="0" collapsed="false">
      <c r="B983070" s="1" t="n">
        <v>2022</v>
      </c>
      <c r="C983070" s="1" t="n">
        <v>57.208</v>
      </c>
      <c r="D983070" s="1" t="n">
        <v>10.96</v>
      </c>
    </row>
    <row r="983071" customFormat="false" ht="12" hidden="false" customHeight="true" outlineLevel="0" collapsed="false">
      <c r="B983071" s="1" t="n">
        <v>2023</v>
      </c>
      <c r="C983071" s="1" t="n">
        <v>61.689</v>
      </c>
      <c r="D983071" s="1" t="n">
        <v>7.832</v>
      </c>
    </row>
    <row r="983072" customFormat="false" ht="12" hidden="false" customHeight="true" outlineLevel="0" collapsed="false">
      <c r="B983072" s="1" t="n">
        <v>2024</v>
      </c>
      <c r="C983072" s="1" t="n">
        <v>67.505</v>
      </c>
      <c r="D983072" s="1" t="n">
        <v>9.429</v>
      </c>
    </row>
    <row r="983073" customFormat="false" ht="12" hidden="false" customHeight="true" outlineLevel="0" collapsed="false">
      <c r="B983073" s="1" t="n">
        <v>2025</v>
      </c>
      <c r="C983073" s="1" t="n">
        <v>71.54</v>
      </c>
      <c r="D983073" s="1" t="n">
        <v>5.977</v>
      </c>
    </row>
    <row r="983074" customFormat="false" ht="12" hidden="false" customHeight="true" outlineLevel="0" collapsed="false">
      <c r="B983074" s="1" t="n">
        <v>2026</v>
      </c>
      <c r="C983074" s="1" t="n">
        <v>75.117</v>
      </c>
      <c r="D983074" s="1" t="n">
        <v>5</v>
      </c>
    </row>
    <row r="983075" customFormat="false" ht="12" hidden="false" customHeight="true" outlineLevel="0" collapsed="false">
      <c r="B983075" s="1" t="n">
        <v>2027</v>
      </c>
      <c r="C983075" s="1" t="n">
        <v>78.873</v>
      </c>
      <c r="D983075" s="1" t="n">
        <v>5</v>
      </c>
    </row>
    <row r="983076" customFormat="false" ht="12" hidden="false" customHeight="true" outlineLevel="0" collapsed="false">
      <c r="B983076" s="1" t="s">
        <v>51</v>
      </c>
      <c r="C983076" s="1" t="n">
        <v>2024</v>
      </c>
      <c r="D983076" s="1" t="n">
        <v>2024</v>
      </c>
    </row>
    <row r="999425" customFormat="false" ht="12" hidden="false" customHeight="true" outlineLevel="0" collapsed="false">
      <c r="B999425" s="1" t="s">
        <v>35</v>
      </c>
      <c r="C999425" s="1" t="n">
        <v>915</v>
      </c>
      <c r="D999425" s="1" t="n">
        <v>915</v>
      </c>
    </row>
    <row r="999426" customFormat="false" ht="12" hidden="false" customHeight="true" outlineLevel="0" collapsed="false">
      <c r="B999426" s="1" t="s">
        <v>36</v>
      </c>
      <c r="C999426" s="1" t="s">
        <v>37</v>
      </c>
      <c r="D999426" s="1" t="s">
        <v>38</v>
      </c>
    </row>
    <row r="999427" customFormat="false" ht="12" hidden="false" customHeight="true" outlineLevel="0" collapsed="false">
      <c r="B999427" s="1" t="s">
        <v>39</v>
      </c>
      <c r="C999427" s="1" t="s">
        <v>40</v>
      </c>
      <c r="D999427" s="1" t="s">
        <v>40</v>
      </c>
    </row>
    <row r="999428" customFormat="false" ht="12" hidden="false" customHeight="true" outlineLevel="0" collapsed="false">
      <c r="B999428" s="1" t="s">
        <v>41</v>
      </c>
      <c r="C999428" s="1" t="s">
        <v>42</v>
      </c>
      <c r="D999428" s="1" t="s">
        <v>42</v>
      </c>
    </row>
    <row r="999429" customFormat="false" ht="12" hidden="false" customHeight="true" outlineLevel="0" collapsed="false">
      <c r="B999429" s="1" t="s">
        <v>43</v>
      </c>
      <c r="C999429" s="1" t="s">
        <v>44</v>
      </c>
      <c r="D999429" s="1" t="s">
        <v>45</v>
      </c>
    </row>
    <row r="999430" customFormat="false" ht="12" hidden="false" customHeight="true" outlineLevel="0" collapsed="false">
      <c r="B999430" s="1" t="s">
        <v>46</v>
      </c>
      <c r="C999430" s="1" t="s">
        <v>47</v>
      </c>
      <c r="D999430" s="1" t="s">
        <v>43</v>
      </c>
    </row>
    <row r="999431" customFormat="false" ht="12" hidden="false" customHeight="true" outlineLevel="0" collapsed="false">
      <c r="B999431" s="1" t="s">
        <v>48</v>
      </c>
      <c r="C999431" s="1" t="s">
        <v>49</v>
      </c>
      <c r="D999431" s="1" t="s">
        <v>50</v>
      </c>
    </row>
    <row r="999432" customFormat="false" ht="12" hidden="false" customHeight="true" outlineLevel="0" collapsed="false">
      <c r="B999432" s="1" t="n">
        <v>2000</v>
      </c>
      <c r="C999432" s="1" t="n">
        <v>16.963</v>
      </c>
      <c r="D999432" s="1" t="n">
        <v>1.865</v>
      </c>
    </row>
    <row r="999433" customFormat="false" ht="12" hidden="false" customHeight="true" outlineLevel="0" collapsed="false">
      <c r="B999433" s="1" t="n">
        <v>2001</v>
      </c>
      <c r="C999433" s="1" t="n">
        <v>17.772</v>
      </c>
      <c r="D999433" s="1" t="n">
        <v>4.769</v>
      </c>
    </row>
    <row r="999434" customFormat="false" ht="12" hidden="false" customHeight="true" outlineLevel="0" collapsed="false">
      <c r="B999434" s="1" t="n">
        <v>2002</v>
      </c>
      <c r="C999434" s="1" t="n">
        <v>18.747</v>
      </c>
      <c r="D999434" s="1" t="n">
        <v>5.487</v>
      </c>
    </row>
    <row r="999435" customFormat="false" ht="12" hidden="false" customHeight="true" outlineLevel="0" collapsed="false">
      <c r="B999435" s="1" t="n">
        <v>2003</v>
      </c>
      <c r="C999435" s="1" t="n">
        <v>20.852</v>
      </c>
      <c r="D999435" s="1" t="n">
        <v>11.228</v>
      </c>
    </row>
    <row r="999436" customFormat="false" ht="12" hidden="false" customHeight="true" outlineLevel="0" collapsed="false">
      <c r="B999436" s="1" t="n">
        <v>2004</v>
      </c>
      <c r="C999436" s="1" t="n">
        <v>22.061</v>
      </c>
      <c r="D999436" s="1" t="n">
        <v>5.796</v>
      </c>
    </row>
    <row r="999437" customFormat="false" ht="12" hidden="false" customHeight="true" outlineLevel="0" collapsed="false">
      <c r="B999437" s="1" t="n">
        <v>2005</v>
      </c>
      <c r="C999437" s="1" t="n">
        <v>24.176</v>
      </c>
      <c r="D999437" s="1" t="n">
        <v>9.588</v>
      </c>
    </row>
    <row r="999438" customFormat="false" ht="12" hidden="false" customHeight="true" outlineLevel="0" collapsed="false">
      <c r="B999438" s="1" t="n">
        <v>2006</v>
      </c>
      <c r="C999438" s="1" t="n">
        <v>26.454</v>
      </c>
      <c r="D999438" s="1" t="n">
        <v>9.42</v>
      </c>
    </row>
    <row r="999439" customFormat="false" ht="12" hidden="false" customHeight="true" outlineLevel="0" collapsed="false">
      <c r="B999439" s="1" t="n">
        <v>2007</v>
      </c>
      <c r="C999439" s="1" t="n">
        <v>29.781</v>
      </c>
      <c r="D999439" s="1" t="n">
        <v>12.579</v>
      </c>
    </row>
    <row r="999440" customFormat="false" ht="12" hidden="false" customHeight="true" outlineLevel="0" collapsed="false">
      <c r="B999440" s="1" t="n">
        <v>2008</v>
      </c>
      <c r="C999440" s="1" t="n">
        <v>30.502</v>
      </c>
      <c r="D999440" s="1" t="n">
        <v>2.419</v>
      </c>
    </row>
    <row r="999441" customFormat="false" ht="12" hidden="false" customHeight="true" outlineLevel="0" collapsed="false">
      <c r="B999441" s="1" t="n">
        <v>2009</v>
      </c>
      <c r="C999441" s="1" t="n">
        <v>29.388</v>
      </c>
      <c r="D999441" s="1" t="n">
        <v>-3.651</v>
      </c>
    </row>
    <row r="999442" customFormat="false" ht="12" hidden="false" customHeight="true" outlineLevel="0" collapsed="false">
      <c r="B999442" s="1" t="n">
        <v>2010</v>
      </c>
      <c r="C999442" s="1" t="n">
        <v>31.428</v>
      </c>
      <c r="D999442" s="1" t="n">
        <v>6.942</v>
      </c>
    </row>
    <row r="999443" customFormat="false" ht="12" hidden="false" customHeight="true" outlineLevel="0" collapsed="false">
      <c r="B999443" s="1" t="n">
        <v>2011</v>
      </c>
      <c r="C999443" s="1" t="n">
        <v>33.927</v>
      </c>
      <c r="D999443" s="1" t="n">
        <v>7.949</v>
      </c>
    </row>
    <row r="999444" customFormat="false" ht="12" hidden="false" customHeight="true" outlineLevel="0" collapsed="false">
      <c r="B999444" s="1" t="n">
        <v>2012</v>
      </c>
      <c r="C999444" s="1" t="n">
        <v>36.159</v>
      </c>
      <c r="D999444" s="1" t="n">
        <v>6.579</v>
      </c>
    </row>
    <row r="999445" customFormat="false" ht="12" hidden="false" customHeight="true" outlineLevel="0" collapsed="false">
      <c r="B999445" s="1" t="n">
        <v>2013</v>
      </c>
      <c r="C999445" s="1" t="n">
        <v>38.015</v>
      </c>
      <c r="D999445" s="1" t="n">
        <v>5.134</v>
      </c>
    </row>
    <row r="999446" customFormat="false" ht="12" hidden="false" customHeight="true" outlineLevel="0" collapsed="false">
      <c r="B999446" s="1" t="n">
        <v>2014</v>
      </c>
      <c r="C999446" s="1" t="n">
        <v>39.57</v>
      </c>
      <c r="D999446" s="1" t="n">
        <v>4.091</v>
      </c>
    </row>
    <row r="999447" customFormat="false" ht="12" hidden="false" customHeight="true" outlineLevel="0" collapsed="false">
      <c r="B999447" s="1" t="n">
        <v>2015</v>
      </c>
      <c r="C999447" s="1" t="n">
        <v>40.896</v>
      </c>
      <c r="D999447" s="1" t="n">
        <v>3.351</v>
      </c>
    </row>
    <row r="999448" customFormat="false" ht="12" hidden="false" customHeight="true" outlineLevel="0" collapsed="false">
      <c r="B999448" s="1" t="n">
        <v>2016</v>
      </c>
      <c r="C999448" s="1" t="n">
        <v>42.307</v>
      </c>
      <c r="D999448" s="1" t="n">
        <v>3.45</v>
      </c>
    </row>
    <row r="999449" customFormat="false" ht="12" hidden="false" customHeight="true" outlineLevel="0" collapsed="false">
      <c r="B999449" s="1" t="n">
        <v>2017</v>
      </c>
      <c r="C999449" s="1" t="n">
        <v>44.49</v>
      </c>
      <c r="D999449" s="1" t="n">
        <v>5.161</v>
      </c>
    </row>
    <row r="999450" customFormat="false" ht="12" hidden="false" customHeight="true" outlineLevel="0" collapsed="false">
      <c r="B999450" s="1" t="n">
        <v>2018</v>
      </c>
      <c r="C999450" s="1" t="n">
        <v>47.187</v>
      </c>
      <c r="D999450" s="1" t="n">
        <v>6.062</v>
      </c>
    </row>
    <row r="999451" customFormat="false" ht="12" hidden="false" customHeight="true" outlineLevel="0" collapsed="false">
      <c r="B999451" s="1" t="n">
        <v>2019</v>
      </c>
      <c r="C999451" s="1" t="n">
        <v>49.726</v>
      </c>
      <c r="D999451" s="1" t="n">
        <v>5.38</v>
      </c>
    </row>
    <row r="999452" customFormat="false" ht="12" hidden="false" customHeight="true" outlineLevel="0" collapsed="false">
      <c r="B999452" s="1" t="n">
        <v>2020</v>
      </c>
      <c r="C999452" s="1" t="n">
        <v>46.598</v>
      </c>
      <c r="D999452" s="1" t="n">
        <v>-6.291</v>
      </c>
    </row>
    <row r="999453" customFormat="false" ht="12" hidden="false" customHeight="true" outlineLevel="0" collapsed="false">
      <c r="B999453" s="1" t="n">
        <v>2021</v>
      </c>
      <c r="C999453" s="1" t="n">
        <v>51.558</v>
      </c>
      <c r="D999453" s="1" t="n">
        <v>10.644</v>
      </c>
    </row>
    <row r="999454" customFormat="false" ht="12" hidden="false" customHeight="true" outlineLevel="0" collapsed="false">
      <c r="B999454" s="1" t="n">
        <v>2022</v>
      </c>
      <c r="C999454" s="1" t="n">
        <v>57.208</v>
      </c>
      <c r="D999454" s="1" t="n">
        <v>10.96</v>
      </c>
    </row>
    <row r="999455" customFormat="false" ht="12" hidden="false" customHeight="true" outlineLevel="0" collapsed="false">
      <c r="B999455" s="1" t="n">
        <v>2023</v>
      </c>
      <c r="C999455" s="1" t="n">
        <v>61.689</v>
      </c>
      <c r="D999455" s="1" t="n">
        <v>7.832</v>
      </c>
    </row>
    <row r="999456" customFormat="false" ht="12" hidden="false" customHeight="true" outlineLevel="0" collapsed="false">
      <c r="B999456" s="1" t="n">
        <v>2024</v>
      </c>
      <c r="C999456" s="1" t="n">
        <v>67.505</v>
      </c>
      <c r="D999456" s="1" t="n">
        <v>9.429</v>
      </c>
    </row>
    <row r="999457" customFormat="false" ht="12" hidden="false" customHeight="true" outlineLevel="0" collapsed="false">
      <c r="B999457" s="1" t="n">
        <v>2025</v>
      </c>
      <c r="C999457" s="1" t="n">
        <v>71.54</v>
      </c>
      <c r="D999457" s="1" t="n">
        <v>5.977</v>
      </c>
    </row>
    <row r="999458" customFormat="false" ht="12" hidden="false" customHeight="true" outlineLevel="0" collapsed="false">
      <c r="B999458" s="1" t="n">
        <v>2026</v>
      </c>
      <c r="C999458" s="1" t="n">
        <v>75.117</v>
      </c>
      <c r="D999458" s="1" t="n">
        <v>5</v>
      </c>
    </row>
    <row r="999459" customFormat="false" ht="12" hidden="false" customHeight="true" outlineLevel="0" collapsed="false">
      <c r="B999459" s="1" t="n">
        <v>2027</v>
      </c>
      <c r="C999459" s="1" t="n">
        <v>78.873</v>
      </c>
      <c r="D999459" s="1" t="n">
        <v>5</v>
      </c>
    </row>
    <row r="999460" customFormat="false" ht="12" hidden="false" customHeight="true" outlineLevel="0" collapsed="false">
      <c r="B999460" s="1" t="s">
        <v>51</v>
      </c>
      <c r="C999460" s="1" t="n">
        <v>2024</v>
      </c>
      <c r="D999460" s="1" t="n">
        <v>2024</v>
      </c>
    </row>
    <row r="1015809" customFormat="false" ht="12" hidden="false" customHeight="true" outlineLevel="0" collapsed="false">
      <c r="B1015809" s="1" t="s">
        <v>35</v>
      </c>
      <c r="C1015809" s="1" t="n">
        <v>915</v>
      </c>
      <c r="D1015809" s="1" t="n">
        <v>915</v>
      </c>
    </row>
    <row r="1015810" customFormat="false" ht="12" hidden="false" customHeight="true" outlineLevel="0" collapsed="false">
      <c r="B1015810" s="1" t="s">
        <v>36</v>
      </c>
      <c r="C1015810" s="1" t="s">
        <v>37</v>
      </c>
      <c r="D1015810" s="1" t="s">
        <v>38</v>
      </c>
    </row>
    <row r="1015811" customFormat="false" ht="12" hidden="false" customHeight="true" outlineLevel="0" collapsed="false">
      <c r="B1015811" s="1" t="s">
        <v>39</v>
      </c>
      <c r="C1015811" s="1" t="s">
        <v>40</v>
      </c>
      <c r="D1015811" s="1" t="s">
        <v>40</v>
      </c>
    </row>
    <row r="1015812" customFormat="false" ht="12" hidden="false" customHeight="true" outlineLevel="0" collapsed="false">
      <c r="B1015812" s="1" t="s">
        <v>41</v>
      </c>
      <c r="C1015812" s="1" t="s">
        <v>42</v>
      </c>
      <c r="D1015812" s="1" t="s">
        <v>42</v>
      </c>
    </row>
    <row r="1015813" customFormat="false" ht="12" hidden="false" customHeight="true" outlineLevel="0" collapsed="false">
      <c r="B1015813" s="1" t="s">
        <v>43</v>
      </c>
      <c r="C1015813" s="1" t="s">
        <v>44</v>
      </c>
      <c r="D1015813" s="1" t="s">
        <v>45</v>
      </c>
    </row>
    <row r="1015814" customFormat="false" ht="12" hidden="false" customHeight="true" outlineLevel="0" collapsed="false">
      <c r="B1015814" s="1" t="s">
        <v>46</v>
      </c>
      <c r="C1015814" s="1" t="s">
        <v>47</v>
      </c>
      <c r="D1015814" s="1" t="s">
        <v>43</v>
      </c>
    </row>
    <row r="1015815" customFormat="false" ht="12" hidden="false" customHeight="true" outlineLevel="0" collapsed="false">
      <c r="B1015815" s="1" t="s">
        <v>48</v>
      </c>
      <c r="C1015815" s="1" t="s">
        <v>49</v>
      </c>
      <c r="D1015815" s="1" t="s">
        <v>50</v>
      </c>
    </row>
    <row r="1015816" customFormat="false" ht="12" hidden="false" customHeight="true" outlineLevel="0" collapsed="false">
      <c r="B1015816" s="1" t="n">
        <v>2000</v>
      </c>
      <c r="C1015816" s="1" t="n">
        <v>16.963</v>
      </c>
      <c r="D1015816" s="1" t="n">
        <v>1.865</v>
      </c>
    </row>
    <row r="1015817" customFormat="false" ht="12" hidden="false" customHeight="true" outlineLevel="0" collapsed="false">
      <c r="B1015817" s="1" t="n">
        <v>2001</v>
      </c>
      <c r="C1015817" s="1" t="n">
        <v>17.772</v>
      </c>
      <c r="D1015817" s="1" t="n">
        <v>4.769</v>
      </c>
    </row>
    <row r="1015818" customFormat="false" ht="12" hidden="false" customHeight="true" outlineLevel="0" collapsed="false">
      <c r="B1015818" s="1" t="n">
        <v>2002</v>
      </c>
      <c r="C1015818" s="1" t="n">
        <v>18.747</v>
      </c>
      <c r="D1015818" s="1" t="n">
        <v>5.487</v>
      </c>
    </row>
    <row r="1015819" customFormat="false" ht="12" hidden="false" customHeight="true" outlineLevel="0" collapsed="false">
      <c r="B1015819" s="1" t="n">
        <v>2003</v>
      </c>
      <c r="C1015819" s="1" t="n">
        <v>20.852</v>
      </c>
      <c r="D1015819" s="1" t="n">
        <v>11.228</v>
      </c>
    </row>
    <row r="1015820" customFormat="false" ht="12" hidden="false" customHeight="true" outlineLevel="0" collapsed="false">
      <c r="B1015820" s="1" t="n">
        <v>2004</v>
      </c>
      <c r="C1015820" s="1" t="n">
        <v>22.061</v>
      </c>
      <c r="D1015820" s="1" t="n">
        <v>5.796</v>
      </c>
    </row>
    <row r="1015821" customFormat="false" ht="12" hidden="false" customHeight="true" outlineLevel="0" collapsed="false">
      <c r="B1015821" s="1" t="n">
        <v>2005</v>
      </c>
      <c r="C1015821" s="1" t="n">
        <v>24.176</v>
      </c>
      <c r="D1015821" s="1" t="n">
        <v>9.588</v>
      </c>
    </row>
    <row r="1015822" customFormat="false" ht="12" hidden="false" customHeight="true" outlineLevel="0" collapsed="false">
      <c r="B1015822" s="1" t="n">
        <v>2006</v>
      </c>
      <c r="C1015822" s="1" t="n">
        <v>26.454</v>
      </c>
      <c r="D1015822" s="1" t="n">
        <v>9.42</v>
      </c>
    </row>
    <row r="1015823" customFormat="false" ht="12" hidden="false" customHeight="true" outlineLevel="0" collapsed="false">
      <c r="B1015823" s="1" t="n">
        <v>2007</v>
      </c>
      <c r="C1015823" s="1" t="n">
        <v>29.781</v>
      </c>
      <c r="D1015823" s="1" t="n">
        <v>12.579</v>
      </c>
    </row>
    <row r="1015824" customFormat="false" ht="12" hidden="false" customHeight="true" outlineLevel="0" collapsed="false">
      <c r="B1015824" s="1" t="n">
        <v>2008</v>
      </c>
      <c r="C1015824" s="1" t="n">
        <v>30.502</v>
      </c>
      <c r="D1015824" s="1" t="n">
        <v>2.419</v>
      </c>
    </row>
    <row r="1015825" customFormat="false" ht="12" hidden="false" customHeight="true" outlineLevel="0" collapsed="false">
      <c r="B1015825" s="1" t="n">
        <v>2009</v>
      </c>
      <c r="C1015825" s="1" t="n">
        <v>29.388</v>
      </c>
      <c r="D1015825" s="1" t="n">
        <v>-3.651</v>
      </c>
    </row>
    <row r="1015826" customFormat="false" ht="12" hidden="false" customHeight="true" outlineLevel="0" collapsed="false">
      <c r="B1015826" s="1" t="n">
        <v>2010</v>
      </c>
      <c r="C1015826" s="1" t="n">
        <v>31.428</v>
      </c>
      <c r="D1015826" s="1" t="n">
        <v>6.942</v>
      </c>
    </row>
    <row r="1015827" customFormat="false" ht="12" hidden="false" customHeight="true" outlineLevel="0" collapsed="false">
      <c r="B1015827" s="1" t="n">
        <v>2011</v>
      </c>
      <c r="C1015827" s="1" t="n">
        <v>33.927</v>
      </c>
      <c r="D1015827" s="1" t="n">
        <v>7.949</v>
      </c>
    </row>
    <row r="1015828" customFormat="false" ht="12" hidden="false" customHeight="true" outlineLevel="0" collapsed="false">
      <c r="B1015828" s="1" t="n">
        <v>2012</v>
      </c>
      <c r="C1015828" s="1" t="n">
        <v>36.159</v>
      </c>
      <c r="D1015828" s="1" t="n">
        <v>6.579</v>
      </c>
    </row>
    <row r="1015829" customFormat="false" ht="12" hidden="false" customHeight="true" outlineLevel="0" collapsed="false">
      <c r="B1015829" s="1" t="n">
        <v>2013</v>
      </c>
      <c r="C1015829" s="1" t="n">
        <v>38.015</v>
      </c>
      <c r="D1015829" s="1" t="n">
        <v>5.134</v>
      </c>
    </row>
    <row r="1015830" customFormat="false" ht="12" hidden="false" customHeight="true" outlineLevel="0" collapsed="false">
      <c r="B1015830" s="1" t="n">
        <v>2014</v>
      </c>
      <c r="C1015830" s="1" t="n">
        <v>39.57</v>
      </c>
      <c r="D1015830" s="1" t="n">
        <v>4.091</v>
      </c>
    </row>
    <row r="1015831" customFormat="false" ht="12" hidden="false" customHeight="true" outlineLevel="0" collapsed="false">
      <c r="B1015831" s="1" t="n">
        <v>2015</v>
      </c>
      <c r="C1015831" s="1" t="n">
        <v>40.896</v>
      </c>
      <c r="D1015831" s="1" t="n">
        <v>3.351</v>
      </c>
    </row>
    <row r="1015832" customFormat="false" ht="12" hidden="false" customHeight="true" outlineLevel="0" collapsed="false">
      <c r="B1015832" s="1" t="n">
        <v>2016</v>
      </c>
      <c r="C1015832" s="1" t="n">
        <v>42.307</v>
      </c>
      <c r="D1015832" s="1" t="n">
        <v>3.45</v>
      </c>
    </row>
    <row r="1015833" customFormat="false" ht="12" hidden="false" customHeight="true" outlineLevel="0" collapsed="false">
      <c r="B1015833" s="1" t="n">
        <v>2017</v>
      </c>
      <c r="C1015833" s="1" t="n">
        <v>44.49</v>
      </c>
      <c r="D1015833" s="1" t="n">
        <v>5.161</v>
      </c>
    </row>
    <row r="1015834" customFormat="false" ht="12" hidden="false" customHeight="true" outlineLevel="0" collapsed="false">
      <c r="B1015834" s="1" t="n">
        <v>2018</v>
      </c>
      <c r="C1015834" s="1" t="n">
        <v>47.187</v>
      </c>
      <c r="D1015834" s="1" t="n">
        <v>6.062</v>
      </c>
    </row>
    <row r="1015835" customFormat="false" ht="12" hidden="false" customHeight="true" outlineLevel="0" collapsed="false">
      <c r="B1015835" s="1" t="n">
        <v>2019</v>
      </c>
      <c r="C1015835" s="1" t="n">
        <v>49.726</v>
      </c>
      <c r="D1015835" s="1" t="n">
        <v>5.38</v>
      </c>
    </row>
    <row r="1015836" customFormat="false" ht="12" hidden="false" customHeight="true" outlineLevel="0" collapsed="false">
      <c r="B1015836" s="1" t="n">
        <v>2020</v>
      </c>
      <c r="C1015836" s="1" t="n">
        <v>46.598</v>
      </c>
      <c r="D1015836" s="1" t="n">
        <v>-6.291</v>
      </c>
    </row>
    <row r="1015837" customFormat="false" ht="12" hidden="false" customHeight="true" outlineLevel="0" collapsed="false">
      <c r="B1015837" s="1" t="n">
        <v>2021</v>
      </c>
      <c r="C1015837" s="1" t="n">
        <v>51.558</v>
      </c>
      <c r="D1015837" s="1" t="n">
        <v>10.644</v>
      </c>
    </row>
    <row r="1015838" customFormat="false" ht="12" hidden="false" customHeight="true" outlineLevel="0" collapsed="false">
      <c r="B1015838" s="1" t="n">
        <v>2022</v>
      </c>
      <c r="C1015838" s="1" t="n">
        <v>57.208</v>
      </c>
      <c r="D1015838" s="1" t="n">
        <v>10.96</v>
      </c>
    </row>
    <row r="1015839" customFormat="false" ht="12" hidden="false" customHeight="true" outlineLevel="0" collapsed="false">
      <c r="B1015839" s="1" t="n">
        <v>2023</v>
      </c>
      <c r="C1015839" s="1" t="n">
        <v>61.689</v>
      </c>
      <c r="D1015839" s="1" t="n">
        <v>7.832</v>
      </c>
    </row>
    <row r="1015840" customFormat="false" ht="12" hidden="false" customHeight="true" outlineLevel="0" collapsed="false">
      <c r="B1015840" s="1" t="n">
        <v>2024</v>
      </c>
      <c r="C1015840" s="1" t="n">
        <v>67.505</v>
      </c>
      <c r="D1015840" s="1" t="n">
        <v>9.429</v>
      </c>
    </row>
    <row r="1015841" customFormat="false" ht="12" hidden="false" customHeight="true" outlineLevel="0" collapsed="false">
      <c r="B1015841" s="1" t="n">
        <v>2025</v>
      </c>
      <c r="C1015841" s="1" t="n">
        <v>71.54</v>
      </c>
      <c r="D1015841" s="1" t="n">
        <v>5.977</v>
      </c>
    </row>
    <row r="1015842" customFormat="false" ht="12" hidden="false" customHeight="true" outlineLevel="0" collapsed="false">
      <c r="B1015842" s="1" t="n">
        <v>2026</v>
      </c>
      <c r="C1015842" s="1" t="n">
        <v>75.117</v>
      </c>
      <c r="D1015842" s="1" t="n">
        <v>5</v>
      </c>
    </row>
    <row r="1015843" customFormat="false" ht="12" hidden="false" customHeight="true" outlineLevel="0" collapsed="false">
      <c r="B1015843" s="1" t="n">
        <v>2027</v>
      </c>
      <c r="C1015843" s="1" t="n">
        <v>78.873</v>
      </c>
      <c r="D1015843" s="1" t="n">
        <v>5</v>
      </c>
    </row>
    <row r="1015844" customFormat="false" ht="12" hidden="false" customHeight="true" outlineLevel="0" collapsed="false">
      <c r="B1015844" s="1" t="s">
        <v>51</v>
      </c>
      <c r="C1015844" s="1" t="n">
        <v>2024</v>
      </c>
      <c r="D1015844" s="1" t="n">
        <v>2024</v>
      </c>
    </row>
    <row r="1032193" customFormat="false" ht="12" hidden="false" customHeight="true" outlineLevel="0" collapsed="false">
      <c r="B1032193" s="1" t="s">
        <v>35</v>
      </c>
      <c r="C1032193" s="1" t="n">
        <v>915</v>
      </c>
      <c r="D1032193" s="1" t="n">
        <v>915</v>
      </c>
    </row>
    <row r="1032194" customFormat="false" ht="12" hidden="false" customHeight="true" outlineLevel="0" collapsed="false">
      <c r="B1032194" s="1" t="s">
        <v>36</v>
      </c>
      <c r="C1032194" s="1" t="s">
        <v>37</v>
      </c>
      <c r="D1032194" s="1" t="s">
        <v>38</v>
      </c>
    </row>
    <row r="1032195" customFormat="false" ht="12" hidden="false" customHeight="true" outlineLevel="0" collapsed="false">
      <c r="B1032195" s="1" t="s">
        <v>39</v>
      </c>
      <c r="C1032195" s="1" t="s">
        <v>40</v>
      </c>
      <c r="D1032195" s="1" t="s">
        <v>40</v>
      </c>
    </row>
    <row r="1032196" customFormat="false" ht="12" hidden="false" customHeight="true" outlineLevel="0" collapsed="false">
      <c r="B1032196" s="1" t="s">
        <v>41</v>
      </c>
      <c r="C1032196" s="1" t="s">
        <v>42</v>
      </c>
      <c r="D1032196" s="1" t="s">
        <v>42</v>
      </c>
    </row>
    <row r="1032197" customFormat="false" ht="12" hidden="false" customHeight="true" outlineLevel="0" collapsed="false">
      <c r="B1032197" s="1" t="s">
        <v>43</v>
      </c>
      <c r="C1032197" s="1" t="s">
        <v>44</v>
      </c>
      <c r="D1032197" s="1" t="s">
        <v>45</v>
      </c>
    </row>
    <row r="1032198" customFormat="false" ht="12" hidden="false" customHeight="true" outlineLevel="0" collapsed="false">
      <c r="B1032198" s="1" t="s">
        <v>46</v>
      </c>
      <c r="C1032198" s="1" t="s">
        <v>47</v>
      </c>
      <c r="D1032198" s="1" t="s">
        <v>43</v>
      </c>
    </row>
    <row r="1032199" customFormat="false" ht="12" hidden="false" customHeight="true" outlineLevel="0" collapsed="false">
      <c r="B1032199" s="1" t="s">
        <v>48</v>
      </c>
      <c r="C1032199" s="1" t="s">
        <v>49</v>
      </c>
      <c r="D1032199" s="1" t="s">
        <v>50</v>
      </c>
    </row>
    <row r="1032200" customFormat="false" ht="12" hidden="false" customHeight="true" outlineLevel="0" collapsed="false">
      <c r="B1032200" s="1" t="n">
        <v>2000</v>
      </c>
      <c r="C1032200" s="1" t="n">
        <v>16.963</v>
      </c>
      <c r="D1032200" s="1" t="n">
        <v>1.865</v>
      </c>
    </row>
    <row r="1032201" customFormat="false" ht="12" hidden="false" customHeight="true" outlineLevel="0" collapsed="false">
      <c r="B1032201" s="1" t="n">
        <v>2001</v>
      </c>
      <c r="C1032201" s="1" t="n">
        <v>17.772</v>
      </c>
      <c r="D1032201" s="1" t="n">
        <v>4.769</v>
      </c>
    </row>
    <row r="1032202" customFormat="false" ht="12" hidden="false" customHeight="true" outlineLevel="0" collapsed="false">
      <c r="B1032202" s="1" t="n">
        <v>2002</v>
      </c>
      <c r="C1032202" s="1" t="n">
        <v>18.747</v>
      </c>
      <c r="D1032202" s="1" t="n">
        <v>5.487</v>
      </c>
    </row>
    <row r="1032203" customFormat="false" ht="12" hidden="false" customHeight="true" outlineLevel="0" collapsed="false">
      <c r="B1032203" s="1" t="n">
        <v>2003</v>
      </c>
      <c r="C1032203" s="1" t="n">
        <v>20.852</v>
      </c>
      <c r="D1032203" s="1" t="n">
        <v>11.228</v>
      </c>
    </row>
    <row r="1032204" customFormat="false" ht="12" hidden="false" customHeight="true" outlineLevel="0" collapsed="false">
      <c r="B1032204" s="1" t="n">
        <v>2004</v>
      </c>
      <c r="C1032204" s="1" t="n">
        <v>22.061</v>
      </c>
      <c r="D1032204" s="1" t="n">
        <v>5.796</v>
      </c>
    </row>
    <row r="1032205" customFormat="false" ht="12" hidden="false" customHeight="true" outlineLevel="0" collapsed="false">
      <c r="B1032205" s="1" t="n">
        <v>2005</v>
      </c>
      <c r="C1032205" s="1" t="n">
        <v>24.176</v>
      </c>
      <c r="D1032205" s="1" t="n">
        <v>9.588</v>
      </c>
    </row>
    <row r="1032206" customFormat="false" ht="12" hidden="false" customHeight="true" outlineLevel="0" collapsed="false">
      <c r="B1032206" s="1" t="n">
        <v>2006</v>
      </c>
      <c r="C1032206" s="1" t="n">
        <v>26.454</v>
      </c>
      <c r="D1032206" s="1" t="n">
        <v>9.42</v>
      </c>
    </row>
    <row r="1032207" customFormat="false" ht="12" hidden="false" customHeight="true" outlineLevel="0" collapsed="false">
      <c r="B1032207" s="1" t="n">
        <v>2007</v>
      </c>
      <c r="C1032207" s="1" t="n">
        <v>29.781</v>
      </c>
      <c r="D1032207" s="1" t="n">
        <v>12.579</v>
      </c>
    </row>
    <row r="1032208" customFormat="false" ht="12" hidden="false" customHeight="true" outlineLevel="0" collapsed="false">
      <c r="B1032208" s="1" t="n">
        <v>2008</v>
      </c>
      <c r="C1032208" s="1" t="n">
        <v>30.502</v>
      </c>
      <c r="D1032208" s="1" t="n">
        <v>2.419</v>
      </c>
    </row>
    <row r="1032209" customFormat="false" ht="12" hidden="false" customHeight="true" outlineLevel="0" collapsed="false">
      <c r="B1032209" s="1" t="n">
        <v>2009</v>
      </c>
      <c r="C1032209" s="1" t="n">
        <v>29.388</v>
      </c>
      <c r="D1032209" s="1" t="n">
        <v>-3.651</v>
      </c>
    </row>
    <row r="1032210" customFormat="false" ht="12" hidden="false" customHeight="true" outlineLevel="0" collapsed="false">
      <c r="B1032210" s="1" t="n">
        <v>2010</v>
      </c>
      <c r="C1032210" s="1" t="n">
        <v>31.428</v>
      </c>
      <c r="D1032210" s="1" t="n">
        <v>6.942</v>
      </c>
    </row>
    <row r="1032211" customFormat="false" ht="12" hidden="false" customHeight="true" outlineLevel="0" collapsed="false">
      <c r="B1032211" s="1" t="n">
        <v>2011</v>
      </c>
      <c r="C1032211" s="1" t="n">
        <v>33.927</v>
      </c>
      <c r="D1032211" s="1" t="n">
        <v>7.949</v>
      </c>
    </row>
    <row r="1032212" customFormat="false" ht="12" hidden="false" customHeight="true" outlineLevel="0" collapsed="false">
      <c r="B1032212" s="1" t="n">
        <v>2012</v>
      </c>
      <c r="C1032212" s="1" t="n">
        <v>36.159</v>
      </c>
      <c r="D1032212" s="1" t="n">
        <v>6.579</v>
      </c>
    </row>
    <row r="1032213" customFormat="false" ht="12" hidden="false" customHeight="true" outlineLevel="0" collapsed="false">
      <c r="B1032213" s="1" t="n">
        <v>2013</v>
      </c>
      <c r="C1032213" s="1" t="n">
        <v>38.015</v>
      </c>
      <c r="D1032213" s="1" t="n">
        <v>5.134</v>
      </c>
    </row>
    <row r="1032214" customFormat="false" ht="12" hidden="false" customHeight="true" outlineLevel="0" collapsed="false">
      <c r="B1032214" s="1" t="n">
        <v>2014</v>
      </c>
      <c r="C1032214" s="1" t="n">
        <v>39.57</v>
      </c>
      <c r="D1032214" s="1" t="n">
        <v>4.091</v>
      </c>
    </row>
    <row r="1032215" customFormat="false" ht="12" hidden="false" customHeight="true" outlineLevel="0" collapsed="false">
      <c r="B1032215" s="1" t="n">
        <v>2015</v>
      </c>
      <c r="C1032215" s="1" t="n">
        <v>40.896</v>
      </c>
      <c r="D1032215" s="1" t="n">
        <v>3.351</v>
      </c>
    </row>
    <row r="1032216" customFormat="false" ht="12" hidden="false" customHeight="true" outlineLevel="0" collapsed="false">
      <c r="B1032216" s="1" t="n">
        <v>2016</v>
      </c>
      <c r="C1032216" s="1" t="n">
        <v>42.307</v>
      </c>
      <c r="D1032216" s="1" t="n">
        <v>3.45</v>
      </c>
    </row>
    <row r="1032217" customFormat="false" ht="12" hidden="false" customHeight="true" outlineLevel="0" collapsed="false">
      <c r="B1032217" s="1" t="n">
        <v>2017</v>
      </c>
      <c r="C1032217" s="1" t="n">
        <v>44.49</v>
      </c>
      <c r="D1032217" s="1" t="n">
        <v>5.161</v>
      </c>
    </row>
    <row r="1032218" customFormat="false" ht="12" hidden="false" customHeight="true" outlineLevel="0" collapsed="false">
      <c r="B1032218" s="1" t="n">
        <v>2018</v>
      </c>
      <c r="C1032218" s="1" t="n">
        <v>47.187</v>
      </c>
      <c r="D1032218" s="1" t="n">
        <v>6.062</v>
      </c>
    </row>
    <row r="1032219" customFormat="false" ht="12" hidden="false" customHeight="true" outlineLevel="0" collapsed="false">
      <c r="B1032219" s="1" t="n">
        <v>2019</v>
      </c>
      <c r="C1032219" s="1" t="n">
        <v>49.726</v>
      </c>
      <c r="D1032219" s="1" t="n">
        <v>5.38</v>
      </c>
    </row>
    <row r="1032220" customFormat="false" ht="12" hidden="false" customHeight="true" outlineLevel="0" collapsed="false">
      <c r="B1032220" s="1" t="n">
        <v>2020</v>
      </c>
      <c r="C1032220" s="1" t="n">
        <v>46.598</v>
      </c>
      <c r="D1032220" s="1" t="n">
        <v>-6.291</v>
      </c>
    </row>
    <row r="1032221" customFormat="false" ht="12" hidden="false" customHeight="true" outlineLevel="0" collapsed="false">
      <c r="B1032221" s="1" t="n">
        <v>2021</v>
      </c>
      <c r="C1032221" s="1" t="n">
        <v>51.558</v>
      </c>
      <c r="D1032221" s="1" t="n">
        <v>10.644</v>
      </c>
    </row>
    <row r="1032222" customFormat="false" ht="12" hidden="false" customHeight="true" outlineLevel="0" collapsed="false">
      <c r="B1032222" s="1" t="n">
        <v>2022</v>
      </c>
      <c r="C1032222" s="1" t="n">
        <v>57.208</v>
      </c>
      <c r="D1032222" s="1" t="n">
        <v>10.96</v>
      </c>
    </row>
    <row r="1032223" customFormat="false" ht="12" hidden="false" customHeight="true" outlineLevel="0" collapsed="false">
      <c r="B1032223" s="1" t="n">
        <v>2023</v>
      </c>
      <c r="C1032223" s="1" t="n">
        <v>61.689</v>
      </c>
      <c r="D1032223" s="1" t="n">
        <v>7.832</v>
      </c>
    </row>
    <row r="1032224" customFormat="false" ht="12" hidden="false" customHeight="true" outlineLevel="0" collapsed="false">
      <c r="B1032224" s="1" t="n">
        <v>2024</v>
      </c>
      <c r="C1032224" s="1" t="n">
        <v>67.505</v>
      </c>
      <c r="D1032224" s="1" t="n">
        <v>9.429</v>
      </c>
    </row>
    <row r="1032225" customFormat="false" ht="12" hidden="false" customHeight="true" outlineLevel="0" collapsed="false">
      <c r="B1032225" s="1" t="n">
        <v>2025</v>
      </c>
      <c r="C1032225" s="1" t="n">
        <v>71.54</v>
      </c>
      <c r="D1032225" s="1" t="n">
        <v>5.977</v>
      </c>
    </row>
    <row r="1032226" customFormat="false" ht="12" hidden="false" customHeight="true" outlineLevel="0" collapsed="false">
      <c r="B1032226" s="1" t="n">
        <v>2026</v>
      </c>
      <c r="C1032226" s="1" t="n">
        <v>75.117</v>
      </c>
      <c r="D1032226" s="1" t="n">
        <v>5</v>
      </c>
    </row>
    <row r="1032227" customFormat="false" ht="12" hidden="false" customHeight="true" outlineLevel="0" collapsed="false">
      <c r="B1032227" s="1" t="n">
        <v>2027</v>
      </c>
      <c r="C1032227" s="1" t="n">
        <v>78.873</v>
      </c>
      <c r="D1032227" s="1" t="n">
        <v>5</v>
      </c>
    </row>
    <row r="1032228" customFormat="false" ht="12" hidden="false" customHeight="true" outlineLevel="0" collapsed="false">
      <c r="B1032228" s="1" t="s">
        <v>51</v>
      </c>
      <c r="C1032228" s="1" t="n">
        <v>2024</v>
      </c>
      <c r="D1032228" s="1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2026-02-07T06:19:40Z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