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5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EO_Data" sheetId="1" state="visible" r:id="rId3"/>
    <sheet name="SUPPLY (38-38)-2024" sheetId="2" state="visible" r:id="rId4"/>
    <sheet name="USE (38-38)-2024" sheetId="3" state="visible" r:id="rId5"/>
    <sheet name="SUT Calc" sheetId="4" state="visible" r:id="rId6"/>
    <sheet name="NA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31" authorId="0">
      <text>
        <r>
          <rPr>
            <sz val="10"/>
            <rFont val="Arial"/>
            <family val="2"/>
          </rPr>
          <t xml:space="preserve">Lari/USD exchange rate assumption</t>
        </r>
      </text>
    </comment>
    <comment ref="D32" authorId="0">
      <text>
        <r>
          <rPr>
            <sz val="10"/>
            <rFont val="Arial"/>
            <family val="2"/>
          </rPr>
          <t xml:space="preserve">Small open economy demand multiplier</t>
        </r>
      </text>
    </comment>
    <comment ref="D34" authorId="0">
      <text>
        <r>
          <rPr>
            <sz val="10"/>
            <rFont val="Arial"/>
            <family val="2"/>
          </rPr>
          <t xml:space="preserve">6.5 billion USD = 6500 million USD</t>
        </r>
      </text>
    </comment>
  </commentList>
</comments>
</file>

<file path=xl/sharedStrings.xml><?xml version="1.0" encoding="utf-8"?>
<sst xmlns="http://schemas.openxmlformats.org/spreadsheetml/2006/main" count="538" uniqueCount="250">
  <si>
    <t xml:space="preserve">Units</t>
  </si>
  <si>
    <t xml:space="preserve">Real GDP growth rate</t>
  </si>
  <si>
    <t xml:space="preserve">percent</t>
  </si>
  <si>
    <t xml:space="preserve">GDP, current prices</t>
  </si>
  <si>
    <t xml:space="preserve">USD bn</t>
  </si>
  <si>
    <t xml:space="preserve">GDP deflator</t>
  </si>
  <si>
    <t xml:space="preserve">Index</t>
  </si>
  <si>
    <t xml:space="preserve">GDP deflator growth rate</t>
  </si>
  <si>
    <t xml:space="preserve">Avg deflator growth (2026-2029)</t>
  </si>
  <si>
    <t xml:space="preserve">Source: IMF WEO October 2024 Database</t>
  </si>
  <si>
    <t xml:space="preserve">Supply, 2024 (Current prices, mil. GEL) </t>
  </si>
  <si>
    <t xml:space="preserve">        NACE rev.2
CPA 2008</t>
  </si>
  <si>
    <t xml:space="preserve">1-3</t>
  </si>
  <si>
    <t xml:space="preserve">5-9</t>
  </si>
  <si>
    <t xml:space="preserve">10-12</t>
  </si>
  <si>
    <t xml:space="preserve">13-15</t>
  </si>
  <si>
    <t xml:space="preserve">16-18</t>
  </si>
  <si>
    <t xml:space="preserve">22-23</t>
  </si>
  <si>
    <t xml:space="preserve">24-25</t>
  </si>
  <si>
    <t xml:space="preserve">29-30</t>
  </si>
  <si>
    <t xml:space="preserve">31-33</t>
  </si>
  <si>
    <t xml:space="preserve">35</t>
  </si>
  <si>
    <t xml:space="preserve">36-39</t>
  </si>
  <si>
    <t xml:space="preserve">41-43</t>
  </si>
  <si>
    <t xml:space="preserve">45-47</t>
  </si>
  <si>
    <t xml:space="preserve">49-53</t>
  </si>
  <si>
    <t xml:space="preserve">55-56</t>
  </si>
  <si>
    <t xml:space="preserve">58-60</t>
  </si>
  <si>
    <t xml:space="preserve">61</t>
  </si>
  <si>
    <t xml:space="preserve">62-63</t>
  </si>
  <si>
    <t xml:space="preserve">64-66</t>
  </si>
  <si>
    <t xml:space="preserve">68</t>
  </si>
  <si>
    <t xml:space="preserve">69-71</t>
  </si>
  <si>
    <t xml:space="preserve">73-75</t>
  </si>
  <si>
    <t xml:space="preserve">77-82</t>
  </si>
  <si>
    <t xml:space="preserve">87-88</t>
  </si>
  <si>
    <t xml:space="preserve">90-93</t>
  </si>
  <si>
    <t xml:space="preserve">94-96</t>
  </si>
  <si>
    <t xml:space="preserve">97-98</t>
  </si>
  <si>
    <t xml:space="preserve">99</t>
  </si>
  <si>
    <t xml:space="preserve">TotBP</t>
  </si>
  <si>
    <t xml:space="preserve">TTM</t>
  </si>
  <si>
    <t xml:space="preserve">D21</t>
  </si>
  <si>
    <t xml:space="preserve">P7</t>
  </si>
  <si>
    <t xml:space="preserve">TotPP</t>
  </si>
  <si>
    <t xml:space="preserve">                            
                                             Industry, NACE rev.2
Product, CPA 2008</t>
  </si>
  <si>
    <t xml:space="preserve">Agriculture, forestry and fishing </t>
  </si>
  <si>
    <t xml:space="preserve">Mining and quarrying </t>
  </si>
  <si>
    <t xml:space="preserve">Manufacture of food products, beverages and tobacco products </t>
  </si>
  <si>
    <t xml:space="preserve">Manufacture of textiles, wearing apparel and leather products </t>
  </si>
  <si>
    <t xml:space="preserve">Manufacture of wood and paper products, and printing</t>
  </si>
  <si>
    <t xml:space="preserve">Manufacture of coke and refined petroleum products </t>
  </si>
  <si>
    <t xml:space="preserve">Manufacture of chemicals and chemical products </t>
  </si>
  <si>
    <t xml:space="preserve">Manufacture of basic pharmaceutical products and pharmaceutical preparations </t>
  </si>
  <si>
    <t xml:space="preserve">Manufacture of rubber and plastics products, and other non-metallic mineral products </t>
  </si>
  <si>
    <t xml:space="preserve">Manufacture of basic metals and fabricated metal products, except machinery and equipment </t>
  </si>
  <si>
    <t xml:space="preserve">Manufacture of computer, electronic and optical products </t>
  </si>
  <si>
    <t xml:space="preserve">Manufacture of electrical equipment </t>
  </si>
  <si>
    <t xml:space="preserve">Manufacture of machinery and equipment n.e.c. </t>
  </si>
  <si>
    <t xml:space="preserve">Manufacture of transport equipment </t>
  </si>
  <si>
    <t xml:space="preserve">Manufacture of furniture; other manufacturing; repair and installation of machinery and equipment </t>
  </si>
  <si>
    <t xml:space="preserve">Electricity, gas, steam and air conditioning supply </t>
  </si>
  <si>
    <t xml:space="preserve">Water supply; sewerage, waste management and remediation activities </t>
  </si>
  <si>
    <t xml:space="preserve">Construction</t>
  </si>
  <si>
    <t xml:space="preserve">Wholesale and retail trade, repair of motor vehicles and motorcycles </t>
  </si>
  <si>
    <t xml:space="preserve">Transportation and storage </t>
  </si>
  <si>
    <t xml:space="preserve">Accommodation and food service activities</t>
  </si>
  <si>
    <t xml:space="preserve">Publishing, audiovisual and broadcasting activities </t>
  </si>
  <si>
    <t xml:space="preserve">Telecommunications</t>
  </si>
  <si>
    <t xml:space="preserve">Computer programming, consultancy and related activities; information service activities </t>
  </si>
  <si>
    <t xml:space="preserve">Financial and insurance activities </t>
  </si>
  <si>
    <t xml:space="preserve">Real estate activities </t>
  </si>
  <si>
    <t xml:space="preserve">Legal and accounting activities; activities of head offices; management consultancy activities; architecture and engineering activities; technical testing and analysis</t>
  </si>
  <si>
    <t xml:space="preserve">Scientific research and development </t>
  </si>
  <si>
    <t xml:space="preserve">Advertising and market research; other professional, scientific and technical activities; veterinary activities </t>
  </si>
  <si>
    <t xml:space="preserve">Administrative and support service activities </t>
  </si>
  <si>
    <t xml:space="preserve">Public administration and defence; compulsory social security </t>
  </si>
  <si>
    <t xml:space="preserve">Education</t>
  </si>
  <si>
    <t xml:space="preserve">Human health activities </t>
  </si>
  <si>
    <t xml:space="preserve">Social work activities </t>
  </si>
  <si>
    <t xml:space="preserve">Arts, entertainment and recreation </t>
  </si>
  <si>
    <t xml:space="preserve">Other service activities </t>
  </si>
  <si>
    <t xml:space="preserve">Activities of households as employers of domestic personnel and undifferentiated goods and services production of households for own use </t>
  </si>
  <si>
    <t xml:space="preserve">Activities of extra-territorial organisations and bodies</t>
  </si>
  <si>
    <t xml:space="preserve">Output, total</t>
  </si>
  <si>
    <t xml:space="preserve">Trade and transport margins</t>
  </si>
  <si>
    <t xml:space="preserve">Taxes on products</t>
  </si>
  <si>
    <t xml:space="preserve">Import, total</t>
  </si>
  <si>
    <t xml:space="preserve">Resources, total</t>
  </si>
  <si>
    <t xml:space="preserve">Products of agriculture, forestry and fishing </t>
  </si>
  <si>
    <t xml:space="preserve">Food products, beverages and tobacco products </t>
  </si>
  <si>
    <t xml:space="preserve">Textiles, wearing apparel and leather products </t>
  </si>
  <si>
    <t xml:space="preserve">Wood and paper products, and printing services </t>
  </si>
  <si>
    <t xml:space="preserve">Coke and refined petroleum products</t>
  </si>
  <si>
    <t xml:space="preserve">Chemicals and chemical products </t>
  </si>
  <si>
    <t xml:space="preserve">Basic pharmaceutical products and pharmaceutical preparations </t>
  </si>
  <si>
    <t xml:space="preserve">Rubber and plastics products, and other non-metallic mineral products </t>
  </si>
  <si>
    <t xml:space="preserve">Basic metals and fabricated metal products, except machinery and equipment </t>
  </si>
  <si>
    <t xml:space="preserve">Computer, electronic and optical products </t>
  </si>
  <si>
    <t xml:space="preserve">Electrical equipment </t>
  </si>
  <si>
    <t xml:space="preserve">Machinery and equipment n.e.c. </t>
  </si>
  <si>
    <t xml:space="preserve">Transport equipment </t>
  </si>
  <si>
    <t xml:space="preserve">Furniture; other manufactured goods; repair and installation services of machinery and equipment </t>
  </si>
  <si>
    <t xml:space="preserve">Electricity, gas, steam and air conditioning </t>
  </si>
  <si>
    <t xml:space="preserve">Water supply; sewerage, waste management and remediation services </t>
  </si>
  <si>
    <t xml:space="preserve">Constructions and construction works </t>
  </si>
  <si>
    <t xml:space="preserve">Wholesale and retail trade services; repair services of motor vehicles and motorcycles </t>
  </si>
  <si>
    <t xml:space="preserve">Transportation and storage services</t>
  </si>
  <si>
    <t xml:space="preserve">Accommodation and food services </t>
  </si>
  <si>
    <t xml:space="preserve">Publishing, audiovisual and broadcasting services </t>
  </si>
  <si>
    <t xml:space="preserve">Telecommunications services </t>
  </si>
  <si>
    <t xml:space="preserve">Computer programming, consultancy and related services; information services </t>
  </si>
  <si>
    <t xml:space="preserve">Financial and insurance services </t>
  </si>
  <si>
    <t xml:space="preserve">Real estate services </t>
  </si>
  <si>
    <t xml:space="preserve">Legal and accounting services; services of head offices; management consultancy services; architectural and engineering services; technical testing and analysis services </t>
  </si>
  <si>
    <t xml:space="preserve">72</t>
  </si>
  <si>
    <t xml:space="preserve">Scientific research and development services </t>
  </si>
  <si>
    <t xml:space="preserve">Advertising and market research services; other professional, scientific and technical services; veterinary services </t>
  </si>
  <si>
    <t xml:space="preserve">Administrative and support services</t>
  </si>
  <si>
    <t xml:space="preserve">Public administration and defence services; compulsory social security services </t>
  </si>
  <si>
    <t xml:space="preserve">Education services </t>
  </si>
  <si>
    <t xml:space="preserve">Human health services </t>
  </si>
  <si>
    <t xml:space="preserve">Social work services </t>
  </si>
  <si>
    <t xml:space="preserve">Arts, entertainment and recreation services </t>
  </si>
  <si>
    <t xml:space="preserve">Other services</t>
  </si>
  <si>
    <t xml:space="preserve">Services of households as employers; undifferentiated goods and services produced by hServices provided by extraterritorial organisations and bodiesouseholds for own use </t>
  </si>
  <si>
    <t xml:space="preserve">Services provided by extraterritorial organisations and bodies</t>
  </si>
  <si>
    <t xml:space="preserve">Total</t>
  </si>
  <si>
    <t xml:space="preserve">Use, 2024 (Current prices, mil. GEL) </t>
  </si>
  <si>
    <t xml:space="preserve">       NACE rev.2
CPA 2008</t>
  </si>
  <si>
    <t xml:space="preserve">Tot1</t>
  </si>
  <si>
    <t xml:space="preserve">P31</t>
  </si>
  <si>
    <t xml:space="preserve">P32</t>
  </si>
  <si>
    <t xml:space="preserve">P3</t>
  </si>
  <si>
    <t xml:space="preserve">P6</t>
  </si>
  <si>
    <t xml:space="preserve">P51</t>
  </si>
  <si>
    <t xml:space="preserve">P52</t>
  </si>
  <si>
    <t xml:space="preserve">P5</t>
  </si>
  <si>
    <t xml:space="preserve">FD</t>
  </si>
  <si>
    <t xml:space="preserve">Tot2</t>
  </si>
  <si>
    <t xml:space="preserve">Intermediate consumption, total</t>
  </si>
  <si>
    <t xml:space="preserve">Final consumption expenditure by households and non-profit organisations serving households (NPISH)</t>
  </si>
  <si>
    <t xml:space="preserve">Final consumption expenditure by government</t>
  </si>
  <si>
    <t xml:space="preserve">Final consumption expenditure</t>
  </si>
  <si>
    <t xml:space="preserve">Export, total</t>
  </si>
  <si>
    <t xml:space="preserve">Gross fixed capital formation</t>
  </si>
  <si>
    <t xml:space="preserve">Changes in inventories</t>
  </si>
  <si>
    <t xml:space="preserve">Gross capital formation</t>
  </si>
  <si>
    <t xml:space="preserve">Final uses</t>
  </si>
  <si>
    <t xml:space="preserve">Use, total</t>
  </si>
  <si>
    <t xml:space="preserve">D.1</t>
  </si>
  <si>
    <t xml:space="preserve">Compensation of employees</t>
  </si>
  <si>
    <t xml:space="preserve">D29-D.39</t>
  </si>
  <si>
    <t xml:space="preserve">Other taxes on production less other subsidies on production</t>
  </si>
  <si>
    <t xml:space="preserve">K.1</t>
  </si>
  <si>
    <t xml:space="preserve">Consumption of fixed capital</t>
  </si>
  <si>
    <t xml:space="preserve">B.2n/B.3n</t>
  </si>
  <si>
    <t xml:space="preserve">Net operating surplus/Net mixed income</t>
  </si>
  <si>
    <t xml:space="preserve">P.1</t>
  </si>
  <si>
    <t xml:space="preserve">Output at basic prices</t>
  </si>
  <si>
    <t xml:space="preserve">SUT Calculation - Import Content Share</t>
  </si>
  <si>
    <t xml:space="preserve">CPA Code</t>
  </si>
  <si>
    <t xml:space="preserve">Product</t>
  </si>
  <si>
    <t xml:space="preserve">Supply: Import (mil. GEL)</t>
  </si>
  <si>
    <t xml:space="preserve">Supply: Total Resources (mil. GEL)</t>
  </si>
  <si>
    <t xml:space="preserve">Use: GFCF (mil. GEL)</t>
  </si>
  <si>
    <t xml:space="preserve">Import Share of Supply</t>
  </si>
  <si>
    <t xml:space="preserve">Import-weighted GFCF</t>
  </si>
  <si>
    <t xml:space="preserve">GFCF Share</t>
  </si>
  <si>
    <t xml:space="preserve">Products of agriculture, forestry and fishing</t>
  </si>
  <si>
    <t xml:space="preserve">Mining and quarrying</t>
  </si>
  <si>
    <t xml:space="preserve">Food products, beverages and tobacco products</t>
  </si>
  <si>
    <t xml:space="preserve">Textiles, wearing apparel and leather products</t>
  </si>
  <si>
    <t xml:space="preserve">Wood and paper products, and printing services</t>
  </si>
  <si>
    <t xml:space="preserve">19</t>
  </si>
  <si>
    <t xml:space="preserve">20</t>
  </si>
  <si>
    <t xml:space="preserve">Chemicals and chemical products</t>
  </si>
  <si>
    <t xml:space="preserve">21</t>
  </si>
  <si>
    <t xml:space="preserve">Basic pharmaceutical products</t>
  </si>
  <si>
    <t xml:space="preserve">Rubber, plastics, non-metallic mineral products</t>
  </si>
  <si>
    <t xml:space="preserve">Basic metals and fabricated metal products</t>
  </si>
  <si>
    <t xml:space="preserve">26</t>
  </si>
  <si>
    <t xml:space="preserve">Computer, electronic and optical products</t>
  </si>
  <si>
    <t xml:space="preserve">27</t>
  </si>
  <si>
    <t xml:space="preserve">Electrical equipment</t>
  </si>
  <si>
    <t xml:space="preserve">28</t>
  </si>
  <si>
    <t xml:space="preserve">Machinery and equipment n.e.c.</t>
  </si>
  <si>
    <t xml:space="preserve">Transport equipment</t>
  </si>
  <si>
    <t xml:space="preserve">Furniture; other manufactured goods; repair</t>
  </si>
  <si>
    <t xml:space="preserve">Electricity, gas, steam and air conditioning</t>
  </si>
  <si>
    <t xml:space="preserve">Water supply; sewerage, waste management</t>
  </si>
  <si>
    <t xml:space="preserve">Constructions and construction works</t>
  </si>
  <si>
    <t xml:space="preserve">Wholesale and retail trade; motor vehicles repair</t>
  </si>
  <si>
    <t xml:space="preserve">Accommodation and food services</t>
  </si>
  <si>
    <t xml:space="preserve">Publishing, audiovisual and broadcasting</t>
  </si>
  <si>
    <t xml:space="preserve">Telecommunications services</t>
  </si>
  <si>
    <t xml:space="preserve">Computer programming, consultancy; info services</t>
  </si>
  <si>
    <t xml:space="preserve">Financial and insurance services</t>
  </si>
  <si>
    <t xml:space="preserve">Real estate services</t>
  </si>
  <si>
    <t xml:space="preserve">Legal, accounting, management, engineering</t>
  </si>
  <si>
    <t xml:space="preserve">Scientific research and development</t>
  </si>
  <si>
    <t xml:space="preserve">Advertising, market research; other professional</t>
  </si>
  <si>
    <t xml:space="preserve">84</t>
  </si>
  <si>
    <t xml:space="preserve">Public administration and defence</t>
  </si>
  <si>
    <t xml:space="preserve">85</t>
  </si>
  <si>
    <t xml:space="preserve">Education services</t>
  </si>
  <si>
    <t xml:space="preserve">86</t>
  </si>
  <si>
    <t xml:space="preserve">Human health services</t>
  </si>
  <si>
    <t xml:space="preserve">Social work services</t>
  </si>
  <si>
    <t xml:space="preserve">Arts, entertainment and recreation</t>
  </si>
  <si>
    <t xml:space="preserve">Households as employers</t>
  </si>
  <si>
    <t xml:space="preserve">Extraterritorial organisations</t>
  </si>
  <si>
    <t xml:space="preserve">Estimated Import Content Share of Investment</t>
  </si>
  <si>
    <t xml:space="preserve">Sum(Import-weighted GFCF) / Total GFCF</t>
  </si>
  <si>
    <t xml:space="preserve">Import Content Share</t>
  </si>
  <si>
    <t xml:space="preserve">C46:</t>
  </si>
  <si>
    <t xml:space="preserve">Investment Spending Shock - Demand Side Impact</t>
  </si>
  <si>
    <t xml:space="preserve">Georgia - Macro Accounting Framework (Demand Side)</t>
  </si>
  <si>
    <t xml:space="preserve">Scenario 1: Base Case</t>
  </si>
  <si>
    <t xml:space="preserve">GDP, current prices (USD bn)</t>
  </si>
  <si>
    <t xml:space="preserve">Total investment (USD mn)</t>
  </si>
  <si>
    <t xml:space="preserve">USD mn</t>
  </si>
  <si>
    <t xml:space="preserve">Total investment (Lari mn)</t>
  </si>
  <si>
    <t xml:space="preserve">Lari mn</t>
  </si>
  <si>
    <t xml:space="preserve">Total investment (Lari mn, real)</t>
  </si>
  <si>
    <t xml:space="preserve">Annual spending allocation</t>
  </si>
  <si>
    <t xml:space="preserve">%</t>
  </si>
  <si>
    <t xml:space="preserve">Annual investment (USD mn)</t>
  </si>
  <si>
    <t xml:space="preserve">Annual investment (Lari mn, nominal)</t>
  </si>
  <si>
    <t xml:space="preserve">Annual investment (Lari mn, real)</t>
  </si>
  <si>
    <t xml:space="preserve">Import content share</t>
  </si>
  <si>
    <t xml:space="preserve">Domestic content</t>
  </si>
  <si>
    <t xml:space="preserve">Demand multiplier</t>
  </si>
  <si>
    <t xml:space="preserve">Direct demand impact (Lari mn, nominal)</t>
  </si>
  <si>
    <t xml:space="preserve">Multiplied demand impact (Lari mn, nominal)</t>
  </si>
  <si>
    <t xml:space="preserve">Baseline GDP (Lari mn, nominal)</t>
  </si>
  <si>
    <t xml:space="preserve">GDP with shock (Lari mn, nominal)</t>
  </si>
  <si>
    <t xml:space="preserve">GDP impact (%)</t>
  </si>
  <si>
    <t xml:space="preserve">Cumulative GDP impact (%)</t>
  </si>
  <si>
    <t xml:space="preserve">Assumptions</t>
  </si>
  <si>
    <t xml:space="preserve">Exchange rate (Lari/USD)</t>
  </si>
  <si>
    <t xml:space="preserve">D30:</t>
  </si>
  <si>
    <t xml:space="preserve">D31:</t>
  </si>
  <si>
    <t xml:space="preserve">D32:</t>
  </si>
  <si>
    <t xml:space="preserve">Total project (USD mn)</t>
  </si>
  <si>
    <t xml:space="preserve">D33:</t>
  </si>
  <si>
    <t xml:space="preserve">Scenario 2: Demand Multiplier = 1</t>
  </si>
  <si>
    <t xml:space="preserve">Assumptions (Scenario 2)</t>
  </si>
  <si>
    <t xml:space="preserve">Scenario 3: Import Content Share = 0.5</t>
  </si>
  <si>
    <t xml:space="preserve">Assumptions (Scenario 3)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</si>
</sst>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"/>
    <numFmt numFmtId="166" formatCode="0.0%"/>
    <numFmt numFmtId="167" formatCode="#,##0.00"/>
    <numFmt numFmtId="168" formatCode="_(* #,##0.0_);_(* \(#,##0.0\);_(* \-??_);_(@_)"/>
    <numFmt numFmtId="169" formatCode="_(* #,##0.0_);_(* \(#,##0.0\);_(* \-?_);_(@_)"/>
    <numFmt numFmtId="170" formatCode="_(* #,##0.00000000000000000_);_(* \(#,##0.00000000000000000\);_(* \-?_);_(@_)"/>
    <numFmt numFmtId="171" formatCode="#,##0.0"/>
    <numFmt numFmtId="172" formatCode="#,##0"/>
    <numFmt numFmtId="173" formatCode="0.0"/>
    <numFmt numFmtId="174" formatCode="0.00%"/>
    <numFmt numFmtId="175" formatCode="0.000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  <font>
      <i val="true"/>
      <sz val="11"/>
      <color rgb="FF888888"/>
      <name val="Cambria"/>
      <family val="0"/>
      <charset val="1"/>
    </font>
    <font>
      <b val="true"/>
      <sz val="12"/>
      <name val="Arial"/>
      <family val="2"/>
      <charset val="1"/>
    </font>
    <font>
      <b val="true"/>
      <sz val="8"/>
      <name val="Sylfaen"/>
      <family val="1"/>
      <charset val="1"/>
    </font>
    <font>
      <sz val="10"/>
      <color theme="1"/>
      <name val="Arial"/>
      <family val="2"/>
      <charset val="1"/>
    </font>
    <font>
      <sz val="10"/>
      <name val="Arial"/>
      <family val="2"/>
      <charset val="204"/>
    </font>
    <font>
      <b val="true"/>
      <sz val="10"/>
      <name val="Arial"/>
      <family val="2"/>
      <charset val="1"/>
    </font>
    <font>
      <b val="true"/>
      <sz val="10"/>
      <color theme="1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2"/>
      <name val="Sylfaen"/>
      <family val="1"/>
      <charset val="1"/>
    </font>
    <font>
      <sz val="1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12"/>
      <name val="Cambria"/>
      <family val="0"/>
      <charset val="1"/>
    </font>
    <font>
      <sz val="11"/>
      <color rgb="FF008000"/>
      <name val="Cambria"/>
      <family val="0"/>
      <charset val="1"/>
    </font>
    <font>
      <b val="true"/>
      <sz val="11"/>
      <color rgb="FF000000"/>
      <name val="Cambria"/>
      <family val="0"/>
      <charset val="1"/>
    </font>
    <font>
      <i val="true"/>
      <sz val="11"/>
      <name val="Cambria"/>
      <family val="0"/>
      <charset val="1"/>
    </font>
    <font>
      <b val="true"/>
      <sz val="12"/>
      <color rgb="FF000000"/>
      <name val="Cambria"/>
      <family val="0"/>
      <charset val="1"/>
    </font>
    <font>
      <b val="true"/>
      <sz val="14"/>
      <name val="Cambria"/>
      <family val="0"/>
      <charset val="1"/>
    </font>
    <font>
      <sz val="11"/>
      <name val="Cambria"/>
      <family val="0"/>
      <charset val="1"/>
    </font>
    <font>
      <b val="true"/>
      <sz val="12"/>
      <color rgb="FF0000FF"/>
      <name val="Cambria"/>
      <family val="0"/>
      <charset val="1"/>
    </font>
    <font>
      <b val="true"/>
      <u val="single"/>
      <sz val="11"/>
      <name val="Cambria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</fills>
  <borders count="17">
    <border diagonalUp="false" diagonalDown="false">
      <left/>
      <right/>
      <top/>
      <bottom/>
      <diagonal/>
    </border>
    <border diagonalUp="false" diagonalDown="true">
      <left/>
      <right style="thin"/>
      <top style="thin"/>
      <bottom style="thin"/>
      <diagonal style="hair"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true">
      <left/>
      <right/>
      <top style="thin"/>
      <bottom/>
      <diagonal style="hair"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7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3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5" fillId="0" borderId="1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8" fontId="13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3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1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1" fontId="13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2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3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3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0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3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3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0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3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3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3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0"/>
    <col collapsed="false" customWidth="true" hidden="false" outlineLevel="0" max="28" min="3" style="1" width="12"/>
  </cols>
  <sheetData>
    <row r="1" customFormat="false" ht="15" hidden="false" customHeight="true" outlineLevel="0" collapsed="false">
      <c r="A1" s="2"/>
      <c r="B1" s="2" t="s">
        <v>0</v>
      </c>
      <c r="C1" s="3" t="n">
        <v>2020</v>
      </c>
      <c r="D1" s="3" t="n">
        <v>2021</v>
      </c>
      <c r="E1" s="3" t="n">
        <v>2022</v>
      </c>
      <c r="F1" s="3" t="n">
        <v>2023</v>
      </c>
      <c r="G1" s="3" t="n">
        <v>2024</v>
      </c>
      <c r="H1" s="3" t="n">
        <v>2025</v>
      </c>
      <c r="I1" s="3" t="n">
        <v>2026</v>
      </c>
      <c r="J1" s="3" t="n">
        <v>2027</v>
      </c>
      <c r="K1" s="3" t="n">
        <v>2028</v>
      </c>
      <c r="L1" s="3" t="n">
        <v>2029</v>
      </c>
      <c r="M1" s="3" t="n">
        <v>2030</v>
      </c>
      <c r="N1" s="3" t="n">
        <v>2031</v>
      </c>
      <c r="O1" s="3" t="n">
        <v>2032</v>
      </c>
      <c r="P1" s="3" t="n">
        <v>2033</v>
      </c>
      <c r="Q1" s="3" t="n">
        <v>2034</v>
      </c>
      <c r="R1" s="3" t="n">
        <v>2035</v>
      </c>
      <c r="S1" s="3" t="n">
        <v>2036</v>
      </c>
      <c r="T1" s="3" t="n">
        <v>2037</v>
      </c>
      <c r="U1" s="3" t="n">
        <v>2038</v>
      </c>
      <c r="V1" s="3" t="n">
        <v>2039</v>
      </c>
      <c r="W1" s="3" t="n">
        <v>2040</v>
      </c>
      <c r="X1" s="3" t="n">
        <v>2041</v>
      </c>
      <c r="Y1" s="3" t="n">
        <v>2042</v>
      </c>
      <c r="Z1" s="3" t="n">
        <v>2043</v>
      </c>
    </row>
    <row r="2" customFormat="false" ht="15" hidden="false" customHeight="true" outlineLevel="0" collapsed="false">
      <c r="A2" s="2" t="s">
        <v>1</v>
      </c>
      <c r="B2" s="2" t="s">
        <v>2</v>
      </c>
      <c r="C2" s="4" t="n">
        <v>-0.06291</v>
      </c>
      <c r="D2" s="4" t="n">
        <v>0.10644</v>
      </c>
      <c r="E2" s="4" t="n">
        <v>0.1096</v>
      </c>
      <c r="F2" s="4" t="n">
        <v>0.07474</v>
      </c>
      <c r="G2" s="4" t="n">
        <v>0.07554</v>
      </c>
      <c r="H2" s="4" t="n">
        <v>0.05976</v>
      </c>
      <c r="I2" s="4" t="n">
        <v>0.05</v>
      </c>
      <c r="J2" s="4" t="n">
        <v>0.05</v>
      </c>
      <c r="K2" s="4" t="n">
        <v>0.05</v>
      </c>
      <c r="L2" s="4" t="n">
        <v>0.05</v>
      </c>
      <c r="M2" s="5" t="n">
        <f aca="false">$I$2</f>
        <v>0.05</v>
      </c>
      <c r="N2" s="5" t="n">
        <f aca="false">$I$2</f>
        <v>0.05</v>
      </c>
      <c r="O2" s="5" t="n">
        <f aca="false">$I$2</f>
        <v>0.05</v>
      </c>
      <c r="P2" s="5" t="n">
        <f aca="false">$I$2</f>
        <v>0.05</v>
      </c>
      <c r="Q2" s="5" t="n">
        <f aca="false">$I$2</f>
        <v>0.05</v>
      </c>
      <c r="R2" s="5" t="n">
        <f aca="false">$I$2</f>
        <v>0.05</v>
      </c>
      <c r="S2" s="5" t="n">
        <f aca="false">$I$2</f>
        <v>0.05</v>
      </c>
      <c r="T2" s="5" t="n">
        <f aca="false">$I$2</f>
        <v>0.05</v>
      </c>
      <c r="U2" s="5" t="n">
        <f aca="false">$I$2</f>
        <v>0.05</v>
      </c>
      <c r="V2" s="5" t="n">
        <f aca="false">$I$2</f>
        <v>0.05</v>
      </c>
      <c r="W2" s="5" t="n">
        <f aca="false">$I$2</f>
        <v>0.05</v>
      </c>
      <c r="X2" s="5" t="n">
        <f aca="false">$I$2</f>
        <v>0.05</v>
      </c>
      <c r="Y2" s="5" t="n">
        <f aca="false">$I$2</f>
        <v>0.05</v>
      </c>
      <c r="Z2" s="5" t="n">
        <f aca="false">$I$2</f>
        <v>0.05</v>
      </c>
    </row>
    <row r="3" customFormat="false" ht="15" hidden="false" customHeight="true" outlineLevel="0" collapsed="false">
      <c r="A3" s="2" t="s">
        <v>3</v>
      </c>
      <c r="B3" s="2" t="s">
        <v>4</v>
      </c>
      <c r="C3" s="6" t="n">
        <v>16.013</v>
      </c>
      <c r="D3" s="6" t="n">
        <v>18.849</v>
      </c>
      <c r="E3" s="6" t="n">
        <v>24.985</v>
      </c>
      <c r="F3" s="6" t="n">
        <v>30.536</v>
      </c>
      <c r="G3" s="6" t="n">
        <v>33.191</v>
      </c>
      <c r="H3" s="6" t="n">
        <v>35.908</v>
      </c>
      <c r="I3" s="6" t="n">
        <v>38.602</v>
      </c>
      <c r="J3" s="6" t="n">
        <v>41.502</v>
      </c>
      <c r="K3" s="6" t="n">
        <v>44.235</v>
      </c>
      <c r="L3" s="6" t="n">
        <v>47.409</v>
      </c>
      <c r="M3" s="7" t="n">
        <f aca="false">L3*(1+M2)*(1+M5)</f>
        <v>51.5310560439147</v>
      </c>
      <c r="N3" s="7" t="n">
        <f aca="false">M3*(1+N2)*(1+N5)</f>
        <v>56.0115112531604</v>
      </c>
      <c r="O3" s="7" t="n">
        <f aca="false">N3*(1+O2)*(1+O5)</f>
        <v>60.8815272520191</v>
      </c>
      <c r="P3" s="7" t="n">
        <f aca="false">O3*(1+P2)*(1+P5)</f>
        <v>66.1749750651335</v>
      </c>
      <c r="Q3" s="7" t="n">
        <f aca="false">P3*(1+Q2)*(1+Q5)</f>
        <v>71.9286706909249</v>
      </c>
      <c r="R3" s="7" t="n">
        <f aca="false">Q3*(1+R2)*(1+R5)</f>
        <v>78.1826311573401</v>
      </c>
      <c r="S3" s="7" t="n">
        <f aca="false">R3*(1+S2)*(1+S5)</f>
        <v>84.9803528408025</v>
      </c>
      <c r="T3" s="7" t="n">
        <f aca="false">S3*(1+T2)*(1+T5)</f>
        <v>92.3691139840757</v>
      </c>
      <c r="U3" s="7" t="n">
        <f aca="false">T3*(1+U2)*(1+U5)</f>
        <v>100.400303517057</v>
      </c>
      <c r="V3" s="7" t="n">
        <f aca="false">U3*(1+V2)*(1+V5)</f>
        <v>109.129778467454</v>
      </c>
      <c r="W3" s="7" t="n">
        <f aca="false">V3*(1+W2)*(1+W5)</f>
        <v>118.618252447138</v>
      </c>
      <c r="X3" s="7" t="n">
        <f aca="false">W3*(1+X2)*(1+X5)</f>
        <v>128.931717916106</v>
      </c>
      <c r="Y3" s="7" t="n">
        <f aca="false">X3*(1+Y2)*(1+Y5)</f>
        <v>140.141905160899</v>
      </c>
      <c r="Z3" s="7" t="n">
        <f aca="false">Y3*(1+Z2)*(1+Z5)</f>
        <v>152.326781179677</v>
      </c>
    </row>
    <row r="4" customFormat="false" ht="15" hidden="false" customHeight="true" outlineLevel="0" collapsed="false">
      <c r="A4" s="2" t="s">
        <v>5</v>
      </c>
      <c r="B4" s="2" t="s">
        <v>6</v>
      </c>
      <c r="C4" s="6" t="n">
        <v>106.847</v>
      </c>
      <c r="D4" s="6" t="n">
        <v>117.779</v>
      </c>
      <c r="E4" s="6" t="n">
        <v>127.359</v>
      </c>
      <c r="F4" s="6" t="n">
        <v>130.515</v>
      </c>
      <c r="G4" s="6" t="n">
        <v>135.797</v>
      </c>
      <c r="H4" s="6" t="n">
        <v>140.652</v>
      </c>
      <c r="I4" s="6" t="n">
        <v>145.575</v>
      </c>
      <c r="J4" s="6" t="n">
        <v>150.67</v>
      </c>
      <c r="K4" s="6" t="n">
        <v>155.943</v>
      </c>
      <c r="L4" s="6" t="n">
        <v>161.401</v>
      </c>
      <c r="M4" s="7" t="n">
        <f aca="false">L4*(1+$C$7)</f>
        <v>167.080270604514</v>
      </c>
      <c r="N4" s="7" t="n">
        <f aca="false">M4*(1+$C$7)</f>
        <v>172.959379590447</v>
      </c>
      <c r="O4" s="7" t="n">
        <f aca="false">N4*(1+$C$7)</f>
        <v>179.045358737311</v>
      </c>
      <c r="P4" s="7" t="n">
        <f aca="false">O4*(1+$C$7)</f>
        <v>185.345487254182</v>
      </c>
      <c r="Q4" s="7" t="n">
        <f aca="false">P4*(1+$C$7)</f>
        <v>191.867300486083</v>
      </c>
      <c r="R4" s="7" t="n">
        <f aca="false">Q4*(1+$C$7)</f>
        <v>198.618598926725</v>
      </c>
      <c r="S4" s="7" t="n">
        <f aca="false">R4*(1+$C$7)</f>
        <v>205.607457548384</v>
      </c>
      <c r="T4" s="7" t="n">
        <f aca="false">S4*(1+$C$7)</f>
        <v>212.842235460066</v>
      </c>
      <c r="U4" s="7" t="n">
        <f aca="false">T4*(1+$C$7)</f>
        <v>220.331585905524</v>
      </c>
      <c r="V4" s="7" t="n">
        <f aca="false">U4*(1+$C$7)</f>
        <v>228.084466613074</v>
      </c>
      <c r="W4" s="7" t="n">
        <f aca="false">V4*(1+$C$7)</f>
        <v>236.110150509592</v>
      </c>
      <c r="X4" s="7" t="n">
        <f aca="false">W4*(1+$C$7)</f>
        <v>244.418236811514</v>
      </c>
      <c r="Y4" s="7" t="n">
        <f aca="false">X4*(1+$C$7)</f>
        <v>253.018662506094</v>
      </c>
      <c r="Z4" s="7" t="n">
        <f aca="false">Y4*(1+$C$7)</f>
        <v>261.921714236655</v>
      </c>
    </row>
    <row r="5" customFormat="false" ht="15" hidden="false" customHeight="true" outlineLevel="0" collapsed="false">
      <c r="A5" s="2" t="s">
        <v>7</v>
      </c>
      <c r="B5" s="2" t="s">
        <v>2</v>
      </c>
      <c r="D5" s="5" t="n">
        <f aca="false">D4/C4-1</f>
        <v>0.102314524507005</v>
      </c>
      <c r="E5" s="5" t="n">
        <f aca="false">E4/D4-1</f>
        <v>0.0813387785598452</v>
      </c>
      <c r="F5" s="5" t="n">
        <f aca="false">F4/E4-1</f>
        <v>0.0247803453230631</v>
      </c>
      <c r="G5" s="5" t="n">
        <f aca="false">G4/F4-1</f>
        <v>0.040470444010267</v>
      </c>
      <c r="H5" s="5" t="n">
        <f aca="false">H4/G4-1</f>
        <v>0.0357518943717461</v>
      </c>
      <c r="I5" s="5" t="n">
        <f aca="false">I4/H4-1</f>
        <v>0.0350012797542871</v>
      </c>
      <c r="J5" s="5" t="n">
        <f aca="false">J4/I4-1</f>
        <v>0.0349991413360811</v>
      </c>
      <c r="K5" s="5" t="n">
        <f aca="false">K4/J4-1</f>
        <v>0.0349970133404129</v>
      </c>
      <c r="L5" s="5" t="n">
        <f aca="false">L4/K4-1</f>
        <v>0.0349999679370026</v>
      </c>
      <c r="M5" s="5" t="n">
        <f aca="false">$C$7</f>
        <v>0.0351873322006318</v>
      </c>
      <c r="N5" s="5" t="n">
        <f aca="false">$C$7</f>
        <v>0.0351873322006318</v>
      </c>
      <c r="O5" s="5" t="n">
        <f aca="false">$C$7</f>
        <v>0.0351873322006318</v>
      </c>
      <c r="P5" s="5" t="n">
        <f aca="false">$C$7</f>
        <v>0.0351873322006318</v>
      </c>
      <c r="Q5" s="5" t="n">
        <f aca="false">$C$7</f>
        <v>0.0351873322006318</v>
      </c>
      <c r="R5" s="5" t="n">
        <f aca="false">$C$7</f>
        <v>0.0351873322006318</v>
      </c>
      <c r="S5" s="5" t="n">
        <f aca="false">$C$7</f>
        <v>0.0351873322006318</v>
      </c>
      <c r="T5" s="5" t="n">
        <f aca="false">$C$7</f>
        <v>0.0351873322006318</v>
      </c>
      <c r="U5" s="5" t="n">
        <f aca="false">$C$7</f>
        <v>0.0351873322006318</v>
      </c>
      <c r="V5" s="5" t="n">
        <f aca="false">$C$7</f>
        <v>0.0351873322006318</v>
      </c>
      <c r="W5" s="5" t="n">
        <f aca="false">$C$7</f>
        <v>0.0351873322006318</v>
      </c>
      <c r="X5" s="5" t="n">
        <f aca="false">$C$7</f>
        <v>0.0351873322006318</v>
      </c>
      <c r="Y5" s="5" t="n">
        <f aca="false">$C$7</f>
        <v>0.0351873322006318</v>
      </c>
      <c r="Z5" s="5" t="n">
        <f aca="false">$C$7</f>
        <v>0.0351873322006318</v>
      </c>
    </row>
    <row r="7" customFormat="false" ht="15" hidden="false" customHeight="true" outlineLevel="0" collapsed="false">
      <c r="A7" s="2" t="s">
        <v>8</v>
      </c>
      <c r="C7" s="5" t="n">
        <f aca="false">AVERAGE(H5:K5)</f>
        <v>0.0351873322006318</v>
      </c>
    </row>
    <row r="9" customFormat="false" ht="15" hidden="false" customHeight="true" outlineLevel="0" collapsed="false">
      <c r="A9" s="8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W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.71"/>
    <col collapsed="false" customWidth="true" hidden="false" outlineLevel="0" max="2" min="2" style="1" width="46.86"/>
    <col collapsed="false" customWidth="true" hidden="false" outlineLevel="0" max="3" min="3" style="1" width="12"/>
    <col collapsed="false" customWidth="true" hidden="false" outlineLevel="0" max="4" min="4" style="1" width="17.57"/>
    <col collapsed="false" customWidth="true" hidden="false" outlineLevel="0" max="5" min="5" style="1" width="14.57"/>
    <col collapsed="false" customWidth="true" hidden="false" outlineLevel="0" max="6" min="6" style="1" width="17"/>
    <col collapsed="false" customWidth="true" hidden="false" outlineLevel="0" max="7" min="7" style="1" width="15.42"/>
    <col collapsed="false" customWidth="true" hidden="false" outlineLevel="0" max="8" min="8" style="1" width="20.71"/>
    <col collapsed="false" customWidth="true" hidden="false" outlineLevel="0" max="9" min="9" style="1" width="16"/>
    <col collapsed="false" customWidth="true" hidden="false" outlineLevel="0" max="10" min="10" style="1" width="17.42"/>
    <col collapsed="false" customWidth="true" hidden="false" outlineLevel="0" max="11" min="11" style="1" width="19.57"/>
    <col collapsed="false" customWidth="true" hidden="false" outlineLevel="0" max="12" min="12" style="1" width="20.85"/>
    <col collapsed="false" customWidth="true" hidden="false" outlineLevel="0" max="13" min="13" style="1" width="19.14"/>
    <col collapsed="false" customWidth="true" hidden="false" outlineLevel="0" max="14" min="14" style="1" width="13.71"/>
    <col collapsed="false" customWidth="true" hidden="false" outlineLevel="0" max="15" min="15" style="1" width="18.86"/>
    <col collapsed="false" customWidth="true" hidden="false" outlineLevel="0" max="16" min="16" style="1" width="18.42"/>
    <col collapsed="false" customWidth="true" hidden="false" outlineLevel="0" max="17" min="17" style="1" width="17.29"/>
    <col collapsed="false" customWidth="true" hidden="false" outlineLevel="0" max="18" min="18" style="1" width="18"/>
    <col collapsed="false" customWidth="true" hidden="false" outlineLevel="0" max="19" min="19" style="1" width="21.43"/>
    <col collapsed="false" customWidth="true" hidden="false" outlineLevel="0" max="20" min="20" style="1" width="16.14"/>
    <col collapsed="false" customWidth="true" hidden="false" outlineLevel="0" max="21" min="21" style="1" width="19.42"/>
    <col collapsed="false" customWidth="true" hidden="false" outlineLevel="0" max="22" min="22" style="1" width="17.57"/>
    <col collapsed="false" customWidth="true" hidden="false" outlineLevel="0" max="23" min="23" style="1" width="15.85"/>
    <col collapsed="false" customWidth="true" hidden="false" outlineLevel="0" max="24" min="24" style="1" width="17.57"/>
    <col collapsed="false" customWidth="true" hidden="false" outlineLevel="0" max="25" min="25" style="1" width="20.42"/>
    <col collapsed="false" customWidth="true" hidden="false" outlineLevel="0" max="26" min="26" style="1" width="28.57"/>
    <col collapsed="false" customWidth="true" hidden="false" outlineLevel="0" max="27" min="27" style="1" width="18.57"/>
    <col collapsed="false" customWidth="true" hidden="false" outlineLevel="0" max="28" min="28" style="1" width="16.71"/>
    <col collapsed="false" customWidth="true" hidden="false" outlineLevel="0" max="29" min="29" style="1" width="36.71"/>
    <col collapsed="false" customWidth="true" hidden="false" outlineLevel="0" max="30" min="30" style="1" width="19.86"/>
    <col collapsed="false" customWidth="true" hidden="false" outlineLevel="0" max="31" min="31" style="1" width="31.57"/>
    <col collapsed="false" customWidth="true" hidden="false" outlineLevel="0" max="32" min="32" style="1" width="24.86"/>
    <col collapsed="false" customWidth="true" hidden="false" outlineLevel="0" max="33" min="33" style="1" width="29.42"/>
    <col collapsed="false" customWidth="true" hidden="false" outlineLevel="0" max="34" min="34" style="1" width="15.14"/>
    <col collapsed="false" customWidth="true" hidden="false" outlineLevel="0" max="35" min="35" style="1" width="19.42"/>
    <col collapsed="false" customWidth="true" hidden="false" outlineLevel="0" max="36" min="36" style="1" width="15.85"/>
    <col collapsed="false" customWidth="true" hidden="false" outlineLevel="0" max="37" min="37" style="1" width="21.71"/>
    <col collapsed="false" customWidth="true" hidden="false" outlineLevel="0" max="38" min="38" style="1" width="14.42"/>
    <col collapsed="false" customWidth="true" hidden="false" outlineLevel="0" max="39" min="39" style="1" width="33.57"/>
    <col collapsed="false" customWidth="true" hidden="false" outlineLevel="0" max="40" min="40" style="1" width="18.29"/>
    <col collapsed="false" customWidth="true" hidden="false" outlineLevel="0" max="41" min="41" style="1" width="13"/>
    <col collapsed="false" customWidth="true" hidden="false" outlineLevel="0" max="42" min="42" style="1" width="18.71"/>
    <col collapsed="false" customWidth="true" hidden="false" outlineLevel="0" max="43" min="43" style="1" width="15"/>
    <col collapsed="false" customWidth="true" hidden="false" outlineLevel="0" max="44" min="44" style="1" width="12.86"/>
    <col collapsed="false" customWidth="true" hidden="false" outlineLevel="0" max="45" min="45" style="1" width="15.29"/>
    <col collapsed="false" customWidth="true" hidden="false" outlineLevel="0" max="46" min="46" style="1" width="9.57"/>
    <col collapsed="false" customWidth="true" hidden="false" outlineLevel="0" max="47" min="47" style="1" width="22.15"/>
    <col collapsed="false" customWidth="true" hidden="false" outlineLevel="0" max="48" min="48" style="1" width="10.57"/>
    <col collapsed="false" customWidth="true" hidden="false" outlineLevel="0" max="49" min="49" style="1" width="11.57"/>
    <col collapsed="false" customWidth="true" hidden="false" outlineLevel="0" max="88" min="88" style="1" width="12.86"/>
    <col collapsed="false" customWidth="true" hidden="false" outlineLevel="0" max="89" min="89" style="1" width="16.71"/>
    <col collapsed="false" customWidth="true" hidden="false" outlineLevel="0" max="90" min="90" style="1" width="15.42"/>
    <col collapsed="false" customWidth="true" hidden="false" outlineLevel="0" max="91" min="91" style="1" width="16.57"/>
    <col collapsed="false" customWidth="true" hidden="false" outlineLevel="0" max="92" min="92" style="1" width="13"/>
    <col collapsed="false" customWidth="true" hidden="false" outlineLevel="0" max="93" min="93" style="1" width="14.86"/>
    <col collapsed="false" customWidth="true" hidden="false" outlineLevel="0" max="94" min="94" style="1" width="11.57"/>
    <col collapsed="false" customWidth="true" hidden="false" outlineLevel="0" max="95" min="95" style="1" width="12.15"/>
  </cols>
  <sheetData>
    <row r="1" customFormat="false" ht="22.5" hidden="false" customHeight="true" outlineLevel="0" collapsed="false">
      <c r="A1" s="9" t="s">
        <v>10</v>
      </c>
      <c r="B1" s="9"/>
    </row>
    <row r="2" customFormat="false" ht="38.25" hidden="false" customHeight="true" outlineLevel="0" collapsed="false">
      <c r="A2" s="10" t="s">
        <v>11</v>
      </c>
      <c r="B2" s="11"/>
      <c r="C2" s="12" t="s">
        <v>12</v>
      </c>
      <c r="D2" s="13" t="s">
        <v>13</v>
      </c>
      <c r="E2" s="13" t="s">
        <v>14</v>
      </c>
      <c r="F2" s="13" t="s">
        <v>15</v>
      </c>
      <c r="G2" s="13" t="s">
        <v>16</v>
      </c>
      <c r="H2" s="13" t="n">
        <v>19</v>
      </c>
      <c r="I2" s="13" t="n">
        <v>20</v>
      </c>
      <c r="J2" s="13" t="n">
        <v>21</v>
      </c>
      <c r="K2" s="13" t="s">
        <v>17</v>
      </c>
      <c r="L2" s="13" t="s">
        <v>18</v>
      </c>
      <c r="M2" s="13" t="n">
        <v>26</v>
      </c>
      <c r="N2" s="13" t="n">
        <v>27</v>
      </c>
      <c r="O2" s="13" t="n">
        <v>28</v>
      </c>
      <c r="P2" s="13" t="s">
        <v>19</v>
      </c>
      <c r="Q2" s="13" t="s">
        <v>20</v>
      </c>
      <c r="R2" s="13" t="s">
        <v>21</v>
      </c>
      <c r="S2" s="13" t="s">
        <v>22</v>
      </c>
      <c r="T2" s="13" t="s">
        <v>23</v>
      </c>
      <c r="U2" s="13" t="s">
        <v>24</v>
      </c>
      <c r="V2" s="13" t="s">
        <v>25</v>
      </c>
      <c r="W2" s="13" t="s">
        <v>26</v>
      </c>
      <c r="X2" s="13" t="s">
        <v>27</v>
      </c>
      <c r="Y2" s="13" t="s">
        <v>28</v>
      </c>
      <c r="Z2" s="13" t="s">
        <v>29</v>
      </c>
      <c r="AA2" s="13" t="s">
        <v>30</v>
      </c>
      <c r="AB2" s="13" t="s">
        <v>31</v>
      </c>
      <c r="AC2" s="13" t="s">
        <v>32</v>
      </c>
      <c r="AD2" s="13" t="n">
        <v>72</v>
      </c>
      <c r="AE2" s="13" t="s">
        <v>33</v>
      </c>
      <c r="AF2" s="13" t="s">
        <v>34</v>
      </c>
      <c r="AG2" s="13" t="n">
        <v>84</v>
      </c>
      <c r="AH2" s="13" t="n">
        <v>85</v>
      </c>
      <c r="AI2" s="13" t="n">
        <v>86</v>
      </c>
      <c r="AJ2" s="13" t="s">
        <v>35</v>
      </c>
      <c r="AK2" s="13" t="s">
        <v>36</v>
      </c>
      <c r="AL2" s="13" t="s">
        <v>37</v>
      </c>
      <c r="AM2" s="13" t="s">
        <v>38</v>
      </c>
      <c r="AN2" s="13" t="s">
        <v>39</v>
      </c>
      <c r="AO2" s="14" t="s">
        <v>40</v>
      </c>
      <c r="AP2" s="14" t="s">
        <v>41</v>
      </c>
      <c r="AQ2" s="14" t="s">
        <v>42</v>
      </c>
      <c r="AR2" s="14" t="s">
        <v>43</v>
      </c>
      <c r="AS2" s="15" t="s">
        <v>44</v>
      </c>
    </row>
    <row r="3" customFormat="false" ht="102" hidden="false" customHeight="true" outlineLevel="0" collapsed="false">
      <c r="A3" s="16"/>
      <c r="B3" s="17" t="s">
        <v>45</v>
      </c>
      <c r="C3" s="18" t="s">
        <v>46</v>
      </c>
      <c r="D3" s="19" t="s">
        <v>47</v>
      </c>
      <c r="E3" s="19" t="s">
        <v>48</v>
      </c>
      <c r="F3" s="19" t="s">
        <v>49</v>
      </c>
      <c r="G3" s="19" t="s">
        <v>50</v>
      </c>
      <c r="H3" s="19" t="s">
        <v>51</v>
      </c>
      <c r="I3" s="19" t="s">
        <v>52</v>
      </c>
      <c r="J3" s="19" t="s">
        <v>53</v>
      </c>
      <c r="K3" s="19" t="s">
        <v>54</v>
      </c>
      <c r="L3" s="19" t="s">
        <v>55</v>
      </c>
      <c r="M3" s="19" t="s">
        <v>56</v>
      </c>
      <c r="N3" s="19" t="s">
        <v>57</v>
      </c>
      <c r="O3" s="19" t="s">
        <v>58</v>
      </c>
      <c r="P3" s="19" t="s">
        <v>59</v>
      </c>
      <c r="Q3" s="19" t="s">
        <v>60</v>
      </c>
      <c r="R3" s="19" t="s">
        <v>61</v>
      </c>
      <c r="S3" s="19" t="s">
        <v>62</v>
      </c>
      <c r="T3" s="19" t="s">
        <v>63</v>
      </c>
      <c r="U3" s="19" t="s">
        <v>64</v>
      </c>
      <c r="V3" s="19" t="s">
        <v>65</v>
      </c>
      <c r="W3" s="19" t="s">
        <v>66</v>
      </c>
      <c r="X3" s="19" t="s">
        <v>67</v>
      </c>
      <c r="Y3" s="19" t="s">
        <v>68</v>
      </c>
      <c r="Z3" s="19" t="s">
        <v>69</v>
      </c>
      <c r="AA3" s="19" t="s">
        <v>70</v>
      </c>
      <c r="AB3" s="19" t="s">
        <v>71</v>
      </c>
      <c r="AC3" s="19" t="s">
        <v>72</v>
      </c>
      <c r="AD3" s="19" t="s">
        <v>73</v>
      </c>
      <c r="AE3" s="19" t="s">
        <v>74</v>
      </c>
      <c r="AF3" s="19" t="s">
        <v>75</v>
      </c>
      <c r="AG3" s="19" t="s">
        <v>76</v>
      </c>
      <c r="AH3" s="19" t="s">
        <v>77</v>
      </c>
      <c r="AI3" s="19" t="s">
        <v>78</v>
      </c>
      <c r="AJ3" s="19" t="s">
        <v>79</v>
      </c>
      <c r="AK3" s="19" t="s">
        <v>80</v>
      </c>
      <c r="AL3" s="19" t="s">
        <v>81</v>
      </c>
      <c r="AM3" s="19" t="s">
        <v>82</v>
      </c>
      <c r="AN3" s="19" t="s">
        <v>83</v>
      </c>
      <c r="AO3" s="20" t="s">
        <v>84</v>
      </c>
      <c r="AP3" s="20" t="s">
        <v>85</v>
      </c>
      <c r="AQ3" s="20" t="s">
        <v>86</v>
      </c>
      <c r="AR3" s="20" t="s">
        <v>87</v>
      </c>
      <c r="AS3" s="21" t="s">
        <v>88</v>
      </c>
    </row>
    <row r="4" customFormat="false" ht="15" hidden="false" customHeight="true" outlineLevel="0" collapsed="false">
      <c r="A4" s="22" t="s">
        <v>12</v>
      </c>
      <c r="B4" s="23" t="s">
        <v>89</v>
      </c>
      <c r="C4" s="24" t="n">
        <v>8082.22819815753</v>
      </c>
      <c r="D4" s="24" t="n">
        <v>0</v>
      </c>
      <c r="E4" s="24" t="n">
        <v>0</v>
      </c>
      <c r="F4" s="24" t="n">
        <v>0</v>
      </c>
      <c r="G4" s="24" t="n">
        <v>0</v>
      </c>
      <c r="H4" s="24" t="n">
        <v>0</v>
      </c>
      <c r="I4" s="24" t="n">
        <v>0</v>
      </c>
      <c r="J4" s="24" t="n">
        <v>0</v>
      </c>
      <c r="K4" s="24" t="n">
        <v>0</v>
      </c>
      <c r="L4" s="24" t="n">
        <v>0</v>
      </c>
      <c r="M4" s="24" t="n">
        <v>0</v>
      </c>
      <c r="N4" s="24" t="n">
        <v>0</v>
      </c>
      <c r="O4" s="24" t="n">
        <v>0</v>
      </c>
      <c r="P4" s="24" t="n">
        <v>0</v>
      </c>
      <c r="Q4" s="24" t="n">
        <v>0</v>
      </c>
      <c r="R4" s="24" t="n">
        <v>0</v>
      </c>
      <c r="S4" s="24" t="n">
        <v>0</v>
      </c>
      <c r="T4" s="24" t="n">
        <v>0</v>
      </c>
      <c r="U4" s="24" t="n">
        <v>0.00710293044711415</v>
      </c>
      <c r="V4" s="24" t="n">
        <v>0</v>
      </c>
      <c r="W4" s="24" t="n">
        <v>0</v>
      </c>
      <c r="X4" s="24" t="n">
        <v>0</v>
      </c>
      <c r="Y4" s="24" t="n">
        <v>0</v>
      </c>
      <c r="Z4" s="24" t="n">
        <v>0</v>
      </c>
      <c r="AA4" s="24" t="n">
        <v>0</v>
      </c>
      <c r="AB4" s="24" t="n">
        <v>0</v>
      </c>
      <c r="AC4" s="24" t="n">
        <v>0</v>
      </c>
      <c r="AD4" s="24" t="n">
        <v>0</v>
      </c>
      <c r="AE4" s="24" t="n">
        <v>0</v>
      </c>
      <c r="AF4" s="24" t="n">
        <v>0</v>
      </c>
      <c r="AG4" s="24" t="n">
        <v>0</v>
      </c>
      <c r="AH4" s="24" t="n">
        <v>0</v>
      </c>
      <c r="AI4" s="24" t="n">
        <v>0</v>
      </c>
      <c r="AJ4" s="24" t="n">
        <v>0</v>
      </c>
      <c r="AK4" s="24" t="n">
        <v>0</v>
      </c>
      <c r="AL4" s="24" t="n">
        <v>0</v>
      </c>
      <c r="AM4" s="24" t="n">
        <v>0</v>
      </c>
      <c r="AN4" s="24" t="n">
        <v>0</v>
      </c>
      <c r="AO4" s="25" t="n">
        <v>8082.23530108798</v>
      </c>
      <c r="AP4" s="25" t="n">
        <v>2638.07495226093</v>
      </c>
      <c r="AQ4" s="25" t="n">
        <v>-78.9171089010984</v>
      </c>
      <c r="AR4" s="25" t="n">
        <v>908.353589988697</v>
      </c>
      <c r="AS4" s="26" t="n">
        <v>11549.7467344365</v>
      </c>
      <c r="AT4" s="27"/>
      <c r="AU4" s="27"/>
    </row>
    <row r="5" customFormat="false" ht="15" hidden="false" customHeight="true" outlineLevel="0" collapsed="false">
      <c r="A5" s="28" t="s">
        <v>13</v>
      </c>
      <c r="B5" s="23" t="s">
        <v>47</v>
      </c>
      <c r="C5" s="24" t="n">
        <v>0</v>
      </c>
      <c r="D5" s="24" t="n">
        <v>2204.83484944466</v>
      </c>
      <c r="E5" s="24" t="n">
        <v>0.0158666682394992</v>
      </c>
      <c r="F5" s="24" t="n">
        <v>0</v>
      </c>
      <c r="G5" s="24" t="n">
        <v>0</v>
      </c>
      <c r="H5" s="24" t="n">
        <v>0</v>
      </c>
      <c r="I5" s="24" t="n">
        <v>0</v>
      </c>
      <c r="J5" s="24" t="n">
        <v>0</v>
      </c>
      <c r="K5" s="24" t="n">
        <v>31.5985535694618</v>
      </c>
      <c r="L5" s="24" t="n">
        <v>0.00807372288964665</v>
      </c>
      <c r="M5" s="24" t="n">
        <v>0</v>
      </c>
      <c r="N5" s="24" t="n">
        <v>0</v>
      </c>
      <c r="O5" s="24" t="n">
        <v>0</v>
      </c>
      <c r="P5" s="24" t="n">
        <v>0</v>
      </c>
      <c r="Q5" s="24" t="n">
        <v>0</v>
      </c>
      <c r="R5" s="24" t="n">
        <v>0</v>
      </c>
      <c r="S5" s="24" t="n">
        <v>0</v>
      </c>
      <c r="T5" s="24" t="n">
        <v>11.7693393367709</v>
      </c>
      <c r="U5" s="24" t="n">
        <v>6.28138780556308</v>
      </c>
      <c r="V5" s="24" t="n">
        <v>0.00986121597014883</v>
      </c>
      <c r="W5" s="24" t="n">
        <v>0</v>
      </c>
      <c r="X5" s="24" t="n">
        <v>0</v>
      </c>
      <c r="Y5" s="24" t="n">
        <v>0</v>
      </c>
      <c r="Z5" s="24" t="n">
        <v>0</v>
      </c>
      <c r="AA5" s="24" t="n">
        <v>0</v>
      </c>
      <c r="AB5" s="24" t="n">
        <v>0</v>
      </c>
      <c r="AC5" s="24" t="n">
        <v>0</v>
      </c>
      <c r="AD5" s="24" t="n">
        <v>0</v>
      </c>
      <c r="AE5" s="24" t="n">
        <v>0</v>
      </c>
      <c r="AF5" s="24" t="n">
        <v>1.39150198466674</v>
      </c>
      <c r="AG5" s="24" t="n">
        <v>0</v>
      </c>
      <c r="AH5" s="24" t="n">
        <v>0</v>
      </c>
      <c r="AI5" s="24" t="n">
        <v>0</v>
      </c>
      <c r="AJ5" s="24" t="n">
        <v>0</v>
      </c>
      <c r="AK5" s="24" t="n">
        <v>0</v>
      </c>
      <c r="AL5" s="24" t="n">
        <v>0</v>
      </c>
      <c r="AM5" s="24" t="n">
        <v>0</v>
      </c>
      <c r="AN5" s="24" t="n">
        <v>0</v>
      </c>
      <c r="AO5" s="25" t="n">
        <v>2255.90943374822</v>
      </c>
      <c r="AP5" s="25" t="n">
        <v>717.687754654187</v>
      </c>
      <c r="AQ5" s="25" t="n">
        <v>16.9623255137626</v>
      </c>
      <c r="AR5" s="25" t="n">
        <v>212.062948370197</v>
      </c>
      <c r="AS5" s="26" t="n">
        <v>3202.62246228637</v>
      </c>
      <c r="AT5" s="27"/>
      <c r="AU5" s="29"/>
    </row>
    <row r="6" customFormat="false" ht="15" hidden="false" customHeight="true" outlineLevel="0" collapsed="false">
      <c r="A6" s="28" t="s">
        <v>14</v>
      </c>
      <c r="B6" s="23" t="s">
        <v>90</v>
      </c>
      <c r="C6" s="24" t="n">
        <v>0</v>
      </c>
      <c r="D6" s="24" t="n">
        <v>0</v>
      </c>
      <c r="E6" s="24" t="n">
        <v>13806.6016862674</v>
      </c>
      <c r="F6" s="24" t="n">
        <v>0</v>
      </c>
      <c r="G6" s="24" t="n">
        <v>0</v>
      </c>
      <c r="H6" s="24" t="n">
        <v>0</v>
      </c>
      <c r="I6" s="24" t="n">
        <v>0</v>
      </c>
      <c r="J6" s="24" t="n">
        <v>0</v>
      </c>
      <c r="K6" s="24" t="n">
        <v>0.0110585765085473</v>
      </c>
      <c r="L6" s="24" t="n">
        <v>0</v>
      </c>
      <c r="M6" s="24" t="n">
        <v>0</v>
      </c>
      <c r="N6" s="24" t="n">
        <v>0</v>
      </c>
      <c r="O6" s="24" t="n">
        <v>0</v>
      </c>
      <c r="P6" s="24" t="n">
        <v>0</v>
      </c>
      <c r="Q6" s="24" t="n">
        <v>0</v>
      </c>
      <c r="R6" s="24" t="n">
        <v>0</v>
      </c>
      <c r="S6" s="24" t="n">
        <v>0</v>
      </c>
      <c r="T6" s="24" t="n">
        <v>0</v>
      </c>
      <c r="U6" s="24" t="n">
        <v>10.8534774193944</v>
      </c>
      <c r="V6" s="24" t="n">
        <v>0.0564172450644795</v>
      </c>
      <c r="W6" s="24" t="n">
        <v>11.8638623755143</v>
      </c>
      <c r="X6" s="24" t="n">
        <v>0</v>
      </c>
      <c r="Y6" s="24" t="n">
        <v>0</v>
      </c>
      <c r="Z6" s="24" t="n">
        <v>0</v>
      </c>
      <c r="AA6" s="24" t="n">
        <v>0</v>
      </c>
      <c r="AB6" s="24" t="n">
        <v>7.43232016040384</v>
      </c>
      <c r="AC6" s="24" t="n">
        <v>0</v>
      </c>
      <c r="AD6" s="24" t="n">
        <v>0</v>
      </c>
      <c r="AE6" s="24" t="n">
        <v>0</v>
      </c>
      <c r="AF6" s="24" t="n">
        <v>0</v>
      </c>
      <c r="AG6" s="24" t="n">
        <v>0</v>
      </c>
      <c r="AH6" s="24" t="n">
        <v>0</v>
      </c>
      <c r="AI6" s="24" t="n">
        <v>0</v>
      </c>
      <c r="AJ6" s="24" t="n">
        <v>0</v>
      </c>
      <c r="AK6" s="24" t="n">
        <v>0</v>
      </c>
      <c r="AL6" s="24" t="n">
        <v>0</v>
      </c>
      <c r="AM6" s="24" t="n">
        <v>0</v>
      </c>
      <c r="AN6" s="24" t="n">
        <v>0</v>
      </c>
      <c r="AO6" s="25" t="n">
        <v>13836.8188220443</v>
      </c>
      <c r="AP6" s="25" t="n">
        <v>6498.37183648715</v>
      </c>
      <c r="AQ6" s="25" t="n">
        <v>3942.80957005059</v>
      </c>
      <c r="AR6" s="25" t="n">
        <v>3804.31006526038</v>
      </c>
      <c r="AS6" s="26" t="n">
        <v>28082.3102938425</v>
      </c>
      <c r="AT6" s="27"/>
      <c r="AU6" s="27"/>
    </row>
    <row r="7" customFormat="false" ht="15" hidden="false" customHeight="true" outlineLevel="0" collapsed="false">
      <c r="A7" s="28" t="s">
        <v>15</v>
      </c>
      <c r="B7" s="23" t="s">
        <v>91</v>
      </c>
      <c r="C7" s="24" t="n">
        <v>0</v>
      </c>
      <c r="D7" s="24" t="n">
        <v>0</v>
      </c>
      <c r="E7" s="24" t="n">
        <v>0</v>
      </c>
      <c r="F7" s="24" t="n">
        <v>668.305936486545</v>
      </c>
      <c r="G7" s="24" t="n">
        <v>0</v>
      </c>
      <c r="H7" s="24" t="n">
        <v>0</v>
      </c>
      <c r="I7" s="24" t="n">
        <v>0</v>
      </c>
      <c r="J7" s="24" t="n">
        <v>0</v>
      </c>
      <c r="K7" s="24" t="n">
        <v>0</v>
      </c>
      <c r="L7" s="24" t="n">
        <v>0</v>
      </c>
      <c r="M7" s="24" t="n">
        <v>0</v>
      </c>
      <c r="N7" s="24" t="n">
        <v>0</v>
      </c>
      <c r="O7" s="24" t="n">
        <v>0</v>
      </c>
      <c r="P7" s="24" t="n">
        <v>0</v>
      </c>
      <c r="Q7" s="24" t="n">
        <v>0</v>
      </c>
      <c r="R7" s="24" t="n">
        <v>0</v>
      </c>
      <c r="S7" s="24" t="n">
        <v>0</v>
      </c>
      <c r="T7" s="24" t="n">
        <v>0</v>
      </c>
      <c r="U7" s="24" t="n">
        <v>0.342461661762355</v>
      </c>
      <c r="V7" s="24" t="n">
        <v>0</v>
      </c>
      <c r="W7" s="24" t="n">
        <v>0</v>
      </c>
      <c r="X7" s="24" t="n">
        <v>0</v>
      </c>
      <c r="Y7" s="24" t="n">
        <v>0</v>
      </c>
      <c r="Z7" s="24" t="n">
        <v>0</v>
      </c>
      <c r="AA7" s="24" t="n">
        <v>0</v>
      </c>
      <c r="AB7" s="24" t="n">
        <v>0</v>
      </c>
      <c r="AC7" s="24" t="n">
        <v>0</v>
      </c>
      <c r="AD7" s="24" t="n">
        <v>0</v>
      </c>
      <c r="AE7" s="24" t="n">
        <v>0</v>
      </c>
      <c r="AF7" s="24" t="n">
        <v>0</v>
      </c>
      <c r="AG7" s="24" t="n">
        <v>0</v>
      </c>
      <c r="AH7" s="24" t="n">
        <v>0.071740673102576</v>
      </c>
      <c r="AI7" s="24" t="n">
        <v>0</v>
      </c>
      <c r="AJ7" s="24" t="n">
        <v>0</v>
      </c>
      <c r="AK7" s="24" t="n">
        <v>0</v>
      </c>
      <c r="AL7" s="24" t="n">
        <v>0</v>
      </c>
      <c r="AM7" s="24" t="n">
        <v>0</v>
      </c>
      <c r="AN7" s="24" t="n">
        <v>0</v>
      </c>
      <c r="AO7" s="25" t="n">
        <v>668.72013882141</v>
      </c>
      <c r="AP7" s="25" t="n">
        <v>1376.28148472425</v>
      </c>
      <c r="AQ7" s="25" t="n">
        <v>371.253990055975</v>
      </c>
      <c r="AR7" s="25" t="n">
        <v>2216.40158004296</v>
      </c>
      <c r="AS7" s="26" t="n">
        <v>4632.6571936446</v>
      </c>
      <c r="AT7" s="27"/>
      <c r="AU7" s="27"/>
    </row>
    <row r="8" customFormat="false" ht="15" hidden="false" customHeight="true" outlineLevel="0" collapsed="false">
      <c r="A8" s="28" t="s">
        <v>16</v>
      </c>
      <c r="B8" s="23" t="s">
        <v>92</v>
      </c>
      <c r="C8" s="24" t="n">
        <v>0</v>
      </c>
      <c r="D8" s="24" t="n">
        <v>0</v>
      </c>
      <c r="E8" s="24" t="n">
        <v>0</v>
      </c>
      <c r="F8" s="24" t="n">
        <v>0</v>
      </c>
      <c r="G8" s="24" t="n">
        <v>720.909949931948</v>
      </c>
      <c r="H8" s="24" t="n">
        <v>0</v>
      </c>
      <c r="I8" s="24" t="n">
        <v>0</v>
      </c>
      <c r="J8" s="24" t="n">
        <v>0</v>
      </c>
      <c r="K8" s="24" t="n">
        <v>2.97972342964562</v>
      </c>
      <c r="L8" s="24" t="n">
        <v>0</v>
      </c>
      <c r="M8" s="24" t="n">
        <v>0</v>
      </c>
      <c r="N8" s="24" t="n">
        <v>0</v>
      </c>
      <c r="O8" s="24" t="n">
        <v>0</v>
      </c>
      <c r="P8" s="24" t="n">
        <v>0</v>
      </c>
      <c r="Q8" s="24" t="n">
        <v>1.28483217093681</v>
      </c>
      <c r="R8" s="24" t="n">
        <v>0</v>
      </c>
      <c r="S8" s="24" t="n">
        <v>0</v>
      </c>
      <c r="T8" s="24" t="n">
        <v>0</v>
      </c>
      <c r="U8" s="24" t="n">
        <v>3.9001651900952</v>
      </c>
      <c r="V8" s="24" t="n">
        <v>0</v>
      </c>
      <c r="W8" s="24" t="n">
        <v>0</v>
      </c>
      <c r="X8" s="24" t="n">
        <v>0.00782295444297942</v>
      </c>
      <c r="Y8" s="24" t="n">
        <v>0</v>
      </c>
      <c r="Z8" s="24" t="n">
        <v>0</v>
      </c>
      <c r="AA8" s="24" t="n">
        <v>0</v>
      </c>
      <c r="AB8" s="24" t="n">
        <v>0</v>
      </c>
      <c r="AC8" s="24" t="n">
        <v>0</v>
      </c>
      <c r="AD8" s="24" t="n">
        <v>0</v>
      </c>
      <c r="AE8" s="24" t="n">
        <v>0</v>
      </c>
      <c r="AF8" s="24" t="n">
        <v>0</v>
      </c>
      <c r="AG8" s="24" t="n">
        <v>0</v>
      </c>
      <c r="AH8" s="24" t="n">
        <v>0</v>
      </c>
      <c r="AI8" s="24" t="n">
        <v>0</v>
      </c>
      <c r="AJ8" s="24" t="n">
        <v>0</v>
      </c>
      <c r="AK8" s="24" t="n">
        <v>0</v>
      </c>
      <c r="AL8" s="24" t="n">
        <v>0</v>
      </c>
      <c r="AM8" s="24" t="n">
        <v>0</v>
      </c>
      <c r="AN8" s="24" t="n">
        <v>0</v>
      </c>
      <c r="AO8" s="25" t="n">
        <v>729.082493677069</v>
      </c>
      <c r="AP8" s="25" t="n">
        <v>629.622788267287</v>
      </c>
      <c r="AQ8" s="25" t="n">
        <v>117.912044785005</v>
      </c>
      <c r="AR8" s="25" t="n">
        <v>1118.74467596094</v>
      </c>
      <c r="AS8" s="26" t="n">
        <v>2595.3620026903</v>
      </c>
      <c r="AT8" s="27"/>
      <c r="AU8" s="27"/>
    </row>
    <row r="9" customFormat="false" ht="15" hidden="false" customHeight="true" outlineLevel="0" collapsed="false">
      <c r="A9" s="28" t="n">
        <v>19</v>
      </c>
      <c r="B9" s="30" t="s">
        <v>93</v>
      </c>
      <c r="C9" s="24" t="n">
        <v>0</v>
      </c>
      <c r="D9" s="24" t="n">
        <v>0</v>
      </c>
      <c r="E9" s="24" t="n">
        <v>0</v>
      </c>
      <c r="F9" s="24" t="n">
        <v>0</v>
      </c>
      <c r="G9" s="24" t="n">
        <v>0</v>
      </c>
      <c r="H9" s="24" t="n">
        <v>256.494138268037</v>
      </c>
      <c r="I9" s="24" t="n">
        <v>0</v>
      </c>
      <c r="J9" s="24" t="n">
        <v>0</v>
      </c>
      <c r="K9" s="24" t="n">
        <v>0</v>
      </c>
      <c r="L9" s="24" t="n">
        <v>0</v>
      </c>
      <c r="M9" s="24" t="n">
        <v>0</v>
      </c>
      <c r="N9" s="24" t="n">
        <v>0</v>
      </c>
      <c r="O9" s="24" t="n">
        <v>0</v>
      </c>
      <c r="P9" s="24" t="n">
        <v>0</v>
      </c>
      <c r="Q9" s="24" t="n">
        <v>0</v>
      </c>
      <c r="R9" s="24" t="n">
        <v>0</v>
      </c>
      <c r="S9" s="24" t="n">
        <v>0</v>
      </c>
      <c r="T9" s="24" t="n">
        <v>0</v>
      </c>
      <c r="U9" s="24" t="n">
        <v>0</v>
      </c>
      <c r="V9" s="24" t="n">
        <v>0</v>
      </c>
      <c r="W9" s="24" t="n">
        <v>0</v>
      </c>
      <c r="X9" s="24" t="n">
        <v>0</v>
      </c>
      <c r="Y9" s="24" t="n">
        <v>0</v>
      </c>
      <c r="Z9" s="24" t="n">
        <v>0</v>
      </c>
      <c r="AA9" s="24" t="n">
        <v>0</v>
      </c>
      <c r="AB9" s="24" t="n">
        <v>0</v>
      </c>
      <c r="AC9" s="24" t="n">
        <v>0</v>
      </c>
      <c r="AD9" s="24" t="n">
        <v>0</v>
      </c>
      <c r="AE9" s="24" t="n">
        <v>0</v>
      </c>
      <c r="AF9" s="24" t="n">
        <v>0</v>
      </c>
      <c r="AG9" s="24" t="n">
        <v>0</v>
      </c>
      <c r="AH9" s="24" t="n">
        <v>0</v>
      </c>
      <c r="AI9" s="24" t="n">
        <v>0</v>
      </c>
      <c r="AJ9" s="24" t="n">
        <v>0</v>
      </c>
      <c r="AK9" s="24" t="n">
        <v>0</v>
      </c>
      <c r="AL9" s="24" t="n">
        <v>0</v>
      </c>
      <c r="AM9" s="24" t="n">
        <v>0</v>
      </c>
      <c r="AN9" s="24" t="n">
        <v>0</v>
      </c>
      <c r="AO9" s="25" t="n">
        <v>256.494138268037</v>
      </c>
      <c r="AP9" s="25" t="n">
        <v>1442.85382172327</v>
      </c>
      <c r="AQ9" s="25" t="n">
        <v>1158.38928291639</v>
      </c>
      <c r="AR9" s="25" t="n">
        <v>2370.84456286824</v>
      </c>
      <c r="AS9" s="26" t="n">
        <v>5228.58180577594</v>
      </c>
      <c r="AT9" s="27"/>
      <c r="AU9" s="27"/>
    </row>
    <row r="10" customFormat="false" ht="15" hidden="false" customHeight="true" outlineLevel="0" collapsed="false">
      <c r="A10" s="28" t="n">
        <v>20</v>
      </c>
      <c r="B10" s="30" t="s">
        <v>94</v>
      </c>
      <c r="C10" s="24" t="n">
        <v>0</v>
      </c>
      <c r="D10" s="24" t="n">
        <v>0</v>
      </c>
      <c r="E10" s="24" t="n">
        <v>0.407955812797603</v>
      </c>
      <c r="F10" s="24" t="n">
        <v>0</v>
      </c>
      <c r="G10" s="24" t="n">
        <v>3.9409001102128</v>
      </c>
      <c r="H10" s="24" t="n">
        <v>0</v>
      </c>
      <c r="I10" s="24" t="n">
        <v>740.074880076159</v>
      </c>
      <c r="J10" s="24" t="n">
        <v>1.04180150140899</v>
      </c>
      <c r="K10" s="24" t="n">
        <v>1.32849122216142</v>
      </c>
      <c r="L10" s="24" t="n">
        <v>0</v>
      </c>
      <c r="M10" s="24" t="n">
        <v>0</v>
      </c>
      <c r="N10" s="24" t="n">
        <v>0</v>
      </c>
      <c r="O10" s="24" t="n">
        <v>0</v>
      </c>
      <c r="P10" s="24" t="n">
        <v>0</v>
      </c>
      <c r="Q10" s="24" t="n">
        <v>1.85203714972234</v>
      </c>
      <c r="R10" s="24" t="n">
        <v>0</v>
      </c>
      <c r="S10" s="24" t="n">
        <v>0</v>
      </c>
      <c r="T10" s="24" t="n">
        <v>0</v>
      </c>
      <c r="U10" s="24" t="n">
        <v>2.78502869367911</v>
      </c>
      <c r="V10" s="24" t="n">
        <v>0</v>
      </c>
      <c r="W10" s="24" t="n">
        <v>0</v>
      </c>
      <c r="X10" s="24" t="n">
        <v>0</v>
      </c>
      <c r="Y10" s="24" t="n">
        <v>0</v>
      </c>
      <c r="Z10" s="24" t="n">
        <v>0</v>
      </c>
      <c r="AA10" s="24" t="n">
        <v>0</v>
      </c>
      <c r="AB10" s="24" t="n">
        <v>0.00540693933071253</v>
      </c>
      <c r="AC10" s="24" t="n">
        <v>0</v>
      </c>
      <c r="AD10" s="24" t="n">
        <v>0</v>
      </c>
      <c r="AE10" s="24" t="n">
        <v>0</v>
      </c>
      <c r="AF10" s="24" t="n">
        <v>0</v>
      </c>
      <c r="AG10" s="24" t="n">
        <v>0</v>
      </c>
      <c r="AH10" s="24" t="n">
        <v>0</v>
      </c>
      <c r="AI10" s="24" t="n">
        <v>0</v>
      </c>
      <c r="AJ10" s="24" t="n">
        <v>0</v>
      </c>
      <c r="AK10" s="24" t="n">
        <v>0</v>
      </c>
      <c r="AL10" s="24" t="n">
        <v>0</v>
      </c>
      <c r="AM10" s="24" t="n">
        <v>0</v>
      </c>
      <c r="AN10" s="24" t="n">
        <v>0</v>
      </c>
      <c r="AO10" s="25" t="n">
        <v>751.436501505472</v>
      </c>
      <c r="AP10" s="25" t="n">
        <v>1244.63299473355</v>
      </c>
      <c r="AQ10" s="25" t="n">
        <v>324.578269270694</v>
      </c>
      <c r="AR10" s="25" t="n">
        <v>2402.24284709411</v>
      </c>
      <c r="AS10" s="26" t="n">
        <v>4722.89061260382</v>
      </c>
      <c r="AT10" s="27"/>
      <c r="AU10" s="27"/>
    </row>
    <row r="11" customFormat="false" ht="26.25" hidden="false" customHeight="true" outlineLevel="0" collapsed="false">
      <c r="A11" s="28" t="n">
        <v>21</v>
      </c>
      <c r="B11" s="30" t="s">
        <v>95</v>
      </c>
      <c r="C11" s="24" t="n">
        <v>0</v>
      </c>
      <c r="D11" s="24" t="n">
        <v>0</v>
      </c>
      <c r="E11" s="24" t="n">
        <v>0</v>
      </c>
      <c r="F11" s="24" t="n">
        <v>0</v>
      </c>
      <c r="G11" s="24" t="n">
        <v>0</v>
      </c>
      <c r="H11" s="24" t="n">
        <v>0</v>
      </c>
      <c r="I11" s="24" t="n">
        <v>0</v>
      </c>
      <c r="J11" s="24" t="n">
        <v>437.765452455112</v>
      </c>
      <c r="K11" s="24" t="n">
        <v>0</v>
      </c>
      <c r="L11" s="24" t="n">
        <v>0</v>
      </c>
      <c r="M11" s="24" t="n">
        <v>0</v>
      </c>
      <c r="N11" s="24" t="n">
        <v>0</v>
      </c>
      <c r="O11" s="24" t="n">
        <v>0</v>
      </c>
      <c r="P11" s="24" t="n">
        <v>0</v>
      </c>
      <c r="Q11" s="24" t="n">
        <v>0</v>
      </c>
      <c r="R11" s="24" t="n">
        <v>0</v>
      </c>
      <c r="S11" s="24" t="n">
        <v>0</v>
      </c>
      <c r="T11" s="24" t="n">
        <v>0</v>
      </c>
      <c r="U11" s="24" t="n">
        <v>0.0551651829322938</v>
      </c>
      <c r="V11" s="24" t="n">
        <v>0</v>
      </c>
      <c r="W11" s="24" t="n">
        <v>0</v>
      </c>
      <c r="X11" s="24" t="n">
        <v>0</v>
      </c>
      <c r="Y11" s="24" t="n">
        <v>0</v>
      </c>
      <c r="Z11" s="24" t="n">
        <v>0</v>
      </c>
      <c r="AA11" s="24" t="n">
        <v>0</v>
      </c>
      <c r="AB11" s="24" t="n">
        <v>0</v>
      </c>
      <c r="AC11" s="24" t="n">
        <v>0</v>
      </c>
      <c r="AD11" s="24" t="n">
        <v>0</v>
      </c>
      <c r="AE11" s="24" t="n">
        <v>0</v>
      </c>
      <c r="AF11" s="24" t="n">
        <v>0</v>
      </c>
      <c r="AG11" s="24" t="n">
        <v>0</v>
      </c>
      <c r="AH11" s="24" t="n">
        <v>0</v>
      </c>
      <c r="AI11" s="24" t="n">
        <v>0</v>
      </c>
      <c r="AJ11" s="24" t="n">
        <v>0</v>
      </c>
      <c r="AK11" s="24" t="n">
        <v>0</v>
      </c>
      <c r="AL11" s="24" t="n">
        <v>0</v>
      </c>
      <c r="AM11" s="24" t="n">
        <v>0</v>
      </c>
      <c r="AN11" s="24" t="n">
        <v>0</v>
      </c>
      <c r="AO11" s="25" t="n">
        <v>437.820617638044</v>
      </c>
      <c r="AP11" s="25" t="n">
        <v>757.138203091982</v>
      </c>
      <c r="AQ11" s="25" t="n">
        <v>277.297927795272</v>
      </c>
      <c r="AR11" s="25" t="n">
        <v>1579.00820711507</v>
      </c>
      <c r="AS11" s="26" t="n">
        <v>3051.26495564037</v>
      </c>
      <c r="AT11" s="27"/>
      <c r="AU11" s="27"/>
    </row>
    <row r="12" customFormat="false" ht="26.25" hidden="false" customHeight="true" outlineLevel="0" collapsed="false">
      <c r="A12" s="28" t="s">
        <v>17</v>
      </c>
      <c r="B12" s="30" t="s">
        <v>96</v>
      </c>
      <c r="C12" s="24" t="n">
        <v>0</v>
      </c>
      <c r="D12" s="24" t="n">
        <v>24.1534630075071</v>
      </c>
      <c r="E12" s="24" t="n">
        <v>2.45828931324288</v>
      </c>
      <c r="F12" s="24" t="n">
        <v>0.85865734741777</v>
      </c>
      <c r="G12" s="24" t="n">
        <v>0</v>
      </c>
      <c r="H12" s="24" t="n">
        <v>0</v>
      </c>
      <c r="I12" s="24" t="n">
        <v>5.81978249693827</v>
      </c>
      <c r="J12" s="24" t="n">
        <v>0</v>
      </c>
      <c r="K12" s="24" t="n">
        <v>3553.76061959259</v>
      </c>
      <c r="L12" s="24" t="n">
        <v>9.25653145677741</v>
      </c>
      <c r="M12" s="24" t="n">
        <v>0</v>
      </c>
      <c r="N12" s="24" t="n">
        <v>1.3595498620841</v>
      </c>
      <c r="O12" s="24" t="n">
        <v>0.411376623050064</v>
      </c>
      <c r="P12" s="24" t="n">
        <v>0</v>
      </c>
      <c r="Q12" s="24" t="n">
        <v>1.38634103761697</v>
      </c>
      <c r="R12" s="24" t="n">
        <v>0</v>
      </c>
      <c r="S12" s="24" t="n">
        <v>0</v>
      </c>
      <c r="T12" s="24" t="n">
        <v>18.9781732420924</v>
      </c>
      <c r="U12" s="24" t="n">
        <v>5.50075790204532</v>
      </c>
      <c r="V12" s="24" t="n">
        <v>6.06418182079441</v>
      </c>
      <c r="W12" s="24" t="n">
        <v>0</v>
      </c>
      <c r="X12" s="24" t="n">
        <v>0</v>
      </c>
      <c r="Y12" s="24" t="n">
        <v>0</v>
      </c>
      <c r="Z12" s="24" t="n">
        <v>0</v>
      </c>
      <c r="AA12" s="24" t="n">
        <v>0</v>
      </c>
      <c r="AB12" s="24" t="n">
        <v>0</v>
      </c>
      <c r="AC12" s="24" t="n">
        <v>0</v>
      </c>
      <c r="AD12" s="24" t="n">
        <v>0</v>
      </c>
      <c r="AE12" s="24" t="n">
        <v>0</v>
      </c>
      <c r="AF12" s="24" t="n">
        <v>0</v>
      </c>
      <c r="AG12" s="24" t="n">
        <v>0</v>
      </c>
      <c r="AH12" s="24" t="n">
        <v>0</v>
      </c>
      <c r="AI12" s="24" t="n">
        <v>0</v>
      </c>
      <c r="AJ12" s="24" t="n">
        <v>0</v>
      </c>
      <c r="AK12" s="24" t="n">
        <v>0</v>
      </c>
      <c r="AL12" s="24" t="n">
        <v>0</v>
      </c>
      <c r="AM12" s="24" t="n">
        <v>0</v>
      </c>
      <c r="AN12" s="24" t="n">
        <v>0</v>
      </c>
      <c r="AO12" s="25" t="n">
        <v>3630.00772370215</v>
      </c>
      <c r="AP12" s="25" t="n">
        <v>1520.79351665885</v>
      </c>
      <c r="AQ12" s="25" t="n">
        <v>355.050640896046</v>
      </c>
      <c r="AR12" s="25" t="n">
        <v>2469.13461091629</v>
      </c>
      <c r="AS12" s="26" t="n">
        <v>7974.98649217334</v>
      </c>
      <c r="AT12" s="27"/>
      <c r="AU12" s="27"/>
    </row>
    <row r="13" customFormat="false" ht="26.25" hidden="false" customHeight="true" outlineLevel="0" collapsed="false">
      <c r="A13" s="28" t="s">
        <v>18</v>
      </c>
      <c r="B13" s="30" t="s">
        <v>97</v>
      </c>
      <c r="C13" s="24" t="n">
        <v>0</v>
      </c>
      <c r="D13" s="24" t="n">
        <v>0</v>
      </c>
      <c r="E13" s="24" t="n">
        <v>2.3582793103753</v>
      </c>
      <c r="F13" s="24" t="n">
        <v>10.0939904852008</v>
      </c>
      <c r="G13" s="24" t="n">
        <v>0</v>
      </c>
      <c r="H13" s="24" t="n">
        <v>0</v>
      </c>
      <c r="I13" s="24" t="n">
        <v>0</v>
      </c>
      <c r="J13" s="24" t="n">
        <v>0</v>
      </c>
      <c r="K13" s="24" t="n">
        <v>27.7771572947957</v>
      </c>
      <c r="L13" s="24" t="n">
        <v>2072.04184751313</v>
      </c>
      <c r="M13" s="24" t="n">
        <v>0</v>
      </c>
      <c r="N13" s="24" t="n">
        <v>0.713690886409881</v>
      </c>
      <c r="O13" s="24" t="n">
        <v>0</v>
      </c>
      <c r="P13" s="24" t="n">
        <v>0</v>
      </c>
      <c r="Q13" s="24" t="n">
        <v>0</v>
      </c>
      <c r="R13" s="24" t="n">
        <v>0</v>
      </c>
      <c r="S13" s="24" t="n">
        <v>0</v>
      </c>
      <c r="T13" s="24" t="n">
        <v>0</v>
      </c>
      <c r="U13" s="24" t="n">
        <v>3.56409818947911</v>
      </c>
      <c r="V13" s="24" t="n">
        <v>0</v>
      </c>
      <c r="W13" s="24" t="n">
        <v>0</v>
      </c>
      <c r="X13" s="24" t="n">
        <v>0</v>
      </c>
      <c r="Y13" s="24" t="n">
        <v>0</v>
      </c>
      <c r="Z13" s="24" t="n">
        <v>0</v>
      </c>
      <c r="AA13" s="24" t="n">
        <v>0</v>
      </c>
      <c r="AB13" s="24" t="n">
        <v>0</v>
      </c>
      <c r="AC13" s="24" t="n">
        <v>0</v>
      </c>
      <c r="AD13" s="24" t="n">
        <v>0</v>
      </c>
      <c r="AE13" s="24" t="n">
        <v>0</v>
      </c>
      <c r="AF13" s="24" t="n">
        <v>0</v>
      </c>
      <c r="AG13" s="24" t="n">
        <v>0</v>
      </c>
      <c r="AH13" s="24" t="n">
        <v>0</v>
      </c>
      <c r="AI13" s="24" t="n">
        <v>0</v>
      </c>
      <c r="AJ13" s="24" t="n">
        <v>0</v>
      </c>
      <c r="AK13" s="24" t="n">
        <v>0</v>
      </c>
      <c r="AL13" s="24" t="n">
        <v>0</v>
      </c>
      <c r="AM13" s="24" t="n">
        <v>0</v>
      </c>
      <c r="AN13" s="24" t="n">
        <v>0</v>
      </c>
      <c r="AO13" s="25" t="n">
        <v>2116.54906367939</v>
      </c>
      <c r="AP13" s="25" t="n">
        <v>1086.75034860371</v>
      </c>
      <c r="AQ13" s="25" t="n">
        <v>219.562860463439</v>
      </c>
      <c r="AR13" s="25" t="n">
        <v>3550.84476762572</v>
      </c>
      <c r="AS13" s="26" t="n">
        <v>6973.70704037226</v>
      </c>
      <c r="AT13" s="27"/>
      <c r="AU13" s="27"/>
    </row>
    <row r="14" customFormat="false" ht="15" hidden="false" customHeight="true" outlineLevel="0" collapsed="false">
      <c r="A14" s="28" t="n">
        <v>26</v>
      </c>
      <c r="B14" s="30" t="s">
        <v>98</v>
      </c>
      <c r="C14" s="24" t="n">
        <v>0</v>
      </c>
      <c r="D14" s="24" t="n">
        <v>0</v>
      </c>
      <c r="E14" s="24" t="n">
        <v>0</v>
      </c>
      <c r="F14" s="24" t="n">
        <v>0</v>
      </c>
      <c r="G14" s="24" t="n">
        <v>0</v>
      </c>
      <c r="H14" s="24" t="n">
        <v>0</v>
      </c>
      <c r="I14" s="24" t="n">
        <v>0</v>
      </c>
      <c r="J14" s="24" t="n">
        <v>0</v>
      </c>
      <c r="K14" s="24" t="n">
        <v>0</v>
      </c>
      <c r="L14" s="24" t="n">
        <v>0</v>
      </c>
      <c r="M14" s="24" t="n">
        <v>3.23819583394165</v>
      </c>
      <c r="N14" s="24" t="n">
        <v>0</v>
      </c>
      <c r="O14" s="24" t="n">
        <v>0</v>
      </c>
      <c r="P14" s="24" t="n">
        <v>0</v>
      </c>
      <c r="Q14" s="24" t="n">
        <v>0.0598221552638509</v>
      </c>
      <c r="R14" s="24" t="n">
        <v>0</v>
      </c>
      <c r="S14" s="24" t="n">
        <v>0</v>
      </c>
      <c r="T14" s="24" t="n">
        <v>0</v>
      </c>
      <c r="U14" s="24" t="n">
        <v>0</v>
      </c>
      <c r="V14" s="24" t="n">
        <v>0</v>
      </c>
      <c r="W14" s="24" t="n">
        <v>0</v>
      </c>
      <c r="X14" s="24" t="n">
        <v>0</v>
      </c>
      <c r="Y14" s="24" t="n">
        <v>0</v>
      </c>
      <c r="Z14" s="24" t="n">
        <v>0</v>
      </c>
      <c r="AA14" s="24" t="n">
        <v>0</v>
      </c>
      <c r="AB14" s="24" t="n">
        <v>0</v>
      </c>
      <c r="AC14" s="24" t="n">
        <v>0</v>
      </c>
      <c r="AD14" s="24" t="n">
        <v>0</v>
      </c>
      <c r="AE14" s="24" t="n">
        <v>0</v>
      </c>
      <c r="AF14" s="24" t="n">
        <v>0</v>
      </c>
      <c r="AG14" s="24" t="n">
        <v>0</v>
      </c>
      <c r="AH14" s="24" t="n">
        <v>0</v>
      </c>
      <c r="AI14" s="24" t="n">
        <v>0</v>
      </c>
      <c r="AJ14" s="24" t="n">
        <v>0</v>
      </c>
      <c r="AK14" s="24" t="n">
        <v>0</v>
      </c>
      <c r="AL14" s="24" t="n">
        <v>0</v>
      </c>
      <c r="AM14" s="24" t="n">
        <v>0</v>
      </c>
      <c r="AN14" s="24" t="n">
        <v>0</v>
      </c>
      <c r="AO14" s="25" t="n">
        <v>3.2980179892055</v>
      </c>
      <c r="AP14" s="25" t="n">
        <v>869.340048582534</v>
      </c>
      <c r="AQ14" s="25" t="n">
        <v>303.382541400406</v>
      </c>
      <c r="AR14" s="25" t="n">
        <v>2508.20022446294</v>
      </c>
      <c r="AS14" s="26" t="n">
        <v>3684.22083243508</v>
      </c>
      <c r="AT14" s="27"/>
      <c r="AU14" s="27"/>
    </row>
    <row r="15" customFormat="false" ht="15" hidden="false" customHeight="true" outlineLevel="0" collapsed="false">
      <c r="A15" s="28" t="n">
        <v>27</v>
      </c>
      <c r="B15" s="30" t="s">
        <v>99</v>
      </c>
      <c r="C15" s="24" t="n">
        <v>0</v>
      </c>
      <c r="D15" s="24" t="n">
        <v>0</v>
      </c>
      <c r="E15" s="24" t="n">
        <v>0</v>
      </c>
      <c r="F15" s="24" t="n">
        <v>0</v>
      </c>
      <c r="G15" s="24" t="n">
        <v>0</v>
      </c>
      <c r="H15" s="24" t="n">
        <v>0</v>
      </c>
      <c r="I15" s="24" t="n">
        <v>0</v>
      </c>
      <c r="J15" s="24" t="n">
        <v>0</v>
      </c>
      <c r="K15" s="24" t="n">
        <v>0</v>
      </c>
      <c r="L15" s="24" t="n">
        <v>0</v>
      </c>
      <c r="M15" s="24" t="n">
        <v>0</v>
      </c>
      <c r="N15" s="24" t="n">
        <v>248.105104476546</v>
      </c>
      <c r="O15" s="24" t="n">
        <v>0</v>
      </c>
      <c r="P15" s="24" t="n">
        <v>0</v>
      </c>
      <c r="Q15" s="24" t="n">
        <v>0</v>
      </c>
      <c r="R15" s="24" t="n">
        <v>0</v>
      </c>
      <c r="S15" s="24" t="n">
        <v>0</v>
      </c>
      <c r="T15" s="24" t="n">
        <v>0</v>
      </c>
      <c r="U15" s="24" t="n">
        <v>0</v>
      </c>
      <c r="V15" s="24" t="n">
        <v>0</v>
      </c>
      <c r="W15" s="24" t="n">
        <v>0</v>
      </c>
      <c r="X15" s="24" t="n">
        <v>0</v>
      </c>
      <c r="Y15" s="24" t="n">
        <v>0</v>
      </c>
      <c r="Z15" s="24" t="n">
        <v>0</v>
      </c>
      <c r="AA15" s="24" t="n">
        <v>0</v>
      </c>
      <c r="AB15" s="24" t="n">
        <v>0</v>
      </c>
      <c r="AC15" s="24" t="n">
        <v>0</v>
      </c>
      <c r="AD15" s="24" t="n">
        <v>0</v>
      </c>
      <c r="AE15" s="24" t="n">
        <v>0</v>
      </c>
      <c r="AF15" s="24" t="n">
        <v>0</v>
      </c>
      <c r="AG15" s="24" t="n">
        <v>0</v>
      </c>
      <c r="AH15" s="24" t="n">
        <v>0</v>
      </c>
      <c r="AI15" s="24" t="n">
        <v>0</v>
      </c>
      <c r="AJ15" s="24" t="n">
        <v>0</v>
      </c>
      <c r="AK15" s="24" t="n">
        <v>0</v>
      </c>
      <c r="AL15" s="24" t="n">
        <v>0</v>
      </c>
      <c r="AM15" s="24" t="n">
        <v>0</v>
      </c>
      <c r="AN15" s="24" t="n">
        <v>0</v>
      </c>
      <c r="AO15" s="25" t="n">
        <v>248.105104476546</v>
      </c>
      <c r="AP15" s="25" t="n">
        <v>938.827799356882</v>
      </c>
      <c r="AQ15" s="25" t="n">
        <v>266.119028265305</v>
      </c>
      <c r="AR15" s="25" t="n">
        <v>1682.87781533571</v>
      </c>
      <c r="AS15" s="26" t="n">
        <v>3135.92974743444</v>
      </c>
      <c r="AT15" s="27"/>
      <c r="AU15" s="27"/>
    </row>
    <row r="16" customFormat="false" ht="15" hidden="false" customHeight="true" outlineLevel="0" collapsed="false">
      <c r="A16" s="28" t="n">
        <v>28</v>
      </c>
      <c r="B16" s="30" t="s">
        <v>100</v>
      </c>
      <c r="C16" s="24" t="n">
        <v>0</v>
      </c>
      <c r="D16" s="24" t="n">
        <v>0</v>
      </c>
      <c r="E16" s="24" t="n">
        <v>0</v>
      </c>
      <c r="F16" s="24" t="n">
        <v>0</v>
      </c>
      <c r="G16" s="24" t="n">
        <v>0</v>
      </c>
      <c r="H16" s="24" t="n">
        <v>0</v>
      </c>
      <c r="I16" s="24" t="n">
        <v>0</v>
      </c>
      <c r="J16" s="24" t="n">
        <v>0</v>
      </c>
      <c r="K16" s="24" t="n">
        <v>0</v>
      </c>
      <c r="L16" s="24" t="n">
        <v>0</v>
      </c>
      <c r="M16" s="24" t="n">
        <v>0</v>
      </c>
      <c r="N16" s="24" t="n">
        <v>0</v>
      </c>
      <c r="O16" s="24" t="n">
        <v>59.4574878367549</v>
      </c>
      <c r="P16" s="24" t="n">
        <v>0</v>
      </c>
      <c r="Q16" s="24" t="n">
        <v>0</v>
      </c>
      <c r="R16" s="24" t="n">
        <v>0</v>
      </c>
      <c r="S16" s="24" t="n">
        <v>0</v>
      </c>
      <c r="T16" s="24" t="n">
        <v>0</v>
      </c>
      <c r="U16" s="24" t="n">
        <v>0</v>
      </c>
      <c r="V16" s="24" t="n">
        <v>0</v>
      </c>
      <c r="W16" s="24" t="n">
        <v>0</v>
      </c>
      <c r="X16" s="24" t="n">
        <v>0</v>
      </c>
      <c r="Y16" s="24" t="n">
        <v>0</v>
      </c>
      <c r="Z16" s="24" t="n">
        <v>0</v>
      </c>
      <c r="AA16" s="24" t="n">
        <v>0</v>
      </c>
      <c r="AB16" s="24" t="n">
        <v>0</v>
      </c>
      <c r="AC16" s="24" t="n">
        <v>0</v>
      </c>
      <c r="AD16" s="24" t="n">
        <v>0</v>
      </c>
      <c r="AE16" s="24" t="n">
        <v>0</v>
      </c>
      <c r="AF16" s="24" t="n">
        <v>0</v>
      </c>
      <c r="AG16" s="24" t="n">
        <v>0</v>
      </c>
      <c r="AH16" s="24" t="n">
        <v>0</v>
      </c>
      <c r="AI16" s="24" t="n">
        <v>0</v>
      </c>
      <c r="AJ16" s="24" t="n">
        <v>0</v>
      </c>
      <c r="AK16" s="24" t="n">
        <v>0</v>
      </c>
      <c r="AL16" s="24" t="n">
        <v>0</v>
      </c>
      <c r="AM16" s="24" t="n">
        <v>0</v>
      </c>
      <c r="AN16" s="24" t="n">
        <v>0</v>
      </c>
      <c r="AO16" s="25" t="n">
        <v>59.4574878367549</v>
      </c>
      <c r="AP16" s="25" t="n">
        <v>837.269433878966</v>
      </c>
      <c r="AQ16" s="25" t="n">
        <v>151.096739948184</v>
      </c>
      <c r="AR16" s="25" t="n">
        <v>2705.08204118413</v>
      </c>
      <c r="AS16" s="26" t="n">
        <v>3752.90570284803</v>
      </c>
      <c r="AT16" s="27"/>
      <c r="AU16" s="27"/>
    </row>
    <row r="17" customFormat="false" ht="15" hidden="false" customHeight="true" outlineLevel="0" collapsed="false">
      <c r="A17" s="28" t="s">
        <v>19</v>
      </c>
      <c r="B17" s="30" t="s">
        <v>101</v>
      </c>
      <c r="C17" s="24" t="n">
        <v>0</v>
      </c>
      <c r="D17" s="24" t="n">
        <v>0</v>
      </c>
      <c r="E17" s="24" t="n">
        <v>0</v>
      </c>
      <c r="F17" s="24" t="n">
        <v>0</v>
      </c>
      <c r="G17" s="24" t="n">
        <v>0</v>
      </c>
      <c r="H17" s="24" t="n">
        <v>0</v>
      </c>
      <c r="I17" s="24" t="n">
        <v>0</v>
      </c>
      <c r="J17" s="24" t="n">
        <v>0</v>
      </c>
      <c r="K17" s="24" t="n">
        <v>0</v>
      </c>
      <c r="L17" s="24" t="n">
        <v>0</v>
      </c>
      <c r="M17" s="24" t="n">
        <v>0</v>
      </c>
      <c r="N17" s="24" t="n">
        <v>0</v>
      </c>
      <c r="O17" s="24" t="n">
        <v>0</v>
      </c>
      <c r="P17" s="24" t="n">
        <v>79.749223276746</v>
      </c>
      <c r="Q17" s="24" t="n">
        <v>0</v>
      </c>
      <c r="R17" s="24" t="n">
        <v>0</v>
      </c>
      <c r="S17" s="24" t="n">
        <v>0</v>
      </c>
      <c r="T17" s="24" t="n">
        <v>0</v>
      </c>
      <c r="U17" s="24" t="n">
        <v>0</v>
      </c>
      <c r="V17" s="24" t="n">
        <v>0</v>
      </c>
      <c r="W17" s="24" t="n">
        <v>0</v>
      </c>
      <c r="X17" s="24" t="n">
        <v>0</v>
      </c>
      <c r="Y17" s="24" t="n">
        <v>0</v>
      </c>
      <c r="Z17" s="24" t="n">
        <v>0</v>
      </c>
      <c r="AA17" s="24" t="n">
        <v>0</v>
      </c>
      <c r="AB17" s="24" t="n">
        <v>0</v>
      </c>
      <c r="AC17" s="24" t="n">
        <v>0</v>
      </c>
      <c r="AD17" s="24" t="n">
        <v>0</v>
      </c>
      <c r="AE17" s="24" t="n">
        <v>0</v>
      </c>
      <c r="AF17" s="24" t="n">
        <v>0</v>
      </c>
      <c r="AG17" s="24" t="n">
        <v>0</v>
      </c>
      <c r="AH17" s="24" t="n">
        <v>0</v>
      </c>
      <c r="AI17" s="24" t="n">
        <v>0</v>
      </c>
      <c r="AJ17" s="24" t="n">
        <v>0</v>
      </c>
      <c r="AK17" s="24" t="n">
        <v>0</v>
      </c>
      <c r="AL17" s="24" t="n">
        <v>0</v>
      </c>
      <c r="AM17" s="24" t="n">
        <v>0</v>
      </c>
      <c r="AN17" s="24" t="n">
        <v>0</v>
      </c>
      <c r="AO17" s="25" t="n">
        <v>79.749223276746</v>
      </c>
      <c r="AP17" s="25" t="n">
        <v>2407.08100850537</v>
      </c>
      <c r="AQ17" s="25" t="n">
        <v>568.468733885404</v>
      </c>
      <c r="AR17" s="25" t="n">
        <v>11519.1681092843</v>
      </c>
      <c r="AS17" s="26" t="n">
        <v>14574.4670749519</v>
      </c>
      <c r="AT17" s="27"/>
      <c r="AU17" s="27"/>
    </row>
    <row r="18" customFormat="false" ht="26.25" hidden="false" customHeight="true" outlineLevel="0" collapsed="false">
      <c r="A18" s="28" t="s">
        <v>20</v>
      </c>
      <c r="B18" s="23" t="s">
        <v>102</v>
      </c>
      <c r="C18" s="24" t="n">
        <v>0</v>
      </c>
      <c r="D18" s="24" t="n">
        <v>0</v>
      </c>
      <c r="E18" s="24" t="n">
        <v>0.1052192938001</v>
      </c>
      <c r="F18" s="24" t="n">
        <v>0.166169532887195</v>
      </c>
      <c r="G18" s="24" t="n">
        <v>0</v>
      </c>
      <c r="H18" s="24" t="n">
        <v>0</v>
      </c>
      <c r="I18" s="24" t="n">
        <v>0</v>
      </c>
      <c r="J18" s="24" t="n">
        <v>0</v>
      </c>
      <c r="K18" s="24" t="n">
        <v>0.329719244220859</v>
      </c>
      <c r="L18" s="24" t="n">
        <v>4.73631224258711</v>
      </c>
      <c r="M18" s="24" t="n">
        <v>0</v>
      </c>
      <c r="N18" s="24" t="n">
        <v>0.660752411117121</v>
      </c>
      <c r="O18" s="24" t="n">
        <v>0.261841991558184</v>
      </c>
      <c r="P18" s="24" t="n">
        <v>0</v>
      </c>
      <c r="Q18" s="24" t="n">
        <v>678.534086447743</v>
      </c>
      <c r="R18" s="24" t="n">
        <v>0.0496302250585632</v>
      </c>
      <c r="S18" s="24" t="n">
        <v>0</v>
      </c>
      <c r="T18" s="24" t="n">
        <v>0</v>
      </c>
      <c r="U18" s="24" t="n">
        <v>6.97241570496099</v>
      </c>
      <c r="V18" s="24" t="n">
        <v>0.726656753361965</v>
      </c>
      <c r="W18" s="24" t="n">
        <v>0</v>
      </c>
      <c r="X18" s="24" t="n">
        <v>0</v>
      </c>
      <c r="Y18" s="24" t="n">
        <v>0</v>
      </c>
      <c r="Z18" s="24" t="n">
        <v>0</v>
      </c>
      <c r="AA18" s="24" t="n">
        <v>0</v>
      </c>
      <c r="AB18" s="24" t="n">
        <v>0</v>
      </c>
      <c r="AC18" s="24" t="n">
        <v>0</v>
      </c>
      <c r="AD18" s="24" t="n">
        <v>0</v>
      </c>
      <c r="AE18" s="24" t="n">
        <v>0</v>
      </c>
      <c r="AF18" s="24" t="n">
        <v>0</v>
      </c>
      <c r="AG18" s="24" t="n">
        <v>0</v>
      </c>
      <c r="AH18" s="24" t="n">
        <v>0</v>
      </c>
      <c r="AI18" s="24" t="n">
        <v>6.24757116879852</v>
      </c>
      <c r="AJ18" s="24" t="n">
        <v>0</v>
      </c>
      <c r="AK18" s="24" t="n">
        <v>0</v>
      </c>
      <c r="AL18" s="24" t="n">
        <v>0</v>
      </c>
      <c r="AM18" s="24" t="n">
        <v>0</v>
      </c>
      <c r="AN18" s="24" t="n">
        <v>0</v>
      </c>
      <c r="AO18" s="25" t="n">
        <v>698.790375016093</v>
      </c>
      <c r="AP18" s="25" t="n">
        <v>625.525945784352</v>
      </c>
      <c r="AQ18" s="25" t="n">
        <v>251.419514704756</v>
      </c>
      <c r="AR18" s="25" t="n">
        <v>1553.13509699696</v>
      </c>
      <c r="AS18" s="26" t="n">
        <v>3128.87093250216</v>
      </c>
      <c r="AT18" s="27"/>
      <c r="AU18" s="27"/>
    </row>
    <row r="19" customFormat="false" ht="15" hidden="false" customHeight="true" outlineLevel="0" collapsed="false">
      <c r="A19" s="28" t="s">
        <v>21</v>
      </c>
      <c r="B19" s="30" t="s">
        <v>103</v>
      </c>
      <c r="C19" s="24" t="n">
        <v>0</v>
      </c>
      <c r="D19" s="24" t="n">
        <v>0</v>
      </c>
      <c r="E19" s="24" t="n">
        <v>1.04634497557772</v>
      </c>
      <c r="F19" s="24" t="n">
        <v>0</v>
      </c>
      <c r="G19" s="24" t="n">
        <v>0</v>
      </c>
      <c r="H19" s="24" t="n">
        <v>0</v>
      </c>
      <c r="I19" s="24" t="n">
        <v>0</v>
      </c>
      <c r="J19" s="24" t="n">
        <v>0</v>
      </c>
      <c r="K19" s="24" t="n">
        <v>0</v>
      </c>
      <c r="L19" s="24" t="n">
        <v>1.28263110843008</v>
      </c>
      <c r="M19" s="24" t="n">
        <v>0</v>
      </c>
      <c r="N19" s="24" t="n">
        <v>0</v>
      </c>
      <c r="O19" s="24" t="n">
        <v>0</v>
      </c>
      <c r="P19" s="24" t="n">
        <v>0</v>
      </c>
      <c r="Q19" s="24" t="n">
        <v>0</v>
      </c>
      <c r="R19" s="24" t="n">
        <v>2844.47584958905</v>
      </c>
      <c r="S19" s="24" t="n">
        <v>160.410469696728</v>
      </c>
      <c r="T19" s="24" t="n">
        <v>0.780827393224672</v>
      </c>
      <c r="U19" s="24" t="n">
        <v>109.318268088593</v>
      </c>
      <c r="V19" s="24" t="n">
        <v>0</v>
      </c>
      <c r="W19" s="24" t="n">
        <v>0</v>
      </c>
      <c r="X19" s="24" t="n">
        <v>0</v>
      </c>
      <c r="Y19" s="24" t="n">
        <v>0</v>
      </c>
      <c r="Z19" s="24" t="n">
        <v>0</v>
      </c>
      <c r="AA19" s="24" t="n">
        <v>0</v>
      </c>
      <c r="AB19" s="24" t="n">
        <v>1.35403952590695</v>
      </c>
      <c r="AC19" s="24" t="n">
        <v>0</v>
      </c>
      <c r="AD19" s="24" t="n">
        <v>0</v>
      </c>
      <c r="AE19" s="24" t="n">
        <v>0</v>
      </c>
      <c r="AF19" s="24" t="n">
        <v>0</v>
      </c>
      <c r="AG19" s="24" t="n">
        <v>0</v>
      </c>
      <c r="AH19" s="24" t="n">
        <v>0</v>
      </c>
      <c r="AI19" s="24" t="n">
        <v>0</v>
      </c>
      <c r="AJ19" s="24" t="n">
        <v>0</v>
      </c>
      <c r="AK19" s="24" t="n">
        <v>0</v>
      </c>
      <c r="AL19" s="24" t="n">
        <v>0</v>
      </c>
      <c r="AM19" s="24" t="n">
        <v>0</v>
      </c>
      <c r="AN19" s="24" t="n">
        <v>0</v>
      </c>
      <c r="AO19" s="25" t="n">
        <v>3118.66843037751</v>
      </c>
      <c r="AP19" s="25" t="n">
        <v>317.804917995774</v>
      </c>
      <c r="AQ19" s="25" t="n">
        <v>385.266579565999</v>
      </c>
      <c r="AR19" s="25" t="n">
        <v>1138.3411980847</v>
      </c>
      <c r="AS19" s="26" t="n">
        <v>4960.08112602399</v>
      </c>
      <c r="AT19" s="27"/>
      <c r="AU19" s="27"/>
    </row>
    <row r="20" customFormat="false" ht="26.25" hidden="false" customHeight="true" outlineLevel="0" collapsed="false">
      <c r="A20" s="28" t="s">
        <v>22</v>
      </c>
      <c r="B20" s="30" t="s">
        <v>104</v>
      </c>
      <c r="C20" s="24" t="n">
        <v>0</v>
      </c>
      <c r="D20" s="24" t="n">
        <v>0.0900869609384155</v>
      </c>
      <c r="E20" s="24" t="n">
        <v>0.759193354390177</v>
      </c>
      <c r="F20" s="24" t="n">
        <v>0</v>
      </c>
      <c r="G20" s="24" t="n">
        <v>0</v>
      </c>
      <c r="H20" s="24" t="n">
        <v>0</v>
      </c>
      <c r="I20" s="24" t="n">
        <v>0</v>
      </c>
      <c r="J20" s="24" t="n">
        <v>0</v>
      </c>
      <c r="K20" s="24" t="n">
        <v>0</v>
      </c>
      <c r="L20" s="24" t="n">
        <v>0</v>
      </c>
      <c r="M20" s="24" t="n">
        <v>0</v>
      </c>
      <c r="N20" s="24" t="n">
        <v>0</v>
      </c>
      <c r="O20" s="24" t="n">
        <v>0</v>
      </c>
      <c r="P20" s="24" t="n">
        <v>0</v>
      </c>
      <c r="Q20" s="24" t="n">
        <v>0</v>
      </c>
      <c r="R20" s="24" t="n">
        <v>0</v>
      </c>
      <c r="S20" s="24" t="n">
        <v>928.227789366093</v>
      </c>
      <c r="T20" s="24" t="n">
        <v>0</v>
      </c>
      <c r="U20" s="24" t="n">
        <v>0.679154899317929</v>
      </c>
      <c r="V20" s="24" t="n">
        <v>0</v>
      </c>
      <c r="W20" s="24" t="n">
        <v>0</v>
      </c>
      <c r="X20" s="24" t="n">
        <v>0</v>
      </c>
      <c r="Y20" s="24" t="n">
        <v>0</v>
      </c>
      <c r="Z20" s="24" t="n">
        <v>0</v>
      </c>
      <c r="AA20" s="24" t="n">
        <v>0</v>
      </c>
      <c r="AB20" s="24" t="n">
        <v>0</v>
      </c>
      <c r="AC20" s="24" t="n">
        <v>0</v>
      </c>
      <c r="AD20" s="24" t="n">
        <v>0</v>
      </c>
      <c r="AE20" s="24" t="n">
        <v>0</v>
      </c>
      <c r="AF20" s="24" t="n">
        <v>0</v>
      </c>
      <c r="AG20" s="24" t="n">
        <v>0</v>
      </c>
      <c r="AH20" s="24" t="n">
        <v>0</v>
      </c>
      <c r="AI20" s="24" t="n">
        <v>0</v>
      </c>
      <c r="AJ20" s="24" t="n">
        <v>0</v>
      </c>
      <c r="AK20" s="24" t="n">
        <v>0</v>
      </c>
      <c r="AL20" s="24" t="n">
        <v>0</v>
      </c>
      <c r="AM20" s="24" t="n">
        <v>0</v>
      </c>
      <c r="AN20" s="24" t="n">
        <v>0</v>
      </c>
      <c r="AO20" s="25" t="n">
        <v>929.75622458074</v>
      </c>
      <c r="AP20" s="25" t="n">
        <v>0</v>
      </c>
      <c r="AQ20" s="25" t="n">
        <v>13.1461046709963</v>
      </c>
      <c r="AR20" s="25" t="n">
        <v>59.7991713387299</v>
      </c>
      <c r="AS20" s="26" t="n">
        <v>1002.70150059047</v>
      </c>
      <c r="AT20" s="27"/>
      <c r="AU20" s="27"/>
    </row>
    <row r="21" customFormat="false" ht="15" hidden="false" customHeight="true" outlineLevel="0" collapsed="false">
      <c r="A21" s="28" t="s">
        <v>23</v>
      </c>
      <c r="B21" s="23" t="s">
        <v>105</v>
      </c>
      <c r="C21" s="24" t="n">
        <v>0</v>
      </c>
      <c r="D21" s="24" t="n">
        <v>1.74601307508161</v>
      </c>
      <c r="E21" s="24" t="n">
        <v>0</v>
      </c>
      <c r="F21" s="24" t="n">
        <v>0</v>
      </c>
      <c r="G21" s="24" t="n">
        <v>0</v>
      </c>
      <c r="H21" s="24" t="n">
        <v>1.66994928091017</v>
      </c>
      <c r="I21" s="24" t="n">
        <v>0.0364213481233553</v>
      </c>
      <c r="J21" s="24" t="n">
        <v>0</v>
      </c>
      <c r="K21" s="24" t="n">
        <v>132.299092780822</v>
      </c>
      <c r="L21" s="24" t="n">
        <v>5.84900241335298</v>
      </c>
      <c r="M21" s="24" t="n">
        <v>0</v>
      </c>
      <c r="N21" s="24" t="n">
        <v>0.285745346226666</v>
      </c>
      <c r="O21" s="24" t="n">
        <v>0</v>
      </c>
      <c r="P21" s="24" t="n">
        <v>0</v>
      </c>
      <c r="Q21" s="24" t="n">
        <v>16.5264460505724</v>
      </c>
      <c r="R21" s="24" t="n">
        <v>81.2740204076634</v>
      </c>
      <c r="S21" s="24" t="n">
        <v>43.8448166324504</v>
      </c>
      <c r="T21" s="24" t="n">
        <v>18803.3405248562</v>
      </c>
      <c r="U21" s="24" t="n">
        <v>28.6994101075042</v>
      </c>
      <c r="V21" s="24" t="n">
        <v>2.44052277389472</v>
      </c>
      <c r="W21" s="24" t="n">
        <v>13.7594886035466</v>
      </c>
      <c r="X21" s="24" t="n">
        <v>0</v>
      </c>
      <c r="Y21" s="24" t="n">
        <v>8.00099311111466</v>
      </c>
      <c r="Z21" s="24" t="n">
        <v>0</v>
      </c>
      <c r="AA21" s="24" t="n">
        <v>0</v>
      </c>
      <c r="AB21" s="24" t="n">
        <v>3.93790206348287</v>
      </c>
      <c r="AC21" s="24" t="n">
        <v>6.34206822049183</v>
      </c>
      <c r="AD21" s="24" t="n">
        <v>0</v>
      </c>
      <c r="AE21" s="24" t="n">
        <v>0</v>
      </c>
      <c r="AF21" s="24" t="n">
        <v>0.93511699170736</v>
      </c>
      <c r="AG21" s="24" t="n">
        <v>0</v>
      </c>
      <c r="AH21" s="24" t="n">
        <v>0</v>
      </c>
      <c r="AI21" s="24" t="n">
        <v>4.49949339993722</v>
      </c>
      <c r="AJ21" s="24" t="n">
        <v>0</v>
      </c>
      <c r="AK21" s="24" t="n">
        <v>0</v>
      </c>
      <c r="AL21" s="24" t="n">
        <v>1.12413807681025</v>
      </c>
      <c r="AM21" s="24" t="n">
        <v>0</v>
      </c>
      <c r="AN21" s="24" t="n">
        <v>0</v>
      </c>
      <c r="AO21" s="25" t="n">
        <v>19156.6111655399</v>
      </c>
      <c r="AP21" s="25" t="n">
        <v>0</v>
      </c>
      <c r="AQ21" s="25" t="n">
        <v>2066.49969536025</v>
      </c>
      <c r="AR21" s="25" t="n">
        <v>56.4950845597333</v>
      </c>
      <c r="AS21" s="26" t="n">
        <v>21279.6059454599</v>
      </c>
      <c r="AT21" s="27"/>
      <c r="AU21" s="27"/>
    </row>
    <row r="22" customFormat="false" ht="26.25" hidden="false" customHeight="true" outlineLevel="0" collapsed="false">
      <c r="A22" s="28" t="s">
        <v>24</v>
      </c>
      <c r="B22" s="23" t="s">
        <v>106</v>
      </c>
      <c r="C22" s="24" t="n">
        <v>0</v>
      </c>
      <c r="D22" s="24" t="n">
        <v>63.6634704680047</v>
      </c>
      <c r="E22" s="24" t="n">
        <v>522.371639660974</v>
      </c>
      <c r="F22" s="24" t="n">
        <v>5.59146792250585</v>
      </c>
      <c r="G22" s="24" t="n">
        <v>26.6479046169064</v>
      </c>
      <c r="H22" s="24" t="n">
        <v>7.77724973556686</v>
      </c>
      <c r="I22" s="24" t="n">
        <v>46.2150797967481</v>
      </c>
      <c r="J22" s="24" t="n">
        <v>2.1526547744811</v>
      </c>
      <c r="K22" s="24" t="n">
        <v>95.4801585927434</v>
      </c>
      <c r="L22" s="24" t="n">
        <v>873.297455839754</v>
      </c>
      <c r="M22" s="24" t="n">
        <v>0</v>
      </c>
      <c r="N22" s="24" t="n">
        <v>0.756710814634772</v>
      </c>
      <c r="O22" s="24" t="n">
        <v>5.43529885335468</v>
      </c>
      <c r="P22" s="24" t="n">
        <v>0.0454562387358324</v>
      </c>
      <c r="Q22" s="24" t="n">
        <v>19.8612296085017</v>
      </c>
      <c r="R22" s="24" t="n">
        <v>0</v>
      </c>
      <c r="S22" s="24" t="n">
        <v>0</v>
      </c>
      <c r="T22" s="24" t="n">
        <v>44.8974343368458</v>
      </c>
      <c r="U22" s="24" t="n">
        <v>19077.2892103299</v>
      </c>
      <c r="V22" s="24" t="n">
        <v>107.154664704053</v>
      </c>
      <c r="W22" s="24" t="n">
        <v>0.562017994507966</v>
      </c>
      <c r="X22" s="24" t="n">
        <v>0</v>
      </c>
      <c r="Y22" s="24" t="n">
        <v>0.101083378397377</v>
      </c>
      <c r="Z22" s="24" t="n">
        <v>0.0441761584343107</v>
      </c>
      <c r="AA22" s="24" t="n">
        <v>0</v>
      </c>
      <c r="AB22" s="24" t="n">
        <v>12.4870249562095</v>
      </c>
      <c r="AC22" s="24" t="n">
        <v>0</v>
      </c>
      <c r="AD22" s="24" t="n">
        <v>0</v>
      </c>
      <c r="AE22" s="24" t="n">
        <v>267.472295470297</v>
      </c>
      <c r="AF22" s="24" t="n">
        <v>30.0982369374436</v>
      </c>
      <c r="AG22" s="24" t="n">
        <v>0</v>
      </c>
      <c r="AH22" s="24" t="n">
        <v>1.46262289482572</v>
      </c>
      <c r="AI22" s="24" t="n">
        <v>4.28389566668657</v>
      </c>
      <c r="AJ22" s="24" t="n">
        <v>0</v>
      </c>
      <c r="AK22" s="24" t="n">
        <v>2.59487587821864</v>
      </c>
      <c r="AL22" s="24" t="n">
        <v>31.7945319117724</v>
      </c>
      <c r="AM22" s="24" t="n">
        <v>0</v>
      </c>
      <c r="AN22" s="24" t="n">
        <v>0</v>
      </c>
      <c r="AO22" s="25" t="n">
        <v>21249.5378475405</v>
      </c>
      <c r="AP22" s="25" t="n">
        <v>-20734.2587166325</v>
      </c>
      <c r="AQ22" s="25" t="n">
        <v>8.73731070231887</v>
      </c>
      <c r="AR22" s="25" t="n">
        <v>0</v>
      </c>
      <c r="AS22" s="26" t="n">
        <v>524.016441610302</v>
      </c>
      <c r="AT22" s="27"/>
      <c r="AU22" s="27"/>
    </row>
    <row r="23" customFormat="false" ht="15" hidden="false" customHeight="true" outlineLevel="0" collapsed="false">
      <c r="A23" s="28" t="s">
        <v>25</v>
      </c>
      <c r="B23" s="30" t="s">
        <v>107</v>
      </c>
      <c r="C23" s="24" t="n">
        <v>0</v>
      </c>
      <c r="D23" s="24" t="n">
        <v>4.35521922619727</v>
      </c>
      <c r="E23" s="24" t="n">
        <v>3.79201955481783</v>
      </c>
      <c r="F23" s="24" t="n">
        <v>0</v>
      </c>
      <c r="G23" s="24" t="n">
        <v>1.62764079367004</v>
      </c>
      <c r="H23" s="24" t="n">
        <v>0</v>
      </c>
      <c r="I23" s="24" t="n">
        <v>0.181576158300529</v>
      </c>
      <c r="J23" s="24" t="n">
        <v>0</v>
      </c>
      <c r="K23" s="24" t="n">
        <v>12.0786878858338</v>
      </c>
      <c r="L23" s="24" t="n">
        <v>0.0988764118468493</v>
      </c>
      <c r="M23" s="24" t="n">
        <v>0</v>
      </c>
      <c r="N23" s="24" t="n">
        <v>0</v>
      </c>
      <c r="O23" s="24" t="n">
        <v>0</v>
      </c>
      <c r="P23" s="24" t="n">
        <v>0</v>
      </c>
      <c r="Q23" s="24" t="n">
        <v>0</v>
      </c>
      <c r="R23" s="24" t="n">
        <v>0</v>
      </c>
      <c r="S23" s="24" t="n">
        <v>0</v>
      </c>
      <c r="T23" s="24" t="n">
        <v>1.98841033913693</v>
      </c>
      <c r="U23" s="24" t="n">
        <v>20.2402282747377</v>
      </c>
      <c r="V23" s="24" t="n">
        <v>9562.99686945695</v>
      </c>
      <c r="W23" s="24" t="n">
        <v>0</v>
      </c>
      <c r="X23" s="24" t="n">
        <v>0</v>
      </c>
      <c r="Y23" s="24" t="n">
        <v>0</v>
      </c>
      <c r="Z23" s="24" t="n">
        <v>36.5231817331499</v>
      </c>
      <c r="AA23" s="24" t="n">
        <v>0</v>
      </c>
      <c r="AB23" s="24" t="n">
        <v>12.10233588373</v>
      </c>
      <c r="AC23" s="24" t="n">
        <v>0</v>
      </c>
      <c r="AD23" s="24" t="n">
        <v>0</v>
      </c>
      <c r="AE23" s="24" t="n">
        <v>0</v>
      </c>
      <c r="AF23" s="24" t="n">
        <v>0.653849970280964</v>
      </c>
      <c r="AG23" s="24" t="n">
        <v>0</v>
      </c>
      <c r="AH23" s="24" t="n">
        <v>0.412490311302354</v>
      </c>
      <c r="AI23" s="24" t="n">
        <v>1.07210739905493</v>
      </c>
      <c r="AJ23" s="24" t="n">
        <v>0</v>
      </c>
      <c r="AK23" s="24" t="n">
        <v>0</v>
      </c>
      <c r="AL23" s="24" t="n">
        <v>0</v>
      </c>
      <c r="AM23" s="24" t="n">
        <v>0</v>
      </c>
      <c r="AN23" s="24" t="n">
        <v>0</v>
      </c>
      <c r="AO23" s="25" t="n">
        <v>9658.12349339901</v>
      </c>
      <c r="AP23" s="25" t="n">
        <v>-3173.79813867657</v>
      </c>
      <c r="AQ23" s="25" t="n">
        <v>266.573420600591</v>
      </c>
      <c r="AR23" s="25" t="n">
        <v>6221.6799852583</v>
      </c>
      <c r="AS23" s="26" t="n">
        <v>12972.5787605813</v>
      </c>
      <c r="AT23" s="27"/>
      <c r="AU23" s="27"/>
    </row>
    <row r="24" customFormat="false" ht="15" hidden="false" customHeight="true" outlineLevel="0" collapsed="false">
      <c r="A24" s="28" t="s">
        <v>26</v>
      </c>
      <c r="B24" s="23" t="s">
        <v>108</v>
      </c>
      <c r="C24" s="24" t="n">
        <v>0</v>
      </c>
      <c r="D24" s="24" t="n">
        <v>0</v>
      </c>
      <c r="E24" s="24" t="n">
        <v>25.9432873286842</v>
      </c>
      <c r="F24" s="24" t="n">
        <v>0</v>
      </c>
      <c r="G24" s="24" t="n">
        <v>1.1309440187661</v>
      </c>
      <c r="H24" s="24" t="n">
        <v>0</v>
      </c>
      <c r="I24" s="24" t="n">
        <v>0</v>
      </c>
      <c r="J24" s="24" t="n">
        <v>0</v>
      </c>
      <c r="K24" s="24" t="n">
        <v>0.0173270494439096</v>
      </c>
      <c r="L24" s="24" t="n">
        <v>0.337823725170797</v>
      </c>
      <c r="M24" s="24" t="n">
        <v>0</v>
      </c>
      <c r="N24" s="24" t="n">
        <v>0</v>
      </c>
      <c r="O24" s="24" t="n">
        <v>0</v>
      </c>
      <c r="P24" s="24" t="n">
        <v>0</v>
      </c>
      <c r="Q24" s="24" t="n">
        <v>0</v>
      </c>
      <c r="R24" s="24" t="n">
        <v>0</v>
      </c>
      <c r="S24" s="24" t="n">
        <v>0</v>
      </c>
      <c r="T24" s="24" t="n">
        <v>35.6036129851721</v>
      </c>
      <c r="U24" s="24" t="n">
        <v>3.82157382952284</v>
      </c>
      <c r="V24" s="24" t="n">
        <v>0</v>
      </c>
      <c r="W24" s="24" t="n">
        <v>6567.99885055212</v>
      </c>
      <c r="X24" s="24" t="n">
        <v>6.57333205372122</v>
      </c>
      <c r="Y24" s="24" t="n">
        <v>0</v>
      </c>
      <c r="Z24" s="24" t="n">
        <v>0</v>
      </c>
      <c r="AA24" s="24" t="n">
        <v>0</v>
      </c>
      <c r="AB24" s="24" t="n">
        <v>9.9501305419034</v>
      </c>
      <c r="AC24" s="24" t="n">
        <v>0.361484128198774</v>
      </c>
      <c r="AD24" s="24" t="n">
        <v>0</v>
      </c>
      <c r="AE24" s="24" t="n">
        <v>0</v>
      </c>
      <c r="AF24" s="24" t="n">
        <v>5.84053073037614</v>
      </c>
      <c r="AG24" s="24" t="n">
        <v>0</v>
      </c>
      <c r="AH24" s="24" t="n">
        <v>3.38407544777324</v>
      </c>
      <c r="AI24" s="24" t="n">
        <v>0.349331862146569</v>
      </c>
      <c r="AJ24" s="24" t="n">
        <v>0.463314058512673</v>
      </c>
      <c r="AK24" s="24" t="n">
        <v>1.42426868152284</v>
      </c>
      <c r="AL24" s="24" t="n">
        <v>1.0997290927418</v>
      </c>
      <c r="AM24" s="24" t="n">
        <v>0</v>
      </c>
      <c r="AN24" s="24" t="n">
        <v>0</v>
      </c>
      <c r="AO24" s="25" t="n">
        <v>6664.29961608578</v>
      </c>
      <c r="AP24" s="25" t="n">
        <v>0</v>
      </c>
      <c r="AQ24" s="25" t="n">
        <v>182.319894565036</v>
      </c>
      <c r="AR24" s="25" t="n">
        <v>592.719377179673</v>
      </c>
      <c r="AS24" s="26" t="n">
        <v>7439.33888783049</v>
      </c>
      <c r="AT24" s="27"/>
      <c r="AU24" s="27"/>
    </row>
    <row r="25" customFormat="false" ht="15" hidden="false" customHeight="true" outlineLevel="0" collapsed="false">
      <c r="A25" s="28" t="s">
        <v>27</v>
      </c>
      <c r="B25" s="23" t="s">
        <v>109</v>
      </c>
      <c r="C25" s="24" t="n">
        <v>0</v>
      </c>
      <c r="D25" s="24" t="n">
        <v>0</v>
      </c>
      <c r="E25" s="24" t="n">
        <v>0</v>
      </c>
      <c r="F25" s="24" t="n">
        <v>0</v>
      </c>
      <c r="G25" s="24" t="n">
        <v>0</v>
      </c>
      <c r="H25" s="24" t="n">
        <v>0</v>
      </c>
      <c r="I25" s="24" t="n">
        <v>0</v>
      </c>
      <c r="J25" s="24" t="n">
        <v>0</v>
      </c>
      <c r="K25" s="24" t="n">
        <v>0</v>
      </c>
      <c r="L25" s="24" t="n">
        <v>0</v>
      </c>
      <c r="M25" s="24" t="n">
        <v>0</v>
      </c>
      <c r="N25" s="24" t="n">
        <v>0</v>
      </c>
      <c r="O25" s="24" t="n">
        <v>0</v>
      </c>
      <c r="P25" s="24" t="n">
        <v>0</v>
      </c>
      <c r="Q25" s="24" t="n">
        <v>0</v>
      </c>
      <c r="R25" s="24" t="n">
        <v>0</v>
      </c>
      <c r="S25" s="24" t="n">
        <v>0</v>
      </c>
      <c r="T25" s="24" t="n">
        <v>0</v>
      </c>
      <c r="U25" s="24" t="n">
        <v>0</v>
      </c>
      <c r="V25" s="24" t="n">
        <v>0</v>
      </c>
      <c r="W25" s="24" t="n">
        <v>0.00378822202194041</v>
      </c>
      <c r="X25" s="24" t="n">
        <v>1340.58353262148</v>
      </c>
      <c r="Y25" s="24" t="n">
        <v>0</v>
      </c>
      <c r="Z25" s="24" t="n">
        <v>0</v>
      </c>
      <c r="AA25" s="24" t="n">
        <v>0</v>
      </c>
      <c r="AB25" s="24" t="n">
        <v>0</v>
      </c>
      <c r="AC25" s="24" t="n">
        <v>0</v>
      </c>
      <c r="AD25" s="24" t="n">
        <v>0</v>
      </c>
      <c r="AE25" s="24" t="n">
        <v>0</v>
      </c>
      <c r="AF25" s="24" t="n">
        <v>0.00811532062731788</v>
      </c>
      <c r="AG25" s="24" t="n">
        <v>0</v>
      </c>
      <c r="AH25" s="24" t="n">
        <v>0</v>
      </c>
      <c r="AI25" s="24" t="n">
        <v>0</v>
      </c>
      <c r="AJ25" s="24" t="n">
        <v>0</v>
      </c>
      <c r="AK25" s="24" t="n">
        <v>0</v>
      </c>
      <c r="AL25" s="24" t="n">
        <v>0</v>
      </c>
      <c r="AM25" s="24" t="n">
        <v>0</v>
      </c>
      <c r="AN25" s="24" t="n">
        <v>0</v>
      </c>
      <c r="AO25" s="25" t="n">
        <v>1340.59543616413</v>
      </c>
      <c r="AP25" s="25" t="n">
        <v>0</v>
      </c>
      <c r="AQ25" s="25" t="n">
        <v>36.9434640143683</v>
      </c>
      <c r="AR25" s="25" t="n">
        <v>51.7075998225774</v>
      </c>
      <c r="AS25" s="26" t="n">
        <v>1429.24650000108</v>
      </c>
      <c r="AT25" s="27"/>
      <c r="AU25" s="27"/>
    </row>
    <row r="26" customFormat="false" ht="15" hidden="false" customHeight="true" outlineLevel="0" collapsed="false">
      <c r="A26" s="28" t="s">
        <v>28</v>
      </c>
      <c r="B26" s="30" t="s">
        <v>110</v>
      </c>
      <c r="C26" s="24" t="n">
        <v>0</v>
      </c>
      <c r="D26" s="24" t="n">
        <v>0</v>
      </c>
      <c r="E26" s="24" t="n">
        <v>0</v>
      </c>
      <c r="F26" s="24" t="n">
        <v>0</v>
      </c>
      <c r="G26" s="24" t="n">
        <v>0</v>
      </c>
      <c r="H26" s="24" t="n">
        <v>0</v>
      </c>
      <c r="I26" s="24" t="n">
        <v>0</v>
      </c>
      <c r="J26" s="24" t="n">
        <v>0</v>
      </c>
      <c r="K26" s="24" t="n">
        <v>0</v>
      </c>
      <c r="L26" s="24" t="n">
        <v>0</v>
      </c>
      <c r="M26" s="24" t="n">
        <v>0</v>
      </c>
      <c r="N26" s="24" t="n">
        <v>0</v>
      </c>
      <c r="O26" s="24" t="n">
        <v>0</v>
      </c>
      <c r="P26" s="24" t="n">
        <v>0</v>
      </c>
      <c r="Q26" s="24" t="n">
        <v>0</v>
      </c>
      <c r="R26" s="24" t="n">
        <v>0</v>
      </c>
      <c r="S26" s="24" t="n">
        <v>0</v>
      </c>
      <c r="T26" s="24" t="n">
        <v>0</v>
      </c>
      <c r="U26" s="24" t="n">
        <v>0</v>
      </c>
      <c r="V26" s="24" t="n">
        <v>1.97944854698126</v>
      </c>
      <c r="W26" s="24" t="n">
        <v>0</v>
      </c>
      <c r="X26" s="24" t="n">
        <v>1.14611300441274</v>
      </c>
      <c r="Y26" s="24" t="n">
        <v>2104.00843310797</v>
      </c>
      <c r="Z26" s="24" t="n">
        <v>0</v>
      </c>
      <c r="AA26" s="24" t="n">
        <v>0</v>
      </c>
      <c r="AB26" s="24" t="n">
        <v>0</v>
      </c>
      <c r="AC26" s="24" t="n">
        <v>0</v>
      </c>
      <c r="AD26" s="24" t="n">
        <v>0</v>
      </c>
      <c r="AE26" s="24" t="n">
        <v>0</v>
      </c>
      <c r="AF26" s="24" t="n">
        <v>0</v>
      </c>
      <c r="AG26" s="24" t="n">
        <v>0</v>
      </c>
      <c r="AH26" s="24" t="n">
        <v>0</v>
      </c>
      <c r="AI26" s="24" t="n">
        <v>0</v>
      </c>
      <c r="AJ26" s="24" t="n">
        <v>0</v>
      </c>
      <c r="AK26" s="24" t="n">
        <v>0</v>
      </c>
      <c r="AL26" s="24" t="n">
        <v>0</v>
      </c>
      <c r="AM26" s="24" t="n">
        <v>0</v>
      </c>
      <c r="AN26" s="24" t="n">
        <v>0</v>
      </c>
      <c r="AO26" s="25" t="n">
        <v>2107.13399465936</v>
      </c>
      <c r="AP26" s="25" t="n">
        <v>0</v>
      </c>
      <c r="AQ26" s="25" t="n">
        <v>233.570044264998</v>
      </c>
      <c r="AR26" s="25" t="n">
        <v>176.693589680819</v>
      </c>
      <c r="AS26" s="26" t="n">
        <v>2517.39762860518</v>
      </c>
      <c r="AT26" s="27"/>
      <c r="AU26" s="27"/>
    </row>
    <row r="27" customFormat="false" ht="26.25" hidden="false" customHeight="true" outlineLevel="0" collapsed="false">
      <c r="A27" s="28" t="s">
        <v>29</v>
      </c>
      <c r="B27" s="23" t="s">
        <v>111</v>
      </c>
      <c r="C27" s="24" t="n">
        <v>0</v>
      </c>
      <c r="D27" s="24" t="n">
        <v>0</v>
      </c>
      <c r="E27" s="24" t="n">
        <v>0</v>
      </c>
      <c r="F27" s="24" t="n">
        <v>0</v>
      </c>
      <c r="G27" s="24" t="n">
        <v>0</v>
      </c>
      <c r="H27" s="24" t="n">
        <v>0</v>
      </c>
      <c r="I27" s="24" t="n">
        <v>0</v>
      </c>
      <c r="J27" s="24" t="n">
        <v>0</v>
      </c>
      <c r="K27" s="24" t="n">
        <v>0</v>
      </c>
      <c r="L27" s="24" t="n">
        <v>0</v>
      </c>
      <c r="M27" s="24" t="n">
        <v>0</v>
      </c>
      <c r="N27" s="24" t="n">
        <v>0</v>
      </c>
      <c r="O27" s="24" t="n">
        <v>0</v>
      </c>
      <c r="P27" s="24" t="n">
        <v>0</v>
      </c>
      <c r="Q27" s="24" t="n">
        <v>0</v>
      </c>
      <c r="R27" s="24" t="n">
        <v>0</v>
      </c>
      <c r="S27" s="24" t="n">
        <v>0</v>
      </c>
      <c r="T27" s="24" t="n">
        <v>0</v>
      </c>
      <c r="U27" s="24" t="n">
        <v>4.51825864459024</v>
      </c>
      <c r="V27" s="24" t="n">
        <v>0</v>
      </c>
      <c r="W27" s="24" t="n">
        <v>0</v>
      </c>
      <c r="X27" s="24" t="n">
        <v>1.24435266064792</v>
      </c>
      <c r="Y27" s="24" t="n">
        <v>0</v>
      </c>
      <c r="Z27" s="24" t="n">
        <v>3900.90915746646</v>
      </c>
      <c r="AA27" s="24" t="n">
        <v>0</v>
      </c>
      <c r="AB27" s="24" t="n">
        <v>0</v>
      </c>
      <c r="AC27" s="24" t="n">
        <v>0</v>
      </c>
      <c r="AD27" s="24" t="n">
        <v>0</v>
      </c>
      <c r="AE27" s="24" t="n">
        <v>0.452402267873101</v>
      </c>
      <c r="AF27" s="24" t="n">
        <v>19.1474993161109</v>
      </c>
      <c r="AG27" s="24" t="n">
        <v>0</v>
      </c>
      <c r="AH27" s="24" t="n">
        <v>0</v>
      </c>
      <c r="AI27" s="24" t="n">
        <v>0</v>
      </c>
      <c r="AJ27" s="24" t="n">
        <v>0</v>
      </c>
      <c r="AK27" s="24" t="n">
        <v>0</v>
      </c>
      <c r="AL27" s="24" t="n">
        <v>0</v>
      </c>
      <c r="AM27" s="24" t="n">
        <v>0</v>
      </c>
      <c r="AN27" s="24" t="n">
        <v>0</v>
      </c>
      <c r="AO27" s="25" t="n">
        <v>3926.27167035568</v>
      </c>
      <c r="AP27" s="25" t="n">
        <v>0</v>
      </c>
      <c r="AQ27" s="25" t="n">
        <v>78.5219398434734</v>
      </c>
      <c r="AR27" s="25" t="n">
        <v>444.025718872321</v>
      </c>
      <c r="AS27" s="26" t="n">
        <v>4448.81932907147</v>
      </c>
      <c r="AT27" s="27"/>
      <c r="AU27" s="27"/>
    </row>
    <row r="28" customFormat="false" ht="15" hidden="false" customHeight="true" outlineLevel="0" collapsed="false">
      <c r="A28" s="28" t="s">
        <v>30</v>
      </c>
      <c r="B28" s="23" t="s">
        <v>112</v>
      </c>
      <c r="C28" s="24" t="n">
        <v>0</v>
      </c>
      <c r="D28" s="24" t="n">
        <v>0</v>
      </c>
      <c r="E28" s="24" t="n">
        <v>0</v>
      </c>
      <c r="F28" s="24" t="n">
        <v>0</v>
      </c>
      <c r="G28" s="24" t="n">
        <v>0</v>
      </c>
      <c r="H28" s="24" t="n">
        <v>0</v>
      </c>
      <c r="I28" s="24" t="n">
        <v>0</v>
      </c>
      <c r="J28" s="24" t="n">
        <v>0</v>
      </c>
      <c r="K28" s="24" t="n">
        <v>0</v>
      </c>
      <c r="L28" s="24" t="n">
        <v>0</v>
      </c>
      <c r="M28" s="24" t="n">
        <v>0</v>
      </c>
      <c r="N28" s="24" t="n">
        <v>0</v>
      </c>
      <c r="O28" s="24" t="n">
        <v>0</v>
      </c>
      <c r="P28" s="24" t="n">
        <v>0</v>
      </c>
      <c r="Q28" s="24" t="n">
        <v>0</v>
      </c>
      <c r="R28" s="24" t="n">
        <v>0</v>
      </c>
      <c r="S28" s="24" t="n">
        <v>0</v>
      </c>
      <c r="T28" s="24" t="n">
        <v>0</v>
      </c>
      <c r="U28" s="24" t="n">
        <v>0</v>
      </c>
      <c r="V28" s="24" t="n">
        <v>0</v>
      </c>
      <c r="W28" s="24" t="n">
        <v>0</v>
      </c>
      <c r="X28" s="24" t="n">
        <v>0</v>
      </c>
      <c r="Y28" s="24" t="n">
        <v>0</v>
      </c>
      <c r="Z28" s="24" t="n">
        <v>0</v>
      </c>
      <c r="AA28" s="24" t="n">
        <v>5666.36970546485</v>
      </c>
      <c r="AB28" s="24" t="n">
        <v>0</v>
      </c>
      <c r="AC28" s="24" t="n">
        <v>0</v>
      </c>
      <c r="AD28" s="24" t="n">
        <v>0</v>
      </c>
      <c r="AE28" s="24" t="n">
        <v>0</v>
      </c>
      <c r="AF28" s="24" t="n">
        <v>0</v>
      </c>
      <c r="AG28" s="24" t="n">
        <v>0</v>
      </c>
      <c r="AH28" s="24" t="n">
        <v>0</v>
      </c>
      <c r="AI28" s="24" t="n">
        <v>0</v>
      </c>
      <c r="AJ28" s="24" t="n">
        <v>0</v>
      </c>
      <c r="AK28" s="24" t="n">
        <v>0</v>
      </c>
      <c r="AL28" s="24" t="n">
        <v>0</v>
      </c>
      <c r="AM28" s="24" t="n">
        <v>0</v>
      </c>
      <c r="AN28" s="24" t="n">
        <v>0</v>
      </c>
      <c r="AO28" s="25" t="n">
        <v>5666.36970546485</v>
      </c>
      <c r="AP28" s="25" t="n">
        <v>0</v>
      </c>
      <c r="AQ28" s="25" t="n">
        <v>0</v>
      </c>
      <c r="AR28" s="25" t="n">
        <v>766.197227127414</v>
      </c>
      <c r="AS28" s="26" t="n">
        <v>6432.56693259226</v>
      </c>
      <c r="AT28" s="27"/>
      <c r="AU28" s="27"/>
    </row>
    <row r="29" customFormat="false" ht="15" hidden="false" customHeight="true" outlineLevel="0" collapsed="false">
      <c r="A29" s="28" t="s">
        <v>31</v>
      </c>
      <c r="B29" s="30" t="s">
        <v>113</v>
      </c>
      <c r="C29" s="24" t="n">
        <v>0</v>
      </c>
      <c r="D29" s="24" t="n">
        <v>2.91022218116559</v>
      </c>
      <c r="E29" s="24" t="n">
        <v>14.5636514262368</v>
      </c>
      <c r="F29" s="24" t="n">
        <v>0.659280450431033</v>
      </c>
      <c r="G29" s="24" t="n">
        <v>0.873198794607516</v>
      </c>
      <c r="H29" s="24" t="n">
        <v>0.000894811266378673</v>
      </c>
      <c r="I29" s="24" t="n">
        <v>2.10918518865674</v>
      </c>
      <c r="J29" s="24" t="n">
        <v>0.01278557001728</v>
      </c>
      <c r="K29" s="24" t="n">
        <v>5.44057009835336</v>
      </c>
      <c r="L29" s="24" t="n">
        <v>10.8908181896695</v>
      </c>
      <c r="M29" s="24" t="n">
        <v>0</v>
      </c>
      <c r="N29" s="24" t="n">
        <v>0</v>
      </c>
      <c r="O29" s="24" t="n">
        <v>2.05155656269654</v>
      </c>
      <c r="P29" s="24" t="n">
        <v>0.252847592244075</v>
      </c>
      <c r="Q29" s="24" t="n">
        <v>0.864357687585909</v>
      </c>
      <c r="R29" s="24" t="n">
        <v>0.999352388162895</v>
      </c>
      <c r="S29" s="24" t="n">
        <v>2.97032298454569</v>
      </c>
      <c r="T29" s="24" t="n">
        <v>102.159232308984</v>
      </c>
      <c r="U29" s="24" t="n">
        <v>38.9064899188115</v>
      </c>
      <c r="V29" s="24" t="n">
        <v>136.958421675615</v>
      </c>
      <c r="W29" s="24" t="n">
        <v>76.2452591103674</v>
      </c>
      <c r="X29" s="24" t="n">
        <v>1.8021653600761</v>
      </c>
      <c r="Y29" s="24" t="n">
        <v>3.73845060015317</v>
      </c>
      <c r="Z29" s="24" t="n">
        <v>0.195172943816882</v>
      </c>
      <c r="AA29" s="24" t="n">
        <v>0</v>
      </c>
      <c r="AB29" s="24" t="n">
        <v>9767.46961059822</v>
      </c>
      <c r="AC29" s="24" t="n">
        <v>3.04360360673164</v>
      </c>
      <c r="AD29" s="24" t="n">
        <v>0</v>
      </c>
      <c r="AE29" s="24" t="n">
        <v>1.29949334593437</v>
      </c>
      <c r="AF29" s="24" t="n">
        <v>0</v>
      </c>
      <c r="AG29" s="24" t="n">
        <v>0</v>
      </c>
      <c r="AH29" s="24" t="n">
        <v>2.09243793582741</v>
      </c>
      <c r="AI29" s="24" t="n">
        <v>6.64821249405386</v>
      </c>
      <c r="AJ29" s="24" t="n">
        <v>0</v>
      </c>
      <c r="AK29" s="24" t="n">
        <v>5.05166716641897</v>
      </c>
      <c r="AL29" s="24" t="n">
        <v>7.71116831823665</v>
      </c>
      <c r="AM29" s="24" t="n">
        <v>0</v>
      </c>
      <c r="AN29" s="24" t="n">
        <v>0</v>
      </c>
      <c r="AO29" s="25" t="n">
        <v>10197.9204293089</v>
      </c>
      <c r="AP29" s="25" t="n">
        <v>0</v>
      </c>
      <c r="AQ29" s="25" t="n">
        <v>16.0635835347008</v>
      </c>
      <c r="AR29" s="25" t="n">
        <v>0</v>
      </c>
      <c r="AS29" s="26" t="n">
        <v>10213.9840128436</v>
      </c>
      <c r="AT29" s="27"/>
      <c r="AU29" s="27"/>
    </row>
    <row r="30" customFormat="false" ht="51.75" hidden="false" customHeight="true" outlineLevel="0" collapsed="false">
      <c r="A30" s="28" t="s">
        <v>32</v>
      </c>
      <c r="B30" s="30" t="s">
        <v>114</v>
      </c>
      <c r="C30" s="24" t="n">
        <v>0</v>
      </c>
      <c r="D30" s="24" t="n">
        <v>0</v>
      </c>
      <c r="E30" s="24" t="n">
        <v>0</v>
      </c>
      <c r="F30" s="24" t="n">
        <v>0</v>
      </c>
      <c r="G30" s="24" t="n">
        <v>0</v>
      </c>
      <c r="H30" s="24" t="n">
        <v>0</v>
      </c>
      <c r="I30" s="24" t="n">
        <v>0.757159500911569</v>
      </c>
      <c r="J30" s="24" t="n">
        <v>0</v>
      </c>
      <c r="K30" s="24" t="n">
        <v>0</v>
      </c>
      <c r="L30" s="24" t="n">
        <v>0</v>
      </c>
      <c r="M30" s="24" t="n">
        <v>0</v>
      </c>
      <c r="N30" s="24" t="n">
        <v>0</v>
      </c>
      <c r="O30" s="24" t="n">
        <v>0</v>
      </c>
      <c r="P30" s="24" t="n">
        <v>0</v>
      </c>
      <c r="Q30" s="24" t="n">
        <v>0</v>
      </c>
      <c r="R30" s="24" t="n">
        <v>0.334666016923609</v>
      </c>
      <c r="S30" s="24" t="n">
        <v>0</v>
      </c>
      <c r="T30" s="24" t="n">
        <v>1.0204114271903</v>
      </c>
      <c r="U30" s="24" t="n">
        <v>2.68486479976789</v>
      </c>
      <c r="V30" s="24" t="n">
        <v>1.54949973241496</v>
      </c>
      <c r="W30" s="24" t="n">
        <v>0</v>
      </c>
      <c r="X30" s="24" t="n">
        <v>0</v>
      </c>
      <c r="Y30" s="24" t="n">
        <v>0</v>
      </c>
      <c r="Z30" s="24" t="n">
        <v>2.39639599726158</v>
      </c>
      <c r="AA30" s="24" t="n">
        <v>0</v>
      </c>
      <c r="AB30" s="24" t="n">
        <v>0</v>
      </c>
      <c r="AC30" s="24" t="n">
        <v>1459.9049352759</v>
      </c>
      <c r="AD30" s="24" t="n">
        <v>0</v>
      </c>
      <c r="AE30" s="24" t="n">
        <v>0</v>
      </c>
      <c r="AF30" s="24" t="n">
        <v>0</v>
      </c>
      <c r="AG30" s="24" t="n">
        <v>0</v>
      </c>
      <c r="AH30" s="24" t="n">
        <v>0.0611683032719536</v>
      </c>
      <c r="AI30" s="24" t="n">
        <v>0.115547045984349</v>
      </c>
      <c r="AJ30" s="24" t="n">
        <v>0</v>
      </c>
      <c r="AK30" s="24" t="n">
        <v>0</v>
      </c>
      <c r="AL30" s="24" t="n">
        <v>0</v>
      </c>
      <c r="AM30" s="24" t="n">
        <v>0</v>
      </c>
      <c r="AN30" s="24" t="n">
        <v>0</v>
      </c>
      <c r="AO30" s="25" t="n">
        <v>1468.82464809963</v>
      </c>
      <c r="AP30" s="25" t="n">
        <v>0</v>
      </c>
      <c r="AQ30" s="25" t="n">
        <v>75.4384814770187</v>
      </c>
      <c r="AR30" s="25" t="n">
        <v>269.201931534384</v>
      </c>
      <c r="AS30" s="26" t="n">
        <v>1813.46506111103</v>
      </c>
      <c r="AT30" s="27"/>
      <c r="AU30" s="27"/>
    </row>
    <row r="31" customFormat="false" ht="15" hidden="false" customHeight="true" outlineLevel="0" collapsed="false">
      <c r="A31" s="28" t="s">
        <v>115</v>
      </c>
      <c r="B31" s="30" t="s">
        <v>116</v>
      </c>
      <c r="C31" s="24" t="n">
        <v>0</v>
      </c>
      <c r="D31" s="24" t="n">
        <v>0</v>
      </c>
      <c r="E31" s="24" t="n">
        <v>0</v>
      </c>
      <c r="F31" s="24" t="n">
        <v>0</v>
      </c>
      <c r="G31" s="24" t="n">
        <v>0</v>
      </c>
      <c r="H31" s="24" t="n">
        <v>0</v>
      </c>
      <c r="I31" s="24" t="n">
        <v>0</v>
      </c>
      <c r="J31" s="24" t="n">
        <v>0</v>
      </c>
      <c r="K31" s="24" t="n">
        <v>0</v>
      </c>
      <c r="L31" s="24" t="n">
        <v>0</v>
      </c>
      <c r="M31" s="24" t="n">
        <v>0</v>
      </c>
      <c r="N31" s="24" t="n">
        <v>0</v>
      </c>
      <c r="O31" s="24" t="n">
        <v>0</v>
      </c>
      <c r="P31" s="24" t="n">
        <v>0</v>
      </c>
      <c r="Q31" s="24" t="n">
        <v>0</v>
      </c>
      <c r="R31" s="24" t="n">
        <v>0</v>
      </c>
      <c r="S31" s="24" t="n">
        <v>0</v>
      </c>
      <c r="T31" s="24" t="n">
        <v>0</v>
      </c>
      <c r="U31" s="24" t="n">
        <v>0.0122011123455598</v>
      </c>
      <c r="V31" s="24" t="n">
        <v>0</v>
      </c>
      <c r="W31" s="24" t="n">
        <v>0</v>
      </c>
      <c r="X31" s="24" t="n">
        <v>0</v>
      </c>
      <c r="Y31" s="24" t="n">
        <v>0</v>
      </c>
      <c r="Z31" s="24" t="n">
        <v>0</v>
      </c>
      <c r="AA31" s="24" t="n">
        <v>0</v>
      </c>
      <c r="AB31" s="24" t="n">
        <v>0</v>
      </c>
      <c r="AC31" s="24" t="n">
        <v>0</v>
      </c>
      <c r="AD31" s="24" t="n">
        <v>299.528589938032</v>
      </c>
      <c r="AE31" s="24" t="n">
        <v>0</v>
      </c>
      <c r="AF31" s="24" t="n">
        <v>0</v>
      </c>
      <c r="AG31" s="24" t="n">
        <v>0</v>
      </c>
      <c r="AH31" s="24" t="n">
        <v>0</v>
      </c>
      <c r="AI31" s="24" t="n">
        <v>0</v>
      </c>
      <c r="AJ31" s="24" t="n">
        <v>0</v>
      </c>
      <c r="AK31" s="24" t="n">
        <v>0</v>
      </c>
      <c r="AL31" s="24" t="n">
        <v>0</v>
      </c>
      <c r="AM31" s="24" t="n">
        <v>0</v>
      </c>
      <c r="AN31" s="24" t="n">
        <v>0</v>
      </c>
      <c r="AO31" s="25" t="n">
        <v>299.540791050377</v>
      </c>
      <c r="AP31" s="25" t="n">
        <v>0</v>
      </c>
      <c r="AQ31" s="25" t="n">
        <v>-12.2291074084647</v>
      </c>
      <c r="AR31" s="25" t="n">
        <v>15.6274148228879</v>
      </c>
      <c r="AS31" s="26" t="n">
        <v>302.939098464801</v>
      </c>
      <c r="AT31" s="27"/>
      <c r="AU31" s="27"/>
    </row>
    <row r="32" customFormat="false" ht="39" hidden="false" customHeight="true" outlineLevel="0" collapsed="false">
      <c r="A32" s="28" t="s">
        <v>33</v>
      </c>
      <c r="B32" s="23" t="s">
        <v>117</v>
      </c>
      <c r="C32" s="24" t="n">
        <v>0</v>
      </c>
      <c r="D32" s="24" t="n">
        <v>0</v>
      </c>
      <c r="E32" s="24" t="n">
        <v>0</v>
      </c>
      <c r="F32" s="24" t="n">
        <v>0.0723452800972376</v>
      </c>
      <c r="G32" s="24" t="n">
        <v>0.266882037994015</v>
      </c>
      <c r="H32" s="24" t="n">
        <v>0</v>
      </c>
      <c r="I32" s="24" t="n">
        <v>0</v>
      </c>
      <c r="J32" s="24" t="n">
        <v>0</v>
      </c>
      <c r="K32" s="24" t="n">
        <v>0</v>
      </c>
      <c r="L32" s="24" t="n">
        <v>0</v>
      </c>
      <c r="M32" s="24" t="n">
        <v>0</v>
      </c>
      <c r="N32" s="24" t="n">
        <v>0</v>
      </c>
      <c r="O32" s="24" t="n">
        <v>0</v>
      </c>
      <c r="P32" s="24" t="n">
        <v>0</v>
      </c>
      <c r="Q32" s="24" t="n">
        <v>0</v>
      </c>
      <c r="R32" s="24" t="n">
        <v>0</v>
      </c>
      <c r="S32" s="24" t="n">
        <v>0</v>
      </c>
      <c r="T32" s="24" t="n">
        <v>0</v>
      </c>
      <c r="U32" s="24" t="n">
        <v>17.9660966762189</v>
      </c>
      <c r="V32" s="24" t="n">
        <v>0.0308574595169891</v>
      </c>
      <c r="W32" s="24" t="n">
        <v>0.08176841157235</v>
      </c>
      <c r="X32" s="24" t="n">
        <v>3.33443244494647</v>
      </c>
      <c r="Y32" s="24" t="n">
        <v>0</v>
      </c>
      <c r="Z32" s="24" t="n">
        <v>0.384729532641916</v>
      </c>
      <c r="AA32" s="24" t="n">
        <v>0</v>
      </c>
      <c r="AB32" s="24" t="n">
        <v>0</v>
      </c>
      <c r="AC32" s="24" t="n">
        <v>0.648844871233491</v>
      </c>
      <c r="AD32" s="24" t="n">
        <v>0</v>
      </c>
      <c r="AE32" s="24" t="n">
        <v>791.046117365832</v>
      </c>
      <c r="AF32" s="24" t="n">
        <v>0.00351851349363781</v>
      </c>
      <c r="AG32" s="24" t="n">
        <v>0</v>
      </c>
      <c r="AH32" s="24" t="n">
        <v>0</v>
      </c>
      <c r="AI32" s="24" t="n">
        <v>0</v>
      </c>
      <c r="AJ32" s="24" t="n">
        <v>0</v>
      </c>
      <c r="AK32" s="24" t="n">
        <v>2.02594105599261</v>
      </c>
      <c r="AL32" s="24" t="n">
        <v>0</v>
      </c>
      <c r="AM32" s="24" t="n">
        <v>0</v>
      </c>
      <c r="AN32" s="24" t="n">
        <v>0</v>
      </c>
      <c r="AO32" s="25" t="n">
        <v>815.861533649539</v>
      </c>
      <c r="AP32" s="25" t="n">
        <v>0</v>
      </c>
      <c r="AQ32" s="25" t="n">
        <v>20.5086954382744</v>
      </c>
      <c r="AR32" s="25" t="n">
        <v>57.4759163914406</v>
      </c>
      <c r="AS32" s="26" t="n">
        <v>893.846145479255</v>
      </c>
      <c r="AT32" s="27"/>
      <c r="AU32" s="27"/>
    </row>
    <row r="33" customFormat="false" ht="15" hidden="false" customHeight="true" outlineLevel="0" collapsed="false">
      <c r="A33" s="28" t="s">
        <v>34</v>
      </c>
      <c r="B33" s="23" t="s">
        <v>118</v>
      </c>
      <c r="C33" s="24" t="n">
        <v>0</v>
      </c>
      <c r="D33" s="24" t="n">
        <v>12.7007248502812</v>
      </c>
      <c r="E33" s="24" t="n">
        <v>15.3935798344903</v>
      </c>
      <c r="F33" s="24" t="n">
        <v>0</v>
      </c>
      <c r="G33" s="24" t="n">
        <v>1.43955800692898</v>
      </c>
      <c r="H33" s="24" t="n">
        <v>0</v>
      </c>
      <c r="I33" s="24" t="n">
        <v>1.79157954093249</v>
      </c>
      <c r="J33" s="24" t="n">
        <v>0.00563718367013822</v>
      </c>
      <c r="K33" s="24" t="n">
        <v>2.74040867868292</v>
      </c>
      <c r="L33" s="24" t="n">
        <v>0.611337367486918</v>
      </c>
      <c r="M33" s="24" t="n">
        <v>0</v>
      </c>
      <c r="N33" s="24" t="n">
        <v>0</v>
      </c>
      <c r="O33" s="24" t="n">
        <v>0</v>
      </c>
      <c r="P33" s="24" t="n">
        <v>0</v>
      </c>
      <c r="Q33" s="24" t="n">
        <v>0.0931279119024358</v>
      </c>
      <c r="R33" s="24" t="n">
        <v>0.351107944404608</v>
      </c>
      <c r="S33" s="24" t="n">
        <v>5.86658848267759</v>
      </c>
      <c r="T33" s="24" t="n">
        <v>2.73649394081392</v>
      </c>
      <c r="U33" s="24" t="n">
        <v>4.5875531060745</v>
      </c>
      <c r="V33" s="24" t="n">
        <v>19.7519518726435</v>
      </c>
      <c r="W33" s="24" t="n">
        <v>0</v>
      </c>
      <c r="X33" s="24" t="n">
        <v>0.287440780171833</v>
      </c>
      <c r="Y33" s="24" t="n">
        <v>0.910228615236934</v>
      </c>
      <c r="Z33" s="24" t="n">
        <v>0</v>
      </c>
      <c r="AA33" s="24" t="n">
        <v>0</v>
      </c>
      <c r="AB33" s="24" t="n">
        <v>6.85763170898956</v>
      </c>
      <c r="AC33" s="24" t="n">
        <v>0</v>
      </c>
      <c r="AD33" s="24" t="n">
        <v>0</v>
      </c>
      <c r="AE33" s="24" t="n">
        <v>0</v>
      </c>
      <c r="AF33" s="24" t="n">
        <v>1557.5167714925</v>
      </c>
      <c r="AG33" s="24" t="n">
        <v>0</v>
      </c>
      <c r="AH33" s="24" t="n">
        <v>0.00150185441582245</v>
      </c>
      <c r="AI33" s="24" t="n">
        <v>0.000296335263603686</v>
      </c>
      <c r="AJ33" s="24" t="n">
        <v>0</v>
      </c>
      <c r="AK33" s="24" t="n">
        <v>0</v>
      </c>
      <c r="AL33" s="24" t="n">
        <v>2.27923687157588</v>
      </c>
      <c r="AM33" s="24" t="n">
        <v>0</v>
      </c>
      <c r="AN33" s="24" t="n">
        <v>0</v>
      </c>
      <c r="AO33" s="25" t="n">
        <v>1635.92275637915</v>
      </c>
      <c r="AP33" s="25" t="n">
        <v>0</v>
      </c>
      <c r="AQ33" s="25" t="n">
        <v>90.9893106146079</v>
      </c>
      <c r="AR33" s="25" t="n">
        <v>652.053271023714</v>
      </c>
      <c r="AS33" s="26" t="n">
        <v>2378.96533801747</v>
      </c>
      <c r="AT33" s="27"/>
      <c r="AU33" s="27"/>
    </row>
    <row r="34" customFormat="false" ht="26.25" hidden="false" customHeight="true" outlineLevel="0" collapsed="false">
      <c r="A34" s="28" t="n">
        <v>84</v>
      </c>
      <c r="B34" s="30" t="s">
        <v>119</v>
      </c>
      <c r="C34" s="24" t="n">
        <v>0</v>
      </c>
      <c r="D34" s="24" t="n">
        <v>0</v>
      </c>
      <c r="E34" s="24" t="n">
        <v>0</v>
      </c>
      <c r="F34" s="24" t="n">
        <v>0</v>
      </c>
      <c r="G34" s="24" t="n">
        <v>0</v>
      </c>
      <c r="H34" s="24" t="n">
        <v>0</v>
      </c>
      <c r="I34" s="24" t="n">
        <v>0</v>
      </c>
      <c r="J34" s="24" t="n">
        <v>0</v>
      </c>
      <c r="K34" s="24" t="n">
        <v>0</v>
      </c>
      <c r="L34" s="24" t="n">
        <v>0</v>
      </c>
      <c r="M34" s="24" t="n">
        <v>0</v>
      </c>
      <c r="N34" s="24" t="n">
        <v>0</v>
      </c>
      <c r="O34" s="24" t="n">
        <v>0</v>
      </c>
      <c r="P34" s="24" t="n">
        <v>0</v>
      </c>
      <c r="Q34" s="24" t="n">
        <v>0</v>
      </c>
      <c r="R34" s="24" t="n">
        <v>0</v>
      </c>
      <c r="S34" s="24" t="n">
        <v>0</v>
      </c>
      <c r="T34" s="24" t="n">
        <v>0</v>
      </c>
      <c r="U34" s="24" t="n">
        <v>0</v>
      </c>
      <c r="V34" s="24" t="n">
        <v>0</v>
      </c>
      <c r="W34" s="24" t="n">
        <v>0</v>
      </c>
      <c r="X34" s="24" t="n">
        <v>0</v>
      </c>
      <c r="Y34" s="24" t="n">
        <v>0</v>
      </c>
      <c r="Z34" s="24" t="n">
        <v>0</v>
      </c>
      <c r="AA34" s="24" t="n">
        <v>0</v>
      </c>
      <c r="AB34" s="24" t="n">
        <v>0</v>
      </c>
      <c r="AC34" s="24" t="n">
        <v>0</v>
      </c>
      <c r="AD34" s="24" t="n">
        <v>0</v>
      </c>
      <c r="AE34" s="24" t="n">
        <v>0</v>
      </c>
      <c r="AF34" s="24" t="n">
        <v>0</v>
      </c>
      <c r="AG34" s="24" t="n">
        <v>7892.64231035817</v>
      </c>
      <c r="AH34" s="24" t="n">
        <v>0</v>
      </c>
      <c r="AI34" s="24" t="n">
        <v>0</v>
      </c>
      <c r="AJ34" s="24" t="n">
        <v>0</v>
      </c>
      <c r="AK34" s="24" t="n">
        <v>0</v>
      </c>
      <c r="AL34" s="24" t="n">
        <v>0</v>
      </c>
      <c r="AM34" s="24" t="n">
        <v>0</v>
      </c>
      <c r="AN34" s="24" t="n">
        <v>0</v>
      </c>
      <c r="AO34" s="25" t="n">
        <v>7892.64231035817</v>
      </c>
      <c r="AP34" s="25" t="n">
        <v>0</v>
      </c>
      <c r="AQ34" s="25" t="n">
        <v>0</v>
      </c>
      <c r="AR34" s="25" t="n">
        <v>0</v>
      </c>
      <c r="AS34" s="26" t="n">
        <v>7892.64231035817</v>
      </c>
      <c r="AT34" s="27"/>
      <c r="AU34" s="27"/>
    </row>
    <row r="35" customFormat="false" ht="15" hidden="false" customHeight="true" outlineLevel="0" collapsed="false">
      <c r="A35" s="28" t="n">
        <v>85</v>
      </c>
      <c r="B35" s="30" t="s">
        <v>120</v>
      </c>
      <c r="C35" s="24" t="n">
        <v>0</v>
      </c>
      <c r="D35" s="24" t="n">
        <v>0</v>
      </c>
      <c r="E35" s="24" t="n">
        <v>0</v>
      </c>
      <c r="F35" s="24" t="n">
        <v>0</v>
      </c>
      <c r="G35" s="24" t="n">
        <v>0.00821754095672567</v>
      </c>
      <c r="H35" s="24" t="n">
        <v>0</v>
      </c>
      <c r="I35" s="24" t="n">
        <v>0</v>
      </c>
      <c r="J35" s="24" t="n">
        <v>0</v>
      </c>
      <c r="K35" s="24" t="n">
        <v>0</v>
      </c>
      <c r="L35" s="24" t="n">
        <v>0</v>
      </c>
      <c r="M35" s="24" t="n">
        <v>0</v>
      </c>
      <c r="N35" s="24" t="n">
        <v>0</v>
      </c>
      <c r="O35" s="24" t="n">
        <v>0</v>
      </c>
      <c r="P35" s="24" t="n">
        <v>0</v>
      </c>
      <c r="Q35" s="24" t="n">
        <v>0.060688567905041</v>
      </c>
      <c r="R35" s="24" t="n">
        <v>0</v>
      </c>
      <c r="S35" s="24" t="n">
        <v>0</v>
      </c>
      <c r="T35" s="24" t="n">
        <v>0</v>
      </c>
      <c r="U35" s="24" t="n">
        <v>0</v>
      </c>
      <c r="V35" s="24" t="n">
        <v>0.140999258621635</v>
      </c>
      <c r="W35" s="24" t="n">
        <v>0</v>
      </c>
      <c r="X35" s="24" t="n">
        <v>0</v>
      </c>
      <c r="Y35" s="24" t="n">
        <v>0</v>
      </c>
      <c r="Z35" s="24" t="n">
        <v>0</v>
      </c>
      <c r="AA35" s="24" t="n">
        <v>0</v>
      </c>
      <c r="AB35" s="24" t="n">
        <v>0</v>
      </c>
      <c r="AC35" s="24" t="n">
        <v>0</v>
      </c>
      <c r="AD35" s="24" t="n">
        <v>0</v>
      </c>
      <c r="AE35" s="24" t="n">
        <v>0</v>
      </c>
      <c r="AF35" s="24" t="n">
        <v>0</v>
      </c>
      <c r="AG35" s="24" t="n">
        <v>0</v>
      </c>
      <c r="AH35" s="24" t="n">
        <v>5417.76493614958</v>
      </c>
      <c r="AI35" s="24" t="n">
        <v>1.93911128432762</v>
      </c>
      <c r="AJ35" s="24" t="n">
        <v>0</v>
      </c>
      <c r="AK35" s="24" t="n">
        <v>0</v>
      </c>
      <c r="AL35" s="24" t="n">
        <v>0</v>
      </c>
      <c r="AM35" s="24" t="n">
        <v>0</v>
      </c>
      <c r="AN35" s="24" t="n">
        <v>0</v>
      </c>
      <c r="AO35" s="25" t="n">
        <v>5419.9139528014</v>
      </c>
      <c r="AP35" s="25" t="n">
        <v>0</v>
      </c>
      <c r="AQ35" s="25" t="n">
        <v>0</v>
      </c>
      <c r="AR35" s="25" t="n">
        <v>293.632729454516</v>
      </c>
      <c r="AS35" s="26" t="n">
        <v>5713.54668225591</v>
      </c>
      <c r="AT35" s="27"/>
      <c r="AU35" s="27"/>
    </row>
    <row r="36" customFormat="false" ht="15" hidden="false" customHeight="true" outlineLevel="0" collapsed="false">
      <c r="A36" s="28" t="n">
        <v>86</v>
      </c>
      <c r="B36" s="30" t="s">
        <v>121</v>
      </c>
      <c r="C36" s="24" t="n">
        <v>0</v>
      </c>
      <c r="D36" s="24" t="n">
        <v>0</v>
      </c>
      <c r="E36" s="24" t="n">
        <v>0</v>
      </c>
      <c r="F36" s="24" t="n">
        <v>0</v>
      </c>
      <c r="G36" s="24" t="n">
        <v>0</v>
      </c>
      <c r="H36" s="24" t="n">
        <v>0</v>
      </c>
      <c r="I36" s="24" t="n">
        <v>0</v>
      </c>
      <c r="J36" s="24" t="n">
        <v>0</v>
      </c>
      <c r="K36" s="24" t="n">
        <v>0</v>
      </c>
      <c r="L36" s="24" t="n">
        <v>0.0426004576990729</v>
      </c>
      <c r="M36" s="24" t="n">
        <v>0</v>
      </c>
      <c r="N36" s="24" t="n">
        <v>0</v>
      </c>
      <c r="O36" s="24" t="n">
        <v>0</v>
      </c>
      <c r="P36" s="24" t="n">
        <v>0</v>
      </c>
      <c r="Q36" s="24" t="n">
        <v>0</v>
      </c>
      <c r="R36" s="24" t="n">
        <v>0</v>
      </c>
      <c r="S36" s="24" t="n">
        <v>0</v>
      </c>
      <c r="T36" s="24" t="n">
        <v>0.221836110225154</v>
      </c>
      <c r="U36" s="24" t="n">
        <v>0.127160430163185</v>
      </c>
      <c r="V36" s="24" t="n">
        <v>0</v>
      </c>
      <c r="W36" s="24" t="n">
        <v>13.5576909778203</v>
      </c>
      <c r="X36" s="24" t="n">
        <v>0</v>
      </c>
      <c r="Y36" s="24" t="n">
        <v>0</v>
      </c>
      <c r="Z36" s="24" t="n">
        <v>0</v>
      </c>
      <c r="AA36" s="24" t="n">
        <v>0</v>
      </c>
      <c r="AB36" s="24" t="n">
        <v>0</v>
      </c>
      <c r="AC36" s="24" t="n">
        <v>0</v>
      </c>
      <c r="AD36" s="24" t="n">
        <v>0</v>
      </c>
      <c r="AE36" s="24" t="n">
        <v>0</v>
      </c>
      <c r="AF36" s="24" t="n">
        <v>0</v>
      </c>
      <c r="AG36" s="24" t="n">
        <v>0</v>
      </c>
      <c r="AH36" s="24" t="n">
        <v>1.40150541476403</v>
      </c>
      <c r="AI36" s="24" t="n">
        <v>4157.32691053876</v>
      </c>
      <c r="AJ36" s="24" t="n">
        <v>0</v>
      </c>
      <c r="AK36" s="24" t="n">
        <v>0</v>
      </c>
      <c r="AL36" s="24" t="n">
        <v>4.68437839563052</v>
      </c>
      <c r="AM36" s="24" t="n">
        <v>0</v>
      </c>
      <c r="AN36" s="24" t="n">
        <v>0</v>
      </c>
      <c r="AO36" s="25" t="n">
        <v>4177.36208232507</v>
      </c>
      <c r="AP36" s="25" t="n">
        <v>0</v>
      </c>
      <c r="AQ36" s="25" t="n">
        <v>0</v>
      </c>
      <c r="AR36" s="25" t="n">
        <v>91.2632284887399</v>
      </c>
      <c r="AS36" s="26" t="n">
        <v>4268.62531081381</v>
      </c>
      <c r="AT36" s="27"/>
      <c r="AU36" s="27"/>
    </row>
    <row r="37" customFormat="false" ht="15" hidden="false" customHeight="true" outlineLevel="0" collapsed="false">
      <c r="A37" s="28" t="s">
        <v>35</v>
      </c>
      <c r="B37" s="23" t="s">
        <v>122</v>
      </c>
      <c r="C37" s="24" t="n">
        <v>0</v>
      </c>
      <c r="D37" s="24" t="n">
        <v>0</v>
      </c>
      <c r="E37" s="24" t="n">
        <v>0</v>
      </c>
      <c r="F37" s="24" t="n">
        <v>0</v>
      </c>
      <c r="G37" s="24" t="n">
        <v>0</v>
      </c>
      <c r="H37" s="24" t="n">
        <v>0</v>
      </c>
      <c r="I37" s="24" t="n">
        <v>0</v>
      </c>
      <c r="J37" s="24" t="n">
        <v>0</v>
      </c>
      <c r="K37" s="24" t="n">
        <v>0</v>
      </c>
      <c r="L37" s="24" t="n">
        <v>0</v>
      </c>
      <c r="M37" s="24" t="n">
        <v>0</v>
      </c>
      <c r="N37" s="24" t="n">
        <v>0</v>
      </c>
      <c r="O37" s="24" t="n">
        <v>0</v>
      </c>
      <c r="P37" s="24" t="n">
        <v>0</v>
      </c>
      <c r="Q37" s="24" t="n">
        <v>0</v>
      </c>
      <c r="R37" s="24" t="n">
        <v>0</v>
      </c>
      <c r="S37" s="24" t="n">
        <v>0</v>
      </c>
      <c r="T37" s="24" t="n">
        <v>0</v>
      </c>
      <c r="U37" s="24" t="n">
        <v>0</v>
      </c>
      <c r="V37" s="24" t="n">
        <v>0</v>
      </c>
      <c r="W37" s="24" t="n">
        <v>0</v>
      </c>
      <c r="X37" s="24" t="n">
        <v>0</v>
      </c>
      <c r="Y37" s="24" t="n">
        <v>0</v>
      </c>
      <c r="Z37" s="24" t="n">
        <v>0</v>
      </c>
      <c r="AA37" s="24" t="n">
        <v>0</v>
      </c>
      <c r="AB37" s="24" t="n">
        <v>0</v>
      </c>
      <c r="AC37" s="24" t="n">
        <v>0</v>
      </c>
      <c r="AD37" s="24" t="n">
        <v>0</v>
      </c>
      <c r="AE37" s="24" t="n">
        <v>0</v>
      </c>
      <c r="AF37" s="24" t="n">
        <v>0</v>
      </c>
      <c r="AG37" s="24" t="n">
        <v>0.209679949997176</v>
      </c>
      <c r="AH37" s="24" t="n">
        <v>0</v>
      </c>
      <c r="AI37" s="24" t="n">
        <v>0</v>
      </c>
      <c r="AJ37" s="24" t="n">
        <v>378.912196128284</v>
      </c>
      <c r="AK37" s="24" t="n">
        <v>0</v>
      </c>
      <c r="AL37" s="24" t="n">
        <v>0</v>
      </c>
      <c r="AM37" s="24" t="n">
        <v>0</v>
      </c>
      <c r="AN37" s="24" t="n">
        <v>0</v>
      </c>
      <c r="AO37" s="25" t="n">
        <v>379.121876078281</v>
      </c>
      <c r="AP37" s="25" t="n">
        <v>0</v>
      </c>
      <c r="AQ37" s="25" t="n">
        <v>0</v>
      </c>
      <c r="AR37" s="25" t="n">
        <v>0</v>
      </c>
      <c r="AS37" s="26" t="n">
        <v>379.121876078281</v>
      </c>
      <c r="AT37" s="27"/>
      <c r="AU37" s="27"/>
    </row>
    <row r="38" customFormat="false" ht="15" hidden="false" customHeight="true" outlineLevel="0" collapsed="false">
      <c r="A38" s="28" t="s">
        <v>36</v>
      </c>
      <c r="B38" s="23" t="s">
        <v>123</v>
      </c>
      <c r="C38" s="24" t="n">
        <v>0</v>
      </c>
      <c r="D38" s="24" t="n">
        <v>0</v>
      </c>
      <c r="E38" s="24" t="n">
        <v>0</v>
      </c>
      <c r="F38" s="24" t="n">
        <v>0</v>
      </c>
      <c r="G38" s="24" t="n">
        <v>0</v>
      </c>
      <c r="H38" s="24" t="n">
        <v>0</v>
      </c>
      <c r="I38" s="24" t="n">
        <v>0</v>
      </c>
      <c r="J38" s="24" t="n">
        <v>0</v>
      </c>
      <c r="K38" s="24" t="n">
        <v>0</v>
      </c>
      <c r="L38" s="24" t="n">
        <v>0</v>
      </c>
      <c r="M38" s="24" t="n">
        <v>0</v>
      </c>
      <c r="N38" s="24" t="n">
        <v>0</v>
      </c>
      <c r="O38" s="24" t="n">
        <v>0</v>
      </c>
      <c r="P38" s="24" t="n">
        <v>0</v>
      </c>
      <c r="Q38" s="24" t="n">
        <v>0</v>
      </c>
      <c r="R38" s="24" t="n">
        <v>0</v>
      </c>
      <c r="S38" s="24" t="n">
        <v>0</v>
      </c>
      <c r="T38" s="24" t="n">
        <v>0</v>
      </c>
      <c r="U38" s="24" t="n">
        <v>0.248883778101544</v>
      </c>
      <c r="V38" s="24" t="n">
        <v>0</v>
      </c>
      <c r="W38" s="24" t="n">
        <v>8.5279115411631</v>
      </c>
      <c r="X38" s="24" t="n">
        <v>0.513737868208042</v>
      </c>
      <c r="Y38" s="24" t="n">
        <v>0</v>
      </c>
      <c r="Z38" s="24" t="n">
        <v>0</v>
      </c>
      <c r="AA38" s="24" t="n">
        <v>0</v>
      </c>
      <c r="AB38" s="24" t="n">
        <v>6.91998275058609</v>
      </c>
      <c r="AC38" s="24" t="n">
        <v>0</v>
      </c>
      <c r="AD38" s="24" t="n">
        <v>0</v>
      </c>
      <c r="AE38" s="24" t="n">
        <v>1.50822272094494</v>
      </c>
      <c r="AF38" s="24" t="n">
        <v>0</v>
      </c>
      <c r="AG38" s="24" t="n">
        <v>0</v>
      </c>
      <c r="AH38" s="24" t="n">
        <v>0</v>
      </c>
      <c r="AI38" s="24" t="n">
        <v>0</v>
      </c>
      <c r="AJ38" s="24" t="n">
        <v>0</v>
      </c>
      <c r="AK38" s="24" t="n">
        <v>5545.2776654413</v>
      </c>
      <c r="AL38" s="24" t="n">
        <v>0</v>
      </c>
      <c r="AM38" s="24" t="n">
        <v>0</v>
      </c>
      <c r="AN38" s="24" t="n">
        <v>0</v>
      </c>
      <c r="AO38" s="25" t="n">
        <v>5562.9964041003</v>
      </c>
      <c r="AP38" s="25" t="n">
        <v>0</v>
      </c>
      <c r="AQ38" s="25" t="n">
        <v>246.893027477209</v>
      </c>
      <c r="AR38" s="25" t="n">
        <v>172.932522943431</v>
      </c>
      <c r="AS38" s="26" t="n">
        <v>5982.82195452094</v>
      </c>
      <c r="AT38" s="27"/>
      <c r="AU38" s="27"/>
    </row>
    <row r="39" customFormat="false" ht="15" hidden="false" customHeight="true" outlineLevel="0" collapsed="false">
      <c r="A39" s="28" t="s">
        <v>37</v>
      </c>
      <c r="B39" s="23" t="s">
        <v>124</v>
      </c>
      <c r="C39" s="24" t="n">
        <v>0</v>
      </c>
      <c r="D39" s="24" t="n">
        <v>0</v>
      </c>
      <c r="E39" s="24" t="n">
        <v>0</v>
      </c>
      <c r="F39" s="24" t="n">
        <v>0</v>
      </c>
      <c r="G39" s="24" t="n">
        <v>0</v>
      </c>
      <c r="H39" s="24" t="n">
        <v>0</v>
      </c>
      <c r="I39" s="24" t="n">
        <v>0</v>
      </c>
      <c r="J39" s="24" t="n">
        <v>0</v>
      </c>
      <c r="K39" s="24" t="n">
        <v>0</v>
      </c>
      <c r="L39" s="24" t="n">
        <v>0</v>
      </c>
      <c r="M39" s="24" t="n">
        <v>0</v>
      </c>
      <c r="N39" s="24" t="n">
        <v>0</v>
      </c>
      <c r="O39" s="24" t="n">
        <v>0</v>
      </c>
      <c r="P39" s="24" t="n">
        <v>0</v>
      </c>
      <c r="Q39" s="24" t="n">
        <v>0</v>
      </c>
      <c r="R39" s="24" t="n">
        <v>0</v>
      </c>
      <c r="S39" s="24" t="n">
        <v>0.227657135661198</v>
      </c>
      <c r="T39" s="24" t="n">
        <v>0</v>
      </c>
      <c r="U39" s="24" t="n">
        <v>0.48121086706957</v>
      </c>
      <c r="V39" s="24" t="n">
        <v>0</v>
      </c>
      <c r="W39" s="24" t="n">
        <v>0.0610196771358662</v>
      </c>
      <c r="X39" s="24" t="n">
        <v>0</v>
      </c>
      <c r="Y39" s="24" t="n">
        <v>0</v>
      </c>
      <c r="Z39" s="24" t="n">
        <v>0</v>
      </c>
      <c r="AA39" s="24" t="n">
        <v>0</v>
      </c>
      <c r="AB39" s="24" t="n">
        <v>0</v>
      </c>
      <c r="AC39" s="24" t="n">
        <v>0</v>
      </c>
      <c r="AD39" s="24" t="n">
        <v>0</v>
      </c>
      <c r="AE39" s="24" t="n">
        <v>0</v>
      </c>
      <c r="AF39" s="24" t="n">
        <v>0.0294435142232354</v>
      </c>
      <c r="AG39" s="24" t="n">
        <v>0</v>
      </c>
      <c r="AH39" s="24" t="n">
        <v>0</v>
      </c>
      <c r="AI39" s="24" t="n">
        <v>0.356011258988196</v>
      </c>
      <c r="AJ39" s="24" t="n">
        <v>0</v>
      </c>
      <c r="AK39" s="24" t="n">
        <v>0</v>
      </c>
      <c r="AL39" s="24" t="n">
        <v>1263.7914948247</v>
      </c>
      <c r="AM39" s="24" t="n">
        <v>0</v>
      </c>
      <c r="AN39" s="24" t="n">
        <v>0</v>
      </c>
      <c r="AO39" s="25" t="n">
        <v>1264.94683727778</v>
      </c>
      <c r="AP39" s="25" t="n">
        <v>0</v>
      </c>
      <c r="AQ39" s="25" t="n">
        <v>88.2212828324793</v>
      </c>
      <c r="AR39" s="25" t="n">
        <v>98.6441527131031</v>
      </c>
      <c r="AS39" s="26" t="n">
        <v>1451.81227282336</v>
      </c>
      <c r="AT39" s="27"/>
      <c r="AU39" s="27"/>
    </row>
    <row r="40" customFormat="false" ht="51.75" hidden="false" customHeight="true" outlineLevel="0" collapsed="false">
      <c r="A40" s="28" t="s">
        <v>38</v>
      </c>
      <c r="B40" s="23" t="s">
        <v>125</v>
      </c>
      <c r="C40" s="24" t="n">
        <v>0</v>
      </c>
      <c r="D40" s="24" t="n">
        <v>0</v>
      </c>
      <c r="E40" s="24" t="n">
        <v>0</v>
      </c>
      <c r="F40" s="24" t="n">
        <v>0</v>
      </c>
      <c r="G40" s="24" t="n">
        <v>0</v>
      </c>
      <c r="H40" s="24" t="n">
        <v>0</v>
      </c>
      <c r="I40" s="24" t="n">
        <v>0</v>
      </c>
      <c r="J40" s="24" t="n">
        <v>0</v>
      </c>
      <c r="K40" s="24" t="n">
        <v>0</v>
      </c>
      <c r="L40" s="24" t="n">
        <v>0</v>
      </c>
      <c r="M40" s="24" t="n">
        <v>0</v>
      </c>
      <c r="N40" s="24" t="n">
        <v>0</v>
      </c>
      <c r="O40" s="24" t="n">
        <v>0</v>
      </c>
      <c r="P40" s="24" t="n">
        <v>0</v>
      </c>
      <c r="Q40" s="24" t="n">
        <v>0</v>
      </c>
      <c r="R40" s="24" t="n">
        <v>0</v>
      </c>
      <c r="S40" s="24" t="n">
        <v>0</v>
      </c>
      <c r="T40" s="24" t="n">
        <v>0</v>
      </c>
      <c r="U40" s="24" t="n">
        <v>0</v>
      </c>
      <c r="V40" s="24" t="n">
        <v>0</v>
      </c>
      <c r="W40" s="24" t="n">
        <v>0</v>
      </c>
      <c r="X40" s="24" t="n">
        <v>0</v>
      </c>
      <c r="Y40" s="24" t="n">
        <v>0</v>
      </c>
      <c r="Z40" s="24" t="n">
        <v>0</v>
      </c>
      <c r="AA40" s="24" t="n">
        <v>0</v>
      </c>
      <c r="AB40" s="24" t="n">
        <v>0</v>
      </c>
      <c r="AC40" s="24" t="n">
        <v>0</v>
      </c>
      <c r="AD40" s="24" t="n">
        <v>0</v>
      </c>
      <c r="AE40" s="24" t="n">
        <v>0</v>
      </c>
      <c r="AF40" s="24" t="n">
        <v>0</v>
      </c>
      <c r="AG40" s="24" t="n">
        <v>0</v>
      </c>
      <c r="AH40" s="24" t="n">
        <v>0</v>
      </c>
      <c r="AI40" s="24" t="n">
        <v>0</v>
      </c>
      <c r="AJ40" s="24" t="n">
        <v>0</v>
      </c>
      <c r="AK40" s="24" t="n">
        <v>0</v>
      </c>
      <c r="AL40" s="24" t="n">
        <v>0</v>
      </c>
      <c r="AM40" s="24" t="n">
        <v>95.1807998819878</v>
      </c>
      <c r="AN40" s="24" t="n">
        <v>0</v>
      </c>
      <c r="AO40" s="25" t="n">
        <v>95.1807998819878</v>
      </c>
      <c r="AP40" s="25" t="n">
        <v>0</v>
      </c>
      <c r="AQ40" s="25" t="n">
        <v>0</v>
      </c>
      <c r="AR40" s="25" t="n">
        <v>0</v>
      </c>
      <c r="AS40" s="26" t="n">
        <v>95.1807998819878</v>
      </c>
      <c r="AT40" s="27"/>
      <c r="AU40" s="27"/>
    </row>
    <row r="41" customFormat="false" ht="26.25" hidden="false" customHeight="true" outlineLevel="0" collapsed="false">
      <c r="A41" s="28" t="s">
        <v>39</v>
      </c>
      <c r="B41" s="30" t="s">
        <v>126</v>
      </c>
      <c r="C41" s="24" t="n">
        <v>0</v>
      </c>
      <c r="D41" s="24" t="n">
        <v>0</v>
      </c>
      <c r="E41" s="24" t="n">
        <v>0</v>
      </c>
      <c r="F41" s="24" t="n">
        <v>0</v>
      </c>
      <c r="G41" s="24" t="n">
        <v>0</v>
      </c>
      <c r="H41" s="24" t="n">
        <v>0</v>
      </c>
      <c r="I41" s="24" t="n">
        <v>0</v>
      </c>
      <c r="J41" s="24" t="n">
        <v>0</v>
      </c>
      <c r="K41" s="24" t="n">
        <v>0</v>
      </c>
      <c r="L41" s="24" t="n">
        <v>0</v>
      </c>
      <c r="M41" s="24" t="n">
        <v>0</v>
      </c>
      <c r="N41" s="24" t="n">
        <v>0</v>
      </c>
      <c r="O41" s="24" t="n">
        <v>0</v>
      </c>
      <c r="P41" s="24" t="n">
        <v>0</v>
      </c>
      <c r="Q41" s="24" t="n">
        <v>0</v>
      </c>
      <c r="R41" s="24" t="n">
        <v>0</v>
      </c>
      <c r="S41" s="24" t="n">
        <v>0</v>
      </c>
      <c r="T41" s="24" t="n">
        <v>0</v>
      </c>
      <c r="U41" s="24" t="n">
        <v>0</v>
      </c>
      <c r="V41" s="24" t="n">
        <v>0</v>
      </c>
      <c r="W41" s="24" t="n">
        <v>0</v>
      </c>
      <c r="X41" s="24" t="n">
        <v>0</v>
      </c>
      <c r="Y41" s="24" t="n">
        <v>0</v>
      </c>
      <c r="Z41" s="24" t="n">
        <v>0</v>
      </c>
      <c r="AA41" s="24" t="n">
        <v>0</v>
      </c>
      <c r="AB41" s="24" t="n">
        <v>0</v>
      </c>
      <c r="AC41" s="24" t="n">
        <v>0</v>
      </c>
      <c r="AD41" s="24" t="n">
        <v>0</v>
      </c>
      <c r="AE41" s="24" t="n">
        <v>0</v>
      </c>
      <c r="AF41" s="24" t="n">
        <v>0</v>
      </c>
      <c r="AG41" s="24" t="n">
        <v>0</v>
      </c>
      <c r="AH41" s="24" t="n">
        <v>0</v>
      </c>
      <c r="AI41" s="24" t="n">
        <v>0</v>
      </c>
      <c r="AJ41" s="24" t="n">
        <v>0</v>
      </c>
      <c r="AK41" s="24" t="n">
        <v>0</v>
      </c>
      <c r="AL41" s="24" t="n">
        <v>0</v>
      </c>
      <c r="AM41" s="24" t="n">
        <v>0</v>
      </c>
      <c r="AN41" s="24" t="n">
        <v>0</v>
      </c>
      <c r="AO41" s="25" t="n">
        <v>0</v>
      </c>
      <c r="AP41" s="25" t="n">
        <v>0</v>
      </c>
      <c r="AQ41" s="25" t="n">
        <v>0</v>
      </c>
      <c r="AR41" s="25" t="n">
        <v>0</v>
      </c>
      <c r="AS41" s="26" t="n">
        <v>0</v>
      </c>
      <c r="AT41" s="27"/>
      <c r="AU41" s="27"/>
    </row>
    <row r="42" customFormat="false" ht="15" hidden="false" customHeight="true" outlineLevel="0" collapsed="false">
      <c r="A42" s="31"/>
      <c r="B42" s="32" t="s">
        <v>127</v>
      </c>
      <c r="C42" s="33" t="n">
        <v>8082.22819815753</v>
      </c>
      <c r="D42" s="33" t="n">
        <v>2314.45404921384</v>
      </c>
      <c r="E42" s="33" t="n">
        <v>14395.8170128011</v>
      </c>
      <c r="F42" s="33" t="n">
        <v>685.747847505085</v>
      </c>
      <c r="G42" s="33" t="n">
        <v>756.845195851991</v>
      </c>
      <c r="H42" s="33" t="n">
        <v>265.942232095781</v>
      </c>
      <c r="I42" s="33" t="n">
        <v>796.98566410677</v>
      </c>
      <c r="J42" s="33" t="n">
        <v>440.97833148469</v>
      </c>
      <c r="K42" s="33" t="n">
        <v>3865.84156801526</v>
      </c>
      <c r="L42" s="33" t="n">
        <v>2978.4533104488</v>
      </c>
      <c r="M42" s="33" t="n">
        <v>3.23819583394165</v>
      </c>
      <c r="N42" s="33" t="n">
        <v>251.881553797018</v>
      </c>
      <c r="O42" s="33" t="n">
        <v>67.6175618674143</v>
      </c>
      <c r="P42" s="33" t="n">
        <v>80.0475271077259</v>
      </c>
      <c r="Q42" s="33" t="n">
        <v>720.52296878775</v>
      </c>
      <c r="R42" s="33" t="n">
        <v>2927.48462657126</v>
      </c>
      <c r="S42" s="33" t="n">
        <v>1141.54764429816</v>
      </c>
      <c r="T42" s="33" t="n">
        <v>19023.4962962767</v>
      </c>
      <c r="U42" s="33" t="n">
        <v>19349.842625543</v>
      </c>
      <c r="V42" s="33" t="n">
        <v>9839.86035251589</v>
      </c>
      <c r="W42" s="33" t="n">
        <v>6692.66165746577</v>
      </c>
      <c r="X42" s="33" t="n">
        <v>1355.49292974811</v>
      </c>
      <c r="Y42" s="33" t="n">
        <v>2116.75918881287</v>
      </c>
      <c r="Z42" s="33" t="n">
        <v>3940.45281383176</v>
      </c>
      <c r="AA42" s="33" t="n">
        <v>5666.36970546485</v>
      </c>
      <c r="AB42" s="33" t="n">
        <v>9828.51638512876</v>
      </c>
      <c r="AC42" s="33" t="n">
        <v>1470.30093610255</v>
      </c>
      <c r="AD42" s="33" t="n">
        <v>299.528589938032</v>
      </c>
      <c r="AE42" s="33" t="n">
        <v>1061.77853117088</v>
      </c>
      <c r="AF42" s="33" t="n">
        <v>1615.62458477143</v>
      </c>
      <c r="AG42" s="33" t="n">
        <v>7892.85199030817</v>
      </c>
      <c r="AH42" s="33" t="n">
        <v>5426.65247898487</v>
      </c>
      <c r="AI42" s="33" t="n">
        <v>4182.83848845401</v>
      </c>
      <c r="AJ42" s="33" t="n">
        <v>379.375510186797</v>
      </c>
      <c r="AK42" s="33" t="n">
        <v>5556.37441822345</v>
      </c>
      <c r="AL42" s="33" t="n">
        <v>1312.48467749147</v>
      </c>
      <c r="AM42" s="33" t="n">
        <v>95.1807998819878</v>
      </c>
      <c r="AN42" s="33" t="n">
        <v>0</v>
      </c>
      <c r="AO42" s="33" t="n">
        <v>146882.076448245</v>
      </c>
      <c r="AP42" s="33" t="n">
        <v>0</v>
      </c>
      <c r="AQ42" s="33" t="n">
        <v>12042.850088604</v>
      </c>
      <c r="AR42" s="33" t="n">
        <v>51758.9012618032</v>
      </c>
      <c r="AS42" s="34" t="n">
        <v>210683.827798653</v>
      </c>
      <c r="AT42" s="27"/>
      <c r="AU42" s="27"/>
      <c r="AV42" s="35"/>
      <c r="AW42" s="35"/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.14"/>
    <col collapsed="false" customWidth="true" hidden="false" outlineLevel="0" max="2" min="2" style="1" width="46.86"/>
    <col collapsed="false" customWidth="true" hidden="false" outlineLevel="0" max="3" min="3" style="1" width="12"/>
    <col collapsed="false" customWidth="true" hidden="false" outlineLevel="0" max="4" min="4" style="1" width="17.57"/>
    <col collapsed="false" customWidth="true" hidden="false" outlineLevel="0" max="5" min="5" style="1" width="14.57"/>
    <col collapsed="false" customWidth="true" hidden="false" outlineLevel="0" max="6" min="6" style="1" width="17"/>
    <col collapsed="false" customWidth="true" hidden="false" outlineLevel="0" max="7" min="7" style="1" width="15.42"/>
    <col collapsed="false" customWidth="true" hidden="false" outlineLevel="0" max="8" min="8" style="1" width="20.71"/>
    <col collapsed="false" customWidth="true" hidden="false" outlineLevel="0" max="9" min="9" style="1" width="16"/>
    <col collapsed="false" customWidth="true" hidden="false" outlineLevel="0" max="10" min="10" style="1" width="17.42"/>
    <col collapsed="false" customWidth="true" hidden="false" outlineLevel="0" max="11" min="11" style="1" width="19.57"/>
    <col collapsed="false" customWidth="true" hidden="false" outlineLevel="0" max="12" min="12" style="1" width="20.85"/>
    <col collapsed="false" customWidth="true" hidden="false" outlineLevel="0" max="13" min="13" style="1" width="19.14"/>
    <col collapsed="false" customWidth="true" hidden="false" outlineLevel="0" max="14" min="14" style="1" width="13.71"/>
    <col collapsed="false" customWidth="true" hidden="false" outlineLevel="0" max="15" min="15" style="1" width="18.86"/>
    <col collapsed="false" customWidth="true" hidden="false" outlineLevel="0" max="16" min="16" style="1" width="18.42"/>
    <col collapsed="false" customWidth="true" hidden="false" outlineLevel="0" max="17" min="17" style="1" width="17.29"/>
    <col collapsed="false" customWidth="true" hidden="false" outlineLevel="0" max="18" min="18" style="1" width="18"/>
    <col collapsed="false" customWidth="true" hidden="false" outlineLevel="0" max="19" min="19" style="1" width="21.43"/>
    <col collapsed="false" customWidth="true" hidden="false" outlineLevel="0" max="20" min="20" style="1" width="16.14"/>
    <col collapsed="false" customWidth="true" hidden="false" outlineLevel="0" max="21" min="21" style="1" width="19.42"/>
    <col collapsed="false" customWidth="true" hidden="false" outlineLevel="0" max="22" min="22" style="1" width="17.57"/>
    <col collapsed="false" customWidth="true" hidden="false" outlineLevel="0" max="23" min="23" style="1" width="15.85"/>
    <col collapsed="false" customWidth="true" hidden="false" outlineLevel="0" max="24" min="24" style="1" width="17.57"/>
    <col collapsed="false" customWidth="true" hidden="false" outlineLevel="0" max="25" min="25" style="1" width="20.42"/>
    <col collapsed="false" customWidth="true" hidden="false" outlineLevel="0" max="26" min="26" style="1" width="28.57"/>
    <col collapsed="false" customWidth="true" hidden="false" outlineLevel="0" max="27" min="27" style="1" width="18.57"/>
    <col collapsed="false" customWidth="true" hidden="false" outlineLevel="0" max="28" min="28" style="1" width="16.71"/>
    <col collapsed="false" customWidth="true" hidden="false" outlineLevel="0" max="29" min="29" style="1" width="36.71"/>
    <col collapsed="false" customWidth="true" hidden="false" outlineLevel="0" max="30" min="30" style="1" width="19.86"/>
    <col collapsed="false" customWidth="true" hidden="false" outlineLevel="0" max="31" min="31" style="1" width="31.57"/>
    <col collapsed="false" customWidth="true" hidden="false" outlineLevel="0" max="32" min="32" style="1" width="24.86"/>
    <col collapsed="false" customWidth="true" hidden="false" outlineLevel="0" max="33" min="33" style="1" width="29.42"/>
    <col collapsed="false" customWidth="true" hidden="false" outlineLevel="0" max="34" min="34" style="1" width="15.14"/>
    <col collapsed="false" customWidth="true" hidden="false" outlineLevel="0" max="35" min="35" style="1" width="19.42"/>
    <col collapsed="false" customWidth="true" hidden="false" outlineLevel="0" max="36" min="36" style="1" width="15.85"/>
    <col collapsed="false" customWidth="true" hidden="false" outlineLevel="0" max="37" min="37" style="1" width="21.71"/>
    <col collapsed="false" customWidth="true" hidden="false" outlineLevel="0" max="38" min="38" style="1" width="14.42"/>
    <col collapsed="false" customWidth="true" hidden="false" outlineLevel="0" max="39" min="39" style="1" width="33.57"/>
    <col collapsed="false" customWidth="true" hidden="false" outlineLevel="0" max="40" min="40" style="1" width="18.29"/>
    <col collapsed="false" customWidth="true" hidden="false" outlineLevel="0" max="41" min="41" style="1" width="15"/>
    <col collapsed="false" customWidth="true" hidden="false" outlineLevel="0" max="42" min="42" style="1" width="22.42"/>
    <col collapsed="false" customWidth="true" hidden="false" outlineLevel="0" max="43" min="43" style="1" width="22.15"/>
    <col collapsed="false" customWidth="true" hidden="false" outlineLevel="0" max="44" min="44" style="1" width="16.84"/>
    <col collapsed="false" customWidth="true" hidden="false" outlineLevel="0" max="45" min="45" style="1" width="13.29"/>
    <col collapsed="false" customWidth="true" hidden="false" outlineLevel="0" max="46" min="46" style="1" width="14.71"/>
    <col collapsed="false" customWidth="true" hidden="false" outlineLevel="0" max="47" min="47" style="1" width="12.86"/>
    <col collapsed="false" customWidth="true" hidden="false" outlineLevel="0" max="48" min="48" style="1" width="14.57"/>
    <col collapsed="false" customWidth="true" hidden="false" outlineLevel="0" max="49" min="49" style="1" width="15"/>
    <col collapsed="false" customWidth="true" hidden="false" outlineLevel="0" max="50" min="50" style="1" width="14.29"/>
    <col collapsed="false" customWidth="true" hidden="false" outlineLevel="0" max="82" min="82" style="1" width="12.86"/>
    <col collapsed="false" customWidth="true" hidden="false" outlineLevel="0" max="83" min="83" style="1" width="16.71"/>
    <col collapsed="false" customWidth="true" hidden="false" outlineLevel="0" max="84" min="84" style="1" width="15.42"/>
    <col collapsed="false" customWidth="true" hidden="false" outlineLevel="0" max="85" min="85" style="1" width="16.57"/>
    <col collapsed="false" customWidth="true" hidden="false" outlineLevel="0" max="86" min="86" style="1" width="13"/>
    <col collapsed="false" customWidth="true" hidden="false" outlineLevel="0" max="87" min="87" style="1" width="14.86"/>
    <col collapsed="false" customWidth="true" hidden="false" outlineLevel="0" max="88" min="88" style="1" width="11.57"/>
    <col collapsed="false" customWidth="true" hidden="false" outlineLevel="0" max="89" min="89" style="1" width="12.15"/>
  </cols>
  <sheetData>
    <row r="1" customFormat="false" ht="22.5" hidden="false" customHeight="true" outlineLevel="0" collapsed="false">
      <c r="A1" s="9" t="s">
        <v>128</v>
      </c>
      <c r="B1" s="9"/>
      <c r="C1" s="36"/>
      <c r="D1" s="36"/>
    </row>
    <row r="2" customFormat="false" ht="48.75" hidden="false" customHeight="true" outlineLevel="0" collapsed="false">
      <c r="A2" s="10" t="s">
        <v>129</v>
      </c>
      <c r="B2" s="11"/>
      <c r="C2" s="12" t="s">
        <v>12</v>
      </c>
      <c r="D2" s="13" t="s">
        <v>13</v>
      </c>
      <c r="E2" s="13" t="s">
        <v>14</v>
      </c>
      <c r="F2" s="13" t="s">
        <v>15</v>
      </c>
      <c r="G2" s="13" t="s">
        <v>16</v>
      </c>
      <c r="H2" s="13" t="n">
        <v>19</v>
      </c>
      <c r="I2" s="13" t="n">
        <v>20</v>
      </c>
      <c r="J2" s="13" t="n">
        <v>21</v>
      </c>
      <c r="K2" s="13" t="s">
        <v>17</v>
      </c>
      <c r="L2" s="13" t="s">
        <v>18</v>
      </c>
      <c r="M2" s="13" t="n">
        <v>26</v>
      </c>
      <c r="N2" s="13" t="n">
        <v>27</v>
      </c>
      <c r="O2" s="13" t="n">
        <v>28</v>
      </c>
      <c r="P2" s="13" t="s">
        <v>19</v>
      </c>
      <c r="Q2" s="13" t="s">
        <v>20</v>
      </c>
      <c r="R2" s="13" t="s">
        <v>21</v>
      </c>
      <c r="S2" s="13" t="s">
        <v>22</v>
      </c>
      <c r="T2" s="13" t="s">
        <v>23</v>
      </c>
      <c r="U2" s="13" t="s">
        <v>24</v>
      </c>
      <c r="V2" s="13" t="s">
        <v>25</v>
      </c>
      <c r="W2" s="13" t="s">
        <v>26</v>
      </c>
      <c r="X2" s="13" t="s">
        <v>27</v>
      </c>
      <c r="Y2" s="13" t="s">
        <v>28</v>
      </c>
      <c r="Z2" s="13" t="s">
        <v>29</v>
      </c>
      <c r="AA2" s="13" t="s">
        <v>30</v>
      </c>
      <c r="AB2" s="13" t="s">
        <v>31</v>
      </c>
      <c r="AC2" s="13" t="s">
        <v>32</v>
      </c>
      <c r="AD2" s="13" t="n">
        <v>72</v>
      </c>
      <c r="AE2" s="13" t="s">
        <v>33</v>
      </c>
      <c r="AF2" s="13" t="s">
        <v>34</v>
      </c>
      <c r="AG2" s="13" t="n">
        <v>84</v>
      </c>
      <c r="AH2" s="13" t="n">
        <v>85</v>
      </c>
      <c r="AI2" s="13" t="n">
        <v>86</v>
      </c>
      <c r="AJ2" s="13" t="s">
        <v>35</v>
      </c>
      <c r="AK2" s="13" t="s">
        <v>36</v>
      </c>
      <c r="AL2" s="13" t="s">
        <v>37</v>
      </c>
      <c r="AM2" s="13" t="s">
        <v>38</v>
      </c>
      <c r="AN2" s="13" t="s">
        <v>39</v>
      </c>
      <c r="AO2" s="14" t="s">
        <v>130</v>
      </c>
      <c r="AP2" s="14" t="s">
        <v>131</v>
      </c>
      <c r="AQ2" s="14" t="s">
        <v>132</v>
      </c>
      <c r="AR2" s="14" t="s">
        <v>133</v>
      </c>
      <c r="AS2" s="14" t="s">
        <v>134</v>
      </c>
      <c r="AT2" s="14" t="s">
        <v>135</v>
      </c>
      <c r="AU2" s="14" t="s">
        <v>136</v>
      </c>
      <c r="AV2" s="14" t="s">
        <v>137</v>
      </c>
      <c r="AW2" s="14" t="s">
        <v>138</v>
      </c>
      <c r="AX2" s="15" t="s">
        <v>139</v>
      </c>
    </row>
    <row r="3" customFormat="false" ht="121.5" hidden="false" customHeight="true" outlineLevel="0" collapsed="false">
      <c r="A3" s="16"/>
      <c r="B3" s="17" t="s">
        <v>45</v>
      </c>
      <c r="C3" s="18" t="s">
        <v>46</v>
      </c>
      <c r="D3" s="19" t="s">
        <v>47</v>
      </c>
      <c r="E3" s="19" t="s">
        <v>48</v>
      </c>
      <c r="F3" s="19" t="s">
        <v>49</v>
      </c>
      <c r="G3" s="19" t="s">
        <v>50</v>
      </c>
      <c r="H3" s="19" t="s">
        <v>51</v>
      </c>
      <c r="I3" s="19" t="s">
        <v>52</v>
      </c>
      <c r="J3" s="19" t="s">
        <v>53</v>
      </c>
      <c r="K3" s="19" t="s">
        <v>54</v>
      </c>
      <c r="L3" s="19" t="s">
        <v>55</v>
      </c>
      <c r="M3" s="19" t="s">
        <v>56</v>
      </c>
      <c r="N3" s="19" t="s">
        <v>57</v>
      </c>
      <c r="O3" s="19" t="s">
        <v>58</v>
      </c>
      <c r="P3" s="19" t="s">
        <v>59</v>
      </c>
      <c r="Q3" s="19" t="s">
        <v>60</v>
      </c>
      <c r="R3" s="19" t="s">
        <v>61</v>
      </c>
      <c r="S3" s="19" t="s">
        <v>62</v>
      </c>
      <c r="T3" s="19" t="s">
        <v>63</v>
      </c>
      <c r="U3" s="19" t="s">
        <v>64</v>
      </c>
      <c r="V3" s="19" t="s">
        <v>65</v>
      </c>
      <c r="W3" s="19" t="s">
        <v>66</v>
      </c>
      <c r="X3" s="19" t="s">
        <v>67</v>
      </c>
      <c r="Y3" s="19" t="s">
        <v>68</v>
      </c>
      <c r="Z3" s="19" t="s">
        <v>69</v>
      </c>
      <c r="AA3" s="19" t="s">
        <v>70</v>
      </c>
      <c r="AB3" s="19" t="s">
        <v>71</v>
      </c>
      <c r="AC3" s="19" t="s">
        <v>72</v>
      </c>
      <c r="AD3" s="19" t="s">
        <v>73</v>
      </c>
      <c r="AE3" s="19" t="s">
        <v>74</v>
      </c>
      <c r="AF3" s="19" t="s">
        <v>75</v>
      </c>
      <c r="AG3" s="19" t="s">
        <v>76</v>
      </c>
      <c r="AH3" s="19" t="s">
        <v>77</v>
      </c>
      <c r="AI3" s="19" t="s">
        <v>78</v>
      </c>
      <c r="AJ3" s="19" t="s">
        <v>79</v>
      </c>
      <c r="AK3" s="19" t="s">
        <v>80</v>
      </c>
      <c r="AL3" s="19" t="s">
        <v>81</v>
      </c>
      <c r="AM3" s="19" t="s">
        <v>82</v>
      </c>
      <c r="AN3" s="19" t="s">
        <v>83</v>
      </c>
      <c r="AO3" s="20" t="s">
        <v>140</v>
      </c>
      <c r="AP3" s="37" t="s">
        <v>141</v>
      </c>
      <c r="AQ3" s="37" t="s">
        <v>142</v>
      </c>
      <c r="AR3" s="38" t="s">
        <v>143</v>
      </c>
      <c r="AS3" s="38" t="s">
        <v>144</v>
      </c>
      <c r="AT3" s="37" t="s">
        <v>145</v>
      </c>
      <c r="AU3" s="37" t="s">
        <v>146</v>
      </c>
      <c r="AV3" s="20" t="s">
        <v>147</v>
      </c>
      <c r="AW3" s="20" t="s">
        <v>148</v>
      </c>
      <c r="AX3" s="21" t="s">
        <v>149</v>
      </c>
    </row>
    <row r="4" customFormat="false" ht="15" hidden="false" customHeight="true" outlineLevel="0" collapsed="false">
      <c r="A4" s="22" t="s">
        <v>12</v>
      </c>
      <c r="B4" s="23" t="s">
        <v>89</v>
      </c>
      <c r="C4" s="39" t="n">
        <v>1350.80830168607</v>
      </c>
      <c r="D4" s="39" t="n">
        <v>0</v>
      </c>
      <c r="E4" s="39" t="n">
        <v>5397.62118039001</v>
      </c>
      <c r="F4" s="39" t="n">
        <v>4.5750327269142</v>
      </c>
      <c r="G4" s="39" t="n">
        <v>17.7524899546938</v>
      </c>
      <c r="H4" s="39" t="n">
        <v>0</v>
      </c>
      <c r="I4" s="39" t="n">
        <v>0</v>
      </c>
      <c r="J4" s="39" t="n">
        <v>0</v>
      </c>
      <c r="K4" s="39" t="n">
        <v>0</v>
      </c>
      <c r="L4" s="39" t="n">
        <v>0</v>
      </c>
      <c r="M4" s="39" t="n">
        <v>0</v>
      </c>
      <c r="N4" s="39" t="n">
        <v>0</v>
      </c>
      <c r="O4" s="39" t="n">
        <v>0</v>
      </c>
      <c r="P4" s="39" t="n">
        <v>0</v>
      </c>
      <c r="Q4" s="39" t="n">
        <v>0</v>
      </c>
      <c r="R4" s="39" t="n">
        <v>0.0306095241086358</v>
      </c>
      <c r="S4" s="39" t="n">
        <v>0</v>
      </c>
      <c r="T4" s="39" t="n">
        <v>0.649473143928035</v>
      </c>
      <c r="U4" s="39" t="n">
        <v>63.3282952689323</v>
      </c>
      <c r="V4" s="39" t="n">
        <v>0.0290711463993758</v>
      </c>
      <c r="W4" s="39" t="n">
        <v>332.560082642469</v>
      </c>
      <c r="X4" s="39" t="n">
        <v>0</v>
      </c>
      <c r="Y4" s="39" t="n">
        <v>0</v>
      </c>
      <c r="Z4" s="39" t="n">
        <v>0</v>
      </c>
      <c r="AA4" s="39" t="n">
        <v>0.00363023088583512</v>
      </c>
      <c r="AB4" s="39" t="n">
        <v>0</v>
      </c>
      <c r="AC4" s="39" t="n">
        <v>0.0237920457769958</v>
      </c>
      <c r="AD4" s="39" t="n">
        <v>0</v>
      </c>
      <c r="AE4" s="39" t="n">
        <v>0</v>
      </c>
      <c r="AF4" s="39" t="n">
        <v>0</v>
      </c>
      <c r="AG4" s="39" t="n">
        <v>0</v>
      </c>
      <c r="AH4" s="39" t="n">
        <v>10.1842552150385</v>
      </c>
      <c r="AI4" s="39" t="n">
        <v>0.065691562510875</v>
      </c>
      <c r="AJ4" s="39" t="n">
        <v>15.0587889249115</v>
      </c>
      <c r="AK4" s="39" t="n">
        <v>48.0958003826571</v>
      </c>
      <c r="AL4" s="39" t="n">
        <v>0</v>
      </c>
      <c r="AM4" s="39" t="n">
        <v>0</v>
      </c>
      <c r="AN4" s="39" t="n">
        <v>0</v>
      </c>
      <c r="AO4" s="40" t="n">
        <v>7240.7864948453</v>
      </c>
      <c r="AP4" s="39" t="n">
        <v>2692.29321040166</v>
      </c>
      <c r="AQ4" s="39" t="n">
        <v>0</v>
      </c>
      <c r="AR4" s="40" t="n">
        <v>2692.29321040166</v>
      </c>
      <c r="AS4" s="40" t="n">
        <v>946.930104177388</v>
      </c>
      <c r="AT4" s="39" t="n">
        <v>625.78171194772</v>
      </c>
      <c r="AU4" s="39" t="n">
        <v>43.9552130644366</v>
      </c>
      <c r="AV4" s="40" t="n">
        <v>669.736925012157</v>
      </c>
      <c r="AW4" s="40" t="n">
        <v>4308.9602395912</v>
      </c>
      <c r="AX4" s="41" t="n">
        <v>11549.7467344365</v>
      </c>
    </row>
    <row r="5" customFormat="false" ht="15" hidden="false" customHeight="true" outlineLevel="0" collapsed="false">
      <c r="A5" s="28" t="s">
        <v>13</v>
      </c>
      <c r="B5" s="23" t="s">
        <v>47</v>
      </c>
      <c r="C5" s="39" t="n">
        <v>2.12018069030851</v>
      </c>
      <c r="D5" s="39" t="n">
        <v>275.04982152213</v>
      </c>
      <c r="E5" s="39" t="n">
        <v>0.89442647059106</v>
      </c>
      <c r="F5" s="39" t="n">
        <v>0</v>
      </c>
      <c r="G5" s="39" t="n">
        <v>0</v>
      </c>
      <c r="H5" s="39" t="n">
        <v>60.8215914110607</v>
      </c>
      <c r="I5" s="39" t="n">
        <v>0</v>
      </c>
      <c r="J5" s="39" t="n">
        <v>0.0552331467784813</v>
      </c>
      <c r="K5" s="39" t="n">
        <v>273.554156101206</v>
      </c>
      <c r="L5" s="39" t="n">
        <v>44.7930442371144</v>
      </c>
      <c r="M5" s="39" t="n">
        <v>0</v>
      </c>
      <c r="N5" s="39" t="n">
        <v>0</v>
      </c>
      <c r="O5" s="39" t="n">
        <v>0</v>
      </c>
      <c r="P5" s="39" t="n">
        <v>0</v>
      </c>
      <c r="Q5" s="39" t="n">
        <v>0.0355477033585696</v>
      </c>
      <c r="R5" s="39" t="n">
        <v>1.96057952953167</v>
      </c>
      <c r="S5" s="39" t="n">
        <v>0</v>
      </c>
      <c r="T5" s="39" t="n">
        <v>199.831359323408</v>
      </c>
      <c r="U5" s="39" t="n">
        <v>2.12916751629307</v>
      </c>
      <c r="V5" s="39" t="n">
        <v>3.82177577190272</v>
      </c>
      <c r="W5" s="39" t="n">
        <v>0</v>
      </c>
      <c r="X5" s="39" t="n">
        <v>0</v>
      </c>
      <c r="Y5" s="39" t="n">
        <v>0</v>
      </c>
      <c r="Z5" s="39" t="n">
        <v>0</v>
      </c>
      <c r="AA5" s="39" t="n">
        <v>0.00582610447881676</v>
      </c>
      <c r="AB5" s="39" t="n">
        <v>9.74371647926988</v>
      </c>
      <c r="AC5" s="39" t="n">
        <v>0</v>
      </c>
      <c r="AD5" s="39" t="n">
        <v>0</v>
      </c>
      <c r="AE5" s="39" t="n">
        <v>0</v>
      </c>
      <c r="AF5" s="39" t="n">
        <v>0</v>
      </c>
      <c r="AG5" s="39" t="n">
        <v>0</v>
      </c>
      <c r="AH5" s="39" t="n">
        <v>0.0511224042382546</v>
      </c>
      <c r="AI5" s="39" t="n">
        <v>0.119880186029411</v>
      </c>
      <c r="AJ5" s="39" t="n">
        <v>0</v>
      </c>
      <c r="AK5" s="39" t="n">
        <v>0</v>
      </c>
      <c r="AL5" s="39" t="n">
        <v>1.29049241609194</v>
      </c>
      <c r="AM5" s="39" t="n">
        <v>0</v>
      </c>
      <c r="AN5" s="39" t="n">
        <v>0</v>
      </c>
      <c r="AO5" s="40" t="n">
        <v>876.277921013791</v>
      </c>
      <c r="AP5" s="39" t="n">
        <v>0.655167538129424</v>
      </c>
      <c r="AQ5" s="39" t="n">
        <v>0</v>
      </c>
      <c r="AR5" s="40" t="n">
        <v>0.655167538129424</v>
      </c>
      <c r="AS5" s="40" t="n">
        <v>2289.42622320357</v>
      </c>
      <c r="AT5" s="39" t="n">
        <v>0</v>
      </c>
      <c r="AU5" s="39" t="n">
        <v>36.2631505308851</v>
      </c>
      <c r="AV5" s="40" t="n">
        <v>36.2631505308851</v>
      </c>
      <c r="AW5" s="40" t="n">
        <v>2326.34454127258</v>
      </c>
      <c r="AX5" s="41" t="n">
        <v>3202.62246228637</v>
      </c>
    </row>
    <row r="6" customFormat="false" ht="15" hidden="false" customHeight="true" outlineLevel="0" collapsed="false">
      <c r="A6" s="28" t="s">
        <v>14</v>
      </c>
      <c r="B6" s="23" t="s">
        <v>90</v>
      </c>
      <c r="C6" s="39" t="n">
        <v>537.77772421949</v>
      </c>
      <c r="D6" s="39" t="n">
        <v>0</v>
      </c>
      <c r="E6" s="39" t="n">
        <v>2613.61309818149</v>
      </c>
      <c r="F6" s="39" t="n">
        <v>0</v>
      </c>
      <c r="G6" s="39" t="n">
        <v>0</v>
      </c>
      <c r="H6" s="39" t="n">
        <v>0</v>
      </c>
      <c r="I6" s="39" t="n">
        <v>1.35339438415987</v>
      </c>
      <c r="J6" s="39" t="n">
        <v>0</v>
      </c>
      <c r="K6" s="39" t="n">
        <v>0</v>
      </c>
      <c r="L6" s="39" t="n">
        <v>0</v>
      </c>
      <c r="M6" s="39" t="n">
        <v>0</v>
      </c>
      <c r="N6" s="39" t="n">
        <v>0</v>
      </c>
      <c r="O6" s="39" t="n">
        <v>0</v>
      </c>
      <c r="P6" s="39" t="n">
        <v>0</v>
      </c>
      <c r="Q6" s="39" t="n">
        <v>0</v>
      </c>
      <c r="R6" s="39" t="n">
        <v>0.320776224727179</v>
      </c>
      <c r="S6" s="39" t="n">
        <v>39.5097870528247</v>
      </c>
      <c r="T6" s="39" t="n">
        <v>0</v>
      </c>
      <c r="U6" s="39" t="n">
        <v>415.602661571103</v>
      </c>
      <c r="V6" s="39" t="n">
        <v>0.164982088270812</v>
      </c>
      <c r="W6" s="39" t="n">
        <v>1637.68789477874</v>
      </c>
      <c r="X6" s="39" t="n">
        <v>1.28131697367182</v>
      </c>
      <c r="Y6" s="39" t="n">
        <v>0</v>
      </c>
      <c r="Z6" s="39" t="n">
        <v>0.173382417921849</v>
      </c>
      <c r="AA6" s="39" t="n">
        <v>0.200558928933699</v>
      </c>
      <c r="AB6" s="39" t="n">
        <v>0</v>
      </c>
      <c r="AC6" s="39" t="n">
        <v>1.70015181458778</v>
      </c>
      <c r="AD6" s="39" t="n">
        <v>0</v>
      </c>
      <c r="AE6" s="39" t="n">
        <v>0.112787172618244</v>
      </c>
      <c r="AF6" s="39" t="n">
        <v>0</v>
      </c>
      <c r="AG6" s="39" t="n">
        <v>0</v>
      </c>
      <c r="AH6" s="39" t="n">
        <v>82.9630453784253</v>
      </c>
      <c r="AI6" s="39" t="n">
        <v>1.29712330882931</v>
      </c>
      <c r="AJ6" s="39" t="n">
        <v>55.1545477328253</v>
      </c>
      <c r="AK6" s="39" t="n">
        <v>42.6973600771055</v>
      </c>
      <c r="AL6" s="39" t="n">
        <v>0.316894853828582</v>
      </c>
      <c r="AM6" s="39" t="n">
        <v>0</v>
      </c>
      <c r="AN6" s="39" t="n">
        <v>0</v>
      </c>
      <c r="AO6" s="40" t="n">
        <v>5431.92748715955</v>
      </c>
      <c r="AP6" s="39" t="n">
        <v>16861.6356623827</v>
      </c>
      <c r="AQ6" s="39" t="n">
        <v>0</v>
      </c>
      <c r="AR6" s="40" t="n">
        <v>16861.6356623827</v>
      </c>
      <c r="AS6" s="40" t="n">
        <v>5607.81052805235</v>
      </c>
      <c r="AT6" s="39" t="n">
        <v>0</v>
      </c>
      <c r="AU6" s="39" t="n">
        <v>180.936616247885</v>
      </c>
      <c r="AV6" s="40" t="n">
        <v>180.936616247885</v>
      </c>
      <c r="AW6" s="40" t="n">
        <v>22650.3828066829</v>
      </c>
      <c r="AX6" s="41" t="n">
        <v>28082.3102938425</v>
      </c>
    </row>
    <row r="7" customFormat="false" ht="15" hidden="false" customHeight="true" outlineLevel="0" collapsed="false">
      <c r="A7" s="28" t="s">
        <v>15</v>
      </c>
      <c r="B7" s="23" t="s">
        <v>91</v>
      </c>
      <c r="C7" s="39" t="n">
        <v>10.2760196161836</v>
      </c>
      <c r="D7" s="39" t="n">
        <v>1.02287130521218</v>
      </c>
      <c r="E7" s="39" t="n">
        <v>0.771962033446892</v>
      </c>
      <c r="F7" s="39" t="n">
        <v>346.704657948215</v>
      </c>
      <c r="G7" s="39" t="n">
        <v>0</v>
      </c>
      <c r="H7" s="39" t="n">
        <v>0</v>
      </c>
      <c r="I7" s="39" t="n">
        <v>0</v>
      </c>
      <c r="J7" s="39" t="n">
        <v>0</v>
      </c>
      <c r="K7" s="39" t="n">
        <v>10.5439571644602</v>
      </c>
      <c r="L7" s="39" t="n">
        <v>0</v>
      </c>
      <c r="M7" s="39" t="n">
        <v>0</v>
      </c>
      <c r="N7" s="39" t="n">
        <v>0</v>
      </c>
      <c r="O7" s="39" t="n">
        <v>0</v>
      </c>
      <c r="P7" s="39" t="n">
        <v>0</v>
      </c>
      <c r="Q7" s="39" t="n">
        <v>4.86507970252356</v>
      </c>
      <c r="R7" s="39" t="n">
        <v>0.222588596910836</v>
      </c>
      <c r="S7" s="39" t="n">
        <v>0.856234236721903</v>
      </c>
      <c r="T7" s="39" t="n">
        <v>18.0221396242044</v>
      </c>
      <c r="U7" s="39" t="n">
        <v>168.343308732999</v>
      </c>
      <c r="V7" s="39" t="n">
        <v>1.78367429749842</v>
      </c>
      <c r="W7" s="39" t="n">
        <v>5.33194810307114</v>
      </c>
      <c r="X7" s="39" t="n">
        <v>0.458266246209458</v>
      </c>
      <c r="Y7" s="39" t="n">
        <v>0</v>
      </c>
      <c r="Z7" s="39" t="n">
        <v>0</v>
      </c>
      <c r="AA7" s="39" t="n">
        <v>0.172423848204047</v>
      </c>
      <c r="AB7" s="39" t="n">
        <v>0.00864674437804177</v>
      </c>
      <c r="AC7" s="39" t="n">
        <v>0.139265474995424</v>
      </c>
      <c r="AD7" s="39" t="n">
        <v>0.0683471378640741</v>
      </c>
      <c r="AE7" s="39" t="n">
        <v>3.70445978246329</v>
      </c>
      <c r="AF7" s="39" t="n">
        <v>0.343329384434908</v>
      </c>
      <c r="AG7" s="39" t="n">
        <v>108.054788339041</v>
      </c>
      <c r="AH7" s="39" t="n">
        <v>9.87877770141444</v>
      </c>
      <c r="AI7" s="39" t="n">
        <v>5.49901070189262</v>
      </c>
      <c r="AJ7" s="39" t="n">
        <v>18.2096484317314</v>
      </c>
      <c r="AK7" s="39" t="n">
        <v>11.1381238180181</v>
      </c>
      <c r="AL7" s="39" t="n">
        <v>18.6487925883883</v>
      </c>
      <c r="AM7" s="39" t="n">
        <v>0</v>
      </c>
      <c r="AN7" s="39" t="n">
        <v>0</v>
      </c>
      <c r="AO7" s="40" t="n">
        <v>745.068321560483</v>
      </c>
      <c r="AP7" s="39" t="n">
        <v>2364.8141647917</v>
      </c>
      <c r="AQ7" s="39" t="n">
        <v>0</v>
      </c>
      <c r="AR7" s="40" t="n">
        <v>2364.8141647917</v>
      </c>
      <c r="AS7" s="40" t="n">
        <v>1515.79968991836</v>
      </c>
      <c r="AT7" s="39" t="n">
        <v>0</v>
      </c>
      <c r="AU7" s="39" t="n">
        <v>6.97501737405832</v>
      </c>
      <c r="AV7" s="40" t="n">
        <v>6.97501737405832</v>
      </c>
      <c r="AW7" s="40" t="n">
        <v>3887.58887208412</v>
      </c>
      <c r="AX7" s="41" t="n">
        <v>4632.6571936446</v>
      </c>
    </row>
    <row r="8" customFormat="false" ht="15" hidden="false" customHeight="true" outlineLevel="0" collapsed="false">
      <c r="A8" s="28" t="s">
        <v>16</v>
      </c>
      <c r="B8" s="23" t="s">
        <v>92</v>
      </c>
      <c r="C8" s="39" t="n">
        <v>44.537690494703</v>
      </c>
      <c r="D8" s="39" t="n">
        <v>29.1192177653171</v>
      </c>
      <c r="E8" s="39" t="n">
        <v>80.1866550618742</v>
      </c>
      <c r="F8" s="39" t="n">
        <v>5.65050458287319</v>
      </c>
      <c r="G8" s="39" t="n">
        <v>295.945609041799</v>
      </c>
      <c r="H8" s="39" t="n">
        <v>0.0699648564919136</v>
      </c>
      <c r="I8" s="39" t="n">
        <v>0.0705374125502482</v>
      </c>
      <c r="J8" s="39" t="n">
        <v>5.1433819458258</v>
      </c>
      <c r="K8" s="39" t="n">
        <v>43.9471855054107</v>
      </c>
      <c r="L8" s="39" t="n">
        <v>3.45292211628756</v>
      </c>
      <c r="M8" s="39" t="n">
        <v>0</v>
      </c>
      <c r="N8" s="39" t="n">
        <v>0.108804301840414</v>
      </c>
      <c r="O8" s="39" t="n">
        <v>0.0110669128384794</v>
      </c>
      <c r="P8" s="39" t="n">
        <v>0.267087962804733</v>
      </c>
      <c r="Q8" s="39" t="n">
        <v>127.816842919028</v>
      </c>
      <c r="R8" s="39" t="n">
        <v>1.5621547034186</v>
      </c>
      <c r="S8" s="39" t="n">
        <v>10.5950929781923</v>
      </c>
      <c r="T8" s="39" t="n">
        <v>298.485275667838</v>
      </c>
      <c r="U8" s="39" t="n">
        <v>278.211557116933</v>
      </c>
      <c r="V8" s="39" t="n">
        <v>38.0003190317585</v>
      </c>
      <c r="W8" s="39" t="n">
        <v>41.6675784601374</v>
      </c>
      <c r="X8" s="39" t="n">
        <v>79.8979615853493</v>
      </c>
      <c r="Y8" s="39" t="n">
        <v>2.01641788488695</v>
      </c>
      <c r="Z8" s="39" t="n">
        <v>5.1442762339585</v>
      </c>
      <c r="AA8" s="39" t="n">
        <v>26.4290465240781</v>
      </c>
      <c r="AB8" s="39" t="n">
        <v>63.9313963468744</v>
      </c>
      <c r="AC8" s="39" t="n">
        <v>14.6437632180663</v>
      </c>
      <c r="AD8" s="39" t="n">
        <v>0.16126534972969</v>
      </c>
      <c r="AE8" s="39" t="n">
        <v>15.9433470844407</v>
      </c>
      <c r="AF8" s="39" t="n">
        <v>12.2659843823851</v>
      </c>
      <c r="AG8" s="39" t="n">
        <v>12.8046695560526</v>
      </c>
      <c r="AH8" s="39" t="n">
        <v>55.8531405473329</v>
      </c>
      <c r="AI8" s="39" t="n">
        <v>21.7158560456911</v>
      </c>
      <c r="AJ8" s="39" t="n">
        <v>7.07394641931526</v>
      </c>
      <c r="AK8" s="39" t="n">
        <v>50.867919976843</v>
      </c>
      <c r="AL8" s="39" t="n">
        <v>29.9855732346133</v>
      </c>
      <c r="AM8" s="39" t="n">
        <v>0</v>
      </c>
      <c r="AN8" s="39" t="n">
        <v>0</v>
      </c>
      <c r="AO8" s="40" t="n">
        <v>1703.58401322754</v>
      </c>
      <c r="AP8" s="39" t="n">
        <v>567.584084672678</v>
      </c>
      <c r="AQ8" s="39" t="n">
        <v>0</v>
      </c>
      <c r="AR8" s="40" t="n">
        <v>567.584084672678</v>
      </c>
      <c r="AS8" s="40" t="n">
        <v>298.084202924707</v>
      </c>
      <c r="AT8" s="39" t="n">
        <v>0</v>
      </c>
      <c r="AU8" s="39" t="n">
        <v>26.1097018653789</v>
      </c>
      <c r="AV8" s="40" t="n">
        <v>26.1097018653789</v>
      </c>
      <c r="AW8" s="40" t="n">
        <v>891.777989462764</v>
      </c>
      <c r="AX8" s="41" t="n">
        <v>2595.3620026903</v>
      </c>
    </row>
    <row r="9" customFormat="false" ht="15" hidden="false" customHeight="true" outlineLevel="0" collapsed="false">
      <c r="A9" s="28" t="n">
        <v>19</v>
      </c>
      <c r="B9" s="30" t="s">
        <v>93</v>
      </c>
      <c r="C9" s="39" t="n">
        <v>121.463623406545</v>
      </c>
      <c r="D9" s="39" t="n">
        <v>186.23523421103</v>
      </c>
      <c r="E9" s="39" t="n">
        <v>59.7889067320468</v>
      </c>
      <c r="F9" s="39" t="n">
        <v>0.61139774941155</v>
      </c>
      <c r="G9" s="39" t="n">
        <v>5.18100565541169</v>
      </c>
      <c r="H9" s="39" t="n">
        <v>164.355954938789</v>
      </c>
      <c r="I9" s="39" t="n">
        <v>10.4243647230924</v>
      </c>
      <c r="J9" s="39" t="n">
        <v>0.0347865783600725</v>
      </c>
      <c r="K9" s="39" t="n">
        <v>183.468001370734</v>
      </c>
      <c r="L9" s="39" t="n">
        <v>165.093371199252</v>
      </c>
      <c r="M9" s="39" t="n">
        <v>0</v>
      </c>
      <c r="N9" s="39" t="n">
        <v>0.707789162074863</v>
      </c>
      <c r="O9" s="39" t="n">
        <v>0.0525136771835929</v>
      </c>
      <c r="P9" s="39" t="n">
        <v>0.594011320620491</v>
      </c>
      <c r="Q9" s="39" t="n">
        <v>1.68912398519551</v>
      </c>
      <c r="R9" s="39" t="n">
        <v>10.9554543008543</v>
      </c>
      <c r="S9" s="39" t="n">
        <v>63.2323809031372</v>
      </c>
      <c r="T9" s="39" t="n">
        <v>151.33211009793</v>
      </c>
      <c r="U9" s="39" t="n">
        <v>126.476526292638</v>
      </c>
      <c r="V9" s="39" t="n">
        <v>1089.39751104323</v>
      </c>
      <c r="W9" s="39" t="n">
        <v>23.6241534331128</v>
      </c>
      <c r="X9" s="39" t="n">
        <v>5.919603629247</v>
      </c>
      <c r="Y9" s="39" t="n">
        <v>0.844985833416177</v>
      </c>
      <c r="Z9" s="39" t="n">
        <v>3.33036014334399</v>
      </c>
      <c r="AA9" s="39" t="n">
        <v>3.39050078056396</v>
      </c>
      <c r="AB9" s="39" t="n">
        <v>3.09443498458849</v>
      </c>
      <c r="AC9" s="39" t="n">
        <v>8.23990754273072</v>
      </c>
      <c r="AD9" s="39" t="n">
        <v>1.08309756656573</v>
      </c>
      <c r="AE9" s="39" t="n">
        <v>1.97154091195456</v>
      </c>
      <c r="AF9" s="39" t="n">
        <v>28.124755555631</v>
      </c>
      <c r="AG9" s="39" t="n">
        <v>279.776729939653</v>
      </c>
      <c r="AH9" s="39" t="n">
        <v>13.3506080754287</v>
      </c>
      <c r="AI9" s="39" t="n">
        <v>16.3775025377287</v>
      </c>
      <c r="AJ9" s="39" t="n">
        <v>12.487080476162</v>
      </c>
      <c r="AK9" s="39" t="n">
        <v>28.0777799091161</v>
      </c>
      <c r="AL9" s="39" t="n">
        <v>6.60130810555734</v>
      </c>
      <c r="AM9" s="39" t="n">
        <v>0</v>
      </c>
      <c r="AN9" s="39" t="n">
        <v>0</v>
      </c>
      <c r="AO9" s="40" t="n">
        <v>2777.38841677233</v>
      </c>
      <c r="AP9" s="39" t="n">
        <v>2226.51845068448</v>
      </c>
      <c r="AQ9" s="39" t="n">
        <v>0</v>
      </c>
      <c r="AR9" s="40" t="n">
        <v>2226.51845068448</v>
      </c>
      <c r="AS9" s="40" t="n">
        <v>219.186966367228</v>
      </c>
      <c r="AT9" s="39" t="n">
        <v>0</v>
      </c>
      <c r="AU9" s="39" t="n">
        <v>5.48797195189676</v>
      </c>
      <c r="AV9" s="40" t="n">
        <v>5.48797195189676</v>
      </c>
      <c r="AW9" s="40" t="n">
        <v>2451.19338900361</v>
      </c>
      <c r="AX9" s="41" t="n">
        <v>5228.58180577594</v>
      </c>
    </row>
    <row r="10" customFormat="false" ht="15" hidden="false" customHeight="true" outlineLevel="0" collapsed="false">
      <c r="A10" s="28" t="n">
        <v>20</v>
      </c>
      <c r="B10" s="30" t="s">
        <v>94</v>
      </c>
      <c r="C10" s="39" t="n">
        <v>293.953432664069</v>
      </c>
      <c r="D10" s="39" t="n">
        <v>13.2654635606248</v>
      </c>
      <c r="E10" s="39" t="n">
        <v>25.6725977822373</v>
      </c>
      <c r="F10" s="39" t="n">
        <v>4.20729162951491</v>
      </c>
      <c r="G10" s="39" t="n">
        <v>27.3710742666768</v>
      </c>
      <c r="H10" s="39" t="n">
        <v>0</v>
      </c>
      <c r="I10" s="39" t="n">
        <v>245.40662367247</v>
      </c>
      <c r="J10" s="39" t="n">
        <v>22.9032352035867</v>
      </c>
      <c r="K10" s="39" t="n">
        <v>344.546358785667</v>
      </c>
      <c r="L10" s="39" t="n">
        <v>9.86279216093441</v>
      </c>
      <c r="M10" s="39" t="n">
        <v>0</v>
      </c>
      <c r="N10" s="39" t="n">
        <v>0.218901182012764</v>
      </c>
      <c r="O10" s="39" t="n">
        <v>0.659739837628596</v>
      </c>
      <c r="P10" s="39" t="n">
        <v>0.282823560632027</v>
      </c>
      <c r="Q10" s="39" t="n">
        <v>6.22766348419478</v>
      </c>
      <c r="R10" s="39" t="n">
        <v>0.0488197170301719</v>
      </c>
      <c r="S10" s="39" t="n">
        <v>2.30208651009603</v>
      </c>
      <c r="T10" s="39" t="n">
        <v>129.650683943612</v>
      </c>
      <c r="U10" s="39" t="n">
        <v>164.675363312509</v>
      </c>
      <c r="V10" s="39" t="n">
        <v>11.5651125671624</v>
      </c>
      <c r="W10" s="39" t="n">
        <v>82.6455209015078</v>
      </c>
      <c r="X10" s="39" t="n">
        <v>1.63682098165552</v>
      </c>
      <c r="Y10" s="39" t="n">
        <v>0.0209283936787598</v>
      </c>
      <c r="Z10" s="39" t="n">
        <v>0.108315705904788</v>
      </c>
      <c r="AA10" s="39" t="n">
        <v>0.0760260926055484</v>
      </c>
      <c r="AB10" s="39" t="n">
        <v>30.0175331734358</v>
      </c>
      <c r="AC10" s="39" t="n">
        <v>2.52133788278153</v>
      </c>
      <c r="AD10" s="39" t="n">
        <v>0.584053458556651</v>
      </c>
      <c r="AE10" s="39" t="n">
        <v>5.80804819946881</v>
      </c>
      <c r="AF10" s="39" t="n">
        <v>2.27197922758911</v>
      </c>
      <c r="AG10" s="39" t="n">
        <v>39.1602753496146</v>
      </c>
      <c r="AH10" s="39" t="n">
        <v>9.79352113164765</v>
      </c>
      <c r="AI10" s="39" t="n">
        <v>5.56024326814418</v>
      </c>
      <c r="AJ10" s="39" t="n">
        <v>2.78518866759582</v>
      </c>
      <c r="AK10" s="39" t="n">
        <v>22.9546784623497</v>
      </c>
      <c r="AL10" s="39" t="n">
        <v>29.1380973290522</v>
      </c>
      <c r="AM10" s="39" t="n">
        <v>0</v>
      </c>
      <c r="AN10" s="39" t="n">
        <v>0</v>
      </c>
      <c r="AO10" s="40" t="n">
        <v>1537.90263206625</v>
      </c>
      <c r="AP10" s="39" t="n">
        <v>1805.98539180894</v>
      </c>
      <c r="AQ10" s="39" t="n">
        <v>0</v>
      </c>
      <c r="AR10" s="40" t="n">
        <v>1805.98539180894</v>
      </c>
      <c r="AS10" s="40" t="n">
        <v>1391.7642523993</v>
      </c>
      <c r="AT10" s="39" t="n">
        <v>0</v>
      </c>
      <c r="AU10" s="39" t="n">
        <v>-12.7616636706652</v>
      </c>
      <c r="AV10" s="40" t="n">
        <v>-12.7616636706652</v>
      </c>
      <c r="AW10" s="40" t="n">
        <v>3184.98798053758</v>
      </c>
      <c r="AX10" s="41" t="n">
        <v>4722.89061260382</v>
      </c>
    </row>
    <row r="11" customFormat="false" ht="26.25" hidden="false" customHeight="true" outlineLevel="0" collapsed="false">
      <c r="A11" s="28" t="n">
        <v>21</v>
      </c>
      <c r="B11" s="30" t="s">
        <v>95</v>
      </c>
      <c r="C11" s="39" t="n">
        <v>11.5967305164354</v>
      </c>
      <c r="D11" s="39" t="n">
        <v>0</v>
      </c>
      <c r="E11" s="39" t="n">
        <v>0.00245136839809746</v>
      </c>
      <c r="F11" s="39" t="n">
        <v>0</v>
      </c>
      <c r="G11" s="39" t="n">
        <v>0</v>
      </c>
      <c r="H11" s="39" t="n">
        <v>0</v>
      </c>
      <c r="I11" s="39" t="n">
        <v>0.323911987080724</v>
      </c>
      <c r="J11" s="39" t="n">
        <v>165.114041307018</v>
      </c>
      <c r="K11" s="39" t="n">
        <v>0</v>
      </c>
      <c r="L11" s="39" t="n">
        <v>0</v>
      </c>
      <c r="M11" s="39" t="n">
        <v>0</v>
      </c>
      <c r="N11" s="39" t="n">
        <v>0</v>
      </c>
      <c r="O11" s="39" t="n">
        <v>0</v>
      </c>
      <c r="P11" s="39" t="n">
        <v>0</v>
      </c>
      <c r="Q11" s="39" t="n">
        <v>2.9522522842608</v>
      </c>
      <c r="R11" s="39" t="n">
        <v>0.0565626828370248</v>
      </c>
      <c r="S11" s="39" t="n">
        <v>0.0308824509699521</v>
      </c>
      <c r="T11" s="39" t="n">
        <v>0</v>
      </c>
      <c r="U11" s="39" t="n">
        <v>40.7895495334</v>
      </c>
      <c r="V11" s="39" t="n">
        <v>0.0419581893190722</v>
      </c>
      <c r="W11" s="39" t="n">
        <v>0</v>
      </c>
      <c r="X11" s="39" t="n">
        <v>0</v>
      </c>
      <c r="Y11" s="39" t="n">
        <v>0</v>
      </c>
      <c r="Z11" s="39" t="n">
        <v>0</v>
      </c>
      <c r="AA11" s="39" t="n">
        <v>0.0034441353276674</v>
      </c>
      <c r="AB11" s="39" t="n">
        <v>0</v>
      </c>
      <c r="AC11" s="39" t="n">
        <v>17.9721700739849</v>
      </c>
      <c r="AD11" s="39" t="n">
        <v>0.11630708468163</v>
      </c>
      <c r="AE11" s="39" t="n">
        <v>9.251991873122</v>
      </c>
      <c r="AF11" s="39" t="n">
        <v>0.0176371088719316</v>
      </c>
      <c r="AG11" s="39" t="n">
        <v>97.8885305124631</v>
      </c>
      <c r="AH11" s="39" t="n">
        <v>0.96582698408306</v>
      </c>
      <c r="AI11" s="39" t="n">
        <v>579.825985671125</v>
      </c>
      <c r="AJ11" s="39" t="n">
        <v>18.2575708618511</v>
      </c>
      <c r="AK11" s="39" t="n">
        <v>0.444799247200589</v>
      </c>
      <c r="AL11" s="39" t="n">
        <v>39.4536434552803</v>
      </c>
      <c r="AM11" s="39" t="n">
        <v>0</v>
      </c>
      <c r="AN11" s="39" t="n">
        <v>0</v>
      </c>
      <c r="AO11" s="40" t="n">
        <v>985.10624732771</v>
      </c>
      <c r="AP11" s="39" t="n">
        <v>1638.1096944449</v>
      </c>
      <c r="AQ11" s="39" t="n">
        <v>0</v>
      </c>
      <c r="AR11" s="40" t="n">
        <v>1638.1096944449</v>
      </c>
      <c r="AS11" s="40" t="n">
        <v>410.389797833042</v>
      </c>
      <c r="AT11" s="39" t="n">
        <v>0</v>
      </c>
      <c r="AU11" s="39" t="n">
        <v>17.6592160347192</v>
      </c>
      <c r="AV11" s="40" t="n">
        <v>17.6592160347192</v>
      </c>
      <c r="AW11" s="40" t="n">
        <v>2066.15870831266</v>
      </c>
      <c r="AX11" s="41" t="n">
        <v>3051.26495564037</v>
      </c>
    </row>
    <row r="12" customFormat="false" ht="26.25" hidden="false" customHeight="true" outlineLevel="0" collapsed="false">
      <c r="A12" s="28" t="s">
        <v>17</v>
      </c>
      <c r="B12" s="30" t="s">
        <v>96</v>
      </c>
      <c r="C12" s="39" t="n">
        <v>33.0585742543005</v>
      </c>
      <c r="D12" s="39" t="n">
        <v>100.666227583048</v>
      </c>
      <c r="E12" s="39" t="n">
        <v>433.933287145582</v>
      </c>
      <c r="F12" s="39" t="n">
        <v>1.07337097022603</v>
      </c>
      <c r="G12" s="39" t="n">
        <v>5.00695214443997</v>
      </c>
      <c r="H12" s="39" t="n">
        <v>0</v>
      </c>
      <c r="I12" s="39" t="n">
        <v>47.2786396395745</v>
      </c>
      <c r="J12" s="39" t="n">
        <v>0</v>
      </c>
      <c r="K12" s="39" t="n">
        <v>964.945642688666</v>
      </c>
      <c r="L12" s="39" t="n">
        <v>3.36884341064089</v>
      </c>
      <c r="M12" s="39" t="n">
        <v>0</v>
      </c>
      <c r="N12" s="39" t="n">
        <v>3.57681411343561</v>
      </c>
      <c r="O12" s="39" t="n">
        <v>0</v>
      </c>
      <c r="P12" s="39" t="n">
        <v>0.343834639073903</v>
      </c>
      <c r="Q12" s="39" t="n">
        <v>1.28122638546074</v>
      </c>
      <c r="R12" s="39" t="n">
        <v>0.462084076153193</v>
      </c>
      <c r="S12" s="39" t="n">
        <v>1.08480981258186</v>
      </c>
      <c r="T12" s="39" t="n">
        <v>3232.97660073947</v>
      </c>
      <c r="U12" s="39" t="n">
        <v>529.128162015739</v>
      </c>
      <c r="V12" s="39" t="n">
        <v>66.4311522545072</v>
      </c>
      <c r="W12" s="39" t="n">
        <v>4.48304151583084</v>
      </c>
      <c r="X12" s="39" t="n">
        <v>0.0926096150234234</v>
      </c>
      <c r="Y12" s="39" t="n">
        <v>0</v>
      </c>
      <c r="Z12" s="39" t="n">
        <v>0.630945610601643</v>
      </c>
      <c r="AA12" s="39" t="n">
        <v>4.04282281076299</v>
      </c>
      <c r="AB12" s="39" t="n">
        <v>435.826087894001</v>
      </c>
      <c r="AC12" s="39" t="n">
        <v>0.939114889913257</v>
      </c>
      <c r="AD12" s="39" t="n">
        <v>0</v>
      </c>
      <c r="AE12" s="39" t="n">
        <v>7.8632488233393</v>
      </c>
      <c r="AF12" s="39" t="n">
        <v>8.27522603181341</v>
      </c>
      <c r="AG12" s="39" t="n">
        <v>116.57055878225</v>
      </c>
      <c r="AH12" s="39" t="n">
        <v>30.7395545738038</v>
      </c>
      <c r="AI12" s="39" t="n">
        <v>0.877488562455321</v>
      </c>
      <c r="AJ12" s="39" t="n">
        <v>1.09756869191833</v>
      </c>
      <c r="AK12" s="39" t="n">
        <v>35.5976661154476</v>
      </c>
      <c r="AL12" s="39" t="n">
        <v>4.56949174118314</v>
      </c>
      <c r="AM12" s="39" t="n">
        <v>0</v>
      </c>
      <c r="AN12" s="39" t="n">
        <v>0</v>
      </c>
      <c r="AO12" s="40" t="n">
        <v>6076.22164753124</v>
      </c>
      <c r="AP12" s="39" t="n">
        <v>1419.89674477139</v>
      </c>
      <c r="AQ12" s="39" t="n">
        <v>0</v>
      </c>
      <c r="AR12" s="40" t="n">
        <v>1419.89674477139</v>
      </c>
      <c r="AS12" s="40" t="n">
        <v>332.962577349788</v>
      </c>
      <c r="AT12" s="39" t="n">
        <v>0</v>
      </c>
      <c r="AU12" s="39" t="n">
        <v>145.905522520916</v>
      </c>
      <c r="AV12" s="40" t="n">
        <v>145.905522520916</v>
      </c>
      <c r="AW12" s="40" t="n">
        <v>1898.76484464209</v>
      </c>
      <c r="AX12" s="41" t="n">
        <v>7974.98649217333</v>
      </c>
    </row>
    <row r="13" customFormat="false" ht="26.25" hidden="false" customHeight="true" outlineLevel="0" collapsed="false">
      <c r="A13" s="28" t="s">
        <v>18</v>
      </c>
      <c r="B13" s="30" t="s">
        <v>97</v>
      </c>
      <c r="C13" s="39" t="n">
        <v>54.2410297867759</v>
      </c>
      <c r="D13" s="39" t="n">
        <v>22.5331352027817</v>
      </c>
      <c r="E13" s="39" t="n">
        <v>337.274356588118</v>
      </c>
      <c r="F13" s="39" t="n">
        <v>1.69406545905148</v>
      </c>
      <c r="G13" s="39" t="n">
        <v>1.26548492784704</v>
      </c>
      <c r="H13" s="39" t="n">
        <v>0</v>
      </c>
      <c r="I13" s="39" t="n">
        <v>0</v>
      </c>
      <c r="J13" s="39" t="n">
        <v>0</v>
      </c>
      <c r="K13" s="39" t="n">
        <v>102.093973687076</v>
      </c>
      <c r="L13" s="39" t="n">
        <v>1336.97484025221</v>
      </c>
      <c r="M13" s="39" t="n">
        <v>0</v>
      </c>
      <c r="N13" s="39" t="n">
        <v>56.3638988445287</v>
      </c>
      <c r="O13" s="39" t="n">
        <v>34.5567587132496</v>
      </c>
      <c r="P13" s="39" t="n">
        <v>6.4782649711219</v>
      </c>
      <c r="Q13" s="39" t="n">
        <v>36.0129874277628</v>
      </c>
      <c r="R13" s="39" t="n">
        <v>0.573191756356249</v>
      </c>
      <c r="S13" s="39" t="n">
        <v>0.198410114809089</v>
      </c>
      <c r="T13" s="39" t="n">
        <v>1379.15472001431</v>
      </c>
      <c r="U13" s="39" t="n">
        <v>118.620743458839</v>
      </c>
      <c r="V13" s="39" t="n">
        <v>13.2356263418612</v>
      </c>
      <c r="W13" s="39" t="n">
        <v>19.0845487694155</v>
      </c>
      <c r="X13" s="39" t="n">
        <v>0</v>
      </c>
      <c r="Y13" s="39" t="n">
        <v>0</v>
      </c>
      <c r="Z13" s="39" t="n">
        <v>0</v>
      </c>
      <c r="AA13" s="39" t="n">
        <v>4.93444533485974</v>
      </c>
      <c r="AB13" s="39" t="n">
        <v>179.369041904322</v>
      </c>
      <c r="AC13" s="39" t="n">
        <v>4.21617986205976</v>
      </c>
      <c r="AD13" s="39" t="n">
        <v>0</v>
      </c>
      <c r="AE13" s="39" t="n">
        <v>60.6002585182466</v>
      </c>
      <c r="AF13" s="39" t="n">
        <v>15.0378583883081</v>
      </c>
      <c r="AG13" s="39" t="n">
        <v>32.3163291925004</v>
      </c>
      <c r="AH13" s="39" t="n">
        <v>0.612268470014053</v>
      </c>
      <c r="AI13" s="39" t="n">
        <v>0.000375044793765393</v>
      </c>
      <c r="AJ13" s="39" t="n">
        <v>0.115737428547534</v>
      </c>
      <c r="AK13" s="39" t="n">
        <v>4.2605052144475</v>
      </c>
      <c r="AL13" s="39" t="n">
        <v>1.16408038342943</v>
      </c>
      <c r="AM13" s="39" t="n">
        <v>0</v>
      </c>
      <c r="AN13" s="39" t="n">
        <v>0</v>
      </c>
      <c r="AO13" s="40" t="n">
        <v>3822.98311605765</v>
      </c>
      <c r="AP13" s="39" t="n">
        <v>870.79113117348</v>
      </c>
      <c r="AQ13" s="39" t="n">
        <v>0</v>
      </c>
      <c r="AR13" s="40" t="n">
        <v>870.79113117348</v>
      </c>
      <c r="AS13" s="40" t="n">
        <v>2150.33905683491</v>
      </c>
      <c r="AT13" s="39" t="n">
        <v>145.111404254362</v>
      </c>
      <c r="AU13" s="39" t="n">
        <v>-15.5176679481361</v>
      </c>
      <c r="AV13" s="40" t="n">
        <v>129.593736306226</v>
      </c>
      <c r="AW13" s="40" t="n">
        <v>3150.72392431461</v>
      </c>
      <c r="AX13" s="41" t="n">
        <v>6973.70704037226</v>
      </c>
    </row>
    <row r="14" customFormat="false" ht="15" hidden="false" customHeight="true" outlineLevel="0" collapsed="false">
      <c r="A14" s="28" t="n">
        <v>26</v>
      </c>
      <c r="B14" s="30" t="s">
        <v>98</v>
      </c>
      <c r="C14" s="39" t="n">
        <v>0.030290027438384</v>
      </c>
      <c r="D14" s="39" t="n">
        <v>0</v>
      </c>
      <c r="E14" s="39" t="n">
        <v>0.00846743246233247</v>
      </c>
      <c r="F14" s="39" t="n">
        <v>0</v>
      </c>
      <c r="G14" s="39" t="n">
        <v>0</v>
      </c>
      <c r="H14" s="39" t="n">
        <v>0</v>
      </c>
      <c r="I14" s="39" t="n">
        <v>0.0481493077565213</v>
      </c>
      <c r="J14" s="39" t="n">
        <v>0.575884344831834</v>
      </c>
      <c r="K14" s="39" t="n">
        <v>0.00748180271536918</v>
      </c>
      <c r="L14" s="39" t="n">
        <v>2.08959419176639</v>
      </c>
      <c r="M14" s="39" t="n">
        <v>0</v>
      </c>
      <c r="N14" s="39" t="n">
        <v>60.717735304248</v>
      </c>
      <c r="O14" s="39" t="n">
        <v>0</v>
      </c>
      <c r="P14" s="39" t="n">
        <v>0.166751578171807</v>
      </c>
      <c r="Q14" s="39" t="n">
        <v>15.590180486124</v>
      </c>
      <c r="R14" s="39" t="n">
        <v>6.05569441230236</v>
      </c>
      <c r="S14" s="39" t="n">
        <v>0.0338877922508506</v>
      </c>
      <c r="T14" s="39" t="n">
        <v>15.6829549328087</v>
      </c>
      <c r="U14" s="39" t="n">
        <v>150.409101131865</v>
      </c>
      <c r="V14" s="39" t="n">
        <v>36.0478181147706</v>
      </c>
      <c r="W14" s="39" t="n">
        <v>4.94564993042509</v>
      </c>
      <c r="X14" s="39" t="n">
        <v>0.460558970502469</v>
      </c>
      <c r="Y14" s="39" t="n">
        <v>73.080626433424</v>
      </c>
      <c r="Z14" s="39" t="n">
        <v>72.6076962794276</v>
      </c>
      <c r="AA14" s="39" t="n">
        <v>23.2705823873128</v>
      </c>
      <c r="AB14" s="39" t="n">
        <v>0.0197367652478965</v>
      </c>
      <c r="AC14" s="39" t="n">
        <v>14.9700475526126</v>
      </c>
      <c r="AD14" s="39" t="n">
        <v>0.221985169244075</v>
      </c>
      <c r="AE14" s="39" t="n">
        <v>5.15610535985757</v>
      </c>
      <c r="AF14" s="39" t="n">
        <v>1.1814769149978</v>
      </c>
      <c r="AG14" s="39" t="n">
        <v>12.577505159241</v>
      </c>
      <c r="AH14" s="39" t="n">
        <v>31.5888316765349</v>
      </c>
      <c r="AI14" s="39" t="n">
        <v>13.3833801789866</v>
      </c>
      <c r="AJ14" s="39" t="n">
        <v>6.34364037981948</v>
      </c>
      <c r="AK14" s="39" t="n">
        <v>3.0336724681983</v>
      </c>
      <c r="AL14" s="39" t="n">
        <v>72.4878340715725</v>
      </c>
      <c r="AM14" s="39" t="n">
        <v>0</v>
      </c>
      <c r="AN14" s="39" t="n">
        <v>0</v>
      </c>
      <c r="AO14" s="40" t="n">
        <v>622.793320556916</v>
      </c>
      <c r="AP14" s="39" t="n">
        <v>1431.31284212624</v>
      </c>
      <c r="AQ14" s="39" t="n">
        <v>0</v>
      </c>
      <c r="AR14" s="40" t="n">
        <v>1431.31284212624</v>
      </c>
      <c r="AS14" s="40" t="n">
        <v>125.514357502451</v>
      </c>
      <c r="AT14" s="39" t="n">
        <v>1503.89217453108</v>
      </c>
      <c r="AU14" s="39" t="n">
        <v>0.708137718394098</v>
      </c>
      <c r="AV14" s="40" t="n">
        <v>1504.60031224947</v>
      </c>
      <c r="AW14" s="40" t="n">
        <v>3061.42751187817</v>
      </c>
      <c r="AX14" s="41" t="n">
        <v>3684.22083243508</v>
      </c>
    </row>
    <row r="15" customFormat="false" ht="15" hidden="false" customHeight="true" outlineLevel="0" collapsed="false">
      <c r="A15" s="28" t="n">
        <v>27</v>
      </c>
      <c r="B15" s="30" t="s">
        <v>99</v>
      </c>
      <c r="C15" s="39" t="n">
        <v>0.0947556305674009</v>
      </c>
      <c r="D15" s="39" t="n">
        <v>4.2053629251678</v>
      </c>
      <c r="E15" s="39" t="n">
        <v>3.53555318043066</v>
      </c>
      <c r="F15" s="39" t="n">
        <v>0</v>
      </c>
      <c r="G15" s="39" t="n">
        <v>0</v>
      </c>
      <c r="H15" s="39" t="n">
        <v>0</v>
      </c>
      <c r="I15" s="39" t="n">
        <v>1.50200005242509</v>
      </c>
      <c r="J15" s="39" t="n">
        <v>0</v>
      </c>
      <c r="K15" s="39" t="n">
        <v>0.0104815881752171</v>
      </c>
      <c r="L15" s="39" t="n">
        <v>85.3993352282365</v>
      </c>
      <c r="M15" s="39" t="n">
        <v>0</v>
      </c>
      <c r="N15" s="39" t="n">
        <v>37.8474104938407</v>
      </c>
      <c r="O15" s="39" t="n">
        <v>0</v>
      </c>
      <c r="P15" s="39" t="n">
        <v>2.99329704819434</v>
      </c>
      <c r="Q15" s="39" t="n">
        <v>0.0652231737529612</v>
      </c>
      <c r="R15" s="39" t="n">
        <v>27.2509406198051</v>
      </c>
      <c r="S15" s="39" t="n">
        <v>3.39299345083331</v>
      </c>
      <c r="T15" s="39" t="n">
        <v>380.280849087314</v>
      </c>
      <c r="U15" s="39" t="n">
        <v>100.88035865724</v>
      </c>
      <c r="V15" s="39" t="n">
        <v>75.817912926216</v>
      </c>
      <c r="W15" s="39" t="n">
        <v>6.26702935588527</v>
      </c>
      <c r="X15" s="39" t="n">
        <v>5.82099658126253</v>
      </c>
      <c r="Y15" s="39" t="n">
        <v>0.954492384636441</v>
      </c>
      <c r="Z15" s="39" t="n">
        <v>0.95796512211179</v>
      </c>
      <c r="AA15" s="39" t="n">
        <v>2.33173941791519</v>
      </c>
      <c r="AB15" s="39" t="n">
        <v>0.580451338285762</v>
      </c>
      <c r="AC15" s="39" t="n">
        <v>4.70234367214705</v>
      </c>
      <c r="AD15" s="39" t="n">
        <v>0.108801308945117</v>
      </c>
      <c r="AE15" s="39" t="n">
        <v>0.0612856623043703</v>
      </c>
      <c r="AF15" s="39" t="n">
        <v>52.5673158013873</v>
      </c>
      <c r="AG15" s="39" t="n">
        <v>11.6095705955369</v>
      </c>
      <c r="AH15" s="39" t="n">
        <v>2.48037901987827</v>
      </c>
      <c r="AI15" s="39" t="n">
        <v>7.37598722080432</v>
      </c>
      <c r="AJ15" s="39" t="n">
        <v>4.9648816991458</v>
      </c>
      <c r="AK15" s="39" t="n">
        <v>10.8205968954646</v>
      </c>
      <c r="AL15" s="39" t="n">
        <v>2.31476969956257</v>
      </c>
      <c r="AM15" s="39" t="n">
        <v>0</v>
      </c>
      <c r="AN15" s="39" t="n">
        <v>0</v>
      </c>
      <c r="AO15" s="40" t="n">
        <v>837.195079837472</v>
      </c>
      <c r="AP15" s="39" t="n">
        <v>1595.79727694092</v>
      </c>
      <c r="AQ15" s="39" t="n">
        <v>0</v>
      </c>
      <c r="AR15" s="40" t="n">
        <v>1595.79727694092</v>
      </c>
      <c r="AS15" s="40" t="n">
        <v>231.722581362646</v>
      </c>
      <c r="AT15" s="39" t="n">
        <v>466.311295852766</v>
      </c>
      <c r="AU15" s="39" t="n">
        <v>4.90351344064037</v>
      </c>
      <c r="AV15" s="40" t="n">
        <v>471.214809293406</v>
      </c>
      <c r="AW15" s="40" t="n">
        <v>2298.73466759697</v>
      </c>
      <c r="AX15" s="41" t="n">
        <v>3135.92974743444</v>
      </c>
    </row>
    <row r="16" customFormat="false" ht="15" hidden="false" customHeight="true" outlineLevel="0" collapsed="false">
      <c r="A16" s="28" t="n">
        <v>28</v>
      </c>
      <c r="B16" s="30" t="s">
        <v>100</v>
      </c>
      <c r="C16" s="39" t="n">
        <v>16.8355322300181</v>
      </c>
      <c r="D16" s="39" t="n">
        <v>362.326885723254</v>
      </c>
      <c r="E16" s="39" t="n">
        <v>22.9898661713767</v>
      </c>
      <c r="F16" s="39" t="n">
        <v>0.039585626571444</v>
      </c>
      <c r="G16" s="39" t="n">
        <v>0.12863516615511</v>
      </c>
      <c r="H16" s="39" t="n">
        <v>0</v>
      </c>
      <c r="I16" s="39" t="n">
        <v>0.208358398896317</v>
      </c>
      <c r="J16" s="39" t="n">
        <v>0</v>
      </c>
      <c r="K16" s="39" t="n">
        <v>63.3723316268793</v>
      </c>
      <c r="L16" s="39" t="n">
        <v>316.552460025669</v>
      </c>
      <c r="M16" s="39" t="n">
        <v>0</v>
      </c>
      <c r="N16" s="39" t="n">
        <v>0</v>
      </c>
      <c r="O16" s="39" t="n">
        <v>0</v>
      </c>
      <c r="P16" s="39" t="n">
        <v>11.4154398540841</v>
      </c>
      <c r="Q16" s="39" t="n">
        <v>3.88647880267305</v>
      </c>
      <c r="R16" s="39" t="n">
        <v>20.7493877694115</v>
      </c>
      <c r="S16" s="39" t="n">
        <v>26.8711068487667</v>
      </c>
      <c r="T16" s="39" t="n">
        <v>175.546445312686</v>
      </c>
      <c r="U16" s="39" t="n">
        <v>83.4493013905901</v>
      </c>
      <c r="V16" s="39" t="n">
        <v>10.0748777642523</v>
      </c>
      <c r="W16" s="39" t="n">
        <v>7.20420219312107</v>
      </c>
      <c r="X16" s="39" t="n">
        <v>0.157770794141499</v>
      </c>
      <c r="Y16" s="39" t="n">
        <v>0</v>
      </c>
      <c r="Z16" s="39" t="n">
        <v>0</v>
      </c>
      <c r="AA16" s="39" t="n">
        <v>1.55920799750059</v>
      </c>
      <c r="AB16" s="39" t="n">
        <v>0.0217477050648804</v>
      </c>
      <c r="AC16" s="39" t="n">
        <v>0.0435719915301162</v>
      </c>
      <c r="AD16" s="39" t="n">
        <v>0.235962884832009</v>
      </c>
      <c r="AE16" s="39" t="n">
        <v>0</v>
      </c>
      <c r="AF16" s="39" t="n">
        <v>0.6810849585791</v>
      </c>
      <c r="AG16" s="39" t="n">
        <v>30.1263503933455</v>
      </c>
      <c r="AH16" s="39" t="n">
        <v>7.03292215370131</v>
      </c>
      <c r="AI16" s="39" t="n">
        <v>14.7931854955246</v>
      </c>
      <c r="AJ16" s="39" t="n">
        <v>0.268739234912749</v>
      </c>
      <c r="AK16" s="39" t="n">
        <v>6.86049390746074</v>
      </c>
      <c r="AL16" s="39" t="n">
        <v>3.75608007796103</v>
      </c>
      <c r="AM16" s="39" t="n">
        <v>0</v>
      </c>
      <c r="AN16" s="39" t="n">
        <v>0</v>
      </c>
      <c r="AO16" s="40" t="n">
        <v>1187.18801249896</v>
      </c>
      <c r="AP16" s="39" t="n">
        <v>233.031574541186</v>
      </c>
      <c r="AQ16" s="39" t="n">
        <v>0</v>
      </c>
      <c r="AR16" s="40" t="n">
        <v>233.031574541186</v>
      </c>
      <c r="AS16" s="40" t="n">
        <v>438.919652693557</v>
      </c>
      <c r="AT16" s="39" t="n">
        <v>1902.49437440522</v>
      </c>
      <c r="AU16" s="39" t="n">
        <v>-8.72791129088698</v>
      </c>
      <c r="AV16" s="40" t="n">
        <v>1893.76646311433</v>
      </c>
      <c r="AW16" s="40" t="n">
        <v>2565.71769034908</v>
      </c>
      <c r="AX16" s="41" t="n">
        <v>3752.90570284803</v>
      </c>
    </row>
    <row r="17" customFormat="false" ht="15" hidden="false" customHeight="true" outlineLevel="0" collapsed="false">
      <c r="A17" s="28" t="s">
        <v>19</v>
      </c>
      <c r="B17" s="30" t="s">
        <v>101</v>
      </c>
      <c r="C17" s="39" t="n">
        <v>0.903157057668775</v>
      </c>
      <c r="D17" s="39" t="n">
        <v>0.105368224096946</v>
      </c>
      <c r="E17" s="39" t="n">
        <v>2.02323936896979</v>
      </c>
      <c r="F17" s="39" t="n">
        <v>0</v>
      </c>
      <c r="G17" s="39" t="n">
        <v>0</v>
      </c>
      <c r="H17" s="39" t="n">
        <v>0</v>
      </c>
      <c r="I17" s="39" t="n">
        <v>0.727837791541016</v>
      </c>
      <c r="J17" s="39" t="n">
        <v>0.0325930624316415</v>
      </c>
      <c r="K17" s="39" t="n">
        <v>19.0608735514824</v>
      </c>
      <c r="L17" s="39" t="n">
        <v>6.02827949077754</v>
      </c>
      <c r="M17" s="39" t="n">
        <v>0</v>
      </c>
      <c r="N17" s="39" t="n">
        <v>0</v>
      </c>
      <c r="O17" s="39" t="n">
        <v>0</v>
      </c>
      <c r="P17" s="39" t="n">
        <v>0</v>
      </c>
      <c r="Q17" s="39" t="n">
        <v>23.6674683026983</v>
      </c>
      <c r="R17" s="39" t="n">
        <v>0.045263933611337</v>
      </c>
      <c r="S17" s="39" t="n">
        <v>16.0101199289748</v>
      </c>
      <c r="T17" s="39" t="n">
        <v>20.465947872318</v>
      </c>
      <c r="U17" s="39" t="n">
        <v>167.234925757023</v>
      </c>
      <c r="V17" s="39" t="n">
        <v>57.3165450364966</v>
      </c>
      <c r="W17" s="39" t="n">
        <v>0.556490920954955</v>
      </c>
      <c r="X17" s="39" t="n">
        <v>0.202574585385205</v>
      </c>
      <c r="Y17" s="39" t="n">
        <v>0</v>
      </c>
      <c r="Z17" s="39" t="n">
        <v>0</v>
      </c>
      <c r="AA17" s="39" t="n">
        <v>0.214149760817093</v>
      </c>
      <c r="AB17" s="39" t="n">
        <v>0.00209952496086666</v>
      </c>
      <c r="AC17" s="39" t="n">
        <v>0.00667725736562754</v>
      </c>
      <c r="AD17" s="39" t="n">
        <v>0.489882957833077</v>
      </c>
      <c r="AE17" s="39" t="n">
        <v>0</v>
      </c>
      <c r="AF17" s="39" t="n">
        <v>29.2742762518992</v>
      </c>
      <c r="AG17" s="39" t="n">
        <v>40.0357916028247</v>
      </c>
      <c r="AH17" s="39" t="n">
        <v>0.664984988226052</v>
      </c>
      <c r="AI17" s="39" t="n">
        <v>2.00298673297186</v>
      </c>
      <c r="AJ17" s="39" t="n">
        <v>0.386251813299765</v>
      </c>
      <c r="AK17" s="39" t="n">
        <v>4.74649695030287</v>
      </c>
      <c r="AL17" s="39" t="n">
        <v>0.0482924422965731</v>
      </c>
      <c r="AM17" s="39" t="n">
        <v>0</v>
      </c>
      <c r="AN17" s="39" t="n">
        <v>0</v>
      </c>
      <c r="AO17" s="40" t="n">
        <v>392.252575167228</v>
      </c>
      <c r="AP17" s="39" t="n">
        <v>1259.75734159504</v>
      </c>
      <c r="AQ17" s="39" t="n">
        <v>0</v>
      </c>
      <c r="AR17" s="40" t="n">
        <v>1259.75734159504</v>
      </c>
      <c r="AS17" s="40" t="n">
        <v>10409.5729392655</v>
      </c>
      <c r="AT17" s="39" t="n">
        <v>2186.33697390337</v>
      </c>
      <c r="AU17" s="39" t="n">
        <v>326.547245020709</v>
      </c>
      <c r="AV17" s="40" t="n">
        <v>2512.88421892408</v>
      </c>
      <c r="AW17" s="40" t="n">
        <v>14182.2144997846</v>
      </c>
      <c r="AX17" s="41" t="n">
        <v>14574.4670749519</v>
      </c>
    </row>
    <row r="18" customFormat="false" ht="26.25" hidden="false" customHeight="true" outlineLevel="0" collapsed="false">
      <c r="A18" s="28" t="s">
        <v>20</v>
      </c>
      <c r="B18" s="23" t="s">
        <v>102</v>
      </c>
      <c r="C18" s="39" t="n">
        <v>8.111702758459</v>
      </c>
      <c r="D18" s="39" t="n">
        <v>1.47969754168485</v>
      </c>
      <c r="E18" s="39" t="n">
        <v>32.3576676066952</v>
      </c>
      <c r="F18" s="39" t="n">
        <v>0</v>
      </c>
      <c r="G18" s="39" t="n">
        <v>35.179374520383</v>
      </c>
      <c r="H18" s="39" t="n">
        <v>0</v>
      </c>
      <c r="I18" s="39" t="n">
        <v>2.00609693152352</v>
      </c>
      <c r="J18" s="39" t="n">
        <v>0</v>
      </c>
      <c r="K18" s="39" t="n">
        <v>61.9373357369825</v>
      </c>
      <c r="L18" s="39" t="n">
        <v>0.721431803372199</v>
      </c>
      <c r="M18" s="39" t="n">
        <v>0</v>
      </c>
      <c r="N18" s="39" t="n">
        <v>0.000594305923467384</v>
      </c>
      <c r="O18" s="39" t="n">
        <v>3.09384494881597</v>
      </c>
      <c r="P18" s="39" t="n">
        <v>1.17508247610035</v>
      </c>
      <c r="Q18" s="39" t="n">
        <v>78.5210413858274</v>
      </c>
      <c r="R18" s="39" t="n">
        <v>6.66090162915194</v>
      </c>
      <c r="S18" s="39" t="n">
        <v>57.8123679534693</v>
      </c>
      <c r="T18" s="39" t="n">
        <v>130.621676469325</v>
      </c>
      <c r="U18" s="39" t="n">
        <v>174.483149290647</v>
      </c>
      <c r="V18" s="39" t="n">
        <v>57.0115668106619</v>
      </c>
      <c r="W18" s="39" t="n">
        <v>114.342299939098</v>
      </c>
      <c r="X18" s="39" t="n">
        <v>38.3770061179101</v>
      </c>
      <c r="Y18" s="39" t="n">
        <v>17.0085678149937</v>
      </c>
      <c r="Z18" s="39" t="n">
        <v>7.33523575027441</v>
      </c>
      <c r="AA18" s="39" t="n">
        <v>5.21356315722867</v>
      </c>
      <c r="AB18" s="39" t="n">
        <v>0.60068742387326</v>
      </c>
      <c r="AC18" s="39" t="n">
        <v>0.357147234018372</v>
      </c>
      <c r="AD18" s="39" t="n">
        <v>3.64861545472335</v>
      </c>
      <c r="AE18" s="39" t="n">
        <v>20.029526050705</v>
      </c>
      <c r="AF18" s="39" t="n">
        <v>1.22650648384683</v>
      </c>
      <c r="AG18" s="39" t="n">
        <v>220.340672032178</v>
      </c>
      <c r="AH18" s="39" t="n">
        <v>105.081614262088</v>
      </c>
      <c r="AI18" s="39" t="n">
        <v>78.5927414077193</v>
      </c>
      <c r="AJ18" s="39" t="n">
        <v>2.82160440458169</v>
      </c>
      <c r="AK18" s="39" t="n">
        <v>71.2416085274702</v>
      </c>
      <c r="AL18" s="39" t="n">
        <v>12.593011126704</v>
      </c>
      <c r="AM18" s="39" t="n">
        <v>0</v>
      </c>
      <c r="AN18" s="39" t="n">
        <v>0</v>
      </c>
      <c r="AO18" s="40" t="n">
        <v>1349.98393935644</v>
      </c>
      <c r="AP18" s="39" t="n">
        <v>1389.73695956696</v>
      </c>
      <c r="AQ18" s="39" t="n">
        <v>0</v>
      </c>
      <c r="AR18" s="40" t="n">
        <v>1389.73695956696</v>
      </c>
      <c r="AS18" s="40" t="n">
        <v>297.079245728857</v>
      </c>
      <c r="AT18" s="39" t="n">
        <v>51.7607942038081</v>
      </c>
      <c r="AU18" s="39" t="n">
        <v>40.3099936460952</v>
      </c>
      <c r="AV18" s="40" t="n">
        <v>92.0707878499033</v>
      </c>
      <c r="AW18" s="40" t="n">
        <v>1778.88699314572</v>
      </c>
      <c r="AX18" s="41" t="n">
        <v>3128.87093250216</v>
      </c>
    </row>
    <row r="19" customFormat="false" ht="15" hidden="false" customHeight="true" outlineLevel="0" collapsed="false">
      <c r="A19" s="28" t="s">
        <v>21</v>
      </c>
      <c r="B19" s="30" t="s">
        <v>103</v>
      </c>
      <c r="C19" s="39" t="n">
        <v>11.6548548159514</v>
      </c>
      <c r="D19" s="39" t="n">
        <v>31.8507602629797</v>
      </c>
      <c r="E19" s="39" t="n">
        <v>140.399075199921</v>
      </c>
      <c r="F19" s="39" t="n">
        <v>8.39313742485727</v>
      </c>
      <c r="G19" s="39" t="n">
        <v>21.9631784254502</v>
      </c>
      <c r="H19" s="39" t="n">
        <v>0.905658958606088</v>
      </c>
      <c r="I19" s="39" t="n">
        <v>103.149683524845</v>
      </c>
      <c r="J19" s="39" t="n">
        <v>2.74242718227763</v>
      </c>
      <c r="K19" s="39" t="n">
        <v>156.636590387216</v>
      </c>
      <c r="L19" s="39" t="n">
        <v>177.645506998263</v>
      </c>
      <c r="M19" s="39" t="n">
        <v>1.20158806732839</v>
      </c>
      <c r="N19" s="39" t="n">
        <v>4.799599953883</v>
      </c>
      <c r="O19" s="39" t="n">
        <v>0.299540460545469</v>
      </c>
      <c r="P19" s="39" t="n">
        <v>0.101973917023589</v>
      </c>
      <c r="Q19" s="39" t="n">
        <v>3.30201316859589</v>
      </c>
      <c r="R19" s="39" t="n">
        <v>557.661811579458</v>
      </c>
      <c r="S19" s="39" t="n">
        <v>27.8015650456938</v>
      </c>
      <c r="T19" s="39" t="n">
        <v>37.2620507801058</v>
      </c>
      <c r="U19" s="39" t="n">
        <v>539.581549793073</v>
      </c>
      <c r="V19" s="39" t="n">
        <v>262.10808239966</v>
      </c>
      <c r="W19" s="39" t="n">
        <v>237.24346502266</v>
      </c>
      <c r="X19" s="39" t="n">
        <v>9.44381483301681</v>
      </c>
      <c r="Y19" s="39" t="n">
        <v>25.997031751286</v>
      </c>
      <c r="Z19" s="39" t="n">
        <v>66.2842013626757</v>
      </c>
      <c r="AA19" s="39" t="n">
        <v>48.6727102298236</v>
      </c>
      <c r="AB19" s="39" t="n">
        <v>113.841734023683</v>
      </c>
      <c r="AC19" s="39" t="n">
        <v>9.96974644733247</v>
      </c>
      <c r="AD19" s="39" t="n">
        <v>1.9447819801147</v>
      </c>
      <c r="AE19" s="39" t="n">
        <v>9.86665586728538</v>
      </c>
      <c r="AF19" s="39" t="n">
        <v>7.69443003661095</v>
      </c>
      <c r="AG19" s="39" t="n">
        <v>355.151582994334</v>
      </c>
      <c r="AH19" s="39" t="n">
        <v>107.901043563877</v>
      </c>
      <c r="AI19" s="39" t="n">
        <v>69.0819303396084</v>
      </c>
      <c r="AJ19" s="39" t="n">
        <v>28.4002970449918</v>
      </c>
      <c r="AK19" s="39" t="n">
        <v>83.8884584955901</v>
      </c>
      <c r="AL19" s="39" t="n">
        <v>24.3470964134352</v>
      </c>
      <c r="AM19" s="39" t="n">
        <v>0</v>
      </c>
      <c r="AN19" s="39" t="n">
        <v>0</v>
      </c>
      <c r="AO19" s="40" t="n">
        <v>3289.18962875206</v>
      </c>
      <c r="AP19" s="39" t="n">
        <v>1515.76262904293</v>
      </c>
      <c r="AQ19" s="39" t="n">
        <v>0</v>
      </c>
      <c r="AR19" s="40" t="n">
        <v>1515.76262904293</v>
      </c>
      <c r="AS19" s="40" t="n">
        <v>136.598962506664</v>
      </c>
      <c r="AT19" s="39" t="n">
        <v>0</v>
      </c>
      <c r="AU19" s="39" t="n">
        <v>18.5299057223307</v>
      </c>
      <c r="AV19" s="40" t="n">
        <v>18.5299057223307</v>
      </c>
      <c r="AW19" s="40" t="n">
        <v>1670.89149727193</v>
      </c>
      <c r="AX19" s="41" t="n">
        <v>4960.08112602399</v>
      </c>
    </row>
    <row r="20" customFormat="false" ht="26.25" hidden="false" customHeight="true" outlineLevel="0" collapsed="false">
      <c r="A20" s="28" t="s">
        <v>22</v>
      </c>
      <c r="B20" s="30" t="s">
        <v>104</v>
      </c>
      <c r="C20" s="39" t="n">
        <v>14.7912106541351</v>
      </c>
      <c r="D20" s="39" t="n">
        <v>23.4800872044589</v>
      </c>
      <c r="E20" s="39" t="n">
        <v>25.9199119975602</v>
      </c>
      <c r="F20" s="39" t="n">
        <v>0.546971155618395</v>
      </c>
      <c r="G20" s="39" t="n">
        <v>1.39848175905854</v>
      </c>
      <c r="H20" s="39" t="n">
        <v>0</v>
      </c>
      <c r="I20" s="39" t="n">
        <v>0.178293049344796</v>
      </c>
      <c r="J20" s="39" t="n">
        <v>0.188392687034352</v>
      </c>
      <c r="K20" s="39" t="n">
        <v>8.30896154469266</v>
      </c>
      <c r="L20" s="39" t="n">
        <v>1.21947128237865</v>
      </c>
      <c r="M20" s="39" t="n">
        <v>0</v>
      </c>
      <c r="N20" s="39" t="n">
        <v>8.4550139491417</v>
      </c>
      <c r="O20" s="39" t="n">
        <v>0.158181647394668</v>
      </c>
      <c r="P20" s="39" t="n">
        <v>3.95048431111512</v>
      </c>
      <c r="Q20" s="39" t="n">
        <v>0.293126272254918</v>
      </c>
      <c r="R20" s="39" t="n">
        <v>0.1672884685832</v>
      </c>
      <c r="S20" s="39" t="n">
        <v>29.4192920488826</v>
      </c>
      <c r="T20" s="39" t="n">
        <v>2.04177561598731</v>
      </c>
      <c r="U20" s="39" t="n">
        <v>23.7241901873871</v>
      </c>
      <c r="V20" s="39" t="n">
        <v>14.2854602375617</v>
      </c>
      <c r="W20" s="39" t="n">
        <v>47.311695783684</v>
      </c>
      <c r="X20" s="39" t="n">
        <v>1.35124338208665</v>
      </c>
      <c r="Y20" s="39" t="n">
        <v>0.942228515905332</v>
      </c>
      <c r="Z20" s="39" t="n">
        <v>2.1362429767126</v>
      </c>
      <c r="AA20" s="39" t="n">
        <v>2.27536512614769</v>
      </c>
      <c r="AB20" s="39" t="n">
        <v>7.11548168512005</v>
      </c>
      <c r="AC20" s="39" t="n">
        <v>1.70052867853042</v>
      </c>
      <c r="AD20" s="39" t="n">
        <v>0.206429920789692</v>
      </c>
      <c r="AE20" s="39" t="n">
        <v>0.0578357109089676</v>
      </c>
      <c r="AF20" s="39" t="n">
        <v>34.7684974841734</v>
      </c>
      <c r="AG20" s="39" t="n">
        <v>49.7306381</v>
      </c>
      <c r="AH20" s="39" t="n">
        <v>16.2151780335174</v>
      </c>
      <c r="AI20" s="39" t="n">
        <v>27.8357584601223</v>
      </c>
      <c r="AJ20" s="39" t="n">
        <v>2.47584136858727</v>
      </c>
      <c r="AK20" s="39" t="n">
        <v>6.39965470155068</v>
      </c>
      <c r="AL20" s="39" t="n">
        <v>5.12628185014509</v>
      </c>
      <c r="AM20" s="39" t="n">
        <v>0</v>
      </c>
      <c r="AN20" s="39" t="n">
        <v>0</v>
      </c>
      <c r="AO20" s="40" t="n">
        <v>364.175495850572</v>
      </c>
      <c r="AP20" s="39" t="n">
        <v>309.862661904791</v>
      </c>
      <c r="AQ20" s="39" t="n">
        <v>129.834905760455</v>
      </c>
      <c r="AR20" s="40" t="n">
        <v>439.697567665246</v>
      </c>
      <c r="AS20" s="40" t="n">
        <v>195.051667594996</v>
      </c>
      <c r="AT20" s="39" t="n">
        <v>0</v>
      </c>
      <c r="AU20" s="39" t="n">
        <v>3.77676947965203</v>
      </c>
      <c r="AV20" s="40" t="n">
        <v>3.77676947965203</v>
      </c>
      <c r="AW20" s="40" t="n">
        <v>638.526004739894</v>
      </c>
      <c r="AX20" s="41" t="n">
        <v>1002.70150059047</v>
      </c>
    </row>
    <row r="21" customFormat="false" ht="15" hidden="false" customHeight="true" outlineLevel="0" collapsed="false">
      <c r="A21" s="28" t="s">
        <v>23</v>
      </c>
      <c r="B21" s="23" t="s">
        <v>105</v>
      </c>
      <c r="C21" s="39" t="n">
        <v>44.2231281632431</v>
      </c>
      <c r="D21" s="39" t="n">
        <v>115.522847619767</v>
      </c>
      <c r="E21" s="39" t="n">
        <v>0.744504622254728</v>
      </c>
      <c r="F21" s="39" t="n">
        <v>1.07311341433506</v>
      </c>
      <c r="G21" s="39" t="n">
        <v>0.161308303994836</v>
      </c>
      <c r="H21" s="39" t="n">
        <v>0</v>
      </c>
      <c r="I21" s="39" t="n">
        <v>0</v>
      </c>
      <c r="J21" s="39" t="n">
        <v>0</v>
      </c>
      <c r="K21" s="39" t="n">
        <v>50.8988442538929</v>
      </c>
      <c r="L21" s="39" t="n">
        <v>0</v>
      </c>
      <c r="M21" s="39" t="n">
        <v>0</v>
      </c>
      <c r="N21" s="39" t="n">
        <v>0</v>
      </c>
      <c r="O21" s="39" t="n">
        <v>2.86086626383059</v>
      </c>
      <c r="P21" s="39" t="n">
        <v>18.7138324567233</v>
      </c>
      <c r="Q21" s="39" t="n">
        <v>0.233546130943111</v>
      </c>
      <c r="R21" s="39" t="n">
        <v>0.0300338931960518</v>
      </c>
      <c r="S21" s="39" t="n">
        <v>0.110531699898047</v>
      </c>
      <c r="T21" s="39" t="n">
        <v>4664.7268240066</v>
      </c>
      <c r="U21" s="39" t="n">
        <v>65.5919771636842</v>
      </c>
      <c r="V21" s="39" t="n">
        <v>13.9590320792085</v>
      </c>
      <c r="W21" s="39" t="n">
        <v>27.4014757265357</v>
      </c>
      <c r="X21" s="39" t="n">
        <v>4.06759920367033</v>
      </c>
      <c r="Y21" s="39" t="n">
        <v>4.46175981550465</v>
      </c>
      <c r="Z21" s="39" t="n">
        <v>8.2703485900651</v>
      </c>
      <c r="AA21" s="39" t="n">
        <v>76.7679100035871</v>
      </c>
      <c r="AB21" s="39" t="n">
        <v>454.996930721866</v>
      </c>
      <c r="AC21" s="39" t="n">
        <v>1.12248224145242</v>
      </c>
      <c r="AD21" s="39" t="n">
        <v>37.6509037566545</v>
      </c>
      <c r="AE21" s="39" t="n">
        <v>0.00872868329607225</v>
      </c>
      <c r="AF21" s="39" t="n">
        <v>38.4930732453638</v>
      </c>
      <c r="AG21" s="39" t="n">
        <v>39.5306281499393</v>
      </c>
      <c r="AH21" s="39" t="n">
        <v>59.0029764891666</v>
      </c>
      <c r="AI21" s="39" t="n">
        <v>39.6056272571635</v>
      </c>
      <c r="AJ21" s="39" t="n">
        <v>3.62788592200299</v>
      </c>
      <c r="AK21" s="39" t="n">
        <v>10.9189501215997</v>
      </c>
      <c r="AL21" s="39" t="n">
        <v>57.3426558164147</v>
      </c>
      <c r="AM21" s="39" t="n">
        <v>0</v>
      </c>
      <c r="AN21" s="39" t="n">
        <v>0</v>
      </c>
      <c r="AO21" s="40" t="n">
        <v>5842.12032581586</v>
      </c>
      <c r="AP21" s="39" t="n">
        <v>1181.2071941032</v>
      </c>
      <c r="AQ21" s="39" t="n">
        <v>15.9508610247008</v>
      </c>
      <c r="AR21" s="40" t="n">
        <v>1197.1580551279</v>
      </c>
      <c r="AS21" s="40" t="n">
        <v>23.1790073607532</v>
      </c>
      <c r="AT21" s="39" t="n">
        <v>12593.0124872787</v>
      </c>
      <c r="AU21" s="39" t="n">
        <v>1624.13606987673</v>
      </c>
      <c r="AV21" s="40" t="n">
        <v>14217.1485571554</v>
      </c>
      <c r="AW21" s="40" t="n">
        <v>15437.4856196441</v>
      </c>
      <c r="AX21" s="41" t="n">
        <v>21279.6059454599</v>
      </c>
    </row>
    <row r="22" customFormat="false" ht="26.25" hidden="false" customHeight="true" outlineLevel="0" collapsed="false">
      <c r="A22" s="28" t="s">
        <v>24</v>
      </c>
      <c r="B22" s="23" t="s">
        <v>106</v>
      </c>
      <c r="C22" s="39" t="n">
        <v>3.16689757435503</v>
      </c>
      <c r="D22" s="39" t="n">
        <v>36.9839573556188</v>
      </c>
      <c r="E22" s="39" t="n">
        <v>16.9867016636984</v>
      </c>
      <c r="F22" s="39" t="n">
        <v>0.275912437247443</v>
      </c>
      <c r="G22" s="39" t="n">
        <v>2.94435842704593</v>
      </c>
      <c r="H22" s="39" t="n">
        <v>0</v>
      </c>
      <c r="I22" s="39" t="n">
        <v>3.15032729438216</v>
      </c>
      <c r="J22" s="39" t="n">
        <v>0.0161727375497809</v>
      </c>
      <c r="K22" s="39" t="n">
        <v>3.52075217142254</v>
      </c>
      <c r="L22" s="39" t="n">
        <v>4.25886398229224</v>
      </c>
      <c r="M22" s="39" t="n">
        <v>0</v>
      </c>
      <c r="N22" s="39" t="n">
        <v>0</v>
      </c>
      <c r="O22" s="39" t="n">
        <v>0</v>
      </c>
      <c r="P22" s="39" t="n">
        <v>0.068899552220755</v>
      </c>
      <c r="Q22" s="39" t="n">
        <v>59.3628834409005</v>
      </c>
      <c r="R22" s="39" t="n">
        <v>12.5957760681155</v>
      </c>
      <c r="S22" s="39" t="n">
        <v>18.7149322427365</v>
      </c>
      <c r="T22" s="39" t="n">
        <v>9.23344343523224</v>
      </c>
      <c r="U22" s="39" t="n">
        <v>126.316919547731</v>
      </c>
      <c r="V22" s="39" t="n">
        <v>109.712844066882</v>
      </c>
      <c r="W22" s="39" t="n">
        <v>6.83884361827979</v>
      </c>
      <c r="X22" s="39" t="n">
        <v>1.08521491803826</v>
      </c>
      <c r="Y22" s="39" t="n">
        <v>0.259941639548089</v>
      </c>
      <c r="Z22" s="39" t="n">
        <v>1.22472553726885</v>
      </c>
      <c r="AA22" s="39" t="n">
        <v>0.778277090304804</v>
      </c>
      <c r="AB22" s="39" t="n">
        <v>1.85652105624713</v>
      </c>
      <c r="AC22" s="39" t="n">
        <v>2.91407065325761</v>
      </c>
      <c r="AD22" s="39" t="n">
        <v>0.369944938869328</v>
      </c>
      <c r="AE22" s="39" t="n">
        <v>1.02598785530003</v>
      </c>
      <c r="AF22" s="39" t="n">
        <v>24.1279452032132</v>
      </c>
      <c r="AG22" s="39" t="n">
        <v>7.51260624719839</v>
      </c>
      <c r="AH22" s="39" t="n">
        <v>4.8025048571239</v>
      </c>
      <c r="AI22" s="39" t="n">
        <v>9.96212887614441</v>
      </c>
      <c r="AJ22" s="39" t="n">
        <v>0.00181038373412327</v>
      </c>
      <c r="AK22" s="39" t="n">
        <v>3.61836725958418</v>
      </c>
      <c r="AL22" s="39" t="n">
        <v>0.204188034282087</v>
      </c>
      <c r="AM22" s="39" t="n">
        <v>0</v>
      </c>
      <c r="AN22" s="39" t="n">
        <v>0</v>
      </c>
      <c r="AO22" s="40" t="n">
        <v>473.892720165824</v>
      </c>
      <c r="AP22" s="39" t="n">
        <v>50.12372144447</v>
      </c>
      <c r="AQ22" s="39" t="n">
        <v>0</v>
      </c>
      <c r="AR22" s="40" t="n">
        <v>50.12372144447</v>
      </c>
      <c r="AS22" s="40" t="n">
        <v>0</v>
      </c>
      <c r="AT22" s="39" t="n">
        <v>0</v>
      </c>
      <c r="AU22" s="39" t="n">
        <v>0</v>
      </c>
      <c r="AV22" s="40" t="n">
        <v>0</v>
      </c>
      <c r="AW22" s="40" t="n">
        <v>50.12372144447</v>
      </c>
      <c r="AX22" s="41" t="n">
        <v>524.016441610294</v>
      </c>
    </row>
    <row r="23" customFormat="false" ht="15" hidden="false" customHeight="true" outlineLevel="0" collapsed="false">
      <c r="A23" s="28" t="s">
        <v>25</v>
      </c>
      <c r="B23" s="30" t="s">
        <v>107</v>
      </c>
      <c r="C23" s="39" t="n">
        <v>184.474599314774</v>
      </c>
      <c r="D23" s="39" t="n">
        <v>182.559809848753</v>
      </c>
      <c r="E23" s="39" t="n">
        <v>432.765331339532</v>
      </c>
      <c r="F23" s="39" t="n">
        <v>13.7609561683418</v>
      </c>
      <c r="G23" s="39" t="n">
        <v>21.9190166058063</v>
      </c>
      <c r="H23" s="39" t="n">
        <v>15.7902257308166</v>
      </c>
      <c r="I23" s="39" t="n">
        <v>14.2109183056633</v>
      </c>
      <c r="J23" s="39" t="n">
        <v>5.86160717729612</v>
      </c>
      <c r="K23" s="39" t="n">
        <v>122.345273039587</v>
      </c>
      <c r="L23" s="39" t="n">
        <v>6.37103000257361</v>
      </c>
      <c r="M23" s="39" t="n">
        <v>0</v>
      </c>
      <c r="N23" s="39" t="n">
        <v>18.498809470631</v>
      </c>
      <c r="O23" s="39" t="n">
        <v>0.760542426655314</v>
      </c>
      <c r="P23" s="39" t="n">
        <v>0.463696551135853</v>
      </c>
      <c r="Q23" s="39" t="n">
        <v>1.36659809585153</v>
      </c>
      <c r="R23" s="39" t="n">
        <v>1.42396064052234</v>
      </c>
      <c r="S23" s="39" t="n">
        <v>52.495864635473</v>
      </c>
      <c r="T23" s="39" t="n">
        <v>370.253639138497</v>
      </c>
      <c r="U23" s="39" t="n">
        <v>1322.03012137211</v>
      </c>
      <c r="V23" s="39" t="n">
        <v>2108.44880357849</v>
      </c>
      <c r="W23" s="39" t="n">
        <v>136.602256955326</v>
      </c>
      <c r="X23" s="39" t="n">
        <v>0.843224196732153</v>
      </c>
      <c r="Y23" s="39" t="n">
        <v>20.3395189130755</v>
      </c>
      <c r="Z23" s="39" t="n">
        <v>23.5454286935087</v>
      </c>
      <c r="AA23" s="39" t="n">
        <v>103.971135947298</v>
      </c>
      <c r="AB23" s="39" t="n">
        <v>13.5045028675761</v>
      </c>
      <c r="AC23" s="39" t="n">
        <v>17.2297711198937</v>
      </c>
      <c r="AD23" s="39" t="n">
        <v>0.645300928457047</v>
      </c>
      <c r="AE23" s="39" t="n">
        <v>17.7190407595008</v>
      </c>
      <c r="AF23" s="39" t="n">
        <v>28.8628115071725</v>
      </c>
      <c r="AG23" s="39" t="n">
        <v>33.8490638534269</v>
      </c>
      <c r="AH23" s="39" t="n">
        <v>64.4789820976832</v>
      </c>
      <c r="AI23" s="39" t="n">
        <v>9.37015468461964</v>
      </c>
      <c r="AJ23" s="39" t="n">
        <v>8.46409808644003</v>
      </c>
      <c r="AK23" s="39" t="n">
        <v>105.308065857416</v>
      </c>
      <c r="AL23" s="39" t="n">
        <v>41.1365606189798</v>
      </c>
      <c r="AM23" s="39" t="n">
        <v>0</v>
      </c>
      <c r="AN23" s="39" t="n">
        <v>0</v>
      </c>
      <c r="AO23" s="40" t="n">
        <v>5501.67072052962</v>
      </c>
      <c r="AP23" s="39" t="n">
        <v>1424.62787363326</v>
      </c>
      <c r="AQ23" s="39" t="n">
        <v>0</v>
      </c>
      <c r="AR23" s="40" t="n">
        <v>1424.62787363326</v>
      </c>
      <c r="AS23" s="40" t="n">
        <v>6046.28016641846</v>
      </c>
      <c r="AT23" s="39" t="n">
        <v>0</v>
      </c>
      <c r="AU23" s="39" t="n">
        <v>0</v>
      </c>
      <c r="AV23" s="40" t="n">
        <v>0</v>
      </c>
      <c r="AW23" s="40" t="n">
        <v>7470.90804005172</v>
      </c>
      <c r="AX23" s="41" t="n">
        <v>12972.5787605813</v>
      </c>
    </row>
    <row r="24" customFormat="false" ht="15" hidden="false" customHeight="true" outlineLevel="0" collapsed="false">
      <c r="A24" s="28" t="s">
        <v>26</v>
      </c>
      <c r="B24" s="23" t="s">
        <v>108</v>
      </c>
      <c r="C24" s="39" t="n">
        <v>0.347489036536576</v>
      </c>
      <c r="D24" s="39" t="n">
        <v>0.00708486323692098</v>
      </c>
      <c r="E24" s="39" t="n">
        <v>4.81685041814374</v>
      </c>
      <c r="F24" s="39" t="n">
        <v>0.098932285117311</v>
      </c>
      <c r="G24" s="39" t="n">
        <v>0.373208430003497</v>
      </c>
      <c r="H24" s="39" t="n">
        <v>0.0761922418417943</v>
      </c>
      <c r="I24" s="39" t="n">
        <v>0.311314197548923</v>
      </c>
      <c r="J24" s="39" t="n">
        <v>0.142317489846242</v>
      </c>
      <c r="K24" s="39" t="n">
        <v>9.790117165055</v>
      </c>
      <c r="L24" s="39" t="n">
        <v>0.977944580257486</v>
      </c>
      <c r="M24" s="39" t="n">
        <v>0</v>
      </c>
      <c r="N24" s="39" t="n">
        <v>0</v>
      </c>
      <c r="O24" s="39" t="n">
        <v>0.0651774977157906</v>
      </c>
      <c r="P24" s="39" t="n">
        <v>0.00980976120515191</v>
      </c>
      <c r="Q24" s="39" t="n">
        <v>2.47498656711004</v>
      </c>
      <c r="R24" s="39" t="n">
        <v>1.58054401984583</v>
      </c>
      <c r="S24" s="39" t="n">
        <v>1.71095060398255</v>
      </c>
      <c r="T24" s="39" t="n">
        <v>62.4190213915945</v>
      </c>
      <c r="U24" s="39" t="n">
        <v>69.4542530161616</v>
      </c>
      <c r="V24" s="39" t="n">
        <v>100.089867254881</v>
      </c>
      <c r="W24" s="39" t="n">
        <v>75.8284628926933</v>
      </c>
      <c r="X24" s="39" t="n">
        <v>1.62258671982903</v>
      </c>
      <c r="Y24" s="39" t="n">
        <v>2.54977992365243</v>
      </c>
      <c r="Z24" s="39" t="n">
        <v>28.5492844764366</v>
      </c>
      <c r="AA24" s="39" t="n">
        <v>24.0914623099967</v>
      </c>
      <c r="AB24" s="39" t="n">
        <v>3.96580294561688</v>
      </c>
      <c r="AC24" s="39" t="n">
        <v>25.1783952465625</v>
      </c>
      <c r="AD24" s="39" t="n">
        <v>0.512040933468527</v>
      </c>
      <c r="AE24" s="39" t="n">
        <v>4.31843107281567</v>
      </c>
      <c r="AF24" s="39" t="n">
        <v>42.4046188382892</v>
      </c>
      <c r="AG24" s="39" t="n">
        <v>201.987657758632</v>
      </c>
      <c r="AH24" s="39" t="n">
        <v>79.1971368843642</v>
      </c>
      <c r="AI24" s="39" t="n">
        <v>10.8633980793672</v>
      </c>
      <c r="AJ24" s="39" t="n">
        <v>4.63812157315608</v>
      </c>
      <c r="AK24" s="39" t="n">
        <v>227.245121519375</v>
      </c>
      <c r="AL24" s="39" t="n">
        <v>51.9307163965748</v>
      </c>
      <c r="AM24" s="39" t="n">
        <v>0</v>
      </c>
      <c r="AN24" s="39" t="n">
        <v>0</v>
      </c>
      <c r="AO24" s="40" t="n">
        <v>1039.62907839091</v>
      </c>
      <c r="AP24" s="39" t="n">
        <v>1854.30554454046</v>
      </c>
      <c r="AQ24" s="39" t="n">
        <v>0</v>
      </c>
      <c r="AR24" s="40" t="n">
        <v>1854.30554454046</v>
      </c>
      <c r="AS24" s="40" t="n">
        <v>4545.40426489911</v>
      </c>
      <c r="AT24" s="39" t="n">
        <v>0</v>
      </c>
      <c r="AU24" s="39" t="n">
        <v>0</v>
      </c>
      <c r="AV24" s="40" t="n">
        <v>0</v>
      </c>
      <c r="AW24" s="40" t="n">
        <v>6399.70980943958</v>
      </c>
      <c r="AX24" s="41" t="n">
        <v>7439.33888783049</v>
      </c>
    </row>
    <row r="25" customFormat="false" ht="15" hidden="false" customHeight="true" outlineLevel="0" collapsed="false">
      <c r="A25" s="28" t="s">
        <v>27</v>
      </c>
      <c r="B25" s="23" t="s">
        <v>109</v>
      </c>
      <c r="C25" s="39" t="n">
        <v>0.238596871711459</v>
      </c>
      <c r="D25" s="39" t="n">
        <v>0</v>
      </c>
      <c r="E25" s="39" t="n">
        <v>0.156271134903329</v>
      </c>
      <c r="F25" s="39" t="n">
        <v>0.0262512394335387</v>
      </c>
      <c r="G25" s="39" t="n">
        <v>0.0663243877687229</v>
      </c>
      <c r="H25" s="39" t="n">
        <v>0</v>
      </c>
      <c r="I25" s="39" t="n">
        <v>0.0705741198726802</v>
      </c>
      <c r="J25" s="39" t="n">
        <v>0.00143518377282172</v>
      </c>
      <c r="K25" s="39" t="n">
        <v>2.7951887543638</v>
      </c>
      <c r="L25" s="39" t="n">
        <v>0</v>
      </c>
      <c r="M25" s="39" t="n">
        <v>0</v>
      </c>
      <c r="N25" s="39" t="n">
        <v>0</v>
      </c>
      <c r="O25" s="39" t="n">
        <v>0</v>
      </c>
      <c r="P25" s="39" t="n">
        <v>0.0868678282855491</v>
      </c>
      <c r="Q25" s="39" t="n">
        <v>0.140256093824949</v>
      </c>
      <c r="R25" s="39" t="n">
        <v>1.73483194226072</v>
      </c>
      <c r="S25" s="39" t="n">
        <v>0.230946951768601</v>
      </c>
      <c r="T25" s="39" t="n">
        <v>1.6077143971381</v>
      </c>
      <c r="U25" s="39" t="n">
        <v>71.4780928528734</v>
      </c>
      <c r="V25" s="39" t="n">
        <v>4.57384157921414</v>
      </c>
      <c r="W25" s="39" t="n">
        <v>5.89312963344895</v>
      </c>
      <c r="X25" s="39" t="n">
        <v>257.317111597391</v>
      </c>
      <c r="Y25" s="39" t="n">
        <v>20.4562426407237</v>
      </c>
      <c r="Z25" s="39" t="n">
        <v>44.7054397709016</v>
      </c>
      <c r="AA25" s="39" t="n">
        <v>74.8360448488072</v>
      </c>
      <c r="AB25" s="39" t="n">
        <v>1.20374754164589</v>
      </c>
      <c r="AC25" s="39" t="n">
        <v>3.13904236629281</v>
      </c>
      <c r="AD25" s="39" t="n">
        <v>0.253991378946032</v>
      </c>
      <c r="AE25" s="39" t="n">
        <v>46.9715977591295</v>
      </c>
      <c r="AF25" s="39" t="n">
        <v>2.02451927741318</v>
      </c>
      <c r="AG25" s="39" t="n">
        <v>34.8492821149034</v>
      </c>
      <c r="AH25" s="39" t="n">
        <v>5.17025777888584</v>
      </c>
      <c r="AI25" s="39" t="n">
        <v>3.27565677539239</v>
      </c>
      <c r="AJ25" s="39" t="n">
        <v>1.1396573986854</v>
      </c>
      <c r="AK25" s="39" t="n">
        <v>7.10730796313102</v>
      </c>
      <c r="AL25" s="39" t="n">
        <v>2.81897522435628</v>
      </c>
      <c r="AM25" s="39" t="n">
        <v>0</v>
      </c>
      <c r="AN25" s="39" t="n">
        <v>0</v>
      </c>
      <c r="AO25" s="40" t="n">
        <v>594.369197407246</v>
      </c>
      <c r="AP25" s="39" t="n">
        <v>173.535816658226</v>
      </c>
      <c r="AQ25" s="39" t="n">
        <v>70.8072005585985</v>
      </c>
      <c r="AR25" s="40" t="n">
        <v>244.343017216824</v>
      </c>
      <c r="AS25" s="40" t="n">
        <v>138.943747566884</v>
      </c>
      <c r="AT25" s="39" t="n">
        <v>0</v>
      </c>
      <c r="AU25" s="39" t="n">
        <v>451.590537810124</v>
      </c>
      <c r="AV25" s="40" t="n">
        <v>451.590537810124</v>
      </c>
      <c r="AW25" s="40" t="n">
        <v>834.877302593832</v>
      </c>
      <c r="AX25" s="41" t="n">
        <v>1429.24650000108</v>
      </c>
    </row>
    <row r="26" customFormat="false" ht="15" hidden="false" customHeight="true" outlineLevel="0" collapsed="false">
      <c r="A26" s="28" t="s">
        <v>28</v>
      </c>
      <c r="B26" s="30" t="s">
        <v>110</v>
      </c>
      <c r="C26" s="39" t="n">
        <v>0.201750226825347</v>
      </c>
      <c r="D26" s="39" t="n">
        <v>0.0328370736054086</v>
      </c>
      <c r="E26" s="39" t="n">
        <v>6.68082996345656</v>
      </c>
      <c r="F26" s="39" t="n">
        <v>0.243536755919141</v>
      </c>
      <c r="G26" s="39" t="n">
        <v>1.35173512077122</v>
      </c>
      <c r="H26" s="39" t="n">
        <v>0</v>
      </c>
      <c r="I26" s="39" t="n">
        <v>0.0217369591823592</v>
      </c>
      <c r="J26" s="39" t="n">
        <v>0</v>
      </c>
      <c r="K26" s="39" t="n">
        <v>0.389753684675742</v>
      </c>
      <c r="L26" s="39" t="n">
        <v>0.0551989144296914</v>
      </c>
      <c r="M26" s="39" t="n">
        <v>0</v>
      </c>
      <c r="N26" s="39" t="n">
        <v>0.0134566016682206</v>
      </c>
      <c r="O26" s="39" t="n">
        <v>0.0159433324431233</v>
      </c>
      <c r="P26" s="39" t="n">
        <v>0.00239960553201016</v>
      </c>
      <c r="Q26" s="39" t="n">
        <v>1.00739425269828</v>
      </c>
      <c r="R26" s="39" t="n">
        <v>0.334508751059731</v>
      </c>
      <c r="S26" s="39" t="n">
        <v>0.117671407640889</v>
      </c>
      <c r="T26" s="39" t="n">
        <v>2.72711806372857</v>
      </c>
      <c r="U26" s="39" t="n">
        <v>27.9603083210341</v>
      </c>
      <c r="V26" s="39" t="n">
        <v>3.50514118225846</v>
      </c>
      <c r="W26" s="39" t="n">
        <v>4.90215556302211</v>
      </c>
      <c r="X26" s="39" t="n">
        <v>7.72787619844135</v>
      </c>
      <c r="Y26" s="39" t="n">
        <v>173.823414937255</v>
      </c>
      <c r="Z26" s="39" t="n">
        <v>9.43797163343471</v>
      </c>
      <c r="AA26" s="39" t="n">
        <v>16.8062237599049</v>
      </c>
      <c r="AB26" s="39" t="n">
        <v>1.73037348998857</v>
      </c>
      <c r="AC26" s="39" t="n">
        <v>4.46804938285357</v>
      </c>
      <c r="AD26" s="39" t="n">
        <v>0.339912269915752</v>
      </c>
      <c r="AE26" s="39" t="n">
        <v>5.78608887013179</v>
      </c>
      <c r="AF26" s="39" t="n">
        <v>1.79845520765674</v>
      </c>
      <c r="AG26" s="39" t="n">
        <v>35.7752728251799</v>
      </c>
      <c r="AH26" s="39" t="n">
        <v>9.16862366434136</v>
      </c>
      <c r="AI26" s="39" t="n">
        <v>5.15976854324571</v>
      </c>
      <c r="AJ26" s="39" t="n">
        <v>0.0303080167224639</v>
      </c>
      <c r="AK26" s="39" t="n">
        <v>101.417777407737</v>
      </c>
      <c r="AL26" s="39" t="n">
        <v>5.84948308954658</v>
      </c>
      <c r="AM26" s="39" t="n">
        <v>0</v>
      </c>
      <c r="AN26" s="39" t="n">
        <v>0</v>
      </c>
      <c r="AO26" s="40" t="n">
        <v>428.883075076306</v>
      </c>
      <c r="AP26" s="39" t="n">
        <v>1523.27768783592</v>
      </c>
      <c r="AQ26" s="39" t="n">
        <v>0</v>
      </c>
      <c r="AR26" s="40" t="n">
        <v>1523.27768783592</v>
      </c>
      <c r="AS26" s="40" t="n">
        <v>565.236865692952</v>
      </c>
      <c r="AT26" s="39" t="n">
        <v>0</v>
      </c>
      <c r="AU26" s="39" t="n">
        <v>0</v>
      </c>
      <c r="AV26" s="40" t="n">
        <v>0</v>
      </c>
      <c r="AW26" s="40" t="n">
        <v>2088.51455352887</v>
      </c>
      <c r="AX26" s="41" t="n">
        <v>2517.39762860518</v>
      </c>
    </row>
    <row r="27" customFormat="false" ht="26.25" hidden="false" customHeight="true" outlineLevel="0" collapsed="false">
      <c r="A27" s="28" t="s">
        <v>29</v>
      </c>
      <c r="B27" s="23" t="s">
        <v>111</v>
      </c>
      <c r="C27" s="39" t="n">
        <v>0.436758773431379</v>
      </c>
      <c r="D27" s="39" t="n">
        <v>0.0432366434536164</v>
      </c>
      <c r="E27" s="39" t="n">
        <v>1.61401991807225</v>
      </c>
      <c r="F27" s="39" t="n">
        <v>0.0329775548636367</v>
      </c>
      <c r="G27" s="39" t="n">
        <v>1.86047319926766</v>
      </c>
      <c r="H27" s="39" t="n">
        <v>0</v>
      </c>
      <c r="I27" s="39" t="n">
        <v>0.0846100409989125</v>
      </c>
      <c r="J27" s="39" t="n">
        <v>0.0936972188673928</v>
      </c>
      <c r="K27" s="39" t="n">
        <v>3.1447606348057</v>
      </c>
      <c r="L27" s="39" t="n">
        <v>0</v>
      </c>
      <c r="M27" s="39" t="n">
        <v>0</v>
      </c>
      <c r="N27" s="39" t="n">
        <v>0</v>
      </c>
      <c r="O27" s="39" t="n">
        <v>0.00673000064021283</v>
      </c>
      <c r="P27" s="39" t="n">
        <v>0.024926284483664</v>
      </c>
      <c r="Q27" s="39" t="n">
        <v>0.367529531855704</v>
      </c>
      <c r="R27" s="39" t="n">
        <v>12.3250825070968</v>
      </c>
      <c r="S27" s="39" t="n">
        <v>0.589560979537922</v>
      </c>
      <c r="T27" s="39" t="n">
        <v>29.5566461653712</v>
      </c>
      <c r="U27" s="39" t="n">
        <v>41.9829905415554</v>
      </c>
      <c r="V27" s="39" t="n">
        <v>8.9055785858177</v>
      </c>
      <c r="W27" s="39" t="n">
        <v>9.24148792095185</v>
      </c>
      <c r="X27" s="39" t="n">
        <v>2.97064887727314</v>
      </c>
      <c r="Y27" s="39" t="n">
        <v>34.1659253224315</v>
      </c>
      <c r="Z27" s="39" t="n">
        <v>445.410094656504</v>
      </c>
      <c r="AA27" s="39" t="n">
        <v>192.164784273007</v>
      </c>
      <c r="AB27" s="39" t="n">
        <v>0.370211484348312</v>
      </c>
      <c r="AC27" s="39" t="n">
        <v>9.4061137264557</v>
      </c>
      <c r="AD27" s="39" t="n">
        <v>0.000511316395443756</v>
      </c>
      <c r="AE27" s="39" t="n">
        <v>0.327208460331923</v>
      </c>
      <c r="AF27" s="39" t="n">
        <v>33.9158833629476</v>
      </c>
      <c r="AG27" s="39" t="n">
        <v>0</v>
      </c>
      <c r="AH27" s="39" t="n">
        <v>2.07735949671337</v>
      </c>
      <c r="AI27" s="39" t="n">
        <v>6.58621362262293</v>
      </c>
      <c r="AJ27" s="39" t="n">
        <v>1.44710604597816</v>
      </c>
      <c r="AK27" s="39" t="n">
        <v>251.327060233456</v>
      </c>
      <c r="AL27" s="39" t="n">
        <v>1.50002331677646</v>
      </c>
      <c r="AM27" s="39" t="n">
        <v>0</v>
      </c>
      <c r="AN27" s="39" t="n">
        <v>0</v>
      </c>
      <c r="AO27" s="40" t="n">
        <v>1091.98021069631</v>
      </c>
      <c r="AP27" s="39" t="n">
        <v>298.988434953566</v>
      </c>
      <c r="AQ27" s="39" t="n">
        <v>0</v>
      </c>
      <c r="AR27" s="40" t="n">
        <v>298.988434953566</v>
      </c>
      <c r="AS27" s="40" t="n">
        <v>2922.38375816222</v>
      </c>
      <c r="AT27" s="39" t="n">
        <v>140.706987458464</v>
      </c>
      <c r="AU27" s="39" t="n">
        <v>-5.24006219908607</v>
      </c>
      <c r="AV27" s="40" t="n">
        <v>135.466925259378</v>
      </c>
      <c r="AW27" s="40" t="n">
        <v>3356.83911837516</v>
      </c>
      <c r="AX27" s="41" t="n">
        <v>4448.81932907147</v>
      </c>
    </row>
    <row r="28" customFormat="false" ht="15" hidden="false" customHeight="true" outlineLevel="0" collapsed="false">
      <c r="A28" s="28" t="s">
        <v>30</v>
      </c>
      <c r="B28" s="23" t="s">
        <v>112</v>
      </c>
      <c r="C28" s="39" t="n">
        <v>152.207961886208</v>
      </c>
      <c r="D28" s="39" t="n">
        <v>46.0521886323644</v>
      </c>
      <c r="E28" s="39" t="n">
        <v>196.738715330064</v>
      </c>
      <c r="F28" s="39" t="n">
        <v>14.229549605467</v>
      </c>
      <c r="G28" s="39" t="n">
        <v>15.614173291578</v>
      </c>
      <c r="H28" s="39" t="n">
        <v>5.10133676316056</v>
      </c>
      <c r="I28" s="39" t="n">
        <v>17.7790878036891</v>
      </c>
      <c r="J28" s="39" t="n">
        <v>8.71119881315736</v>
      </c>
      <c r="K28" s="39" t="n">
        <v>81.8076338142253</v>
      </c>
      <c r="L28" s="39" t="n">
        <v>80.0693305716166</v>
      </c>
      <c r="M28" s="39" t="n">
        <v>0.468395813238263</v>
      </c>
      <c r="N28" s="39" t="n">
        <v>5.44986807626712</v>
      </c>
      <c r="O28" s="39" t="n">
        <v>1.42841995494742</v>
      </c>
      <c r="P28" s="39" t="n">
        <v>1.67521627119661</v>
      </c>
      <c r="Q28" s="39" t="n">
        <v>17.120578570267</v>
      </c>
      <c r="R28" s="39" t="n">
        <v>105.071143531342</v>
      </c>
      <c r="S28" s="39" t="n">
        <v>24.8787230483754</v>
      </c>
      <c r="T28" s="39" t="n">
        <v>403.642583096312</v>
      </c>
      <c r="U28" s="39" t="n">
        <v>477.146369608013</v>
      </c>
      <c r="V28" s="39" t="n">
        <v>227.629438868465</v>
      </c>
      <c r="W28" s="39" t="n">
        <v>106.039852005155</v>
      </c>
      <c r="X28" s="39" t="n">
        <v>27.0926509837054</v>
      </c>
      <c r="Y28" s="39" t="n">
        <v>49.2599655296538</v>
      </c>
      <c r="Z28" s="39" t="n">
        <v>94.8444832224153</v>
      </c>
      <c r="AA28" s="39" t="n">
        <v>508.557311811815</v>
      </c>
      <c r="AB28" s="39" t="n">
        <v>446.548470017594</v>
      </c>
      <c r="AC28" s="39" t="n">
        <v>45.4020055853284</v>
      </c>
      <c r="AD28" s="39" t="n">
        <v>1.79192522356103</v>
      </c>
      <c r="AE28" s="39" t="n">
        <v>23.7790348175098</v>
      </c>
      <c r="AF28" s="39" t="n">
        <v>41.5668359284955</v>
      </c>
      <c r="AG28" s="39" t="n">
        <v>205.451551205203</v>
      </c>
      <c r="AH28" s="39" t="n">
        <v>31.1926950106585</v>
      </c>
      <c r="AI28" s="39" t="n">
        <v>78.3749401598347</v>
      </c>
      <c r="AJ28" s="39" t="n">
        <v>3.68753281062684</v>
      </c>
      <c r="AK28" s="39" t="n">
        <v>102.785211758615</v>
      </c>
      <c r="AL28" s="39" t="n">
        <v>7.9761032432044</v>
      </c>
      <c r="AM28" s="39" t="n">
        <v>0</v>
      </c>
      <c r="AN28" s="39" t="n">
        <v>0</v>
      </c>
      <c r="AO28" s="40" t="n">
        <v>3657.17248266333</v>
      </c>
      <c r="AP28" s="39" t="n">
        <v>2030.92563502397</v>
      </c>
      <c r="AQ28" s="39" t="n">
        <v>0</v>
      </c>
      <c r="AR28" s="40" t="n">
        <v>2030.92563502397</v>
      </c>
      <c r="AS28" s="40" t="n">
        <v>744.468814904961</v>
      </c>
      <c r="AT28" s="39" t="n">
        <v>0</v>
      </c>
      <c r="AU28" s="39" t="n">
        <v>0</v>
      </c>
      <c r="AV28" s="40" t="n">
        <v>0</v>
      </c>
      <c r="AW28" s="40" t="n">
        <v>2775.39444992893</v>
      </c>
      <c r="AX28" s="41" t="n">
        <v>6432.56693259226</v>
      </c>
    </row>
    <row r="29" customFormat="false" ht="15" hidden="false" customHeight="true" outlineLevel="0" collapsed="false">
      <c r="A29" s="28" t="s">
        <v>31</v>
      </c>
      <c r="B29" s="30" t="s">
        <v>113</v>
      </c>
      <c r="C29" s="39" t="n">
        <v>23.6705091716874</v>
      </c>
      <c r="D29" s="39" t="n">
        <v>53.9545616672102</v>
      </c>
      <c r="E29" s="39" t="n">
        <v>86.8009757517011</v>
      </c>
      <c r="F29" s="39" t="n">
        <v>18.6519785253303</v>
      </c>
      <c r="G29" s="39" t="n">
        <v>11.7393266564604</v>
      </c>
      <c r="H29" s="39" t="n">
        <v>1.56301561239412</v>
      </c>
      <c r="I29" s="39" t="n">
        <v>0.982085116486681</v>
      </c>
      <c r="J29" s="39" t="n">
        <v>0</v>
      </c>
      <c r="K29" s="39" t="n">
        <v>15.9492559937596</v>
      </c>
      <c r="L29" s="39" t="n">
        <v>7.42321726556241</v>
      </c>
      <c r="M29" s="39" t="n">
        <v>0</v>
      </c>
      <c r="N29" s="39" t="n">
        <v>0.1861324823073</v>
      </c>
      <c r="O29" s="39" t="n">
        <v>0.0894366042034015</v>
      </c>
      <c r="P29" s="39" t="n">
        <v>3.11854750252218</v>
      </c>
      <c r="Q29" s="39" t="n">
        <v>16.7055737826366</v>
      </c>
      <c r="R29" s="39" t="n">
        <v>34.43466966111</v>
      </c>
      <c r="S29" s="39" t="n">
        <v>2.31869871581049</v>
      </c>
      <c r="T29" s="39" t="n">
        <v>71.1496686682225</v>
      </c>
      <c r="U29" s="39" t="n">
        <v>934.298562595546</v>
      </c>
      <c r="V29" s="39" t="n">
        <v>256.275171639944</v>
      </c>
      <c r="W29" s="39" t="n">
        <v>382.667562131598</v>
      </c>
      <c r="X29" s="39" t="n">
        <v>31.5870174097146</v>
      </c>
      <c r="Y29" s="39" t="n">
        <v>63.2347370514995</v>
      </c>
      <c r="Z29" s="39" t="n">
        <v>95.304095865849</v>
      </c>
      <c r="AA29" s="39" t="n">
        <v>106.57002269356</v>
      </c>
      <c r="AB29" s="39" t="n">
        <v>90.3897664911978</v>
      </c>
      <c r="AC29" s="39" t="n">
        <v>95.5130233540551</v>
      </c>
      <c r="AD29" s="39" t="n">
        <v>1.32124865467739</v>
      </c>
      <c r="AE29" s="39" t="n">
        <v>38.0743863960598</v>
      </c>
      <c r="AF29" s="39" t="n">
        <v>71.9365552829651</v>
      </c>
      <c r="AG29" s="39" t="n">
        <v>37.8908557972596</v>
      </c>
      <c r="AH29" s="39" t="n">
        <v>38.7676526628784</v>
      </c>
      <c r="AI29" s="39" t="n">
        <v>47.3266101851131</v>
      </c>
      <c r="AJ29" s="39" t="n">
        <v>36.3254700785958</v>
      </c>
      <c r="AK29" s="39" t="n">
        <v>152.046045805785</v>
      </c>
      <c r="AL29" s="39" t="n">
        <v>61.4108363537896</v>
      </c>
      <c r="AM29" s="39" t="n">
        <v>0</v>
      </c>
      <c r="AN29" s="39" t="n">
        <v>0</v>
      </c>
      <c r="AO29" s="40" t="n">
        <v>2889.67727362749</v>
      </c>
      <c r="AP29" s="39" t="n">
        <v>7315.51111222041</v>
      </c>
      <c r="AQ29" s="39" t="n">
        <v>3.98978499567597</v>
      </c>
      <c r="AR29" s="40" t="n">
        <v>7319.50089721609</v>
      </c>
      <c r="AS29" s="40" t="n">
        <v>4.805842</v>
      </c>
      <c r="AT29" s="39" t="n">
        <v>0</v>
      </c>
      <c r="AU29" s="39" t="n">
        <v>0</v>
      </c>
      <c r="AV29" s="40" t="n">
        <v>0</v>
      </c>
      <c r="AW29" s="40" t="n">
        <v>7324.30673921609</v>
      </c>
      <c r="AX29" s="41" t="n">
        <v>10213.9840128436</v>
      </c>
    </row>
    <row r="30" customFormat="false" ht="51.75" hidden="false" customHeight="true" outlineLevel="0" collapsed="false">
      <c r="A30" s="28" t="s">
        <v>32</v>
      </c>
      <c r="B30" s="30" t="s">
        <v>114</v>
      </c>
      <c r="C30" s="39" t="n">
        <v>1.04349592425877</v>
      </c>
      <c r="D30" s="39" t="n">
        <v>4.67165936398629</v>
      </c>
      <c r="E30" s="39" t="n">
        <v>12.8649683206017</v>
      </c>
      <c r="F30" s="39" t="n">
        <v>0.450483996145785</v>
      </c>
      <c r="G30" s="39" t="n">
        <v>0.502132182247406</v>
      </c>
      <c r="H30" s="39" t="n">
        <v>0</v>
      </c>
      <c r="I30" s="39" t="n">
        <v>0.0822609665510641</v>
      </c>
      <c r="J30" s="39" t="n">
        <v>0.108936150971336</v>
      </c>
      <c r="K30" s="39" t="n">
        <v>42.9018739618372</v>
      </c>
      <c r="L30" s="39" t="n">
        <v>0.171569972843637</v>
      </c>
      <c r="M30" s="39" t="n">
        <v>0</v>
      </c>
      <c r="N30" s="39" t="n">
        <v>2.07354171583795</v>
      </c>
      <c r="O30" s="39" t="n">
        <v>0.0117205945275643</v>
      </c>
      <c r="P30" s="39" t="n">
        <v>0.0247042289764816</v>
      </c>
      <c r="Q30" s="39" t="n">
        <v>6.65084565771547</v>
      </c>
      <c r="R30" s="39" t="n">
        <v>160.735078597964</v>
      </c>
      <c r="S30" s="39" t="n">
        <v>3.39245223413739</v>
      </c>
      <c r="T30" s="39" t="n">
        <v>129.846020283651</v>
      </c>
      <c r="U30" s="39" t="n">
        <v>54.2120971951292</v>
      </c>
      <c r="V30" s="39" t="n">
        <v>59.6057236373826</v>
      </c>
      <c r="W30" s="39" t="n">
        <v>11.9678346293035</v>
      </c>
      <c r="X30" s="39" t="n">
        <v>4.32602139874175</v>
      </c>
      <c r="Y30" s="39" t="n">
        <v>4.05488968571334</v>
      </c>
      <c r="Z30" s="39" t="n">
        <v>77.0755250132745</v>
      </c>
      <c r="AA30" s="39" t="n">
        <v>121.416611647609</v>
      </c>
      <c r="AB30" s="39" t="n">
        <v>37.3982023875134</v>
      </c>
      <c r="AC30" s="39" t="n">
        <v>117.709950993073</v>
      </c>
      <c r="AD30" s="39" t="n">
        <v>0.0636899358301641</v>
      </c>
      <c r="AE30" s="39" t="n">
        <v>2.33760090771276</v>
      </c>
      <c r="AF30" s="39" t="n">
        <v>2.33851520066078</v>
      </c>
      <c r="AG30" s="39" t="n">
        <v>1.87308439815491</v>
      </c>
      <c r="AH30" s="39" t="n">
        <v>25.5217036982863</v>
      </c>
      <c r="AI30" s="39" t="n">
        <v>24.875780148439</v>
      </c>
      <c r="AJ30" s="39" t="n">
        <v>1.0554431299603</v>
      </c>
      <c r="AK30" s="39" t="n">
        <v>53.8856802137431</v>
      </c>
      <c r="AL30" s="39" t="n">
        <v>3.14386990850431</v>
      </c>
      <c r="AM30" s="39" t="n">
        <v>0</v>
      </c>
      <c r="AN30" s="39" t="n">
        <v>0</v>
      </c>
      <c r="AO30" s="40" t="n">
        <v>968.393968281284</v>
      </c>
      <c r="AP30" s="39" t="n">
        <v>459.189035498081</v>
      </c>
      <c r="AQ30" s="39" t="n">
        <v>0</v>
      </c>
      <c r="AR30" s="40" t="n">
        <v>459.189035498081</v>
      </c>
      <c r="AS30" s="40" t="n">
        <v>317.601478175126</v>
      </c>
      <c r="AT30" s="39" t="n">
        <v>0.157052142376722</v>
      </c>
      <c r="AU30" s="39" t="n">
        <v>68.1235270141603</v>
      </c>
      <c r="AV30" s="40" t="n">
        <v>68.280579156537</v>
      </c>
      <c r="AW30" s="40" t="n">
        <v>845.071092829744</v>
      </c>
      <c r="AX30" s="41" t="n">
        <v>1813.46506111103</v>
      </c>
    </row>
    <row r="31" customFormat="false" ht="15" hidden="false" customHeight="true" outlineLevel="0" collapsed="false">
      <c r="A31" s="28" t="s">
        <v>115</v>
      </c>
      <c r="B31" s="30" t="s">
        <v>116</v>
      </c>
      <c r="C31" s="39" t="n">
        <v>0</v>
      </c>
      <c r="D31" s="39" t="n">
        <v>0</v>
      </c>
      <c r="E31" s="39" t="n">
        <v>0</v>
      </c>
      <c r="F31" s="39" t="n">
        <v>0</v>
      </c>
      <c r="G31" s="39" t="n">
        <v>0</v>
      </c>
      <c r="H31" s="39" t="n">
        <v>0</v>
      </c>
      <c r="I31" s="39" t="n">
        <v>0.0539560003869818</v>
      </c>
      <c r="J31" s="39" t="n">
        <v>0</v>
      </c>
      <c r="K31" s="39" t="n">
        <v>0</v>
      </c>
      <c r="L31" s="39" t="n">
        <v>0</v>
      </c>
      <c r="M31" s="39" t="n">
        <v>0</v>
      </c>
      <c r="N31" s="39" t="n">
        <v>0</v>
      </c>
      <c r="O31" s="39" t="n">
        <v>0</v>
      </c>
      <c r="P31" s="39" t="n">
        <v>0</v>
      </c>
      <c r="Q31" s="39" t="n">
        <v>0</v>
      </c>
      <c r="R31" s="39" t="n">
        <v>3.81147141533591</v>
      </c>
      <c r="S31" s="39" t="n">
        <v>0</v>
      </c>
      <c r="T31" s="39" t="n">
        <v>0.106198646554918</v>
      </c>
      <c r="U31" s="39" t="n">
        <v>0.178304720780043</v>
      </c>
      <c r="V31" s="39" t="n">
        <v>0.0764628833434679</v>
      </c>
      <c r="W31" s="39" t="n">
        <v>0</v>
      </c>
      <c r="X31" s="39" t="n">
        <v>0</v>
      </c>
      <c r="Y31" s="39" t="n">
        <v>0</v>
      </c>
      <c r="Z31" s="39" t="n">
        <v>0</v>
      </c>
      <c r="AA31" s="39" t="n">
        <v>0.0813464634472015</v>
      </c>
      <c r="AB31" s="39" t="n">
        <v>0</v>
      </c>
      <c r="AC31" s="39" t="n">
        <v>0</v>
      </c>
      <c r="AD31" s="39" t="n">
        <v>14.5093982532755</v>
      </c>
      <c r="AE31" s="39" t="n">
        <v>0.805260244323641</v>
      </c>
      <c r="AF31" s="39" t="n">
        <v>0</v>
      </c>
      <c r="AG31" s="39" t="n">
        <v>0</v>
      </c>
      <c r="AH31" s="39" t="n">
        <v>0.02395476051547</v>
      </c>
      <c r="AI31" s="39" t="n">
        <v>0.26558273181874</v>
      </c>
      <c r="AJ31" s="39" t="n">
        <v>0</v>
      </c>
      <c r="AK31" s="39" t="n">
        <v>0</v>
      </c>
      <c r="AL31" s="39" t="n">
        <v>0.117515782696617</v>
      </c>
      <c r="AM31" s="39" t="n">
        <v>0</v>
      </c>
      <c r="AN31" s="39" t="n">
        <v>0</v>
      </c>
      <c r="AO31" s="40" t="n">
        <v>20.0294519024785</v>
      </c>
      <c r="AP31" s="39" t="n">
        <v>44.6622965130742</v>
      </c>
      <c r="AQ31" s="39" t="n">
        <v>18.7203427136781</v>
      </c>
      <c r="AR31" s="40" t="n">
        <v>63.3826392267523</v>
      </c>
      <c r="AS31" s="40" t="n">
        <v>4.40269570614687</v>
      </c>
      <c r="AT31" s="39" t="n">
        <v>214.777441856253</v>
      </c>
      <c r="AU31" s="39" t="n">
        <v>0.346869773169656</v>
      </c>
      <c r="AV31" s="40" t="n">
        <v>215.124311629423</v>
      </c>
      <c r="AW31" s="40" t="n">
        <v>282.909646562322</v>
      </c>
      <c r="AX31" s="41" t="n">
        <v>302.939098464801</v>
      </c>
    </row>
    <row r="32" customFormat="false" ht="39" hidden="false" customHeight="true" outlineLevel="0" collapsed="false">
      <c r="A32" s="28" t="s">
        <v>33</v>
      </c>
      <c r="B32" s="23" t="s">
        <v>117</v>
      </c>
      <c r="C32" s="39" t="n">
        <v>14.4887824064768</v>
      </c>
      <c r="D32" s="39" t="n">
        <v>0</v>
      </c>
      <c r="E32" s="39" t="n">
        <v>69.3741639920236</v>
      </c>
      <c r="F32" s="39" t="n">
        <v>0.516282799190225</v>
      </c>
      <c r="G32" s="39" t="n">
        <v>0.738930907540768</v>
      </c>
      <c r="H32" s="39" t="n">
        <v>0</v>
      </c>
      <c r="I32" s="39" t="n">
        <v>2.08431572905707</v>
      </c>
      <c r="J32" s="39" t="n">
        <v>6.93528393445372</v>
      </c>
      <c r="K32" s="39" t="n">
        <v>3.0784557604479</v>
      </c>
      <c r="L32" s="39" t="n">
        <v>0.00981326185472153</v>
      </c>
      <c r="M32" s="39" t="n">
        <v>0</v>
      </c>
      <c r="N32" s="39" t="n">
        <v>0</v>
      </c>
      <c r="O32" s="39" t="n">
        <v>0</v>
      </c>
      <c r="P32" s="39" t="n">
        <v>0.0344602563265005</v>
      </c>
      <c r="Q32" s="39" t="n">
        <v>0.477822248112542</v>
      </c>
      <c r="R32" s="39" t="n">
        <v>0.831760556655691</v>
      </c>
      <c r="S32" s="39" t="n">
        <v>1.31285212395336</v>
      </c>
      <c r="T32" s="39" t="n">
        <v>13.1091566007702</v>
      </c>
      <c r="U32" s="39" t="n">
        <v>345.781430888252</v>
      </c>
      <c r="V32" s="39" t="n">
        <v>6.26627776008598</v>
      </c>
      <c r="W32" s="39" t="n">
        <v>23.5311697354121</v>
      </c>
      <c r="X32" s="39" t="n">
        <v>16.8877275529042</v>
      </c>
      <c r="Y32" s="39" t="n">
        <v>3.38990024326578</v>
      </c>
      <c r="Z32" s="39" t="n">
        <v>15.5267065170312</v>
      </c>
      <c r="AA32" s="39" t="n">
        <v>105.560380010639</v>
      </c>
      <c r="AB32" s="39" t="n">
        <v>0.796043453425647</v>
      </c>
      <c r="AC32" s="39" t="n">
        <v>13.835768459997</v>
      </c>
      <c r="AD32" s="39" t="n">
        <v>0.0992853936040372</v>
      </c>
      <c r="AE32" s="39" t="n">
        <v>62.0958880430897</v>
      </c>
      <c r="AF32" s="39" t="n">
        <v>0.689355301048769</v>
      </c>
      <c r="AG32" s="39" t="n">
        <v>76.1122736558415</v>
      </c>
      <c r="AH32" s="39" t="n">
        <v>21.0072732544521</v>
      </c>
      <c r="AI32" s="39" t="n">
        <v>8.0321860657777</v>
      </c>
      <c r="AJ32" s="39" t="n">
        <v>2.02659364656555</v>
      </c>
      <c r="AK32" s="39" t="n">
        <v>9.15449464355492</v>
      </c>
      <c r="AL32" s="39" t="n">
        <v>2.30420417486857</v>
      </c>
      <c r="AM32" s="39" t="n">
        <v>0</v>
      </c>
      <c r="AN32" s="39" t="n">
        <v>0</v>
      </c>
      <c r="AO32" s="40" t="n">
        <v>826.089039376679</v>
      </c>
      <c r="AP32" s="39" t="n">
        <v>67.7491495320388</v>
      </c>
      <c r="AQ32" s="39" t="n">
        <v>0</v>
      </c>
      <c r="AR32" s="40" t="n">
        <v>67.7491495320388</v>
      </c>
      <c r="AS32" s="40" t="n">
        <v>0.0079565705366739</v>
      </c>
      <c r="AT32" s="39" t="n">
        <v>0</v>
      </c>
      <c r="AU32" s="39" t="n">
        <v>0</v>
      </c>
      <c r="AV32" s="40" t="n">
        <v>0</v>
      </c>
      <c r="AW32" s="40" t="n">
        <v>67.7571061025755</v>
      </c>
      <c r="AX32" s="41" t="n">
        <v>893.846145479255</v>
      </c>
    </row>
    <row r="33" customFormat="false" ht="15" hidden="false" customHeight="true" outlineLevel="0" collapsed="false">
      <c r="A33" s="28" t="s">
        <v>34</v>
      </c>
      <c r="B33" s="23" t="s">
        <v>118</v>
      </c>
      <c r="C33" s="39" t="n">
        <v>42.7672462588898</v>
      </c>
      <c r="D33" s="39" t="n">
        <v>27.9068804492469</v>
      </c>
      <c r="E33" s="39" t="n">
        <v>43.7883686556838</v>
      </c>
      <c r="F33" s="39" t="n">
        <v>0.535390456551174</v>
      </c>
      <c r="G33" s="39" t="n">
        <v>17.9357713886688</v>
      </c>
      <c r="H33" s="39" t="n">
        <v>0</v>
      </c>
      <c r="I33" s="39" t="n">
        <v>1.18253591712281</v>
      </c>
      <c r="J33" s="39" t="n">
        <v>0.601118627254433</v>
      </c>
      <c r="K33" s="39" t="n">
        <v>31.9427160798497</v>
      </c>
      <c r="L33" s="39" t="n">
        <v>0.514428744081976</v>
      </c>
      <c r="M33" s="39" t="n">
        <v>0</v>
      </c>
      <c r="N33" s="39" t="n">
        <v>0.00400118452696815</v>
      </c>
      <c r="O33" s="39" t="n">
        <v>0.149682557233315</v>
      </c>
      <c r="P33" s="39" t="n">
        <v>1.0802845632491</v>
      </c>
      <c r="Q33" s="39" t="n">
        <v>0.42989664420062</v>
      </c>
      <c r="R33" s="39" t="n">
        <v>7.7275628576951</v>
      </c>
      <c r="S33" s="39" t="n">
        <v>2.65766233199596</v>
      </c>
      <c r="T33" s="39" t="n">
        <v>193.572009248754</v>
      </c>
      <c r="U33" s="39" t="n">
        <v>203.402203942362</v>
      </c>
      <c r="V33" s="39" t="n">
        <v>126.5052991047</v>
      </c>
      <c r="W33" s="39" t="n">
        <v>97.6214130353414</v>
      </c>
      <c r="X33" s="39" t="n">
        <v>85.8959074562639</v>
      </c>
      <c r="Y33" s="39" t="n">
        <v>2.6016195419192</v>
      </c>
      <c r="Z33" s="39" t="n">
        <v>82.1883225180504</v>
      </c>
      <c r="AA33" s="39" t="n">
        <v>184.637474056732</v>
      </c>
      <c r="AB33" s="39" t="n">
        <v>19.9698511458444</v>
      </c>
      <c r="AC33" s="39" t="n">
        <v>24.9555223399956</v>
      </c>
      <c r="AD33" s="39" t="n">
        <v>0.385875941704254</v>
      </c>
      <c r="AE33" s="39" t="n">
        <v>3.93956923594705</v>
      </c>
      <c r="AF33" s="39" t="n">
        <v>208.65113321955</v>
      </c>
      <c r="AG33" s="39" t="n">
        <v>90.8338391578909</v>
      </c>
      <c r="AH33" s="39" t="n">
        <v>11.2748956015717</v>
      </c>
      <c r="AI33" s="39" t="n">
        <v>24.8123855394945</v>
      </c>
      <c r="AJ33" s="39" t="n">
        <v>11.5074128823616</v>
      </c>
      <c r="AK33" s="39" t="n">
        <v>22.8946152875113</v>
      </c>
      <c r="AL33" s="39" t="n">
        <v>1.88424661420623</v>
      </c>
      <c r="AM33" s="39" t="n">
        <v>0</v>
      </c>
      <c r="AN33" s="39" t="n">
        <v>0</v>
      </c>
      <c r="AO33" s="40" t="n">
        <v>1576.75714258645</v>
      </c>
      <c r="AP33" s="39" t="n">
        <v>506.339042115707</v>
      </c>
      <c r="AQ33" s="39" t="n">
        <v>0</v>
      </c>
      <c r="AR33" s="40" t="n">
        <v>506.339042115707</v>
      </c>
      <c r="AS33" s="40" t="n">
        <v>295.869153315312</v>
      </c>
      <c r="AT33" s="39" t="n">
        <v>0</v>
      </c>
      <c r="AU33" s="39" t="n">
        <v>0</v>
      </c>
      <c r="AV33" s="40" t="n">
        <v>0</v>
      </c>
      <c r="AW33" s="40" t="n">
        <v>802.208195431019</v>
      </c>
      <c r="AX33" s="41" t="n">
        <v>2378.96533801747</v>
      </c>
    </row>
    <row r="34" customFormat="false" ht="26.25" hidden="false" customHeight="true" outlineLevel="0" collapsed="false">
      <c r="A34" s="28" t="n">
        <v>84</v>
      </c>
      <c r="B34" s="30" t="s">
        <v>119</v>
      </c>
      <c r="C34" s="39" t="n">
        <v>0.00550377015870532</v>
      </c>
      <c r="D34" s="39" t="n">
        <v>0</v>
      </c>
      <c r="E34" s="39" t="n">
        <v>0</v>
      </c>
      <c r="F34" s="39" t="n">
        <v>0</v>
      </c>
      <c r="G34" s="39" t="n">
        <v>0</v>
      </c>
      <c r="H34" s="39" t="n">
        <v>0</v>
      </c>
      <c r="I34" s="39" t="n">
        <v>0</v>
      </c>
      <c r="J34" s="39" t="n">
        <v>0</v>
      </c>
      <c r="K34" s="39" t="n">
        <v>0</v>
      </c>
      <c r="L34" s="39" t="n">
        <v>0</v>
      </c>
      <c r="M34" s="39" t="n">
        <v>0</v>
      </c>
      <c r="N34" s="39" t="n">
        <v>0</v>
      </c>
      <c r="O34" s="39" t="n">
        <v>0</v>
      </c>
      <c r="P34" s="39" t="n">
        <v>0</v>
      </c>
      <c r="Q34" s="39" t="n">
        <v>0</v>
      </c>
      <c r="R34" s="39" t="n">
        <v>0.540677261998979</v>
      </c>
      <c r="S34" s="39" t="n">
        <v>0.0317744019815593</v>
      </c>
      <c r="T34" s="39" t="n">
        <v>0.0424274256905461</v>
      </c>
      <c r="U34" s="39" t="n">
        <v>0.0128058283236372</v>
      </c>
      <c r="V34" s="39" t="n">
        <v>0.0154559779862551</v>
      </c>
      <c r="W34" s="39" t="n">
        <v>0</v>
      </c>
      <c r="X34" s="39" t="n">
        <v>0</v>
      </c>
      <c r="Y34" s="39" t="n">
        <v>0</v>
      </c>
      <c r="Z34" s="39" t="n">
        <v>0.383190455535935</v>
      </c>
      <c r="AA34" s="39" t="n">
        <v>0.0414389951069035</v>
      </c>
      <c r="AB34" s="39" t="n">
        <v>0</v>
      </c>
      <c r="AC34" s="39" t="n">
        <v>0</v>
      </c>
      <c r="AD34" s="39" t="n">
        <v>0.000294000020506128</v>
      </c>
      <c r="AE34" s="39" t="n">
        <v>0.140200910591122</v>
      </c>
      <c r="AF34" s="39" t="n">
        <v>0.0157811671951614</v>
      </c>
      <c r="AG34" s="39" t="n">
        <v>5.25302584</v>
      </c>
      <c r="AH34" s="39" t="n">
        <v>0.0482479841669511</v>
      </c>
      <c r="AI34" s="39" t="n">
        <v>6.15386684687075</v>
      </c>
      <c r="AJ34" s="39" t="n">
        <v>0</v>
      </c>
      <c r="AK34" s="39" t="n">
        <v>0.0015000001046231</v>
      </c>
      <c r="AL34" s="39" t="n">
        <v>0.0282789746829092</v>
      </c>
      <c r="AM34" s="39" t="n">
        <v>0</v>
      </c>
      <c r="AN34" s="39" t="n">
        <v>0</v>
      </c>
      <c r="AO34" s="40" t="n">
        <v>12.7144698404145</v>
      </c>
      <c r="AP34" s="39" t="n">
        <v>1426.25643015959</v>
      </c>
      <c r="AQ34" s="39" t="n">
        <v>6453.67141035817</v>
      </c>
      <c r="AR34" s="40" t="n">
        <v>7879.92784051776</v>
      </c>
      <c r="AS34" s="40" t="n">
        <v>0</v>
      </c>
      <c r="AT34" s="39" t="n">
        <v>0</v>
      </c>
      <c r="AU34" s="39" t="n">
        <v>0</v>
      </c>
      <c r="AV34" s="40" t="n">
        <v>0</v>
      </c>
      <c r="AW34" s="40" t="n">
        <v>7879.92784051776</v>
      </c>
      <c r="AX34" s="41" t="n">
        <v>7892.64231035817</v>
      </c>
    </row>
    <row r="35" customFormat="false" ht="15" hidden="false" customHeight="true" outlineLevel="0" collapsed="false">
      <c r="A35" s="28" t="n">
        <v>85</v>
      </c>
      <c r="B35" s="30" t="s">
        <v>120</v>
      </c>
      <c r="C35" s="39" t="n">
        <v>0.0170378567345983</v>
      </c>
      <c r="D35" s="39" t="n">
        <v>0</v>
      </c>
      <c r="E35" s="39" t="n">
        <v>0.0103239242564474</v>
      </c>
      <c r="F35" s="39" t="n">
        <v>0</v>
      </c>
      <c r="G35" s="39" t="n">
        <v>0</v>
      </c>
      <c r="H35" s="39" t="n">
        <v>0</v>
      </c>
      <c r="I35" s="39" t="n">
        <v>0</v>
      </c>
      <c r="J35" s="39" t="n">
        <v>0</v>
      </c>
      <c r="K35" s="39" t="n">
        <v>2.23256285668732</v>
      </c>
      <c r="L35" s="39" t="n">
        <v>0</v>
      </c>
      <c r="M35" s="39" t="n">
        <v>0</v>
      </c>
      <c r="N35" s="39" t="n">
        <v>0</v>
      </c>
      <c r="O35" s="39" t="n">
        <v>0</v>
      </c>
      <c r="P35" s="39" t="n">
        <v>0.0344547810394945</v>
      </c>
      <c r="Q35" s="39" t="n">
        <v>0.146343452950125</v>
      </c>
      <c r="R35" s="39" t="n">
        <v>0.0142682513690404</v>
      </c>
      <c r="S35" s="39" t="n">
        <v>0.00382381386118816</v>
      </c>
      <c r="T35" s="39" t="n">
        <v>0.103222177797781</v>
      </c>
      <c r="U35" s="39" t="n">
        <v>2.23591907241013</v>
      </c>
      <c r="V35" s="39" t="n">
        <v>1.36875368625681</v>
      </c>
      <c r="W35" s="39" t="n">
        <v>0.45049733924944</v>
      </c>
      <c r="X35" s="39" t="n">
        <v>0.380802624386043</v>
      </c>
      <c r="Y35" s="39" t="n">
        <v>0.799990686661055</v>
      </c>
      <c r="Z35" s="39" t="n">
        <v>6.73771643512008</v>
      </c>
      <c r="AA35" s="39" t="n">
        <v>12.6870969014317</v>
      </c>
      <c r="AB35" s="39" t="n">
        <v>0.0275120245306611</v>
      </c>
      <c r="AC35" s="39" t="n">
        <v>0.00588191721899515</v>
      </c>
      <c r="AD35" s="39" t="n">
        <v>0.02822286</v>
      </c>
      <c r="AE35" s="39" t="n">
        <v>0.516687444075366</v>
      </c>
      <c r="AF35" s="39" t="n">
        <v>0.0399780961879167</v>
      </c>
      <c r="AG35" s="39" t="n">
        <v>9.86205355</v>
      </c>
      <c r="AH35" s="39" t="n">
        <v>7.73445562021843</v>
      </c>
      <c r="AI35" s="39" t="n">
        <v>0.246364734807007</v>
      </c>
      <c r="AJ35" s="39" t="n">
        <v>6.62308619785876</v>
      </c>
      <c r="AK35" s="39" t="n">
        <v>94.1974583733474</v>
      </c>
      <c r="AL35" s="39" t="n">
        <v>4.04035843223399</v>
      </c>
      <c r="AM35" s="39" t="n">
        <v>0</v>
      </c>
      <c r="AN35" s="39" t="n">
        <v>0</v>
      </c>
      <c r="AO35" s="40" t="n">
        <v>150.54487311069</v>
      </c>
      <c r="AP35" s="39" t="n">
        <v>2635.07342507423</v>
      </c>
      <c r="AQ35" s="39" t="n">
        <v>2875.08475926896</v>
      </c>
      <c r="AR35" s="40" t="n">
        <v>5510.15818434319</v>
      </c>
      <c r="AS35" s="40" t="n">
        <v>52.8436248020355</v>
      </c>
      <c r="AT35" s="39" t="n">
        <v>0</v>
      </c>
      <c r="AU35" s="39" t="n">
        <v>0</v>
      </c>
      <c r="AV35" s="40" t="n">
        <v>0</v>
      </c>
      <c r="AW35" s="40" t="n">
        <v>5563.00180914522</v>
      </c>
      <c r="AX35" s="41" t="n">
        <v>5713.54668225591</v>
      </c>
    </row>
    <row r="36" customFormat="false" ht="15" hidden="false" customHeight="true" outlineLevel="0" collapsed="false">
      <c r="A36" s="28" t="n">
        <v>86</v>
      </c>
      <c r="B36" s="30" t="s">
        <v>121</v>
      </c>
      <c r="C36" s="39" t="n">
        <v>0</v>
      </c>
      <c r="D36" s="39" t="n">
        <v>0</v>
      </c>
      <c r="E36" s="39" t="n">
        <v>0.00611585258829524</v>
      </c>
      <c r="F36" s="39" t="n">
        <v>0</v>
      </c>
      <c r="G36" s="39" t="n">
        <v>0</v>
      </c>
      <c r="H36" s="39" t="n">
        <v>0</v>
      </c>
      <c r="I36" s="39" t="n">
        <v>0</v>
      </c>
      <c r="J36" s="39" t="n">
        <v>0</v>
      </c>
      <c r="K36" s="39" t="n">
        <v>8.11711729276574</v>
      </c>
      <c r="L36" s="39" t="n">
        <v>0</v>
      </c>
      <c r="M36" s="39" t="n">
        <v>0</v>
      </c>
      <c r="N36" s="39" t="n">
        <v>0</v>
      </c>
      <c r="O36" s="39" t="n">
        <v>0</v>
      </c>
      <c r="P36" s="39" t="n">
        <v>0.220431854678094</v>
      </c>
      <c r="Q36" s="39" t="n">
        <v>0.0126303451872941</v>
      </c>
      <c r="R36" s="39" t="n">
        <v>0.0251399539950583</v>
      </c>
      <c r="S36" s="39" t="n">
        <v>0.0695380824724501</v>
      </c>
      <c r="T36" s="39" t="n">
        <v>0</v>
      </c>
      <c r="U36" s="39" t="n">
        <v>0</v>
      </c>
      <c r="V36" s="39" t="n">
        <v>0</v>
      </c>
      <c r="W36" s="39" t="n">
        <v>0</v>
      </c>
      <c r="X36" s="39" t="n">
        <v>0.0214602299779939</v>
      </c>
      <c r="Y36" s="39" t="n">
        <v>0.123939672123363</v>
      </c>
      <c r="Z36" s="39" t="n">
        <v>0.307505440987691</v>
      </c>
      <c r="AA36" s="39" t="n">
        <v>0.000250551718955031</v>
      </c>
      <c r="AB36" s="39" t="n">
        <v>0.21524870077154</v>
      </c>
      <c r="AC36" s="39" t="n">
        <v>3.83122880793065</v>
      </c>
      <c r="AD36" s="39" t="n">
        <v>0.0819823575624687</v>
      </c>
      <c r="AE36" s="39" t="n">
        <v>0</v>
      </c>
      <c r="AF36" s="39" t="n">
        <v>0.00239782920450328</v>
      </c>
      <c r="AG36" s="39" t="n">
        <v>30.81050803</v>
      </c>
      <c r="AH36" s="39" t="n">
        <v>20.6952490582679</v>
      </c>
      <c r="AI36" s="39" t="n">
        <v>230.704767314897</v>
      </c>
      <c r="AJ36" s="39" t="n">
        <v>4.02550921456724</v>
      </c>
      <c r="AK36" s="39" t="n">
        <v>0.334260968164891</v>
      </c>
      <c r="AL36" s="39" t="n">
        <v>0.237585873945641</v>
      </c>
      <c r="AM36" s="39" t="n">
        <v>0</v>
      </c>
      <c r="AN36" s="39" t="n">
        <v>0</v>
      </c>
      <c r="AO36" s="40" t="n">
        <v>299.842867431806</v>
      </c>
      <c r="AP36" s="39" t="n">
        <v>1929.04488649117</v>
      </c>
      <c r="AQ36" s="39" t="n">
        <v>2034.51212805541</v>
      </c>
      <c r="AR36" s="40" t="n">
        <v>3963.55701454658</v>
      </c>
      <c r="AS36" s="40" t="n">
        <v>5.22542883541597</v>
      </c>
      <c r="AT36" s="39" t="n">
        <v>0</v>
      </c>
      <c r="AU36" s="39" t="n">
        <v>0</v>
      </c>
      <c r="AV36" s="40" t="n">
        <v>0</v>
      </c>
      <c r="AW36" s="40" t="n">
        <v>3968.782443382</v>
      </c>
      <c r="AX36" s="41" t="n">
        <v>4268.62531081381</v>
      </c>
    </row>
    <row r="37" customFormat="false" ht="15" hidden="false" customHeight="true" outlineLevel="0" collapsed="false">
      <c r="A37" s="28" t="s">
        <v>35</v>
      </c>
      <c r="B37" s="23" t="s">
        <v>122</v>
      </c>
      <c r="C37" s="39" t="n">
        <v>0</v>
      </c>
      <c r="D37" s="39" t="n">
        <v>0</v>
      </c>
      <c r="E37" s="39" t="n">
        <v>0</v>
      </c>
      <c r="F37" s="39" t="n">
        <v>0</v>
      </c>
      <c r="G37" s="39" t="n">
        <v>0</v>
      </c>
      <c r="H37" s="39" t="n">
        <v>0</v>
      </c>
      <c r="I37" s="39" t="n">
        <v>0</v>
      </c>
      <c r="J37" s="39" t="n">
        <v>0</v>
      </c>
      <c r="K37" s="39" t="n">
        <v>0</v>
      </c>
      <c r="L37" s="39" t="n">
        <v>0</v>
      </c>
      <c r="M37" s="39" t="n">
        <v>0</v>
      </c>
      <c r="N37" s="39" t="n">
        <v>0</v>
      </c>
      <c r="O37" s="39" t="n">
        <v>0</v>
      </c>
      <c r="P37" s="39" t="n">
        <v>0</v>
      </c>
      <c r="Q37" s="39" t="n">
        <v>0</v>
      </c>
      <c r="R37" s="39" t="n">
        <v>0</v>
      </c>
      <c r="S37" s="39" t="n">
        <v>0</v>
      </c>
      <c r="T37" s="39" t="n">
        <v>0</v>
      </c>
      <c r="U37" s="39" t="n">
        <v>0</v>
      </c>
      <c r="V37" s="39" t="n">
        <v>0</v>
      </c>
      <c r="W37" s="39" t="n">
        <v>0</v>
      </c>
      <c r="X37" s="39" t="n">
        <v>0</v>
      </c>
      <c r="Y37" s="39" t="n">
        <v>0</v>
      </c>
      <c r="Z37" s="39" t="n">
        <v>0</v>
      </c>
      <c r="AA37" s="39" t="n">
        <v>0</v>
      </c>
      <c r="AB37" s="39" t="n">
        <v>0</v>
      </c>
      <c r="AC37" s="39" t="n">
        <v>0</v>
      </c>
      <c r="AD37" s="39" t="n">
        <v>0</v>
      </c>
      <c r="AE37" s="39" t="n">
        <v>0</v>
      </c>
      <c r="AF37" s="39" t="n">
        <v>0</v>
      </c>
      <c r="AG37" s="39" t="n">
        <v>0</v>
      </c>
      <c r="AH37" s="39" t="n">
        <v>0</v>
      </c>
      <c r="AI37" s="39" t="n">
        <v>0</v>
      </c>
      <c r="AJ37" s="39" t="n">
        <v>0</v>
      </c>
      <c r="AK37" s="39" t="n">
        <v>0</v>
      </c>
      <c r="AL37" s="39" t="n">
        <v>0</v>
      </c>
      <c r="AM37" s="39" t="n">
        <v>0</v>
      </c>
      <c r="AN37" s="39" t="n">
        <v>0</v>
      </c>
      <c r="AO37" s="40" t="n">
        <v>0</v>
      </c>
      <c r="AP37" s="39" t="n">
        <v>373.448625713791</v>
      </c>
      <c r="AQ37" s="39" t="n">
        <v>5.67325036449014</v>
      </c>
      <c r="AR37" s="40" t="n">
        <v>379.121876078281</v>
      </c>
      <c r="AS37" s="40" t="n">
        <v>0</v>
      </c>
      <c r="AT37" s="39" t="n">
        <v>0</v>
      </c>
      <c r="AU37" s="39" t="n">
        <v>0</v>
      </c>
      <c r="AV37" s="40" t="n">
        <v>0</v>
      </c>
      <c r="AW37" s="40" t="n">
        <v>379.121876078281</v>
      </c>
      <c r="AX37" s="41" t="n">
        <v>379.121876078281</v>
      </c>
    </row>
    <row r="38" customFormat="false" ht="15" hidden="false" customHeight="true" outlineLevel="0" collapsed="false">
      <c r="A38" s="28" t="s">
        <v>36</v>
      </c>
      <c r="B38" s="23" t="s">
        <v>123</v>
      </c>
      <c r="C38" s="39" t="n">
        <v>0</v>
      </c>
      <c r="D38" s="39" t="n">
        <v>0</v>
      </c>
      <c r="E38" s="39" t="n">
        <v>0</v>
      </c>
      <c r="F38" s="39" t="n">
        <v>0</v>
      </c>
      <c r="G38" s="39" t="n">
        <v>0</v>
      </c>
      <c r="H38" s="39" t="n">
        <v>0</v>
      </c>
      <c r="I38" s="39" t="n">
        <v>0</v>
      </c>
      <c r="J38" s="39" t="n">
        <v>0</v>
      </c>
      <c r="K38" s="39" t="n">
        <v>1.91533517300628</v>
      </c>
      <c r="L38" s="39" t="n">
        <v>0</v>
      </c>
      <c r="M38" s="39" t="n">
        <v>0</v>
      </c>
      <c r="N38" s="39" t="n">
        <v>0</v>
      </c>
      <c r="O38" s="39" t="n">
        <v>0</v>
      </c>
      <c r="P38" s="39" t="n">
        <v>0</v>
      </c>
      <c r="Q38" s="39" t="n">
        <v>0</v>
      </c>
      <c r="R38" s="39" t="n">
        <v>0</v>
      </c>
      <c r="S38" s="39" t="n">
        <v>0.00262271105881564</v>
      </c>
      <c r="T38" s="39" t="n">
        <v>0</v>
      </c>
      <c r="U38" s="39" t="n">
        <v>0</v>
      </c>
      <c r="V38" s="39" t="n">
        <v>0.42327126816845</v>
      </c>
      <c r="W38" s="39" t="n">
        <v>1.63205861074491</v>
      </c>
      <c r="X38" s="39" t="n">
        <v>0.543679606996833</v>
      </c>
      <c r="Y38" s="39" t="n">
        <v>0</v>
      </c>
      <c r="Z38" s="39" t="n">
        <v>1.39266012122897</v>
      </c>
      <c r="AA38" s="39" t="n">
        <v>8.99776675461896</v>
      </c>
      <c r="AB38" s="39" t="n">
        <v>0</v>
      </c>
      <c r="AC38" s="39" t="n">
        <v>0.00536162446281651</v>
      </c>
      <c r="AD38" s="39" t="n">
        <v>0.0176662738247321</v>
      </c>
      <c r="AE38" s="39" t="n">
        <v>0</v>
      </c>
      <c r="AF38" s="39" t="n">
        <v>0.131469775354822</v>
      </c>
      <c r="AG38" s="39" t="n">
        <v>117.791835373809</v>
      </c>
      <c r="AH38" s="39" t="n">
        <v>9.21573124572701</v>
      </c>
      <c r="AI38" s="39" t="n">
        <v>0</v>
      </c>
      <c r="AJ38" s="39" t="n">
        <v>0</v>
      </c>
      <c r="AK38" s="39" t="n">
        <v>923.162443403469</v>
      </c>
      <c r="AL38" s="39" t="n">
        <v>14.2706849237191</v>
      </c>
      <c r="AM38" s="39" t="n">
        <v>0</v>
      </c>
      <c r="AN38" s="39" t="n">
        <v>0</v>
      </c>
      <c r="AO38" s="40" t="n">
        <v>1079.50258686619</v>
      </c>
      <c r="AP38" s="39" t="n">
        <v>2707.25701813271</v>
      </c>
      <c r="AQ38" s="39" t="n">
        <v>386.960757421335</v>
      </c>
      <c r="AR38" s="40" t="n">
        <v>3094.21777555404</v>
      </c>
      <c r="AS38" s="40" t="n">
        <v>1809.10159210071</v>
      </c>
      <c r="AT38" s="39" t="n">
        <v>0</v>
      </c>
      <c r="AU38" s="39" t="n">
        <v>0</v>
      </c>
      <c r="AV38" s="40" t="n">
        <v>0</v>
      </c>
      <c r="AW38" s="40" t="n">
        <v>4903.31936765475</v>
      </c>
      <c r="AX38" s="41" t="n">
        <v>5982.82195452094</v>
      </c>
    </row>
    <row r="39" customFormat="false" ht="15" hidden="false" customHeight="true" outlineLevel="0" collapsed="false">
      <c r="A39" s="28" t="s">
        <v>37</v>
      </c>
      <c r="B39" s="23" t="s">
        <v>124</v>
      </c>
      <c r="C39" s="39" t="n">
        <v>0</v>
      </c>
      <c r="D39" s="39" t="n">
        <v>0</v>
      </c>
      <c r="E39" s="39" t="n">
        <v>1.24550833297281</v>
      </c>
      <c r="F39" s="39" t="n">
        <v>1.20622881485117</v>
      </c>
      <c r="G39" s="39" t="n">
        <v>1.02436214806457</v>
      </c>
      <c r="H39" s="39" t="n">
        <v>0</v>
      </c>
      <c r="I39" s="39" t="n">
        <v>0</v>
      </c>
      <c r="J39" s="39" t="n">
        <v>0.0868150358040399</v>
      </c>
      <c r="K39" s="39" t="n">
        <v>0.233754448241748</v>
      </c>
      <c r="L39" s="39" t="n">
        <v>0</v>
      </c>
      <c r="M39" s="39" t="n">
        <v>0</v>
      </c>
      <c r="N39" s="39" t="n">
        <v>0</v>
      </c>
      <c r="O39" s="39" t="n">
        <v>0</v>
      </c>
      <c r="P39" s="39" t="n">
        <v>0</v>
      </c>
      <c r="Q39" s="39" t="n">
        <v>0.0759757614856711</v>
      </c>
      <c r="R39" s="39" t="n">
        <v>21.9726659299588</v>
      </c>
      <c r="S39" s="39" t="n">
        <v>1.64312375113493</v>
      </c>
      <c r="T39" s="39" t="n">
        <v>5.15326148068194</v>
      </c>
      <c r="U39" s="39" t="n">
        <v>26.9218944387133</v>
      </c>
      <c r="V39" s="39" t="n">
        <v>3.6541213055151</v>
      </c>
      <c r="W39" s="39" t="n">
        <v>9.0121748701636</v>
      </c>
      <c r="X39" s="39" t="n">
        <v>6.01277827593897</v>
      </c>
      <c r="Y39" s="39" t="n">
        <v>0</v>
      </c>
      <c r="Z39" s="39" t="n">
        <v>64.7793823729391</v>
      </c>
      <c r="AA39" s="39" t="n">
        <v>46.587595764124</v>
      </c>
      <c r="AB39" s="39" t="n">
        <v>0.00211172061425417</v>
      </c>
      <c r="AC39" s="39" t="n">
        <v>1.24140296448818</v>
      </c>
      <c r="AD39" s="39" t="n">
        <v>0</v>
      </c>
      <c r="AE39" s="39" t="n">
        <v>0.237049062707527</v>
      </c>
      <c r="AF39" s="39" t="n">
        <v>0.0326133491362333</v>
      </c>
      <c r="AG39" s="39" t="n">
        <v>10.4462944387307</v>
      </c>
      <c r="AH39" s="39" t="n">
        <v>0.76744281353399</v>
      </c>
      <c r="AI39" s="39" t="n">
        <v>3.47673511088227</v>
      </c>
      <c r="AJ39" s="39" t="n">
        <v>0.00552502125456921</v>
      </c>
      <c r="AK39" s="39" t="n">
        <v>0.394958262008785</v>
      </c>
      <c r="AL39" s="39" t="n">
        <v>3.14361231972339</v>
      </c>
      <c r="AM39" s="39" t="n">
        <v>0</v>
      </c>
      <c r="AN39" s="39" t="n">
        <v>0</v>
      </c>
      <c r="AO39" s="40" t="n">
        <v>209.35738779367</v>
      </c>
      <c r="AP39" s="39" t="n">
        <v>1234.94764995731</v>
      </c>
      <c r="AQ39" s="39" t="n">
        <v>1.75199584671731</v>
      </c>
      <c r="AR39" s="40" t="n">
        <v>1236.69964580403</v>
      </c>
      <c r="AS39" s="40" t="n">
        <v>5.75523922566445</v>
      </c>
      <c r="AT39" s="39" t="n">
        <v>0</v>
      </c>
      <c r="AU39" s="39" t="n">
        <v>0</v>
      </c>
      <c r="AV39" s="40" t="n">
        <v>0</v>
      </c>
      <c r="AW39" s="40" t="n">
        <v>1242.45488502969</v>
      </c>
      <c r="AX39" s="41" t="n">
        <v>1451.81227282336</v>
      </c>
    </row>
    <row r="40" customFormat="false" ht="51.75" hidden="false" customHeight="true" outlineLevel="0" collapsed="false">
      <c r="A40" s="28" t="s">
        <v>38</v>
      </c>
      <c r="B40" s="23" t="s">
        <v>125</v>
      </c>
      <c r="C40" s="39" t="n">
        <v>0</v>
      </c>
      <c r="D40" s="39" t="n">
        <v>0</v>
      </c>
      <c r="E40" s="39" t="n">
        <v>0</v>
      </c>
      <c r="F40" s="39" t="n">
        <v>0</v>
      </c>
      <c r="G40" s="39" t="n">
        <v>0</v>
      </c>
      <c r="H40" s="39" t="n">
        <v>0</v>
      </c>
      <c r="I40" s="39" t="n">
        <v>0</v>
      </c>
      <c r="J40" s="39" t="n">
        <v>0</v>
      </c>
      <c r="K40" s="39" t="n">
        <v>0</v>
      </c>
      <c r="L40" s="39" t="n">
        <v>0</v>
      </c>
      <c r="M40" s="39" t="n">
        <v>0</v>
      </c>
      <c r="N40" s="39" t="n">
        <v>0</v>
      </c>
      <c r="O40" s="39" t="n">
        <v>0</v>
      </c>
      <c r="P40" s="39" t="n">
        <v>0</v>
      </c>
      <c r="Q40" s="39" t="n">
        <v>0</v>
      </c>
      <c r="R40" s="39" t="n">
        <v>0</v>
      </c>
      <c r="S40" s="39" t="n">
        <v>0</v>
      </c>
      <c r="T40" s="39" t="n">
        <v>0</v>
      </c>
      <c r="U40" s="39" t="n">
        <v>0</v>
      </c>
      <c r="V40" s="39" t="n">
        <v>0</v>
      </c>
      <c r="W40" s="39" t="n">
        <v>0</v>
      </c>
      <c r="X40" s="39" t="n">
        <v>0</v>
      </c>
      <c r="Y40" s="39" t="n">
        <v>0</v>
      </c>
      <c r="Z40" s="39" t="n">
        <v>0</v>
      </c>
      <c r="AA40" s="39" t="n">
        <v>0</v>
      </c>
      <c r="AB40" s="39" t="n">
        <v>0</v>
      </c>
      <c r="AC40" s="39" t="n">
        <v>0</v>
      </c>
      <c r="AD40" s="39" t="n">
        <v>0</v>
      </c>
      <c r="AE40" s="39" t="n">
        <v>0</v>
      </c>
      <c r="AF40" s="39" t="n">
        <v>0</v>
      </c>
      <c r="AG40" s="39" t="n">
        <v>0</v>
      </c>
      <c r="AH40" s="39" t="n">
        <v>0</v>
      </c>
      <c r="AI40" s="39" t="n">
        <v>0</v>
      </c>
      <c r="AJ40" s="39" t="n">
        <v>0</v>
      </c>
      <c r="AK40" s="39" t="n">
        <v>0</v>
      </c>
      <c r="AL40" s="39" t="n">
        <v>0</v>
      </c>
      <c r="AM40" s="39" t="n">
        <v>0</v>
      </c>
      <c r="AN40" s="39" t="n">
        <v>0</v>
      </c>
      <c r="AO40" s="40" t="n">
        <v>0</v>
      </c>
      <c r="AP40" s="39" t="n">
        <v>95.1807998819878</v>
      </c>
      <c r="AQ40" s="39" t="n">
        <v>0</v>
      </c>
      <c r="AR40" s="40" t="n">
        <v>95.1807998819878</v>
      </c>
      <c r="AS40" s="40" t="n">
        <v>0</v>
      </c>
      <c r="AT40" s="39" t="n">
        <v>0</v>
      </c>
      <c r="AU40" s="39" t="n">
        <v>0</v>
      </c>
      <c r="AV40" s="40" t="n">
        <v>0</v>
      </c>
      <c r="AW40" s="40" t="n">
        <v>95.1807998819878</v>
      </c>
      <c r="AX40" s="41" t="n">
        <v>95.1807998819878</v>
      </c>
    </row>
    <row r="41" customFormat="false" ht="26.25" hidden="false" customHeight="true" outlineLevel="0" collapsed="false">
      <c r="A41" s="28" t="s">
        <v>39</v>
      </c>
      <c r="B41" s="30" t="s">
        <v>126</v>
      </c>
      <c r="C41" s="39" t="n">
        <v>0</v>
      </c>
      <c r="D41" s="39" t="n">
        <v>0</v>
      </c>
      <c r="E41" s="39" t="n">
        <v>0</v>
      </c>
      <c r="F41" s="39" t="n">
        <v>0</v>
      </c>
      <c r="G41" s="39" t="n">
        <v>0</v>
      </c>
      <c r="H41" s="39" t="n">
        <v>0</v>
      </c>
      <c r="I41" s="39" t="n">
        <v>0</v>
      </c>
      <c r="J41" s="39" t="n">
        <v>0</v>
      </c>
      <c r="K41" s="39" t="n">
        <v>0</v>
      </c>
      <c r="L41" s="39" t="n">
        <v>0</v>
      </c>
      <c r="M41" s="39" t="n">
        <v>0</v>
      </c>
      <c r="N41" s="39" t="n">
        <v>0</v>
      </c>
      <c r="O41" s="39" t="n">
        <v>0</v>
      </c>
      <c r="P41" s="39" t="n">
        <v>0</v>
      </c>
      <c r="Q41" s="39" t="n">
        <v>0</v>
      </c>
      <c r="R41" s="39" t="n">
        <v>0</v>
      </c>
      <c r="S41" s="39" t="n">
        <v>0</v>
      </c>
      <c r="T41" s="39" t="n">
        <v>0</v>
      </c>
      <c r="U41" s="39" t="n">
        <v>0</v>
      </c>
      <c r="V41" s="39" t="n">
        <v>0</v>
      </c>
      <c r="W41" s="39" t="n">
        <v>0</v>
      </c>
      <c r="X41" s="39" t="n">
        <v>0</v>
      </c>
      <c r="Y41" s="39" t="n">
        <v>0</v>
      </c>
      <c r="Z41" s="39" t="n">
        <v>0</v>
      </c>
      <c r="AA41" s="39" t="n">
        <v>0</v>
      </c>
      <c r="AB41" s="39" t="n">
        <v>0</v>
      </c>
      <c r="AC41" s="39" t="n">
        <v>0</v>
      </c>
      <c r="AD41" s="39" t="n">
        <v>0</v>
      </c>
      <c r="AE41" s="39" t="n">
        <v>0</v>
      </c>
      <c r="AF41" s="39" t="n">
        <v>0</v>
      </c>
      <c r="AG41" s="39" t="n">
        <v>0</v>
      </c>
      <c r="AH41" s="39" t="n">
        <v>0</v>
      </c>
      <c r="AI41" s="39" t="n">
        <v>0</v>
      </c>
      <c r="AJ41" s="39" t="n">
        <v>0</v>
      </c>
      <c r="AK41" s="39" t="n">
        <v>0</v>
      </c>
      <c r="AL41" s="39" t="n">
        <v>0</v>
      </c>
      <c r="AM41" s="39" t="n">
        <v>0</v>
      </c>
      <c r="AN41" s="39" t="n">
        <v>0</v>
      </c>
      <c r="AO41" s="40" t="n">
        <v>0</v>
      </c>
      <c r="AP41" s="39" t="n">
        <v>0</v>
      </c>
      <c r="AQ41" s="39" t="n">
        <v>0</v>
      </c>
      <c r="AR41" s="40" t="n">
        <v>0</v>
      </c>
      <c r="AS41" s="40" t="n">
        <v>0</v>
      </c>
      <c r="AT41" s="39" t="n">
        <v>0</v>
      </c>
      <c r="AU41" s="39" t="n">
        <v>0</v>
      </c>
      <c r="AV41" s="40" t="n">
        <v>0</v>
      </c>
      <c r="AW41" s="40" t="n">
        <v>0</v>
      </c>
      <c r="AX41" s="41" t="n">
        <v>0</v>
      </c>
    </row>
    <row r="42" customFormat="false" ht="15" hidden="false" customHeight="true" outlineLevel="0" collapsed="false">
      <c r="A42" s="31"/>
      <c r="B42" s="42" t="s">
        <v>127</v>
      </c>
      <c r="C42" s="43" t="n">
        <v>2979.54456774441</v>
      </c>
      <c r="D42" s="43" t="n">
        <v>1519.07519654903</v>
      </c>
      <c r="E42" s="43" t="n">
        <v>10051.5863519312</v>
      </c>
      <c r="F42" s="43" t="n">
        <v>424.597609326047</v>
      </c>
      <c r="G42" s="43" t="n">
        <v>487.423406911133</v>
      </c>
      <c r="H42" s="43" t="n">
        <v>248.683940513161</v>
      </c>
      <c r="I42" s="43" t="n">
        <v>452.691613326202</v>
      </c>
      <c r="J42" s="43" t="n">
        <v>219.348557827117</v>
      </c>
      <c r="K42" s="43" t="n">
        <v>2613.49672662599</v>
      </c>
      <c r="L42" s="43" t="n">
        <v>2253.05328969242</v>
      </c>
      <c r="M42" s="43" t="n">
        <v>1.66998388056665</v>
      </c>
      <c r="N42" s="43" t="n">
        <v>199.022371142168</v>
      </c>
      <c r="O42" s="43" t="n">
        <v>44.2201654298531</v>
      </c>
      <c r="P42" s="43" t="n">
        <v>53.3275831365171</v>
      </c>
      <c r="Q42" s="43" t="n">
        <v>412.779116059451</v>
      </c>
      <c r="R42" s="43" t="n">
        <v>999.973285363773</v>
      </c>
      <c r="S42" s="43" t="n">
        <v>389.432746864023</v>
      </c>
      <c r="T42" s="43" t="n">
        <v>12129.2530168518</v>
      </c>
      <c r="U42" s="43" t="n">
        <v>6916.07216213189</v>
      </c>
      <c r="V42" s="43" t="n">
        <v>4768.14853048013</v>
      </c>
      <c r="W42" s="43" t="n">
        <v>3464.58597641733</v>
      </c>
      <c r="X42" s="43" t="n">
        <v>593.482851545467</v>
      </c>
      <c r="Y42" s="43" t="n">
        <v>500.386904615254</v>
      </c>
      <c r="Z42" s="43" t="n">
        <v>1158.39150292348</v>
      </c>
      <c r="AA42" s="43" t="n">
        <v>1707.34917675115</v>
      </c>
      <c r="AB42" s="43" t="n">
        <v>1917.14809204189</v>
      </c>
      <c r="AC42" s="43" t="n">
        <v>448.103816421751</v>
      </c>
      <c r="AD42" s="43" t="n">
        <v>66.9417246906466</v>
      </c>
      <c r="AE42" s="43" t="n">
        <v>348.509851539237</v>
      </c>
      <c r="AF42" s="43" t="n">
        <v>690.762299802383</v>
      </c>
      <c r="AG42" s="43" t="n">
        <v>2345.9738249452</v>
      </c>
      <c r="AH42" s="43" t="n">
        <v>875.504217157805</v>
      </c>
      <c r="AI42" s="43" t="n">
        <v>1353.49729340143</v>
      </c>
      <c r="AJ42" s="43" t="n">
        <v>260.506893988707</v>
      </c>
      <c r="AK42" s="43" t="n">
        <v>2496.92493422782</v>
      </c>
      <c r="AL42" s="43" t="n">
        <v>511.181638887607</v>
      </c>
      <c r="AM42" s="43" t="n">
        <v>0</v>
      </c>
      <c r="AN42" s="43" t="n">
        <v>0</v>
      </c>
      <c r="AO42" s="43" t="n">
        <v>65902.651221144</v>
      </c>
      <c r="AP42" s="43" t="n">
        <v>65515.1963678712</v>
      </c>
      <c r="AQ42" s="43" t="n">
        <v>11996.9573963682</v>
      </c>
      <c r="AR42" s="43" t="n">
        <v>77512.1537642394</v>
      </c>
      <c r="AS42" s="43" t="n">
        <v>44478.6624414516</v>
      </c>
      <c r="AT42" s="43" t="n">
        <v>19830.3426978341</v>
      </c>
      <c r="AU42" s="43" t="n">
        <v>2960.01767398341</v>
      </c>
      <c r="AV42" s="43" t="n">
        <v>22790.3603718175</v>
      </c>
      <c r="AW42" s="43" t="n">
        <v>144781.176577509</v>
      </c>
      <c r="AX42" s="44" t="n">
        <v>210683.827798653</v>
      </c>
    </row>
    <row r="43" customFormat="false" ht="15" hidden="false" customHeight="true" outlineLevel="0" collapsed="false">
      <c r="A43" s="45" t="s">
        <v>150</v>
      </c>
      <c r="B43" s="46" t="s">
        <v>151</v>
      </c>
      <c r="C43" s="47" t="n">
        <v>406.27614871069</v>
      </c>
      <c r="D43" s="47" t="n">
        <v>359.814903967798</v>
      </c>
      <c r="E43" s="47" t="n">
        <v>1083.26008577583</v>
      </c>
      <c r="F43" s="47" t="n">
        <v>140.891471074077</v>
      </c>
      <c r="G43" s="47" t="n">
        <v>112.035865241322</v>
      </c>
      <c r="H43" s="47" t="n">
        <v>8.29209767664124</v>
      </c>
      <c r="I43" s="47" t="n">
        <v>109.574490032872</v>
      </c>
      <c r="J43" s="47" t="n">
        <v>82.8301843308346</v>
      </c>
      <c r="K43" s="47" t="n">
        <v>316.138724132742</v>
      </c>
      <c r="L43" s="47" t="n">
        <v>306.109085329834</v>
      </c>
      <c r="M43" s="47" t="n">
        <v>0.75369857150603</v>
      </c>
      <c r="N43" s="47" t="n">
        <v>35.3477301193087</v>
      </c>
      <c r="O43" s="47" t="n">
        <v>10.2142123938197</v>
      </c>
      <c r="P43" s="47" t="n">
        <v>10.9118082776106</v>
      </c>
      <c r="Q43" s="47" t="n">
        <v>139.263758432145</v>
      </c>
      <c r="R43" s="47" t="n">
        <v>487.67485820709</v>
      </c>
      <c r="S43" s="47" t="n">
        <v>383.464440439817</v>
      </c>
      <c r="T43" s="47" t="n">
        <v>2139.92826824141</v>
      </c>
      <c r="U43" s="47" t="n">
        <v>4752.33367267842</v>
      </c>
      <c r="V43" s="47" t="n">
        <v>1657.24044037596</v>
      </c>
      <c r="W43" s="47" t="n">
        <v>842.554182998079</v>
      </c>
      <c r="X43" s="47" t="n">
        <v>485.637563148564</v>
      </c>
      <c r="Y43" s="47" t="n">
        <v>451.367941651177</v>
      </c>
      <c r="Z43" s="47" t="n">
        <v>1513.13176893166</v>
      </c>
      <c r="AA43" s="47" t="n">
        <v>2045.07931219972</v>
      </c>
      <c r="AB43" s="47" t="n">
        <v>453.740792694924</v>
      </c>
      <c r="AC43" s="47" t="n">
        <v>727.971556381866</v>
      </c>
      <c r="AD43" s="47" t="n">
        <v>95.2313872272601</v>
      </c>
      <c r="AE43" s="47" t="n">
        <v>343.827319347543</v>
      </c>
      <c r="AF43" s="47" t="n">
        <v>497.930992059079</v>
      </c>
      <c r="AG43" s="47" t="n">
        <v>4033.8104879494</v>
      </c>
      <c r="AH43" s="47" t="n">
        <v>4088.68325367195</v>
      </c>
      <c r="AI43" s="47" t="n">
        <v>1926.6990924517</v>
      </c>
      <c r="AJ43" s="47" t="n">
        <v>113.143713335667</v>
      </c>
      <c r="AK43" s="47" t="n">
        <v>1093.23546848944</v>
      </c>
      <c r="AL43" s="47" t="n">
        <v>224.1544986573</v>
      </c>
      <c r="AM43" s="47" t="n">
        <v>95.1807998819878</v>
      </c>
      <c r="AN43" s="47" t="n">
        <v>0</v>
      </c>
      <c r="AO43" s="48" t="n">
        <v>31573.7360750871</v>
      </c>
      <c r="AP43" s="49"/>
      <c r="AQ43" s="49"/>
      <c r="AR43" s="49"/>
      <c r="AS43" s="49"/>
      <c r="AT43" s="49"/>
      <c r="AU43" s="49"/>
      <c r="AV43" s="49"/>
      <c r="AW43" s="49"/>
      <c r="AX43" s="49"/>
    </row>
    <row r="44" customFormat="false" ht="15" hidden="false" customHeight="true" outlineLevel="0" collapsed="false">
      <c r="A44" s="45" t="s">
        <v>152</v>
      </c>
      <c r="B44" s="46" t="s">
        <v>153</v>
      </c>
      <c r="C44" s="50" t="n">
        <v>-4.96269808799175</v>
      </c>
      <c r="D44" s="50" t="n">
        <v>10.5432297529148</v>
      </c>
      <c r="E44" s="50" t="n">
        <v>38.4622286387035</v>
      </c>
      <c r="F44" s="50" t="n">
        <v>2.06042931612468</v>
      </c>
      <c r="G44" s="50" t="n">
        <v>2.68790101374559</v>
      </c>
      <c r="H44" s="50" t="n">
        <v>0.249011416370307</v>
      </c>
      <c r="I44" s="50" t="n">
        <v>4.32161280597359</v>
      </c>
      <c r="J44" s="50" t="n">
        <v>1.14115189686071</v>
      </c>
      <c r="K44" s="50" t="n">
        <v>15.9146473433125</v>
      </c>
      <c r="L44" s="50" t="n">
        <v>13.2922548957677</v>
      </c>
      <c r="M44" s="50" t="n">
        <v>0.0814244465306622</v>
      </c>
      <c r="N44" s="50" t="n">
        <v>0.696817969233998</v>
      </c>
      <c r="O44" s="50" t="n">
        <v>0.221310656583603</v>
      </c>
      <c r="P44" s="50" t="n">
        <v>1.9371991750325</v>
      </c>
      <c r="Q44" s="50" t="n">
        <v>2.08140260731358</v>
      </c>
      <c r="R44" s="50" t="n">
        <v>117.731903478282</v>
      </c>
      <c r="S44" s="50" t="n">
        <v>28.4352801067349</v>
      </c>
      <c r="T44" s="50" t="n">
        <v>103.447302840782</v>
      </c>
      <c r="U44" s="50" t="n">
        <v>68.6885627000771</v>
      </c>
      <c r="V44" s="50" t="n">
        <v>63.330373283409</v>
      </c>
      <c r="W44" s="50" t="n">
        <v>52.689047688631</v>
      </c>
      <c r="X44" s="50" t="n">
        <v>2.97016458410764</v>
      </c>
      <c r="Y44" s="50" t="n">
        <v>22.6920181866699</v>
      </c>
      <c r="Z44" s="50" t="n">
        <v>1.21000976584007</v>
      </c>
      <c r="AA44" s="50" t="n">
        <v>38.981840333539</v>
      </c>
      <c r="AB44" s="50" t="n">
        <v>91.9396457488736</v>
      </c>
      <c r="AC44" s="50" t="n">
        <v>4.72132610713401</v>
      </c>
      <c r="AD44" s="50" t="n">
        <v>0.48742964</v>
      </c>
      <c r="AE44" s="50" t="n">
        <v>2.11667841578527</v>
      </c>
      <c r="AF44" s="50" t="n">
        <v>10.6161433947982</v>
      </c>
      <c r="AG44" s="50" t="n">
        <v>42.79882321</v>
      </c>
      <c r="AH44" s="50" t="n">
        <v>7.86105688647175</v>
      </c>
      <c r="AI44" s="50" t="n">
        <v>3.4162439925115</v>
      </c>
      <c r="AJ44" s="50" t="n">
        <v>0.0433537309795424</v>
      </c>
      <c r="AK44" s="50" t="n">
        <v>136.575276037738</v>
      </c>
      <c r="AL44" s="50" t="n">
        <v>1.45257133195175</v>
      </c>
      <c r="AM44" s="50" t="n">
        <v>0</v>
      </c>
      <c r="AN44" s="50" t="n">
        <v>0</v>
      </c>
      <c r="AO44" s="51" t="n">
        <v>890.932975310792</v>
      </c>
      <c r="AP44" s="52"/>
      <c r="AQ44" s="52"/>
      <c r="AR44" s="52"/>
      <c r="AS44" s="49"/>
      <c r="AT44" s="49"/>
      <c r="AU44" s="49"/>
      <c r="AV44" s="49"/>
      <c r="AW44" s="49"/>
      <c r="AX44" s="49"/>
    </row>
    <row r="45" customFormat="false" ht="15" hidden="false" customHeight="true" outlineLevel="0" collapsed="false">
      <c r="A45" s="45" t="s">
        <v>154</v>
      </c>
      <c r="B45" s="46" t="s">
        <v>155</v>
      </c>
      <c r="C45" s="50" t="n">
        <v>154.85564606134</v>
      </c>
      <c r="D45" s="50" t="n">
        <v>76.9994277660244</v>
      </c>
      <c r="E45" s="50" t="n">
        <v>342.916269541356</v>
      </c>
      <c r="F45" s="50" t="n">
        <v>17.3051795914272</v>
      </c>
      <c r="G45" s="50" t="n">
        <v>38.1137346823162</v>
      </c>
      <c r="H45" s="50" t="n">
        <v>1.84171026663197</v>
      </c>
      <c r="I45" s="50" t="n">
        <v>18.5320567216835</v>
      </c>
      <c r="J45" s="50" t="n">
        <v>14.7083186488099</v>
      </c>
      <c r="K45" s="50" t="n">
        <v>154.999090227008</v>
      </c>
      <c r="L45" s="50" t="n">
        <v>91.8210323494265</v>
      </c>
      <c r="M45" s="50" t="n">
        <v>0.0877525616508006</v>
      </c>
      <c r="N45" s="50" t="n">
        <v>7.25483734091043</v>
      </c>
      <c r="O45" s="50" t="n">
        <v>0.797227172242571</v>
      </c>
      <c r="P45" s="50" t="n">
        <v>4.08137853300662</v>
      </c>
      <c r="Q45" s="50" t="n">
        <v>16.4531602377559</v>
      </c>
      <c r="R45" s="50" t="n">
        <v>590.312801912798</v>
      </c>
      <c r="S45" s="50" t="n">
        <v>196.846923458156</v>
      </c>
      <c r="T45" s="50" t="n">
        <v>1450.35497268585</v>
      </c>
      <c r="U45" s="50" t="n">
        <v>658.484767214982</v>
      </c>
      <c r="V45" s="50" t="n">
        <v>974.593574930195</v>
      </c>
      <c r="W45" s="50" t="n">
        <v>120.960163375836</v>
      </c>
      <c r="X45" s="50" t="n">
        <v>38.4767580868226</v>
      </c>
      <c r="Y45" s="50" t="n">
        <v>247.49069814712</v>
      </c>
      <c r="Z45" s="50" t="n">
        <v>29.1457147325105</v>
      </c>
      <c r="AA45" s="50" t="n">
        <v>114.864650732456</v>
      </c>
      <c r="AB45" s="50" t="n">
        <v>157.250689888396</v>
      </c>
      <c r="AC45" s="50" t="n">
        <v>81.8828004145412</v>
      </c>
      <c r="AD45" s="50" t="n">
        <v>115.047860205415</v>
      </c>
      <c r="AE45" s="50" t="n">
        <v>29.8471739297631</v>
      </c>
      <c r="AF45" s="50" t="n">
        <v>72.3790421552584</v>
      </c>
      <c r="AG45" s="50" t="n">
        <v>1470.26885420356</v>
      </c>
      <c r="AH45" s="50" t="n">
        <v>278.12644475566</v>
      </c>
      <c r="AI45" s="50" t="n">
        <v>287.235939463529</v>
      </c>
      <c r="AJ45" s="50" t="n">
        <v>2.35991461000627</v>
      </c>
      <c r="AK45" s="50" t="n">
        <v>184.736913722368</v>
      </c>
      <c r="AL45" s="50" t="n">
        <v>7.17731043298976</v>
      </c>
      <c r="AM45" s="50" t="n">
        <v>0</v>
      </c>
      <c r="AN45" s="50" t="n">
        <v>0</v>
      </c>
      <c r="AO45" s="51" t="n">
        <v>8048.6107907598</v>
      </c>
      <c r="AP45" s="49"/>
      <c r="AQ45" s="49"/>
      <c r="AR45" s="49"/>
      <c r="AS45" s="49"/>
      <c r="AT45" s="49"/>
      <c r="AU45" s="49"/>
      <c r="AV45" s="49"/>
      <c r="AW45" s="49"/>
      <c r="AX45" s="49"/>
    </row>
    <row r="46" customFormat="false" ht="15" hidden="false" customHeight="true" outlineLevel="0" collapsed="false">
      <c r="A46" s="45" t="s">
        <v>156</v>
      </c>
      <c r="B46" s="46" t="s">
        <v>157</v>
      </c>
      <c r="C46" s="53" t="n">
        <v>4546.51453372908</v>
      </c>
      <c r="D46" s="53" t="n">
        <v>348.021291178074</v>
      </c>
      <c r="E46" s="53" t="n">
        <v>2879.59207691402</v>
      </c>
      <c r="F46" s="53" t="n">
        <v>100.893158197409</v>
      </c>
      <c r="G46" s="53" t="n">
        <v>116.584288003474</v>
      </c>
      <c r="H46" s="53" t="n">
        <v>6.87547222297656</v>
      </c>
      <c r="I46" s="53" t="n">
        <v>211.865891220039</v>
      </c>
      <c r="J46" s="53" t="n">
        <v>122.950118781067</v>
      </c>
      <c r="K46" s="53" t="n">
        <v>765.292379686211</v>
      </c>
      <c r="L46" s="53" t="n">
        <v>314.17764818135</v>
      </c>
      <c r="M46" s="53" t="n">
        <v>0.645336373687507</v>
      </c>
      <c r="N46" s="53" t="n">
        <v>9.55979722539706</v>
      </c>
      <c r="O46" s="53" t="n">
        <v>12.1646462149154</v>
      </c>
      <c r="P46" s="53" t="n">
        <v>9.78955798555917</v>
      </c>
      <c r="Q46" s="53" t="n">
        <v>149.945531451085</v>
      </c>
      <c r="R46" s="53" t="n">
        <v>731.791777609321</v>
      </c>
      <c r="S46" s="53" t="n">
        <v>143.368253429425</v>
      </c>
      <c r="T46" s="53" t="n">
        <v>3200.5127356568</v>
      </c>
      <c r="U46" s="53" t="n">
        <v>6954.26346081767</v>
      </c>
      <c r="V46" s="53" t="n">
        <v>2376.54743344619</v>
      </c>
      <c r="W46" s="53" t="n">
        <v>2211.87228698589</v>
      </c>
      <c r="X46" s="53" t="n">
        <v>234.92559238315</v>
      </c>
      <c r="Y46" s="53" t="n">
        <v>894.821626212649</v>
      </c>
      <c r="Z46" s="53" t="n">
        <v>1238.57381747826</v>
      </c>
      <c r="AA46" s="53" t="n">
        <v>1760.09472544798</v>
      </c>
      <c r="AB46" s="53" t="n">
        <v>7208.43716475468</v>
      </c>
      <c r="AC46" s="53" t="n">
        <v>207.621436777263</v>
      </c>
      <c r="AD46" s="53" t="n">
        <v>21.8201881747104</v>
      </c>
      <c r="AE46" s="53" t="n">
        <v>337.477507938553</v>
      </c>
      <c r="AF46" s="53" t="n">
        <v>343.936107359915</v>
      </c>
      <c r="AG46" s="53" t="n">
        <v>0</v>
      </c>
      <c r="AH46" s="53" t="n">
        <v>176.477506512987</v>
      </c>
      <c r="AI46" s="53" t="n">
        <v>611.989919144838</v>
      </c>
      <c r="AJ46" s="53" t="n">
        <v>3.32163452143717</v>
      </c>
      <c r="AK46" s="53" t="n">
        <v>1644.90182574608</v>
      </c>
      <c r="AL46" s="53" t="n">
        <v>568.518658181618</v>
      </c>
      <c r="AM46" s="53" t="n">
        <v>0</v>
      </c>
      <c r="AN46" s="53" t="n">
        <v>0</v>
      </c>
      <c r="AO46" s="54" t="n">
        <v>40466.1453859438</v>
      </c>
      <c r="AP46" s="49"/>
      <c r="AQ46" s="49"/>
      <c r="AR46" s="49"/>
      <c r="AS46" s="49"/>
      <c r="AT46" s="49"/>
      <c r="AU46" s="49"/>
      <c r="AV46" s="49"/>
      <c r="AW46" s="49"/>
      <c r="AX46" s="49"/>
    </row>
    <row r="47" customFormat="false" ht="15" hidden="false" customHeight="true" outlineLevel="0" collapsed="false">
      <c r="A47" s="55" t="s">
        <v>158</v>
      </c>
      <c r="B47" s="56" t="s">
        <v>159</v>
      </c>
      <c r="C47" s="57" t="n">
        <v>8082.22819815753</v>
      </c>
      <c r="D47" s="57" t="n">
        <v>2314.45404921384</v>
      </c>
      <c r="E47" s="57" t="n">
        <v>14395.8170128011</v>
      </c>
      <c r="F47" s="57" t="n">
        <v>685.747847505085</v>
      </c>
      <c r="G47" s="57" t="n">
        <v>756.845195851991</v>
      </c>
      <c r="H47" s="57" t="n">
        <v>265.942232095781</v>
      </c>
      <c r="I47" s="57" t="n">
        <v>796.98566410677</v>
      </c>
      <c r="J47" s="57" t="n">
        <v>440.97833148469</v>
      </c>
      <c r="K47" s="57" t="n">
        <v>3865.84156801526</v>
      </c>
      <c r="L47" s="57" t="n">
        <v>2978.4533104488</v>
      </c>
      <c r="M47" s="57" t="n">
        <v>3.23819583394165</v>
      </c>
      <c r="N47" s="57" t="n">
        <v>251.881553797018</v>
      </c>
      <c r="O47" s="57" t="n">
        <v>67.6175618674143</v>
      </c>
      <c r="P47" s="57" t="n">
        <v>80.0475271077259</v>
      </c>
      <c r="Q47" s="57" t="n">
        <v>720.52296878775</v>
      </c>
      <c r="R47" s="57" t="n">
        <v>2927.48462657126</v>
      </c>
      <c r="S47" s="57" t="n">
        <v>1141.54764429816</v>
      </c>
      <c r="T47" s="57" t="n">
        <v>19023.4962962767</v>
      </c>
      <c r="U47" s="57" t="n">
        <v>19349.842625543</v>
      </c>
      <c r="V47" s="57" t="n">
        <v>9839.86035251589</v>
      </c>
      <c r="W47" s="57" t="n">
        <v>6692.66165746577</v>
      </c>
      <c r="X47" s="57" t="n">
        <v>1355.49292974811</v>
      </c>
      <c r="Y47" s="57" t="n">
        <v>2116.75918881287</v>
      </c>
      <c r="Z47" s="57" t="n">
        <v>3940.45281383176</v>
      </c>
      <c r="AA47" s="57" t="n">
        <v>5666.36970546485</v>
      </c>
      <c r="AB47" s="57" t="n">
        <v>9828.51638512876</v>
      </c>
      <c r="AC47" s="57" t="n">
        <v>1470.30093610256</v>
      </c>
      <c r="AD47" s="57" t="n">
        <v>299.528589938032</v>
      </c>
      <c r="AE47" s="57" t="n">
        <v>1061.77853117088</v>
      </c>
      <c r="AF47" s="57" t="n">
        <v>1615.62458477143</v>
      </c>
      <c r="AG47" s="57" t="n">
        <v>7892.85199030817</v>
      </c>
      <c r="AH47" s="57" t="n">
        <v>5426.65247898487</v>
      </c>
      <c r="AI47" s="57" t="n">
        <v>4182.83848845401</v>
      </c>
      <c r="AJ47" s="57" t="n">
        <v>379.375510186797</v>
      </c>
      <c r="AK47" s="57" t="n">
        <v>5556.37441822345</v>
      </c>
      <c r="AL47" s="57" t="n">
        <v>1312.48467749147</v>
      </c>
      <c r="AM47" s="57" t="n">
        <v>95.1807998819878</v>
      </c>
      <c r="AN47" s="57" t="n">
        <v>0</v>
      </c>
      <c r="AO47" s="54" t="n">
        <v>146882.076448245</v>
      </c>
      <c r="AP47" s="49"/>
      <c r="AQ47" s="49"/>
      <c r="AR47" s="49"/>
      <c r="AS47" s="49"/>
      <c r="AT47" s="49"/>
      <c r="AU47" s="49"/>
      <c r="AV47" s="49"/>
      <c r="AW47" s="49"/>
      <c r="AX47" s="49"/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40"/>
    <col collapsed="false" customWidth="true" hidden="false" outlineLevel="0" max="8" min="3" style="1" width="18"/>
  </cols>
  <sheetData>
    <row r="1" customFormat="false" ht="15" hidden="false" customHeight="true" outlineLevel="0" collapsed="false">
      <c r="A1" s="58" t="s">
        <v>160</v>
      </c>
    </row>
    <row r="3" customFormat="false" ht="41.25" hidden="false" customHeight="true" outlineLevel="0" collapsed="false">
      <c r="A3" s="59" t="s">
        <v>161</v>
      </c>
      <c r="B3" s="59" t="s">
        <v>162</v>
      </c>
      <c r="C3" s="59" t="s">
        <v>163</v>
      </c>
      <c r="D3" s="59" t="s">
        <v>164</v>
      </c>
      <c r="E3" s="59" t="s">
        <v>165</v>
      </c>
      <c r="F3" s="59" t="s">
        <v>166</v>
      </c>
      <c r="G3" s="59" t="s">
        <v>167</v>
      </c>
      <c r="H3" s="59" t="s">
        <v>168</v>
      </c>
    </row>
    <row r="4" customFormat="false" ht="15" hidden="false" customHeight="true" outlineLevel="0" collapsed="false">
      <c r="A4" s="1" t="s">
        <v>12</v>
      </c>
      <c r="B4" s="1" t="s">
        <v>169</v>
      </c>
      <c r="C4" s="60" t="n">
        <f aca="false">'SUPPLY (38-38)-2024'!AR4</f>
        <v>908.353589988697</v>
      </c>
      <c r="D4" s="60" t="n">
        <f aca="false">'SUPPLY (38-38)-2024'!AS4</f>
        <v>11549.7467344365</v>
      </c>
      <c r="E4" s="60" t="n">
        <f aca="false">'USE (38-38)-2024'!AT4</f>
        <v>625.78171194772</v>
      </c>
      <c r="F4" s="5" t="n">
        <f aca="false">IF(D4=0,0,C4/D4)</f>
        <v>0.0786470570199057</v>
      </c>
      <c r="G4" s="7" t="n">
        <f aca="false">F4*E4</f>
        <v>49.2158899815665</v>
      </c>
      <c r="H4" s="5" t="n">
        <f aca="false">IF(E$42=0,0,E4/E$42)</f>
        <v>0.0315567774840355</v>
      </c>
    </row>
    <row r="5" customFormat="false" ht="15" hidden="false" customHeight="true" outlineLevel="0" collapsed="false">
      <c r="A5" s="1" t="s">
        <v>13</v>
      </c>
      <c r="B5" s="1" t="s">
        <v>170</v>
      </c>
      <c r="C5" s="60" t="n">
        <f aca="false">'SUPPLY (38-38)-2024'!AR5</f>
        <v>212.062948370197</v>
      </c>
      <c r="D5" s="60" t="n">
        <f aca="false">'SUPPLY (38-38)-2024'!AS5</f>
        <v>3202.62246228637</v>
      </c>
      <c r="E5" s="60" t="n">
        <f aca="false">'USE (38-38)-2024'!AT5</f>
        <v>0</v>
      </c>
      <c r="F5" s="5" t="n">
        <f aca="false">IF(D5=0,0,C5/D5)</f>
        <v>0.0662154065511687</v>
      </c>
      <c r="G5" s="7" t="n">
        <f aca="false">F5*E5</f>
        <v>0</v>
      </c>
      <c r="H5" s="5" t="n">
        <f aca="false">IF(E$42=0,0,E5/E$42)</f>
        <v>0</v>
      </c>
    </row>
    <row r="6" customFormat="false" ht="15" hidden="false" customHeight="true" outlineLevel="0" collapsed="false">
      <c r="A6" s="1" t="s">
        <v>14</v>
      </c>
      <c r="B6" s="1" t="s">
        <v>171</v>
      </c>
      <c r="C6" s="60" t="n">
        <f aca="false">'SUPPLY (38-38)-2024'!AR6</f>
        <v>3804.31006526038</v>
      </c>
      <c r="D6" s="60" t="n">
        <f aca="false">'SUPPLY (38-38)-2024'!AS6</f>
        <v>28082.3102938425</v>
      </c>
      <c r="E6" s="60" t="n">
        <f aca="false">'USE (38-38)-2024'!AT6</f>
        <v>0</v>
      </c>
      <c r="F6" s="5" t="n">
        <f aca="false">IF(D6=0,0,C6/D6)</f>
        <v>0.135469981830325</v>
      </c>
      <c r="G6" s="7" t="n">
        <f aca="false">F6*E6</f>
        <v>0</v>
      </c>
      <c r="H6" s="5" t="n">
        <f aca="false">IF(E$42=0,0,E6/E$42)</f>
        <v>0</v>
      </c>
    </row>
    <row r="7" customFormat="false" ht="15" hidden="false" customHeight="true" outlineLevel="0" collapsed="false">
      <c r="A7" s="1" t="s">
        <v>15</v>
      </c>
      <c r="B7" s="1" t="s">
        <v>172</v>
      </c>
      <c r="C7" s="60" t="n">
        <f aca="false">'SUPPLY (38-38)-2024'!AR7</f>
        <v>2216.40158004296</v>
      </c>
      <c r="D7" s="60" t="n">
        <f aca="false">'SUPPLY (38-38)-2024'!AS7</f>
        <v>4632.6571936446</v>
      </c>
      <c r="E7" s="60" t="n">
        <f aca="false">'USE (38-38)-2024'!AT7</f>
        <v>0</v>
      </c>
      <c r="F7" s="5" t="n">
        <f aca="false">IF(D7=0,0,C7/D7)</f>
        <v>0.47842987024457</v>
      </c>
      <c r="G7" s="7" t="n">
        <f aca="false">F7*E7</f>
        <v>0</v>
      </c>
      <c r="H7" s="5" t="n">
        <f aca="false">IF(E$42=0,0,E7/E$42)</f>
        <v>0</v>
      </c>
    </row>
    <row r="8" customFormat="false" ht="15" hidden="false" customHeight="true" outlineLevel="0" collapsed="false">
      <c r="A8" s="1" t="s">
        <v>16</v>
      </c>
      <c r="B8" s="1" t="s">
        <v>173</v>
      </c>
      <c r="C8" s="60" t="n">
        <f aca="false">'SUPPLY (38-38)-2024'!AR8</f>
        <v>1118.74467596094</v>
      </c>
      <c r="D8" s="60" t="n">
        <f aca="false">'SUPPLY (38-38)-2024'!AS8</f>
        <v>2595.3620026903</v>
      </c>
      <c r="E8" s="60" t="n">
        <f aca="false">'USE (38-38)-2024'!AT8</f>
        <v>0</v>
      </c>
      <c r="F8" s="5" t="n">
        <f aca="false">IF(D8=0,0,C8/D8)</f>
        <v>0.431055349812963</v>
      </c>
      <c r="G8" s="7" t="n">
        <f aca="false">F8*E8</f>
        <v>0</v>
      </c>
      <c r="H8" s="5" t="n">
        <f aca="false">IF(E$42=0,0,E8/E$42)</f>
        <v>0</v>
      </c>
    </row>
    <row r="9" customFormat="false" ht="15" hidden="false" customHeight="true" outlineLevel="0" collapsed="false">
      <c r="A9" s="1" t="s">
        <v>174</v>
      </c>
      <c r="B9" s="1" t="s">
        <v>93</v>
      </c>
      <c r="C9" s="60" t="n">
        <f aca="false">'SUPPLY (38-38)-2024'!AR9</f>
        <v>2370.84456286824</v>
      </c>
      <c r="D9" s="60" t="n">
        <f aca="false">'SUPPLY (38-38)-2024'!AS9</f>
        <v>5228.58180577594</v>
      </c>
      <c r="E9" s="60" t="n">
        <f aca="false">'USE (38-38)-2024'!AT9</f>
        <v>0</v>
      </c>
      <c r="F9" s="5" t="n">
        <f aca="false">IF(D9=0,0,C9/D9)</f>
        <v>0.453439316995902</v>
      </c>
      <c r="G9" s="7" t="n">
        <f aca="false">F9*E9</f>
        <v>0</v>
      </c>
      <c r="H9" s="5" t="n">
        <f aca="false">IF(E$42=0,0,E9/E$42)</f>
        <v>0</v>
      </c>
    </row>
    <row r="10" customFormat="false" ht="15" hidden="false" customHeight="true" outlineLevel="0" collapsed="false">
      <c r="A10" s="1" t="s">
        <v>175</v>
      </c>
      <c r="B10" s="1" t="s">
        <v>176</v>
      </c>
      <c r="C10" s="60" t="n">
        <f aca="false">'SUPPLY (38-38)-2024'!AR10</f>
        <v>2402.24284709411</v>
      </c>
      <c r="D10" s="60" t="n">
        <f aca="false">'SUPPLY (38-38)-2024'!AS10</f>
        <v>4722.89061260382</v>
      </c>
      <c r="E10" s="60" t="n">
        <f aca="false">'USE (38-38)-2024'!AT10</f>
        <v>0</v>
      </c>
      <c r="F10" s="5" t="n">
        <f aca="false">IF(D10=0,0,C10/D10)</f>
        <v>0.508638256554858</v>
      </c>
      <c r="G10" s="7" t="n">
        <f aca="false">F10*E10</f>
        <v>0</v>
      </c>
      <c r="H10" s="5" t="n">
        <f aca="false">IF(E$42=0,0,E10/E$42)</f>
        <v>0</v>
      </c>
    </row>
    <row r="11" customFormat="false" ht="15" hidden="false" customHeight="true" outlineLevel="0" collapsed="false">
      <c r="A11" s="1" t="s">
        <v>177</v>
      </c>
      <c r="B11" s="1" t="s">
        <v>178</v>
      </c>
      <c r="C11" s="60" t="n">
        <f aca="false">'SUPPLY (38-38)-2024'!AR11</f>
        <v>1579.00820711507</v>
      </c>
      <c r="D11" s="60" t="n">
        <f aca="false">'SUPPLY (38-38)-2024'!AS11</f>
        <v>3051.26495564037</v>
      </c>
      <c r="E11" s="60" t="n">
        <f aca="false">'USE (38-38)-2024'!AT11</f>
        <v>0</v>
      </c>
      <c r="F11" s="5" t="n">
        <f aca="false">IF(D11=0,0,C11/D11)</f>
        <v>0.517492984080658</v>
      </c>
      <c r="G11" s="7" t="n">
        <f aca="false">F11*E11</f>
        <v>0</v>
      </c>
      <c r="H11" s="5" t="n">
        <f aca="false">IF(E$42=0,0,E11/E$42)</f>
        <v>0</v>
      </c>
    </row>
    <row r="12" customFormat="false" ht="15" hidden="false" customHeight="true" outlineLevel="0" collapsed="false">
      <c r="A12" s="1" t="s">
        <v>17</v>
      </c>
      <c r="B12" s="1" t="s">
        <v>179</v>
      </c>
      <c r="C12" s="60" t="n">
        <f aca="false">'SUPPLY (38-38)-2024'!AR12</f>
        <v>2469.13461091629</v>
      </c>
      <c r="D12" s="60" t="n">
        <f aca="false">'SUPPLY (38-38)-2024'!AS12</f>
        <v>7974.98649217334</v>
      </c>
      <c r="E12" s="60" t="n">
        <f aca="false">'USE (38-38)-2024'!AT12</f>
        <v>0</v>
      </c>
      <c r="F12" s="5" t="n">
        <f aca="false">IF(D12=0,0,C12/D12)</f>
        <v>0.309609880009139</v>
      </c>
      <c r="G12" s="7" t="n">
        <f aca="false">F12*E12</f>
        <v>0</v>
      </c>
      <c r="H12" s="5" t="n">
        <f aca="false">IF(E$42=0,0,E12/E$42)</f>
        <v>0</v>
      </c>
    </row>
    <row r="13" customFormat="false" ht="15" hidden="false" customHeight="true" outlineLevel="0" collapsed="false">
      <c r="A13" s="1" t="s">
        <v>18</v>
      </c>
      <c r="B13" s="1" t="s">
        <v>180</v>
      </c>
      <c r="C13" s="60" t="n">
        <f aca="false">'SUPPLY (38-38)-2024'!AR13</f>
        <v>3550.84476762572</v>
      </c>
      <c r="D13" s="60" t="n">
        <f aca="false">'SUPPLY (38-38)-2024'!AS13</f>
        <v>6973.70704037226</v>
      </c>
      <c r="E13" s="60" t="n">
        <f aca="false">'USE (38-38)-2024'!AT13</f>
        <v>145.111404254362</v>
      </c>
      <c r="F13" s="5" t="n">
        <f aca="false">IF(D13=0,0,C13/D13)</f>
        <v>0.509176073366594</v>
      </c>
      <c r="G13" s="7" t="n">
        <f aca="false">F13*E13</f>
        <v>73.8872550189485</v>
      </c>
      <c r="H13" s="5" t="n">
        <f aca="false">IF(E$42=0,0,E13/E$42)</f>
        <v>0.00731764480652224</v>
      </c>
    </row>
    <row r="14" customFormat="false" ht="15" hidden="false" customHeight="true" outlineLevel="0" collapsed="false">
      <c r="A14" s="1" t="s">
        <v>181</v>
      </c>
      <c r="B14" s="1" t="s">
        <v>182</v>
      </c>
      <c r="C14" s="60" t="n">
        <f aca="false">'SUPPLY (38-38)-2024'!AR14</f>
        <v>2508.20022446294</v>
      </c>
      <c r="D14" s="60" t="n">
        <f aca="false">'SUPPLY (38-38)-2024'!AS14</f>
        <v>3684.22083243508</v>
      </c>
      <c r="E14" s="60" t="n">
        <f aca="false">'USE (38-38)-2024'!AT14</f>
        <v>1503.89217453108</v>
      </c>
      <c r="F14" s="5" t="n">
        <f aca="false">IF(D14=0,0,C14/D14)</f>
        <v>0.680795299342887</v>
      </c>
      <c r="G14" s="7" t="n">
        <f aca="false">F14*E14</f>
        <v>1023.84272313931</v>
      </c>
      <c r="H14" s="5" t="n">
        <f aca="false">IF(E$42=0,0,E14/E$42)</f>
        <v>0.0758379316710112</v>
      </c>
    </row>
    <row r="15" customFormat="false" ht="15" hidden="false" customHeight="true" outlineLevel="0" collapsed="false">
      <c r="A15" s="1" t="s">
        <v>183</v>
      </c>
      <c r="B15" s="1" t="s">
        <v>184</v>
      </c>
      <c r="C15" s="60" t="n">
        <f aca="false">'SUPPLY (38-38)-2024'!AR15</f>
        <v>1682.87781533571</v>
      </c>
      <c r="D15" s="60" t="n">
        <f aca="false">'SUPPLY (38-38)-2024'!AS15</f>
        <v>3135.92974743444</v>
      </c>
      <c r="E15" s="60" t="n">
        <f aca="false">'USE (38-38)-2024'!AT15</f>
        <v>466.311295852766</v>
      </c>
      <c r="F15" s="5" t="n">
        <f aca="false">IF(D15=0,0,C15/D15)</f>
        <v>0.536643978301013</v>
      </c>
      <c r="G15" s="7" t="n">
        <f aca="false">F15*E15</f>
        <v>250.243148933129</v>
      </c>
      <c r="H15" s="5" t="n">
        <f aca="false">IF(E$42=0,0,E15/E$42)</f>
        <v>0.0235150397024504</v>
      </c>
    </row>
    <row r="16" customFormat="false" ht="15" hidden="false" customHeight="true" outlineLevel="0" collapsed="false">
      <c r="A16" s="1" t="s">
        <v>185</v>
      </c>
      <c r="B16" s="1" t="s">
        <v>186</v>
      </c>
      <c r="C16" s="60" t="n">
        <f aca="false">'SUPPLY (38-38)-2024'!AR16</f>
        <v>2705.08204118413</v>
      </c>
      <c r="D16" s="60" t="n">
        <f aca="false">'SUPPLY (38-38)-2024'!AS16</f>
        <v>3752.90570284803</v>
      </c>
      <c r="E16" s="60" t="n">
        <f aca="false">'USE (38-38)-2024'!AT16</f>
        <v>1902.49437440522</v>
      </c>
      <c r="F16" s="5" t="n">
        <f aca="false">IF(D16=0,0,C16/D16)</f>
        <v>0.720796698710357</v>
      </c>
      <c r="G16" s="7" t="n">
        <f aca="false">F16*E16</f>
        <v>1371.31166438631</v>
      </c>
      <c r="H16" s="5" t="n">
        <f aca="false">IF(E$42=0,0,E16/E$42)</f>
        <v>0.0959385525199729</v>
      </c>
    </row>
    <row r="17" customFormat="false" ht="15" hidden="false" customHeight="true" outlineLevel="0" collapsed="false">
      <c r="A17" s="1" t="s">
        <v>19</v>
      </c>
      <c r="B17" s="1" t="s">
        <v>187</v>
      </c>
      <c r="C17" s="60" t="n">
        <f aca="false">'SUPPLY (38-38)-2024'!AR17</f>
        <v>11519.1681092843</v>
      </c>
      <c r="D17" s="60" t="n">
        <f aca="false">'SUPPLY (38-38)-2024'!AS17</f>
        <v>14574.4670749519</v>
      </c>
      <c r="E17" s="60" t="n">
        <f aca="false">'USE (38-38)-2024'!AT17</f>
        <v>2186.33697390337</v>
      </c>
      <c r="F17" s="5" t="n">
        <f aca="false">IF(D17=0,0,C17/D17)</f>
        <v>0.790366333811373</v>
      </c>
      <c r="G17" s="7" t="n">
        <f aca="false">F17*E17</f>
        <v>1728.00713854026</v>
      </c>
      <c r="H17" s="5" t="n">
        <f aca="false">IF(E$42=0,0,E17/E$42)</f>
        <v>0.1102521024078</v>
      </c>
    </row>
    <row r="18" customFormat="false" ht="15" hidden="false" customHeight="true" outlineLevel="0" collapsed="false">
      <c r="A18" s="1" t="s">
        <v>20</v>
      </c>
      <c r="B18" s="1" t="s">
        <v>188</v>
      </c>
      <c r="C18" s="60" t="n">
        <f aca="false">'SUPPLY (38-38)-2024'!AR18</f>
        <v>1553.13509699696</v>
      </c>
      <c r="D18" s="60" t="n">
        <f aca="false">'SUPPLY (38-38)-2024'!AS18</f>
        <v>3128.87093250216</v>
      </c>
      <c r="E18" s="60" t="n">
        <f aca="false">'USE (38-38)-2024'!AT18</f>
        <v>51.7607942038081</v>
      </c>
      <c r="F18" s="5" t="n">
        <f aca="false">IF(D18=0,0,C18/D18)</f>
        <v>0.496388355576852</v>
      </c>
      <c r="G18" s="7" t="n">
        <f aca="false">F18*E18</f>
        <v>25.6934555181802</v>
      </c>
      <c r="H18" s="5" t="n">
        <f aca="false">IF(E$42=0,0,E18/E$42)</f>
        <v>0.0026101815280006</v>
      </c>
    </row>
    <row r="19" customFormat="false" ht="15" hidden="false" customHeight="true" outlineLevel="0" collapsed="false">
      <c r="A19" s="1" t="s">
        <v>21</v>
      </c>
      <c r="B19" s="1" t="s">
        <v>189</v>
      </c>
      <c r="C19" s="60" t="n">
        <f aca="false">'SUPPLY (38-38)-2024'!AR19</f>
        <v>1138.3411980847</v>
      </c>
      <c r="D19" s="60" t="n">
        <f aca="false">'SUPPLY (38-38)-2024'!AS19</f>
        <v>4960.08112602399</v>
      </c>
      <c r="E19" s="60" t="n">
        <f aca="false">'USE (38-38)-2024'!AT19</f>
        <v>0</v>
      </c>
      <c r="F19" s="5" t="n">
        <f aca="false">IF(D19=0,0,C19/D19)</f>
        <v>0.229500520084678</v>
      </c>
      <c r="G19" s="7" t="n">
        <f aca="false">F19*E19</f>
        <v>0</v>
      </c>
      <c r="H19" s="5" t="n">
        <f aca="false">IF(E$42=0,0,E19/E$42)</f>
        <v>0</v>
      </c>
    </row>
    <row r="20" customFormat="false" ht="15" hidden="false" customHeight="true" outlineLevel="0" collapsed="false">
      <c r="A20" s="1" t="s">
        <v>22</v>
      </c>
      <c r="B20" s="1" t="s">
        <v>190</v>
      </c>
      <c r="C20" s="60" t="n">
        <f aca="false">'SUPPLY (38-38)-2024'!AR20</f>
        <v>59.7991713387299</v>
      </c>
      <c r="D20" s="60" t="n">
        <f aca="false">'SUPPLY (38-38)-2024'!AS20</f>
        <v>1002.70150059047</v>
      </c>
      <c r="E20" s="60" t="n">
        <f aca="false">'USE (38-38)-2024'!AT20</f>
        <v>0</v>
      </c>
      <c r="F20" s="5" t="n">
        <f aca="false">IF(D20=0,0,C20/D20)</f>
        <v>0.0596380590868922</v>
      </c>
      <c r="G20" s="7" t="n">
        <f aca="false">F20*E20</f>
        <v>0</v>
      </c>
      <c r="H20" s="5" t="n">
        <f aca="false">IF(E$42=0,0,E20/E$42)</f>
        <v>0</v>
      </c>
    </row>
    <row r="21" customFormat="false" ht="15" hidden="false" customHeight="true" outlineLevel="0" collapsed="false">
      <c r="A21" s="1" t="s">
        <v>23</v>
      </c>
      <c r="B21" s="1" t="s">
        <v>191</v>
      </c>
      <c r="C21" s="60" t="n">
        <f aca="false">'SUPPLY (38-38)-2024'!AR21</f>
        <v>56.4950845597333</v>
      </c>
      <c r="D21" s="60" t="n">
        <f aca="false">'SUPPLY (38-38)-2024'!AS21</f>
        <v>21279.6059454599</v>
      </c>
      <c r="E21" s="60" t="n">
        <f aca="false">'USE (38-38)-2024'!AT21</f>
        <v>12593.0124872787</v>
      </c>
      <c r="F21" s="5" t="n">
        <f aca="false">IF(D21=0,0,C21/D21)</f>
        <v>0.00265489336149041</v>
      </c>
      <c r="G21" s="7" t="n">
        <f aca="false">F21*E21</f>
        <v>33.433105253642</v>
      </c>
      <c r="H21" s="5" t="n">
        <f aca="false">IF(E$42=0,0,E21/E$42)</f>
        <v>0.635037562343999</v>
      </c>
    </row>
    <row r="22" customFormat="false" ht="15" hidden="false" customHeight="true" outlineLevel="0" collapsed="false">
      <c r="A22" s="1" t="s">
        <v>24</v>
      </c>
      <c r="B22" s="1" t="s">
        <v>192</v>
      </c>
      <c r="C22" s="60" t="n">
        <f aca="false">'SUPPLY (38-38)-2024'!AR22</f>
        <v>0</v>
      </c>
      <c r="D22" s="60" t="n">
        <f aca="false">'SUPPLY (38-38)-2024'!AS22</f>
        <v>524.016441610302</v>
      </c>
      <c r="E22" s="60" t="n">
        <f aca="false">'USE (38-38)-2024'!AT22</f>
        <v>0</v>
      </c>
      <c r="F22" s="5" t="n">
        <f aca="false">IF(D22=0,0,C22/D22)</f>
        <v>0</v>
      </c>
      <c r="G22" s="7" t="n">
        <f aca="false">F22*E22</f>
        <v>0</v>
      </c>
      <c r="H22" s="5" t="n">
        <f aca="false">IF(E$42=0,0,E22/E$42)</f>
        <v>0</v>
      </c>
    </row>
    <row r="23" customFormat="false" ht="15" hidden="false" customHeight="true" outlineLevel="0" collapsed="false">
      <c r="A23" s="1" t="s">
        <v>25</v>
      </c>
      <c r="B23" s="1" t="s">
        <v>107</v>
      </c>
      <c r="C23" s="60" t="n">
        <f aca="false">'SUPPLY (38-38)-2024'!AR23</f>
        <v>6221.6799852583</v>
      </c>
      <c r="D23" s="60" t="n">
        <f aca="false">'SUPPLY (38-38)-2024'!AS23</f>
        <v>12972.5787605813</v>
      </c>
      <c r="E23" s="60" t="n">
        <f aca="false">'USE (38-38)-2024'!AT23</f>
        <v>0</v>
      </c>
      <c r="F23" s="5" t="n">
        <f aca="false">IF(D23=0,0,C23/D23)</f>
        <v>0.479602405973715</v>
      </c>
      <c r="G23" s="7" t="n">
        <f aca="false">F23*E23</f>
        <v>0</v>
      </c>
      <c r="H23" s="5" t="n">
        <f aca="false">IF(E$42=0,0,E23/E$42)</f>
        <v>0</v>
      </c>
    </row>
    <row r="24" customFormat="false" ht="15" hidden="false" customHeight="true" outlineLevel="0" collapsed="false">
      <c r="A24" s="1" t="s">
        <v>26</v>
      </c>
      <c r="B24" s="1" t="s">
        <v>193</v>
      </c>
      <c r="C24" s="60" t="n">
        <f aca="false">'SUPPLY (38-38)-2024'!AR24</f>
        <v>592.719377179673</v>
      </c>
      <c r="D24" s="60" t="n">
        <f aca="false">'SUPPLY (38-38)-2024'!AS24</f>
        <v>7439.33888783049</v>
      </c>
      <c r="E24" s="60" t="n">
        <f aca="false">'USE (38-38)-2024'!AT24</f>
        <v>0</v>
      </c>
      <c r="F24" s="5" t="n">
        <f aca="false">IF(D24=0,0,C24/D24)</f>
        <v>0.0796736626892025</v>
      </c>
      <c r="G24" s="7" t="n">
        <f aca="false">F24*E24</f>
        <v>0</v>
      </c>
      <c r="H24" s="5" t="n">
        <f aca="false">IF(E$42=0,0,E24/E$42)</f>
        <v>0</v>
      </c>
    </row>
    <row r="25" customFormat="false" ht="15" hidden="false" customHeight="true" outlineLevel="0" collapsed="false">
      <c r="A25" s="1" t="s">
        <v>27</v>
      </c>
      <c r="B25" s="1" t="s">
        <v>194</v>
      </c>
      <c r="C25" s="60" t="n">
        <f aca="false">'SUPPLY (38-38)-2024'!AR25</f>
        <v>51.7075998225774</v>
      </c>
      <c r="D25" s="60" t="n">
        <f aca="false">'SUPPLY (38-38)-2024'!AS25</f>
        <v>1429.24650000108</v>
      </c>
      <c r="E25" s="60" t="n">
        <f aca="false">'USE (38-38)-2024'!AT25</f>
        <v>0</v>
      </c>
      <c r="F25" s="5" t="n">
        <f aca="false">IF(D25=0,0,C25/D25)</f>
        <v>0.0361782238560936</v>
      </c>
      <c r="G25" s="7" t="n">
        <f aca="false">F25*E25</f>
        <v>0</v>
      </c>
      <c r="H25" s="5" t="n">
        <f aca="false">IF(E$42=0,0,E25/E$42)</f>
        <v>0</v>
      </c>
    </row>
    <row r="26" customFormat="false" ht="15" hidden="false" customHeight="true" outlineLevel="0" collapsed="false">
      <c r="A26" s="1" t="s">
        <v>28</v>
      </c>
      <c r="B26" s="1" t="s">
        <v>195</v>
      </c>
      <c r="C26" s="60" t="n">
        <f aca="false">'SUPPLY (38-38)-2024'!AR26</f>
        <v>176.693589680819</v>
      </c>
      <c r="D26" s="60" t="n">
        <f aca="false">'SUPPLY (38-38)-2024'!AS26</f>
        <v>2517.39762860518</v>
      </c>
      <c r="E26" s="60" t="n">
        <f aca="false">'USE (38-38)-2024'!AT26</f>
        <v>0</v>
      </c>
      <c r="F26" s="5" t="n">
        <f aca="false">IF(D26=0,0,C26/D26)</f>
        <v>0.0701889871004288</v>
      </c>
      <c r="G26" s="7" t="n">
        <f aca="false">F26*E26</f>
        <v>0</v>
      </c>
      <c r="H26" s="5" t="n">
        <f aca="false">IF(E$42=0,0,E26/E$42)</f>
        <v>0</v>
      </c>
    </row>
    <row r="27" customFormat="false" ht="15" hidden="false" customHeight="true" outlineLevel="0" collapsed="false">
      <c r="A27" s="1" t="s">
        <v>29</v>
      </c>
      <c r="B27" s="1" t="s">
        <v>196</v>
      </c>
      <c r="C27" s="60" t="n">
        <f aca="false">'SUPPLY (38-38)-2024'!AR27</f>
        <v>444.025718872321</v>
      </c>
      <c r="D27" s="60" t="n">
        <f aca="false">'SUPPLY (38-38)-2024'!AS27</f>
        <v>4448.81932907147</v>
      </c>
      <c r="E27" s="60" t="n">
        <f aca="false">'USE (38-38)-2024'!AT27</f>
        <v>140.706987458464</v>
      </c>
      <c r="F27" s="5" t="n">
        <f aca="false">IF(D27=0,0,C27/D27)</f>
        <v>0.0998075412887121</v>
      </c>
      <c r="G27" s="7" t="n">
        <f aca="false">F27*E27</f>
        <v>14.0436184603709</v>
      </c>
      <c r="H27" s="5" t="n">
        <f aca="false">IF(E$42=0,0,E27/E$42)</f>
        <v>0.00709553988060086</v>
      </c>
    </row>
    <row r="28" customFormat="false" ht="15" hidden="false" customHeight="true" outlineLevel="0" collapsed="false">
      <c r="A28" s="1" t="s">
        <v>30</v>
      </c>
      <c r="B28" s="1" t="s">
        <v>197</v>
      </c>
      <c r="C28" s="60" t="n">
        <f aca="false">'SUPPLY (38-38)-2024'!AR28</f>
        <v>766.197227127414</v>
      </c>
      <c r="D28" s="60" t="n">
        <f aca="false">'SUPPLY (38-38)-2024'!AS28</f>
        <v>6432.56693259226</v>
      </c>
      <c r="E28" s="60" t="n">
        <f aca="false">'USE (38-38)-2024'!AT28</f>
        <v>0</v>
      </c>
      <c r="F28" s="5" t="n">
        <f aca="false">IF(D28=0,0,C28/D28)</f>
        <v>0.119112204374474</v>
      </c>
      <c r="G28" s="7" t="n">
        <f aca="false">F28*E28</f>
        <v>0</v>
      </c>
      <c r="H28" s="5" t="n">
        <f aca="false">IF(E$42=0,0,E28/E$42)</f>
        <v>0</v>
      </c>
    </row>
    <row r="29" customFormat="false" ht="15" hidden="false" customHeight="true" outlineLevel="0" collapsed="false">
      <c r="A29" s="1" t="s">
        <v>31</v>
      </c>
      <c r="B29" s="1" t="s">
        <v>198</v>
      </c>
      <c r="C29" s="60" t="n">
        <f aca="false">'SUPPLY (38-38)-2024'!AR29</f>
        <v>0</v>
      </c>
      <c r="D29" s="60" t="n">
        <f aca="false">'SUPPLY (38-38)-2024'!AS29</f>
        <v>10213.9840128436</v>
      </c>
      <c r="E29" s="60" t="n">
        <f aca="false">'USE (38-38)-2024'!AT29</f>
        <v>0</v>
      </c>
      <c r="F29" s="5" t="n">
        <f aca="false">IF(D29=0,0,C29/D29)</f>
        <v>0</v>
      </c>
      <c r="G29" s="7" t="n">
        <f aca="false">F29*E29</f>
        <v>0</v>
      </c>
      <c r="H29" s="5" t="n">
        <f aca="false">IF(E$42=0,0,E29/E$42)</f>
        <v>0</v>
      </c>
    </row>
    <row r="30" customFormat="false" ht="15" hidden="false" customHeight="true" outlineLevel="0" collapsed="false">
      <c r="A30" s="1" t="s">
        <v>32</v>
      </c>
      <c r="B30" s="1" t="s">
        <v>199</v>
      </c>
      <c r="C30" s="60" t="n">
        <f aca="false">'SUPPLY (38-38)-2024'!AR30</f>
        <v>269.201931534384</v>
      </c>
      <c r="D30" s="60" t="n">
        <f aca="false">'SUPPLY (38-38)-2024'!AS30</f>
        <v>1813.46506111103</v>
      </c>
      <c r="E30" s="60" t="n">
        <f aca="false">'USE (38-38)-2024'!AT30</f>
        <v>0.157052142376722</v>
      </c>
      <c r="F30" s="5" t="n">
        <f aca="false">IF(D30=0,0,C30/D30)</f>
        <v>0.148446163814954</v>
      </c>
      <c r="G30" s="7" t="n">
        <f aca="false">F30*E30</f>
        <v>0.0233137880547444</v>
      </c>
      <c r="H30" s="5" t="n">
        <f aca="false">IF(E$42=0,0,E30/E$42)</f>
        <v>7.91978962591884E-006</v>
      </c>
    </row>
    <row r="31" customFormat="false" ht="15" hidden="false" customHeight="true" outlineLevel="0" collapsed="false">
      <c r="A31" s="1" t="s">
        <v>115</v>
      </c>
      <c r="B31" s="1" t="s">
        <v>200</v>
      </c>
      <c r="C31" s="60" t="n">
        <f aca="false">'SUPPLY (38-38)-2024'!AR31</f>
        <v>15.6274148228879</v>
      </c>
      <c r="D31" s="60" t="n">
        <f aca="false">'SUPPLY (38-38)-2024'!AS31</f>
        <v>302.939098464801</v>
      </c>
      <c r="E31" s="60" t="n">
        <f aca="false">'USE (38-38)-2024'!AT31</f>
        <v>214.777441856253</v>
      </c>
      <c r="F31" s="5" t="n">
        <f aca="false">IF(D31=0,0,C31/D31)</f>
        <v>0.0515859950137921</v>
      </c>
      <c r="G31" s="7" t="n">
        <f aca="false">F31*E31</f>
        <v>11.0795080446717</v>
      </c>
      <c r="H31" s="5" t="n">
        <f aca="false">IF(E$42=0,0,E31/E$42)</f>
        <v>0.0108307478659817</v>
      </c>
    </row>
    <row r="32" customFormat="false" ht="15" hidden="false" customHeight="true" outlineLevel="0" collapsed="false">
      <c r="A32" s="1" t="s">
        <v>33</v>
      </c>
      <c r="B32" s="1" t="s">
        <v>201</v>
      </c>
      <c r="C32" s="60" t="n">
        <f aca="false">'SUPPLY (38-38)-2024'!AR32</f>
        <v>57.4759163914406</v>
      </c>
      <c r="D32" s="60" t="n">
        <f aca="false">'SUPPLY (38-38)-2024'!AS32</f>
        <v>893.846145479255</v>
      </c>
      <c r="E32" s="60" t="n">
        <f aca="false">'USE (38-38)-2024'!AT32</f>
        <v>0</v>
      </c>
      <c r="F32" s="5" t="n">
        <f aca="false">IF(D32=0,0,C32/D32)</f>
        <v>0.064301800351361</v>
      </c>
      <c r="G32" s="7" t="n">
        <f aca="false">F32*E32</f>
        <v>0</v>
      </c>
      <c r="H32" s="5" t="n">
        <f aca="false">IF(E$42=0,0,E32/E$42)</f>
        <v>0</v>
      </c>
    </row>
    <row r="33" customFormat="false" ht="15" hidden="false" customHeight="true" outlineLevel="0" collapsed="false">
      <c r="A33" s="1" t="s">
        <v>34</v>
      </c>
      <c r="B33" s="1" t="s">
        <v>118</v>
      </c>
      <c r="C33" s="60" t="n">
        <f aca="false">'SUPPLY (38-38)-2024'!AR33</f>
        <v>652.053271023714</v>
      </c>
      <c r="D33" s="60" t="n">
        <f aca="false">'SUPPLY (38-38)-2024'!AS33</f>
        <v>2378.96533801747</v>
      </c>
      <c r="E33" s="60" t="n">
        <f aca="false">'USE (38-38)-2024'!AT33</f>
        <v>0</v>
      </c>
      <c r="F33" s="5" t="n">
        <f aca="false">IF(D33=0,0,C33/D33)</f>
        <v>0.274091118774815</v>
      </c>
      <c r="G33" s="7" t="n">
        <f aca="false">F33*E33</f>
        <v>0</v>
      </c>
      <c r="H33" s="5" t="n">
        <f aca="false">IF(E$42=0,0,E33/E$42)</f>
        <v>0</v>
      </c>
    </row>
    <row r="34" customFormat="false" ht="15" hidden="false" customHeight="true" outlineLevel="0" collapsed="false">
      <c r="A34" s="1" t="s">
        <v>202</v>
      </c>
      <c r="B34" s="1" t="s">
        <v>203</v>
      </c>
      <c r="C34" s="60" t="n">
        <f aca="false">'SUPPLY (38-38)-2024'!AR34</f>
        <v>0</v>
      </c>
      <c r="D34" s="60" t="n">
        <f aca="false">'SUPPLY (38-38)-2024'!AS34</f>
        <v>7892.64231035817</v>
      </c>
      <c r="E34" s="60" t="n">
        <f aca="false">'USE (38-38)-2024'!AT34</f>
        <v>0</v>
      </c>
      <c r="F34" s="5" t="n">
        <f aca="false">IF(D34=0,0,C34/D34)</f>
        <v>0</v>
      </c>
      <c r="G34" s="7" t="n">
        <f aca="false">F34*E34</f>
        <v>0</v>
      </c>
      <c r="H34" s="5" t="n">
        <f aca="false">IF(E$42=0,0,E34/E$42)</f>
        <v>0</v>
      </c>
    </row>
    <row r="35" customFormat="false" ht="15" hidden="false" customHeight="true" outlineLevel="0" collapsed="false">
      <c r="A35" s="1" t="s">
        <v>204</v>
      </c>
      <c r="B35" s="1" t="s">
        <v>205</v>
      </c>
      <c r="C35" s="60" t="n">
        <f aca="false">'SUPPLY (38-38)-2024'!AR35</f>
        <v>293.632729454516</v>
      </c>
      <c r="D35" s="60" t="n">
        <f aca="false">'SUPPLY (38-38)-2024'!AS35</f>
        <v>5713.54668225591</v>
      </c>
      <c r="E35" s="60" t="n">
        <f aca="false">'USE (38-38)-2024'!AT35</f>
        <v>0</v>
      </c>
      <c r="F35" s="5" t="n">
        <f aca="false">IF(D35=0,0,C35/D35)</f>
        <v>0.051392374261407</v>
      </c>
      <c r="G35" s="7" t="n">
        <f aca="false">F35*E35</f>
        <v>0</v>
      </c>
      <c r="H35" s="5" t="n">
        <f aca="false">IF(E$42=0,0,E35/E$42)</f>
        <v>0</v>
      </c>
    </row>
    <row r="36" customFormat="false" ht="15" hidden="false" customHeight="true" outlineLevel="0" collapsed="false">
      <c r="A36" s="1" t="s">
        <v>206</v>
      </c>
      <c r="B36" s="1" t="s">
        <v>207</v>
      </c>
      <c r="C36" s="60" t="n">
        <f aca="false">'SUPPLY (38-38)-2024'!AR36</f>
        <v>91.2632284887399</v>
      </c>
      <c r="D36" s="60" t="n">
        <f aca="false">'SUPPLY (38-38)-2024'!AS36</f>
        <v>4268.62531081381</v>
      </c>
      <c r="E36" s="60" t="n">
        <f aca="false">'USE (38-38)-2024'!AT36</f>
        <v>0</v>
      </c>
      <c r="F36" s="5" t="n">
        <f aca="false">IF(D36=0,0,C36/D36)</f>
        <v>0.0213800045315621</v>
      </c>
      <c r="G36" s="7" t="n">
        <f aca="false">F36*E36</f>
        <v>0</v>
      </c>
      <c r="H36" s="5" t="n">
        <f aca="false">IF(E$42=0,0,E36/E$42)</f>
        <v>0</v>
      </c>
    </row>
    <row r="37" customFormat="false" ht="15" hidden="false" customHeight="true" outlineLevel="0" collapsed="false">
      <c r="A37" s="1" t="s">
        <v>35</v>
      </c>
      <c r="B37" s="1" t="s">
        <v>208</v>
      </c>
      <c r="C37" s="60" t="n">
        <f aca="false">'SUPPLY (38-38)-2024'!AR37</f>
        <v>0</v>
      </c>
      <c r="D37" s="60" t="n">
        <f aca="false">'SUPPLY (38-38)-2024'!AS37</f>
        <v>379.121876078281</v>
      </c>
      <c r="E37" s="60" t="n">
        <f aca="false">'USE (38-38)-2024'!AT37</f>
        <v>0</v>
      </c>
      <c r="F37" s="5" t="n">
        <f aca="false">IF(D37=0,0,C37/D37)</f>
        <v>0</v>
      </c>
      <c r="G37" s="7" t="n">
        <f aca="false">F37*E37</f>
        <v>0</v>
      </c>
      <c r="H37" s="5" t="n">
        <f aca="false">IF(E$42=0,0,E37/E$42)</f>
        <v>0</v>
      </c>
    </row>
    <row r="38" customFormat="false" ht="15" hidden="false" customHeight="true" outlineLevel="0" collapsed="false">
      <c r="A38" s="1" t="s">
        <v>36</v>
      </c>
      <c r="B38" s="1" t="s">
        <v>209</v>
      </c>
      <c r="C38" s="60" t="n">
        <f aca="false">'SUPPLY (38-38)-2024'!AR38</f>
        <v>172.932522943431</v>
      </c>
      <c r="D38" s="60" t="n">
        <f aca="false">'SUPPLY (38-38)-2024'!AS38</f>
        <v>5982.82195452094</v>
      </c>
      <c r="E38" s="60" t="n">
        <f aca="false">'USE (38-38)-2024'!AT38</f>
        <v>0</v>
      </c>
      <c r="F38" s="5" t="n">
        <f aca="false">IF(D38=0,0,C38/D38)</f>
        <v>0.0289048419388035</v>
      </c>
      <c r="G38" s="7" t="n">
        <f aca="false">F38*E38</f>
        <v>0</v>
      </c>
      <c r="H38" s="5" t="n">
        <f aca="false">IF(E$42=0,0,E38/E$42)</f>
        <v>0</v>
      </c>
    </row>
    <row r="39" customFormat="false" ht="15" hidden="false" customHeight="true" outlineLevel="0" collapsed="false">
      <c r="A39" s="1" t="s">
        <v>37</v>
      </c>
      <c r="B39" s="1" t="s">
        <v>124</v>
      </c>
      <c r="C39" s="60" t="n">
        <f aca="false">'SUPPLY (38-38)-2024'!AR39</f>
        <v>98.6441527131031</v>
      </c>
      <c r="D39" s="60" t="n">
        <f aca="false">'SUPPLY (38-38)-2024'!AS39</f>
        <v>1451.81227282336</v>
      </c>
      <c r="E39" s="60" t="n">
        <f aca="false">'USE (38-38)-2024'!AT39</f>
        <v>0</v>
      </c>
      <c r="F39" s="5" t="n">
        <f aca="false">IF(D39=0,0,C39/D39)</f>
        <v>0.0679455288811331</v>
      </c>
      <c r="G39" s="7" t="n">
        <f aca="false">F39*E39</f>
        <v>0</v>
      </c>
      <c r="H39" s="5" t="n">
        <f aca="false">IF(E$42=0,0,E39/E$42)</f>
        <v>0</v>
      </c>
    </row>
    <row r="40" customFormat="false" ht="15" hidden="false" customHeight="true" outlineLevel="0" collapsed="false">
      <c r="A40" s="1" t="s">
        <v>38</v>
      </c>
      <c r="B40" s="1" t="s">
        <v>210</v>
      </c>
      <c r="C40" s="60" t="n">
        <f aca="false">'SUPPLY (38-38)-2024'!AR40</f>
        <v>0</v>
      </c>
      <c r="D40" s="60" t="n">
        <f aca="false">'SUPPLY (38-38)-2024'!AS40</f>
        <v>95.1807998819878</v>
      </c>
      <c r="E40" s="60" t="n">
        <f aca="false">'USE (38-38)-2024'!AT40</f>
        <v>0</v>
      </c>
      <c r="F40" s="5" t="n">
        <f aca="false">IF(D40=0,0,C40/D40)</f>
        <v>0</v>
      </c>
      <c r="G40" s="7" t="n">
        <f aca="false">F40*E40</f>
        <v>0</v>
      </c>
      <c r="H40" s="5" t="n">
        <f aca="false">IF(E$42=0,0,E40/E$42)</f>
        <v>0</v>
      </c>
    </row>
    <row r="41" customFormat="false" ht="15" hidden="false" customHeight="true" outlineLevel="0" collapsed="false">
      <c r="A41" s="1" t="s">
        <v>39</v>
      </c>
      <c r="B41" s="1" t="s">
        <v>211</v>
      </c>
      <c r="C41" s="60" t="n">
        <f aca="false">'SUPPLY (38-38)-2024'!AR41</f>
        <v>0</v>
      </c>
      <c r="D41" s="60" t="n">
        <f aca="false">'SUPPLY (38-38)-2024'!AS41</f>
        <v>0</v>
      </c>
      <c r="E41" s="60" t="n">
        <f aca="false">'USE (38-38)-2024'!AT41</f>
        <v>0</v>
      </c>
      <c r="F41" s="5" t="n">
        <f aca="false">IF(D41=0,0,C41/D41)</f>
        <v>0</v>
      </c>
      <c r="G41" s="7" t="n">
        <f aca="false">F41*E41</f>
        <v>0</v>
      </c>
      <c r="H41" s="5" t="n">
        <f aca="false">IF(E$42=0,0,E41/E$42)</f>
        <v>0</v>
      </c>
    </row>
    <row r="42" customFormat="false" ht="15" hidden="false" customHeight="true" outlineLevel="0" collapsed="false">
      <c r="A42" s="2" t="s">
        <v>127</v>
      </c>
      <c r="C42" s="61" t="n">
        <f aca="false">SUM(C4:C41)</f>
        <v>51758.9012618031</v>
      </c>
      <c r="D42" s="61" t="n">
        <f aca="false">SUM(D4:D41)</f>
        <v>210683.827798653</v>
      </c>
      <c r="E42" s="61" t="n">
        <f aca="false">SUM(E4:E41)</f>
        <v>19830.3426978341</v>
      </c>
      <c r="F42" s="62" t="n">
        <f aca="false">IF(D42=0,0,C42/D42)</f>
        <v>0.245670974381899</v>
      </c>
      <c r="G42" s="61" t="n">
        <f aca="false">SUM(G4:G41)</f>
        <v>4580.78082106444</v>
      </c>
      <c r="H42" s="62" t="n">
        <f aca="false">SUM(H4:H41)</f>
        <v>1</v>
      </c>
    </row>
    <row r="44" customFormat="false" ht="15" hidden="false" customHeight="true" outlineLevel="0" collapsed="false">
      <c r="A44" s="2" t="s">
        <v>212</v>
      </c>
    </row>
    <row r="45" customFormat="false" ht="15" hidden="false" customHeight="true" outlineLevel="0" collapsed="false">
      <c r="A45" s="63" t="s">
        <v>213</v>
      </c>
    </row>
    <row r="46" customFormat="false" ht="15" hidden="false" customHeight="true" outlineLevel="0" collapsed="false">
      <c r="A46" s="2" t="s">
        <v>214</v>
      </c>
      <c r="B46" s="2" t="s">
        <v>215</v>
      </c>
      <c r="C46" s="64" t="n">
        <f aca="false">G42/E42</f>
        <v>0.230998570769266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5"/>
    <col collapsed="false" customWidth="true" hidden="false" outlineLevel="0" max="2" min="2" style="1" width="10"/>
    <col collapsed="false" customWidth="true" hidden="false" outlineLevel="0" max="21" min="3" style="1" width="14"/>
  </cols>
  <sheetData>
    <row r="1" customFormat="false" ht="17.25" hidden="false" customHeight="true" outlineLevel="0" collapsed="false">
      <c r="A1" s="65" t="s">
        <v>216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</row>
    <row r="2" customFormat="false" ht="15" hidden="false" customHeight="true" outlineLevel="0" collapsed="false">
      <c r="A2" s="2" t="s">
        <v>217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</row>
    <row r="3" customFormat="false" ht="15" hidden="false" customHeight="false" outlineLevel="0" collapsed="false">
      <c r="A3" s="66"/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</row>
    <row r="4" customFormat="false" ht="15" hidden="false" customHeight="true" outlineLevel="0" collapsed="false">
      <c r="A4" s="67" t="s">
        <v>218</v>
      </c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</row>
    <row r="5" customFormat="false" ht="15" hidden="false" customHeight="true" outlineLevel="0" collapsed="false">
      <c r="A5" s="68"/>
      <c r="B5" s="68"/>
      <c r="C5" s="3" t="n">
        <v>2026</v>
      </c>
      <c r="D5" s="3" t="n">
        <v>2027</v>
      </c>
      <c r="E5" s="3" t="n">
        <v>2028</v>
      </c>
      <c r="F5" s="3" t="n">
        <v>2029</v>
      </c>
      <c r="G5" s="3" t="n">
        <v>2030</v>
      </c>
      <c r="H5" s="3" t="n">
        <v>2031</v>
      </c>
      <c r="I5" s="3" t="n">
        <v>2032</v>
      </c>
      <c r="J5" s="3" t="n">
        <v>2033</v>
      </c>
      <c r="K5" s="3" t="n">
        <v>2034</v>
      </c>
      <c r="L5" s="3" t="n">
        <v>2035</v>
      </c>
      <c r="M5" s="3" t="n">
        <v>2036</v>
      </c>
      <c r="N5" s="3" t="n">
        <v>2037</v>
      </c>
      <c r="O5" s="3" t="n">
        <v>2038</v>
      </c>
      <c r="P5" s="3" t="n">
        <v>2039</v>
      </c>
      <c r="Q5" s="3" t="n">
        <v>2040</v>
      </c>
      <c r="R5" s="3" t="n">
        <v>2041</v>
      </c>
      <c r="S5" s="3" t="n">
        <v>2042</v>
      </c>
      <c r="T5" s="3" t="n">
        <v>2043</v>
      </c>
      <c r="U5" s="68"/>
    </row>
    <row r="6" customFormat="false" ht="15" hidden="false" customHeight="true" outlineLevel="0" collapsed="false">
      <c r="A6" s="2" t="s">
        <v>219</v>
      </c>
      <c r="B6" s="68" t="s">
        <v>4</v>
      </c>
      <c r="C6" s="60" t="n">
        <f aca="false">WEO_Data!I3</f>
        <v>38.602</v>
      </c>
      <c r="D6" s="60" t="n">
        <f aca="false">WEO_Data!J3</f>
        <v>41.502</v>
      </c>
      <c r="E6" s="60" t="n">
        <f aca="false">WEO_Data!K3</f>
        <v>44.235</v>
      </c>
      <c r="F6" s="60" t="n">
        <f aca="false">WEO_Data!L3</f>
        <v>47.409</v>
      </c>
      <c r="G6" s="60" t="n">
        <f aca="false">WEO_Data!M3</f>
        <v>51.5310560439147</v>
      </c>
      <c r="H6" s="60" t="n">
        <f aca="false">WEO_Data!N3</f>
        <v>56.0115112531604</v>
      </c>
      <c r="I6" s="60" t="n">
        <f aca="false">WEO_Data!O3</f>
        <v>60.8815272520191</v>
      </c>
      <c r="J6" s="60" t="n">
        <f aca="false">WEO_Data!P3</f>
        <v>66.1749750651335</v>
      </c>
      <c r="K6" s="60" t="n">
        <f aca="false">WEO_Data!Q3</f>
        <v>71.9286706909249</v>
      </c>
      <c r="L6" s="60" t="n">
        <f aca="false">WEO_Data!R3</f>
        <v>78.1826311573401</v>
      </c>
      <c r="M6" s="60" t="n">
        <f aca="false">WEO_Data!S3</f>
        <v>84.9803528408025</v>
      </c>
      <c r="N6" s="60" t="n">
        <f aca="false">WEO_Data!T3</f>
        <v>92.3691139840757</v>
      </c>
      <c r="O6" s="60" t="n">
        <f aca="false">WEO_Data!U3</f>
        <v>100.400303517057</v>
      </c>
      <c r="P6" s="60" t="n">
        <f aca="false">WEO_Data!V3</f>
        <v>109.129778467454</v>
      </c>
      <c r="Q6" s="60" t="n">
        <f aca="false">WEO_Data!W3</f>
        <v>118.618252447138</v>
      </c>
      <c r="R6" s="60" t="n">
        <f aca="false">WEO_Data!X3</f>
        <v>128.931717916106</v>
      </c>
      <c r="S6" s="60" t="n">
        <f aca="false">WEO_Data!Y3</f>
        <v>140.141905160899</v>
      </c>
      <c r="T6" s="60" t="n">
        <f aca="false">WEO_Data!Z3</f>
        <v>152.326781179677</v>
      </c>
      <c r="U6" s="66"/>
    </row>
    <row r="7" customFormat="false" ht="15" hidden="false" customHeight="true" outlineLevel="0" collapsed="false">
      <c r="A7" s="2" t="s">
        <v>5</v>
      </c>
      <c r="B7" s="68" t="s">
        <v>6</v>
      </c>
      <c r="C7" s="60" t="n">
        <f aca="false">WEO_Data!I4</f>
        <v>145.575</v>
      </c>
      <c r="D7" s="60" t="n">
        <f aca="false">WEO_Data!J4</f>
        <v>150.67</v>
      </c>
      <c r="E7" s="60" t="n">
        <f aca="false">WEO_Data!K4</f>
        <v>155.943</v>
      </c>
      <c r="F7" s="60" t="n">
        <f aca="false">WEO_Data!L4</f>
        <v>161.401</v>
      </c>
      <c r="G7" s="60" t="n">
        <f aca="false">WEO_Data!M4</f>
        <v>167.080270604514</v>
      </c>
      <c r="H7" s="60" t="n">
        <f aca="false">WEO_Data!N4</f>
        <v>172.959379590447</v>
      </c>
      <c r="I7" s="60" t="n">
        <f aca="false">WEO_Data!O4</f>
        <v>179.045358737311</v>
      </c>
      <c r="J7" s="60" t="n">
        <f aca="false">WEO_Data!P4</f>
        <v>185.345487254182</v>
      </c>
      <c r="K7" s="60" t="n">
        <f aca="false">WEO_Data!Q4</f>
        <v>191.867300486083</v>
      </c>
      <c r="L7" s="60" t="n">
        <f aca="false">WEO_Data!R4</f>
        <v>198.618598926725</v>
      </c>
      <c r="M7" s="60" t="n">
        <f aca="false">WEO_Data!S4</f>
        <v>205.607457548384</v>
      </c>
      <c r="N7" s="60" t="n">
        <f aca="false">WEO_Data!T4</f>
        <v>212.842235460066</v>
      </c>
      <c r="O7" s="60" t="n">
        <f aca="false">WEO_Data!U4</f>
        <v>220.331585905524</v>
      </c>
      <c r="P7" s="60" t="n">
        <f aca="false">WEO_Data!V4</f>
        <v>228.084466613074</v>
      </c>
      <c r="Q7" s="60" t="n">
        <f aca="false">WEO_Data!W4</f>
        <v>236.110150509592</v>
      </c>
      <c r="R7" s="60" t="n">
        <f aca="false">WEO_Data!X4</f>
        <v>244.418236811514</v>
      </c>
      <c r="S7" s="60" t="n">
        <f aca="false">WEO_Data!Y4</f>
        <v>253.018662506094</v>
      </c>
      <c r="T7" s="60" t="n">
        <f aca="false">WEO_Data!Z4</f>
        <v>261.921714236655</v>
      </c>
      <c r="U7" s="66"/>
    </row>
    <row r="8" customFormat="false" ht="15" hidden="false" customHeight="true" outlineLevel="0" collapsed="false">
      <c r="A8" s="68"/>
      <c r="B8" s="66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</row>
    <row r="9" customFormat="false" ht="15" hidden="false" customHeight="true" outlineLevel="0" collapsed="false">
      <c r="A9" s="2" t="s">
        <v>220</v>
      </c>
      <c r="B9" s="68" t="s">
        <v>221</v>
      </c>
      <c r="C9" s="69" t="n">
        <f aca="false">$D$33</f>
        <v>6500</v>
      </c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</row>
    <row r="10" customFormat="false" ht="15" hidden="false" customHeight="true" outlineLevel="0" collapsed="false">
      <c r="A10" s="2" t="s">
        <v>222</v>
      </c>
      <c r="B10" s="68" t="s">
        <v>223</v>
      </c>
      <c r="C10" s="70" t="n">
        <f aca="false">C9*$D$30</f>
        <v>17849</v>
      </c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</row>
    <row r="11" customFormat="false" ht="15" hidden="false" customHeight="true" outlineLevel="0" collapsed="false">
      <c r="A11" s="2" t="s">
        <v>224</v>
      </c>
      <c r="B11" s="68" t="s">
        <v>223</v>
      </c>
      <c r="C11" s="70" t="n">
        <f aca="false">C10/(C7/100)</f>
        <v>12261.0338313584</v>
      </c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</row>
    <row r="12" customFormat="false" ht="15" hidden="false" customHeight="true" outlineLevel="0" collapsed="false">
      <c r="A12" s="68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</row>
    <row r="13" customFormat="false" ht="15" hidden="false" customHeight="true" outlineLevel="0" collapsed="false">
      <c r="A13" s="2" t="s">
        <v>225</v>
      </c>
      <c r="B13" s="68" t="s">
        <v>226</v>
      </c>
      <c r="C13" s="4" t="n">
        <v>0.04</v>
      </c>
      <c r="D13" s="4" t="n">
        <v>0.1</v>
      </c>
      <c r="E13" s="4" t="n">
        <v>0.16</v>
      </c>
      <c r="F13" s="4" t="n">
        <v>0.2</v>
      </c>
      <c r="G13" s="4" t="n">
        <v>0.2</v>
      </c>
      <c r="H13" s="4" t="n">
        <v>0.16</v>
      </c>
      <c r="I13" s="4" t="n">
        <v>0.1</v>
      </c>
      <c r="J13" s="4" t="n">
        <v>0.04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  <c r="U13" s="66"/>
    </row>
    <row r="14" customFormat="false" ht="15" hidden="false" customHeight="true" outlineLevel="0" collapsed="false">
      <c r="A14" s="2" t="s">
        <v>227</v>
      </c>
      <c r="B14" s="68" t="s">
        <v>221</v>
      </c>
      <c r="C14" s="71" t="n">
        <f aca="false">$D$33*C13</f>
        <v>260</v>
      </c>
      <c r="D14" s="71" t="n">
        <f aca="false">$D$33*D13</f>
        <v>650</v>
      </c>
      <c r="E14" s="71" t="n">
        <f aca="false">$D$33*E13</f>
        <v>1040</v>
      </c>
      <c r="F14" s="71" t="n">
        <f aca="false">$D$33*F13</f>
        <v>1300</v>
      </c>
      <c r="G14" s="71" t="n">
        <f aca="false">$D$33*G13</f>
        <v>1300</v>
      </c>
      <c r="H14" s="71" t="n">
        <f aca="false">$D$33*H13</f>
        <v>1040</v>
      </c>
      <c r="I14" s="71" t="n">
        <f aca="false">$D$33*I13</f>
        <v>650</v>
      </c>
      <c r="J14" s="71" t="n">
        <f aca="false">$D$33*J13</f>
        <v>260</v>
      </c>
      <c r="K14" s="71" t="n">
        <f aca="false">$D$33*K13</f>
        <v>0</v>
      </c>
      <c r="L14" s="71" t="n">
        <f aca="false">$D$33*L13</f>
        <v>0</v>
      </c>
      <c r="M14" s="71" t="n">
        <f aca="false">$D$33*M13</f>
        <v>0</v>
      </c>
      <c r="N14" s="71" t="n">
        <f aca="false">$D$33*N13</f>
        <v>0</v>
      </c>
      <c r="O14" s="71" t="n">
        <f aca="false">$D$33*O13</f>
        <v>0</v>
      </c>
      <c r="P14" s="71" t="n">
        <f aca="false">$D$33*P13</f>
        <v>0</v>
      </c>
      <c r="Q14" s="71" t="n">
        <f aca="false">$D$33*Q13</f>
        <v>0</v>
      </c>
      <c r="R14" s="71" t="n">
        <f aca="false">$D$33*R13</f>
        <v>0</v>
      </c>
      <c r="S14" s="71" t="n">
        <f aca="false">$D$33*S13</f>
        <v>0</v>
      </c>
      <c r="T14" s="71" t="n">
        <f aca="false">$D$33*T13</f>
        <v>0</v>
      </c>
      <c r="U14" s="66"/>
    </row>
    <row r="15" customFormat="false" ht="15" hidden="false" customHeight="true" outlineLevel="0" collapsed="false">
      <c r="A15" s="2" t="s">
        <v>228</v>
      </c>
      <c r="B15" s="68" t="s">
        <v>223</v>
      </c>
      <c r="C15" s="71" t="n">
        <f aca="false">C14*$D$30</f>
        <v>713.96</v>
      </c>
      <c r="D15" s="71" t="n">
        <f aca="false">D14*$D$30</f>
        <v>1784.9</v>
      </c>
      <c r="E15" s="71" t="n">
        <f aca="false">E14*$D$30</f>
        <v>2855.84</v>
      </c>
      <c r="F15" s="71" t="n">
        <f aca="false">F14*$D$30</f>
        <v>3569.8</v>
      </c>
      <c r="G15" s="71" t="n">
        <f aca="false">G14*$D$30</f>
        <v>3569.8</v>
      </c>
      <c r="H15" s="71" t="n">
        <f aca="false">H14*$D$30</f>
        <v>2855.84</v>
      </c>
      <c r="I15" s="71" t="n">
        <f aca="false">I14*$D$30</f>
        <v>1784.9</v>
      </c>
      <c r="J15" s="71" t="n">
        <f aca="false">J14*$D$30</f>
        <v>713.96</v>
      </c>
      <c r="K15" s="71" t="n">
        <f aca="false">K14*$D$30</f>
        <v>0</v>
      </c>
      <c r="L15" s="71" t="n">
        <f aca="false">L14*$D$30</f>
        <v>0</v>
      </c>
      <c r="M15" s="71" t="n">
        <f aca="false">M14*$D$30</f>
        <v>0</v>
      </c>
      <c r="N15" s="71" t="n">
        <f aca="false">N14*$D$30</f>
        <v>0</v>
      </c>
      <c r="O15" s="71" t="n">
        <f aca="false">O14*$D$30</f>
        <v>0</v>
      </c>
      <c r="P15" s="71" t="n">
        <f aca="false">P14*$D$30</f>
        <v>0</v>
      </c>
      <c r="Q15" s="71" t="n">
        <f aca="false">Q14*$D$30</f>
        <v>0</v>
      </c>
      <c r="R15" s="71" t="n">
        <f aca="false">R14*$D$30</f>
        <v>0</v>
      </c>
      <c r="S15" s="71" t="n">
        <f aca="false">S14*$D$30</f>
        <v>0</v>
      </c>
      <c r="T15" s="71" t="n">
        <f aca="false">T14*$D$30</f>
        <v>0</v>
      </c>
      <c r="U15" s="66"/>
    </row>
    <row r="16" customFormat="false" ht="15" hidden="false" customHeight="true" outlineLevel="0" collapsed="false">
      <c r="A16" s="2" t="s">
        <v>229</v>
      </c>
      <c r="B16" s="68" t="s">
        <v>223</v>
      </c>
      <c r="C16" s="71" t="n">
        <f aca="false">IF(C7=0,0,C15/(C7/100))</f>
        <v>490.441353254336</v>
      </c>
      <c r="D16" s="71" t="n">
        <f aca="false">IF(D7=0,0,D15/(D7/100))</f>
        <v>1184.6419327006</v>
      </c>
      <c r="E16" s="71" t="n">
        <f aca="false">IF(E7=0,0,E15/(E7/100))</f>
        <v>1831.33580859673</v>
      </c>
      <c r="F16" s="71" t="n">
        <f aca="false">IF(F7=0,0,F15/(F7/100))</f>
        <v>2211.7582914604</v>
      </c>
      <c r="G16" s="71" t="n">
        <f aca="false">IF(G7=0,0,G15/(G7/100))</f>
        <v>2136.57781800573</v>
      </c>
      <c r="H16" s="71" t="n">
        <f aca="false">IF(H7=0,0,H15/(H7/100))</f>
        <v>1651.16225946369</v>
      </c>
      <c r="I16" s="71" t="n">
        <f aca="false">IF(I7=0,0,I15/(I7/100))</f>
        <v>996.898223214344</v>
      </c>
      <c r="J16" s="71" t="n">
        <f aca="false">IF(J7=0,0,J15/(J7/100))</f>
        <v>385.204954583479</v>
      </c>
      <c r="K16" s="71" t="n">
        <f aca="false">IF(K7=0,0,K15/(K7/100))</f>
        <v>0</v>
      </c>
      <c r="L16" s="71" t="n">
        <f aca="false">IF(L7=0,0,L15/(L7/100))</f>
        <v>0</v>
      </c>
      <c r="M16" s="71" t="n">
        <f aca="false">IF(M7=0,0,M15/(M7/100))</f>
        <v>0</v>
      </c>
      <c r="N16" s="71" t="n">
        <f aca="false">IF(N7=0,0,N15/(N7/100))</f>
        <v>0</v>
      </c>
      <c r="O16" s="71" t="n">
        <f aca="false">IF(O7=0,0,O15/(O7/100))</f>
        <v>0</v>
      </c>
      <c r="P16" s="71" t="n">
        <f aca="false">IF(P7=0,0,P15/(P7/100))</f>
        <v>0</v>
      </c>
      <c r="Q16" s="71" t="n">
        <f aca="false">IF(Q7=0,0,Q15/(Q7/100))</f>
        <v>0</v>
      </c>
      <c r="R16" s="71" t="n">
        <f aca="false">IF(R7=0,0,R15/(R7/100))</f>
        <v>0</v>
      </c>
      <c r="S16" s="71" t="n">
        <f aca="false">IF(S7=0,0,S15/(S7/100))</f>
        <v>0</v>
      </c>
      <c r="T16" s="71" t="n">
        <f aca="false">IF(T7=0,0,T15/(T7/100))</f>
        <v>0</v>
      </c>
      <c r="U16" s="66"/>
    </row>
    <row r="17" customFormat="false" ht="15" hidden="false" customHeight="true" outlineLevel="0" collapsed="false">
      <c r="A17" s="68"/>
      <c r="B17" s="66"/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</row>
    <row r="18" customFormat="false" ht="15" hidden="false" customHeight="true" outlineLevel="0" collapsed="false">
      <c r="A18" s="2" t="s">
        <v>230</v>
      </c>
      <c r="B18" s="66"/>
      <c r="C18" s="72" t="n">
        <f aca="false">$D$32</f>
        <v>0.230998570769266</v>
      </c>
      <c r="D18" s="72" t="n">
        <f aca="false">$D$32</f>
        <v>0.230998570769266</v>
      </c>
      <c r="E18" s="72" t="n">
        <f aca="false">$D$32</f>
        <v>0.230998570769266</v>
      </c>
      <c r="F18" s="72" t="n">
        <f aca="false">$D$32</f>
        <v>0.230998570769266</v>
      </c>
      <c r="G18" s="72" t="n">
        <f aca="false">$D$32</f>
        <v>0.230998570769266</v>
      </c>
      <c r="H18" s="72" t="n">
        <f aca="false">$D$32</f>
        <v>0.230998570769266</v>
      </c>
      <c r="I18" s="72" t="n">
        <f aca="false">$D$32</f>
        <v>0.230998570769266</v>
      </c>
      <c r="J18" s="72" t="n">
        <f aca="false">$D$32</f>
        <v>0.230998570769266</v>
      </c>
      <c r="K18" s="72" t="n">
        <f aca="false">$D$32</f>
        <v>0.230998570769266</v>
      </c>
      <c r="L18" s="72" t="n">
        <f aca="false">$D$32</f>
        <v>0.230998570769266</v>
      </c>
      <c r="M18" s="72" t="n">
        <f aca="false">$D$32</f>
        <v>0.230998570769266</v>
      </c>
      <c r="N18" s="72" t="n">
        <f aca="false">$D$32</f>
        <v>0.230998570769266</v>
      </c>
      <c r="O18" s="72" t="n">
        <f aca="false">$D$32</f>
        <v>0.230998570769266</v>
      </c>
      <c r="P18" s="72" t="n">
        <f aca="false">$D$32</f>
        <v>0.230998570769266</v>
      </c>
      <c r="Q18" s="72" t="n">
        <f aca="false">$D$32</f>
        <v>0.230998570769266</v>
      </c>
      <c r="R18" s="72" t="n">
        <f aca="false">$D$32</f>
        <v>0.230998570769266</v>
      </c>
      <c r="S18" s="72" t="n">
        <f aca="false">$D$32</f>
        <v>0.230998570769266</v>
      </c>
      <c r="T18" s="72" t="n">
        <f aca="false">$D$32</f>
        <v>0.230998570769266</v>
      </c>
      <c r="U18" s="66"/>
    </row>
    <row r="19" customFormat="false" ht="15" hidden="false" customHeight="true" outlineLevel="0" collapsed="false">
      <c r="A19" s="2" t="s">
        <v>231</v>
      </c>
      <c r="B19" s="66"/>
      <c r="C19" s="5" t="n">
        <f aca="false">1-C18</f>
        <v>0.769001429230734</v>
      </c>
      <c r="D19" s="5" t="n">
        <f aca="false">1-D18</f>
        <v>0.769001429230734</v>
      </c>
      <c r="E19" s="5" t="n">
        <f aca="false">1-E18</f>
        <v>0.769001429230734</v>
      </c>
      <c r="F19" s="5" t="n">
        <f aca="false">1-F18</f>
        <v>0.769001429230734</v>
      </c>
      <c r="G19" s="5" t="n">
        <f aca="false">1-G18</f>
        <v>0.769001429230734</v>
      </c>
      <c r="H19" s="5" t="n">
        <f aca="false">1-H18</f>
        <v>0.769001429230734</v>
      </c>
      <c r="I19" s="5" t="n">
        <f aca="false">1-I18</f>
        <v>0.769001429230734</v>
      </c>
      <c r="J19" s="5" t="n">
        <f aca="false">1-J18</f>
        <v>0.769001429230734</v>
      </c>
      <c r="K19" s="5" t="n">
        <f aca="false">1-K18</f>
        <v>0.769001429230734</v>
      </c>
      <c r="L19" s="5" t="n">
        <f aca="false">1-L18</f>
        <v>0.769001429230734</v>
      </c>
      <c r="M19" s="5" t="n">
        <f aca="false">1-M18</f>
        <v>0.769001429230734</v>
      </c>
      <c r="N19" s="5" t="n">
        <f aca="false">1-N18</f>
        <v>0.769001429230734</v>
      </c>
      <c r="O19" s="5" t="n">
        <f aca="false">1-O18</f>
        <v>0.769001429230734</v>
      </c>
      <c r="P19" s="5" t="n">
        <f aca="false">1-P18</f>
        <v>0.769001429230734</v>
      </c>
      <c r="Q19" s="5" t="n">
        <f aca="false">1-Q18</f>
        <v>0.769001429230734</v>
      </c>
      <c r="R19" s="5" t="n">
        <f aca="false">1-R18</f>
        <v>0.769001429230734</v>
      </c>
      <c r="S19" s="5" t="n">
        <f aca="false">1-S18</f>
        <v>0.769001429230734</v>
      </c>
      <c r="T19" s="5" t="n">
        <f aca="false">1-T18</f>
        <v>0.769001429230734</v>
      </c>
      <c r="U19" s="66"/>
    </row>
    <row r="20" customFormat="false" ht="15" hidden="false" customHeight="true" outlineLevel="0" collapsed="false">
      <c r="A20" s="2" t="s">
        <v>232</v>
      </c>
      <c r="B20" s="66"/>
      <c r="C20" s="73" t="n">
        <f aca="false">$D$31</f>
        <v>0.8</v>
      </c>
      <c r="D20" s="73" t="n">
        <f aca="false">$D$31</f>
        <v>0.8</v>
      </c>
      <c r="E20" s="73" t="n">
        <f aca="false">$D$31</f>
        <v>0.8</v>
      </c>
      <c r="F20" s="73" t="n">
        <f aca="false">$D$31</f>
        <v>0.8</v>
      </c>
      <c r="G20" s="73" t="n">
        <f aca="false">$D$31</f>
        <v>0.8</v>
      </c>
      <c r="H20" s="73" t="n">
        <f aca="false">$D$31</f>
        <v>0.8</v>
      </c>
      <c r="I20" s="73" t="n">
        <f aca="false">$D$31</f>
        <v>0.8</v>
      </c>
      <c r="J20" s="73" t="n">
        <f aca="false">$D$31</f>
        <v>0.8</v>
      </c>
      <c r="K20" s="73" t="n">
        <f aca="false">$D$31</f>
        <v>0.8</v>
      </c>
      <c r="L20" s="73" t="n">
        <f aca="false">$D$31</f>
        <v>0.8</v>
      </c>
      <c r="M20" s="73" t="n">
        <f aca="false">$D$31</f>
        <v>0.8</v>
      </c>
      <c r="N20" s="73" t="n">
        <f aca="false">$D$31</f>
        <v>0.8</v>
      </c>
      <c r="O20" s="73" t="n">
        <f aca="false">$D$31</f>
        <v>0.8</v>
      </c>
      <c r="P20" s="73" t="n">
        <f aca="false">$D$31</f>
        <v>0.8</v>
      </c>
      <c r="Q20" s="73" t="n">
        <f aca="false">$D$31</f>
        <v>0.8</v>
      </c>
      <c r="R20" s="73" t="n">
        <f aca="false">$D$31</f>
        <v>0.8</v>
      </c>
      <c r="S20" s="73" t="n">
        <f aca="false">$D$31</f>
        <v>0.8</v>
      </c>
      <c r="T20" s="73" t="n">
        <f aca="false">$D$31</f>
        <v>0.8</v>
      </c>
      <c r="U20" s="66"/>
    </row>
    <row r="21" customFormat="false" ht="15" hidden="false" customHeight="true" outlineLevel="0" collapsed="false">
      <c r="A21" s="68"/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</row>
    <row r="22" customFormat="false" ht="15" hidden="false" customHeight="true" outlineLevel="0" collapsed="false">
      <c r="A22" s="2" t="s">
        <v>233</v>
      </c>
      <c r="B22" s="68" t="s">
        <v>223</v>
      </c>
      <c r="C22" s="71" t="n">
        <f aca="false">C15*C19</f>
        <v>549.036260413575</v>
      </c>
      <c r="D22" s="71" t="n">
        <f aca="false">D15*D19</f>
        <v>1372.59065103394</v>
      </c>
      <c r="E22" s="71" t="n">
        <f aca="false">E15*E19</f>
        <v>2196.1450416543</v>
      </c>
      <c r="F22" s="71" t="n">
        <f aca="false">F15*F19</f>
        <v>2745.18130206787</v>
      </c>
      <c r="G22" s="71" t="n">
        <f aca="false">G15*G19</f>
        <v>2745.18130206787</v>
      </c>
      <c r="H22" s="71" t="n">
        <f aca="false">H15*H19</f>
        <v>2196.1450416543</v>
      </c>
      <c r="I22" s="71" t="n">
        <f aca="false">I15*I19</f>
        <v>1372.59065103394</v>
      </c>
      <c r="J22" s="71" t="n">
        <f aca="false">J15*J19</f>
        <v>549.036260413575</v>
      </c>
      <c r="K22" s="71" t="n">
        <f aca="false">K15*K19</f>
        <v>0</v>
      </c>
      <c r="L22" s="71" t="n">
        <f aca="false">L15*L19</f>
        <v>0</v>
      </c>
      <c r="M22" s="71" t="n">
        <f aca="false">M15*M19</f>
        <v>0</v>
      </c>
      <c r="N22" s="71" t="n">
        <f aca="false">N15*N19</f>
        <v>0</v>
      </c>
      <c r="O22" s="71" t="n">
        <f aca="false">O15*O19</f>
        <v>0</v>
      </c>
      <c r="P22" s="71" t="n">
        <f aca="false">P15*P19</f>
        <v>0</v>
      </c>
      <c r="Q22" s="71" t="n">
        <f aca="false">Q15*Q19</f>
        <v>0</v>
      </c>
      <c r="R22" s="71" t="n">
        <f aca="false">R15*R19</f>
        <v>0</v>
      </c>
      <c r="S22" s="71" t="n">
        <f aca="false">S15*S19</f>
        <v>0</v>
      </c>
      <c r="T22" s="71" t="n">
        <f aca="false">T15*T19</f>
        <v>0</v>
      </c>
      <c r="U22" s="66"/>
    </row>
    <row r="23" customFormat="false" ht="15" hidden="false" customHeight="true" outlineLevel="0" collapsed="false">
      <c r="A23" s="2" t="s">
        <v>234</v>
      </c>
      <c r="B23" s="68" t="s">
        <v>223</v>
      </c>
      <c r="C23" s="71" t="n">
        <f aca="false">C22*C20</f>
        <v>439.22900833086</v>
      </c>
      <c r="D23" s="71" t="n">
        <f aca="false">D22*D20</f>
        <v>1098.07252082715</v>
      </c>
      <c r="E23" s="71" t="n">
        <f aca="false">E22*E20</f>
        <v>1756.91603332344</v>
      </c>
      <c r="F23" s="71" t="n">
        <f aca="false">F22*F20</f>
        <v>2196.1450416543</v>
      </c>
      <c r="G23" s="71" t="n">
        <f aca="false">G22*G20</f>
        <v>2196.1450416543</v>
      </c>
      <c r="H23" s="71" t="n">
        <f aca="false">H22*H20</f>
        <v>1756.91603332344</v>
      </c>
      <c r="I23" s="71" t="n">
        <f aca="false">I22*I20</f>
        <v>1098.07252082715</v>
      </c>
      <c r="J23" s="71" t="n">
        <f aca="false">J22*J20</f>
        <v>439.22900833086</v>
      </c>
      <c r="K23" s="71" t="n">
        <f aca="false">K22*K20</f>
        <v>0</v>
      </c>
      <c r="L23" s="71" t="n">
        <f aca="false">L22*L20</f>
        <v>0</v>
      </c>
      <c r="M23" s="71" t="n">
        <f aca="false">M22*M20</f>
        <v>0</v>
      </c>
      <c r="N23" s="71" t="n">
        <f aca="false">N22*N20</f>
        <v>0</v>
      </c>
      <c r="O23" s="71" t="n">
        <f aca="false">O22*O20</f>
        <v>0</v>
      </c>
      <c r="P23" s="71" t="n">
        <f aca="false">P22*P20</f>
        <v>0</v>
      </c>
      <c r="Q23" s="71" t="n">
        <f aca="false">Q22*Q20</f>
        <v>0</v>
      </c>
      <c r="R23" s="71" t="n">
        <f aca="false">R22*R20</f>
        <v>0</v>
      </c>
      <c r="S23" s="71" t="n">
        <f aca="false">S22*S20</f>
        <v>0</v>
      </c>
      <c r="T23" s="71" t="n">
        <f aca="false">T22*T20</f>
        <v>0</v>
      </c>
      <c r="U23" s="66"/>
    </row>
    <row r="24" customFormat="false" ht="15" hidden="false" customHeight="true" outlineLevel="0" collapsed="false">
      <c r="A24" s="68"/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</row>
    <row r="25" customFormat="false" ht="15" hidden="false" customHeight="true" outlineLevel="0" collapsed="false">
      <c r="A25" s="2" t="s">
        <v>235</v>
      </c>
      <c r="B25" s="68" t="s">
        <v>223</v>
      </c>
      <c r="C25" s="71" t="n">
        <f aca="false">C6*1000*$D$30</f>
        <v>106001.092</v>
      </c>
      <c r="D25" s="71" t="n">
        <f aca="false">D6*1000*$D$30</f>
        <v>113964.492</v>
      </c>
      <c r="E25" s="71" t="n">
        <f aca="false">E6*1000*$D$30</f>
        <v>121469.31</v>
      </c>
      <c r="F25" s="71" t="n">
        <f aca="false">F6*1000*$D$30</f>
        <v>130185.114</v>
      </c>
      <c r="G25" s="71" t="n">
        <f aca="false">G6*1000*$D$30</f>
        <v>141504.27989659</v>
      </c>
      <c r="H25" s="71" t="n">
        <f aca="false">H6*1000*$D$30</f>
        <v>153807.609901179</v>
      </c>
      <c r="I25" s="71" t="n">
        <f aca="false">I6*1000*$D$30</f>
        <v>167180.673834044</v>
      </c>
      <c r="J25" s="71" t="n">
        <f aca="false">J6*1000*$D$30</f>
        <v>181716.481528857</v>
      </c>
      <c r="K25" s="71" t="n">
        <f aca="false">K6*1000*$D$30</f>
        <v>197516.12971728</v>
      </c>
      <c r="L25" s="71" t="n">
        <f aca="false">L6*1000*$D$30</f>
        <v>214689.505158056</v>
      </c>
      <c r="M25" s="71" t="n">
        <f aca="false">M6*1000*$D$30</f>
        <v>233356.048900844</v>
      </c>
      <c r="N25" s="71" t="n">
        <f aca="false">N6*1000*$D$30</f>
        <v>253645.587000272</v>
      </c>
      <c r="O25" s="71" t="n">
        <f aca="false">O6*1000*$D$30</f>
        <v>275699.233457838</v>
      </c>
      <c r="P25" s="71" t="n">
        <f aca="false">P6*1000*$D$30</f>
        <v>299670.371671628</v>
      </c>
      <c r="Q25" s="71" t="n">
        <f aca="false">Q6*1000*$D$30</f>
        <v>325725.72121984</v>
      </c>
      <c r="R25" s="71" t="n">
        <f aca="false">R6*1000*$D$30</f>
        <v>354046.497397628</v>
      </c>
      <c r="S25" s="71" t="n">
        <f aca="false">S6*1000*$D$30</f>
        <v>384829.67157183</v>
      </c>
      <c r="T25" s="71" t="n">
        <f aca="false">T6*1000*$D$30</f>
        <v>418289.341119392</v>
      </c>
      <c r="U25" s="66"/>
    </row>
    <row r="26" customFormat="false" ht="15" hidden="false" customHeight="true" outlineLevel="0" collapsed="false">
      <c r="A26" s="2" t="s">
        <v>236</v>
      </c>
      <c r="B26" s="68" t="s">
        <v>223</v>
      </c>
      <c r="C26" s="71" t="n">
        <f aca="false">C25+C23</f>
        <v>106440.321008331</v>
      </c>
      <c r="D26" s="71" t="n">
        <f aca="false">D25+D23</f>
        <v>115062.564520827</v>
      </c>
      <c r="E26" s="71" t="n">
        <f aca="false">E25+E23</f>
        <v>123226.226033323</v>
      </c>
      <c r="F26" s="71" t="n">
        <f aca="false">F25+F23</f>
        <v>132381.259041654</v>
      </c>
      <c r="G26" s="71" t="n">
        <f aca="false">G25+G23</f>
        <v>143700.424938244</v>
      </c>
      <c r="H26" s="71" t="n">
        <f aca="false">H25+H23</f>
        <v>155564.525934502</v>
      </c>
      <c r="I26" s="71" t="n">
        <f aca="false">I25+I23</f>
        <v>168278.746354871</v>
      </c>
      <c r="J26" s="71" t="n">
        <f aca="false">J25+J23</f>
        <v>182155.710537188</v>
      </c>
      <c r="K26" s="71" t="n">
        <f aca="false">K25+K23</f>
        <v>197516.12971728</v>
      </c>
      <c r="L26" s="71" t="n">
        <f aca="false">L25+L23</f>
        <v>214689.505158056</v>
      </c>
      <c r="M26" s="71" t="n">
        <f aca="false">M25+M23</f>
        <v>233356.048900844</v>
      </c>
      <c r="N26" s="71" t="n">
        <f aca="false">N25+N23</f>
        <v>253645.587000272</v>
      </c>
      <c r="O26" s="71" t="n">
        <f aca="false">O25+O23</f>
        <v>275699.233457838</v>
      </c>
      <c r="P26" s="71" t="n">
        <f aca="false">P25+P23</f>
        <v>299670.371671628</v>
      </c>
      <c r="Q26" s="71" t="n">
        <f aca="false">Q25+Q23</f>
        <v>325725.72121984</v>
      </c>
      <c r="R26" s="71" t="n">
        <f aca="false">R25+R23</f>
        <v>354046.497397628</v>
      </c>
      <c r="S26" s="71" t="n">
        <f aca="false">S25+S23</f>
        <v>384829.67157183</v>
      </c>
      <c r="T26" s="71" t="n">
        <f aca="false">T25+T23</f>
        <v>418289.341119392</v>
      </c>
      <c r="U26" s="66"/>
    </row>
    <row r="27" customFormat="false" ht="15" hidden="false" customHeight="true" outlineLevel="0" collapsed="false">
      <c r="A27" s="2" t="s">
        <v>237</v>
      </c>
      <c r="B27" s="68" t="s">
        <v>226</v>
      </c>
      <c r="C27" s="74" t="n">
        <f aca="false">IF(C25=0,0,C23/C25)</f>
        <v>0.00414362720273542</v>
      </c>
      <c r="D27" s="74" t="n">
        <f aca="false">IF(D25=0,0,D23/D25)</f>
        <v>0.00963521621126648</v>
      </c>
      <c r="E27" s="74" t="n">
        <f aca="false">IF(E25=0,0,E23/E25)</f>
        <v>0.0144638677318858</v>
      </c>
      <c r="F27" s="74" t="n">
        <f aca="false">IF(F25=0,0,F23/F25)</f>
        <v>0.0168694021472708</v>
      </c>
      <c r="G27" s="74" t="n">
        <f aca="false">IF(G25=0,0,G23/G25)</f>
        <v>0.0155199902311027</v>
      </c>
      <c r="H27" s="74" t="n">
        <f aca="false">IF(H25=0,0,H23/H25)</f>
        <v>0.0114228160391561</v>
      </c>
      <c r="I27" s="74" t="n">
        <f aca="false">IF(I25=0,0,I23/I25)</f>
        <v>0.00656817857976321</v>
      </c>
      <c r="J27" s="74" t="n">
        <f aca="false">IF(J25=0,0,J23/J25)</f>
        <v>0.00241711156101771</v>
      </c>
      <c r="K27" s="74" t="n">
        <f aca="false">IF(K25=0,0,K23/K25)</f>
        <v>0</v>
      </c>
      <c r="L27" s="74" t="n">
        <f aca="false">IF(L25=0,0,L23/L25)</f>
        <v>0</v>
      </c>
      <c r="M27" s="74" t="n">
        <f aca="false">IF(M25=0,0,M23/M25)</f>
        <v>0</v>
      </c>
      <c r="N27" s="74" t="n">
        <f aca="false">IF(N25=0,0,N23/N25)</f>
        <v>0</v>
      </c>
      <c r="O27" s="74" t="n">
        <f aca="false">IF(O25=0,0,O23/O25)</f>
        <v>0</v>
      </c>
      <c r="P27" s="74" t="n">
        <f aca="false">IF(P25=0,0,P23/P25)</f>
        <v>0</v>
      </c>
      <c r="Q27" s="74" t="n">
        <f aca="false">IF(Q25=0,0,Q23/Q25)</f>
        <v>0</v>
      </c>
      <c r="R27" s="74" t="n">
        <f aca="false">IF(R25=0,0,R23/R25)</f>
        <v>0</v>
      </c>
      <c r="S27" s="74" t="n">
        <f aca="false">IF(S25=0,0,S23/S25)</f>
        <v>0</v>
      </c>
      <c r="T27" s="74" t="n">
        <f aca="false">IF(T25=0,0,T23/T25)</f>
        <v>0</v>
      </c>
      <c r="U27" s="66"/>
    </row>
    <row r="28" customFormat="false" ht="15" hidden="false" customHeight="true" outlineLevel="0" collapsed="false">
      <c r="A28" s="2" t="s">
        <v>238</v>
      </c>
      <c r="B28" s="68" t="s">
        <v>226</v>
      </c>
      <c r="C28" s="74" t="n">
        <f aca="false">C27</f>
        <v>0.00414362720273542</v>
      </c>
      <c r="D28" s="74" t="n">
        <f aca="false">C28+D27</f>
        <v>0.0137788434140019</v>
      </c>
      <c r="E28" s="74" t="n">
        <f aca="false">D28+E27</f>
        <v>0.0282427111458878</v>
      </c>
      <c r="F28" s="74" t="n">
        <f aca="false">E28+F27</f>
        <v>0.0451121132931586</v>
      </c>
      <c r="G28" s="74" t="n">
        <f aca="false">F28+G27</f>
        <v>0.0606321035242613</v>
      </c>
      <c r="H28" s="74" t="n">
        <f aca="false">G28+H27</f>
        <v>0.0720549195634174</v>
      </c>
      <c r="I28" s="74" t="n">
        <f aca="false">H28+I27</f>
        <v>0.0786230981431806</v>
      </c>
      <c r="J28" s="74" t="n">
        <f aca="false">I28+J27</f>
        <v>0.0810402097041983</v>
      </c>
      <c r="K28" s="74" t="n">
        <f aca="false">J28+K27</f>
        <v>0.0810402097041983</v>
      </c>
      <c r="L28" s="74" t="n">
        <f aca="false">K28+L27</f>
        <v>0.0810402097041983</v>
      </c>
      <c r="M28" s="74" t="n">
        <f aca="false">L28+M27</f>
        <v>0.0810402097041983</v>
      </c>
      <c r="N28" s="74" t="n">
        <f aca="false">M28+N27</f>
        <v>0.0810402097041983</v>
      </c>
      <c r="O28" s="74" t="n">
        <f aca="false">N28+O27</f>
        <v>0.0810402097041983</v>
      </c>
      <c r="P28" s="74" t="n">
        <f aca="false">O28+P27</f>
        <v>0.0810402097041983</v>
      </c>
      <c r="Q28" s="74" t="n">
        <f aca="false">P28+Q27</f>
        <v>0.0810402097041983</v>
      </c>
      <c r="R28" s="74" t="n">
        <f aca="false">Q28+R27</f>
        <v>0.0810402097041983</v>
      </c>
      <c r="S28" s="74" t="n">
        <f aca="false">R28+S27</f>
        <v>0.0810402097041983</v>
      </c>
      <c r="T28" s="74" t="n">
        <f aca="false">S28+T27</f>
        <v>0.0810402097041983</v>
      </c>
      <c r="U28" s="66"/>
    </row>
    <row r="29" customFormat="false" ht="15" hidden="false" customHeight="false" outlineLevel="0" collapsed="false">
      <c r="A29" s="75" t="s">
        <v>239</v>
      </c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</row>
    <row r="30" customFormat="false" ht="15" hidden="false" customHeight="true" outlineLevel="0" collapsed="false">
      <c r="A30" s="68" t="s">
        <v>240</v>
      </c>
      <c r="B30" s="66"/>
      <c r="C30" s="66" t="s">
        <v>241</v>
      </c>
      <c r="D30" s="76" t="n">
        <v>2.746</v>
      </c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</row>
    <row r="31" customFormat="false" ht="15" hidden="false" customHeight="true" outlineLevel="0" collapsed="false">
      <c r="A31" s="68" t="s">
        <v>232</v>
      </c>
      <c r="B31" s="68"/>
      <c r="C31" s="66" t="s">
        <v>242</v>
      </c>
      <c r="D31" s="77" t="n">
        <v>0.8</v>
      </c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</row>
    <row r="32" customFormat="false" ht="15" hidden="false" customHeight="true" outlineLevel="0" collapsed="false">
      <c r="A32" s="68" t="s">
        <v>230</v>
      </c>
      <c r="B32" s="66"/>
      <c r="C32" s="68" t="s">
        <v>243</v>
      </c>
      <c r="D32" s="78" t="n">
        <f aca="false">'SUT Calc'!C46</f>
        <v>0.230998570769266</v>
      </c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6"/>
    </row>
    <row r="33" customFormat="false" ht="15" hidden="false" customHeight="true" outlineLevel="0" collapsed="false">
      <c r="A33" s="68" t="s">
        <v>244</v>
      </c>
      <c r="B33" s="68"/>
      <c r="C33" s="68" t="s">
        <v>245</v>
      </c>
      <c r="D33" s="79" t="n">
        <v>6500</v>
      </c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6"/>
    </row>
    <row r="34" customFormat="false" ht="15" hidden="false" customHeight="true" outlineLevel="0" collapsed="false">
      <c r="A34" s="68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6"/>
    </row>
    <row r="35" customFormat="false" ht="15" hidden="false" customHeight="true" outlineLevel="0" collapsed="false">
      <c r="A35" s="67" t="s">
        <v>246</v>
      </c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</row>
    <row r="36" customFormat="false" ht="15" hidden="false" customHeight="true" outlineLevel="0" collapsed="false">
      <c r="A36" s="68"/>
      <c r="B36" s="68"/>
      <c r="C36" s="3" t="n">
        <v>2026</v>
      </c>
      <c r="D36" s="80" t="n">
        <v>2027</v>
      </c>
      <c r="E36" s="80" t="n">
        <v>2028</v>
      </c>
      <c r="F36" s="80" t="n">
        <v>2029</v>
      </c>
      <c r="G36" s="80" t="n">
        <v>2030</v>
      </c>
      <c r="H36" s="80" t="n">
        <v>2031</v>
      </c>
      <c r="I36" s="80" t="n">
        <v>2032</v>
      </c>
      <c r="J36" s="80" t="n">
        <v>2033</v>
      </c>
      <c r="K36" s="80" t="n">
        <v>2034</v>
      </c>
      <c r="L36" s="80" t="n">
        <v>2035</v>
      </c>
      <c r="M36" s="80" t="n">
        <v>2036</v>
      </c>
      <c r="N36" s="80" t="n">
        <v>2037</v>
      </c>
      <c r="O36" s="80" t="n">
        <v>2038</v>
      </c>
      <c r="P36" s="80" t="n">
        <v>2039</v>
      </c>
      <c r="Q36" s="80" t="n">
        <v>2040</v>
      </c>
      <c r="R36" s="80" t="n">
        <v>2041</v>
      </c>
      <c r="S36" s="80" t="n">
        <v>2042</v>
      </c>
      <c r="T36" s="80" t="n">
        <v>2043</v>
      </c>
      <c r="U36" s="66"/>
    </row>
    <row r="37" customFormat="false" ht="15" hidden="false" customHeight="true" outlineLevel="0" collapsed="false">
      <c r="A37" s="2" t="s">
        <v>219</v>
      </c>
      <c r="B37" s="68" t="s">
        <v>4</v>
      </c>
      <c r="C37" s="60" t="n">
        <f aca="false">C6</f>
        <v>38.602</v>
      </c>
      <c r="D37" s="81" t="n">
        <f aca="false">D6</f>
        <v>41.502</v>
      </c>
      <c r="E37" s="81" t="n">
        <f aca="false">E6</f>
        <v>44.235</v>
      </c>
      <c r="F37" s="81" t="n">
        <f aca="false">F6</f>
        <v>47.409</v>
      </c>
      <c r="G37" s="81" t="n">
        <f aca="false">G6</f>
        <v>51.5310560439147</v>
      </c>
      <c r="H37" s="81" t="n">
        <f aca="false">H6</f>
        <v>56.0115112531604</v>
      </c>
      <c r="I37" s="81" t="n">
        <f aca="false">I6</f>
        <v>60.8815272520191</v>
      </c>
      <c r="J37" s="81" t="n">
        <f aca="false">J6</f>
        <v>66.1749750651335</v>
      </c>
      <c r="K37" s="81" t="n">
        <f aca="false">K6</f>
        <v>71.9286706909249</v>
      </c>
      <c r="L37" s="81" t="n">
        <f aca="false">L6</f>
        <v>78.1826311573401</v>
      </c>
      <c r="M37" s="81" t="n">
        <f aca="false">M6</f>
        <v>84.9803528408025</v>
      </c>
      <c r="N37" s="81" t="n">
        <f aca="false">N6</f>
        <v>92.3691139840757</v>
      </c>
      <c r="O37" s="81" t="n">
        <f aca="false">O6</f>
        <v>100.400303517057</v>
      </c>
      <c r="P37" s="81" t="n">
        <f aca="false">P6</f>
        <v>109.129778467454</v>
      </c>
      <c r="Q37" s="81" t="n">
        <f aca="false">Q6</f>
        <v>118.618252447138</v>
      </c>
      <c r="R37" s="81" t="n">
        <f aca="false">R6</f>
        <v>128.931717916106</v>
      </c>
      <c r="S37" s="81" t="n">
        <f aca="false">S6</f>
        <v>140.141905160899</v>
      </c>
      <c r="T37" s="81" t="n">
        <f aca="false">T6</f>
        <v>152.326781179677</v>
      </c>
      <c r="U37" s="66"/>
    </row>
    <row r="38" customFormat="false" ht="15" hidden="false" customHeight="true" outlineLevel="0" collapsed="false">
      <c r="A38" s="2" t="s">
        <v>5</v>
      </c>
      <c r="B38" s="68" t="s">
        <v>6</v>
      </c>
      <c r="C38" s="60" t="n">
        <f aca="false">C7</f>
        <v>145.575</v>
      </c>
      <c r="D38" s="81" t="n">
        <f aca="false">D7</f>
        <v>150.67</v>
      </c>
      <c r="E38" s="81" t="n">
        <f aca="false">E7</f>
        <v>155.943</v>
      </c>
      <c r="F38" s="81" t="n">
        <f aca="false">F7</f>
        <v>161.401</v>
      </c>
      <c r="G38" s="81" t="n">
        <f aca="false">G7</f>
        <v>167.080270604514</v>
      </c>
      <c r="H38" s="81" t="n">
        <f aca="false">H7</f>
        <v>172.959379590447</v>
      </c>
      <c r="I38" s="81" t="n">
        <f aca="false">I7</f>
        <v>179.045358737311</v>
      </c>
      <c r="J38" s="81" t="n">
        <f aca="false">J7</f>
        <v>185.345487254182</v>
      </c>
      <c r="K38" s="81" t="n">
        <f aca="false">K7</f>
        <v>191.867300486083</v>
      </c>
      <c r="L38" s="81" t="n">
        <f aca="false">L7</f>
        <v>198.618598926725</v>
      </c>
      <c r="M38" s="81" t="n">
        <f aca="false">M7</f>
        <v>205.607457548384</v>
      </c>
      <c r="N38" s="81" t="n">
        <f aca="false">N7</f>
        <v>212.842235460066</v>
      </c>
      <c r="O38" s="81" t="n">
        <f aca="false">O7</f>
        <v>220.331585905524</v>
      </c>
      <c r="P38" s="81" t="n">
        <f aca="false">P7</f>
        <v>228.084466613074</v>
      </c>
      <c r="Q38" s="81" t="n">
        <f aca="false">Q7</f>
        <v>236.110150509592</v>
      </c>
      <c r="R38" s="81" t="n">
        <f aca="false">R7</f>
        <v>244.418236811514</v>
      </c>
      <c r="S38" s="81" t="n">
        <f aca="false">S7</f>
        <v>253.018662506094</v>
      </c>
      <c r="T38" s="81" t="n">
        <f aca="false">T7</f>
        <v>261.921714236655</v>
      </c>
      <c r="U38" s="66"/>
    </row>
    <row r="39" customFormat="false" ht="15" hidden="false" customHeight="true" outlineLevel="0" collapsed="false">
      <c r="A39" s="68"/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</row>
    <row r="40" customFormat="false" ht="15" hidden="false" customHeight="true" outlineLevel="0" collapsed="false">
      <c r="A40" s="2" t="s">
        <v>220</v>
      </c>
      <c r="B40" s="68" t="s">
        <v>221</v>
      </c>
      <c r="C40" s="69" t="n">
        <f aca="false">D$65</f>
        <v>6500</v>
      </c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6"/>
    </row>
    <row r="41" customFormat="false" ht="15" hidden="false" customHeight="true" outlineLevel="0" collapsed="false">
      <c r="A41" s="2" t="s">
        <v>222</v>
      </c>
      <c r="B41" s="68" t="s">
        <v>223</v>
      </c>
      <c r="C41" s="70" t="n">
        <f aca="false">C40*D$62</f>
        <v>17849</v>
      </c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6"/>
    </row>
    <row r="42" customFormat="false" ht="15" hidden="false" customHeight="true" outlineLevel="0" collapsed="false">
      <c r="A42" s="2" t="s">
        <v>224</v>
      </c>
      <c r="B42" s="68" t="s">
        <v>223</v>
      </c>
      <c r="C42" s="70" t="n">
        <f aca="false">C41/(C38/100)</f>
        <v>12261.0338313584</v>
      </c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6"/>
    </row>
    <row r="43" customFormat="false" ht="15" hidden="false" customHeight="true" outlineLevel="0" collapsed="false">
      <c r="A43" s="68"/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6"/>
    </row>
    <row r="44" customFormat="false" ht="15" hidden="false" customHeight="true" outlineLevel="0" collapsed="false">
      <c r="A44" s="2" t="s">
        <v>225</v>
      </c>
      <c r="B44" s="66" t="s">
        <v>226</v>
      </c>
      <c r="C44" s="82" t="n">
        <f aca="false">C13</f>
        <v>0.04</v>
      </c>
      <c r="D44" s="82" t="n">
        <f aca="false">D13</f>
        <v>0.1</v>
      </c>
      <c r="E44" s="82" t="n">
        <f aca="false">E13</f>
        <v>0.16</v>
      </c>
      <c r="F44" s="82" t="n">
        <f aca="false">F13</f>
        <v>0.2</v>
      </c>
      <c r="G44" s="82" t="n">
        <f aca="false">G13</f>
        <v>0.2</v>
      </c>
      <c r="H44" s="82" t="n">
        <f aca="false">H13</f>
        <v>0.16</v>
      </c>
      <c r="I44" s="82" t="n">
        <f aca="false">I13</f>
        <v>0.1</v>
      </c>
      <c r="J44" s="82" t="n">
        <f aca="false">J13</f>
        <v>0.04</v>
      </c>
      <c r="K44" s="82" t="n">
        <f aca="false">K13</f>
        <v>0</v>
      </c>
      <c r="L44" s="82" t="n">
        <f aca="false">L13</f>
        <v>0</v>
      </c>
      <c r="M44" s="82" t="n">
        <f aca="false">M13</f>
        <v>0</v>
      </c>
      <c r="N44" s="82" t="n">
        <f aca="false">N13</f>
        <v>0</v>
      </c>
      <c r="O44" s="82" t="n">
        <f aca="false">O13</f>
        <v>0</v>
      </c>
      <c r="P44" s="82" t="n">
        <f aca="false">P13</f>
        <v>0</v>
      </c>
      <c r="Q44" s="82" t="n">
        <f aca="false">Q13</f>
        <v>0</v>
      </c>
      <c r="R44" s="82" t="n">
        <f aca="false">R13</f>
        <v>0</v>
      </c>
      <c r="S44" s="82" t="n">
        <f aca="false">S13</f>
        <v>0</v>
      </c>
      <c r="T44" s="82" t="n">
        <f aca="false">T13</f>
        <v>0</v>
      </c>
      <c r="U44" s="66"/>
    </row>
    <row r="45" customFormat="false" ht="15" hidden="false" customHeight="true" outlineLevel="0" collapsed="false">
      <c r="A45" s="2" t="s">
        <v>227</v>
      </c>
      <c r="B45" s="66" t="s">
        <v>221</v>
      </c>
      <c r="C45" s="71" t="n">
        <f aca="false">D$65*C44</f>
        <v>260</v>
      </c>
      <c r="D45" s="71" t="n">
        <f aca="false">D$65*D44</f>
        <v>650</v>
      </c>
      <c r="E45" s="71" t="n">
        <f aca="false">D$65*E44</f>
        <v>1040</v>
      </c>
      <c r="F45" s="71" t="n">
        <f aca="false">D$65*F44</f>
        <v>1300</v>
      </c>
      <c r="G45" s="71" t="n">
        <f aca="false">D$65*G44</f>
        <v>1300</v>
      </c>
      <c r="H45" s="71" t="n">
        <f aca="false">D$65*H44</f>
        <v>1040</v>
      </c>
      <c r="I45" s="71" t="n">
        <f aca="false">D$65*I44</f>
        <v>650</v>
      </c>
      <c r="J45" s="71" t="n">
        <f aca="false">D$65*J44</f>
        <v>260</v>
      </c>
      <c r="K45" s="71" t="n">
        <f aca="false">D$65*K44</f>
        <v>0</v>
      </c>
      <c r="L45" s="71" t="n">
        <f aca="false">D$65*L44</f>
        <v>0</v>
      </c>
      <c r="M45" s="71" t="n">
        <f aca="false">D$65*M44</f>
        <v>0</v>
      </c>
      <c r="N45" s="71" t="n">
        <f aca="false">D$65*N44</f>
        <v>0</v>
      </c>
      <c r="O45" s="71" t="n">
        <f aca="false">D$65*O44</f>
        <v>0</v>
      </c>
      <c r="P45" s="71" t="n">
        <f aca="false">D$65*P44</f>
        <v>0</v>
      </c>
      <c r="Q45" s="71" t="n">
        <f aca="false">D$65*Q44</f>
        <v>0</v>
      </c>
      <c r="R45" s="71" t="n">
        <f aca="false">D$65*R44</f>
        <v>0</v>
      </c>
      <c r="S45" s="71" t="n">
        <f aca="false">D$65*S44</f>
        <v>0</v>
      </c>
      <c r="T45" s="71" t="n">
        <f aca="false">D$65*T44</f>
        <v>0</v>
      </c>
      <c r="U45" s="66"/>
    </row>
    <row r="46" customFormat="false" ht="15" hidden="false" customHeight="true" outlineLevel="0" collapsed="false">
      <c r="A46" s="2" t="s">
        <v>228</v>
      </c>
      <c r="B46" s="66" t="s">
        <v>223</v>
      </c>
      <c r="C46" s="71" t="n">
        <f aca="false">C45*D$62</f>
        <v>713.96</v>
      </c>
      <c r="D46" s="71" t="n">
        <f aca="false">D45*D$62</f>
        <v>1784.9</v>
      </c>
      <c r="E46" s="71" t="n">
        <f aca="false">E45*D$62</f>
        <v>2855.84</v>
      </c>
      <c r="F46" s="71" t="n">
        <f aca="false">F45*D$62</f>
        <v>3569.8</v>
      </c>
      <c r="G46" s="71" t="n">
        <f aca="false">G45*D$62</f>
        <v>3569.8</v>
      </c>
      <c r="H46" s="71" t="n">
        <f aca="false">H45*D$62</f>
        <v>2855.84</v>
      </c>
      <c r="I46" s="71" t="n">
        <f aca="false">I45*D$62</f>
        <v>1784.9</v>
      </c>
      <c r="J46" s="71" t="n">
        <f aca="false">J45*D$62</f>
        <v>713.96</v>
      </c>
      <c r="K46" s="71" t="n">
        <f aca="false">K45*D$62</f>
        <v>0</v>
      </c>
      <c r="L46" s="71" t="n">
        <f aca="false">L45*D$62</f>
        <v>0</v>
      </c>
      <c r="M46" s="71" t="n">
        <f aca="false">M45*D$62</f>
        <v>0</v>
      </c>
      <c r="N46" s="71" t="n">
        <f aca="false">N45*D$62</f>
        <v>0</v>
      </c>
      <c r="O46" s="71" t="n">
        <f aca="false">O45*D$62</f>
        <v>0</v>
      </c>
      <c r="P46" s="71" t="n">
        <f aca="false">P45*D$62</f>
        <v>0</v>
      </c>
      <c r="Q46" s="71" t="n">
        <f aca="false">Q45*D$62</f>
        <v>0</v>
      </c>
      <c r="R46" s="71" t="n">
        <f aca="false">R45*D$62</f>
        <v>0</v>
      </c>
      <c r="S46" s="71" t="n">
        <f aca="false">S45*D$62</f>
        <v>0</v>
      </c>
      <c r="T46" s="71" t="n">
        <f aca="false">T45*D$62</f>
        <v>0</v>
      </c>
      <c r="U46" s="66"/>
    </row>
    <row r="47" customFormat="false" ht="15" hidden="false" customHeight="true" outlineLevel="0" collapsed="false">
      <c r="A47" s="2" t="s">
        <v>229</v>
      </c>
      <c r="B47" s="66" t="s">
        <v>223</v>
      </c>
      <c r="C47" s="71" t="n">
        <f aca="false">IF(C38=0,0,C46/(C38/100))</f>
        <v>490.441353254336</v>
      </c>
      <c r="D47" s="71" t="n">
        <f aca="false">IF(D38=0,0,D46/(D38/100))</f>
        <v>1184.6419327006</v>
      </c>
      <c r="E47" s="71" t="n">
        <f aca="false">IF(E38=0,0,E46/(E38/100))</f>
        <v>1831.33580859673</v>
      </c>
      <c r="F47" s="71" t="n">
        <f aca="false">IF(F38=0,0,F46/(F38/100))</f>
        <v>2211.7582914604</v>
      </c>
      <c r="G47" s="71" t="n">
        <f aca="false">IF(G38=0,0,G46/(G38/100))</f>
        <v>2136.57781800573</v>
      </c>
      <c r="H47" s="71" t="n">
        <f aca="false">IF(H38=0,0,H46/(H38/100))</f>
        <v>1651.16225946369</v>
      </c>
      <c r="I47" s="71" t="n">
        <f aca="false">IF(I38=0,0,I46/(I38/100))</f>
        <v>996.898223214344</v>
      </c>
      <c r="J47" s="71" t="n">
        <f aca="false">IF(J38=0,0,J46/(J38/100))</f>
        <v>385.204954583479</v>
      </c>
      <c r="K47" s="71" t="n">
        <f aca="false">IF(K38=0,0,K46/(K38/100))</f>
        <v>0</v>
      </c>
      <c r="L47" s="71" t="n">
        <f aca="false">IF(L38=0,0,L46/(L38/100))</f>
        <v>0</v>
      </c>
      <c r="M47" s="71" t="n">
        <f aca="false">IF(M38=0,0,M46/(M38/100))</f>
        <v>0</v>
      </c>
      <c r="N47" s="71" t="n">
        <f aca="false">IF(N38=0,0,N46/(N38/100))</f>
        <v>0</v>
      </c>
      <c r="O47" s="71" t="n">
        <f aca="false">IF(O38=0,0,O46/(O38/100))</f>
        <v>0</v>
      </c>
      <c r="P47" s="71" t="n">
        <f aca="false">IF(P38=0,0,P46/(P38/100))</f>
        <v>0</v>
      </c>
      <c r="Q47" s="71" t="n">
        <f aca="false">IF(Q38=0,0,Q46/(Q38/100))</f>
        <v>0</v>
      </c>
      <c r="R47" s="71" t="n">
        <f aca="false">IF(R38=0,0,R46/(R38/100))</f>
        <v>0</v>
      </c>
      <c r="S47" s="71" t="n">
        <f aca="false">IF(S38=0,0,S46/(S38/100))</f>
        <v>0</v>
      </c>
      <c r="T47" s="71" t="n">
        <f aca="false">IF(T38=0,0,T46/(T38/100))</f>
        <v>0</v>
      </c>
      <c r="U47" s="66"/>
    </row>
    <row r="48" customFormat="false" ht="15" hidden="false" customHeight="true" outlineLevel="0" collapsed="false">
      <c r="A48" s="68"/>
      <c r="B48" s="66"/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</row>
    <row r="49" customFormat="false" ht="15" hidden="false" customHeight="true" outlineLevel="0" collapsed="false">
      <c r="A49" s="2" t="s">
        <v>230</v>
      </c>
      <c r="B49" s="68"/>
      <c r="C49" s="72" t="n">
        <f aca="false">D$64</f>
        <v>0.230998570769266</v>
      </c>
      <c r="D49" s="72" t="n">
        <f aca="false">D$64</f>
        <v>0.230998570769266</v>
      </c>
      <c r="E49" s="72" t="n">
        <f aca="false">D$64</f>
        <v>0.230998570769266</v>
      </c>
      <c r="F49" s="72" t="n">
        <f aca="false">D$64</f>
        <v>0.230998570769266</v>
      </c>
      <c r="G49" s="72" t="n">
        <f aca="false">D$64</f>
        <v>0.230998570769266</v>
      </c>
      <c r="H49" s="72" t="n">
        <f aca="false">D$64</f>
        <v>0.230998570769266</v>
      </c>
      <c r="I49" s="72" t="n">
        <f aca="false">D$64</f>
        <v>0.230998570769266</v>
      </c>
      <c r="J49" s="72" t="n">
        <f aca="false">D$64</f>
        <v>0.230998570769266</v>
      </c>
      <c r="K49" s="72" t="n">
        <f aca="false">D$64</f>
        <v>0.230998570769266</v>
      </c>
      <c r="L49" s="72" t="n">
        <f aca="false">D$64</f>
        <v>0.230998570769266</v>
      </c>
      <c r="M49" s="72" t="n">
        <f aca="false">D$64</f>
        <v>0.230998570769266</v>
      </c>
      <c r="N49" s="72" t="n">
        <f aca="false">D$64</f>
        <v>0.230998570769266</v>
      </c>
      <c r="O49" s="72" t="n">
        <f aca="false">D$64</f>
        <v>0.230998570769266</v>
      </c>
      <c r="P49" s="72" t="n">
        <f aca="false">D$64</f>
        <v>0.230998570769266</v>
      </c>
      <c r="Q49" s="72" t="n">
        <f aca="false">D$64</f>
        <v>0.230998570769266</v>
      </c>
      <c r="R49" s="72" t="n">
        <f aca="false">D$64</f>
        <v>0.230998570769266</v>
      </c>
      <c r="S49" s="72" t="n">
        <f aca="false">D$64</f>
        <v>0.230998570769266</v>
      </c>
      <c r="T49" s="72" t="n">
        <f aca="false">D$64</f>
        <v>0.230998570769266</v>
      </c>
      <c r="U49" s="66"/>
    </row>
    <row r="50" customFormat="false" ht="15" hidden="false" customHeight="true" outlineLevel="0" collapsed="false">
      <c r="A50" s="2" t="s">
        <v>231</v>
      </c>
      <c r="B50" s="68"/>
      <c r="C50" s="5" t="n">
        <f aca="false">1-C49</f>
        <v>0.769001429230734</v>
      </c>
      <c r="D50" s="5" t="n">
        <f aca="false">1-D49</f>
        <v>0.769001429230734</v>
      </c>
      <c r="E50" s="5" t="n">
        <f aca="false">1-E49</f>
        <v>0.769001429230734</v>
      </c>
      <c r="F50" s="5" t="n">
        <f aca="false">1-F49</f>
        <v>0.769001429230734</v>
      </c>
      <c r="G50" s="5" t="n">
        <f aca="false">1-G49</f>
        <v>0.769001429230734</v>
      </c>
      <c r="H50" s="5" t="n">
        <f aca="false">1-H49</f>
        <v>0.769001429230734</v>
      </c>
      <c r="I50" s="5" t="n">
        <f aca="false">1-I49</f>
        <v>0.769001429230734</v>
      </c>
      <c r="J50" s="5" t="n">
        <f aca="false">1-J49</f>
        <v>0.769001429230734</v>
      </c>
      <c r="K50" s="5" t="n">
        <f aca="false">1-K49</f>
        <v>0.769001429230734</v>
      </c>
      <c r="L50" s="5" t="n">
        <f aca="false">1-L49</f>
        <v>0.769001429230734</v>
      </c>
      <c r="M50" s="5" t="n">
        <f aca="false">1-M49</f>
        <v>0.769001429230734</v>
      </c>
      <c r="N50" s="5" t="n">
        <f aca="false">1-N49</f>
        <v>0.769001429230734</v>
      </c>
      <c r="O50" s="5" t="n">
        <f aca="false">1-O49</f>
        <v>0.769001429230734</v>
      </c>
      <c r="P50" s="5" t="n">
        <f aca="false">1-P49</f>
        <v>0.769001429230734</v>
      </c>
      <c r="Q50" s="5" t="n">
        <f aca="false">1-Q49</f>
        <v>0.769001429230734</v>
      </c>
      <c r="R50" s="5" t="n">
        <f aca="false">1-R49</f>
        <v>0.769001429230734</v>
      </c>
      <c r="S50" s="5" t="n">
        <f aca="false">1-S49</f>
        <v>0.769001429230734</v>
      </c>
      <c r="T50" s="5" t="n">
        <f aca="false">1-T49</f>
        <v>0.769001429230734</v>
      </c>
      <c r="U50" s="66"/>
    </row>
    <row r="51" customFormat="false" ht="15" hidden="false" customHeight="true" outlineLevel="0" collapsed="false">
      <c r="A51" s="2" t="s">
        <v>232</v>
      </c>
      <c r="B51" s="66"/>
      <c r="C51" s="83" t="n">
        <f aca="false">D$63</f>
        <v>1</v>
      </c>
      <c r="D51" s="83" t="n">
        <f aca="false">D$63</f>
        <v>1</v>
      </c>
      <c r="E51" s="83" t="n">
        <f aca="false">D$63</f>
        <v>1</v>
      </c>
      <c r="F51" s="83" t="n">
        <f aca="false">D$63</f>
        <v>1</v>
      </c>
      <c r="G51" s="83" t="n">
        <f aca="false">D$63</f>
        <v>1</v>
      </c>
      <c r="H51" s="83" t="n">
        <f aca="false">D$63</f>
        <v>1</v>
      </c>
      <c r="I51" s="83" t="n">
        <f aca="false">D$63</f>
        <v>1</v>
      </c>
      <c r="J51" s="83" t="n">
        <f aca="false">D$63</f>
        <v>1</v>
      </c>
      <c r="K51" s="83" t="n">
        <f aca="false">D$63</f>
        <v>1</v>
      </c>
      <c r="L51" s="83" t="n">
        <f aca="false">D$63</f>
        <v>1</v>
      </c>
      <c r="M51" s="83" t="n">
        <f aca="false">D$63</f>
        <v>1</v>
      </c>
      <c r="N51" s="83" t="n">
        <f aca="false">D$63</f>
        <v>1</v>
      </c>
      <c r="O51" s="83" t="n">
        <f aca="false">D$63</f>
        <v>1</v>
      </c>
      <c r="P51" s="83" t="n">
        <f aca="false">D$63</f>
        <v>1</v>
      </c>
      <c r="Q51" s="83" t="n">
        <f aca="false">D$63</f>
        <v>1</v>
      </c>
      <c r="R51" s="83" t="n">
        <f aca="false">D$63</f>
        <v>1</v>
      </c>
      <c r="S51" s="83" t="n">
        <f aca="false">D$63</f>
        <v>1</v>
      </c>
      <c r="T51" s="83" t="n">
        <f aca="false">D$63</f>
        <v>1</v>
      </c>
      <c r="U51" s="66"/>
    </row>
    <row r="52" customFormat="false" ht="15" hidden="false" customHeight="true" outlineLevel="0" collapsed="false">
      <c r="A52" s="68"/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6"/>
    </row>
    <row r="53" customFormat="false" ht="15" hidden="false" customHeight="true" outlineLevel="0" collapsed="false">
      <c r="A53" s="2" t="s">
        <v>233</v>
      </c>
      <c r="B53" s="68" t="s">
        <v>223</v>
      </c>
      <c r="C53" s="71" t="n">
        <f aca="false">C46*C50</f>
        <v>549.036260413575</v>
      </c>
      <c r="D53" s="71" t="n">
        <f aca="false">D46*D50</f>
        <v>1372.59065103394</v>
      </c>
      <c r="E53" s="71" t="n">
        <f aca="false">E46*E50</f>
        <v>2196.1450416543</v>
      </c>
      <c r="F53" s="71" t="n">
        <f aca="false">F46*F50</f>
        <v>2745.18130206787</v>
      </c>
      <c r="G53" s="71" t="n">
        <f aca="false">G46*G50</f>
        <v>2745.18130206787</v>
      </c>
      <c r="H53" s="71" t="n">
        <f aca="false">H46*H50</f>
        <v>2196.1450416543</v>
      </c>
      <c r="I53" s="71" t="n">
        <f aca="false">I46*I50</f>
        <v>1372.59065103394</v>
      </c>
      <c r="J53" s="71" t="n">
        <f aca="false">J46*J50</f>
        <v>549.036260413575</v>
      </c>
      <c r="K53" s="71" t="n">
        <f aca="false">K46*K50</f>
        <v>0</v>
      </c>
      <c r="L53" s="71" t="n">
        <f aca="false">L46*L50</f>
        <v>0</v>
      </c>
      <c r="M53" s="71" t="n">
        <f aca="false">M46*M50</f>
        <v>0</v>
      </c>
      <c r="N53" s="71" t="n">
        <f aca="false">N46*N50</f>
        <v>0</v>
      </c>
      <c r="O53" s="71" t="n">
        <f aca="false">O46*O50</f>
        <v>0</v>
      </c>
      <c r="P53" s="71" t="n">
        <f aca="false">P46*P50</f>
        <v>0</v>
      </c>
      <c r="Q53" s="71" t="n">
        <f aca="false">Q46*Q50</f>
        <v>0</v>
      </c>
      <c r="R53" s="71" t="n">
        <f aca="false">R46*R50</f>
        <v>0</v>
      </c>
      <c r="S53" s="71" t="n">
        <f aca="false">S46*S50</f>
        <v>0</v>
      </c>
      <c r="T53" s="71" t="n">
        <f aca="false">T46*T50</f>
        <v>0</v>
      </c>
      <c r="U53" s="66"/>
    </row>
    <row r="54" customFormat="false" ht="15" hidden="false" customHeight="true" outlineLevel="0" collapsed="false">
      <c r="A54" s="2" t="s">
        <v>234</v>
      </c>
      <c r="B54" s="68" t="s">
        <v>223</v>
      </c>
      <c r="C54" s="71" t="n">
        <f aca="false">C53*C51</f>
        <v>549.036260413575</v>
      </c>
      <c r="D54" s="71" t="n">
        <f aca="false">D53*D51</f>
        <v>1372.59065103394</v>
      </c>
      <c r="E54" s="71" t="n">
        <f aca="false">E53*E51</f>
        <v>2196.1450416543</v>
      </c>
      <c r="F54" s="71" t="n">
        <f aca="false">F53*F51</f>
        <v>2745.18130206787</v>
      </c>
      <c r="G54" s="71" t="n">
        <f aca="false">G53*G51</f>
        <v>2745.18130206787</v>
      </c>
      <c r="H54" s="71" t="n">
        <f aca="false">H53*H51</f>
        <v>2196.1450416543</v>
      </c>
      <c r="I54" s="71" t="n">
        <f aca="false">I53*I51</f>
        <v>1372.59065103394</v>
      </c>
      <c r="J54" s="71" t="n">
        <f aca="false">J53*J51</f>
        <v>549.036260413575</v>
      </c>
      <c r="K54" s="71" t="n">
        <f aca="false">K53*K51</f>
        <v>0</v>
      </c>
      <c r="L54" s="71" t="n">
        <f aca="false">L53*L51</f>
        <v>0</v>
      </c>
      <c r="M54" s="71" t="n">
        <f aca="false">M53*M51</f>
        <v>0</v>
      </c>
      <c r="N54" s="71" t="n">
        <f aca="false">N53*N51</f>
        <v>0</v>
      </c>
      <c r="O54" s="71" t="n">
        <f aca="false">O53*O51</f>
        <v>0</v>
      </c>
      <c r="P54" s="71" t="n">
        <f aca="false">P53*P51</f>
        <v>0</v>
      </c>
      <c r="Q54" s="71" t="n">
        <f aca="false">Q53*Q51</f>
        <v>0</v>
      </c>
      <c r="R54" s="71" t="n">
        <f aca="false">R53*R51</f>
        <v>0</v>
      </c>
      <c r="S54" s="71" t="n">
        <f aca="false">S53*S51</f>
        <v>0</v>
      </c>
      <c r="T54" s="71" t="n">
        <f aca="false">T53*T51</f>
        <v>0</v>
      </c>
      <c r="U54" s="66"/>
    </row>
    <row r="55" customFormat="false" ht="15" hidden="false" customHeight="true" outlineLevel="0" collapsed="false">
      <c r="A55" s="68"/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6"/>
    </row>
    <row r="56" customFormat="false" ht="15" hidden="false" customHeight="false" outlineLevel="0" collapsed="false">
      <c r="A56" s="84" t="s">
        <v>235</v>
      </c>
      <c r="B56" s="66" t="s">
        <v>223</v>
      </c>
      <c r="C56" s="85" t="n">
        <f aca="false">C25</f>
        <v>106001.092</v>
      </c>
      <c r="D56" s="85" t="n">
        <f aca="false">D25</f>
        <v>113964.492</v>
      </c>
      <c r="E56" s="85" t="n">
        <f aca="false">E25</f>
        <v>121469.31</v>
      </c>
      <c r="F56" s="85" t="n">
        <f aca="false">F25</f>
        <v>130185.114</v>
      </c>
      <c r="G56" s="85" t="n">
        <f aca="false">G25</f>
        <v>141504.27989659</v>
      </c>
      <c r="H56" s="85" t="n">
        <f aca="false">H25</f>
        <v>153807.609901179</v>
      </c>
      <c r="I56" s="85" t="n">
        <f aca="false">I25</f>
        <v>167180.673834044</v>
      </c>
      <c r="J56" s="85" t="n">
        <f aca="false">J25</f>
        <v>181716.481528857</v>
      </c>
      <c r="K56" s="85" t="n">
        <f aca="false">K25</f>
        <v>197516.12971728</v>
      </c>
      <c r="L56" s="85" t="n">
        <f aca="false">L25</f>
        <v>214689.505158056</v>
      </c>
      <c r="M56" s="85" t="n">
        <f aca="false">M25</f>
        <v>233356.048900844</v>
      </c>
      <c r="N56" s="85" t="n">
        <f aca="false">N25</f>
        <v>253645.587000272</v>
      </c>
      <c r="O56" s="85" t="n">
        <f aca="false">O25</f>
        <v>275699.233457838</v>
      </c>
      <c r="P56" s="85" t="n">
        <f aca="false">P25</f>
        <v>299670.371671628</v>
      </c>
      <c r="Q56" s="85" t="n">
        <f aca="false">Q25</f>
        <v>325725.72121984</v>
      </c>
      <c r="R56" s="85" t="n">
        <f aca="false">R25</f>
        <v>354046.497397628</v>
      </c>
      <c r="S56" s="85" t="n">
        <f aca="false">S25</f>
        <v>384829.67157183</v>
      </c>
      <c r="T56" s="85" t="n">
        <f aca="false">T25</f>
        <v>418289.341119392</v>
      </c>
      <c r="U56" s="66"/>
    </row>
    <row r="57" customFormat="false" ht="15" hidden="false" customHeight="true" outlineLevel="0" collapsed="false">
      <c r="A57" s="2" t="s">
        <v>236</v>
      </c>
      <c r="B57" s="66" t="s">
        <v>223</v>
      </c>
      <c r="C57" s="86" t="n">
        <f aca="false">C56+C54</f>
        <v>106550.128260414</v>
      </c>
      <c r="D57" s="86" t="n">
        <f aca="false">D56+D54</f>
        <v>115337.082651034</v>
      </c>
      <c r="E57" s="86" t="n">
        <f aca="false">E56+E54</f>
        <v>123665.455041654</v>
      </c>
      <c r="F57" s="86" t="n">
        <f aca="false">F56+F54</f>
        <v>132930.295302068</v>
      </c>
      <c r="G57" s="86" t="n">
        <f aca="false">G56+G54</f>
        <v>144249.461198658</v>
      </c>
      <c r="H57" s="86" t="n">
        <f aca="false">H56+H54</f>
        <v>156003.754942833</v>
      </c>
      <c r="I57" s="86" t="n">
        <f aca="false">I56+I54</f>
        <v>168553.264485078</v>
      </c>
      <c r="J57" s="86" t="n">
        <f aca="false">J56+J54</f>
        <v>182265.51778927</v>
      </c>
      <c r="K57" s="86" t="n">
        <f aca="false">K56+K54</f>
        <v>197516.12971728</v>
      </c>
      <c r="L57" s="86" t="n">
        <f aca="false">L56+L54</f>
        <v>214689.505158056</v>
      </c>
      <c r="M57" s="86" t="n">
        <f aca="false">M56+M54</f>
        <v>233356.048900844</v>
      </c>
      <c r="N57" s="86" t="n">
        <f aca="false">N56+N54</f>
        <v>253645.587000272</v>
      </c>
      <c r="O57" s="86" t="n">
        <f aca="false">O56+O54</f>
        <v>275699.233457838</v>
      </c>
      <c r="P57" s="86" t="n">
        <f aca="false">P56+P54</f>
        <v>299670.371671628</v>
      </c>
      <c r="Q57" s="86" t="n">
        <f aca="false">Q56+Q54</f>
        <v>325725.72121984</v>
      </c>
      <c r="R57" s="86" t="n">
        <f aca="false">R56+R54</f>
        <v>354046.497397628</v>
      </c>
      <c r="S57" s="86" t="n">
        <f aca="false">S56+S54</f>
        <v>384829.67157183</v>
      </c>
      <c r="T57" s="86" t="n">
        <f aca="false">T56+T54</f>
        <v>418289.341119392</v>
      </c>
      <c r="U57" s="66"/>
    </row>
    <row r="58" customFormat="false" ht="15" hidden="false" customHeight="true" outlineLevel="0" collapsed="false">
      <c r="A58" s="2" t="s">
        <v>237</v>
      </c>
      <c r="B58" s="66" t="s">
        <v>226</v>
      </c>
      <c r="C58" s="87" t="n">
        <f aca="false">IF(C56=0,0,C54/C56)</f>
        <v>0.00517953400341927</v>
      </c>
      <c r="D58" s="74" t="n">
        <f aca="false">IF(D56=0,0,D54/D56)</f>
        <v>0.0120440202640831</v>
      </c>
      <c r="E58" s="87" t="n">
        <f aca="false">IF(E56=0,0,E54/E56)</f>
        <v>0.0180798346648573</v>
      </c>
      <c r="F58" s="87" t="n">
        <f aca="false">IF(F56=0,0,F54/F56)</f>
        <v>0.0210867526840885</v>
      </c>
      <c r="G58" s="87" t="n">
        <f aca="false">IF(G56=0,0,G54/G56)</f>
        <v>0.0193999877888784</v>
      </c>
      <c r="H58" s="87" t="n">
        <f aca="false">IF(H56=0,0,H54/H56)</f>
        <v>0.0142785200489451</v>
      </c>
      <c r="I58" s="87" t="n">
        <f aca="false">IF(I56=0,0,I54/I56)</f>
        <v>0.00821022322470401</v>
      </c>
      <c r="J58" s="87" t="n">
        <f aca="false">IF(J56=0,0,J54/J56)</f>
        <v>0.00302138945127213</v>
      </c>
      <c r="K58" s="87" t="n">
        <f aca="false">IF(K56=0,0,K54/K56)</f>
        <v>0</v>
      </c>
      <c r="L58" s="87" t="n">
        <f aca="false">IF(L56=0,0,L54/L56)</f>
        <v>0</v>
      </c>
      <c r="M58" s="87" t="n">
        <f aca="false">IF(M56=0,0,M54/M56)</f>
        <v>0</v>
      </c>
      <c r="N58" s="87" t="n">
        <f aca="false">IF(N56=0,0,N54/N56)</f>
        <v>0</v>
      </c>
      <c r="O58" s="87" t="n">
        <f aca="false">IF(O56=0,0,O54/O56)</f>
        <v>0</v>
      </c>
      <c r="P58" s="87" t="n">
        <f aca="false">IF(P56=0,0,P54/P56)</f>
        <v>0</v>
      </c>
      <c r="Q58" s="87" t="n">
        <f aca="false">IF(Q56=0,0,Q54/Q56)</f>
        <v>0</v>
      </c>
      <c r="R58" s="87" t="n">
        <f aca="false">IF(R56=0,0,R54/R56)</f>
        <v>0</v>
      </c>
      <c r="S58" s="87" t="n">
        <f aca="false">IF(S56=0,0,S54/S56)</f>
        <v>0</v>
      </c>
      <c r="T58" s="87" t="n">
        <f aca="false">IF(T56=0,0,T54/T56)</f>
        <v>0</v>
      </c>
      <c r="U58" s="66"/>
    </row>
    <row r="59" customFormat="false" ht="15" hidden="false" customHeight="true" outlineLevel="0" collapsed="false">
      <c r="A59" s="2" t="s">
        <v>238</v>
      </c>
      <c r="B59" s="66" t="s">
        <v>226</v>
      </c>
      <c r="C59" s="74" t="n">
        <f aca="false">C58</f>
        <v>0.00517953400341927</v>
      </c>
      <c r="D59" s="74" t="n">
        <f aca="false">C59+D58</f>
        <v>0.0172235542675024</v>
      </c>
      <c r="E59" s="74" t="n">
        <f aca="false">D59+E58</f>
        <v>0.0353033889323597</v>
      </c>
      <c r="F59" s="74" t="n">
        <f aca="false">E59+F58</f>
        <v>0.0563901416164482</v>
      </c>
      <c r="G59" s="74" t="n">
        <f aca="false">F59+G58</f>
        <v>0.0757901294053266</v>
      </c>
      <c r="H59" s="74" t="n">
        <f aca="false">G59+H58</f>
        <v>0.0900686494542717</v>
      </c>
      <c r="I59" s="74" t="n">
        <f aca="false">H59+I58</f>
        <v>0.0982788726789757</v>
      </c>
      <c r="J59" s="74" t="n">
        <f aca="false">I59+J58</f>
        <v>0.101300262130248</v>
      </c>
      <c r="K59" s="74" t="n">
        <f aca="false">J59+K58</f>
        <v>0.101300262130248</v>
      </c>
      <c r="L59" s="74" t="n">
        <f aca="false">K59+L58</f>
        <v>0.101300262130248</v>
      </c>
      <c r="M59" s="74" t="n">
        <f aca="false">L59+M58</f>
        <v>0.101300262130248</v>
      </c>
      <c r="N59" s="74" t="n">
        <f aca="false">M59+N58</f>
        <v>0.101300262130248</v>
      </c>
      <c r="O59" s="74" t="n">
        <f aca="false">N59+O58</f>
        <v>0.101300262130248</v>
      </c>
      <c r="P59" s="74" t="n">
        <f aca="false">O59+P58</f>
        <v>0.101300262130248</v>
      </c>
      <c r="Q59" s="74" t="n">
        <f aca="false">P59+Q58</f>
        <v>0.101300262130248</v>
      </c>
      <c r="R59" s="74" t="n">
        <f aca="false">Q59+R58</f>
        <v>0.101300262130248</v>
      </c>
      <c r="S59" s="74" t="n">
        <f aca="false">R59+S58</f>
        <v>0.101300262130248</v>
      </c>
      <c r="T59" s="74" t="n">
        <f aca="false">S59+T58</f>
        <v>0.101300262130248</v>
      </c>
      <c r="U59" s="66"/>
    </row>
    <row r="60" customFormat="false" ht="15" hidden="false" customHeight="true" outlineLevel="0" collapsed="false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6"/>
    </row>
    <row r="61" customFormat="false" ht="15" hidden="false" customHeight="true" outlineLevel="0" collapsed="false">
      <c r="A61" s="88" t="s">
        <v>247</v>
      </c>
      <c r="B61" s="68"/>
      <c r="C61" s="68"/>
      <c r="D61" s="68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6"/>
    </row>
    <row r="62" customFormat="false" ht="15" hidden="false" customHeight="true" outlineLevel="0" collapsed="false">
      <c r="A62" s="68" t="s">
        <v>240</v>
      </c>
      <c r="B62" s="66"/>
      <c r="C62" s="66"/>
      <c r="D62" s="89" t="n">
        <f aca="false">$D$30</f>
        <v>2.746</v>
      </c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</row>
    <row r="63" customFormat="false" ht="15" hidden="false" customHeight="true" outlineLevel="0" collapsed="false">
      <c r="A63" s="68" t="s">
        <v>232</v>
      </c>
      <c r="B63" s="68"/>
      <c r="C63" s="68"/>
      <c r="D63" s="90" t="n">
        <v>1</v>
      </c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</row>
    <row r="64" customFormat="false" ht="15" hidden="false" customHeight="true" outlineLevel="0" collapsed="false">
      <c r="A64" s="68" t="s">
        <v>230</v>
      </c>
      <c r="B64" s="68"/>
      <c r="C64" s="68"/>
      <c r="D64" s="82" t="n">
        <f aca="false">$D$32</f>
        <v>0.230998570769266</v>
      </c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</row>
    <row r="65" customFormat="false" ht="15" hidden="false" customHeight="true" outlineLevel="0" collapsed="false">
      <c r="A65" s="68" t="s">
        <v>244</v>
      </c>
      <c r="B65" s="68"/>
      <c r="C65" s="68"/>
      <c r="D65" s="91" t="n">
        <f aca="false">$D$33</f>
        <v>6500</v>
      </c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</row>
    <row r="66" customFormat="false" ht="15" hidden="false" customHeight="true" outlineLevel="0" collapsed="false">
      <c r="A66" s="68"/>
      <c r="B66" s="66"/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</row>
    <row r="67" customFormat="false" ht="15" hidden="false" customHeight="true" outlineLevel="0" collapsed="false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6"/>
    </row>
    <row r="68" customFormat="false" ht="15" hidden="false" customHeight="true" outlineLevel="0" collapsed="false">
      <c r="A68" s="67" t="s">
        <v>248</v>
      </c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6"/>
    </row>
    <row r="69" customFormat="false" ht="15" hidden="false" customHeight="true" outlineLevel="0" collapsed="false">
      <c r="A69" s="68"/>
      <c r="B69" s="68"/>
      <c r="C69" s="3" t="n">
        <v>2026</v>
      </c>
      <c r="D69" s="3" t="n">
        <v>2027</v>
      </c>
      <c r="E69" s="3" t="n">
        <v>2028</v>
      </c>
      <c r="F69" s="3" t="n">
        <v>2029</v>
      </c>
      <c r="G69" s="3" t="n">
        <v>2030</v>
      </c>
      <c r="H69" s="3" t="n">
        <v>2031</v>
      </c>
      <c r="I69" s="3" t="n">
        <v>2032</v>
      </c>
      <c r="J69" s="3" t="n">
        <v>2033</v>
      </c>
      <c r="K69" s="3" t="n">
        <v>2034</v>
      </c>
      <c r="L69" s="3" t="n">
        <v>2035</v>
      </c>
      <c r="M69" s="3" t="n">
        <v>2036</v>
      </c>
      <c r="N69" s="3" t="n">
        <v>2037</v>
      </c>
      <c r="O69" s="3" t="n">
        <v>2038</v>
      </c>
      <c r="P69" s="3" t="n">
        <v>2039</v>
      </c>
      <c r="Q69" s="3" t="n">
        <v>2040</v>
      </c>
      <c r="R69" s="3" t="n">
        <v>2041</v>
      </c>
      <c r="S69" s="3" t="n">
        <v>2042</v>
      </c>
      <c r="T69" s="3" t="n">
        <v>2043</v>
      </c>
      <c r="U69" s="66"/>
    </row>
    <row r="70" customFormat="false" ht="15" hidden="false" customHeight="true" outlineLevel="0" collapsed="false">
      <c r="A70" s="2" t="s">
        <v>219</v>
      </c>
      <c r="B70" s="68" t="s">
        <v>4</v>
      </c>
      <c r="C70" s="60" t="n">
        <f aca="false">C6</f>
        <v>38.602</v>
      </c>
      <c r="D70" s="60" t="n">
        <f aca="false">D6</f>
        <v>41.502</v>
      </c>
      <c r="E70" s="60" t="n">
        <f aca="false">E6</f>
        <v>44.235</v>
      </c>
      <c r="F70" s="60" t="n">
        <f aca="false">F6</f>
        <v>47.409</v>
      </c>
      <c r="G70" s="60" t="n">
        <f aca="false">G6</f>
        <v>51.5310560439147</v>
      </c>
      <c r="H70" s="60" t="n">
        <f aca="false">H6</f>
        <v>56.0115112531604</v>
      </c>
      <c r="I70" s="60" t="n">
        <f aca="false">I6</f>
        <v>60.8815272520191</v>
      </c>
      <c r="J70" s="60" t="n">
        <f aca="false">J6</f>
        <v>66.1749750651335</v>
      </c>
      <c r="K70" s="60" t="n">
        <f aca="false">K6</f>
        <v>71.9286706909249</v>
      </c>
      <c r="L70" s="60" t="n">
        <f aca="false">L6</f>
        <v>78.1826311573401</v>
      </c>
      <c r="M70" s="60" t="n">
        <f aca="false">M6</f>
        <v>84.9803528408025</v>
      </c>
      <c r="N70" s="60" t="n">
        <f aca="false">N6</f>
        <v>92.3691139840757</v>
      </c>
      <c r="O70" s="60" t="n">
        <f aca="false">O6</f>
        <v>100.400303517057</v>
      </c>
      <c r="P70" s="60" t="n">
        <f aca="false">P6</f>
        <v>109.129778467454</v>
      </c>
      <c r="Q70" s="60" t="n">
        <f aca="false">Q6</f>
        <v>118.618252447138</v>
      </c>
      <c r="R70" s="60" t="n">
        <f aca="false">R6</f>
        <v>128.931717916106</v>
      </c>
      <c r="S70" s="60" t="n">
        <f aca="false">S6</f>
        <v>140.141905160899</v>
      </c>
      <c r="T70" s="60" t="n">
        <f aca="false">T6</f>
        <v>152.326781179677</v>
      </c>
      <c r="U70" s="66"/>
    </row>
    <row r="71" customFormat="false" ht="15" hidden="false" customHeight="true" outlineLevel="0" collapsed="false">
      <c r="A71" s="2" t="s">
        <v>5</v>
      </c>
      <c r="B71" s="66" t="s">
        <v>6</v>
      </c>
      <c r="C71" s="81" t="n">
        <f aca="false">C7</f>
        <v>145.575</v>
      </c>
      <c r="D71" s="81" t="n">
        <f aca="false">D7</f>
        <v>150.67</v>
      </c>
      <c r="E71" s="81" t="n">
        <f aca="false">E7</f>
        <v>155.943</v>
      </c>
      <c r="F71" s="81" t="n">
        <f aca="false">F7</f>
        <v>161.401</v>
      </c>
      <c r="G71" s="81" t="n">
        <f aca="false">G7</f>
        <v>167.080270604514</v>
      </c>
      <c r="H71" s="81" t="n">
        <f aca="false">H7</f>
        <v>172.959379590447</v>
      </c>
      <c r="I71" s="81" t="n">
        <f aca="false">I7</f>
        <v>179.045358737311</v>
      </c>
      <c r="J71" s="81" t="n">
        <f aca="false">J7</f>
        <v>185.345487254182</v>
      </c>
      <c r="K71" s="81" t="n">
        <f aca="false">K7</f>
        <v>191.867300486083</v>
      </c>
      <c r="L71" s="81" t="n">
        <f aca="false">L7</f>
        <v>198.618598926725</v>
      </c>
      <c r="M71" s="81" t="n">
        <f aca="false">M7</f>
        <v>205.607457548384</v>
      </c>
      <c r="N71" s="81" t="n">
        <f aca="false">N7</f>
        <v>212.842235460066</v>
      </c>
      <c r="O71" s="81" t="n">
        <f aca="false">O7</f>
        <v>220.331585905524</v>
      </c>
      <c r="P71" s="81" t="n">
        <f aca="false">P7</f>
        <v>228.084466613074</v>
      </c>
      <c r="Q71" s="81" t="n">
        <f aca="false">Q7</f>
        <v>236.110150509592</v>
      </c>
      <c r="R71" s="81" t="n">
        <f aca="false">R7</f>
        <v>244.418236811514</v>
      </c>
      <c r="S71" s="81" t="n">
        <f aca="false">S7</f>
        <v>253.018662506094</v>
      </c>
      <c r="T71" s="81" t="n">
        <f aca="false">T7</f>
        <v>261.921714236655</v>
      </c>
      <c r="U71" s="66"/>
    </row>
    <row r="72" customFormat="false" ht="15" hidden="false" customHeight="true" outlineLevel="0" collapsed="false">
      <c r="A72" s="68"/>
      <c r="B72" s="66"/>
      <c r="C72" s="68"/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6"/>
    </row>
    <row r="73" customFormat="false" ht="15" hidden="false" customHeight="true" outlineLevel="0" collapsed="false">
      <c r="A73" s="2" t="s">
        <v>220</v>
      </c>
      <c r="B73" s="66" t="s">
        <v>221</v>
      </c>
      <c r="C73" s="69" t="n">
        <f aca="false">D$98</f>
        <v>6500</v>
      </c>
      <c r="D73" s="68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6"/>
    </row>
    <row r="74" customFormat="false" ht="15" hidden="false" customHeight="true" outlineLevel="0" collapsed="false">
      <c r="A74" s="2" t="s">
        <v>222</v>
      </c>
      <c r="B74" s="66" t="s">
        <v>223</v>
      </c>
      <c r="C74" s="70" t="n">
        <f aca="false">C73*D$95</f>
        <v>17849</v>
      </c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6"/>
    </row>
    <row r="75" customFormat="false" ht="15" hidden="false" customHeight="true" outlineLevel="0" collapsed="false">
      <c r="A75" s="2" t="s">
        <v>224</v>
      </c>
      <c r="B75" s="66" t="s">
        <v>223</v>
      </c>
      <c r="C75" s="92" t="n">
        <f aca="false">C74/(C71/100)</f>
        <v>12261.0338313584</v>
      </c>
      <c r="D75" s="66"/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</row>
    <row r="76" customFormat="false" ht="15" hidden="false" customHeight="true" outlineLevel="0" collapsed="false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6"/>
    </row>
    <row r="77" customFormat="false" ht="15" hidden="false" customHeight="true" outlineLevel="0" collapsed="false">
      <c r="A77" s="2" t="s">
        <v>225</v>
      </c>
      <c r="B77" s="68" t="s">
        <v>226</v>
      </c>
      <c r="C77" s="72" t="n">
        <f aca="false">C13</f>
        <v>0.04</v>
      </c>
      <c r="D77" s="72" t="n">
        <f aca="false">D13</f>
        <v>0.1</v>
      </c>
      <c r="E77" s="72" t="n">
        <f aca="false">E13</f>
        <v>0.16</v>
      </c>
      <c r="F77" s="72" t="n">
        <f aca="false">F13</f>
        <v>0.2</v>
      </c>
      <c r="G77" s="72" t="n">
        <f aca="false">G13</f>
        <v>0.2</v>
      </c>
      <c r="H77" s="72" t="n">
        <f aca="false">H13</f>
        <v>0.16</v>
      </c>
      <c r="I77" s="72" t="n">
        <f aca="false">I13</f>
        <v>0.1</v>
      </c>
      <c r="J77" s="72" t="n">
        <f aca="false">J13</f>
        <v>0.04</v>
      </c>
      <c r="K77" s="72" t="n">
        <f aca="false">K13</f>
        <v>0</v>
      </c>
      <c r="L77" s="72" t="n">
        <f aca="false">L13</f>
        <v>0</v>
      </c>
      <c r="M77" s="72" t="n">
        <f aca="false">M13</f>
        <v>0</v>
      </c>
      <c r="N77" s="72" t="n">
        <f aca="false">N13</f>
        <v>0</v>
      </c>
      <c r="O77" s="72" t="n">
        <f aca="false">O13</f>
        <v>0</v>
      </c>
      <c r="P77" s="72" t="n">
        <f aca="false">P13</f>
        <v>0</v>
      </c>
      <c r="Q77" s="72" t="n">
        <f aca="false">Q13</f>
        <v>0</v>
      </c>
      <c r="R77" s="72" t="n">
        <f aca="false">R13</f>
        <v>0</v>
      </c>
      <c r="S77" s="72" t="n">
        <f aca="false">S13</f>
        <v>0</v>
      </c>
      <c r="T77" s="72" t="n">
        <f aca="false">T13</f>
        <v>0</v>
      </c>
      <c r="U77" s="66"/>
    </row>
    <row r="78" customFormat="false" ht="15" hidden="false" customHeight="true" outlineLevel="0" collapsed="false">
      <c r="A78" s="2" t="s">
        <v>227</v>
      </c>
      <c r="B78" s="66" t="s">
        <v>221</v>
      </c>
      <c r="C78" s="86" t="n">
        <f aca="false">D$98*C77</f>
        <v>260</v>
      </c>
      <c r="D78" s="86" t="n">
        <f aca="false">D$98*D77</f>
        <v>650</v>
      </c>
      <c r="E78" s="86" t="n">
        <f aca="false">D$98*E77</f>
        <v>1040</v>
      </c>
      <c r="F78" s="86" t="n">
        <f aca="false">D$98*F77</f>
        <v>1300</v>
      </c>
      <c r="G78" s="86" t="n">
        <f aca="false">D$98*G77</f>
        <v>1300</v>
      </c>
      <c r="H78" s="86" t="n">
        <f aca="false">D$98*H77</f>
        <v>1040</v>
      </c>
      <c r="I78" s="86" t="n">
        <f aca="false">D$98*I77</f>
        <v>650</v>
      </c>
      <c r="J78" s="86" t="n">
        <f aca="false">D$98*J77</f>
        <v>260</v>
      </c>
      <c r="K78" s="86" t="n">
        <f aca="false">D$98*K77</f>
        <v>0</v>
      </c>
      <c r="L78" s="86" t="n">
        <f aca="false">D$98*L77</f>
        <v>0</v>
      </c>
      <c r="M78" s="86" t="n">
        <f aca="false">D$98*M77</f>
        <v>0</v>
      </c>
      <c r="N78" s="86" t="n">
        <f aca="false">D$98*N77</f>
        <v>0</v>
      </c>
      <c r="O78" s="86" t="n">
        <f aca="false">D$98*O77</f>
        <v>0</v>
      </c>
      <c r="P78" s="86" t="n">
        <f aca="false">D$98*P77</f>
        <v>0</v>
      </c>
      <c r="Q78" s="86" t="n">
        <f aca="false">D$98*Q77</f>
        <v>0</v>
      </c>
      <c r="R78" s="86" t="n">
        <f aca="false">D$98*R77</f>
        <v>0</v>
      </c>
      <c r="S78" s="86" t="n">
        <f aca="false">D$98*S77</f>
        <v>0</v>
      </c>
      <c r="T78" s="86" t="n">
        <f aca="false">D$98*T77</f>
        <v>0</v>
      </c>
      <c r="U78" s="66"/>
    </row>
    <row r="79" customFormat="false" ht="15" hidden="false" customHeight="true" outlineLevel="0" collapsed="false">
      <c r="A79" s="2" t="s">
        <v>228</v>
      </c>
      <c r="B79" s="68" t="s">
        <v>223</v>
      </c>
      <c r="C79" s="71" t="n">
        <f aca="false">C78*D$95</f>
        <v>713.96</v>
      </c>
      <c r="D79" s="71" t="n">
        <f aca="false">D78*D$95</f>
        <v>1784.9</v>
      </c>
      <c r="E79" s="71" t="n">
        <f aca="false">E78*D$95</f>
        <v>2855.84</v>
      </c>
      <c r="F79" s="71" t="n">
        <f aca="false">F78*D$95</f>
        <v>3569.8</v>
      </c>
      <c r="G79" s="71" t="n">
        <f aca="false">G78*D$95</f>
        <v>3569.8</v>
      </c>
      <c r="H79" s="71" t="n">
        <f aca="false">H78*D$95</f>
        <v>2855.84</v>
      </c>
      <c r="I79" s="71" t="n">
        <f aca="false">I78*D$95</f>
        <v>1784.9</v>
      </c>
      <c r="J79" s="71" t="n">
        <f aca="false">J78*D$95</f>
        <v>713.96</v>
      </c>
      <c r="K79" s="71" t="n">
        <f aca="false">K78*D$95</f>
        <v>0</v>
      </c>
      <c r="L79" s="71" t="n">
        <f aca="false">L78*D$95</f>
        <v>0</v>
      </c>
      <c r="M79" s="71" t="n">
        <f aca="false">M78*D$95</f>
        <v>0</v>
      </c>
      <c r="N79" s="71" t="n">
        <f aca="false">N78*D$95</f>
        <v>0</v>
      </c>
      <c r="O79" s="71" t="n">
        <f aca="false">O78*D$95</f>
        <v>0</v>
      </c>
      <c r="P79" s="71" t="n">
        <f aca="false">P78*D$95</f>
        <v>0</v>
      </c>
      <c r="Q79" s="71" t="n">
        <f aca="false">Q78*D$95</f>
        <v>0</v>
      </c>
      <c r="R79" s="71" t="n">
        <f aca="false">R78*D$95</f>
        <v>0</v>
      </c>
      <c r="S79" s="71" t="n">
        <f aca="false">S78*D$95</f>
        <v>0</v>
      </c>
      <c r="T79" s="71" t="n">
        <f aca="false">T78*D$95</f>
        <v>0</v>
      </c>
      <c r="U79" s="66"/>
    </row>
    <row r="80" customFormat="false" ht="15" hidden="false" customHeight="true" outlineLevel="0" collapsed="false">
      <c r="A80" s="2" t="s">
        <v>229</v>
      </c>
      <c r="B80" s="68" t="s">
        <v>223</v>
      </c>
      <c r="C80" s="71" t="n">
        <f aca="false">IF(C71=0,0,C79/(C71/100))</f>
        <v>490.441353254336</v>
      </c>
      <c r="D80" s="71" t="n">
        <f aca="false">IF(D71=0,0,D79/(D71/100))</f>
        <v>1184.6419327006</v>
      </c>
      <c r="E80" s="71" t="n">
        <f aca="false">IF(E71=0,0,E79/(E71/100))</f>
        <v>1831.33580859673</v>
      </c>
      <c r="F80" s="71" t="n">
        <f aca="false">IF(F71=0,0,F79/(F71/100))</f>
        <v>2211.7582914604</v>
      </c>
      <c r="G80" s="71" t="n">
        <f aca="false">IF(G71=0,0,G79/(G71/100))</f>
        <v>2136.57781800573</v>
      </c>
      <c r="H80" s="71" t="n">
        <f aca="false">IF(H71=0,0,H79/(H71/100))</f>
        <v>1651.16225946369</v>
      </c>
      <c r="I80" s="71" t="n">
        <f aca="false">IF(I71=0,0,I79/(I71/100))</f>
        <v>996.898223214344</v>
      </c>
      <c r="J80" s="71" t="n">
        <f aca="false">IF(J71=0,0,J79/(J71/100))</f>
        <v>385.204954583479</v>
      </c>
      <c r="K80" s="71" t="n">
        <f aca="false">IF(K71=0,0,K79/(K71/100))</f>
        <v>0</v>
      </c>
      <c r="L80" s="71" t="n">
        <f aca="false">IF(L71=0,0,L79/(L71/100))</f>
        <v>0</v>
      </c>
      <c r="M80" s="71" t="n">
        <f aca="false">IF(M71=0,0,M79/(M71/100))</f>
        <v>0</v>
      </c>
      <c r="N80" s="71" t="n">
        <f aca="false">IF(N71=0,0,N79/(N71/100))</f>
        <v>0</v>
      </c>
      <c r="O80" s="71" t="n">
        <f aca="false">IF(O71=0,0,O79/(O71/100))</f>
        <v>0</v>
      </c>
      <c r="P80" s="71" t="n">
        <f aca="false">IF(P71=0,0,P79/(P71/100))</f>
        <v>0</v>
      </c>
      <c r="Q80" s="71" t="n">
        <f aca="false">IF(Q71=0,0,Q79/(Q71/100))</f>
        <v>0</v>
      </c>
      <c r="R80" s="71" t="n">
        <f aca="false">IF(R71=0,0,R79/(R71/100))</f>
        <v>0</v>
      </c>
      <c r="S80" s="71" t="n">
        <f aca="false">IF(S71=0,0,S79/(S71/100))</f>
        <v>0</v>
      </c>
      <c r="T80" s="71" t="n">
        <f aca="false">IF(T71=0,0,T79/(T71/100))</f>
        <v>0</v>
      </c>
      <c r="U80" s="66"/>
    </row>
    <row r="81" customFormat="false" ht="15" hidden="false" customHeight="true" outlineLevel="0" collapsed="false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6"/>
    </row>
    <row r="82" customFormat="false" ht="15" hidden="false" customHeight="true" outlineLevel="0" collapsed="false">
      <c r="A82" s="2" t="s">
        <v>230</v>
      </c>
      <c r="B82" s="68"/>
      <c r="C82" s="72" t="n">
        <f aca="false">D$97</f>
        <v>0.5</v>
      </c>
      <c r="D82" s="72" t="n">
        <f aca="false">D$97</f>
        <v>0.5</v>
      </c>
      <c r="E82" s="72" t="n">
        <f aca="false">D$97</f>
        <v>0.5</v>
      </c>
      <c r="F82" s="72" t="n">
        <f aca="false">D$97</f>
        <v>0.5</v>
      </c>
      <c r="G82" s="72" t="n">
        <f aca="false">D$97</f>
        <v>0.5</v>
      </c>
      <c r="H82" s="72" t="n">
        <f aca="false">D$97</f>
        <v>0.5</v>
      </c>
      <c r="I82" s="72" t="n">
        <f aca="false">D$97</f>
        <v>0.5</v>
      </c>
      <c r="J82" s="72" t="n">
        <f aca="false">D$97</f>
        <v>0.5</v>
      </c>
      <c r="K82" s="72" t="n">
        <f aca="false">D$97</f>
        <v>0.5</v>
      </c>
      <c r="L82" s="72" t="n">
        <f aca="false">D$97</f>
        <v>0.5</v>
      </c>
      <c r="M82" s="72" t="n">
        <f aca="false">D$97</f>
        <v>0.5</v>
      </c>
      <c r="N82" s="72" t="n">
        <f aca="false">D$97</f>
        <v>0.5</v>
      </c>
      <c r="O82" s="72" t="n">
        <f aca="false">D$97</f>
        <v>0.5</v>
      </c>
      <c r="P82" s="72" t="n">
        <f aca="false">D$97</f>
        <v>0.5</v>
      </c>
      <c r="Q82" s="72" t="n">
        <f aca="false">D$97</f>
        <v>0.5</v>
      </c>
      <c r="R82" s="72" t="n">
        <f aca="false">D$97</f>
        <v>0.5</v>
      </c>
      <c r="S82" s="72" t="n">
        <f aca="false">D$97</f>
        <v>0.5</v>
      </c>
      <c r="T82" s="72" t="n">
        <f aca="false">D$97</f>
        <v>0.5</v>
      </c>
      <c r="U82" s="66"/>
    </row>
    <row r="83" customFormat="false" ht="15" hidden="false" customHeight="false" outlineLevel="0" collapsed="false">
      <c r="A83" s="84" t="s">
        <v>231</v>
      </c>
      <c r="B83" s="66"/>
      <c r="C83" s="93" t="n">
        <f aca="false">1-C82</f>
        <v>0.5</v>
      </c>
      <c r="D83" s="93" t="n">
        <f aca="false">1-D82</f>
        <v>0.5</v>
      </c>
      <c r="E83" s="93" t="n">
        <f aca="false">1-E82</f>
        <v>0.5</v>
      </c>
      <c r="F83" s="93" t="n">
        <f aca="false">1-F82</f>
        <v>0.5</v>
      </c>
      <c r="G83" s="93" t="n">
        <f aca="false">1-G82</f>
        <v>0.5</v>
      </c>
      <c r="H83" s="93" t="n">
        <f aca="false">1-H82</f>
        <v>0.5</v>
      </c>
      <c r="I83" s="93" t="n">
        <f aca="false">1-I82</f>
        <v>0.5</v>
      </c>
      <c r="J83" s="93" t="n">
        <f aca="false">1-J82</f>
        <v>0.5</v>
      </c>
      <c r="K83" s="93" t="n">
        <f aca="false">1-K82</f>
        <v>0.5</v>
      </c>
      <c r="L83" s="93" t="n">
        <f aca="false">1-L82</f>
        <v>0.5</v>
      </c>
      <c r="M83" s="93" t="n">
        <f aca="false">1-M82</f>
        <v>0.5</v>
      </c>
      <c r="N83" s="93" t="n">
        <f aca="false">1-N82</f>
        <v>0.5</v>
      </c>
      <c r="O83" s="93" t="n">
        <f aca="false">1-O82</f>
        <v>0.5</v>
      </c>
      <c r="P83" s="93" t="n">
        <f aca="false">1-P82</f>
        <v>0.5</v>
      </c>
      <c r="Q83" s="93" t="n">
        <f aca="false">1-Q82</f>
        <v>0.5</v>
      </c>
      <c r="R83" s="93" t="n">
        <f aca="false">1-R82</f>
        <v>0.5</v>
      </c>
      <c r="S83" s="93" t="n">
        <f aca="false">1-S82</f>
        <v>0.5</v>
      </c>
      <c r="T83" s="93" t="n">
        <f aca="false">1-T82</f>
        <v>0.5</v>
      </c>
      <c r="U83" s="66"/>
    </row>
    <row r="84" customFormat="false" ht="15" hidden="false" customHeight="true" outlineLevel="0" collapsed="false">
      <c r="A84" s="2" t="s">
        <v>232</v>
      </c>
      <c r="B84" s="66"/>
      <c r="C84" s="83" t="n">
        <f aca="false">D$96</f>
        <v>0.8</v>
      </c>
      <c r="D84" s="83" t="n">
        <f aca="false">D$96</f>
        <v>0.8</v>
      </c>
      <c r="E84" s="83" t="n">
        <f aca="false">D$96</f>
        <v>0.8</v>
      </c>
      <c r="F84" s="83" t="n">
        <f aca="false">D$96</f>
        <v>0.8</v>
      </c>
      <c r="G84" s="83" t="n">
        <f aca="false">D$96</f>
        <v>0.8</v>
      </c>
      <c r="H84" s="83" t="n">
        <f aca="false">D$96</f>
        <v>0.8</v>
      </c>
      <c r="I84" s="83" t="n">
        <f aca="false">D$96</f>
        <v>0.8</v>
      </c>
      <c r="J84" s="83" t="n">
        <f aca="false">D$96</f>
        <v>0.8</v>
      </c>
      <c r="K84" s="83" t="n">
        <f aca="false">D$96</f>
        <v>0.8</v>
      </c>
      <c r="L84" s="83" t="n">
        <f aca="false">D$96</f>
        <v>0.8</v>
      </c>
      <c r="M84" s="83" t="n">
        <f aca="false">D$96</f>
        <v>0.8</v>
      </c>
      <c r="N84" s="83" t="n">
        <f aca="false">D$96</f>
        <v>0.8</v>
      </c>
      <c r="O84" s="83" t="n">
        <f aca="false">D$96</f>
        <v>0.8</v>
      </c>
      <c r="P84" s="83" t="n">
        <f aca="false">D$96</f>
        <v>0.8</v>
      </c>
      <c r="Q84" s="83" t="n">
        <f aca="false">D$96</f>
        <v>0.8</v>
      </c>
      <c r="R84" s="83" t="n">
        <f aca="false">D$96</f>
        <v>0.8</v>
      </c>
      <c r="S84" s="83" t="n">
        <f aca="false">D$96</f>
        <v>0.8</v>
      </c>
      <c r="T84" s="83" t="n">
        <f aca="false">D$96</f>
        <v>0.8</v>
      </c>
      <c r="U84" s="66"/>
    </row>
    <row r="85" customFormat="false" ht="15" hidden="false" customHeight="true" outlineLevel="0" collapsed="false">
      <c r="A85" s="68"/>
      <c r="B85" s="66"/>
      <c r="C85" s="66"/>
      <c r="D85" s="68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</row>
    <row r="86" customFormat="false" ht="15" hidden="false" customHeight="true" outlineLevel="0" collapsed="false">
      <c r="A86" s="2" t="s">
        <v>233</v>
      </c>
      <c r="B86" s="66" t="s">
        <v>223</v>
      </c>
      <c r="C86" s="86" t="n">
        <f aca="false">C79*C83</f>
        <v>356.98</v>
      </c>
      <c r="D86" s="71" t="n">
        <f aca="false">D79*D83</f>
        <v>892.45</v>
      </c>
      <c r="E86" s="86" t="n">
        <f aca="false">E79*E83</f>
        <v>1427.92</v>
      </c>
      <c r="F86" s="86" t="n">
        <f aca="false">F79*F83</f>
        <v>1784.9</v>
      </c>
      <c r="G86" s="86" t="n">
        <f aca="false">G79*G83</f>
        <v>1784.9</v>
      </c>
      <c r="H86" s="86" t="n">
        <f aca="false">H79*H83</f>
        <v>1427.92</v>
      </c>
      <c r="I86" s="86" t="n">
        <f aca="false">I79*I83</f>
        <v>892.45</v>
      </c>
      <c r="J86" s="86" t="n">
        <f aca="false">J79*J83</f>
        <v>356.98</v>
      </c>
      <c r="K86" s="86" t="n">
        <f aca="false">K79*K83</f>
        <v>0</v>
      </c>
      <c r="L86" s="86" t="n">
        <f aca="false">L79*L83</f>
        <v>0</v>
      </c>
      <c r="M86" s="86" t="n">
        <f aca="false">M79*M83</f>
        <v>0</v>
      </c>
      <c r="N86" s="86" t="n">
        <f aca="false">N79*N83</f>
        <v>0</v>
      </c>
      <c r="O86" s="86" t="n">
        <f aca="false">O79*O83</f>
        <v>0</v>
      </c>
      <c r="P86" s="86" t="n">
        <f aca="false">P79*P83</f>
        <v>0</v>
      </c>
      <c r="Q86" s="86" t="n">
        <f aca="false">Q79*Q83</f>
        <v>0</v>
      </c>
      <c r="R86" s="86" t="n">
        <f aca="false">R79*R83</f>
        <v>0</v>
      </c>
      <c r="S86" s="86" t="n">
        <f aca="false">S79*S83</f>
        <v>0</v>
      </c>
      <c r="T86" s="86" t="n">
        <f aca="false">T79*T83</f>
        <v>0</v>
      </c>
      <c r="U86" s="66"/>
    </row>
    <row r="87" customFormat="false" ht="15" hidden="false" customHeight="true" outlineLevel="0" collapsed="false">
      <c r="A87" s="2" t="s">
        <v>234</v>
      </c>
      <c r="B87" s="66" t="s">
        <v>223</v>
      </c>
      <c r="C87" s="86" t="n">
        <f aca="false">C86*C84</f>
        <v>285.584</v>
      </c>
      <c r="D87" s="71" t="n">
        <f aca="false">D86*D84</f>
        <v>713.96</v>
      </c>
      <c r="E87" s="86" t="n">
        <f aca="false">E86*E84</f>
        <v>1142.336</v>
      </c>
      <c r="F87" s="86" t="n">
        <f aca="false">F86*F84</f>
        <v>1427.92</v>
      </c>
      <c r="G87" s="86" t="n">
        <f aca="false">G86*G84</f>
        <v>1427.92</v>
      </c>
      <c r="H87" s="86" t="n">
        <f aca="false">H86*H84</f>
        <v>1142.336</v>
      </c>
      <c r="I87" s="86" t="n">
        <f aca="false">I86*I84</f>
        <v>713.96</v>
      </c>
      <c r="J87" s="86" t="n">
        <f aca="false">J86*J84</f>
        <v>285.584</v>
      </c>
      <c r="K87" s="86" t="n">
        <f aca="false">K86*K84</f>
        <v>0</v>
      </c>
      <c r="L87" s="86" t="n">
        <f aca="false">L86*L84</f>
        <v>0</v>
      </c>
      <c r="M87" s="86" t="n">
        <f aca="false">M86*M84</f>
        <v>0</v>
      </c>
      <c r="N87" s="86" t="n">
        <f aca="false">N86*N84</f>
        <v>0</v>
      </c>
      <c r="O87" s="86" t="n">
        <f aca="false">O86*O84</f>
        <v>0</v>
      </c>
      <c r="P87" s="86" t="n">
        <f aca="false">P86*P84</f>
        <v>0</v>
      </c>
      <c r="Q87" s="86" t="n">
        <f aca="false">Q86*Q84</f>
        <v>0</v>
      </c>
      <c r="R87" s="86" t="n">
        <f aca="false">R86*R84</f>
        <v>0</v>
      </c>
      <c r="S87" s="86" t="n">
        <f aca="false">S86*S84</f>
        <v>0</v>
      </c>
      <c r="T87" s="86" t="n">
        <f aca="false">T86*T84</f>
        <v>0</v>
      </c>
      <c r="U87" s="66"/>
    </row>
    <row r="88" customFormat="false" ht="15" hidden="false" customHeight="true" outlineLevel="0" collapsed="false">
      <c r="A88" s="68"/>
      <c r="B88" s="66"/>
      <c r="C88" s="66"/>
      <c r="D88" s="68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</row>
    <row r="89" customFormat="false" ht="15" hidden="false" customHeight="false" outlineLevel="0" collapsed="false">
      <c r="A89" s="84" t="s">
        <v>235</v>
      </c>
      <c r="B89" s="1" t="s">
        <v>223</v>
      </c>
      <c r="C89" s="85" t="n">
        <f aca="false">C25</f>
        <v>106001.092</v>
      </c>
      <c r="D89" s="85" t="n">
        <f aca="false">D25</f>
        <v>113964.492</v>
      </c>
      <c r="E89" s="85" t="n">
        <f aca="false">E25</f>
        <v>121469.31</v>
      </c>
      <c r="F89" s="85" t="n">
        <f aca="false">F25</f>
        <v>130185.114</v>
      </c>
      <c r="G89" s="85" t="n">
        <f aca="false">G25</f>
        <v>141504.27989659</v>
      </c>
      <c r="H89" s="85" t="n">
        <f aca="false">H25</f>
        <v>153807.609901179</v>
      </c>
      <c r="I89" s="85" t="n">
        <f aca="false">I25</f>
        <v>167180.673834044</v>
      </c>
      <c r="J89" s="85" t="n">
        <f aca="false">J25</f>
        <v>181716.481528857</v>
      </c>
      <c r="K89" s="85" t="n">
        <f aca="false">K25</f>
        <v>197516.12971728</v>
      </c>
      <c r="L89" s="85" t="n">
        <f aca="false">L25</f>
        <v>214689.505158056</v>
      </c>
      <c r="M89" s="85" t="n">
        <f aca="false">M25</f>
        <v>233356.048900844</v>
      </c>
      <c r="N89" s="85" t="n">
        <f aca="false">N25</f>
        <v>253645.587000272</v>
      </c>
      <c r="O89" s="85" t="n">
        <f aca="false">O25</f>
        <v>275699.233457838</v>
      </c>
      <c r="P89" s="85" t="n">
        <f aca="false">P25</f>
        <v>299670.371671628</v>
      </c>
      <c r="Q89" s="85" t="n">
        <f aca="false">Q25</f>
        <v>325725.72121984</v>
      </c>
      <c r="R89" s="85" t="n">
        <f aca="false">R25</f>
        <v>354046.497397628</v>
      </c>
      <c r="S89" s="85" t="n">
        <f aca="false">S25</f>
        <v>384829.67157183</v>
      </c>
      <c r="T89" s="85" t="n">
        <f aca="false">T25</f>
        <v>418289.341119392</v>
      </c>
    </row>
    <row r="90" customFormat="false" ht="15" hidden="false" customHeight="false" outlineLevel="0" collapsed="false">
      <c r="A90" s="84" t="s">
        <v>236</v>
      </c>
      <c r="B90" s="1" t="s">
        <v>223</v>
      </c>
      <c r="C90" s="86" t="n">
        <f aca="false">C89+C87</f>
        <v>106286.676</v>
      </c>
      <c r="D90" s="86" t="n">
        <f aca="false">D89+D87</f>
        <v>114678.452</v>
      </c>
      <c r="E90" s="86" t="n">
        <f aca="false">E89+E87</f>
        <v>122611.646</v>
      </c>
      <c r="F90" s="86" t="n">
        <f aca="false">F89+F87</f>
        <v>131613.034</v>
      </c>
      <c r="G90" s="86" t="n">
        <f aca="false">G89+G87</f>
        <v>142932.19989659</v>
      </c>
      <c r="H90" s="86" t="n">
        <f aca="false">H89+H87</f>
        <v>154949.945901179</v>
      </c>
      <c r="I90" s="86" t="n">
        <f aca="false">I89+I87</f>
        <v>167894.633834044</v>
      </c>
      <c r="J90" s="86" t="n">
        <f aca="false">J89+J87</f>
        <v>182002.065528857</v>
      </c>
      <c r="K90" s="86" t="n">
        <f aca="false">K89+K87</f>
        <v>197516.12971728</v>
      </c>
      <c r="L90" s="86" t="n">
        <f aca="false">L89+L87</f>
        <v>214689.505158056</v>
      </c>
      <c r="M90" s="86" t="n">
        <f aca="false">M89+M87</f>
        <v>233356.048900844</v>
      </c>
      <c r="N90" s="86" t="n">
        <f aca="false">N89+N87</f>
        <v>253645.587000272</v>
      </c>
      <c r="O90" s="86" t="n">
        <f aca="false">O89+O87</f>
        <v>275699.233457838</v>
      </c>
      <c r="P90" s="86" t="n">
        <f aca="false">P89+P87</f>
        <v>299670.371671628</v>
      </c>
      <c r="Q90" s="86" t="n">
        <f aca="false">Q89+Q87</f>
        <v>325725.72121984</v>
      </c>
      <c r="R90" s="86" t="n">
        <f aca="false">R89+R87</f>
        <v>354046.497397628</v>
      </c>
      <c r="S90" s="86" t="n">
        <f aca="false">S89+S87</f>
        <v>384829.67157183</v>
      </c>
      <c r="T90" s="86" t="n">
        <f aca="false">T89+T87</f>
        <v>418289.341119392</v>
      </c>
    </row>
    <row r="91" customFormat="false" ht="15" hidden="false" customHeight="false" outlineLevel="0" collapsed="false">
      <c r="A91" s="84" t="s">
        <v>237</v>
      </c>
      <c r="B91" s="1" t="s">
        <v>226</v>
      </c>
      <c r="C91" s="87" t="n">
        <f aca="false">IF(C89=0,0,C87/C89)</f>
        <v>0.00269416092430444</v>
      </c>
      <c r="D91" s="87" t="n">
        <f aca="false">IF(D89=0,0,D87/D89)</f>
        <v>0.00626475832490001</v>
      </c>
      <c r="E91" s="87" t="n">
        <f aca="false">IF(E89=0,0,E87/E89)</f>
        <v>0.00940431784785803</v>
      </c>
      <c r="F91" s="87" t="n">
        <f aca="false">IF(F89=0,0,F87/F89)</f>
        <v>0.0109683815309329</v>
      </c>
      <c r="G91" s="87" t="n">
        <f aca="false">IF(G89=0,0,G87/G89)</f>
        <v>0.0100910022017957</v>
      </c>
      <c r="H91" s="87" t="n">
        <f aca="false">IF(H89=0,0,H87/H89)</f>
        <v>0.00742704473942448</v>
      </c>
      <c r="I91" s="87" t="n">
        <f aca="false">IF(I89=0,0,I87/I89)</f>
        <v>0.00427058931888699</v>
      </c>
      <c r="J91" s="87" t="n">
        <f aca="false">IF(J89=0,0,J87/J89)</f>
        <v>0.00157159107196696</v>
      </c>
      <c r="K91" s="87" t="n">
        <f aca="false">IF(K89=0,0,K87/K89)</f>
        <v>0</v>
      </c>
      <c r="L91" s="87" t="n">
        <f aca="false">IF(L89=0,0,L87/L89)</f>
        <v>0</v>
      </c>
      <c r="M91" s="87" t="n">
        <f aca="false">IF(M89=0,0,M87/M89)</f>
        <v>0</v>
      </c>
      <c r="N91" s="87" t="n">
        <f aca="false">IF(N89=0,0,N87/N89)</f>
        <v>0</v>
      </c>
      <c r="O91" s="87" t="n">
        <f aca="false">IF(O89=0,0,O87/O89)</f>
        <v>0</v>
      </c>
      <c r="P91" s="87" t="n">
        <f aca="false">IF(P89=0,0,P87/P89)</f>
        <v>0</v>
      </c>
      <c r="Q91" s="87" t="n">
        <f aca="false">IF(Q89=0,0,Q87/Q89)</f>
        <v>0</v>
      </c>
      <c r="R91" s="87" t="n">
        <f aca="false">IF(R89=0,0,R87/R89)</f>
        <v>0</v>
      </c>
      <c r="S91" s="87" t="n">
        <f aca="false">IF(S89=0,0,S87/S89)</f>
        <v>0</v>
      </c>
      <c r="T91" s="87" t="n">
        <f aca="false">IF(T89=0,0,T87/T89)</f>
        <v>0</v>
      </c>
    </row>
    <row r="92" customFormat="false" ht="15" hidden="false" customHeight="false" outlineLevel="0" collapsed="false">
      <c r="A92" s="84" t="s">
        <v>238</v>
      </c>
      <c r="B92" s="1" t="s">
        <v>226</v>
      </c>
      <c r="C92" s="87" t="n">
        <f aca="false">C91</f>
        <v>0.00269416092430444</v>
      </c>
      <c r="D92" s="87" t="n">
        <f aca="false">C92+D91</f>
        <v>0.00895891924920444</v>
      </c>
      <c r="E92" s="87" t="n">
        <f aca="false">D92+E91</f>
        <v>0.0183632370970625</v>
      </c>
      <c r="F92" s="87" t="n">
        <f aca="false">E92+F91</f>
        <v>0.0293316186279954</v>
      </c>
      <c r="G92" s="87" t="n">
        <f aca="false">F92+G91</f>
        <v>0.0394226208297911</v>
      </c>
      <c r="H92" s="87" t="n">
        <f aca="false">G92+H91</f>
        <v>0.0468496655692156</v>
      </c>
      <c r="I92" s="87" t="n">
        <f aca="false">H92+I91</f>
        <v>0.0511202548881026</v>
      </c>
      <c r="J92" s="87" t="n">
        <f aca="false">I92+J91</f>
        <v>0.0526918459600695</v>
      </c>
      <c r="K92" s="87" t="n">
        <f aca="false">J92+K91</f>
        <v>0.0526918459600695</v>
      </c>
      <c r="L92" s="87" t="n">
        <f aca="false">K92+L91</f>
        <v>0.0526918459600695</v>
      </c>
      <c r="M92" s="87" t="n">
        <f aca="false">L92+M91</f>
        <v>0.0526918459600695</v>
      </c>
      <c r="N92" s="87" t="n">
        <f aca="false">M92+N91</f>
        <v>0.0526918459600695</v>
      </c>
      <c r="O92" s="87" t="n">
        <f aca="false">N92+O91</f>
        <v>0.0526918459600695</v>
      </c>
      <c r="P92" s="87" t="n">
        <f aca="false">O92+P91</f>
        <v>0.0526918459600695</v>
      </c>
      <c r="Q92" s="87" t="n">
        <f aca="false">P92+Q91</f>
        <v>0.0526918459600695</v>
      </c>
      <c r="R92" s="87" t="n">
        <f aca="false">Q92+R91</f>
        <v>0.0526918459600695</v>
      </c>
      <c r="S92" s="87" t="n">
        <f aca="false">R92+S91</f>
        <v>0.0526918459600695</v>
      </c>
      <c r="T92" s="87" t="n">
        <f aca="false">S92+T91</f>
        <v>0.0526918459600695</v>
      </c>
    </row>
    <row r="94" customFormat="false" ht="15" hidden="false" customHeight="false" outlineLevel="0" collapsed="false">
      <c r="A94" s="75" t="s">
        <v>249</v>
      </c>
    </row>
    <row r="95" customFormat="false" ht="15" hidden="false" customHeight="false" outlineLevel="0" collapsed="false">
      <c r="A95" s="1" t="s">
        <v>240</v>
      </c>
      <c r="D95" s="89" t="n">
        <f aca="false">$D$30</f>
        <v>2.746</v>
      </c>
    </row>
    <row r="96" customFormat="false" ht="15" hidden="false" customHeight="false" outlineLevel="0" collapsed="false">
      <c r="A96" s="1" t="s">
        <v>232</v>
      </c>
      <c r="D96" s="83" t="n">
        <f aca="false">$D$31</f>
        <v>0.8</v>
      </c>
    </row>
    <row r="97" customFormat="false" ht="15" hidden="false" customHeight="false" outlineLevel="0" collapsed="false">
      <c r="A97" s="1" t="s">
        <v>230</v>
      </c>
      <c r="D97" s="94" t="n">
        <v>0.5</v>
      </c>
    </row>
    <row r="98" customFormat="false" ht="15" hidden="false" customHeight="false" outlineLevel="0" collapsed="false">
      <c r="A98" s="1" t="s">
        <v>244</v>
      </c>
      <c r="D98" s="91" t="n">
        <f aca="false">$D$33</f>
        <v>6500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2026-02-07T06:24:01Z</dcterms:created>
  <dc:creator>openpyxl</dc:creator>
  <dc:description/>
  <dc:language>en-US</dc:language>
  <cp:lastModifiedBy/>
  <dcterms:modified xsi:type="dcterms:W3CDTF">2026-02-07T06:26:53Z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