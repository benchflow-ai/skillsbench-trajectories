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<sst xmlns="http://schemas.openxmlformats.org/spreadsheetml/2006/main" count="878" uniqueCount="627">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</sst>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0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C12*$C$3*$C$5/100</f>
        <v>2049.1807359304</v>
      </c>
      <c r="D13" s="1" t="n">
        <f aca="false">D12*$C$3*$C$5/100</f>
        <v>274.833234828304</v>
      </c>
      <c r="E13" s="1" t="n">
        <f aca="false">E12*$C$3*$C$5/100</f>
        <v>2.93758876747618</v>
      </c>
      <c r="F13" s="1" t="n">
        <f aca="false">F12*$C$3*$C$5/100</f>
        <v>1063.57719031899</v>
      </c>
      <c r="G13" s="1" t="n">
        <f aca="false">G12*$C$3*$C$5/100</f>
        <v>15111.0059911373</v>
      </c>
      <c r="H13" s="1" t="n">
        <f aca="false">H12*$C$3*$C$5/100</f>
        <v>2776.27921285056</v>
      </c>
      <c r="I13" s="1" t="n">
        <f aca="false">I12*$C$3*$C$5/100</f>
        <v>252.692976629361</v>
      </c>
      <c r="J13" s="1" t="n">
        <f aca="false">J12*$C$3*$C$5/100</f>
        <v>221.375153522878</v>
      </c>
      <c r="K13" s="1" t="n">
        <f aca="false">K12*$C$3*$C$5/100</f>
        <v>895.176624670381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">
        <v>7</v>
      </c>
      <c r="D20" s="1" t="s">
        <v>8</v>
      </c>
      <c r="E20" s="1" t="s">
        <v>9</v>
      </c>
      <c r="F20" s="1" t="s">
        <v>11</v>
      </c>
      <c r="G20" s="1" t="s">
        <v>12</v>
      </c>
      <c r="H20" s="1" t="s">
        <v>13</v>
      </c>
      <c r="I20" s="1" t="s">
        <v>14</v>
      </c>
    </row>
    <row r="21" customFormat="false" ht="23.25" hidden="false" customHeight="true" outlineLevel="0" collapsed="false">
      <c r="B21" s="2" t="s">
        <v>16</v>
      </c>
      <c r="C21" s="3" t="n">
        <f aca="false">INDEX($C$12:$K$12,MATCH(C20,$C$11:$K$11,0))</f>
        <v>7471</v>
      </c>
      <c r="D21" s="4" t="n">
        <f aca="false">INDEX($C$12:$K$12,MATCH(D20,$C$11:$K$11,0))</f>
        <v>1002</v>
      </c>
      <c r="E21" s="5" t="n">
        <f aca="false">INDEX($C$12:$K$12,MATCH(E20,$C$11:$K$11,0))</f>
        <v>10.71</v>
      </c>
      <c r="F21" s="5" t="n">
        <f aca="false">INDEX($C$12:$K$12,MATCH(F20,$C$11:$K$11,0))</f>
        <v>55092.42</v>
      </c>
      <c r="G21" s="5" t="n">
        <f aca="false">INDEX($C$12:$K$12,MATCH(G20,$C$11:$K$11,0))</f>
        <v>10121.89</v>
      </c>
      <c r="H21" s="3" t="n">
        <f aca="false">INDEX($C$12:$K$12,MATCH(H20,$C$11:$K$11,0))</f>
        <v>921.28</v>
      </c>
      <c r="I21" s="3" t="n">
        <f aca="false">INDEX($C$12:$K$12,MATCH(I20,$C$11:$K$11,0))</f>
        <v>807.1</v>
      </c>
    </row>
    <row r="22" customFormat="false" ht="12.75" hidden="false" customHeight="true" outlineLevel="0" collapsed="false">
      <c r="B22" s="1" t="s">
        <v>17</v>
      </c>
      <c r="C22" s="1" t="n">
        <f aca="false">INDEX($C$13:$K$13,MATCH(C20,$C$11:$K$11,0))</f>
        <v>2049.1807359304</v>
      </c>
      <c r="D22" s="1" t="n">
        <f aca="false">INDEX($C$13:$K$13,MATCH(D20,$C$11:$K$11,0))</f>
        <v>274.833234828304</v>
      </c>
      <c r="E22" s="1" t="n">
        <f aca="false">INDEX($C$13:$K$13,MATCH(E20,$C$11:$K$11,0))</f>
        <v>2.93758876747618</v>
      </c>
      <c r="F22" s="1" t="n">
        <f aca="false">INDEX($C$13:$K$13,MATCH(F20,$C$11:$K$11,0))</f>
        <v>15111.0059911373</v>
      </c>
      <c r="G22" s="1" t="n">
        <f aca="false">INDEX($C$13:$K$13,MATCH(G20,$C$11:$K$11,0))</f>
        <v>2776.27921285056</v>
      </c>
      <c r="H22" s="1" t="n">
        <f aca="false">INDEX($C$13:$K$13,MATCH(H20,$C$11:$K$11,0))</f>
        <v>252.692976629361</v>
      </c>
      <c r="I22" s="1" t="n">
        <f aca="false">INDEX($C$13:$K$13,MATCH(I20,$C$11:$K$11,0))</f>
        <v>221.375153522878</v>
      </c>
    </row>
    <row r="23" customFormat="false" ht="12.75" hidden="false" customHeight="true" outlineLevel="0" collapsed="false">
      <c r="B23" s="1" t="s">
        <v>19</v>
      </c>
      <c r="C23" s="3" t="n">
        <f aca="false">INDEX('Total Reserves'!$C$18:$P$18,MATCH(1,INDEX(ISNUMBER(SEARCH(C20,'Total Reserves'!$C$1:$P$1)),0),0))</f>
        <v>14425.9</v>
      </c>
      <c r="D23" s="5" t="n">
        <f aca="false">INDEX('Total Reserves'!$C$18:$P$18,MATCH(1,INDEX(ISNUMBER(SEARCH(D20,'Total Reserves'!$C$1:$P$1)),0),0))</f>
        <v>6158.7</v>
      </c>
      <c r="E23" s="5" t="n">
        <f aca="false">INDEX('Total Reserves'!$C$18:$P$18,MATCH(1,INDEX(ISNUMBER(SEARCH(E20,'Total Reserves'!$C$1:$P$1)),0),0))</f>
        <v>5999.34</v>
      </c>
      <c r="F23" s="5" t="n">
        <f aca="false">INDEX('Total Reserves'!$C$18:$P$18,MATCH(1,INDEX(ISNUMBER(SEARCH(F20,'Total Reserves'!$C$1:$P$1)),0),0))</f>
        <v>66311.75</v>
      </c>
      <c r="G23" s="5" t="n">
        <f aca="false">INDEX('Total Reserves'!$C$18:$P$18,MATCH(1,INDEX(ISNUMBER(SEARCH(G20,'Total Reserves'!$C$1:$P$1)),0),0))</f>
        <v>175830.49</v>
      </c>
      <c r="H23" s="5" t="n">
        <f aca="false">INDEX('Total Reserves'!$C$18:$P$18,MATCH(1,INDEX(ISNUMBER(SEARCH(H20,'Total Reserves'!$C$1:$P$1)),0),0))</f>
        <v>6076.9</v>
      </c>
      <c r="I23" s="3" t="n">
        <f aca="false">INDEX('Total Reserves'!$C$18:$P$18,MATCH(1,INDEX(ISNUMBER(SEARCH(I20,'Total Reserves'!$C$1:$P$1)),0),0))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</f>
        <v>0.142048727353607</v>
      </c>
      <c r="D24" s="1" t="n">
        <f aca="false">D22/D23</f>
        <v>0.044625202531103</v>
      </c>
      <c r="E24" s="1" t="n">
        <f aca="false">E22/E23</f>
        <v>0.000489651989631557</v>
      </c>
      <c r="F24" s="1" t="n">
        <f aca="false">F22/F23</f>
        <v>0.227878256736359</v>
      </c>
      <c r="G24" s="1" t="n">
        <f aca="false">G22/G23</f>
        <v>0.0157895209917834</v>
      </c>
      <c r="H24" s="1" t="n">
        <f aca="false">H22/H23</f>
        <v>0.0415825464676663</v>
      </c>
      <c r="I24" s="1" t="n">
        <f aca="false">I22/I23</f>
        <v>0.0312557574827225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2026-02-07T06:30:32Z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