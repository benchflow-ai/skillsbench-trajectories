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data'!E22:'CFC data'!E29)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inlineStr">
        <is>
          <t>lambda</t>
        </is>
      </c>
    </row>
    <row r="6">
      <c r="C6" t="n">
        <v>2002</v>
      </c>
      <c r="D6" s="19">
        <f>INDEX(PWT!B:B,MATCH(C6,PWT!A:A,0))</f>
        <v/>
      </c>
      <c r="E6">
        <f>INDEX(WEO_Data!C:C,MATCH(C6,WEO_Data!B:B,0))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 t="inlineStr"/>
      <c r="N6" s="5">
        <f>K6-L6</f>
        <v/>
      </c>
      <c r="O6">
        <f>SUMPRODUCT((K6:K27-L6:L27)^2)+P6*SUMPRODUCT(M7:M26^2)</f>
        <v/>
      </c>
      <c r="P6" t="n">
        <v>6.25</v>
      </c>
    </row>
    <row r="7">
      <c r="C7" t="n">
        <v>2003</v>
      </c>
      <c r="D7" s="19">
        <f>INDEX(PWT!B:B,MATCH(C7,PWT!A:A,0))</f>
        <v/>
      </c>
      <c r="E7">
        <f>INDEX(WEO_Data!C:C,MATCH(C7,WEO_Data!B:B,0))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INDEX(PWT!B:B,MATCH(C8,PWT!A:A,0))</f>
        <v/>
      </c>
      <c r="E8">
        <f>INDEX(WEO_Data!C:C,MATCH(C8,WEO_Data!B:B,0))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INDEX(PWT!B:B,MATCH(C9,PWT!A:A,0))</f>
        <v/>
      </c>
      <c r="E9">
        <f>INDEX(WEO_Data!C:C,MATCH(C9,WEO_Data!B:B,0))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INDEX(PWT!B:B,MATCH(C10,PWT!A:A,0))</f>
        <v/>
      </c>
      <c r="E10">
        <f>INDEX(WEO_Data!C:C,MATCH(C10,WEO_Data!B:B,0))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INDEX(PWT!B:B,MATCH(C11,PWT!A:A,0))</f>
        <v/>
      </c>
      <c r="E11">
        <f>INDEX(WEO_Data!C:C,MATCH(C11,WEO_Data!B:B,0))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INDEX(PWT!B:B,MATCH(C12,PWT!A:A,0))</f>
        <v/>
      </c>
      <c r="E12">
        <f>INDEX(WEO_Data!C:C,MATCH(C12,WEO_Data!B:B,0))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INDEX(PWT!B:B,MATCH(C13,PWT!A:A,0))</f>
        <v/>
      </c>
      <c r="E13">
        <f>INDEX(WEO_Data!C:C,MATCH(C13,WEO_Data!B:B,0))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INDEX(PWT!B:B,MATCH(C14,PWT!A:A,0))</f>
        <v/>
      </c>
      <c r="E14">
        <f>INDEX(WEO_Data!C:C,MATCH(C14,WEO_Data!B:B,0))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INDEX(PWT!B:B,MATCH(C15,PWT!A:A,0))</f>
        <v/>
      </c>
      <c r="E15">
        <f>INDEX(WEO_Data!C:C,MATCH(C15,WEO_Data!B:B,0))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INDEX(PWT!B:B,MATCH(C16,PWT!A:A,0))</f>
        <v/>
      </c>
      <c r="E16">
        <f>INDEX(WEO_Data!C:C,MATCH(C16,WEO_Data!B:B,0))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INDEX(PWT!B:B,MATCH(C17,PWT!A:A,0))</f>
        <v/>
      </c>
      <c r="E17">
        <f>INDEX(WEO_Data!C:C,MATCH(C17,WEO_Data!B:B,0))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INDEX(PWT!B:B,MATCH(C18,PWT!A:A,0))</f>
        <v/>
      </c>
      <c r="E18">
        <f>INDEX(WEO_Data!C:C,MATCH(C18,WEO_Data!B:B,0))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INDEX(PWT!B:B,MATCH(C19,PWT!A:A,0))</f>
        <v/>
      </c>
      <c r="E19">
        <f>INDEX(WEO_Data!C:C,MATCH(C19,WEO_Data!B:B,0))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INDEX(PWT!B:B,MATCH(C20,PWT!A:A,0))</f>
        <v/>
      </c>
      <c r="E20">
        <f>INDEX(WEO_Data!C:C,MATCH(C20,WEO_Data!B:B,0))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INDEX(PWT!B:B,MATCH(C21,PWT!A:A,0))</f>
        <v/>
      </c>
      <c r="E21">
        <f>INDEX(WEO_Data!C:C,MATCH(C21,WEO_Data!B:B,0))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INDEX(PWT!B:B,MATCH(C22,PWT!A:A,0))</f>
        <v/>
      </c>
      <c r="E22">
        <f>INDEX(WEO_Data!C:C,MATCH(C22,WEO_Data!B:B,0))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INDEX(PWT!B:B,MATCH(C23,PWT!A:A,0))</f>
        <v/>
      </c>
      <c r="E23">
        <f>INDEX(WEO_Data!C:C,MATCH(C23,WEO_Data!B:B,0))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INDEX(PWT!B:B,MATCH(C24,PWT!A:A,0))</f>
        <v/>
      </c>
      <c r="E24">
        <f>INDEX(WEO_Data!C:C,MATCH(C24,WEO_Data!B:B,0))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INDEX(PWT!B:B,MATCH(C25,PWT!A:A,0))</f>
        <v/>
      </c>
      <c r="E25">
        <f>INDEX(WEO_Data!C:C,MATCH(C25,WEO_Data!B:B,0))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INDEX(PWT!B:B,MATCH(C26,PWT!A:A,0))</f>
        <v/>
      </c>
      <c r="E26">
        <f>INDEX(WEO_Data!C:C,MATCH(C26,WEO_Data!B:B,0))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INDEX(PWT!B:B,MATCH(C27,PWT!A:A,0))</f>
        <v/>
      </c>
      <c r="E27">
        <f>INDEX(WEO_Data!C:C,MATCH(C27,WEO_Data!B:B,0))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inlineStr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304.52</v>
      </c>
      <c r="D2" s="19">
        <f>INDEX(PWT!B:B,MATCH(B2,PWT!A:A,0))</f>
        <v/>
      </c>
      <c r="E2">
        <f>C2/D2</f>
        <v/>
      </c>
    </row>
    <row r="3">
      <c r="A3" s="18" t="n">
        <v>35795</v>
      </c>
      <c r="B3" t="n">
        <v>1997</v>
      </c>
      <c r="C3" t="n">
        <v>383.64</v>
      </c>
      <c r="D3" s="19">
        <f>INDEX(PWT!B:B,MATCH(B3,PWT!A:A,0))</f>
        <v/>
      </c>
      <c r="E3">
        <f>C3/D3</f>
        <v/>
      </c>
    </row>
    <row r="4">
      <c r="A4" s="18" t="n">
        <v>36160</v>
      </c>
      <c r="B4" t="n">
        <v>1998</v>
      </c>
      <c r="C4" t="n">
        <v>516.4</v>
      </c>
      <c r="D4" s="19">
        <f>INDEX(PWT!B:B,MATCH(B4,PWT!A:A,0))</f>
        <v/>
      </c>
      <c r="E4">
        <f>C4/D4</f>
        <v/>
      </c>
    </row>
    <row r="5">
      <c r="A5" s="18" t="n">
        <v>36525</v>
      </c>
      <c r="B5" t="n">
        <v>1999</v>
      </c>
      <c r="C5" t="n">
        <v>661.6</v>
      </c>
      <c r="D5" s="19">
        <f>INDEX(PWT!B:B,MATCH(B5,PWT!A:A,0))</f>
        <v/>
      </c>
      <c r="E5">
        <f>C5/D5</f>
        <v/>
      </c>
    </row>
    <row r="6">
      <c r="A6" s="18" t="n">
        <v>36891</v>
      </c>
      <c r="B6" t="n">
        <v>2000</v>
      </c>
      <c r="C6" t="n">
        <v>631.7</v>
      </c>
      <c r="D6" s="19">
        <f>INDEX(PWT!B:B,MATCH(B6,PWT!A:A,0))</f>
        <v/>
      </c>
      <c r="E6">
        <f>C6/D6</f>
        <v/>
      </c>
    </row>
    <row r="7">
      <c r="A7" s="18" t="n">
        <v>37256</v>
      </c>
      <c r="B7" t="n">
        <v>2001</v>
      </c>
      <c r="C7" t="n">
        <v>706.98</v>
      </c>
      <c r="D7" s="19">
        <f>INDEX(PWT!B:B,MATCH(B7,PWT!A:A,0))</f>
        <v/>
      </c>
      <c r="E7">
        <f>C7/D7</f>
        <v/>
      </c>
    </row>
    <row r="8">
      <c r="A8" s="18" t="n">
        <v>37621</v>
      </c>
      <c r="B8" t="n">
        <v>2002</v>
      </c>
      <c r="C8" t="n">
        <v>790.11</v>
      </c>
      <c r="D8" s="19">
        <f>INDEX(PWT!B:B,MATCH(B8,PWT!A:A,0))</f>
        <v/>
      </c>
      <c r="E8">
        <f>C8/D8</f>
        <v/>
      </c>
    </row>
    <row r="9">
      <c r="A9" s="18" t="n">
        <v>37986</v>
      </c>
      <c r="B9" t="n">
        <v>2003</v>
      </c>
      <c r="C9" t="n">
        <v>932.92</v>
      </c>
      <c r="D9" s="19">
        <f>INDEX(PWT!B:B,MATCH(B9,PWT!A:A,0))</f>
        <v/>
      </c>
      <c r="E9">
        <f>C9/D9</f>
        <v/>
      </c>
    </row>
    <row r="10">
      <c r="A10" s="18" t="n">
        <v>38352</v>
      </c>
      <c r="B10" t="n">
        <v>2004</v>
      </c>
      <c r="C10" t="n">
        <v>976.8200000000001</v>
      </c>
      <c r="D10" s="19">
        <f>INDEX(PWT!B:B,MATCH(B10,PWT!A:A,0))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</v>
      </c>
      <c r="D11" s="19">
        <f>INDEX(PWT!B:B,MATCH(B11,PWT!A:A,0))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</v>
      </c>
      <c r="D12" s="19">
        <f>INDEX(PWT!B:B,MATCH(B12,PWT!A:A,0))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1617.03</v>
      </c>
      <c r="D13" s="19">
        <f>INDEX(PWT!B:B,MATCH(B13,PWT!A:A,0))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1758.05</v>
      </c>
      <c r="D14" s="19">
        <f>INDEX(PWT!B:B,MATCH(B14,PWT!A:A,0))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1751.37</v>
      </c>
      <c r="D15" s="19">
        <f>INDEX(PWT!B:B,MATCH(B15,PWT!A:A,0))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</v>
      </c>
      <c r="D16" s="19">
        <f>INDEX(PWT!B:B,MATCH(B16,PWT!A:A,0))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</v>
      </c>
      <c r="D17" s="19">
        <f>INDEX(PWT!B:B,MATCH(B17,PWT!A:A,0))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</v>
      </c>
      <c r="D18" s="19">
        <f>INDEX(PWT!B:B,MATCH(B18,PWT!A:A,0))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</v>
      </c>
      <c r="D19" s="19">
        <f>INDEX(PWT!B:B,MATCH(B19,PWT!A:A,0))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</v>
      </c>
      <c r="D20" s="19">
        <f>INDEX(PWT!B:B,MATCH(B20,PWT!A:A,0))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</v>
      </c>
      <c r="D21" s="19">
        <f>INDEX(PWT!B:B,MATCH(B21,PWT!A:A,0))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4004.83</v>
      </c>
      <c r="D22" s="19">
        <f>INDEX(PWT!B:B,MATCH(B22,PWT!A:A,0))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</v>
      </c>
      <c r="D23" s="19">
        <f>INDEX(PWT!B:B,MATCH(B23,PWT!A:A,0))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4843.62</v>
      </c>
      <c r="D24" s="19">
        <f>INDEX(PWT!B:B,MATCH(B24,PWT!A:A,0))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5452.96</v>
      </c>
      <c r="D25" s="19">
        <f>INDEX(PWT!B:B,MATCH(B25,PWT!A:A,0))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6152.77</v>
      </c>
      <c r="D26" s="19">
        <f>INDEX(PWT!B:B,MATCH(B26,PWT!A:A,0))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7072.63</v>
      </c>
      <c r="D27" s="19">
        <f>INDEX(PWT!B:B,MATCH(B27,PWT!A:A,0))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7661.45</v>
      </c>
      <c r="D28" s="19">
        <f>INDEX(PWT!B:B,MATCH(B28,PWT!A:A,0))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9410.66</v>
      </c>
      <c r="D29" s="19">
        <f>INDEX(PWT!B:B,MATCH(B29,PWT!A:A,0))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cn</t>
        </is>
      </c>
    </row>
    <row r="2">
      <c r="A2" s="19" t="n">
        <v>1990</v>
      </c>
      <c r="B2" s="19" t="n">
        <v>333953.9062</v>
      </c>
      <c r="C2" t="n">
        <v>97619.82030000001</v>
      </c>
    </row>
    <row r="3">
      <c r="A3" s="19" t="n">
        <v>1991</v>
      </c>
      <c r="B3" s="19" t="n">
        <v>336800.125</v>
      </c>
      <c r="C3" t="n">
        <v>98005.4688</v>
      </c>
    </row>
    <row r="4">
      <c r="A4" s="19" t="n">
        <v>1992</v>
      </c>
      <c r="B4" s="19" t="n">
        <v>331575.3438</v>
      </c>
      <c r="C4" t="n">
        <v>96233.0312</v>
      </c>
    </row>
    <row r="5">
      <c r="A5" s="19" t="n">
        <v>1993</v>
      </c>
      <c r="B5" s="19" t="n">
        <v>318977.5625</v>
      </c>
      <c r="C5" t="n">
        <v>92363.24219999999</v>
      </c>
    </row>
    <row r="6">
      <c r="A6" s="19" t="n">
        <v>1994</v>
      </c>
      <c r="B6" s="19" t="n">
        <v>310557.2188</v>
      </c>
      <c r="C6" t="n">
        <v>89656.92969999999</v>
      </c>
    </row>
    <row r="7">
      <c r="A7" s="19" t="n">
        <v>1995</v>
      </c>
      <c r="B7" s="19" t="n">
        <v>305633.2812</v>
      </c>
      <c r="C7" t="n">
        <v>87990.71090000001</v>
      </c>
    </row>
    <row r="8">
      <c r="A8" s="19" t="n">
        <v>1996</v>
      </c>
      <c r="B8" s="19" t="n">
        <v>301706.4688</v>
      </c>
      <c r="C8" t="n">
        <v>86813.2188</v>
      </c>
    </row>
    <row r="9">
      <c r="A9" s="19" t="n">
        <v>1997</v>
      </c>
      <c r="B9" s="19" t="n">
        <v>298764.625</v>
      </c>
      <c r="C9" t="n">
        <v>86340.6875</v>
      </c>
    </row>
    <row r="10">
      <c r="A10" s="19" t="n">
        <v>1998</v>
      </c>
      <c r="B10" s="19" t="n">
        <v>298990.5</v>
      </c>
      <c r="C10" t="n">
        <v>87859.49219999999</v>
      </c>
    </row>
    <row r="11">
      <c r="A11" s="19" t="n">
        <v>1999</v>
      </c>
      <c r="B11" s="19" t="n">
        <v>299754.7812</v>
      </c>
      <c r="C11" t="n">
        <v>89827.17969999999</v>
      </c>
    </row>
    <row r="12">
      <c r="A12" s="19" t="n">
        <v>2000</v>
      </c>
      <c r="B12" s="19" t="n">
        <v>300383.3125</v>
      </c>
      <c r="C12" t="n">
        <v>91999.44530000001</v>
      </c>
    </row>
    <row r="13">
      <c r="A13" s="19" t="n">
        <v>2001</v>
      </c>
      <c r="B13" s="19" t="n">
        <v>302284.0625</v>
      </c>
      <c r="C13" t="n">
        <v>95152.64840000001</v>
      </c>
    </row>
    <row r="14">
      <c r="A14" s="19" t="n">
        <v>2002</v>
      </c>
      <c r="B14" s="19" t="n">
        <v>303592.625</v>
      </c>
      <c r="C14" t="n">
        <v>98435.85159999999</v>
      </c>
    </row>
    <row r="15">
      <c r="A15" s="19" t="n">
        <v>2003</v>
      </c>
      <c r="B15" s="19" t="n">
        <v>307310.2812</v>
      </c>
      <c r="C15" t="n">
        <v>102583.25</v>
      </c>
    </row>
    <row r="16">
      <c r="A16" s="19" t="n">
        <v>2004</v>
      </c>
      <c r="B16" s="19" t="n">
        <v>311984.2812</v>
      </c>
      <c r="C16" t="n">
        <v>106668.1953</v>
      </c>
    </row>
    <row r="17">
      <c r="A17" s="19" t="n">
        <v>2005</v>
      </c>
      <c r="B17" s="19" t="n">
        <v>317837.8125</v>
      </c>
      <c r="C17" t="n">
        <v>110235.0547</v>
      </c>
    </row>
    <row r="18">
      <c r="A18" s="19" t="n">
        <v>2006</v>
      </c>
      <c r="B18" s="19" t="n">
        <v>322943.6562</v>
      </c>
      <c r="C18" t="n">
        <v>110246.6406</v>
      </c>
    </row>
    <row r="19">
      <c r="A19" s="19" t="n">
        <v>2007</v>
      </c>
      <c r="B19" s="19" t="n">
        <v>329445.875</v>
      </c>
      <c r="C19" t="n">
        <v>107438.5156</v>
      </c>
    </row>
    <row r="20">
      <c r="A20" s="19" t="n">
        <v>2008</v>
      </c>
      <c r="B20" s="19" t="n">
        <v>332604.4688</v>
      </c>
      <c r="C20" t="n">
        <v>102823.7109</v>
      </c>
    </row>
    <row r="21">
      <c r="A21" s="19" t="n">
        <v>2009</v>
      </c>
      <c r="B21" s="19" t="n">
        <v>330608.2812</v>
      </c>
      <c r="C21" t="n">
        <v>97313.80469999999</v>
      </c>
    </row>
    <row r="22">
      <c r="A22" s="19" t="n">
        <v>2010</v>
      </c>
      <c r="B22" s="19" t="n">
        <v>332551.5312</v>
      </c>
      <c r="C22" t="n">
        <v>94742.83590000001</v>
      </c>
    </row>
    <row r="23">
      <c r="A23" s="19" t="n">
        <v>2011</v>
      </c>
      <c r="B23" s="19" t="n">
        <v>336560.2812</v>
      </c>
      <c r="C23" t="n">
        <v>95178.9688</v>
      </c>
    </row>
    <row r="24">
      <c r="A24" s="19" t="n">
        <v>2012</v>
      </c>
      <c r="B24" s="19" t="n">
        <v>341471.1875</v>
      </c>
      <c r="C24" t="n">
        <v>122805.1719</v>
      </c>
    </row>
    <row r="25">
      <c r="A25" s="19" t="n">
        <v>2013</v>
      </c>
      <c r="B25" s="19" t="n">
        <v>344239.0312</v>
      </c>
      <c r="C25" t="n">
        <v>142415.125</v>
      </c>
    </row>
    <row r="26">
      <c r="A26" s="19" t="n">
        <v>2014</v>
      </c>
      <c r="B26" s="19" t="n">
        <v>350962.1562</v>
      </c>
      <c r="C26" t="n">
        <v>161007.875</v>
      </c>
    </row>
    <row r="27">
      <c r="A27" s="19" t="n">
        <v>2015</v>
      </c>
      <c r="B27" s="19" t="n">
        <v>360259.8125</v>
      </c>
      <c r="C27" t="n">
        <v>193743.3438</v>
      </c>
    </row>
    <row r="28">
      <c r="A28" s="19" t="n">
        <v>2016</v>
      </c>
      <c r="B28" s="19" t="n">
        <v>370547.6562</v>
      </c>
      <c r="C28" t="n">
        <v>241737.2812</v>
      </c>
    </row>
    <row r="29">
      <c r="A29" s="19" t="n">
        <v>2017</v>
      </c>
      <c r="B29" s="19" t="n">
        <v>380655.7812</v>
      </c>
      <c r="C29" t="n">
        <v>285515.2188</v>
      </c>
    </row>
    <row r="30">
      <c r="A30" s="19" t="n">
        <v>2018</v>
      </c>
      <c r="B30" s="19" t="n">
        <v>390625.1875</v>
      </c>
      <c r="C30" t="n">
        <v>311516.2812</v>
      </c>
    </row>
    <row r="31">
      <c r="A31" s="19" t="n">
        <v>2019</v>
      </c>
      <c r="B31" s="19" t="n">
        <v>399934.2812</v>
      </c>
      <c r="C31" t="n">
        <v>376275.3125</v>
      </c>
    </row>
    <row r="32">
      <c r="A32" s="19" t="n">
        <v>2020</v>
      </c>
      <c r="B32" s="19" t="n">
        <v>405156.1562</v>
      </c>
      <c r="C32" t="n">
        <v>399646.25</v>
      </c>
    </row>
    <row r="33">
      <c r="A33" s="19" t="n">
        <v>2021</v>
      </c>
      <c r="B33" s="19" t="n">
        <v>409189.75</v>
      </c>
      <c r="C33" t="n">
        <v>409189.75</v>
      </c>
    </row>
    <row r="34">
      <c r="A34" s="19" t="n">
        <v>2022</v>
      </c>
      <c r="B34" s="19" t="n">
        <v>415085.8438</v>
      </c>
      <c r="C34" t="n">
        <v>416818.125</v>
      </c>
    </row>
    <row r="35">
      <c r="A35" s="19" t="n">
        <v>2023</v>
      </c>
      <c r="B35" s="19" t="n">
        <v>426190.5</v>
      </c>
      <c r="C35" t="n">
        <v>426327.3438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D35</f>
        <v/>
      </c>
    </row>
    <row r="38">
      <c r="B38" t="n">
        <v>2030</v>
      </c>
      <c r="C38">
        <f>C37*(1+D38/100)</f>
        <v/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2026-02-07T07:02:49Z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