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NA" sheetId="1" state="visible" r:id="rId1"/>
    <sheet name="WEO_Data" sheetId="2" state="visible" r:id="rId2"/>
    <sheet name="SUPPLY" sheetId="3" state="visible" r:id="rId3"/>
    <sheet name="USE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>
        <f>WEO_Data!D2</f>
        <v/>
      </c>
      <c r="D3" s="10" t="n">
        <v>0</v>
      </c>
      <c r="E3" s="10" t="n">
        <v>0</v>
      </c>
      <c r="F3" s="10" t="n">
        <v>0</v>
      </c>
      <c r="G3" s="10" t="n">
        <v>0</v>
      </c>
      <c r="H3" s="10">
        <f>$D$31</f>
        <v/>
      </c>
      <c r="I3" s="10">
        <f>G3/C3</f>
        <v/>
      </c>
      <c r="J3" s="11">
        <f>WEO_Data!B2</f>
        <v/>
      </c>
      <c r="K3" s="12">
        <f>J3</f>
        <v/>
      </c>
    </row>
    <row r="4">
      <c r="B4" s="13" t="n">
        <v>2021</v>
      </c>
      <c r="C4">
        <f>WEO_Data!D3</f>
        <v/>
      </c>
      <c r="D4" t="n">
        <v>0</v>
      </c>
      <c r="E4" t="n">
        <v>0</v>
      </c>
      <c r="F4" t="n">
        <v>0</v>
      </c>
      <c r="G4" t="n">
        <v>0</v>
      </c>
      <c r="H4">
        <f>$D$31</f>
        <v/>
      </c>
      <c r="I4">
        <f>G4/C4</f>
        <v/>
      </c>
      <c r="J4">
        <f>WEO_Data!B3</f>
        <v/>
      </c>
      <c r="K4" s="15">
        <f>((C4+G4)/(C3+G3))-1</f>
        <v/>
      </c>
    </row>
    <row r="5">
      <c r="B5" s="13" t="n">
        <v>2022</v>
      </c>
      <c r="C5">
        <f>WEO_Data!D4</f>
        <v/>
      </c>
      <c r="D5" t="n">
        <v>0</v>
      </c>
      <c r="E5" t="n">
        <v>0</v>
      </c>
      <c r="F5" t="n">
        <v>0</v>
      </c>
      <c r="G5" t="n">
        <v>0</v>
      </c>
      <c r="H5">
        <f>$D$31</f>
        <v/>
      </c>
      <c r="I5">
        <f>G5/C5</f>
        <v/>
      </c>
      <c r="J5">
        <f>WEO_Data!B4</f>
        <v/>
      </c>
      <c r="K5" s="15">
        <f>((C5+G5)/(C4+G4))-1</f>
        <v/>
      </c>
    </row>
    <row r="6">
      <c r="B6" s="13" t="n">
        <v>2023</v>
      </c>
      <c r="C6">
        <f>WEO_Data!D5</f>
        <v/>
      </c>
      <c r="D6" t="n">
        <v>0</v>
      </c>
      <c r="E6" t="n">
        <v>0</v>
      </c>
      <c r="F6" t="n">
        <v>0</v>
      </c>
      <c r="G6" t="n">
        <v>0</v>
      </c>
      <c r="H6">
        <f>$D$31</f>
        <v/>
      </c>
      <c r="I6">
        <f>G6/C6</f>
        <v/>
      </c>
      <c r="J6">
        <f>WEO_Data!B5</f>
        <v/>
      </c>
      <c r="K6" s="15">
        <f>((C6+G6)/(C5+G5))-1</f>
        <v/>
      </c>
    </row>
    <row r="7">
      <c r="B7" s="13" t="n">
        <v>2024</v>
      </c>
      <c r="C7">
        <f>WEO_Data!D6</f>
        <v/>
      </c>
      <c r="D7" t="n">
        <v>0</v>
      </c>
      <c r="E7" t="n">
        <v>0</v>
      </c>
      <c r="F7" t="n">
        <v>0</v>
      </c>
      <c r="G7" t="n">
        <v>0</v>
      </c>
      <c r="H7">
        <f>$D$31</f>
        <v/>
      </c>
      <c r="I7">
        <f>G7/C7</f>
        <v/>
      </c>
      <c r="J7">
        <f>WEO_Data!B6</f>
        <v/>
      </c>
      <c r="K7" s="15">
        <f>((C7+G7)/(C6+G6))-1</f>
        <v/>
      </c>
    </row>
    <row r="8">
      <c r="B8" s="13" t="n">
        <v>2025</v>
      </c>
      <c r="C8">
        <f>WEO_Data!D7</f>
        <v/>
      </c>
      <c r="D8" t="n">
        <v>0</v>
      </c>
      <c r="E8" t="n">
        <v>0</v>
      </c>
      <c r="F8" t="n">
        <v>0</v>
      </c>
      <c r="G8" t="n">
        <v>0</v>
      </c>
      <c r="H8">
        <f>$D$31</f>
        <v/>
      </c>
      <c r="I8">
        <f>G8/C8</f>
        <v/>
      </c>
      <c r="J8">
        <f>WEO_Data!B7</f>
        <v/>
      </c>
      <c r="K8" s="15">
        <f>((C8+G8)/(C7+G7))-1</f>
        <v/>
      </c>
    </row>
    <row r="9">
      <c r="B9" s="13" t="n">
        <v>2026</v>
      </c>
      <c r="C9">
        <f>WEO_Data!D8</f>
        <v/>
      </c>
      <c r="D9" t="n">
        <v>0.05</v>
      </c>
      <c r="E9">
        <f>($D$33*D9*$D$30)/(WEO_Data!E8/100)</f>
        <v/>
      </c>
      <c r="F9">
        <f>E9*'SUT Calc'!$C$46</f>
        <v/>
      </c>
      <c r="G9">
        <f>(E9-F9)*$D$31</f>
        <v/>
      </c>
      <c r="H9">
        <f>$D$31</f>
        <v/>
      </c>
      <c r="I9">
        <f>G9/C9</f>
        <v/>
      </c>
      <c r="J9" s="16">
        <f>WEO_Data!B8</f>
        <v/>
      </c>
      <c r="K9" s="15">
        <f>((C9+G9)/(C8+G8))-1</f>
        <v/>
      </c>
    </row>
    <row r="10">
      <c r="B10" s="13" t="n">
        <v>2027</v>
      </c>
      <c r="C10">
        <f>WEO_Data!D9</f>
        <v/>
      </c>
      <c r="D10" t="n">
        <v>0.1</v>
      </c>
      <c r="E10">
        <f>($D$33*D10*$D$30)/(WEO_Data!E9/100)</f>
        <v/>
      </c>
      <c r="F10">
        <f>E10*'SUT Calc'!$C$46</f>
        <v/>
      </c>
      <c r="G10">
        <f>(E10-F10)*$D$31</f>
        <v/>
      </c>
      <c r="H10">
        <f>$D$31</f>
        <v/>
      </c>
      <c r="I10">
        <f>G10/C10</f>
        <v/>
      </c>
      <c r="J10">
        <f>WEO_Data!B9</f>
        <v/>
      </c>
      <c r="K10" s="15">
        <f>((C10+G10)/(C9+G9))-1</f>
        <v/>
      </c>
    </row>
    <row r="11">
      <c r="B11" s="13" t="n">
        <v>2028</v>
      </c>
      <c r="C11">
        <f>WEO_Data!D10</f>
        <v/>
      </c>
      <c r="D11" t="n">
        <v>0.15</v>
      </c>
      <c r="E11">
        <f>($D$33*D11*$D$30)/(WEO_Data!E10/100)</f>
        <v/>
      </c>
      <c r="F11">
        <f>E11*'SUT Calc'!$C$46</f>
        <v/>
      </c>
      <c r="G11">
        <f>(E11-F11)*$D$31</f>
        <v/>
      </c>
      <c r="H11">
        <f>$D$31</f>
        <v/>
      </c>
      <c r="I11">
        <f>G11/C11</f>
        <v/>
      </c>
      <c r="J11">
        <f>WEO_Data!B10</f>
        <v/>
      </c>
      <c r="K11" s="15">
        <f>((C11+G11)/(C10+G10))-1</f>
        <v/>
      </c>
    </row>
    <row r="12">
      <c r="B12" s="13" t="n">
        <v>2029</v>
      </c>
      <c r="C12">
        <f>WEO_Data!D11</f>
        <v/>
      </c>
      <c r="D12" t="n">
        <v>0.2</v>
      </c>
      <c r="E12">
        <f>($D$33*D12*$D$30)/(WEO_Data!E11/100)</f>
        <v/>
      </c>
      <c r="F12">
        <f>E12*'SUT Calc'!$C$46</f>
        <v/>
      </c>
      <c r="G12">
        <f>(E12-F12)*$D$31</f>
        <v/>
      </c>
      <c r="H12">
        <f>$D$31</f>
        <v/>
      </c>
      <c r="I12">
        <f>G12/C12</f>
        <v/>
      </c>
      <c r="J12">
        <f>WEO_Data!B11</f>
        <v/>
      </c>
      <c r="K12" s="15">
        <f>((C12+G12)/(C11+G11))-1</f>
        <v/>
      </c>
    </row>
    <row r="13">
      <c r="B13" s="13" t="n">
        <v>2030</v>
      </c>
      <c r="C13">
        <f>WEO_Data!D12</f>
        <v/>
      </c>
      <c r="D13" t="n">
        <v>0.2</v>
      </c>
      <c r="E13">
        <f>($D$33*D13*$D$30)/(WEO_Data!E12/100)</f>
        <v/>
      </c>
      <c r="F13">
        <f>E13*'SUT Calc'!$C$46</f>
        <v/>
      </c>
      <c r="G13">
        <f>(E13-F13)*$D$31</f>
        <v/>
      </c>
      <c r="H13">
        <f>$D$31</f>
        <v/>
      </c>
      <c r="I13">
        <f>G13/C13</f>
        <v/>
      </c>
      <c r="J13" s="17">
        <f>WEO_Data!B12</f>
        <v/>
      </c>
      <c r="K13" s="15">
        <f>((C13+G13)/(C12+G12))-1</f>
        <v/>
      </c>
    </row>
    <row r="14">
      <c r="B14" s="13" t="n">
        <v>2031</v>
      </c>
      <c r="C14">
        <f>WEO_Data!D13</f>
        <v/>
      </c>
      <c r="D14" t="n">
        <v>0.15</v>
      </c>
      <c r="E14">
        <f>($D$33*D14*$D$30)/(WEO_Data!E13/100)</f>
        <v/>
      </c>
      <c r="F14">
        <f>E14*'SUT Calc'!$C$46</f>
        <v/>
      </c>
      <c r="G14">
        <f>(E14-F14)*$D$31</f>
        <v/>
      </c>
      <c r="H14">
        <f>$D$31</f>
        <v/>
      </c>
      <c r="I14">
        <f>G14/C14</f>
        <v/>
      </c>
      <c r="J14" s="17">
        <f>WEO_Data!B13</f>
        <v/>
      </c>
      <c r="K14" s="15">
        <f>((C14+G14)/(C13+G13))-1</f>
        <v/>
      </c>
    </row>
    <row r="15">
      <c r="B15" s="13" t="n">
        <v>2032</v>
      </c>
      <c r="C15">
        <f>WEO_Data!D14</f>
        <v/>
      </c>
      <c r="D15" t="n">
        <v>0.1</v>
      </c>
      <c r="E15">
        <f>($D$33*D15*$D$30)/(WEO_Data!E14/100)</f>
        <v/>
      </c>
      <c r="F15">
        <f>E15*'SUT Calc'!$C$46</f>
        <v/>
      </c>
      <c r="G15">
        <f>(E15-F15)*$D$31</f>
        <v/>
      </c>
      <c r="H15">
        <f>$D$31</f>
        <v/>
      </c>
      <c r="I15">
        <f>G15/C15</f>
        <v/>
      </c>
      <c r="J15" s="17">
        <f>WEO_Data!B14</f>
        <v/>
      </c>
      <c r="K15" s="15">
        <f>((C15+G15)/(C14+G14))-1</f>
        <v/>
      </c>
    </row>
    <row r="16">
      <c r="B16" s="13" t="n">
        <v>2033</v>
      </c>
      <c r="C16">
        <f>WEO_Data!D15</f>
        <v/>
      </c>
      <c r="D16" t="n">
        <v>0.05</v>
      </c>
      <c r="E16">
        <f>($D$33*D16*$D$30)/(WEO_Data!E15/100)</f>
        <v/>
      </c>
      <c r="F16">
        <f>E16*'SUT Calc'!$C$46</f>
        <v/>
      </c>
      <c r="G16">
        <f>(E16-F16)*$D$31</f>
        <v/>
      </c>
      <c r="H16">
        <f>$D$31</f>
        <v/>
      </c>
      <c r="I16">
        <f>G16/C16</f>
        <v/>
      </c>
      <c r="J16" s="17">
        <f>WEO_Data!B15</f>
        <v/>
      </c>
      <c r="K16" s="15">
        <f>((C16+G16)/(C15+G15))-1</f>
        <v/>
      </c>
    </row>
    <row r="17">
      <c r="B17" s="13" t="n">
        <v>2034</v>
      </c>
      <c r="C17">
        <f>WEO_Data!D16</f>
        <v/>
      </c>
      <c r="D17" t="n">
        <v>0</v>
      </c>
      <c r="E17" t="n">
        <v>0</v>
      </c>
      <c r="F17" t="n">
        <v>0</v>
      </c>
      <c r="G17" t="n">
        <v>0</v>
      </c>
      <c r="H17">
        <f>$D$31</f>
        <v/>
      </c>
      <c r="I17">
        <f>G17/C17</f>
        <v/>
      </c>
      <c r="J17" s="17">
        <f>WEO_Data!B16</f>
        <v/>
      </c>
      <c r="K17" s="15">
        <f>((C17+G17)/(C16+G16))-1</f>
        <v/>
      </c>
    </row>
    <row r="18">
      <c r="B18" s="13" t="n">
        <v>2035</v>
      </c>
      <c r="C18">
        <f>WEO_Data!D17</f>
        <v/>
      </c>
      <c r="D18" t="n">
        <v>0</v>
      </c>
      <c r="E18" t="n">
        <v>0</v>
      </c>
      <c r="F18" t="n">
        <v>0</v>
      </c>
      <c r="G18" t="n">
        <v>0</v>
      </c>
      <c r="H18">
        <f>$D$31</f>
        <v/>
      </c>
      <c r="I18">
        <f>G18/C18</f>
        <v/>
      </c>
      <c r="J18" s="17">
        <f>WEO_Data!B17</f>
        <v/>
      </c>
      <c r="K18" s="15">
        <f>((C18+G18)/(C17+G17))-1</f>
        <v/>
      </c>
    </row>
    <row r="19">
      <c r="B19" s="13" t="n">
        <v>2036</v>
      </c>
      <c r="C19">
        <f>WEO_Data!D18</f>
        <v/>
      </c>
      <c r="D19" t="n">
        <v>0</v>
      </c>
      <c r="E19" t="n">
        <v>0</v>
      </c>
      <c r="F19" t="n">
        <v>0</v>
      </c>
      <c r="G19" t="n">
        <v>0</v>
      </c>
      <c r="H19">
        <f>$D$31</f>
        <v/>
      </c>
      <c r="I19">
        <f>G19/C19</f>
        <v/>
      </c>
      <c r="J19" s="17">
        <f>WEO_Data!B18</f>
        <v/>
      </c>
      <c r="K19" s="15">
        <f>((C19+G19)/(C18+G18))-1</f>
        <v/>
      </c>
    </row>
    <row r="20">
      <c r="B20" s="13" t="n">
        <v>2037</v>
      </c>
      <c r="C20">
        <f>WEO_Data!D19</f>
        <v/>
      </c>
      <c r="D20" t="n">
        <v>0</v>
      </c>
      <c r="E20" t="n">
        <v>0</v>
      </c>
      <c r="F20" t="n">
        <v>0</v>
      </c>
      <c r="G20" t="n">
        <v>0</v>
      </c>
      <c r="H20">
        <f>$D$31</f>
        <v/>
      </c>
      <c r="I20">
        <f>G20/C20</f>
        <v/>
      </c>
      <c r="J20" s="17">
        <f>WEO_Data!B19</f>
        <v/>
      </c>
      <c r="K20" s="15">
        <f>((C20+G20)/(C19+G19))-1</f>
        <v/>
      </c>
    </row>
    <row r="21">
      <c r="B21" s="13" t="n">
        <v>2038</v>
      </c>
      <c r="C21">
        <f>WEO_Data!D20</f>
        <v/>
      </c>
      <c r="D21" t="n">
        <v>0</v>
      </c>
      <c r="E21" t="n">
        <v>0</v>
      </c>
      <c r="F21" t="n">
        <v>0</v>
      </c>
      <c r="G21" t="n">
        <v>0</v>
      </c>
      <c r="H21">
        <f>$D$31</f>
        <v/>
      </c>
      <c r="I21">
        <f>G21/C21</f>
        <v/>
      </c>
      <c r="J21" s="17">
        <f>WEO_Data!B20</f>
        <v/>
      </c>
      <c r="K21" s="15">
        <f>((C21+G21)/(C20+G20))-1</f>
        <v/>
      </c>
    </row>
    <row r="22">
      <c r="B22" s="13" t="n">
        <v>2039</v>
      </c>
      <c r="C22">
        <f>WEO_Data!D21</f>
        <v/>
      </c>
      <c r="D22" t="n">
        <v>0</v>
      </c>
      <c r="E22" t="n">
        <v>0</v>
      </c>
      <c r="F22" t="n">
        <v>0</v>
      </c>
      <c r="G22" t="n">
        <v>0</v>
      </c>
      <c r="H22">
        <f>$D$31</f>
        <v/>
      </c>
      <c r="I22">
        <f>G22/C22</f>
        <v/>
      </c>
      <c r="J22" s="17">
        <f>WEO_Data!B21</f>
        <v/>
      </c>
      <c r="K22" s="15">
        <f>((C22+G22)/(C21+G21))-1</f>
        <v/>
      </c>
    </row>
    <row r="23">
      <c r="B23" s="13" t="n">
        <v>2040</v>
      </c>
      <c r="C23">
        <f>WEO_Data!D22</f>
        <v/>
      </c>
      <c r="D23" t="n">
        <v>0</v>
      </c>
      <c r="E23" t="n">
        <v>0</v>
      </c>
      <c r="F23" t="n">
        <v>0</v>
      </c>
      <c r="G23" t="n">
        <v>0</v>
      </c>
      <c r="H23">
        <f>$D$31</f>
        <v/>
      </c>
      <c r="I23">
        <f>G23/C23</f>
        <v/>
      </c>
      <c r="J23" s="17">
        <f>WEO_Data!B22</f>
        <v/>
      </c>
      <c r="K23" s="15">
        <f>((C23+G23)/(C22+G22))-1</f>
        <v/>
      </c>
    </row>
    <row r="24">
      <c r="B24" s="13" t="n">
        <v>2041</v>
      </c>
      <c r="C24">
        <f>WEO_Data!D23</f>
        <v/>
      </c>
      <c r="D24" t="n">
        <v>0</v>
      </c>
      <c r="E24" t="n">
        <v>0</v>
      </c>
      <c r="F24" t="n">
        <v>0</v>
      </c>
      <c r="G24" t="n">
        <v>0</v>
      </c>
      <c r="H24">
        <f>$D$31</f>
        <v/>
      </c>
      <c r="I24">
        <f>G24/C24</f>
        <v/>
      </c>
      <c r="J24" s="17">
        <f>WEO_Data!B23</f>
        <v/>
      </c>
      <c r="K24" s="15">
        <f>((C24+G24)/(C23+G23))-1</f>
        <v/>
      </c>
    </row>
    <row r="25">
      <c r="B25" s="18" t="n">
        <v>2042</v>
      </c>
      <c r="C25" s="19">
        <f>WEO_Data!D24</f>
        <v/>
      </c>
      <c r="D25" s="19" t="n">
        <v>0</v>
      </c>
      <c r="E25" s="19" t="n">
        <v>0</v>
      </c>
      <c r="F25" s="19" t="n">
        <v>0</v>
      </c>
      <c r="G25" s="19" t="n">
        <v>0</v>
      </c>
      <c r="H25" s="19">
        <f>$D$31</f>
        <v/>
      </c>
      <c r="I25" s="19">
        <f>G25/C25</f>
        <v/>
      </c>
      <c r="J25" s="20">
        <f>WEO_Data!B24</f>
        <v/>
      </c>
      <c r="K25" s="21">
        <f>((C25+G25)/(C24+G24))-1</f>
        <v/>
      </c>
    </row>
    <row r="26">
      <c r="B26" t="n">
        <v>2043</v>
      </c>
      <c r="C26">
        <f>WEO_Data!D25</f>
        <v/>
      </c>
      <c r="D26" t="n">
        <v>0</v>
      </c>
      <c r="E26" t="n">
        <v>0</v>
      </c>
      <c r="F26" t="n">
        <v>0</v>
      </c>
      <c r="G26" t="n">
        <v>0</v>
      </c>
      <c r="H26">
        <f>$D$31</f>
        <v/>
      </c>
      <c r="I26">
        <f>G26/C26</f>
        <v/>
      </c>
      <c r="J26">
        <f>WEO_Data!B25</f>
        <v/>
      </c>
      <c r="K26">
        <f>((C26+G26)/(C25+G25))-1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Exchange Rate</t>
        </is>
      </c>
      <c r="D30" t="n">
        <v>2.746</v>
      </c>
      <c r="K30" s="15" t="n"/>
    </row>
    <row r="31">
      <c r="C31" s="13" t="inlineStr">
        <is>
          <t>Multiplier</t>
        </is>
      </c>
      <c r="D31" s="28" t="n">
        <v>0.8</v>
      </c>
      <c r="K31" s="15" t="n"/>
    </row>
    <row r="32">
      <c r="C32" s="13" t="inlineStr">
        <is>
          <t>demand multiplier</t>
        </is>
      </c>
      <c r="D32" s="29" t="inlineStr">
        <is>
          <t>Bell Shape</t>
        </is>
      </c>
      <c r="K32" s="15" t="n"/>
    </row>
    <row r="33">
      <c r="C33" s="18" t="inlineStr">
        <is>
          <t>Total Inv (M USD)</t>
        </is>
      </c>
      <c r="D33" s="19" t="n">
        <v>6500</v>
      </c>
      <c r="E33" s="19" t="n"/>
      <c r="F33" s="19" t="n"/>
      <c r="G33" s="19" t="n"/>
      <c r="H33" s="19" t="n"/>
      <c r="I33" s="19" t="n"/>
      <c r="J33" s="27" t="n"/>
      <c r="K33" s="21" t="n"/>
    </row>
    <row r="39">
      <c r="B39" t="inlineStr">
        <is>
          <t>Scenario 2: Multiplier = 1</t>
        </is>
      </c>
    </row>
    <row r="40">
      <c r="B40" t="inlineStr">
        <is>
          <t>Year</t>
        </is>
      </c>
      <c r="C40" t="inlineStr">
        <is>
          <t>Real GDP</t>
        </is>
      </c>
      <c r="D40" t="inlineStr">
        <is>
          <t>Project Allocation (%)</t>
        </is>
      </c>
      <c r="E40" t="inlineStr">
        <is>
          <t>Project Investment</t>
        </is>
      </c>
      <c r="F40" t="inlineStr">
        <is>
          <t>Imports</t>
        </is>
      </c>
      <c r="G40" t="inlineStr">
        <is>
          <t>GDP impact</t>
        </is>
      </c>
      <c r="J40" t="inlineStr">
        <is>
          <t>Baseline GDP Growth</t>
        </is>
      </c>
      <c r="K40" t="inlineStr">
        <is>
          <t>Projected Growth</t>
        </is>
      </c>
    </row>
    <row r="42">
      <c r="B42" t="n">
        <v>2020</v>
      </c>
      <c r="C42">
        <f>WEO_Data!D2</f>
        <v/>
      </c>
      <c r="D42" t="n">
        <v>0</v>
      </c>
      <c r="E42" t="n">
        <v>0</v>
      </c>
      <c r="F42" t="n">
        <v>0</v>
      </c>
      <c r="G42" t="n">
        <v>0</v>
      </c>
      <c r="H42">
        <f>D71</f>
        <v/>
      </c>
      <c r="I42">
        <f>G42/C42</f>
        <v/>
      </c>
      <c r="J42">
        <f>WEO_Data!B2</f>
        <v/>
      </c>
      <c r="K42">
        <f>J42</f>
        <v/>
      </c>
    </row>
    <row r="43">
      <c r="B43" t="n">
        <v>2021</v>
      </c>
      <c r="C43">
        <f>WEO_Data!D3</f>
        <v/>
      </c>
      <c r="D43" t="n">
        <v>0</v>
      </c>
      <c r="E43" t="n">
        <v>0</v>
      </c>
      <c r="F43" t="n">
        <v>0</v>
      </c>
      <c r="G43" t="n">
        <v>0</v>
      </c>
      <c r="H43">
        <f>D71</f>
        <v/>
      </c>
      <c r="I43">
        <f>G43/C43</f>
        <v/>
      </c>
      <c r="J43">
        <f>WEO_Data!B3</f>
        <v/>
      </c>
      <c r="K43">
        <f>((C43+G43)/(C42+G42))-1</f>
        <v/>
      </c>
    </row>
    <row r="44">
      <c r="B44" t="n">
        <v>2022</v>
      </c>
      <c r="C44">
        <f>WEO_Data!D4</f>
        <v/>
      </c>
      <c r="D44" t="n">
        <v>0</v>
      </c>
      <c r="E44" t="n">
        <v>0</v>
      </c>
      <c r="F44" t="n">
        <v>0</v>
      </c>
      <c r="G44" t="n">
        <v>0</v>
      </c>
      <c r="H44">
        <f>D71</f>
        <v/>
      </c>
      <c r="I44">
        <f>G44/C44</f>
        <v/>
      </c>
      <c r="J44">
        <f>WEO_Data!B4</f>
        <v/>
      </c>
      <c r="K44">
        <f>((C44+G44)/(C43+G43))-1</f>
        <v/>
      </c>
    </row>
    <row r="45">
      <c r="B45" t="n">
        <v>2023</v>
      </c>
      <c r="C45">
        <f>WEO_Data!D5</f>
        <v/>
      </c>
      <c r="D45" t="n">
        <v>0</v>
      </c>
      <c r="E45" t="n">
        <v>0</v>
      </c>
      <c r="F45" t="n">
        <v>0</v>
      </c>
      <c r="G45" t="n">
        <v>0</v>
      </c>
      <c r="H45">
        <f>D71</f>
        <v/>
      </c>
      <c r="I45">
        <f>G45/C45</f>
        <v/>
      </c>
      <c r="J45">
        <f>WEO_Data!B5</f>
        <v/>
      </c>
      <c r="K45">
        <f>((C45+G45)/(C44+G44))-1</f>
        <v/>
      </c>
    </row>
    <row r="46">
      <c r="B46" t="n">
        <v>2024</v>
      </c>
      <c r="C46">
        <f>WEO_Data!D6</f>
        <v/>
      </c>
      <c r="D46" t="n">
        <v>0</v>
      </c>
      <c r="E46" t="n">
        <v>0</v>
      </c>
      <c r="F46" t="n">
        <v>0</v>
      </c>
      <c r="G46" t="n">
        <v>0</v>
      </c>
      <c r="H46">
        <f>D71</f>
        <v/>
      </c>
      <c r="I46">
        <f>G46/C46</f>
        <v/>
      </c>
      <c r="J46">
        <f>WEO_Data!B6</f>
        <v/>
      </c>
      <c r="K46">
        <f>((C46+G46)/(C45+G45))-1</f>
        <v/>
      </c>
    </row>
    <row r="47">
      <c r="B47" t="n">
        <v>2025</v>
      </c>
      <c r="C47">
        <f>WEO_Data!D7</f>
        <v/>
      </c>
      <c r="D47" t="n">
        <v>0</v>
      </c>
      <c r="E47" t="n">
        <v>0</v>
      </c>
      <c r="F47" t="n">
        <v>0</v>
      </c>
      <c r="G47" t="n">
        <v>0</v>
      </c>
      <c r="H47">
        <f>D71</f>
        <v/>
      </c>
      <c r="I47">
        <f>G47/C47</f>
        <v/>
      </c>
      <c r="J47">
        <f>WEO_Data!B7</f>
        <v/>
      </c>
      <c r="K47">
        <f>((C47+G47)/(C46+G46))-1</f>
        <v/>
      </c>
    </row>
    <row r="48">
      <c r="B48" t="n">
        <v>2026</v>
      </c>
      <c r="C48">
        <f>WEO_Data!D8</f>
        <v/>
      </c>
      <c r="D48" t="n">
        <v>0.05</v>
      </c>
      <c r="E48">
        <f>(D73*D48*D70)/(WEO_Data!E8/100)</f>
        <v/>
      </c>
      <c r="F48">
        <f>E48*'SUT Calc'!$C$46</f>
        <v/>
      </c>
      <c r="G48">
        <f>(E48-F48)*D71</f>
        <v/>
      </c>
      <c r="H48">
        <f>D71</f>
        <v/>
      </c>
      <c r="I48">
        <f>G48/C48</f>
        <v/>
      </c>
      <c r="J48">
        <f>WEO_Data!B8</f>
        <v/>
      </c>
      <c r="K48">
        <f>((C48+G48)/(C47+G47))-1</f>
        <v/>
      </c>
    </row>
    <row r="49">
      <c r="B49" t="n">
        <v>2027</v>
      </c>
      <c r="C49">
        <f>WEO_Data!D9</f>
        <v/>
      </c>
      <c r="D49" t="n">
        <v>0.1</v>
      </c>
      <c r="E49">
        <f>(D73*D49*D70)/(WEO_Data!E9/100)</f>
        <v/>
      </c>
      <c r="F49">
        <f>E49*'SUT Calc'!$C$46</f>
        <v/>
      </c>
      <c r="G49">
        <f>(E49-F49)*D71</f>
        <v/>
      </c>
      <c r="H49">
        <f>D71</f>
        <v/>
      </c>
      <c r="I49">
        <f>G49/C49</f>
        <v/>
      </c>
      <c r="J49">
        <f>WEO_Data!B9</f>
        <v/>
      </c>
      <c r="K49">
        <f>((C49+G49)/(C48+G48))-1</f>
        <v/>
      </c>
    </row>
    <row r="50">
      <c r="B50" t="n">
        <v>2028</v>
      </c>
      <c r="C50">
        <f>WEO_Data!D10</f>
        <v/>
      </c>
      <c r="D50" t="n">
        <v>0.15</v>
      </c>
      <c r="E50">
        <f>(D73*D50*D70)/(WEO_Data!E10/100)</f>
        <v/>
      </c>
      <c r="F50">
        <f>E50*'SUT Calc'!$C$46</f>
        <v/>
      </c>
      <c r="G50">
        <f>(E50-F50)*D71</f>
        <v/>
      </c>
      <c r="H50">
        <f>D71</f>
        <v/>
      </c>
      <c r="I50">
        <f>G50/C50</f>
        <v/>
      </c>
      <c r="J50">
        <f>WEO_Data!B10</f>
        <v/>
      </c>
      <c r="K50">
        <f>((C50+G50)/(C49+G49))-1</f>
        <v/>
      </c>
    </row>
    <row r="51">
      <c r="B51" t="n">
        <v>2029</v>
      </c>
      <c r="C51">
        <f>WEO_Data!D11</f>
        <v/>
      </c>
      <c r="D51" t="n">
        <v>0.2</v>
      </c>
      <c r="E51">
        <f>(D73*D51*D70)/(WEO_Data!E11/100)</f>
        <v/>
      </c>
      <c r="F51">
        <f>E51*'SUT Calc'!$C$46</f>
        <v/>
      </c>
      <c r="G51">
        <f>(E51-F51)*D71</f>
        <v/>
      </c>
      <c r="H51">
        <f>D71</f>
        <v/>
      </c>
      <c r="I51">
        <f>G51/C51</f>
        <v/>
      </c>
      <c r="J51">
        <f>WEO_Data!B11</f>
        <v/>
      </c>
      <c r="K51">
        <f>((C51+G51)/(C50+G50))-1</f>
        <v/>
      </c>
    </row>
    <row r="52">
      <c r="B52" t="n">
        <v>2030</v>
      </c>
      <c r="C52">
        <f>WEO_Data!D12</f>
        <v/>
      </c>
      <c r="D52" t="n">
        <v>0.2</v>
      </c>
      <c r="E52">
        <f>(D73*D52*D70)/(WEO_Data!E12/100)</f>
        <v/>
      </c>
      <c r="F52">
        <f>E52*'SUT Calc'!$C$46</f>
        <v/>
      </c>
      <c r="G52">
        <f>(E52-F52)*D71</f>
        <v/>
      </c>
      <c r="H52">
        <f>D71</f>
        <v/>
      </c>
      <c r="I52">
        <f>G52/C52</f>
        <v/>
      </c>
      <c r="J52">
        <f>WEO_Data!B12</f>
        <v/>
      </c>
      <c r="K52">
        <f>((C52+G52)/(C51+G51))-1</f>
        <v/>
      </c>
    </row>
    <row r="53">
      <c r="B53" t="n">
        <v>2031</v>
      </c>
      <c r="C53">
        <f>WEO_Data!D13</f>
        <v/>
      </c>
      <c r="D53" t="n">
        <v>0.15</v>
      </c>
      <c r="E53">
        <f>(D73*D53*D70)/(WEO_Data!E13/100)</f>
        <v/>
      </c>
      <c r="F53">
        <f>E53*'SUT Calc'!$C$46</f>
        <v/>
      </c>
      <c r="G53">
        <f>(E53-F53)*D71</f>
        <v/>
      </c>
      <c r="H53">
        <f>D71</f>
        <v/>
      </c>
      <c r="I53">
        <f>G53/C53</f>
        <v/>
      </c>
      <c r="J53">
        <f>WEO_Data!B13</f>
        <v/>
      </c>
      <c r="K53">
        <f>((C53+G53)/(C52+G52))-1</f>
        <v/>
      </c>
    </row>
    <row r="54">
      <c r="B54" t="n">
        <v>2032</v>
      </c>
      <c r="C54">
        <f>WEO_Data!D14</f>
        <v/>
      </c>
      <c r="D54" t="n">
        <v>0.1</v>
      </c>
      <c r="E54">
        <f>(D73*D54*D70)/(WEO_Data!E14/100)</f>
        <v/>
      </c>
      <c r="F54">
        <f>E54*'SUT Calc'!$C$46</f>
        <v/>
      </c>
      <c r="G54">
        <f>(E54-F54)*D71</f>
        <v/>
      </c>
      <c r="H54">
        <f>D71</f>
        <v/>
      </c>
      <c r="I54">
        <f>G54/C54</f>
        <v/>
      </c>
      <c r="J54">
        <f>WEO_Data!B14</f>
        <v/>
      </c>
      <c r="K54">
        <f>((C54+G54)/(C53+G53))-1</f>
        <v/>
      </c>
    </row>
    <row r="55">
      <c r="B55" t="n">
        <v>2033</v>
      </c>
      <c r="C55">
        <f>WEO_Data!D15</f>
        <v/>
      </c>
      <c r="D55" t="n">
        <v>0.05</v>
      </c>
      <c r="E55">
        <f>(D73*D55*D70)/(WEO_Data!E15/100)</f>
        <v/>
      </c>
      <c r="F55">
        <f>E55*'SUT Calc'!$C$46</f>
        <v/>
      </c>
      <c r="G55">
        <f>(E55-F55)*D71</f>
        <v/>
      </c>
      <c r="H55">
        <f>D71</f>
        <v/>
      </c>
      <c r="I55">
        <f>G55/C55</f>
        <v/>
      </c>
      <c r="J55">
        <f>WEO_Data!B15</f>
        <v/>
      </c>
      <c r="K55">
        <f>((C55+G55)/(C54+G54))-1</f>
        <v/>
      </c>
    </row>
    <row r="56">
      <c r="B56" t="n">
        <v>2034</v>
      </c>
      <c r="C56">
        <f>WEO_Data!D16</f>
        <v/>
      </c>
      <c r="D56" t="n">
        <v>0</v>
      </c>
      <c r="E56" t="n">
        <v>0</v>
      </c>
      <c r="F56" t="n">
        <v>0</v>
      </c>
      <c r="G56" t="n">
        <v>0</v>
      </c>
      <c r="H56">
        <f>D71</f>
        <v/>
      </c>
      <c r="I56">
        <f>G56/C56</f>
        <v/>
      </c>
      <c r="J56">
        <f>WEO_Data!B16</f>
        <v/>
      </c>
      <c r="K56">
        <f>((C56+G56)/(C55+G55))-1</f>
        <v/>
      </c>
    </row>
    <row r="57">
      <c r="B57" t="n">
        <v>2035</v>
      </c>
      <c r="C57">
        <f>WEO_Data!D17</f>
        <v/>
      </c>
      <c r="D57" t="n">
        <v>0</v>
      </c>
      <c r="E57" t="n">
        <v>0</v>
      </c>
      <c r="F57" t="n">
        <v>0</v>
      </c>
      <c r="G57" t="n">
        <v>0</v>
      </c>
      <c r="H57">
        <f>D71</f>
        <v/>
      </c>
      <c r="I57">
        <f>G57/C57</f>
        <v/>
      </c>
      <c r="J57">
        <f>WEO_Data!B17</f>
        <v/>
      </c>
      <c r="K57">
        <f>((C57+G57)/(C56+G56))-1</f>
        <v/>
      </c>
    </row>
    <row r="58">
      <c r="B58" t="n">
        <v>2036</v>
      </c>
      <c r="C58">
        <f>WEO_Data!D18</f>
        <v/>
      </c>
      <c r="D58" t="n">
        <v>0</v>
      </c>
      <c r="E58" t="n">
        <v>0</v>
      </c>
      <c r="F58" t="n">
        <v>0</v>
      </c>
      <c r="G58" t="n">
        <v>0</v>
      </c>
      <c r="H58">
        <f>D71</f>
        <v/>
      </c>
      <c r="I58">
        <f>G58/C58</f>
        <v/>
      </c>
      <c r="J58">
        <f>WEO_Data!B18</f>
        <v/>
      </c>
      <c r="K58">
        <f>((C58+G58)/(C57+G57))-1</f>
        <v/>
      </c>
    </row>
    <row r="59">
      <c r="B59" t="n">
        <v>2037</v>
      </c>
      <c r="C59">
        <f>WEO_Data!D19</f>
        <v/>
      </c>
      <c r="D59" t="n">
        <v>0</v>
      </c>
      <c r="E59" t="n">
        <v>0</v>
      </c>
      <c r="F59" t="n">
        <v>0</v>
      </c>
      <c r="G59" t="n">
        <v>0</v>
      </c>
      <c r="H59">
        <f>D71</f>
        <v/>
      </c>
      <c r="I59">
        <f>G59/C59</f>
        <v/>
      </c>
      <c r="J59">
        <f>WEO_Data!B19</f>
        <v/>
      </c>
      <c r="K59">
        <f>((C59+G59)/(C58+G58))-1</f>
        <v/>
      </c>
    </row>
    <row r="60">
      <c r="B60" t="n">
        <v>2038</v>
      </c>
      <c r="C60">
        <f>WEO_Data!D20</f>
        <v/>
      </c>
      <c r="D60" t="n">
        <v>0</v>
      </c>
      <c r="E60" t="n">
        <v>0</v>
      </c>
      <c r="F60" t="n">
        <v>0</v>
      </c>
      <c r="G60" t="n">
        <v>0</v>
      </c>
      <c r="H60">
        <f>D71</f>
        <v/>
      </c>
      <c r="I60">
        <f>G60/C60</f>
        <v/>
      </c>
      <c r="J60">
        <f>WEO_Data!B20</f>
        <v/>
      </c>
      <c r="K60">
        <f>((C60+G60)/(C59+G59))-1</f>
        <v/>
      </c>
    </row>
    <row r="61">
      <c r="B61" t="n">
        <v>2039</v>
      </c>
      <c r="C61">
        <f>WEO_Data!D21</f>
        <v/>
      </c>
      <c r="D61" t="n">
        <v>0</v>
      </c>
      <c r="E61" t="n">
        <v>0</v>
      </c>
      <c r="F61" t="n">
        <v>0</v>
      </c>
      <c r="G61" t="n">
        <v>0</v>
      </c>
      <c r="H61">
        <f>D71</f>
        <v/>
      </c>
      <c r="I61">
        <f>G61/C61</f>
        <v/>
      </c>
      <c r="J61">
        <f>WEO_Data!B21</f>
        <v/>
      </c>
      <c r="K61">
        <f>((C61+G61)/(C60+G60))-1</f>
        <v/>
      </c>
    </row>
    <row r="62">
      <c r="B62" t="n">
        <v>2040</v>
      </c>
      <c r="C62">
        <f>WEO_Data!D22</f>
        <v/>
      </c>
      <c r="D62" t="n">
        <v>0</v>
      </c>
      <c r="E62" t="n">
        <v>0</v>
      </c>
      <c r="F62" t="n">
        <v>0</v>
      </c>
      <c r="G62" t="n">
        <v>0</v>
      </c>
      <c r="H62">
        <f>D71</f>
        <v/>
      </c>
      <c r="I62">
        <f>G62/C62</f>
        <v/>
      </c>
      <c r="J62">
        <f>WEO_Data!B22</f>
        <v/>
      </c>
      <c r="K62">
        <f>((C62+G62)/(C61+G61))-1</f>
        <v/>
      </c>
    </row>
    <row r="63">
      <c r="B63" t="n">
        <v>2041</v>
      </c>
      <c r="C63">
        <f>WEO_Data!D23</f>
        <v/>
      </c>
      <c r="D63" t="n">
        <v>0</v>
      </c>
      <c r="E63" t="n">
        <v>0</v>
      </c>
      <c r="F63" t="n">
        <v>0</v>
      </c>
      <c r="G63" t="n">
        <v>0</v>
      </c>
      <c r="H63">
        <f>D71</f>
        <v/>
      </c>
      <c r="I63">
        <f>G63/C63</f>
        <v/>
      </c>
      <c r="J63">
        <f>WEO_Data!B23</f>
        <v/>
      </c>
      <c r="K63">
        <f>((C63+G63)/(C62+G62))-1</f>
        <v/>
      </c>
    </row>
    <row r="64">
      <c r="B64" t="n">
        <v>2042</v>
      </c>
      <c r="C64">
        <f>WEO_Data!D24</f>
        <v/>
      </c>
      <c r="D64" t="n">
        <v>0</v>
      </c>
      <c r="E64" t="n">
        <v>0</v>
      </c>
      <c r="F64" t="n">
        <v>0</v>
      </c>
      <c r="G64" t="n">
        <v>0</v>
      </c>
      <c r="H64">
        <f>D71</f>
        <v/>
      </c>
      <c r="I64">
        <f>G64/C64</f>
        <v/>
      </c>
      <c r="J64">
        <f>WEO_Data!B24</f>
        <v/>
      </c>
      <c r="K64">
        <f>((C64+G64)/(C63+G63))-1</f>
        <v/>
      </c>
    </row>
    <row r="65">
      <c r="B65" t="n">
        <v>2043</v>
      </c>
      <c r="C65">
        <f>WEO_Data!D25</f>
        <v/>
      </c>
      <c r="D65" t="n">
        <v>0</v>
      </c>
      <c r="E65" t="n">
        <v>0</v>
      </c>
      <c r="F65" t="n">
        <v>0</v>
      </c>
      <c r="G65" t="n">
        <v>0</v>
      </c>
      <c r="H65">
        <f>D71</f>
        <v/>
      </c>
      <c r="I65">
        <f>G65/C65</f>
        <v/>
      </c>
      <c r="J65">
        <f>WEO_Data!B25</f>
        <v/>
      </c>
      <c r="K65">
        <f>((C65+G65)/(C64+G64))-1</f>
        <v/>
      </c>
    </row>
    <row r="70">
      <c r="D70" t="n">
        <v>2.746</v>
      </c>
    </row>
    <row r="71">
      <c r="D71" t="n">
        <v>1</v>
      </c>
    </row>
    <row r="73">
      <c r="D73" t="n">
        <v>6500</v>
      </c>
    </row>
    <row r="79">
      <c r="B79" t="inlineStr">
        <is>
          <t>Scenario 3: Import Content = 0.5</t>
        </is>
      </c>
    </row>
    <row r="80">
      <c r="B80" t="inlineStr">
        <is>
          <t>Year</t>
        </is>
      </c>
      <c r="C80" t="inlineStr">
        <is>
          <t>Real GDP</t>
        </is>
      </c>
      <c r="D80" t="inlineStr">
        <is>
          <t>Project Allocation (%)</t>
        </is>
      </c>
      <c r="E80" t="inlineStr">
        <is>
          <t>Project Investment</t>
        </is>
      </c>
      <c r="F80" t="inlineStr">
        <is>
          <t>Imports</t>
        </is>
      </c>
      <c r="G80" t="inlineStr">
        <is>
          <t>GDP impact</t>
        </is>
      </c>
      <c r="J80" t="inlineStr">
        <is>
          <t>Baseline GDP Growth</t>
        </is>
      </c>
      <c r="K80" t="inlineStr">
        <is>
          <t>Projected Growth</t>
        </is>
      </c>
    </row>
    <row r="82">
      <c r="B82" t="n">
        <v>2020</v>
      </c>
      <c r="C82">
        <f>WEO_Data!D2</f>
        <v/>
      </c>
      <c r="D82" t="n">
        <v>0</v>
      </c>
      <c r="E82" t="n">
        <v>0</v>
      </c>
      <c r="F82" t="n">
        <v>0</v>
      </c>
      <c r="G82" t="n">
        <v>0</v>
      </c>
      <c r="H82">
        <f>D111</f>
        <v/>
      </c>
      <c r="I82">
        <f>G82/C82</f>
        <v/>
      </c>
      <c r="J82">
        <f>WEO_Data!B2</f>
        <v/>
      </c>
      <c r="K82">
        <f>J82</f>
        <v/>
      </c>
    </row>
    <row r="83">
      <c r="B83" t="n">
        <v>2021</v>
      </c>
      <c r="C83">
        <f>WEO_Data!D3</f>
        <v/>
      </c>
      <c r="D83" t="n">
        <v>0</v>
      </c>
      <c r="E83" t="n">
        <v>0</v>
      </c>
      <c r="F83" t="n">
        <v>0</v>
      </c>
      <c r="G83" t="n">
        <v>0</v>
      </c>
      <c r="H83">
        <f>D111</f>
        <v/>
      </c>
      <c r="I83">
        <f>G83/C83</f>
        <v/>
      </c>
      <c r="J83">
        <f>WEO_Data!B3</f>
        <v/>
      </c>
      <c r="K83">
        <f>((C83+G83)/(C82+G82))-1</f>
        <v/>
      </c>
    </row>
    <row r="84">
      <c r="B84" t="n">
        <v>2022</v>
      </c>
      <c r="C84">
        <f>WEO_Data!D4</f>
        <v/>
      </c>
      <c r="D84" t="n">
        <v>0</v>
      </c>
      <c r="E84" t="n">
        <v>0</v>
      </c>
      <c r="F84" t="n">
        <v>0</v>
      </c>
      <c r="G84" t="n">
        <v>0</v>
      </c>
      <c r="H84">
        <f>D111</f>
        <v/>
      </c>
      <c r="I84">
        <f>G84/C84</f>
        <v/>
      </c>
      <c r="J84">
        <f>WEO_Data!B4</f>
        <v/>
      </c>
      <c r="K84">
        <f>((C84+G84)/(C83+G83))-1</f>
        <v/>
      </c>
    </row>
    <row r="85">
      <c r="B85" t="n">
        <v>2023</v>
      </c>
      <c r="C85">
        <f>WEO_Data!D5</f>
        <v/>
      </c>
      <c r="D85" t="n">
        <v>0</v>
      </c>
      <c r="E85" t="n">
        <v>0</v>
      </c>
      <c r="F85" t="n">
        <v>0</v>
      </c>
      <c r="G85" t="n">
        <v>0</v>
      </c>
      <c r="H85">
        <f>D111</f>
        <v/>
      </c>
      <c r="I85">
        <f>G85/C85</f>
        <v/>
      </c>
      <c r="J85">
        <f>WEO_Data!B5</f>
        <v/>
      </c>
      <c r="K85">
        <f>((C85+G85)/(C84+G84))-1</f>
        <v/>
      </c>
    </row>
    <row r="86">
      <c r="B86" t="n">
        <v>2024</v>
      </c>
      <c r="C86">
        <f>WEO_Data!D6</f>
        <v/>
      </c>
      <c r="D86" t="n">
        <v>0</v>
      </c>
      <c r="E86" t="n">
        <v>0</v>
      </c>
      <c r="F86" t="n">
        <v>0</v>
      </c>
      <c r="G86" t="n">
        <v>0</v>
      </c>
      <c r="H86">
        <f>D111</f>
        <v/>
      </c>
      <c r="I86">
        <f>G86/C86</f>
        <v/>
      </c>
      <c r="J86">
        <f>WEO_Data!B6</f>
        <v/>
      </c>
      <c r="K86">
        <f>((C86+G86)/(C85+G85))-1</f>
        <v/>
      </c>
    </row>
    <row r="87">
      <c r="B87" t="n">
        <v>2025</v>
      </c>
      <c r="C87">
        <f>WEO_Data!D7</f>
        <v/>
      </c>
      <c r="D87" t="n">
        <v>0</v>
      </c>
      <c r="E87" t="n">
        <v>0</v>
      </c>
      <c r="F87" t="n">
        <v>0</v>
      </c>
      <c r="G87" t="n">
        <v>0</v>
      </c>
      <c r="H87">
        <f>D111</f>
        <v/>
      </c>
      <c r="I87">
        <f>G87/C87</f>
        <v/>
      </c>
      <c r="J87">
        <f>WEO_Data!B7</f>
        <v/>
      </c>
      <c r="K87">
        <f>((C87+G87)/(C86+G86))-1</f>
        <v/>
      </c>
    </row>
    <row r="88">
      <c r="B88" t="n">
        <v>2026</v>
      </c>
      <c r="C88">
        <f>WEO_Data!D8</f>
        <v/>
      </c>
      <c r="D88" t="n">
        <v>0.05</v>
      </c>
      <c r="E88">
        <f>(D113*D88*D110)/(WEO_Data!E8/100)</f>
        <v/>
      </c>
      <c r="F88">
        <f>E88*0.5</f>
        <v/>
      </c>
      <c r="G88">
        <f>(E88-F88)*D111</f>
        <v/>
      </c>
      <c r="H88">
        <f>D111</f>
        <v/>
      </c>
      <c r="I88">
        <f>G88/C88</f>
        <v/>
      </c>
      <c r="J88">
        <f>WEO_Data!B8</f>
        <v/>
      </c>
      <c r="K88">
        <f>((C88+G88)/(C87+G87))-1</f>
        <v/>
      </c>
    </row>
    <row r="89">
      <c r="B89" t="n">
        <v>2027</v>
      </c>
      <c r="C89">
        <f>WEO_Data!D9</f>
        <v/>
      </c>
      <c r="D89" t="n">
        <v>0.1</v>
      </c>
      <c r="E89">
        <f>(D113*D89*D110)/(WEO_Data!E9/100)</f>
        <v/>
      </c>
      <c r="F89">
        <f>E89*0.5</f>
        <v/>
      </c>
      <c r="G89">
        <f>(E89-F89)*D111</f>
        <v/>
      </c>
      <c r="H89">
        <f>D111</f>
        <v/>
      </c>
      <c r="I89">
        <f>G89/C89</f>
        <v/>
      </c>
      <c r="J89">
        <f>WEO_Data!B9</f>
        <v/>
      </c>
      <c r="K89">
        <f>((C89+G89)/(C88+G88))-1</f>
        <v/>
      </c>
    </row>
    <row r="90">
      <c r="B90" t="n">
        <v>2028</v>
      </c>
      <c r="C90">
        <f>WEO_Data!D10</f>
        <v/>
      </c>
      <c r="D90" t="n">
        <v>0.15</v>
      </c>
      <c r="E90">
        <f>(D113*D90*D110)/(WEO_Data!E10/100)</f>
        <v/>
      </c>
      <c r="F90">
        <f>E90*0.5</f>
        <v/>
      </c>
      <c r="G90">
        <f>(E90-F90)*D111</f>
        <v/>
      </c>
      <c r="H90">
        <f>D111</f>
        <v/>
      </c>
      <c r="I90">
        <f>G90/C90</f>
        <v/>
      </c>
      <c r="J90">
        <f>WEO_Data!B10</f>
        <v/>
      </c>
      <c r="K90">
        <f>((C90+G90)/(C89+G89))-1</f>
        <v/>
      </c>
    </row>
    <row r="91">
      <c r="B91" t="n">
        <v>2029</v>
      </c>
      <c r="C91">
        <f>WEO_Data!D11</f>
        <v/>
      </c>
      <c r="D91" t="n">
        <v>0.2</v>
      </c>
      <c r="E91">
        <f>(D113*D91*D110)/(WEO_Data!E11/100)</f>
        <v/>
      </c>
      <c r="F91">
        <f>E91*0.5</f>
        <v/>
      </c>
      <c r="G91">
        <f>(E91-F91)*D111</f>
        <v/>
      </c>
      <c r="H91">
        <f>D111</f>
        <v/>
      </c>
      <c r="I91">
        <f>G91/C91</f>
        <v/>
      </c>
      <c r="J91">
        <f>WEO_Data!B11</f>
        <v/>
      </c>
      <c r="K91">
        <f>((C91+G91)/(C90+G90))-1</f>
        <v/>
      </c>
    </row>
    <row r="92">
      <c r="B92" t="n">
        <v>2030</v>
      </c>
      <c r="C92">
        <f>WEO_Data!D12</f>
        <v/>
      </c>
      <c r="D92" t="n">
        <v>0.2</v>
      </c>
      <c r="E92">
        <f>(D113*D92*D110)/(WEO_Data!E12/100)</f>
        <v/>
      </c>
      <c r="F92">
        <f>E92*0.5</f>
        <v/>
      </c>
      <c r="G92">
        <f>(E92-F92)*D111</f>
        <v/>
      </c>
      <c r="H92">
        <f>D111</f>
        <v/>
      </c>
      <c r="I92">
        <f>G92/C92</f>
        <v/>
      </c>
      <c r="J92">
        <f>WEO_Data!B12</f>
        <v/>
      </c>
      <c r="K92">
        <f>((C92+G92)/(C91+G91))-1</f>
        <v/>
      </c>
    </row>
    <row r="93">
      <c r="B93" t="n">
        <v>2031</v>
      </c>
      <c r="C93">
        <f>WEO_Data!D13</f>
        <v/>
      </c>
      <c r="D93" t="n">
        <v>0.15</v>
      </c>
      <c r="E93">
        <f>(D113*D93*D110)/(WEO_Data!E13/100)</f>
        <v/>
      </c>
      <c r="F93">
        <f>E93*0.5</f>
        <v/>
      </c>
      <c r="G93">
        <f>(E93-F93)*D111</f>
        <v/>
      </c>
      <c r="H93">
        <f>D111</f>
        <v/>
      </c>
      <c r="I93">
        <f>G93/C93</f>
        <v/>
      </c>
      <c r="J93">
        <f>WEO_Data!B13</f>
        <v/>
      </c>
      <c r="K93">
        <f>((C93+G93)/(C92+G92))-1</f>
        <v/>
      </c>
    </row>
    <row r="94">
      <c r="B94" t="n">
        <v>2032</v>
      </c>
      <c r="C94">
        <f>WEO_Data!D14</f>
        <v/>
      </c>
      <c r="D94" t="n">
        <v>0.1</v>
      </c>
      <c r="E94">
        <f>(D113*D94*D110)/(WEO_Data!E14/100)</f>
        <v/>
      </c>
      <c r="F94">
        <f>E94*0.5</f>
        <v/>
      </c>
      <c r="G94">
        <f>(E94-F94)*D111</f>
        <v/>
      </c>
      <c r="H94">
        <f>D111</f>
        <v/>
      </c>
      <c r="I94">
        <f>G94/C94</f>
        <v/>
      </c>
      <c r="J94">
        <f>WEO_Data!B14</f>
        <v/>
      </c>
      <c r="K94">
        <f>((C94+G94)/(C93+G93))-1</f>
        <v/>
      </c>
    </row>
    <row r="95">
      <c r="B95" t="n">
        <v>2033</v>
      </c>
      <c r="C95">
        <f>WEO_Data!D15</f>
        <v/>
      </c>
      <c r="D95" t="n">
        <v>0.05</v>
      </c>
      <c r="E95">
        <f>(D113*D95*D110)/(WEO_Data!E15/100)</f>
        <v/>
      </c>
      <c r="F95">
        <f>E95*0.5</f>
        <v/>
      </c>
      <c r="G95">
        <f>(E95-F95)*D111</f>
        <v/>
      </c>
      <c r="H95">
        <f>D111</f>
        <v/>
      </c>
      <c r="I95">
        <f>G95/C95</f>
        <v/>
      </c>
      <c r="J95">
        <f>WEO_Data!B15</f>
        <v/>
      </c>
      <c r="K95">
        <f>((C95+G95)/(C94+G94))-1</f>
        <v/>
      </c>
    </row>
    <row r="96">
      <c r="B96" t="n">
        <v>2034</v>
      </c>
      <c r="C96">
        <f>WEO_Data!D16</f>
        <v/>
      </c>
      <c r="D96" t="n">
        <v>0</v>
      </c>
      <c r="E96" t="n">
        <v>0</v>
      </c>
      <c r="F96" t="n">
        <v>0</v>
      </c>
      <c r="G96" t="n">
        <v>0</v>
      </c>
      <c r="H96">
        <f>D111</f>
        <v/>
      </c>
      <c r="I96">
        <f>G96/C96</f>
        <v/>
      </c>
      <c r="J96">
        <f>WEO_Data!B16</f>
        <v/>
      </c>
      <c r="K96">
        <f>((C96+G96)/(C95+G95))-1</f>
        <v/>
      </c>
    </row>
    <row r="97">
      <c r="B97" t="n">
        <v>2035</v>
      </c>
      <c r="C97">
        <f>WEO_Data!D17</f>
        <v/>
      </c>
      <c r="D97" t="n">
        <v>0</v>
      </c>
      <c r="E97" t="n">
        <v>0</v>
      </c>
      <c r="F97" t="n">
        <v>0</v>
      </c>
      <c r="G97" t="n">
        <v>0</v>
      </c>
      <c r="H97">
        <f>D111</f>
        <v/>
      </c>
      <c r="I97">
        <f>G97/C97</f>
        <v/>
      </c>
      <c r="J97">
        <f>WEO_Data!B17</f>
        <v/>
      </c>
      <c r="K97">
        <f>((C97+G97)/(C96+G96))-1</f>
        <v/>
      </c>
    </row>
    <row r="98">
      <c r="B98" t="n">
        <v>2036</v>
      </c>
      <c r="C98">
        <f>WEO_Data!D18</f>
        <v/>
      </c>
      <c r="D98" t="n">
        <v>0</v>
      </c>
      <c r="E98" t="n">
        <v>0</v>
      </c>
      <c r="F98" t="n">
        <v>0</v>
      </c>
      <c r="G98" t="n">
        <v>0</v>
      </c>
      <c r="H98">
        <f>D111</f>
        <v/>
      </c>
      <c r="I98">
        <f>G98/C98</f>
        <v/>
      </c>
      <c r="J98">
        <f>WEO_Data!B18</f>
        <v/>
      </c>
      <c r="K98">
        <f>((C98+G98)/(C97+G97))-1</f>
        <v/>
      </c>
    </row>
    <row r="99">
      <c r="B99" t="n">
        <v>2037</v>
      </c>
      <c r="C99">
        <f>WEO_Data!D19</f>
        <v/>
      </c>
      <c r="D99" t="n">
        <v>0</v>
      </c>
      <c r="E99" t="n">
        <v>0</v>
      </c>
      <c r="F99" t="n">
        <v>0</v>
      </c>
      <c r="G99" t="n">
        <v>0</v>
      </c>
      <c r="H99">
        <f>D111</f>
        <v/>
      </c>
      <c r="I99">
        <f>G99/C99</f>
        <v/>
      </c>
      <c r="J99">
        <f>WEO_Data!B19</f>
        <v/>
      </c>
      <c r="K99">
        <f>((C99+G99)/(C98+G98))-1</f>
        <v/>
      </c>
    </row>
    <row r="100">
      <c r="B100" t="n">
        <v>2038</v>
      </c>
      <c r="C100">
        <f>WEO_Data!D20</f>
        <v/>
      </c>
      <c r="D100" t="n">
        <v>0</v>
      </c>
      <c r="E100" t="n">
        <v>0</v>
      </c>
      <c r="F100" t="n">
        <v>0</v>
      </c>
      <c r="G100" t="n">
        <v>0</v>
      </c>
      <c r="H100">
        <f>D111</f>
        <v/>
      </c>
      <c r="I100">
        <f>G100/C100</f>
        <v/>
      </c>
      <c r="J100">
        <f>WEO_Data!B20</f>
        <v/>
      </c>
      <c r="K100">
        <f>((C100+G100)/(C99+G99))-1</f>
        <v/>
      </c>
    </row>
    <row r="101">
      <c r="B101" t="n">
        <v>2039</v>
      </c>
      <c r="C101">
        <f>WEO_Data!D21</f>
        <v/>
      </c>
      <c r="D101" t="n">
        <v>0</v>
      </c>
      <c r="E101" t="n">
        <v>0</v>
      </c>
      <c r="F101" t="n">
        <v>0</v>
      </c>
      <c r="G101" t="n">
        <v>0</v>
      </c>
      <c r="H101">
        <f>D111</f>
        <v/>
      </c>
      <c r="I101">
        <f>G101/C101</f>
        <v/>
      </c>
      <c r="J101">
        <f>WEO_Data!B21</f>
        <v/>
      </c>
      <c r="K101">
        <f>((C101+G101)/(C100+G100))-1</f>
        <v/>
      </c>
    </row>
    <row r="102">
      <c r="B102" t="n">
        <v>2040</v>
      </c>
      <c r="C102">
        <f>WEO_Data!D22</f>
        <v/>
      </c>
      <c r="D102" t="n">
        <v>0</v>
      </c>
      <c r="E102" t="n">
        <v>0</v>
      </c>
      <c r="F102" t="n">
        <v>0</v>
      </c>
      <c r="G102" t="n">
        <v>0</v>
      </c>
      <c r="H102">
        <f>D111</f>
        <v/>
      </c>
      <c r="I102">
        <f>G102/C102</f>
        <v/>
      </c>
      <c r="J102">
        <f>WEO_Data!B22</f>
        <v/>
      </c>
      <c r="K102">
        <f>((C102+G102)/(C101+G101))-1</f>
        <v/>
      </c>
    </row>
    <row r="103">
      <c r="B103" t="n">
        <v>2041</v>
      </c>
      <c r="C103">
        <f>WEO_Data!D23</f>
        <v/>
      </c>
      <c r="D103" t="n">
        <v>0</v>
      </c>
      <c r="E103" t="n">
        <v>0</v>
      </c>
      <c r="F103" t="n">
        <v>0</v>
      </c>
      <c r="G103" t="n">
        <v>0</v>
      </c>
      <c r="H103">
        <f>D111</f>
        <v/>
      </c>
      <c r="I103">
        <f>G103/C103</f>
        <v/>
      </c>
      <c r="J103">
        <f>WEO_Data!B23</f>
        <v/>
      </c>
      <c r="K103">
        <f>((C103+G103)/(C102+G102))-1</f>
        <v/>
      </c>
    </row>
    <row r="104">
      <c r="B104" t="n">
        <v>2042</v>
      </c>
      <c r="C104">
        <f>WEO_Data!D24</f>
        <v/>
      </c>
      <c r="D104" t="n">
        <v>0</v>
      </c>
      <c r="E104" t="n">
        <v>0</v>
      </c>
      <c r="F104" t="n">
        <v>0</v>
      </c>
      <c r="G104" t="n">
        <v>0</v>
      </c>
      <c r="H104">
        <f>D111</f>
        <v/>
      </c>
      <c r="I104">
        <f>G104/C104</f>
        <v/>
      </c>
      <c r="J104">
        <f>WEO_Data!B24</f>
        <v/>
      </c>
      <c r="K104">
        <f>((C104+G104)/(C103+G103))-1</f>
        <v/>
      </c>
    </row>
    <row r="105">
      <c r="B105" t="n">
        <v>2043</v>
      </c>
      <c r="C105">
        <f>WEO_Data!D25</f>
        <v/>
      </c>
      <c r="D105" t="n">
        <v>0</v>
      </c>
      <c r="E105" t="n">
        <v>0</v>
      </c>
      <c r="F105" t="n">
        <v>0</v>
      </c>
      <c r="G105" t="n">
        <v>0</v>
      </c>
      <c r="H105">
        <f>D111</f>
        <v/>
      </c>
      <c r="I105">
        <f>G105/C105</f>
        <v/>
      </c>
      <c r="J105">
        <f>WEO_Data!B25</f>
        <v/>
      </c>
      <c r="K105">
        <f>((C105+G105)/(C104+G104))-1</f>
        <v/>
      </c>
    </row>
    <row r="110">
      <c r="D110" t="n">
        <v>2.746</v>
      </c>
    </row>
    <row r="111">
      <c r="D111" t="n">
        <v>0.8</v>
      </c>
    </row>
    <row r="113">
      <c r="D113" t="n">
        <v>6500</v>
      </c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(%)</t>
        </is>
      </c>
      <c r="C1" t="inlineStr">
        <is>
          <t>GDP Deflator Growth (%)</t>
        </is>
      </c>
      <c r="D1" t="inlineStr">
        <is>
          <t>Real GDP Index (2020=100)</t>
        </is>
      </c>
      <c r="E1" t="inlineStr">
        <is>
          <t>GDP Deflator Index (2020=100)</t>
        </is>
      </c>
      <c r="F1" t="inlineStr">
        <is>
          <t>Nominal GDP Index</t>
        </is>
      </c>
    </row>
    <row r="2">
      <c r="A2" t="n">
        <v>2020</v>
      </c>
      <c r="B2" t="n">
        <v>-0.063</v>
      </c>
      <c r="C2" t="n">
        <v>0.073</v>
      </c>
      <c r="D2" t="n">
        <v>100</v>
      </c>
      <c r="E2" t="n">
        <v>100</v>
      </c>
      <c r="F2" t="n">
        <v>100</v>
      </c>
    </row>
    <row r="3">
      <c r="A3" t="n">
        <v>2021</v>
      </c>
      <c r="B3" t="n">
        <v>0.106</v>
      </c>
      <c r="C3" t="n">
        <v>0.103</v>
      </c>
      <c r="D3">
        <f>D2*(1+B3)</f>
        <v/>
      </c>
      <c r="E3">
        <f>E2*(1+C3)</f>
        <v/>
      </c>
      <c r="F3">
        <f>D3*E3/100</f>
        <v/>
      </c>
    </row>
    <row r="4">
      <c r="A4" t="n">
        <v>2022</v>
      </c>
      <c r="B4" t="n">
        <v>0.11</v>
      </c>
      <c r="C4" t="n">
        <v>0.08599999999999999</v>
      </c>
      <c r="D4">
        <f>D3*(1+B4)</f>
        <v/>
      </c>
      <c r="E4">
        <f>E3*(1+C4)</f>
        <v/>
      </c>
      <c r="F4">
        <f>D4*E4/100</f>
        <v/>
      </c>
    </row>
    <row r="5">
      <c r="A5" t="n">
        <v>2023</v>
      </c>
      <c r="B5" t="n">
        <v>0.078</v>
      </c>
      <c r="C5" t="n">
        <v>0.025</v>
      </c>
      <c r="D5">
        <f>D4*(1+B5)</f>
        <v/>
      </c>
      <c r="E5">
        <f>E4*(1+C5)</f>
        <v/>
      </c>
      <c r="F5">
        <f>D5*E5/100</f>
        <v/>
      </c>
    </row>
    <row r="6">
      <c r="A6" t="n">
        <v>2024</v>
      </c>
      <c r="B6" t="n">
        <v>0.09699999999999999</v>
      </c>
      <c r="C6" t="n">
        <v>0.049</v>
      </c>
      <c r="D6">
        <f>D5*(1+B6)</f>
        <v/>
      </c>
      <c r="E6">
        <f>E5*(1+C6)</f>
        <v/>
      </c>
      <c r="F6">
        <f>D6*E6/100</f>
        <v/>
      </c>
    </row>
    <row r="7">
      <c r="A7" t="n">
        <v>2025</v>
      </c>
      <c r="B7" t="n">
        <v>0.053</v>
      </c>
      <c r="C7" t="n">
        <v>0.06575</v>
      </c>
      <c r="D7">
        <f>D6*(1+B7)</f>
        <v/>
      </c>
      <c r="E7">
        <f>E6*(1+C7)</f>
        <v/>
      </c>
      <c r="F7">
        <f>D7*E7/100</f>
        <v/>
      </c>
    </row>
    <row r="8">
      <c r="A8" t="n">
        <v>2026</v>
      </c>
      <c r="B8" t="n">
        <v>0.053</v>
      </c>
      <c r="C8" t="n">
        <v>0.06575</v>
      </c>
      <c r="D8">
        <f>D7*(1+B8)</f>
        <v/>
      </c>
      <c r="E8">
        <f>E7*(1+C8)</f>
        <v/>
      </c>
      <c r="F8">
        <f>D8*E8/100</f>
        <v/>
      </c>
    </row>
    <row r="9">
      <c r="A9" t="n">
        <v>2027</v>
      </c>
      <c r="B9" t="n">
        <v>0.053</v>
      </c>
      <c r="C9" t="n">
        <v>0.06575</v>
      </c>
      <c r="D9">
        <f>D8*(1+B9)</f>
        <v/>
      </c>
      <c r="E9">
        <f>E8*(1+C9)</f>
        <v/>
      </c>
      <c r="F9">
        <f>D9*E9/100</f>
        <v/>
      </c>
    </row>
    <row r="10">
      <c r="A10" t="n">
        <v>2028</v>
      </c>
      <c r="B10" t="n">
        <v>0.053</v>
      </c>
      <c r="C10" t="n">
        <v>0.06575</v>
      </c>
      <c r="D10">
        <f>D9*(1+B10)</f>
        <v/>
      </c>
      <c r="E10">
        <f>E9*(1+C10)</f>
        <v/>
      </c>
      <c r="F10">
        <f>D10*E10/100</f>
        <v/>
      </c>
    </row>
    <row r="11">
      <c r="A11" t="n">
        <v>2029</v>
      </c>
      <c r="B11" t="n">
        <v>0.053</v>
      </c>
      <c r="C11" t="n">
        <v>0.06575</v>
      </c>
      <c r="D11">
        <f>D10*(1+B11)</f>
        <v/>
      </c>
      <c r="E11">
        <f>E10*(1+C11)</f>
        <v/>
      </c>
      <c r="F11">
        <f>D11*E11/100</f>
        <v/>
      </c>
    </row>
    <row r="12">
      <c r="A12" t="n">
        <v>2030</v>
      </c>
      <c r="B12" t="n">
        <v>0.053</v>
      </c>
      <c r="C12" t="n">
        <v>0.06575</v>
      </c>
      <c r="D12">
        <f>D11*(1+B12)</f>
        <v/>
      </c>
      <c r="E12">
        <f>E11*(1+C12)</f>
        <v/>
      </c>
      <c r="F12">
        <f>D12*E12/100</f>
        <v/>
      </c>
    </row>
    <row r="13">
      <c r="A13" t="n">
        <v>2031</v>
      </c>
      <c r="B13" t="n">
        <v>0.053</v>
      </c>
      <c r="C13" t="n">
        <v>0.06575</v>
      </c>
      <c r="D13">
        <f>D12*(1+B13)</f>
        <v/>
      </c>
      <c r="E13">
        <f>E12*(1+C13)</f>
        <v/>
      </c>
      <c r="F13">
        <f>D13*E13/100</f>
        <v/>
      </c>
    </row>
    <row r="14">
      <c r="A14" t="n">
        <v>2032</v>
      </c>
      <c r="B14" t="n">
        <v>0.053</v>
      </c>
      <c r="C14" t="n">
        <v>0.06575</v>
      </c>
      <c r="D14">
        <f>D13*(1+B14)</f>
        <v/>
      </c>
      <c r="E14">
        <f>E13*(1+C14)</f>
        <v/>
      </c>
      <c r="F14">
        <f>D14*E14/100</f>
        <v/>
      </c>
    </row>
    <row r="15">
      <c r="A15" t="n">
        <v>2033</v>
      </c>
      <c r="B15" t="n">
        <v>0.053</v>
      </c>
      <c r="C15" t="n">
        <v>0.06575</v>
      </c>
      <c r="D15">
        <f>D14*(1+B15)</f>
        <v/>
      </c>
      <c r="E15">
        <f>E14*(1+C15)</f>
        <v/>
      </c>
      <c r="F15">
        <f>D15*E15/100</f>
        <v/>
      </c>
    </row>
    <row r="16">
      <c r="A16" t="n">
        <v>2034</v>
      </c>
      <c r="B16" t="n">
        <v>0.053</v>
      </c>
      <c r="C16" t="n">
        <v>0.06575</v>
      </c>
      <c r="D16">
        <f>D15*(1+B16)</f>
        <v/>
      </c>
      <c r="E16">
        <f>E15*(1+C16)</f>
        <v/>
      </c>
      <c r="F16">
        <f>D16*E16/100</f>
        <v/>
      </c>
    </row>
    <row r="17">
      <c r="A17" t="n">
        <v>2035</v>
      </c>
      <c r="B17" t="n">
        <v>0.053</v>
      </c>
      <c r="C17" t="n">
        <v>0.06575</v>
      </c>
      <c r="D17">
        <f>D16*(1+B17)</f>
        <v/>
      </c>
      <c r="E17">
        <f>E16*(1+C17)</f>
        <v/>
      </c>
      <c r="F17">
        <f>D17*E17/100</f>
        <v/>
      </c>
    </row>
    <row r="18">
      <c r="A18" t="n">
        <v>2036</v>
      </c>
      <c r="B18" t="n">
        <v>0.053</v>
      </c>
      <c r="C18" t="n">
        <v>0.06575</v>
      </c>
      <c r="D18">
        <f>D17*(1+B18)</f>
        <v/>
      </c>
      <c r="E18">
        <f>E17*(1+C18)</f>
        <v/>
      </c>
      <c r="F18">
        <f>D18*E18/100</f>
        <v/>
      </c>
    </row>
    <row r="19">
      <c r="A19" t="n">
        <v>2037</v>
      </c>
      <c r="B19" t="n">
        <v>0.053</v>
      </c>
      <c r="C19" t="n">
        <v>0.06575</v>
      </c>
      <c r="D19">
        <f>D18*(1+B19)</f>
        <v/>
      </c>
      <c r="E19">
        <f>E18*(1+C19)</f>
        <v/>
      </c>
      <c r="F19">
        <f>D19*E19/100</f>
        <v/>
      </c>
    </row>
    <row r="20">
      <c r="A20" t="n">
        <v>2038</v>
      </c>
      <c r="B20" t="n">
        <v>0.053</v>
      </c>
      <c r="C20" t="n">
        <v>0.06575</v>
      </c>
      <c r="D20">
        <f>D19*(1+B20)</f>
        <v/>
      </c>
      <c r="E20">
        <f>E19*(1+C20)</f>
        <v/>
      </c>
      <c r="F20">
        <f>D20*E20/100</f>
        <v/>
      </c>
    </row>
    <row r="21">
      <c r="A21" t="n">
        <v>2039</v>
      </c>
      <c r="B21" t="n">
        <v>0.053</v>
      </c>
      <c r="C21" t="n">
        <v>0.06575</v>
      </c>
      <c r="D21">
        <f>D20*(1+B21)</f>
        <v/>
      </c>
      <c r="E21">
        <f>E20*(1+C21)</f>
        <v/>
      </c>
      <c r="F21">
        <f>D21*E21/100</f>
        <v/>
      </c>
    </row>
    <row r="22">
      <c r="A22" t="n">
        <v>2040</v>
      </c>
      <c r="B22" t="n">
        <v>0.053</v>
      </c>
      <c r="C22" t="n">
        <v>0.06575</v>
      </c>
      <c r="D22">
        <f>D21*(1+B22)</f>
        <v/>
      </c>
      <c r="E22">
        <f>E21*(1+C22)</f>
        <v/>
      </c>
      <c r="F22">
        <f>D22*E22/100</f>
        <v/>
      </c>
    </row>
    <row r="23">
      <c r="A23" t="n">
        <v>2041</v>
      </c>
      <c r="B23" t="n">
        <v>0.053</v>
      </c>
      <c r="C23" t="n">
        <v>0.06575</v>
      </c>
      <c r="D23">
        <f>D22*(1+B23)</f>
        <v/>
      </c>
      <c r="E23">
        <f>E22*(1+C23)</f>
        <v/>
      </c>
      <c r="F23">
        <f>D23*E23/100</f>
        <v/>
      </c>
    </row>
    <row r="24">
      <c r="A24" t="n">
        <v>2042</v>
      </c>
      <c r="B24" t="n">
        <v>0.053</v>
      </c>
      <c r="C24" t="n">
        <v>0.06575</v>
      </c>
      <c r="D24">
        <f>D23*(1+B24)</f>
        <v/>
      </c>
      <c r="E24">
        <f>E23*(1+C24)</f>
        <v/>
      </c>
      <c r="F24">
        <f>D24*E24/100</f>
        <v/>
      </c>
    </row>
    <row r="25">
      <c r="A25" t="n">
        <v>2043</v>
      </c>
      <c r="B25" t="n">
        <v>0.053</v>
      </c>
      <c r="C25" t="n">
        <v>0.06575</v>
      </c>
      <c r="D25">
        <f>D24*(1+B25)</f>
        <v/>
      </c>
      <c r="E25">
        <f>E24*(1+C25)</f>
        <v/>
      </c>
      <c r="F25">
        <f>D25*E25/100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  <c r="B1" t="inlineStr">
        <is>
          <t>Agriculture</t>
        </is>
      </c>
      <c r="C1" t="inlineStr">
        <is>
          <t>Industry</t>
        </is>
      </c>
      <c r="D1" t="inlineStr">
        <is>
          <t>Services</t>
        </is>
      </c>
      <c r="E1" t="inlineStr">
        <is>
          <t>Imports (CIF)</t>
        </is>
      </c>
      <c r="F1" t="inlineStr">
        <is>
          <t>Margins</t>
        </is>
      </c>
      <c r="G1" t="inlineStr">
        <is>
          <t>Taxes</t>
        </is>
      </c>
      <c r="H1" t="inlineStr">
        <is>
          <t>Total Supply</t>
        </is>
      </c>
    </row>
    <row r="2">
      <c r="A2" t="inlineStr">
        <is>
          <t>Agri Products</t>
        </is>
      </c>
      <c r="B2" t="n">
        <v>100</v>
      </c>
      <c r="C2" t="n">
        <v>20</v>
      </c>
      <c r="D2" t="n">
        <v>10</v>
      </c>
      <c r="E2" t="n">
        <v>30</v>
      </c>
      <c r="F2" t="n">
        <v>10</v>
      </c>
      <c r="G2" t="n">
        <v>5</v>
      </c>
      <c r="H2" t="n">
        <v>175</v>
      </c>
    </row>
    <row r="3">
      <c r="A3" t="inlineStr">
        <is>
          <t>Ind Products</t>
        </is>
      </c>
      <c r="B3" t="n">
        <v>50</v>
      </c>
      <c r="C3" t="n">
        <v>400</v>
      </c>
      <c r="D3" t="n">
        <v>50</v>
      </c>
      <c r="E3" t="n">
        <v>600</v>
      </c>
      <c r="F3" t="n">
        <v>50</v>
      </c>
      <c r="G3" t="n">
        <v>50</v>
      </c>
      <c r="H3" t="n">
        <v>1200</v>
      </c>
    </row>
    <row r="4">
      <c r="A4" t="inlineStr">
        <is>
          <t>Services</t>
        </is>
      </c>
      <c r="B4" t="n">
        <v>20</v>
      </c>
      <c r="C4" t="n">
        <v>100</v>
      </c>
      <c r="D4" t="n">
        <v>800</v>
      </c>
      <c r="E4" t="n">
        <v>100</v>
      </c>
      <c r="F4" t="n">
        <v>20</v>
      </c>
      <c r="G4" t="n">
        <v>20</v>
      </c>
      <c r="H4" t="n">
        <v>1060</v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  <c r="B1" t="inlineStr">
        <is>
          <t>Agriculture</t>
        </is>
      </c>
      <c r="C1" t="inlineStr">
        <is>
          <t>Industry</t>
        </is>
      </c>
      <c r="D1" t="inlineStr">
        <is>
          <t>Services</t>
        </is>
      </c>
      <c r="E1" t="inlineStr">
        <is>
          <t>Final Cons HH</t>
        </is>
      </c>
      <c r="F1" t="inlineStr">
        <is>
          <t>Final Cons Gov</t>
        </is>
      </c>
      <c r="G1" t="inlineStr">
        <is>
          <t>GFCF</t>
        </is>
      </c>
      <c r="H1" t="inlineStr">
        <is>
          <t>Exports</t>
        </is>
      </c>
      <c r="I1" t="inlineStr">
        <is>
          <t>Total Use</t>
        </is>
      </c>
    </row>
    <row r="2">
      <c r="A2" t="inlineStr">
        <is>
          <t>Agri Products</t>
        </is>
      </c>
      <c r="B2" t="n">
        <v>20</v>
      </c>
      <c r="C2" t="n">
        <v>50</v>
      </c>
      <c r="D2" t="n">
        <v>10</v>
      </c>
      <c r="E2" t="n">
        <v>60</v>
      </c>
      <c r="F2" t="n">
        <v>5</v>
      </c>
      <c r="G2" t="n">
        <v>5</v>
      </c>
      <c r="H2" t="n">
        <v>25</v>
      </c>
      <c r="I2" t="n">
        <v>175</v>
      </c>
    </row>
    <row r="3">
      <c r="A3" t="inlineStr">
        <is>
          <t>Ind Products</t>
        </is>
      </c>
      <c r="B3" t="n">
        <v>80</v>
      </c>
      <c r="C3" t="n">
        <v>200</v>
      </c>
      <c r="D3" t="n">
        <v>100</v>
      </c>
      <c r="E3" t="n">
        <v>300</v>
      </c>
      <c r="F3" t="n">
        <v>50</v>
      </c>
      <c r="G3" t="n">
        <v>250</v>
      </c>
      <c r="H3" t="n">
        <v>220</v>
      </c>
      <c r="I3" t="n">
        <v>1200</v>
      </c>
    </row>
    <row r="4">
      <c r="A4" t="inlineStr">
        <is>
          <t>Services</t>
        </is>
      </c>
      <c r="B4" t="n">
        <v>30</v>
      </c>
      <c r="C4" t="n">
        <v>80</v>
      </c>
      <c r="D4" t="n">
        <v>200</v>
      </c>
      <c r="E4" t="n">
        <v>500</v>
      </c>
      <c r="F4" t="n">
        <v>150</v>
      </c>
      <c r="G4" t="n">
        <v>20</v>
      </c>
      <c r="H4" t="n">
        <v>80</v>
      </c>
      <c r="I4" t="n">
        <v>1060</v>
      </c>
    </row>
    <row r="5">
      <c r="A5" t="inlineStr">
        <is>
          <t>Total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  <c r="I5">
        <f>SUM(I2:I4)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46"/>
  <sheetViews>
    <sheetView workbookViewId="0">
      <selection activeCell="A1" sqref="A1"/>
    </sheetView>
  </sheetViews>
  <sheetFormatPr baseColWidth="8" defaultRowHeight="15"/>
  <sheetData>
    <row r="1">
      <c r="C1" t="inlineStr">
        <is>
          <t>Product</t>
        </is>
      </c>
      <c r="D1" t="inlineStr">
        <is>
          <t>Total Supply</t>
        </is>
      </c>
      <c r="E1" t="inlineStr">
        <is>
          <t>Imports</t>
        </is>
      </c>
      <c r="F1" t="inlineStr">
        <is>
          <t>Share of Imports in Supply</t>
        </is>
      </c>
    </row>
    <row r="2">
      <c r="C2" t="inlineStr">
        <is>
          <t>Agri Products</t>
        </is>
      </c>
      <c r="D2">
        <f>SUPPLY!H2</f>
        <v/>
      </c>
      <c r="E2">
        <f>SUPPLY!E2</f>
        <v/>
      </c>
      <c r="F2">
        <f>E2/D2</f>
        <v/>
      </c>
    </row>
    <row r="3">
      <c r="C3" t="inlineStr">
        <is>
          <t>Ind Products</t>
        </is>
      </c>
      <c r="D3">
        <f>SUPPLY!H3</f>
        <v/>
      </c>
      <c r="E3">
        <f>SUPPLY!E3</f>
        <v/>
      </c>
      <c r="F3">
        <f>E3/D3</f>
        <v/>
      </c>
    </row>
    <row r="4">
      <c r="C4" t="inlineStr">
        <is>
          <t>Services</t>
        </is>
      </c>
      <c r="D4">
        <f>SUPPLY!H4</f>
        <v/>
      </c>
      <c r="E4">
        <f>SUPPLY!E4</f>
        <v/>
      </c>
      <c r="F4">
        <f>E4/D4</f>
        <v/>
      </c>
    </row>
    <row r="46">
      <c r="B46" t="inlineStr">
        <is>
          <t>Estimated Import Content Share</t>
        </is>
      </c>
      <c r="C46">
        <f>SUM(E2:E4)/SUM(D2:D4)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2026-01-29T05:34:16Z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