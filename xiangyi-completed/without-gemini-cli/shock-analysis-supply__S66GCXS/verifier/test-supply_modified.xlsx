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>
        <v>0.1011073751960408</v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 + 100*SUMSQ(M8:M27)</f>
        <v/>
      </c>
    </row>
    <row r="6">
      <c r="C6" t="n">
        <v>2002</v>
      </c>
      <c r="D6" s="19" t="n">
        <v>240523.046875</v>
      </c>
      <c r="E6" t="n">
        <v>19.54849963823925</v>
      </c>
      <c r="F6" t="n">
        <v>12.39057119293873</v>
      </c>
      <c r="G6" t="n">
        <v>2.972898538639241</v>
      </c>
      <c r="K6" s="4" t="n">
        <v>-1.654502733193385</v>
      </c>
      <c r="L6" t="n">
        <v>-1.600125866571548</v>
      </c>
      <c r="N6" s="5">
        <f>K6-L6</f>
        <v/>
      </c>
    </row>
    <row r="7">
      <c r="C7" t="n">
        <v>2003</v>
      </c>
      <c r="D7" s="19" t="n">
        <v>242715.265625</v>
      </c>
      <c r="E7" t="n">
        <v>21.71019310558714</v>
      </c>
      <c r="F7" t="n">
        <v>12.39964428889196</v>
      </c>
      <c r="G7" t="n">
        <v>3.07778187862665</v>
      </c>
      <c r="K7" s="4" t="n">
        <v>-1.567043717041663</v>
      </c>
      <c r="L7" t="n">
        <v>-1.523649012220237</v>
      </c>
      <c r="N7" s="5">
        <f>K7-L7</f>
        <v/>
      </c>
    </row>
    <row r="8">
      <c r="C8" t="n">
        <v>2004</v>
      </c>
      <c r="D8" s="19" t="n">
        <v>245580.140625</v>
      </c>
      <c r="E8" t="n">
        <v>22.96851168524871</v>
      </c>
      <c r="F8" t="n">
        <v>12.41137861133833</v>
      </c>
      <c r="G8" t="n">
        <v>3.134124220751064</v>
      </c>
      <c r="K8" s="4" t="n">
        <v>-1.492077875317116</v>
      </c>
      <c r="L8" t="n">
        <v>-1.447715926535146</v>
      </c>
      <c r="M8">
        <f>L8-2*L7+L6</f>
        <v/>
      </c>
      <c r="N8" s="5">
        <f>K8-L8</f>
        <v/>
      </c>
    </row>
    <row r="9">
      <c r="C9" t="n">
        <v>2005</v>
      </c>
      <c r="D9" s="19" t="n">
        <v>249248.984375</v>
      </c>
      <c r="E9" t="n">
        <v>25.17079905505565</v>
      </c>
      <c r="F9" t="n">
        <v>12.42620761309161</v>
      </c>
      <c r="G9" t="n">
        <v>3.225684554970521</v>
      </c>
      <c r="K9" s="4" t="n">
        <v>-1.378587927950393</v>
      </c>
      <c r="L9" t="n">
        <v>-1.373304325230709</v>
      </c>
      <c r="M9">
        <f>L9-2*L8+L7</f>
        <v/>
      </c>
      <c r="N9" s="5">
        <f>K9-L9</f>
        <v/>
      </c>
    </row>
    <row r="10">
      <c r="C10" t="n">
        <v>2006</v>
      </c>
      <c r="D10" s="19" t="n">
        <v>252297.078125</v>
      </c>
      <c r="E10" t="n">
        <v>27.54207520552477</v>
      </c>
      <c r="F10" t="n">
        <v>12.43836255360688</v>
      </c>
      <c r="G10" t="n">
        <v>3.315714842877227</v>
      </c>
      <c r="K10" s="4" t="n">
        <v>-1.258534734361389</v>
      </c>
      <c r="L10" t="n">
        <v>-1.30183554350918</v>
      </c>
      <c r="M10">
        <f>L10-2*L9+L8</f>
        <v/>
      </c>
      <c r="N10" s="5">
        <f>K10-L10</f>
        <v/>
      </c>
    </row>
    <row r="11">
      <c r="C11" t="n">
        <v>2007</v>
      </c>
      <c r="D11" s="19" t="n">
        <v>256234.109375</v>
      </c>
      <c r="E11" t="n">
        <v>31.00653151693548</v>
      </c>
      <c r="F11" t="n">
        <v>12.4538467953168</v>
      </c>
      <c r="G11" t="n">
        <v>3.434197876386956</v>
      </c>
      <c r="K11" s="4" t="n">
        <v>-1.126089290679008</v>
      </c>
      <c r="L11" t="n">
        <v>-1.23478375260001</v>
      </c>
      <c r="M11">
        <f>L11-2*L10+L9</f>
        <v/>
      </c>
      <c r="N11" s="5">
        <f>K11-L11</f>
        <v/>
      </c>
    </row>
    <row r="12">
      <c r="C12" t="n">
        <v>2008</v>
      </c>
      <c r="D12" s="19" t="n">
        <v>257715.4375</v>
      </c>
      <c r="E12" t="n">
        <v>31.75630089535417</v>
      </c>
      <c r="F12" t="n">
        <v>12.45961129977444</v>
      </c>
      <c r="G12" t="n">
        <v>3.458091159046412</v>
      </c>
      <c r="K12" s="4" t="n">
        <v>-1.108703798769882</v>
      </c>
      <c r="L12" t="n">
        <v>-1.173190115641173</v>
      </c>
      <c r="M12">
        <f>L12-2*L11+L10</f>
        <v/>
      </c>
      <c r="N12" s="5">
        <f>K12-L12</f>
        <v/>
      </c>
    </row>
    <row r="13">
      <c r="C13" t="n">
        <v>2009</v>
      </c>
      <c r="D13" s="19" t="n">
        <v>255596.078125</v>
      </c>
      <c r="E13" t="n">
        <v>30.59716624580159</v>
      </c>
      <c r="F13" t="n">
        <v>12.45135365756889</v>
      </c>
      <c r="G13" t="n">
        <v>3.420907398323749</v>
      </c>
      <c r="K13" s="4" t="n">
        <v>-1.140715683846334</v>
      </c>
      <c r="L13" t="n">
        <v>-1.117008851151432</v>
      </c>
      <c r="M13">
        <f>L13-2*L12+L11</f>
        <v/>
      </c>
      <c r="N13" s="5">
        <f>K13-L13</f>
        <v/>
      </c>
    </row>
    <row r="14">
      <c r="C14" t="n">
        <v>2010</v>
      </c>
      <c r="D14" s="19" t="n">
        <v>256185.140625</v>
      </c>
      <c r="E14" t="n">
        <v>32.50931172717817</v>
      </c>
      <c r="F14" t="n">
        <v>12.45365566764098</v>
      </c>
      <c r="G14" t="n">
        <v>3.481526562980604</v>
      </c>
      <c r="K14" s="4" t="n">
        <v>-1.078231459643246</v>
      </c>
      <c r="L14" t="n">
        <v>-1.065549314480839</v>
      </c>
      <c r="M14">
        <f>L14-2*L13+L12</f>
        <v/>
      </c>
      <c r="N14" s="5">
        <f>K14-L14</f>
        <v/>
      </c>
    </row>
    <row r="15">
      <c r="C15" t="n">
        <v>2011</v>
      </c>
      <c r="D15" s="19" t="n">
        <v>258197.40625</v>
      </c>
      <c r="E15" t="n">
        <v>34.90221018949814</v>
      </c>
      <c r="F15" t="n">
        <v>12.46147971183686</v>
      </c>
      <c r="G15" t="n">
        <v>3.552550156415153</v>
      </c>
      <c r="K15" s="4" t="n">
        <v>-1.008357686970513</v>
      </c>
      <c r="L15" t="n">
        <v>-1.018357929306392</v>
      </c>
      <c r="M15">
        <f>L15-2*L14+L13</f>
        <v/>
      </c>
      <c r="N15" s="5">
        <f>K15-L15</f>
        <v/>
      </c>
    </row>
    <row r="16">
      <c r="C16" t="n">
        <v>2012</v>
      </c>
      <c r="D16" s="19" t="n">
        <v>260772.96875</v>
      </c>
      <c r="E16" t="n">
        <v>37.14180608212109</v>
      </c>
      <c r="F16" t="n">
        <v>12.47140545623189</v>
      </c>
      <c r="G16" t="n">
        <v>3.614743183770777</v>
      </c>
      <c r="K16" s="4" t="n">
        <v>-0.9516705875935424</v>
      </c>
      <c r="L16" t="n">
        <v>-0.9751079407567161</v>
      </c>
      <c r="M16">
        <f>L16-2*L15+L14</f>
        <v/>
      </c>
      <c r="N16" s="5">
        <f>K16-L16</f>
        <v/>
      </c>
    </row>
    <row r="17">
      <c r="C17" t="n">
        <v>2013</v>
      </c>
      <c r="D17" s="19" t="n">
        <v>261943.109375</v>
      </c>
      <c r="E17" t="n">
        <v>38.48468872821499</v>
      </c>
      <c r="F17" t="n">
        <v>12.4758826193749</v>
      </c>
      <c r="G17" t="n">
        <v>3.650260466820922</v>
      </c>
      <c r="K17" s="4" t="n">
        <v>-0.9100186872867119</v>
      </c>
      <c r="L17" t="n">
        <v>-0.9353725915370766</v>
      </c>
      <c r="M17">
        <f>L17-2*L16+L15</f>
        <v/>
      </c>
      <c r="N17" s="5">
        <f>K17-L17</f>
        <v/>
      </c>
    </row>
    <row r="18">
      <c r="C18" t="n">
        <v>2014</v>
      </c>
      <c r="D18" s="19" t="n">
        <v>265818.40625</v>
      </c>
      <c r="E18" t="n">
        <v>40.19400404949878</v>
      </c>
      <c r="F18" t="n">
        <v>12.49056867135882</v>
      </c>
      <c r="G18" t="n">
        <v>3.693717831503018</v>
      </c>
      <c r="K18" s="4" t="n">
        <v>-0.890243949953756</v>
      </c>
      <c r="L18" t="n">
        <v>-0.8984907508211083</v>
      </c>
      <c r="M18">
        <f>L18-2*L17+L16</f>
        <v/>
      </c>
      <c r="N18" s="5">
        <f>K18-L18</f>
        <v/>
      </c>
    </row>
    <row r="19">
      <c r="C19" t="n">
        <v>2015</v>
      </c>
      <c r="D19" s="19" t="n">
        <v>271425.46875</v>
      </c>
      <c r="E19" t="n">
        <v>41.41052454190821</v>
      </c>
      <c r="F19" t="n">
        <v>12.51144286409497</v>
      </c>
      <c r="G19" t="n">
        <v>3.723535064511981</v>
      </c>
      <c r="K19" s="4" t="n">
        <v>-0.8817208089889355</v>
      </c>
      <c r="L19" t="n">
        <v>-0.8635477487399419</v>
      </c>
      <c r="M19">
        <f>L19-2*L18+L17</f>
        <v/>
      </c>
      <c r="N19" s="5">
        <f>K19-L19</f>
        <v/>
      </c>
    </row>
    <row r="20">
      <c r="C20" t="n">
        <v>2016</v>
      </c>
      <c r="D20" s="19" t="n">
        <v>277588.15625</v>
      </c>
      <c r="E20" t="n">
        <v>42.61384292783132</v>
      </c>
      <c r="F20" t="n">
        <v>12.53389384189914</v>
      </c>
      <c r="G20" t="n">
        <v>3.75217915184761</v>
      </c>
      <c r="K20" s="4" t="n">
        <v>-0.8535369570013671</v>
      </c>
      <c r="L20" t="n">
        <v>-0.8295464474160348</v>
      </c>
      <c r="M20">
        <f>L20-2*L19+L18</f>
        <v/>
      </c>
      <c r="N20" s="5">
        <f>K20-L20</f>
        <v/>
      </c>
    </row>
    <row r="21">
      <c r="C21" t="n">
        <v>2017</v>
      </c>
      <c r="D21" s="19" t="n">
        <v>283682.15625</v>
      </c>
      <c r="E21" t="n">
        <v>44.6777883986348</v>
      </c>
      <c r="F21" t="n">
        <v>12.55560972227322</v>
      </c>
      <c r="G21" t="n">
        <v>3.799476474288227</v>
      </c>
      <c r="K21" s="4" t="n">
        <v>-0.8091796693488607</v>
      </c>
      <c r="L21" t="n">
        <v>-0.7956714395743343</v>
      </c>
      <c r="M21">
        <f>L21-2*L20+L19</f>
        <v/>
      </c>
      <c r="N21" s="5">
        <f>K21-L21</f>
        <v/>
      </c>
    </row>
    <row r="22">
      <c r="C22" t="n">
        <v>2018</v>
      </c>
      <c r="D22" s="19" t="n">
        <v>289560.90625</v>
      </c>
      <c r="E22" t="n">
        <v>46.8414131057452</v>
      </c>
      <c r="F22" t="n">
        <v>12.57612093815076</v>
      </c>
      <c r="G22" t="n">
        <v>3.84676770705637</v>
      </c>
      <c r="K22" s="4" t="n">
        <v>-0.7631932934638626</v>
      </c>
      <c r="L22" t="n">
        <v>-0.7613472230356411</v>
      </c>
      <c r="M22">
        <f>L22-2*L21+L20</f>
        <v/>
      </c>
      <c r="N22" s="5">
        <f>K22-L22</f>
        <v/>
      </c>
    </row>
    <row r="23">
      <c r="C23" t="n">
        <v>2019</v>
      </c>
      <c r="D23" s="19" t="n">
        <v>298215.0625</v>
      </c>
      <c r="E23" t="n">
        <v>49.2527</v>
      </c>
      <c r="F23" t="n">
        <v>12.60557019143886</v>
      </c>
      <c r="G23" t="n">
        <v>3.896964188450434</v>
      </c>
      <c r="K23" s="4" t="n">
        <v>-0.720597158535353</v>
      </c>
      <c r="L23" t="n">
        <v>-0.726133377918501</v>
      </c>
      <c r="M23">
        <f>L23-2*L22+L21</f>
        <v/>
      </c>
      <c r="N23" s="5">
        <f>K23-L23</f>
        <v/>
      </c>
    </row>
    <row r="24">
      <c r="C24" t="n">
        <v>2020</v>
      </c>
      <c r="D24" s="19" t="n">
        <v>297252.2414335393</v>
      </c>
      <c r="E24" t="n">
        <v>46.1990326</v>
      </c>
      <c r="F24" t="n">
        <v>12.60233635509159</v>
      </c>
      <c r="G24" t="n">
        <v>3.832958858474521</v>
      </c>
      <c r="K24" s="4" t="n">
        <v>-0.7834706457897216</v>
      </c>
      <c r="L24" t="n">
        <v>-0.6896079450457415</v>
      </c>
      <c r="M24">
        <f>L24-2*L23+L22</f>
        <v/>
      </c>
      <c r="N24" s="5">
        <f>K24-L24</f>
        <v/>
      </c>
    </row>
    <row r="25">
      <c r="C25" t="n">
        <v>2021</v>
      </c>
      <c r="D25" s="19" t="n">
        <v>297524.4657209375</v>
      </c>
      <c r="E25" t="n">
        <v>51.04993102299999</v>
      </c>
      <c r="F25" t="n">
        <v>12.60325173830392</v>
      </c>
      <c r="G25" t="n">
        <v>3.932804193444237</v>
      </c>
      <c r="K25" s="4" t="n">
        <v>-0.6839456949443212</v>
      </c>
      <c r="L25" t="n">
        <v>-0.6512936030463587</v>
      </c>
      <c r="M25">
        <f>L25-2*L24+L23</f>
        <v/>
      </c>
      <c r="N25" s="5">
        <f>K25-L25</f>
        <v/>
      </c>
    </row>
    <row r="26">
      <c r="C26" t="n">
        <v>2022</v>
      </c>
      <c r="D26" s="19" t="n">
        <v>299093.5234381348</v>
      </c>
      <c r="E26" t="n">
        <v>56.359123849392</v>
      </c>
      <c r="F26" t="n">
        <v>12.60851159088355</v>
      </c>
      <c r="G26" t="n">
        <v>4.031744141299141</v>
      </c>
      <c r="K26" s="4" t="n">
        <v>-0.5868466954922864</v>
      </c>
      <c r="L26" t="n">
        <v>-0.6116516575567891</v>
      </c>
      <c r="M26">
        <f>L26-2*L25+L24</f>
        <v/>
      </c>
      <c r="N26" s="5">
        <f>K26-L26</f>
        <v/>
      </c>
    </row>
    <row r="27">
      <c r="C27" t="n">
        <v>2023</v>
      </c>
      <c r="D27" s="19" t="n">
        <v>301639.0763290009</v>
      </c>
      <c r="E27" t="n">
        <v>60.5860581380964</v>
      </c>
      <c r="F27" t="n">
        <v>12.61698647014839</v>
      </c>
      <c r="G27" t="n">
        <v>4.104064802878767</v>
      </c>
      <c r="K27" s="6" t="n">
        <v>-0.5174922416553551</v>
      </c>
      <c r="L27" s="7" t="n">
        <v>-0.5714699351324487</v>
      </c>
      <c r="M27" s="7">
        <f>L27-2*L26+L25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D6</f>
        <v/>
      </c>
      <c r="F36">
        <f>E6</f>
        <v/>
      </c>
      <c r="G36">
        <f>L6</f>
        <v/>
      </c>
      <c r="H36">
        <f>EXP(G36 + 0.35*LN(E36) + 0.65*0.3163258153572088)</f>
        <v/>
      </c>
      <c r="I36">
        <f>IFERROR(VLOOKUP(C36, Investment!B:C, 2, FALSE), 0)</f>
        <v/>
      </c>
      <c r="J36" t="n">
        <v>0</v>
      </c>
      <c r="K36" s="19">
        <f>E36 + J36</f>
        <v/>
      </c>
      <c r="L36">
        <f>EXP(G36 + 0.35*LN(K36) + 0.65*0.3163258153572088)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 s="19">
        <f>D7</f>
        <v/>
      </c>
      <c r="F37">
        <f>E7</f>
        <v/>
      </c>
      <c r="G37">
        <f>L7</f>
        <v/>
      </c>
      <c r="H37">
        <f>EXP(G37 + 0.35*LN(E37) + 0.65*0.3163258153572088)</f>
        <v/>
      </c>
      <c r="I37">
        <f>IFERROR(VLOOKUP(C37, Investment!B:C, 2, FALSE), 0)</f>
        <v/>
      </c>
      <c r="J37">
        <f>J36*(1-$B$3) + I37</f>
        <v/>
      </c>
      <c r="K37" s="19">
        <f>E37 + J37</f>
        <v/>
      </c>
      <c r="L37">
        <f>EXP(G37 + 0.35*LN(K37) + 0.65*0.3163258153572088)</f>
        <v/>
      </c>
      <c r="M37">
        <f>L37-H37</f>
        <v/>
      </c>
      <c r="N37">
        <f>L37</f>
        <v/>
      </c>
      <c r="O37">
        <f>(N37/N36-1)*100</f>
        <v/>
      </c>
      <c r="P37">
        <f>(H37/H36-1)*100</f>
        <v/>
      </c>
    </row>
    <row r="38">
      <c r="C38" t="n">
        <v>2004</v>
      </c>
      <c r="D38">
        <f>E38/F38</f>
        <v/>
      </c>
      <c r="E38" s="19">
        <f>D8</f>
        <v/>
      </c>
      <c r="F38">
        <f>E8</f>
        <v/>
      </c>
      <c r="G38">
        <f>L8</f>
        <v/>
      </c>
      <c r="H38">
        <f>EXP(G38 + 0.35*LN(E38) + 0.65*0.3163258153572088)</f>
        <v/>
      </c>
      <c r="I38">
        <f>IFERROR(VLOOKUP(C38, Investment!B:C, 2, FALSE), 0)</f>
        <v/>
      </c>
      <c r="J38">
        <f>J37*(1-$B$3) + I38</f>
        <v/>
      </c>
      <c r="K38" s="19">
        <f>E38 + J38</f>
        <v/>
      </c>
      <c r="L38">
        <f>EXP(G38 + 0.35*LN(K38) + 0.65*0.3163258153572088)</f>
        <v/>
      </c>
      <c r="M38">
        <f>L38-H38</f>
        <v/>
      </c>
      <c r="N38">
        <f>L38</f>
        <v/>
      </c>
      <c r="O38">
        <f>(N38/N37-1)*100</f>
        <v/>
      </c>
      <c r="P38">
        <f>(H38/H37-1)*100</f>
        <v/>
      </c>
    </row>
    <row r="39">
      <c r="C39" t="n">
        <v>2005</v>
      </c>
      <c r="D39">
        <f>E39/F39</f>
        <v/>
      </c>
      <c r="E39" s="19">
        <f>D9</f>
        <v/>
      </c>
      <c r="F39">
        <f>E9</f>
        <v/>
      </c>
      <c r="G39">
        <f>L9</f>
        <v/>
      </c>
      <c r="H39">
        <f>EXP(G39 + 0.35*LN(E39) + 0.65*0.3163258153572088)</f>
        <v/>
      </c>
      <c r="I39">
        <f>IFERROR(VLOOKUP(C39, Investment!B:C, 2, FALSE), 0)</f>
        <v/>
      </c>
      <c r="J39">
        <f>J38*(1-$B$3) + I39</f>
        <v/>
      </c>
      <c r="K39" s="19">
        <f>E39 + J39</f>
        <v/>
      </c>
      <c r="L39">
        <f>EXP(G39 + 0.35*LN(K39) + 0.65*0.3163258153572088)</f>
        <v/>
      </c>
      <c r="M39">
        <f>L39-H39</f>
        <v/>
      </c>
      <c r="N39">
        <f>L39</f>
        <v/>
      </c>
      <c r="O39">
        <f>(N39/N38-1)*100</f>
        <v/>
      </c>
      <c r="P39">
        <f>(H39/H38-1)*100</f>
        <v/>
      </c>
    </row>
    <row r="40">
      <c r="C40" t="n">
        <v>2006</v>
      </c>
      <c r="D40">
        <f>E40/F40</f>
        <v/>
      </c>
      <c r="E40" s="19">
        <f>D10</f>
        <v/>
      </c>
      <c r="F40">
        <f>E10</f>
        <v/>
      </c>
      <c r="G40">
        <f>L10</f>
        <v/>
      </c>
      <c r="H40">
        <f>EXP(G40 + 0.35*LN(E40) + 0.65*0.3163258153572088)</f>
        <v/>
      </c>
      <c r="I40">
        <f>IFERROR(VLOOKUP(C40, Investment!B:C, 2, FALSE), 0)</f>
        <v/>
      </c>
      <c r="J40">
        <f>J39*(1-$B$3) + I40</f>
        <v/>
      </c>
      <c r="K40" s="19">
        <f>E40 + J40</f>
        <v/>
      </c>
      <c r="L40">
        <f>EXP(G40 + 0.35*LN(K40) + 0.65*0.3163258153572088)</f>
        <v/>
      </c>
      <c r="M40">
        <f>L40-H40</f>
        <v/>
      </c>
      <c r="N40">
        <f>L40</f>
        <v/>
      </c>
      <c r="O40">
        <f>(N40/N39-1)*100</f>
        <v/>
      </c>
      <c r="P40">
        <f>(H40/H39-1)*100</f>
        <v/>
      </c>
    </row>
    <row r="41">
      <c r="C41" t="n">
        <v>2007</v>
      </c>
      <c r="D41">
        <f>E41/F41</f>
        <v/>
      </c>
      <c r="E41" s="19">
        <f>D11</f>
        <v/>
      </c>
      <c r="F41">
        <f>E11</f>
        <v/>
      </c>
      <c r="G41">
        <f>L11</f>
        <v/>
      </c>
      <c r="H41">
        <f>EXP(G41 + 0.35*LN(E41) + 0.65*0.3163258153572088)</f>
        <v/>
      </c>
      <c r="I41">
        <f>IFERROR(VLOOKUP(C41, Investment!B:C, 2, FALSE), 0)</f>
        <v/>
      </c>
      <c r="J41">
        <f>J40*(1-$B$3) + I41</f>
        <v/>
      </c>
      <c r="K41" s="19">
        <f>E41 + J41</f>
        <v/>
      </c>
      <c r="L41">
        <f>EXP(G41 + 0.35*LN(K41) + 0.65*0.3163258153572088)</f>
        <v/>
      </c>
      <c r="M41">
        <f>L41-H41</f>
        <v/>
      </c>
      <c r="N41">
        <f>L41</f>
        <v/>
      </c>
      <c r="O41">
        <f>(N41/N40-1)*100</f>
        <v/>
      </c>
      <c r="P41">
        <f>(H41/H40-1)*100</f>
        <v/>
      </c>
    </row>
    <row r="42">
      <c r="C42" t="n">
        <v>2008</v>
      </c>
      <c r="D42">
        <f>E42/F42</f>
        <v/>
      </c>
      <c r="E42" s="19">
        <f>D12</f>
        <v/>
      </c>
      <c r="F42">
        <f>E12</f>
        <v/>
      </c>
      <c r="G42">
        <f>L12</f>
        <v/>
      </c>
      <c r="H42">
        <f>EXP(G42 + 0.35*LN(E42) + 0.65*0.3163258153572088)</f>
        <v/>
      </c>
      <c r="I42">
        <f>IFERROR(VLOOKUP(C42, Investment!B:C, 2, FALSE), 0)</f>
        <v/>
      </c>
      <c r="J42">
        <f>J41*(1-$B$3) + I42</f>
        <v/>
      </c>
      <c r="K42" s="19">
        <f>E42 + J42</f>
        <v/>
      </c>
      <c r="L42">
        <f>EXP(G42 + 0.35*LN(K42) + 0.65*0.3163258153572088)</f>
        <v/>
      </c>
      <c r="M42">
        <f>L42-H42</f>
        <v/>
      </c>
      <c r="N42">
        <f>L42</f>
        <v/>
      </c>
      <c r="O42">
        <f>(N42/N41-1)*100</f>
        <v/>
      </c>
      <c r="P42">
        <f>(H42/H41-1)*100</f>
        <v/>
      </c>
    </row>
    <row r="43">
      <c r="C43" t="n">
        <v>2009</v>
      </c>
      <c r="D43">
        <f>E43/F43</f>
        <v/>
      </c>
      <c r="E43" s="19">
        <f>D13</f>
        <v/>
      </c>
      <c r="F43">
        <f>E13</f>
        <v/>
      </c>
      <c r="G43">
        <f>L13</f>
        <v/>
      </c>
      <c r="H43">
        <f>EXP(G43 + 0.35*LN(E43) + 0.65*0.3163258153572088)</f>
        <v/>
      </c>
      <c r="I43">
        <f>IFERROR(VLOOKUP(C43, Investment!B:C, 2, FALSE), 0)</f>
        <v/>
      </c>
      <c r="J43">
        <f>J42*(1-$B$3) + I43</f>
        <v/>
      </c>
      <c r="K43" s="19">
        <f>E43 + J43</f>
        <v/>
      </c>
      <c r="L43">
        <f>EXP(G43 + 0.35*LN(K43) + 0.65*0.3163258153572088)</f>
        <v/>
      </c>
      <c r="M43">
        <f>L43-H43</f>
        <v/>
      </c>
      <c r="N43">
        <f>L43</f>
        <v/>
      </c>
      <c r="O43">
        <f>(N43/N42-1)*100</f>
        <v/>
      </c>
      <c r="P43">
        <f>(H43/H42-1)*100</f>
        <v/>
      </c>
    </row>
    <row r="44">
      <c r="C44" t="n">
        <v>2010</v>
      </c>
      <c r="D44">
        <f>E44/F44</f>
        <v/>
      </c>
      <c r="E44" s="19">
        <f>D14</f>
        <v/>
      </c>
      <c r="F44">
        <f>E14</f>
        <v/>
      </c>
      <c r="G44">
        <f>L14</f>
        <v/>
      </c>
      <c r="H44">
        <f>EXP(G44 + 0.35*LN(E44) + 0.65*0.3163258153572088)</f>
        <v/>
      </c>
      <c r="I44">
        <f>IFERROR(VLOOKUP(C44, Investment!B:C, 2, FALSE), 0)</f>
        <v/>
      </c>
      <c r="J44">
        <f>J43*(1-$B$3) + I44</f>
        <v/>
      </c>
      <c r="K44" s="19">
        <f>E44 + J44</f>
        <v/>
      </c>
      <c r="L44">
        <f>EXP(G44 + 0.35*LN(K44) + 0.65*0.3163258153572088)</f>
        <v/>
      </c>
      <c r="M44">
        <f>L44-H44</f>
        <v/>
      </c>
      <c r="N44">
        <f>L44</f>
        <v/>
      </c>
      <c r="O44">
        <f>(N44/N43-1)*100</f>
        <v/>
      </c>
      <c r="P44">
        <f>(H44/H43-1)*100</f>
        <v/>
      </c>
    </row>
    <row r="45">
      <c r="C45" t="n">
        <v>2011</v>
      </c>
      <c r="D45">
        <f>E45/F45</f>
        <v/>
      </c>
      <c r="E45" s="19">
        <f>D15</f>
        <v/>
      </c>
      <c r="F45">
        <f>E15</f>
        <v/>
      </c>
      <c r="G45">
        <f>L15</f>
        <v/>
      </c>
      <c r="H45">
        <f>EXP(G45 + 0.35*LN(E45) + 0.65*0.3163258153572088)</f>
        <v/>
      </c>
      <c r="I45">
        <f>IFERROR(VLOOKUP(C45, Investment!B:C, 2, FALSE), 0)</f>
        <v/>
      </c>
      <c r="J45">
        <f>J44*(1-$B$3) + I45</f>
        <v/>
      </c>
      <c r="K45" s="19">
        <f>E45 + J45</f>
        <v/>
      </c>
      <c r="L45">
        <f>EXP(G45 + 0.35*LN(K45) + 0.65*0.3163258153572088)</f>
        <v/>
      </c>
      <c r="M45">
        <f>L45-H45</f>
        <v/>
      </c>
      <c r="N45">
        <f>L45</f>
        <v/>
      </c>
      <c r="O45">
        <f>(N45/N44-1)*100</f>
        <v/>
      </c>
      <c r="P45">
        <f>(H45/H44-1)*100</f>
        <v/>
      </c>
    </row>
    <row r="46">
      <c r="C46" t="n">
        <v>2012</v>
      </c>
      <c r="D46">
        <f>E46/F46</f>
        <v/>
      </c>
      <c r="E46" s="19">
        <f>D16</f>
        <v/>
      </c>
      <c r="F46">
        <f>E16</f>
        <v/>
      </c>
      <c r="G46">
        <f>L16</f>
        <v/>
      </c>
      <c r="H46">
        <f>EXP(G46 + 0.35*LN(E46) + 0.65*0.3163258153572088)</f>
        <v/>
      </c>
      <c r="I46">
        <f>IFERROR(VLOOKUP(C46, Investment!B:C, 2, FALSE), 0)</f>
        <v/>
      </c>
      <c r="J46">
        <f>J45*(1-$B$3) + I46</f>
        <v/>
      </c>
      <c r="K46" s="19">
        <f>E46 + J46</f>
        <v/>
      </c>
      <c r="L46">
        <f>EXP(G46 + 0.35*LN(K46) + 0.65*0.3163258153572088)</f>
        <v/>
      </c>
      <c r="M46">
        <f>L46-H46</f>
        <v/>
      </c>
      <c r="N46">
        <f>L46</f>
        <v/>
      </c>
      <c r="O46">
        <f>(N46/N45-1)*100</f>
        <v/>
      </c>
      <c r="P46">
        <f>(H46/H45-1)*100</f>
        <v/>
      </c>
    </row>
    <row r="47">
      <c r="C47" t="n">
        <v>2013</v>
      </c>
      <c r="D47">
        <f>E47/F47</f>
        <v/>
      </c>
      <c r="E47" s="19">
        <f>D17</f>
        <v/>
      </c>
      <c r="F47">
        <f>E17</f>
        <v/>
      </c>
      <c r="G47">
        <f>L17</f>
        <v/>
      </c>
      <c r="H47">
        <f>EXP(G47 + 0.35*LN(E47) + 0.65*0.3163258153572088)</f>
        <v/>
      </c>
      <c r="I47">
        <f>IFERROR(VLOOKUP(C47, Investment!B:C, 2, FALSE), 0)</f>
        <v/>
      </c>
      <c r="J47">
        <f>J46*(1-$B$3) + I47</f>
        <v/>
      </c>
      <c r="K47" s="19">
        <f>E47 + J47</f>
        <v/>
      </c>
      <c r="L47">
        <f>EXP(G47 + 0.35*LN(K47) + 0.65*0.3163258153572088)</f>
        <v/>
      </c>
      <c r="M47">
        <f>L47-H47</f>
        <v/>
      </c>
      <c r="N47">
        <f>L47</f>
        <v/>
      </c>
      <c r="O47">
        <f>(N47/N46-1)*100</f>
        <v/>
      </c>
      <c r="P47">
        <f>(H47/H46-1)*100</f>
        <v/>
      </c>
    </row>
    <row r="48">
      <c r="C48" t="n">
        <v>2014</v>
      </c>
      <c r="D48">
        <f>E48/F48</f>
        <v/>
      </c>
      <c r="E48" s="19">
        <f>D18</f>
        <v/>
      </c>
      <c r="F48">
        <f>E18</f>
        <v/>
      </c>
      <c r="G48">
        <f>L18</f>
        <v/>
      </c>
      <c r="H48">
        <f>EXP(G48 + 0.35*LN(E48) + 0.65*0.3163258153572088)</f>
        <v/>
      </c>
      <c r="I48">
        <f>IFERROR(VLOOKUP(C48, Investment!B:C, 2, FALSE), 0)</f>
        <v/>
      </c>
      <c r="J48">
        <f>J47*(1-$B$3) + I48</f>
        <v/>
      </c>
      <c r="K48" s="19">
        <f>E48 + J48</f>
        <v/>
      </c>
      <c r="L48">
        <f>EXP(G48 + 0.35*LN(K48) + 0.65*0.3163258153572088)</f>
        <v/>
      </c>
      <c r="M48">
        <f>L48-H48</f>
        <v/>
      </c>
      <c r="N48">
        <f>L48</f>
        <v/>
      </c>
      <c r="O48">
        <f>(N48/N47-1)*100</f>
        <v/>
      </c>
      <c r="P48">
        <f>(H48/H47-1)*100</f>
        <v/>
      </c>
    </row>
    <row r="49">
      <c r="C49" t="n">
        <v>2015</v>
      </c>
      <c r="D49">
        <f>E49/F49</f>
        <v/>
      </c>
      <c r="E49" s="19">
        <f>D19</f>
        <v/>
      </c>
      <c r="F49">
        <f>E19</f>
        <v/>
      </c>
      <c r="G49">
        <f>L19</f>
        <v/>
      </c>
      <c r="H49">
        <f>EXP(G49 + 0.35*LN(E49) + 0.65*0.3163258153572088)</f>
        <v/>
      </c>
      <c r="I49">
        <f>IFERROR(VLOOKUP(C49, Investment!B:C, 2, FALSE), 0)</f>
        <v/>
      </c>
      <c r="J49">
        <f>J48*(1-$B$3) + I49</f>
        <v/>
      </c>
      <c r="K49" s="19">
        <f>E49 + J49</f>
        <v/>
      </c>
      <c r="L49">
        <f>EXP(G49 + 0.35*LN(K49) + 0.65*0.3163258153572088)</f>
        <v/>
      </c>
      <c r="M49">
        <f>L49-H49</f>
        <v/>
      </c>
      <c r="N49">
        <f>L49</f>
        <v/>
      </c>
      <c r="O49">
        <f>(N49/N48-1)*100</f>
        <v/>
      </c>
      <c r="P49">
        <f>(H49/H48-1)*100</f>
        <v/>
      </c>
    </row>
    <row r="50">
      <c r="C50" t="n">
        <v>2016</v>
      </c>
      <c r="D50">
        <f>E50/F50</f>
        <v/>
      </c>
      <c r="E50" s="19">
        <f>D20</f>
        <v/>
      </c>
      <c r="F50">
        <f>E20</f>
        <v/>
      </c>
      <c r="G50">
        <f>L20</f>
        <v/>
      </c>
      <c r="H50">
        <f>EXP(G50 + 0.35*LN(E50) + 0.65*0.3163258153572088)</f>
        <v/>
      </c>
      <c r="I50">
        <f>IFERROR(VLOOKUP(C50, Investment!B:C, 2, FALSE), 0)</f>
        <v/>
      </c>
      <c r="J50">
        <f>J49*(1-$B$3) + I50</f>
        <v/>
      </c>
      <c r="K50" s="19">
        <f>E50 + J50</f>
        <v/>
      </c>
      <c r="L50">
        <f>EXP(G50 + 0.35*LN(K50) + 0.65*0.3163258153572088)</f>
        <v/>
      </c>
      <c r="M50">
        <f>L50-H50</f>
        <v/>
      </c>
      <c r="N50">
        <f>L50</f>
        <v/>
      </c>
      <c r="O50">
        <f>(N50/N49-1)*100</f>
        <v/>
      </c>
      <c r="P50">
        <f>(H50/H49-1)*100</f>
        <v/>
      </c>
    </row>
    <row r="51">
      <c r="C51" t="n">
        <v>2017</v>
      </c>
      <c r="D51">
        <f>E51/F51</f>
        <v/>
      </c>
      <c r="E51" s="19">
        <f>D21</f>
        <v/>
      </c>
      <c r="F51">
        <f>E21</f>
        <v/>
      </c>
      <c r="G51">
        <f>L21</f>
        <v/>
      </c>
      <c r="H51">
        <f>EXP(G51 + 0.35*LN(E51) + 0.65*0.3163258153572088)</f>
        <v/>
      </c>
      <c r="I51">
        <f>IFERROR(VLOOKUP(C51, Investment!B:C, 2, FALSE), 0)</f>
        <v/>
      </c>
      <c r="J51">
        <f>J50*(1-$B$3) + I51</f>
        <v/>
      </c>
      <c r="K51" s="19">
        <f>E51 + J51</f>
        <v/>
      </c>
      <c r="L51">
        <f>EXP(G51 + 0.35*LN(K51) + 0.65*0.3163258153572088)</f>
        <v/>
      </c>
      <c r="M51">
        <f>L51-H51</f>
        <v/>
      </c>
      <c r="N51">
        <f>L51</f>
        <v/>
      </c>
      <c r="O51">
        <f>(N51/N50-1)*100</f>
        <v/>
      </c>
      <c r="P51">
        <f>(H51/H50-1)*100</f>
        <v/>
      </c>
    </row>
    <row r="52">
      <c r="C52" t="n">
        <v>2018</v>
      </c>
      <c r="D52">
        <f>E52/F52</f>
        <v/>
      </c>
      <c r="E52" s="19">
        <f>D22</f>
        <v/>
      </c>
      <c r="F52">
        <f>E22</f>
        <v/>
      </c>
      <c r="G52">
        <f>L22</f>
        <v/>
      </c>
      <c r="H52">
        <f>EXP(G52 + 0.35*LN(E52) + 0.65*0.3163258153572088)</f>
        <v/>
      </c>
      <c r="I52">
        <f>IFERROR(VLOOKUP(C52, Investment!B:C, 2, FALSE), 0)</f>
        <v/>
      </c>
      <c r="J52">
        <f>J51*(1-$B$3) + I52</f>
        <v/>
      </c>
      <c r="K52" s="19">
        <f>E52 + J52</f>
        <v/>
      </c>
      <c r="L52">
        <f>EXP(G52 + 0.35*LN(K52) + 0.65*0.3163258153572088)</f>
        <v/>
      </c>
      <c r="M52">
        <f>L52-H52</f>
        <v/>
      </c>
      <c r="N52">
        <f>L52</f>
        <v/>
      </c>
      <c r="O52">
        <f>(N52/N51-1)*100</f>
        <v/>
      </c>
      <c r="P52">
        <f>(H52/H51-1)*100</f>
        <v/>
      </c>
    </row>
    <row r="53">
      <c r="C53" t="n">
        <v>2019</v>
      </c>
      <c r="D53">
        <f>E53/F53</f>
        <v/>
      </c>
      <c r="E53" s="19">
        <f>D23</f>
        <v/>
      </c>
      <c r="F53">
        <f>E23</f>
        <v/>
      </c>
      <c r="G53">
        <f>L23</f>
        <v/>
      </c>
      <c r="H53">
        <f>EXP(G53 + 0.35*LN(E53) + 0.65*0.3163258153572088)</f>
        <v/>
      </c>
      <c r="I53">
        <f>IFERROR(VLOOKUP(C53, Investment!B:C, 2, FALSE), 0)</f>
        <v/>
      </c>
      <c r="J53">
        <f>J52*(1-$B$3) + I53</f>
        <v/>
      </c>
      <c r="K53" s="19">
        <f>E53 + J53</f>
        <v/>
      </c>
      <c r="L53">
        <f>EXP(G53 + 0.35*LN(K53) + 0.65*0.3163258153572088)</f>
        <v/>
      </c>
      <c r="M53">
        <f>L53-H53</f>
        <v/>
      </c>
      <c r="N53">
        <f>L53</f>
        <v/>
      </c>
      <c r="O53">
        <f>(N53/N52-1)*100</f>
        <v/>
      </c>
      <c r="P53">
        <f>(H53/H52-1)*100</f>
        <v/>
      </c>
    </row>
    <row r="54">
      <c r="C54" t="n">
        <v>2020</v>
      </c>
      <c r="D54">
        <f>E54/F54</f>
        <v/>
      </c>
      <c r="E54" s="19">
        <f>D24</f>
        <v/>
      </c>
      <c r="F54">
        <f>E24</f>
        <v/>
      </c>
      <c r="G54">
        <f>L24</f>
        <v/>
      </c>
      <c r="H54">
        <f>EXP(G54 + 0.35*LN(E54) + 0.65*0.3163258153572088)</f>
        <v/>
      </c>
      <c r="I54">
        <f>IFERROR(VLOOKUP(C54, Investment!B:C, 2, FALSE), 0)</f>
        <v/>
      </c>
      <c r="J54">
        <f>J53*(1-$B$3) + I54</f>
        <v/>
      </c>
      <c r="K54" s="19">
        <f>E54 + J54</f>
        <v/>
      </c>
      <c r="L54">
        <f>EXP(G54 + 0.35*LN(K54) + 0.65*0.3163258153572088)</f>
        <v/>
      </c>
      <c r="M54">
        <f>L54-H54</f>
        <v/>
      </c>
      <c r="N54">
        <f>L54</f>
        <v/>
      </c>
      <c r="O54">
        <f>(N54/N53-1)*100</f>
        <v/>
      </c>
      <c r="P54">
        <f>(H54/H53-1)*100</f>
        <v/>
      </c>
    </row>
    <row r="55">
      <c r="C55" t="n">
        <v>2021</v>
      </c>
      <c r="D55">
        <f>E55/F55</f>
        <v/>
      </c>
      <c r="E55" s="19">
        <f>D25</f>
        <v/>
      </c>
      <c r="F55">
        <f>E25</f>
        <v/>
      </c>
      <c r="G55">
        <f>L25</f>
        <v/>
      </c>
      <c r="H55">
        <f>EXP(G55 + 0.35*LN(E55) + 0.65*0.3163258153572088)</f>
        <v/>
      </c>
      <c r="I55">
        <f>IFERROR(VLOOKUP(C55, Investment!B:C, 2, FALSE), 0)</f>
        <v/>
      </c>
      <c r="J55">
        <f>J54*(1-$B$3) + I55</f>
        <v/>
      </c>
      <c r="K55" s="19">
        <f>E55 + J55</f>
        <v/>
      </c>
      <c r="L55">
        <f>EXP(G55 + 0.35*LN(K55) + 0.65*0.3163258153572088)</f>
        <v/>
      </c>
      <c r="M55">
        <f>L55-H55</f>
        <v/>
      </c>
      <c r="N55">
        <f>L55</f>
        <v/>
      </c>
      <c r="O55">
        <f>(N55/N54-1)*100</f>
        <v/>
      </c>
      <c r="P55">
        <f>(H55/H54-1)*100</f>
        <v/>
      </c>
    </row>
    <row r="56">
      <c r="C56" t="n">
        <v>2022</v>
      </c>
      <c r="D56">
        <f>E56/F56</f>
        <v/>
      </c>
      <c r="E56" s="19">
        <f>D26</f>
        <v/>
      </c>
      <c r="F56">
        <f>E26</f>
        <v/>
      </c>
      <c r="G56">
        <f>L26</f>
        <v/>
      </c>
      <c r="H56">
        <f>EXP(G56 + 0.35*LN(E56) + 0.65*0.3163258153572088)</f>
        <v/>
      </c>
      <c r="I56">
        <f>IFERROR(VLOOKUP(C56, Investment!B:C, 2, FALSE), 0)</f>
        <v/>
      </c>
      <c r="J56">
        <f>J55*(1-$B$3) + I56</f>
        <v/>
      </c>
      <c r="K56" s="19">
        <f>E56 + J56</f>
        <v/>
      </c>
      <c r="L56">
        <f>EXP(G56 + 0.35*LN(K56) + 0.65*0.3163258153572088)</f>
        <v/>
      </c>
      <c r="M56">
        <f>L56-H56</f>
        <v/>
      </c>
      <c r="N56">
        <f>L56</f>
        <v/>
      </c>
      <c r="O56">
        <f>(N56/N55-1)*100</f>
        <v/>
      </c>
      <c r="P56">
        <f>(H56/H55-1)*100</f>
        <v/>
      </c>
    </row>
    <row r="57">
      <c r="C57" t="n">
        <v>2023</v>
      </c>
      <c r="D57">
        <f>E57/F57</f>
        <v/>
      </c>
      <c r="E57" s="19">
        <f>D27</f>
        <v/>
      </c>
      <c r="F57">
        <f>E27</f>
        <v/>
      </c>
      <c r="G57">
        <f>L27</f>
        <v/>
      </c>
      <c r="H57">
        <f>EXP(G57 + 0.35*LN(E57) + 0.65*0.3163258153572088)</f>
        <v/>
      </c>
      <c r="I57">
        <f>IFERROR(VLOOKUP(C57, Investment!B:C, 2, FALSE), 0)</f>
        <v/>
      </c>
      <c r="J57">
        <f>J56*(1-$B$3) + I57</f>
        <v/>
      </c>
      <c r="K57" s="19">
        <f>E57 + J57</f>
        <v/>
      </c>
      <c r="L57">
        <f>EXP(G57 + 0.35*LN(K57) + 0.65*0.3163258153572088)</f>
        <v/>
      </c>
      <c r="M57">
        <f>L57-H57</f>
        <v/>
      </c>
      <c r="N57">
        <f>L57</f>
        <v/>
      </c>
      <c r="O57">
        <f>(N57/N56-1)*100</f>
        <v/>
      </c>
      <c r="P57">
        <f>(H57/H56-1)*100</f>
        <v/>
      </c>
    </row>
    <row r="58">
      <c r="C58" t="n">
        <v>2024</v>
      </c>
      <c r="D58" t="n">
        <v>6022.495826378476</v>
      </c>
      <c r="E58" s="21">
        <f>D58*F58</f>
        <v/>
      </c>
      <c r="F58" t="n">
        <v>65.13001249845362</v>
      </c>
      <c r="G58" s="20">
        <f>TREND(L$6:L$27, C$6:C$27, C58)</f>
        <v/>
      </c>
      <c r="H58">
        <f>EXP(G58 + 0.35*LN(E58) + 0.65*0.3163258153572088)</f>
        <v/>
      </c>
      <c r="I58">
        <f>IFERROR(VLOOKUP(C58, Investment!B:C, 2, FALSE), 0)</f>
        <v/>
      </c>
      <c r="J58">
        <f>J57*(1-$B$3) + I58</f>
        <v/>
      </c>
      <c r="K58" s="19">
        <f>E58 + J58</f>
        <v/>
      </c>
      <c r="L58">
        <f>EXP(G58 + 0.35*LN(K58) + 0.65*0.3163258153572088)</f>
        <v/>
      </c>
      <c r="M58">
        <f>L58-H58</f>
        <v/>
      </c>
      <c r="N58">
        <f>L58</f>
        <v/>
      </c>
      <c r="O58">
        <f>(N58/N57-1)*100</f>
        <v/>
      </c>
      <c r="P58">
        <f>(H58/H57-1)*100</f>
        <v/>
      </c>
    </row>
    <row r="59">
      <c r="C59" t="n">
        <v>2025</v>
      </c>
      <c r="D59" t="n">
        <v>6022.495826378476</v>
      </c>
      <c r="E59" s="21">
        <f>D59*F59</f>
        <v/>
      </c>
      <c r="F59" t="n">
        <v>69.03781324836085</v>
      </c>
      <c r="G59" s="20">
        <f>TREND(L$6:L$27, C$6:C$27, C59)</f>
        <v/>
      </c>
      <c r="H59">
        <f>EXP(G59 + 0.35*LN(E59) + 0.65*0.3163258153572088)</f>
        <v/>
      </c>
      <c r="I59">
        <f>IFERROR(VLOOKUP(C59, Investment!B:C, 2, FALSE), 0)</f>
        <v/>
      </c>
      <c r="J59">
        <f>J58*(1-$B$3) + I59</f>
        <v/>
      </c>
      <c r="K59" s="19">
        <f>E59 + J59</f>
        <v/>
      </c>
      <c r="L59">
        <f>EXP(G59 + 0.35*LN(K59) + 0.65*0.3163258153572088)</f>
        <v/>
      </c>
      <c r="M59">
        <f>L59-H59</f>
        <v/>
      </c>
      <c r="N59">
        <f>L59</f>
        <v/>
      </c>
      <c r="O59">
        <f>(N59/N58-1)*100</f>
        <v/>
      </c>
      <c r="P59">
        <f>(H59/H58-1)*100</f>
        <v/>
      </c>
    </row>
    <row r="60">
      <c r="C60" t="n">
        <v>2026</v>
      </c>
      <c r="D60" t="n">
        <v>6022.495826378476</v>
      </c>
      <c r="E60" s="21">
        <f>D60*F60</f>
        <v/>
      </c>
      <c r="F60" s="20" t="n">
        <v>72.4897039107789</v>
      </c>
      <c r="G60" s="20">
        <f>TREND(L$6:L$27, C$6:C$27, C60)</f>
        <v/>
      </c>
      <c r="H60">
        <f>EXP(G60 + 0.35*LN(E60) + 0.65*0.3163258153572088)</f>
        <v/>
      </c>
      <c r="I60" s="17">
        <f>IFERROR(VLOOKUP(C60, Investment!B:C, 2, FALSE), 0)</f>
        <v/>
      </c>
      <c r="J60">
        <f>J59*(1-$B$3) + I60</f>
        <v/>
      </c>
      <c r="K60" s="19">
        <f>E60 + J60</f>
        <v/>
      </c>
      <c r="L60">
        <f>EXP(G60 + 0.35*LN(K60) + 0.65*0.3163258153572088)</f>
        <v/>
      </c>
      <c r="M60">
        <f>L60-H60</f>
        <v/>
      </c>
      <c r="N60">
        <f>L60</f>
        <v/>
      </c>
      <c r="O60">
        <f>(N60/N59-1)*100</f>
        <v/>
      </c>
      <c r="P60">
        <f>(H60/H59-1)*100</f>
        <v/>
      </c>
    </row>
    <row r="61">
      <c r="C61" t="n">
        <v>2027</v>
      </c>
      <c r="D61" t="n">
        <v>6022.495826378476</v>
      </c>
      <c r="E61" s="21">
        <f>D61*F61</f>
        <v/>
      </c>
      <c r="F61" s="20" t="n">
        <v>76.11418910631785</v>
      </c>
      <c r="G61" s="20">
        <f>TREND(L$6:L$27, C$6:C$27, C61)</f>
        <v/>
      </c>
      <c r="H61">
        <f>EXP(G61 + 0.35*LN(E61) + 0.65*0.3163258153572088)</f>
        <v/>
      </c>
      <c r="I61" s="17">
        <f>IFERROR(VLOOKUP(C61, Investment!B:C, 2, FALSE), 0)</f>
        <v/>
      </c>
      <c r="J61">
        <f>J60*(1-$B$3) + I61</f>
        <v/>
      </c>
      <c r="K61" s="19">
        <f>E61 + J61</f>
        <v/>
      </c>
      <c r="L61">
        <f>EXP(G61 + 0.35*LN(K61) + 0.65*0.3163258153572088)</f>
        <v/>
      </c>
      <c r="M61">
        <f>L61-H61</f>
        <v/>
      </c>
      <c r="N61">
        <f>L61</f>
        <v/>
      </c>
      <c r="O61">
        <f>(N61/N60-1)*100</f>
        <v/>
      </c>
      <c r="P61">
        <f>(H61/H60-1)*100</f>
        <v/>
      </c>
    </row>
    <row r="62">
      <c r="C62" t="n">
        <v>2028</v>
      </c>
      <c r="D62" t="n">
        <v>6022.495826378476</v>
      </c>
      <c r="E62" s="21">
        <f>D62*F62</f>
        <v/>
      </c>
      <c r="F62" s="20" t="n">
        <v>79.91989856163374</v>
      </c>
      <c r="G62" s="20">
        <f>TREND(L$6:L$27, C$6:C$27, C62)</f>
        <v/>
      </c>
      <c r="H62">
        <f>EXP(G62 + 0.35*LN(E62) + 0.65*0.3163258153572088)</f>
        <v/>
      </c>
      <c r="I62" s="17">
        <f>IFERROR(VLOOKUP(C62, Investment!B:C, 2, FALSE), 0)</f>
        <v/>
      </c>
      <c r="J62">
        <f>J61*(1-$B$3) + I62</f>
        <v/>
      </c>
      <c r="K62" s="19">
        <f>E62 + J62</f>
        <v/>
      </c>
      <c r="L62">
        <f>EXP(G62 + 0.35*LN(K62) + 0.65*0.3163258153572088)</f>
        <v/>
      </c>
      <c r="M62">
        <f>L62-H62</f>
        <v/>
      </c>
      <c r="N62">
        <f>L62</f>
        <v/>
      </c>
      <c r="O62">
        <f>(N62/N61-1)*100</f>
        <v/>
      </c>
      <c r="P62">
        <f>(H62/H61-1)*100</f>
        <v/>
      </c>
    </row>
    <row r="63">
      <c r="C63" t="n">
        <v>2029</v>
      </c>
      <c r="D63" t="n">
        <v>6022.495826378476</v>
      </c>
      <c r="E63" s="21">
        <f>D63*F63</f>
        <v/>
      </c>
      <c r="F63" s="20" t="n">
        <v>83.91589348971543</v>
      </c>
      <c r="G63" s="20">
        <f>TREND(L$6:L$27, C$6:C$27, C63)</f>
        <v/>
      </c>
      <c r="H63">
        <f>EXP(G63 + 0.35*LN(E63) + 0.65*0.3163258153572088)</f>
        <v/>
      </c>
      <c r="I63" s="17">
        <f>IFERROR(VLOOKUP(C63, Investment!B:C, 2, FALSE), 0)</f>
        <v/>
      </c>
      <c r="J63">
        <f>J62*(1-$B$3) + I63</f>
        <v/>
      </c>
      <c r="K63" s="19">
        <f>E63 + J63</f>
        <v/>
      </c>
      <c r="L63">
        <f>EXP(G63 + 0.35*LN(K63) + 0.65*0.3163258153572088)</f>
        <v/>
      </c>
      <c r="M63">
        <f>L63-H63</f>
        <v/>
      </c>
      <c r="N63">
        <f>L63</f>
        <v/>
      </c>
      <c r="O63">
        <f>(N63/N62-1)*100</f>
        <v/>
      </c>
      <c r="P63">
        <f>(H63/H62-1)*100</f>
        <v/>
      </c>
    </row>
    <row r="64">
      <c r="C64" t="n">
        <v>2030</v>
      </c>
      <c r="D64" t="n">
        <v>6022.495826378476</v>
      </c>
      <c r="E64" s="21">
        <f>D64*F64</f>
        <v/>
      </c>
      <c r="F64" s="20" t="n">
        <v>88.11168816420121</v>
      </c>
      <c r="G64" s="20">
        <f>TREND(L$6:L$27, C$6:C$27, C64)</f>
        <v/>
      </c>
      <c r="H64">
        <f>EXP(G64 + 0.35*LN(E64) + 0.65*0.3163258153572088)</f>
        <v/>
      </c>
      <c r="I64" s="17">
        <f>IFERROR(VLOOKUP(C64, Investment!B:C, 2, FALSE), 0)</f>
        <v/>
      </c>
      <c r="J64">
        <f>J63*(1-$B$3) + I64</f>
        <v/>
      </c>
      <c r="K64" s="19">
        <f>E64 + J64</f>
        <v/>
      </c>
      <c r="L64">
        <f>EXP(G64 + 0.35*LN(K64) + 0.65*0.3163258153572088)</f>
        <v/>
      </c>
      <c r="M64">
        <f>L64-H64</f>
        <v/>
      </c>
      <c r="N64">
        <f>L64</f>
        <v/>
      </c>
      <c r="O64">
        <f>(N64/N63-1)*100</f>
        <v/>
      </c>
      <c r="P64">
        <f>(H64/H63-1)*100</f>
        <v/>
      </c>
    </row>
    <row r="65">
      <c r="C65" t="n">
        <v>2031</v>
      </c>
      <c r="D65" t="n">
        <v>6022.495826378476</v>
      </c>
      <c r="E65" s="21">
        <f>D65*F65</f>
        <v/>
      </c>
      <c r="F65" s="20" t="n">
        <v>92.51727257241127</v>
      </c>
      <c r="G65" s="20">
        <f>TREND(L$6:L$27, C$6:C$27, C65)</f>
        <v/>
      </c>
      <c r="H65">
        <f>EXP(G65 + 0.35*LN(E65) + 0.65*0.3163258153572088)</f>
        <v/>
      </c>
      <c r="I65" s="17">
        <f>IFERROR(VLOOKUP(C65, Investment!B:C, 2, FALSE), 0)</f>
        <v/>
      </c>
      <c r="J65">
        <f>J64*(1-$B$3) + I65</f>
        <v/>
      </c>
      <c r="K65" s="19">
        <f>E65 + J65</f>
        <v/>
      </c>
      <c r="L65">
        <f>EXP(G65 + 0.35*LN(K65) + 0.65*0.3163258153572088)</f>
        <v/>
      </c>
      <c r="M65">
        <f>L65-H65</f>
        <v/>
      </c>
      <c r="N65">
        <f>L65</f>
        <v/>
      </c>
      <c r="O65">
        <f>(N65/N64-1)*100</f>
        <v/>
      </c>
      <c r="P65">
        <f>(H65/H64-1)*100</f>
        <v/>
      </c>
    </row>
    <row r="66">
      <c r="C66" t="n">
        <v>2032</v>
      </c>
      <c r="D66" t="n">
        <v>6022.495826378476</v>
      </c>
      <c r="E66" s="21">
        <f>D66*F66</f>
        <v/>
      </c>
      <c r="F66" s="20" t="n">
        <v>97.14313620103184</v>
      </c>
      <c r="G66" s="20">
        <f>TREND(L$6:L$27, C$6:C$27, C66)</f>
        <v/>
      </c>
      <c r="H66">
        <f>EXP(G66 + 0.35*LN(E66) + 0.65*0.3163258153572088)</f>
        <v/>
      </c>
      <c r="I66" s="17">
        <f>IFERROR(VLOOKUP(C66, Investment!B:C, 2, FALSE), 0)</f>
        <v/>
      </c>
      <c r="J66">
        <f>J65*(1-$B$3) + I66</f>
        <v/>
      </c>
      <c r="K66" s="19">
        <f>E66 + J66</f>
        <v/>
      </c>
      <c r="L66">
        <f>EXP(G66 + 0.35*LN(K66) + 0.65*0.3163258153572088)</f>
        <v/>
      </c>
      <c r="M66">
        <f>L66-H66</f>
        <v/>
      </c>
      <c r="N66">
        <f>L66</f>
        <v/>
      </c>
      <c r="O66">
        <f>(N66/N65-1)*100</f>
        <v/>
      </c>
      <c r="P66">
        <f>(H66/H65-1)*100</f>
        <v/>
      </c>
    </row>
    <row r="67">
      <c r="C67" t="n">
        <v>2033</v>
      </c>
      <c r="D67" t="n">
        <v>6022.495826378476</v>
      </c>
      <c r="E67" s="21">
        <f>D67*F67</f>
        <v/>
      </c>
      <c r="F67" s="20" t="n">
        <v>102.0002930110834</v>
      </c>
      <c r="G67" s="20">
        <f>TREND(L$6:L$27, C$6:C$27, C67)</f>
        <v/>
      </c>
      <c r="H67">
        <f>EXP(G67 + 0.35*LN(E67) + 0.65*0.3163258153572088)</f>
        <v/>
      </c>
      <c r="I67" s="17">
        <f>IFERROR(VLOOKUP(C67, Investment!B:C, 2, FALSE), 0)</f>
        <v/>
      </c>
      <c r="J67">
        <f>J66*(1-$B$3) + I67</f>
        <v/>
      </c>
      <c r="K67" s="19">
        <f>E67 + J67</f>
        <v/>
      </c>
      <c r="L67">
        <f>EXP(G67 + 0.35*LN(K67) + 0.65*0.3163258153572088)</f>
        <v/>
      </c>
      <c r="M67">
        <f>L67-H67</f>
        <v/>
      </c>
      <c r="N67">
        <f>L67</f>
        <v/>
      </c>
      <c r="O67">
        <f>(N67/N66-1)*100</f>
        <v/>
      </c>
      <c r="P67">
        <f>(H67/H66-1)*100</f>
        <v/>
      </c>
    </row>
    <row r="68">
      <c r="C68" t="n">
        <v>2034</v>
      </c>
      <c r="D68" t="n">
        <v>6022.495826378476</v>
      </c>
      <c r="E68" s="21">
        <f>D68*F68</f>
        <v/>
      </c>
      <c r="F68" s="20" t="n">
        <v>107.1003076616376</v>
      </c>
      <c r="G68" s="20">
        <f>TREND(L$6:L$27, C$6:C$27, C68)</f>
        <v/>
      </c>
      <c r="H68">
        <f>EXP(G68 + 0.35*LN(E68) + 0.65*0.3163258153572088)</f>
        <v/>
      </c>
      <c r="I68">
        <f>IFERROR(VLOOKUP(C68, Investment!B:C, 2, FALSE), 0)</f>
        <v/>
      </c>
      <c r="J68">
        <f>J67*(1-$B$3) + I68</f>
        <v/>
      </c>
      <c r="K68" s="19">
        <f>E68 + J68</f>
        <v/>
      </c>
      <c r="L68">
        <f>EXP(G68 + 0.35*LN(K68) + 0.65*0.3163258153572088)</f>
        <v/>
      </c>
      <c r="M68">
        <f>L68-H68</f>
        <v/>
      </c>
      <c r="N68">
        <f>L68</f>
        <v/>
      </c>
      <c r="O68">
        <f>(N68/N67-1)*100</f>
        <v/>
      </c>
      <c r="P68">
        <f>(H68/H67-1)*100</f>
        <v/>
      </c>
    </row>
    <row r="69">
      <c r="C69" t="n">
        <v>2035</v>
      </c>
      <c r="D69" t="n">
        <v>6022.495826378476</v>
      </c>
      <c r="E69" s="21">
        <f>D69*F69</f>
        <v/>
      </c>
      <c r="F69" s="20" t="n">
        <v>112.4553230447195</v>
      </c>
      <c r="G69" s="20">
        <f>TREND(L$6:L$27, C$6:C$27, C69)</f>
        <v/>
      </c>
      <c r="H69">
        <f>EXP(G69 + 0.35*LN(E69) + 0.65*0.3163258153572088)</f>
        <v/>
      </c>
      <c r="I69">
        <f>IFERROR(VLOOKUP(C69, Investment!B:C, 2, FALSE), 0)</f>
        <v/>
      </c>
      <c r="J69">
        <f>J68*(1-$B$3) + I69</f>
        <v/>
      </c>
      <c r="K69" s="19">
        <f>E69 + J69</f>
        <v/>
      </c>
      <c r="L69">
        <f>EXP(G69 + 0.35*LN(K69) + 0.65*0.3163258153572088)</f>
        <v/>
      </c>
      <c r="M69">
        <f>L69-H69</f>
        <v/>
      </c>
      <c r="N69">
        <f>L69</f>
        <v/>
      </c>
      <c r="O69">
        <f>(N69/N68-1)*100</f>
        <v/>
      </c>
      <c r="P69">
        <f>(H69/H68-1)*100</f>
        <v/>
      </c>
    </row>
    <row r="70">
      <c r="C70" t="n">
        <v>2036</v>
      </c>
      <c r="D70" t="n">
        <v>6022.495826378476</v>
      </c>
      <c r="E70" s="21">
        <f>D70*F70</f>
        <v/>
      </c>
      <c r="F70" s="20" t="n">
        <v>118.0780891969555</v>
      </c>
      <c r="G70" s="20">
        <f>TREND(L$6:L$27, C$6:C$27, C70)</f>
        <v/>
      </c>
      <c r="H70">
        <f>EXP(G70 + 0.35*LN(E70) + 0.65*0.3163258153572088)</f>
        <v/>
      </c>
      <c r="I70">
        <f>IFERROR(VLOOKUP(C70, Investment!B:C, 2, FALSE), 0)</f>
        <v/>
      </c>
      <c r="J70">
        <f>J69*(1-$B$3) + I70</f>
        <v/>
      </c>
      <c r="K70" s="19">
        <f>E70 + J70</f>
        <v/>
      </c>
      <c r="L70">
        <f>EXP(G70 + 0.35*LN(K70) + 0.65*0.3163258153572088)</f>
        <v/>
      </c>
      <c r="M70">
        <f>L70-H70</f>
        <v/>
      </c>
      <c r="N70">
        <f>L70</f>
        <v/>
      </c>
      <c r="O70">
        <f>(N70/N69-1)*100</f>
        <v/>
      </c>
      <c r="P70">
        <f>(H70/H69-1)*100</f>
        <v/>
      </c>
    </row>
    <row r="71">
      <c r="C71" t="n">
        <v>2037</v>
      </c>
      <c r="D71" t="n">
        <v>6022.495826378476</v>
      </c>
      <c r="E71" s="21">
        <f>D71*F71</f>
        <v/>
      </c>
      <c r="F71" s="20" t="n">
        <v>123.9819936568033</v>
      </c>
      <c r="G71" s="20">
        <f>TREND(L$6:L$27, C$6:C$27, C71)</f>
        <v/>
      </c>
      <c r="H71">
        <f>EXP(G71 + 0.35*LN(E71) + 0.65*0.3163258153572088)</f>
        <v/>
      </c>
      <c r="I71">
        <f>IFERROR(VLOOKUP(C71, Investment!B:C, 2, FALSE), 0)</f>
        <v/>
      </c>
      <c r="J71">
        <f>J70*(1-$B$3) + I71</f>
        <v/>
      </c>
      <c r="K71" s="19">
        <f>E71 + J71</f>
        <v/>
      </c>
      <c r="L71">
        <f>EXP(G71 + 0.35*LN(K71) + 0.65*0.3163258153572088)</f>
        <v/>
      </c>
      <c r="M71">
        <f>L71-H71</f>
        <v/>
      </c>
      <c r="N71">
        <f>L71</f>
        <v/>
      </c>
      <c r="O71">
        <f>(N71/N70-1)*100</f>
        <v/>
      </c>
      <c r="P71">
        <f>(H71/H70-1)*100</f>
        <v/>
      </c>
    </row>
    <row r="72">
      <c r="C72" t="n">
        <v>2038</v>
      </c>
      <c r="D72" t="n">
        <v>6022.495826378476</v>
      </c>
      <c r="E72" s="21">
        <f>D72*F72</f>
        <v/>
      </c>
      <c r="F72" s="20" t="n">
        <v>130.1810933396434</v>
      </c>
      <c r="G72" s="20">
        <f>TREND(L$6:L$27, C$6:C$27, C72)</f>
        <v/>
      </c>
      <c r="H72">
        <f>EXP(G72 + 0.35*LN(E72) + 0.65*0.3163258153572088)</f>
        <v/>
      </c>
      <c r="I72">
        <f>IFERROR(VLOOKUP(C72, Investment!B:C, 2, FALSE), 0)</f>
        <v/>
      </c>
      <c r="J72">
        <f>J71*(1-$B$3) + I72</f>
        <v/>
      </c>
      <c r="K72" s="19">
        <f>E72 + J72</f>
        <v/>
      </c>
      <c r="L72">
        <f>EXP(G72 + 0.35*LN(K72) + 0.65*0.3163258153572088)</f>
        <v/>
      </c>
      <c r="M72">
        <f>L72-H72</f>
        <v/>
      </c>
      <c r="N72">
        <f>L72</f>
        <v/>
      </c>
      <c r="O72">
        <f>(N72/N71-1)*100</f>
        <v/>
      </c>
      <c r="P72">
        <f>(H72/H71-1)*100</f>
        <v/>
      </c>
    </row>
    <row r="73">
      <c r="C73" t="n">
        <v>2039</v>
      </c>
      <c r="D73" t="n">
        <v>6022.495826378476</v>
      </c>
      <c r="E73" s="21">
        <f>D73*F73</f>
        <v/>
      </c>
      <c r="F73" s="20" t="n">
        <v>136.6901480066256</v>
      </c>
      <c r="G73" s="20">
        <f>TREND(L$6:L$27, C$6:C$27, C73)</f>
        <v/>
      </c>
      <c r="H73">
        <f>EXP(G73 + 0.35*LN(E73) + 0.65*0.3163258153572088)</f>
        <v/>
      </c>
      <c r="I73">
        <f>IFERROR(VLOOKUP(C73, Investment!B:C, 2, FALSE), 0)</f>
        <v/>
      </c>
      <c r="J73">
        <f>J72*(1-$B$3) + I73</f>
        <v/>
      </c>
      <c r="K73" s="19">
        <f>E73 + J73</f>
        <v/>
      </c>
      <c r="L73">
        <f>EXP(G73 + 0.35*LN(K73) + 0.65*0.3163258153572088)</f>
        <v/>
      </c>
      <c r="M73">
        <f>L73-H73</f>
        <v/>
      </c>
      <c r="N73">
        <f>L73</f>
        <v/>
      </c>
      <c r="O73">
        <f>(N73/N72-1)*100</f>
        <v/>
      </c>
      <c r="P73">
        <f>(H73/H72-1)*100</f>
        <v/>
      </c>
    </row>
    <row r="74">
      <c r="C74" t="n">
        <v>2040</v>
      </c>
      <c r="D74" t="n">
        <v>6022.495826378476</v>
      </c>
      <c r="E74" s="21">
        <f>D74*F74</f>
        <v/>
      </c>
      <c r="F74" s="20" t="n">
        <v>143.5246554069569</v>
      </c>
      <c r="G74" s="20">
        <f>TREND(L$6:L$27, C$6:C$27, C74)</f>
        <v/>
      </c>
      <c r="H74">
        <f>EXP(G74 + 0.35*LN(E74) + 0.65*0.3163258153572088)</f>
        <v/>
      </c>
      <c r="I74">
        <f>IFERROR(VLOOKUP(C74, Investment!B:C, 2, FALSE), 0)</f>
        <v/>
      </c>
      <c r="J74">
        <f>J73*(1-$B$3) + I74</f>
        <v/>
      </c>
      <c r="K74" s="19">
        <f>E74 + J74</f>
        <v/>
      </c>
      <c r="L74">
        <f>EXP(G74 + 0.35*LN(K74) + 0.65*0.3163258153572088)</f>
        <v/>
      </c>
      <c r="M74">
        <f>L74-H74</f>
        <v/>
      </c>
      <c r="N74">
        <f>L74</f>
        <v/>
      </c>
      <c r="O74">
        <f>(N74/N73-1)*100</f>
        <v/>
      </c>
      <c r="P74">
        <f>(H74/H73-1)*100</f>
        <v/>
      </c>
    </row>
    <row r="75">
      <c r="C75" t="n">
        <v>2041</v>
      </c>
      <c r="D75" t="n">
        <v>6022.495826378476</v>
      </c>
      <c r="E75" s="21">
        <f>D75*F75</f>
        <v/>
      </c>
      <c r="F75" s="20" t="n">
        <v>150.7008881773047</v>
      </c>
      <c r="G75" s="20">
        <f>TREND(L$6:L$27, C$6:C$27, C75)</f>
        <v/>
      </c>
      <c r="H75">
        <f>EXP(G75 + 0.35*LN(E75) + 0.65*0.3163258153572088)</f>
        <v/>
      </c>
      <c r="I75">
        <f>IFERROR(VLOOKUP(C75, Investment!B:C, 2, FALSE), 0)</f>
        <v/>
      </c>
      <c r="J75">
        <f>J74*(1-$B$3) + I75</f>
        <v/>
      </c>
      <c r="K75" s="19">
        <f>E75 + J75</f>
        <v/>
      </c>
      <c r="L75">
        <f>EXP(G75 + 0.35*LN(K75) + 0.65*0.3163258153572088)</f>
        <v/>
      </c>
      <c r="M75">
        <f>L75-H75</f>
        <v/>
      </c>
      <c r="N75">
        <f>L75</f>
        <v/>
      </c>
      <c r="O75">
        <f>(N75/N74-1)*100</f>
        <v/>
      </c>
      <c r="P75">
        <f>(H75/H74-1)*100</f>
        <v/>
      </c>
    </row>
    <row r="76">
      <c r="C76" t="n">
        <v>2042</v>
      </c>
      <c r="D76" t="n">
        <v>6022.495826378476</v>
      </c>
      <c r="E76">
        <f>D76*F76</f>
        <v/>
      </c>
      <c r="F76" t="n">
        <v>158.23593258617</v>
      </c>
      <c r="G76">
        <f>TREND(L$6:L$27, C$6:C$27, C76)</f>
        <v/>
      </c>
      <c r="H76">
        <f>EXP(G76 + 0.35*LN(E76) + 0.65*0.3163258153572088)</f>
        <v/>
      </c>
      <c r="I76">
        <f>IFERROR(VLOOKUP(C76, Investment!B:C, 2, FALSE), 0)</f>
        <v/>
      </c>
      <c r="J76">
        <f>J75*(1-$B$3) + I76</f>
        <v/>
      </c>
      <c r="K76">
        <f>E76 + J76</f>
        <v/>
      </c>
      <c r="L76">
        <f>EXP(G76 + 0.35*LN(K76) + 0.65*0.3163258153572088)</f>
        <v/>
      </c>
      <c r="M76">
        <f>L76-H76</f>
        <v/>
      </c>
      <c r="N76">
        <f>L76</f>
        <v/>
      </c>
      <c r="O76">
        <f>(N76/N75-1)*100</f>
        <v/>
      </c>
      <c r="P76">
        <f>(H76/H75-1)*100</f>
        <v/>
      </c>
    </row>
    <row r="77">
      <c r="C77" t="n">
        <v>2043</v>
      </c>
      <c r="D77" t="n">
        <v>6022.495826378476</v>
      </c>
      <c r="E77">
        <f>D77*F77</f>
        <v/>
      </c>
      <c r="F77" t="n">
        <v>166.1477292154784</v>
      </c>
      <c r="G77">
        <f>TREND(L$6:L$27, C$6:C$27, C77)</f>
        <v/>
      </c>
      <c r="H77">
        <f>EXP(G77 + 0.35*LN(E77) + 0.65*0.3163258153572088)</f>
        <v/>
      </c>
      <c r="I77">
        <f>IFERROR(VLOOKUP(C77, Investment!B:C, 2, FALSE), 0)</f>
        <v/>
      </c>
      <c r="J77">
        <f>J76*(1-$B$3) + I77</f>
        <v/>
      </c>
      <c r="K77">
        <f>E77 + J77</f>
        <v/>
      </c>
      <c r="L77">
        <f>EXP(G77 + 0.35*LN(K77) + 0.65*0.3163258153572088)</f>
        <v/>
      </c>
      <c r="M77">
        <f>L77-H77</f>
        <v/>
      </c>
      <c r="N77">
        <f>L77</f>
        <v/>
      </c>
      <c r="O77">
        <f>(N77/N76-1)*100</f>
        <v/>
      </c>
      <c r="P77">
        <f>(H77/H76-1)*100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t="inlineStr">
        <is>
          <t>1996-12-31</t>
        </is>
      </c>
      <c r="B2" t="n">
        <v>1996</v>
      </c>
      <c r="C2" t="n">
        <v>18398.736328125</v>
      </c>
      <c r="D2" t="n">
        <v>242089.6875</v>
      </c>
      <c r="E2" t="n">
        <v>0.07599966986666873</v>
      </c>
    </row>
    <row r="3">
      <c r="A3" t="inlineStr">
        <is>
          <t>1997-12-31</t>
        </is>
      </c>
      <c r="B3" t="n">
        <v>1997</v>
      </c>
      <c r="C3" t="n">
        <v>19489.74609375</v>
      </c>
      <c r="D3" t="n">
        <v>239425.359375</v>
      </c>
      <c r="E3" t="n">
        <v>0.08140217955452322</v>
      </c>
    </row>
    <row r="4">
      <c r="A4" t="inlineStr">
        <is>
          <t>1998-12-31</t>
        </is>
      </c>
      <c r="B4" t="n">
        <v>1998</v>
      </c>
      <c r="C4" t="n">
        <v>16600.736328125</v>
      </c>
      <c r="D4" t="n">
        <v>239121.890625</v>
      </c>
      <c r="E4" t="n">
        <v>0.06942374152669653</v>
      </c>
    </row>
    <row r="5">
      <c r="A5" t="inlineStr">
        <is>
          <t>1999-12-31</t>
        </is>
      </c>
      <c r="B5" t="n">
        <v>1999</v>
      </c>
      <c r="C5" t="n">
        <v>16093.7763671875</v>
      </c>
      <c r="D5" t="n">
        <v>239199.265625</v>
      </c>
      <c r="E5" t="n">
        <v>0.06728188033995976</v>
      </c>
    </row>
    <row r="6">
      <c r="A6" t="inlineStr">
        <is>
          <t>2000-12-31</t>
        </is>
      </c>
      <c r="B6" t="n">
        <v>2000</v>
      </c>
      <c r="C6" t="n">
        <v>15841.2919921875</v>
      </c>
      <c r="D6" t="n">
        <v>239171.609375</v>
      </c>
      <c r="E6" t="n">
        <v>0.06623399839798606</v>
      </c>
    </row>
    <row r="7">
      <c r="A7" t="inlineStr">
        <is>
          <t>2001-12-31</t>
        </is>
      </c>
      <c r="B7" t="n">
        <v>2001</v>
      </c>
      <c r="C7" t="n">
        <v>15938.9638671875</v>
      </c>
      <c r="D7" t="n">
        <v>240066.265625</v>
      </c>
      <c r="E7" t="n">
        <v>0.06639401760880996</v>
      </c>
    </row>
    <row r="8">
      <c r="A8" t="inlineStr">
        <is>
          <t>2002-12-31</t>
        </is>
      </c>
      <c r="B8" t="n">
        <v>2002</v>
      </c>
      <c r="C8" t="n">
        <v>17255.619140625</v>
      </c>
      <c r="D8" t="n">
        <v>240523.046875</v>
      </c>
      <c r="E8" t="n">
        <v>0.0717420611655263</v>
      </c>
    </row>
    <row r="9">
      <c r="A9" t="inlineStr">
        <is>
          <t>2003-12-31</t>
        </is>
      </c>
      <c r="B9" t="n">
        <v>2003</v>
      </c>
      <c r="C9" t="n">
        <v>17983.927734375</v>
      </c>
      <c r="D9" t="n">
        <v>242715.265625</v>
      </c>
      <c r="E9" t="n">
        <v>0.07409475332367653</v>
      </c>
    </row>
    <row r="10">
      <c r="A10" t="inlineStr">
        <is>
          <t>2004-12-31</t>
        </is>
      </c>
      <c r="B10" t="n">
        <v>2004</v>
      </c>
      <c r="C10" t="n">
        <v>19225.427734375</v>
      </c>
      <c r="D10" t="n">
        <v>245580.140625</v>
      </c>
      <c r="E10" t="n">
        <v>0.07828575912305613</v>
      </c>
    </row>
    <row r="11">
      <c r="A11" t="inlineStr">
        <is>
          <t>2005-12-31</t>
        </is>
      </c>
      <c r="B11" t="n">
        <v>2005</v>
      </c>
      <c r="C11" t="n">
        <v>21204.25390625</v>
      </c>
      <c r="D11" t="n">
        <v>249248.984375</v>
      </c>
      <c r="E11" t="n">
        <v>0.08507257896925985</v>
      </c>
    </row>
    <row r="12">
      <c r="A12" t="inlineStr">
        <is>
          <t>2006-12-31</t>
        </is>
      </c>
      <c r="B12" t="n">
        <v>2006</v>
      </c>
      <c r="C12" t="n">
        <v>26506.75</v>
      </c>
      <c r="D12" t="n">
        <v>252297.078125</v>
      </c>
      <c r="E12" t="n">
        <v>0.1050616606303593</v>
      </c>
    </row>
    <row r="13">
      <c r="A13" t="inlineStr">
        <is>
          <t>2007-12-31</t>
        </is>
      </c>
      <c r="B13" t="n">
        <v>2007</v>
      </c>
      <c r="C13" t="n">
        <v>30085.9453125</v>
      </c>
      <c r="D13" t="n">
        <v>256234.109375</v>
      </c>
      <c r="E13" t="n">
        <v>0.1174158482876652</v>
      </c>
    </row>
    <row r="14">
      <c r="A14" t="inlineStr">
        <is>
          <t>2008-12-31</t>
        </is>
      </c>
      <c r="B14" t="n">
        <v>2008</v>
      </c>
      <c r="C14" t="n">
        <v>34704.52734375</v>
      </c>
      <c r="D14" t="n">
        <v>257715.4375</v>
      </c>
      <c r="E14" t="n">
        <v>0.1346621982773151</v>
      </c>
    </row>
    <row r="15">
      <c r="A15" t="inlineStr">
        <is>
          <t>2009-12-31</t>
        </is>
      </c>
      <c r="B15" t="n">
        <v>2009</v>
      </c>
      <c r="C15" t="n">
        <v>34837.20703125</v>
      </c>
      <c r="D15" t="n">
        <v>255596.078125</v>
      </c>
      <c r="E15" t="n">
        <v>0.1362978934841589</v>
      </c>
    </row>
    <row r="16">
      <c r="A16" t="inlineStr">
        <is>
          <t>2010-12-31</t>
        </is>
      </c>
      <c r="B16" t="n">
        <v>2010</v>
      </c>
      <c r="C16" t="n">
        <v>34338.16015625</v>
      </c>
      <c r="D16" t="n">
        <v>256185.140625</v>
      </c>
      <c r="E16" t="n">
        <v>0.1340365021658836</v>
      </c>
    </row>
    <row r="17">
      <c r="A17" t="inlineStr">
        <is>
          <t>2011-12-31</t>
        </is>
      </c>
      <c r="B17" t="n">
        <v>2011</v>
      </c>
      <c r="C17" t="n">
        <v>37715.90234375</v>
      </c>
      <c r="D17" t="n">
        <v>258197.40625</v>
      </c>
      <c r="E17" t="n">
        <v>0.146073900940862</v>
      </c>
    </row>
    <row r="18">
      <c r="A18" t="inlineStr">
        <is>
          <t>2012-12-31</t>
        </is>
      </c>
      <c r="B18" t="n">
        <v>2012</v>
      </c>
      <c r="C18" t="n">
        <v>39238.64453125</v>
      </c>
      <c r="D18" t="n">
        <v>260772.96875</v>
      </c>
      <c r="E18" t="n">
        <v>0.1504705212328492</v>
      </c>
    </row>
    <row r="19">
      <c r="A19" t="inlineStr">
        <is>
          <t>2013-12-31</t>
        </is>
      </c>
      <c r="B19" t="n">
        <v>2013</v>
      </c>
      <c r="C19" t="n">
        <v>39944.078125</v>
      </c>
      <c r="D19" t="n">
        <v>261943.109375</v>
      </c>
      <c r="E19" t="n">
        <v>0.1524914254103005</v>
      </c>
    </row>
    <row r="20">
      <c r="A20" t="inlineStr">
        <is>
          <t>2014-12-31</t>
        </is>
      </c>
      <c r="B20" t="n">
        <v>2014</v>
      </c>
      <c r="C20" t="n">
        <v>42183.5078125</v>
      </c>
      <c r="D20" t="n">
        <v>265818.40625</v>
      </c>
      <c r="E20" t="n">
        <v>0.1586929528605583</v>
      </c>
    </row>
    <row r="21">
      <c r="A21" t="inlineStr">
        <is>
          <t>2015-12-31</t>
        </is>
      </c>
      <c r="B21" t="n">
        <v>2015</v>
      </c>
      <c r="C21" t="n">
        <v>43536.91796875</v>
      </c>
      <c r="D21" t="n">
        <v>271425.46875</v>
      </c>
      <c r="E21" t="n">
        <v>0.1604010049950406</v>
      </c>
    </row>
    <row r="22">
      <c r="A22" t="inlineStr">
        <is>
          <t>2016-12-31</t>
        </is>
      </c>
      <c r="B22" t="n">
        <v>2016</v>
      </c>
      <c r="C22" t="n">
        <v>42687.5</v>
      </c>
      <c r="D22" t="n">
        <v>277588.15625</v>
      </c>
      <c r="E22" t="n">
        <v>0.1537799759783519</v>
      </c>
    </row>
    <row r="23">
      <c r="A23" t="inlineStr">
        <is>
          <t>2017-12-31</t>
        </is>
      </c>
      <c r="B23" t="n">
        <v>2017</v>
      </c>
      <c r="C23" t="n">
        <v>44377.0390625</v>
      </c>
      <c r="D23" t="n">
        <v>283682.15625</v>
      </c>
      <c r="E23" t="n">
        <v>0.1564322537910771</v>
      </c>
    </row>
    <row r="24">
      <c r="A24" t="inlineStr">
        <is>
          <t>2018-12-31</t>
        </is>
      </c>
      <c r="B24" t="n">
        <v>2018</v>
      </c>
      <c r="C24" t="n">
        <v>46491.65234375</v>
      </c>
      <c r="D24" t="n">
        <v>289560.90625</v>
      </c>
      <c r="E24" t="n">
        <v>0.1605591478001875</v>
      </c>
    </row>
    <row r="25">
      <c r="A25" t="inlineStr">
        <is>
          <t>2019-12-31</t>
        </is>
      </c>
      <c r="B25" t="n">
        <v>2019</v>
      </c>
      <c r="C25" t="n">
        <v>51440.62890625</v>
      </c>
      <c r="D25" t="n">
        <v>298215.0625</v>
      </c>
      <c r="E25" t="n">
        <v>0.1724950727673254</v>
      </c>
    </row>
    <row r="26">
      <c r="A26" t="inlineStr">
        <is>
          <t>2020-12-31</t>
        </is>
      </c>
      <c r="B26" t="n">
        <v>2020</v>
      </c>
      <c r="C26" t="n">
        <v>12305.68925455679</v>
      </c>
      <c r="D26" t="n">
        <v>297252.2414335393</v>
      </c>
      <c r="E26" t="n">
        <v>0.04139813780784607</v>
      </c>
    </row>
    <row r="27">
      <c r="A27" t="inlineStr">
        <is>
          <t>2021-12-31</t>
        </is>
      </c>
      <c r="B27" t="n">
        <v>2021</v>
      </c>
      <c r="C27" t="n">
        <v>12316.95883312115</v>
      </c>
      <c r="D27" t="n">
        <v>297524.4657209375</v>
      </c>
      <c r="E27" t="n">
        <v>0.04139813780784607</v>
      </c>
    </row>
    <row r="28">
      <c r="A28" t="inlineStr">
        <is>
          <t>2022-12-31</t>
        </is>
      </c>
      <c r="B28" t="n">
        <v>2022</v>
      </c>
      <c r="C28" t="n">
        <v>12381.91490072614</v>
      </c>
      <c r="D28" t="n">
        <v>299093.5234381348</v>
      </c>
      <c r="E28" t="n">
        <v>0.04139813780784607</v>
      </c>
    </row>
    <row r="29">
      <c r="A29" t="inlineStr">
        <is>
          <t>2023-12-31</t>
        </is>
      </c>
      <c r="B29" t="n">
        <v>2023</v>
      </c>
      <c r="C29" t="n">
        <v>12487.29605009938</v>
      </c>
      <c r="D29" t="n">
        <v>301639.0763290009</v>
      </c>
      <c r="E29" t="n">
        <v>0.04139813780784607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emp</t>
        </is>
      </c>
    </row>
    <row r="2">
      <c r="A2" s="19" t="n">
        <v>1950</v>
      </c>
      <c r="B2" s="19" t="n">
        <v/>
      </c>
      <c r="C2" t="n">
        <v/>
      </c>
    </row>
    <row r="3">
      <c r="A3" s="19" t="n">
        <v>1951</v>
      </c>
      <c r="B3" s="19" t="n">
        <v/>
      </c>
      <c r="C3" t="n">
        <v/>
      </c>
    </row>
    <row r="4">
      <c r="A4" s="19" t="n">
        <v>1952</v>
      </c>
      <c r="B4" s="19" t="n">
        <v/>
      </c>
      <c r="C4" t="n">
        <v/>
      </c>
    </row>
    <row r="5">
      <c r="A5" s="19" t="n">
        <v>1953</v>
      </c>
      <c r="B5" s="19" t="n">
        <v/>
      </c>
      <c r="C5" t="n">
        <v/>
      </c>
    </row>
    <row r="6">
      <c r="A6" s="19" t="n">
        <v>1954</v>
      </c>
      <c r="B6" s="19" t="n">
        <v/>
      </c>
      <c r="C6" t="n">
        <v/>
      </c>
    </row>
    <row r="7">
      <c r="A7" s="19" t="n">
        <v>1955</v>
      </c>
      <c r="B7" s="19" t="n">
        <v/>
      </c>
      <c r="C7" t="n">
        <v/>
      </c>
    </row>
    <row r="8">
      <c r="A8" s="19" t="n">
        <v>1956</v>
      </c>
      <c r="B8" s="19" t="n">
        <v/>
      </c>
      <c r="C8" t="n">
        <v/>
      </c>
    </row>
    <row r="9">
      <c r="A9" s="19" t="n">
        <v>1957</v>
      </c>
      <c r="B9" s="19" t="n">
        <v/>
      </c>
      <c r="C9" t="n">
        <v/>
      </c>
    </row>
    <row r="10">
      <c r="A10" s="19" t="n">
        <v>1958</v>
      </c>
      <c r="B10" s="19" t="n">
        <v/>
      </c>
      <c r="C10" t="n">
        <v/>
      </c>
    </row>
    <row r="11">
      <c r="A11" s="19" t="n">
        <v>1959</v>
      </c>
      <c r="B11" s="19" t="n">
        <v/>
      </c>
      <c r="C11" t="n">
        <v/>
      </c>
    </row>
    <row r="12">
      <c r="A12" s="19" t="n">
        <v>1960</v>
      </c>
      <c r="B12" s="19" t="n">
        <v/>
      </c>
      <c r="C12" t="n">
        <v/>
      </c>
    </row>
    <row r="13">
      <c r="A13" s="19" t="n">
        <v>1961</v>
      </c>
      <c r="B13" s="19" t="n">
        <v/>
      </c>
      <c r="C13" t="n">
        <v/>
      </c>
    </row>
    <row r="14">
      <c r="A14" s="19" t="n">
        <v>1962</v>
      </c>
      <c r="B14" s="19" t="n">
        <v/>
      </c>
      <c r="C14" t="n">
        <v/>
      </c>
    </row>
    <row r="15">
      <c r="A15" s="19" t="n">
        <v>1963</v>
      </c>
      <c r="B15" s="19" t="n">
        <v/>
      </c>
      <c r="C15" t="n">
        <v/>
      </c>
    </row>
    <row r="16">
      <c r="A16" s="19" t="n">
        <v>1964</v>
      </c>
      <c r="B16" s="19" t="n">
        <v/>
      </c>
      <c r="C16" t="n">
        <v/>
      </c>
    </row>
    <row r="17">
      <c r="A17" s="19" t="n">
        <v>1965</v>
      </c>
      <c r="B17" s="19" t="n">
        <v/>
      </c>
      <c r="C17" t="n">
        <v/>
      </c>
    </row>
    <row r="18">
      <c r="A18" s="19" t="n">
        <v>1966</v>
      </c>
      <c r="B18" s="19" t="n">
        <v/>
      </c>
      <c r="C18" t="n">
        <v/>
      </c>
    </row>
    <row r="19">
      <c r="A19" s="19" t="n">
        <v>1967</v>
      </c>
      <c r="B19" s="19" t="n">
        <v/>
      </c>
      <c r="C19" t="n">
        <v/>
      </c>
    </row>
    <row r="20">
      <c r="A20" s="19" t="n">
        <v>1968</v>
      </c>
      <c r="B20" s="19" t="n">
        <v/>
      </c>
      <c r="C20" t="n">
        <v/>
      </c>
    </row>
    <row r="21">
      <c r="A21" s="19" t="n">
        <v>1969</v>
      </c>
      <c r="B21" s="19" t="n">
        <v/>
      </c>
      <c r="C21" t="n">
        <v/>
      </c>
    </row>
    <row r="22">
      <c r="A22" s="19" t="n">
        <v>1970</v>
      </c>
      <c r="B22" s="19" t="n">
        <v/>
      </c>
      <c r="C22" t="n">
        <v/>
      </c>
    </row>
    <row r="23">
      <c r="A23" s="19" t="n">
        <v>1971</v>
      </c>
      <c r="B23" s="19" t="n">
        <v/>
      </c>
      <c r="C23" t="n">
        <v/>
      </c>
    </row>
    <row r="24">
      <c r="A24" s="19" t="n">
        <v>1972</v>
      </c>
      <c r="B24" s="19" t="n">
        <v/>
      </c>
      <c r="C24" t="n">
        <v/>
      </c>
    </row>
    <row r="25">
      <c r="A25" s="19" t="n">
        <v>1973</v>
      </c>
      <c r="B25" s="19" t="n">
        <v/>
      </c>
      <c r="C25" t="n">
        <v/>
      </c>
    </row>
    <row r="26">
      <c r="A26" s="19" t="n">
        <v>1974</v>
      </c>
      <c r="B26" s="19" t="n">
        <v/>
      </c>
      <c r="C26" t="n">
        <v/>
      </c>
    </row>
    <row r="27">
      <c r="A27" s="19" t="n">
        <v>1975</v>
      </c>
      <c r="B27" s="19" t="n">
        <v/>
      </c>
      <c r="C27" t="n">
        <v/>
      </c>
    </row>
    <row r="28">
      <c r="A28" s="19" t="n">
        <v>1976</v>
      </c>
      <c r="B28" s="19" t="n">
        <v/>
      </c>
      <c r="C28" t="n">
        <v/>
      </c>
    </row>
    <row r="29">
      <c r="A29" s="19" t="n">
        <v>1977</v>
      </c>
      <c r="B29" s="19" t="n">
        <v/>
      </c>
      <c r="C29" t="n">
        <v/>
      </c>
    </row>
    <row r="30">
      <c r="A30" s="19" t="n">
        <v>1978</v>
      </c>
      <c r="B30" s="19" t="n">
        <v/>
      </c>
      <c r="C30" t="n">
        <v/>
      </c>
    </row>
    <row r="31">
      <c r="A31" s="19" t="n">
        <v>1979</v>
      </c>
      <c r="B31" s="19" t="n">
        <v/>
      </c>
      <c r="C31" t="n">
        <v/>
      </c>
    </row>
    <row r="32">
      <c r="A32" s="19" t="n">
        <v>1980</v>
      </c>
      <c r="B32" s="19" t="n">
        <v/>
      </c>
      <c r="C32" t="n">
        <v/>
      </c>
    </row>
    <row r="33">
      <c r="A33" s="19" t="n">
        <v>1981</v>
      </c>
      <c r="B33" s="19" t="n">
        <v/>
      </c>
      <c r="C33" t="n">
        <v/>
      </c>
    </row>
    <row r="34">
      <c r="A34" s="19" t="n">
        <v>1982</v>
      </c>
      <c r="B34" s="19" t="n">
        <v/>
      </c>
      <c r="C34" t="n">
        <v/>
      </c>
    </row>
    <row r="35">
      <c r="A35" s="19" t="n">
        <v>1983</v>
      </c>
      <c r="B35" s="19" t="n">
        <v/>
      </c>
      <c r="C35" t="n">
        <v/>
      </c>
    </row>
    <row r="36">
      <c r="A36" t="n">
        <v>1984</v>
      </c>
      <c r="B36" t="n">
        <v/>
      </c>
      <c r="C36" t="n">
        <v/>
      </c>
    </row>
    <row r="37">
      <c r="A37" t="n">
        <v>1985</v>
      </c>
      <c r="B37" t="n">
        <v/>
      </c>
      <c r="C37" t="n">
        <v/>
      </c>
    </row>
    <row r="38">
      <c r="A38" t="n">
        <v>1986</v>
      </c>
      <c r="B38" t="n">
        <v/>
      </c>
      <c r="C38" t="n">
        <v/>
      </c>
    </row>
    <row r="39">
      <c r="A39" t="n">
        <v>1987</v>
      </c>
      <c r="B39" t="n">
        <v/>
      </c>
      <c r="C39" t="n">
        <v/>
      </c>
    </row>
    <row r="40">
      <c r="A40" t="n">
        <v>1988</v>
      </c>
      <c r="B40" t="n">
        <v/>
      </c>
      <c r="C40" t="n">
        <v/>
      </c>
    </row>
    <row r="41">
      <c r="A41" t="n">
        <v>1989</v>
      </c>
      <c r="B41" t="n">
        <v/>
      </c>
      <c r="C41" t="n">
        <v/>
      </c>
    </row>
    <row r="42">
      <c r="A42" t="n">
        <v>1990</v>
      </c>
      <c r="B42" t="n">
        <v>269494.40625</v>
      </c>
      <c r="C42" t="n">
        <v>2.861638784408569</v>
      </c>
    </row>
    <row r="43">
      <c r="A43" t="n">
        <v>1991</v>
      </c>
      <c r="B43" t="n">
        <v>271117.4375</v>
      </c>
      <c r="C43" t="n">
        <v>2.590682029724121</v>
      </c>
    </row>
    <row r="44">
      <c r="A44" t="n">
        <v>1992</v>
      </c>
      <c r="B44" t="n">
        <v>266614.8125</v>
      </c>
      <c r="C44" t="n">
        <v>2.038037538528442</v>
      </c>
    </row>
    <row r="45">
      <c r="A45" t="n">
        <v>1993</v>
      </c>
      <c r="B45" t="n">
        <v>256535.46875</v>
      </c>
      <c r="C45" t="n">
        <v>1.844587922096252</v>
      </c>
    </row>
    <row r="46">
      <c r="A46" t="n">
        <v>1994</v>
      </c>
      <c r="B46" t="n">
        <v>249672.46875</v>
      </c>
      <c r="C46" t="n">
        <v>1.802434682846069</v>
      </c>
    </row>
    <row r="47">
      <c r="A47" t="n">
        <v>1995</v>
      </c>
      <c r="B47" t="n">
        <v>245497.8125</v>
      </c>
      <c r="C47" t="n">
        <v>1.775395750999451</v>
      </c>
    </row>
    <row r="48">
      <c r="A48" t="n">
        <v>1996</v>
      </c>
      <c r="B48" t="n">
        <v>242089.6875</v>
      </c>
      <c r="C48" t="n">
        <v>1.801379203796387</v>
      </c>
    </row>
    <row r="49">
      <c r="A49" t="n">
        <v>1997</v>
      </c>
      <c r="B49" t="n">
        <v>239425.359375</v>
      </c>
      <c r="C49" t="n">
        <v>1.771794199943542</v>
      </c>
    </row>
    <row r="50">
      <c r="A50" t="n">
        <v>1998</v>
      </c>
      <c r="B50" t="n">
        <v>239121.890625</v>
      </c>
      <c r="C50" t="n">
        <v>1.623554944992065</v>
      </c>
    </row>
    <row r="51">
      <c r="A51" t="n">
        <v>1999</v>
      </c>
      <c r="B51" t="n">
        <v>239199.265625</v>
      </c>
      <c r="C51" t="n">
        <v>1.593198180198669</v>
      </c>
    </row>
    <row r="52">
      <c r="A52" t="n">
        <v>2000</v>
      </c>
      <c r="B52" t="n">
        <v>239171.609375</v>
      </c>
      <c r="C52" t="n">
        <v>1.664449572563171</v>
      </c>
    </row>
    <row r="53">
      <c r="A53" t="n">
        <v>2001</v>
      </c>
      <c r="B53" t="n">
        <v>240066.265625</v>
      </c>
      <c r="C53" t="n">
        <v>1.685097455978394</v>
      </c>
    </row>
    <row r="54">
      <c r="A54" t="n">
        <v>2002</v>
      </c>
      <c r="B54" t="n">
        <v>240523.046875</v>
      </c>
      <c r="C54" t="n">
        <v>1.563978433609009</v>
      </c>
    </row>
    <row r="55">
      <c r="A55" t="n">
        <v>2003</v>
      </c>
      <c r="B55" t="n">
        <v>242715.265625</v>
      </c>
      <c r="C55" t="n">
        <v>1.598641157150269</v>
      </c>
    </row>
    <row r="56">
      <c r="A56" t="n">
        <v>2004</v>
      </c>
      <c r="B56" t="n">
        <v>245580.140625</v>
      </c>
      <c r="C56" t="n">
        <v>1.543702840805054</v>
      </c>
    </row>
    <row r="57">
      <c r="A57" t="n">
        <v>2005</v>
      </c>
      <c r="B57" t="n">
        <v>249248.984375</v>
      </c>
      <c r="C57" t="n">
        <v>1.480620503425598</v>
      </c>
    </row>
    <row r="58">
      <c r="A58" t="n">
        <v>2006</v>
      </c>
      <c r="B58" t="n">
        <v>252297.078125</v>
      </c>
      <c r="C58" t="n">
        <v>1.404564380645752</v>
      </c>
    </row>
    <row r="59">
      <c r="A59" t="n">
        <v>2007</v>
      </c>
      <c r="B59" t="n">
        <v>256234.109375</v>
      </c>
      <c r="C59" t="n">
        <v>1.363300919532776</v>
      </c>
    </row>
    <row r="60">
      <c r="A60" t="n">
        <v>2008</v>
      </c>
      <c r="B60" t="n">
        <v>257715.4375</v>
      </c>
      <c r="C60" t="n">
        <v>1.372751235961914</v>
      </c>
    </row>
    <row r="61">
      <c r="A61" t="n">
        <v>2009</v>
      </c>
      <c r="B61" t="n">
        <v>255596.078125</v>
      </c>
      <c r="C61" t="n">
        <v>1.367940902709961</v>
      </c>
    </row>
    <row r="62">
      <c r="A62" t="n">
        <v>2010</v>
      </c>
      <c r="B62" t="n">
        <v>256185.140625</v>
      </c>
      <c r="C62" t="n">
        <v>1.362331748008728</v>
      </c>
    </row>
    <row r="63">
      <c r="A63" t="n">
        <v>2011</v>
      </c>
      <c r="B63" t="n">
        <v>258197.40625</v>
      </c>
      <c r="C63" t="n">
        <v>1.359006285667419</v>
      </c>
    </row>
    <row r="64">
      <c r="A64" t="n">
        <v>2012</v>
      </c>
      <c r="B64" t="n">
        <v>260772.96875</v>
      </c>
      <c r="C64" t="n">
        <v>1.363261222839355</v>
      </c>
    </row>
    <row r="65">
      <c r="A65" t="n">
        <v>2013</v>
      </c>
      <c r="B65" t="n">
        <v>261943.109375</v>
      </c>
      <c r="C65" t="n">
        <v>1.347203731536865</v>
      </c>
    </row>
    <row r="66">
      <c r="A66" t="n">
        <v>2014</v>
      </c>
      <c r="B66" t="n">
        <v>265818.40625</v>
      </c>
      <c r="C66" t="n">
        <v>1.386188745498657</v>
      </c>
    </row>
    <row r="67">
      <c r="A67" t="n">
        <v>2015</v>
      </c>
      <c r="B67" t="n">
        <v>271425.46875</v>
      </c>
      <c r="C67" t="n">
        <v>1.416343092918396</v>
      </c>
    </row>
    <row r="68">
      <c r="A68" t="n">
        <v>2016</v>
      </c>
      <c r="B68" t="n">
        <v>277588.15625</v>
      </c>
      <c r="C68" t="n">
        <v>1.400315165519714</v>
      </c>
    </row>
    <row r="69">
      <c r="A69" t="n">
        <v>2017</v>
      </c>
      <c r="B69" t="n">
        <v>283682.15625</v>
      </c>
      <c r="C69" t="n">
        <v>1.390310764312744</v>
      </c>
    </row>
    <row r="70">
      <c r="A70" t="n">
        <v>2018</v>
      </c>
      <c r="B70" t="n">
        <v>289560.90625</v>
      </c>
      <c r="C70" t="n">
        <v>1.377803087234497</v>
      </c>
    </row>
    <row r="71">
      <c r="A71" t="n">
        <v>2019</v>
      </c>
      <c r="B71" t="n">
        <v>298215.0625</v>
      </c>
      <c r="C71" t="n">
        <v>1.372077226638794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H24" sqref="H24"/>
    </sheetView>
  </sheetViews>
  <sheetFormatPr baseColWidth="8" defaultRowHeight="12.45"/>
  <sheetData>
    <row r="1">
      <c r="A1" t="inlineStr">
        <is>
          <t>Year</t>
        </is>
      </c>
      <c r="B1" t="inlineStr">
        <is>
          <t>Real GDP (Billions Lari)</t>
        </is>
      </c>
      <c r="C1" t="inlineStr">
        <is>
          <t>Growth Rate (%)</t>
        </is>
      </c>
    </row>
    <row r="2">
      <c r="A2" t="n">
        <v>2000</v>
      </c>
      <c r="B2" t="n">
        <v>17.68417619747601</v>
      </c>
      <c r="C2" t="n">
        <v>1.838350677904566</v>
      </c>
    </row>
    <row r="3">
      <c r="A3" t="n">
        <v>2001</v>
      </c>
      <c r="B3" t="n">
        <v>18.53398076619705</v>
      </c>
      <c r="C3" t="n">
        <v>4.805451830107477</v>
      </c>
    </row>
    <row r="4">
      <c r="A4" t="n">
        <v>2002</v>
      </c>
      <c r="B4" t="n">
        <v>19.54849963823925</v>
      </c>
      <c r="C4" t="n">
        <v>5.47383147117817</v>
      </c>
    </row>
    <row r="5">
      <c r="A5" t="n">
        <v>2003</v>
      </c>
      <c r="B5" t="n">
        <v>21.71019310558714</v>
      </c>
      <c r="C5" t="n">
        <v>11.05810423997631</v>
      </c>
    </row>
    <row r="6">
      <c r="A6" t="n">
        <v>2004</v>
      </c>
      <c r="B6" t="n">
        <v>22.96851168524871</v>
      </c>
      <c r="C6" t="n">
        <v>5.795980595574446</v>
      </c>
    </row>
    <row r="7">
      <c r="A7" t="n">
        <v>2005</v>
      </c>
      <c r="B7" t="n">
        <v>25.17079905505565</v>
      </c>
      <c r="C7" t="n">
        <v>9.58828939369778</v>
      </c>
    </row>
    <row r="8">
      <c r="A8" t="n">
        <v>2006</v>
      </c>
      <c r="B8" t="n">
        <v>27.54207520552477</v>
      </c>
      <c r="C8" t="n">
        <v>9.420742445571451</v>
      </c>
    </row>
    <row r="9">
      <c r="A9" t="n">
        <v>2007</v>
      </c>
      <c r="B9" t="n">
        <v>31.00653151693548</v>
      </c>
      <c r="C9" t="n">
        <v>12.57877732726458</v>
      </c>
    </row>
    <row r="10">
      <c r="A10" t="n">
        <v>2008</v>
      </c>
      <c r="B10" t="n">
        <v>31.75630089535417</v>
      </c>
      <c r="C10" t="n">
        <v>2.41810141843557</v>
      </c>
    </row>
    <row r="11">
      <c r="A11" t="n">
        <v>2009</v>
      </c>
      <c r="B11" t="n">
        <v>30.59716624580159</v>
      </c>
      <c r="C11" t="n">
        <v>-3.650093420427791</v>
      </c>
    </row>
    <row r="12">
      <c r="A12" t="n">
        <v>2010</v>
      </c>
      <c r="B12" t="n">
        <v>32.50931172717817</v>
      </c>
      <c r="C12" t="n">
        <v>6.249420178376641</v>
      </c>
    </row>
    <row r="13">
      <c r="A13" t="n">
        <v>2011</v>
      </c>
      <c r="B13" t="n">
        <v>34.90221018949814</v>
      </c>
      <c r="C13" t="n">
        <v>7.360655563555007</v>
      </c>
    </row>
    <row r="14">
      <c r="A14" t="n">
        <v>2012</v>
      </c>
      <c r="B14" t="n">
        <v>37.14180608212109</v>
      </c>
      <c r="C14" t="n">
        <v>6.416773838857992</v>
      </c>
    </row>
    <row r="15">
      <c r="A15" t="n">
        <v>2013</v>
      </c>
      <c r="B15" t="n">
        <v>38.48468872821499</v>
      </c>
      <c r="C15" t="n">
        <v>3.615555590174502</v>
      </c>
    </row>
    <row r="16">
      <c r="A16" t="n">
        <v>2014</v>
      </c>
      <c r="B16" t="n">
        <v>40.19400404949878</v>
      </c>
      <c r="C16" t="n">
        <v>4.441546437741106</v>
      </c>
    </row>
    <row r="17">
      <c r="A17" t="n">
        <v>2015</v>
      </c>
      <c r="B17" t="n">
        <v>41.41052454190821</v>
      </c>
      <c r="C17" t="n">
        <v>3.026621808843144</v>
      </c>
    </row>
    <row r="18">
      <c r="A18" t="n">
        <v>2016</v>
      </c>
      <c r="B18" t="n">
        <v>42.61384292783132</v>
      </c>
      <c r="C18" t="n">
        <v>2.905827441778319</v>
      </c>
    </row>
    <row r="19">
      <c r="A19" t="n">
        <v>2017</v>
      </c>
      <c r="B19" t="n">
        <v>44.6777883986348</v>
      </c>
      <c r="C19" t="n">
        <v>4.843368560537664</v>
      </c>
    </row>
    <row r="20">
      <c r="A20" t="n">
        <v>2018</v>
      </c>
      <c r="B20" t="n">
        <v>46.8414131057452</v>
      </c>
      <c r="C20" t="n">
        <v>4.84273010070595</v>
      </c>
    </row>
    <row r="21">
      <c r="A21" t="n">
        <v>2019</v>
      </c>
      <c r="B21" t="n">
        <v>49.2527</v>
      </c>
      <c r="C21" t="n">
        <v>5.147767188003649</v>
      </c>
    </row>
    <row r="22">
      <c r="A22" t="n">
        <v>2020</v>
      </c>
      <c r="B22" t="n">
        <v>46.1990326</v>
      </c>
      <c r="C22" t="n">
        <v>-6.2</v>
      </c>
    </row>
    <row r="23">
      <c r="A23" t="n">
        <v>2021</v>
      </c>
      <c r="B23" t="n">
        <v>51.04993102299999</v>
      </c>
      <c r="C23" t="n">
        <v>10.5</v>
      </c>
    </row>
    <row r="24">
      <c r="A24" t="n">
        <v>2022</v>
      </c>
      <c r="B24" t="n">
        <v>56.359123849392</v>
      </c>
      <c r="C24" t="n">
        <v>10.4</v>
      </c>
    </row>
    <row r="25">
      <c r="A25" t="n">
        <v>2023</v>
      </c>
      <c r="B25" t="n">
        <v>60.5860581380964</v>
      </c>
      <c r="C25" t="n">
        <v>7.5</v>
      </c>
    </row>
    <row r="26">
      <c r="A26" t="n">
        <v>2024</v>
      </c>
      <c r="B26" t="n">
        <v>65.13001249845362</v>
      </c>
      <c r="C26" t="n">
        <v>7.5</v>
      </c>
    </row>
    <row r="27">
      <c r="A27" t="n">
        <v>2025</v>
      </c>
      <c r="B27" t="n">
        <v>69.03781324836085</v>
      </c>
      <c r="C27" t="n">
        <v>6</v>
      </c>
    </row>
    <row r="28">
      <c r="A28" t="n">
        <v>2026</v>
      </c>
      <c r="B28" t="n">
        <v>72.4897039107789</v>
      </c>
      <c r="C28" t="n">
        <v>5</v>
      </c>
    </row>
    <row r="29">
      <c r="A29" t="n">
        <v>2027</v>
      </c>
      <c r="B29" t="n">
        <v>76.11418910631785</v>
      </c>
      <c r="C29" t="n">
        <v>5</v>
      </c>
    </row>
    <row r="30">
      <c r="A30" t="n">
        <v>2028</v>
      </c>
      <c r="B30" t="n">
        <v>79.91989856163374</v>
      </c>
      <c r="C30" t="n">
        <v>5</v>
      </c>
    </row>
    <row r="31">
      <c r="A31" t="n">
        <v>2029</v>
      </c>
      <c r="B31" t="n">
        <v>83.91589348971543</v>
      </c>
      <c r="C31" t="n">
        <v>5</v>
      </c>
    </row>
    <row r="32">
      <c r="A32" t="n">
        <v>2030</v>
      </c>
      <c r="B32" t="n">
        <v>88.11168816420121</v>
      </c>
      <c r="C32" t="n">
        <v>5</v>
      </c>
    </row>
    <row r="33">
      <c r="A33" t="n">
        <v>2031</v>
      </c>
      <c r="B33" t="n">
        <v>92.51727257241127</v>
      </c>
      <c r="C33" t="n">
        <v>5</v>
      </c>
    </row>
    <row r="34">
      <c r="A34" t="n">
        <v>2032</v>
      </c>
      <c r="B34" t="n">
        <v>97.14313620103184</v>
      </c>
      <c r="C34" t="n">
        <v>5</v>
      </c>
    </row>
    <row r="35">
      <c r="A35" t="n">
        <v>2033</v>
      </c>
      <c r="B35" t="n">
        <v>102.0002930110834</v>
      </c>
      <c r="C35" t="n">
        <v>5</v>
      </c>
    </row>
    <row r="36">
      <c r="A36" t="n">
        <v>2034</v>
      </c>
      <c r="B36" t="n">
        <v>107.1003076616376</v>
      </c>
      <c r="C36" t="n">
        <v>5</v>
      </c>
    </row>
    <row r="37">
      <c r="A37" t="n">
        <v>2035</v>
      </c>
      <c r="B37" t="n">
        <v>112.4553230447195</v>
      </c>
      <c r="C37" t="n">
        <v>5</v>
      </c>
    </row>
    <row r="38">
      <c r="A38" t="n">
        <v>2036</v>
      </c>
      <c r="B38" t="n">
        <v>118.0780891969555</v>
      </c>
      <c r="C38" t="n">
        <v>5</v>
      </c>
    </row>
    <row r="39">
      <c r="A39" t="n">
        <v>2037</v>
      </c>
      <c r="B39" t="n">
        <v>123.9819936568033</v>
      </c>
      <c r="C39" t="n">
        <v>5</v>
      </c>
    </row>
    <row r="40">
      <c r="A40" t="n">
        <v>2038</v>
      </c>
      <c r="B40" t="n">
        <v>130.1810933396434</v>
      </c>
      <c r="C40" t="n">
        <v>5</v>
      </c>
    </row>
    <row r="41">
      <c r="A41" t="n">
        <v>2039</v>
      </c>
      <c r="B41" t="n">
        <v>136.6901480066256</v>
      </c>
      <c r="C41" t="n">
        <v>5</v>
      </c>
    </row>
    <row r="42">
      <c r="A42" t="n">
        <v>2040</v>
      </c>
      <c r="B42" t="n">
        <v>143.5246554069569</v>
      </c>
      <c r="C42" t="n">
        <v>5</v>
      </c>
    </row>
    <row r="43">
      <c r="A43" t="n">
        <v>2041</v>
      </c>
      <c r="B43" t="n">
        <v>150.7008881773047</v>
      </c>
      <c r="C43" t="n">
        <v>5</v>
      </c>
    </row>
    <row r="44">
      <c r="A44" t="n">
        <v>2042</v>
      </c>
      <c r="B44" t="n">
        <v>158.23593258617</v>
      </c>
      <c r="C44" t="n">
        <v>5</v>
      </c>
    </row>
    <row r="45">
      <c r="A45" t="n">
        <v>2043</v>
      </c>
      <c r="B45" t="n">
        <v>166.1477292154784</v>
      </c>
      <c r="C45" t="n">
        <v>5</v>
      </c>
    </row>
    <row r="46">
      <c r="A46" t="n">
        <v>2044</v>
      </c>
      <c r="B46" t="n">
        <v>174.4551156762524</v>
      </c>
      <c r="C46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2026-01-29T06:31:28Z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