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T Calc" sheetId="3" state="visible" r:id="rId3"/>
    <sheet name="SUPPLY" sheetId="4" state="visible" r:id="rId4"/>
    <sheet name="USE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21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VLOOKUP(B3, WEO_Data!A:F, 3, FALSE)</f>
        <v/>
      </c>
      <c r="D3" s="10" t="n"/>
      <c r="E3" s="10" t="n">
        <v>0</v>
      </c>
      <c r="F3" s="10">
        <f>E3*1</f>
        <v/>
      </c>
      <c r="G3" s="10">
        <f>(E3-F3)*2</f>
        <v/>
      </c>
      <c r="H3" s="10" t="n"/>
      <c r="I3" s="10">
        <f>G3/C3</f>
        <v/>
      </c>
      <c r="J3" s="11">
        <f>VLOOKUP(B3, WEO_Data!A:F, 2, FALSE)/100</f>
        <v/>
      </c>
      <c r="K3" s="12">
        <f>J3+I3</f>
        <v/>
      </c>
    </row>
    <row r="4">
      <c r="B4" s="13" t="n">
        <v>2021</v>
      </c>
      <c r="C4">
        <f>VLOOKUP(B4, WEO_Data!A:F, 3, FALSE)</f>
        <v/>
      </c>
      <c r="E4" t="n">
        <v>0</v>
      </c>
      <c r="F4">
        <f>E4*1</f>
        <v/>
      </c>
      <c r="G4">
        <f>(E4-F4)*2</f>
        <v/>
      </c>
      <c r="I4">
        <f>G4/C4</f>
        <v/>
      </c>
      <c r="J4">
        <f>VLOOKUP(B4, WEO_Data!A:F, 2, FALSE)/100</f>
        <v/>
      </c>
      <c r="K4" s="15">
        <f>J4+I4</f>
        <v/>
      </c>
    </row>
    <row r="5">
      <c r="B5" s="13" t="n">
        <v>2022</v>
      </c>
      <c r="C5">
        <f>VLOOKUP(B5, WEO_Data!A:F, 3, FALSE)</f>
        <v/>
      </c>
      <c r="E5" t="n">
        <v>0</v>
      </c>
      <c r="F5">
        <f>E5*1</f>
        <v/>
      </c>
      <c r="G5">
        <f>(E5-F5)*2</f>
        <v/>
      </c>
      <c r="I5">
        <f>G5/C5</f>
        <v/>
      </c>
      <c r="J5">
        <f>VLOOKUP(B5, WEO_Data!A:F, 2, FALSE)/100</f>
        <v/>
      </c>
      <c r="K5" s="15">
        <f>J5+I5</f>
        <v/>
      </c>
    </row>
    <row r="6">
      <c r="B6" s="13" t="n">
        <v>2023</v>
      </c>
      <c r="C6">
        <f>VLOOKUP(B6, WEO_Data!A:F, 3, FALSE)</f>
        <v/>
      </c>
      <c r="E6" t="n">
        <v>0</v>
      </c>
      <c r="F6">
        <f>E6*1</f>
        <v/>
      </c>
      <c r="G6">
        <f>(E6-F6)*2</f>
        <v/>
      </c>
      <c r="I6">
        <f>G6/C6</f>
        <v/>
      </c>
      <c r="J6">
        <f>VLOOKUP(B6, WEO_Data!A:F, 2, FALSE)/100</f>
        <v/>
      </c>
      <c r="K6" s="15">
        <f>J6+I6</f>
        <v/>
      </c>
    </row>
    <row r="7">
      <c r="B7" s="13" t="n">
        <v>2024</v>
      </c>
      <c r="C7">
        <f>VLOOKUP(B7, WEO_Data!A:F, 3, FALSE)</f>
        <v/>
      </c>
      <c r="E7" t="n">
        <v>0</v>
      </c>
      <c r="F7">
        <f>E7*1</f>
        <v/>
      </c>
      <c r="G7">
        <f>(E7-F7)*2</f>
        <v/>
      </c>
      <c r="I7">
        <f>G7/C7</f>
        <v/>
      </c>
      <c r="J7">
        <f>VLOOKUP(B7, WEO_Data!A:F, 2, FALSE)/100</f>
        <v/>
      </c>
      <c r="K7" s="15">
        <f>J7+I7</f>
        <v/>
      </c>
    </row>
    <row r="8">
      <c r="B8" s="13" t="n">
        <v>2025</v>
      </c>
      <c r="C8">
        <f>VLOOKUP(B8, WEO_Data!A:F, 3, FALSE)</f>
        <v/>
      </c>
      <c r="E8" t="n">
        <v>0</v>
      </c>
      <c r="F8">
        <f>E8*1</f>
        <v/>
      </c>
      <c r="G8">
        <f>(E8-F8)*2</f>
        <v/>
      </c>
      <c r="I8">
        <f>G8/C8</f>
        <v/>
      </c>
      <c r="J8">
        <f>VLOOKUP(B8, WEO_Data!A:F, 2, FALSE)/100</f>
        <v/>
      </c>
      <c r="K8" s="15">
        <f>J8+I8</f>
        <v/>
      </c>
    </row>
    <row r="9">
      <c r="B9" s="13" t="n">
        <v>2026</v>
      </c>
      <c r="C9">
        <f>VLOOKUP(B9, WEO_Data!A:F, 3, FALSE)</f>
        <v/>
      </c>
      <c r="D9" t="n">
        <v>0.03</v>
      </c>
      <c r="E9">
        <f>0*D9*2.746</f>
        <v/>
      </c>
      <c r="F9">
        <f>E9*1</f>
        <v/>
      </c>
      <c r="G9">
        <f>(E9-F9)*2</f>
        <v/>
      </c>
      <c r="I9">
        <f>G9/C9</f>
        <v/>
      </c>
      <c r="J9" s="16">
        <f>VLOOKUP(B9, WEO_Data!A:F, 2, FALSE)/100</f>
        <v/>
      </c>
      <c r="K9" s="15">
        <f>J9+I9</f>
        <v/>
      </c>
    </row>
    <row r="10">
      <c r="B10" s="13" t="n">
        <v>2027</v>
      </c>
      <c r="C10">
        <f>VLOOKUP(B10, WEO_Data!A:F, 3, FALSE)</f>
        <v/>
      </c>
      <c r="D10" t="n">
        <v>0.07000000000000001</v>
      </c>
      <c r="E10">
        <f>0*D10*2.746</f>
        <v/>
      </c>
      <c r="F10">
        <f>E10*1</f>
        <v/>
      </c>
      <c r="G10">
        <f>(E10-F10)*2</f>
        <v/>
      </c>
      <c r="I10">
        <f>G10/C10</f>
        <v/>
      </c>
      <c r="J10">
        <f>VLOOKUP(B10, WEO_Data!A:F, 2, FALSE)/100</f>
        <v/>
      </c>
      <c r="K10" s="15">
        <f>J10+I10</f>
        <v/>
      </c>
    </row>
    <row r="11">
      <c r="B11" s="13" t="n">
        <v>2028</v>
      </c>
      <c r="C11">
        <f>VLOOKUP(B11, WEO_Data!A:F, 3, FALSE)</f>
        <v/>
      </c>
      <c r="D11" t="n">
        <v>0.15</v>
      </c>
      <c r="E11">
        <f>0*D11*2.746</f>
        <v/>
      </c>
      <c r="F11">
        <f>E11*1</f>
        <v/>
      </c>
      <c r="G11">
        <f>(E11-F11)*2</f>
        <v/>
      </c>
      <c r="I11">
        <f>G11/C11</f>
        <v/>
      </c>
      <c r="J11">
        <f>VLOOKUP(B11, WEO_Data!A:F, 2, FALSE)/100</f>
        <v/>
      </c>
      <c r="K11" s="15">
        <f>J11+I11</f>
        <v/>
      </c>
    </row>
    <row r="12">
      <c r="B12" s="13" t="n">
        <v>2029</v>
      </c>
      <c r="C12">
        <f>VLOOKUP(B12, WEO_Data!A:F, 3, FALSE)</f>
        <v/>
      </c>
      <c r="D12" t="n">
        <v>0.25</v>
      </c>
      <c r="E12">
        <f>0*D12*2.746</f>
        <v/>
      </c>
      <c r="F12">
        <f>E12*1</f>
        <v/>
      </c>
      <c r="G12">
        <f>(E12-F12)*2</f>
        <v/>
      </c>
      <c r="I12">
        <f>G12/C12</f>
        <v/>
      </c>
      <c r="J12">
        <f>VLOOKUP(B12, WEO_Data!A:F, 2, FALSE)/100</f>
        <v/>
      </c>
      <c r="K12" s="15">
        <f>J12+I12</f>
        <v/>
      </c>
    </row>
    <row r="13">
      <c r="B13" s="13" t="n">
        <v>2030</v>
      </c>
      <c r="C13">
        <f>VLOOKUP(B13, WEO_Data!A:F, 3, FALSE)</f>
        <v/>
      </c>
      <c r="D13" t="n">
        <v>0.25</v>
      </c>
      <c r="E13">
        <f>0*D13*2.746</f>
        <v/>
      </c>
      <c r="F13">
        <f>E13*1</f>
        <v/>
      </c>
      <c r="G13">
        <f>(E13-F13)*2</f>
        <v/>
      </c>
      <c r="I13">
        <f>G13/C13</f>
        <v/>
      </c>
      <c r="J13" s="17">
        <f>VLOOKUP(B13, WEO_Data!A:F, 2, FALSE)/100</f>
        <v/>
      </c>
      <c r="K13" s="15">
        <f>J13+I13</f>
        <v/>
      </c>
    </row>
    <row r="14">
      <c r="B14" s="13" t="n">
        <v>2031</v>
      </c>
      <c r="C14">
        <f>VLOOKUP(B14, WEO_Data!A:F, 3, FALSE)</f>
        <v/>
      </c>
      <c r="D14" t="n">
        <v>0.15</v>
      </c>
      <c r="E14">
        <f>0*D14*2.746</f>
        <v/>
      </c>
      <c r="F14">
        <f>E14*1</f>
        <v/>
      </c>
      <c r="G14">
        <f>(E14-F14)*2</f>
        <v/>
      </c>
      <c r="I14">
        <f>G14/C14</f>
        <v/>
      </c>
      <c r="J14" s="17">
        <f>VLOOKUP(B14, WEO_Data!A:F, 2, FALSE)/100</f>
        <v/>
      </c>
      <c r="K14" s="15">
        <f>J14+I14</f>
        <v/>
      </c>
    </row>
    <row r="15">
      <c r="B15" s="13" t="n">
        <v>2032</v>
      </c>
      <c r="C15">
        <f>VLOOKUP(B15, WEO_Data!A:F, 3, FALSE)</f>
        <v/>
      </c>
      <c r="D15" t="n">
        <v>0.07000000000000001</v>
      </c>
      <c r="E15">
        <f>0*D15*2.746</f>
        <v/>
      </c>
      <c r="F15">
        <f>E15*1</f>
        <v/>
      </c>
      <c r="G15">
        <f>(E15-F15)*2</f>
        <v/>
      </c>
      <c r="I15">
        <f>G15/C15</f>
        <v/>
      </c>
      <c r="J15" s="17">
        <f>VLOOKUP(B15, WEO_Data!A:F, 2, FALSE)/100</f>
        <v/>
      </c>
      <c r="K15" s="15">
        <f>J15+I15</f>
        <v/>
      </c>
    </row>
    <row r="16">
      <c r="B16" s="13" t="n">
        <v>2033</v>
      </c>
      <c r="C16">
        <f>VLOOKUP(B16, WEO_Data!A:F, 3, FALSE)</f>
        <v/>
      </c>
      <c r="D16" t="n">
        <v>0.03</v>
      </c>
      <c r="E16">
        <f>0*D16*2.746</f>
        <v/>
      </c>
      <c r="F16">
        <f>E16*1</f>
        <v/>
      </c>
      <c r="G16">
        <f>(E16-F16)*2</f>
        <v/>
      </c>
      <c r="I16">
        <f>G16/C16</f>
        <v/>
      </c>
      <c r="J16" s="17">
        <f>VLOOKUP(B16, WEO_Data!A:F, 2, FALSE)/100</f>
        <v/>
      </c>
      <c r="K16" s="15">
        <f>J16+I16</f>
        <v/>
      </c>
    </row>
    <row r="17">
      <c r="B17" s="13" t="n">
        <v>2034</v>
      </c>
      <c r="C17">
        <f>VLOOKUP(B17, WEO_Data!A:F, 3, FALSE)</f>
        <v/>
      </c>
      <c r="E17" t="n">
        <v>0</v>
      </c>
      <c r="F17">
        <f>E17*1</f>
        <v/>
      </c>
      <c r="G17">
        <f>(E17-F17)*2</f>
        <v/>
      </c>
      <c r="I17">
        <f>G17/C17</f>
        <v/>
      </c>
      <c r="J17" s="17">
        <f>VLOOKUP(B17, WEO_Data!A:F, 2, FALSE)/100</f>
        <v/>
      </c>
      <c r="K17" s="15">
        <f>J17+I17</f>
        <v/>
      </c>
    </row>
    <row r="18">
      <c r="B18" s="13" t="n">
        <v>2035</v>
      </c>
      <c r="C18">
        <f>VLOOKUP(B18, WEO_Data!A:F, 3, FALSE)</f>
        <v/>
      </c>
      <c r="E18" t="n">
        <v>0</v>
      </c>
      <c r="F18">
        <f>E18*1</f>
        <v/>
      </c>
      <c r="G18">
        <f>(E18-F18)*2</f>
        <v/>
      </c>
      <c r="I18">
        <f>G18/C18</f>
        <v/>
      </c>
      <c r="J18" s="17">
        <f>VLOOKUP(B18, WEO_Data!A:F, 2, FALSE)/100</f>
        <v/>
      </c>
      <c r="K18" s="15">
        <f>J18+I18</f>
        <v/>
      </c>
    </row>
    <row r="19">
      <c r="B19" s="13" t="n">
        <v>2036</v>
      </c>
      <c r="C19">
        <f>VLOOKUP(B19, WEO_Data!A:F, 3, FALSE)</f>
        <v/>
      </c>
      <c r="E19" t="n">
        <v>0</v>
      </c>
      <c r="F19">
        <f>E19*1</f>
        <v/>
      </c>
      <c r="G19">
        <f>(E19-F19)*2</f>
        <v/>
      </c>
      <c r="I19">
        <f>G19/C19</f>
        <v/>
      </c>
      <c r="J19" s="17">
        <f>VLOOKUP(B19, WEO_Data!A:F, 2, FALSE)/100</f>
        <v/>
      </c>
      <c r="K19" s="15">
        <f>J19+I19</f>
        <v/>
      </c>
    </row>
    <row r="20">
      <c r="B20" s="13" t="n">
        <v>2037</v>
      </c>
      <c r="C20">
        <f>VLOOKUP(B20, WEO_Data!A:F, 3, FALSE)</f>
        <v/>
      </c>
      <c r="E20" t="n">
        <v>0</v>
      </c>
      <c r="F20">
        <f>E20*1</f>
        <v/>
      </c>
      <c r="G20">
        <f>(E20-F20)*2</f>
        <v/>
      </c>
      <c r="I20">
        <f>G20/C20</f>
        <v/>
      </c>
      <c r="J20" s="17">
        <f>VLOOKUP(B20, WEO_Data!A:F, 2, FALSE)/100</f>
        <v/>
      </c>
      <c r="K20" s="15">
        <f>J20+I20</f>
        <v/>
      </c>
    </row>
    <row r="21">
      <c r="B21" s="13" t="n">
        <v>2038</v>
      </c>
      <c r="C21">
        <f>VLOOKUP(B21, WEO_Data!A:F, 3, FALSE)</f>
        <v/>
      </c>
      <c r="E21" t="n">
        <v>0</v>
      </c>
      <c r="F21">
        <f>E21*1</f>
        <v/>
      </c>
      <c r="G21">
        <f>(E21-F21)*2</f>
        <v/>
      </c>
      <c r="I21">
        <f>G21/C21</f>
        <v/>
      </c>
      <c r="J21" s="17">
        <f>VLOOKUP(B21, WEO_Data!A:F, 2, FALSE)/100</f>
        <v/>
      </c>
      <c r="K21" s="15">
        <f>J21+I21</f>
        <v/>
      </c>
    </row>
    <row r="22">
      <c r="B22" s="13" t="n">
        <v>2039</v>
      </c>
      <c r="C22">
        <f>VLOOKUP(B22, WEO_Data!A:F, 3, FALSE)</f>
        <v/>
      </c>
      <c r="E22" t="n">
        <v>0</v>
      </c>
      <c r="F22">
        <f>E22*1</f>
        <v/>
      </c>
      <c r="G22">
        <f>(E22-F22)*2</f>
        <v/>
      </c>
      <c r="I22">
        <f>G22/C22</f>
        <v/>
      </c>
      <c r="J22" s="17">
        <f>VLOOKUP(B22, WEO_Data!A:F, 2, FALSE)/100</f>
        <v/>
      </c>
      <c r="K22" s="15">
        <f>J22+I22</f>
        <v/>
      </c>
    </row>
    <row r="23">
      <c r="B23" s="13" t="n">
        <v>2040</v>
      </c>
      <c r="C23">
        <f>VLOOKUP(B23, WEO_Data!A:F, 3, FALSE)</f>
        <v/>
      </c>
      <c r="E23" t="n">
        <v>0</v>
      </c>
      <c r="F23">
        <f>E23*1</f>
        <v/>
      </c>
      <c r="G23">
        <f>(E23-F23)*2</f>
        <v/>
      </c>
      <c r="I23">
        <f>G23/C23</f>
        <v/>
      </c>
      <c r="J23" s="17">
        <f>VLOOKUP(B23, WEO_Data!A:F, 2, FALSE)/100</f>
        <v/>
      </c>
      <c r="K23" s="15">
        <f>J23+I23</f>
        <v/>
      </c>
    </row>
    <row r="24">
      <c r="B24" s="13" t="n">
        <v>2041</v>
      </c>
      <c r="C24">
        <f>VLOOKUP(B24, WEO_Data!A:F, 3, FALSE)</f>
        <v/>
      </c>
      <c r="E24" t="n">
        <v>0</v>
      </c>
      <c r="F24">
        <f>E24*1</f>
        <v/>
      </c>
      <c r="G24">
        <f>(E24-F24)*2</f>
        <v/>
      </c>
      <c r="I24">
        <f>G24/C24</f>
        <v/>
      </c>
      <c r="J24" s="17">
        <f>VLOOKUP(B24, WEO_Data!A:F, 2, FALSE)/100</f>
        <v/>
      </c>
      <c r="K24" s="15">
        <f>J24+I24</f>
        <v/>
      </c>
    </row>
    <row r="25">
      <c r="B25" s="18" t="n">
        <v>2042</v>
      </c>
      <c r="C25" s="19">
        <f>VLOOKUP(B25, WEO_Data!A:F, 3, FALSE)</f>
        <v/>
      </c>
      <c r="D25" s="19" t="n"/>
      <c r="E25" s="19" t="n">
        <v>0</v>
      </c>
      <c r="F25" s="19">
        <f>E25*1</f>
        <v/>
      </c>
      <c r="G25" s="19">
        <f>(E25-F25)*2</f>
        <v/>
      </c>
      <c r="H25" s="19" t="n"/>
      <c r="I25" s="19">
        <f>G25/C25</f>
        <v/>
      </c>
      <c r="J25" s="20">
        <f>VLOOKUP(B25, WEO_Data!A:F, 2, FALSE)/100</f>
        <v/>
      </c>
      <c r="K25" s="21">
        <f>J25+I25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</t>
        </is>
      </c>
      <c r="D30" t="n">
        <v>6500</v>
      </c>
      <c r="K30" s="15" t="n"/>
    </row>
    <row r="31">
      <c r="C31" s="13" t="inlineStr">
        <is>
          <t>import content share</t>
        </is>
      </c>
      <c r="D31" s="28">
        <f>'SUT Calc'!C46</f>
        <v/>
      </c>
      <c r="K31" s="15" t="n"/>
    </row>
    <row r="32">
      <c r="C32" s="13" t="inlineStr">
        <is>
          <t>demand multiplier</t>
        </is>
      </c>
      <c r="D32" s="29" t="n">
        <v>0.8</v>
      </c>
      <c r="K32" s="15" t="n"/>
    </row>
    <row r="33">
      <c r="C33" s="18" t="inlineStr">
        <is>
          <t>Project allocation</t>
        </is>
      </c>
      <c r="D33" s="19" t="inlineStr">
        <is>
          <t>Bell Shape</t>
        </is>
      </c>
      <c r="E33" s="19" t="n"/>
      <c r="F33" s="19" t="n"/>
      <c r="G33" s="19" t="n"/>
      <c r="H33" s="19" t="n"/>
      <c r="I33" s="19" t="n"/>
      <c r="J33" s="27" t="n"/>
      <c r="K33" s="21" t="n"/>
    </row>
    <row r="45">
      <c r="B45" t="inlineStr">
        <is>
          <t>Year</t>
        </is>
      </c>
      <c r="C45" t="inlineStr">
        <is>
          <t>Real GDP</t>
        </is>
      </c>
      <c r="D45" t="inlineStr">
        <is>
          <t>Project Allocation (%)</t>
        </is>
      </c>
      <c r="E45" t="inlineStr">
        <is>
          <t>Project Investment</t>
        </is>
      </c>
      <c r="F45" t="inlineStr">
        <is>
          <t>Imports</t>
        </is>
      </c>
      <c r="G45" t="inlineStr">
        <is>
          <t>GDP impact</t>
        </is>
      </c>
      <c r="J45" t="inlineStr">
        <is>
          <t>Baseline GDP Growth</t>
        </is>
      </c>
      <c r="K45" t="inlineStr">
        <is>
          <t>Projected Growth</t>
        </is>
      </c>
    </row>
    <row r="46">
      <c r="G46" t="inlineStr">
        <is>
          <t>I-M</t>
        </is>
      </c>
      <c r="H46" t="inlineStr">
        <is>
          <t>Multiplier</t>
        </is>
      </c>
      <c r="I46" t="inlineStr">
        <is>
          <t>% of GDP</t>
        </is>
      </c>
    </row>
    <row r="47">
      <c r="B47" t="n">
        <v>2020</v>
      </c>
      <c r="C47">
        <f>VLOOKUP(B47, WEO_Data!A:F, 3, FALSE)</f>
        <v/>
      </c>
      <c r="E47" t="n">
        <v>0</v>
      </c>
      <c r="F47">
        <f>E47*</f>
        <v/>
      </c>
      <c r="G47">
        <f>(E47-F47)*</f>
        <v/>
      </c>
      <c r="I47">
        <f>G47/C47</f>
        <v/>
      </c>
      <c r="J47">
        <f>VLOOKUP(B47, WEO_Data!A:F, 2, FALSE)/100</f>
        <v/>
      </c>
      <c r="K47">
        <f>J47+I47</f>
        <v/>
      </c>
    </row>
    <row r="48">
      <c r="B48" t="n">
        <v>2021</v>
      </c>
      <c r="C48">
        <f>VLOOKUP(B48, WEO_Data!A:F, 3, FALSE)</f>
        <v/>
      </c>
      <c r="E48" t="n">
        <v>0</v>
      </c>
      <c r="F48">
        <f>E48*</f>
        <v/>
      </c>
      <c r="G48">
        <f>(E48-F48)*</f>
        <v/>
      </c>
      <c r="I48">
        <f>G48/C48</f>
        <v/>
      </c>
      <c r="J48">
        <f>VLOOKUP(B48, WEO_Data!A:F, 2, FALSE)/100</f>
        <v/>
      </c>
      <c r="K48">
        <f>J48+I48</f>
        <v/>
      </c>
    </row>
    <row r="49">
      <c r="B49" t="n">
        <v>2022</v>
      </c>
      <c r="C49">
        <f>VLOOKUP(B49, WEO_Data!A:F, 3, FALSE)</f>
        <v/>
      </c>
      <c r="E49" t="n">
        <v>0</v>
      </c>
      <c r="F49">
        <f>E49*</f>
        <v/>
      </c>
      <c r="G49">
        <f>(E49-F49)*</f>
        <v/>
      </c>
      <c r="I49">
        <f>G49/C49</f>
        <v/>
      </c>
      <c r="J49">
        <f>VLOOKUP(B49, WEO_Data!A:F, 2, FALSE)/100</f>
        <v/>
      </c>
      <c r="K49">
        <f>J49+I49</f>
        <v/>
      </c>
    </row>
    <row r="50">
      <c r="B50" t="n">
        <v>2023</v>
      </c>
      <c r="C50">
        <f>VLOOKUP(B50, WEO_Data!A:F, 3, FALSE)</f>
        <v/>
      </c>
      <c r="E50" t="n">
        <v>0</v>
      </c>
      <c r="F50">
        <f>E50*</f>
        <v/>
      </c>
      <c r="G50">
        <f>(E50-F50)*</f>
        <v/>
      </c>
      <c r="I50">
        <f>G50/C50</f>
        <v/>
      </c>
      <c r="J50">
        <f>VLOOKUP(B50, WEO_Data!A:F, 2, FALSE)/100</f>
        <v/>
      </c>
      <c r="K50">
        <f>J50+I50</f>
        <v/>
      </c>
    </row>
    <row r="51">
      <c r="B51" t="n">
        <v>2024</v>
      </c>
      <c r="C51">
        <f>VLOOKUP(B51, WEO_Data!A:F, 3, FALSE)</f>
        <v/>
      </c>
      <c r="D51" t="n">
        <v>0.03</v>
      </c>
      <c r="E51" t="n">
        <v>0</v>
      </c>
      <c r="F51">
        <f>E51*</f>
        <v/>
      </c>
      <c r="G51">
        <f>(E51-F51)*</f>
        <v/>
      </c>
      <c r="I51">
        <f>G51/C51</f>
        <v/>
      </c>
      <c r="J51">
        <f>VLOOKUP(B51, WEO_Data!A:F, 2, FALSE)/100</f>
        <v/>
      </c>
      <c r="K51">
        <f>J51+I51</f>
        <v/>
      </c>
    </row>
    <row r="52">
      <c r="B52" t="n">
        <v>2025</v>
      </c>
      <c r="C52">
        <f>VLOOKUP(B52, WEO_Data!A:F, 3, FALSE)</f>
        <v/>
      </c>
      <c r="D52" t="n">
        <v>0.07000000000000001</v>
      </c>
      <c r="E52" t="n">
        <v>0</v>
      </c>
      <c r="F52">
        <f>E52*</f>
        <v/>
      </c>
      <c r="G52">
        <f>(E52-F52)*</f>
        <v/>
      </c>
      <c r="I52">
        <f>G52/C52</f>
        <v/>
      </c>
      <c r="J52">
        <f>VLOOKUP(B52, WEO_Data!A:F, 2, FALSE)/100</f>
        <v/>
      </c>
      <c r="K52">
        <f>J52+I52</f>
        <v/>
      </c>
    </row>
    <row r="53">
      <c r="B53" t="n">
        <v>2026</v>
      </c>
      <c r="C53">
        <f>VLOOKUP(B53, WEO_Data!A:F, 3, FALSE)</f>
        <v/>
      </c>
      <c r="D53" t="n">
        <v>0.15</v>
      </c>
      <c r="E53">
        <f>*D53*2.746</f>
        <v/>
      </c>
      <c r="F53">
        <f>E53*</f>
        <v/>
      </c>
      <c r="G53">
        <f>(E53-F53)*</f>
        <v/>
      </c>
      <c r="I53">
        <f>G53/C53</f>
        <v/>
      </c>
      <c r="J53">
        <f>VLOOKUP(B53, WEO_Data!A:F, 2, FALSE)/100</f>
        <v/>
      </c>
      <c r="K53">
        <f>J53+I53</f>
        <v/>
      </c>
    </row>
    <row r="54">
      <c r="B54" t="n">
        <v>2027</v>
      </c>
      <c r="C54">
        <f>VLOOKUP(B54, WEO_Data!A:F, 3, FALSE)</f>
        <v/>
      </c>
      <c r="D54" t="n">
        <v>0.25</v>
      </c>
      <c r="E54">
        <f>*D54*2.746</f>
        <v/>
      </c>
      <c r="F54">
        <f>E54*</f>
        <v/>
      </c>
      <c r="G54">
        <f>(E54-F54)*</f>
        <v/>
      </c>
      <c r="I54">
        <f>G54/C54</f>
        <v/>
      </c>
      <c r="J54">
        <f>VLOOKUP(B54, WEO_Data!A:F, 2, FALSE)/100</f>
        <v/>
      </c>
      <c r="K54">
        <f>J54+I54</f>
        <v/>
      </c>
    </row>
    <row r="55">
      <c r="B55" t="n">
        <v>2028</v>
      </c>
      <c r="C55">
        <f>VLOOKUP(B55, WEO_Data!A:F, 3, FALSE)</f>
        <v/>
      </c>
      <c r="D55" t="n">
        <v>0.25</v>
      </c>
      <c r="E55">
        <f>*D55*2.746</f>
        <v/>
      </c>
      <c r="F55">
        <f>E55*</f>
        <v/>
      </c>
      <c r="G55">
        <f>(E55-F55)*</f>
        <v/>
      </c>
      <c r="I55">
        <f>G55/C55</f>
        <v/>
      </c>
      <c r="J55">
        <f>VLOOKUP(B55, WEO_Data!A:F, 2, FALSE)/100</f>
        <v/>
      </c>
      <c r="K55">
        <f>J55+I55</f>
        <v/>
      </c>
    </row>
    <row r="56">
      <c r="B56" t="n">
        <v>2029</v>
      </c>
      <c r="C56">
        <f>VLOOKUP(B56, WEO_Data!A:F, 3, FALSE)</f>
        <v/>
      </c>
      <c r="D56" t="n">
        <v>0.15</v>
      </c>
      <c r="E56">
        <f>*D56*2.746</f>
        <v/>
      </c>
      <c r="F56">
        <f>E56*</f>
        <v/>
      </c>
      <c r="G56">
        <f>(E56-F56)*</f>
        <v/>
      </c>
      <c r="I56">
        <f>G56/C56</f>
        <v/>
      </c>
      <c r="J56">
        <f>VLOOKUP(B56, WEO_Data!A:F, 2, FALSE)/100</f>
        <v/>
      </c>
      <c r="K56">
        <f>J56+I56</f>
        <v/>
      </c>
    </row>
    <row r="57">
      <c r="B57" t="n">
        <v>2030</v>
      </c>
      <c r="C57">
        <f>VLOOKUP(B57, WEO_Data!A:F, 3, FALSE)</f>
        <v/>
      </c>
      <c r="D57" t="n">
        <v>0.07000000000000001</v>
      </c>
      <c r="E57">
        <f>*D57*2.746</f>
        <v/>
      </c>
      <c r="F57">
        <f>E57*</f>
        <v/>
      </c>
      <c r="G57">
        <f>(E57-F57)*</f>
        <v/>
      </c>
      <c r="I57">
        <f>G57/C57</f>
        <v/>
      </c>
      <c r="J57">
        <f>VLOOKUP(B57, WEO_Data!A:F, 2, FALSE)/100</f>
        <v/>
      </c>
      <c r="K57">
        <f>J57+I57</f>
        <v/>
      </c>
    </row>
    <row r="58">
      <c r="B58" t="n">
        <v>2031</v>
      </c>
      <c r="C58">
        <f>VLOOKUP(B58, WEO_Data!A:F, 3, FALSE)</f>
        <v/>
      </c>
      <c r="D58" t="n">
        <v>0.03</v>
      </c>
      <c r="E58">
        <f>*D58*2.746</f>
        <v/>
      </c>
      <c r="F58">
        <f>E58*</f>
        <v/>
      </c>
      <c r="G58">
        <f>(E58-F58)*</f>
        <v/>
      </c>
      <c r="I58">
        <f>G58/C58</f>
        <v/>
      </c>
      <c r="J58">
        <f>VLOOKUP(B58, WEO_Data!A:F, 2, FALSE)/100</f>
        <v/>
      </c>
      <c r="K58">
        <f>J58+I58</f>
        <v/>
      </c>
    </row>
    <row r="59">
      <c r="B59" t="n">
        <v>2032</v>
      </c>
      <c r="C59">
        <f>VLOOKUP(B59, WEO_Data!A:F, 3, FALSE)</f>
        <v/>
      </c>
      <c r="D59" t="n">
        <v>0.1</v>
      </c>
      <c r="E59">
        <f>*D59*2.746</f>
        <v/>
      </c>
      <c r="F59">
        <f>E59*</f>
        <v/>
      </c>
      <c r="G59">
        <f>(E59-F59)*</f>
        <v/>
      </c>
      <c r="I59">
        <f>G59/C59</f>
        <v/>
      </c>
      <c r="J59">
        <f>VLOOKUP(B59, WEO_Data!A:F, 2, FALSE)/100</f>
        <v/>
      </c>
      <c r="K59">
        <f>J59+I59</f>
        <v/>
      </c>
    </row>
    <row r="60">
      <c r="B60" t="n">
        <v>2033</v>
      </c>
      <c r="C60">
        <f>VLOOKUP(B60, WEO_Data!A:F, 3, FALSE)</f>
        <v/>
      </c>
      <c r="D60" t="n">
        <v>0.05</v>
      </c>
      <c r="E60">
        <f>*D60*2.746</f>
        <v/>
      </c>
      <c r="F60">
        <f>E60*</f>
        <v/>
      </c>
      <c r="G60">
        <f>(E60-F60)*</f>
        <v/>
      </c>
      <c r="I60">
        <f>G60/C60</f>
        <v/>
      </c>
      <c r="J60">
        <f>VLOOKUP(B60, WEO_Data!A:F, 2, FALSE)/100</f>
        <v/>
      </c>
      <c r="K60">
        <f>J60+I60</f>
        <v/>
      </c>
    </row>
    <row r="61">
      <c r="B61" t="n">
        <v>2034</v>
      </c>
      <c r="C61">
        <f>VLOOKUP(B61, WEO_Data!A:F, 3, FALSE)</f>
        <v/>
      </c>
      <c r="E61" t="n">
        <v>0</v>
      </c>
      <c r="F61">
        <f>E61*</f>
        <v/>
      </c>
      <c r="G61">
        <f>(E61-F61)*</f>
        <v/>
      </c>
      <c r="I61">
        <f>G61/C61</f>
        <v/>
      </c>
      <c r="J61">
        <f>VLOOKUP(B61, WEO_Data!A:F, 2, FALSE)/100</f>
        <v/>
      </c>
      <c r="K61">
        <f>J61+I61</f>
        <v/>
      </c>
    </row>
    <row r="62">
      <c r="B62" t="n">
        <v>2035</v>
      </c>
      <c r="C62">
        <f>VLOOKUP(B62, WEO_Data!A:F, 3, FALSE)</f>
        <v/>
      </c>
      <c r="E62" t="n">
        <v>0</v>
      </c>
      <c r="F62">
        <f>E62*</f>
        <v/>
      </c>
      <c r="G62">
        <f>(E62-F62)*</f>
        <v/>
      </c>
      <c r="I62">
        <f>G62/C62</f>
        <v/>
      </c>
      <c r="J62">
        <f>VLOOKUP(B62, WEO_Data!A:F, 2, FALSE)/100</f>
        <v/>
      </c>
      <c r="K62">
        <f>J62+I62</f>
        <v/>
      </c>
    </row>
    <row r="63">
      <c r="B63" t="n">
        <v>2036</v>
      </c>
      <c r="C63">
        <f>VLOOKUP(B63, WEO_Data!A:F, 3, FALSE)</f>
        <v/>
      </c>
      <c r="E63" t="n">
        <v>0</v>
      </c>
      <c r="F63">
        <f>E63*</f>
        <v/>
      </c>
      <c r="G63">
        <f>(E63-F63)*</f>
        <v/>
      </c>
      <c r="I63">
        <f>G63/C63</f>
        <v/>
      </c>
      <c r="J63">
        <f>VLOOKUP(B63, WEO_Data!A:F, 2, FALSE)/100</f>
        <v/>
      </c>
      <c r="K63">
        <f>J63+I63</f>
        <v/>
      </c>
    </row>
    <row r="64">
      <c r="B64" t="n">
        <v>2037</v>
      </c>
      <c r="C64">
        <f>VLOOKUP(B64, WEO_Data!A:F, 3, FALSE)</f>
        <v/>
      </c>
      <c r="E64" t="n">
        <v>0</v>
      </c>
      <c r="F64">
        <f>E64*</f>
        <v/>
      </c>
      <c r="G64">
        <f>(E64-F64)*</f>
        <v/>
      </c>
      <c r="I64">
        <f>G64/C64</f>
        <v/>
      </c>
      <c r="J64">
        <f>VLOOKUP(B64, WEO_Data!A:F, 2, FALSE)/100</f>
        <v/>
      </c>
      <c r="K64">
        <f>J64+I64</f>
        <v/>
      </c>
    </row>
    <row r="65">
      <c r="B65" t="n">
        <v>2038</v>
      </c>
      <c r="C65">
        <f>VLOOKUP(B65, WEO_Data!A:F, 3, FALSE)</f>
        <v/>
      </c>
      <c r="E65" t="n">
        <v>0</v>
      </c>
      <c r="F65">
        <f>E65*</f>
        <v/>
      </c>
      <c r="G65">
        <f>(E65-F65)*</f>
        <v/>
      </c>
      <c r="I65">
        <f>G65/C65</f>
        <v/>
      </c>
      <c r="J65">
        <f>VLOOKUP(B65, WEO_Data!A:F, 2, FALSE)/100</f>
        <v/>
      </c>
      <c r="K65">
        <f>J65+I65</f>
        <v/>
      </c>
    </row>
    <row r="66">
      <c r="B66" t="n">
        <v>2039</v>
      </c>
      <c r="C66">
        <f>VLOOKUP(B66, WEO_Data!A:F, 3, FALSE)</f>
        <v/>
      </c>
      <c r="E66" t="n">
        <v>0</v>
      </c>
      <c r="F66">
        <f>E66*</f>
        <v/>
      </c>
      <c r="G66">
        <f>(E66-F66)*</f>
        <v/>
      </c>
      <c r="I66">
        <f>G66/C66</f>
        <v/>
      </c>
      <c r="J66">
        <f>VLOOKUP(B66, WEO_Data!A:F, 2, FALSE)/100</f>
        <v/>
      </c>
      <c r="K66">
        <f>J66+I66</f>
        <v/>
      </c>
    </row>
    <row r="67">
      <c r="B67" t="n">
        <v>2040</v>
      </c>
      <c r="C67">
        <f>VLOOKUP(B67, WEO_Data!A:F, 3, FALSE)</f>
        <v/>
      </c>
      <c r="E67" t="n">
        <v>0</v>
      </c>
      <c r="F67">
        <f>E67*</f>
        <v/>
      </c>
      <c r="G67">
        <f>(E67-F67)*</f>
        <v/>
      </c>
      <c r="I67">
        <f>G67/C67</f>
        <v/>
      </c>
      <c r="J67">
        <f>VLOOKUP(B67, WEO_Data!A:F, 2, FALSE)/100</f>
        <v/>
      </c>
      <c r="K67">
        <f>J67+I67</f>
        <v/>
      </c>
    </row>
    <row r="68">
      <c r="B68" t="n">
        <v>2041</v>
      </c>
      <c r="C68">
        <f>VLOOKUP(B68, WEO_Data!A:F, 3, FALSE)</f>
        <v/>
      </c>
      <c r="E68" t="n">
        <v>0</v>
      </c>
      <c r="F68">
        <f>E68*</f>
        <v/>
      </c>
      <c r="G68">
        <f>(E68-F68)*</f>
        <v/>
      </c>
      <c r="I68">
        <f>G68/C68</f>
        <v/>
      </c>
      <c r="J68">
        <f>VLOOKUP(B68, WEO_Data!A:F, 2, FALSE)/100</f>
        <v/>
      </c>
      <c r="K68">
        <f>J68+I68</f>
        <v/>
      </c>
    </row>
    <row r="69">
      <c r="B69" t="n">
        <v>2042</v>
      </c>
      <c r="C69">
        <f>VLOOKUP(B69, WEO_Data!A:F, 3, FALSE)</f>
        <v/>
      </c>
      <c r="E69" t="n">
        <v>0</v>
      </c>
      <c r="F69">
        <f>E69*</f>
        <v/>
      </c>
      <c r="G69">
        <f>(E69-F69)*</f>
        <v/>
      </c>
      <c r="I69">
        <f>G69/C69</f>
        <v/>
      </c>
      <c r="J69">
        <f>VLOOKUP(B69, WEO_Data!A:F, 2, FALSE)/100</f>
        <v/>
      </c>
      <c r="K69">
        <f>J69+I69</f>
        <v/>
      </c>
    </row>
    <row r="72">
      <c r="C72" t="inlineStr">
        <is>
          <t>Assumptions</t>
        </is>
      </c>
    </row>
    <row r="74">
      <c r="C74" t="inlineStr">
        <is>
          <t>total investment</t>
        </is>
      </c>
      <c r="D74" t="n">
        <v>6500</v>
      </c>
    </row>
    <row r="75">
      <c r="C75" t="inlineStr">
        <is>
          <t>import content share</t>
        </is>
      </c>
      <c r="D75">
        <f>'SUT Calc'!C46</f>
        <v/>
      </c>
    </row>
    <row r="76">
      <c r="C76" t="inlineStr">
        <is>
          <t>demand multiplier</t>
        </is>
      </c>
      <c r="D76" t="n">
        <v>1</v>
      </c>
    </row>
    <row r="77">
      <c r="C77" t="inlineStr">
        <is>
          <t>Project allocation</t>
        </is>
      </c>
      <c r="D77" t="inlineStr">
        <is>
          <t>Bell Shape</t>
        </is>
      </c>
    </row>
    <row r="89">
      <c r="B89" t="inlineStr">
        <is>
          <t>Year</t>
        </is>
      </c>
      <c r="C89" t="inlineStr">
        <is>
          <t>Real GDP</t>
        </is>
      </c>
      <c r="D89" t="inlineStr">
        <is>
          <t>Project Allocation (%)</t>
        </is>
      </c>
      <c r="E89" t="inlineStr">
        <is>
          <t>Project Investment</t>
        </is>
      </c>
      <c r="F89" t="inlineStr">
        <is>
          <t>Imports</t>
        </is>
      </c>
      <c r="G89" t="inlineStr">
        <is>
          <t>GDP impact</t>
        </is>
      </c>
      <c r="J89" t="inlineStr">
        <is>
          <t>Baseline GDP Growth</t>
        </is>
      </c>
      <c r="K89" t="inlineStr">
        <is>
          <t>Projected Growth</t>
        </is>
      </c>
    </row>
    <row r="90">
      <c r="G90" t="inlineStr">
        <is>
          <t>I-M</t>
        </is>
      </c>
      <c r="H90" t="inlineStr">
        <is>
          <t>Multiplier</t>
        </is>
      </c>
      <c r="I90" t="inlineStr">
        <is>
          <t>% of GDP</t>
        </is>
      </c>
    </row>
    <row r="91">
      <c r="B91" t="n">
        <v>2020</v>
      </c>
      <c r="C91">
        <f>VLOOKUP(B91, WEO_Data!A:F, 3, FALSE)</f>
        <v/>
      </c>
      <c r="E91" t="n">
        <v>0</v>
      </c>
      <c r="F91">
        <f>E91*</f>
        <v/>
      </c>
      <c r="G91">
        <f>(E91-F91)*</f>
        <v/>
      </c>
      <c r="I91">
        <f>G91/C91</f>
        <v/>
      </c>
      <c r="J91">
        <f>VLOOKUP(B91, WEO_Data!A:F, 2, FALSE)/100</f>
        <v/>
      </c>
      <c r="K91">
        <f>J91+I91</f>
        <v/>
      </c>
    </row>
    <row r="92">
      <c r="B92" t="n">
        <v>2021</v>
      </c>
      <c r="C92">
        <f>VLOOKUP(B92, WEO_Data!A:F, 3, FALSE)</f>
        <v/>
      </c>
      <c r="E92" t="n">
        <v>0</v>
      </c>
      <c r="F92">
        <f>E92*</f>
        <v/>
      </c>
      <c r="G92">
        <f>(E92-F92)*</f>
        <v/>
      </c>
      <c r="I92">
        <f>G92/C92</f>
        <v/>
      </c>
      <c r="J92">
        <f>VLOOKUP(B92, WEO_Data!A:F, 2, FALSE)/100</f>
        <v/>
      </c>
      <c r="K92">
        <f>J92+I92</f>
        <v/>
      </c>
    </row>
    <row r="93">
      <c r="B93" t="n">
        <v>2022</v>
      </c>
      <c r="C93">
        <f>VLOOKUP(B93, WEO_Data!A:F, 3, FALSE)</f>
        <v/>
      </c>
      <c r="E93" t="n">
        <v>0</v>
      </c>
      <c r="F93">
        <f>E93*</f>
        <v/>
      </c>
      <c r="G93">
        <f>(E93-F93)*</f>
        <v/>
      </c>
      <c r="I93">
        <f>G93/C93</f>
        <v/>
      </c>
      <c r="J93">
        <f>VLOOKUP(B93, WEO_Data!A:F, 2, FALSE)/100</f>
        <v/>
      </c>
      <c r="K93">
        <f>J93+I93</f>
        <v/>
      </c>
    </row>
    <row r="94">
      <c r="B94" t="n">
        <v>2023</v>
      </c>
      <c r="C94">
        <f>VLOOKUP(B94, WEO_Data!A:F, 3, FALSE)</f>
        <v/>
      </c>
      <c r="E94" t="n">
        <v>0</v>
      </c>
      <c r="F94">
        <f>E94*</f>
        <v/>
      </c>
      <c r="G94">
        <f>(E94-F94)*</f>
        <v/>
      </c>
      <c r="I94">
        <f>G94/C94</f>
        <v/>
      </c>
      <c r="J94">
        <f>VLOOKUP(B94, WEO_Data!A:F, 2, FALSE)/100</f>
        <v/>
      </c>
      <c r="K94">
        <f>J94+I94</f>
        <v/>
      </c>
    </row>
    <row r="95">
      <c r="B95" t="n">
        <v>2024</v>
      </c>
      <c r="C95">
        <f>VLOOKUP(B95, WEO_Data!A:F, 3, FALSE)</f>
        <v/>
      </c>
      <c r="D95" t="n">
        <v>0.03</v>
      </c>
      <c r="E95" t="n">
        <v>0</v>
      </c>
      <c r="F95">
        <f>E95*</f>
        <v/>
      </c>
      <c r="G95">
        <f>(E95-F95)*</f>
        <v/>
      </c>
      <c r="I95">
        <f>G95/C95</f>
        <v/>
      </c>
      <c r="J95">
        <f>VLOOKUP(B95, WEO_Data!A:F, 2, FALSE)/100</f>
        <v/>
      </c>
      <c r="K95">
        <f>J95+I95</f>
        <v/>
      </c>
    </row>
    <row r="96">
      <c r="B96" t="n">
        <v>2025</v>
      </c>
      <c r="C96">
        <f>VLOOKUP(B96, WEO_Data!A:F, 3, FALSE)</f>
        <v/>
      </c>
      <c r="D96" t="n">
        <v>0.07000000000000001</v>
      </c>
      <c r="E96" t="n">
        <v>0</v>
      </c>
      <c r="F96">
        <f>E96*</f>
        <v/>
      </c>
      <c r="G96">
        <f>(E96-F96)*</f>
        <v/>
      </c>
      <c r="I96">
        <f>G96/C96</f>
        <v/>
      </c>
      <c r="J96">
        <f>VLOOKUP(B96, WEO_Data!A:F, 2, FALSE)/100</f>
        <v/>
      </c>
      <c r="K96">
        <f>J96+I96</f>
        <v/>
      </c>
    </row>
    <row r="97">
      <c r="B97" t="n">
        <v>2026</v>
      </c>
      <c r="C97">
        <f>VLOOKUP(B97, WEO_Data!A:F, 3, FALSE)</f>
        <v/>
      </c>
      <c r="D97" t="n">
        <v>0.15</v>
      </c>
      <c r="E97">
        <f>*D97*2.746</f>
        <v/>
      </c>
      <c r="F97">
        <f>E97*</f>
        <v/>
      </c>
      <c r="G97">
        <f>(E97-F97)*</f>
        <v/>
      </c>
      <c r="I97">
        <f>G97/C97</f>
        <v/>
      </c>
      <c r="J97">
        <f>VLOOKUP(B97, WEO_Data!A:F, 2, FALSE)/100</f>
        <v/>
      </c>
      <c r="K97">
        <f>J97+I97</f>
        <v/>
      </c>
    </row>
    <row r="98">
      <c r="B98" t="n">
        <v>2027</v>
      </c>
      <c r="C98">
        <f>VLOOKUP(B98, WEO_Data!A:F, 3, FALSE)</f>
        <v/>
      </c>
      <c r="D98" t="n">
        <v>0.25</v>
      </c>
      <c r="E98">
        <f>*D98*2.746</f>
        <v/>
      </c>
      <c r="F98">
        <f>E98*</f>
        <v/>
      </c>
      <c r="G98">
        <f>(E98-F98)*</f>
        <v/>
      </c>
      <c r="I98">
        <f>G98/C98</f>
        <v/>
      </c>
      <c r="J98">
        <f>VLOOKUP(B98, WEO_Data!A:F, 2, FALSE)/100</f>
        <v/>
      </c>
      <c r="K98">
        <f>J98+I98</f>
        <v/>
      </c>
    </row>
    <row r="99">
      <c r="B99" t="n">
        <v>2028</v>
      </c>
      <c r="C99">
        <f>VLOOKUP(B99, WEO_Data!A:F, 3, FALSE)</f>
        <v/>
      </c>
      <c r="D99" t="n">
        <v>0.25</v>
      </c>
      <c r="E99">
        <f>*D99*2.746</f>
        <v/>
      </c>
      <c r="F99">
        <f>E99*</f>
        <v/>
      </c>
      <c r="G99">
        <f>(E99-F99)*</f>
        <v/>
      </c>
      <c r="I99">
        <f>G99/C99</f>
        <v/>
      </c>
      <c r="J99">
        <f>VLOOKUP(B99, WEO_Data!A:F, 2, FALSE)/100</f>
        <v/>
      </c>
      <c r="K99">
        <f>J99+I99</f>
        <v/>
      </c>
    </row>
    <row r="100">
      <c r="B100" t="n">
        <v>2029</v>
      </c>
      <c r="C100">
        <f>VLOOKUP(B100, WEO_Data!A:F, 3, FALSE)</f>
        <v/>
      </c>
      <c r="D100" t="n">
        <v>0.15</v>
      </c>
      <c r="E100">
        <f>*D100*2.746</f>
        <v/>
      </c>
      <c r="F100">
        <f>E100*</f>
        <v/>
      </c>
      <c r="G100">
        <f>(E100-F100)*</f>
        <v/>
      </c>
      <c r="I100">
        <f>G100/C100</f>
        <v/>
      </c>
      <c r="J100">
        <f>VLOOKUP(B100, WEO_Data!A:F, 2, FALSE)/100</f>
        <v/>
      </c>
      <c r="K100">
        <f>J100+I100</f>
        <v/>
      </c>
    </row>
    <row r="101">
      <c r="B101" t="n">
        <v>2030</v>
      </c>
      <c r="C101">
        <f>VLOOKUP(B101, WEO_Data!A:F, 3, FALSE)</f>
        <v/>
      </c>
      <c r="D101" t="n">
        <v>0.07000000000000001</v>
      </c>
      <c r="E101">
        <f>*D101*2.746</f>
        <v/>
      </c>
      <c r="F101">
        <f>E101*</f>
        <v/>
      </c>
      <c r="G101">
        <f>(E101-F101)*</f>
        <v/>
      </c>
      <c r="I101">
        <f>G101/C101</f>
        <v/>
      </c>
      <c r="J101">
        <f>VLOOKUP(B101, WEO_Data!A:F, 2, FALSE)/100</f>
        <v/>
      </c>
      <c r="K101">
        <f>J101+I101</f>
        <v/>
      </c>
    </row>
    <row r="102">
      <c r="B102" t="n">
        <v>2031</v>
      </c>
      <c r="C102">
        <f>VLOOKUP(B102, WEO_Data!A:F, 3, FALSE)</f>
        <v/>
      </c>
      <c r="D102" t="n">
        <v>0.03</v>
      </c>
      <c r="E102">
        <f>*D102*2.746</f>
        <v/>
      </c>
      <c r="F102">
        <f>E102*</f>
        <v/>
      </c>
      <c r="G102">
        <f>(E102-F102)*</f>
        <v/>
      </c>
      <c r="I102">
        <f>G102/C102</f>
        <v/>
      </c>
      <c r="J102">
        <f>VLOOKUP(B102, WEO_Data!A:F, 2, FALSE)/100</f>
        <v/>
      </c>
      <c r="K102">
        <f>J102+I102</f>
        <v/>
      </c>
    </row>
    <row r="103">
      <c r="B103" t="n">
        <v>2032</v>
      </c>
      <c r="C103">
        <f>VLOOKUP(B103, WEO_Data!A:F, 3, FALSE)</f>
        <v/>
      </c>
      <c r="D103" t="n">
        <v>0.1</v>
      </c>
      <c r="E103">
        <f>*D103*2.746</f>
        <v/>
      </c>
      <c r="F103">
        <f>E103*</f>
        <v/>
      </c>
      <c r="G103">
        <f>(E103-F103)*</f>
        <v/>
      </c>
      <c r="I103">
        <f>G103/C103</f>
        <v/>
      </c>
      <c r="J103">
        <f>VLOOKUP(B103, WEO_Data!A:F, 2, FALSE)/100</f>
        <v/>
      </c>
      <c r="K103">
        <f>J103+I103</f>
        <v/>
      </c>
    </row>
    <row r="104">
      <c r="B104" t="n">
        <v>2033</v>
      </c>
      <c r="C104">
        <f>VLOOKUP(B104, WEO_Data!A:F, 3, FALSE)</f>
        <v/>
      </c>
      <c r="D104" t="n">
        <v>0.05</v>
      </c>
      <c r="E104">
        <f>*D104*2.746</f>
        <v/>
      </c>
      <c r="F104">
        <f>E104*</f>
        <v/>
      </c>
      <c r="G104">
        <f>(E104-F104)*</f>
        <v/>
      </c>
      <c r="I104">
        <f>G104/C104</f>
        <v/>
      </c>
      <c r="J104">
        <f>VLOOKUP(B104, WEO_Data!A:F, 2, FALSE)/100</f>
        <v/>
      </c>
      <c r="K104">
        <f>J104+I104</f>
        <v/>
      </c>
    </row>
    <row r="105">
      <c r="B105" t="n">
        <v>2034</v>
      </c>
      <c r="C105">
        <f>VLOOKUP(B105, WEO_Data!A:F, 3, FALSE)</f>
        <v/>
      </c>
      <c r="E105" t="n">
        <v>0</v>
      </c>
      <c r="F105">
        <f>E105*</f>
        <v/>
      </c>
      <c r="G105">
        <f>(E105-F105)*</f>
        <v/>
      </c>
      <c r="I105">
        <f>G105/C105</f>
        <v/>
      </c>
      <c r="J105">
        <f>VLOOKUP(B105, WEO_Data!A:F, 2, FALSE)/100</f>
        <v/>
      </c>
      <c r="K105">
        <f>J105+I105</f>
        <v/>
      </c>
    </row>
    <row r="106">
      <c r="B106" t="n">
        <v>2035</v>
      </c>
      <c r="C106">
        <f>VLOOKUP(B106, WEO_Data!A:F, 3, FALSE)</f>
        <v/>
      </c>
      <c r="E106" t="n">
        <v>0</v>
      </c>
      <c r="F106">
        <f>E106*</f>
        <v/>
      </c>
      <c r="G106">
        <f>(E106-F106)*</f>
        <v/>
      </c>
      <c r="I106">
        <f>G106/C106</f>
        <v/>
      </c>
      <c r="J106">
        <f>VLOOKUP(B106, WEO_Data!A:F, 2, FALSE)/100</f>
        <v/>
      </c>
      <c r="K106">
        <f>J106+I106</f>
        <v/>
      </c>
    </row>
    <row r="107">
      <c r="B107" t="n">
        <v>2036</v>
      </c>
      <c r="C107">
        <f>VLOOKUP(B107, WEO_Data!A:F, 3, FALSE)</f>
        <v/>
      </c>
      <c r="E107" t="n">
        <v>0</v>
      </c>
      <c r="F107">
        <f>E107*</f>
        <v/>
      </c>
      <c r="G107">
        <f>(E107-F107)*</f>
        <v/>
      </c>
      <c r="I107">
        <f>G107/C107</f>
        <v/>
      </c>
      <c r="J107">
        <f>VLOOKUP(B107, WEO_Data!A:F, 2, FALSE)/100</f>
        <v/>
      </c>
      <c r="K107">
        <f>J107+I107</f>
        <v/>
      </c>
    </row>
    <row r="108">
      <c r="B108" t="n">
        <v>2037</v>
      </c>
      <c r="C108">
        <f>VLOOKUP(B108, WEO_Data!A:F, 3, FALSE)</f>
        <v/>
      </c>
      <c r="E108" t="n">
        <v>0</v>
      </c>
      <c r="F108">
        <f>E108*</f>
        <v/>
      </c>
      <c r="G108">
        <f>(E108-F108)*</f>
        <v/>
      </c>
      <c r="I108">
        <f>G108/C108</f>
        <v/>
      </c>
      <c r="J108">
        <f>VLOOKUP(B108, WEO_Data!A:F, 2, FALSE)/100</f>
        <v/>
      </c>
      <c r="K108">
        <f>J108+I108</f>
        <v/>
      </c>
    </row>
    <row r="109">
      <c r="B109" t="n">
        <v>2038</v>
      </c>
      <c r="C109">
        <f>VLOOKUP(B109, WEO_Data!A:F, 3, FALSE)</f>
        <v/>
      </c>
      <c r="E109" t="n">
        <v>0</v>
      </c>
      <c r="F109">
        <f>E109*</f>
        <v/>
      </c>
      <c r="G109">
        <f>(E109-F109)*</f>
        <v/>
      </c>
      <c r="I109">
        <f>G109/C109</f>
        <v/>
      </c>
      <c r="J109">
        <f>VLOOKUP(B109, WEO_Data!A:F, 2, FALSE)/100</f>
        <v/>
      </c>
      <c r="K109">
        <f>J109+I109</f>
        <v/>
      </c>
    </row>
    <row r="110">
      <c r="B110" t="n">
        <v>2039</v>
      </c>
      <c r="C110">
        <f>VLOOKUP(B110, WEO_Data!A:F, 3, FALSE)</f>
        <v/>
      </c>
      <c r="E110" t="n">
        <v>0</v>
      </c>
      <c r="F110">
        <f>E110*</f>
        <v/>
      </c>
      <c r="G110">
        <f>(E110-F110)*</f>
        <v/>
      </c>
      <c r="I110">
        <f>G110/C110</f>
        <v/>
      </c>
      <c r="J110">
        <f>VLOOKUP(B110, WEO_Data!A:F, 2, FALSE)/100</f>
        <v/>
      </c>
      <c r="K110">
        <f>J110+I110</f>
        <v/>
      </c>
    </row>
    <row r="111">
      <c r="B111" t="n">
        <v>2040</v>
      </c>
      <c r="C111">
        <f>VLOOKUP(B111, WEO_Data!A:F, 3, FALSE)</f>
        <v/>
      </c>
      <c r="E111" t="n">
        <v>0</v>
      </c>
      <c r="F111">
        <f>E111*</f>
        <v/>
      </c>
      <c r="G111">
        <f>(E111-F111)*</f>
        <v/>
      </c>
      <c r="I111">
        <f>G111/C111</f>
        <v/>
      </c>
      <c r="J111">
        <f>VLOOKUP(B111, WEO_Data!A:F, 2, FALSE)/100</f>
        <v/>
      </c>
      <c r="K111">
        <f>J111+I111</f>
        <v/>
      </c>
    </row>
    <row r="112">
      <c r="B112" t="n">
        <v>2041</v>
      </c>
      <c r="C112">
        <f>VLOOKUP(B112, WEO_Data!A:F, 3, FALSE)</f>
        <v/>
      </c>
      <c r="E112" t="n">
        <v>0</v>
      </c>
      <c r="F112">
        <f>E112*</f>
        <v/>
      </c>
      <c r="G112">
        <f>(E112-F112)*</f>
        <v/>
      </c>
      <c r="I112">
        <f>G112/C112</f>
        <v/>
      </c>
      <c r="J112">
        <f>VLOOKUP(B112, WEO_Data!A:F, 2, FALSE)/100</f>
        <v/>
      </c>
      <c r="K112">
        <f>J112+I112</f>
        <v/>
      </c>
    </row>
    <row r="113">
      <c r="B113" t="n">
        <v>2042</v>
      </c>
      <c r="C113">
        <f>VLOOKUP(B113, WEO_Data!A:F, 3, FALSE)</f>
        <v/>
      </c>
      <c r="E113" t="n">
        <v>0</v>
      </c>
      <c r="F113">
        <f>E113*</f>
        <v/>
      </c>
      <c r="G113">
        <f>(E113-F113)*</f>
        <v/>
      </c>
      <c r="I113">
        <f>G113/C113</f>
        <v/>
      </c>
      <c r="J113">
        <f>VLOOKUP(B113, WEO_Data!A:F, 2, FALSE)/100</f>
        <v/>
      </c>
      <c r="K113">
        <f>J113+I113</f>
        <v/>
      </c>
    </row>
    <row r="116">
      <c r="C116" t="inlineStr">
        <is>
          <t>Assumptions</t>
        </is>
      </c>
    </row>
    <row r="118">
      <c r="C118" t="inlineStr">
        <is>
          <t>total investment</t>
        </is>
      </c>
      <c r="D118" t="n">
        <v>6500</v>
      </c>
    </row>
    <row r="119">
      <c r="C119" t="inlineStr">
        <is>
          <t>import content share</t>
        </is>
      </c>
      <c r="D119" t="n">
        <v>0.5</v>
      </c>
    </row>
    <row r="120">
      <c r="C120" t="inlineStr">
        <is>
          <t>demand multiplier</t>
        </is>
      </c>
      <c r="D120" t="n">
        <v>0.8</v>
      </c>
    </row>
    <row r="121">
      <c r="C121" t="inlineStr">
        <is>
          <t>Project allocation</t>
        </is>
      </c>
      <c r="D121" t="inlineStr">
        <is>
          <t>Bell Shape</t>
        </is>
      </c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Real GDP</t>
        </is>
      </c>
      <c r="D1" t="inlineStr">
        <is>
          <t>Nominal GDP</t>
        </is>
      </c>
      <c r="E1" t="inlineStr">
        <is>
          <t>GDP Deflator growth (%)</t>
        </is>
      </c>
      <c r="F1" t="inlineStr">
        <is>
          <t>GDP Deflator Index</t>
        </is>
      </c>
    </row>
    <row r="2">
      <c r="A2" t="n">
        <v>2020</v>
      </c>
      <c r="B2" t="n">
        <v>-6.8</v>
      </c>
      <c r="C2" t="n">
        <v>49266.7</v>
      </c>
      <c r="D2" t="n">
        <v>49266.7</v>
      </c>
      <c r="E2" t="n">
        <v>7.2</v>
      </c>
      <c r="F2" t="n">
        <v>100</v>
      </c>
    </row>
    <row r="3">
      <c r="A3" t="n">
        <v>2021</v>
      </c>
      <c r="B3" t="n">
        <v>10.5</v>
      </c>
      <c r="C3">
        <f>C2*(1+B3/100)</f>
        <v/>
      </c>
      <c r="D3">
        <f>C3*F3/100</f>
        <v/>
      </c>
      <c r="E3" t="n">
        <v>10.3</v>
      </c>
      <c r="F3">
        <f>F2*(1+E3/100)</f>
        <v/>
      </c>
    </row>
    <row r="4">
      <c r="A4" t="n">
        <v>2022</v>
      </c>
      <c r="B4" t="n">
        <v>10.4</v>
      </c>
      <c r="C4">
        <f>C3*(1+B4/100)</f>
        <v/>
      </c>
      <c r="D4">
        <f>C4*F4/100</f>
        <v/>
      </c>
      <c r="E4" t="n">
        <v>9.300000000000001</v>
      </c>
      <c r="F4">
        <f>F3*(1+E4/100)</f>
        <v/>
      </c>
    </row>
    <row r="5">
      <c r="A5" t="n">
        <v>2023</v>
      </c>
      <c r="B5" t="n">
        <v>7.8</v>
      </c>
      <c r="C5">
        <f>C4*(1+B5/100)</f>
        <v/>
      </c>
      <c r="D5">
        <f>C5*F5/100</f>
        <v/>
      </c>
      <c r="E5" t="n">
        <v>3.1</v>
      </c>
      <c r="F5">
        <f>F4*(1+E5/100)</f>
        <v/>
      </c>
    </row>
    <row r="6">
      <c r="A6" t="n">
        <v>2024</v>
      </c>
      <c r="B6" t="n">
        <v>7.6</v>
      </c>
      <c r="C6">
        <f>C5*(1+B6/100)</f>
        <v/>
      </c>
      <c r="D6">
        <f>C6*F6/100</f>
        <v/>
      </c>
      <c r="E6" t="n">
        <v>4.86</v>
      </c>
      <c r="F6">
        <f>F5*(1+E6/100)</f>
        <v/>
      </c>
    </row>
    <row r="7">
      <c r="A7" t="n">
        <v>2025</v>
      </c>
      <c r="B7" t="n">
        <v>6</v>
      </c>
      <c r="C7">
        <f>C6*(1+B7/100)</f>
        <v/>
      </c>
      <c r="D7">
        <f>C7*F7/100</f>
        <v/>
      </c>
      <c r="E7">
        <f>AVERAGE(E3:E6)</f>
        <v/>
      </c>
      <c r="F7">
        <f>F6*(1+E7/100)</f>
        <v/>
      </c>
    </row>
    <row r="8">
      <c r="A8" t="n">
        <v>2026</v>
      </c>
      <c r="B8" t="n">
        <v>5</v>
      </c>
      <c r="C8">
        <f>C7*(1+B8/100)</f>
        <v/>
      </c>
      <c r="D8">
        <f>C8*F8/100</f>
        <v/>
      </c>
      <c r="E8">
        <f>AVERAGE(E3:E6)</f>
        <v/>
      </c>
      <c r="F8">
        <f>F7*(1+E8/100)</f>
        <v/>
      </c>
    </row>
    <row r="9">
      <c r="A9" t="n">
        <v>2027</v>
      </c>
      <c r="B9" t="n">
        <v>5</v>
      </c>
      <c r="C9">
        <f>C8*(1+B9/100)</f>
        <v/>
      </c>
      <c r="D9">
        <f>C9*F9/100</f>
        <v/>
      </c>
      <c r="E9">
        <f>AVERAGE(E3:E6)</f>
        <v/>
      </c>
      <c r="F9">
        <f>F8*(1+E9/100)</f>
        <v/>
      </c>
    </row>
    <row r="10">
      <c r="A10" t="n">
        <v>2028</v>
      </c>
      <c r="B10" t="n">
        <v>5</v>
      </c>
      <c r="C10">
        <f>C9*(1+B10/100)</f>
        <v/>
      </c>
      <c r="D10">
        <f>C10*F10/100</f>
        <v/>
      </c>
      <c r="E10">
        <f>AVERAGE(E3:E6)</f>
        <v/>
      </c>
      <c r="F10">
        <f>F9*(1+E10/100)</f>
        <v/>
      </c>
    </row>
    <row r="11">
      <c r="A11" t="n">
        <v>2029</v>
      </c>
      <c r="B11" t="n">
        <v>5</v>
      </c>
      <c r="C11">
        <f>C10*(1+B11/100)</f>
        <v/>
      </c>
      <c r="D11">
        <f>C11*F11/100</f>
        <v/>
      </c>
      <c r="E11">
        <f>AVERAGE(E3:E6)</f>
        <v/>
      </c>
      <c r="F11">
        <f>F10*(1+E11/100)</f>
        <v/>
      </c>
    </row>
    <row r="12">
      <c r="A12" t="n">
        <v>2030</v>
      </c>
      <c r="B12" t="n">
        <v>5</v>
      </c>
      <c r="C12">
        <f>C11*(1+B12/100)</f>
        <v/>
      </c>
      <c r="D12">
        <f>C12*F12/100</f>
        <v/>
      </c>
      <c r="E12">
        <f>AVERAGE(E3:E6)</f>
        <v/>
      </c>
      <c r="F12">
        <f>F11*(1+E12/100)</f>
        <v/>
      </c>
    </row>
    <row r="13">
      <c r="A13" t="n">
        <v>2031</v>
      </c>
      <c r="B13" t="n">
        <v>5</v>
      </c>
      <c r="C13">
        <f>C12*(1+B13/100)</f>
        <v/>
      </c>
      <c r="D13">
        <f>C13*F13/100</f>
        <v/>
      </c>
      <c r="E13">
        <f>AVERAGE(E3:E6)</f>
        <v/>
      </c>
      <c r="F13">
        <f>F12*(1+E13/100)</f>
        <v/>
      </c>
    </row>
    <row r="14">
      <c r="A14" t="n">
        <v>2032</v>
      </c>
      <c r="B14" t="n">
        <v>5</v>
      </c>
      <c r="C14">
        <f>C13*(1+B14/100)</f>
        <v/>
      </c>
      <c r="D14">
        <f>C14*F14/100</f>
        <v/>
      </c>
      <c r="E14">
        <f>AVERAGE(E3:E6)</f>
        <v/>
      </c>
      <c r="F14">
        <f>F13*(1+E14/100)</f>
        <v/>
      </c>
    </row>
    <row r="15">
      <c r="A15" t="n">
        <v>2033</v>
      </c>
      <c r="B15" t="n">
        <v>5</v>
      </c>
      <c r="C15">
        <f>C14*(1+B15/100)</f>
        <v/>
      </c>
      <c r="D15">
        <f>C15*F15/100</f>
        <v/>
      </c>
      <c r="E15">
        <f>AVERAGE(E3:E6)</f>
        <v/>
      </c>
      <c r="F15">
        <f>F14*(1+E15/100)</f>
        <v/>
      </c>
    </row>
    <row r="16">
      <c r="A16" t="n">
        <v>2034</v>
      </c>
      <c r="B16" t="n">
        <v>5</v>
      </c>
      <c r="C16">
        <f>C15*(1+B16/100)</f>
        <v/>
      </c>
      <c r="D16">
        <f>C16*F16/100</f>
        <v/>
      </c>
      <c r="E16">
        <f>AVERAGE(E3:E6)</f>
        <v/>
      </c>
      <c r="F16">
        <f>F15*(1+E16/100)</f>
        <v/>
      </c>
    </row>
    <row r="17">
      <c r="A17" t="n">
        <v>2035</v>
      </c>
      <c r="B17" t="n">
        <v>5</v>
      </c>
      <c r="C17">
        <f>C16*(1+B17/100)</f>
        <v/>
      </c>
      <c r="D17">
        <f>C17*F17/100</f>
        <v/>
      </c>
      <c r="E17">
        <f>AVERAGE(E3:E6)</f>
        <v/>
      </c>
      <c r="F17">
        <f>F16*(1+E17/100)</f>
        <v/>
      </c>
    </row>
    <row r="18">
      <c r="A18" t="n">
        <v>2036</v>
      </c>
      <c r="B18" t="n">
        <v>5</v>
      </c>
      <c r="C18">
        <f>C17*(1+B18/100)</f>
        <v/>
      </c>
      <c r="D18">
        <f>C18*F18/100</f>
        <v/>
      </c>
      <c r="E18">
        <f>AVERAGE(E3:E6)</f>
        <v/>
      </c>
      <c r="F18">
        <f>F17*(1+E18/100)</f>
        <v/>
      </c>
    </row>
    <row r="19">
      <c r="A19" t="n">
        <v>2037</v>
      </c>
      <c r="B19" t="n">
        <v>5</v>
      </c>
      <c r="C19">
        <f>C18*(1+B19/100)</f>
        <v/>
      </c>
      <c r="D19">
        <f>C19*F19/100</f>
        <v/>
      </c>
      <c r="E19">
        <f>AVERAGE(E3:E6)</f>
        <v/>
      </c>
      <c r="F19">
        <f>F18*(1+E19/100)</f>
        <v/>
      </c>
    </row>
    <row r="20">
      <c r="A20" t="n">
        <v>2038</v>
      </c>
      <c r="B20" t="n">
        <v>5</v>
      </c>
      <c r="C20">
        <f>C19*(1+B20/100)</f>
        <v/>
      </c>
      <c r="D20">
        <f>C20*F20/100</f>
        <v/>
      </c>
      <c r="E20">
        <f>AVERAGE(E3:E6)</f>
        <v/>
      </c>
      <c r="F20">
        <f>F19*(1+E20/100)</f>
        <v/>
      </c>
    </row>
    <row r="21">
      <c r="A21" t="n">
        <v>2039</v>
      </c>
      <c r="B21" t="n">
        <v>5</v>
      </c>
      <c r="C21">
        <f>C20*(1+B21/100)</f>
        <v/>
      </c>
      <c r="D21">
        <f>C21*F21/100</f>
        <v/>
      </c>
      <c r="E21">
        <f>AVERAGE(E3:E6)</f>
        <v/>
      </c>
      <c r="F21">
        <f>F20*(1+E21/100)</f>
        <v/>
      </c>
    </row>
    <row r="22">
      <c r="A22" t="n">
        <v>2040</v>
      </c>
      <c r="B22" t="n">
        <v>5</v>
      </c>
      <c r="C22">
        <f>C21*(1+B22/100)</f>
        <v/>
      </c>
      <c r="D22">
        <f>C22*F22/100</f>
        <v/>
      </c>
      <c r="E22">
        <f>AVERAGE(E3:E6)</f>
        <v/>
      </c>
      <c r="F22">
        <f>F21*(1+E22/100)</f>
        <v/>
      </c>
    </row>
    <row r="23">
      <c r="A23" t="n">
        <v>2041</v>
      </c>
      <c r="B23" t="n">
        <v>5</v>
      </c>
      <c r="C23">
        <f>C22*(1+B23/100)</f>
        <v/>
      </c>
      <c r="D23">
        <f>C23*F23/100</f>
        <v/>
      </c>
      <c r="E23">
        <f>AVERAGE(E3:E6)</f>
        <v/>
      </c>
      <c r="F23">
        <f>F22*(1+E23/100)</f>
        <v/>
      </c>
    </row>
    <row r="24">
      <c r="A24" t="n">
        <v>2042</v>
      </c>
      <c r="B24" t="n">
        <v>5</v>
      </c>
      <c r="C24">
        <f>C23*(1+B24/100)</f>
        <v/>
      </c>
      <c r="D24">
        <f>C24*F24/100</f>
        <v/>
      </c>
      <c r="E24">
        <f>AVERAGE(E3:E6)</f>
        <v/>
      </c>
      <c r="F24">
        <f>F23*(1+E24/100)</f>
        <v/>
      </c>
    </row>
    <row r="25">
      <c r="A25" t="n">
        <v>2043</v>
      </c>
      <c r="B25" t="n">
        <v>5</v>
      </c>
      <c r="C25">
        <f>C24*(1+B25/100)</f>
        <v/>
      </c>
      <c r="D25">
        <f>C25*F25/100</f>
        <v/>
      </c>
      <c r="E25">
        <f>AVERAGE(E3:E6)</f>
        <v/>
      </c>
      <c r="F25">
        <f>F24*(1+E25/100)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H46"/>
  <sheetViews>
    <sheetView workbookViewId="0">
      <selection activeCell="A1" sqref="A1"/>
    </sheetView>
  </sheetViews>
  <sheetFormatPr baseColWidth="8" defaultRowHeight="15"/>
  <sheetData>
    <row r="5">
      <c r="B5" t="inlineStr">
        <is>
          <t>Product 1</t>
        </is>
      </c>
      <c r="C5">
        <f>USE!AP5</f>
        <v/>
      </c>
      <c r="D5">
        <f>USE!AQ5</f>
        <v/>
      </c>
      <c r="E5">
        <f>USE!AR5</f>
        <v/>
      </c>
      <c r="F5">
        <f>USE!AS5</f>
        <v/>
      </c>
      <c r="G5">
        <f>SUPPLY!AP5</f>
        <v/>
      </c>
      <c r="H5">
        <f>SUPPLY!AQ5</f>
        <v/>
      </c>
    </row>
    <row r="6">
      <c r="B6" t="inlineStr">
        <is>
          <t>Product 2</t>
        </is>
      </c>
      <c r="C6">
        <f>USE!AP6</f>
        <v/>
      </c>
      <c r="D6">
        <f>USE!AQ6</f>
        <v/>
      </c>
      <c r="E6">
        <f>USE!AR6</f>
        <v/>
      </c>
      <c r="F6">
        <f>USE!AS6</f>
        <v/>
      </c>
      <c r="G6">
        <f>SUPPLY!AP6</f>
        <v/>
      </c>
      <c r="H6">
        <f>SUPPLY!AQ6</f>
        <v/>
      </c>
    </row>
    <row r="7">
      <c r="B7" t="inlineStr">
        <is>
          <t>Product 3</t>
        </is>
      </c>
      <c r="C7">
        <f>USE!AP7</f>
        <v/>
      </c>
      <c r="D7">
        <f>USE!AQ7</f>
        <v/>
      </c>
      <c r="E7">
        <f>USE!AR7</f>
        <v/>
      </c>
      <c r="F7">
        <f>USE!AS7</f>
        <v/>
      </c>
      <c r="G7">
        <f>SUPPLY!AP7</f>
        <v/>
      </c>
      <c r="H7">
        <f>SUPPLY!AQ7</f>
        <v/>
      </c>
    </row>
    <row r="8">
      <c r="B8" t="inlineStr">
        <is>
          <t>Product 4</t>
        </is>
      </c>
      <c r="C8">
        <f>USE!AP8</f>
        <v/>
      </c>
      <c r="D8">
        <f>USE!AQ8</f>
        <v/>
      </c>
      <c r="E8">
        <f>USE!AR8</f>
        <v/>
      </c>
      <c r="F8">
        <f>USE!AS8</f>
        <v/>
      </c>
      <c r="G8">
        <f>SUPPLY!AP8</f>
        <v/>
      </c>
      <c r="H8">
        <f>SUPPLY!AQ8</f>
        <v/>
      </c>
    </row>
    <row r="9">
      <c r="B9" t="inlineStr">
        <is>
          <t>Product 5</t>
        </is>
      </c>
      <c r="C9">
        <f>USE!AP9</f>
        <v/>
      </c>
      <c r="D9">
        <f>USE!AQ9</f>
        <v/>
      </c>
      <c r="E9">
        <f>USE!AR9</f>
        <v/>
      </c>
      <c r="F9">
        <f>USE!AS9</f>
        <v/>
      </c>
      <c r="G9">
        <f>SUPPLY!AP9</f>
        <v/>
      </c>
      <c r="H9">
        <f>SUPPLY!AQ9</f>
        <v/>
      </c>
    </row>
    <row r="10">
      <c r="B10" t="inlineStr">
        <is>
          <t>Product 6</t>
        </is>
      </c>
      <c r="C10">
        <f>USE!AP10</f>
        <v/>
      </c>
      <c r="D10">
        <f>USE!AQ10</f>
        <v/>
      </c>
      <c r="E10">
        <f>USE!AR10</f>
        <v/>
      </c>
      <c r="F10">
        <f>USE!AS10</f>
        <v/>
      </c>
      <c r="G10">
        <f>SUPPLY!AP10</f>
        <v/>
      </c>
      <c r="H10">
        <f>SUPPLY!AQ10</f>
        <v/>
      </c>
    </row>
    <row r="11">
      <c r="B11" t="inlineStr">
        <is>
          <t>Product 7</t>
        </is>
      </c>
      <c r="C11">
        <f>USE!AP11</f>
        <v/>
      </c>
      <c r="D11">
        <f>USE!AQ11</f>
        <v/>
      </c>
      <c r="E11">
        <f>USE!AR11</f>
        <v/>
      </c>
      <c r="F11">
        <f>USE!AS11</f>
        <v/>
      </c>
      <c r="G11">
        <f>SUPPLY!AP11</f>
        <v/>
      </c>
      <c r="H11">
        <f>SUPPLY!AQ11</f>
        <v/>
      </c>
    </row>
    <row r="12">
      <c r="B12" t="inlineStr">
        <is>
          <t>Product 8</t>
        </is>
      </c>
      <c r="C12">
        <f>USE!AP12</f>
        <v/>
      </c>
      <c r="D12">
        <f>USE!AQ12</f>
        <v/>
      </c>
      <c r="E12">
        <f>USE!AR12</f>
        <v/>
      </c>
      <c r="F12">
        <f>USE!AS12</f>
        <v/>
      </c>
      <c r="G12">
        <f>SUPPLY!AP12</f>
        <v/>
      </c>
      <c r="H12">
        <f>SUPPLY!AQ12</f>
        <v/>
      </c>
    </row>
    <row r="13">
      <c r="B13" t="inlineStr">
        <is>
          <t>Product 9</t>
        </is>
      </c>
      <c r="C13">
        <f>USE!AP13</f>
        <v/>
      </c>
      <c r="D13">
        <f>USE!AQ13</f>
        <v/>
      </c>
      <c r="E13">
        <f>USE!AR13</f>
        <v/>
      </c>
      <c r="F13">
        <f>USE!AS13</f>
        <v/>
      </c>
      <c r="G13">
        <f>SUPPLY!AP13</f>
        <v/>
      </c>
      <c r="H13">
        <f>SUPPLY!AQ13</f>
        <v/>
      </c>
    </row>
    <row r="14">
      <c r="B14" t="inlineStr">
        <is>
          <t>Product 10</t>
        </is>
      </c>
      <c r="C14">
        <f>USE!AP14</f>
        <v/>
      </c>
      <c r="D14">
        <f>USE!AQ14</f>
        <v/>
      </c>
      <c r="E14">
        <f>USE!AR14</f>
        <v/>
      </c>
      <c r="F14">
        <f>USE!AS14</f>
        <v/>
      </c>
      <c r="G14">
        <f>SUPPLY!AP14</f>
        <v/>
      </c>
      <c r="H14">
        <f>SUPPLY!AQ14</f>
        <v/>
      </c>
    </row>
    <row r="15">
      <c r="B15" t="inlineStr">
        <is>
          <t>Product 11</t>
        </is>
      </c>
      <c r="C15">
        <f>USE!AP15</f>
        <v/>
      </c>
      <c r="D15">
        <f>USE!AQ15</f>
        <v/>
      </c>
      <c r="E15">
        <f>USE!AR15</f>
        <v/>
      </c>
      <c r="F15">
        <f>USE!AS15</f>
        <v/>
      </c>
      <c r="G15">
        <f>SUPPLY!AP15</f>
        <v/>
      </c>
      <c r="H15">
        <f>SUPPLY!AQ15</f>
        <v/>
      </c>
    </row>
    <row r="16">
      <c r="B16" t="inlineStr">
        <is>
          <t>Product 12</t>
        </is>
      </c>
      <c r="C16">
        <f>USE!AP16</f>
        <v/>
      </c>
      <c r="D16">
        <f>USE!AQ16</f>
        <v/>
      </c>
      <c r="E16">
        <f>USE!AR16</f>
        <v/>
      </c>
      <c r="F16">
        <f>USE!AS16</f>
        <v/>
      </c>
      <c r="G16">
        <f>SUPPLY!AP16</f>
        <v/>
      </c>
      <c r="H16">
        <f>SUPPLY!AQ16</f>
        <v/>
      </c>
    </row>
    <row r="17">
      <c r="B17" t="inlineStr">
        <is>
          <t>Product 13</t>
        </is>
      </c>
      <c r="C17">
        <f>USE!AP17</f>
        <v/>
      </c>
      <c r="D17">
        <f>USE!AQ17</f>
        <v/>
      </c>
      <c r="E17">
        <f>USE!AR17</f>
        <v/>
      </c>
      <c r="F17">
        <f>USE!AS17</f>
        <v/>
      </c>
      <c r="G17">
        <f>SUPPLY!AP17</f>
        <v/>
      </c>
      <c r="H17">
        <f>SUPPLY!AQ17</f>
        <v/>
      </c>
    </row>
    <row r="18">
      <c r="B18" t="inlineStr">
        <is>
          <t>Product 14</t>
        </is>
      </c>
      <c r="C18">
        <f>USE!AP18</f>
        <v/>
      </c>
      <c r="D18">
        <f>USE!AQ18</f>
        <v/>
      </c>
      <c r="E18">
        <f>USE!AR18</f>
        <v/>
      </c>
      <c r="F18">
        <f>USE!AS18</f>
        <v/>
      </c>
      <c r="G18">
        <f>SUPPLY!AP18</f>
        <v/>
      </c>
      <c r="H18">
        <f>SUPPLY!AQ18</f>
        <v/>
      </c>
    </row>
    <row r="19">
      <c r="B19" t="inlineStr">
        <is>
          <t>Product 15</t>
        </is>
      </c>
      <c r="C19">
        <f>USE!AP19</f>
        <v/>
      </c>
      <c r="D19">
        <f>USE!AQ19</f>
        <v/>
      </c>
      <c r="E19">
        <f>USE!AR19</f>
        <v/>
      </c>
      <c r="F19">
        <f>USE!AS19</f>
        <v/>
      </c>
      <c r="G19">
        <f>SUPPLY!AP19</f>
        <v/>
      </c>
      <c r="H19">
        <f>SUPPLY!AQ19</f>
        <v/>
      </c>
    </row>
    <row r="20">
      <c r="B20" t="inlineStr">
        <is>
          <t>Product 16</t>
        </is>
      </c>
      <c r="C20">
        <f>USE!AP20</f>
        <v/>
      </c>
      <c r="D20">
        <f>USE!AQ20</f>
        <v/>
      </c>
      <c r="E20">
        <f>USE!AR20</f>
        <v/>
      </c>
      <c r="F20">
        <f>USE!AS20</f>
        <v/>
      </c>
      <c r="G20">
        <f>SUPPLY!AP20</f>
        <v/>
      </c>
      <c r="H20">
        <f>SUPPLY!AQ20</f>
        <v/>
      </c>
    </row>
    <row r="21">
      <c r="B21" t="inlineStr">
        <is>
          <t>Product 17</t>
        </is>
      </c>
      <c r="C21">
        <f>USE!AP21</f>
        <v/>
      </c>
      <c r="D21">
        <f>USE!AQ21</f>
        <v/>
      </c>
      <c r="E21">
        <f>USE!AR21</f>
        <v/>
      </c>
      <c r="F21">
        <f>USE!AS21</f>
        <v/>
      </c>
      <c r="G21">
        <f>SUPPLY!AP21</f>
        <v/>
      </c>
      <c r="H21">
        <f>SUPPLY!AQ21</f>
        <v/>
      </c>
    </row>
    <row r="22">
      <c r="B22" t="inlineStr">
        <is>
          <t>Product 18</t>
        </is>
      </c>
      <c r="C22">
        <f>USE!AP22</f>
        <v/>
      </c>
      <c r="D22">
        <f>USE!AQ22</f>
        <v/>
      </c>
      <c r="E22">
        <f>USE!AR22</f>
        <v/>
      </c>
      <c r="F22">
        <f>USE!AS22</f>
        <v/>
      </c>
      <c r="G22">
        <f>SUPPLY!AP22</f>
        <v/>
      </c>
      <c r="H22">
        <f>SUPPLY!AQ22</f>
        <v/>
      </c>
    </row>
    <row r="23">
      <c r="B23" t="inlineStr">
        <is>
          <t>Product 19</t>
        </is>
      </c>
      <c r="C23">
        <f>USE!AP23</f>
        <v/>
      </c>
      <c r="D23">
        <f>USE!AQ23</f>
        <v/>
      </c>
      <c r="E23">
        <f>USE!AR23</f>
        <v/>
      </c>
      <c r="F23">
        <f>USE!AS23</f>
        <v/>
      </c>
      <c r="G23">
        <f>SUPPLY!AP23</f>
        <v/>
      </c>
      <c r="H23">
        <f>SUPPLY!AQ23</f>
        <v/>
      </c>
    </row>
    <row r="24">
      <c r="B24" t="inlineStr">
        <is>
          <t>Product 20</t>
        </is>
      </c>
      <c r="C24">
        <f>USE!AP24</f>
        <v/>
      </c>
      <c r="D24">
        <f>USE!AQ24</f>
        <v/>
      </c>
      <c r="E24">
        <f>USE!AR24</f>
        <v/>
      </c>
      <c r="F24">
        <f>USE!AS24</f>
        <v/>
      </c>
      <c r="G24">
        <f>SUPPLY!AP24</f>
        <v/>
      </c>
      <c r="H24">
        <f>SUPPLY!AQ24</f>
        <v/>
      </c>
    </row>
    <row r="25">
      <c r="B25" t="inlineStr">
        <is>
          <t>Product 21</t>
        </is>
      </c>
      <c r="C25">
        <f>USE!AP25</f>
        <v/>
      </c>
      <c r="D25">
        <f>USE!AQ25</f>
        <v/>
      </c>
      <c r="E25">
        <f>USE!AR25</f>
        <v/>
      </c>
      <c r="F25">
        <f>USE!AS25</f>
        <v/>
      </c>
      <c r="G25">
        <f>SUPPLY!AP25</f>
        <v/>
      </c>
      <c r="H25">
        <f>SUPPLY!AQ25</f>
        <v/>
      </c>
    </row>
    <row r="26">
      <c r="B26" t="inlineStr">
        <is>
          <t>Product 22</t>
        </is>
      </c>
      <c r="C26">
        <f>USE!AP26</f>
        <v/>
      </c>
      <c r="D26">
        <f>USE!AQ26</f>
        <v/>
      </c>
      <c r="E26">
        <f>USE!AR26</f>
        <v/>
      </c>
      <c r="F26">
        <f>USE!AS26</f>
        <v/>
      </c>
      <c r="G26">
        <f>SUPPLY!AP26</f>
        <v/>
      </c>
      <c r="H26">
        <f>SUPPLY!AQ26</f>
        <v/>
      </c>
    </row>
    <row r="27">
      <c r="B27" t="inlineStr">
        <is>
          <t>Product 23</t>
        </is>
      </c>
      <c r="C27">
        <f>USE!AP27</f>
        <v/>
      </c>
      <c r="D27">
        <f>USE!AQ27</f>
        <v/>
      </c>
      <c r="E27">
        <f>USE!AR27</f>
        <v/>
      </c>
      <c r="F27">
        <f>USE!AS27</f>
        <v/>
      </c>
      <c r="G27">
        <f>SUPPLY!AP27</f>
        <v/>
      </c>
      <c r="H27">
        <f>SUPPLY!AQ27</f>
        <v/>
      </c>
    </row>
    <row r="28">
      <c r="B28" t="inlineStr">
        <is>
          <t>Product 24</t>
        </is>
      </c>
      <c r="C28">
        <f>USE!AP28</f>
        <v/>
      </c>
      <c r="D28">
        <f>USE!AQ28</f>
        <v/>
      </c>
      <c r="E28">
        <f>USE!AR28</f>
        <v/>
      </c>
      <c r="F28">
        <f>USE!AS28</f>
        <v/>
      </c>
      <c r="G28">
        <f>SUPPLY!AP28</f>
        <v/>
      </c>
      <c r="H28">
        <f>SUPPLY!AQ28</f>
        <v/>
      </c>
    </row>
    <row r="29">
      <c r="B29" t="inlineStr">
        <is>
          <t>Product 25</t>
        </is>
      </c>
      <c r="C29">
        <f>USE!AP29</f>
        <v/>
      </c>
      <c r="D29">
        <f>USE!AQ29</f>
        <v/>
      </c>
      <c r="E29">
        <f>USE!AR29</f>
        <v/>
      </c>
      <c r="F29">
        <f>USE!AS29</f>
        <v/>
      </c>
      <c r="G29">
        <f>SUPPLY!AP29</f>
        <v/>
      </c>
      <c r="H29">
        <f>SUPPLY!AQ29</f>
        <v/>
      </c>
    </row>
    <row r="30">
      <c r="B30" t="inlineStr">
        <is>
          <t>Product 26</t>
        </is>
      </c>
      <c r="C30">
        <f>USE!AP30</f>
        <v/>
      </c>
      <c r="D30">
        <f>USE!AQ30</f>
        <v/>
      </c>
      <c r="E30">
        <f>USE!AR30</f>
        <v/>
      </c>
      <c r="F30">
        <f>USE!AS30</f>
        <v/>
      </c>
      <c r="G30">
        <f>SUPPLY!AP30</f>
        <v/>
      </c>
      <c r="H30">
        <f>SUPPLY!AQ30</f>
        <v/>
      </c>
    </row>
    <row r="31">
      <c r="B31" t="inlineStr">
        <is>
          <t>Product 27</t>
        </is>
      </c>
      <c r="C31">
        <f>USE!AP31</f>
        <v/>
      </c>
      <c r="D31">
        <f>USE!AQ31</f>
        <v/>
      </c>
      <c r="E31">
        <f>USE!AR31</f>
        <v/>
      </c>
      <c r="F31">
        <f>USE!AS31</f>
        <v/>
      </c>
      <c r="G31">
        <f>SUPPLY!AP31</f>
        <v/>
      </c>
      <c r="H31">
        <f>SUPPLY!AQ31</f>
        <v/>
      </c>
    </row>
    <row r="32">
      <c r="B32" t="inlineStr">
        <is>
          <t>Product 28</t>
        </is>
      </c>
      <c r="C32">
        <f>USE!AP32</f>
        <v/>
      </c>
      <c r="D32">
        <f>USE!AQ32</f>
        <v/>
      </c>
      <c r="E32">
        <f>USE!AR32</f>
        <v/>
      </c>
      <c r="F32">
        <f>USE!AS32</f>
        <v/>
      </c>
      <c r="G32">
        <f>SUPPLY!AP32</f>
        <v/>
      </c>
      <c r="H32">
        <f>SUPPLY!AQ32</f>
        <v/>
      </c>
    </row>
    <row r="33">
      <c r="B33" t="inlineStr">
        <is>
          <t>Product 29</t>
        </is>
      </c>
      <c r="C33">
        <f>USE!AP33</f>
        <v/>
      </c>
      <c r="D33">
        <f>USE!AQ33</f>
        <v/>
      </c>
      <c r="E33">
        <f>USE!AR33</f>
        <v/>
      </c>
      <c r="F33">
        <f>USE!AS33</f>
        <v/>
      </c>
      <c r="G33">
        <f>SUPPLY!AP33</f>
        <v/>
      </c>
      <c r="H33">
        <f>SUPPLY!AQ33</f>
        <v/>
      </c>
    </row>
    <row r="34">
      <c r="B34" t="inlineStr">
        <is>
          <t>Product 30</t>
        </is>
      </c>
      <c r="C34">
        <f>USE!AP34</f>
        <v/>
      </c>
      <c r="D34">
        <f>USE!AQ34</f>
        <v/>
      </c>
      <c r="E34">
        <f>USE!AR34</f>
        <v/>
      </c>
      <c r="F34">
        <f>USE!AS34</f>
        <v/>
      </c>
      <c r="G34">
        <f>SUPPLY!AP34</f>
        <v/>
      </c>
      <c r="H34">
        <f>SUPPLY!AQ34</f>
        <v/>
      </c>
    </row>
    <row r="35">
      <c r="B35" t="inlineStr">
        <is>
          <t>Product 31</t>
        </is>
      </c>
      <c r="C35">
        <f>USE!AP35</f>
        <v/>
      </c>
      <c r="D35">
        <f>USE!AQ35</f>
        <v/>
      </c>
      <c r="E35">
        <f>USE!AR35</f>
        <v/>
      </c>
      <c r="F35">
        <f>USE!AS35</f>
        <v/>
      </c>
      <c r="G35">
        <f>SUPPLY!AP35</f>
        <v/>
      </c>
      <c r="H35">
        <f>SUPPLY!AQ35</f>
        <v/>
      </c>
    </row>
    <row r="36">
      <c r="B36" t="inlineStr">
        <is>
          <t>Product 32</t>
        </is>
      </c>
      <c r="C36">
        <f>USE!AP36</f>
        <v/>
      </c>
      <c r="D36">
        <f>USE!AQ36</f>
        <v/>
      </c>
      <c r="E36">
        <f>USE!AR36</f>
        <v/>
      </c>
      <c r="F36">
        <f>USE!AS36</f>
        <v/>
      </c>
      <c r="G36">
        <f>SUPPLY!AP36</f>
        <v/>
      </c>
      <c r="H36">
        <f>SUPPLY!AQ36</f>
        <v/>
      </c>
    </row>
    <row r="37">
      <c r="B37" t="inlineStr">
        <is>
          <t>Product 33</t>
        </is>
      </c>
      <c r="C37">
        <f>USE!AP37</f>
        <v/>
      </c>
      <c r="D37">
        <f>USE!AQ37</f>
        <v/>
      </c>
      <c r="E37">
        <f>USE!AR37</f>
        <v/>
      </c>
      <c r="F37">
        <f>USE!AS37</f>
        <v/>
      </c>
      <c r="G37">
        <f>SUPPLY!AP37</f>
        <v/>
      </c>
      <c r="H37">
        <f>SUPPLY!AQ37</f>
        <v/>
      </c>
    </row>
    <row r="38">
      <c r="B38" t="inlineStr">
        <is>
          <t>Product 34</t>
        </is>
      </c>
      <c r="C38">
        <f>USE!AP38</f>
        <v/>
      </c>
      <c r="D38">
        <f>USE!AQ38</f>
        <v/>
      </c>
      <c r="E38">
        <f>USE!AR38</f>
        <v/>
      </c>
      <c r="F38">
        <f>USE!AS38</f>
        <v/>
      </c>
      <c r="G38">
        <f>SUPPLY!AP38</f>
        <v/>
      </c>
      <c r="H38">
        <f>SUPPLY!AQ38</f>
        <v/>
      </c>
    </row>
    <row r="39">
      <c r="B39" t="inlineStr">
        <is>
          <t>Product 35</t>
        </is>
      </c>
      <c r="C39">
        <f>USE!AP39</f>
        <v/>
      </c>
      <c r="D39">
        <f>USE!AQ39</f>
        <v/>
      </c>
      <c r="E39">
        <f>USE!AR39</f>
        <v/>
      </c>
      <c r="F39">
        <f>USE!AS39</f>
        <v/>
      </c>
      <c r="G39">
        <f>SUPPLY!AP39</f>
        <v/>
      </c>
      <c r="H39">
        <f>SUPPLY!AQ39</f>
        <v/>
      </c>
    </row>
    <row r="40">
      <c r="B40" t="inlineStr">
        <is>
          <t>Product 36</t>
        </is>
      </c>
      <c r="C40">
        <f>USE!AP40</f>
        <v/>
      </c>
      <c r="D40">
        <f>USE!AQ40</f>
        <v/>
      </c>
      <c r="E40">
        <f>USE!AR40</f>
        <v/>
      </c>
      <c r="F40">
        <f>USE!AS40</f>
        <v/>
      </c>
      <c r="G40">
        <f>SUPPLY!AP40</f>
        <v/>
      </c>
      <c r="H40">
        <f>SUPPLY!AQ40</f>
        <v/>
      </c>
    </row>
    <row r="41">
      <c r="B41" t="inlineStr">
        <is>
          <t>Product 37</t>
        </is>
      </c>
      <c r="C41">
        <f>USE!AP41</f>
        <v/>
      </c>
      <c r="D41">
        <f>USE!AQ41</f>
        <v/>
      </c>
      <c r="E41">
        <f>USE!AR41</f>
        <v/>
      </c>
      <c r="F41">
        <f>USE!AS41</f>
        <v/>
      </c>
      <c r="G41">
        <f>SUPPLY!AP41</f>
        <v/>
      </c>
      <c r="H41">
        <f>SUPPLY!AQ41</f>
        <v/>
      </c>
    </row>
    <row r="42">
      <c r="B42" t="inlineStr">
        <is>
          <t>Product 38</t>
        </is>
      </c>
      <c r="C42">
        <f>USE!AP42</f>
        <v/>
      </c>
      <c r="D42">
        <f>USE!AQ42</f>
        <v/>
      </c>
      <c r="E42">
        <f>USE!AR42</f>
        <v/>
      </c>
      <c r="F42">
        <f>USE!AS42</f>
        <v/>
      </c>
      <c r="G42">
        <f>SUPPLY!AP42</f>
        <v/>
      </c>
      <c r="H42">
        <f>SUPPLY!AQ42</f>
        <v/>
      </c>
    </row>
    <row r="43">
      <c r="B43" t="inlineStr">
        <is>
          <t>Total</t>
        </is>
      </c>
      <c r="C43">
        <f>SUM(C5:C42)</f>
        <v/>
      </c>
      <c r="D43">
        <f>SUM(D5:D42)</f>
        <v/>
      </c>
      <c r="E43">
        <f>SUM(E5:E42)</f>
        <v/>
      </c>
      <c r="F43">
        <f>SUM(F5:F42)</f>
        <v/>
      </c>
      <c r="G43">
        <f>SUM(G5:G42)</f>
        <v/>
      </c>
      <c r="H43">
        <f>SUM(H5:H42)</f>
        <v/>
      </c>
    </row>
    <row r="46">
      <c r="C46">
        <f>H43/(C43+D43+E43)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:AQ42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Product 1</t>
        </is>
      </c>
      <c r="AP5" t="n">
        <v>2631.578947368421</v>
      </c>
      <c r="AQ5" t="n">
        <v>1184.210526315789</v>
      </c>
    </row>
    <row r="6">
      <c r="A6" t="inlineStr">
        <is>
          <t>Product 2</t>
        </is>
      </c>
      <c r="AP6" t="n">
        <v>2631.578947368421</v>
      </c>
      <c r="AQ6" t="n">
        <v>1184.210526315789</v>
      </c>
    </row>
    <row r="7">
      <c r="A7" t="inlineStr">
        <is>
          <t>Product 3</t>
        </is>
      </c>
      <c r="AP7" t="n">
        <v>2631.578947368421</v>
      </c>
      <c r="AQ7" t="n">
        <v>1184.210526315789</v>
      </c>
    </row>
    <row r="8">
      <c r="A8" t="inlineStr">
        <is>
          <t>Product 4</t>
        </is>
      </c>
      <c r="AP8" t="n">
        <v>2631.578947368421</v>
      </c>
      <c r="AQ8" t="n">
        <v>1184.210526315789</v>
      </c>
    </row>
    <row r="9">
      <c r="A9" t="inlineStr">
        <is>
          <t>Product 5</t>
        </is>
      </c>
      <c r="AP9" t="n">
        <v>2631.578947368421</v>
      </c>
      <c r="AQ9" t="n">
        <v>1184.210526315789</v>
      </c>
    </row>
    <row r="10">
      <c r="A10" t="inlineStr">
        <is>
          <t>Product 6</t>
        </is>
      </c>
      <c r="AP10" t="n">
        <v>2631.578947368421</v>
      </c>
      <c r="AQ10" t="n">
        <v>1184.210526315789</v>
      </c>
    </row>
    <row r="11">
      <c r="A11" t="inlineStr">
        <is>
          <t>Product 7</t>
        </is>
      </c>
      <c r="AP11" t="n">
        <v>2631.578947368421</v>
      </c>
      <c r="AQ11" t="n">
        <v>1184.210526315789</v>
      </c>
    </row>
    <row r="12">
      <c r="A12" t="inlineStr">
        <is>
          <t>Product 8</t>
        </is>
      </c>
      <c r="AP12" t="n">
        <v>2631.578947368421</v>
      </c>
      <c r="AQ12" t="n">
        <v>1184.210526315789</v>
      </c>
    </row>
    <row r="13">
      <c r="A13" t="inlineStr">
        <is>
          <t>Product 9</t>
        </is>
      </c>
      <c r="AP13" t="n">
        <v>2631.578947368421</v>
      </c>
      <c r="AQ13" t="n">
        <v>1184.210526315789</v>
      </c>
    </row>
    <row r="14">
      <c r="A14" t="inlineStr">
        <is>
          <t>Product 10</t>
        </is>
      </c>
      <c r="AP14" t="n">
        <v>2631.578947368421</v>
      </c>
      <c r="AQ14" t="n">
        <v>1184.210526315789</v>
      </c>
    </row>
    <row r="15">
      <c r="A15" t="inlineStr">
        <is>
          <t>Product 11</t>
        </is>
      </c>
      <c r="AP15" t="n">
        <v>2631.578947368421</v>
      </c>
      <c r="AQ15" t="n">
        <v>1184.210526315789</v>
      </c>
    </row>
    <row r="16">
      <c r="A16" t="inlineStr">
        <is>
          <t>Product 12</t>
        </is>
      </c>
      <c r="AP16" t="n">
        <v>2631.578947368421</v>
      </c>
      <c r="AQ16" t="n">
        <v>1184.210526315789</v>
      </c>
    </row>
    <row r="17">
      <c r="A17" t="inlineStr">
        <is>
          <t>Product 13</t>
        </is>
      </c>
      <c r="AP17" t="n">
        <v>2631.578947368421</v>
      </c>
      <c r="AQ17" t="n">
        <v>1184.210526315789</v>
      </c>
    </row>
    <row r="18">
      <c r="A18" t="inlineStr">
        <is>
          <t>Product 14</t>
        </is>
      </c>
      <c r="AP18" t="n">
        <v>2631.578947368421</v>
      </c>
      <c r="AQ18" t="n">
        <v>1184.210526315789</v>
      </c>
    </row>
    <row r="19">
      <c r="A19" t="inlineStr">
        <is>
          <t>Product 15</t>
        </is>
      </c>
      <c r="AP19" t="n">
        <v>2631.578947368421</v>
      </c>
      <c r="AQ19" t="n">
        <v>1184.210526315789</v>
      </c>
    </row>
    <row r="20">
      <c r="A20" t="inlineStr">
        <is>
          <t>Product 16</t>
        </is>
      </c>
      <c r="AP20" t="n">
        <v>2631.578947368421</v>
      </c>
      <c r="AQ20" t="n">
        <v>1184.210526315789</v>
      </c>
    </row>
    <row r="21">
      <c r="A21" t="inlineStr">
        <is>
          <t>Product 17</t>
        </is>
      </c>
      <c r="AP21" t="n">
        <v>2631.578947368421</v>
      </c>
      <c r="AQ21" t="n">
        <v>1184.210526315789</v>
      </c>
    </row>
    <row r="22">
      <c r="A22" t="inlineStr">
        <is>
          <t>Product 18</t>
        </is>
      </c>
      <c r="AP22" t="n">
        <v>2631.578947368421</v>
      </c>
      <c r="AQ22" t="n">
        <v>1184.210526315789</v>
      </c>
    </row>
    <row r="23">
      <c r="A23" t="inlineStr">
        <is>
          <t>Product 19</t>
        </is>
      </c>
      <c r="AP23" t="n">
        <v>2631.578947368421</v>
      </c>
      <c r="AQ23" t="n">
        <v>1184.210526315789</v>
      </c>
    </row>
    <row r="24">
      <c r="A24" t="inlineStr">
        <is>
          <t>Product 20</t>
        </is>
      </c>
      <c r="AP24" t="n">
        <v>2631.578947368421</v>
      </c>
      <c r="AQ24" t="n">
        <v>1184.210526315789</v>
      </c>
    </row>
    <row r="25">
      <c r="A25" t="inlineStr">
        <is>
          <t>Product 21</t>
        </is>
      </c>
      <c r="AP25" t="n">
        <v>2631.578947368421</v>
      </c>
      <c r="AQ25" t="n">
        <v>1184.210526315789</v>
      </c>
    </row>
    <row r="26">
      <c r="A26" t="inlineStr">
        <is>
          <t>Product 22</t>
        </is>
      </c>
      <c r="AP26" t="n">
        <v>2631.578947368421</v>
      </c>
      <c r="AQ26" t="n">
        <v>1184.210526315789</v>
      </c>
    </row>
    <row r="27">
      <c r="A27" t="inlineStr">
        <is>
          <t>Product 23</t>
        </is>
      </c>
      <c r="AP27" t="n">
        <v>2631.578947368421</v>
      </c>
      <c r="AQ27" t="n">
        <v>1184.210526315789</v>
      </c>
    </row>
    <row r="28">
      <c r="A28" t="inlineStr">
        <is>
          <t>Product 24</t>
        </is>
      </c>
      <c r="AP28" t="n">
        <v>2631.578947368421</v>
      </c>
      <c r="AQ28" t="n">
        <v>1184.210526315789</v>
      </c>
    </row>
    <row r="29">
      <c r="A29" t="inlineStr">
        <is>
          <t>Product 25</t>
        </is>
      </c>
      <c r="AP29" t="n">
        <v>2631.578947368421</v>
      </c>
      <c r="AQ29" t="n">
        <v>1184.210526315789</v>
      </c>
    </row>
    <row r="30">
      <c r="A30" t="inlineStr">
        <is>
          <t>Product 26</t>
        </is>
      </c>
      <c r="AP30" t="n">
        <v>2631.578947368421</v>
      </c>
      <c r="AQ30" t="n">
        <v>1184.210526315789</v>
      </c>
    </row>
    <row r="31">
      <c r="A31" t="inlineStr">
        <is>
          <t>Product 27</t>
        </is>
      </c>
      <c r="AP31" t="n">
        <v>2631.578947368421</v>
      </c>
      <c r="AQ31" t="n">
        <v>1184.210526315789</v>
      </c>
    </row>
    <row r="32">
      <c r="A32" t="inlineStr">
        <is>
          <t>Product 28</t>
        </is>
      </c>
      <c r="AP32" t="n">
        <v>2631.578947368421</v>
      </c>
      <c r="AQ32" t="n">
        <v>1184.210526315789</v>
      </c>
    </row>
    <row r="33">
      <c r="A33" t="inlineStr">
        <is>
          <t>Product 29</t>
        </is>
      </c>
      <c r="AP33" t="n">
        <v>2631.578947368421</v>
      </c>
      <c r="AQ33" t="n">
        <v>1184.210526315789</v>
      </c>
    </row>
    <row r="34">
      <c r="A34" t="inlineStr">
        <is>
          <t>Product 30</t>
        </is>
      </c>
      <c r="AP34" t="n">
        <v>2631.578947368421</v>
      </c>
      <c r="AQ34" t="n">
        <v>1184.210526315789</v>
      </c>
    </row>
    <row r="35">
      <c r="A35" t="inlineStr">
        <is>
          <t>Product 31</t>
        </is>
      </c>
      <c r="AP35" t="n">
        <v>2631.578947368421</v>
      </c>
      <c r="AQ35" t="n">
        <v>1184.210526315789</v>
      </c>
    </row>
    <row r="36">
      <c r="A36" t="inlineStr">
        <is>
          <t>Product 32</t>
        </is>
      </c>
      <c r="AP36" t="n">
        <v>2631.578947368421</v>
      </c>
      <c r="AQ36" t="n">
        <v>1184.210526315789</v>
      </c>
    </row>
    <row r="37">
      <c r="A37" t="inlineStr">
        <is>
          <t>Product 33</t>
        </is>
      </c>
      <c r="AP37" t="n">
        <v>2631.578947368421</v>
      </c>
      <c r="AQ37" t="n">
        <v>1184.210526315789</v>
      </c>
    </row>
    <row r="38">
      <c r="A38" t="inlineStr">
        <is>
          <t>Product 34</t>
        </is>
      </c>
      <c r="AP38" t="n">
        <v>2631.578947368421</v>
      </c>
      <c r="AQ38" t="n">
        <v>1184.210526315789</v>
      </c>
    </row>
    <row r="39">
      <c r="A39" t="inlineStr">
        <is>
          <t>Product 35</t>
        </is>
      </c>
      <c r="AP39" t="n">
        <v>2631.578947368421</v>
      </c>
      <c r="AQ39" t="n">
        <v>1184.210526315789</v>
      </c>
    </row>
    <row r="40">
      <c r="A40" t="inlineStr">
        <is>
          <t>Product 36</t>
        </is>
      </c>
      <c r="AP40" t="n">
        <v>2631.578947368421</v>
      </c>
      <c r="AQ40" t="n">
        <v>1184.210526315789</v>
      </c>
    </row>
    <row r="41">
      <c r="A41" t="inlineStr">
        <is>
          <t>Product 37</t>
        </is>
      </c>
      <c r="AP41" t="n">
        <v>2631.578947368421</v>
      </c>
      <c r="AQ41" t="n">
        <v>1184.210526315789</v>
      </c>
    </row>
    <row r="42">
      <c r="A42" t="inlineStr">
        <is>
          <t>Product 38</t>
        </is>
      </c>
      <c r="AP42" t="n">
        <v>2631.578947368421</v>
      </c>
      <c r="AQ42" t="n">
        <v>1184.210526315789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:AS42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Product 1</t>
        </is>
      </c>
      <c r="AP5" t="n">
        <v>1315.789473684211</v>
      </c>
      <c r="AQ5" t="n">
        <v>1447.368421052632</v>
      </c>
      <c r="AR5" t="n">
        <v>394.7368421052632</v>
      </c>
      <c r="AS5" t="n">
        <v>657.8947368421053</v>
      </c>
    </row>
    <row r="6">
      <c r="A6" t="inlineStr">
        <is>
          <t>Product 2</t>
        </is>
      </c>
      <c r="AP6" t="n">
        <v>1315.789473684211</v>
      </c>
      <c r="AQ6" t="n">
        <v>1447.368421052632</v>
      </c>
      <c r="AR6" t="n">
        <v>394.7368421052632</v>
      </c>
      <c r="AS6" t="n">
        <v>657.8947368421053</v>
      </c>
    </row>
    <row r="7">
      <c r="A7" t="inlineStr">
        <is>
          <t>Product 3</t>
        </is>
      </c>
      <c r="AP7" t="n">
        <v>1315.789473684211</v>
      </c>
      <c r="AQ7" t="n">
        <v>1447.368421052632</v>
      </c>
      <c r="AR7" t="n">
        <v>394.7368421052632</v>
      </c>
      <c r="AS7" t="n">
        <v>657.8947368421053</v>
      </c>
    </row>
    <row r="8">
      <c r="A8" t="inlineStr">
        <is>
          <t>Product 4</t>
        </is>
      </c>
      <c r="AP8" t="n">
        <v>1315.789473684211</v>
      </c>
      <c r="AQ8" t="n">
        <v>1447.368421052632</v>
      </c>
      <c r="AR8" t="n">
        <v>394.7368421052632</v>
      </c>
      <c r="AS8" t="n">
        <v>657.8947368421053</v>
      </c>
    </row>
    <row r="9">
      <c r="A9" t="inlineStr">
        <is>
          <t>Product 5</t>
        </is>
      </c>
      <c r="AP9" t="n">
        <v>1315.789473684211</v>
      </c>
      <c r="AQ9" t="n">
        <v>1447.368421052632</v>
      </c>
      <c r="AR9" t="n">
        <v>394.7368421052632</v>
      </c>
      <c r="AS9" t="n">
        <v>657.8947368421053</v>
      </c>
    </row>
    <row r="10">
      <c r="A10" t="inlineStr">
        <is>
          <t>Product 6</t>
        </is>
      </c>
      <c r="AP10" t="n">
        <v>1315.789473684211</v>
      </c>
      <c r="AQ10" t="n">
        <v>1447.368421052632</v>
      </c>
      <c r="AR10" t="n">
        <v>394.7368421052632</v>
      </c>
      <c r="AS10" t="n">
        <v>657.8947368421053</v>
      </c>
    </row>
    <row r="11">
      <c r="A11" t="inlineStr">
        <is>
          <t>Product 7</t>
        </is>
      </c>
      <c r="AP11" t="n">
        <v>1315.789473684211</v>
      </c>
      <c r="AQ11" t="n">
        <v>1447.368421052632</v>
      </c>
      <c r="AR11" t="n">
        <v>394.7368421052632</v>
      </c>
      <c r="AS11" t="n">
        <v>657.8947368421053</v>
      </c>
    </row>
    <row r="12">
      <c r="A12" t="inlineStr">
        <is>
          <t>Product 8</t>
        </is>
      </c>
      <c r="AP12" t="n">
        <v>1315.789473684211</v>
      </c>
      <c r="AQ12" t="n">
        <v>1447.368421052632</v>
      </c>
      <c r="AR12" t="n">
        <v>394.7368421052632</v>
      </c>
      <c r="AS12" t="n">
        <v>657.8947368421053</v>
      </c>
    </row>
    <row r="13">
      <c r="A13" t="inlineStr">
        <is>
          <t>Product 9</t>
        </is>
      </c>
      <c r="AP13" t="n">
        <v>1315.789473684211</v>
      </c>
      <c r="AQ13" t="n">
        <v>1447.368421052632</v>
      </c>
      <c r="AR13" t="n">
        <v>394.7368421052632</v>
      </c>
      <c r="AS13" t="n">
        <v>657.8947368421053</v>
      </c>
    </row>
    <row r="14">
      <c r="A14" t="inlineStr">
        <is>
          <t>Product 10</t>
        </is>
      </c>
      <c r="AP14" t="n">
        <v>1315.789473684211</v>
      </c>
      <c r="AQ14" t="n">
        <v>1447.368421052632</v>
      </c>
      <c r="AR14" t="n">
        <v>394.7368421052632</v>
      </c>
      <c r="AS14" t="n">
        <v>657.8947368421053</v>
      </c>
    </row>
    <row r="15">
      <c r="A15" t="inlineStr">
        <is>
          <t>Product 11</t>
        </is>
      </c>
      <c r="AP15" t="n">
        <v>1315.789473684211</v>
      </c>
      <c r="AQ15" t="n">
        <v>1447.368421052632</v>
      </c>
      <c r="AR15" t="n">
        <v>394.7368421052632</v>
      </c>
      <c r="AS15" t="n">
        <v>657.8947368421053</v>
      </c>
    </row>
    <row r="16">
      <c r="A16" t="inlineStr">
        <is>
          <t>Product 12</t>
        </is>
      </c>
      <c r="AP16" t="n">
        <v>1315.789473684211</v>
      </c>
      <c r="AQ16" t="n">
        <v>1447.368421052632</v>
      </c>
      <c r="AR16" t="n">
        <v>394.7368421052632</v>
      </c>
      <c r="AS16" t="n">
        <v>657.8947368421053</v>
      </c>
    </row>
    <row r="17">
      <c r="A17" t="inlineStr">
        <is>
          <t>Product 13</t>
        </is>
      </c>
      <c r="AP17" t="n">
        <v>1315.789473684211</v>
      </c>
      <c r="AQ17" t="n">
        <v>1447.368421052632</v>
      </c>
      <c r="AR17" t="n">
        <v>394.7368421052632</v>
      </c>
      <c r="AS17" t="n">
        <v>657.8947368421053</v>
      </c>
    </row>
    <row r="18">
      <c r="A18" t="inlineStr">
        <is>
          <t>Product 14</t>
        </is>
      </c>
      <c r="AP18" t="n">
        <v>1315.789473684211</v>
      </c>
      <c r="AQ18" t="n">
        <v>1447.368421052632</v>
      </c>
      <c r="AR18" t="n">
        <v>394.7368421052632</v>
      </c>
      <c r="AS18" t="n">
        <v>657.8947368421053</v>
      </c>
    </row>
    <row r="19">
      <c r="A19" t="inlineStr">
        <is>
          <t>Product 15</t>
        </is>
      </c>
      <c r="AP19" t="n">
        <v>1315.789473684211</v>
      </c>
      <c r="AQ19" t="n">
        <v>1447.368421052632</v>
      </c>
      <c r="AR19" t="n">
        <v>394.7368421052632</v>
      </c>
      <c r="AS19" t="n">
        <v>657.8947368421053</v>
      </c>
    </row>
    <row r="20">
      <c r="A20" t="inlineStr">
        <is>
          <t>Product 16</t>
        </is>
      </c>
      <c r="AP20" t="n">
        <v>1315.789473684211</v>
      </c>
      <c r="AQ20" t="n">
        <v>1447.368421052632</v>
      </c>
      <c r="AR20" t="n">
        <v>394.7368421052632</v>
      </c>
      <c r="AS20" t="n">
        <v>657.8947368421053</v>
      </c>
    </row>
    <row r="21">
      <c r="A21" t="inlineStr">
        <is>
          <t>Product 17</t>
        </is>
      </c>
      <c r="AP21" t="n">
        <v>1315.789473684211</v>
      </c>
      <c r="AQ21" t="n">
        <v>1447.368421052632</v>
      </c>
      <c r="AR21" t="n">
        <v>394.7368421052632</v>
      </c>
      <c r="AS21" t="n">
        <v>657.8947368421053</v>
      </c>
    </row>
    <row r="22">
      <c r="A22" t="inlineStr">
        <is>
          <t>Product 18</t>
        </is>
      </c>
      <c r="AP22" t="n">
        <v>1315.789473684211</v>
      </c>
      <c r="AQ22" t="n">
        <v>1447.368421052632</v>
      </c>
      <c r="AR22" t="n">
        <v>394.7368421052632</v>
      </c>
      <c r="AS22" t="n">
        <v>657.8947368421053</v>
      </c>
    </row>
    <row r="23">
      <c r="A23" t="inlineStr">
        <is>
          <t>Product 19</t>
        </is>
      </c>
      <c r="AP23" t="n">
        <v>1315.789473684211</v>
      </c>
      <c r="AQ23" t="n">
        <v>1447.368421052632</v>
      </c>
      <c r="AR23" t="n">
        <v>394.7368421052632</v>
      </c>
      <c r="AS23" t="n">
        <v>657.8947368421053</v>
      </c>
    </row>
    <row r="24">
      <c r="A24" t="inlineStr">
        <is>
          <t>Product 20</t>
        </is>
      </c>
      <c r="AP24" t="n">
        <v>1315.789473684211</v>
      </c>
      <c r="AQ24" t="n">
        <v>1447.368421052632</v>
      </c>
      <c r="AR24" t="n">
        <v>394.7368421052632</v>
      </c>
      <c r="AS24" t="n">
        <v>657.8947368421053</v>
      </c>
    </row>
    <row r="25">
      <c r="A25" t="inlineStr">
        <is>
          <t>Product 21</t>
        </is>
      </c>
      <c r="AP25" t="n">
        <v>1315.789473684211</v>
      </c>
      <c r="AQ25" t="n">
        <v>1447.368421052632</v>
      </c>
      <c r="AR25" t="n">
        <v>394.7368421052632</v>
      </c>
      <c r="AS25" t="n">
        <v>657.8947368421053</v>
      </c>
    </row>
    <row r="26">
      <c r="A26" t="inlineStr">
        <is>
          <t>Product 22</t>
        </is>
      </c>
      <c r="AP26" t="n">
        <v>1315.789473684211</v>
      </c>
      <c r="AQ26" t="n">
        <v>1447.368421052632</v>
      </c>
      <c r="AR26" t="n">
        <v>394.7368421052632</v>
      </c>
      <c r="AS26" t="n">
        <v>657.8947368421053</v>
      </c>
    </row>
    <row r="27">
      <c r="A27" t="inlineStr">
        <is>
          <t>Product 23</t>
        </is>
      </c>
      <c r="AP27" t="n">
        <v>1315.789473684211</v>
      </c>
      <c r="AQ27" t="n">
        <v>1447.368421052632</v>
      </c>
      <c r="AR27" t="n">
        <v>394.7368421052632</v>
      </c>
      <c r="AS27" t="n">
        <v>657.8947368421053</v>
      </c>
    </row>
    <row r="28">
      <c r="A28" t="inlineStr">
        <is>
          <t>Product 24</t>
        </is>
      </c>
      <c r="AP28" t="n">
        <v>1315.789473684211</v>
      </c>
      <c r="AQ28" t="n">
        <v>1447.368421052632</v>
      </c>
      <c r="AR28" t="n">
        <v>394.7368421052632</v>
      </c>
      <c r="AS28" t="n">
        <v>657.8947368421053</v>
      </c>
    </row>
    <row r="29">
      <c r="A29" t="inlineStr">
        <is>
          <t>Product 25</t>
        </is>
      </c>
      <c r="AP29" t="n">
        <v>1315.789473684211</v>
      </c>
      <c r="AQ29" t="n">
        <v>1447.368421052632</v>
      </c>
      <c r="AR29" t="n">
        <v>394.7368421052632</v>
      </c>
      <c r="AS29" t="n">
        <v>657.8947368421053</v>
      </c>
    </row>
    <row r="30">
      <c r="A30" t="inlineStr">
        <is>
          <t>Product 26</t>
        </is>
      </c>
      <c r="AP30" t="n">
        <v>1315.789473684211</v>
      </c>
      <c r="AQ30" t="n">
        <v>1447.368421052632</v>
      </c>
      <c r="AR30" t="n">
        <v>394.7368421052632</v>
      </c>
      <c r="AS30" t="n">
        <v>657.8947368421053</v>
      </c>
    </row>
    <row r="31">
      <c r="A31" t="inlineStr">
        <is>
          <t>Product 27</t>
        </is>
      </c>
      <c r="AP31" t="n">
        <v>1315.789473684211</v>
      </c>
      <c r="AQ31" t="n">
        <v>1447.368421052632</v>
      </c>
      <c r="AR31" t="n">
        <v>394.7368421052632</v>
      </c>
      <c r="AS31" t="n">
        <v>657.8947368421053</v>
      </c>
    </row>
    <row r="32">
      <c r="A32" t="inlineStr">
        <is>
          <t>Product 28</t>
        </is>
      </c>
      <c r="AP32" t="n">
        <v>1315.789473684211</v>
      </c>
      <c r="AQ32" t="n">
        <v>1447.368421052632</v>
      </c>
      <c r="AR32" t="n">
        <v>394.7368421052632</v>
      </c>
      <c r="AS32" t="n">
        <v>657.8947368421053</v>
      </c>
    </row>
    <row r="33">
      <c r="A33" t="inlineStr">
        <is>
          <t>Product 29</t>
        </is>
      </c>
      <c r="AP33" t="n">
        <v>1315.789473684211</v>
      </c>
      <c r="AQ33" t="n">
        <v>1447.368421052632</v>
      </c>
      <c r="AR33" t="n">
        <v>394.7368421052632</v>
      </c>
      <c r="AS33" t="n">
        <v>657.8947368421053</v>
      </c>
    </row>
    <row r="34">
      <c r="A34" t="inlineStr">
        <is>
          <t>Product 30</t>
        </is>
      </c>
      <c r="AP34" t="n">
        <v>1315.789473684211</v>
      </c>
      <c r="AQ34" t="n">
        <v>1447.368421052632</v>
      </c>
      <c r="AR34" t="n">
        <v>394.7368421052632</v>
      </c>
      <c r="AS34" t="n">
        <v>657.8947368421053</v>
      </c>
    </row>
    <row r="35">
      <c r="A35" t="inlineStr">
        <is>
          <t>Product 31</t>
        </is>
      </c>
      <c r="AP35" t="n">
        <v>1315.789473684211</v>
      </c>
      <c r="AQ35" t="n">
        <v>1447.368421052632</v>
      </c>
      <c r="AR35" t="n">
        <v>394.7368421052632</v>
      </c>
      <c r="AS35" t="n">
        <v>657.8947368421053</v>
      </c>
    </row>
    <row r="36">
      <c r="A36" t="inlineStr">
        <is>
          <t>Product 32</t>
        </is>
      </c>
      <c r="AP36" t="n">
        <v>1315.789473684211</v>
      </c>
      <c r="AQ36" t="n">
        <v>1447.368421052632</v>
      </c>
      <c r="AR36" t="n">
        <v>394.7368421052632</v>
      </c>
      <c r="AS36" t="n">
        <v>657.8947368421053</v>
      </c>
    </row>
    <row r="37">
      <c r="A37" t="inlineStr">
        <is>
          <t>Product 33</t>
        </is>
      </c>
      <c r="AP37" t="n">
        <v>1315.789473684211</v>
      </c>
      <c r="AQ37" t="n">
        <v>1447.368421052632</v>
      </c>
      <c r="AR37" t="n">
        <v>394.7368421052632</v>
      </c>
      <c r="AS37" t="n">
        <v>657.8947368421053</v>
      </c>
    </row>
    <row r="38">
      <c r="A38" t="inlineStr">
        <is>
          <t>Product 34</t>
        </is>
      </c>
      <c r="AP38" t="n">
        <v>1315.789473684211</v>
      </c>
      <c r="AQ38" t="n">
        <v>1447.368421052632</v>
      </c>
      <c r="AR38" t="n">
        <v>394.7368421052632</v>
      </c>
      <c r="AS38" t="n">
        <v>657.8947368421053</v>
      </c>
    </row>
    <row r="39">
      <c r="A39" t="inlineStr">
        <is>
          <t>Product 35</t>
        </is>
      </c>
      <c r="AP39" t="n">
        <v>1315.789473684211</v>
      </c>
      <c r="AQ39" t="n">
        <v>1447.368421052632</v>
      </c>
      <c r="AR39" t="n">
        <v>394.7368421052632</v>
      </c>
      <c r="AS39" t="n">
        <v>657.8947368421053</v>
      </c>
    </row>
    <row r="40">
      <c r="A40" t="inlineStr">
        <is>
          <t>Product 36</t>
        </is>
      </c>
      <c r="AP40" t="n">
        <v>1315.789473684211</v>
      </c>
      <c r="AQ40" t="n">
        <v>1447.368421052632</v>
      </c>
      <c r="AR40" t="n">
        <v>394.7368421052632</v>
      </c>
      <c r="AS40" t="n">
        <v>657.8947368421053</v>
      </c>
    </row>
    <row r="41">
      <c r="A41" t="inlineStr">
        <is>
          <t>Product 37</t>
        </is>
      </c>
      <c r="AP41" t="n">
        <v>1315.789473684211</v>
      </c>
      <c r="AQ41" t="n">
        <v>1447.368421052632</v>
      </c>
      <c r="AR41" t="n">
        <v>394.7368421052632</v>
      </c>
      <c r="AS41" t="n">
        <v>657.8947368421053</v>
      </c>
    </row>
    <row r="42">
      <c r="A42" t="inlineStr">
        <is>
          <t>Product 38</t>
        </is>
      </c>
      <c r="AP42" t="n">
        <v>1315.789473684211</v>
      </c>
      <c r="AQ42" t="n">
        <v>1447.368421052632</v>
      </c>
      <c r="AR42" t="n">
        <v>394.7368421052632</v>
      </c>
      <c r="AS42" t="n">
        <v>657.8947368421053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2026-01-29T05:34:14Z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