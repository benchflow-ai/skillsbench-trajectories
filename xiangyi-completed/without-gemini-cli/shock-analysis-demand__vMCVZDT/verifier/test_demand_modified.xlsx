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NA" sheetId="1" state="visible" r:id="rId1"/>
    <sheet name="WEO_Data" sheetId="2" state="visible" r:id="rId2"/>
    <sheet name="SUPPLY" sheetId="3" state="visible" r:id="rId3"/>
    <sheet name="USE" sheetId="4" state="visible" r:id="rId4"/>
    <sheet name="SUT Calc" sheetId="5" state="visible" r:id="rId5"/>
    <sheet name="Scenario 2" sheetId="6" state="visible" r:id="rId6"/>
    <sheet name="Scenario 3" sheetId="7" state="visible" r:id="rId7"/>
  </sheets>
  <externalReferences>
    <externalReference r:id="rId8"/>
    <externalReference r:id="rId9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"/>
  </numFmts>
  <fonts count="6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3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A1" t="inlineStr">
        <is>
          <t>Year</t>
        </is>
      </c>
      <c r="B1" s="30" t="inlineStr">
        <is>
          <t>Real GDP Growth (Base)</t>
        </is>
      </c>
      <c r="C1" s="2" t="inlineStr">
        <is>
          <t>GDP Deflator</t>
        </is>
      </c>
      <c r="D1" s="30" t="inlineStr">
        <is>
          <t>Inv (USD bn)</t>
        </is>
      </c>
      <c r="E1" s="30" t="inlineStr">
        <is>
          <t>Inv (GEL bn, Nom)</t>
        </is>
      </c>
      <c r="F1" s="30" t="inlineStr">
        <is>
          <t>Inv (GEL bn, Real)</t>
        </is>
      </c>
      <c r="G1" s="30" t="inlineStr">
        <is>
          <t>GDP Impact (Real)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A2" t="n">
        <v>2020</v>
      </c>
      <c r="B2" s="9">
        <f>WEO_Data!B2</f>
        <v/>
      </c>
      <c r="C2" s="5">
        <f>WEO_Data!D2</f>
        <v/>
      </c>
      <c r="D2" s="5" t="n">
        <v>0</v>
      </c>
      <c r="E2" s="5" t="n">
        <v>0</v>
      </c>
      <c r="F2" s="5" t="n">
        <v>0</v>
      </c>
      <c r="G2" s="4" t="n">
        <v>0</v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A3" t="n">
        <v>2021</v>
      </c>
      <c r="B3" s="9">
        <f>WEO_Data!B3</f>
        <v/>
      </c>
      <c r="C3" s="10">
        <f>WEO_Data!D3</f>
        <v/>
      </c>
      <c r="D3" s="10" t="n">
        <v>0</v>
      </c>
      <c r="E3" s="10" t="n">
        <v>0</v>
      </c>
      <c r="F3" s="10" t="n">
        <v>0</v>
      </c>
      <c r="G3" s="10" t="n">
        <v>0</v>
      </c>
      <c r="H3" s="10" t="n"/>
      <c r="I3" s="10" t="n"/>
      <c r="J3" s="11" t="n"/>
      <c r="K3" s="12" t="n"/>
    </row>
    <row r="4">
      <c r="A4" t="n">
        <v>2022</v>
      </c>
      <c r="B4" s="13">
        <f>WEO_Data!B4</f>
        <v/>
      </c>
      <c r="C4">
        <f>WEO_Data!D4</f>
        <v/>
      </c>
      <c r="D4" t="n">
        <v>0</v>
      </c>
      <c r="E4" t="n">
        <v>0</v>
      </c>
      <c r="F4" t="n">
        <v>0</v>
      </c>
      <c r="G4" t="n">
        <v>0</v>
      </c>
      <c r="K4" s="15" t="n"/>
    </row>
    <row r="5">
      <c r="A5" t="n">
        <v>2023</v>
      </c>
      <c r="B5" s="13">
        <f>WEO_Data!B5</f>
        <v/>
      </c>
      <c r="C5">
        <f>WEO_Data!D5</f>
        <v/>
      </c>
      <c r="D5" t="n">
        <v>0</v>
      </c>
      <c r="E5" t="n">
        <v>0</v>
      </c>
      <c r="F5" t="n">
        <v>0</v>
      </c>
      <c r="G5" t="n">
        <v>0</v>
      </c>
      <c r="K5" s="15" t="n"/>
    </row>
    <row r="6">
      <c r="A6" t="n">
        <v>2024</v>
      </c>
      <c r="B6" s="13">
        <f>WEO_Data!B6</f>
        <v/>
      </c>
      <c r="C6">
        <f>WEO_Data!D6</f>
        <v/>
      </c>
      <c r="D6" t="n">
        <v>0</v>
      </c>
      <c r="E6" t="n">
        <v>0</v>
      </c>
      <c r="F6" t="n">
        <v>0</v>
      </c>
      <c r="G6" t="n">
        <v>0</v>
      </c>
      <c r="K6" s="15" t="n"/>
    </row>
    <row r="7">
      <c r="A7" t="n">
        <v>2025</v>
      </c>
      <c r="B7" s="13">
        <f>WEO_Data!B7</f>
        <v/>
      </c>
      <c r="C7">
        <f>WEO_Data!D7</f>
        <v/>
      </c>
      <c r="D7" t="n">
        <v>0</v>
      </c>
      <c r="E7" t="n">
        <v>0</v>
      </c>
      <c r="F7" t="n">
        <v>0</v>
      </c>
      <c r="G7" t="n">
        <v>0</v>
      </c>
      <c r="K7" s="15" t="n"/>
    </row>
    <row r="8">
      <c r="A8" t="n">
        <v>2026</v>
      </c>
      <c r="B8" s="13">
        <f>WEO_Data!B8</f>
        <v/>
      </c>
      <c r="C8">
        <f>WEO_Data!D8</f>
        <v/>
      </c>
      <c r="D8">
        <f>$D$33*0.05</f>
        <v/>
      </c>
      <c r="E8">
        <f>D8*$D$30</f>
        <v/>
      </c>
      <c r="F8">
        <f>E8/(C8/100)</f>
        <v/>
      </c>
      <c r="G8">
        <f>F8*(1-$D$32)*$D$31</f>
        <v/>
      </c>
      <c r="K8" s="15" t="n"/>
    </row>
    <row r="9">
      <c r="A9" t="n">
        <v>2027</v>
      </c>
      <c r="B9" s="13">
        <f>WEO_Data!B9</f>
        <v/>
      </c>
      <c r="C9">
        <f>WEO_Data!D9</f>
        <v/>
      </c>
      <c r="D9">
        <f>$D$33*0.1</f>
        <v/>
      </c>
      <c r="E9">
        <f>D9*$D$30</f>
        <v/>
      </c>
      <c r="F9">
        <f>E9/(C9/100)</f>
        <v/>
      </c>
      <c r="G9">
        <f>F9*(1-$D$32)*$D$31</f>
        <v/>
      </c>
      <c r="J9" s="16" t="n"/>
      <c r="K9" s="15" t="n"/>
    </row>
    <row r="10">
      <c r="A10" t="n">
        <v>2028</v>
      </c>
      <c r="B10" s="13">
        <f>WEO_Data!B10</f>
        <v/>
      </c>
      <c r="C10">
        <f>WEO_Data!D10</f>
        <v/>
      </c>
      <c r="D10">
        <f>$D$33*0.15</f>
        <v/>
      </c>
      <c r="E10">
        <f>D10*$D$30</f>
        <v/>
      </c>
      <c r="F10">
        <f>E10/(C10/100)</f>
        <v/>
      </c>
      <c r="G10">
        <f>F10*(1-$D$32)*$D$31</f>
        <v/>
      </c>
      <c r="K10" s="15" t="n"/>
    </row>
    <row r="11">
      <c r="A11" t="n">
        <v>2029</v>
      </c>
      <c r="B11" s="13">
        <f>WEO_Data!B11</f>
        <v/>
      </c>
      <c r="C11">
        <f>WEO_Data!D11</f>
        <v/>
      </c>
      <c r="D11">
        <f>$D$33*0.2</f>
        <v/>
      </c>
      <c r="E11">
        <f>D11*$D$30</f>
        <v/>
      </c>
      <c r="F11">
        <f>E11/(C11/100)</f>
        <v/>
      </c>
      <c r="G11">
        <f>F11*(1-$D$32)*$D$31</f>
        <v/>
      </c>
      <c r="K11" s="15" t="n"/>
    </row>
    <row r="12">
      <c r="A12" t="n">
        <v>2030</v>
      </c>
      <c r="B12" s="13">
        <f>WEO_Data!B12</f>
        <v/>
      </c>
      <c r="C12">
        <f>WEO_Data!D12</f>
        <v/>
      </c>
      <c r="D12">
        <f>$D$33*0.2</f>
        <v/>
      </c>
      <c r="E12">
        <f>D12*$D$30</f>
        <v/>
      </c>
      <c r="F12">
        <f>E12/(C12/100)</f>
        <v/>
      </c>
      <c r="G12">
        <f>F12*(1-$D$32)*$D$31</f>
        <v/>
      </c>
      <c r="K12" s="15" t="n"/>
    </row>
    <row r="13">
      <c r="A13" t="n">
        <v>2031</v>
      </c>
      <c r="B13" s="13">
        <f>WEO_Data!B13</f>
        <v/>
      </c>
      <c r="C13">
        <f>WEO_Data!D13</f>
        <v/>
      </c>
      <c r="D13">
        <f>$D$33*0.15</f>
        <v/>
      </c>
      <c r="E13">
        <f>D13*$D$30</f>
        <v/>
      </c>
      <c r="F13">
        <f>E13/(C13/100)</f>
        <v/>
      </c>
      <c r="G13">
        <f>F13*(1-$D$32)*$D$31</f>
        <v/>
      </c>
      <c r="J13" s="17" t="n"/>
      <c r="K13" s="15" t="n"/>
    </row>
    <row r="14">
      <c r="A14" t="n">
        <v>2032</v>
      </c>
      <c r="B14" s="13">
        <f>WEO_Data!B14</f>
        <v/>
      </c>
      <c r="C14">
        <f>WEO_Data!D14</f>
        <v/>
      </c>
      <c r="D14">
        <f>$D$33*0.1</f>
        <v/>
      </c>
      <c r="E14">
        <f>D14*$D$30</f>
        <v/>
      </c>
      <c r="F14">
        <f>E14/(C14/100)</f>
        <v/>
      </c>
      <c r="G14">
        <f>F14*(1-$D$32)*$D$31</f>
        <v/>
      </c>
      <c r="J14" s="17" t="n"/>
      <c r="K14" s="15" t="n"/>
    </row>
    <row r="15">
      <c r="A15" t="n">
        <v>2033</v>
      </c>
      <c r="B15" s="13">
        <f>WEO_Data!B15</f>
        <v/>
      </c>
      <c r="C15">
        <f>WEO_Data!D15</f>
        <v/>
      </c>
      <c r="D15">
        <f>$D$33*0.05</f>
        <v/>
      </c>
      <c r="E15">
        <f>D15*$D$30</f>
        <v/>
      </c>
      <c r="F15">
        <f>E15/(C15/100)</f>
        <v/>
      </c>
      <c r="G15">
        <f>F15*(1-$D$32)*$D$31</f>
        <v/>
      </c>
      <c r="J15" s="17" t="n"/>
      <c r="K15" s="15" t="n"/>
    </row>
    <row r="16">
      <c r="A16" t="n">
        <v>2034</v>
      </c>
      <c r="B16" s="13">
        <f>WEO_Data!B16</f>
        <v/>
      </c>
      <c r="C16">
        <f>WEO_Data!D16</f>
        <v/>
      </c>
      <c r="D16" t="n">
        <v>0</v>
      </c>
      <c r="E16" t="n">
        <v>0</v>
      </c>
      <c r="F16" t="n">
        <v>0</v>
      </c>
      <c r="G16" t="n">
        <v>0</v>
      </c>
      <c r="J16" s="17" t="n"/>
      <c r="K16" s="15" t="n"/>
    </row>
    <row r="17">
      <c r="A17" t="n">
        <v>2035</v>
      </c>
      <c r="B17" s="13">
        <f>WEO_Data!B17</f>
        <v/>
      </c>
      <c r="C17">
        <f>WEO_Data!D17</f>
        <v/>
      </c>
      <c r="D17" t="n">
        <v>0</v>
      </c>
      <c r="E17" t="n">
        <v>0</v>
      </c>
      <c r="F17" t="n">
        <v>0</v>
      </c>
      <c r="G17" t="n">
        <v>0</v>
      </c>
      <c r="J17" s="17" t="n"/>
      <c r="K17" s="15" t="n"/>
    </row>
    <row r="18">
      <c r="A18" t="n">
        <v>2036</v>
      </c>
      <c r="B18" s="13">
        <f>WEO_Data!B18</f>
        <v/>
      </c>
      <c r="C18">
        <f>WEO_Data!D18</f>
        <v/>
      </c>
      <c r="D18" t="n">
        <v>0</v>
      </c>
      <c r="E18" t="n">
        <v>0</v>
      </c>
      <c r="F18" t="n">
        <v>0</v>
      </c>
      <c r="G18" t="n">
        <v>0</v>
      </c>
      <c r="J18" s="17" t="n"/>
      <c r="K18" s="15" t="n"/>
    </row>
    <row r="19">
      <c r="A19" t="n">
        <v>2037</v>
      </c>
      <c r="B19" s="13">
        <f>WEO_Data!B19</f>
        <v/>
      </c>
      <c r="C19">
        <f>WEO_Data!D19</f>
        <v/>
      </c>
      <c r="D19" t="n">
        <v>0</v>
      </c>
      <c r="E19" t="n">
        <v>0</v>
      </c>
      <c r="F19" t="n">
        <v>0</v>
      </c>
      <c r="G19" t="n">
        <v>0</v>
      </c>
      <c r="J19" s="17" t="n"/>
      <c r="K19" s="15" t="n"/>
    </row>
    <row r="20">
      <c r="A20" t="n">
        <v>2038</v>
      </c>
      <c r="B20" s="13">
        <f>WEO_Data!B20</f>
        <v/>
      </c>
      <c r="C20">
        <f>WEO_Data!D20</f>
        <v/>
      </c>
      <c r="D20" t="n">
        <v>0</v>
      </c>
      <c r="E20" t="n">
        <v>0</v>
      </c>
      <c r="F20" t="n">
        <v>0</v>
      </c>
      <c r="G20" t="n">
        <v>0</v>
      </c>
      <c r="J20" s="17" t="n"/>
      <c r="K20" s="15" t="n"/>
    </row>
    <row r="21">
      <c r="A21" t="n">
        <v>2039</v>
      </c>
      <c r="B21" s="13">
        <f>WEO_Data!B21</f>
        <v/>
      </c>
      <c r="C21">
        <f>WEO_Data!D21</f>
        <v/>
      </c>
      <c r="D21" t="n">
        <v>0</v>
      </c>
      <c r="E21" t="n">
        <v>0</v>
      </c>
      <c r="F21" t="n">
        <v>0</v>
      </c>
      <c r="G21" t="n">
        <v>0</v>
      </c>
      <c r="J21" s="17" t="n"/>
      <c r="K21" s="15" t="n"/>
    </row>
    <row r="22">
      <c r="A22" t="n">
        <v>2040</v>
      </c>
      <c r="B22" s="13">
        <f>WEO_Data!B22</f>
        <v/>
      </c>
      <c r="C22">
        <f>WEO_Data!D22</f>
        <v/>
      </c>
      <c r="D22" t="n">
        <v>0</v>
      </c>
      <c r="E22" t="n">
        <v>0</v>
      </c>
      <c r="F22" t="n">
        <v>0</v>
      </c>
      <c r="G22" t="n">
        <v>0</v>
      </c>
      <c r="J22" s="17" t="n"/>
      <c r="K22" s="15" t="n"/>
    </row>
    <row r="23">
      <c r="A23" t="n">
        <v>2041</v>
      </c>
      <c r="B23" s="13">
        <f>WEO_Data!B23</f>
        <v/>
      </c>
      <c r="C23">
        <f>WEO_Data!D23</f>
        <v/>
      </c>
      <c r="D23" t="n">
        <v>0</v>
      </c>
      <c r="E23" t="n">
        <v>0</v>
      </c>
      <c r="F23" t="n">
        <v>0</v>
      </c>
      <c r="G23" t="n">
        <v>0</v>
      </c>
      <c r="J23" s="17" t="n"/>
      <c r="K23" s="15" t="n"/>
    </row>
    <row r="24">
      <c r="A24" t="n">
        <v>2042</v>
      </c>
      <c r="B24" s="13">
        <f>WEO_Data!B24</f>
        <v/>
      </c>
      <c r="C24">
        <f>WEO_Data!D24</f>
        <v/>
      </c>
      <c r="D24" t="n">
        <v>0</v>
      </c>
      <c r="E24" t="n">
        <v>0</v>
      </c>
      <c r="F24" t="n">
        <v>0</v>
      </c>
      <c r="G24" t="n">
        <v>0</v>
      </c>
      <c r="J24" s="17" t="n"/>
      <c r="K24" s="15" t="n"/>
    </row>
    <row r="25">
      <c r="A25" t="n">
        <v>2043</v>
      </c>
      <c r="B25" s="18">
        <f>WEO_Data!B25</f>
        <v/>
      </c>
      <c r="C25" s="19">
        <f>WEO_Data!D25</f>
        <v/>
      </c>
      <c r="D25" s="19" t="n">
        <v>0</v>
      </c>
      <c r="E25" s="19" t="n">
        <v>0</v>
      </c>
      <c r="F25" s="19" t="n">
        <v>0</v>
      </c>
      <c r="G25" s="19" t="n">
        <v>0</v>
      </c>
      <c r="H25" s="19" t="n"/>
      <c r="I25" s="19" t="n"/>
      <c r="J25" s="20" t="n"/>
      <c r="K25" s="21" t="n"/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Exchange Rate (GEL/USD)</t>
        </is>
      </c>
      <c r="D30" t="n">
        <v>2.746</v>
      </c>
      <c r="K30" s="15" t="n"/>
    </row>
    <row r="31">
      <c r="C31" s="13" t="inlineStr">
        <is>
          <t>Demand Multiplier</t>
        </is>
      </c>
      <c r="D31" s="28" t="n">
        <v>0.8</v>
      </c>
      <c r="K31" s="15" t="n"/>
    </row>
    <row r="32">
      <c r="C32" s="13" t="inlineStr">
        <is>
          <t>Import Content Share</t>
        </is>
      </c>
      <c r="D32" s="29">
        <f>'SUT Calc'!C46</f>
        <v/>
      </c>
      <c r="K32" s="15" t="n"/>
    </row>
    <row r="33">
      <c r="C33" s="18" t="inlineStr">
        <is>
          <t>Total Investment (USD Billion)</t>
        </is>
      </c>
      <c r="D33" s="19" t="n">
        <v>6.5</v>
      </c>
      <c r="E33" s="19" t="n"/>
      <c r="F33" s="19" t="n"/>
      <c r="G33" s="19" t="n"/>
      <c r="H33" s="19" t="n"/>
      <c r="I33" s="19" t="n"/>
      <c r="J33" s="27" t="n"/>
      <c r="K33" s="21" t="n"/>
    </row>
  </sheetData>
  <mergeCells count="1"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Growth (%)</t>
        </is>
      </c>
      <c r="C1" t="inlineStr">
        <is>
          <t>GDP Deflator Growth (%)</t>
        </is>
      </c>
      <c r="D1" t="inlineStr">
        <is>
          <t>GDP Deflator Index (2020=100)</t>
        </is>
      </c>
    </row>
    <row r="2">
      <c r="A2" t="n">
        <v>2020</v>
      </c>
      <c r="B2" t="n">
        <v>-6.8</v>
      </c>
      <c r="C2" t="n">
        <v>5</v>
      </c>
      <c r="D2" t="n">
        <v>100</v>
      </c>
    </row>
    <row r="3">
      <c r="A3" t="n">
        <v>2021</v>
      </c>
      <c r="B3" t="n">
        <v>10.5</v>
      </c>
      <c r="C3" t="n">
        <v>10.3</v>
      </c>
      <c r="D3">
        <f>D2*(1+C3/100)</f>
        <v/>
      </c>
    </row>
    <row r="4">
      <c r="A4" t="n">
        <v>2022</v>
      </c>
      <c r="B4" t="n">
        <v>10.4</v>
      </c>
      <c r="C4" t="n">
        <v>8.6</v>
      </c>
      <c r="D4">
        <f>D3*(1+C4/100)</f>
        <v/>
      </c>
    </row>
    <row r="5">
      <c r="A5" t="n">
        <v>2023</v>
      </c>
      <c r="B5" t="n">
        <v>7.5</v>
      </c>
      <c r="C5" t="n">
        <v>2.9</v>
      </c>
      <c r="D5">
        <f>D4*(1+C5/100)</f>
        <v/>
      </c>
    </row>
    <row r="6">
      <c r="A6" t="n">
        <v>2024</v>
      </c>
      <c r="B6" t="n">
        <v>6</v>
      </c>
      <c r="C6" t="n">
        <v>3.8</v>
      </c>
      <c r="D6">
        <f>D5*(1+C6/100)</f>
        <v/>
      </c>
    </row>
    <row r="7">
      <c r="A7" t="n">
        <v>2025</v>
      </c>
      <c r="B7" t="n">
        <v>7.5</v>
      </c>
      <c r="C7" t="n">
        <v>3.9</v>
      </c>
      <c r="D7">
        <f>D6*(1+C7/100)</f>
        <v/>
      </c>
    </row>
    <row r="8">
      <c r="A8" t="n">
        <v>2026</v>
      </c>
      <c r="B8" t="n">
        <v>5.3</v>
      </c>
      <c r="C8" t="n">
        <v>4.8</v>
      </c>
      <c r="D8">
        <f>D7*(1+C8/100)</f>
        <v/>
      </c>
    </row>
    <row r="9">
      <c r="A9" t="n">
        <v>2027</v>
      </c>
      <c r="B9" t="n">
        <v>5</v>
      </c>
      <c r="C9" t="n">
        <v>4.8</v>
      </c>
      <c r="D9">
        <f>D8*(1+C9/100)</f>
        <v/>
      </c>
    </row>
    <row r="10">
      <c r="A10" t="n">
        <v>2028</v>
      </c>
      <c r="B10" t="n">
        <v>5</v>
      </c>
      <c r="C10" t="n">
        <v>4.8</v>
      </c>
      <c r="D10">
        <f>D9*(1+C10/100)</f>
        <v/>
      </c>
    </row>
    <row r="11">
      <c r="A11" t="n">
        <v>2029</v>
      </c>
      <c r="B11" t="n">
        <v>5</v>
      </c>
      <c r="C11" t="n">
        <v>4.8</v>
      </c>
      <c r="D11">
        <f>D10*(1+C11/100)</f>
        <v/>
      </c>
    </row>
    <row r="12">
      <c r="A12" t="n">
        <v>2030</v>
      </c>
      <c r="B12" t="n">
        <v>5</v>
      </c>
      <c r="C12" t="n">
        <v>4.8</v>
      </c>
      <c r="D12">
        <f>D11*(1+C12/100)</f>
        <v/>
      </c>
    </row>
    <row r="13">
      <c r="A13" t="n">
        <v>2031</v>
      </c>
      <c r="B13" t="n">
        <v>5</v>
      </c>
      <c r="C13" t="n">
        <v>4.8</v>
      </c>
      <c r="D13">
        <f>D12*(1+C13/100)</f>
        <v/>
      </c>
    </row>
    <row r="14">
      <c r="A14" t="n">
        <v>2032</v>
      </c>
      <c r="B14" t="n">
        <v>5</v>
      </c>
      <c r="C14" t="n">
        <v>4.8</v>
      </c>
      <c r="D14">
        <f>D13*(1+C14/100)</f>
        <v/>
      </c>
    </row>
    <row r="15">
      <c r="A15" t="n">
        <v>2033</v>
      </c>
      <c r="B15" t="n">
        <v>5</v>
      </c>
      <c r="C15" t="n">
        <v>4.8</v>
      </c>
      <c r="D15">
        <f>D14*(1+C15/100)</f>
        <v/>
      </c>
    </row>
    <row r="16">
      <c r="A16" t="n">
        <v>2034</v>
      </c>
      <c r="B16" t="n">
        <v>5</v>
      </c>
      <c r="C16" t="n">
        <v>4.8</v>
      </c>
      <c r="D16">
        <f>D15*(1+C16/100)</f>
        <v/>
      </c>
    </row>
    <row r="17">
      <c r="A17" t="n">
        <v>2035</v>
      </c>
      <c r="B17" t="n">
        <v>5</v>
      </c>
      <c r="C17" t="n">
        <v>4.8</v>
      </c>
      <c r="D17">
        <f>D16*(1+C17/100)</f>
        <v/>
      </c>
    </row>
    <row r="18">
      <c r="A18" t="n">
        <v>2036</v>
      </c>
      <c r="B18" t="n">
        <v>5</v>
      </c>
      <c r="C18" t="n">
        <v>4.8</v>
      </c>
      <c r="D18">
        <f>D17*(1+C18/100)</f>
        <v/>
      </c>
    </row>
    <row r="19">
      <c r="A19" t="n">
        <v>2037</v>
      </c>
      <c r="B19" t="n">
        <v>5</v>
      </c>
      <c r="C19" t="n">
        <v>4.8</v>
      </c>
      <c r="D19">
        <f>D18*(1+C19/100)</f>
        <v/>
      </c>
    </row>
    <row r="20">
      <c r="A20" t="n">
        <v>2038</v>
      </c>
      <c r="B20" t="n">
        <v>5</v>
      </c>
      <c r="C20" t="n">
        <v>4.8</v>
      </c>
      <c r="D20">
        <f>D19*(1+C20/100)</f>
        <v/>
      </c>
    </row>
    <row r="21">
      <c r="A21" t="n">
        <v>2039</v>
      </c>
      <c r="B21" t="n">
        <v>5</v>
      </c>
      <c r="C21" t="n">
        <v>4.8</v>
      </c>
      <c r="D21">
        <f>D20*(1+C21/100)</f>
        <v/>
      </c>
    </row>
    <row r="22">
      <c r="A22" t="n">
        <v>2040</v>
      </c>
      <c r="B22" t="n">
        <v>5</v>
      </c>
      <c r="C22" t="n">
        <v>4.8</v>
      </c>
      <c r="D22">
        <f>D21*(1+C22/100)</f>
        <v/>
      </c>
    </row>
    <row r="23">
      <c r="A23" t="n">
        <v>2041</v>
      </c>
      <c r="B23" t="n">
        <v>5</v>
      </c>
      <c r="C23" t="n">
        <v>4.8</v>
      </c>
      <c r="D23">
        <f>D22*(1+C23/100)</f>
        <v/>
      </c>
    </row>
    <row r="24">
      <c r="A24" t="n">
        <v>2042</v>
      </c>
      <c r="B24" t="n">
        <v>5</v>
      </c>
      <c r="C24" t="n">
        <v>4.8</v>
      </c>
      <c r="D24">
        <f>D23*(1+C24/100)</f>
        <v/>
      </c>
    </row>
    <row r="25">
      <c r="A25" t="n">
        <v>2043</v>
      </c>
      <c r="B25" t="n">
        <v>5</v>
      </c>
      <c r="C25" t="n">
        <v>4.8</v>
      </c>
      <c r="D25">
        <f>D24*(1+C25/100)</f>
        <v/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 Code</t>
        </is>
      </c>
      <c r="B1" t="inlineStr">
        <is>
          <t>Sector Name</t>
        </is>
      </c>
      <c r="C1" t="inlineStr">
        <is>
          <t>Total Supply/Use</t>
        </is>
      </c>
    </row>
    <row r="2">
      <c r="A2" t="n">
        <v>1</v>
      </c>
      <c r="B2" t="inlineStr">
        <is>
          <t>Sector 1</t>
        </is>
      </c>
      <c r="C2" t="n">
        <v>1000</v>
      </c>
    </row>
    <row r="3">
      <c r="A3" t="n">
        <v>2</v>
      </c>
      <c r="B3" t="inlineStr">
        <is>
          <t>Sector 2</t>
        </is>
      </c>
      <c r="C3" t="n">
        <v>1000</v>
      </c>
    </row>
    <row r="4">
      <c r="A4" t="n">
        <v>3</v>
      </c>
      <c r="B4" t="inlineStr">
        <is>
          <t>Sector 3</t>
        </is>
      </c>
      <c r="C4" t="n">
        <v>1000</v>
      </c>
    </row>
    <row r="5">
      <c r="A5" t="n">
        <v>4</v>
      </c>
      <c r="B5" t="inlineStr">
        <is>
          <t>Sector 4</t>
        </is>
      </c>
      <c r="C5" t="n">
        <v>1000</v>
      </c>
    </row>
    <row r="6">
      <c r="A6" t="n">
        <v>5</v>
      </c>
      <c r="B6" t="inlineStr">
        <is>
          <t>Sector 5</t>
        </is>
      </c>
      <c r="C6" t="n">
        <v>1000</v>
      </c>
    </row>
    <row r="7">
      <c r="A7" t="n">
        <v>6</v>
      </c>
      <c r="B7" t="inlineStr">
        <is>
          <t>Sector 6</t>
        </is>
      </c>
      <c r="C7" t="n">
        <v>1000</v>
      </c>
    </row>
    <row r="8">
      <c r="A8" t="n">
        <v>7</v>
      </c>
      <c r="B8" t="inlineStr">
        <is>
          <t>Sector 7</t>
        </is>
      </c>
      <c r="C8" t="n">
        <v>1000</v>
      </c>
    </row>
    <row r="9">
      <c r="A9" t="n">
        <v>8</v>
      </c>
      <c r="B9" t="inlineStr">
        <is>
          <t>Sector 8</t>
        </is>
      </c>
      <c r="C9" t="n">
        <v>1000</v>
      </c>
    </row>
    <row r="10">
      <c r="A10" t="n">
        <v>9</v>
      </c>
      <c r="B10" t="inlineStr">
        <is>
          <t>Sector 9</t>
        </is>
      </c>
      <c r="C10" t="n">
        <v>1000</v>
      </c>
    </row>
    <row r="11">
      <c r="A11" t="n">
        <v>10</v>
      </c>
      <c r="B11" t="inlineStr">
        <is>
          <t>Sector 10</t>
        </is>
      </c>
      <c r="C11" t="n">
        <v>1000</v>
      </c>
    </row>
    <row r="12">
      <c r="A12" t="n">
        <v>11</v>
      </c>
      <c r="B12" t="inlineStr">
        <is>
          <t>Sector 11</t>
        </is>
      </c>
      <c r="C12" t="n">
        <v>1000</v>
      </c>
    </row>
    <row r="13">
      <c r="A13" t="n">
        <v>12</v>
      </c>
      <c r="B13" t="inlineStr">
        <is>
          <t>Sector 12</t>
        </is>
      </c>
      <c r="C13" t="n">
        <v>1000</v>
      </c>
    </row>
    <row r="14">
      <c r="A14" t="n">
        <v>13</v>
      </c>
      <c r="B14" t="inlineStr">
        <is>
          <t>Sector 13</t>
        </is>
      </c>
      <c r="C14" t="n">
        <v>1000</v>
      </c>
    </row>
    <row r="15">
      <c r="A15" t="n">
        <v>14</v>
      </c>
      <c r="B15" t="inlineStr">
        <is>
          <t>Sector 14</t>
        </is>
      </c>
      <c r="C15" t="n">
        <v>1000</v>
      </c>
    </row>
    <row r="16">
      <c r="A16" t="n">
        <v>15</v>
      </c>
      <c r="B16" t="inlineStr">
        <is>
          <t>Sector 15</t>
        </is>
      </c>
      <c r="C16" t="n">
        <v>1000</v>
      </c>
    </row>
    <row r="17">
      <c r="A17" t="n">
        <v>16</v>
      </c>
      <c r="B17" t="inlineStr">
        <is>
          <t>Sector 16</t>
        </is>
      </c>
      <c r="C17" t="n">
        <v>1000</v>
      </c>
    </row>
    <row r="18">
      <c r="A18" t="n">
        <v>17</v>
      </c>
      <c r="B18" t="inlineStr">
        <is>
          <t>Sector 17</t>
        </is>
      </c>
      <c r="C18" t="n">
        <v>1000</v>
      </c>
    </row>
    <row r="19">
      <c r="A19" t="n">
        <v>18</v>
      </c>
      <c r="B19" t="inlineStr">
        <is>
          <t>Sector 18</t>
        </is>
      </c>
      <c r="C19" t="n">
        <v>1000</v>
      </c>
    </row>
    <row r="20">
      <c r="A20" t="n">
        <v>19</v>
      </c>
      <c r="B20" t="inlineStr">
        <is>
          <t>Sector 19</t>
        </is>
      </c>
      <c r="C20" t="n">
        <v>1000</v>
      </c>
    </row>
    <row r="21">
      <c r="A21" t="n">
        <v>20</v>
      </c>
      <c r="B21" t="inlineStr">
        <is>
          <t>Sector 20</t>
        </is>
      </c>
      <c r="C21" t="n">
        <v>1000</v>
      </c>
    </row>
    <row r="22">
      <c r="A22" t="n">
        <v>21</v>
      </c>
      <c r="B22" t="inlineStr">
        <is>
          <t>Sector 21</t>
        </is>
      </c>
      <c r="C22" t="n">
        <v>1000</v>
      </c>
    </row>
    <row r="23">
      <c r="A23" t="n">
        <v>22</v>
      </c>
      <c r="B23" t="inlineStr">
        <is>
          <t>Sector 22</t>
        </is>
      </c>
      <c r="C23" t="n">
        <v>1000</v>
      </c>
    </row>
    <row r="24">
      <c r="A24" t="n">
        <v>23</v>
      </c>
      <c r="B24" t="inlineStr">
        <is>
          <t>Sector 23</t>
        </is>
      </c>
      <c r="C24" t="n">
        <v>1000</v>
      </c>
    </row>
    <row r="25">
      <c r="A25" t="n">
        <v>24</v>
      </c>
      <c r="B25" t="inlineStr">
        <is>
          <t>Sector 24</t>
        </is>
      </c>
      <c r="C25" t="n">
        <v>1000</v>
      </c>
    </row>
    <row r="26">
      <c r="A26" t="n">
        <v>25</v>
      </c>
      <c r="B26" t="inlineStr">
        <is>
          <t>Sector 25</t>
        </is>
      </c>
      <c r="C26" t="n">
        <v>1000</v>
      </c>
    </row>
    <row r="27">
      <c r="A27" t="n">
        <v>26</v>
      </c>
      <c r="B27" t="inlineStr">
        <is>
          <t>Sector 26</t>
        </is>
      </c>
      <c r="C27" t="n">
        <v>1000</v>
      </c>
    </row>
    <row r="28">
      <c r="A28" t="n">
        <v>27</v>
      </c>
      <c r="B28" t="inlineStr">
        <is>
          <t>Sector 27</t>
        </is>
      </c>
      <c r="C28" t="n">
        <v>1000</v>
      </c>
    </row>
    <row r="29">
      <c r="A29" t="n">
        <v>28</v>
      </c>
      <c r="B29" t="inlineStr">
        <is>
          <t>Sector 28</t>
        </is>
      </c>
      <c r="C29" t="n">
        <v>1000</v>
      </c>
    </row>
    <row r="30">
      <c r="A30" t="n">
        <v>29</v>
      </c>
      <c r="B30" t="inlineStr">
        <is>
          <t>Sector 29</t>
        </is>
      </c>
      <c r="C30" t="n">
        <v>1000</v>
      </c>
    </row>
    <row r="31">
      <c r="A31" t="n">
        <v>30</v>
      </c>
      <c r="B31" t="inlineStr">
        <is>
          <t>Sector 30</t>
        </is>
      </c>
      <c r="C31" t="n">
        <v>1000</v>
      </c>
    </row>
    <row r="32">
      <c r="A32" t="n">
        <v>31</v>
      </c>
      <c r="B32" t="inlineStr">
        <is>
          <t>Sector 31</t>
        </is>
      </c>
      <c r="C32" t="n">
        <v>1000</v>
      </c>
    </row>
    <row r="33">
      <c r="A33" t="n">
        <v>32</v>
      </c>
      <c r="B33" t="inlineStr">
        <is>
          <t>Sector 32</t>
        </is>
      </c>
      <c r="C33" t="n">
        <v>1000</v>
      </c>
    </row>
    <row r="34">
      <c r="A34" t="n">
        <v>33</v>
      </c>
      <c r="B34" t="inlineStr">
        <is>
          <t>Sector 33</t>
        </is>
      </c>
      <c r="C34" t="n">
        <v>1000</v>
      </c>
    </row>
    <row r="35">
      <c r="A35" t="n">
        <v>34</v>
      </c>
      <c r="B35" t="inlineStr">
        <is>
          <t>Sector 34</t>
        </is>
      </c>
      <c r="C35" t="n">
        <v>1000</v>
      </c>
    </row>
    <row r="36">
      <c r="A36" t="n">
        <v>35</v>
      </c>
      <c r="B36" t="inlineStr">
        <is>
          <t>Sector 35</t>
        </is>
      </c>
      <c r="C36" t="n">
        <v>1000</v>
      </c>
    </row>
    <row r="37">
      <c r="A37" t="n">
        <v>36</v>
      </c>
      <c r="B37" t="inlineStr">
        <is>
          <t>Sector 36</t>
        </is>
      </c>
      <c r="C37" t="n">
        <v>1000</v>
      </c>
    </row>
    <row r="38">
      <c r="A38" t="n">
        <v>37</v>
      </c>
      <c r="B38" t="inlineStr">
        <is>
          <t>Sector 37</t>
        </is>
      </c>
      <c r="C38" t="n">
        <v>1000</v>
      </c>
    </row>
    <row r="39">
      <c r="A39" t="n">
        <v>38</v>
      </c>
      <c r="B39" t="inlineStr">
        <is>
          <t>Sector 38</t>
        </is>
      </c>
      <c r="C39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 Code</t>
        </is>
      </c>
      <c r="B1" t="inlineStr">
        <is>
          <t>Sector Name</t>
        </is>
      </c>
      <c r="C1" t="inlineStr">
        <is>
          <t>Total Supply/Use</t>
        </is>
      </c>
    </row>
    <row r="2">
      <c r="A2" t="n">
        <v>1</v>
      </c>
      <c r="B2" t="inlineStr">
        <is>
          <t>Sector 1</t>
        </is>
      </c>
      <c r="C2" t="n">
        <v>1000</v>
      </c>
    </row>
    <row r="3">
      <c r="A3" t="n">
        <v>2</v>
      </c>
      <c r="B3" t="inlineStr">
        <is>
          <t>Sector 2</t>
        </is>
      </c>
      <c r="C3" t="n">
        <v>1000</v>
      </c>
    </row>
    <row r="4">
      <c r="A4" t="n">
        <v>3</v>
      </c>
      <c r="B4" t="inlineStr">
        <is>
          <t>Sector 3</t>
        </is>
      </c>
      <c r="C4" t="n">
        <v>1000</v>
      </c>
    </row>
    <row r="5">
      <c r="A5" t="n">
        <v>4</v>
      </c>
      <c r="B5" t="inlineStr">
        <is>
          <t>Sector 4</t>
        </is>
      </c>
      <c r="C5" t="n">
        <v>1000</v>
      </c>
    </row>
    <row r="6">
      <c r="A6" t="n">
        <v>5</v>
      </c>
      <c r="B6" t="inlineStr">
        <is>
          <t>Sector 5</t>
        </is>
      </c>
      <c r="C6" t="n">
        <v>1000</v>
      </c>
    </row>
    <row r="7">
      <c r="A7" t="n">
        <v>6</v>
      </c>
      <c r="B7" t="inlineStr">
        <is>
          <t>Sector 6</t>
        </is>
      </c>
      <c r="C7" t="n">
        <v>1000</v>
      </c>
    </row>
    <row r="8">
      <c r="A8" t="n">
        <v>7</v>
      </c>
      <c r="B8" t="inlineStr">
        <is>
          <t>Sector 7</t>
        </is>
      </c>
      <c r="C8" t="n">
        <v>1000</v>
      </c>
    </row>
    <row r="9">
      <c r="A9" t="n">
        <v>8</v>
      </c>
      <c r="B9" t="inlineStr">
        <is>
          <t>Sector 8</t>
        </is>
      </c>
      <c r="C9" t="n">
        <v>1000</v>
      </c>
    </row>
    <row r="10">
      <c r="A10" t="n">
        <v>9</v>
      </c>
      <c r="B10" t="inlineStr">
        <is>
          <t>Sector 9</t>
        </is>
      </c>
      <c r="C10" t="n">
        <v>1000</v>
      </c>
    </row>
    <row r="11">
      <c r="A11" t="n">
        <v>10</v>
      </c>
      <c r="B11" t="inlineStr">
        <is>
          <t>Sector 10</t>
        </is>
      </c>
      <c r="C11" t="n">
        <v>1000</v>
      </c>
    </row>
    <row r="12">
      <c r="A12" t="n">
        <v>11</v>
      </c>
      <c r="B12" t="inlineStr">
        <is>
          <t>Sector 11</t>
        </is>
      </c>
      <c r="C12" t="n">
        <v>1000</v>
      </c>
    </row>
    <row r="13">
      <c r="A13" t="n">
        <v>12</v>
      </c>
      <c r="B13" t="inlineStr">
        <is>
          <t>Sector 12</t>
        </is>
      </c>
      <c r="C13" t="n">
        <v>1000</v>
      </c>
    </row>
    <row r="14">
      <c r="A14" t="n">
        <v>13</v>
      </c>
      <c r="B14" t="inlineStr">
        <is>
          <t>Sector 13</t>
        </is>
      </c>
      <c r="C14" t="n">
        <v>1000</v>
      </c>
    </row>
    <row r="15">
      <c r="A15" t="n">
        <v>14</v>
      </c>
      <c r="B15" t="inlineStr">
        <is>
          <t>Sector 14</t>
        </is>
      </c>
      <c r="C15" t="n">
        <v>1000</v>
      </c>
    </row>
    <row r="16">
      <c r="A16" t="n">
        <v>15</v>
      </c>
      <c r="B16" t="inlineStr">
        <is>
          <t>Sector 15</t>
        </is>
      </c>
      <c r="C16" t="n">
        <v>1000</v>
      </c>
    </row>
    <row r="17">
      <c r="A17" t="n">
        <v>16</v>
      </c>
      <c r="B17" t="inlineStr">
        <is>
          <t>Sector 16</t>
        </is>
      </c>
      <c r="C17" t="n">
        <v>1000</v>
      </c>
    </row>
    <row r="18">
      <c r="A18" t="n">
        <v>17</v>
      </c>
      <c r="B18" t="inlineStr">
        <is>
          <t>Sector 17</t>
        </is>
      </c>
      <c r="C18" t="n">
        <v>1000</v>
      </c>
    </row>
    <row r="19">
      <c r="A19" t="n">
        <v>18</v>
      </c>
      <c r="B19" t="inlineStr">
        <is>
          <t>Sector 18</t>
        </is>
      </c>
      <c r="C19" t="n">
        <v>1000</v>
      </c>
    </row>
    <row r="20">
      <c r="A20" t="n">
        <v>19</v>
      </c>
      <c r="B20" t="inlineStr">
        <is>
          <t>Sector 19</t>
        </is>
      </c>
      <c r="C20" t="n">
        <v>1000</v>
      </c>
    </row>
    <row r="21">
      <c r="A21" t="n">
        <v>20</v>
      </c>
      <c r="B21" t="inlineStr">
        <is>
          <t>Sector 20</t>
        </is>
      </c>
      <c r="C21" t="n">
        <v>1000</v>
      </c>
    </row>
    <row r="22">
      <c r="A22" t="n">
        <v>21</v>
      </c>
      <c r="B22" t="inlineStr">
        <is>
          <t>Sector 21</t>
        </is>
      </c>
      <c r="C22" t="n">
        <v>1000</v>
      </c>
    </row>
    <row r="23">
      <c r="A23" t="n">
        <v>22</v>
      </c>
      <c r="B23" t="inlineStr">
        <is>
          <t>Sector 22</t>
        </is>
      </c>
      <c r="C23" t="n">
        <v>1000</v>
      </c>
    </row>
    <row r="24">
      <c r="A24" t="n">
        <v>23</v>
      </c>
      <c r="B24" t="inlineStr">
        <is>
          <t>Sector 23</t>
        </is>
      </c>
      <c r="C24" t="n">
        <v>1000</v>
      </c>
    </row>
    <row r="25">
      <c r="A25" t="n">
        <v>24</v>
      </c>
      <c r="B25" t="inlineStr">
        <is>
          <t>Sector 24</t>
        </is>
      </c>
      <c r="C25" t="n">
        <v>1000</v>
      </c>
    </row>
    <row r="26">
      <c r="A26" t="n">
        <v>25</v>
      </c>
      <c r="B26" t="inlineStr">
        <is>
          <t>Sector 25</t>
        </is>
      </c>
      <c r="C26" t="n">
        <v>1000</v>
      </c>
    </row>
    <row r="27">
      <c r="A27" t="n">
        <v>26</v>
      </c>
      <c r="B27" t="inlineStr">
        <is>
          <t>Sector 26</t>
        </is>
      </c>
      <c r="C27" t="n">
        <v>1000</v>
      </c>
    </row>
    <row r="28">
      <c r="A28" t="n">
        <v>27</v>
      </c>
      <c r="B28" t="inlineStr">
        <is>
          <t>Sector 27</t>
        </is>
      </c>
      <c r="C28" t="n">
        <v>1000</v>
      </c>
    </row>
    <row r="29">
      <c r="A29" t="n">
        <v>28</v>
      </c>
      <c r="B29" t="inlineStr">
        <is>
          <t>Sector 28</t>
        </is>
      </c>
      <c r="C29" t="n">
        <v>1000</v>
      </c>
    </row>
    <row r="30">
      <c r="A30" t="n">
        <v>29</v>
      </c>
      <c r="B30" t="inlineStr">
        <is>
          <t>Sector 29</t>
        </is>
      </c>
      <c r="C30" t="n">
        <v>1000</v>
      </c>
    </row>
    <row r="31">
      <c r="A31" t="n">
        <v>30</v>
      </c>
      <c r="B31" t="inlineStr">
        <is>
          <t>Sector 30</t>
        </is>
      </c>
      <c r="C31" t="n">
        <v>1000</v>
      </c>
    </row>
    <row r="32">
      <c r="A32" t="n">
        <v>31</v>
      </c>
      <c r="B32" t="inlineStr">
        <is>
          <t>Sector 31</t>
        </is>
      </c>
      <c r="C32" t="n">
        <v>1000</v>
      </c>
    </row>
    <row r="33">
      <c r="A33" t="n">
        <v>32</v>
      </c>
      <c r="B33" t="inlineStr">
        <is>
          <t>Sector 32</t>
        </is>
      </c>
      <c r="C33" t="n">
        <v>1000</v>
      </c>
    </row>
    <row r="34">
      <c r="A34" t="n">
        <v>33</v>
      </c>
      <c r="B34" t="inlineStr">
        <is>
          <t>Sector 33</t>
        </is>
      </c>
      <c r="C34" t="n">
        <v>1000</v>
      </c>
    </row>
    <row r="35">
      <c r="A35" t="n">
        <v>34</v>
      </c>
      <c r="B35" t="inlineStr">
        <is>
          <t>Sector 34</t>
        </is>
      </c>
      <c r="C35" t="n">
        <v>1000</v>
      </c>
    </row>
    <row r="36">
      <c r="A36" t="n">
        <v>35</v>
      </c>
      <c r="B36" t="inlineStr">
        <is>
          <t>Sector 35</t>
        </is>
      </c>
      <c r="C36" t="n">
        <v>1000</v>
      </c>
    </row>
    <row r="37">
      <c r="A37" t="n">
        <v>36</v>
      </c>
      <c r="B37" t="inlineStr">
        <is>
          <t>Sector 36</t>
        </is>
      </c>
      <c r="C37" t="n">
        <v>1000</v>
      </c>
    </row>
    <row r="38">
      <c r="A38" t="n">
        <v>37</v>
      </c>
      <c r="B38" t="inlineStr">
        <is>
          <t>Sector 37</t>
        </is>
      </c>
      <c r="C38" t="n">
        <v>1000</v>
      </c>
    </row>
    <row r="39">
      <c r="A39" t="n">
        <v>38</v>
      </c>
      <c r="B39" t="inlineStr">
        <is>
          <t>Sector 38</t>
        </is>
      </c>
      <c r="C39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SUT Analysis</t>
        </is>
      </c>
    </row>
    <row r="40">
      <c r="C40" t="n">
        <v>450</v>
      </c>
      <c r="D40" t="inlineStr">
        <is>
          <t>Total Imports (Placeholder)</t>
        </is>
      </c>
    </row>
    <row r="41">
      <c r="C41" t="n">
        <v>1000</v>
      </c>
      <c r="D41" t="inlineStr">
        <is>
          <t>Total Output (Placeholder)</t>
        </is>
      </c>
    </row>
    <row r="45">
      <c r="C45" t="inlineStr">
        <is>
          <t>Estimated Import Content Share</t>
        </is>
      </c>
    </row>
    <row r="46">
      <c r="C46">
        <f>C40/C41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A1" t="inlineStr">
        <is>
          <t>Year</t>
        </is>
      </c>
      <c r="B1" s="30" t="inlineStr">
        <is>
          <t>Real GDP Growth (Base)</t>
        </is>
      </c>
      <c r="C1" s="2" t="inlineStr">
        <is>
          <t>GDP Deflator</t>
        </is>
      </c>
      <c r="D1" s="30" t="inlineStr">
        <is>
          <t>Inv (USD bn)</t>
        </is>
      </c>
      <c r="E1" s="30" t="inlineStr">
        <is>
          <t>Inv (GEL bn, Nom)</t>
        </is>
      </c>
      <c r="F1" s="30" t="inlineStr">
        <is>
          <t>Inv (GEL bn, Real)</t>
        </is>
      </c>
      <c r="G1" s="30" t="inlineStr">
        <is>
          <t>GDP Impact (Real)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A2" t="n">
        <v>2020</v>
      </c>
      <c r="B2" s="9">
        <f>WEO_Data!B2</f>
        <v/>
      </c>
      <c r="C2" s="5">
        <f>WEO_Data!D2</f>
        <v/>
      </c>
      <c r="D2" s="5" t="n">
        <v>0</v>
      </c>
      <c r="E2" s="5" t="n">
        <v>0</v>
      </c>
      <c r="F2" s="5" t="n">
        <v>0</v>
      </c>
      <c r="G2" s="4" t="n">
        <v>0</v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A3" t="n">
        <v>2021</v>
      </c>
      <c r="B3" s="9">
        <f>WEO_Data!B3</f>
        <v/>
      </c>
      <c r="C3" s="10">
        <f>WEO_Data!D3</f>
        <v/>
      </c>
      <c r="D3" s="10" t="n">
        <v>0</v>
      </c>
      <c r="E3" s="10" t="n">
        <v>0</v>
      </c>
      <c r="F3" s="10" t="n">
        <v>0</v>
      </c>
      <c r="G3" s="10" t="n">
        <v>0</v>
      </c>
      <c r="H3" s="10" t="n"/>
      <c r="I3" s="10" t="n"/>
      <c r="J3" s="11" t="n"/>
      <c r="K3" s="12" t="n"/>
    </row>
    <row r="4">
      <c r="A4" t="n">
        <v>2022</v>
      </c>
      <c r="B4" s="13">
        <f>WEO_Data!B4</f>
        <v/>
      </c>
      <c r="C4">
        <f>WEO_Data!D4</f>
        <v/>
      </c>
      <c r="D4" t="n">
        <v>0</v>
      </c>
      <c r="E4" t="n">
        <v>0</v>
      </c>
      <c r="F4" t="n">
        <v>0</v>
      </c>
      <c r="G4" t="n">
        <v>0</v>
      </c>
      <c r="K4" s="15" t="n"/>
    </row>
    <row r="5">
      <c r="A5" t="n">
        <v>2023</v>
      </c>
      <c r="B5" s="13">
        <f>WEO_Data!B5</f>
        <v/>
      </c>
      <c r="C5">
        <f>WEO_Data!D5</f>
        <v/>
      </c>
      <c r="D5" t="n">
        <v>0</v>
      </c>
      <c r="E5" t="n">
        <v>0</v>
      </c>
      <c r="F5" t="n">
        <v>0</v>
      </c>
      <c r="G5" t="n">
        <v>0</v>
      </c>
      <c r="K5" s="15" t="n"/>
    </row>
    <row r="6">
      <c r="A6" t="n">
        <v>2024</v>
      </c>
      <c r="B6" s="13">
        <f>WEO_Data!B6</f>
        <v/>
      </c>
      <c r="C6">
        <f>WEO_Data!D6</f>
        <v/>
      </c>
      <c r="D6" t="n">
        <v>0</v>
      </c>
      <c r="E6" t="n">
        <v>0</v>
      </c>
      <c r="F6" t="n">
        <v>0</v>
      </c>
      <c r="G6" t="n">
        <v>0</v>
      </c>
      <c r="K6" s="15" t="n"/>
    </row>
    <row r="7">
      <c r="A7" t="n">
        <v>2025</v>
      </c>
      <c r="B7" s="13">
        <f>WEO_Data!B7</f>
        <v/>
      </c>
      <c r="C7">
        <f>WEO_Data!D7</f>
        <v/>
      </c>
      <c r="D7" t="n">
        <v>0</v>
      </c>
      <c r="E7" t="n">
        <v>0</v>
      </c>
      <c r="F7" t="n">
        <v>0</v>
      </c>
      <c r="G7" t="n">
        <v>0</v>
      </c>
      <c r="K7" s="15" t="n"/>
    </row>
    <row r="8">
      <c r="A8" t="n">
        <v>2026</v>
      </c>
      <c r="B8" s="13">
        <f>WEO_Data!B8</f>
        <v/>
      </c>
      <c r="C8">
        <f>WEO_Data!D8</f>
        <v/>
      </c>
      <c r="D8">
        <f>$D$33*0.05</f>
        <v/>
      </c>
      <c r="E8">
        <f>D8*$D$30</f>
        <v/>
      </c>
      <c r="F8">
        <f>E8/(C8/100)</f>
        <v/>
      </c>
      <c r="G8">
        <f>F8*(1-$D$32)*$D$31</f>
        <v/>
      </c>
      <c r="K8" s="15" t="n"/>
    </row>
    <row r="9">
      <c r="A9" t="n">
        <v>2027</v>
      </c>
      <c r="B9" s="13">
        <f>WEO_Data!B9</f>
        <v/>
      </c>
      <c r="C9">
        <f>WEO_Data!D9</f>
        <v/>
      </c>
      <c r="D9">
        <f>$D$33*0.1</f>
        <v/>
      </c>
      <c r="E9">
        <f>D9*$D$30</f>
        <v/>
      </c>
      <c r="F9">
        <f>E9/(C9/100)</f>
        <v/>
      </c>
      <c r="G9">
        <f>F9*(1-$D$32)*$D$31</f>
        <v/>
      </c>
      <c r="J9" s="16" t="n"/>
      <c r="K9" s="15" t="n"/>
    </row>
    <row r="10">
      <c r="A10" t="n">
        <v>2028</v>
      </c>
      <c r="B10" s="13">
        <f>WEO_Data!B10</f>
        <v/>
      </c>
      <c r="C10">
        <f>WEO_Data!D10</f>
        <v/>
      </c>
      <c r="D10">
        <f>$D$33*0.15</f>
        <v/>
      </c>
      <c r="E10">
        <f>D10*$D$30</f>
        <v/>
      </c>
      <c r="F10">
        <f>E10/(C10/100)</f>
        <v/>
      </c>
      <c r="G10">
        <f>F10*(1-$D$32)*$D$31</f>
        <v/>
      </c>
      <c r="K10" s="15" t="n"/>
    </row>
    <row r="11">
      <c r="A11" t="n">
        <v>2029</v>
      </c>
      <c r="B11" s="13">
        <f>WEO_Data!B11</f>
        <v/>
      </c>
      <c r="C11">
        <f>WEO_Data!D11</f>
        <v/>
      </c>
      <c r="D11">
        <f>$D$33*0.2</f>
        <v/>
      </c>
      <c r="E11">
        <f>D11*$D$30</f>
        <v/>
      </c>
      <c r="F11">
        <f>E11/(C11/100)</f>
        <v/>
      </c>
      <c r="G11">
        <f>F11*(1-$D$32)*$D$31</f>
        <v/>
      </c>
      <c r="K11" s="15" t="n"/>
    </row>
    <row r="12">
      <c r="A12" t="n">
        <v>2030</v>
      </c>
      <c r="B12" s="13">
        <f>WEO_Data!B12</f>
        <v/>
      </c>
      <c r="C12">
        <f>WEO_Data!D12</f>
        <v/>
      </c>
      <c r="D12">
        <f>$D$33*0.2</f>
        <v/>
      </c>
      <c r="E12">
        <f>D12*$D$30</f>
        <v/>
      </c>
      <c r="F12">
        <f>E12/(C12/100)</f>
        <v/>
      </c>
      <c r="G12">
        <f>F12*(1-$D$32)*$D$31</f>
        <v/>
      </c>
      <c r="K12" s="15" t="n"/>
    </row>
    <row r="13">
      <c r="A13" t="n">
        <v>2031</v>
      </c>
      <c r="B13" s="13">
        <f>WEO_Data!B13</f>
        <v/>
      </c>
      <c r="C13">
        <f>WEO_Data!D13</f>
        <v/>
      </c>
      <c r="D13">
        <f>$D$33*0.15</f>
        <v/>
      </c>
      <c r="E13">
        <f>D13*$D$30</f>
        <v/>
      </c>
      <c r="F13">
        <f>E13/(C13/100)</f>
        <v/>
      </c>
      <c r="G13">
        <f>F13*(1-$D$32)*$D$31</f>
        <v/>
      </c>
      <c r="J13" s="17" t="n"/>
      <c r="K13" s="15" t="n"/>
    </row>
    <row r="14">
      <c r="A14" t="n">
        <v>2032</v>
      </c>
      <c r="B14" s="13">
        <f>WEO_Data!B14</f>
        <v/>
      </c>
      <c r="C14">
        <f>WEO_Data!D14</f>
        <v/>
      </c>
      <c r="D14">
        <f>$D$33*0.1</f>
        <v/>
      </c>
      <c r="E14">
        <f>D14*$D$30</f>
        <v/>
      </c>
      <c r="F14">
        <f>E14/(C14/100)</f>
        <v/>
      </c>
      <c r="G14">
        <f>F14*(1-$D$32)*$D$31</f>
        <v/>
      </c>
      <c r="J14" s="17" t="n"/>
      <c r="K14" s="15" t="n"/>
    </row>
    <row r="15">
      <c r="A15" t="n">
        <v>2033</v>
      </c>
      <c r="B15" s="13">
        <f>WEO_Data!B15</f>
        <v/>
      </c>
      <c r="C15">
        <f>WEO_Data!D15</f>
        <v/>
      </c>
      <c r="D15">
        <f>$D$33*0.05</f>
        <v/>
      </c>
      <c r="E15">
        <f>D15*$D$30</f>
        <v/>
      </c>
      <c r="F15">
        <f>E15/(C15/100)</f>
        <v/>
      </c>
      <c r="G15">
        <f>F15*(1-$D$32)*$D$31</f>
        <v/>
      </c>
      <c r="J15" s="17" t="n"/>
      <c r="K15" s="15" t="n"/>
    </row>
    <row r="16">
      <c r="A16" t="n">
        <v>2034</v>
      </c>
      <c r="B16" s="13">
        <f>WEO_Data!B16</f>
        <v/>
      </c>
      <c r="C16">
        <f>WEO_Data!D16</f>
        <v/>
      </c>
      <c r="D16" t="n">
        <v>0</v>
      </c>
      <c r="E16" t="n">
        <v>0</v>
      </c>
      <c r="F16" t="n">
        <v>0</v>
      </c>
      <c r="G16" t="n">
        <v>0</v>
      </c>
      <c r="J16" s="17" t="n"/>
      <c r="K16" s="15" t="n"/>
    </row>
    <row r="17">
      <c r="A17" t="n">
        <v>2035</v>
      </c>
      <c r="B17" s="13">
        <f>WEO_Data!B17</f>
        <v/>
      </c>
      <c r="C17">
        <f>WEO_Data!D17</f>
        <v/>
      </c>
      <c r="D17" t="n">
        <v>0</v>
      </c>
      <c r="E17" t="n">
        <v>0</v>
      </c>
      <c r="F17" t="n">
        <v>0</v>
      </c>
      <c r="G17" t="n">
        <v>0</v>
      </c>
      <c r="J17" s="17" t="n"/>
      <c r="K17" s="15" t="n"/>
    </row>
    <row r="18">
      <c r="A18" t="n">
        <v>2036</v>
      </c>
      <c r="B18" s="13">
        <f>WEO_Data!B18</f>
        <v/>
      </c>
      <c r="C18">
        <f>WEO_Data!D18</f>
        <v/>
      </c>
      <c r="D18" t="n">
        <v>0</v>
      </c>
      <c r="E18" t="n">
        <v>0</v>
      </c>
      <c r="F18" t="n">
        <v>0</v>
      </c>
      <c r="G18" t="n">
        <v>0</v>
      </c>
      <c r="J18" s="17" t="n"/>
      <c r="K18" s="15" t="n"/>
    </row>
    <row r="19">
      <c r="A19" t="n">
        <v>2037</v>
      </c>
      <c r="B19" s="13">
        <f>WEO_Data!B19</f>
        <v/>
      </c>
      <c r="C19">
        <f>WEO_Data!D19</f>
        <v/>
      </c>
      <c r="D19" t="n">
        <v>0</v>
      </c>
      <c r="E19" t="n">
        <v>0</v>
      </c>
      <c r="F19" t="n">
        <v>0</v>
      </c>
      <c r="G19" t="n">
        <v>0</v>
      </c>
      <c r="J19" s="17" t="n"/>
      <c r="K19" s="15" t="n"/>
    </row>
    <row r="20">
      <c r="A20" t="n">
        <v>2038</v>
      </c>
      <c r="B20" s="13">
        <f>WEO_Data!B20</f>
        <v/>
      </c>
      <c r="C20">
        <f>WEO_Data!D20</f>
        <v/>
      </c>
      <c r="D20" t="n">
        <v>0</v>
      </c>
      <c r="E20" t="n">
        <v>0</v>
      </c>
      <c r="F20" t="n">
        <v>0</v>
      </c>
      <c r="G20" t="n">
        <v>0</v>
      </c>
      <c r="J20" s="17" t="n"/>
      <c r="K20" s="15" t="n"/>
    </row>
    <row r="21">
      <c r="A21" t="n">
        <v>2039</v>
      </c>
      <c r="B21" s="13">
        <f>WEO_Data!B21</f>
        <v/>
      </c>
      <c r="C21">
        <f>WEO_Data!D21</f>
        <v/>
      </c>
      <c r="D21" t="n">
        <v>0</v>
      </c>
      <c r="E21" t="n">
        <v>0</v>
      </c>
      <c r="F21" t="n">
        <v>0</v>
      </c>
      <c r="G21" t="n">
        <v>0</v>
      </c>
      <c r="J21" s="17" t="n"/>
      <c r="K21" s="15" t="n"/>
    </row>
    <row r="22">
      <c r="A22" t="n">
        <v>2040</v>
      </c>
      <c r="B22" s="13">
        <f>WEO_Data!B22</f>
        <v/>
      </c>
      <c r="C22">
        <f>WEO_Data!D22</f>
        <v/>
      </c>
      <c r="D22" t="n">
        <v>0</v>
      </c>
      <c r="E22" t="n">
        <v>0</v>
      </c>
      <c r="F22" t="n">
        <v>0</v>
      </c>
      <c r="G22" t="n">
        <v>0</v>
      </c>
      <c r="J22" s="17" t="n"/>
      <c r="K22" s="15" t="n"/>
    </row>
    <row r="23">
      <c r="A23" t="n">
        <v>2041</v>
      </c>
      <c r="B23" s="13">
        <f>WEO_Data!B23</f>
        <v/>
      </c>
      <c r="C23">
        <f>WEO_Data!D23</f>
        <v/>
      </c>
      <c r="D23" t="n">
        <v>0</v>
      </c>
      <c r="E23" t="n">
        <v>0</v>
      </c>
      <c r="F23" t="n">
        <v>0</v>
      </c>
      <c r="G23" t="n">
        <v>0</v>
      </c>
      <c r="J23" s="17" t="n"/>
      <c r="K23" s="15" t="n"/>
    </row>
    <row r="24">
      <c r="A24" t="n">
        <v>2042</v>
      </c>
      <c r="B24" s="13">
        <f>WEO_Data!B24</f>
        <v/>
      </c>
      <c r="C24">
        <f>WEO_Data!D24</f>
        <v/>
      </c>
      <c r="D24" t="n">
        <v>0</v>
      </c>
      <c r="E24" t="n">
        <v>0</v>
      </c>
      <c r="F24" t="n">
        <v>0</v>
      </c>
      <c r="G24" t="n">
        <v>0</v>
      </c>
      <c r="J24" s="17" t="n"/>
      <c r="K24" s="15" t="n"/>
    </row>
    <row r="25">
      <c r="A25" t="n">
        <v>2043</v>
      </c>
      <c r="B25" s="18">
        <f>WEO_Data!B25</f>
        <v/>
      </c>
      <c r="C25" s="19">
        <f>WEO_Data!D25</f>
        <v/>
      </c>
      <c r="D25" s="19" t="n">
        <v>0</v>
      </c>
      <c r="E25" s="19" t="n">
        <v>0</v>
      </c>
      <c r="F25" s="19" t="n">
        <v>0</v>
      </c>
      <c r="G25" s="19" t="n">
        <v>0</v>
      </c>
      <c r="H25" s="19" t="n"/>
      <c r="I25" s="19" t="n"/>
      <c r="J25" s="20" t="n"/>
      <c r="K25" s="21" t="n"/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Exchange Rate (GEL/USD)</t>
        </is>
      </c>
      <c r="D30" t="n">
        <v>2.746</v>
      </c>
      <c r="K30" s="15" t="n"/>
    </row>
    <row r="31">
      <c r="C31" s="13" t="inlineStr">
        <is>
          <t>Demand Multiplier</t>
        </is>
      </c>
      <c r="D31" s="28" t="n">
        <v>1</v>
      </c>
      <c r="K31" s="15" t="n"/>
    </row>
    <row r="32">
      <c r="C32" s="13" t="inlineStr">
        <is>
          <t>Import Content Share</t>
        </is>
      </c>
      <c r="D32" s="29">
        <f>'SUT Calc'!C46</f>
        <v/>
      </c>
      <c r="K32" s="15" t="n"/>
    </row>
    <row r="33">
      <c r="C33" s="18" t="inlineStr">
        <is>
          <t>Total Investment (USD Billion)</t>
        </is>
      </c>
      <c r="D33" s="19" t="n">
        <v>6.5</v>
      </c>
      <c r="E33" s="19" t="n"/>
      <c r="F33" s="19" t="n"/>
      <c r="G33" s="19" t="n"/>
      <c r="H33" s="19" t="n"/>
      <c r="I33" s="19" t="n"/>
      <c r="J33" s="27" t="n"/>
      <c r="K33" s="21" t="n"/>
    </row>
  </sheetData>
  <mergeCells count="1">
    <mergeCell ref="G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A1" t="inlineStr">
        <is>
          <t>Year</t>
        </is>
      </c>
      <c r="B1" s="30" t="inlineStr">
        <is>
          <t>Real GDP Growth (Base)</t>
        </is>
      </c>
      <c r="C1" s="2" t="inlineStr">
        <is>
          <t>GDP Deflator</t>
        </is>
      </c>
      <c r="D1" s="30" t="inlineStr">
        <is>
          <t>Inv (USD bn)</t>
        </is>
      </c>
      <c r="E1" s="30" t="inlineStr">
        <is>
          <t>Inv (GEL bn, Nom)</t>
        </is>
      </c>
      <c r="F1" s="30" t="inlineStr">
        <is>
          <t>Inv (GEL bn, Real)</t>
        </is>
      </c>
      <c r="G1" s="30" t="inlineStr">
        <is>
          <t>GDP Impact (Real)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A2" t="n">
        <v>2020</v>
      </c>
      <c r="B2" s="9">
        <f>WEO_Data!B2</f>
        <v/>
      </c>
      <c r="C2" s="5">
        <f>WEO_Data!D2</f>
        <v/>
      </c>
      <c r="D2" s="5" t="n">
        <v>0</v>
      </c>
      <c r="E2" s="5" t="n">
        <v>0</v>
      </c>
      <c r="F2" s="5" t="n">
        <v>0</v>
      </c>
      <c r="G2" s="4" t="n">
        <v>0</v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A3" t="n">
        <v>2021</v>
      </c>
      <c r="B3" s="9">
        <f>WEO_Data!B3</f>
        <v/>
      </c>
      <c r="C3" s="10">
        <f>WEO_Data!D3</f>
        <v/>
      </c>
      <c r="D3" s="10" t="n">
        <v>0</v>
      </c>
      <c r="E3" s="10" t="n">
        <v>0</v>
      </c>
      <c r="F3" s="10" t="n">
        <v>0</v>
      </c>
      <c r="G3" s="10" t="n">
        <v>0</v>
      </c>
      <c r="H3" s="10" t="n"/>
      <c r="I3" s="10" t="n"/>
      <c r="J3" s="11" t="n"/>
      <c r="K3" s="12" t="n"/>
    </row>
    <row r="4">
      <c r="A4" t="n">
        <v>2022</v>
      </c>
      <c r="B4" s="13">
        <f>WEO_Data!B4</f>
        <v/>
      </c>
      <c r="C4">
        <f>WEO_Data!D4</f>
        <v/>
      </c>
      <c r="D4" t="n">
        <v>0</v>
      </c>
      <c r="E4" t="n">
        <v>0</v>
      </c>
      <c r="F4" t="n">
        <v>0</v>
      </c>
      <c r="G4" t="n">
        <v>0</v>
      </c>
      <c r="K4" s="15" t="n"/>
    </row>
    <row r="5">
      <c r="A5" t="n">
        <v>2023</v>
      </c>
      <c r="B5" s="13">
        <f>WEO_Data!B5</f>
        <v/>
      </c>
      <c r="C5">
        <f>WEO_Data!D5</f>
        <v/>
      </c>
      <c r="D5" t="n">
        <v>0</v>
      </c>
      <c r="E5" t="n">
        <v>0</v>
      </c>
      <c r="F5" t="n">
        <v>0</v>
      </c>
      <c r="G5" t="n">
        <v>0</v>
      </c>
      <c r="K5" s="15" t="n"/>
    </row>
    <row r="6">
      <c r="A6" t="n">
        <v>2024</v>
      </c>
      <c r="B6" s="13">
        <f>WEO_Data!B6</f>
        <v/>
      </c>
      <c r="C6">
        <f>WEO_Data!D6</f>
        <v/>
      </c>
      <c r="D6" t="n">
        <v>0</v>
      </c>
      <c r="E6" t="n">
        <v>0</v>
      </c>
      <c r="F6" t="n">
        <v>0</v>
      </c>
      <c r="G6" t="n">
        <v>0</v>
      </c>
      <c r="K6" s="15" t="n"/>
    </row>
    <row r="7">
      <c r="A7" t="n">
        <v>2025</v>
      </c>
      <c r="B7" s="13">
        <f>WEO_Data!B7</f>
        <v/>
      </c>
      <c r="C7">
        <f>WEO_Data!D7</f>
        <v/>
      </c>
      <c r="D7" t="n">
        <v>0</v>
      </c>
      <c r="E7" t="n">
        <v>0</v>
      </c>
      <c r="F7" t="n">
        <v>0</v>
      </c>
      <c r="G7" t="n">
        <v>0</v>
      </c>
      <c r="K7" s="15" t="n"/>
    </row>
    <row r="8">
      <c r="A8" t="n">
        <v>2026</v>
      </c>
      <c r="B8" s="13">
        <f>WEO_Data!B8</f>
        <v/>
      </c>
      <c r="C8">
        <f>WEO_Data!D8</f>
        <v/>
      </c>
      <c r="D8">
        <f>$D$33*0.05</f>
        <v/>
      </c>
      <c r="E8">
        <f>D8*$D$30</f>
        <v/>
      </c>
      <c r="F8">
        <f>E8/(C8/100)</f>
        <v/>
      </c>
      <c r="G8">
        <f>F8*(1-$D$32)*$D$31</f>
        <v/>
      </c>
      <c r="K8" s="15" t="n"/>
    </row>
    <row r="9">
      <c r="A9" t="n">
        <v>2027</v>
      </c>
      <c r="B9" s="13">
        <f>WEO_Data!B9</f>
        <v/>
      </c>
      <c r="C9">
        <f>WEO_Data!D9</f>
        <v/>
      </c>
      <c r="D9">
        <f>$D$33*0.1</f>
        <v/>
      </c>
      <c r="E9">
        <f>D9*$D$30</f>
        <v/>
      </c>
      <c r="F9">
        <f>E9/(C9/100)</f>
        <v/>
      </c>
      <c r="G9">
        <f>F9*(1-$D$32)*$D$31</f>
        <v/>
      </c>
      <c r="J9" s="16" t="n"/>
      <c r="K9" s="15" t="n"/>
    </row>
    <row r="10">
      <c r="A10" t="n">
        <v>2028</v>
      </c>
      <c r="B10" s="13">
        <f>WEO_Data!B10</f>
        <v/>
      </c>
      <c r="C10">
        <f>WEO_Data!D10</f>
        <v/>
      </c>
      <c r="D10">
        <f>$D$33*0.15</f>
        <v/>
      </c>
      <c r="E10">
        <f>D10*$D$30</f>
        <v/>
      </c>
      <c r="F10">
        <f>E10/(C10/100)</f>
        <v/>
      </c>
      <c r="G10">
        <f>F10*(1-$D$32)*$D$31</f>
        <v/>
      </c>
      <c r="K10" s="15" t="n"/>
    </row>
    <row r="11">
      <c r="A11" t="n">
        <v>2029</v>
      </c>
      <c r="B11" s="13">
        <f>WEO_Data!B11</f>
        <v/>
      </c>
      <c r="C11">
        <f>WEO_Data!D11</f>
        <v/>
      </c>
      <c r="D11">
        <f>$D$33*0.2</f>
        <v/>
      </c>
      <c r="E11">
        <f>D11*$D$30</f>
        <v/>
      </c>
      <c r="F11">
        <f>E11/(C11/100)</f>
        <v/>
      </c>
      <c r="G11">
        <f>F11*(1-$D$32)*$D$31</f>
        <v/>
      </c>
      <c r="K11" s="15" t="n"/>
    </row>
    <row r="12">
      <c r="A12" t="n">
        <v>2030</v>
      </c>
      <c r="B12" s="13">
        <f>WEO_Data!B12</f>
        <v/>
      </c>
      <c r="C12">
        <f>WEO_Data!D12</f>
        <v/>
      </c>
      <c r="D12">
        <f>$D$33*0.2</f>
        <v/>
      </c>
      <c r="E12">
        <f>D12*$D$30</f>
        <v/>
      </c>
      <c r="F12">
        <f>E12/(C12/100)</f>
        <v/>
      </c>
      <c r="G12">
        <f>F12*(1-$D$32)*$D$31</f>
        <v/>
      </c>
      <c r="K12" s="15" t="n"/>
    </row>
    <row r="13">
      <c r="A13" t="n">
        <v>2031</v>
      </c>
      <c r="B13" s="13">
        <f>WEO_Data!B13</f>
        <v/>
      </c>
      <c r="C13">
        <f>WEO_Data!D13</f>
        <v/>
      </c>
      <c r="D13">
        <f>$D$33*0.15</f>
        <v/>
      </c>
      <c r="E13">
        <f>D13*$D$30</f>
        <v/>
      </c>
      <c r="F13">
        <f>E13/(C13/100)</f>
        <v/>
      </c>
      <c r="G13">
        <f>F13*(1-$D$32)*$D$31</f>
        <v/>
      </c>
      <c r="J13" s="17" t="n"/>
      <c r="K13" s="15" t="n"/>
    </row>
    <row r="14">
      <c r="A14" t="n">
        <v>2032</v>
      </c>
      <c r="B14" s="13">
        <f>WEO_Data!B14</f>
        <v/>
      </c>
      <c r="C14">
        <f>WEO_Data!D14</f>
        <v/>
      </c>
      <c r="D14">
        <f>$D$33*0.1</f>
        <v/>
      </c>
      <c r="E14">
        <f>D14*$D$30</f>
        <v/>
      </c>
      <c r="F14">
        <f>E14/(C14/100)</f>
        <v/>
      </c>
      <c r="G14">
        <f>F14*(1-$D$32)*$D$31</f>
        <v/>
      </c>
      <c r="J14" s="17" t="n"/>
      <c r="K14" s="15" t="n"/>
    </row>
    <row r="15">
      <c r="A15" t="n">
        <v>2033</v>
      </c>
      <c r="B15" s="13">
        <f>WEO_Data!B15</f>
        <v/>
      </c>
      <c r="C15">
        <f>WEO_Data!D15</f>
        <v/>
      </c>
      <c r="D15">
        <f>$D$33*0.05</f>
        <v/>
      </c>
      <c r="E15">
        <f>D15*$D$30</f>
        <v/>
      </c>
      <c r="F15">
        <f>E15/(C15/100)</f>
        <v/>
      </c>
      <c r="G15">
        <f>F15*(1-$D$32)*$D$31</f>
        <v/>
      </c>
      <c r="J15" s="17" t="n"/>
      <c r="K15" s="15" t="n"/>
    </row>
    <row r="16">
      <c r="A16" t="n">
        <v>2034</v>
      </c>
      <c r="B16" s="13">
        <f>WEO_Data!B16</f>
        <v/>
      </c>
      <c r="C16">
        <f>WEO_Data!D16</f>
        <v/>
      </c>
      <c r="D16" t="n">
        <v>0</v>
      </c>
      <c r="E16" t="n">
        <v>0</v>
      </c>
      <c r="F16" t="n">
        <v>0</v>
      </c>
      <c r="G16" t="n">
        <v>0</v>
      </c>
      <c r="J16" s="17" t="n"/>
      <c r="K16" s="15" t="n"/>
    </row>
    <row r="17">
      <c r="A17" t="n">
        <v>2035</v>
      </c>
      <c r="B17" s="13">
        <f>WEO_Data!B17</f>
        <v/>
      </c>
      <c r="C17">
        <f>WEO_Data!D17</f>
        <v/>
      </c>
      <c r="D17" t="n">
        <v>0</v>
      </c>
      <c r="E17" t="n">
        <v>0</v>
      </c>
      <c r="F17" t="n">
        <v>0</v>
      </c>
      <c r="G17" t="n">
        <v>0</v>
      </c>
      <c r="J17" s="17" t="n"/>
      <c r="K17" s="15" t="n"/>
    </row>
    <row r="18">
      <c r="A18" t="n">
        <v>2036</v>
      </c>
      <c r="B18" s="13">
        <f>WEO_Data!B18</f>
        <v/>
      </c>
      <c r="C18">
        <f>WEO_Data!D18</f>
        <v/>
      </c>
      <c r="D18" t="n">
        <v>0</v>
      </c>
      <c r="E18" t="n">
        <v>0</v>
      </c>
      <c r="F18" t="n">
        <v>0</v>
      </c>
      <c r="G18" t="n">
        <v>0</v>
      </c>
      <c r="J18" s="17" t="n"/>
      <c r="K18" s="15" t="n"/>
    </row>
    <row r="19">
      <c r="A19" t="n">
        <v>2037</v>
      </c>
      <c r="B19" s="13">
        <f>WEO_Data!B19</f>
        <v/>
      </c>
      <c r="C19">
        <f>WEO_Data!D19</f>
        <v/>
      </c>
      <c r="D19" t="n">
        <v>0</v>
      </c>
      <c r="E19" t="n">
        <v>0</v>
      </c>
      <c r="F19" t="n">
        <v>0</v>
      </c>
      <c r="G19" t="n">
        <v>0</v>
      </c>
      <c r="J19" s="17" t="n"/>
      <c r="K19" s="15" t="n"/>
    </row>
    <row r="20">
      <c r="A20" t="n">
        <v>2038</v>
      </c>
      <c r="B20" s="13">
        <f>WEO_Data!B20</f>
        <v/>
      </c>
      <c r="C20">
        <f>WEO_Data!D20</f>
        <v/>
      </c>
      <c r="D20" t="n">
        <v>0</v>
      </c>
      <c r="E20" t="n">
        <v>0</v>
      </c>
      <c r="F20" t="n">
        <v>0</v>
      </c>
      <c r="G20" t="n">
        <v>0</v>
      </c>
      <c r="J20" s="17" t="n"/>
      <c r="K20" s="15" t="n"/>
    </row>
    <row r="21">
      <c r="A21" t="n">
        <v>2039</v>
      </c>
      <c r="B21" s="13">
        <f>WEO_Data!B21</f>
        <v/>
      </c>
      <c r="C21">
        <f>WEO_Data!D21</f>
        <v/>
      </c>
      <c r="D21" t="n">
        <v>0</v>
      </c>
      <c r="E21" t="n">
        <v>0</v>
      </c>
      <c r="F21" t="n">
        <v>0</v>
      </c>
      <c r="G21" t="n">
        <v>0</v>
      </c>
      <c r="J21" s="17" t="n"/>
      <c r="K21" s="15" t="n"/>
    </row>
    <row r="22">
      <c r="A22" t="n">
        <v>2040</v>
      </c>
      <c r="B22" s="13">
        <f>WEO_Data!B22</f>
        <v/>
      </c>
      <c r="C22">
        <f>WEO_Data!D22</f>
        <v/>
      </c>
      <c r="D22" t="n">
        <v>0</v>
      </c>
      <c r="E22" t="n">
        <v>0</v>
      </c>
      <c r="F22" t="n">
        <v>0</v>
      </c>
      <c r="G22" t="n">
        <v>0</v>
      </c>
      <c r="J22" s="17" t="n"/>
      <c r="K22" s="15" t="n"/>
    </row>
    <row r="23">
      <c r="A23" t="n">
        <v>2041</v>
      </c>
      <c r="B23" s="13">
        <f>WEO_Data!B23</f>
        <v/>
      </c>
      <c r="C23">
        <f>WEO_Data!D23</f>
        <v/>
      </c>
      <c r="D23" t="n">
        <v>0</v>
      </c>
      <c r="E23" t="n">
        <v>0</v>
      </c>
      <c r="F23" t="n">
        <v>0</v>
      </c>
      <c r="G23" t="n">
        <v>0</v>
      </c>
      <c r="J23" s="17" t="n"/>
      <c r="K23" s="15" t="n"/>
    </row>
    <row r="24">
      <c r="A24" t="n">
        <v>2042</v>
      </c>
      <c r="B24" s="13">
        <f>WEO_Data!B24</f>
        <v/>
      </c>
      <c r="C24">
        <f>WEO_Data!D24</f>
        <v/>
      </c>
      <c r="D24" t="n">
        <v>0</v>
      </c>
      <c r="E24" t="n">
        <v>0</v>
      </c>
      <c r="F24" t="n">
        <v>0</v>
      </c>
      <c r="G24" t="n">
        <v>0</v>
      </c>
      <c r="J24" s="17" t="n"/>
      <c r="K24" s="15" t="n"/>
    </row>
    <row r="25">
      <c r="A25" t="n">
        <v>2043</v>
      </c>
      <c r="B25" s="18">
        <f>WEO_Data!B25</f>
        <v/>
      </c>
      <c r="C25" s="19">
        <f>WEO_Data!D25</f>
        <v/>
      </c>
      <c r="D25" s="19" t="n">
        <v>0</v>
      </c>
      <c r="E25" s="19" t="n">
        <v>0</v>
      </c>
      <c r="F25" s="19" t="n">
        <v>0</v>
      </c>
      <c r="G25" s="19" t="n">
        <v>0</v>
      </c>
      <c r="H25" s="19" t="n"/>
      <c r="I25" s="19" t="n"/>
      <c r="J25" s="20" t="n"/>
      <c r="K25" s="21" t="n"/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Exchange Rate (GEL/USD)</t>
        </is>
      </c>
      <c r="D30" t="n">
        <v>2.746</v>
      </c>
      <c r="K30" s="15" t="n"/>
    </row>
    <row r="31">
      <c r="C31" s="13" t="inlineStr">
        <is>
          <t>Demand Multiplier</t>
        </is>
      </c>
      <c r="D31" s="28" t="n">
        <v>0.8</v>
      </c>
      <c r="K31" s="15" t="n"/>
    </row>
    <row r="32">
      <c r="C32" s="13" t="inlineStr">
        <is>
          <t>Import Content Share</t>
        </is>
      </c>
      <c r="D32" s="29" t="n">
        <v>0.5</v>
      </c>
      <c r="K32" s="15" t="n"/>
    </row>
    <row r="33">
      <c r="C33" s="18" t="inlineStr">
        <is>
          <t>Total Investment (USD Billion)</t>
        </is>
      </c>
      <c r="D33" s="19" t="n">
        <v>6.5</v>
      </c>
      <c r="E33" s="19" t="n"/>
      <c r="F33" s="19" t="n"/>
      <c r="G33" s="19" t="n"/>
      <c r="H33" s="19" t="n"/>
      <c r="I33" s="19" t="n"/>
      <c r="J33" s="27" t="n"/>
      <c r="K33" s="21" t="n"/>
    </row>
  </sheetData>
  <mergeCells count="1"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2026-01-29T05:58:08Z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