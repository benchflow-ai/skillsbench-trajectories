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PPLY" sheetId="3" state="visible" r:id="rId3"/>
    <sheet name="USE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96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Multiplier:</t>
        </is>
      </c>
      <c r="H1">
        <f>D32</f>
        <v/>
      </c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Import Share:</t>
        </is>
      </c>
      <c r="H2" s="6">
        <f>D33</f>
        <v/>
      </c>
      <c r="I2" s="4" t="inlineStr">
        <is>
          <t>% of GDP</t>
        </is>
      </c>
      <c r="J2" s="7" t="n"/>
      <c r="K2" s="8" t="n">
        <v>102245</v>
      </c>
    </row>
    <row r="3">
      <c r="B3" s="9" t="n">
        <v>2020</v>
      </c>
      <c r="C3" s="10">
        <f>'WEO_Data'!D2</f>
        <v/>
      </c>
      <c r="D3" s="10" t="n">
        <v>0</v>
      </c>
      <c r="E3" s="10">
        <f>D3*1*0/1e6</f>
        <v/>
      </c>
      <c r="F3" s="10">
        <f>E3*3</f>
        <v/>
      </c>
      <c r="G3" s="10">
        <f>(E3-F3)*2</f>
        <v/>
      </c>
      <c r="H3" s="10" t="n"/>
      <c r="I3" s="10" t="n"/>
      <c r="J3" s="11">
        <f>'WEO_Data'!B2</f>
        <v/>
      </c>
      <c r="K3" s="12">
        <f>C3 + (G3/)*</f>
        <v/>
      </c>
    </row>
    <row r="4">
      <c r="B4" s="13" t="n">
        <v>2021</v>
      </c>
      <c r="C4">
        <f>'WEO_Data'!D3</f>
        <v/>
      </c>
      <c r="D4" t="n">
        <v>0</v>
      </c>
      <c r="E4">
        <f>D4*1*0/1e6</f>
        <v/>
      </c>
      <c r="F4">
        <f>E4*3</f>
        <v/>
      </c>
      <c r="G4">
        <f>(E4-F4)*2</f>
        <v/>
      </c>
      <c r="J4">
        <f>'WEO_Data'!B3</f>
        <v/>
      </c>
      <c r="K4" s="15">
        <f>C4 + (G4/)*</f>
        <v/>
      </c>
    </row>
    <row r="5">
      <c r="B5" s="13" t="n">
        <v>2022</v>
      </c>
      <c r="C5">
        <f>'WEO_Data'!D4</f>
        <v/>
      </c>
      <c r="D5" t="n">
        <v>0</v>
      </c>
      <c r="E5">
        <f>D5*1*0/1e6</f>
        <v/>
      </c>
      <c r="F5">
        <f>E5*3</f>
        <v/>
      </c>
      <c r="G5">
        <f>(E5-F5)*2</f>
        <v/>
      </c>
      <c r="J5">
        <f>'WEO_Data'!B4</f>
        <v/>
      </c>
      <c r="K5" s="15">
        <f>C5 + (G5/)*</f>
        <v/>
      </c>
    </row>
    <row r="6">
      <c r="B6" s="13" t="n">
        <v>2023</v>
      </c>
      <c r="C6">
        <f>'WEO_Data'!D5</f>
        <v/>
      </c>
      <c r="D6" t="n">
        <v>0</v>
      </c>
      <c r="E6">
        <f>D6*1*0/1e6</f>
        <v/>
      </c>
      <c r="F6">
        <f>E6*3</f>
        <v/>
      </c>
      <c r="G6">
        <f>(E6-F6)*2</f>
        <v/>
      </c>
      <c r="J6">
        <f>'WEO_Data'!B5</f>
        <v/>
      </c>
      <c r="K6" s="15">
        <f>C6 + (G6/)*</f>
        <v/>
      </c>
    </row>
    <row r="7">
      <c r="B7" s="13" t="n">
        <v>2024</v>
      </c>
      <c r="C7">
        <f>'WEO_Data'!D6</f>
        <v/>
      </c>
      <c r="D7" t="n">
        <v>0</v>
      </c>
      <c r="E7">
        <f>D7*1*0/1e6</f>
        <v/>
      </c>
      <c r="F7">
        <f>E7*3</f>
        <v/>
      </c>
      <c r="G7">
        <f>(E7-F7)*2</f>
        <v/>
      </c>
      <c r="J7">
        <f>'WEO_Data'!B6</f>
        <v/>
      </c>
      <c r="K7" s="15">
        <f>C7 + (G7/)*</f>
        <v/>
      </c>
    </row>
    <row r="8">
      <c r="B8" s="13" t="n">
        <v>2025</v>
      </c>
      <c r="C8">
        <f>'WEO_Data'!D7</f>
        <v/>
      </c>
      <c r="D8" t="n">
        <v>0</v>
      </c>
      <c r="E8">
        <f>D8*1*0/1e6</f>
        <v/>
      </c>
      <c r="F8">
        <f>E8*3</f>
        <v/>
      </c>
      <c r="G8">
        <f>(E8-F8)*2</f>
        <v/>
      </c>
      <c r="J8">
        <f>'WEO_Data'!B7</f>
        <v/>
      </c>
      <c r="K8" s="15">
        <f>C8 + (G8/)*</f>
        <v/>
      </c>
    </row>
    <row r="9">
      <c r="B9" s="13" t="n">
        <v>2026</v>
      </c>
      <c r="C9">
        <f>'WEO_Data'!D8</f>
        <v/>
      </c>
      <c r="D9" t="n">
        <v>0.05</v>
      </c>
      <c r="E9">
        <f>D9*1*0/1e6</f>
        <v/>
      </c>
      <c r="F9">
        <f>E9*3</f>
        <v/>
      </c>
      <c r="G9">
        <f>(E9-F9)*2</f>
        <v/>
      </c>
      <c r="J9" s="16">
        <f>'WEO_Data'!B8</f>
        <v/>
      </c>
      <c r="K9" s="15">
        <f>C9 + (G9/)*</f>
        <v/>
      </c>
    </row>
    <row r="10">
      <c r="B10" s="13" t="n">
        <v>2027</v>
      </c>
      <c r="C10">
        <f>'WEO_Data'!D9</f>
        <v/>
      </c>
      <c r="D10" t="n">
        <v>0.1</v>
      </c>
      <c r="E10">
        <f>D10*1*0/1e6</f>
        <v/>
      </c>
      <c r="F10">
        <f>E10*3</f>
        <v/>
      </c>
      <c r="G10">
        <f>(E10-F10)*2</f>
        <v/>
      </c>
      <c r="J10">
        <f>'WEO_Data'!B9</f>
        <v/>
      </c>
      <c r="K10" s="15">
        <f>C10 + (G10/)*</f>
        <v/>
      </c>
    </row>
    <row r="11">
      <c r="B11" s="13" t="n">
        <v>2028</v>
      </c>
      <c r="C11">
        <f>'WEO_Data'!D10</f>
        <v/>
      </c>
      <c r="D11" t="n">
        <v>0.15</v>
      </c>
      <c r="E11">
        <f>D11*1*0/1e6</f>
        <v/>
      </c>
      <c r="F11">
        <f>E11*3</f>
        <v/>
      </c>
      <c r="G11">
        <f>(E11-F11)*2</f>
        <v/>
      </c>
      <c r="J11">
        <f>'WEO_Data'!B10</f>
        <v/>
      </c>
      <c r="K11" s="15">
        <f>C11 + (G11/)*</f>
        <v/>
      </c>
    </row>
    <row r="12">
      <c r="B12" s="13" t="n">
        <v>2029</v>
      </c>
      <c r="C12">
        <f>'WEO_Data'!D11</f>
        <v/>
      </c>
      <c r="D12" t="n">
        <v>0.2</v>
      </c>
      <c r="E12">
        <f>D12*1*0/1e6</f>
        <v/>
      </c>
      <c r="F12">
        <f>E12*3</f>
        <v/>
      </c>
      <c r="G12">
        <f>(E12-F12)*2</f>
        <v/>
      </c>
      <c r="J12">
        <f>'WEO_Data'!B11</f>
        <v/>
      </c>
      <c r="K12" s="15">
        <f>C12 + (G12/)*</f>
        <v/>
      </c>
    </row>
    <row r="13">
      <c r="B13" s="13" t="n">
        <v>2030</v>
      </c>
      <c r="C13">
        <f>'WEO_Data'!D12</f>
        <v/>
      </c>
      <c r="D13" t="n">
        <v>0.2</v>
      </c>
      <c r="E13">
        <f>D13*1*0/1e6</f>
        <v/>
      </c>
      <c r="F13">
        <f>E13*3</f>
        <v/>
      </c>
      <c r="G13">
        <f>(E13-F13)*2</f>
        <v/>
      </c>
      <c r="J13" s="17">
        <f>'WEO_Data'!B12</f>
        <v/>
      </c>
      <c r="K13" s="15">
        <f>C13 + (G13/)*</f>
        <v/>
      </c>
    </row>
    <row r="14">
      <c r="B14" s="13" t="n">
        <v>2031</v>
      </c>
      <c r="C14">
        <f>'WEO_Data'!D13</f>
        <v/>
      </c>
      <c r="D14" t="n">
        <v>0.15</v>
      </c>
      <c r="E14">
        <f>D14*1*0/1e6</f>
        <v/>
      </c>
      <c r="F14">
        <f>E14*3</f>
        <v/>
      </c>
      <c r="G14">
        <f>(E14-F14)*2</f>
        <v/>
      </c>
      <c r="J14" s="17">
        <f>'WEO_Data'!B13</f>
        <v/>
      </c>
      <c r="K14" s="15">
        <f>C14 + (G14/)*</f>
        <v/>
      </c>
    </row>
    <row r="15">
      <c r="B15" s="13" t="n">
        <v>2032</v>
      </c>
      <c r="C15">
        <f>'WEO_Data'!D14</f>
        <v/>
      </c>
      <c r="D15" t="n">
        <v>0.1</v>
      </c>
      <c r="E15">
        <f>D15*1*0/1e6</f>
        <v/>
      </c>
      <c r="F15">
        <f>E15*3</f>
        <v/>
      </c>
      <c r="G15">
        <f>(E15-F15)*2</f>
        <v/>
      </c>
      <c r="J15" s="17">
        <f>'WEO_Data'!B14</f>
        <v/>
      </c>
      <c r="K15" s="15">
        <f>C15 + (G15/)*</f>
        <v/>
      </c>
    </row>
    <row r="16">
      <c r="B16" s="13" t="n">
        <v>2033</v>
      </c>
      <c r="C16">
        <f>'WEO_Data'!D15</f>
        <v/>
      </c>
      <c r="D16" t="n">
        <v>0.05</v>
      </c>
      <c r="E16">
        <f>D16*1*0/1e6</f>
        <v/>
      </c>
      <c r="F16">
        <f>E16*3</f>
        <v/>
      </c>
      <c r="G16">
        <f>(E16-F16)*2</f>
        <v/>
      </c>
      <c r="J16" s="17">
        <f>'WEO_Data'!B15</f>
        <v/>
      </c>
      <c r="K16" s="15">
        <f>C16 + (G16/)*</f>
        <v/>
      </c>
    </row>
    <row r="17">
      <c r="B17" s="13" t="n">
        <v>2034</v>
      </c>
      <c r="C17">
        <f>'WEO_Data'!D16</f>
        <v/>
      </c>
      <c r="D17" t="n">
        <v>0</v>
      </c>
      <c r="E17">
        <f>D17*1*0/1e6</f>
        <v/>
      </c>
      <c r="F17">
        <f>E17*3</f>
        <v/>
      </c>
      <c r="G17">
        <f>(E17-F17)*2</f>
        <v/>
      </c>
      <c r="J17" s="17">
        <f>'WEO_Data'!B16</f>
        <v/>
      </c>
      <c r="K17" s="15">
        <f>C17 + (G17/)*</f>
        <v/>
      </c>
    </row>
    <row r="18">
      <c r="B18" s="13" t="n">
        <v>2035</v>
      </c>
      <c r="C18">
        <f>'WEO_Data'!D17</f>
        <v/>
      </c>
      <c r="D18" t="n">
        <v>0</v>
      </c>
      <c r="E18">
        <f>D18*1*0/1e6</f>
        <v/>
      </c>
      <c r="F18">
        <f>E18*3</f>
        <v/>
      </c>
      <c r="G18">
        <f>(E18-F18)*2</f>
        <v/>
      </c>
      <c r="J18" s="17">
        <f>'WEO_Data'!B17</f>
        <v/>
      </c>
      <c r="K18" s="15">
        <f>C18 + (G18/)*</f>
        <v/>
      </c>
    </row>
    <row r="19">
      <c r="B19" s="13" t="n">
        <v>2036</v>
      </c>
      <c r="C19">
        <f>'WEO_Data'!D18</f>
        <v/>
      </c>
      <c r="D19" t="n">
        <v>0</v>
      </c>
      <c r="E19">
        <f>D19*1*0/1e6</f>
        <v/>
      </c>
      <c r="F19">
        <f>E19*3</f>
        <v/>
      </c>
      <c r="G19">
        <f>(E19-F19)*2</f>
        <v/>
      </c>
      <c r="J19" s="17">
        <f>'WEO_Data'!B18</f>
        <v/>
      </c>
      <c r="K19" s="15">
        <f>C19 + (G19/)*</f>
        <v/>
      </c>
    </row>
    <row r="20">
      <c r="B20" s="13" t="n">
        <v>2037</v>
      </c>
      <c r="C20">
        <f>'WEO_Data'!D19</f>
        <v/>
      </c>
      <c r="D20" t="n">
        <v>0</v>
      </c>
      <c r="E20">
        <f>D20*1*0/1e6</f>
        <v/>
      </c>
      <c r="F20">
        <f>E20*3</f>
        <v/>
      </c>
      <c r="G20">
        <f>(E20-F20)*2</f>
        <v/>
      </c>
      <c r="J20" s="17">
        <f>'WEO_Data'!B19</f>
        <v/>
      </c>
      <c r="K20" s="15">
        <f>C20 + (G20/)*</f>
        <v/>
      </c>
    </row>
    <row r="21">
      <c r="B21" s="13" t="n">
        <v>2038</v>
      </c>
      <c r="C21">
        <f>'WEO_Data'!D20</f>
        <v/>
      </c>
      <c r="D21" t="n">
        <v>0</v>
      </c>
      <c r="E21">
        <f>D21*1*0/1e6</f>
        <v/>
      </c>
      <c r="F21">
        <f>E21*3</f>
        <v/>
      </c>
      <c r="G21">
        <f>(E21-F21)*2</f>
        <v/>
      </c>
      <c r="J21" s="17">
        <f>'WEO_Data'!B20</f>
        <v/>
      </c>
      <c r="K21" s="15">
        <f>C21 + (G21/)*</f>
        <v/>
      </c>
    </row>
    <row r="22">
      <c r="B22" s="13" t="n">
        <v>2039</v>
      </c>
      <c r="C22">
        <f>'WEO_Data'!D21</f>
        <v/>
      </c>
      <c r="D22" t="n">
        <v>0</v>
      </c>
      <c r="E22">
        <f>D22*1*0/1e6</f>
        <v/>
      </c>
      <c r="F22">
        <f>E22*3</f>
        <v/>
      </c>
      <c r="G22">
        <f>(E22-F22)*2</f>
        <v/>
      </c>
      <c r="J22" s="17">
        <f>'WEO_Data'!B21</f>
        <v/>
      </c>
      <c r="K22" s="15">
        <f>C22 + (G22/)*</f>
        <v/>
      </c>
    </row>
    <row r="23">
      <c r="B23" s="13" t="n">
        <v>2040</v>
      </c>
      <c r="C23">
        <f>'WEO_Data'!D22</f>
        <v/>
      </c>
      <c r="D23" t="n">
        <v>0</v>
      </c>
      <c r="E23">
        <f>D23*1*0/1e6</f>
        <v/>
      </c>
      <c r="F23">
        <f>E23*3</f>
        <v/>
      </c>
      <c r="G23">
        <f>(E23-F23)*2</f>
        <v/>
      </c>
      <c r="J23" s="17">
        <f>'WEO_Data'!B22</f>
        <v/>
      </c>
      <c r="K23" s="15">
        <f>C23 + (G23/)*</f>
        <v/>
      </c>
    </row>
    <row r="24">
      <c r="B24" s="13" t="n">
        <v>2041</v>
      </c>
      <c r="C24">
        <f>'WEO_Data'!D23</f>
        <v/>
      </c>
      <c r="D24" t="n">
        <v>0</v>
      </c>
      <c r="E24">
        <f>D24*1*0/1e6</f>
        <v/>
      </c>
      <c r="F24">
        <f>E24*3</f>
        <v/>
      </c>
      <c r="G24">
        <f>(E24-F24)*2</f>
        <v/>
      </c>
      <c r="J24" s="17">
        <f>'WEO_Data'!B23</f>
        <v/>
      </c>
      <c r="K24" s="15">
        <f>C24 + (G24/)*</f>
        <v/>
      </c>
    </row>
    <row r="25">
      <c r="B25" s="18" t="n">
        <v>2042</v>
      </c>
      <c r="C25" s="19">
        <f>'WEO_Data'!D24</f>
        <v/>
      </c>
      <c r="D25" s="19" t="n">
        <v>0</v>
      </c>
      <c r="E25" s="19">
        <f>D25*1*0/1e6</f>
        <v/>
      </c>
      <c r="F25" s="19">
        <f>E25*3</f>
        <v/>
      </c>
      <c r="G25" s="19">
        <f>(E25-F25)*2</f>
        <v/>
      </c>
      <c r="H25" s="19" t="n"/>
      <c r="I25" s="19" t="n"/>
      <c r="J25" s="20">
        <f>'WEO_Data'!B24</f>
        <v/>
      </c>
      <c r="K25" s="21">
        <f>C25 + (G25/)*</f>
        <v/>
      </c>
    </row>
    <row r="26">
      <c r="B26" t="n">
        <v>2043</v>
      </c>
      <c r="C26">
        <f>'WEO_Data'!D25</f>
        <v/>
      </c>
      <c r="D26" t="n">
        <v>0</v>
      </c>
      <c r="E26">
        <f>D26*1*0/1e6</f>
        <v/>
      </c>
      <c r="F26">
        <f>E26*3</f>
        <v/>
      </c>
      <c r="G26">
        <f>(E26-F26)*2</f>
        <v/>
      </c>
      <c r="J26">
        <f>'WEO_Data'!B25</f>
        <v/>
      </c>
      <c r="K26">
        <f>C26 + (G26/)*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D30" t="n">
        <v>2.746</v>
      </c>
      <c r="K30" s="15" t="n"/>
    </row>
    <row r="31">
      <c r="C31" s="13" t="inlineStr">
        <is>
          <t>import content share</t>
        </is>
      </c>
      <c r="D31" s="28" t="n">
        <v>6500000000</v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>
        <f>$'SUT Calc'!6</f>
        <v/>
      </c>
      <c r="E33" s="19" t="n"/>
      <c r="F33" s="19" t="n"/>
      <c r="G33" s="19" t="n"/>
      <c r="H33" s="19" t="n"/>
      <c r="I33" s="19" t="n"/>
      <c r="J33" s="27" t="n"/>
      <c r="K33" s="21" t="n"/>
    </row>
    <row r="35">
      <c r="B35" t="inlineStr">
        <is>
          <t>Scenario 2</t>
        </is>
      </c>
      <c r="G35" t="inlineStr">
        <is>
          <t>Multiplier:</t>
        </is>
      </c>
      <c r="H35" t="n">
        <v>1</v>
      </c>
    </row>
    <row r="36">
      <c r="B36" t="inlineStr">
        <is>
          <t>Year</t>
        </is>
      </c>
      <c r="C36" t="inlineStr">
        <is>
          <t>Real GDP</t>
        </is>
      </c>
      <c r="D36" t="inlineStr">
        <is>
          <t>Project Allocation (%)</t>
        </is>
      </c>
      <c r="E36" t="inlineStr">
        <is>
          <t>Project Investment</t>
        </is>
      </c>
      <c r="F36" t="inlineStr">
        <is>
          <t>Imports</t>
        </is>
      </c>
      <c r="G36" t="inlineStr">
        <is>
          <t>Import Share:</t>
        </is>
      </c>
      <c r="H36">
        <f>3</f>
        <v/>
      </c>
      <c r="J36" t="inlineStr">
        <is>
          <t>Baseline GDP Growth</t>
        </is>
      </c>
      <c r="K36" t="inlineStr">
        <is>
          <t>Projected Growth</t>
        </is>
      </c>
    </row>
    <row r="37">
      <c r="G37" t="inlineStr">
        <is>
          <t>I-M</t>
        </is>
      </c>
      <c r="H37" t="inlineStr">
        <is>
          <t>Multiplier</t>
        </is>
      </c>
      <c r="I37" t="inlineStr">
        <is>
          <t>% of GDP</t>
        </is>
      </c>
    </row>
    <row r="38">
      <c r="B38">
        <f>B3</f>
        <v/>
      </c>
      <c r="C38">
        <f>C3</f>
        <v/>
      </c>
      <c r="D38">
        <f>D3</f>
        <v/>
      </c>
      <c r="E38">
        <f>D38*1*0/1e6</f>
        <v/>
      </c>
      <c r="F38">
        <f>E38*H36</f>
        <v/>
      </c>
      <c r="G38">
        <f>(E38-F38)*H35</f>
        <v/>
      </c>
      <c r="J38">
        <f>J3</f>
        <v/>
      </c>
      <c r="K38">
        <f>C38 + (G38/)*</f>
        <v/>
      </c>
    </row>
    <row r="39">
      <c r="B39">
        <f>B4</f>
        <v/>
      </c>
      <c r="C39">
        <f>C4</f>
        <v/>
      </c>
      <c r="D39">
        <f>D4</f>
        <v/>
      </c>
      <c r="E39">
        <f>D39*1*0/1e6</f>
        <v/>
      </c>
      <c r="F39">
        <f>E39*H36</f>
        <v/>
      </c>
      <c r="G39">
        <f>(E39-F39)*H35</f>
        <v/>
      </c>
      <c r="J39">
        <f>J4</f>
        <v/>
      </c>
      <c r="K39">
        <f>C39 + (G39/)*</f>
        <v/>
      </c>
    </row>
    <row r="40">
      <c r="B40">
        <f>B5</f>
        <v/>
      </c>
      <c r="C40">
        <f>C5</f>
        <v/>
      </c>
      <c r="D40">
        <f>D5</f>
        <v/>
      </c>
      <c r="E40">
        <f>D40*1*0/1e6</f>
        <v/>
      </c>
      <c r="F40">
        <f>E40*H36</f>
        <v/>
      </c>
      <c r="G40">
        <f>(E40-F40)*H35</f>
        <v/>
      </c>
      <c r="J40">
        <f>J5</f>
        <v/>
      </c>
      <c r="K40">
        <f>C40 + (G40/)*</f>
        <v/>
      </c>
    </row>
    <row r="41">
      <c r="B41">
        <f>B6</f>
        <v/>
      </c>
      <c r="C41">
        <f>C6</f>
        <v/>
      </c>
      <c r="D41">
        <f>D6</f>
        <v/>
      </c>
      <c r="E41">
        <f>D41*1*0/1e6</f>
        <v/>
      </c>
      <c r="F41">
        <f>E41*H36</f>
        <v/>
      </c>
      <c r="G41">
        <f>(E41-F41)*H35</f>
        <v/>
      </c>
      <c r="J41">
        <f>J6</f>
        <v/>
      </c>
      <c r="K41">
        <f>C41 + (G41/)*</f>
        <v/>
      </c>
    </row>
    <row r="42">
      <c r="B42">
        <f>B7</f>
        <v/>
      </c>
      <c r="C42">
        <f>C7</f>
        <v/>
      </c>
      <c r="D42">
        <f>D7</f>
        <v/>
      </c>
      <c r="E42">
        <f>D42*1*0/1e6</f>
        <v/>
      </c>
      <c r="F42">
        <f>E42*H36</f>
        <v/>
      </c>
      <c r="G42">
        <f>(E42-F42)*H35</f>
        <v/>
      </c>
      <c r="J42">
        <f>J7</f>
        <v/>
      </c>
      <c r="K42">
        <f>C42 + (G42/)*</f>
        <v/>
      </c>
    </row>
    <row r="43">
      <c r="B43">
        <f>B8</f>
        <v/>
      </c>
      <c r="C43">
        <f>C8</f>
        <v/>
      </c>
      <c r="D43">
        <f>D8</f>
        <v/>
      </c>
      <c r="E43">
        <f>D43*1*0/1e6</f>
        <v/>
      </c>
      <c r="F43">
        <f>E43*H36</f>
        <v/>
      </c>
      <c r="G43">
        <f>(E43-F43)*H35</f>
        <v/>
      </c>
      <c r="J43">
        <f>J8</f>
        <v/>
      </c>
      <c r="K43">
        <f>C43 + (G43/)*</f>
        <v/>
      </c>
    </row>
    <row r="44">
      <c r="B44">
        <f>B9</f>
        <v/>
      </c>
      <c r="C44">
        <f>C9</f>
        <v/>
      </c>
      <c r="D44">
        <f>D9</f>
        <v/>
      </c>
      <c r="E44">
        <f>D44*1*0/1e6</f>
        <v/>
      </c>
      <c r="F44">
        <f>E44*H36</f>
        <v/>
      </c>
      <c r="G44">
        <f>(E44-F44)*H35</f>
        <v/>
      </c>
      <c r="J44">
        <f>J9</f>
        <v/>
      </c>
      <c r="K44">
        <f>C44 + (G44/)*</f>
        <v/>
      </c>
    </row>
    <row r="45">
      <c r="B45">
        <f>B10</f>
        <v/>
      </c>
      <c r="C45">
        <f>C10</f>
        <v/>
      </c>
      <c r="D45">
        <f>D10</f>
        <v/>
      </c>
      <c r="E45">
        <f>D45*1*0/1e6</f>
        <v/>
      </c>
      <c r="F45">
        <f>E45*H36</f>
        <v/>
      </c>
      <c r="G45">
        <f>(E45-F45)*H35</f>
        <v/>
      </c>
      <c r="J45">
        <f>J10</f>
        <v/>
      </c>
      <c r="K45">
        <f>C45 + (G45/)*</f>
        <v/>
      </c>
    </row>
    <row r="46">
      <c r="B46">
        <f>B11</f>
        <v/>
      </c>
      <c r="C46">
        <f>C11</f>
        <v/>
      </c>
      <c r="D46">
        <f>D11</f>
        <v/>
      </c>
      <c r="E46">
        <f>D46*1*0/1e6</f>
        <v/>
      </c>
      <c r="F46">
        <f>E46*H36</f>
        <v/>
      </c>
      <c r="G46">
        <f>(E46-F46)*H35</f>
        <v/>
      </c>
      <c r="J46">
        <f>J11</f>
        <v/>
      </c>
      <c r="K46">
        <f>C46 + (G46/)*</f>
        <v/>
      </c>
    </row>
    <row r="47">
      <c r="B47">
        <f>B12</f>
        <v/>
      </c>
      <c r="C47">
        <f>C12</f>
        <v/>
      </c>
      <c r="D47">
        <f>D12</f>
        <v/>
      </c>
      <c r="E47">
        <f>D47*1*0/1e6</f>
        <v/>
      </c>
      <c r="F47">
        <f>E47*H36</f>
        <v/>
      </c>
      <c r="G47">
        <f>(E47-F47)*H35</f>
        <v/>
      </c>
      <c r="J47">
        <f>J12</f>
        <v/>
      </c>
      <c r="K47">
        <f>C47 + (G47/)*</f>
        <v/>
      </c>
    </row>
    <row r="48">
      <c r="B48">
        <f>B13</f>
        <v/>
      </c>
      <c r="C48">
        <f>C13</f>
        <v/>
      </c>
      <c r="D48">
        <f>D13</f>
        <v/>
      </c>
      <c r="E48">
        <f>D48*1*0/1e6</f>
        <v/>
      </c>
      <c r="F48">
        <f>E48*H36</f>
        <v/>
      </c>
      <c r="G48">
        <f>(E48-F48)*H35</f>
        <v/>
      </c>
      <c r="J48">
        <f>J13</f>
        <v/>
      </c>
      <c r="K48">
        <f>C48 + (G48/)*</f>
        <v/>
      </c>
    </row>
    <row r="49">
      <c r="B49">
        <f>B14</f>
        <v/>
      </c>
      <c r="C49">
        <f>C14</f>
        <v/>
      </c>
      <c r="D49">
        <f>D14</f>
        <v/>
      </c>
      <c r="E49">
        <f>D49*1*0/1e6</f>
        <v/>
      </c>
      <c r="F49">
        <f>E49*H36</f>
        <v/>
      </c>
      <c r="G49">
        <f>(E49-F49)*H35</f>
        <v/>
      </c>
      <c r="J49">
        <f>J14</f>
        <v/>
      </c>
      <c r="K49">
        <f>C49 + (G49/)*</f>
        <v/>
      </c>
    </row>
    <row r="50">
      <c r="B50">
        <f>B15</f>
        <v/>
      </c>
      <c r="C50">
        <f>C15</f>
        <v/>
      </c>
      <c r="D50">
        <f>D15</f>
        <v/>
      </c>
      <c r="E50">
        <f>D50*1*0/1e6</f>
        <v/>
      </c>
      <c r="F50">
        <f>E50*H36</f>
        <v/>
      </c>
      <c r="G50">
        <f>(E50-F50)*H35</f>
        <v/>
      </c>
      <c r="J50">
        <f>J15</f>
        <v/>
      </c>
      <c r="K50">
        <f>C50 + (G50/)*</f>
        <v/>
      </c>
    </row>
    <row r="51">
      <c r="B51">
        <f>B16</f>
        <v/>
      </c>
      <c r="C51">
        <f>C16</f>
        <v/>
      </c>
      <c r="D51">
        <f>D16</f>
        <v/>
      </c>
      <c r="E51">
        <f>D51*1*0/1e6</f>
        <v/>
      </c>
      <c r="F51">
        <f>E51*H36</f>
        <v/>
      </c>
      <c r="G51">
        <f>(E51-F51)*H35</f>
        <v/>
      </c>
      <c r="J51">
        <f>J16</f>
        <v/>
      </c>
      <c r="K51">
        <f>C51 + (G51/)*</f>
        <v/>
      </c>
    </row>
    <row r="52">
      <c r="B52">
        <f>B17</f>
        <v/>
      </c>
      <c r="C52">
        <f>C17</f>
        <v/>
      </c>
      <c r="D52">
        <f>D17</f>
        <v/>
      </c>
      <c r="E52">
        <f>D52*1*0/1e6</f>
        <v/>
      </c>
      <c r="F52">
        <f>E52*H36</f>
        <v/>
      </c>
      <c r="G52">
        <f>(E52-F52)*H35</f>
        <v/>
      </c>
      <c r="J52">
        <f>J17</f>
        <v/>
      </c>
      <c r="K52">
        <f>C52 + (G52/)*</f>
        <v/>
      </c>
    </row>
    <row r="53">
      <c r="B53">
        <f>B18</f>
        <v/>
      </c>
      <c r="C53">
        <f>C18</f>
        <v/>
      </c>
      <c r="D53">
        <f>D18</f>
        <v/>
      </c>
      <c r="E53">
        <f>D53*1*0/1e6</f>
        <v/>
      </c>
      <c r="F53">
        <f>E53*H36</f>
        <v/>
      </c>
      <c r="G53">
        <f>(E53-F53)*H35</f>
        <v/>
      </c>
      <c r="J53">
        <f>J18</f>
        <v/>
      </c>
      <c r="K53">
        <f>C53 + (G53/)*</f>
        <v/>
      </c>
    </row>
    <row r="54">
      <c r="B54">
        <f>B19</f>
        <v/>
      </c>
      <c r="C54">
        <f>C19</f>
        <v/>
      </c>
      <c r="D54">
        <f>D19</f>
        <v/>
      </c>
      <c r="E54">
        <f>D54*1*0/1e6</f>
        <v/>
      </c>
      <c r="F54">
        <f>E54*H36</f>
        <v/>
      </c>
      <c r="G54">
        <f>(E54-F54)*H35</f>
        <v/>
      </c>
      <c r="J54">
        <f>J19</f>
        <v/>
      </c>
      <c r="K54">
        <f>C54 + (G54/)*</f>
        <v/>
      </c>
    </row>
    <row r="55">
      <c r="B55">
        <f>B20</f>
        <v/>
      </c>
      <c r="C55">
        <f>C20</f>
        <v/>
      </c>
      <c r="D55">
        <f>D20</f>
        <v/>
      </c>
      <c r="E55">
        <f>D55*1*0/1e6</f>
        <v/>
      </c>
      <c r="F55">
        <f>E55*H36</f>
        <v/>
      </c>
      <c r="G55">
        <f>(E55-F55)*H35</f>
        <v/>
      </c>
      <c r="J55">
        <f>J20</f>
        <v/>
      </c>
      <c r="K55">
        <f>C55 + (G55/)*</f>
        <v/>
      </c>
    </row>
    <row r="56">
      <c r="B56">
        <f>B21</f>
        <v/>
      </c>
      <c r="C56">
        <f>C21</f>
        <v/>
      </c>
      <c r="D56">
        <f>D21</f>
        <v/>
      </c>
      <c r="E56">
        <f>D56*1*0/1e6</f>
        <v/>
      </c>
      <c r="F56">
        <f>E56*H36</f>
        <v/>
      </c>
      <c r="G56">
        <f>(E56-F56)*H35</f>
        <v/>
      </c>
      <c r="J56">
        <f>J21</f>
        <v/>
      </c>
      <c r="K56">
        <f>C56 + (G56/)*</f>
        <v/>
      </c>
    </row>
    <row r="57">
      <c r="B57">
        <f>B22</f>
        <v/>
      </c>
      <c r="C57">
        <f>C22</f>
        <v/>
      </c>
      <c r="D57">
        <f>D22</f>
        <v/>
      </c>
      <c r="E57">
        <f>D57*1*0/1e6</f>
        <v/>
      </c>
      <c r="F57">
        <f>E57*H36</f>
        <v/>
      </c>
      <c r="G57">
        <f>(E57-F57)*H35</f>
        <v/>
      </c>
      <c r="J57">
        <f>J22</f>
        <v/>
      </c>
      <c r="K57">
        <f>C57 + (G57/)*</f>
        <v/>
      </c>
    </row>
    <row r="58">
      <c r="B58">
        <f>B23</f>
        <v/>
      </c>
      <c r="C58">
        <f>C23</f>
        <v/>
      </c>
      <c r="D58">
        <f>D23</f>
        <v/>
      </c>
      <c r="E58">
        <f>D58*1*0/1e6</f>
        <v/>
      </c>
      <c r="F58">
        <f>E58*H36</f>
        <v/>
      </c>
      <c r="G58">
        <f>(E58-F58)*H35</f>
        <v/>
      </c>
      <c r="J58">
        <f>J23</f>
        <v/>
      </c>
      <c r="K58">
        <f>C58 + (G58/)*</f>
        <v/>
      </c>
    </row>
    <row r="59">
      <c r="B59">
        <f>B24</f>
        <v/>
      </c>
      <c r="C59">
        <f>C24</f>
        <v/>
      </c>
      <c r="D59">
        <f>D24</f>
        <v/>
      </c>
      <c r="E59">
        <f>D59*1*0/1e6</f>
        <v/>
      </c>
      <c r="F59">
        <f>E59*H36</f>
        <v/>
      </c>
      <c r="G59">
        <f>(E59-F59)*H35</f>
        <v/>
      </c>
      <c r="J59">
        <f>J24</f>
        <v/>
      </c>
      <c r="K59">
        <f>C59 + (G59/)*</f>
        <v/>
      </c>
    </row>
    <row r="60">
      <c r="B60">
        <f>B25</f>
        <v/>
      </c>
      <c r="C60">
        <f>C25</f>
        <v/>
      </c>
      <c r="D60">
        <f>D25</f>
        <v/>
      </c>
      <c r="E60">
        <f>D60*1*0/1e6</f>
        <v/>
      </c>
      <c r="F60">
        <f>E60*H36</f>
        <v/>
      </c>
      <c r="G60">
        <f>(E60-F60)*H35</f>
        <v/>
      </c>
      <c r="J60">
        <f>J25</f>
        <v/>
      </c>
      <c r="K60">
        <f>C60 + (G60/)*</f>
        <v/>
      </c>
    </row>
    <row r="61">
      <c r="B61">
        <f>B26</f>
        <v/>
      </c>
      <c r="C61">
        <f>C26</f>
        <v/>
      </c>
      <c r="D61">
        <f>D26</f>
        <v/>
      </c>
      <c r="E61">
        <f>D61*1*0/1e6</f>
        <v/>
      </c>
      <c r="F61">
        <f>E61*H36</f>
        <v/>
      </c>
      <c r="G61">
        <f>(E61-F61)*H35</f>
        <v/>
      </c>
      <c r="J61">
        <f>J26</f>
        <v/>
      </c>
      <c r="K61">
        <f>C61 + (G61/)*</f>
        <v/>
      </c>
    </row>
    <row r="70">
      <c r="B70" t="inlineStr">
        <is>
          <t>Scenario 3</t>
        </is>
      </c>
      <c r="G70" t="inlineStr">
        <is>
          <t>Multiplier:</t>
        </is>
      </c>
      <c r="H70">
        <f>2</f>
        <v/>
      </c>
    </row>
    <row r="71">
      <c r="B71" t="inlineStr">
        <is>
          <t>Year</t>
        </is>
      </c>
      <c r="C71" t="inlineStr">
        <is>
          <t>Real GDP</t>
        </is>
      </c>
      <c r="D71" t="inlineStr">
        <is>
          <t>Project Allocation (%)</t>
        </is>
      </c>
      <c r="E71" t="inlineStr">
        <is>
          <t>Project Investment</t>
        </is>
      </c>
      <c r="F71" t="inlineStr">
        <is>
          <t>Imports</t>
        </is>
      </c>
      <c r="G71" t="inlineStr">
        <is>
          <t>Import Share:</t>
        </is>
      </c>
      <c r="H71" t="n">
        <v>0.5</v>
      </c>
      <c r="J71" t="inlineStr">
        <is>
          <t>Baseline GDP Growth</t>
        </is>
      </c>
      <c r="K71" t="inlineStr">
        <is>
          <t>Projected Growth</t>
        </is>
      </c>
    </row>
    <row r="72">
      <c r="G72" t="inlineStr">
        <is>
          <t>I-M</t>
        </is>
      </c>
      <c r="H72" t="inlineStr">
        <is>
          <t>Multiplier</t>
        </is>
      </c>
      <c r="I72" t="inlineStr">
        <is>
          <t>% of GDP</t>
        </is>
      </c>
    </row>
    <row r="73">
      <c r="B73">
        <f>B3</f>
        <v/>
      </c>
      <c r="C73">
        <f>C3</f>
        <v/>
      </c>
      <c r="D73">
        <f>D3</f>
        <v/>
      </c>
      <c r="E73">
        <f>D73*1*0/1e6</f>
        <v/>
      </c>
      <c r="F73">
        <f>E73*H71</f>
        <v/>
      </c>
      <c r="G73">
        <f>(E73-F73)*H70</f>
        <v/>
      </c>
      <c r="J73">
        <f>J3</f>
        <v/>
      </c>
      <c r="K73">
        <f>C73 + (G73/)*</f>
        <v/>
      </c>
    </row>
    <row r="74">
      <c r="B74">
        <f>B4</f>
        <v/>
      </c>
      <c r="C74">
        <f>C4</f>
        <v/>
      </c>
      <c r="D74">
        <f>D4</f>
        <v/>
      </c>
      <c r="E74">
        <f>D74*1*0/1e6</f>
        <v/>
      </c>
      <c r="F74">
        <f>E74*H71</f>
        <v/>
      </c>
      <c r="G74">
        <f>(E74-F74)*H70</f>
        <v/>
      </c>
      <c r="J74">
        <f>J4</f>
        <v/>
      </c>
      <c r="K74">
        <f>C74 + (G74/)*</f>
        <v/>
      </c>
    </row>
    <row r="75">
      <c r="B75">
        <f>B5</f>
        <v/>
      </c>
      <c r="C75">
        <f>C5</f>
        <v/>
      </c>
      <c r="D75">
        <f>D5</f>
        <v/>
      </c>
      <c r="E75">
        <f>D75*1*0/1e6</f>
        <v/>
      </c>
      <c r="F75">
        <f>E75*H71</f>
        <v/>
      </c>
      <c r="G75">
        <f>(E75-F75)*H70</f>
        <v/>
      </c>
      <c r="J75">
        <f>J5</f>
        <v/>
      </c>
      <c r="K75">
        <f>C75 + (G75/)*</f>
        <v/>
      </c>
    </row>
    <row r="76">
      <c r="B76">
        <f>B6</f>
        <v/>
      </c>
      <c r="C76">
        <f>C6</f>
        <v/>
      </c>
      <c r="D76">
        <f>D6</f>
        <v/>
      </c>
      <c r="E76">
        <f>D76*1*0/1e6</f>
        <v/>
      </c>
      <c r="F76">
        <f>E76*H71</f>
        <v/>
      </c>
      <c r="G76">
        <f>(E76-F76)*H70</f>
        <v/>
      </c>
      <c r="J76">
        <f>J6</f>
        <v/>
      </c>
      <c r="K76">
        <f>C76 + (G76/)*</f>
        <v/>
      </c>
    </row>
    <row r="77">
      <c r="B77">
        <f>B7</f>
        <v/>
      </c>
      <c r="C77">
        <f>C7</f>
        <v/>
      </c>
      <c r="D77">
        <f>D7</f>
        <v/>
      </c>
      <c r="E77">
        <f>D77*1*0/1e6</f>
        <v/>
      </c>
      <c r="F77">
        <f>E77*H71</f>
        <v/>
      </c>
      <c r="G77">
        <f>(E77-F77)*H70</f>
        <v/>
      </c>
      <c r="J77">
        <f>J7</f>
        <v/>
      </c>
      <c r="K77">
        <f>C77 + (G77/)*</f>
        <v/>
      </c>
    </row>
    <row r="78">
      <c r="B78">
        <f>B8</f>
        <v/>
      </c>
      <c r="C78">
        <f>C8</f>
        <v/>
      </c>
      <c r="D78">
        <f>D8</f>
        <v/>
      </c>
      <c r="E78">
        <f>D78*1*0/1e6</f>
        <v/>
      </c>
      <c r="F78">
        <f>E78*H71</f>
        <v/>
      </c>
      <c r="G78">
        <f>(E78-F78)*H70</f>
        <v/>
      </c>
      <c r="J78">
        <f>J8</f>
        <v/>
      </c>
      <c r="K78">
        <f>C78 + (G78/)*</f>
        <v/>
      </c>
    </row>
    <row r="79">
      <c r="B79">
        <f>B9</f>
        <v/>
      </c>
      <c r="C79">
        <f>C9</f>
        <v/>
      </c>
      <c r="D79">
        <f>D9</f>
        <v/>
      </c>
      <c r="E79">
        <f>D79*1*0/1e6</f>
        <v/>
      </c>
      <c r="F79">
        <f>E79*H71</f>
        <v/>
      </c>
      <c r="G79">
        <f>(E79-F79)*H70</f>
        <v/>
      </c>
      <c r="J79">
        <f>J9</f>
        <v/>
      </c>
      <c r="K79">
        <f>C79 + (G79/)*</f>
        <v/>
      </c>
    </row>
    <row r="80">
      <c r="B80">
        <f>B10</f>
        <v/>
      </c>
      <c r="C80">
        <f>C10</f>
        <v/>
      </c>
      <c r="D80">
        <f>D10</f>
        <v/>
      </c>
      <c r="E80">
        <f>D80*1*0/1e6</f>
        <v/>
      </c>
      <c r="F80">
        <f>E80*H71</f>
        <v/>
      </c>
      <c r="G80">
        <f>(E80-F80)*H70</f>
        <v/>
      </c>
      <c r="J80">
        <f>J10</f>
        <v/>
      </c>
      <c r="K80">
        <f>C80 + (G80/)*</f>
        <v/>
      </c>
    </row>
    <row r="81">
      <c r="B81">
        <f>B11</f>
        <v/>
      </c>
      <c r="C81">
        <f>C11</f>
        <v/>
      </c>
      <c r="D81">
        <f>D11</f>
        <v/>
      </c>
      <c r="E81">
        <f>D81*1*0/1e6</f>
        <v/>
      </c>
      <c r="F81">
        <f>E81*H71</f>
        <v/>
      </c>
      <c r="G81">
        <f>(E81-F81)*H70</f>
        <v/>
      </c>
      <c r="J81">
        <f>J11</f>
        <v/>
      </c>
      <c r="K81">
        <f>C81 + (G81/)*</f>
        <v/>
      </c>
    </row>
    <row r="82">
      <c r="B82">
        <f>B12</f>
        <v/>
      </c>
      <c r="C82">
        <f>C12</f>
        <v/>
      </c>
      <c r="D82">
        <f>D12</f>
        <v/>
      </c>
      <c r="E82">
        <f>D82*1*0/1e6</f>
        <v/>
      </c>
      <c r="F82">
        <f>E82*H71</f>
        <v/>
      </c>
      <c r="G82">
        <f>(E82-F82)*H70</f>
        <v/>
      </c>
      <c r="J82">
        <f>J12</f>
        <v/>
      </c>
      <c r="K82">
        <f>C82 + (G82/)*</f>
        <v/>
      </c>
    </row>
    <row r="83">
      <c r="B83">
        <f>B13</f>
        <v/>
      </c>
      <c r="C83">
        <f>C13</f>
        <v/>
      </c>
      <c r="D83">
        <f>D13</f>
        <v/>
      </c>
      <c r="E83">
        <f>D83*1*0/1e6</f>
        <v/>
      </c>
      <c r="F83">
        <f>E83*H71</f>
        <v/>
      </c>
      <c r="G83">
        <f>(E83-F83)*H70</f>
        <v/>
      </c>
      <c r="J83">
        <f>J13</f>
        <v/>
      </c>
      <c r="K83">
        <f>C83 + (G83/)*</f>
        <v/>
      </c>
    </row>
    <row r="84">
      <c r="B84">
        <f>B14</f>
        <v/>
      </c>
      <c r="C84">
        <f>C14</f>
        <v/>
      </c>
      <c r="D84">
        <f>D14</f>
        <v/>
      </c>
      <c r="E84">
        <f>D84*1*0/1e6</f>
        <v/>
      </c>
      <c r="F84">
        <f>E84*H71</f>
        <v/>
      </c>
      <c r="G84">
        <f>(E84-F84)*H70</f>
        <v/>
      </c>
      <c r="J84">
        <f>J14</f>
        <v/>
      </c>
      <c r="K84">
        <f>C84 + (G84/)*</f>
        <v/>
      </c>
    </row>
    <row r="85">
      <c r="B85">
        <f>B15</f>
        <v/>
      </c>
      <c r="C85">
        <f>C15</f>
        <v/>
      </c>
      <c r="D85">
        <f>D15</f>
        <v/>
      </c>
      <c r="E85">
        <f>D85*1*0/1e6</f>
        <v/>
      </c>
      <c r="F85">
        <f>E85*H71</f>
        <v/>
      </c>
      <c r="G85">
        <f>(E85-F85)*H70</f>
        <v/>
      </c>
      <c r="J85">
        <f>J15</f>
        <v/>
      </c>
      <c r="K85">
        <f>C85 + (G85/)*</f>
        <v/>
      </c>
    </row>
    <row r="86">
      <c r="B86">
        <f>B16</f>
        <v/>
      </c>
      <c r="C86">
        <f>C16</f>
        <v/>
      </c>
      <c r="D86">
        <f>D16</f>
        <v/>
      </c>
      <c r="E86">
        <f>D86*1*0/1e6</f>
        <v/>
      </c>
      <c r="F86">
        <f>E86*H71</f>
        <v/>
      </c>
      <c r="G86">
        <f>(E86-F86)*H70</f>
        <v/>
      </c>
      <c r="J86">
        <f>J16</f>
        <v/>
      </c>
      <c r="K86">
        <f>C86 + (G86/)*</f>
        <v/>
      </c>
    </row>
    <row r="87">
      <c r="B87">
        <f>B17</f>
        <v/>
      </c>
      <c r="C87">
        <f>C17</f>
        <v/>
      </c>
      <c r="D87">
        <f>D17</f>
        <v/>
      </c>
      <c r="E87">
        <f>D87*1*0/1e6</f>
        <v/>
      </c>
      <c r="F87">
        <f>E87*H71</f>
        <v/>
      </c>
      <c r="G87">
        <f>(E87-F87)*H70</f>
        <v/>
      </c>
      <c r="J87">
        <f>J17</f>
        <v/>
      </c>
      <c r="K87">
        <f>C87 + (G87/)*</f>
        <v/>
      </c>
    </row>
    <row r="88">
      <c r="B88">
        <f>B18</f>
        <v/>
      </c>
      <c r="C88">
        <f>C18</f>
        <v/>
      </c>
      <c r="D88">
        <f>D18</f>
        <v/>
      </c>
      <c r="E88">
        <f>D88*1*0/1e6</f>
        <v/>
      </c>
      <c r="F88">
        <f>E88*H71</f>
        <v/>
      </c>
      <c r="G88">
        <f>(E88-F88)*H70</f>
        <v/>
      </c>
      <c r="J88">
        <f>J18</f>
        <v/>
      </c>
      <c r="K88">
        <f>C88 + (G88/)*</f>
        <v/>
      </c>
    </row>
    <row r="89">
      <c r="B89">
        <f>B19</f>
        <v/>
      </c>
      <c r="C89">
        <f>C19</f>
        <v/>
      </c>
      <c r="D89">
        <f>D19</f>
        <v/>
      </c>
      <c r="E89">
        <f>D89*1*0/1e6</f>
        <v/>
      </c>
      <c r="F89">
        <f>E89*H71</f>
        <v/>
      </c>
      <c r="G89">
        <f>(E89-F89)*H70</f>
        <v/>
      </c>
      <c r="J89">
        <f>J19</f>
        <v/>
      </c>
      <c r="K89">
        <f>C89 + (G89/)*</f>
        <v/>
      </c>
    </row>
    <row r="90">
      <c r="B90">
        <f>B20</f>
        <v/>
      </c>
      <c r="C90">
        <f>C20</f>
        <v/>
      </c>
      <c r="D90">
        <f>D20</f>
        <v/>
      </c>
      <c r="E90">
        <f>D90*1*0/1e6</f>
        <v/>
      </c>
      <c r="F90">
        <f>E90*H71</f>
        <v/>
      </c>
      <c r="G90">
        <f>(E90-F90)*H70</f>
        <v/>
      </c>
      <c r="J90">
        <f>J20</f>
        <v/>
      </c>
      <c r="K90">
        <f>C90 + (G90/)*</f>
        <v/>
      </c>
    </row>
    <row r="91">
      <c r="B91">
        <f>B21</f>
        <v/>
      </c>
      <c r="C91">
        <f>C21</f>
        <v/>
      </c>
      <c r="D91">
        <f>D21</f>
        <v/>
      </c>
      <c r="E91">
        <f>D91*1*0/1e6</f>
        <v/>
      </c>
      <c r="F91">
        <f>E91*H71</f>
        <v/>
      </c>
      <c r="G91">
        <f>(E91-F91)*H70</f>
        <v/>
      </c>
      <c r="J91">
        <f>J21</f>
        <v/>
      </c>
      <c r="K91">
        <f>C91 + (G91/)*</f>
        <v/>
      </c>
    </row>
    <row r="92">
      <c r="B92">
        <f>B22</f>
        <v/>
      </c>
      <c r="C92">
        <f>C22</f>
        <v/>
      </c>
      <c r="D92">
        <f>D22</f>
        <v/>
      </c>
      <c r="E92">
        <f>D92*1*0/1e6</f>
        <v/>
      </c>
      <c r="F92">
        <f>E92*H71</f>
        <v/>
      </c>
      <c r="G92">
        <f>(E92-F92)*H70</f>
        <v/>
      </c>
      <c r="J92">
        <f>J22</f>
        <v/>
      </c>
      <c r="K92">
        <f>C92 + (G92/)*</f>
        <v/>
      </c>
    </row>
    <row r="93">
      <c r="B93">
        <f>B23</f>
        <v/>
      </c>
      <c r="C93">
        <f>C23</f>
        <v/>
      </c>
      <c r="D93">
        <f>D23</f>
        <v/>
      </c>
      <c r="E93">
        <f>D93*1*0/1e6</f>
        <v/>
      </c>
      <c r="F93">
        <f>E93*H71</f>
        <v/>
      </c>
      <c r="G93">
        <f>(E93-F93)*H70</f>
        <v/>
      </c>
      <c r="J93">
        <f>J23</f>
        <v/>
      </c>
      <c r="K93">
        <f>C93 + (G93/)*</f>
        <v/>
      </c>
    </row>
    <row r="94">
      <c r="B94">
        <f>B24</f>
        <v/>
      </c>
      <c r="C94">
        <f>C24</f>
        <v/>
      </c>
      <c r="D94">
        <f>D24</f>
        <v/>
      </c>
      <c r="E94">
        <f>D94*1*0/1e6</f>
        <v/>
      </c>
      <c r="F94">
        <f>E94*H71</f>
        <v/>
      </c>
      <c r="G94">
        <f>(E94-F94)*H70</f>
        <v/>
      </c>
      <c r="J94">
        <f>J24</f>
        <v/>
      </c>
      <c r="K94">
        <f>C94 + (G94/)*</f>
        <v/>
      </c>
    </row>
    <row r="95">
      <c r="B95">
        <f>B25</f>
        <v/>
      </c>
      <c r="C95">
        <f>C25</f>
        <v/>
      </c>
      <c r="D95">
        <f>D25</f>
        <v/>
      </c>
      <c r="E95">
        <f>D95*1*0/1e6</f>
        <v/>
      </c>
      <c r="F95">
        <f>E95*H71</f>
        <v/>
      </c>
      <c r="G95">
        <f>(E95-F95)*H70</f>
        <v/>
      </c>
      <c r="J95">
        <f>J25</f>
        <v/>
      </c>
      <c r="K95">
        <f>C95 + (G95/)*</f>
        <v/>
      </c>
    </row>
    <row r="96">
      <c r="B96">
        <f>B26</f>
        <v/>
      </c>
      <c r="C96">
        <f>C26</f>
        <v/>
      </c>
      <c r="D96">
        <f>D26</f>
        <v/>
      </c>
      <c r="E96">
        <f>D96*1*0/1e6</f>
        <v/>
      </c>
      <c r="F96">
        <f>E96*H71</f>
        <v/>
      </c>
      <c r="G96">
        <f>(E96-F96)*H70</f>
        <v/>
      </c>
      <c r="J96">
        <f>J26</f>
        <v/>
      </c>
      <c r="K96">
        <f>C96 + (G96/)*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GDP Deflator Growth (%)</t>
        </is>
      </c>
      <c r="D1" t="inlineStr">
        <is>
          <t>Real GDP Index</t>
        </is>
      </c>
      <c r="E1" t="inlineStr">
        <is>
          <t>GDP Deflator Index</t>
        </is>
      </c>
    </row>
    <row r="2">
      <c r="A2" t="n">
        <v>2020</v>
      </c>
      <c r="B2" t="n">
        <v>-0.063</v>
      </c>
      <c r="C2" t="n">
        <v>0.08500000000000001</v>
      </c>
      <c r="D2">
        <f>100*(1+B2)</f>
        <v/>
      </c>
      <c r="E2">
        <f>100*(1+C2)</f>
        <v/>
      </c>
    </row>
    <row r="3">
      <c r="A3" t="n">
        <v>2021</v>
      </c>
      <c r="B3" t="n">
        <v>0.106</v>
      </c>
      <c r="C3" t="n">
        <v>0.145</v>
      </c>
      <c r="D3">
        <f>D2*(1+B3)</f>
        <v/>
      </c>
      <c r="E3">
        <f>E2*(1+C3)</f>
        <v/>
      </c>
    </row>
    <row r="4">
      <c r="A4" t="n">
        <v>2022</v>
      </c>
      <c r="B4" t="n">
        <v>0.11</v>
      </c>
      <c r="C4" t="n">
        <v>0.123</v>
      </c>
      <c r="D4">
        <f>D3*(1+B4)</f>
        <v/>
      </c>
      <c r="E4">
        <f>E3*(1+C4)</f>
        <v/>
      </c>
    </row>
    <row r="5">
      <c r="A5" t="n">
        <v>2023</v>
      </c>
      <c r="B5" t="n">
        <v>0.075</v>
      </c>
      <c r="C5" t="n">
        <v>0.031</v>
      </c>
      <c r="D5">
        <f>D4*(1+B5)</f>
        <v/>
      </c>
      <c r="E5">
        <f>E4*(1+C5)</f>
        <v/>
      </c>
    </row>
    <row r="6">
      <c r="A6" t="n">
        <v>2024</v>
      </c>
      <c r="B6" t="n">
        <v>0.076</v>
      </c>
      <c r="C6" t="n">
        <v>0.038</v>
      </c>
      <c r="D6">
        <f>D5*(1+B6)</f>
        <v/>
      </c>
      <c r="E6">
        <f>E5*(1+C6)</f>
        <v/>
      </c>
    </row>
    <row r="7">
      <c r="A7" t="n">
        <v>2025</v>
      </c>
      <c r="B7" t="n">
        <v>0.06</v>
      </c>
      <c r="C7" t="n">
        <v>0.04099999999999999</v>
      </c>
      <c r="D7">
        <f>D6*(1+B7)</f>
        <v/>
      </c>
      <c r="E7">
        <f>E6*(1+C7)</f>
        <v/>
      </c>
    </row>
    <row r="8">
      <c r="A8" t="n">
        <v>2026</v>
      </c>
      <c r="B8" t="n">
        <v>0.05</v>
      </c>
      <c r="C8" t="n">
        <v>0.035</v>
      </c>
      <c r="D8">
        <f>D7*(1+B8)</f>
        <v/>
      </c>
      <c r="E8">
        <f>E7*(1+C8)</f>
        <v/>
      </c>
    </row>
    <row r="9">
      <c r="A9" t="n">
        <v>2027</v>
      </c>
      <c r="B9" t="n">
        <v>0.05</v>
      </c>
      <c r="C9" t="n">
        <v>0.035</v>
      </c>
      <c r="D9">
        <f>D8*(1+B9)</f>
        <v/>
      </c>
      <c r="E9">
        <f>E8*(1+C9)</f>
        <v/>
      </c>
    </row>
    <row r="10">
      <c r="A10" t="n">
        <v>2028</v>
      </c>
      <c r="B10" t="n">
        <v>0.05</v>
      </c>
      <c r="C10" t="n">
        <v>0.03725000000000001</v>
      </c>
      <c r="D10">
        <f>D9*(1+B10)</f>
        <v/>
      </c>
      <c r="E10">
        <f>E9*(1+C10)</f>
        <v/>
      </c>
    </row>
    <row r="11">
      <c r="A11" t="n">
        <v>2029</v>
      </c>
      <c r="B11" t="n">
        <v>0.05</v>
      </c>
      <c r="C11" t="n">
        <v>0.03725000000000001</v>
      </c>
      <c r="D11">
        <f>D10*(1+B11)</f>
        <v/>
      </c>
      <c r="E11">
        <f>E10*(1+C11)</f>
        <v/>
      </c>
    </row>
    <row r="12">
      <c r="A12" t="n">
        <v>2030</v>
      </c>
      <c r="B12" t="n">
        <v>0.05</v>
      </c>
      <c r="C12" t="n">
        <v>0.03725000000000001</v>
      </c>
      <c r="D12">
        <f>D11*(1+B12)</f>
        <v/>
      </c>
      <c r="E12">
        <f>E11*(1+C12)</f>
        <v/>
      </c>
    </row>
    <row r="13">
      <c r="A13" t="n">
        <v>2031</v>
      </c>
      <c r="B13" t="n">
        <v>0.05</v>
      </c>
      <c r="C13" t="n">
        <v>0.03725000000000001</v>
      </c>
      <c r="D13">
        <f>D12*(1+B13)</f>
        <v/>
      </c>
      <c r="E13">
        <f>E12*(1+C13)</f>
        <v/>
      </c>
    </row>
    <row r="14">
      <c r="A14" t="n">
        <v>2032</v>
      </c>
      <c r="B14" t="n">
        <v>0.05</v>
      </c>
      <c r="C14" t="n">
        <v>0.03725000000000001</v>
      </c>
      <c r="D14">
        <f>D13*(1+B14)</f>
        <v/>
      </c>
      <c r="E14">
        <f>E13*(1+C14)</f>
        <v/>
      </c>
    </row>
    <row r="15">
      <c r="A15" t="n">
        <v>2033</v>
      </c>
      <c r="B15" t="n">
        <v>0.05</v>
      </c>
      <c r="C15" t="n">
        <v>0.03725000000000001</v>
      </c>
      <c r="D15">
        <f>D14*(1+B15)</f>
        <v/>
      </c>
      <c r="E15">
        <f>E14*(1+C15)</f>
        <v/>
      </c>
    </row>
    <row r="16">
      <c r="A16" t="n">
        <v>2034</v>
      </c>
      <c r="B16" t="n">
        <v>0.05</v>
      </c>
      <c r="C16" t="n">
        <v>0.03725000000000001</v>
      </c>
      <c r="D16">
        <f>D15*(1+B16)</f>
        <v/>
      </c>
      <c r="E16">
        <f>E15*(1+C16)</f>
        <v/>
      </c>
    </row>
    <row r="17">
      <c r="A17" t="n">
        <v>2035</v>
      </c>
      <c r="B17" t="n">
        <v>0.05</v>
      </c>
      <c r="C17" t="n">
        <v>0.03725000000000001</v>
      </c>
      <c r="D17">
        <f>D16*(1+B17)</f>
        <v/>
      </c>
      <c r="E17">
        <f>E16*(1+C17)</f>
        <v/>
      </c>
    </row>
    <row r="18">
      <c r="A18" t="n">
        <v>2036</v>
      </c>
      <c r="B18" t="n">
        <v>0.05</v>
      </c>
      <c r="C18" t="n">
        <v>0.03725000000000001</v>
      </c>
      <c r="D18">
        <f>D17*(1+B18)</f>
        <v/>
      </c>
      <c r="E18">
        <f>E17*(1+C18)</f>
        <v/>
      </c>
    </row>
    <row r="19">
      <c r="A19" t="n">
        <v>2037</v>
      </c>
      <c r="B19" t="n">
        <v>0.05</v>
      </c>
      <c r="C19" t="n">
        <v>0.03725000000000001</v>
      </c>
      <c r="D19">
        <f>D18*(1+B19)</f>
        <v/>
      </c>
      <c r="E19">
        <f>E18*(1+C19)</f>
        <v/>
      </c>
    </row>
    <row r="20">
      <c r="A20" t="n">
        <v>2038</v>
      </c>
      <c r="B20" t="n">
        <v>0.05</v>
      </c>
      <c r="C20" t="n">
        <v>0.03725000000000001</v>
      </c>
      <c r="D20">
        <f>D19*(1+B20)</f>
        <v/>
      </c>
      <c r="E20">
        <f>E19*(1+C20)</f>
        <v/>
      </c>
    </row>
    <row r="21">
      <c r="A21" t="n">
        <v>2039</v>
      </c>
      <c r="B21" t="n">
        <v>0.05</v>
      </c>
      <c r="C21" t="n">
        <v>0.03725000000000001</v>
      </c>
      <c r="D21">
        <f>D20*(1+B21)</f>
        <v/>
      </c>
      <c r="E21">
        <f>E20*(1+C21)</f>
        <v/>
      </c>
    </row>
    <row r="22">
      <c r="A22" t="n">
        <v>2040</v>
      </c>
      <c r="B22" t="n">
        <v>0.05</v>
      </c>
      <c r="C22" t="n">
        <v>0.03725000000000001</v>
      </c>
      <c r="D22">
        <f>D21*(1+B22)</f>
        <v/>
      </c>
      <c r="E22">
        <f>E21*(1+C22)</f>
        <v/>
      </c>
    </row>
    <row r="23">
      <c r="A23" t="n">
        <v>2041</v>
      </c>
      <c r="B23" t="n">
        <v>0.05</v>
      </c>
      <c r="C23" t="n">
        <v>0.03725000000000001</v>
      </c>
      <c r="D23">
        <f>D22*(1+B23)</f>
        <v/>
      </c>
      <c r="E23">
        <f>E22*(1+C23)</f>
        <v/>
      </c>
    </row>
    <row r="24">
      <c r="A24" t="n">
        <v>2042</v>
      </c>
      <c r="B24" t="n">
        <v>0.05</v>
      </c>
      <c r="C24" t="n">
        <v>0.03725000000000001</v>
      </c>
      <c r="D24">
        <f>D23*(1+B24)</f>
        <v/>
      </c>
      <c r="E24">
        <f>E23*(1+C24)</f>
        <v/>
      </c>
    </row>
    <row r="25">
      <c r="A25" t="n">
        <v>2043</v>
      </c>
      <c r="B25" t="n">
        <v>0.05</v>
      </c>
      <c r="C25" t="n">
        <v>0.03725000000000001</v>
      </c>
      <c r="D25">
        <f>D24*(1+B25)</f>
        <v/>
      </c>
      <c r="E25">
        <f>E24*(1+C25)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46:C46"/>
  <sheetViews>
    <sheetView workbookViewId="0">
      <selection activeCell="A1" sqref="A1"/>
    </sheetView>
  </sheetViews>
  <sheetFormatPr baseColWidth="8" defaultRowHeight="15"/>
  <sheetData>
    <row r="46">
      <c r="C46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2026-01-29T07:20:34Z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