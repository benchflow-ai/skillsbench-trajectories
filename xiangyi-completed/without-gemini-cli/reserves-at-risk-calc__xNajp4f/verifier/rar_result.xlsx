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1.64485</v>
      </c>
    </row>
    <row r="4">
      <c r="B4" t="inlineStr">
        <is>
          <t>3-month volatility</t>
        </is>
      </c>
      <c r="C4" t="n">
        <v>4.813322962293491</v>
      </c>
    </row>
    <row r="5">
      <c r="B5" t="inlineStr">
        <is>
          <t>3-month volatility annualized</t>
        </is>
      </c>
      <c r="C5" t="n">
        <v>16.67383984786052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3263.6772484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 t="n">
        <v>591.4935842500205</v>
      </c>
      <c r="D13" t="n">
        <v>801.3696955540677</v>
      </c>
      <c r="E13" t="n">
        <v>79.33028663077506</v>
      </c>
      <c r="F13" t="n">
        <v>72.9395274123757</v>
      </c>
      <c r="G13" t="n">
        <v>63.89967498971912</v>
      </c>
      <c r="H13" t="n">
        <v>0.847931506801997</v>
      </c>
      <c r="I13" t="n">
        <v>258.3916682494124</v>
      </c>
      <c r="J13" t="n">
        <v>307.000292066825</v>
      </c>
      <c r="K13" t="n">
        <v>4361.773921939166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 t="n">
        <v>591.4935842500205</v>
      </c>
      <c r="D22" t="n">
        <v>801.3696955540677</v>
      </c>
      <c r="E22" t="n">
        <v>79.33028663077506</v>
      </c>
      <c r="F22" t="n">
        <v>72.9395274123757</v>
      </c>
      <c r="G22" t="n">
        <v>63.89967498971912</v>
      </c>
      <c r="H22" t="n">
        <v>0.847931506801997</v>
      </c>
      <c r="I22" t="n">
        <v>4361.773921939166</v>
      </c>
    </row>
    <row r="23">
      <c r="B23" t="inlineStr">
        <is>
          <t>Total Reserve</t>
        </is>
      </c>
      <c r="C23">
        <f>'Total Reserves'!D17</f>
        <v/>
      </c>
      <c r="D23">
        <f>'Total Reserves'!J17</f>
        <v/>
      </c>
      <c r="E23">
        <f>'Total Reserves'!E17</f>
        <v/>
      </c>
      <c r="F23">
        <f>'Total Reserves'!K17</f>
        <v/>
      </c>
      <c r="G23">
        <f>'Total Reserves'!N17</f>
        <v/>
      </c>
      <c r="H23">
        <f>'Total Reserves'!H17</f>
        <v/>
      </c>
      <c r="I23">
        <f>'Total Reserves'!I17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100*LN(B3/B2)</f>
        <v/>
      </c>
    </row>
    <row r="4">
      <c r="A4" s="6" t="inlineStr">
        <is>
          <t>1990M3</t>
        </is>
      </c>
      <c r="B4" t="n">
        <v>392.703338623047</v>
      </c>
      <c r="C4">
        <f>100*LN(B4/B3)</f>
        <v/>
      </c>
    </row>
    <row r="5">
      <c r="A5" s="6" t="inlineStr">
        <is>
          <t>1990M4</t>
        </is>
      </c>
      <c r="B5" t="n">
        <v>374.292114257813</v>
      </c>
      <c r="C5">
        <f>100*LN(B5/B4)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100*LN(B6/B5)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100*LN(B7/B6)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100*LN(B8/B7)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100*LN(B9/B8)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100*LN(B10/B9)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100*LN(B11/B10)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100*LN(B12/B11)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100*LN(B13/B12)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100*LN(B14/B13)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100*LN(B15/B14)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100*LN(B16/B15)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100*LN(B17/B16)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100*LN(B18/B17)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100*LN(B19/B18)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100*LN(B20/B19)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100*LN(B21/B20)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100*LN(B22/B21)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100*LN(B23/B22)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100*LN(B24/B23)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100*LN(B25/B24)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100*LN(B26/B25)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100*LN(B27/B26)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100*LN(B28/B27)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100*LN(B29/B28)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100*LN(B30/B29)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100*LN(B31/B30)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100*LN(B32/B31)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100*LN(B33/B32)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100*LN(B34/B33)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100*LN(B35/B34)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100*LN(B36/B35)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100*LN(B37/B36)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100*LN(B38/B37)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100*LN(B39/B38)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100*LN(B40/B39)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100*LN(B41/B40)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100*LN(B42/B41)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100*LN(B43/B42)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100*LN(B44/B43)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100*LN(B45/B44)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100*LN(B46/B45)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100*LN(B47/B46)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100*LN(B48/B47)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100*LN(B49/B48)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100*LN(B50/B49)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100*LN(B51/B50)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100*LN(B52/B51)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100*LN(B53/B52)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100*LN(B54/B53)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100*LN(B55/B54)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100*LN(B56/B55)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100*LN(B57/B56)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100*LN(B58/B57)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100*LN(B59/B58)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100*LN(B60/B59)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100*LN(B61/B60)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100*LN(B62/B61)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100*LN(B63/B62)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100*LN(B64/B63)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100*LN(B65/B64)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100*LN(B66/B65)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100*LN(B67/B66)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100*LN(B68/B67)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100*LN(B69/B68)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100*LN(B70/B69)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100*LN(B71/B70)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100*LN(B72/B71)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100*LN(B73/B72)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100*LN(B74/B73)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100*LN(B75/B74)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100*LN(B76/B75)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100*LN(B77/B76)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100*LN(B78/B77)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100*LN(B79/B78)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100*LN(B80/B79)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100*LN(B81/B80)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100*LN(B82/B81)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100*LN(B83/B82)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100*LN(B84/B83)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100*LN(B85/B84)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100*LN(B86/B85)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100*LN(B87/B86)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100*LN(B88/B87)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100*LN(B89/B88)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100*LN(B90/B89)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100*LN(B91/B90)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100*LN(B92/B91)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100*LN(B93/B92)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100*LN(B94/B93)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100*LN(B95/B94)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100*LN(B96/B95)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100*LN(B97/B96)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100*LN(B98/B97)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100*LN(B99/B98)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100*LN(B100/B99)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100*LN(B101/B100)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100*LN(B102/B101)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100*LN(B103/B102)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100*LN(B104/B103)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100*LN(B105/B104)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100*LN(B106/B105)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100*LN(B107/B106)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100*LN(B108/B107)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100*LN(B109/B108)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100*LN(B110/B109)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100*LN(B111/B110)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100*LN(B112/B111)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100*LN(B113/B112)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100*LN(B114/B113)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100*LN(B115/B114)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100*LN(B116/B115)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100*LN(B117/B116)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100*LN(B118/B117)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100*LN(B119/B118)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100*LN(B120/B119)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100*LN(B121/B120)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100*LN(B122/B121)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100*LN(B123/B122)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100*LN(B124/B123)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100*LN(B125/B124)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100*LN(B126/B125)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100*LN(B127/B126)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100*LN(B128/B127)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100*LN(B129/B128)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100*LN(B130/B129)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100*LN(B131/B130)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100*LN(B132/B131)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100*LN(B133/B132)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100*LN(B134/B133)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100*LN(B135/B134)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100*LN(B136/B135)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100*LN(B137/B136)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100*LN(B138/B137)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100*LN(B139/B138)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100*LN(B140/B139)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100*LN(B141/B140)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100*LN(B142/B141)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100*LN(B143/B142)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100*LN(B144/B143)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100*LN(B145/B144)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100*LN(B146/B145)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100*LN(B147/B146)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100*LN(B148/B147)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100*LN(B149/B148)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100*LN(B150/B149)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100*LN(B151/B150)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100*LN(B152/B151)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100*LN(B153/B152)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100*LN(B154/B153)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100*LN(B155/B154)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100*LN(B156/B155)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100*LN(B157/B156)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100*LN(B158/B157)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100*LN(B159/B158)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100*LN(B160/B159)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100*LN(B161/B160)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100*LN(B162/B161)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100*LN(B163/B162)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100*LN(B164/B163)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100*LN(B165/B164)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100*LN(B166/B165)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100*LN(B167/B166)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100*LN(B168/B167)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100*LN(B169/B168)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100*LN(B170/B169)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100*LN(B171/B170)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100*LN(B172/B171)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100*LN(B173/B172)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100*LN(B174/B173)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100*LN(B175/B174)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100*LN(B176/B175)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100*LN(B177/B176)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100*LN(B178/B177)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100*LN(B179/B178)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100*LN(B180/B179)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100*LN(B181/B180)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100*LN(B182/B181)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100*LN(B183/B182)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100*LN(B184/B183)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100*LN(B185/B184)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100*LN(B186/B185)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100*LN(B187/B186)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100*LN(B188/B187)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100*LN(B189/B188)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100*LN(B190/B189)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100*LN(B191/B190)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100*LN(B192/B191)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100*LN(B193/B192)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100*LN(B194/B193)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100*LN(B195/B194)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100*LN(B196/B195)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100*LN(B197/B196)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100*LN(B198/B197)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100*LN(B199/B198)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100*LN(B200/B199)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100*LN(B201/B200)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100*LN(B202/B201)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100*LN(B203/B202)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100*LN(B204/B203)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100*LN(B205/B204)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100*LN(B206/B205)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100*LN(B207/B206)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100*LN(B208/B207)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100*LN(B209/B208)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100*LN(B210/B209)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100*LN(B211/B210)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100*LN(B212/B211)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100*LN(B213/B212)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100*LN(B214/B213)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100*LN(B215/B214)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100*LN(B216/B215)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100*LN(B217/B216)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100*LN(B218/B217)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100*LN(B219/B218)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100*LN(B220/B219)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100*LN(B221/B220)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100*LN(B222/B221)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100*LN(B223/B222)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100*LN(B224/B223)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100*LN(B225/B224)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100*LN(B226/B225)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100*LN(B227/B226)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100*LN(B228/B227)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100*LN(B229/B228)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100*LN(B230/B229)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100*LN(B231/B230)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100*LN(B232/B231)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100*LN(B233/B232)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100*LN(B234/B233)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100*LN(B235/B234)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100*LN(B236/B235)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100*LN(B237/B236)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100*LN(B238/B237)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100*LN(B239/B238)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100*LN(B240/B239)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100*LN(B241/B240)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100*LN(B242/B241)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100*LN(B243/B242)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100*LN(B244/B243)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100*LN(B245/B244)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100*LN(B246/B245)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100*LN(B247/B246)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100*LN(B248/B247)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100*LN(B249/B248)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100*LN(B250/B249)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100*LN(B251/B250)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100*LN(B252/B251)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100*LN(B253/B252)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100*LN(B254/B253)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100*LN(B255/B254)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100*LN(B256/B255)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100*LN(B257/B256)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100*LN(B258/B257)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100*LN(B259/B258)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100*LN(B260/B259)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100*LN(B261/B260)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100*LN(B262/B261)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100*LN(B263/B262)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100*LN(B264/B263)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100*LN(B265/B264)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100*LN(B266/B265)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100*LN(B267/B266)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100*LN(B268/B267)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100*LN(B269/B268)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100*LN(B270/B269)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100*LN(B271/B270)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100*LN(B272/B271)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100*LN(B273/B272)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100*LN(B274/B273)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100*LN(B275/B274)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100*LN(B276/B275)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100*LN(B277/B276)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100*LN(B278/B277)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100*LN(B279/B278)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100*LN(B280/B279)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100*LN(B281/B280)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100*LN(B282/B281)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100*LN(B283/B282)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100*LN(B284/B283)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100*LN(B285/B284)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100*LN(B286/B285)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100*LN(B287/B286)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100*LN(B288/B287)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100*LN(B289/B288)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100*LN(B290/B289)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100*LN(B291/B290)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100*LN(B292/B291)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100*LN(B293/B292)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100*LN(B294/B293)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100*LN(B295/B294)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100*LN(B296/B295)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100*LN(B297/B296)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100*LN(B298/B297)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100*LN(B299/B298)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100*LN(B300/B299)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100*LN(B301/B300)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100*LN(B302/B301)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100*LN(B303/B302)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100*LN(B304/B303)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100*LN(B305/B304)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100*LN(B306/B305)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100*LN(B307/B306)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100*LN(B308/B307)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100*LN(B309/B308)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100*LN(B310/B309)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100*LN(B311/B310)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100*LN(B312/B311)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100*LN(B313/B312)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100*LN(B314/B313)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100*LN(B315/B314)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100*LN(B316/B315)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100*LN(B317/B316)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100*LN(B318/B317)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100*LN(B319/B318)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100*LN(B320/B319)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100*LN(B321/B320)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100*LN(B322/B321)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100*LN(B323/B322)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100*LN(B324/B323)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100*LN(B325/B324)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100*LN(B326/B325)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100*LN(B327/B326)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100*LN(B328/B327)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100*LN(B329/B328)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100*LN(B330/B329)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100*LN(B331/B330)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100*LN(B332/B331)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100*LN(B333/B332)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100*LN(B334/B333)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100*LN(B335/B334)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100*LN(B336/B335)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100*LN(B337/B336)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100*LN(B338/B337)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100*LN(B339/B338)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100*LN(B340/B339)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100*LN(B341/B340)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100*LN(B342/B341)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100*LN(B343/B342)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100*LN(B344/B343)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100*LN(B345/B344)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100*LN(B346/B345)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100*LN(B347/B346)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100*LN(B348/B347)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100*LN(B349/B348)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100*LN(B350/B349)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100*LN(B351/B350)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100*LN(B352/B351)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100*LN(B353/B352)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100*LN(B354/B353)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100*LN(B355/B354)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100*LN(B356/B355)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100*LN(B357/B356)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100*LN(B358/B357)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100*LN(B359/B358)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100*LN(B360/B359)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100*LN(B361/B360)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100*LN(B362/B361)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100*LN(B363/B362)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100*LN(B364/B363)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100*LN(B365/B364)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100*LN(B366/B365)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100*LN(B367/B366)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100*LN(B368/B367)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100*LN(B369/B368)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100*LN(B370/B369)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100*LN(B371/B370)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100*LN(B372/B371)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100*LN(B373/B372)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100*LN(B374/B373)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100*LN(B375/B374)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100*LN(B376/B375)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100*LN(B377/B376)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100*LN(B378/B377)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100*LN(B379/B378)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100*LN(B380/B379)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100*LN(B381/B380)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100*LN(B382/B381)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100*LN(B383/B382)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100*LN(B384/B383)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100*LN(B385/B384)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100*LN(B386/B385)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100*LN(B387/B386)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100*LN(B388/B387)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100*LN(B389/B388)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100*LN(B390/B389)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100*LN(B391/B390)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100*LN(B392/B391)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100*LN(B393/B392)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100*LN(B394/B393)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100*LN(B395/B394)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100*LN(B396/B395)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100*LN(B397/B396)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100*LN(B398/B397)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100*LN(B399/B398)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100*LN(B400/B399)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100*LN(B401/B400)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100*LN(B402/B401)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100*LN(B403/B402)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100*LN(B404/B403)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100*LN(B405/B404)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100*LN(B406/B405)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100*LN(B407/B406)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100*LN(B408/B407)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100*LN(B409/B408)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100*LN(B410/B409)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100*LN(B411/B410)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100*LN(B412/B411)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100*LN(B413/B412)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100*LN(B414/B413)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100*LN(B415/B414)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100*LN(B416/B415)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100*LN(B417/B416)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100*LN(B418/B417)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100*LN(B419/B418)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100*LN(B420/B419)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100*LN(B421/B420)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100*LN(B422/B421)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100*LN(B423/B422)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100*LN(B424/B423)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100*LN(B425/B424)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100*LN(B426/B425)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100*LN(B427/B426)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100*LN(B428/B427)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100*LN(B429/B428)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100*LN(B430/B429)</f>
        <v/>
      </c>
      <c r="D430">
        <f>STDEV(C428:C430)</f>
        <v/>
      </c>
      <c r="E430">
        <f>STDEV(C419:C430)</f>
        <v/>
      </c>
    </row>
    <row r="431">
      <c r="C431">
        <f>100*LN(B431/B430)</f>
        <v/>
      </c>
      <c r="D431">
        <f>STDEV(C429:C431)</f>
        <v/>
      </c>
      <c r="E431">
        <f>STDEV(C420:C431)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2026-01-29T05:40:27Z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