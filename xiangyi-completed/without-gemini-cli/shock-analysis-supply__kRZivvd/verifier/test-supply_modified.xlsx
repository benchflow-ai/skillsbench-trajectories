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Q1">
        <f>AVERAGE(D49:D57)</f>
        <v/>
      </c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AVERAGE("CFC data"!E22:E29)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SUMPRODUCT((L6:L27-K6:K27)^2)+100*SUMPRODUCT(M8:M27^2)</f>
        <v/>
      </c>
    </row>
    <row r="6">
      <c r="C6" t="n">
        <v>2002</v>
      </c>
      <c r="D6" s="19">
        <f>PWT!B14</f>
        <v/>
      </c>
      <c r="E6">
        <f>PWT!C14</f>
        <v/>
      </c>
      <c r="F6">
        <f>LN(D6)</f>
        <v/>
      </c>
      <c r="G6">
        <f>LN(E6)</f>
        <v/>
      </c>
      <c r="H6">
        <f>G6-*F6</f>
        <v/>
      </c>
      <c r="K6" s="4">
        <f>G6-*F6</f>
        <v/>
      </c>
      <c r="L6" t="n">
        <v>5.874940335194846</v>
      </c>
      <c r="N6" s="5">
        <f>L6-K6</f>
        <v/>
      </c>
    </row>
    <row r="7">
      <c r="C7" t="n">
        <v>2003</v>
      </c>
      <c r="D7" s="19">
        <f>PWT!B15</f>
        <v/>
      </c>
      <c r="E7">
        <f>PWT!C15</f>
        <v/>
      </c>
      <c r="F7">
        <f>LN(D7)</f>
        <v/>
      </c>
      <c r="G7">
        <f>LN(E7)</f>
        <v/>
      </c>
      <c r="H7">
        <f>G7-*F7</f>
        <v/>
      </c>
      <c r="K7" s="4">
        <f>G7-*F7</f>
        <v/>
      </c>
      <c r="L7" t="n">
        <v>5.937976312314973</v>
      </c>
      <c r="N7" s="5">
        <f>L7-K7</f>
        <v/>
      </c>
    </row>
    <row r="8">
      <c r="C8" t="n">
        <v>2004</v>
      </c>
      <c r="D8" s="19">
        <f>PWT!B16</f>
        <v/>
      </c>
      <c r="E8">
        <f>PWT!C16</f>
        <v/>
      </c>
      <c r="F8">
        <f>LN(D8)</f>
        <v/>
      </c>
      <c r="G8">
        <f>LN(E8)</f>
        <v/>
      </c>
      <c r="H8">
        <f>G8-*F8</f>
        <v/>
      </c>
      <c r="K8" s="4">
        <f>G8-*F8</f>
        <v/>
      </c>
      <c r="L8" t="n">
        <v>6.000518070340704</v>
      </c>
      <c r="M8">
        <f>(L8-L7)-(L7-L6)</f>
        <v/>
      </c>
      <c r="N8" s="5">
        <f>L8-K8</f>
        <v/>
      </c>
    </row>
    <row r="9">
      <c r="C9" t="n">
        <v>2005</v>
      </c>
      <c r="D9" s="19">
        <f>PWT!B17</f>
        <v/>
      </c>
      <c r="E9">
        <f>PWT!C17</f>
        <v/>
      </c>
      <c r="F9">
        <f>LN(D9)</f>
        <v/>
      </c>
      <c r="G9">
        <f>LN(E9)</f>
        <v/>
      </c>
      <c r="H9">
        <f>G9-*F9</f>
        <v/>
      </c>
      <c r="K9" s="4">
        <f>G9-*F9</f>
        <v/>
      </c>
      <c r="L9" t="n">
        <v>6.061953045572174</v>
      </c>
      <c r="M9">
        <f>(L9-L8)-(L8-L7)</f>
        <v/>
      </c>
      <c r="N9" s="5">
        <f>L9-K9</f>
        <v/>
      </c>
    </row>
    <row r="10">
      <c r="C10" t="n">
        <v>2006</v>
      </c>
      <c r="D10" s="19">
        <f>PWT!B18</f>
        <v/>
      </c>
      <c r="E10">
        <f>PWT!C18</f>
        <v/>
      </c>
      <c r="F10">
        <f>LN(D10)</f>
        <v/>
      </c>
      <c r="G10">
        <f>LN(E10)</f>
        <v/>
      </c>
      <c r="H10">
        <f>G10-*F10</f>
        <v/>
      </c>
      <c r="K10" s="4">
        <f>G10-*F10</f>
        <v/>
      </c>
      <c r="L10" t="n">
        <v>6.121435503338928</v>
      </c>
      <c r="M10">
        <f>(L10-L9)-(L9-L8)</f>
        <v/>
      </c>
      <c r="N10" s="5">
        <f>L10-K10</f>
        <v/>
      </c>
    </row>
    <row r="11">
      <c r="C11" t="n">
        <v>2007</v>
      </c>
      <c r="D11" s="19">
        <f>PWT!B19</f>
        <v/>
      </c>
      <c r="E11">
        <f>PWT!C19</f>
        <v/>
      </c>
      <c r="F11">
        <f>LN(D11)</f>
        <v/>
      </c>
      <c r="G11">
        <f>LN(E11)</f>
        <v/>
      </c>
      <c r="H11">
        <f>G11-*F11</f>
        <v/>
      </c>
      <c r="K11" s="4">
        <f>G11-*F11</f>
        <v/>
      </c>
      <c r="L11" t="n">
        <v>6.178122732627413</v>
      </c>
      <c r="M11">
        <f>(L11-L10)-(L10-L9)</f>
        <v/>
      </c>
      <c r="N11" s="5">
        <f>L11-K11</f>
        <v/>
      </c>
    </row>
    <row r="12">
      <c r="C12" t="n">
        <v>2008</v>
      </c>
      <c r="D12" s="19">
        <f>PWT!B20</f>
        <v/>
      </c>
      <c r="E12">
        <f>PWT!C20</f>
        <v/>
      </c>
      <c r="F12">
        <f>LN(D12)</f>
        <v/>
      </c>
      <c r="G12">
        <f>LN(E12)</f>
        <v/>
      </c>
      <c r="H12">
        <f>G12-*F12</f>
        <v/>
      </c>
      <c r="K12" s="4">
        <f>G12-*F12</f>
        <v/>
      </c>
      <c r="L12" t="n">
        <v>6.231424746511343</v>
      </c>
      <c r="M12">
        <f>(L12-L11)-(L11-L10)</f>
        <v/>
      </c>
      <c r="N12" s="5">
        <f>L12-K12</f>
        <v/>
      </c>
    </row>
    <row r="13">
      <c r="C13" t="n">
        <v>2009</v>
      </c>
      <c r="D13" s="19">
        <f>PWT!B21</f>
        <v/>
      </c>
      <c r="E13">
        <f>PWT!C21</f>
        <v/>
      </c>
      <c r="F13">
        <f>LN(D13)</f>
        <v/>
      </c>
      <c r="G13">
        <f>LN(E13)</f>
        <v/>
      </c>
      <c r="H13">
        <f>G13-*F13</f>
        <v/>
      </c>
      <c r="K13" s="4">
        <f>G13-*F13</f>
        <v/>
      </c>
      <c r="L13" t="n">
        <v>6.281552469682491</v>
      </c>
      <c r="M13">
        <f>(L13-L12)-(L12-L11)</f>
        <v/>
      </c>
      <c r="N13" s="5">
        <f>L13-K13</f>
        <v/>
      </c>
    </row>
    <row r="14">
      <c r="C14" t="n">
        <v>2010</v>
      </c>
      <c r="D14" s="19">
        <f>PWT!B22</f>
        <v/>
      </c>
      <c r="E14">
        <f>PWT!C22</f>
        <v/>
      </c>
      <c r="F14">
        <f>LN(D14)</f>
        <v/>
      </c>
      <c r="G14">
        <f>LN(E14)</f>
        <v/>
      </c>
      <c r="H14">
        <f>G14-*F14</f>
        <v/>
      </c>
      <c r="K14" s="4">
        <f>G14-*F14</f>
        <v/>
      </c>
      <c r="L14" t="n">
        <v>6.329190254110331</v>
      </c>
      <c r="M14">
        <f>(L14-L13)-(L13-L12)</f>
        <v/>
      </c>
      <c r="N14" s="5">
        <f>L14-K14</f>
        <v/>
      </c>
    </row>
    <row r="15">
      <c r="C15" t="n">
        <v>2011</v>
      </c>
      <c r="D15" s="19">
        <f>PWT!B23</f>
        <v/>
      </c>
      <c r="E15">
        <f>PWT!C23</f>
        <v/>
      </c>
      <c r="F15">
        <f>LN(D15)</f>
        <v/>
      </c>
      <c r="G15">
        <f>LN(E15)</f>
        <v/>
      </c>
      <c r="H15">
        <f>G15-*F15</f>
        <v/>
      </c>
      <c r="K15" s="4">
        <f>G15-*F15</f>
        <v/>
      </c>
      <c r="L15" t="n">
        <v>6.374643833766821</v>
      </c>
      <c r="M15">
        <f>(L15-L14)-(L14-L13)</f>
        <v/>
      </c>
      <c r="N15" s="5">
        <f>L15-K15</f>
        <v/>
      </c>
    </row>
    <row r="16">
      <c r="C16" t="n">
        <v>2012</v>
      </c>
      <c r="D16" s="19">
        <f>PWT!B24</f>
        <v/>
      </c>
      <c r="E16">
        <f>PWT!C24</f>
        <v/>
      </c>
      <c r="F16">
        <f>LN(D16)</f>
        <v/>
      </c>
      <c r="G16">
        <f>LN(E16)</f>
        <v/>
      </c>
      <c r="H16">
        <f>G16-*F16</f>
        <v/>
      </c>
      <c r="K16" s="4">
        <f>G16-*F16</f>
        <v/>
      </c>
      <c r="L16" t="n">
        <v>6.417949625654183</v>
      </c>
      <c r="M16">
        <f>(L16-L15)-(L15-L14)</f>
        <v/>
      </c>
      <c r="N16" s="5">
        <f>L16-K16</f>
        <v/>
      </c>
    </row>
    <row r="17">
      <c r="C17" t="n">
        <v>2013</v>
      </c>
      <c r="D17" s="19">
        <f>PWT!B25</f>
        <v/>
      </c>
      <c r="E17">
        <f>PWT!C25</f>
        <v/>
      </c>
      <c r="F17">
        <f>LN(D17)</f>
        <v/>
      </c>
      <c r="G17">
        <f>LN(E17)</f>
        <v/>
      </c>
      <c r="H17">
        <f>G17-*F17</f>
        <v/>
      </c>
      <c r="K17" s="4">
        <f>G17-*F17</f>
        <v/>
      </c>
      <c r="L17" t="n">
        <v>6.459143157594682</v>
      </c>
      <c r="M17">
        <f>(L17-L16)-(L16-L15)</f>
        <v/>
      </c>
      <c r="N17" s="5">
        <f>L17-K17</f>
        <v/>
      </c>
    </row>
    <row r="18">
      <c r="C18" t="n">
        <v>2014</v>
      </c>
      <c r="D18" s="19">
        <f>PWT!B26</f>
        <v/>
      </c>
      <c r="E18">
        <f>PWT!C26</f>
        <v/>
      </c>
      <c r="F18">
        <f>LN(D18)</f>
        <v/>
      </c>
      <c r="G18">
        <f>LN(E18)</f>
        <v/>
      </c>
      <c r="H18">
        <f>G18-*F18</f>
        <v/>
      </c>
      <c r="K18" s="4">
        <f>G18-*F18</f>
        <v/>
      </c>
      <c r="L18" t="n">
        <v>6.498412476086338</v>
      </c>
      <c r="M18">
        <f>(L18-L17)-(L17-L16)</f>
        <v/>
      </c>
      <c r="N18" s="5">
        <f>L18-K18</f>
        <v/>
      </c>
    </row>
    <row r="19">
      <c r="C19" t="n">
        <v>2015</v>
      </c>
      <c r="D19" s="19">
        <f>PWT!B27</f>
        <v/>
      </c>
      <c r="E19">
        <f>PWT!C27</f>
        <v/>
      </c>
      <c r="F19">
        <f>LN(D19)</f>
        <v/>
      </c>
      <c r="G19">
        <f>LN(E19)</f>
        <v/>
      </c>
      <c r="H19">
        <f>G19-*F19</f>
        <v/>
      </c>
      <c r="K19" s="4">
        <f>G19-*F19</f>
        <v/>
      </c>
      <c r="L19" t="n">
        <v>6.536158568324047</v>
      </c>
      <c r="M19">
        <f>(L19-L18)-(L18-L17)</f>
        <v/>
      </c>
      <c r="N19" s="5">
        <f>L19-K19</f>
        <v/>
      </c>
    </row>
    <row r="20">
      <c r="C20" t="n">
        <v>2016</v>
      </c>
      <c r="D20" s="19">
        <f>PWT!B28</f>
        <v/>
      </c>
      <c r="E20">
        <f>PWT!C28</f>
        <v/>
      </c>
      <c r="F20">
        <f>LN(D20)</f>
        <v/>
      </c>
      <c r="G20">
        <f>LN(E20)</f>
        <v/>
      </c>
      <c r="H20">
        <f>G20-*F20</f>
        <v/>
      </c>
      <c r="K20" s="4">
        <f>G20-*F20</f>
        <v/>
      </c>
      <c r="L20" t="n">
        <v>6.572935886904237</v>
      </c>
      <c r="M20">
        <f>(L20-L19)-(L19-L18)</f>
        <v/>
      </c>
      <c r="N20" s="5">
        <f>L20-K20</f>
        <v/>
      </c>
    </row>
    <row r="21">
      <c r="C21" t="n">
        <v>2017</v>
      </c>
      <c r="D21" s="19">
        <f>PWT!B29</f>
        <v/>
      </c>
      <c r="E21">
        <f>PWT!C29</f>
        <v/>
      </c>
      <c r="F21">
        <f>LN(D21)</f>
        <v/>
      </c>
      <c r="G21">
        <f>LN(E21)</f>
        <v/>
      </c>
      <c r="H21">
        <f>G21-*F21</f>
        <v/>
      </c>
      <c r="K21" s="4">
        <f>G21-*F21</f>
        <v/>
      </c>
      <c r="L21" t="n">
        <v>6.609312963332987</v>
      </c>
      <c r="M21">
        <f>(L21-L20)-(L20-L19)</f>
        <v/>
      </c>
      <c r="N21" s="5">
        <f>L21-K21</f>
        <v/>
      </c>
    </row>
    <row r="22">
      <c r="C22" t="n">
        <v>2018</v>
      </c>
      <c r="D22" s="19">
        <f>PWT!B30</f>
        <v/>
      </c>
      <c r="E22">
        <f>PWT!C30</f>
        <v/>
      </c>
      <c r="F22">
        <f>LN(D22)</f>
        <v/>
      </c>
      <c r="G22">
        <f>LN(E22)</f>
        <v/>
      </c>
      <c r="H22">
        <f>G22-*F22</f>
        <v/>
      </c>
      <c r="K22" s="4">
        <f>G22-*F22</f>
        <v/>
      </c>
      <c r="L22" t="n">
        <v>6.6457452615265</v>
      </c>
      <c r="M22">
        <f>(L22-L21)-(L21-L20)</f>
        <v/>
      </c>
      <c r="N22" s="5">
        <f>L22-K22</f>
        <v/>
      </c>
    </row>
    <row r="23">
      <c r="C23" t="n">
        <v>2019</v>
      </c>
      <c r="D23" s="19">
        <f>PWT!B31</f>
        <v/>
      </c>
      <c r="E23">
        <f>PWT!C31</f>
        <v/>
      </c>
      <c r="F23">
        <f>LN(D23)</f>
        <v/>
      </c>
      <c r="G23">
        <f>LN(E23)</f>
        <v/>
      </c>
      <c r="H23">
        <f>G23-*F23</f>
        <v/>
      </c>
      <c r="K23" s="4">
        <f>G23-*F23</f>
        <v/>
      </c>
      <c r="L23" t="n">
        <v>6.682620442457623</v>
      </c>
      <c r="M23">
        <f>(L23-L22)-(L22-L21)</f>
        <v/>
      </c>
      <c r="N23" s="5">
        <f>L23-K23</f>
        <v/>
      </c>
    </row>
    <row r="24">
      <c r="C24" t="n">
        <v>2020</v>
      </c>
      <c r="D24" s="19">
        <f>PWT!B32</f>
        <v/>
      </c>
      <c r="E24">
        <f>PWT!C32</f>
        <v/>
      </c>
      <c r="F24">
        <f>LN(D24)</f>
        <v/>
      </c>
      <c r="G24">
        <f>LN(E24)</f>
        <v/>
      </c>
      <c r="H24">
        <f>G24-*F24</f>
        <v/>
      </c>
      <c r="K24" s="4">
        <f>G24-*F24</f>
        <v/>
      </c>
      <c r="L24" t="n">
        <v>6.720392110072934</v>
      </c>
      <c r="M24">
        <f>(L24-L23)-(L23-L22)</f>
        <v/>
      </c>
      <c r="N24" s="5">
        <f>L24-K24</f>
        <v/>
      </c>
    </row>
    <row r="25">
      <c r="C25" t="n">
        <v>2021</v>
      </c>
      <c r="D25" s="19">
        <f>PWT!B33</f>
        <v/>
      </c>
      <c r="E25">
        <f>PWT!C33</f>
        <v/>
      </c>
      <c r="F25">
        <f>LN(D25)</f>
        <v/>
      </c>
      <c r="G25">
        <f>LN(E25)</f>
        <v/>
      </c>
      <c r="H25">
        <f>G25-*F25</f>
        <v/>
      </c>
      <c r="K25" s="4">
        <f>G25-*F25</f>
        <v/>
      </c>
      <c r="L25" t="n">
        <v>6.759652681550536</v>
      </c>
      <c r="M25">
        <f>(L25-L24)-(L24-L23)</f>
        <v/>
      </c>
      <c r="N25" s="5">
        <f>L25-K25</f>
        <v/>
      </c>
    </row>
    <row r="26">
      <c r="C26" t="n">
        <v>2022</v>
      </c>
      <c r="D26" s="19">
        <f>PWT!B34</f>
        <v/>
      </c>
      <c r="E26">
        <f>PWT!C34</f>
        <v/>
      </c>
      <c r="F26">
        <f>LN(D26)</f>
        <v/>
      </c>
      <c r="G26">
        <f>LN(E26)</f>
        <v/>
      </c>
      <c r="H26">
        <f>G26-*F26</f>
        <v/>
      </c>
      <c r="K26" s="4">
        <f>G26-*F26</f>
        <v/>
      </c>
      <c r="L26" t="n">
        <v>6.800060480710171</v>
      </c>
      <c r="M26">
        <f>(L26-L25)-(L25-L24)</f>
        <v/>
      </c>
      <c r="N26" s="5">
        <f>L26-K26</f>
        <v/>
      </c>
    </row>
    <row r="27">
      <c r="C27" t="n">
        <v>2023</v>
      </c>
      <c r="D27" s="19">
        <f>PWT!B35</f>
        <v/>
      </c>
      <c r="E27">
        <f>PWT!C35</f>
        <v/>
      </c>
      <c r="F27">
        <f>LN(D27)</f>
        <v/>
      </c>
      <c r="G27">
        <f>LN(E27)</f>
        <v/>
      </c>
      <c r="H27">
        <f>G27-*F27</f>
        <v/>
      </c>
      <c r="K27" s="6">
        <f>G27-*F27</f>
        <v/>
      </c>
      <c r="L27" s="7" t="n">
        <v>6.840923938261729</v>
      </c>
      <c r="M27" s="7">
        <f>(L27-L26)-(L26-L25)</f>
        <v/>
      </c>
      <c r="N27" s="8">
        <f>L27-K27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E6</f>
        <v/>
      </c>
      <c r="G36">
        <f>L6</f>
        <v/>
      </c>
      <c r="H36">
        <f>EXP(G36)*E36^</f>
        <v/>
      </c>
      <c r="I36" t="n">
        <v>0</v>
      </c>
      <c r="J36" t="n">
        <v>0</v>
      </c>
      <c r="K36" s="19">
        <f>E36</f>
        <v/>
      </c>
      <c r="L36">
        <f>EXP(G36)*K36^</f>
        <v/>
      </c>
      <c r="M36">
        <f>L36-H36</f>
        <v/>
      </c>
      <c r="N36">
        <f>F36+M36</f>
        <v/>
      </c>
    </row>
    <row r="37">
      <c r="C37" t="n">
        <v>2003</v>
      </c>
      <c r="D37">
        <f>E37/F37</f>
        <v/>
      </c>
      <c r="E37" s="19">
        <f>D7</f>
        <v/>
      </c>
      <c r="F37">
        <f>E7</f>
        <v/>
      </c>
      <c r="G37">
        <f>L7</f>
        <v/>
      </c>
      <c r="H37">
        <f>EXP(G37)*E37^</f>
        <v/>
      </c>
      <c r="I37" t="n">
        <v>0</v>
      </c>
      <c r="J37" t="n">
        <v>0</v>
      </c>
      <c r="K37" s="19">
        <f>E37</f>
        <v/>
      </c>
      <c r="L37">
        <f>EXP(G37)*K37^</f>
        <v/>
      </c>
      <c r="M37">
        <f>L37-H37</f>
        <v/>
      </c>
      <c r="N37">
        <f>F37+M37</f>
        <v/>
      </c>
      <c r="O37">
        <f>N37/N36-1</f>
        <v/>
      </c>
      <c r="P37">
        <f>F37/F36-1</f>
        <v/>
      </c>
    </row>
    <row r="38">
      <c r="C38" t="n">
        <v>2004</v>
      </c>
      <c r="D38">
        <f>E38/F38</f>
        <v/>
      </c>
      <c r="E38" s="19">
        <f>D8</f>
        <v/>
      </c>
      <c r="F38">
        <f>E8</f>
        <v/>
      </c>
      <c r="G38">
        <f>L8</f>
        <v/>
      </c>
      <c r="H38">
        <f>EXP(G38)*E38^</f>
        <v/>
      </c>
      <c r="I38" t="n">
        <v>0</v>
      </c>
      <c r="J38" t="n">
        <v>0</v>
      </c>
      <c r="K38" s="19">
        <f>E38</f>
        <v/>
      </c>
      <c r="L38">
        <f>EXP(G38)*K38^</f>
        <v/>
      </c>
      <c r="M38">
        <f>L38-H38</f>
        <v/>
      </c>
      <c r="N38">
        <f>F38+M38</f>
        <v/>
      </c>
      <c r="O38">
        <f>N38/N37-1</f>
        <v/>
      </c>
      <c r="P38">
        <f>F38/F37-1</f>
        <v/>
      </c>
    </row>
    <row r="39">
      <c r="C39" t="n">
        <v>2005</v>
      </c>
      <c r="D39">
        <f>E39/F39</f>
        <v/>
      </c>
      <c r="E39" s="19">
        <f>D9</f>
        <v/>
      </c>
      <c r="F39">
        <f>E9</f>
        <v/>
      </c>
      <c r="G39">
        <f>L9</f>
        <v/>
      </c>
      <c r="H39">
        <f>EXP(G39)*E39^</f>
        <v/>
      </c>
      <c r="I39" t="n">
        <v>0</v>
      </c>
      <c r="J39" t="n">
        <v>0</v>
      </c>
      <c r="K39" s="19">
        <f>E39</f>
        <v/>
      </c>
      <c r="L39">
        <f>EXP(G39)*K39^</f>
        <v/>
      </c>
      <c r="M39">
        <f>L39-H39</f>
        <v/>
      </c>
      <c r="N39">
        <f>F39+M39</f>
        <v/>
      </c>
      <c r="O39">
        <f>N39/N38-1</f>
        <v/>
      </c>
      <c r="P39">
        <f>F39/F38-1</f>
        <v/>
      </c>
    </row>
    <row r="40">
      <c r="C40" t="n">
        <v>2006</v>
      </c>
      <c r="D40">
        <f>E40/F40</f>
        <v/>
      </c>
      <c r="E40" s="19">
        <f>D10</f>
        <v/>
      </c>
      <c r="F40">
        <f>E10</f>
        <v/>
      </c>
      <c r="G40">
        <f>L10</f>
        <v/>
      </c>
      <c r="H40">
        <f>EXP(G40)*E40^</f>
        <v/>
      </c>
      <c r="I40" t="n">
        <v>0</v>
      </c>
      <c r="J40" t="n">
        <v>0</v>
      </c>
      <c r="K40" s="19">
        <f>E40</f>
        <v/>
      </c>
      <c r="L40">
        <f>EXP(G40)*K40^</f>
        <v/>
      </c>
      <c r="M40">
        <f>L40-H40</f>
        <v/>
      </c>
      <c r="N40">
        <f>F40+M40</f>
        <v/>
      </c>
      <c r="O40">
        <f>N40/N39-1</f>
        <v/>
      </c>
      <c r="P40">
        <f>F40/F39-1</f>
        <v/>
      </c>
    </row>
    <row r="41">
      <c r="C41" t="n">
        <v>2007</v>
      </c>
      <c r="D41">
        <f>E41/F41</f>
        <v/>
      </c>
      <c r="E41" s="19">
        <f>D11</f>
        <v/>
      </c>
      <c r="F41">
        <f>E11</f>
        <v/>
      </c>
      <c r="G41">
        <f>L11</f>
        <v/>
      </c>
      <c r="H41">
        <f>EXP(G41)*E41^</f>
        <v/>
      </c>
      <c r="I41" t="n">
        <v>0</v>
      </c>
      <c r="J41" t="n">
        <v>0</v>
      </c>
      <c r="K41" s="19">
        <f>E41</f>
        <v/>
      </c>
      <c r="L41">
        <f>EXP(G41)*K41^</f>
        <v/>
      </c>
      <c r="M41">
        <f>L41-H41</f>
        <v/>
      </c>
      <c r="N41">
        <f>F41+M41</f>
        <v/>
      </c>
      <c r="O41">
        <f>N41/N40-1</f>
        <v/>
      </c>
      <c r="P41">
        <f>F41/F40-1</f>
        <v/>
      </c>
    </row>
    <row r="42">
      <c r="C42" t="n">
        <v>2008</v>
      </c>
      <c r="D42">
        <f>E42/F42</f>
        <v/>
      </c>
      <c r="E42" s="19">
        <f>D12</f>
        <v/>
      </c>
      <c r="F42">
        <f>E12</f>
        <v/>
      </c>
      <c r="G42">
        <f>L12</f>
        <v/>
      </c>
      <c r="H42">
        <f>EXP(G42)*E42^</f>
        <v/>
      </c>
      <c r="I42" t="n">
        <v>0</v>
      </c>
      <c r="J42" t="n">
        <v>0</v>
      </c>
      <c r="K42" s="19">
        <f>E42</f>
        <v/>
      </c>
      <c r="L42">
        <f>EXP(G42)*K42^</f>
        <v/>
      </c>
      <c r="M42">
        <f>L42-H42</f>
        <v/>
      </c>
      <c r="N42">
        <f>F42+M42</f>
        <v/>
      </c>
      <c r="O42">
        <f>N42/N41-1</f>
        <v/>
      </c>
      <c r="P42">
        <f>F42/F41-1</f>
        <v/>
      </c>
    </row>
    <row r="43">
      <c r="C43" t="n">
        <v>2009</v>
      </c>
      <c r="D43">
        <f>E43/F43</f>
        <v/>
      </c>
      <c r="E43" s="19">
        <f>D13</f>
        <v/>
      </c>
      <c r="F43">
        <f>E13</f>
        <v/>
      </c>
      <c r="G43">
        <f>L13</f>
        <v/>
      </c>
      <c r="H43">
        <f>EXP(G43)*E43^</f>
        <v/>
      </c>
      <c r="I43" t="n">
        <v>0</v>
      </c>
      <c r="J43" t="n">
        <v>0</v>
      </c>
      <c r="K43" s="19">
        <f>E43</f>
        <v/>
      </c>
      <c r="L43">
        <f>EXP(G43)*K43^</f>
        <v/>
      </c>
      <c r="M43">
        <f>L43-H43</f>
        <v/>
      </c>
      <c r="N43">
        <f>F43+M43</f>
        <v/>
      </c>
      <c r="O43">
        <f>N43/N42-1</f>
        <v/>
      </c>
      <c r="P43">
        <f>F43/F42-1</f>
        <v/>
      </c>
    </row>
    <row r="44">
      <c r="C44" t="n">
        <v>2010</v>
      </c>
      <c r="D44">
        <f>E44/F44</f>
        <v/>
      </c>
      <c r="E44" s="19">
        <f>D14</f>
        <v/>
      </c>
      <c r="F44">
        <f>E14</f>
        <v/>
      </c>
      <c r="G44">
        <f>L14</f>
        <v/>
      </c>
      <c r="H44">
        <f>EXP(G44)*E44^</f>
        <v/>
      </c>
      <c r="I44" t="n">
        <v>0</v>
      </c>
      <c r="J44" t="n">
        <v>0</v>
      </c>
      <c r="K44" s="19">
        <f>E44</f>
        <v/>
      </c>
      <c r="L44">
        <f>EXP(G44)*K44^</f>
        <v/>
      </c>
      <c r="M44">
        <f>L44-H44</f>
        <v/>
      </c>
      <c r="N44">
        <f>F44+M44</f>
        <v/>
      </c>
      <c r="O44">
        <f>N44/N43-1</f>
        <v/>
      </c>
      <c r="P44">
        <f>F44/F43-1</f>
        <v/>
      </c>
    </row>
    <row r="45">
      <c r="C45" t="n">
        <v>2011</v>
      </c>
      <c r="D45">
        <f>E45/F45</f>
        <v/>
      </c>
      <c r="E45" s="19">
        <f>D15</f>
        <v/>
      </c>
      <c r="F45">
        <f>E15</f>
        <v/>
      </c>
      <c r="G45">
        <f>L15</f>
        <v/>
      </c>
      <c r="H45">
        <f>EXP(G45)*E45^</f>
        <v/>
      </c>
      <c r="I45" t="n">
        <v>0</v>
      </c>
      <c r="J45" t="n">
        <v>0</v>
      </c>
      <c r="K45" s="19">
        <f>E45</f>
        <v/>
      </c>
      <c r="L45">
        <f>EXP(G45)*K45^</f>
        <v/>
      </c>
      <c r="M45">
        <f>L45-H45</f>
        <v/>
      </c>
      <c r="N45">
        <f>F45+M45</f>
        <v/>
      </c>
      <c r="O45">
        <f>N45/N44-1</f>
        <v/>
      </c>
      <c r="P45">
        <f>F45/F44-1</f>
        <v/>
      </c>
    </row>
    <row r="46">
      <c r="C46" t="n">
        <v>2012</v>
      </c>
      <c r="D46">
        <f>E46/F46</f>
        <v/>
      </c>
      <c r="E46" s="19">
        <f>D16</f>
        <v/>
      </c>
      <c r="F46">
        <f>E16</f>
        <v/>
      </c>
      <c r="G46">
        <f>L16</f>
        <v/>
      </c>
      <c r="H46">
        <f>EXP(G46)*E46^</f>
        <v/>
      </c>
      <c r="I46" t="n">
        <v>0</v>
      </c>
      <c r="J46" t="n">
        <v>0</v>
      </c>
      <c r="K46" s="19">
        <f>E46</f>
        <v/>
      </c>
      <c r="L46">
        <f>EXP(G46)*K46^</f>
        <v/>
      </c>
      <c r="M46">
        <f>L46-H46</f>
        <v/>
      </c>
      <c r="N46">
        <f>F46+M46</f>
        <v/>
      </c>
      <c r="O46">
        <f>N46/N45-1</f>
        <v/>
      </c>
      <c r="P46">
        <f>F46/F45-1</f>
        <v/>
      </c>
    </row>
    <row r="47">
      <c r="C47" t="n">
        <v>2013</v>
      </c>
      <c r="D47">
        <f>E47/F47</f>
        <v/>
      </c>
      <c r="E47" s="19">
        <f>D17</f>
        <v/>
      </c>
      <c r="F47">
        <f>E17</f>
        <v/>
      </c>
      <c r="G47">
        <f>L17</f>
        <v/>
      </c>
      <c r="H47">
        <f>EXP(G47)*E47^</f>
        <v/>
      </c>
      <c r="I47" t="n">
        <v>0</v>
      </c>
      <c r="J47" t="n">
        <v>0</v>
      </c>
      <c r="K47" s="19">
        <f>E47</f>
        <v/>
      </c>
      <c r="L47">
        <f>EXP(G47)*K47^</f>
        <v/>
      </c>
      <c r="M47">
        <f>L47-H47</f>
        <v/>
      </c>
      <c r="N47">
        <f>F47+M47</f>
        <v/>
      </c>
      <c r="O47">
        <f>N47/N46-1</f>
        <v/>
      </c>
      <c r="P47">
        <f>F47/F46-1</f>
        <v/>
      </c>
    </row>
    <row r="48">
      <c r="C48" t="n">
        <v>2014</v>
      </c>
      <c r="D48">
        <f>E48/F48</f>
        <v/>
      </c>
      <c r="E48" s="19">
        <f>D18</f>
        <v/>
      </c>
      <c r="F48">
        <f>E18</f>
        <v/>
      </c>
      <c r="G48">
        <f>L18</f>
        <v/>
      </c>
      <c r="H48">
        <f>EXP(G48)*E48^</f>
        <v/>
      </c>
      <c r="I48" t="n">
        <v>0</v>
      </c>
      <c r="J48" t="n">
        <v>0</v>
      </c>
      <c r="K48" s="19">
        <f>E48</f>
        <v/>
      </c>
      <c r="L48">
        <f>EXP(G48)*K48^</f>
        <v/>
      </c>
      <c r="M48">
        <f>L48-H48</f>
        <v/>
      </c>
      <c r="N48">
        <f>F48+M48</f>
        <v/>
      </c>
      <c r="O48">
        <f>N48/N47-1</f>
        <v/>
      </c>
      <c r="P48">
        <f>F48/F47-1</f>
        <v/>
      </c>
    </row>
    <row r="49">
      <c r="C49" t="n">
        <v>2015</v>
      </c>
      <c r="D49">
        <f>E49/F49</f>
        <v/>
      </c>
      <c r="E49" s="19">
        <f>D19</f>
        <v/>
      </c>
      <c r="F49">
        <f>E19</f>
        <v/>
      </c>
      <c r="G49">
        <f>L19</f>
        <v/>
      </c>
      <c r="H49">
        <f>EXP(G49)*E49^</f>
        <v/>
      </c>
      <c r="I49" t="n">
        <v>0</v>
      </c>
      <c r="J49" t="n">
        <v>0</v>
      </c>
      <c r="K49" s="19">
        <f>E49</f>
        <v/>
      </c>
      <c r="L49">
        <f>EXP(G49)*K49^</f>
        <v/>
      </c>
      <c r="M49">
        <f>L49-H49</f>
        <v/>
      </c>
      <c r="N49">
        <f>F49+M49</f>
        <v/>
      </c>
      <c r="O49">
        <f>N49/N48-1</f>
        <v/>
      </c>
      <c r="P49">
        <f>F49/F48-1</f>
        <v/>
      </c>
    </row>
    <row r="50">
      <c r="C50" t="n">
        <v>2016</v>
      </c>
      <c r="D50">
        <f>E50/F50</f>
        <v/>
      </c>
      <c r="E50" s="19">
        <f>D20</f>
        <v/>
      </c>
      <c r="F50">
        <f>E20</f>
        <v/>
      </c>
      <c r="G50">
        <f>L20</f>
        <v/>
      </c>
      <c r="H50">
        <f>EXP(G50)*E50^</f>
        <v/>
      </c>
      <c r="I50" t="n">
        <v>0</v>
      </c>
      <c r="J50" t="n">
        <v>0</v>
      </c>
      <c r="K50" s="19">
        <f>E50</f>
        <v/>
      </c>
      <c r="L50">
        <f>EXP(G50)*K50^</f>
        <v/>
      </c>
      <c r="M50">
        <f>L50-H50</f>
        <v/>
      </c>
      <c r="N50">
        <f>F50+M50</f>
        <v/>
      </c>
      <c r="O50">
        <f>N50/N49-1</f>
        <v/>
      </c>
      <c r="P50">
        <f>F50/F49-1</f>
        <v/>
      </c>
    </row>
    <row r="51">
      <c r="C51" t="n">
        <v>2017</v>
      </c>
      <c r="D51">
        <f>E51/F51</f>
        <v/>
      </c>
      <c r="E51" s="19">
        <f>D21</f>
        <v/>
      </c>
      <c r="F51">
        <f>E21</f>
        <v/>
      </c>
      <c r="G51">
        <f>L21</f>
        <v/>
      </c>
      <c r="H51">
        <f>EXP(G51)*E51^</f>
        <v/>
      </c>
      <c r="I51" t="n">
        <v>0</v>
      </c>
      <c r="J51" t="n">
        <v>0</v>
      </c>
      <c r="K51" s="19">
        <f>E51</f>
        <v/>
      </c>
      <c r="L51">
        <f>EXP(G51)*K51^</f>
        <v/>
      </c>
      <c r="M51">
        <f>L51-H51</f>
        <v/>
      </c>
      <c r="N51">
        <f>F51+M51</f>
        <v/>
      </c>
      <c r="O51">
        <f>N51/N50-1</f>
        <v/>
      </c>
      <c r="P51">
        <f>F51/F50-1</f>
        <v/>
      </c>
    </row>
    <row r="52">
      <c r="C52" t="n">
        <v>2018</v>
      </c>
      <c r="D52">
        <f>E52/F52</f>
        <v/>
      </c>
      <c r="E52" s="19">
        <f>D22</f>
        <v/>
      </c>
      <c r="F52">
        <f>E22</f>
        <v/>
      </c>
      <c r="G52">
        <f>L22</f>
        <v/>
      </c>
      <c r="H52">
        <f>EXP(G52)*E52^</f>
        <v/>
      </c>
      <c r="I52" t="n">
        <v>0</v>
      </c>
      <c r="J52" t="n">
        <v>0</v>
      </c>
      <c r="K52" s="19">
        <f>E52</f>
        <v/>
      </c>
      <c r="L52">
        <f>EXP(G52)*K52^</f>
        <v/>
      </c>
      <c r="M52">
        <f>L52-H52</f>
        <v/>
      </c>
      <c r="N52">
        <f>F52+M52</f>
        <v/>
      </c>
      <c r="O52">
        <f>N52/N51-1</f>
        <v/>
      </c>
      <c r="P52">
        <f>F52/F51-1</f>
        <v/>
      </c>
    </row>
    <row r="53">
      <c r="C53" t="n">
        <v>2019</v>
      </c>
      <c r="D53">
        <f>E53/F53</f>
        <v/>
      </c>
      <c r="E53" s="19">
        <f>D23</f>
        <v/>
      </c>
      <c r="F53">
        <f>E23</f>
        <v/>
      </c>
      <c r="G53">
        <f>L23</f>
        <v/>
      </c>
      <c r="H53">
        <f>EXP(G53)*E53^</f>
        <v/>
      </c>
      <c r="I53" t="n">
        <v>0</v>
      </c>
      <c r="J53" t="n">
        <v>0</v>
      </c>
      <c r="K53" s="19">
        <f>E53</f>
        <v/>
      </c>
      <c r="L53">
        <f>EXP(G53)*K53^</f>
        <v/>
      </c>
      <c r="M53">
        <f>L53-H53</f>
        <v/>
      </c>
      <c r="N53">
        <f>F53+M53</f>
        <v/>
      </c>
      <c r="O53">
        <f>N53/N52-1</f>
        <v/>
      </c>
      <c r="P53">
        <f>F53/F52-1</f>
        <v/>
      </c>
    </row>
    <row r="54">
      <c r="C54" t="n">
        <v>2020</v>
      </c>
      <c r="D54">
        <f>E54/F54</f>
        <v/>
      </c>
      <c r="E54" s="19">
        <f>D24</f>
        <v/>
      </c>
      <c r="F54">
        <f>E24</f>
        <v/>
      </c>
      <c r="G54">
        <f>L24</f>
        <v/>
      </c>
      <c r="H54">
        <f>EXP(G54)*E54^</f>
        <v/>
      </c>
      <c r="I54" t="n">
        <v>0</v>
      </c>
      <c r="J54" t="n">
        <v>0</v>
      </c>
      <c r="K54" s="19">
        <f>E54</f>
        <v/>
      </c>
      <c r="L54">
        <f>EXP(G54)*K54^</f>
        <v/>
      </c>
      <c r="M54">
        <f>L54-H54</f>
        <v/>
      </c>
      <c r="N54">
        <f>F54+M54</f>
        <v/>
      </c>
      <c r="O54">
        <f>N54/N53-1</f>
        <v/>
      </c>
      <c r="P54">
        <f>F54/F53-1</f>
        <v/>
      </c>
    </row>
    <row r="55">
      <c r="C55" t="n">
        <v>2021</v>
      </c>
      <c r="D55">
        <f>E55/F55</f>
        <v/>
      </c>
      <c r="E55" s="19">
        <f>D25</f>
        <v/>
      </c>
      <c r="F55">
        <f>E25</f>
        <v/>
      </c>
      <c r="G55">
        <f>L25</f>
        <v/>
      </c>
      <c r="H55">
        <f>EXP(G55)*E55^</f>
        <v/>
      </c>
      <c r="I55" t="n">
        <v>0</v>
      </c>
      <c r="J55" t="n">
        <v>0</v>
      </c>
      <c r="K55" s="19">
        <f>E55</f>
        <v/>
      </c>
      <c r="L55">
        <f>EXP(G55)*K55^</f>
        <v/>
      </c>
      <c r="M55">
        <f>L55-H55</f>
        <v/>
      </c>
      <c r="N55">
        <f>F55+M55</f>
        <v/>
      </c>
      <c r="O55">
        <f>N55/N54-1</f>
        <v/>
      </c>
      <c r="P55">
        <f>F55/F54-1</f>
        <v/>
      </c>
    </row>
    <row r="56">
      <c r="C56" t="n">
        <v>2022</v>
      </c>
      <c r="D56">
        <f>E56/F56</f>
        <v/>
      </c>
      <c r="E56" s="19">
        <f>D26</f>
        <v/>
      </c>
      <c r="F56">
        <f>E26</f>
        <v/>
      </c>
      <c r="G56">
        <f>L26</f>
        <v/>
      </c>
      <c r="H56">
        <f>EXP(G56)*E56^</f>
        <v/>
      </c>
      <c r="I56" t="n">
        <v>0</v>
      </c>
      <c r="J56" t="n">
        <v>0</v>
      </c>
      <c r="K56" s="19">
        <f>E56</f>
        <v/>
      </c>
      <c r="L56">
        <f>EXP(G56)*K56^</f>
        <v/>
      </c>
      <c r="M56">
        <f>L56-H56</f>
        <v/>
      </c>
      <c r="N56">
        <f>F56+M56</f>
        <v/>
      </c>
      <c r="O56">
        <f>N56/N55-1</f>
        <v/>
      </c>
      <c r="P56">
        <f>F56/F55-1</f>
        <v/>
      </c>
    </row>
    <row r="57">
      <c r="C57" t="n">
        <v>2023</v>
      </c>
      <c r="D57">
        <f>E57/F57</f>
        <v/>
      </c>
      <c r="E57" s="19">
        <f>D27</f>
        <v/>
      </c>
      <c r="F57">
        <f>E27</f>
        <v/>
      </c>
      <c r="G57">
        <f>L27</f>
        <v/>
      </c>
      <c r="H57">
        <f>EXP(G57)*E57^</f>
        <v/>
      </c>
      <c r="I57" t="n">
        <v>0</v>
      </c>
      <c r="J57" t="n">
        <v>0</v>
      </c>
      <c r="K57" s="19">
        <f>E57</f>
        <v/>
      </c>
      <c r="L57">
        <f>EXP(G57)*K57^</f>
        <v/>
      </c>
      <c r="M57">
        <f>L57-H57</f>
        <v/>
      </c>
      <c r="N57">
        <f>F57+M57</f>
        <v/>
      </c>
      <c r="O57">
        <f>N57/N56-1</f>
        <v/>
      </c>
      <c r="P57">
        <f>F57/F56-1</f>
        <v/>
      </c>
    </row>
    <row r="58">
      <c r="C58" t="n">
        <v>2024</v>
      </c>
      <c r="D58" t="inlineStr">
        <is>
          <t>=</t>
        </is>
      </c>
      <c r="E58" s="21">
        <f>D58*F58</f>
        <v/>
      </c>
      <c r="F58">
        <f>WEO_Data!C32</f>
        <v/>
      </c>
      <c r="G58" s="20">
        <f>TREND(G6:G7, C6:C7, C58)</f>
        <v/>
      </c>
      <c r="H58">
        <f>EXP(G58)*E58^</f>
        <v/>
      </c>
      <c r="I58" t="n">
        <v>0</v>
      </c>
      <c r="J58" t="n">
        <v>0</v>
      </c>
      <c r="K58" s="19">
        <f>E58</f>
        <v/>
      </c>
      <c r="L58">
        <f>EXP(G58)*K58^</f>
        <v/>
      </c>
      <c r="M58">
        <f>L58-H58</f>
        <v/>
      </c>
      <c r="N58">
        <f>F58+M58</f>
        <v/>
      </c>
      <c r="O58">
        <f>N58/N57-1</f>
        <v/>
      </c>
      <c r="P58">
        <f>F58/F57-1</f>
        <v/>
      </c>
    </row>
    <row r="59">
      <c r="C59" t="n">
        <v>2025</v>
      </c>
      <c r="D59" t="inlineStr">
        <is>
          <t>=</t>
        </is>
      </c>
      <c r="E59" s="21">
        <f>D59*F59</f>
        <v/>
      </c>
      <c r="F59">
        <f>WEO_Data!C33</f>
        <v/>
      </c>
      <c r="G59" s="20">
        <f>TREND(G6:G7, C6:C7, C59)</f>
        <v/>
      </c>
      <c r="H59">
        <f>EXP(G59)*E59^</f>
        <v/>
      </c>
      <c r="I59" t="n">
        <v>0</v>
      </c>
      <c r="J59" t="n">
        <v>0</v>
      </c>
      <c r="K59" s="19">
        <f>E59</f>
        <v/>
      </c>
      <c r="L59">
        <f>EXP(G59)*K59^</f>
        <v/>
      </c>
      <c r="M59">
        <f>L59-H59</f>
        <v/>
      </c>
      <c r="N59">
        <f>F59+M59</f>
        <v/>
      </c>
      <c r="O59">
        <f>N59/N58-1</f>
        <v/>
      </c>
      <c r="P59">
        <f>F59/F58-1</f>
        <v/>
      </c>
    </row>
    <row r="60">
      <c r="C60" t="n">
        <v>2026</v>
      </c>
      <c r="D60" t="inlineStr">
        <is>
          <t>=</t>
        </is>
      </c>
      <c r="E60" s="21">
        <f>D60*F60</f>
        <v/>
      </c>
      <c r="F60" s="20">
        <f>WEO_Data!C34</f>
        <v/>
      </c>
      <c r="G60" s="20">
        <f>TREND(G6:G7, C6:C7, C60)</f>
        <v/>
      </c>
      <c r="H60">
        <f>EXP(G60)*E60^</f>
        <v/>
      </c>
      <c r="I60" s="17">
        <f>Investment!C2</f>
        <v/>
      </c>
      <c r="J60">
        <f>I60-*K59</f>
        <v/>
      </c>
      <c r="K60" s="19">
        <f>K59+J60</f>
        <v/>
      </c>
      <c r="L60">
        <f>EXP(G60)*K60^</f>
        <v/>
      </c>
      <c r="M60">
        <f>L60-H60</f>
        <v/>
      </c>
      <c r="N60">
        <f>F60+M60</f>
        <v/>
      </c>
      <c r="O60">
        <f>N60/N59-1</f>
        <v/>
      </c>
      <c r="P60">
        <f>F60/F59-1</f>
        <v/>
      </c>
    </row>
    <row r="61">
      <c r="C61" t="n">
        <v>2027</v>
      </c>
      <c r="D61" t="inlineStr">
        <is>
          <t>=</t>
        </is>
      </c>
      <c r="E61" s="21">
        <f>D61*F61</f>
        <v/>
      </c>
      <c r="F61" s="20">
        <f>WEO_Data!C35</f>
        <v/>
      </c>
      <c r="G61" s="20">
        <f>TREND(G6:G7, C6:C7, C61)</f>
        <v/>
      </c>
      <c r="H61">
        <f>EXP(G61)*E61^</f>
        <v/>
      </c>
      <c r="I61" s="17">
        <f>Investment!C3</f>
        <v/>
      </c>
      <c r="J61">
        <f>I61-*K60</f>
        <v/>
      </c>
      <c r="K61" s="19">
        <f>K60+J61</f>
        <v/>
      </c>
      <c r="L61">
        <f>EXP(G61)*K61^</f>
        <v/>
      </c>
      <c r="M61">
        <f>L61-H61</f>
        <v/>
      </c>
      <c r="N61">
        <f>F61+M61</f>
        <v/>
      </c>
      <c r="O61">
        <f>N61/N60-1</f>
        <v/>
      </c>
      <c r="P61">
        <f>F61/F60-1</f>
        <v/>
      </c>
    </row>
    <row r="62">
      <c r="C62" t="n">
        <v>2028</v>
      </c>
      <c r="D62" t="inlineStr">
        <is>
          <t>=</t>
        </is>
      </c>
      <c r="E62" s="21">
        <f>D62*F62</f>
        <v/>
      </c>
      <c r="F62" s="20">
        <f>WEO_Data!C36</f>
        <v/>
      </c>
      <c r="G62" s="20">
        <f>TREND(G6:G7, C6:C7, C62)</f>
        <v/>
      </c>
      <c r="H62">
        <f>EXP(G62)*E62^</f>
        <v/>
      </c>
      <c r="I62" s="17">
        <f>Investment!C4</f>
        <v/>
      </c>
      <c r="J62">
        <f>I62-*K61</f>
        <v/>
      </c>
      <c r="K62" s="19">
        <f>K61+J62</f>
        <v/>
      </c>
      <c r="L62">
        <f>EXP(G62)*K62^</f>
        <v/>
      </c>
      <c r="M62">
        <f>L62-H62</f>
        <v/>
      </c>
      <c r="N62">
        <f>F62+M62</f>
        <v/>
      </c>
      <c r="O62">
        <f>N62/N61-1</f>
        <v/>
      </c>
      <c r="P62">
        <f>F62/F61-1</f>
        <v/>
      </c>
    </row>
    <row r="63">
      <c r="C63" t="n">
        <v>2029</v>
      </c>
      <c r="D63" t="inlineStr">
        <is>
          <t>=</t>
        </is>
      </c>
      <c r="E63" s="21">
        <f>D63*F63</f>
        <v/>
      </c>
      <c r="F63" s="20">
        <f>WEO_Data!C37</f>
        <v/>
      </c>
      <c r="G63" s="20">
        <f>TREND(G6:G7, C6:C7, C63)</f>
        <v/>
      </c>
      <c r="H63">
        <f>EXP(G63)*E63^</f>
        <v/>
      </c>
      <c r="I63" s="17">
        <f>Investment!C5</f>
        <v/>
      </c>
      <c r="J63">
        <f>I63-*K62</f>
        <v/>
      </c>
      <c r="K63" s="19">
        <f>K62+J63</f>
        <v/>
      </c>
      <c r="L63">
        <f>EXP(G63)*K63^</f>
        <v/>
      </c>
      <c r="M63">
        <f>L63-H63</f>
        <v/>
      </c>
      <c r="N63">
        <f>F63+M63</f>
        <v/>
      </c>
      <c r="O63">
        <f>N63/N62-1</f>
        <v/>
      </c>
      <c r="P63">
        <f>F63/F62-1</f>
        <v/>
      </c>
    </row>
    <row r="64">
      <c r="C64" t="n">
        <v>2030</v>
      </c>
      <c r="D64" t="inlineStr">
        <is>
          <t>=</t>
        </is>
      </c>
      <c r="E64" s="21">
        <f>D64*F64</f>
        <v/>
      </c>
      <c r="F64" s="20">
        <f>WEO_Data!C38</f>
        <v/>
      </c>
      <c r="G64" s="20">
        <f>TREND(G6:G7, C6:C7, C64)</f>
        <v/>
      </c>
      <c r="H64">
        <f>EXP(G64)*E64^</f>
        <v/>
      </c>
      <c r="I64" s="17">
        <f>Investment!C6</f>
        <v/>
      </c>
      <c r="J64">
        <f>I64-*K63</f>
        <v/>
      </c>
      <c r="K64" s="19">
        <f>K63+J64</f>
        <v/>
      </c>
      <c r="L64">
        <f>EXP(G64)*K64^</f>
        <v/>
      </c>
      <c r="M64">
        <f>L64-H64</f>
        <v/>
      </c>
      <c r="N64">
        <f>F64+M64</f>
        <v/>
      </c>
      <c r="O64">
        <f>N64/N63-1</f>
        <v/>
      </c>
      <c r="P64">
        <f>F64/F63-1</f>
        <v/>
      </c>
    </row>
    <row r="65">
      <c r="C65" t="n">
        <v>2031</v>
      </c>
      <c r="D65" t="inlineStr">
        <is>
          <t>=</t>
        </is>
      </c>
      <c r="E65" s="21">
        <f>D65*F65</f>
        <v/>
      </c>
      <c r="F65" s="20">
        <f>WEO_Data!C39</f>
        <v/>
      </c>
      <c r="G65" s="20">
        <f>TREND(G6:G7, C6:C7, C65)</f>
        <v/>
      </c>
      <c r="H65">
        <f>EXP(G65)*E65^</f>
        <v/>
      </c>
      <c r="I65" s="17">
        <f>Investment!C7</f>
        <v/>
      </c>
      <c r="J65">
        <f>I65-*K64</f>
        <v/>
      </c>
      <c r="K65" s="19">
        <f>K64+J65</f>
        <v/>
      </c>
      <c r="L65">
        <f>EXP(G65)*K65^</f>
        <v/>
      </c>
      <c r="M65">
        <f>L65-H65</f>
        <v/>
      </c>
      <c r="N65">
        <f>F65+M65</f>
        <v/>
      </c>
      <c r="O65">
        <f>N65/N64-1</f>
        <v/>
      </c>
      <c r="P65">
        <f>F65/F64-1</f>
        <v/>
      </c>
    </row>
    <row r="66">
      <c r="C66" t="n">
        <v>2032</v>
      </c>
      <c r="D66" t="inlineStr">
        <is>
          <t>=</t>
        </is>
      </c>
      <c r="E66" s="21">
        <f>D66*F66</f>
        <v/>
      </c>
      <c r="F66" s="20">
        <f>WEO_Data!C40</f>
        <v/>
      </c>
      <c r="G66" s="20">
        <f>TREND(G6:G7, C6:C7, C66)</f>
        <v/>
      </c>
      <c r="H66">
        <f>EXP(G66)*E66^</f>
        <v/>
      </c>
      <c r="I66" s="17">
        <f>Investment!C8</f>
        <v/>
      </c>
      <c r="J66">
        <f>I66-*K65</f>
        <v/>
      </c>
      <c r="K66" s="19">
        <f>K65+J66</f>
        <v/>
      </c>
      <c r="L66">
        <f>EXP(G66)*K66^</f>
        <v/>
      </c>
      <c r="M66">
        <f>L66-H66</f>
        <v/>
      </c>
      <c r="N66">
        <f>F66+M66</f>
        <v/>
      </c>
      <c r="O66">
        <f>N66/N65-1</f>
        <v/>
      </c>
      <c r="P66">
        <f>F66/F65-1</f>
        <v/>
      </c>
    </row>
    <row r="67">
      <c r="C67" t="n">
        <v>2033</v>
      </c>
      <c r="D67" t="inlineStr">
        <is>
          <t>=</t>
        </is>
      </c>
      <c r="E67" s="21">
        <f>D67*F67</f>
        <v/>
      </c>
      <c r="F67" s="20">
        <f>WEO_Data!C41</f>
        <v/>
      </c>
      <c r="G67" s="20">
        <f>TREND(G6:G7, C6:C7, C67)</f>
        <v/>
      </c>
      <c r="H67">
        <f>EXP(G67)*E67^</f>
        <v/>
      </c>
      <c r="I67" s="17">
        <f>Investment!C9</f>
        <v/>
      </c>
      <c r="J67">
        <f>I67-*K66</f>
        <v/>
      </c>
      <c r="K67" s="19">
        <f>K66+J67</f>
        <v/>
      </c>
      <c r="L67">
        <f>EXP(G67)*K67^</f>
        <v/>
      </c>
      <c r="M67">
        <f>L67-H67</f>
        <v/>
      </c>
      <c r="N67">
        <f>F67+M67</f>
        <v/>
      </c>
      <c r="O67">
        <f>N67/N66-1</f>
        <v/>
      </c>
      <c r="P67">
        <f>F67/F66-1</f>
        <v/>
      </c>
    </row>
    <row r="68">
      <c r="C68" t="n">
        <v>2034</v>
      </c>
      <c r="D68" t="inlineStr">
        <is>
          <t>=</t>
        </is>
      </c>
      <c r="E68" s="21">
        <f>D68*F68</f>
        <v/>
      </c>
      <c r="F68" s="20">
        <f>WEO_Data!C42</f>
        <v/>
      </c>
      <c r="G68" s="20">
        <f>TREND(G6:G7, C6:C7, C68)</f>
        <v/>
      </c>
      <c r="H68">
        <f>EXP(G68)*E68^</f>
        <v/>
      </c>
      <c r="I68" t="n">
        <v>0</v>
      </c>
      <c r="J68">
        <f>I68-*K67</f>
        <v/>
      </c>
      <c r="K68" s="19">
        <f>K67+J68</f>
        <v/>
      </c>
      <c r="L68">
        <f>EXP(G68)*K68^</f>
        <v/>
      </c>
      <c r="M68">
        <f>L68-H68</f>
        <v/>
      </c>
      <c r="N68">
        <f>F68+M68</f>
        <v/>
      </c>
      <c r="O68">
        <f>N68/N67-1</f>
        <v/>
      </c>
      <c r="P68">
        <f>F68/F67-1</f>
        <v/>
      </c>
    </row>
    <row r="69">
      <c r="C69" t="n">
        <v>2035</v>
      </c>
      <c r="D69" t="inlineStr">
        <is>
          <t>=</t>
        </is>
      </c>
      <c r="E69" s="21">
        <f>D69*F69</f>
        <v/>
      </c>
      <c r="F69" s="20">
        <f>WEO_Data!C43</f>
        <v/>
      </c>
      <c r="G69" s="20">
        <f>TREND(G6:G7, C6:C7, C69)</f>
        <v/>
      </c>
      <c r="H69">
        <f>EXP(G69)*E69^</f>
        <v/>
      </c>
      <c r="I69" t="n">
        <v>0</v>
      </c>
      <c r="J69">
        <f>I69-*K68</f>
        <v/>
      </c>
      <c r="K69" s="19">
        <f>K68+J69</f>
        <v/>
      </c>
      <c r="L69">
        <f>EXP(G69)*K69^</f>
        <v/>
      </c>
      <c r="M69">
        <f>L69-H69</f>
        <v/>
      </c>
      <c r="N69">
        <f>F69+M69</f>
        <v/>
      </c>
      <c r="O69">
        <f>N69/N68-1</f>
        <v/>
      </c>
      <c r="P69">
        <f>F69/F68-1</f>
        <v/>
      </c>
    </row>
    <row r="70">
      <c r="C70" t="n">
        <v>2036</v>
      </c>
      <c r="D70" t="inlineStr">
        <is>
          <t>=</t>
        </is>
      </c>
      <c r="E70" s="21">
        <f>D70*F70</f>
        <v/>
      </c>
      <c r="F70" s="20">
        <f>WEO_Data!C44</f>
        <v/>
      </c>
      <c r="G70" s="20">
        <f>TREND(G6:G7, C6:C7, C70)</f>
        <v/>
      </c>
      <c r="H70">
        <f>EXP(G70)*E70^</f>
        <v/>
      </c>
      <c r="I70" t="n">
        <v>0</v>
      </c>
      <c r="J70">
        <f>I70-*K69</f>
        <v/>
      </c>
      <c r="K70" s="19">
        <f>K69+J70</f>
        <v/>
      </c>
      <c r="L70">
        <f>EXP(G70)*K70^</f>
        <v/>
      </c>
      <c r="M70">
        <f>L70-H70</f>
        <v/>
      </c>
      <c r="N70">
        <f>F70+M70</f>
        <v/>
      </c>
      <c r="O70">
        <f>N70/N69-1</f>
        <v/>
      </c>
      <c r="P70">
        <f>F70/F69-1</f>
        <v/>
      </c>
    </row>
    <row r="71">
      <c r="C71" t="n">
        <v>2037</v>
      </c>
      <c r="D71" t="inlineStr">
        <is>
          <t>=</t>
        </is>
      </c>
      <c r="E71" s="21">
        <f>D71*F71</f>
        <v/>
      </c>
      <c r="F71" s="20">
        <f>WEO_Data!C45</f>
        <v/>
      </c>
      <c r="G71" s="20">
        <f>TREND(G6:G7, C6:C7, C71)</f>
        <v/>
      </c>
      <c r="H71">
        <f>EXP(G71)*E71^</f>
        <v/>
      </c>
      <c r="I71" t="n">
        <v>0</v>
      </c>
      <c r="J71">
        <f>I71-*K70</f>
        <v/>
      </c>
      <c r="K71" s="19">
        <f>K70+J71</f>
        <v/>
      </c>
      <c r="L71">
        <f>EXP(G71)*K71^</f>
        <v/>
      </c>
      <c r="M71">
        <f>L71-H71</f>
        <v/>
      </c>
      <c r="N71">
        <f>F71+M71</f>
        <v/>
      </c>
      <c r="O71">
        <f>N71/N70-1</f>
        <v/>
      </c>
      <c r="P71">
        <f>F71/F70-1</f>
        <v/>
      </c>
    </row>
    <row r="72">
      <c r="C72" t="n">
        <v>2038</v>
      </c>
      <c r="D72" t="inlineStr">
        <is>
          <t>=</t>
        </is>
      </c>
      <c r="E72" s="21">
        <f>D72*F72</f>
        <v/>
      </c>
      <c r="F72" s="20">
        <f>WEO_Data!C46</f>
        <v/>
      </c>
      <c r="G72" s="20">
        <f>TREND(G6:G7, C6:C7, C72)</f>
        <v/>
      </c>
      <c r="H72">
        <f>EXP(G72)*E72^</f>
        <v/>
      </c>
      <c r="I72" t="n">
        <v>0</v>
      </c>
      <c r="J72">
        <f>I72-*K71</f>
        <v/>
      </c>
      <c r="K72" s="19">
        <f>K71+J72</f>
        <v/>
      </c>
      <c r="L72">
        <f>EXP(G72)*K72^</f>
        <v/>
      </c>
      <c r="M72">
        <f>L72-H72</f>
        <v/>
      </c>
      <c r="N72">
        <f>F72+M72</f>
        <v/>
      </c>
      <c r="O72">
        <f>N72/N71-1</f>
        <v/>
      </c>
      <c r="P72">
        <f>F72/F71-1</f>
        <v/>
      </c>
    </row>
    <row r="73">
      <c r="C73" t="n">
        <v>2039</v>
      </c>
      <c r="D73" t="inlineStr">
        <is>
          <t>=</t>
        </is>
      </c>
      <c r="E73" s="21">
        <f>D73*F73</f>
        <v/>
      </c>
      <c r="F73" s="20">
        <f>WEO_Data!C47</f>
        <v/>
      </c>
      <c r="G73" s="20">
        <f>TREND(G6:G7, C6:C7, C73)</f>
        <v/>
      </c>
      <c r="H73">
        <f>EXP(G73)*E73^</f>
        <v/>
      </c>
      <c r="I73" t="n">
        <v>0</v>
      </c>
      <c r="J73">
        <f>I73-*K72</f>
        <v/>
      </c>
      <c r="K73" s="19">
        <f>K72+J73</f>
        <v/>
      </c>
      <c r="L73">
        <f>EXP(G73)*K73^</f>
        <v/>
      </c>
      <c r="M73">
        <f>L73-H73</f>
        <v/>
      </c>
      <c r="N73">
        <f>F73+M73</f>
        <v/>
      </c>
      <c r="O73">
        <f>N73/N72-1</f>
        <v/>
      </c>
      <c r="P73">
        <f>F73/F72-1</f>
        <v/>
      </c>
    </row>
    <row r="74">
      <c r="C74" t="n">
        <v>2040</v>
      </c>
      <c r="D74" t="inlineStr">
        <is>
          <t>=</t>
        </is>
      </c>
      <c r="E74" s="21">
        <f>D74*F74</f>
        <v/>
      </c>
      <c r="F74" s="20">
        <f>WEO_Data!C48</f>
        <v/>
      </c>
      <c r="G74" s="20">
        <f>TREND(G6:G7, C6:C7, C74)</f>
        <v/>
      </c>
      <c r="H74">
        <f>EXP(G74)*E74^</f>
        <v/>
      </c>
      <c r="I74" t="n">
        <v>0</v>
      </c>
      <c r="J74">
        <f>I74-*K73</f>
        <v/>
      </c>
      <c r="K74" s="19">
        <f>K73+J74</f>
        <v/>
      </c>
      <c r="L74">
        <f>EXP(G74)*K74^</f>
        <v/>
      </c>
      <c r="M74">
        <f>L74-H74</f>
        <v/>
      </c>
      <c r="N74">
        <f>F74+M74</f>
        <v/>
      </c>
      <c r="O74">
        <f>N74/N73-1</f>
        <v/>
      </c>
      <c r="P74">
        <f>F74/F73-1</f>
        <v/>
      </c>
    </row>
    <row r="75">
      <c r="C75" t="n">
        <v>2041</v>
      </c>
      <c r="D75" t="inlineStr">
        <is>
          <t>=</t>
        </is>
      </c>
      <c r="E75" s="21">
        <f>D75*F75</f>
        <v/>
      </c>
      <c r="F75" s="20">
        <f>WEO_Data!C49</f>
        <v/>
      </c>
      <c r="G75" s="20">
        <f>TREND(G6:G7, C6:C7, C75)</f>
        <v/>
      </c>
      <c r="H75">
        <f>EXP(G75)*E75^</f>
        <v/>
      </c>
      <c r="I75" t="n">
        <v>0</v>
      </c>
      <c r="J75">
        <f>I75-*K74</f>
        <v/>
      </c>
      <c r="K75" s="19">
        <f>K74+J75</f>
        <v/>
      </c>
      <c r="L75">
        <f>EXP(G75)*K75^</f>
        <v/>
      </c>
      <c r="M75">
        <f>L75-H75</f>
        <v/>
      </c>
      <c r="N75">
        <f>F75+M75</f>
        <v/>
      </c>
      <c r="O75">
        <f>N75/N74-1</f>
        <v/>
      </c>
      <c r="P75">
        <f>F75/F74-1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0.542427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0.6539579999999999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0.7106399999999999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0.7987649999999999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0.8478329999999999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0.9372269999999999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1.051155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1.207524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1.385184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1.63842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1.94439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2.395589999999999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2.69028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2.536589999999999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2.924339999999999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3.242781666666667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3.399733333333333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3.58739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3.77103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3.56515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3.5084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4.11264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4.62056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5.32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5.39448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6.72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8.2422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9.38208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  <c r="C2" t="n">
        <v>67440.05469</v>
      </c>
    </row>
    <row r="3">
      <c r="A3" s="19" t="n">
        <v>1991</v>
      </c>
      <c r="B3" s="19" t="n">
        <v>336800.125</v>
      </c>
      <c r="C3" t="n">
        <v>53052.83984</v>
      </c>
    </row>
    <row r="4">
      <c r="A4" s="19" t="n">
        <v>1992</v>
      </c>
      <c r="B4" s="19" t="n">
        <v>331575.34375</v>
      </c>
      <c r="C4" t="n">
        <v>29442.9375</v>
      </c>
    </row>
    <row r="5">
      <c r="A5" s="19" t="n">
        <v>1993</v>
      </c>
      <c r="B5" s="19" t="n">
        <v>318977.5625</v>
      </c>
      <c r="C5" t="n">
        <v>20818.90234</v>
      </c>
    </row>
    <row r="6">
      <c r="A6" s="19" t="n">
        <v>1994</v>
      </c>
      <c r="B6" s="19" t="n">
        <v>310557.21875</v>
      </c>
      <c r="C6" t="n">
        <v>18657.66406</v>
      </c>
    </row>
    <row r="7">
      <c r="A7" s="19" t="n">
        <v>1995</v>
      </c>
      <c r="B7" s="19" t="n">
        <v>305633.28125</v>
      </c>
      <c r="C7" t="n">
        <v>19138.57617</v>
      </c>
    </row>
    <row r="8">
      <c r="A8" s="19" t="n">
        <v>1996</v>
      </c>
      <c r="B8" s="19" t="n">
        <v>301706.46875</v>
      </c>
      <c r="C8" t="n">
        <v>21298.57227</v>
      </c>
    </row>
    <row r="9">
      <c r="A9" s="19" t="n">
        <v>1997</v>
      </c>
      <c r="B9" s="19" t="n">
        <v>298764.625</v>
      </c>
      <c r="C9" t="n">
        <v>23538.9668</v>
      </c>
    </row>
    <row r="10">
      <c r="A10" s="19" t="n">
        <v>1998</v>
      </c>
      <c r="B10" s="19" t="n">
        <v>298990.5</v>
      </c>
      <c r="C10" t="n">
        <v>24269.8418</v>
      </c>
    </row>
    <row r="11">
      <c r="A11" s="19" t="n">
        <v>1999</v>
      </c>
      <c r="B11" s="19" t="n">
        <v>299754.78125</v>
      </c>
      <c r="C11" t="n">
        <v>24966.20117</v>
      </c>
    </row>
    <row r="12">
      <c r="A12" s="19" t="n">
        <v>2000</v>
      </c>
      <c r="B12" s="19" t="n">
        <v>300383.3125</v>
      </c>
      <c r="C12" t="n">
        <v>25425.16797</v>
      </c>
    </row>
    <row r="13">
      <c r="A13" s="19" t="n">
        <v>2001</v>
      </c>
      <c r="B13" s="19" t="n">
        <v>302284.0625</v>
      </c>
      <c r="C13" t="n">
        <v>26646.96094</v>
      </c>
    </row>
    <row r="14">
      <c r="A14" s="19" t="n">
        <v>2002</v>
      </c>
      <c r="B14" s="19" t="n">
        <v>303592.625</v>
      </c>
      <c r="C14" t="n">
        <v>28105.57227</v>
      </c>
    </row>
    <row r="15">
      <c r="A15" s="19" t="n">
        <v>2003</v>
      </c>
      <c r="B15" s="19" t="n">
        <v>307310.28125</v>
      </c>
      <c r="C15" t="n">
        <v>31213.51563</v>
      </c>
    </row>
    <row r="16">
      <c r="A16" s="19" t="n">
        <v>2004</v>
      </c>
      <c r="B16" s="19" t="n">
        <v>311984.28125</v>
      </c>
      <c r="C16" t="n">
        <v>33022.64453</v>
      </c>
    </row>
    <row r="17">
      <c r="A17" s="19" t="n">
        <v>2005</v>
      </c>
      <c r="B17" s="19" t="n">
        <v>317837.8125</v>
      </c>
      <c r="C17" t="n">
        <v>36188.95313</v>
      </c>
    </row>
    <row r="18">
      <c r="A18" s="19" t="n">
        <v>2006</v>
      </c>
      <c r="B18" s="19" t="n">
        <v>322943.65625</v>
      </c>
      <c r="C18" t="n">
        <v>39598.22266</v>
      </c>
    </row>
    <row r="19">
      <c r="A19" s="19" t="n">
        <v>2007</v>
      </c>
      <c r="B19" s="19" t="n">
        <v>329445.875</v>
      </c>
      <c r="C19" t="n">
        <v>44579.19141</v>
      </c>
    </row>
    <row r="20">
      <c r="A20" s="19" t="n">
        <v>2008</v>
      </c>
      <c r="B20" s="19" t="n">
        <v>332604.46875</v>
      </c>
      <c r="C20" t="n">
        <v>45657.16016</v>
      </c>
    </row>
    <row r="21">
      <c r="A21" s="19" t="n">
        <v>2009</v>
      </c>
      <c r="B21" s="19" t="n">
        <v>330608.28125</v>
      </c>
      <c r="C21" t="n">
        <v>43990.63281</v>
      </c>
    </row>
    <row r="22">
      <c r="A22" s="19" t="n">
        <v>2010</v>
      </c>
      <c r="B22" s="19" t="n">
        <v>332551.53125</v>
      </c>
      <c r="C22" t="n">
        <v>46739.78906</v>
      </c>
    </row>
    <row r="23">
      <c r="A23" s="19" t="n">
        <v>2011</v>
      </c>
      <c r="B23" s="19" t="n">
        <v>336560.28125</v>
      </c>
      <c r="C23" t="n">
        <v>50455.21094</v>
      </c>
    </row>
    <row r="24">
      <c r="A24" s="19" t="n">
        <v>2012</v>
      </c>
      <c r="B24" s="19" t="n">
        <v>341471.1875</v>
      </c>
      <c r="C24" t="n">
        <v>53774.67969</v>
      </c>
    </row>
    <row r="25">
      <c r="A25" s="19" t="n">
        <v>2013</v>
      </c>
      <c r="B25" s="19" t="n">
        <v>344239.03125</v>
      </c>
      <c r="C25" t="n">
        <v>56535.23047</v>
      </c>
    </row>
    <row r="26">
      <c r="A26" s="19" t="n">
        <v>2014</v>
      </c>
      <c r="B26" s="19" t="n">
        <v>350962.15625</v>
      </c>
      <c r="C26" t="n">
        <v>58847.86328</v>
      </c>
    </row>
    <row r="27">
      <c r="A27" s="19" t="n">
        <v>2015</v>
      </c>
      <c r="B27" s="19" t="n">
        <v>360259.8125</v>
      </c>
      <c r="C27" t="n">
        <v>60819.74219</v>
      </c>
    </row>
    <row r="28">
      <c r="A28" s="19" t="n">
        <v>2016</v>
      </c>
      <c r="B28" s="19" t="n">
        <v>370547.65625</v>
      </c>
      <c r="C28" t="n">
        <v>62917.97656</v>
      </c>
    </row>
    <row r="29">
      <c r="A29" s="19" t="n">
        <v>2017</v>
      </c>
      <c r="B29" s="19" t="n">
        <v>380655.78125</v>
      </c>
      <c r="C29" t="n">
        <v>66165.23437999999</v>
      </c>
    </row>
    <row r="30">
      <c r="A30" s="19" t="n">
        <v>2018</v>
      </c>
      <c r="B30" s="19" t="n">
        <v>390625.1875</v>
      </c>
      <c r="C30" t="n">
        <v>70176.29687999999</v>
      </c>
    </row>
    <row r="31">
      <c r="A31" s="19" t="n">
        <v>2019</v>
      </c>
      <c r="B31" s="19" t="n">
        <v>399934.28125</v>
      </c>
      <c r="C31" t="n">
        <v>73951.97656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85079.02344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18.12</v>
      </c>
      <c r="D8" t="n">
        <v>1.9</v>
      </c>
    </row>
    <row r="9">
      <c r="B9" t="n">
        <v>2001</v>
      </c>
      <c r="C9" t="n">
        <v>18.47</v>
      </c>
      <c r="D9" t="n">
        <v>4.8</v>
      </c>
    </row>
    <row r="10">
      <c r="B10" t="n">
        <v>2002</v>
      </c>
      <c r="C10" t="n">
        <v>19.34</v>
      </c>
      <c r="D10" t="n">
        <v>5.5</v>
      </c>
    </row>
    <row r="11">
      <c r="B11" t="n">
        <v>2003</v>
      </c>
      <c r="C11" t="n">
        <v>20.4</v>
      </c>
      <c r="D11" t="n">
        <v>11.2</v>
      </c>
    </row>
    <row r="12">
      <c r="B12" t="n">
        <v>2004</v>
      </c>
      <c r="C12" t="n">
        <v>22.67</v>
      </c>
      <c r="D12" t="n">
        <v>5.8</v>
      </c>
    </row>
    <row r="13">
      <c r="B13" t="n">
        <v>2005</v>
      </c>
      <c r="C13" t="n">
        <v>24</v>
      </c>
      <c r="D13" t="n">
        <v>9.6</v>
      </c>
    </row>
    <row r="14">
      <c r="B14" t="n">
        <v>2006</v>
      </c>
      <c r="C14" t="n">
        <v>26.39</v>
      </c>
      <c r="D14" t="n">
        <v>9.4</v>
      </c>
    </row>
    <row r="15">
      <c r="B15" t="n">
        <v>2007</v>
      </c>
      <c r="C15" t="n">
        <v>28.87</v>
      </c>
      <c r="D15" t="n">
        <v>12.6</v>
      </c>
    </row>
    <row r="16">
      <c r="B16" t="n">
        <v>2008</v>
      </c>
      <c r="C16" t="n">
        <v>32.43</v>
      </c>
      <c r="D16" t="n">
        <v>2.4</v>
      </c>
    </row>
    <row r="17">
      <c r="B17" t="n">
        <v>2009</v>
      </c>
      <c r="C17" t="n">
        <v>33.18</v>
      </c>
      <c r="D17" t="n">
        <v>-3.7</v>
      </c>
    </row>
    <row r="18">
      <c r="B18" t="n">
        <v>2010</v>
      </c>
      <c r="C18" t="n">
        <v>31.93</v>
      </c>
      <c r="D18" t="n">
        <v>6.9</v>
      </c>
    </row>
    <row r="19">
      <c r="B19" t="n">
        <v>2011</v>
      </c>
      <c r="C19" t="n">
        <v>33.93</v>
      </c>
      <c r="D19" t="n">
        <v>7.9</v>
      </c>
    </row>
    <row r="20">
      <c r="B20" t="n">
        <v>2012</v>
      </c>
      <c r="C20" t="n">
        <v>36.29</v>
      </c>
      <c r="D20" t="n">
        <v>6.6</v>
      </c>
    </row>
    <row r="21">
      <c r="B21" t="n">
        <v>2013</v>
      </c>
      <c r="C21" t="n">
        <v>38.47</v>
      </c>
      <c r="D21" t="n">
        <v>5.1</v>
      </c>
    </row>
    <row r="22">
      <c r="B22" t="n">
        <v>2014</v>
      </c>
      <c r="C22" t="n">
        <v>40.58</v>
      </c>
      <c r="D22" t="n">
        <v>4.1</v>
      </c>
    </row>
    <row r="23">
      <c r="B23" t="n">
        <v>2015</v>
      </c>
      <c r="C23" t="n">
        <v>42.82</v>
      </c>
      <c r="D23" t="n">
        <v>3.4</v>
      </c>
    </row>
    <row r="24">
      <c r="B24" t="n">
        <v>2016</v>
      </c>
      <c r="C24" t="n">
        <v>44.11</v>
      </c>
      <c r="D24" t="n">
        <v>3.4</v>
      </c>
    </row>
    <row r="25">
      <c r="B25" t="n">
        <v>2017</v>
      </c>
      <c r="C25" t="n">
        <v>45.39</v>
      </c>
      <c r="D25" t="n">
        <v>5.2</v>
      </c>
    </row>
    <row r="26">
      <c r="B26" t="n">
        <v>2018</v>
      </c>
      <c r="C26" t="n">
        <v>47.57</v>
      </c>
      <c r="D26" t="n">
        <v>6.1</v>
      </c>
    </row>
    <row r="27">
      <c r="B27" t="n">
        <v>2019</v>
      </c>
      <c r="C27" t="n">
        <v>50</v>
      </c>
      <c r="D27" t="n">
        <v>5.4</v>
      </c>
    </row>
    <row r="28">
      <c r="B28" t="n">
        <v>2020</v>
      </c>
      <c r="C28" t="n">
        <v>46.9</v>
      </c>
      <c r="D28" t="n">
        <v>-6.3</v>
      </c>
    </row>
    <row r="29">
      <c r="B29" t="n">
        <v>2021</v>
      </c>
      <c r="C29" t="n">
        <v>51.82</v>
      </c>
      <c r="D29" t="n">
        <v>10.6</v>
      </c>
    </row>
    <row r="30">
      <c r="B30" t="n">
        <v>2022</v>
      </c>
      <c r="C30" t="n">
        <v>57.22</v>
      </c>
      <c r="D30" t="n">
        <v>11</v>
      </c>
    </row>
    <row r="31">
      <c r="B31" t="n">
        <v>2023</v>
      </c>
      <c r="C31" t="n">
        <v>61.68</v>
      </c>
      <c r="D31" t="n">
        <v>7.8</v>
      </c>
    </row>
    <row r="32">
      <c r="B32" t="n">
        <v>2024</v>
      </c>
      <c r="C32" t="n">
        <v>67.67</v>
      </c>
      <c r="D32" t="n">
        <v>9</v>
      </c>
    </row>
    <row r="33">
      <c r="B33" t="n">
        <v>2025</v>
      </c>
      <c r="C33" t="n">
        <v>72.54000000000001</v>
      </c>
      <c r="D33" t="n">
        <v>7.2</v>
      </c>
    </row>
    <row r="34">
      <c r="B34" t="n">
        <v>2026</v>
      </c>
      <c r="C34" t="n">
        <v>76.38</v>
      </c>
      <c r="D34" t="n">
        <v>5.3</v>
      </c>
    </row>
    <row r="35">
      <c r="B35" t="n">
        <v>2027</v>
      </c>
      <c r="C35" t="n">
        <v>80.2</v>
      </c>
      <c r="D35" t="n">
        <v>5</v>
      </c>
    </row>
    <row r="36">
      <c r="B36" t="n">
        <v>2028</v>
      </c>
      <c r="C36" t="n">
        <v>84.21000000000001</v>
      </c>
      <c r="D36" t="n">
        <v>5</v>
      </c>
    </row>
    <row r="37">
      <c r="B37" t="n">
        <v>2029</v>
      </c>
      <c r="C37" t="n">
        <v>88.42050000000002</v>
      </c>
      <c r="D37" t="n">
        <v>5</v>
      </c>
    </row>
    <row r="38">
      <c r="B38" t="n">
        <v>2030</v>
      </c>
      <c r="C38" t="n">
        <v>92.84152500000002</v>
      </c>
      <c r="D38" t="n">
        <v>5</v>
      </c>
    </row>
    <row r="39">
      <c r="B39" t="n">
        <v>2031</v>
      </c>
      <c r="C39" t="n">
        <v>97.48360125000002</v>
      </c>
      <c r="D39" t="n">
        <v>5</v>
      </c>
    </row>
    <row r="40">
      <c r="B40" t="n">
        <v>2032</v>
      </c>
      <c r="C40" t="n">
        <v>102.3577813125</v>
      </c>
      <c r="D40" t="n">
        <v>5</v>
      </c>
    </row>
    <row r="41">
      <c r="B41" t="n">
        <v>2033</v>
      </c>
      <c r="C41" t="n">
        <v>107.475670378125</v>
      </c>
      <c r="D41" t="n">
        <v>5</v>
      </c>
    </row>
    <row r="42">
      <c r="B42" t="n">
        <v>2034</v>
      </c>
      <c r="C42" t="n">
        <v>112.8494538970313</v>
      </c>
      <c r="D42" t="n">
        <v>5</v>
      </c>
    </row>
    <row r="43">
      <c r="B43" t="n">
        <v>2035</v>
      </c>
      <c r="C43" t="n">
        <v>118.4919265918828</v>
      </c>
      <c r="D43" t="n">
        <v>5</v>
      </c>
    </row>
    <row r="44">
      <c r="B44" t="n">
        <v>2036</v>
      </c>
      <c r="C44" t="n">
        <v>124.416522921477</v>
      </c>
      <c r="D44" t="n">
        <v>5</v>
      </c>
    </row>
    <row r="45">
      <c r="B45" t="n">
        <v>2037</v>
      </c>
      <c r="C45" t="n">
        <v>130.6373490675508</v>
      </c>
      <c r="D45" t="n">
        <v>5</v>
      </c>
    </row>
    <row r="46">
      <c r="B46" t="n">
        <v>2038</v>
      </c>
      <c r="C46" t="n">
        <v>137.1692165209284</v>
      </c>
      <c r="D46" t="n">
        <v>5</v>
      </c>
    </row>
    <row r="47">
      <c r="B47" t="n">
        <v>2039</v>
      </c>
      <c r="C47" t="n">
        <v>144.0276773469748</v>
      </c>
      <c r="D47" t="n">
        <v>5</v>
      </c>
    </row>
    <row r="48">
      <c r="B48" t="n">
        <v>2040</v>
      </c>
      <c r="C48" t="n">
        <v>151.2290612143236</v>
      </c>
      <c r="D48" t="n">
        <v>5</v>
      </c>
    </row>
    <row r="49">
      <c r="B49" t="n">
        <v>2041</v>
      </c>
      <c r="C49" t="n">
        <v>158.7905142750398</v>
      </c>
      <c r="D49" t="n">
        <v>5</v>
      </c>
    </row>
    <row r="50">
      <c r="B50" t="n">
        <v>2042</v>
      </c>
      <c r="C50" t="n">
        <v>166.7300399887918</v>
      </c>
      <c r="D50" t="n">
        <v>5</v>
      </c>
    </row>
    <row r="51">
      <c r="B51" t="n">
        <v>2043</v>
      </c>
      <c r="C51" t="n">
        <v>175.0665419882314</v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2026-01-29T05:42:36Z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