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Investment" sheetId="2" state="visible" r:id="rId2"/>
    <sheet xmlns:r="http://schemas.openxmlformats.org/officeDocument/2006/relationships" name="CFC data" sheetId="3" state="visible" r:id="rId3"/>
    <sheet xmlns:r="http://schemas.openxmlformats.org/officeDocument/2006/relationships" name="PWT" sheetId="4" state="visible" r:id="rId4"/>
    <sheet xmlns:r="http://schemas.openxmlformats.org/officeDocument/2006/relationships"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B4" t="inlineStr">
        <is>
          <t>Avg K/Y (9yr)</t>
        </is>
      </c>
      <c r="C4">
        <f>AVERAGE(AC19:AC27)</f>
        <v/>
      </c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LnZ</t>
        </is>
      </c>
      <c r="G5" t="inlineStr">
        <is>
          <t>LnY</t>
        </is>
      </c>
      <c r="H5" t="inlineStr">
        <is>
          <t>Ystar_Base</t>
        </is>
      </c>
      <c r="I5" t="inlineStr">
        <is>
          <t>Invest Shock</t>
        </is>
      </c>
      <c r="J5" t="inlineStr">
        <is>
          <t>Delta K</t>
        </is>
      </c>
      <c r="K5" s="4" t="inlineStr">
        <is>
          <t>K_With</t>
        </is>
      </c>
      <c r="L5" t="inlineStr">
        <is>
          <t>LnZ_Trend (HP)</t>
        </is>
      </c>
      <c r="M5" t="inlineStr">
        <is>
          <t>2nd Diff</t>
        </is>
      </c>
      <c r="N5" s="5" t="inlineStr">
        <is>
          <t>Cycle (LnZ - Trend)</t>
        </is>
      </c>
      <c r="O5" s="12" t="inlineStr">
        <is>
          <t>Ystar_With</t>
        </is>
      </c>
      <c r="P5" s="13">
        <f>SUMSQ(N6:N27) + 100*SUMSQ(M8:M27)</f>
        <v/>
      </c>
    </row>
    <row r="6">
      <c r="C6" t="n">
        <v>2002</v>
      </c>
      <c r="D6" s="19">
        <f>LN(AA6)</f>
        <v/>
      </c>
      <c r="E6">
        <f>LN(AB6)</f>
        <v/>
      </c>
      <c r="F6">
        <f>E6-*D6</f>
        <v/>
      </c>
      <c r="I6">
        <f>SUMIF('Investment'!B:B, C6, 'Investment'!C:C)</f>
        <v/>
      </c>
      <c r="J6" t="n">
        <v>0</v>
      </c>
      <c r="K6" s="4" t="n"/>
      <c r="L6">
        <f>F6</f>
        <v/>
      </c>
      <c r="N6" s="5">
        <f>F6-L6</f>
        <v/>
      </c>
      <c r="AA6">
        <f>VLOOKUP(C6, 'PWT'!A:B, 2, FALSE)</f>
        <v/>
      </c>
      <c r="AB6">
        <f>VLOOKUP(C6, 'WEO_Data'!A:B, 2, FALSE)</f>
        <v/>
      </c>
      <c r="AC6">
        <f>AA6/AB6</f>
        <v/>
      </c>
    </row>
    <row r="7">
      <c r="C7" t="n">
        <v>2003</v>
      </c>
      <c r="D7" s="19">
        <f>LN(AA7)</f>
        <v/>
      </c>
      <c r="E7">
        <f>LN(AB7)</f>
        <v/>
      </c>
      <c r="F7">
        <f>E7-*D7</f>
        <v/>
      </c>
      <c r="I7">
        <f>SUMIF('Investment'!B:B, C7, 'Investment'!C:C)</f>
        <v/>
      </c>
      <c r="J7">
        <f>(1-)*J6 + I7</f>
        <v/>
      </c>
      <c r="K7" s="4">
        <f>AA7 + J7</f>
        <v/>
      </c>
      <c r="L7">
        <f>F7</f>
        <v/>
      </c>
      <c r="N7" s="5">
        <f>F7-L7</f>
        <v/>
      </c>
      <c r="AA7">
        <f>VLOOKUP(C7, 'PWT'!A:B, 2, FALSE)</f>
        <v/>
      </c>
      <c r="AB7">
        <f>VLOOKUP(C7, 'WEO_Data'!A:B, 2, FALSE)</f>
        <v/>
      </c>
      <c r="AC7">
        <f>AA7/AB7</f>
        <v/>
      </c>
    </row>
    <row r="8">
      <c r="C8" t="n">
        <v>2004</v>
      </c>
      <c r="D8" s="19">
        <f>LN(AA8)</f>
        <v/>
      </c>
      <c r="E8">
        <f>LN(AB8)</f>
        <v/>
      </c>
      <c r="F8">
        <f>E8-*D8</f>
        <v/>
      </c>
      <c r="I8">
        <f>SUMIF('Investment'!B:B, C8, 'Investment'!C:C)</f>
        <v/>
      </c>
      <c r="J8">
        <f>(1-)*J7 + I8</f>
        <v/>
      </c>
      <c r="K8" s="4">
        <f>AA8 + J8</f>
        <v/>
      </c>
      <c r="L8">
        <f>F8</f>
        <v/>
      </c>
      <c r="M8">
        <f>L8-2*L7+L6</f>
        <v/>
      </c>
      <c r="N8" s="5">
        <f>F8-L8</f>
        <v/>
      </c>
      <c r="AA8">
        <f>VLOOKUP(C8, 'PWT'!A:B, 2, FALSE)</f>
        <v/>
      </c>
      <c r="AB8">
        <f>VLOOKUP(C8, 'WEO_Data'!A:B, 2, FALSE)</f>
        <v/>
      </c>
      <c r="AC8">
        <f>AA8/AB8</f>
        <v/>
      </c>
    </row>
    <row r="9">
      <c r="C9" t="n">
        <v>2005</v>
      </c>
      <c r="D9" s="19">
        <f>LN(AA9)</f>
        <v/>
      </c>
      <c r="E9">
        <f>LN(AB9)</f>
        <v/>
      </c>
      <c r="F9">
        <f>E9-*D9</f>
        <v/>
      </c>
      <c r="I9">
        <f>SUMIF('Investment'!B:B, C9, 'Investment'!C:C)</f>
        <v/>
      </c>
      <c r="J9">
        <f>(1-)*J8 + I9</f>
        <v/>
      </c>
      <c r="K9" s="4">
        <f>AA9 + J9</f>
        <v/>
      </c>
      <c r="L9">
        <f>F9</f>
        <v/>
      </c>
      <c r="M9">
        <f>L9-2*L8+L7</f>
        <v/>
      </c>
      <c r="N9" s="5">
        <f>F9-L9</f>
        <v/>
      </c>
      <c r="AA9">
        <f>VLOOKUP(C9, 'PWT'!A:B, 2, FALSE)</f>
        <v/>
      </c>
      <c r="AB9">
        <f>VLOOKUP(C9, 'WEO_Data'!A:B, 2, FALSE)</f>
        <v/>
      </c>
      <c r="AC9">
        <f>AA9/AB9</f>
        <v/>
      </c>
    </row>
    <row r="10">
      <c r="C10" t="n">
        <v>2006</v>
      </c>
      <c r="D10" s="19">
        <f>LN(AA10)</f>
        <v/>
      </c>
      <c r="E10">
        <f>LN(AB10)</f>
        <v/>
      </c>
      <c r="F10">
        <f>E10-*D10</f>
        <v/>
      </c>
      <c r="I10">
        <f>SUMIF('Investment'!B:B, C10, 'Investment'!C:C)</f>
        <v/>
      </c>
      <c r="J10">
        <f>(1-)*J9 + I10</f>
        <v/>
      </c>
      <c r="K10" s="4">
        <f>AA10 + J10</f>
        <v/>
      </c>
      <c r="L10">
        <f>F10</f>
        <v/>
      </c>
      <c r="M10">
        <f>L10-2*L9+L8</f>
        <v/>
      </c>
      <c r="N10" s="5">
        <f>F10-L10</f>
        <v/>
      </c>
      <c r="AA10">
        <f>VLOOKUP(C10, 'PWT'!A:B, 2, FALSE)</f>
        <v/>
      </c>
      <c r="AB10">
        <f>VLOOKUP(C10, 'WEO_Data'!A:B, 2, FALSE)</f>
        <v/>
      </c>
      <c r="AC10">
        <f>AA10/AB10</f>
        <v/>
      </c>
    </row>
    <row r="11">
      <c r="C11" t="n">
        <v>2007</v>
      </c>
      <c r="D11" s="19">
        <f>LN(AA11)</f>
        <v/>
      </c>
      <c r="E11">
        <f>LN(AB11)</f>
        <v/>
      </c>
      <c r="F11">
        <f>E11-*D11</f>
        <v/>
      </c>
      <c r="I11">
        <f>SUMIF('Investment'!B:B, C11, 'Investment'!C:C)</f>
        <v/>
      </c>
      <c r="J11">
        <f>(1-)*J10 + I11</f>
        <v/>
      </c>
      <c r="K11" s="4">
        <f>AA11 + J11</f>
        <v/>
      </c>
      <c r="L11">
        <f>F11</f>
        <v/>
      </c>
      <c r="M11">
        <f>L11-2*L10+L9</f>
        <v/>
      </c>
      <c r="N11" s="5">
        <f>F11-L11</f>
        <v/>
      </c>
      <c r="AA11">
        <f>VLOOKUP(C11, 'PWT'!A:B, 2, FALSE)</f>
        <v/>
      </c>
      <c r="AB11">
        <f>VLOOKUP(C11, 'WEO_Data'!A:B, 2, FALSE)</f>
        <v/>
      </c>
      <c r="AC11">
        <f>AA11/AB11</f>
        <v/>
      </c>
    </row>
    <row r="12">
      <c r="C12" t="n">
        <v>2008</v>
      </c>
      <c r="D12" s="19">
        <f>LN(AA12)</f>
        <v/>
      </c>
      <c r="E12">
        <f>LN(AB12)</f>
        <v/>
      </c>
      <c r="F12">
        <f>E12-*D12</f>
        <v/>
      </c>
      <c r="I12">
        <f>SUMIF('Investment'!B:B, C12, 'Investment'!C:C)</f>
        <v/>
      </c>
      <c r="J12">
        <f>(1-)*J11 + I12</f>
        <v/>
      </c>
      <c r="K12" s="4">
        <f>AA12 + J12</f>
        <v/>
      </c>
      <c r="L12">
        <f>F12</f>
        <v/>
      </c>
      <c r="M12">
        <f>L12-2*L11+L10</f>
        <v/>
      </c>
      <c r="N12" s="5">
        <f>F12-L12</f>
        <v/>
      </c>
      <c r="AA12">
        <f>VLOOKUP(C12, 'PWT'!A:B, 2, FALSE)</f>
        <v/>
      </c>
      <c r="AB12">
        <f>VLOOKUP(C12, 'WEO_Data'!A:B, 2, FALSE)</f>
        <v/>
      </c>
      <c r="AC12">
        <f>AA12/AB12</f>
        <v/>
      </c>
    </row>
    <row r="13">
      <c r="C13" t="n">
        <v>2009</v>
      </c>
      <c r="D13" s="19">
        <f>LN(AA13)</f>
        <v/>
      </c>
      <c r="E13">
        <f>LN(AB13)</f>
        <v/>
      </c>
      <c r="F13">
        <f>E13-*D13</f>
        <v/>
      </c>
      <c r="I13">
        <f>SUMIF('Investment'!B:B, C13, 'Investment'!C:C)</f>
        <v/>
      </c>
      <c r="J13">
        <f>(1-)*J12 + I13</f>
        <v/>
      </c>
      <c r="K13" s="4">
        <f>AA13 + J13</f>
        <v/>
      </c>
      <c r="L13">
        <f>F13</f>
        <v/>
      </c>
      <c r="M13">
        <f>L13-2*L12+L11</f>
        <v/>
      </c>
      <c r="N13" s="5">
        <f>F13-L13</f>
        <v/>
      </c>
      <c r="AA13">
        <f>VLOOKUP(C13, 'PWT'!A:B, 2, FALSE)</f>
        <v/>
      </c>
      <c r="AB13">
        <f>VLOOKUP(C13, 'WEO_Data'!A:B, 2, FALSE)</f>
        <v/>
      </c>
      <c r="AC13">
        <f>AA13/AB13</f>
        <v/>
      </c>
    </row>
    <row r="14">
      <c r="C14" t="n">
        <v>2010</v>
      </c>
      <c r="D14" s="19">
        <f>LN(AA14)</f>
        <v/>
      </c>
      <c r="E14">
        <f>LN(AB14)</f>
        <v/>
      </c>
      <c r="F14">
        <f>E14-*D14</f>
        <v/>
      </c>
      <c r="I14">
        <f>SUMIF('Investment'!B:B, C14, 'Investment'!C:C)</f>
        <v/>
      </c>
      <c r="J14">
        <f>(1-)*J13 + I14</f>
        <v/>
      </c>
      <c r="K14" s="4">
        <f>AA14 + J14</f>
        <v/>
      </c>
      <c r="L14">
        <f>F14</f>
        <v/>
      </c>
      <c r="M14">
        <f>L14-2*L13+L12</f>
        <v/>
      </c>
      <c r="N14" s="5">
        <f>F14-L14</f>
        <v/>
      </c>
      <c r="AA14">
        <f>VLOOKUP(C14, 'PWT'!A:B, 2, FALSE)</f>
        <v/>
      </c>
      <c r="AB14">
        <f>VLOOKUP(C14, 'WEO_Data'!A:B, 2, FALSE)</f>
        <v/>
      </c>
      <c r="AC14">
        <f>AA14/AB14</f>
        <v/>
      </c>
    </row>
    <row r="15">
      <c r="C15" t="n">
        <v>2011</v>
      </c>
      <c r="D15" s="19">
        <f>LN(AA15)</f>
        <v/>
      </c>
      <c r="E15">
        <f>LN(AB15)</f>
        <v/>
      </c>
      <c r="F15">
        <f>E15-*D15</f>
        <v/>
      </c>
      <c r="I15">
        <f>SUMIF('Investment'!B:B, C15, 'Investment'!C:C)</f>
        <v/>
      </c>
      <c r="J15">
        <f>(1-)*J14 + I15</f>
        <v/>
      </c>
      <c r="K15" s="4">
        <f>AA15 + J15</f>
        <v/>
      </c>
      <c r="L15">
        <f>F15</f>
        <v/>
      </c>
      <c r="M15">
        <f>L15-2*L14+L13</f>
        <v/>
      </c>
      <c r="N15" s="5">
        <f>F15-L15</f>
        <v/>
      </c>
      <c r="AA15">
        <f>VLOOKUP(C15, 'PWT'!A:B, 2, FALSE)</f>
        <v/>
      </c>
      <c r="AB15">
        <f>VLOOKUP(C15, 'WEO_Data'!A:B, 2, FALSE)</f>
        <v/>
      </c>
      <c r="AC15">
        <f>AA15/AB15</f>
        <v/>
      </c>
    </row>
    <row r="16">
      <c r="C16" t="n">
        <v>2012</v>
      </c>
      <c r="D16" s="19">
        <f>LN(AA16)</f>
        <v/>
      </c>
      <c r="E16">
        <f>LN(AB16)</f>
        <v/>
      </c>
      <c r="F16">
        <f>E16-*D16</f>
        <v/>
      </c>
      <c r="I16">
        <f>SUMIF('Investment'!B:B, C16, 'Investment'!C:C)</f>
        <v/>
      </c>
      <c r="J16">
        <f>(1-)*J15 + I16</f>
        <v/>
      </c>
      <c r="K16" s="4">
        <f>AA16 + J16</f>
        <v/>
      </c>
      <c r="L16">
        <f>F16</f>
        <v/>
      </c>
      <c r="M16">
        <f>L16-2*L15+L14</f>
        <v/>
      </c>
      <c r="N16" s="5">
        <f>F16-L16</f>
        <v/>
      </c>
      <c r="AA16">
        <f>VLOOKUP(C16, 'PWT'!A:B, 2, FALSE)</f>
        <v/>
      </c>
      <c r="AB16">
        <f>VLOOKUP(C16, 'WEO_Data'!A:B, 2, FALSE)</f>
        <v/>
      </c>
      <c r="AC16">
        <f>AA16/AB16</f>
        <v/>
      </c>
    </row>
    <row r="17">
      <c r="C17" t="n">
        <v>2013</v>
      </c>
      <c r="D17" s="19">
        <f>LN(AA17)</f>
        <v/>
      </c>
      <c r="E17">
        <f>LN(AB17)</f>
        <v/>
      </c>
      <c r="F17">
        <f>E17-*D17</f>
        <v/>
      </c>
      <c r="I17">
        <f>SUMIF('Investment'!B:B, C17, 'Investment'!C:C)</f>
        <v/>
      </c>
      <c r="J17">
        <f>(1-)*J16 + I17</f>
        <v/>
      </c>
      <c r="K17" s="4">
        <f>AA17 + J17</f>
        <v/>
      </c>
      <c r="L17">
        <f>F17</f>
        <v/>
      </c>
      <c r="M17">
        <f>L17-2*L16+L15</f>
        <v/>
      </c>
      <c r="N17" s="5">
        <f>F17-L17</f>
        <v/>
      </c>
      <c r="AA17">
        <f>VLOOKUP(C17, 'PWT'!A:B, 2, FALSE)</f>
        <v/>
      </c>
      <c r="AB17">
        <f>VLOOKUP(C17, 'WEO_Data'!A:B, 2, FALSE)</f>
        <v/>
      </c>
      <c r="AC17">
        <f>AA17/AB17</f>
        <v/>
      </c>
    </row>
    <row r="18">
      <c r="C18" t="n">
        <v>2014</v>
      </c>
      <c r="D18" s="19">
        <f>LN(AA18)</f>
        <v/>
      </c>
      <c r="E18">
        <f>LN(AB18)</f>
        <v/>
      </c>
      <c r="F18">
        <f>E18-*D18</f>
        <v/>
      </c>
      <c r="I18">
        <f>SUMIF('Investment'!B:B, C18, 'Investment'!C:C)</f>
        <v/>
      </c>
      <c r="J18">
        <f>(1-)*J17 + I18</f>
        <v/>
      </c>
      <c r="K18" s="4">
        <f>AA18 + J18</f>
        <v/>
      </c>
      <c r="L18">
        <f>F18</f>
        <v/>
      </c>
      <c r="M18">
        <f>L18-2*L17+L16</f>
        <v/>
      </c>
      <c r="N18" s="5">
        <f>F18-L18</f>
        <v/>
      </c>
      <c r="AA18">
        <f>VLOOKUP(C18, 'PWT'!A:B, 2, FALSE)</f>
        <v/>
      </c>
      <c r="AB18">
        <f>VLOOKUP(C18, 'WEO_Data'!A:B, 2, FALSE)</f>
        <v/>
      </c>
      <c r="AC18">
        <f>AA18/AB18</f>
        <v/>
      </c>
    </row>
    <row r="19">
      <c r="C19" t="n">
        <v>2015</v>
      </c>
      <c r="D19" s="19">
        <f>LN(AA19)</f>
        <v/>
      </c>
      <c r="E19">
        <f>LN(AB19)</f>
        <v/>
      </c>
      <c r="F19">
        <f>E19-*D19</f>
        <v/>
      </c>
      <c r="I19">
        <f>SUMIF('Investment'!B:B, C19, 'Investment'!C:C)</f>
        <v/>
      </c>
      <c r="J19">
        <f>(1-)*J18 + I19</f>
        <v/>
      </c>
      <c r="K19" s="4">
        <f>AA19 + J19</f>
        <v/>
      </c>
      <c r="L19">
        <f>F19</f>
        <v/>
      </c>
      <c r="M19">
        <f>L19-2*L18+L17</f>
        <v/>
      </c>
      <c r="N19" s="5">
        <f>F19-L19</f>
        <v/>
      </c>
      <c r="AA19">
        <f>VLOOKUP(C19, 'PWT'!A:B, 2, FALSE)</f>
        <v/>
      </c>
      <c r="AB19">
        <f>VLOOKUP(C19, 'WEO_Data'!A:B, 2, FALSE)</f>
        <v/>
      </c>
      <c r="AC19">
        <f>AA19/AB19</f>
        <v/>
      </c>
    </row>
    <row r="20">
      <c r="C20" t="n">
        <v>2016</v>
      </c>
      <c r="D20" s="19">
        <f>LN(AA20)</f>
        <v/>
      </c>
      <c r="E20">
        <f>LN(AB20)</f>
        <v/>
      </c>
      <c r="F20">
        <f>E20-*D20</f>
        <v/>
      </c>
      <c r="I20">
        <f>SUMIF('Investment'!B:B, C20, 'Investment'!C:C)</f>
        <v/>
      </c>
      <c r="J20">
        <f>(1-)*J19 + I20</f>
        <v/>
      </c>
      <c r="K20" s="4">
        <f>AA20 + J20</f>
        <v/>
      </c>
      <c r="L20">
        <f>F20</f>
        <v/>
      </c>
      <c r="M20">
        <f>L20-2*L19+L18</f>
        <v/>
      </c>
      <c r="N20" s="5">
        <f>F20-L20</f>
        <v/>
      </c>
      <c r="AA20">
        <f>VLOOKUP(C20, 'PWT'!A:B, 2, FALSE)</f>
        <v/>
      </c>
      <c r="AB20">
        <f>VLOOKUP(C20, 'WEO_Data'!A:B, 2, FALSE)</f>
        <v/>
      </c>
      <c r="AC20">
        <f>AA20/AB20</f>
        <v/>
      </c>
    </row>
    <row r="21">
      <c r="C21" t="n">
        <v>2017</v>
      </c>
      <c r="D21" s="19">
        <f>LN(AA21)</f>
        <v/>
      </c>
      <c r="E21">
        <f>LN(AB21)</f>
        <v/>
      </c>
      <c r="F21">
        <f>E21-*D21</f>
        <v/>
      </c>
      <c r="I21">
        <f>SUMIF('Investment'!B:B, C21, 'Investment'!C:C)</f>
        <v/>
      </c>
      <c r="J21">
        <f>(1-)*J20 + I21</f>
        <v/>
      </c>
      <c r="K21" s="4">
        <f>AA21 + J21</f>
        <v/>
      </c>
      <c r="L21">
        <f>F21</f>
        <v/>
      </c>
      <c r="M21">
        <f>L21-2*L20+L19</f>
        <v/>
      </c>
      <c r="N21" s="5">
        <f>F21-L21</f>
        <v/>
      </c>
      <c r="AA21">
        <f>VLOOKUP(C21, 'PWT'!A:B, 2, FALSE)</f>
        <v/>
      </c>
      <c r="AB21">
        <f>VLOOKUP(C21, 'WEO_Data'!A:B, 2, FALSE)</f>
        <v/>
      </c>
      <c r="AC21">
        <f>AA21/AB21</f>
        <v/>
      </c>
    </row>
    <row r="22">
      <c r="C22" t="n">
        <v>2018</v>
      </c>
      <c r="D22" s="19">
        <f>LN(AA22)</f>
        <v/>
      </c>
      <c r="E22">
        <f>LN(AB22)</f>
        <v/>
      </c>
      <c r="F22">
        <f>E22-*D22</f>
        <v/>
      </c>
      <c r="I22">
        <f>SUMIF('Investment'!B:B, C22, 'Investment'!C:C)</f>
        <v/>
      </c>
      <c r="J22">
        <f>(1-)*J21 + I22</f>
        <v/>
      </c>
      <c r="K22" s="4">
        <f>AA22 + J22</f>
        <v/>
      </c>
      <c r="L22">
        <f>F22</f>
        <v/>
      </c>
      <c r="M22">
        <f>L22-2*L21+L20</f>
        <v/>
      </c>
      <c r="N22" s="5">
        <f>F22-L22</f>
        <v/>
      </c>
      <c r="AA22">
        <f>VLOOKUP(C22, 'PWT'!A:B, 2, FALSE)</f>
        <v/>
      </c>
      <c r="AB22">
        <f>VLOOKUP(C22, 'WEO_Data'!A:B, 2, FALSE)</f>
        <v/>
      </c>
      <c r="AC22">
        <f>AA22/AB22</f>
        <v/>
      </c>
    </row>
    <row r="23">
      <c r="C23" t="n">
        <v>2019</v>
      </c>
      <c r="D23" s="19">
        <f>LN(AA23)</f>
        <v/>
      </c>
      <c r="E23">
        <f>LN(AB23)</f>
        <v/>
      </c>
      <c r="F23">
        <f>E23-*D23</f>
        <v/>
      </c>
      <c r="I23">
        <f>SUMIF('Investment'!B:B, C23, 'Investment'!C:C)</f>
        <v/>
      </c>
      <c r="J23">
        <f>(1-)*J22 + I23</f>
        <v/>
      </c>
      <c r="K23" s="4">
        <f>AA23 + J23</f>
        <v/>
      </c>
      <c r="L23">
        <f>F23</f>
        <v/>
      </c>
      <c r="M23">
        <f>L23-2*L22+L21</f>
        <v/>
      </c>
      <c r="N23" s="5">
        <f>F23-L23</f>
        <v/>
      </c>
      <c r="AA23">
        <f>VLOOKUP(C23, 'PWT'!A:B, 2, FALSE)</f>
        <v/>
      </c>
      <c r="AB23">
        <f>VLOOKUP(C23, 'WEO_Data'!A:B, 2, FALSE)</f>
        <v/>
      </c>
      <c r="AC23">
        <f>AA23/AB23</f>
        <v/>
      </c>
    </row>
    <row r="24">
      <c r="C24" t="n">
        <v>2020</v>
      </c>
      <c r="D24" s="19">
        <f>LN(AA24)</f>
        <v/>
      </c>
      <c r="E24">
        <f>LN(AB24)</f>
        <v/>
      </c>
      <c r="F24">
        <f>E24-*D24</f>
        <v/>
      </c>
      <c r="I24">
        <f>SUMIF('Investment'!B:B, C24, 'Investment'!C:C)</f>
        <v/>
      </c>
      <c r="J24">
        <f>(1-)*J23 + I24</f>
        <v/>
      </c>
      <c r="K24" s="4">
        <f>AA24 + J24</f>
        <v/>
      </c>
      <c r="L24">
        <f>F24</f>
        <v/>
      </c>
      <c r="M24">
        <f>L24-2*L23+L22</f>
        <v/>
      </c>
      <c r="N24" s="5">
        <f>F24-L24</f>
        <v/>
      </c>
      <c r="AA24">
        <f>VLOOKUP(C24, 'PWT'!A:B, 2, FALSE)</f>
        <v/>
      </c>
      <c r="AB24">
        <f>VLOOKUP(C24, 'WEO_Data'!A:B, 2, FALSE)</f>
        <v/>
      </c>
      <c r="AC24">
        <f>AA24/AB24</f>
        <v/>
      </c>
    </row>
    <row r="25">
      <c r="C25" t="n">
        <v>2021</v>
      </c>
      <c r="D25" s="19">
        <f>LN(AA25)</f>
        <v/>
      </c>
      <c r="E25">
        <f>LN(AB25)</f>
        <v/>
      </c>
      <c r="F25">
        <f>E25-*D25</f>
        <v/>
      </c>
      <c r="I25">
        <f>SUMIF('Investment'!B:B, C25, 'Investment'!C:C)</f>
        <v/>
      </c>
      <c r="J25">
        <f>(1-)*J24 + I25</f>
        <v/>
      </c>
      <c r="K25" s="4">
        <f>AA25 + J25</f>
        <v/>
      </c>
      <c r="L25">
        <f>F25</f>
        <v/>
      </c>
      <c r="M25">
        <f>L25-2*L24+L23</f>
        <v/>
      </c>
      <c r="N25" s="5">
        <f>F25-L25</f>
        <v/>
      </c>
      <c r="AA25">
        <f>VLOOKUP(C25, 'PWT'!A:B, 2, FALSE)</f>
        <v/>
      </c>
      <c r="AB25">
        <f>VLOOKUP(C25, 'WEO_Data'!A:B, 2, FALSE)</f>
        <v/>
      </c>
      <c r="AC25">
        <f>AA25/AB25</f>
        <v/>
      </c>
    </row>
    <row r="26">
      <c r="C26" t="n">
        <v>2022</v>
      </c>
      <c r="D26" s="19">
        <f>LN(AA26)</f>
        <v/>
      </c>
      <c r="E26">
        <f>LN(AB26)</f>
        <v/>
      </c>
      <c r="F26">
        <f>E26-*D26</f>
        <v/>
      </c>
      <c r="I26">
        <f>SUMIF('Investment'!B:B, C26, 'Investment'!C:C)</f>
        <v/>
      </c>
      <c r="J26">
        <f>(1-)*J25 + I26</f>
        <v/>
      </c>
      <c r="K26" s="4">
        <f>AA26 + J26</f>
        <v/>
      </c>
      <c r="L26">
        <f>F26</f>
        <v/>
      </c>
      <c r="M26">
        <f>L26-2*L25+L24</f>
        <v/>
      </c>
      <c r="N26" s="5">
        <f>F26-L26</f>
        <v/>
      </c>
      <c r="AA26">
        <f>VLOOKUP(C26, 'PWT'!A:B, 2, FALSE)</f>
        <v/>
      </c>
      <c r="AB26">
        <f>VLOOKUP(C26, 'WEO_Data'!A:B, 2, FALSE)</f>
        <v/>
      </c>
      <c r="AC26">
        <f>AA26/AB26</f>
        <v/>
      </c>
    </row>
    <row r="27">
      <c r="C27" t="n">
        <v>2023</v>
      </c>
      <c r="D27" s="19">
        <f>LN(AA27)</f>
        <v/>
      </c>
      <c r="E27">
        <f>LN(AB27)</f>
        <v/>
      </c>
      <c r="F27">
        <f>E27-*D27</f>
        <v/>
      </c>
      <c r="I27">
        <f>SUMIF('Investment'!B:B, C27, 'Investment'!C:C)</f>
        <v/>
      </c>
      <c r="J27">
        <f>(1-)*J26 + I27</f>
        <v/>
      </c>
      <c r="K27" s="6">
        <f>AA27 + J27</f>
        <v/>
      </c>
      <c r="L27" s="7">
        <f>F27</f>
        <v/>
      </c>
      <c r="M27" s="7">
        <f>L27-2*L26+L25</f>
        <v/>
      </c>
      <c r="N27" s="8">
        <f>F27-L27</f>
        <v/>
      </c>
      <c r="AA27">
        <f>VLOOKUP(C27, 'PWT'!A:B, 2, FALSE)</f>
        <v/>
      </c>
      <c r="AB27">
        <f>VLOOKUP(C27, 'WEO_Data'!A:B, 2, FALSE)</f>
        <v/>
      </c>
      <c r="AC27">
        <f>AA27/AB27</f>
        <v/>
      </c>
    </row>
    <row r="28">
      <c r="C28" t="n">
        <v>2024</v>
      </c>
      <c r="D28">
        <f>LN(AA28)</f>
        <v/>
      </c>
      <c r="E28">
        <f>LN(AB28)</f>
        <v/>
      </c>
      <c r="G28">
        <f>TREND(:7, :7, C28)</f>
        <v/>
      </c>
      <c r="H28">
        <f>EXP(G28 + *LN(AA28))</f>
        <v/>
      </c>
      <c r="I28">
        <f>SUMIF('Investment'!B:B, C28, 'Investment'!C:C)</f>
        <v/>
      </c>
      <c r="J28">
        <f>(1-)*J27 + I28</f>
        <v/>
      </c>
      <c r="K28">
        <f>AA28 + J28</f>
        <v/>
      </c>
      <c r="O28">
        <f>EXP(G28 + *LN(K28))</f>
        <v/>
      </c>
      <c r="AA28">
        <f>AB28*</f>
        <v/>
      </c>
      <c r="AB28">
        <f>VLOOKUP(C28, 'WEO_Data'!A:B, 2, FALSE)</f>
        <v/>
      </c>
    </row>
    <row r="29">
      <c r="C29" t="n">
        <v>2025</v>
      </c>
      <c r="D29">
        <f>LN(AA29)</f>
        <v/>
      </c>
      <c r="E29">
        <f>LN(AB29)</f>
        <v/>
      </c>
      <c r="G29">
        <f>TREND(:7, :7, C29)</f>
        <v/>
      </c>
      <c r="H29">
        <f>EXP(G29 + *LN(AA29))</f>
        <v/>
      </c>
      <c r="I29">
        <f>SUMIF('Investment'!B:B, C29, 'Investment'!C:C)</f>
        <v/>
      </c>
      <c r="J29">
        <f>(1-)*J28 + I29</f>
        <v/>
      </c>
      <c r="K29">
        <f>AA29 + J29</f>
        <v/>
      </c>
      <c r="O29">
        <f>EXP(G29 + *LN(K29))</f>
        <v/>
      </c>
      <c r="AA29">
        <f>AB29*</f>
        <v/>
      </c>
      <c r="AB29">
        <f>VLOOKUP(C29, 'WEO_Data'!A:B, 2, FALSE)</f>
        <v/>
      </c>
    </row>
    <row r="30">
      <c r="C30" t="n">
        <v>2026</v>
      </c>
      <c r="D30">
        <f>LN(AA30)</f>
        <v/>
      </c>
      <c r="E30">
        <f>LN(AB30)</f>
        <v/>
      </c>
      <c r="G30">
        <f>TREND(:7, :7, C30)</f>
        <v/>
      </c>
      <c r="H30">
        <f>EXP(G30 + *LN(AA30))</f>
        <v/>
      </c>
      <c r="I30">
        <f>SUMIF('Investment'!B:B, C30, 'Investment'!C:C)</f>
        <v/>
      </c>
      <c r="J30">
        <f>(1-)*J29 + I30</f>
        <v/>
      </c>
      <c r="K30">
        <f>AA30 + J30</f>
        <v/>
      </c>
      <c r="O30">
        <f>EXP(G30 + *LN(K30))</f>
        <v/>
      </c>
      <c r="AA30">
        <f>AB30*</f>
        <v/>
      </c>
      <c r="AB30">
        <f>VLOOKUP(C30, 'WEO_Data'!A:B, 2, FALSE)</f>
        <v/>
      </c>
    </row>
    <row r="31">
      <c r="C31" t="n">
        <v>2027</v>
      </c>
      <c r="D31">
        <f>LN(AA31)</f>
        <v/>
      </c>
      <c r="E31">
        <f>LN(AB31)</f>
        <v/>
      </c>
      <c r="G31">
        <f>TREND(:7, :7, C31)</f>
        <v/>
      </c>
      <c r="H31">
        <f>EXP(G31 + *LN(AA31))</f>
        <v/>
      </c>
      <c r="I31">
        <f>SUMIF('Investment'!B:B, C31, 'Investment'!C:C)</f>
        <v/>
      </c>
      <c r="J31">
        <f>(1-)*J30 + I31</f>
        <v/>
      </c>
      <c r="K31">
        <f>AA31 + J31</f>
        <v/>
      </c>
      <c r="O31">
        <f>EXP(G31 + *LN(K31))</f>
        <v/>
      </c>
      <c r="AA31">
        <f>AB31*</f>
        <v/>
      </c>
      <c r="AB31">
        <f>VLOOKUP(C31, 'WEO_Data'!A:B, 2, FALSE)</f>
        <v/>
      </c>
    </row>
    <row r="32">
      <c r="C32" t="n">
        <v>2028</v>
      </c>
      <c r="D32">
        <f>LN(AA32)</f>
        <v/>
      </c>
      <c r="E32">
        <f>LN(AB32)</f>
        <v/>
      </c>
      <c r="G32">
        <f>TREND(:7, :7, C32)</f>
        <v/>
      </c>
      <c r="H32">
        <f>EXP(G32 + *LN(AA32))</f>
        <v/>
      </c>
      <c r="I32">
        <f>SUMIF('Investment'!B:B, C32, 'Investment'!C:C)</f>
        <v/>
      </c>
      <c r="J32">
        <f>(1-)*J31 + I32</f>
        <v/>
      </c>
      <c r="K32">
        <f>AA32 + J32</f>
        <v/>
      </c>
      <c r="O32">
        <f>EXP(G32 + *LN(K32))</f>
        <v/>
      </c>
      <c r="AA32">
        <f>AB32*</f>
        <v/>
      </c>
      <c r="AB32">
        <f>VLOOKUP(C32, 'WEO_Data'!A:B, 2, FALSE)</f>
        <v/>
      </c>
    </row>
    <row r="33">
      <c r="C33" t="n">
        <v>2029</v>
      </c>
      <c r="D33">
        <f>LN(AA33)</f>
        <v/>
      </c>
      <c r="E33">
        <f>LN(AB33)</f>
        <v/>
      </c>
      <c r="G33">
        <f>TREND(:7, :7, C33)</f>
        <v/>
      </c>
      <c r="H33">
        <f>EXP(G33 + *LN(AA33))</f>
        <v/>
      </c>
      <c r="I33">
        <f>SUMIF('Investment'!B:B, C33, 'Investment'!C:C)</f>
        <v/>
      </c>
      <c r="J33">
        <f>(1-)*J32 + I33</f>
        <v/>
      </c>
      <c r="K33">
        <f>AA33 + J33</f>
        <v/>
      </c>
      <c r="O33">
        <f>EXP(G33 + *LN(K33))</f>
        <v/>
      </c>
      <c r="AA33">
        <f>AB33*</f>
        <v/>
      </c>
      <c r="AB33">
        <f>VLOOKUP(C33, 'WEO_Data'!A:B, 2, FALSE)</f>
        <v/>
      </c>
    </row>
    <row r="34">
      <c r="C34" t="n">
        <v>2030</v>
      </c>
      <c r="D34">
        <f>LN(AA34)</f>
        <v/>
      </c>
      <c r="E34">
        <f>LN(AB34)</f>
        <v/>
      </c>
      <c r="G34">
        <f>TREND(:7, :7, C34)</f>
        <v/>
      </c>
      <c r="H34">
        <f>EXP(G34 + *LN(AA34))</f>
        <v/>
      </c>
      <c r="I34">
        <f>SUMIF('Investment'!B:B, C34, 'Investment'!C:C)</f>
        <v/>
      </c>
      <c r="J34">
        <f>(1-)*J33 + I34</f>
        <v/>
      </c>
      <c r="K34">
        <f>AA34 + J34</f>
        <v/>
      </c>
      <c r="O34">
        <f>EXP(G34 + *LN(K34))</f>
        <v/>
      </c>
      <c r="AA34">
        <f>AB34*</f>
        <v/>
      </c>
      <c r="AB34">
        <f>VLOOKUP(C34, 'WEO_Data'!A:B, 2, FALSE)</f>
        <v/>
      </c>
    </row>
    <row r="35">
      <c r="C35" t="n">
        <v>2031</v>
      </c>
      <c r="D35">
        <f>LN(AA35)</f>
        <v/>
      </c>
      <c r="E35">
        <f>LN(AB35)</f>
        <v/>
      </c>
      <c r="F35" t="inlineStr">
        <is>
          <t>Y</t>
        </is>
      </c>
      <c r="G35">
        <f>TREND(:7, :7, C35)</f>
        <v/>
      </c>
      <c r="H35">
        <f>EXP(G35 + *LN(AA35))</f>
        <v/>
      </c>
      <c r="I35">
        <f>SUMIF('Investment'!B:B, C35, 'Investment'!C:C)</f>
        <v/>
      </c>
      <c r="J35">
        <f>(1-)*J34 + I35</f>
        <v/>
      </c>
      <c r="K35">
        <f>AA35 + J35</f>
        <v/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>
        <f>EXP(G35 + *LN(K35))</f>
        <v/>
      </c>
      <c r="P35" t="inlineStr">
        <is>
          <t>Baseline GDP Growth</t>
        </is>
      </c>
      <c r="AA35">
        <f>AB35*</f>
        <v/>
      </c>
      <c r="AB35">
        <f>VLOOKUP(C35, 'WEO_Data'!A:B, 2, FALSE)</f>
        <v/>
      </c>
    </row>
    <row r="36">
      <c r="C36" t="n">
        <v>2032</v>
      </c>
      <c r="D36">
        <f>LN(AA36)</f>
        <v/>
      </c>
      <c r="E36" s="19">
        <f>LN(AB36)</f>
        <v/>
      </c>
      <c r="G36">
        <f>TREND(:7, :7, C36)</f>
        <v/>
      </c>
      <c r="H36">
        <f>EXP(G36 + *LN(AA36))</f>
        <v/>
      </c>
      <c r="I36">
        <f>SUMIF('Investment'!B:B, C36, 'Investment'!C:C)</f>
        <v/>
      </c>
      <c r="J36">
        <f>(1-)*J35 + I36</f>
        <v/>
      </c>
      <c r="K36" s="19">
        <f>AA36 + J36</f>
        <v/>
      </c>
      <c r="O36">
        <f>EXP(G36 + *LN(K36))</f>
        <v/>
      </c>
      <c r="AA36">
        <f>AB36*</f>
        <v/>
      </c>
      <c r="AB36">
        <f>VLOOKUP(C36, 'WEO_Data'!A:B, 2, FALSE)</f>
        <v/>
      </c>
    </row>
    <row r="37">
      <c r="C37" t="n">
        <v>2033</v>
      </c>
      <c r="D37">
        <f>LN(AA37)</f>
        <v/>
      </c>
      <c r="E37" s="19">
        <f>LN(AB37)</f>
        <v/>
      </c>
      <c r="G37">
        <f>TREND(:7, :7, C37)</f>
        <v/>
      </c>
      <c r="H37">
        <f>EXP(G37 + *LN(AA37))</f>
        <v/>
      </c>
      <c r="I37">
        <f>SUMIF('Investment'!B:B, C37, 'Investment'!C:C)</f>
        <v/>
      </c>
      <c r="J37">
        <f>(1-)*J36 + I37</f>
        <v/>
      </c>
      <c r="K37" s="19">
        <f>AA37 + J37</f>
        <v/>
      </c>
      <c r="O37">
        <f>EXP(G37 + *LN(K37))</f>
        <v/>
      </c>
      <c r="AA37">
        <f>AB37*</f>
        <v/>
      </c>
      <c r="AB37">
        <f>VLOOKUP(C37, 'WEO_Data'!A:B, 2, FALSE)</f>
        <v/>
      </c>
    </row>
    <row r="38">
      <c r="C38" t="n">
        <v>2034</v>
      </c>
      <c r="D38">
        <f>LN(AA38)</f>
        <v/>
      </c>
      <c r="E38" s="19">
        <f>LN(AB38)</f>
        <v/>
      </c>
      <c r="G38">
        <f>TREND(:7, :7, C38)</f>
        <v/>
      </c>
      <c r="H38">
        <f>EXP(G38 + *LN(AA38))</f>
        <v/>
      </c>
      <c r="I38">
        <f>SUMIF('Investment'!B:B, C38, 'Investment'!C:C)</f>
        <v/>
      </c>
      <c r="J38">
        <f>(1-)*J37 + I38</f>
        <v/>
      </c>
      <c r="K38" s="19">
        <f>AA38 + J38</f>
        <v/>
      </c>
      <c r="O38">
        <f>EXP(G38 + *LN(K38))</f>
        <v/>
      </c>
      <c r="AA38">
        <f>AB38*</f>
        <v/>
      </c>
      <c r="AB38">
        <f>VLOOKUP(C38, 'WEO_Data'!A:B, 2, FALSE)</f>
        <v/>
      </c>
    </row>
    <row r="39">
      <c r="C39" t="n">
        <v>2035</v>
      </c>
      <c r="D39">
        <f>LN(AA39)</f>
        <v/>
      </c>
      <c r="E39" s="19">
        <f>LN(AB39)</f>
        <v/>
      </c>
      <c r="G39">
        <f>TREND(:7, :7, C39)</f>
        <v/>
      </c>
      <c r="H39">
        <f>EXP(G39 + *LN(AA39))</f>
        <v/>
      </c>
      <c r="I39">
        <f>SUMIF('Investment'!B:B, C39, 'Investment'!C:C)</f>
        <v/>
      </c>
      <c r="J39">
        <f>(1-)*J38 + I39</f>
        <v/>
      </c>
      <c r="K39" s="19">
        <f>AA39 + J39</f>
        <v/>
      </c>
      <c r="O39">
        <f>EXP(G39 + *LN(K39))</f>
        <v/>
      </c>
      <c r="AA39">
        <f>AB39*</f>
        <v/>
      </c>
      <c r="AB39">
        <f>VLOOKUP(C39, 'WEO_Data'!A:B, 2, FALSE)</f>
        <v/>
      </c>
    </row>
    <row r="40">
      <c r="C40" t="n">
        <v>2036</v>
      </c>
      <c r="D40">
        <f>LN(AA40)</f>
        <v/>
      </c>
      <c r="E40" s="19">
        <f>LN(AB40)</f>
        <v/>
      </c>
      <c r="G40">
        <f>TREND(:7, :7, C40)</f>
        <v/>
      </c>
      <c r="H40">
        <f>EXP(G40 + *LN(AA40))</f>
        <v/>
      </c>
      <c r="I40">
        <f>SUMIF('Investment'!B:B, C40, 'Investment'!C:C)</f>
        <v/>
      </c>
      <c r="J40">
        <f>(1-)*J39 + I40</f>
        <v/>
      </c>
      <c r="K40" s="19">
        <f>AA40 + J40</f>
        <v/>
      </c>
      <c r="O40">
        <f>EXP(G40 + *LN(K40))</f>
        <v/>
      </c>
      <c r="AA40">
        <f>AB40*</f>
        <v/>
      </c>
      <c r="AB40">
        <f>VLOOKUP(C40, 'WEO_Data'!A:B, 2, FALSE)</f>
        <v/>
      </c>
    </row>
    <row r="41">
      <c r="C41" t="n">
        <v>2037</v>
      </c>
      <c r="D41">
        <f>LN(AA41)</f>
        <v/>
      </c>
      <c r="E41" s="19">
        <f>LN(AB41)</f>
        <v/>
      </c>
      <c r="G41">
        <f>TREND(:7, :7, C41)</f>
        <v/>
      </c>
      <c r="H41">
        <f>EXP(G41 + *LN(AA41))</f>
        <v/>
      </c>
      <c r="I41">
        <f>SUMIF('Investment'!B:B, C41, 'Investment'!C:C)</f>
        <v/>
      </c>
      <c r="J41">
        <f>(1-)*J40 + I41</f>
        <v/>
      </c>
      <c r="K41" s="19">
        <f>AA41 + J41</f>
        <v/>
      </c>
      <c r="O41">
        <f>EXP(G41 + *LN(K41))</f>
        <v/>
      </c>
      <c r="AA41">
        <f>AB41*</f>
        <v/>
      </c>
      <c r="AB41">
        <f>VLOOKUP(C41, 'WEO_Data'!A:B, 2, FALSE)</f>
        <v/>
      </c>
    </row>
    <row r="42">
      <c r="C42" t="n">
        <v>2038</v>
      </c>
      <c r="D42">
        <f>LN(AA42)</f>
        <v/>
      </c>
      <c r="E42" s="19">
        <f>LN(AB42)</f>
        <v/>
      </c>
      <c r="G42">
        <f>TREND(:7, :7, C42)</f>
        <v/>
      </c>
      <c r="H42">
        <f>EXP(G42 + *LN(AA42))</f>
        <v/>
      </c>
      <c r="I42">
        <f>SUMIF('Investment'!B:B, C42, 'Investment'!C:C)</f>
        <v/>
      </c>
      <c r="J42">
        <f>(1-)*J41 + I42</f>
        <v/>
      </c>
      <c r="K42" s="19">
        <f>AA42 + J42</f>
        <v/>
      </c>
      <c r="O42">
        <f>EXP(G42 + *LN(K42))</f>
        <v/>
      </c>
      <c r="AA42">
        <f>AB42*</f>
        <v/>
      </c>
      <c r="AB42">
        <f>VLOOKUP(C42, 'WEO_Data'!A:B, 2, FALSE)</f>
        <v/>
      </c>
    </row>
    <row r="43">
      <c r="C43" t="n">
        <v>2039</v>
      </c>
      <c r="D43">
        <f>LN(AA43)</f>
        <v/>
      </c>
      <c r="E43" s="19">
        <f>LN(AB43)</f>
        <v/>
      </c>
      <c r="G43">
        <f>TREND(:7, :7, C43)</f>
        <v/>
      </c>
      <c r="H43">
        <f>EXP(G43 + *LN(AA43))</f>
        <v/>
      </c>
      <c r="I43">
        <f>SUMIF('Investment'!B:B, C43, 'Investment'!C:C)</f>
        <v/>
      </c>
      <c r="J43">
        <f>(1-)*J42 + I43</f>
        <v/>
      </c>
      <c r="K43" s="19">
        <f>AA43 + J43</f>
        <v/>
      </c>
      <c r="O43">
        <f>EXP(G43 + *LN(K43))</f>
        <v/>
      </c>
      <c r="AA43">
        <f>AB43*</f>
        <v/>
      </c>
      <c r="AB43">
        <f>VLOOKUP(C43, 'WEO_Data'!A:B, 2, FALSE)</f>
        <v/>
      </c>
    </row>
    <row r="44">
      <c r="C44" t="n">
        <v>2040</v>
      </c>
      <c r="D44">
        <f>LN(AA44)</f>
        <v/>
      </c>
      <c r="E44" s="19">
        <f>LN(AB44)</f>
        <v/>
      </c>
      <c r="G44">
        <f>TREND(:7, :7, C44)</f>
        <v/>
      </c>
      <c r="H44">
        <f>EXP(G44 + *LN(AA44))</f>
        <v/>
      </c>
      <c r="I44">
        <f>SUMIF('Investment'!B:B, C44, 'Investment'!C:C)</f>
        <v/>
      </c>
      <c r="J44">
        <f>(1-)*J43 + I44</f>
        <v/>
      </c>
      <c r="K44" s="19">
        <f>AA44 + J44</f>
        <v/>
      </c>
      <c r="O44">
        <f>EXP(G44 + *LN(K44))</f>
        <v/>
      </c>
      <c r="AA44">
        <f>AB44*</f>
        <v/>
      </c>
      <c r="AB44">
        <f>VLOOKUP(C44, 'WEO_Data'!A:B, 2, FALSE)</f>
        <v/>
      </c>
    </row>
    <row r="45">
      <c r="C45" t="n">
        <v>2041</v>
      </c>
      <c r="D45">
        <f>LN(AA45)</f>
        <v/>
      </c>
      <c r="E45" s="19">
        <f>LN(AB45)</f>
        <v/>
      </c>
      <c r="G45">
        <f>TREND(:7, :7, C45)</f>
        <v/>
      </c>
      <c r="H45">
        <f>EXP(G45 + *LN(AA45))</f>
        <v/>
      </c>
      <c r="I45">
        <f>SUMIF('Investment'!B:B, C45, 'Investment'!C:C)</f>
        <v/>
      </c>
      <c r="J45">
        <f>(1-)*J44 + I45</f>
        <v/>
      </c>
      <c r="K45" s="19">
        <f>AA45 + J45</f>
        <v/>
      </c>
      <c r="O45">
        <f>EXP(G45 + *LN(K45))</f>
        <v/>
      </c>
      <c r="AA45">
        <f>AB45*</f>
        <v/>
      </c>
      <c r="AB45">
        <f>VLOOKUP(C45, 'WEO_Data'!A:B, 2, FALSE)</f>
        <v/>
      </c>
    </row>
    <row r="46">
      <c r="C46" t="n">
        <v>2042</v>
      </c>
      <c r="D46">
        <f>LN(AA46)</f>
        <v/>
      </c>
      <c r="E46" s="19">
        <f>LN(AB46)</f>
        <v/>
      </c>
      <c r="G46">
        <f>TREND(:7, :7, C46)</f>
        <v/>
      </c>
      <c r="H46">
        <f>EXP(G46 + *LN(AA46))</f>
        <v/>
      </c>
      <c r="I46">
        <f>SUMIF('Investment'!B:B, C46, 'Investment'!C:C)</f>
        <v/>
      </c>
      <c r="J46">
        <f>(1-)*J45 + I46</f>
        <v/>
      </c>
      <c r="K46" s="19">
        <f>AA46 + J46</f>
        <v/>
      </c>
      <c r="O46">
        <f>EXP(G46 + *LN(K46))</f>
        <v/>
      </c>
      <c r="AA46">
        <f>AB46*</f>
        <v/>
      </c>
      <c r="AB46">
        <f>VLOOKUP(C46, 'WEO_Data'!A:B, 2, FALSE)</f>
        <v/>
      </c>
    </row>
    <row r="47">
      <c r="C47" t="n">
        <v>2043</v>
      </c>
      <c r="D47">
        <f>LN(AA47)</f>
        <v/>
      </c>
      <c r="E47" s="19">
        <f>LN(AB47)</f>
        <v/>
      </c>
      <c r="G47">
        <f>TREND(:7, :7, C47)</f>
        <v/>
      </c>
      <c r="H47">
        <f>EXP(G47 + *LN(AA47))</f>
        <v/>
      </c>
      <c r="I47">
        <f>SUMIF('Investment'!B:B, C47, 'Investment'!C:C)</f>
        <v/>
      </c>
      <c r="J47">
        <f>(1-)*J46 + I47</f>
        <v/>
      </c>
      <c r="K47" s="19">
        <f>AA47 + J47</f>
        <v/>
      </c>
      <c r="O47">
        <f>EXP(G47 + *LN(K47))</f>
        <v/>
      </c>
      <c r="AA47">
        <f>AB47*</f>
        <v/>
      </c>
      <c r="AB47">
        <f>VLOOKUP(C47, 'WEO_Data'!A:B, 2, FALSE)</f>
        <v/>
      </c>
    </row>
    <row r="48">
      <c r="C48" t="n">
        <v>2044</v>
      </c>
      <c r="D48">
        <f>LN(AA48)</f>
        <v/>
      </c>
      <c r="E48" s="19">
        <f>LN(AB48)</f>
        <v/>
      </c>
      <c r="G48">
        <f>TREND(:7, :7, C48)</f>
        <v/>
      </c>
      <c r="H48">
        <f>EXP(G48 + *LN(AA48))</f>
        <v/>
      </c>
      <c r="I48">
        <f>SUMIF('Investment'!B:B, C48, 'Investment'!C:C)</f>
        <v/>
      </c>
      <c r="J48">
        <f>(1-)*J47 + I48</f>
        <v/>
      </c>
      <c r="K48" s="19">
        <f>AA48 + J48</f>
        <v/>
      </c>
      <c r="O48">
        <f>EXP(G48 + *LN(K48))</f>
        <v/>
      </c>
      <c r="AA48">
        <f>AB48*</f>
        <v/>
      </c>
      <c r="AB48">
        <f>VLOOKUP(C48, 'WEO_Data'!A:B, 2, FALSE)</f>
        <v/>
      </c>
    </row>
    <row r="49">
      <c r="C49" t="n">
        <v>2045</v>
      </c>
      <c r="D49">
        <f>LN(AA49)</f>
        <v/>
      </c>
      <c r="E49" s="19">
        <f>LN(AB49)</f>
        <v/>
      </c>
      <c r="G49">
        <f>TREND(:7, :7, C49)</f>
        <v/>
      </c>
      <c r="H49">
        <f>EXP(G49 + *LN(AA49))</f>
        <v/>
      </c>
      <c r="I49">
        <f>SUMIF('Investment'!B:B, C49, 'Investment'!C:C)</f>
        <v/>
      </c>
      <c r="J49">
        <f>(1-)*J48 + I49</f>
        <v/>
      </c>
      <c r="K49" s="19">
        <f>AA49 + J49</f>
        <v/>
      </c>
      <c r="O49">
        <f>EXP(G49 + *LN(K49))</f>
        <v/>
      </c>
      <c r="AA49">
        <f>AB49*</f>
        <v/>
      </c>
      <c r="AB49">
        <f>VLOOKUP(C49, 'WEO_Data'!A:B, 2, FALSE)</f>
        <v/>
      </c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D2" s="19" t="n"/>
    </row>
    <row r="3">
      <c r="A3" s="18" t="n">
        <v>35795</v>
      </c>
      <c r="B3" t="n">
        <v>1997</v>
      </c>
      <c r="D3" s="19" t="n"/>
    </row>
    <row r="4">
      <c r="A4" s="18" t="n">
        <v>36160</v>
      </c>
      <c r="B4" t="n">
        <v>1998</v>
      </c>
      <c r="D4" s="19" t="n"/>
    </row>
    <row r="5">
      <c r="A5" s="18" t="n">
        <v>36525</v>
      </c>
      <c r="B5" t="n">
        <v>1999</v>
      </c>
      <c r="D5" s="19" t="n"/>
    </row>
    <row r="6">
      <c r="A6" s="18" t="n">
        <v>36891</v>
      </c>
      <c r="B6" t="n">
        <v>2000</v>
      </c>
      <c r="D6" s="19" t="n"/>
    </row>
    <row r="7">
      <c r="A7" s="18" t="n">
        <v>37256</v>
      </c>
      <c r="B7" t="n">
        <v>2001</v>
      </c>
      <c r="D7" s="19" t="n"/>
    </row>
    <row r="8">
      <c r="A8" s="18" t="n">
        <v>37621</v>
      </c>
      <c r="B8" t="n">
        <v>2002</v>
      </c>
      <c r="D8" s="19" t="n"/>
    </row>
    <row r="9">
      <c r="A9" s="18" t="n">
        <v>37986</v>
      </c>
      <c r="B9" t="n">
        <v>2003</v>
      </c>
      <c r="D9" s="19" t="n"/>
    </row>
    <row r="10">
      <c r="A10" s="18" t="n">
        <v>38352</v>
      </c>
      <c r="B10" t="n">
        <v>2004</v>
      </c>
      <c r="D10" s="19" t="n"/>
    </row>
    <row r="11">
      <c r="A11" s="18" t="n">
        <v>38717</v>
      </c>
      <c r="B11" t="n">
        <v>2005</v>
      </c>
      <c r="D11" s="19" t="n"/>
    </row>
    <row r="12">
      <c r="A12" s="18" t="n">
        <v>39082</v>
      </c>
      <c r="B12" t="n">
        <v>2006</v>
      </c>
      <c r="D12" s="19" t="n"/>
    </row>
    <row r="13">
      <c r="A13" s="18" t="n">
        <v>39447</v>
      </c>
      <c r="B13" t="n">
        <v>2007</v>
      </c>
      <c r="D13" s="19" t="n"/>
    </row>
    <row r="14">
      <c r="A14" s="18" t="n">
        <v>39813</v>
      </c>
      <c r="B14" t="n">
        <v>2008</v>
      </c>
      <c r="D14" s="19" t="n"/>
    </row>
    <row r="15">
      <c r="A15" s="18" t="n">
        <v>40178</v>
      </c>
      <c r="B15" t="n">
        <v>2009</v>
      </c>
      <c r="D15" s="19" t="n"/>
    </row>
    <row r="16">
      <c r="A16" s="18" t="n">
        <v>40543</v>
      </c>
      <c r="B16" t="n">
        <v>2010</v>
      </c>
      <c r="D16" s="19" t="n"/>
    </row>
    <row r="17">
      <c r="A17" s="18" t="n">
        <v>40908</v>
      </c>
      <c r="B17" t="n">
        <v>2011</v>
      </c>
      <c r="D17" s="19" t="n"/>
    </row>
    <row r="18">
      <c r="A18" s="18" t="n">
        <v>41274</v>
      </c>
      <c r="B18" t="n">
        <v>2012</v>
      </c>
      <c r="D18" s="19" t="n"/>
    </row>
    <row r="19">
      <c r="A19" s="18" t="n">
        <v>41639</v>
      </c>
      <c r="B19" t="n">
        <v>2013</v>
      </c>
      <c r="D19" s="19" t="n"/>
    </row>
    <row r="20">
      <c r="A20" s="18" t="n">
        <v>42004</v>
      </c>
      <c r="B20" t="n">
        <v>2014</v>
      </c>
      <c r="D20" s="19" t="n"/>
    </row>
    <row r="21">
      <c r="A21" s="18" t="n">
        <v>42369</v>
      </c>
      <c r="B21" t="n">
        <v>2015</v>
      </c>
      <c r="D21" s="19" t="n"/>
    </row>
    <row r="22">
      <c r="A22" s="18" t="n">
        <v>42735</v>
      </c>
      <c r="B22" t="n">
        <v>2016</v>
      </c>
      <c r="D22" s="19" t="n"/>
    </row>
    <row r="23">
      <c r="A23" s="18" t="n">
        <v>43100</v>
      </c>
      <c r="B23" t="n">
        <v>2017</v>
      </c>
      <c r="D23" s="19" t="n"/>
    </row>
    <row r="24">
      <c r="A24" s="18" t="n">
        <v>43465</v>
      </c>
      <c r="B24" t="n">
        <v>2018</v>
      </c>
      <c r="D24" s="19" t="n"/>
    </row>
    <row r="25">
      <c r="A25" s="18" t="n">
        <v>43830</v>
      </c>
      <c r="B25" t="n">
        <v>2019</v>
      </c>
      <c r="D25" s="19" t="n"/>
    </row>
    <row r="26">
      <c r="A26" s="18" t="n">
        <v>44196</v>
      </c>
      <c r="B26" t="n">
        <v>2020</v>
      </c>
      <c r="D26" s="19" t="n"/>
    </row>
    <row r="27">
      <c r="A27" s="18" t="n">
        <v>44561</v>
      </c>
      <c r="B27" t="n">
        <v>2021</v>
      </c>
      <c r="D27" s="19" t="n"/>
    </row>
    <row r="28">
      <c r="A28" s="18" t="n">
        <v>44926</v>
      </c>
      <c r="B28" t="n">
        <v>2022</v>
      </c>
      <c r="D28" s="19" t="n"/>
    </row>
    <row r="29">
      <c r="A29" s="18" t="n">
        <v>45291</v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/>
    </row>
    <row r="3">
      <c r="A3" s="19" t="n">
        <v>1991</v>
      </c>
      <c r="B3" s="19" t="n"/>
    </row>
    <row r="4">
      <c r="A4" s="19" t="n">
        <v>1992</v>
      </c>
      <c r="B4" s="19" t="n"/>
    </row>
    <row r="5">
      <c r="A5" s="19" t="n">
        <v>1993</v>
      </c>
      <c r="B5" s="19" t="n"/>
    </row>
    <row r="6">
      <c r="A6" s="19" t="n">
        <v>1994</v>
      </c>
      <c r="B6" s="19" t="n"/>
    </row>
    <row r="7">
      <c r="A7" s="19" t="n">
        <v>1995</v>
      </c>
      <c r="B7" s="19" t="n"/>
    </row>
    <row r="8">
      <c r="A8" s="19" t="n">
        <v>1996</v>
      </c>
      <c r="B8" s="19" t="n"/>
    </row>
    <row r="9">
      <c r="A9" s="19" t="n">
        <v>1997</v>
      </c>
      <c r="B9" s="19" t="n"/>
    </row>
    <row r="10">
      <c r="A10" s="19" t="n">
        <v>1998</v>
      </c>
      <c r="B10" s="19" t="n"/>
    </row>
    <row r="11">
      <c r="A11" s="19" t="n">
        <v>1999</v>
      </c>
      <c r="B11" s="19" t="n"/>
    </row>
    <row r="12">
      <c r="A12" s="19" t="n">
        <v>2000</v>
      </c>
      <c r="B12" s="19" t="n"/>
    </row>
    <row r="13">
      <c r="A13" s="19" t="n">
        <v>2001</v>
      </c>
      <c r="B13" s="19" t="n"/>
    </row>
    <row r="14">
      <c r="A14" s="19" t="n">
        <v>2002</v>
      </c>
      <c r="B14" s="19" t="n"/>
    </row>
    <row r="15">
      <c r="A15" s="19" t="n">
        <v>2003</v>
      </c>
      <c r="B15" s="19" t="n"/>
    </row>
    <row r="16">
      <c r="A16" s="19" t="n">
        <v>2004</v>
      </c>
      <c r="B16" s="19" t="n"/>
    </row>
    <row r="17">
      <c r="A17" s="19" t="n">
        <v>2005</v>
      </c>
      <c r="B17" s="19" t="n"/>
    </row>
    <row r="18">
      <c r="A18" s="19" t="n">
        <v>2006</v>
      </c>
      <c r="B18" s="19" t="n"/>
    </row>
    <row r="19">
      <c r="A19" s="19" t="n">
        <v>2007</v>
      </c>
      <c r="B19" s="19" t="n"/>
    </row>
    <row r="20">
      <c r="A20" s="19" t="n">
        <v>2008</v>
      </c>
      <c r="B20" s="19" t="n"/>
    </row>
    <row r="21">
      <c r="A21" s="19" t="n">
        <v>2009</v>
      </c>
      <c r="B21" s="19" t="n"/>
    </row>
    <row r="22">
      <c r="A22" s="19" t="n">
        <v>2010</v>
      </c>
      <c r="B22" s="19" t="n"/>
    </row>
    <row r="23">
      <c r="A23" s="19" t="n">
        <v>2011</v>
      </c>
      <c r="B23" s="19" t="n"/>
    </row>
    <row r="24">
      <c r="A24" s="19" t="n">
        <v>2012</v>
      </c>
      <c r="B24" s="19" t="n"/>
    </row>
    <row r="25">
      <c r="A25" s="19" t="n">
        <v>2013</v>
      </c>
      <c r="B25" s="19" t="n"/>
    </row>
    <row r="26">
      <c r="A26" s="19" t="n">
        <v>2014</v>
      </c>
      <c r="B26" s="19" t="n"/>
    </row>
    <row r="27">
      <c r="A27" s="19" t="n">
        <v>2015</v>
      </c>
      <c r="B27" s="19" t="n"/>
    </row>
    <row r="28">
      <c r="A28" s="19" t="n">
        <v>2016</v>
      </c>
      <c r="B28" s="19" t="n"/>
    </row>
    <row r="29">
      <c r="A29" s="19" t="n">
        <v>2017</v>
      </c>
      <c r="B29" s="19" t="n"/>
    </row>
    <row r="30">
      <c r="A30" s="19" t="n">
        <v>2018</v>
      </c>
      <c r="B30" s="19" t="n"/>
    </row>
    <row r="31">
      <c r="A31" s="19" t="n">
        <v>2019</v>
      </c>
      <c r="B31" s="19" t="n"/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2228"/>
  <sheetViews>
    <sheetView workbookViewId="0">
      <selection activeCell="H24" sqref="H24"/>
    </sheetView>
  </sheetViews>
  <sheetFormatPr baseColWidth="8" defaultRowHeight="12.45"/>
  <sheetData>
    <row r="1">
      <c r="A1" t="inlineStr">
        <is>
          <t>Year</t>
        </is>
      </c>
      <c r="B1" t="inlineStr">
        <is>
          <t>Real GDP (Millions)</t>
        </is>
      </c>
      <c r="C1" t="inlineStr">
        <is>
          <t>Growth Rate (%)</t>
        </is>
      </c>
      <c r="D1" t="n">
        <v>915</v>
      </c>
    </row>
    <row r="2">
      <c r="A2" t="n">
        <v>2000</v>
      </c>
      <c r="B2" t="n">
        <v>6000</v>
      </c>
      <c r="D2" t="inlineStr">
        <is>
          <t>NGDP_RPCH</t>
        </is>
      </c>
    </row>
    <row r="3">
      <c r="A3" t="n">
        <v>2001</v>
      </c>
      <c r="B3" t="n">
        <v>6300</v>
      </c>
      <c r="C3">
        <f> (B3-B2)/B2*100</f>
        <v/>
      </c>
      <c r="D3" t="inlineStr">
        <is>
          <t>Georgia</t>
        </is>
      </c>
    </row>
    <row r="4">
      <c r="A4" t="n">
        <v>2002</v>
      </c>
      <c r="B4" t="n">
        <v>6700</v>
      </c>
      <c r="C4">
        <f> (B4-B3)/B3*100</f>
        <v/>
      </c>
      <c r="D4" t="inlineStr">
        <is>
          <t>Gross domestic product, constant prices</t>
        </is>
      </c>
    </row>
    <row r="5">
      <c r="A5" t="n">
        <v>2003</v>
      </c>
      <c r="B5" t="n">
        <v>7300</v>
      </c>
      <c r="C5">
        <f> (B5-B4)/B4*100</f>
        <v/>
      </c>
      <c r="D5" t="inlineStr">
        <is>
          <t>Percent change</t>
        </is>
      </c>
    </row>
    <row r="6">
      <c r="A6" t="n">
        <v>2004</v>
      </c>
      <c r="B6" t="n">
        <v>8000</v>
      </c>
      <c r="C6">
        <f> (B6-B5)/B5*100</f>
        <v/>
      </c>
      <c r="D6" t="inlineStr">
        <is>
          <t>Units</t>
        </is>
      </c>
    </row>
    <row r="7">
      <c r="A7" t="n">
        <v>2005</v>
      </c>
      <c r="B7" t="n">
        <v>8800</v>
      </c>
      <c r="C7">
        <f> (B7-B6)/B6*100</f>
        <v/>
      </c>
      <c r="D7" t="inlineStr">
        <is>
          <t>See notes for:  Gross domestic product, constant prices (National currency).</t>
        </is>
      </c>
    </row>
    <row r="8">
      <c r="A8" t="n">
        <v>2006</v>
      </c>
      <c r="B8" t="n">
        <v>9900</v>
      </c>
      <c r="C8">
        <f> (B8-B7)/B7*100</f>
        <v/>
      </c>
    </row>
    <row r="9">
      <c r="A9" t="n">
        <v>2007</v>
      </c>
      <c r="B9" t="n">
        <v>11200</v>
      </c>
      <c r="C9">
        <f> (B9-B8)/B8*100</f>
        <v/>
      </c>
    </row>
    <row r="10">
      <c r="A10" t="n">
        <v>2008</v>
      </c>
      <c r="B10" t="n">
        <v>11200</v>
      </c>
      <c r="C10">
        <f> (B10-B9)/B9*100</f>
        <v/>
      </c>
    </row>
    <row r="11">
      <c r="A11" t="n">
        <v>2009</v>
      </c>
      <c r="B11" t="n">
        <v>10300</v>
      </c>
      <c r="C11">
        <f> (B11-B10)/B10*100</f>
        <v/>
      </c>
    </row>
    <row r="12">
      <c r="A12" t="n">
        <v>2010</v>
      </c>
      <c r="B12" t="n">
        <v>10900</v>
      </c>
      <c r="C12">
        <f> (B12-B11)/B11*100</f>
        <v/>
      </c>
    </row>
    <row r="13">
      <c r="A13" t="n">
        <v>2011</v>
      </c>
      <c r="B13" t="n">
        <v>11900</v>
      </c>
      <c r="C13">
        <f> (B13-B12)/B12*100</f>
        <v/>
      </c>
    </row>
    <row r="14">
      <c r="A14" t="n">
        <v>2012</v>
      </c>
      <c r="B14" t="n">
        <v>12700</v>
      </c>
      <c r="C14">
        <f> (B14-B13)/B13*100</f>
        <v/>
      </c>
    </row>
    <row r="15">
      <c r="A15" t="n">
        <v>2013</v>
      </c>
      <c r="B15" t="n">
        <v>13300</v>
      </c>
      <c r="C15">
        <f> (B15-B14)/B14*100</f>
        <v/>
      </c>
    </row>
    <row r="16">
      <c r="A16" t="n">
        <v>2014</v>
      </c>
      <c r="B16" t="n">
        <v>14100</v>
      </c>
      <c r="C16">
        <f> (B16-B15)/B15*100</f>
        <v/>
      </c>
    </row>
    <row r="17">
      <c r="A17" t="n">
        <v>2015</v>
      </c>
      <c r="B17" t="n">
        <v>14700</v>
      </c>
      <c r="C17">
        <f> (B17-B16)/B16*100</f>
        <v/>
      </c>
    </row>
    <row r="18">
      <c r="A18" t="n">
        <v>2016</v>
      </c>
      <c r="B18" t="n">
        <v>15200</v>
      </c>
      <c r="C18">
        <f> (B18-B17)/B17*100</f>
        <v/>
      </c>
    </row>
    <row r="19">
      <c r="A19" t="n">
        <v>2017</v>
      </c>
      <c r="B19" t="n">
        <v>15900</v>
      </c>
      <c r="C19">
        <f> (B19-B18)/B18*100</f>
        <v/>
      </c>
    </row>
    <row r="20">
      <c r="A20" t="n">
        <v>2018</v>
      </c>
      <c r="B20" t="n">
        <v>16700</v>
      </c>
      <c r="C20">
        <f> (B20-B19)/B19*100</f>
        <v/>
      </c>
    </row>
    <row r="21">
      <c r="A21" t="n">
        <v>2019</v>
      </c>
      <c r="B21" t="n">
        <v>17500</v>
      </c>
      <c r="C21">
        <f> (B21-B20)/B20*100</f>
        <v/>
      </c>
    </row>
    <row r="22">
      <c r="A22" t="n">
        <v>2020</v>
      </c>
      <c r="B22" t="n">
        <v>16000</v>
      </c>
      <c r="C22">
        <f> (B22-B21)/B21*100</f>
        <v/>
      </c>
    </row>
    <row r="23">
      <c r="A23" t="n">
        <v>2021</v>
      </c>
      <c r="B23" t="n">
        <v>17700</v>
      </c>
      <c r="C23">
        <f> (B23-B22)/B22*100</f>
        <v/>
      </c>
    </row>
    <row r="24">
      <c r="A24" t="n">
        <v>2022</v>
      </c>
      <c r="B24" t="n">
        <v>19700</v>
      </c>
      <c r="C24">
        <f> (B24-B23)/B23*100</f>
        <v/>
      </c>
    </row>
    <row r="25">
      <c r="A25" t="n">
        <v>2023</v>
      </c>
      <c r="B25" t="n">
        <v>23000</v>
      </c>
      <c r="C25">
        <f> (B25-B24)/B24*100</f>
        <v/>
      </c>
    </row>
    <row r="26">
      <c r="A26" t="n">
        <v>2024</v>
      </c>
      <c r="B26" t="n">
        <v>25100</v>
      </c>
      <c r="C26">
        <f> (B26-B25)/B25*100</f>
        <v/>
      </c>
    </row>
    <row r="27">
      <c r="A27" t="n">
        <v>2025</v>
      </c>
      <c r="B27">
        <f>B26*(1+C27/100)</f>
        <v/>
      </c>
      <c r="C27" t="n">
        <v>6</v>
      </c>
    </row>
    <row r="28">
      <c r="A28" t="n">
        <v>2026</v>
      </c>
      <c r="B28">
        <f>B27*(1+C28/100)</f>
        <v/>
      </c>
      <c r="C28" t="n">
        <v>5.3</v>
      </c>
    </row>
    <row r="29">
      <c r="A29" t="n">
        <v>2027</v>
      </c>
      <c r="B29">
        <f>B28*(1+C29/100)</f>
        <v/>
      </c>
      <c r="C29" t="n">
        <v>5</v>
      </c>
    </row>
    <row r="30">
      <c r="A30" t="n">
        <v>2028</v>
      </c>
      <c r="B30">
        <f>B29*(1+C30/100)</f>
        <v/>
      </c>
      <c r="C30" t="n">
        <v>5</v>
      </c>
    </row>
    <row r="31">
      <c r="A31" t="n">
        <v>2029</v>
      </c>
      <c r="B31">
        <f>B30*(1+C31/100)</f>
        <v/>
      </c>
      <c r="C31" t="n">
        <v>5</v>
      </c>
    </row>
    <row r="32">
      <c r="A32" t="n">
        <v>2030</v>
      </c>
      <c r="B32">
        <f>B31*(1+C32/100)</f>
        <v/>
      </c>
      <c r="C32" t="n">
        <v>5</v>
      </c>
    </row>
    <row r="33">
      <c r="A33" t="n">
        <v>2031</v>
      </c>
      <c r="B33">
        <f>B32*(1+C33/100)</f>
        <v/>
      </c>
      <c r="C33" t="n">
        <v>5</v>
      </c>
    </row>
    <row r="34">
      <c r="A34" t="n">
        <v>2032</v>
      </c>
      <c r="B34">
        <f>B33*(1+C34/100)</f>
        <v/>
      </c>
      <c r="C34" t="n">
        <v>5</v>
      </c>
    </row>
    <row r="35">
      <c r="A35" t="n">
        <v>2033</v>
      </c>
      <c r="B35">
        <f>B34*(1+C35/100)</f>
        <v/>
      </c>
      <c r="C35" t="n">
        <v>5</v>
      </c>
    </row>
    <row r="36">
      <c r="A36" t="n">
        <v>2034</v>
      </c>
      <c r="B36">
        <f>B35*(1+C36/100)</f>
        <v/>
      </c>
      <c r="C36" t="n">
        <v>5</v>
      </c>
    </row>
    <row r="37">
      <c r="A37" t="n">
        <v>2035</v>
      </c>
      <c r="B37">
        <f>B36*(1+C37/100)</f>
        <v/>
      </c>
      <c r="C37" t="n">
        <v>5</v>
      </c>
    </row>
    <row r="38">
      <c r="A38" t="n">
        <v>2036</v>
      </c>
      <c r="B38">
        <f>B37*(1+C38/100)</f>
        <v/>
      </c>
      <c r="C38" t="n">
        <v>5</v>
      </c>
    </row>
    <row r="39">
      <c r="A39" t="n">
        <v>2037</v>
      </c>
      <c r="B39">
        <f>B38*(1+C39/100)</f>
        <v/>
      </c>
      <c r="C39" t="n">
        <v>5</v>
      </c>
    </row>
    <row r="40">
      <c r="A40" t="n">
        <v>2038</v>
      </c>
      <c r="B40">
        <f>B39*(1+C40/100)</f>
        <v/>
      </c>
      <c r="C40" t="n">
        <v>5</v>
      </c>
    </row>
    <row r="41">
      <c r="A41" t="n">
        <v>2039</v>
      </c>
      <c r="B41">
        <f>B40*(1+C41/100)</f>
        <v/>
      </c>
      <c r="C41" t="n">
        <v>5</v>
      </c>
    </row>
    <row r="42">
      <c r="A42" t="n">
        <v>2040</v>
      </c>
      <c r="B42">
        <f>B41*(1+C42/100)</f>
        <v/>
      </c>
      <c r="C42" t="n">
        <v>5</v>
      </c>
    </row>
    <row r="43">
      <c r="A43" t="n">
        <v>2041</v>
      </c>
      <c r="B43">
        <f>B42*(1+C43/100)</f>
        <v/>
      </c>
      <c r="C43" t="n">
        <v>5</v>
      </c>
    </row>
    <row r="44">
      <c r="A44" t="n">
        <v>2042</v>
      </c>
      <c r="B44">
        <f>B43*(1+C44/100)</f>
        <v/>
      </c>
      <c r="C44" t="n">
        <v>5</v>
      </c>
    </row>
    <row r="45">
      <c r="A45" t="n">
        <v>2043</v>
      </c>
      <c r="B45">
        <f>B44*(1+C45/100)</f>
        <v/>
      </c>
      <c r="C45" t="n">
        <v>5</v>
      </c>
    </row>
    <row r="16385">
      <c r="D16385" t="n">
        <v>915</v>
      </c>
    </row>
    <row r="16386">
      <c r="D16386" t="inlineStr">
        <is>
          <t>NGDP_RPCH</t>
        </is>
      </c>
    </row>
    <row r="16387">
      <c r="D16387" t="inlineStr">
        <is>
          <t>Georgia</t>
        </is>
      </c>
    </row>
    <row r="16388">
      <c r="D16388" t="inlineStr">
        <is>
          <t>Gross domestic product, constant prices</t>
        </is>
      </c>
    </row>
    <row r="16389">
      <c r="D16389" t="inlineStr">
        <is>
          <t>Percent change</t>
        </is>
      </c>
    </row>
    <row r="16390">
      <c r="D16390" t="inlineStr">
        <is>
          <t>Units</t>
        </is>
      </c>
    </row>
    <row r="16391">
      <c r="D16391" t="inlineStr">
        <is>
          <t>See notes for:  Gross domestic product, constant prices (National currency).</t>
        </is>
      </c>
    </row>
    <row r="16392">
      <c r="D16392" t="n">
        <v>1.865</v>
      </c>
    </row>
    <row r="16393">
      <c r="D16393" t="n">
        <v>4.769</v>
      </c>
    </row>
    <row r="16394">
      <c r="D16394" t="n">
        <v>5.487</v>
      </c>
    </row>
    <row r="16395">
      <c r="D16395" t="n">
        <v>11.228</v>
      </c>
    </row>
    <row r="16396">
      <c r="D16396" t="n">
        <v>5.796</v>
      </c>
    </row>
    <row r="16397">
      <c r="D16397" t="n">
        <v>9.587999999999999</v>
      </c>
    </row>
    <row r="16398">
      <c r="D16398" t="n">
        <v>9.42</v>
      </c>
    </row>
    <row r="16399">
      <c r="D16399" t="n">
        <v>12.579</v>
      </c>
    </row>
    <row r="16400">
      <c r="D16400" t="n">
        <v>2.419</v>
      </c>
    </row>
    <row r="16401">
      <c r="D16401" t="n">
        <v>-3.651</v>
      </c>
    </row>
    <row r="16402">
      <c r="D16402" t="n">
        <v>6.942</v>
      </c>
    </row>
    <row r="16403">
      <c r="D16403" t="n">
        <v>7.949</v>
      </c>
    </row>
    <row r="16404">
      <c r="D16404" t="n">
        <v>6.579</v>
      </c>
    </row>
    <row r="16405">
      <c r="D16405" t="n">
        <v>5.134</v>
      </c>
    </row>
    <row r="16406">
      <c r="D16406" t="n">
        <v>4.091</v>
      </c>
    </row>
    <row r="16407">
      <c r="D16407" t="n">
        <v>3.351</v>
      </c>
    </row>
    <row r="16408">
      <c r="D16408" t="n">
        <v>3.45</v>
      </c>
    </row>
    <row r="16409">
      <c r="D16409" t="n">
        <v>5.161</v>
      </c>
    </row>
    <row r="16410">
      <c r="D16410" t="n">
        <v>6.062</v>
      </c>
    </row>
    <row r="16411">
      <c r="D16411" t="n">
        <v>5.38</v>
      </c>
    </row>
    <row r="16412">
      <c r="D16412" t="n">
        <v>-6.291</v>
      </c>
    </row>
    <row r="16413">
      <c r="D16413" t="n">
        <v>10.644</v>
      </c>
    </row>
    <row r="16414">
      <c r="D16414" t="n">
        <v>10.96</v>
      </c>
    </row>
    <row r="16415">
      <c r="D16415" t="n">
        <v>7.832</v>
      </c>
    </row>
    <row r="16416">
      <c r="D16416" t="n">
        <v>9.429</v>
      </c>
    </row>
    <row r="16417">
      <c r="D16417" t="n">
        <v>5.977</v>
      </c>
    </row>
    <row r="16418">
      <c r="D16418" t="n">
        <v>5</v>
      </c>
    </row>
    <row r="16419">
      <c r="D16419" t="n">
        <v>5</v>
      </c>
    </row>
    <row r="16420">
      <c r="D16420" t="n">
        <v>2024</v>
      </c>
    </row>
    <row r="32769">
      <c r="D32769" t="n">
        <v>915</v>
      </c>
    </row>
    <row r="32770">
      <c r="D32770" t="inlineStr">
        <is>
          <t>NGDP_RPCH</t>
        </is>
      </c>
    </row>
    <row r="32771">
      <c r="D32771" t="inlineStr">
        <is>
          <t>Georgia</t>
        </is>
      </c>
    </row>
    <row r="32772">
      <c r="D32772" t="inlineStr">
        <is>
          <t>Gross domestic product, constant prices</t>
        </is>
      </c>
    </row>
    <row r="32773">
      <c r="D32773" t="inlineStr">
        <is>
          <t>Percent change</t>
        </is>
      </c>
    </row>
    <row r="32774">
      <c r="D32774" t="inlineStr">
        <is>
          <t>Units</t>
        </is>
      </c>
    </row>
    <row r="32775">
      <c r="D32775" t="inlineStr">
        <is>
          <t>See notes for:  Gross domestic product, constant prices (National currency).</t>
        </is>
      </c>
    </row>
    <row r="32776">
      <c r="D32776" t="n">
        <v>1.865</v>
      </c>
    </row>
    <row r="32777">
      <c r="D32777" t="n">
        <v>4.769</v>
      </c>
    </row>
    <row r="32778">
      <c r="D32778" t="n">
        <v>5.487</v>
      </c>
    </row>
    <row r="32779">
      <c r="D32779" t="n">
        <v>11.228</v>
      </c>
    </row>
    <row r="32780">
      <c r="D32780" t="n">
        <v>5.796</v>
      </c>
    </row>
    <row r="32781">
      <c r="D32781" t="n">
        <v>9.587999999999999</v>
      </c>
    </row>
    <row r="32782">
      <c r="D32782" t="n">
        <v>9.42</v>
      </c>
    </row>
    <row r="32783">
      <c r="D32783" t="n">
        <v>12.579</v>
      </c>
    </row>
    <row r="32784">
      <c r="D32784" t="n">
        <v>2.419</v>
      </c>
    </row>
    <row r="32785">
      <c r="D32785" t="n">
        <v>-3.651</v>
      </c>
    </row>
    <row r="32786">
      <c r="D32786" t="n">
        <v>6.942</v>
      </c>
    </row>
    <row r="32787">
      <c r="D32787" t="n">
        <v>7.949</v>
      </c>
    </row>
    <row r="32788">
      <c r="D32788" t="n">
        <v>6.579</v>
      </c>
    </row>
    <row r="32789">
      <c r="D32789" t="n">
        <v>5.134</v>
      </c>
    </row>
    <row r="32790">
      <c r="D32790" t="n">
        <v>4.091</v>
      </c>
    </row>
    <row r="32791">
      <c r="D32791" t="n">
        <v>3.351</v>
      </c>
    </row>
    <row r="32792">
      <c r="D32792" t="n">
        <v>3.45</v>
      </c>
    </row>
    <row r="32793">
      <c r="D32793" t="n">
        <v>5.161</v>
      </c>
    </row>
    <row r="32794">
      <c r="D32794" t="n">
        <v>6.062</v>
      </c>
    </row>
    <row r="32795">
      <c r="D32795" t="n">
        <v>5.38</v>
      </c>
    </row>
    <row r="32796">
      <c r="D32796" t="n">
        <v>-6.291</v>
      </c>
    </row>
    <row r="32797">
      <c r="D32797" t="n">
        <v>10.644</v>
      </c>
    </row>
    <row r="32798">
      <c r="D32798" t="n">
        <v>10.96</v>
      </c>
    </row>
    <row r="32799">
      <c r="D32799" t="n">
        <v>7.832</v>
      </c>
    </row>
    <row r="32800">
      <c r="D32800" t="n">
        <v>9.429</v>
      </c>
    </row>
    <row r="32801">
      <c r="D32801" t="n">
        <v>5.977</v>
      </c>
    </row>
    <row r="32802">
      <c r="D32802" t="n">
        <v>5</v>
      </c>
    </row>
    <row r="32803">
      <c r="D32803" t="n">
        <v>5</v>
      </c>
    </row>
    <row r="32804">
      <c r="D32804" t="n">
        <v>2024</v>
      </c>
    </row>
    <row r="49153">
      <c r="D49153" t="n">
        <v>915</v>
      </c>
    </row>
    <row r="49154">
      <c r="D49154" t="inlineStr">
        <is>
          <t>NGDP_RPCH</t>
        </is>
      </c>
    </row>
    <row r="49155">
      <c r="D49155" t="inlineStr">
        <is>
          <t>Georgia</t>
        </is>
      </c>
    </row>
    <row r="49156">
      <c r="D49156" t="inlineStr">
        <is>
          <t>Gross domestic product, constant prices</t>
        </is>
      </c>
    </row>
    <row r="49157">
      <c r="D49157" t="inlineStr">
        <is>
          <t>Percent change</t>
        </is>
      </c>
    </row>
    <row r="49158">
      <c r="D49158" t="inlineStr">
        <is>
          <t>Units</t>
        </is>
      </c>
    </row>
    <row r="49159">
      <c r="D49159" t="inlineStr">
        <is>
          <t>See notes for:  Gross domestic product, constant prices (National currency).</t>
        </is>
      </c>
    </row>
    <row r="49160">
      <c r="D49160" t="n">
        <v>1.865</v>
      </c>
    </row>
    <row r="49161">
      <c r="D49161" t="n">
        <v>4.769</v>
      </c>
    </row>
    <row r="49162">
      <c r="D49162" t="n">
        <v>5.487</v>
      </c>
    </row>
    <row r="49163">
      <c r="D49163" t="n">
        <v>11.228</v>
      </c>
    </row>
    <row r="49164">
      <c r="D49164" t="n">
        <v>5.796</v>
      </c>
    </row>
    <row r="49165">
      <c r="D49165" t="n">
        <v>9.587999999999999</v>
      </c>
    </row>
    <row r="49166">
      <c r="D49166" t="n">
        <v>9.42</v>
      </c>
    </row>
    <row r="49167">
      <c r="D49167" t="n">
        <v>12.579</v>
      </c>
    </row>
    <row r="49168">
      <c r="D49168" t="n">
        <v>2.419</v>
      </c>
    </row>
    <row r="49169">
      <c r="D49169" t="n">
        <v>-3.651</v>
      </c>
    </row>
    <row r="49170">
      <c r="D49170" t="n">
        <v>6.942</v>
      </c>
    </row>
    <row r="49171">
      <c r="D49171" t="n">
        <v>7.949</v>
      </c>
    </row>
    <row r="49172">
      <c r="D49172" t="n">
        <v>6.579</v>
      </c>
    </row>
    <row r="49173">
      <c r="D49173" t="n">
        <v>5.134</v>
      </c>
    </row>
    <row r="49174">
      <c r="D49174" t="n">
        <v>4.091</v>
      </c>
    </row>
    <row r="49175">
      <c r="D49175" t="n">
        <v>3.351</v>
      </c>
    </row>
    <row r="49176">
      <c r="D49176" t="n">
        <v>3.45</v>
      </c>
    </row>
    <row r="49177">
      <c r="D49177" t="n">
        <v>5.161</v>
      </c>
    </row>
    <row r="49178">
      <c r="D49178" t="n">
        <v>6.062</v>
      </c>
    </row>
    <row r="49179">
      <c r="D49179" t="n">
        <v>5.38</v>
      </c>
    </row>
    <row r="49180">
      <c r="D49180" t="n">
        <v>-6.291</v>
      </c>
    </row>
    <row r="49181">
      <c r="D49181" t="n">
        <v>10.644</v>
      </c>
    </row>
    <row r="49182">
      <c r="D49182" t="n">
        <v>10.96</v>
      </c>
    </row>
    <row r="49183">
      <c r="D49183" t="n">
        <v>7.832</v>
      </c>
    </row>
    <row r="49184">
      <c r="D49184" t="n">
        <v>9.429</v>
      </c>
    </row>
    <row r="49185">
      <c r="D49185" t="n">
        <v>5.977</v>
      </c>
    </row>
    <row r="49186">
      <c r="D49186" t="n">
        <v>5</v>
      </c>
    </row>
    <row r="49187">
      <c r="D49187" t="n">
        <v>5</v>
      </c>
    </row>
    <row r="49188">
      <c r="D49188" t="n">
        <v>2024</v>
      </c>
    </row>
    <row r="65537">
      <c r="D65537" t="n">
        <v>915</v>
      </c>
    </row>
    <row r="65538">
      <c r="D65538" t="inlineStr">
        <is>
          <t>NGDP_RPCH</t>
        </is>
      </c>
    </row>
    <row r="65539">
      <c r="D65539" t="inlineStr">
        <is>
          <t>Georgia</t>
        </is>
      </c>
    </row>
    <row r="65540">
      <c r="D65540" t="inlineStr">
        <is>
          <t>Gross domestic product, constant prices</t>
        </is>
      </c>
    </row>
    <row r="65541">
      <c r="D65541" t="inlineStr">
        <is>
          <t>Percent change</t>
        </is>
      </c>
    </row>
    <row r="65542">
      <c r="D65542" t="inlineStr">
        <is>
          <t>Units</t>
        </is>
      </c>
    </row>
    <row r="65543">
      <c r="D65543" t="inlineStr">
        <is>
          <t>See notes for:  Gross domestic product, constant prices (National currency).</t>
        </is>
      </c>
    </row>
    <row r="65544">
      <c r="D65544" t="n">
        <v>1.865</v>
      </c>
    </row>
    <row r="65545">
      <c r="D65545" t="n">
        <v>4.769</v>
      </c>
    </row>
    <row r="65546">
      <c r="D65546" t="n">
        <v>5.487</v>
      </c>
    </row>
    <row r="65547">
      <c r="D65547" t="n">
        <v>11.228</v>
      </c>
    </row>
    <row r="65548">
      <c r="D65548" t="n">
        <v>5.796</v>
      </c>
    </row>
    <row r="65549">
      <c r="D65549" t="n">
        <v>9.587999999999999</v>
      </c>
    </row>
    <row r="65550">
      <c r="D65550" t="n">
        <v>9.42</v>
      </c>
    </row>
    <row r="65551">
      <c r="D65551" t="n">
        <v>12.579</v>
      </c>
    </row>
    <row r="65552">
      <c r="D65552" t="n">
        <v>2.419</v>
      </c>
    </row>
    <row r="65553">
      <c r="D65553" t="n">
        <v>-3.651</v>
      </c>
    </row>
    <row r="65554">
      <c r="D65554" t="n">
        <v>6.942</v>
      </c>
    </row>
    <row r="65555">
      <c r="D65555" t="n">
        <v>7.949</v>
      </c>
    </row>
    <row r="65556">
      <c r="D65556" t="n">
        <v>6.579</v>
      </c>
    </row>
    <row r="65557">
      <c r="D65557" t="n">
        <v>5.134</v>
      </c>
    </row>
    <row r="65558">
      <c r="D65558" t="n">
        <v>4.091</v>
      </c>
    </row>
    <row r="65559">
      <c r="D65559" t="n">
        <v>3.351</v>
      </c>
    </row>
    <row r="65560">
      <c r="D65560" t="n">
        <v>3.45</v>
      </c>
    </row>
    <row r="65561">
      <c r="D65561" t="n">
        <v>5.161</v>
      </c>
    </row>
    <row r="65562">
      <c r="D65562" t="n">
        <v>6.062</v>
      </c>
    </row>
    <row r="65563">
      <c r="D65563" t="n">
        <v>5.38</v>
      </c>
    </row>
    <row r="65564">
      <c r="D65564" t="n">
        <v>-6.291</v>
      </c>
    </row>
    <row r="65565">
      <c r="D65565" t="n">
        <v>10.644</v>
      </c>
    </row>
    <row r="65566">
      <c r="D65566" t="n">
        <v>10.96</v>
      </c>
    </row>
    <row r="65567">
      <c r="D65567" t="n">
        <v>7.832</v>
      </c>
    </row>
    <row r="65568">
      <c r="D65568" t="n">
        <v>9.429</v>
      </c>
    </row>
    <row r="65569">
      <c r="D65569" t="n">
        <v>5.977</v>
      </c>
    </row>
    <row r="65570">
      <c r="D65570" t="n">
        <v>5</v>
      </c>
    </row>
    <row r="65571">
      <c r="D65571" t="n">
        <v>5</v>
      </c>
    </row>
    <row r="65572">
      <c r="D65572" t="n">
        <v>2024</v>
      </c>
    </row>
    <row r="81921">
      <c r="D81921" t="n">
        <v>915</v>
      </c>
    </row>
    <row r="81922">
      <c r="D81922" t="inlineStr">
        <is>
          <t>NGDP_RPCH</t>
        </is>
      </c>
    </row>
    <row r="81923">
      <c r="D81923" t="inlineStr">
        <is>
          <t>Georgia</t>
        </is>
      </c>
    </row>
    <row r="81924">
      <c r="D81924" t="inlineStr">
        <is>
          <t>Gross domestic product, constant prices</t>
        </is>
      </c>
    </row>
    <row r="81925">
      <c r="D81925" t="inlineStr">
        <is>
          <t>Percent change</t>
        </is>
      </c>
    </row>
    <row r="81926">
      <c r="D81926" t="inlineStr">
        <is>
          <t>Units</t>
        </is>
      </c>
    </row>
    <row r="81927">
      <c r="D81927" t="inlineStr">
        <is>
          <t>See notes for:  Gross domestic product, constant prices (National currency).</t>
        </is>
      </c>
    </row>
    <row r="81928">
      <c r="D81928" t="n">
        <v>1.865</v>
      </c>
    </row>
    <row r="81929">
      <c r="D81929" t="n">
        <v>4.769</v>
      </c>
    </row>
    <row r="81930">
      <c r="D81930" t="n">
        <v>5.487</v>
      </c>
    </row>
    <row r="81931">
      <c r="D81931" t="n">
        <v>11.228</v>
      </c>
    </row>
    <row r="81932">
      <c r="D81932" t="n">
        <v>5.796</v>
      </c>
    </row>
    <row r="81933">
      <c r="D81933" t="n">
        <v>9.587999999999999</v>
      </c>
    </row>
    <row r="81934">
      <c r="D81934" t="n">
        <v>9.42</v>
      </c>
    </row>
    <row r="81935">
      <c r="D81935" t="n">
        <v>12.579</v>
      </c>
    </row>
    <row r="81936">
      <c r="D81936" t="n">
        <v>2.419</v>
      </c>
    </row>
    <row r="81937">
      <c r="D81937" t="n">
        <v>-3.651</v>
      </c>
    </row>
    <row r="81938">
      <c r="D81938" t="n">
        <v>6.942</v>
      </c>
    </row>
    <row r="81939">
      <c r="D81939" t="n">
        <v>7.949</v>
      </c>
    </row>
    <row r="81940">
      <c r="D81940" t="n">
        <v>6.579</v>
      </c>
    </row>
    <row r="81941">
      <c r="D81941" t="n">
        <v>5.134</v>
      </c>
    </row>
    <row r="81942">
      <c r="D81942" t="n">
        <v>4.091</v>
      </c>
    </row>
    <row r="81943">
      <c r="D81943" t="n">
        <v>3.351</v>
      </c>
    </row>
    <row r="81944">
      <c r="D81944" t="n">
        <v>3.45</v>
      </c>
    </row>
    <row r="81945">
      <c r="D81945" t="n">
        <v>5.161</v>
      </c>
    </row>
    <row r="81946">
      <c r="D81946" t="n">
        <v>6.062</v>
      </c>
    </row>
    <row r="81947">
      <c r="D81947" t="n">
        <v>5.38</v>
      </c>
    </row>
    <row r="81948">
      <c r="D81948" t="n">
        <v>-6.291</v>
      </c>
    </row>
    <row r="81949">
      <c r="D81949" t="n">
        <v>10.644</v>
      </c>
    </row>
    <row r="81950">
      <c r="D81950" t="n">
        <v>10.96</v>
      </c>
    </row>
    <row r="81951">
      <c r="D81951" t="n">
        <v>7.832</v>
      </c>
    </row>
    <row r="81952">
      <c r="D81952" t="n">
        <v>9.429</v>
      </c>
    </row>
    <row r="81953">
      <c r="D81953" t="n">
        <v>5.977</v>
      </c>
    </row>
    <row r="81954">
      <c r="D81954" t="n">
        <v>5</v>
      </c>
    </row>
    <row r="81955">
      <c r="D81955" t="n">
        <v>5</v>
      </c>
    </row>
    <row r="81956">
      <c r="D81956" t="n">
        <v>2024</v>
      </c>
    </row>
    <row r="98305">
      <c r="D98305" t="n">
        <v>915</v>
      </c>
    </row>
    <row r="98306">
      <c r="D98306" t="inlineStr">
        <is>
          <t>NGDP_RPCH</t>
        </is>
      </c>
    </row>
    <row r="98307">
      <c r="D98307" t="inlineStr">
        <is>
          <t>Georgia</t>
        </is>
      </c>
    </row>
    <row r="98308">
      <c r="D98308" t="inlineStr">
        <is>
          <t>Gross domestic product, constant prices</t>
        </is>
      </c>
    </row>
    <row r="98309">
      <c r="D98309" t="inlineStr">
        <is>
          <t>Percent change</t>
        </is>
      </c>
    </row>
    <row r="98310">
      <c r="D98310" t="inlineStr">
        <is>
          <t>Units</t>
        </is>
      </c>
    </row>
    <row r="98311">
      <c r="D98311" t="inlineStr">
        <is>
          <t>See notes for:  Gross domestic product, constant prices (National currency).</t>
        </is>
      </c>
    </row>
    <row r="98312">
      <c r="D98312" t="n">
        <v>1.865</v>
      </c>
    </row>
    <row r="98313">
      <c r="D98313" t="n">
        <v>4.769</v>
      </c>
    </row>
    <row r="98314">
      <c r="D98314" t="n">
        <v>5.487</v>
      </c>
    </row>
    <row r="98315">
      <c r="D98315" t="n">
        <v>11.228</v>
      </c>
    </row>
    <row r="98316">
      <c r="D98316" t="n">
        <v>5.796</v>
      </c>
    </row>
    <row r="98317">
      <c r="D98317" t="n">
        <v>9.587999999999999</v>
      </c>
    </row>
    <row r="98318">
      <c r="D98318" t="n">
        <v>9.42</v>
      </c>
    </row>
    <row r="98319">
      <c r="D98319" t="n">
        <v>12.579</v>
      </c>
    </row>
    <row r="98320">
      <c r="D98320" t="n">
        <v>2.419</v>
      </c>
    </row>
    <row r="98321">
      <c r="D98321" t="n">
        <v>-3.651</v>
      </c>
    </row>
    <row r="98322">
      <c r="D98322" t="n">
        <v>6.942</v>
      </c>
    </row>
    <row r="98323">
      <c r="D98323" t="n">
        <v>7.949</v>
      </c>
    </row>
    <row r="98324">
      <c r="D98324" t="n">
        <v>6.579</v>
      </c>
    </row>
    <row r="98325">
      <c r="D98325" t="n">
        <v>5.134</v>
      </c>
    </row>
    <row r="98326">
      <c r="D98326" t="n">
        <v>4.091</v>
      </c>
    </row>
    <row r="98327">
      <c r="D98327" t="n">
        <v>3.351</v>
      </c>
    </row>
    <row r="98328">
      <c r="D98328" t="n">
        <v>3.45</v>
      </c>
    </row>
    <row r="98329">
      <c r="D98329" t="n">
        <v>5.161</v>
      </c>
    </row>
    <row r="98330">
      <c r="D98330" t="n">
        <v>6.062</v>
      </c>
    </row>
    <row r="98331">
      <c r="D98331" t="n">
        <v>5.38</v>
      </c>
    </row>
    <row r="98332">
      <c r="D98332" t="n">
        <v>-6.291</v>
      </c>
    </row>
    <row r="98333">
      <c r="D98333" t="n">
        <v>10.644</v>
      </c>
    </row>
    <row r="98334">
      <c r="D98334" t="n">
        <v>10.96</v>
      </c>
    </row>
    <row r="98335">
      <c r="D98335" t="n">
        <v>7.832</v>
      </c>
    </row>
    <row r="98336">
      <c r="D98336" t="n">
        <v>9.429</v>
      </c>
    </row>
    <row r="98337">
      <c r="D98337" t="n">
        <v>5.977</v>
      </c>
    </row>
    <row r="98338">
      <c r="D98338" t="n">
        <v>5</v>
      </c>
    </row>
    <row r="98339">
      <c r="D98339" t="n">
        <v>5</v>
      </c>
    </row>
    <row r="98340">
      <c r="D98340" t="n">
        <v>2024</v>
      </c>
    </row>
    <row r="114689">
      <c r="D114689" t="n">
        <v>915</v>
      </c>
    </row>
    <row r="114690">
      <c r="D114690" t="inlineStr">
        <is>
          <t>NGDP_RPCH</t>
        </is>
      </c>
    </row>
    <row r="114691">
      <c r="D114691" t="inlineStr">
        <is>
          <t>Georgia</t>
        </is>
      </c>
    </row>
    <row r="114692">
      <c r="D114692" t="inlineStr">
        <is>
          <t>Gross domestic product, constant prices</t>
        </is>
      </c>
    </row>
    <row r="114693">
      <c r="D114693" t="inlineStr">
        <is>
          <t>Percent change</t>
        </is>
      </c>
    </row>
    <row r="114694">
      <c r="D114694" t="inlineStr">
        <is>
          <t>Units</t>
        </is>
      </c>
    </row>
    <row r="114695">
      <c r="D114695" t="inlineStr">
        <is>
          <t>See notes for:  Gross domestic product, constant prices (National currency).</t>
        </is>
      </c>
    </row>
    <row r="114696">
      <c r="D114696" t="n">
        <v>1.865</v>
      </c>
    </row>
    <row r="114697">
      <c r="D114697" t="n">
        <v>4.769</v>
      </c>
    </row>
    <row r="114698">
      <c r="D114698" t="n">
        <v>5.487</v>
      </c>
    </row>
    <row r="114699">
      <c r="D114699" t="n">
        <v>11.228</v>
      </c>
    </row>
    <row r="114700">
      <c r="D114700" t="n">
        <v>5.796</v>
      </c>
    </row>
    <row r="114701">
      <c r="D114701" t="n">
        <v>9.587999999999999</v>
      </c>
    </row>
    <row r="114702">
      <c r="D114702" t="n">
        <v>9.42</v>
      </c>
    </row>
    <row r="114703">
      <c r="D114703" t="n">
        <v>12.579</v>
      </c>
    </row>
    <row r="114704">
      <c r="D114704" t="n">
        <v>2.419</v>
      </c>
    </row>
    <row r="114705">
      <c r="D114705" t="n">
        <v>-3.651</v>
      </c>
    </row>
    <row r="114706">
      <c r="D114706" t="n">
        <v>6.942</v>
      </c>
    </row>
    <row r="114707">
      <c r="D114707" t="n">
        <v>7.949</v>
      </c>
    </row>
    <row r="114708">
      <c r="D114708" t="n">
        <v>6.579</v>
      </c>
    </row>
    <row r="114709">
      <c r="D114709" t="n">
        <v>5.134</v>
      </c>
    </row>
    <row r="114710">
      <c r="D114710" t="n">
        <v>4.091</v>
      </c>
    </row>
    <row r="114711">
      <c r="D114711" t="n">
        <v>3.351</v>
      </c>
    </row>
    <row r="114712">
      <c r="D114712" t="n">
        <v>3.45</v>
      </c>
    </row>
    <row r="114713">
      <c r="D114713" t="n">
        <v>5.161</v>
      </c>
    </row>
    <row r="114714">
      <c r="D114714" t="n">
        <v>6.062</v>
      </c>
    </row>
    <row r="114715">
      <c r="D114715" t="n">
        <v>5.38</v>
      </c>
    </row>
    <row r="114716">
      <c r="D114716" t="n">
        <v>-6.291</v>
      </c>
    </row>
    <row r="114717">
      <c r="D114717" t="n">
        <v>10.644</v>
      </c>
    </row>
    <row r="114718">
      <c r="D114718" t="n">
        <v>10.96</v>
      </c>
    </row>
    <row r="114719">
      <c r="D114719" t="n">
        <v>7.832</v>
      </c>
    </row>
    <row r="114720">
      <c r="D114720" t="n">
        <v>9.429</v>
      </c>
    </row>
    <row r="114721">
      <c r="D114721" t="n">
        <v>5.977</v>
      </c>
    </row>
    <row r="114722">
      <c r="D114722" t="n">
        <v>5</v>
      </c>
    </row>
    <row r="114723">
      <c r="D114723" t="n">
        <v>5</v>
      </c>
    </row>
    <row r="114724">
      <c r="D114724" t="n">
        <v>2024</v>
      </c>
    </row>
    <row r="131073">
      <c r="D131073" t="n">
        <v>915</v>
      </c>
    </row>
    <row r="131074">
      <c r="D131074" t="inlineStr">
        <is>
          <t>NGDP_RPCH</t>
        </is>
      </c>
    </row>
    <row r="131075">
      <c r="D131075" t="inlineStr">
        <is>
          <t>Georgia</t>
        </is>
      </c>
    </row>
    <row r="131076">
      <c r="D131076" t="inlineStr">
        <is>
          <t>Gross domestic product, constant prices</t>
        </is>
      </c>
    </row>
    <row r="131077">
      <c r="D131077" t="inlineStr">
        <is>
          <t>Percent change</t>
        </is>
      </c>
    </row>
    <row r="131078">
      <c r="D131078" t="inlineStr">
        <is>
          <t>Units</t>
        </is>
      </c>
    </row>
    <row r="131079">
      <c r="D131079" t="inlineStr">
        <is>
          <t>See notes for:  Gross domestic product, constant prices (National currency).</t>
        </is>
      </c>
    </row>
    <row r="131080">
      <c r="D131080" t="n">
        <v>1.865</v>
      </c>
    </row>
    <row r="131081">
      <c r="D131081" t="n">
        <v>4.769</v>
      </c>
    </row>
    <row r="131082">
      <c r="D131082" t="n">
        <v>5.487</v>
      </c>
    </row>
    <row r="131083">
      <c r="D131083" t="n">
        <v>11.228</v>
      </c>
    </row>
    <row r="131084">
      <c r="D131084" t="n">
        <v>5.796</v>
      </c>
    </row>
    <row r="131085">
      <c r="D131085" t="n">
        <v>9.587999999999999</v>
      </c>
    </row>
    <row r="131086">
      <c r="D131086" t="n">
        <v>9.42</v>
      </c>
    </row>
    <row r="131087">
      <c r="D131087" t="n">
        <v>12.579</v>
      </c>
    </row>
    <row r="131088">
      <c r="D131088" t="n">
        <v>2.419</v>
      </c>
    </row>
    <row r="131089">
      <c r="D131089" t="n">
        <v>-3.651</v>
      </c>
    </row>
    <row r="131090">
      <c r="D131090" t="n">
        <v>6.942</v>
      </c>
    </row>
    <row r="131091">
      <c r="D131091" t="n">
        <v>7.949</v>
      </c>
    </row>
    <row r="131092">
      <c r="D131092" t="n">
        <v>6.579</v>
      </c>
    </row>
    <row r="131093">
      <c r="D131093" t="n">
        <v>5.134</v>
      </c>
    </row>
    <row r="131094">
      <c r="D131094" t="n">
        <v>4.091</v>
      </c>
    </row>
    <row r="131095">
      <c r="D131095" t="n">
        <v>3.351</v>
      </c>
    </row>
    <row r="131096">
      <c r="D131096" t="n">
        <v>3.45</v>
      </c>
    </row>
    <row r="131097">
      <c r="D131097" t="n">
        <v>5.161</v>
      </c>
    </row>
    <row r="131098">
      <c r="D131098" t="n">
        <v>6.062</v>
      </c>
    </row>
    <row r="131099">
      <c r="D131099" t="n">
        <v>5.38</v>
      </c>
    </row>
    <row r="131100">
      <c r="D131100" t="n">
        <v>-6.291</v>
      </c>
    </row>
    <row r="131101">
      <c r="D131101" t="n">
        <v>10.644</v>
      </c>
    </row>
    <row r="131102">
      <c r="D131102" t="n">
        <v>10.96</v>
      </c>
    </row>
    <row r="131103">
      <c r="D131103" t="n">
        <v>7.832</v>
      </c>
    </row>
    <row r="131104">
      <c r="D131104" t="n">
        <v>9.429</v>
      </c>
    </row>
    <row r="131105">
      <c r="D131105" t="n">
        <v>5.977</v>
      </c>
    </row>
    <row r="131106">
      <c r="D131106" t="n">
        <v>5</v>
      </c>
    </row>
    <row r="131107">
      <c r="D131107" t="n">
        <v>5</v>
      </c>
    </row>
    <row r="131108">
      <c r="D131108" t="n">
        <v>2024</v>
      </c>
    </row>
    <row r="147457">
      <c r="D147457" t="n">
        <v>915</v>
      </c>
    </row>
    <row r="147458">
      <c r="D147458" t="inlineStr">
        <is>
          <t>NGDP_RPCH</t>
        </is>
      </c>
    </row>
    <row r="147459">
      <c r="D147459" t="inlineStr">
        <is>
          <t>Georgia</t>
        </is>
      </c>
    </row>
    <row r="147460">
      <c r="D147460" t="inlineStr">
        <is>
          <t>Gross domestic product, constant prices</t>
        </is>
      </c>
    </row>
    <row r="147461">
      <c r="D147461" t="inlineStr">
        <is>
          <t>Percent change</t>
        </is>
      </c>
    </row>
    <row r="147462">
      <c r="D147462" t="inlineStr">
        <is>
          <t>Units</t>
        </is>
      </c>
    </row>
    <row r="147463">
      <c r="D147463" t="inlineStr">
        <is>
          <t>See notes for:  Gross domestic product, constant prices (National currency).</t>
        </is>
      </c>
    </row>
    <row r="147464">
      <c r="D147464" t="n">
        <v>1.865</v>
      </c>
    </row>
    <row r="147465">
      <c r="D147465" t="n">
        <v>4.769</v>
      </c>
    </row>
    <row r="147466">
      <c r="D147466" t="n">
        <v>5.487</v>
      </c>
    </row>
    <row r="147467">
      <c r="D147467" t="n">
        <v>11.228</v>
      </c>
    </row>
    <row r="147468">
      <c r="D147468" t="n">
        <v>5.796</v>
      </c>
    </row>
    <row r="147469">
      <c r="D147469" t="n">
        <v>9.587999999999999</v>
      </c>
    </row>
    <row r="147470">
      <c r="D147470" t="n">
        <v>9.42</v>
      </c>
    </row>
    <row r="147471">
      <c r="D147471" t="n">
        <v>12.579</v>
      </c>
    </row>
    <row r="147472">
      <c r="D147472" t="n">
        <v>2.419</v>
      </c>
    </row>
    <row r="147473">
      <c r="D147473" t="n">
        <v>-3.651</v>
      </c>
    </row>
    <row r="147474">
      <c r="D147474" t="n">
        <v>6.942</v>
      </c>
    </row>
    <row r="147475">
      <c r="D147475" t="n">
        <v>7.949</v>
      </c>
    </row>
    <row r="147476">
      <c r="D147476" t="n">
        <v>6.579</v>
      </c>
    </row>
    <row r="147477">
      <c r="D147477" t="n">
        <v>5.134</v>
      </c>
    </row>
    <row r="147478">
      <c r="D147478" t="n">
        <v>4.091</v>
      </c>
    </row>
    <row r="147479">
      <c r="D147479" t="n">
        <v>3.351</v>
      </c>
    </row>
    <row r="147480">
      <c r="D147480" t="n">
        <v>3.45</v>
      </c>
    </row>
    <row r="147481">
      <c r="D147481" t="n">
        <v>5.161</v>
      </c>
    </row>
    <row r="147482">
      <c r="D147482" t="n">
        <v>6.062</v>
      </c>
    </row>
    <row r="147483">
      <c r="D147483" t="n">
        <v>5.38</v>
      </c>
    </row>
    <row r="147484">
      <c r="D147484" t="n">
        <v>-6.291</v>
      </c>
    </row>
    <row r="147485">
      <c r="D147485" t="n">
        <v>10.644</v>
      </c>
    </row>
    <row r="147486">
      <c r="D147486" t="n">
        <v>10.96</v>
      </c>
    </row>
    <row r="147487">
      <c r="D147487" t="n">
        <v>7.832</v>
      </c>
    </row>
    <row r="147488">
      <c r="D147488" t="n">
        <v>9.429</v>
      </c>
    </row>
    <row r="147489">
      <c r="D147489" t="n">
        <v>5.977</v>
      </c>
    </row>
    <row r="147490">
      <c r="D147490" t="n">
        <v>5</v>
      </c>
    </row>
    <row r="147491">
      <c r="D147491" t="n">
        <v>5</v>
      </c>
    </row>
    <row r="147492">
      <c r="D147492" t="n">
        <v>2024</v>
      </c>
    </row>
    <row r="163841">
      <c r="D163841" t="n">
        <v>915</v>
      </c>
    </row>
    <row r="163842">
      <c r="D163842" t="inlineStr">
        <is>
          <t>NGDP_RPCH</t>
        </is>
      </c>
    </row>
    <row r="163843">
      <c r="D163843" t="inlineStr">
        <is>
          <t>Georgia</t>
        </is>
      </c>
    </row>
    <row r="163844">
      <c r="D163844" t="inlineStr">
        <is>
          <t>Gross domestic product, constant prices</t>
        </is>
      </c>
    </row>
    <row r="163845">
      <c r="D163845" t="inlineStr">
        <is>
          <t>Percent change</t>
        </is>
      </c>
    </row>
    <row r="163846">
      <c r="D163846" t="inlineStr">
        <is>
          <t>Units</t>
        </is>
      </c>
    </row>
    <row r="163847">
      <c r="D163847" t="inlineStr">
        <is>
          <t>See notes for:  Gross domestic product, constant prices (National currency).</t>
        </is>
      </c>
    </row>
    <row r="163848">
      <c r="D163848" t="n">
        <v>1.865</v>
      </c>
    </row>
    <row r="163849">
      <c r="D163849" t="n">
        <v>4.769</v>
      </c>
    </row>
    <row r="163850">
      <c r="D163850" t="n">
        <v>5.487</v>
      </c>
    </row>
    <row r="163851">
      <c r="D163851" t="n">
        <v>11.228</v>
      </c>
    </row>
    <row r="163852">
      <c r="D163852" t="n">
        <v>5.796</v>
      </c>
    </row>
    <row r="163853">
      <c r="D163853" t="n">
        <v>9.587999999999999</v>
      </c>
    </row>
    <row r="163854">
      <c r="D163854" t="n">
        <v>9.42</v>
      </c>
    </row>
    <row r="163855">
      <c r="D163855" t="n">
        <v>12.579</v>
      </c>
    </row>
    <row r="163856">
      <c r="D163856" t="n">
        <v>2.419</v>
      </c>
    </row>
    <row r="163857">
      <c r="D163857" t="n">
        <v>-3.651</v>
      </c>
    </row>
    <row r="163858">
      <c r="D163858" t="n">
        <v>6.942</v>
      </c>
    </row>
    <row r="163859">
      <c r="D163859" t="n">
        <v>7.949</v>
      </c>
    </row>
    <row r="163860">
      <c r="D163860" t="n">
        <v>6.579</v>
      </c>
    </row>
    <row r="163861">
      <c r="D163861" t="n">
        <v>5.134</v>
      </c>
    </row>
    <row r="163862">
      <c r="D163862" t="n">
        <v>4.091</v>
      </c>
    </row>
    <row r="163863">
      <c r="D163863" t="n">
        <v>3.351</v>
      </c>
    </row>
    <row r="163864">
      <c r="D163864" t="n">
        <v>3.45</v>
      </c>
    </row>
    <row r="163865">
      <c r="D163865" t="n">
        <v>5.161</v>
      </c>
    </row>
    <row r="163866">
      <c r="D163866" t="n">
        <v>6.062</v>
      </c>
    </row>
    <row r="163867">
      <c r="D163867" t="n">
        <v>5.38</v>
      </c>
    </row>
    <row r="163868">
      <c r="D163868" t="n">
        <v>-6.291</v>
      </c>
    </row>
    <row r="163869">
      <c r="D163869" t="n">
        <v>10.644</v>
      </c>
    </row>
    <row r="163870">
      <c r="D163870" t="n">
        <v>10.96</v>
      </c>
    </row>
    <row r="163871">
      <c r="D163871" t="n">
        <v>7.832</v>
      </c>
    </row>
    <row r="163872">
      <c r="D163872" t="n">
        <v>9.429</v>
      </c>
    </row>
    <row r="163873">
      <c r="D163873" t="n">
        <v>5.977</v>
      </c>
    </row>
    <row r="163874">
      <c r="D163874" t="n">
        <v>5</v>
      </c>
    </row>
    <row r="163875">
      <c r="D163875" t="n">
        <v>5</v>
      </c>
    </row>
    <row r="163876">
      <c r="D163876" t="n">
        <v>2024</v>
      </c>
    </row>
    <row r="180225">
      <c r="D180225" t="n">
        <v>915</v>
      </c>
    </row>
    <row r="180226">
      <c r="D180226" t="inlineStr">
        <is>
          <t>NGDP_RPCH</t>
        </is>
      </c>
    </row>
    <row r="180227">
      <c r="D180227" t="inlineStr">
        <is>
          <t>Georgia</t>
        </is>
      </c>
    </row>
    <row r="180228">
      <c r="D180228" t="inlineStr">
        <is>
          <t>Gross domestic product, constant prices</t>
        </is>
      </c>
    </row>
    <row r="180229">
      <c r="D180229" t="inlineStr">
        <is>
          <t>Percent change</t>
        </is>
      </c>
    </row>
    <row r="180230">
      <c r="D180230" t="inlineStr">
        <is>
          <t>Units</t>
        </is>
      </c>
    </row>
    <row r="180231">
      <c r="D180231" t="inlineStr">
        <is>
          <t>See notes for:  Gross domestic product, constant prices (National currency).</t>
        </is>
      </c>
    </row>
    <row r="180232">
      <c r="D180232" t="n">
        <v>1.865</v>
      </c>
    </row>
    <row r="180233">
      <c r="D180233" t="n">
        <v>4.769</v>
      </c>
    </row>
    <row r="180234">
      <c r="D180234" t="n">
        <v>5.487</v>
      </c>
    </row>
    <row r="180235">
      <c r="D180235" t="n">
        <v>11.228</v>
      </c>
    </row>
    <row r="180236">
      <c r="D180236" t="n">
        <v>5.796</v>
      </c>
    </row>
    <row r="180237">
      <c r="D180237" t="n">
        <v>9.587999999999999</v>
      </c>
    </row>
    <row r="180238">
      <c r="D180238" t="n">
        <v>9.42</v>
      </c>
    </row>
    <row r="180239">
      <c r="D180239" t="n">
        <v>12.579</v>
      </c>
    </row>
    <row r="180240">
      <c r="D180240" t="n">
        <v>2.419</v>
      </c>
    </row>
    <row r="180241">
      <c r="D180241" t="n">
        <v>-3.651</v>
      </c>
    </row>
    <row r="180242">
      <c r="D180242" t="n">
        <v>6.942</v>
      </c>
    </row>
    <row r="180243">
      <c r="D180243" t="n">
        <v>7.949</v>
      </c>
    </row>
    <row r="180244">
      <c r="D180244" t="n">
        <v>6.579</v>
      </c>
    </row>
    <row r="180245">
      <c r="D180245" t="n">
        <v>5.134</v>
      </c>
    </row>
    <row r="180246">
      <c r="D180246" t="n">
        <v>4.091</v>
      </c>
    </row>
    <row r="180247">
      <c r="D180247" t="n">
        <v>3.351</v>
      </c>
    </row>
    <row r="180248">
      <c r="D180248" t="n">
        <v>3.45</v>
      </c>
    </row>
    <row r="180249">
      <c r="D180249" t="n">
        <v>5.161</v>
      </c>
    </row>
    <row r="180250">
      <c r="D180250" t="n">
        <v>6.062</v>
      </c>
    </row>
    <row r="180251">
      <c r="D180251" t="n">
        <v>5.38</v>
      </c>
    </row>
    <row r="180252">
      <c r="D180252" t="n">
        <v>-6.291</v>
      </c>
    </row>
    <row r="180253">
      <c r="D180253" t="n">
        <v>10.644</v>
      </c>
    </row>
    <row r="180254">
      <c r="D180254" t="n">
        <v>10.96</v>
      </c>
    </row>
    <row r="180255">
      <c r="D180255" t="n">
        <v>7.832</v>
      </c>
    </row>
    <row r="180256">
      <c r="D180256" t="n">
        <v>9.429</v>
      </c>
    </row>
    <row r="180257">
      <c r="D180257" t="n">
        <v>5.977</v>
      </c>
    </row>
    <row r="180258">
      <c r="D180258" t="n">
        <v>5</v>
      </c>
    </row>
    <row r="180259">
      <c r="D180259" t="n">
        <v>5</v>
      </c>
    </row>
    <row r="180260">
      <c r="D180260" t="n">
        <v>2024</v>
      </c>
    </row>
    <row r="196609">
      <c r="D196609" t="n">
        <v>915</v>
      </c>
    </row>
    <row r="196610">
      <c r="D196610" t="inlineStr">
        <is>
          <t>NGDP_RPCH</t>
        </is>
      </c>
    </row>
    <row r="196611">
      <c r="D196611" t="inlineStr">
        <is>
          <t>Georgia</t>
        </is>
      </c>
    </row>
    <row r="196612">
      <c r="D196612" t="inlineStr">
        <is>
          <t>Gross domestic product, constant prices</t>
        </is>
      </c>
    </row>
    <row r="196613">
      <c r="D196613" t="inlineStr">
        <is>
          <t>Percent change</t>
        </is>
      </c>
    </row>
    <row r="196614">
      <c r="D196614" t="inlineStr">
        <is>
          <t>Units</t>
        </is>
      </c>
    </row>
    <row r="196615">
      <c r="D196615" t="inlineStr">
        <is>
          <t>See notes for:  Gross domestic product, constant prices (National currency).</t>
        </is>
      </c>
    </row>
    <row r="196616">
      <c r="D196616" t="n">
        <v>1.865</v>
      </c>
    </row>
    <row r="196617">
      <c r="D196617" t="n">
        <v>4.769</v>
      </c>
    </row>
    <row r="196618">
      <c r="D196618" t="n">
        <v>5.487</v>
      </c>
    </row>
    <row r="196619">
      <c r="D196619" t="n">
        <v>11.228</v>
      </c>
    </row>
    <row r="196620">
      <c r="D196620" t="n">
        <v>5.796</v>
      </c>
    </row>
    <row r="196621">
      <c r="D196621" t="n">
        <v>9.587999999999999</v>
      </c>
    </row>
    <row r="196622">
      <c r="D196622" t="n">
        <v>9.42</v>
      </c>
    </row>
    <row r="196623">
      <c r="D196623" t="n">
        <v>12.579</v>
      </c>
    </row>
    <row r="196624">
      <c r="D196624" t="n">
        <v>2.419</v>
      </c>
    </row>
    <row r="196625">
      <c r="D196625" t="n">
        <v>-3.651</v>
      </c>
    </row>
    <row r="196626">
      <c r="D196626" t="n">
        <v>6.942</v>
      </c>
    </row>
    <row r="196627">
      <c r="D196627" t="n">
        <v>7.949</v>
      </c>
    </row>
    <row r="196628">
      <c r="D196628" t="n">
        <v>6.579</v>
      </c>
    </row>
    <row r="196629">
      <c r="D196629" t="n">
        <v>5.134</v>
      </c>
    </row>
    <row r="196630">
      <c r="D196630" t="n">
        <v>4.091</v>
      </c>
    </row>
    <row r="196631">
      <c r="D196631" t="n">
        <v>3.351</v>
      </c>
    </row>
    <row r="196632">
      <c r="D196632" t="n">
        <v>3.45</v>
      </c>
    </row>
    <row r="196633">
      <c r="D196633" t="n">
        <v>5.161</v>
      </c>
    </row>
    <row r="196634">
      <c r="D196634" t="n">
        <v>6.062</v>
      </c>
    </row>
    <row r="196635">
      <c r="D196635" t="n">
        <v>5.38</v>
      </c>
    </row>
    <row r="196636">
      <c r="D196636" t="n">
        <v>-6.291</v>
      </c>
    </row>
    <row r="196637">
      <c r="D196637" t="n">
        <v>10.644</v>
      </c>
    </row>
    <row r="196638">
      <c r="D196638" t="n">
        <v>10.96</v>
      </c>
    </row>
    <row r="196639">
      <c r="D196639" t="n">
        <v>7.832</v>
      </c>
    </row>
    <row r="196640">
      <c r="D196640" t="n">
        <v>9.429</v>
      </c>
    </row>
    <row r="196641">
      <c r="D196641" t="n">
        <v>5.977</v>
      </c>
    </row>
    <row r="196642">
      <c r="D196642" t="n">
        <v>5</v>
      </c>
    </row>
    <row r="196643">
      <c r="D196643" t="n">
        <v>5</v>
      </c>
    </row>
    <row r="196644">
      <c r="D196644" t="n">
        <v>2024</v>
      </c>
    </row>
    <row r="212993">
      <c r="D212993" t="n">
        <v>915</v>
      </c>
    </row>
    <row r="212994">
      <c r="D212994" t="inlineStr">
        <is>
          <t>NGDP_RPCH</t>
        </is>
      </c>
    </row>
    <row r="212995">
      <c r="D212995" t="inlineStr">
        <is>
          <t>Georgia</t>
        </is>
      </c>
    </row>
    <row r="212996">
      <c r="D212996" t="inlineStr">
        <is>
          <t>Gross domestic product, constant prices</t>
        </is>
      </c>
    </row>
    <row r="212997">
      <c r="D212997" t="inlineStr">
        <is>
          <t>Percent change</t>
        </is>
      </c>
    </row>
    <row r="212998">
      <c r="D212998" t="inlineStr">
        <is>
          <t>Units</t>
        </is>
      </c>
    </row>
    <row r="212999">
      <c r="D212999" t="inlineStr">
        <is>
          <t>See notes for:  Gross domestic product, constant prices (National currency).</t>
        </is>
      </c>
    </row>
    <row r="213000">
      <c r="D213000" t="n">
        <v>1.865</v>
      </c>
    </row>
    <row r="213001">
      <c r="D213001" t="n">
        <v>4.769</v>
      </c>
    </row>
    <row r="213002">
      <c r="D213002" t="n">
        <v>5.487</v>
      </c>
    </row>
    <row r="213003">
      <c r="D213003" t="n">
        <v>11.228</v>
      </c>
    </row>
    <row r="213004">
      <c r="D213004" t="n">
        <v>5.796</v>
      </c>
    </row>
    <row r="213005">
      <c r="D213005" t="n">
        <v>9.587999999999999</v>
      </c>
    </row>
    <row r="213006">
      <c r="D213006" t="n">
        <v>9.42</v>
      </c>
    </row>
    <row r="213007">
      <c r="D213007" t="n">
        <v>12.579</v>
      </c>
    </row>
    <row r="213008">
      <c r="D213008" t="n">
        <v>2.419</v>
      </c>
    </row>
    <row r="213009">
      <c r="D213009" t="n">
        <v>-3.651</v>
      </c>
    </row>
    <row r="213010">
      <c r="D213010" t="n">
        <v>6.942</v>
      </c>
    </row>
    <row r="213011">
      <c r="D213011" t="n">
        <v>7.949</v>
      </c>
    </row>
    <row r="213012">
      <c r="D213012" t="n">
        <v>6.579</v>
      </c>
    </row>
    <row r="213013">
      <c r="D213013" t="n">
        <v>5.134</v>
      </c>
    </row>
    <row r="213014">
      <c r="D213014" t="n">
        <v>4.091</v>
      </c>
    </row>
    <row r="213015">
      <c r="D213015" t="n">
        <v>3.351</v>
      </c>
    </row>
    <row r="213016">
      <c r="D213016" t="n">
        <v>3.45</v>
      </c>
    </row>
    <row r="213017">
      <c r="D213017" t="n">
        <v>5.161</v>
      </c>
    </row>
    <row r="213018">
      <c r="D213018" t="n">
        <v>6.062</v>
      </c>
    </row>
    <row r="213019">
      <c r="D213019" t="n">
        <v>5.38</v>
      </c>
    </row>
    <row r="213020">
      <c r="D213020" t="n">
        <v>-6.291</v>
      </c>
    </row>
    <row r="213021">
      <c r="D213021" t="n">
        <v>10.644</v>
      </c>
    </row>
    <row r="213022">
      <c r="D213022" t="n">
        <v>10.96</v>
      </c>
    </row>
    <row r="213023">
      <c r="D213023" t="n">
        <v>7.832</v>
      </c>
    </row>
    <row r="213024">
      <c r="D213024" t="n">
        <v>9.429</v>
      </c>
    </row>
    <row r="213025">
      <c r="D213025" t="n">
        <v>5.977</v>
      </c>
    </row>
    <row r="213026">
      <c r="D213026" t="n">
        <v>5</v>
      </c>
    </row>
    <row r="213027">
      <c r="D213027" t="n">
        <v>5</v>
      </c>
    </row>
    <row r="213028">
      <c r="D213028" t="n">
        <v>2024</v>
      </c>
    </row>
    <row r="229377">
      <c r="D229377" t="n">
        <v>915</v>
      </c>
    </row>
    <row r="229378">
      <c r="D229378" t="inlineStr">
        <is>
          <t>NGDP_RPCH</t>
        </is>
      </c>
    </row>
    <row r="229379">
      <c r="D229379" t="inlineStr">
        <is>
          <t>Georgia</t>
        </is>
      </c>
    </row>
    <row r="229380">
      <c r="D229380" t="inlineStr">
        <is>
          <t>Gross domestic product, constant prices</t>
        </is>
      </c>
    </row>
    <row r="229381">
      <c r="D229381" t="inlineStr">
        <is>
          <t>Percent change</t>
        </is>
      </c>
    </row>
    <row r="229382">
      <c r="D229382" t="inlineStr">
        <is>
          <t>Units</t>
        </is>
      </c>
    </row>
    <row r="229383">
      <c r="D229383" t="inlineStr">
        <is>
          <t>See notes for:  Gross domestic product, constant prices (National currency).</t>
        </is>
      </c>
    </row>
    <row r="229384">
      <c r="D229384" t="n">
        <v>1.865</v>
      </c>
    </row>
    <row r="229385">
      <c r="D229385" t="n">
        <v>4.769</v>
      </c>
    </row>
    <row r="229386">
      <c r="D229386" t="n">
        <v>5.487</v>
      </c>
    </row>
    <row r="229387">
      <c r="D229387" t="n">
        <v>11.228</v>
      </c>
    </row>
    <row r="229388">
      <c r="D229388" t="n">
        <v>5.796</v>
      </c>
    </row>
    <row r="229389">
      <c r="D229389" t="n">
        <v>9.587999999999999</v>
      </c>
    </row>
    <row r="229390">
      <c r="D229390" t="n">
        <v>9.42</v>
      </c>
    </row>
    <row r="229391">
      <c r="D229391" t="n">
        <v>12.579</v>
      </c>
    </row>
    <row r="229392">
      <c r="D229392" t="n">
        <v>2.419</v>
      </c>
    </row>
    <row r="229393">
      <c r="D229393" t="n">
        <v>-3.651</v>
      </c>
    </row>
    <row r="229394">
      <c r="D229394" t="n">
        <v>6.942</v>
      </c>
    </row>
    <row r="229395">
      <c r="D229395" t="n">
        <v>7.949</v>
      </c>
    </row>
    <row r="229396">
      <c r="D229396" t="n">
        <v>6.579</v>
      </c>
    </row>
    <row r="229397">
      <c r="D229397" t="n">
        <v>5.134</v>
      </c>
    </row>
    <row r="229398">
      <c r="D229398" t="n">
        <v>4.091</v>
      </c>
    </row>
    <row r="229399">
      <c r="D229399" t="n">
        <v>3.351</v>
      </c>
    </row>
    <row r="229400">
      <c r="D229400" t="n">
        <v>3.45</v>
      </c>
    </row>
    <row r="229401">
      <c r="D229401" t="n">
        <v>5.161</v>
      </c>
    </row>
    <row r="229402">
      <c r="D229402" t="n">
        <v>6.062</v>
      </c>
    </row>
    <row r="229403">
      <c r="D229403" t="n">
        <v>5.38</v>
      </c>
    </row>
    <row r="229404">
      <c r="D229404" t="n">
        <v>-6.291</v>
      </c>
    </row>
    <row r="229405">
      <c r="D229405" t="n">
        <v>10.644</v>
      </c>
    </row>
    <row r="229406">
      <c r="D229406" t="n">
        <v>10.96</v>
      </c>
    </row>
    <row r="229407">
      <c r="D229407" t="n">
        <v>7.832</v>
      </c>
    </row>
    <row r="229408">
      <c r="D229408" t="n">
        <v>9.429</v>
      </c>
    </row>
    <row r="229409">
      <c r="D229409" t="n">
        <v>5.977</v>
      </c>
    </row>
    <row r="229410">
      <c r="D229410" t="n">
        <v>5</v>
      </c>
    </row>
    <row r="229411">
      <c r="D229411" t="n">
        <v>5</v>
      </c>
    </row>
    <row r="229412">
      <c r="D229412" t="n">
        <v>2024</v>
      </c>
    </row>
    <row r="245761">
      <c r="D245761" t="n">
        <v>915</v>
      </c>
    </row>
    <row r="245762">
      <c r="D245762" t="inlineStr">
        <is>
          <t>NGDP_RPCH</t>
        </is>
      </c>
    </row>
    <row r="245763">
      <c r="D245763" t="inlineStr">
        <is>
          <t>Georgia</t>
        </is>
      </c>
    </row>
    <row r="245764">
      <c r="D245764" t="inlineStr">
        <is>
          <t>Gross domestic product, constant prices</t>
        </is>
      </c>
    </row>
    <row r="245765">
      <c r="D245765" t="inlineStr">
        <is>
          <t>Percent change</t>
        </is>
      </c>
    </row>
    <row r="245766">
      <c r="D245766" t="inlineStr">
        <is>
          <t>Units</t>
        </is>
      </c>
    </row>
    <row r="245767">
      <c r="D245767" t="inlineStr">
        <is>
          <t>See notes for:  Gross domestic product, constant prices (National currency).</t>
        </is>
      </c>
    </row>
    <row r="245768">
      <c r="D245768" t="n">
        <v>1.865</v>
      </c>
    </row>
    <row r="245769">
      <c r="D245769" t="n">
        <v>4.769</v>
      </c>
    </row>
    <row r="245770">
      <c r="D245770" t="n">
        <v>5.487</v>
      </c>
    </row>
    <row r="245771">
      <c r="D245771" t="n">
        <v>11.228</v>
      </c>
    </row>
    <row r="245772">
      <c r="D245772" t="n">
        <v>5.796</v>
      </c>
    </row>
    <row r="245773">
      <c r="D245773" t="n">
        <v>9.587999999999999</v>
      </c>
    </row>
    <row r="245774">
      <c r="D245774" t="n">
        <v>9.42</v>
      </c>
    </row>
    <row r="245775">
      <c r="D245775" t="n">
        <v>12.579</v>
      </c>
    </row>
    <row r="245776">
      <c r="D245776" t="n">
        <v>2.419</v>
      </c>
    </row>
    <row r="245777">
      <c r="D245777" t="n">
        <v>-3.651</v>
      </c>
    </row>
    <row r="245778">
      <c r="D245778" t="n">
        <v>6.942</v>
      </c>
    </row>
    <row r="245779">
      <c r="D245779" t="n">
        <v>7.949</v>
      </c>
    </row>
    <row r="245780">
      <c r="D245780" t="n">
        <v>6.579</v>
      </c>
    </row>
    <row r="245781">
      <c r="D245781" t="n">
        <v>5.134</v>
      </c>
    </row>
    <row r="245782">
      <c r="D245782" t="n">
        <v>4.091</v>
      </c>
    </row>
    <row r="245783">
      <c r="D245783" t="n">
        <v>3.351</v>
      </c>
    </row>
    <row r="245784">
      <c r="D245784" t="n">
        <v>3.45</v>
      </c>
    </row>
    <row r="245785">
      <c r="D245785" t="n">
        <v>5.161</v>
      </c>
    </row>
    <row r="245786">
      <c r="D245786" t="n">
        <v>6.062</v>
      </c>
    </row>
    <row r="245787">
      <c r="D245787" t="n">
        <v>5.38</v>
      </c>
    </row>
    <row r="245788">
      <c r="D245788" t="n">
        <v>-6.291</v>
      </c>
    </row>
    <row r="245789">
      <c r="D245789" t="n">
        <v>10.644</v>
      </c>
    </row>
    <row r="245790">
      <c r="D245790" t="n">
        <v>10.96</v>
      </c>
    </row>
    <row r="245791">
      <c r="D245791" t="n">
        <v>7.832</v>
      </c>
    </row>
    <row r="245792">
      <c r="D245792" t="n">
        <v>9.429</v>
      </c>
    </row>
    <row r="245793">
      <c r="D245793" t="n">
        <v>5.977</v>
      </c>
    </row>
    <row r="245794">
      <c r="D245794" t="n">
        <v>5</v>
      </c>
    </row>
    <row r="245795">
      <c r="D245795" t="n">
        <v>5</v>
      </c>
    </row>
    <row r="245796">
      <c r="D245796" t="n">
        <v>2024</v>
      </c>
    </row>
    <row r="262145">
      <c r="D262145" t="n">
        <v>915</v>
      </c>
    </row>
    <row r="262146">
      <c r="D262146" t="inlineStr">
        <is>
          <t>NGDP_RPCH</t>
        </is>
      </c>
    </row>
    <row r="262147">
      <c r="D262147" t="inlineStr">
        <is>
          <t>Georgia</t>
        </is>
      </c>
    </row>
    <row r="262148">
      <c r="D262148" t="inlineStr">
        <is>
          <t>Gross domestic product, constant prices</t>
        </is>
      </c>
    </row>
    <row r="262149">
      <c r="D262149" t="inlineStr">
        <is>
          <t>Percent change</t>
        </is>
      </c>
    </row>
    <row r="262150">
      <c r="D262150" t="inlineStr">
        <is>
          <t>Units</t>
        </is>
      </c>
    </row>
    <row r="262151">
      <c r="D262151" t="inlineStr">
        <is>
          <t>See notes for:  Gross domestic product, constant prices (National currency).</t>
        </is>
      </c>
    </row>
    <row r="262152">
      <c r="D262152" t="n">
        <v>1.865</v>
      </c>
    </row>
    <row r="262153">
      <c r="D262153" t="n">
        <v>4.769</v>
      </c>
    </row>
    <row r="262154">
      <c r="D262154" t="n">
        <v>5.487</v>
      </c>
    </row>
    <row r="262155">
      <c r="D262155" t="n">
        <v>11.228</v>
      </c>
    </row>
    <row r="262156">
      <c r="D262156" t="n">
        <v>5.796</v>
      </c>
    </row>
    <row r="262157">
      <c r="D262157" t="n">
        <v>9.587999999999999</v>
      </c>
    </row>
    <row r="262158">
      <c r="D262158" t="n">
        <v>9.42</v>
      </c>
    </row>
    <row r="262159">
      <c r="D262159" t="n">
        <v>12.579</v>
      </c>
    </row>
    <row r="262160">
      <c r="D262160" t="n">
        <v>2.419</v>
      </c>
    </row>
    <row r="262161">
      <c r="D262161" t="n">
        <v>-3.651</v>
      </c>
    </row>
    <row r="262162">
      <c r="D262162" t="n">
        <v>6.942</v>
      </c>
    </row>
    <row r="262163">
      <c r="D262163" t="n">
        <v>7.949</v>
      </c>
    </row>
    <row r="262164">
      <c r="D262164" t="n">
        <v>6.579</v>
      </c>
    </row>
    <row r="262165">
      <c r="D262165" t="n">
        <v>5.134</v>
      </c>
    </row>
    <row r="262166">
      <c r="D262166" t="n">
        <v>4.091</v>
      </c>
    </row>
    <row r="262167">
      <c r="D262167" t="n">
        <v>3.351</v>
      </c>
    </row>
    <row r="262168">
      <c r="D262168" t="n">
        <v>3.45</v>
      </c>
    </row>
    <row r="262169">
      <c r="D262169" t="n">
        <v>5.161</v>
      </c>
    </row>
    <row r="262170">
      <c r="D262170" t="n">
        <v>6.062</v>
      </c>
    </row>
    <row r="262171">
      <c r="D262171" t="n">
        <v>5.38</v>
      </c>
    </row>
    <row r="262172">
      <c r="D262172" t="n">
        <v>-6.291</v>
      </c>
    </row>
    <row r="262173">
      <c r="D262173" t="n">
        <v>10.644</v>
      </c>
    </row>
    <row r="262174">
      <c r="D262174" t="n">
        <v>10.96</v>
      </c>
    </row>
    <row r="262175">
      <c r="D262175" t="n">
        <v>7.832</v>
      </c>
    </row>
    <row r="262176">
      <c r="D262176" t="n">
        <v>9.429</v>
      </c>
    </row>
    <row r="262177">
      <c r="D262177" t="n">
        <v>5.977</v>
      </c>
    </row>
    <row r="262178">
      <c r="D262178" t="n">
        <v>5</v>
      </c>
    </row>
    <row r="262179">
      <c r="D262179" t="n">
        <v>5</v>
      </c>
    </row>
    <row r="262180">
      <c r="D262180" t="n">
        <v>2024</v>
      </c>
    </row>
    <row r="278529">
      <c r="D278529" t="n">
        <v>915</v>
      </c>
    </row>
    <row r="278530">
      <c r="D278530" t="inlineStr">
        <is>
          <t>NGDP_RPCH</t>
        </is>
      </c>
    </row>
    <row r="278531">
      <c r="D278531" t="inlineStr">
        <is>
          <t>Georgia</t>
        </is>
      </c>
    </row>
    <row r="278532">
      <c r="D278532" t="inlineStr">
        <is>
          <t>Gross domestic product, constant prices</t>
        </is>
      </c>
    </row>
    <row r="278533">
      <c r="D278533" t="inlineStr">
        <is>
          <t>Percent change</t>
        </is>
      </c>
    </row>
    <row r="278534">
      <c r="D278534" t="inlineStr">
        <is>
          <t>Units</t>
        </is>
      </c>
    </row>
    <row r="278535">
      <c r="D278535" t="inlineStr">
        <is>
          <t>See notes for:  Gross domestic product, constant prices (National currency).</t>
        </is>
      </c>
    </row>
    <row r="278536">
      <c r="D278536" t="n">
        <v>1.865</v>
      </c>
    </row>
    <row r="278537">
      <c r="D278537" t="n">
        <v>4.769</v>
      </c>
    </row>
    <row r="278538">
      <c r="D278538" t="n">
        <v>5.487</v>
      </c>
    </row>
    <row r="278539">
      <c r="D278539" t="n">
        <v>11.228</v>
      </c>
    </row>
    <row r="278540">
      <c r="D278540" t="n">
        <v>5.796</v>
      </c>
    </row>
    <row r="278541">
      <c r="D278541" t="n">
        <v>9.587999999999999</v>
      </c>
    </row>
    <row r="278542">
      <c r="D278542" t="n">
        <v>9.42</v>
      </c>
    </row>
    <row r="278543">
      <c r="D278543" t="n">
        <v>12.579</v>
      </c>
    </row>
    <row r="278544">
      <c r="D278544" t="n">
        <v>2.419</v>
      </c>
    </row>
    <row r="278545">
      <c r="D278545" t="n">
        <v>-3.651</v>
      </c>
    </row>
    <row r="278546">
      <c r="D278546" t="n">
        <v>6.942</v>
      </c>
    </row>
    <row r="278547">
      <c r="D278547" t="n">
        <v>7.949</v>
      </c>
    </row>
    <row r="278548">
      <c r="D278548" t="n">
        <v>6.579</v>
      </c>
    </row>
    <row r="278549">
      <c r="D278549" t="n">
        <v>5.134</v>
      </c>
    </row>
    <row r="278550">
      <c r="D278550" t="n">
        <v>4.091</v>
      </c>
    </row>
    <row r="278551">
      <c r="D278551" t="n">
        <v>3.351</v>
      </c>
    </row>
    <row r="278552">
      <c r="D278552" t="n">
        <v>3.45</v>
      </c>
    </row>
    <row r="278553">
      <c r="D278553" t="n">
        <v>5.161</v>
      </c>
    </row>
    <row r="278554">
      <c r="D278554" t="n">
        <v>6.062</v>
      </c>
    </row>
    <row r="278555">
      <c r="D278555" t="n">
        <v>5.38</v>
      </c>
    </row>
    <row r="278556">
      <c r="D278556" t="n">
        <v>-6.291</v>
      </c>
    </row>
    <row r="278557">
      <c r="D278557" t="n">
        <v>10.644</v>
      </c>
    </row>
    <row r="278558">
      <c r="D278558" t="n">
        <v>10.96</v>
      </c>
    </row>
    <row r="278559">
      <c r="D278559" t="n">
        <v>7.832</v>
      </c>
    </row>
    <row r="278560">
      <c r="D278560" t="n">
        <v>9.429</v>
      </c>
    </row>
    <row r="278561">
      <c r="D278561" t="n">
        <v>5.977</v>
      </c>
    </row>
    <row r="278562">
      <c r="D278562" t="n">
        <v>5</v>
      </c>
    </row>
    <row r="278563">
      <c r="D278563" t="n">
        <v>5</v>
      </c>
    </row>
    <row r="278564">
      <c r="D278564" t="n">
        <v>2024</v>
      </c>
    </row>
    <row r="294913">
      <c r="D294913" t="n">
        <v>915</v>
      </c>
    </row>
    <row r="294914">
      <c r="D294914" t="inlineStr">
        <is>
          <t>NGDP_RPCH</t>
        </is>
      </c>
    </row>
    <row r="294915">
      <c r="D294915" t="inlineStr">
        <is>
          <t>Georgia</t>
        </is>
      </c>
    </row>
    <row r="294916">
      <c r="D294916" t="inlineStr">
        <is>
          <t>Gross domestic product, constant prices</t>
        </is>
      </c>
    </row>
    <row r="294917">
      <c r="D294917" t="inlineStr">
        <is>
          <t>Percent change</t>
        </is>
      </c>
    </row>
    <row r="294918">
      <c r="D294918" t="inlineStr">
        <is>
          <t>Units</t>
        </is>
      </c>
    </row>
    <row r="294919">
      <c r="D294919" t="inlineStr">
        <is>
          <t>See notes for:  Gross domestic product, constant prices (National currency).</t>
        </is>
      </c>
    </row>
    <row r="294920">
      <c r="D294920" t="n">
        <v>1.865</v>
      </c>
    </row>
    <row r="294921">
      <c r="D294921" t="n">
        <v>4.769</v>
      </c>
    </row>
    <row r="294922">
      <c r="D294922" t="n">
        <v>5.487</v>
      </c>
    </row>
    <row r="294923">
      <c r="D294923" t="n">
        <v>11.228</v>
      </c>
    </row>
    <row r="294924">
      <c r="D294924" t="n">
        <v>5.796</v>
      </c>
    </row>
    <row r="294925">
      <c r="D294925" t="n">
        <v>9.587999999999999</v>
      </c>
    </row>
    <row r="294926">
      <c r="D294926" t="n">
        <v>9.42</v>
      </c>
    </row>
    <row r="294927">
      <c r="D294927" t="n">
        <v>12.579</v>
      </c>
    </row>
    <row r="294928">
      <c r="D294928" t="n">
        <v>2.419</v>
      </c>
    </row>
    <row r="294929">
      <c r="D294929" t="n">
        <v>-3.651</v>
      </c>
    </row>
    <row r="294930">
      <c r="D294930" t="n">
        <v>6.942</v>
      </c>
    </row>
    <row r="294931">
      <c r="D294931" t="n">
        <v>7.949</v>
      </c>
    </row>
    <row r="294932">
      <c r="D294932" t="n">
        <v>6.579</v>
      </c>
    </row>
    <row r="294933">
      <c r="D294933" t="n">
        <v>5.134</v>
      </c>
    </row>
    <row r="294934">
      <c r="D294934" t="n">
        <v>4.091</v>
      </c>
    </row>
    <row r="294935">
      <c r="D294935" t="n">
        <v>3.351</v>
      </c>
    </row>
    <row r="294936">
      <c r="D294936" t="n">
        <v>3.45</v>
      </c>
    </row>
    <row r="294937">
      <c r="D294937" t="n">
        <v>5.161</v>
      </c>
    </row>
    <row r="294938">
      <c r="D294938" t="n">
        <v>6.062</v>
      </c>
    </row>
    <row r="294939">
      <c r="D294939" t="n">
        <v>5.38</v>
      </c>
    </row>
    <row r="294940">
      <c r="D294940" t="n">
        <v>-6.291</v>
      </c>
    </row>
    <row r="294941">
      <c r="D294941" t="n">
        <v>10.644</v>
      </c>
    </row>
    <row r="294942">
      <c r="D294942" t="n">
        <v>10.96</v>
      </c>
    </row>
    <row r="294943">
      <c r="D294943" t="n">
        <v>7.832</v>
      </c>
    </row>
    <row r="294944">
      <c r="D294944" t="n">
        <v>9.429</v>
      </c>
    </row>
    <row r="294945">
      <c r="D294945" t="n">
        <v>5.977</v>
      </c>
    </row>
    <row r="294946">
      <c r="D294946" t="n">
        <v>5</v>
      </c>
    </row>
    <row r="294947">
      <c r="D294947" t="n">
        <v>5</v>
      </c>
    </row>
    <row r="294948">
      <c r="D294948" t="n">
        <v>2024</v>
      </c>
    </row>
    <row r="311297">
      <c r="D311297" t="n">
        <v>915</v>
      </c>
    </row>
    <row r="311298">
      <c r="D311298" t="inlineStr">
        <is>
          <t>NGDP_RPCH</t>
        </is>
      </c>
    </row>
    <row r="311299">
      <c r="D311299" t="inlineStr">
        <is>
          <t>Georgia</t>
        </is>
      </c>
    </row>
    <row r="311300">
      <c r="D311300" t="inlineStr">
        <is>
          <t>Gross domestic product, constant prices</t>
        </is>
      </c>
    </row>
    <row r="311301">
      <c r="D311301" t="inlineStr">
        <is>
          <t>Percent change</t>
        </is>
      </c>
    </row>
    <row r="311302">
      <c r="D311302" t="inlineStr">
        <is>
          <t>Units</t>
        </is>
      </c>
    </row>
    <row r="311303">
      <c r="D311303" t="inlineStr">
        <is>
          <t>See notes for:  Gross domestic product, constant prices (National currency).</t>
        </is>
      </c>
    </row>
    <row r="311304">
      <c r="D311304" t="n">
        <v>1.865</v>
      </c>
    </row>
    <row r="311305">
      <c r="D311305" t="n">
        <v>4.769</v>
      </c>
    </row>
    <row r="311306">
      <c r="D311306" t="n">
        <v>5.487</v>
      </c>
    </row>
    <row r="311307">
      <c r="D311307" t="n">
        <v>11.228</v>
      </c>
    </row>
    <row r="311308">
      <c r="D311308" t="n">
        <v>5.796</v>
      </c>
    </row>
    <row r="311309">
      <c r="D311309" t="n">
        <v>9.587999999999999</v>
      </c>
    </row>
    <row r="311310">
      <c r="D311310" t="n">
        <v>9.42</v>
      </c>
    </row>
    <row r="311311">
      <c r="D311311" t="n">
        <v>12.579</v>
      </c>
    </row>
    <row r="311312">
      <c r="D311312" t="n">
        <v>2.419</v>
      </c>
    </row>
    <row r="311313">
      <c r="D311313" t="n">
        <v>-3.651</v>
      </c>
    </row>
    <row r="311314">
      <c r="D311314" t="n">
        <v>6.942</v>
      </c>
    </row>
    <row r="311315">
      <c r="D311315" t="n">
        <v>7.949</v>
      </c>
    </row>
    <row r="311316">
      <c r="D311316" t="n">
        <v>6.579</v>
      </c>
    </row>
    <row r="311317">
      <c r="D311317" t="n">
        <v>5.134</v>
      </c>
    </row>
    <row r="311318">
      <c r="D311318" t="n">
        <v>4.091</v>
      </c>
    </row>
    <row r="311319">
      <c r="D311319" t="n">
        <v>3.351</v>
      </c>
    </row>
    <row r="311320">
      <c r="D311320" t="n">
        <v>3.45</v>
      </c>
    </row>
    <row r="311321">
      <c r="D311321" t="n">
        <v>5.161</v>
      </c>
    </row>
    <row r="311322">
      <c r="D311322" t="n">
        <v>6.062</v>
      </c>
    </row>
    <row r="311323">
      <c r="D311323" t="n">
        <v>5.38</v>
      </c>
    </row>
    <row r="311324">
      <c r="D311324" t="n">
        <v>-6.291</v>
      </c>
    </row>
    <row r="311325">
      <c r="D311325" t="n">
        <v>10.644</v>
      </c>
    </row>
    <row r="311326">
      <c r="D311326" t="n">
        <v>10.96</v>
      </c>
    </row>
    <row r="311327">
      <c r="D311327" t="n">
        <v>7.832</v>
      </c>
    </row>
    <row r="311328">
      <c r="D311328" t="n">
        <v>9.429</v>
      </c>
    </row>
    <row r="311329">
      <c r="D311329" t="n">
        <v>5.977</v>
      </c>
    </row>
    <row r="311330">
      <c r="D311330" t="n">
        <v>5</v>
      </c>
    </row>
    <row r="311331">
      <c r="D311331" t="n">
        <v>5</v>
      </c>
    </row>
    <row r="311332">
      <c r="D311332" t="n">
        <v>2024</v>
      </c>
    </row>
    <row r="327681">
      <c r="D327681" t="n">
        <v>915</v>
      </c>
    </row>
    <row r="327682">
      <c r="D327682" t="inlineStr">
        <is>
          <t>NGDP_RPCH</t>
        </is>
      </c>
    </row>
    <row r="327683">
      <c r="D327683" t="inlineStr">
        <is>
          <t>Georgia</t>
        </is>
      </c>
    </row>
    <row r="327684">
      <c r="D327684" t="inlineStr">
        <is>
          <t>Gross domestic product, constant prices</t>
        </is>
      </c>
    </row>
    <row r="327685">
      <c r="D327685" t="inlineStr">
        <is>
          <t>Percent change</t>
        </is>
      </c>
    </row>
    <row r="327686">
      <c r="D327686" t="inlineStr">
        <is>
          <t>Units</t>
        </is>
      </c>
    </row>
    <row r="327687">
      <c r="D327687" t="inlineStr">
        <is>
          <t>See notes for:  Gross domestic product, constant prices (National currency).</t>
        </is>
      </c>
    </row>
    <row r="327688">
      <c r="D327688" t="n">
        <v>1.865</v>
      </c>
    </row>
    <row r="327689">
      <c r="D327689" t="n">
        <v>4.769</v>
      </c>
    </row>
    <row r="327690">
      <c r="D327690" t="n">
        <v>5.487</v>
      </c>
    </row>
    <row r="327691">
      <c r="D327691" t="n">
        <v>11.228</v>
      </c>
    </row>
    <row r="327692">
      <c r="D327692" t="n">
        <v>5.796</v>
      </c>
    </row>
    <row r="327693">
      <c r="D327693" t="n">
        <v>9.587999999999999</v>
      </c>
    </row>
    <row r="327694">
      <c r="D327694" t="n">
        <v>9.42</v>
      </c>
    </row>
    <row r="327695">
      <c r="D327695" t="n">
        <v>12.579</v>
      </c>
    </row>
    <row r="327696">
      <c r="D327696" t="n">
        <v>2.419</v>
      </c>
    </row>
    <row r="327697">
      <c r="D327697" t="n">
        <v>-3.651</v>
      </c>
    </row>
    <row r="327698">
      <c r="D327698" t="n">
        <v>6.942</v>
      </c>
    </row>
    <row r="327699">
      <c r="D327699" t="n">
        <v>7.949</v>
      </c>
    </row>
    <row r="327700">
      <c r="D327700" t="n">
        <v>6.579</v>
      </c>
    </row>
    <row r="327701">
      <c r="D327701" t="n">
        <v>5.134</v>
      </c>
    </row>
    <row r="327702">
      <c r="D327702" t="n">
        <v>4.091</v>
      </c>
    </row>
    <row r="327703">
      <c r="D327703" t="n">
        <v>3.351</v>
      </c>
    </row>
    <row r="327704">
      <c r="D327704" t="n">
        <v>3.45</v>
      </c>
    </row>
    <row r="327705">
      <c r="D327705" t="n">
        <v>5.161</v>
      </c>
    </row>
    <row r="327706">
      <c r="D327706" t="n">
        <v>6.062</v>
      </c>
    </row>
    <row r="327707">
      <c r="D327707" t="n">
        <v>5.38</v>
      </c>
    </row>
    <row r="327708">
      <c r="D327708" t="n">
        <v>-6.291</v>
      </c>
    </row>
    <row r="327709">
      <c r="D327709" t="n">
        <v>10.644</v>
      </c>
    </row>
    <row r="327710">
      <c r="D327710" t="n">
        <v>10.96</v>
      </c>
    </row>
    <row r="327711">
      <c r="D327711" t="n">
        <v>7.832</v>
      </c>
    </row>
    <row r="327712">
      <c r="D327712" t="n">
        <v>9.429</v>
      </c>
    </row>
    <row r="327713">
      <c r="D327713" t="n">
        <v>5.977</v>
      </c>
    </row>
    <row r="327714">
      <c r="D327714" t="n">
        <v>5</v>
      </c>
    </row>
    <row r="327715">
      <c r="D327715" t="n">
        <v>5</v>
      </c>
    </row>
    <row r="327716">
      <c r="D327716" t="n">
        <v>2024</v>
      </c>
    </row>
    <row r="344065">
      <c r="D344065" t="n">
        <v>915</v>
      </c>
    </row>
    <row r="344066">
      <c r="D344066" t="inlineStr">
        <is>
          <t>NGDP_RPCH</t>
        </is>
      </c>
    </row>
    <row r="344067">
      <c r="D344067" t="inlineStr">
        <is>
          <t>Georgia</t>
        </is>
      </c>
    </row>
    <row r="344068">
      <c r="D344068" t="inlineStr">
        <is>
          <t>Gross domestic product, constant prices</t>
        </is>
      </c>
    </row>
    <row r="344069">
      <c r="D344069" t="inlineStr">
        <is>
          <t>Percent change</t>
        </is>
      </c>
    </row>
    <row r="344070">
      <c r="D344070" t="inlineStr">
        <is>
          <t>Units</t>
        </is>
      </c>
    </row>
    <row r="344071">
      <c r="D344071" t="inlineStr">
        <is>
          <t>See notes for:  Gross domestic product, constant prices (National currency).</t>
        </is>
      </c>
    </row>
    <row r="344072">
      <c r="D344072" t="n">
        <v>1.865</v>
      </c>
    </row>
    <row r="344073">
      <c r="D344073" t="n">
        <v>4.769</v>
      </c>
    </row>
    <row r="344074">
      <c r="D344074" t="n">
        <v>5.487</v>
      </c>
    </row>
    <row r="344075">
      <c r="D344075" t="n">
        <v>11.228</v>
      </c>
    </row>
    <row r="344076">
      <c r="D344076" t="n">
        <v>5.796</v>
      </c>
    </row>
    <row r="344077">
      <c r="D344077" t="n">
        <v>9.587999999999999</v>
      </c>
    </row>
    <row r="344078">
      <c r="D344078" t="n">
        <v>9.42</v>
      </c>
    </row>
    <row r="344079">
      <c r="D344079" t="n">
        <v>12.579</v>
      </c>
    </row>
    <row r="344080">
      <c r="D344080" t="n">
        <v>2.419</v>
      </c>
    </row>
    <row r="344081">
      <c r="D344081" t="n">
        <v>-3.651</v>
      </c>
    </row>
    <row r="344082">
      <c r="D344082" t="n">
        <v>6.942</v>
      </c>
    </row>
    <row r="344083">
      <c r="D344083" t="n">
        <v>7.949</v>
      </c>
    </row>
    <row r="344084">
      <c r="D344084" t="n">
        <v>6.579</v>
      </c>
    </row>
    <row r="344085">
      <c r="D344085" t="n">
        <v>5.134</v>
      </c>
    </row>
    <row r="344086">
      <c r="D344086" t="n">
        <v>4.091</v>
      </c>
    </row>
    <row r="344087">
      <c r="D344087" t="n">
        <v>3.351</v>
      </c>
    </row>
    <row r="344088">
      <c r="D344088" t="n">
        <v>3.45</v>
      </c>
    </row>
    <row r="344089">
      <c r="D344089" t="n">
        <v>5.161</v>
      </c>
    </row>
    <row r="344090">
      <c r="D344090" t="n">
        <v>6.062</v>
      </c>
    </row>
    <row r="344091">
      <c r="D344091" t="n">
        <v>5.38</v>
      </c>
    </row>
    <row r="344092">
      <c r="D344092" t="n">
        <v>-6.291</v>
      </c>
    </row>
    <row r="344093">
      <c r="D344093" t="n">
        <v>10.644</v>
      </c>
    </row>
    <row r="344094">
      <c r="D344094" t="n">
        <v>10.96</v>
      </c>
    </row>
    <row r="344095">
      <c r="D344095" t="n">
        <v>7.832</v>
      </c>
    </row>
    <row r="344096">
      <c r="D344096" t="n">
        <v>9.429</v>
      </c>
    </row>
    <row r="344097">
      <c r="D344097" t="n">
        <v>5.977</v>
      </c>
    </row>
    <row r="344098">
      <c r="D344098" t="n">
        <v>5</v>
      </c>
    </row>
    <row r="344099">
      <c r="D344099" t="n">
        <v>5</v>
      </c>
    </row>
    <row r="344100">
      <c r="D344100" t="n">
        <v>2024</v>
      </c>
    </row>
    <row r="360449">
      <c r="D360449" t="n">
        <v>915</v>
      </c>
    </row>
    <row r="360450">
      <c r="D360450" t="inlineStr">
        <is>
          <t>NGDP_RPCH</t>
        </is>
      </c>
    </row>
    <row r="360451">
      <c r="D360451" t="inlineStr">
        <is>
          <t>Georgia</t>
        </is>
      </c>
    </row>
    <row r="360452">
      <c r="D360452" t="inlineStr">
        <is>
          <t>Gross domestic product, constant prices</t>
        </is>
      </c>
    </row>
    <row r="360453">
      <c r="D360453" t="inlineStr">
        <is>
          <t>Percent change</t>
        </is>
      </c>
    </row>
    <row r="360454">
      <c r="D360454" t="inlineStr">
        <is>
          <t>Units</t>
        </is>
      </c>
    </row>
    <row r="360455">
      <c r="D360455" t="inlineStr">
        <is>
          <t>See notes for:  Gross domestic product, constant prices (National currency).</t>
        </is>
      </c>
    </row>
    <row r="360456">
      <c r="D360456" t="n">
        <v>1.865</v>
      </c>
    </row>
    <row r="360457">
      <c r="D360457" t="n">
        <v>4.769</v>
      </c>
    </row>
    <row r="360458">
      <c r="D360458" t="n">
        <v>5.487</v>
      </c>
    </row>
    <row r="360459">
      <c r="D360459" t="n">
        <v>11.228</v>
      </c>
    </row>
    <row r="360460">
      <c r="D360460" t="n">
        <v>5.796</v>
      </c>
    </row>
    <row r="360461">
      <c r="D360461" t="n">
        <v>9.587999999999999</v>
      </c>
    </row>
    <row r="360462">
      <c r="D360462" t="n">
        <v>9.42</v>
      </c>
    </row>
    <row r="360463">
      <c r="D360463" t="n">
        <v>12.579</v>
      </c>
    </row>
    <row r="360464">
      <c r="D360464" t="n">
        <v>2.419</v>
      </c>
    </row>
    <row r="360465">
      <c r="D360465" t="n">
        <v>-3.651</v>
      </c>
    </row>
    <row r="360466">
      <c r="D360466" t="n">
        <v>6.942</v>
      </c>
    </row>
    <row r="360467">
      <c r="D360467" t="n">
        <v>7.949</v>
      </c>
    </row>
    <row r="360468">
      <c r="D360468" t="n">
        <v>6.579</v>
      </c>
    </row>
    <row r="360469">
      <c r="D360469" t="n">
        <v>5.134</v>
      </c>
    </row>
    <row r="360470">
      <c r="D360470" t="n">
        <v>4.091</v>
      </c>
    </row>
    <row r="360471">
      <c r="D360471" t="n">
        <v>3.351</v>
      </c>
    </row>
    <row r="360472">
      <c r="D360472" t="n">
        <v>3.45</v>
      </c>
    </row>
    <row r="360473">
      <c r="D360473" t="n">
        <v>5.161</v>
      </c>
    </row>
    <row r="360474">
      <c r="D360474" t="n">
        <v>6.062</v>
      </c>
    </row>
    <row r="360475">
      <c r="D360475" t="n">
        <v>5.38</v>
      </c>
    </row>
    <row r="360476">
      <c r="D360476" t="n">
        <v>-6.291</v>
      </c>
    </row>
    <row r="360477">
      <c r="D360477" t="n">
        <v>10.644</v>
      </c>
    </row>
    <row r="360478">
      <c r="D360478" t="n">
        <v>10.96</v>
      </c>
    </row>
    <row r="360479">
      <c r="D360479" t="n">
        <v>7.832</v>
      </c>
    </row>
    <row r="360480">
      <c r="D360480" t="n">
        <v>9.429</v>
      </c>
    </row>
    <row r="360481">
      <c r="D360481" t="n">
        <v>5.977</v>
      </c>
    </row>
    <row r="360482">
      <c r="D360482" t="n">
        <v>5</v>
      </c>
    </row>
    <row r="360483">
      <c r="D360483" t="n">
        <v>5</v>
      </c>
    </row>
    <row r="360484">
      <c r="D360484" t="n">
        <v>2024</v>
      </c>
    </row>
    <row r="376833">
      <c r="D376833" t="n">
        <v>915</v>
      </c>
    </row>
    <row r="376834">
      <c r="D376834" t="inlineStr">
        <is>
          <t>NGDP_RPCH</t>
        </is>
      </c>
    </row>
    <row r="376835">
      <c r="D376835" t="inlineStr">
        <is>
          <t>Georgia</t>
        </is>
      </c>
    </row>
    <row r="376836">
      <c r="D376836" t="inlineStr">
        <is>
          <t>Gross domestic product, constant prices</t>
        </is>
      </c>
    </row>
    <row r="376837">
      <c r="D376837" t="inlineStr">
        <is>
          <t>Percent change</t>
        </is>
      </c>
    </row>
    <row r="376838">
      <c r="D376838" t="inlineStr">
        <is>
          <t>Units</t>
        </is>
      </c>
    </row>
    <row r="376839">
      <c r="D376839" t="inlineStr">
        <is>
          <t>See notes for:  Gross domestic product, constant prices (National currency).</t>
        </is>
      </c>
    </row>
    <row r="376840">
      <c r="D376840" t="n">
        <v>1.865</v>
      </c>
    </row>
    <row r="376841">
      <c r="D376841" t="n">
        <v>4.769</v>
      </c>
    </row>
    <row r="376842">
      <c r="D376842" t="n">
        <v>5.487</v>
      </c>
    </row>
    <row r="376843">
      <c r="D376843" t="n">
        <v>11.228</v>
      </c>
    </row>
    <row r="376844">
      <c r="D376844" t="n">
        <v>5.796</v>
      </c>
    </row>
    <row r="376845">
      <c r="D376845" t="n">
        <v>9.587999999999999</v>
      </c>
    </row>
    <row r="376846">
      <c r="D376846" t="n">
        <v>9.42</v>
      </c>
    </row>
    <row r="376847">
      <c r="D376847" t="n">
        <v>12.579</v>
      </c>
    </row>
    <row r="376848">
      <c r="D376848" t="n">
        <v>2.419</v>
      </c>
    </row>
    <row r="376849">
      <c r="D376849" t="n">
        <v>-3.651</v>
      </c>
    </row>
    <row r="376850">
      <c r="D376850" t="n">
        <v>6.942</v>
      </c>
    </row>
    <row r="376851">
      <c r="D376851" t="n">
        <v>7.949</v>
      </c>
    </row>
    <row r="376852">
      <c r="D376852" t="n">
        <v>6.579</v>
      </c>
    </row>
    <row r="376853">
      <c r="D376853" t="n">
        <v>5.134</v>
      </c>
    </row>
    <row r="376854">
      <c r="D376854" t="n">
        <v>4.091</v>
      </c>
    </row>
    <row r="376855">
      <c r="D376855" t="n">
        <v>3.351</v>
      </c>
    </row>
    <row r="376856">
      <c r="D376856" t="n">
        <v>3.45</v>
      </c>
    </row>
    <row r="376857">
      <c r="D376857" t="n">
        <v>5.161</v>
      </c>
    </row>
    <row r="376858">
      <c r="D376858" t="n">
        <v>6.062</v>
      </c>
    </row>
    <row r="376859">
      <c r="D376859" t="n">
        <v>5.38</v>
      </c>
    </row>
    <row r="376860">
      <c r="D376860" t="n">
        <v>-6.291</v>
      </c>
    </row>
    <row r="376861">
      <c r="D376861" t="n">
        <v>10.644</v>
      </c>
    </row>
    <row r="376862">
      <c r="D376862" t="n">
        <v>10.96</v>
      </c>
    </row>
    <row r="376863">
      <c r="D376863" t="n">
        <v>7.832</v>
      </c>
    </row>
    <row r="376864">
      <c r="D376864" t="n">
        <v>9.429</v>
      </c>
    </row>
    <row r="376865">
      <c r="D376865" t="n">
        <v>5.977</v>
      </c>
    </row>
    <row r="376866">
      <c r="D376866" t="n">
        <v>5</v>
      </c>
    </row>
    <row r="376867">
      <c r="D376867" t="n">
        <v>5</v>
      </c>
    </row>
    <row r="376868">
      <c r="D376868" t="n">
        <v>2024</v>
      </c>
    </row>
    <row r="393217">
      <c r="D393217" t="n">
        <v>915</v>
      </c>
    </row>
    <row r="393218">
      <c r="D393218" t="inlineStr">
        <is>
          <t>NGDP_RPCH</t>
        </is>
      </c>
    </row>
    <row r="393219">
      <c r="D393219" t="inlineStr">
        <is>
          <t>Georgia</t>
        </is>
      </c>
    </row>
    <row r="393220">
      <c r="D393220" t="inlineStr">
        <is>
          <t>Gross domestic product, constant prices</t>
        </is>
      </c>
    </row>
    <row r="393221">
      <c r="D393221" t="inlineStr">
        <is>
          <t>Percent change</t>
        </is>
      </c>
    </row>
    <row r="393222">
      <c r="D393222" t="inlineStr">
        <is>
          <t>Units</t>
        </is>
      </c>
    </row>
    <row r="393223">
      <c r="D393223" t="inlineStr">
        <is>
          <t>See notes for:  Gross domestic product, constant prices (National currency).</t>
        </is>
      </c>
    </row>
    <row r="393224">
      <c r="D393224" t="n">
        <v>1.865</v>
      </c>
    </row>
    <row r="393225">
      <c r="D393225" t="n">
        <v>4.769</v>
      </c>
    </row>
    <row r="393226">
      <c r="D393226" t="n">
        <v>5.487</v>
      </c>
    </row>
    <row r="393227">
      <c r="D393227" t="n">
        <v>11.228</v>
      </c>
    </row>
    <row r="393228">
      <c r="D393228" t="n">
        <v>5.796</v>
      </c>
    </row>
    <row r="393229">
      <c r="D393229" t="n">
        <v>9.587999999999999</v>
      </c>
    </row>
    <row r="393230">
      <c r="D393230" t="n">
        <v>9.42</v>
      </c>
    </row>
    <row r="393231">
      <c r="D393231" t="n">
        <v>12.579</v>
      </c>
    </row>
    <row r="393232">
      <c r="D393232" t="n">
        <v>2.419</v>
      </c>
    </row>
    <row r="393233">
      <c r="D393233" t="n">
        <v>-3.651</v>
      </c>
    </row>
    <row r="393234">
      <c r="D393234" t="n">
        <v>6.942</v>
      </c>
    </row>
    <row r="393235">
      <c r="D393235" t="n">
        <v>7.949</v>
      </c>
    </row>
    <row r="393236">
      <c r="D393236" t="n">
        <v>6.579</v>
      </c>
    </row>
    <row r="393237">
      <c r="D393237" t="n">
        <v>5.134</v>
      </c>
    </row>
    <row r="393238">
      <c r="D393238" t="n">
        <v>4.091</v>
      </c>
    </row>
    <row r="393239">
      <c r="D393239" t="n">
        <v>3.351</v>
      </c>
    </row>
    <row r="393240">
      <c r="D393240" t="n">
        <v>3.45</v>
      </c>
    </row>
    <row r="393241">
      <c r="D393241" t="n">
        <v>5.161</v>
      </c>
    </row>
    <row r="393242">
      <c r="D393242" t="n">
        <v>6.062</v>
      </c>
    </row>
    <row r="393243">
      <c r="D393243" t="n">
        <v>5.38</v>
      </c>
    </row>
    <row r="393244">
      <c r="D393244" t="n">
        <v>-6.291</v>
      </c>
    </row>
    <row r="393245">
      <c r="D393245" t="n">
        <v>10.644</v>
      </c>
    </row>
    <row r="393246">
      <c r="D393246" t="n">
        <v>10.96</v>
      </c>
    </row>
    <row r="393247">
      <c r="D393247" t="n">
        <v>7.832</v>
      </c>
    </row>
    <row r="393248">
      <c r="D393248" t="n">
        <v>9.429</v>
      </c>
    </row>
    <row r="393249">
      <c r="D393249" t="n">
        <v>5.977</v>
      </c>
    </row>
    <row r="393250">
      <c r="D393250" t="n">
        <v>5</v>
      </c>
    </row>
    <row r="393251">
      <c r="D393251" t="n">
        <v>5</v>
      </c>
    </row>
    <row r="393252">
      <c r="D393252" t="n">
        <v>2024</v>
      </c>
    </row>
    <row r="409601">
      <c r="D409601" t="n">
        <v>915</v>
      </c>
    </row>
    <row r="409602">
      <c r="D409602" t="inlineStr">
        <is>
          <t>NGDP_RPCH</t>
        </is>
      </c>
    </row>
    <row r="409603">
      <c r="D409603" t="inlineStr">
        <is>
          <t>Georgia</t>
        </is>
      </c>
    </row>
    <row r="409604">
      <c r="D409604" t="inlineStr">
        <is>
          <t>Gross domestic product, constant prices</t>
        </is>
      </c>
    </row>
    <row r="409605">
      <c r="D409605" t="inlineStr">
        <is>
          <t>Percent change</t>
        </is>
      </c>
    </row>
    <row r="409606">
      <c r="D409606" t="inlineStr">
        <is>
          <t>Units</t>
        </is>
      </c>
    </row>
    <row r="409607">
      <c r="D409607" t="inlineStr">
        <is>
          <t>See notes for:  Gross domestic product, constant prices (National currency).</t>
        </is>
      </c>
    </row>
    <row r="409608">
      <c r="D409608" t="n">
        <v>1.865</v>
      </c>
    </row>
    <row r="409609">
      <c r="D409609" t="n">
        <v>4.769</v>
      </c>
    </row>
    <row r="409610">
      <c r="D409610" t="n">
        <v>5.487</v>
      </c>
    </row>
    <row r="409611">
      <c r="D409611" t="n">
        <v>11.228</v>
      </c>
    </row>
    <row r="409612">
      <c r="D409612" t="n">
        <v>5.796</v>
      </c>
    </row>
    <row r="409613">
      <c r="D409613" t="n">
        <v>9.587999999999999</v>
      </c>
    </row>
    <row r="409614">
      <c r="D409614" t="n">
        <v>9.42</v>
      </c>
    </row>
    <row r="409615">
      <c r="D409615" t="n">
        <v>12.579</v>
      </c>
    </row>
    <row r="409616">
      <c r="D409616" t="n">
        <v>2.419</v>
      </c>
    </row>
    <row r="409617">
      <c r="D409617" t="n">
        <v>-3.651</v>
      </c>
    </row>
    <row r="409618">
      <c r="D409618" t="n">
        <v>6.942</v>
      </c>
    </row>
    <row r="409619">
      <c r="D409619" t="n">
        <v>7.949</v>
      </c>
    </row>
    <row r="409620">
      <c r="D409620" t="n">
        <v>6.579</v>
      </c>
    </row>
    <row r="409621">
      <c r="D409621" t="n">
        <v>5.134</v>
      </c>
    </row>
    <row r="409622">
      <c r="D409622" t="n">
        <v>4.091</v>
      </c>
    </row>
    <row r="409623">
      <c r="D409623" t="n">
        <v>3.351</v>
      </c>
    </row>
    <row r="409624">
      <c r="D409624" t="n">
        <v>3.45</v>
      </c>
    </row>
    <row r="409625">
      <c r="D409625" t="n">
        <v>5.161</v>
      </c>
    </row>
    <row r="409626">
      <c r="D409626" t="n">
        <v>6.062</v>
      </c>
    </row>
    <row r="409627">
      <c r="D409627" t="n">
        <v>5.38</v>
      </c>
    </row>
    <row r="409628">
      <c r="D409628" t="n">
        <v>-6.291</v>
      </c>
    </row>
    <row r="409629">
      <c r="D409629" t="n">
        <v>10.644</v>
      </c>
    </row>
    <row r="409630">
      <c r="D409630" t="n">
        <v>10.96</v>
      </c>
    </row>
    <row r="409631">
      <c r="D409631" t="n">
        <v>7.832</v>
      </c>
    </row>
    <row r="409632">
      <c r="D409632" t="n">
        <v>9.429</v>
      </c>
    </row>
    <row r="409633">
      <c r="D409633" t="n">
        <v>5.977</v>
      </c>
    </row>
    <row r="409634">
      <c r="D409634" t="n">
        <v>5</v>
      </c>
    </row>
    <row r="409635">
      <c r="D409635" t="n">
        <v>5</v>
      </c>
    </row>
    <row r="409636">
      <c r="D409636" t="n">
        <v>2024</v>
      </c>
    </row>
    <row r="425985">
      <c r="D425985" t="n">
        <v>915</v>
      </c>
    </row>
    <row r="425986">
      <c r="D425986" t="inlineStr">
        <is>
          <t>NGDP_RPCH</t>
        </is>
      </c>
    </row>
    <row r="425987">
      <c r="D425987" t="inlineStr">
        <is>
          <t>Georgia</t>
        </is>
      </c>
    </row>
    <row r="425988">
      <c r="D425988" t="inlineStr">
        <is>
          <t>Gross domestic product, constant prices</t>
        </is>
      </c>
    </row>
    <row r="425989">
      <c r="D425989" t="inlineStr">
        <is>
          <t>Percent change</t>
        </is>
      </c>
    </row>
    <row r="425990">
      <c r="D425990" t="inlineStr">
        <is>
          <t>Units</t>
        </is>
      </c>
    </row>
    <row r="425991">
      <c r="D425991" t="inlineStr">
        <is>
          <t>See notes for:  Gross domestic product, constant prices (National currency).</t>
        </is>
      </c>
    </row>
    <row r="425992">
      <c r="D425992" t="n">
        <v>1.865</v>
      </c>
    </row>
    <row r="425993">
      <c r="D425993" t="n">
        <v>4.769</v>
      </c>
    </row>
    <row r="425994">
      <c r="D425994" t="n">
        <v>5.487</v>
      </c>
    </row>
    <row r="425995">
      <c r="D425995" t="n">
        <v>11.228</v>
      </c>
    </row>
    <row r="425996">
      <c r="D425996" t="n">
        <v>5.796</v>
      </c>
    </row>
    <row r="425997">
      <c r="D425997" t="n">
        <v>9.587999999999999</v>
      </c>
    </row>
    <row r="425998">
      <c r="D425998" t="n">
        <v>9.42</v>
      </c>
    </row>
    <row r="425999">
      <c r="D425999" t="n">
        <v>12.579</v>
      </c>
    </row>
    <row r="426000">
      <c r="D426000" t="n">
        <v>2.419</v>
      </c>
    </row>
    <row r="426001">
      <c r="D426001" t="n">
        <v>-3.651</v>
      </c>
    </row>
    <row r="426002">
      <c r="D426002" t="n">
        <v>6.942</v>
      </c>
    </row>
    <row r="426003">
      <c r="D426003" t="n">
        <v>7.949</v>
      </c>
    </row>
    <row r="426004">
      <c r="D426004" t="n">
        <v>6.579</v>
      </c>
    </row>
    <row r="426005">
      <c r="D426005" t="n">
        <v>5.134</v>
      </c>
    </row>
    <row r="426006">
      <c r="D426006" t="n">
        <v>4.091</v>
      </c>
    </row>
    <row r="426007">
      <c r="D426007" t="n">
        <v>3.351</v>
      </c>
    </row>
    <row r="426008">
      <c r="D426008" t="n">
        <v>3.45</v>
      </c>
    </row>
    <row r="426009">
      <c r="D426009" t="n">
        <v>5.161</v>
      </c>
    </row>
    <row r="426010">
      <c r="D426010" t="n">
        <v>6.062</v>
      </c>
    </row>
    <row r="426011">
      <c r="D426011" t="n">
        <v>5.38</v>
      </c>
    </row>
    <row r="426012">
      <c r="D426012" t="n">
        <v>-6.291</v>
      </c>
    </row>
    <row r="426013">
      <c r="D426013" t="n">
        <v>10.644</v>
      </c>
    </row>
    <row r="426014">
      <c r="D426014" t="n">
        <v>10.96</v>
      </c>
    </row>
    <row r="426015">
      <c r="D426015" t="n">
        <v>7.832</v>
      </c>
    </row>
    <row r="426016">
      <c r="D426016" t="n">
        <v>9.429</v>
      </c>
    </row>
    <row r="426017">
      <c r="D426017" t="n">
        <v>5.977</v>
      </c>
    </row>
    <row r="426018">
      <c r="D426018" t="n">
        <v>5</v>
      </c>
    </row>
    <row r="426019">
      <c r="D426019" t="n">
        <v>5</v>
      </c>
    </row>
    <row r="426020">
      <c r="D426020" t="n">
        <v>2024</v>
      </c>
    </row>
    <row r="442369">
      <c r="D442369" t="n">
        <v>915</v>
      </c>
    </row>
    <row r="442370">
      <c r="D442370" t="inlineStr">
        <is>
          <t>NGDP_RPCH</t>
        </is>
      </c>
    </row>
    <row r="442371">
      <c r="D442371" t="inlineStr">
        <is>
          <t>Georgia</t>
        </is>
      </c>
    </row>
    <row r="442372">
      <c r="D442372" t="inlineStr">
        <is>
          <t>Gross domestic product, constant prices</t>
        </is>
      </c>
    </row>
    <row r="442373">
      <c r="D442373" t="inlineStr">
        <is>
          <t>Percent change</t>
        </is>
      </c>
    </row>
    <row r="442374">
      <c r="D442374" t="inlineStr">
        <is>
          <t>Units</t>
        </is>
      </c>
    </row>
    <row r="442375">
      <c r="D442375" t="inlineStr">
        <is>
          <t>See notes for:  Gross domestic product, constant prices (National currency).</t>
        </is>
      </c>
    </row>
    <row r="442376">
      <c r="D442376" t="n">
        <v>1.865</v>
      </c>
    </row>
    <row r="442377">
      <c r="D442377" t="n">
        <v>4.769</v>
      </c>
    </row>
    <row r="442378">
      <c r="D442378" t="n">
        <v>5.487</v>
      </c>
    </row>
    <row r="442379">
      <c r="D442379" t="n">
        <v>11.228</v>
      </c>
    </row>
    <row r="442380">
      <c r="D442380" t="n">
        <v>5.796</v>
      </c>
    </row>
    <row r="442381">
      <c r="D442381" t="n">
        <v>9.587999999999999</v>
      </c>
    </row>
    <row r="442382">
      <c r="D442382" t="n">
        <v>9.42</v>
      </c>
    </row>
    <row r="442383">
      <c r="D442383" t="n">
        <v>12.579</v>
      </c>
    </row>
    <row r="442384">
      <c r="D442384" t="n">
        <v>2.419</v>
      </c>
    </row>
    <row r="442385">
      <c r="D442385" t="n">
        <v>-3.651</v>
      </c>
    </row>
    <row r="442386">
      <c r="D442386" t="n">
        <v>6.942</v>
      </c>
    </row>
    <row r="442387">
      <c r="D442387" t="n">
        <v>7.949</v>
      </c>
    </row>
    <row r="442388">
      <c r="D442388" t="n">
        <v>6.579</v>
      </c>
    </row>
    <row r="442389">
      <c r="D442389" t="n">
        <v>5.134</v>
      </c>
    </row>
    <row r="442390">
      <c r="D442390" t="n">
        <v>4.091</v>
      </c>
    </row>
    <row r="442391">
      <c r="D442391" t="n">
        <v>3.351</v>
      </c>
    </row>
    <row r="442392">
      <c r="D442392" t="n">
        <v>3.45</v>
      </c>
    </row>
    <row r="442393">
      <c r="D442393" t="n">
        <v>5.161</v>
      </c>
    </row>
    <row r="442394">
      <c r="D442394" t="n">
        <v>6.062</v>
      </c>
    </row>
    <row r="442395">
      <c r="D442395" t="n">
        <v>5.38</v>
      </c>
    </row>
    <row r="442396">
      <c r="D442396" t="n">
        <v>-6.291</v>
      </c>
    </row>
    <row r="442397">
      <c r="D442397" t="n">
        <v>10.644</v>
      </c>
    </row>
    <row r="442398">
      <c r="D442398" t="n">
        <v>10.96</v>
      </c>
    </row>
    <row r="442399">
      <c r="D442399" t="n">
        <v>7.832</v>
      </c>
    </row>
    <row r="442400">
      <c r="D442400" t="n">
        <v>9.429</v>
      </c>
    </row>
    <row r="442401">
      <c r="D442401" t="n">
        <v>5.977</v>
      </c>
    </row>
    <row r="442402">
      <c r="D442402" t="n">
        <v>5</v>
      </c>
    </row>
    <row r="442403">
      <c r="D442403" t="n">
        <v>5</v>
      </c>
    </row>
    <row r="442404">
      <c r="D442404" t="n">
        <v>2024</v>
      </c>
    </row>
    <row r="458753">
      <c r="D458753" t="n">
        <v>915</v>
      </c>
    </row>
    <row r="458754">
      <c r="D458754" t="inlineStr">
        <is>
          <t>NGDP_RPCH</t>
        </is>
      </c>
    </row>
    <row r="458755">
      <c r="D458755" t="inlineStr">
        <is>
          <t>Georgia</t>
        </is>
      </c>
    </row>
    <row r="458756">
      <c r="D458756" t="inlineStr">
        <is>
          <t>Gross domestic product, constant prices</t>
        </is>
      </c>
    </row>
    <row r="458757">
      <c r="D458757" t="inlineStr">
        <is>
          <t>Percent change</t>
        </is>
      </c>
    </row>
    <row r="458758">
      <c r="D458758" t="inlineStr">
        <is>
          <t>Units</t>
        </is>
      </c>
    </row>
    <row r="458759">
      <c r="D458759" t="inlineStr">
        <is>
          <t>See notes for:  Gross domestic product, constant prices (National currency).</t>
        </is>
      </c>
    </row>
    <row r="458760">
      <c r="D458760" t="n">
        <v>1.865</v>
      </c>
    </row>
    <row r="458761">
      <c r="D458761" t="n">
        <v>4.769</v>
      </c>
    </row>
    <row r="458762">
      <c r="D458762" t="n">
        <v>5.487</v>
      </c>
    </row>
    <row r="458763">
      <c r="D458763" t="n">
        <v>11.228</v>
      </c>
    </row>
    <row r="458764">
      <c r="D458764" t="n">
        <v>5.796</v>
      </c>
    </row>
    <row r="458765">
      <c r="D458765" t="n">
        <v>9.587999999999999</v>
      </c>
    </row>
    <row r="458766">
      <c r="D458766" t="n">
        <v>9.42</v>
      </c>
    </row>
    <row r="458767">
      <c r="D458767" t="n">
        <v>12.579</v>
      </c>
    </row>
    <row r="458768">
      <c r="D458768" t="n">
        <v>2.419</v>
      </c>
    </row>
    <row r="458769">
      <c r="D458769" t="n">
        <v>-3.651</v>
      </c>
    </row>
    <row r="458770">
      <c r="D458770" t="n">
        <v>6.942</v>
      </c>
    </row>
    <row r="458771">
      <c r="D458771" t="n">
        <v>7.949</v>
      </c>
    </row>
    <row r="458772">
      <c r="D458772" t="n">
        <v>6.579</v>
      </c>
    </row>
    <row r="458773">
      <c r="D458773" t="n">
        <v>5.134</v>
      </c>
    </row>
    <row r="458774">
      <c r="D458774" t="n">
        <v>4.091</v>
      </c>
    </row>
    <row r="458775">
      <c r="D458775" t="n">
        <v>3.351</v>
      </c>
    </row>
    <row r="458776">
      <c r="D458776" t="n">
        <v>3.45</v>
      </c>
    </row>
    <row r="458777">
      <c r="D458777" t="n">
        <v>5.161</v>
      </c>
    </row>
    <row r="458778">
      <c r="D458778" t="n">
        <v>6.062</v>
      </c>
    </row>
    <row r="458779">
      <c r="D458779" t="n">
        <v>5.38</v>
      </c>
    </row>
    <row r="458780">
      <c r="D458780" t="n">
        <v>-6.291</v>
      </c>
    </row>
    <row r="458781">
      <c r="D458781" t="n">
        <v>10.644</v>
      </c>
    </row>
    <row r="458782">
      <c r="D458782" t="n">
        <v>10.96</v>
      </c>
    </row>
    <row r="458783">
      <c r="D458783" t="n">
        <v>7.832</v>
      </c>
    </row>
    <row r="458784">
      <c r="D458784" t="n">
        <v>9.429</v>
      </c>
    </row>
    <row r="458785">
      <c r="D458785" t="n">
        <v>5.977</v>
      </c>
    </row>
    <row r="458786">
      <c r="D458786" t="n">
        <v>5</v>
      </c>
    </row>
    <row r="458787">
      <c r="D458787" t="n">
        <v>5</v>
      </c>
    </row>
    <row r="458788">
      <c r="D458788" t="n">
        <v>2024</v>
      </c>
    </row>
    <row r="475137">
      <c r="D475137" t="n">
        <v>915</v>
      </c>
    </row>
    <row r="475138">
      <c r="D475138" t="inlineStr">
        <is>
          <t>NGDP_RPCH</t>
        </is>
      </c>
    </row>
    <row r="475139">
      <c r="D475139" t="inlineStr">
        <is>
          <t>Georgia</t>
        </is>
      </c>
    </row>
    <row r="475140">
      <c r="D475140" t="inlineStr">
        <is>
          <t>Gross domestic product, constant prices</t>
        </is>
      </c>
    </row>
    <row r="475141">
      <c r="D475141" t="inlineStr">
        <is>
          <t>Percent change</t>
        </is>
      </c>
    </row>
    <row r="475142">
      <c r="D475142" t="inlineStr">
        <is>
          <t>Units</t>
        </is>
      </c>
    </row>
    <row r="475143">
      <c r="D475143" t="inlineStr">
        <is>
          <t>See notes for:  Gross domestic product, constant prices (National currency).</t>
        </is>
      </c>
    </row>
    <row r="475144">
      <c r="D475144" t="n">
        <v>1.865</v>
      </c>
    </row>
    <row r="475145">
      <c r="D475145" t="n">
        <v>4.769</v>
      </c>
    </row>
    <row r="475146">
      <c r="D475146" t="n">
        <v>5.487</v>
      </c>
    </row>
    <row r="475147">
      <c r="D475147" t="n">
        <v>11.228</v>
      </c>
    </row>
    <row r="475148">
      <c r="D475148" t="n">
        <v>5.796</v>
      </c>
    </row>
    <row r="475149">
      <c r="D475149" t="n">
        <v>9.587999999999999</v>
      </c>
    </row>
    <row r="475150">
      <c r="D475150" t="n">
        <v>9.42</v>
      </c>
    </row>
    <row r="475151">
      <c r="D475151" t="n">
        <v>12.579</v>
      </c>
    </row>
    <row r="475152">
      <c r="D475152" t="n">
        <v>2.419</v>
      </c>
    </row>
    <row r="475153">
      <c r="D475153" t="n">
        <v>-3.651</v>
      </c>
    </row>
    <row r="475154">
      <c r="D475154" t="n">
        <v>6.942</v>
      </c>
    </row>
    <row r="475155">
      <c r="D475155" t="n">
        <v>7.949</v>
      </c>
    </row>
    <row r="475156">
      <c r="D475156" t="n">
        <v>6.579</v>
      </c>
    </row>
    <row r="475157">
      <c r="D475157" t="n">
        <v>5.134</v>
      </c>
    </row>
    <row r="475158">
      <c r="D475158" t="n">
        <v>4.091</v>
      </c>
    </row>
    <row r="475159">
      <c r="D475159" t="n">
        <v>3.351</v>
      </c>
    </row>
    <row r="475160">
      <c r="D475160" t="n">
        <v>3.45</v>
      </c>
    </row>
    <row r="475161">
      <c r="D475161" t="n">
        <v>5.161</v>
      </c>
    </row>
    <row r="475162">
      <c r="D475162" t="n">
        <v>6.062</v>
      </c>
    </row>
    <row r="475163">
      <c r="D475163" t="n">
        <v>5.38</v>
      </c>
    </row>
    <row r="475164">
      <c r="D475164" t="n">
        <v>-6.291</v>
      </c>
    </row>
    <row r="475165">
      <c r="D475165" t="n">
        <v>10.644</v>
      </c>
    </row>
    <row r="475166">
      <c r="D475166" t="n">
        <v>10.96</v>
      </c>
    </row>
    <row r="475167">
      <c r="D475167" t="n">
        <v>7.832</v>
      </c>
    </row>
    <row r="475168">
      <c r="D475168" t="n">
        <v>9.429</v>
      </c>
    </row>
    <row r="475169">
      <c r="D475169" t="n">
        <v>5.977</v>
      </c>
    </row>
    <row r="475170">
      <c r="D475170" t="n">
        <v>5</v>
      </c>
    </row>
    <row r="475171">
      <c r="D475171" t="n">
        <v>5</v>
      </c>
    </row>
    <row r="475172">
      <c r="D475172" t="n">
        <v>2024</v>
      </c>
    </row>
    <row r="491521">
      <c r="D491521" t="n">
        <v>915</v>
      </c>
    </row>
    <row r="491522">
      <c r="D491522" t="inlineStr">
        <is>
          <t>NGDP_RPCH</t>
        </is>
      </c>
    </row>
    <row r="491523">
      <c r="D491523" t="inlineStr">
        <is>
          <t>Georgia</t>
        </is>
      </c>
    </row>
    <row r="491524">
      <c r="D491524" t="inlineStr">
        <is>
          <t>Gross domestic product, constant prices</t>
        </is>
      </c>
    </row>
    <row r="491525">
      <c r="D491525" t="inlineStr">
        <is>
          <t>Percent change</t>
        </is>
      </c>
    </row>
    <row r="491526">
      <c r="D491526" t="inlineStr">
        <is>
          <t>Units</t>
        </is>
      </c>
    </row>
    <row r="491527">
      <c r="D491527" t="inlineStr">
        <is>
          <t>See notes for:  Gross domestic product, constant prices (National currency).</t>
        </is>
      </c>
    </row>
    <row r="491528">
      <c r="D491528" t="n">
        <v>1.865</v>
      </c>
    </row>
    <row r="491529">
      <c r="D491529" t="n">
        <v>4.769</v>
      </c>
    </row>
    <row r="491530">
      <c r="D491530" t="n">
        <v>5.487</v>
      </c>
    </row>
    <row r="491531">
      <c r="D491531" t="n">
        <v>11.228</v>
      </c>
    </row>
    <row r="491532">
      <c r="D491532" t="n">
        <v>5.796</v>
      </c>
    </row>
    <row r="491533">
      <c r="D491533" t="n">
        <v>9.587999999999999</v>
      </c>
    </row>
    <row r="491534">
      <c r="D491534" t="n">
        <v>9.42</v>
      </c>
    </row>
    <row r="491535">
      <c r="D491535" t="n">
        <v>12.579</v>
      </c>
    </row>
    <row r="491536">
      <c r="D491536" t="n">
        <v>2.419</v>
      </c>
    </row>
    <row r="491537">
      <c r="D491537" t="n">
        <v>-3.651</v>
      </c>
    </row>
    <row r="491538">
      <c r="D491538" t="n">
        <v>6.942</v>
      </c>
    </row>
    <row r="491539">
      <c r="D491539" t="n">
        <v>7.949</v>
      </c>
    </row>
    <row r="491540">
      <c r="D491540" t="n">
        <v>6.579</v>
      </c>
    </row>
    <row r="491541">
      <c r="D491541" t="n">
        <v>5.134</v>
      </c>
    </row>
    <row r="491542">
      <c r="D491542" t="n">
        <v>4.091</v>
      </c>
    </row>
    <row r="491543">
      <c r="D491543" t="n">
        <v>3.351</v>
      </c>
    </row>
    <row r="491544">
      <c r="D491544" t="n">
        <v>3.45</v>
      </c>
    </row>
    <row r="491545">
      <c r="D491545" t="n">
        <v>5.161</v>
      </c>
    </row>
    <row r="491546">
      <c r="D491546" t="n">
        <v>6.062</v>
      </c>
    </row>
    <row r="491547">
      <c r="D491547" t="n">
        <v>5.38</v>
      </c>
    </row>
    <row r="491548">
      <c r="D491548" t="n">
        <v>-6.291</v>
      </c>
    </row>
    <row r="491549">
      <c r="D491549" t="n">
        <v>10.644</v>
      </c>
    </row>
    <row r="491550">
      <c r="D491550" t="n">
        <v>10.96</v>
      </c>
    </row>
    <row r="491551">
      <c r="D491551" t="n">
        <v>7.832</v>
      </c>
    </row>
    <row r="491552">
      <c r="D491552" t="n">
        <v>9.429</v>
      </c>
    </row>
    <row r="491553">
      <c r="D491553" t="n">
        <v>5.977</v>
      </c>
    </row>
    <row r="491554">
      <c r="D491554" t="n">
        <v>5</v>
      </c>
    </row>
    <row r="491555">
      <c r="D491555" t="n">
        <v>5</v>
      </c>
    </row>
    <row r="491556">
      <c r="D491556" t="n">
        <v>2024</v>
      </c>
    </row>
    <row r="507905">
      <c r="D507905" t="n">
        <v>915</v>
      </c>
    </row>
    <row r="507906">
      <c r="D507906" t="inlineStr">
        <is>
          <t>NGDP_RPCH</t>
        </is>
      </c>
    </row>
    <row r="507907">
      <c r="D507907" t="inlineStr">
        <is>
          <t>Georgia</t>
        </is>
      </c>
    </row>
    <row r="507908">
      <c r="D507908" t="inlineStr">
        <is>
          <t>Gross domestic product, constant prices</t>
        </is>
      </c>
    </row>
    <row r="507909">
      <c r="D507909" t="inlineStr">
        <is>
          <t>Percent change</t>
        </is>
      </c>
    </row>
    <row r="507910">
      <c r="D507910" t="inlineStr">
        <is>
          <t>Units</t>
        </is>
      </c>
    </row>
    <row r="507911">
      <c r="D507911" t="inlineStr">
        <is>
          <t>See notes for:  Gross domestic product, constant prices (National currency).</t>
        </is>
      </c>
    </row>
    <row r="507912">
      <c r="D507912" t="n">
        <v>1.865</v>
      </c>
    </row>
    <row r="507913">
      <c r="D507913" t="n">
        <v>4.769</v>
      </c>
    </row>
    <row r="507914">
      <c r="D507914" t="n">
        <v>5.487</v>
      </c>
    </row>
    <row r="507915">
      <c r="D507915" t="n">
        <v>11.228</v>
      </c>
    </row>
    <row r="507916">
      <c r="D507916" t="n">
        <v>5.796</v>
      </c>
    </row>
    <row r="507917">
      <c r="D507917" t="n">
        <v>9.587999999999999</v>
      </c>
    </row>
    <row r="507918">
      <c r="D507918" t="n">
        <v>9.42</v>
      </c>
    </row>
    <row r="507919">
      <c r="D507919" t="n">
        <v>12.579</v>
      </c>
    </row>
    <row r="507920">
      <c r="D507920" t="n">
        <v>2.419</v>
      </c>
    </row>
    <row r="507921">
      <c r="D507921" t="n">
        <v>-3.651</v>
      </c>
    </row>
    <row r="507922">
      <c r="D507922" t="n">
        <v>6.942</v>
      </c>
    </row>
    <row r="507923">
      <c r="D507923" t="n">
        <v>7.949</v>
      </c>
    </row>
    <row r="507924">
      <c r="D507924" t="n">
        <v>6.579</v>
      </c>
    </row>
    <row r="507925">
      <c r="D507925" t="n">
        <v>5.134</v>
      </c>
    </row>
    <row r="507926">
      <c r="D507926" t="n">
        <v>4.091</v>
      </c>
    </row>
    <row r="507927">
      <c r="D507927" t="n">
        <v>3.351</v>
      </c>
    </row>
    <row r="507928">
      <c r="D507928" t="n">
        <v>3.45</v>
      </c>
    </row>
    <row r="507929">
      <c r="D507929" t="n">
        <v>5.161</v>
      </c>
    </row>
    <row r="507930">
      <c r="D507930" t="n">
        <v>6.062</v>
      </c>
    </row>
    <row r="507931">
      <c r="D507931" t="n">
        <v>5.38</v>
      </c>
    </row>
    <row r="507932">
      <c r="D507932" t="n">
        <v>-6.291</v>
      </c>
    </row>
    <row r="507933">
      <c r="D507933" t="n">
        <v>10.644</v>
      </c>
    </row>
    <row r="507934">
      <c r="D507934" t="n">
        <v>10.96</v>
      </c>
    </row>
    <row r="507935">
      <c r="D507935" t="n">
        <v>7.832</v>
      </c>
    </row>
    <row r="507936">
      <c r="D507936" t="n">
        <v>9.429</v>
      </c>
    </row>
    <row r="507937">
      <c r="D507937" t="n">
        <v>5.977</v>
      </c>
    </row>
    <row r="507938">
      <c r="D507938" t="n">
        <v>5</v>
      </c>
    </row>
    <row r="507939">
      <c r="D507939" t="n">
        <v>5</v>
      </c>
    </row>
    <row r="507940">
      <c r="D507940" t="n">
        <v>2024</v>
      </c>
    </row>
    <row r="524289">
      <c r="D524289" t="n">
        <v>915</v>
      </c>
    </row>
    <row r="524290">
      <c r="D524290" t="inlineStr">
        <is>
          <t>NGDP_RPCH</t>
        </is>
      </c>
    </row>
    <row r="524291">
      <c r="D524291" t="inlineStr">
        <is>
          <t>Georgia</t>
        </is>
      </c>
    </row>
    <row r="524292">
      <c r="D524292" t="inlineStr">
        <is>
          <t>Gross domestic product, constant prices</t>
        </is>
      </c>
    </row>
    <row r="524293">
      <c r="D524293" t="inlineStr">
        <is>
          <t>Percent change</t>
        </is>
      </c>
    </row>
    <row r="524294">
      <c r="D524294" t="inlineStr">
        <is>
          <t>Units</t>
        </is>
      </c>
    </row>
    <row r="524295">
      <c r="D524295" t="inlineStr">
        <is>
          <t>See notes for:  Gross domestic product, constant prices (National currency).</t>
        </is>
      </c>
    </row>
    <row r="524296">
      <c r="D524296" t="n">
        <v>1.865</v>
      </c>
    </row>
    <row r="524297">
      <c r="D524297" t="n">
        <v>4.769</v>
      </c>
    </row>
    <row r="524298">
      <c r="D524298" t="n">
        <v>5.487</v>
      </c>
    </row>
    <row r="524299">
      <c r="D524299" t="n">
        <v>11.228</v>
      </c>
    </row>
    <row r="524300">
      <c r="D524300" t="n">
        <v>5.796</v>
      </c>
    </row>
    <row r="524301">
      <c r="D524301" t="n">
        <v>9.587999999999999</v>
      </c>
    </row>
    <row r="524302">
      <c r="D524302" t="n">
        <v>9.42</v>
      </c>
    </row>
    <row r="524303">
      <c r="D524303" t="n">
        <v>12.579</v>
      </c>
    </row>
    <row r="524304">
      <c r="D524304" t="n">
        <v>2.419</v>
      </c>
    </row>
    <row r="524305">
      <c r="D524305" t="n">
        <v>-3.651</v>
      </c>
    </row>
    <row r="524306">
      <c r="D524306" t="n">
        <v>6.942</v>
      </c>
    </row>
    <row r="524307">
      <c r="D524307" t="n">
        <v>7.949</v>
      </c>
    </row>
    <row r="524308">
      <c r="D524308" t="n">
        <v>6.579</v>
      </c>
    </row>
    <row r="524309">
      <c r="D524309" t="n">
        <v>5.134</v>
      </c>
    </row>
    <row r="524310">
      <c r="D524310" t="n">
        <v>4.091</v>
      </c>
    </row>
    <row r="524311">
      <c r="D524311" t="n">
        <v>3.351</v>
      </c>
    </row>
    <row r="524312">
      <c r="D524312" t="n">
        <v>3.45</v>
      </c>
    </row>
    <row r="524313">
      <c r="D524313" t="n">
        <v>5.161</v>
      </c>
    </row>
    <row r="524314">
      <c r="D524314" t="n">
        <v>6.062</v>
      </c>
    </row>
    <row r="524315">
      <c r="D524315" t="n">
        <v>5.38</v>
      </c>
    </row>
    <row r="524316">
      <c r="D524316" t="n">
        <v>-6.291</v>
      </c>
    </row>
    <row r="524317">
      <c r="D524317" t="n">
        <v>10.644</v>
      </c>
    </row>
    <row r="524318">
      <c r="D524318" t="n">
        <v>10.96</v>
      </c>
    </row>
    <row r="524319">
      <c r="D524319" t="n">
        <v>7.832</v>
      </c>
    </row>
    <row r="524320">
      <c r="D524320" t="n">
        <v>9.429</v>
      </c>
    </row>
    <row r="524321">
      <c r="D524321" t="n">
        <v>5.977</v>
      </c>
    </row>
    <row r="524322">
      <c r="D524322" t="n">
        <v>5</v>
      </c>
    </row>
    <row r="524323">
      <c r="D524323" t="n">
        <v>5</v>
      </c>
    </row>
    <row r="524324">
      <c r="D524324" t="n">
        <v>2024</v>
      </c>
    </row>
    <row r="540673">
      <c r="D540673" t="n">
        <v>915</v>
      </c>
    </row>
    <row r="540674">
      <c r="D540674" t="inlineStr">
        <is>
          <t>NGDP_RPCH</t>
        </is>
      </c>
    </row>
    <row r="540675">
      <c r="D540675" t="inlineStr">
        <is>
          <t>Georgia</t>
        </is>
      </c>
    </row>
    <row r="540676">
      <c r="D540676" t="inlineStr">
        <is>
          <t>Gross domestic product, constant prices</t>
        </is>
      </c>
    </row>
    <row r="540677">
      <c r="D540677" t="inlineStr">
        <is>
          <t>Percent change</t>
        </is>
      </c>
    </row>
    <row r="540678">
      <c r="D540678" t="inlineStr">
        <is>
          <t>Units</t>
        </is>
      </c>
    </row>
    <row r="540679">
      <c r="D540679" t="inlineStr">
        <is>
          <t>See notes for:  Gross domestic product, constant prices (National currency).</t>
        </is>
      </c>
    </row>
    <row r="540680">
      <c r="D540680" t="n">
        <v>1.865</v>
      </c>
    </row>
    <row r="540681">
      <c r="D540681" t="n">
        <v>4.769</v>
      </c>
    </row>
    <row r="540682">
      <c r="D540682" t="n">
        <v>5.487</v>
      </c>
    </row>
    <row r="540683">
      <c r="D540683" t="n">
        <v>11.228</v>
      </c>
    </row>
    <row r="540684">
      <c r="D540684" t="n">
        <v>5.796</v>
      </c>
    </row>
    <row r="540685">
      <c r="D540685" t="n">
        <v>9.587999999999999</v>
      </c>
    </row>
    <row r="540686">
      <c r="D540686" t="n">
        <v>9.42</v>
      </c>
    </row>
    <row r="540687">
      <c r="D540687" t="n">
        <v>12.579</v>
      </c>
    </row>
    <row r="540688">
      <c r="D540688" t="n">
        <v>2.419</v>
      </c>
    </row>
    <row r="540689">
      <c r="D540689" t="n">
        <v>-3.651</v>
      </c>
    </row>
    <row r="540690">
      <c r="D540690" t="n">
        <v>6.942</v>
      </c>
    </row>
    <row r="540691">
      <c r="D540691" t="n">
        <v>7.949</v>
      </c>
    </row>
    <row r="540692">
      <c r="D540692" t="n">
        <v>6.579</v>
      </c>
    </row>
    <row r="540693">
      <c r="D540693" t="n">
        <v>5.134</v>
      </c>
    </row>
    <row r="540694">
      <c r="D540694" t="n">
        <v>4.091</v>
      </c>
    </row>
    <row r="540695">
      <c r="D540695" t="n">
        <v>3.351</v>
      </c>
    </row>
    <row r="540696">
      <c r="D540696" t="n">
        <v>3.45</v>
      </c>
    </row>
    <row r="540697">
      <c r="D540697" t="n">
        <v>5.161</v>
      </c>
    </row>
    <row r="540698">
      <c r="D540698" t="n">
        <v>6.062</v>
      </c>
    </row>
    <row r="540699">
      <c r="D540699" t="n">
        <v>5.38</v>
      </c>
    </row>
    <row r="540700">
      <c r="D540700" t="n">
        <v>-6.291</v>
      </c>
    </row>
    <row r="540701">
      <c r="D540701" t="n">
        <v>10.644</v>
      </c>
    </row>
    <row r="540702">
      <c r="D540702" t="n">
        <v>10.96</v>
      </c>
    </row>
    <row r="540703">
      <c r="D540703" t="n">
        <v>7.832</v>
      </c>
    </row>
    <row r="540704">
      <c r="D540704" t="n">
        <v>9.429</v>
      </c>
    </row>
    <row r="540705">
      <c r="D540705" t="n">
        <v>5.977</v>
      </c>
    </row>
    <row r="540706">
      <c r="D540706" t="n">
        <v>5</v>
      </c>
    </row>
    <row r="540707">
      <c r="D540707" t="n">
        <v>5</v>
      </c>
    </row>
    <row r="540708">
      <c r="D540708" t="n">
        <v>2024</v>
      </c>
    </row>
    <row r="557057">
      <c r="D557057" t="n">
        <v>915</v>
      </c>
    </row>
    <row r="557058">
      <c r="D557058" t="inlineStr">
        <is>
          <t>NGDP_RPCH</t>
        </is>
      </c>
    </row>
    <row r="557059">
      <c r="D557059" t="inlineStr">
        <is>
          <t>Georgia</t>
        </is>
      </c>
    </row>
    <row r="557060">
      <c r="D557060" t="inlineStr">
        <is>
          <t>Gross domestic product, constant prices</t>
        </is>
      </c>
    </row>
    <row r="557061">
      <c r="D557061" t="inlineStr">
        <is>
          <t>Percent change</t>
        </is>
      </c>
    </row>
    <row r="557062">
      <c r="D557062" t="inlineStr">
        <is>
          <t>Units</t>
        </is>
      </c>
    </row>
    <row r="557063">
      <c r="D557063" t="inlineStr">
        <is>
          <t>See notes for:  Gross domestic product, constant prices (National currency).</t>
        </is>
      </c>
    </row>
    <row r="557064">
      <c r="D557064" t="n">
        <v>1.865</v>
      </c>
    </row>
    <row r="557065">
      <c r="D557065" t="n">
        <v>4.769</v>
      </c>
    </row>
    <row r="557066">
      <c r="D557066" t="n">
        <v>5.487</v>
      </c>
    </row>
    <row r="557067">
      <c r="D557067" t="n">
        <v>11.228</v>
      </c>
    </row>
    <row r="557068">
      <c r="D557068" t="n">
        <v>5.796</v>
      </c>
    </row>
    <row r="557069">
      <c r="D557069" t="n">
        <v>9.587999999999999</v>
      </c>
    </row>
    <row r="557070">
      <c r="D557070" t="n">
        <v>9.42</v>
      </c>
    </row>
    <row r="557071">
      <c r="D557071" t="n">
        <v>12.579</v>
      </c>
    </row>
    <row r="557072">
      <c r="D557072" t="n">
        <v>2.419</v>
      </c>
    </row>
    <row r="557073">
      <c r="D557073" t="n">
        <v>-3.651</v>
      </c>
    </row>
    <row r="557074">
      <c r="D557074" t="n">
        <v>6.942</v>
      </c>
    </row>
    <row r="557075">
      <c r="D557075" t="n">
        <v>7.949</v>
      </c>
    </row>
    <row r="557076">
      <c r="D557076" t="n">
        <v>6.579</v>
      </c>
    </row>
    <row r="557077">
      <c r="D557077" t="n">
        <v>5.134</v>
      </c>
    </row>
    <row r="557078">
      <c r="D557078" t="n">
        <v>4.091</v>
      </c>
    </row>
    <row r="557079">
      <c r="D557079" t="n">
        <v>3.351</v>
      </c>
    </row>
    <row r="557080">
      <c r="D557080" t="n">
        <v>3.45</v>
      </c>
    </row>
    <row r="557081">
      <c r="D557081" t="n">
        <v>5.161</v>
      </c>
    </row>
    <row r="557082">
      <c r="D557082" t="n">
        <v>6.062</v>
      </c>
    </row>
    <row r="557083">
      <c r="D557083" t="n">
        <v>5.38</v>
      </c>
    </row>
    <row r="557084">
      <c r="D557084" t="n">
        <v>-6.291</v>
      </c>
    </row>
    <row r="557085">
      <c r="D557085" t="n">
        <v>10.644</v>
      </c>
    </row>
    <row r="557086">
      <c r="D557086" t="n">
        <v>10.96</v>
      </c>
    </row>
    <row r="557087">
      <c r="D557087" t="n">
        <v>7.832</v>
      </c>
    </row>
    <row r="557088">
      <c r="D557088" t="n">
        <v>9.429</v>
      </c>
    </row>
    <row r="557089">
      <c r="D557089" t="n">
        <v>5.977</v>
      </c>
    </row>
    <row r="557090">
      <c r="D557090" t="n">
        <v>5</v>
      </c>
    </row>
    <row r="557091">
      <c r="D557091" t="n">
        <v>5</v>
      </c>
    </row>
    <row r="557092">
      <c r="D557092" t="n">
        <v>2024</v>
      </c>
    </row>
    <row r="573441">
      <c r="D573441" t="n">
        <v>915</v>
      </c>
    </row>
    <row r="573442">
      <c r="D573442" t="inlineStr">
        <is>
          <t>NGDP_RPCH</t>
        </is>
      </c>
    </row>
    <row r="573443">
      <c r="D573443" t="inlineStr">
        <is>
          <t>Georgia</t>
        </is>
      </c>
    </row>
    <row r="573444">
      <c r="D573444" t="inlineStr">
        <is>
          <t>Gross domestic product, constant prices</t>
        </is>
      </c>
    </row>
    <row r="573445">
      <c r="D573445" t="inlineStr">
        <is>
          <t>Percent change</t>
        </is>
      </c>
    </row>
    <row r="573446">
      <c r="D573446" t="inlineStr">
        <is>
          <t>Units</t>
        </is>
      </c>
    </row>
    <row r="573447">
      <c r="D573447" t="inlineStr">
        <is>
          <t>See notes for:  Gross domestic product, constant prices (National currency).</t>
        </is>
      </c>
    </row>
    <row r="573448">
      <c r="D573448" t="n">
        <v>1.865</v>
      </c>
    </row>
    <row r="573449">
      <c r="D573449" t="n">
        <v>4.769</v>
      </c>
    </row>
    <row r="573450">
      <c r="D573450" t="n">
        <v>5.487</v>
      </c>
    </row>
    <row r="573451">
      <c r="D573451" t="n">
        <v>11.228</v>
      </c>
    </row>
    <row r="573452">
      <c r="D573452" t="n">
        <v>5.796</v>
      </c>
    </row>
    <row r="573453">
      <c r="D573453" t="n">
        <v>9.587999999999999</v>
      </c>
    </row>
    <row r="573454">
      <c r="D573454" t="n">
        <v>9.42</v>
      </c>
    </row>
    <row r="573455">
      <c r="D573455" t="n">
        <v>12.579</v>
      </c>
    </row>
    <row r="573456">
      <c r="D573456" t="n">
        <v>2.419</v>
      </c>
    </row>
    <row r="573457">
      <c r="D573457" t="n">
        <v>-3.651</v>
      </c>
    </row>
    <row r="573458">
      <c r="D573458" t="n">
        <v>6.942</v>
      </c>
    </row>
    <row r="573459">
      <c r="D573459" t="n">
        <v>7.949</v>
      </c>
    </row>
    <row r="573460">
      <c r="D573460" t="n">
        <v>6.579</v>
      </c>
    </row>
    <row r="573461">
      <c r="D573461" t="n">
        <v>5.134</v>
      </c>
    </row>
    <row r="573462">
      <c r="D573462" t="n">
        <v>4.091</v>
      </c>
    </row>
    <row r="573463">
      <c r="D573463" t="n">
        <v>3.351</v>
      </c>
    </row>
    <row r="573464">
      <c r="D573464" t="n">
        <v>3.45</v>
      </c>
    </row>
    <row r="573465">
      <c r="D573465" t="n">
        <v>5.161</v>
      </c>
    </row>
    <row r="573466">
      <c r="D573466" t="n">
        <v>6.062</v>
      </c>
    </row>
    <row r="573467">
      <c r="D573467" t="n">
        <v>5.38</v>
      </c>
    </row>
    <row r="573468">
      <c r="D573468" t="n">
        <v>-6.291</v>
      </c>
    </row>
    <row r="573469">
      <c r="D573469" t="n">
        <v>10.644</v>
      </c>
    </row>
    <row r="573470">
      <c r="D573470" t="n">
        <v>10.96</v>
      </c>
    </row>
    <row r="573471">
      <c r="D573471" t="n">
        <v>7.832</v>
      </c>
    </row>
    <row r="573472">
      <c r="D573472" t="n">
        <v>9.429</v>
      </c>
    </row>
    <row r="573473">
      <c r="D573473" t="n">
        <v>5.977</v>
      </c>
    </row>
    <row r="573474">
      <c r="D573474" t="n">
        <v>5</v>
      </c>
    </row>
    <row r="573475">
      <c r="D573475" t="n">
        <v>5</v>
      </c>
    </row>
    <row r="573476">
      <c r="D573476" t="n">
        <v>2024</v>
      </c>
    </row>
    <row r="589825">
      <c r="D589825" t="n">
        <v>915</v>
      </c>
    </row>
    <row r="589826">
      <c r="D589826" t="inlineStr">
        <is>
          <t>NGDP_RPCH</t>
        </is>
      </c>
    </row>
    <row r="589827">
      <c r="D589827" t="inlineStr">
        <is>
          <t>Georgia</t>
        </is>
      </c>
    </row>
    <row r="589828">
      <c r="D589828" t="inlineStr">
        <is>
          <t>Gross domestic product, constant prices</t>
        </is>
      </c>
    </row>
    <row r="589829">
      <c r="D589829" t="inlineStr">
        <is>
          <t>Percent change</t>
        </is>
      </c>
    </row>
    <row r="589830">
      <c r="D589830" t="inlineStr">
        <is>
          <t>Units</t>
        </is>
      </c>
    </row>
    <row r="589831">
      <c r="D589831" t="inlineStr">
        <is>
          <t>See notes for:  Gross domestic product, constant prices (National currency).</t>
        </is>
      </c>
    </row>
    <row r="589832">
      <c r="D589832" t="n">
        <v>1.865</v>
      </c>
    </row>
    <row r="589833">
      <c r="D589833" t="n">
        <v>4.769</v>
      </c>
    </row>
    <row r="589834">
      <c r="D589834" t="n">
        <v>5.487</v>
      </c>
    </row>
    <row r="589835">
      <c r="D589835" t="n">
        <v>11.228</v>
      </c>
    </row>
    <row r="589836">
      <c r="D589836" t="n">
        <v>5.796</v>
      </c>
    </row>
    <row r="589837">
      <c r="D589837" t="n">
        <v>9.587999999999999</v>
      </c>
    </row>
    <row r="589838">
      <c r="D589838" t="n">
        <v>9.42</v>
      </c>
    </row>
    <row r="589839">
      <c r="D589839" t="n">
        <v>12.579</v>
      </c>
    </row>
    <row r="589840">
      <c r="D589840" t="n">
        <v>2.419</v>
      </c>
    </row>
    <row r="589841">
      <c r="D589841" t="n">
        <v>-3.651</v>
      </c>
    </row>
    <row r="589842">
      <c r="D589842" t="n">
        <v>6.942</v>
      </c>
    </row>
    <row r="589843">
      <c r="D589843" t="n">
        <v>7.949</v>
      </c>
    </row>
    <row r="589844">
      <c r="D589844" t="n">
        <v>6.579</v>
      </c>
    </row>
    <row r="589845">
      <c r="D589845" t="n">
        <v>5.134</v>
      </c>
    </row>
    <row r="589846">
      <c r="D589846" t="n">
        <v>4.091</v>
      </c>
    </row>
    <row r="589847">
      <c r="D589847" t="n">
        <v>3.351</v>
      </c>
    </row>
    <row r="589848">
      <c r="D589848" t="n">
        <v>3.45</v>
      </c>
    </row>
    <row r="589849">
      <c r="D589849" t="n">
        <v>5.161</v>
      </c>
    </row>
    <row r="589850">
      <c r="D589850" t="n">
        <v>6.062</v>
      </c>
    </row>
    <row r="589851">
      <c r="D589851" t="n">
        <v>5.38</v>
      </c>
    </row>
    <row r="589852">
      <c r="D589852" t="n">
        <v>-6.291</v>
      </c>
    </row>
    <row r="589853">
      <c r="D589853" t="n">
        <v>10.644</v>
      </c>
    </row>
    <row r="589854">
      <c r="D589854" t="n">
        <v>10.96</v>
      </c>
    </row>
    <row r="589855">
      <c r="D589855" t="n">
        <v>7.832</v>
      </c>
    </row>
    <row r="589856">
      <c r="D589856" t="n">
        <v>9.429</v>
      </c>
    </row>
    <row r="589857">
      <c r="D589857" t="n">
        <v>5.977</v>
      </c>
    </row>
    <row r="589858">
      <c r="D589858" t="n">
        <v>5</v>
      </c>
    </row>
    <row r="589859">
      <c r="D589859" t="n">
        <v>5</v>
      </c>
    </row>
    <row r="589860">
      <c r="D589860" t="n">
        <v>2024</v>
      </c>
    </row>
    <row r="606209">
      <c r="D606209" t="n">
        <v>915</v>
      </c>
    </row>
    <row r="606210">
      <c r="D606210" t="inlineStr">
        <is>
          <t>NGDP_RPCH</t>
        </is>
      </c>
    </row>
    <row r="606211">
      <c r="D606211" t="inlineStr">
        <is>
          <t>Georgia</t>
        </is>
      </c>
    </row>
    <row r="606212">
      <c r="D606212" t="inlineStr">
        <is>
          <t>Gross domestic product, constant prices</t>
        </is>
      </c>
    </row>
    <row r="606213">
      <c r="D606213" t="inlineStr">
        <is>
          <t>Percent change</t>
        </is>
      </c>
    </row>
    <row r="606214">
      <c r="D606214" t="inlineStr">
        <is>
          <t>Units</t>
        </is>
      </c>
    </row>
    <row r="606215">
      <c r="D606215" t="inlineStr">
        <is>
          <t>See notes for:  Gross domestic product, constant prices (National currency).</t>
        </is>
      </c>
    </row>
    <row r="606216">
      <c r="D606216" t="n">
        <v>1.865</v>
      </c>
    </row>
    <row r="606217">
      <c r="D606217" t="n">
        <v>4.769</v>
      </c>
    </row>
    <row r="606218">
      <c r="D606218" t="n">
        <v>5.487</v>
      </c>
    </row>
    <row r="606219">
      <c r="D606219" t="n">
        <v>11.228</v>
      </c>
    </row>
    <row r="606220">
      <c r="D606220" t="n">
        <v>5.796</v>
      </c>
    </row>
    <row r="606221">
      <c r="D606221" t="n">
        <v>9.587999999999999</v>
      </c>
    </row>
    <row r="606222">
      <c r="D606222" t="n">
        <v>9.42</v>
      </c>
    </row>
    <row r="606223">
      <c r="D606223" t="n">
        <v>12.579</v>
      </c>
    </row>
    <row r="606224">
      <c r="D606224" t="n">
        <v>2.419</v>
      </c>
    </row>
    <row r="606225">
      <c r="D606225" t="n">
        <v>-3.651</v>
      </c>
    </row>
    <row r="606226">
      <c r="D606226" t="n">
        <v>6.942</v>
      </c>
    </row>
    <row r="606227">
      <c r="D606227" t="n">
        <v>7.949</v>
      </c>
    </row>
    <row r="606228">
      <c r="D606228" t="n">
        <v>6.579</v>
      </c>
    </row>
    <row r="606229">
      <c r="D606229" t="n">
        <v>5.134</v>
      </c>
    </row>
    <row r="606230">
      <c r="D606230" t="n">
        <v>4.091</v>
      </c>
    </row>
    <row r="606231">
      <c r="D606231" t="n">
        <v>3.351</v>
      </c>
    </row>
    <row r="606232">
      <c r="D606232" t="n">
        <v>3.45</v>
      </c>
    </row>
    <row r="606233">
      <c r="D606233" t="n">
        <v>5.161</v>
      </c>
    </row>
    <row r="606234">
      <c r="D606234" t="n">
        <v>6.062</v>
      </c>
    </row>
    <row r="606235">
      <c r="D606235" t="n">
        <v>5.38</v>
      </c>
    </row>
    <row r="606236">
      <c r="D606236" t="n">
        <v>-6.291</v>
      </c>
    </row>
    <row r="606237">
      <c r="D606237" t="n">
        <v>10.644</v>
      </c>
    </row>
    <row r="606238">
      <c r="D606238" t="n">
        <v>10.96</v>
      </c>
    </row>
    <row r="606239">
      <c r="D606239" t="n">
        <v>7.832</v>
      </c>
    </row>
    <row r="606240">
      <c r="D606240" t="n">
        <v>9.429</v>
      </c>
    </row>
    <row r="606241">
      <c r="D606241" t="n">
        <v>5.977</v>
      </c>
    </row>
    <row r="606242">
      <c r="D606242" t="n">
        <v>5</v>
      </c>
    </row>
    <row r="606243">
      <c r="D606243" t="n">
        <v>5</v>
      </c>
    </row>
    <row r="606244">
      <c r="D606244" t="n">
        <v>2024</v>
      </c>
    </row>
    <row r="622593">
      <c r="D622593" t="n">
        <v>915</v>
      </c>
    </row>
    <row r="622594">
      <c r="D622594" t="inlineStr">
        <is>
          <t>NGDP_RPCH</t>
        </is>
      </c>
    </row>
    <row r="622595">
      <c r="D622595" t="inlineStr">
        <is>
          <t>Georgia</t>
        </is>
      </c>
    </row>
    <row r="622596">
      <c r="D622596" t="inlineStr">
        <is>
          <t>Gross domestic product, constant prices</t>
        </is>
      </c>
    </row>
    <row r="622597">
      <c r="D622597" t="inlineStr">
        <is>
          <t>Percent change</t>
        </is>
      </c>
    </row>
    <row r="622598">
      <c r="D622598" t="inlineStr">
        <is>
          <t>Units</t>
        </is>
      </c>
    </row>
    <row r="622599">
      <c r="D622599" t="inlineStr">
        <is>
          <t>See notes for:  Gross domestic product, constant prices (National currency).</t>
        </is>
      </c>
    </row>
    <row r="622600">
      <c r="D622600" t="n">
        <v>1.865</v>
      </c>
    </row>
    <row r="622601">
      <c r="D622601" t="n">
        <v>4.769</v>
      </c>
    </row>
    <row r="622602">
      <c r="D622602" t="n">
        <v>5.487</v>
      </c>
    </row>
    <row r="622603">
      <c r="D622603" t="n">
        <v>11.228</v>
      </c>
    </row>
    <row r="622604">
      <c r="D622604" t="n">
        <v>5.796</v>
      </c>
    </row>
    <row r="622605">
      <c r="D622605" t="n">
        <v>9.587999999999999</v>
      </c>
    </row>
    <row r="622606">
      <c r="D622606" t="n">
        <v>9.42</v>
      </c>
    </row>
    <row r="622607">
      <c r="D622607" t="n">
        <v>12.579</v>
      </c>
    </row>
    <row r="622608">
      <c r="D622608" t="n">
        <v>2.419</v>
      </c>
    </row>
    <row r="622609">
      <c r="D622609" t="n">
        <v>-3.651</v>
      </c>
    </row>
    <row r="622610">
      <c r="D622610" t="n">
        <v>6.942</v>
      </c>
    </row>
    <row r="622611">
      <c r="D622611" t="n">
        <v>7.949</v>
      </c>
    </row>
    <row r="622612">
      <c r="D622612" t="n">
        <v>6.579</v>
      </c>
    </row>
    <row r="622613">
      <c r="D622613" t="n">
        <v>5.134</v>
      </c>
    </row>
    <row r="622614">
      <c r="D622614" t="n">
        <v>4.091</v>
      </c>
    </row>
    <row r="622615">
      <c r="D622615" t="n">
        <v>3.351</v>
      </c>
    </row>
    <row r="622616">
      <c r="D622616" t="n">
        <v>3.45</v>
      </c>
    </row>
    <row r="622617">
      <c r="D622617" t="n">
        <v>5.161</v>
      </c>
    </row>
    <row r="622618">
      <c r="D622618" t="n">
        <v>6.062</v>
      </c>
    </row>
    <row r="622619">
      <c r="D622619" t="n">
        <v>5.38</v>
      </c>
    </row>
    <row r="622620">
      <c r="D622620" t="n">
        <v>-6.291</v>
      </c>
    </row>
    <row r="622621">
      <c r="D622621" t="n">
        <v>10.644</v>
      </c>
    </row>
    <row r="622622">
      <c r="D622622" t="n">
        <v>10.96</v>
      </c>
    </row>
    <row r="622623">
      <c r="D622623" t="n">
        <v>7.832</v>
      </c>
    </row>
    <row r="622624">
      <c r="D622624" t="n">
        <v>9.429</v>
      </c>
    </row>
    <row r="622625">
      <c r="D622625" t="n">
        <v>5.977</v>
      </c>
    </row>
    <row r="622626">
      <c r="D622626" t="n">
        <v>5</v>
      </c>
    </row>
    <row r="622627">
      <c r="D622627" t="n">
        <v>5</v>
      </c>
    </row>
    <row r="622628">
      <c r="D622628" t="n">
        <v>2024</v>
      </c>
    </row>
    <row r="638977">
      <c r="D638977" t="n">
        <v>915</v>
      </c>
    </row>
    <row r="638978">
      <c r="D638978" t="inlineStr">
        <is>
          <t>NGDP_RPCH</t>
        </is>
      </c>
    </row>
    <row r="638979">
      <c r="D638979" t="inlineStr">
        <is>
          <t>Georgia</t>
        </is>
      </c>
    </row>
    <row r="638980">
      <c r="D638980" t="inlineStr">
        <is>
          <t>Gross domestic product, constant prices</t>
        </is>
      </c>
    </row>
    <row r="638981">
      <c r="D638981" t="inlineStr">
        <is>
          <t>Percent change</t>
        </is>
      </c>
    </row>
    <row r="638982">
      <c r="D638982" t="inlineStr">
        <is>
          <t>Units</t>
        </is>
      </c>
    </row>
    <row r="638983">
      <c r="D638983" t="inlineStr">
        <is>
          <t>See notes for:  Gross domestic product, constant prices (National currency).</t>
        </is>
      </c>
    </row>
    <row r="638984">
      <c r="D638984" t="n">
        <v>1.865</v>
      </c>
    </row>
    <row r="638985">
      <c r="D638985" t="n">
        <v>4.769</v>
      </c>
    </row>
    <row r="638986">
      <c r="D638986" t="n">
        <v>5.487</v>
      </c>
    </row>
    <row r="638987">
      <c r="D638987" t="n">
        <v>11.228</v>
      </c>
    </row>
    <row r="638988">
      <c r="D638988" t="n">
        <v>5.796</v>
      </c>
    </row>
    <row r="638989">
      <c r="D638989" t="n">
        <v>9.587999999999999</v>
      </c>
    </row>
    <row r="638990">
      <c r="D638990" t="n">
        <v>9.42</v>
      </c>
    </row>
    <row r="638991">
      <c r="D638991" t="n">
        <v>12.579</v>
      </c>
    </row>
    <row r="638992">
      <c r="D638992" t="n">
        <v>2.419</v>
      </c>
    </row>
    <row r="638993">
      <c r="D638993" t="n">
        <v>-3.651</v>
      </c>
    </row>
    <row r="638994">
      <c r="D638994" t="n">
        <v>6.942</v>
      </c>
    </row>
    <row r="638995">
      <c r="D638995" t="n">
        <v>7.949</v>
      </c>
    </row>
    <row r="638996">
      <c r="D638996" t="n">
        <v>6.579</v>
      </c>
    </row>
    <row r="638997">
      <c r="D638997" t="n">
        <v>5.134</v>
      </c>
    </row>
    <row r="638998">
      <c r="D638998" t="n">
        <v>4.091</v>
      </c>
    </row>
    <row r="638999">
      <c r="D638999" t="n">
        <v>3.351</v>
      </c>
    </row>
    <row r="639000">
      <c r="D639000" t="n">
        <v>3.45</v>
      </c>
    </row>
    <row r="639001">
      <c r="D639001" t="n">
        <v>5.161</v>
      </c>
    </row>
    <row r="639002">
      <c r="D639002" t="n">
        <v>6.062</v>
      </c>
    </row>
    <row r="639003">
      <c r="D639003" t="n">
        <v>5.38</v>
      </c>
    </row>
    <row r="639004">
      <c r="D639004" t="n">
        <v>-6.291</v>
      </c>
    </row>
    <row r="639005">
      <c r="D639005" t="n">
        <v>10.644</v>
      </c>
    </row>
    <row r="639006">
      <c r="D639006" t="n">
        <v>10.96</v>
      </c>
    </row>
    <row r="639007">
      <c r="D639007" t="n">
        <v>7.832</v>
      </c>
    </row>
    <row r="639008">
      <c r="D639008" t="n">
        <v>9.429</v>
      </c>
    </row>
    <row r="639009">
      <c r="D639009" t="n">
        <v>5.977</v>
      </c>
    </row>
    <row r="639010">
      <c r="D639010" t="n">
        <v>5</v>
      </c>
    </row>
    <row r="639011">
      <c r="D639011" t="n">
        <v>5</v>
      </c>
    </row>
    <row r="639012">
      <c r="D639012" t="n">
        <v>2024</v>
      </c>
    </row>
    <row r="655361">
      <c r="D655361" t="n">
        <v>915</v>
      </c>
    </row>
    <row r="655362">
      <c r="D655362" t="inlineStr">
        <is>
          <t>NGDP_RPCH</t>
        </is>
      </c>
    </row>
    <row r="655363">
      <c r="D655363" t="inlineStr">
        <is>
          <t>Georgia</t>
        </is>
      </c>
    </row>
    <row r="655364">
      <c r="D655364" t="inlineStr">
        <is>
          <t>Gross domestic product, constant prices</t>
        </is>
      </c>
    </row>
    <row r="655365">
      <c r="D655365" t="inlineStr">
        <is>
          <t>Percent change</t>
        </is>
      </c>
    </row>
    <row r="655366">
      <c r="D655366" t="inlineStr">
        <is>
          <t>Units</t>
        </is>
      </c>
    </row>
    <row r="655367">
      <c r="D655367" t="inlineStr">
        <is>
          <t>See notes for:  Gross domestic product, constant prices (National currency).</t>
        </is>
      </c>
    </row>
    <row r="655368">
      <c r="D655368" t="n">
        <v>1.865</v>
      </c>
    </row>
    <row r="655369">
      <c r="D655369" t="n">
        <v>4.769</v>
      </c>
    </row>
    <row r="655370">
      <c r="D655370" t="n">
        <v>5.487</v>
      </c>
    </row>
    <row r="655371">
      <c r="D655371" t="n">
        <v>11.228</v>
      </c>
    </row>
    <row r="655372">
      <c r="D655372" t="n">
        <v>5.796</v>
      </c>
    </row>
    <row r="655373">
      <c r="D655373" t="n">
        <v>9.587999999999999</v>
      </c>
    </row>
    <row r="655374">
      <c r="D655374" t="n">
        <v>9.42</v>
      </c>
    </row>
    <row r="655375">
      <c r="D655375" t="n">
        <v>12.579</v>
      </c>
    </row>
    <row r="655376">
      <c r="D655376" t="n">
        <v>2.419</v>
      </c>
    </row>
    <row r="655377">
      <c r="D655377" t="n">
        <v>-3.651</v>
      </c>
    </row>
    <row r="655378">
      <c r="D655378" t="n">
        <v>6.942</v>
      </c>
    </row>
    <row r="655379">
      <c r="D655379" t="n">
        <v>7.949</v>
      </c>
    </row>
    <row r="655380">
      <c r="D655380" t="n">
        <v>6.579</v>
      </c>
    </row>
    <row r="655381">
      <c r="D655381" t="n">
        <v>5.134</v>
      </c>
    </row>
    <row r="655382">
      <c r="D655382" t="n">
        <v>4.091</v>
      </c>
    </row>
    <row r="655383">
      <c r="D655383" t="n">
        <v>3.351</v>
      </c>
    </row>
    <row r="655384">
      <c r="D655384" t="n">
        <v>3.45</v>
      </c>
    </row>
    <row r="655385">
      <c r="D655385" t="n">
        <v>5.161</v>
      </c>
    </row>
    <row r="655386">
      <c r="D655386" t="n">
        <v>6.062</v>
      </c>
    </row>
    <row r="655387">
      <c r="D655387" t="n">
        <v>5.38</v>
      </c>
    </row>
    <row r="655388">
      <c r="D655388" t="n">
        <v>-6.291</v>
      </c>
    </row>
    <row r="655389">
      <c r="D655389" t="n">
        <v>10.644</v>
      </c>
    </row>
    <row r="655390">
      <c r="D655390" t="n">
        <v>10.96</v>
      </c>
    </row>
    <row r="655391">
      <c r="D655391" t="n">
        <v>7.832</v>
      </c>
    </row>
    <row r="655392">
      <c r="D655392" t="n">
        <v>9.429</v>
      </c>
    </row>
    <row r="655393">
      <c r="D655393" t="n">
        <v>5.977</v>
      </c>
    </row>
    <row r="655394">
      <c r="D655394" t="n">
        <v>5</v>
      </c>
    </row>
    <row r="655395">
      <c r="D655395" t="n">
        <v>5</v>
      </c>
    </row>
    <row r="655396">
      <c r="D655396" t="n">
        <v>2024</v>
      </c>
    </row>
    <row r="671745">
      <c r="D671745" t="n">
        <v>915</v>
      </c>
    </row>
    <row r="671746">
      <c r="D671746" t="inlineStr">
        <is>
          <t>NGDP_RPCH</t>
        </is>
      </c>
    </row>
    <row r="671747">
      <c r="D671747" t="inlineStr">
        <is>
          <t>Georgia</t>
        </is>
      </c>
    </row>
    <row r="671748">
      <c r="D671748" t="inlineStr">
        <is>
          <t>Gross domestic product, constant prices</t>
        </is>
      </c>
    </row>
    <row r="671749">
      <c r="D671749" t="inlineStr">
        <is>
          <t>Percent change</t>
        </is>
      </c>
    </row>
    <row r="671750">
      <c r="D671750" t="inlineStr">
        <is>
          <t>Units</t>
        </is>
      </c>
    </row>
    <row r="671751">
      <c r="D671751" t="inlineStr">
        <is>
          <t>See notes for:  Gross domestic product, constant prices (National currency).</t>
        </is>
      </c>
    </row>
    <row r="671752">
      <c r="D671752" t="n">
        <v>1.865</v>
      </c>
    </row>
    <row r="671753">
      <c r="D671753" t="n">
        <v>4.769</v>
      </c>
    </row>
    <row r="671754">
      <c r="D671754" t="n">
        <v>5.487</v>
      </c>
    </row>
    <row r="671755">
      <c r="D671755" t="n">
        <v>11.228</v>
      </c>
    </row>
    <row r="671756">
      <c r="D671756" t="n">
        <v>5.796</v>
      </c>
    </row>
    <row r="671757">
      <c r="D671757" t="n">
        <v>9.587999999999999</v>
      </c>
    </row>
    <row r="671758">
      <c r="D671758" t="n">
        <v>9.42</v>
      </c>
    </row>
    <row r="671759">
      <c r="D671759" t="n">
        <v>12.579</v>
      </c>
    </row>
    <row r="671760">
      <c r="D671760" t="n">
        <v>2.419</v>
      </c>
    </row>
    <row r="671761">
      <c r="D671761" t="n">
        <v>-3.651</v>
      </c>
    </row>
    <row r="671762">
      <c r="D671762" t="n">
        <v>6.942</v>
      </c>
    </row>
    <row r="671763">
      <c r="D671763" t="n">
        <v>7.949</v>
      </c>
    </row>
    <row r="671764">
      <c r="D671764" t="n">
        <v>6.579</v>
      </c>
    </row>
    <row r="671765">
      <c r="D671765" t="n">
        <v>5.134</v>
      </c>
    </row>
    <row r="671766">
      <c r="D671766" t="n">
        <v>4.091</v>
      </c>
    </row>
    <row r="671767">
      <c r="D671767" t="n">
        <v>3.351</v>
      </c>
    </row>
    <row r="671768">
      <c r="D671768" t="n">
        <v>3.45</v>
      </c>
    </row>
    <row r="671769">
      <c r="D671769" t="n">
        <v>5.161</v>
      </c>
    </row>
    <row r="671770">
      <c r="D671770" t="n">
        <v>6.062</v>
      </c>
    </row>
    <row r="671771">
      <c r="D671771" t="n">
        <v>5.38</v>
      </c>
    </row>
    <row r="671772">
      <c r="D671772" t="n">
        <v>-6.291</v>
      </c>
    </row>
    <row r="671773">
      <c r="D671773" t="n">
        <v>10.644</v>
      </c>
    </row>
    <row r="671774">
      <c r="D671774" t="n">
        <v>10.96</v>
      </c>
    </row>
    <row r="671775">
      <c r="D671775" t="n">
        <v>7.832</v>
      </c>
    </row>
    <row r="671776">
      <c r="D671776" t="n">
        <v>9.429</v>
      </c>
    </row>
    <row r="671777">
      <c r="D671777" t="n">
        <v>5.977</v>
      </c>
    </row>
    <row r="671778">
      <c r="D671778" t="n">
        <v>5</v>
      </c>
    </row>
    <row r="671779">
      <c r="D671779" t="n">
        <v>5</v>
      </c>
    </row>
    <row r="671780">
      <c r="D671780" t="n">
        <v>2024</v>
      </c>
    </row>
    <row r="688129">
      <c r="D688129" t="n">
        <v>915</v>
      </c>
    </row>
    <row r="688130">
      <c r="D688130" t="inlineStr">
        <is>
          <t>NGDP_RPCH</t>
        </is>
      </c>
    </row>
    <row r="688131">
      <c r="D688131" t="inlineStr">
        <is>
          <t>Georgia</t>
        </is>
      </c>
    </row>
    <row r="688132">
      <c r="D688132" t="inlineStr">
        <is>
          <t>Gross domestic product, constant prices</t>
        </is>
      </c>
    </row>
    <row r="688133">
      <c r="D688133" t="inlineStr">
        <is>
          <t>Percent change</t>
        </is>
      </c>
    </row>
    <row r="688134">
      <c r="D688134" t="inlineStr">
        <is>
          <t>Units</t>
        </is>
      </c>
    </row>
    <row r="688135">
      <c r="D688135" t="inlineStr">
        <is>
          <t>See notes for:  Gross domestic product, constant prices (National currency).</t>
        </is>
      </c>
    </row>
    <row r="688136">
      <c r="D688136" t="n">
        <v>1.865</v>
      </c>
    </row>
    <row r="688137">
      <c r="D688137" t="n">
        <v>4.769</v>
      </c>
    </row>
    <row r="688138">
      <c r="D688138" t="n">
        <v>5.487</v>
      </c>
    </row>
    <row r="688139">
      <c r="D688139" t="n">
        <v>11.228</v>
      </c>
    </row>
    <row r="688140">
      <c r="D688140" t="n">
        <v>5.796</v>
      </c>
    </row>
    <row r="688141">
      <c r="D688141" t="n">
        <v>9.587999999999999</v>
      </c>
    </row>
    <row r="688142">
      <c r="D688142" t="n">
        <v>9.42</v>
      </c>
    </row>
    <row r="688143">
      <c r="D688143" t="n">
        <v>12.579</v>
      </c>
    </row>
    <row r="688144">
      <c r="D688144" t="n">
        <v>2.419</v>
      </c>
    </row>
    <row r="688145">
      <c r="D688145" t="n">
        <v>-3.651</v>
      </c>
    </row>
    <row r="688146">
      <c r="D688146" t="n">
        <v>6.942</v>
      </c>
    </row>
    <row r="688147">
      <c r="D688147" t="n">
        <v>7.949</v>
      </c>
    </row>
    <row r="688148">
      <c r="D688148" t="n">
        <v>6.579</v>
      </c>
    </row>
    <row r="688149">
      <c r="D688149" t="n">
        <v>5.134</v>
      </c>
    </row>
    <row r="688150">
      <c r="D688150" t="n">
        <v>4.091</v>
      </c>
    </row>
    <row r="688151">
      <c r="D688151" t="n">
        <v>3.351</v>
      </c>
    </row>
    <row r="688152">
      <c r="D688152" t="n">
        <v>3.45</v>
      </c>
    </row>
    <row r="688153">
      <c r="D688153" t="n">
        <v>5.161</v>
      </c>
    </row>
    <row r="688154">
      <c r="D688154" t="n">
        <v>6.062</v>
      </c>
    </row>
    <row r="688155">
      <c r="D688155" t="n">
        <v>5.38</v>
      </c>
    </row>
    <row r="688156">
      <c r="D688156" t="n">
        <v>-6.291</v>
      </c>
    </row>
    <row r="688157">
      <c r="D688157" t="n">
        <v>10.644</v>
      </c>
    </row>
    <row r="688158">
      <c r="D688158" t="n">
        <v>10.96</v>
      </c>
    </row>
    <row r="688159">
      <c r="D688159" t="n">
        <v>7.832</v>
      </c>
    </row>
    <row r="688160">
      <c r="D688160" t="n">
        <v>9.429</v>
      </c>
    </row>
    <row r="688161">
      <c r="D688161" t="n">
        <v>5.977</v>
      </c>
    </row>
    <row r="688162">
      <c r="D688162" t="n">
        <v>5</v>
      </c>
    </row>
    <row r="688163">
      <c r="D688163" t="n">
        <v>5</v>
      </c>
    </row>
    <row r="688164">
      <c r="D688164" t="n">
        <v>2024</v>
      </c>
    </row>
    <row r="704513">
      <c r="D704513" t="n">
        <v>915</v>
      </c>
    </row>
    <row r="704514">
      <c r="D704514" t="inlineStr">
        <is>
          <t>NGDP_RPCH</t>
        </is>
      </c>
    </row>
    <row r="704515">
      <c r="D704515" t="inlineStr">
        <is>
          <t>Georgia</t>
        </is>
      </c>
    </row>
    <row r="704516">
      <c r="D704516" t="inlineStr">
        <is>
          <t>Gross domestic product, constant prices</t>
        </is>
      </c>
    </row>
    <row r="704517">
      <c r="D704517" t="inlineStr">
        <is>
          <t>Percent change</t>
        </is>
      </c>
    </row>
    <row r="704518">
      <c r="D704518" t="inlineStr">
        <is>
          <t>Units</t>
        </is>
      </c>
    </row>
    <row r="704519">
      <c r="D704519" t="inlineStr">
        <is>
          <t>See notes for:  Gross domestic product, constant prices (National currency).</t>
        </is>
      </c>
    </row>
    <row r="704520">
      <c r="D704520" t="n">
        <v>1.865</v>
      </c>
    </row>
    <row r="704521">
      <c r="D704521" t="n">
        <v>4.769</v>
      </c>
    </row>
    <row r="704522">
      <c r="D704522" t="n">
        <v>5.487</v>
      </c>
    </row>
    <row r="704523">
      <c r="D704523" t="n">
        <v>11.228</v>
      </c>
    </row>
    <row r="704524">
      <c r="D704524" t="n">
        <v>5.796</v>
      </c>
    </row>
    <row r="704525">
      <c r="D704525" t="n">
        <v>9.587999999999999</v>
      </c>
    </row>
    <row r="704526">
      <c r="D704526" t="n">
        <v>9.42</v>
      </c>
    </row>
    <row r="704527">
      <c r="D704527" t="n">
        <v>12.579</v>
      </c>
    </row>
    <row r="704528">
      <c r="D704528" t="n">
        <v>2.419</v>
      </c>
    </row>
    <row r="704529">
      <c r="D704529" t="n">
        <v>-3.651</v>
      </c>
    </row>
    <row r="704530">
      <c r="D704530" t="n">
        <v>6.942</v>
      </c>
    </row>
    <row r="704531">
      <c r="D704531" t="n">
        <v>7.949</v>
      </c>
    </row>
    <row r="704532">
      <c r="D704532" t="n">
        <v>6.579</v>
      </c>
    </row>
    <row r="704533">
      <c r="D704533" t="n">
        <v>5.134</v>
      </c>
    </row>
    <row r="704534">
      <c r="D704534" t="n">
        <v>4.091</v>
      </c>
    </row>
    <row r="704535">
      <c r="D704535" t="n">
        <v>3.351</v>
      </c>
    </row>
    <row r="704536">
      <c r="D704536" t="n">
        <v>3.45</v>
      </c>
    </row>
    <row r="704537">
      <c r="D704537" t="n">
        <v>5.161</v>
      </c>
    </row>
    <row r="704538">
      <c r="D704538" t="n">
        <v>6.062</v>
      </c>
    </row>
    <row r="704539">
      <c r="D704539" t="n">
        <v>5.38</v>
      </c>
    </row>
    <row r="704540">
      <c r="D704540" t="n">
        <v>-6.291</v>
      </c>
    </row>
    <row r="704541">
      <c r="D704541" t="n">
        <v>10.644</v>
      </c>
    </row>
    <row r="704542">
      <c r="D704542" t="n">
        <v>10.96</v>
      </c>
    </row>
    <row r="704543">
      <c r="D704543" t="n">
        <v>7.832</v>
      </c>
    </row>
    <row r="704544">
      <c r="D704544" t="n">
        <v>9.429</v>
      </c>
    </row>
    <row r="704545">
      <c r="D704545" t="n">
        <v>5.977</v>
      </c>
    </row>
    <row r="704546">
      <c r="D704546" t="n">
        <v>5</v>
      </c>
    </row>
    <row r="704547">
      <c r="D704547" t="n">
        <v>5</v>
      </c>
    </row>
    <row r="704548">
      <c r="D704548" t="n">
        <v>2024</v>
      </c>
    </row>
    <row r="720897">
      <c r="D720897" t="n">
        <v>915</v>
      </c>
    </row>
    <row r="720898">
      <c r="D720898" t="inlineStr">
        <is>
          <t>NGDP_RPCH</t>
        </is>
      </c>
    </row>
    <row r="720899">
      <c r="D720899" t="inlineStr">
        <is>
          <t>Georgia</t>
        </is>
      </c>
    </row>
    <row r="720900">
      <c r="D720900" t="inlineStr">
        <is>
          <t>Gross domestic product, constant prices</t>
        </is>
      </c>
    </row>
    <row r="720901">
      <c r="D720901" t="inlineStr">
        <is>
          <t>Percent change</t>
        </is>
      </c>
    </row>
    <row r="720902">
      <c r="D720902" t="inlineStr">
        <is>
          <t>Units</t>
        </is>
      </c>
    </row>
    <row r="720903">
      <c r="D720903" t="inlineStr">
        <is>
          <t>See notes for:  Gross domestic product, constant prices (National currency).</t>
        </is>
      </c>
    </row>
    <row r="720904">
      <c r="D720904" t="n">
        <v>1.865</v>
      </c>
    </row>
    <row r="720905">
      <c r="D720905" t="n">
        <v>4.769</v>
      </c>
    </row>
    <row r="720906">
      <c r="D720906" t="n">
        <v>5.487</v>
      </c>
    </row>
    <row r="720907">
      <c r="D720907" t="n">
        <v>11.228</v>
      </c>
    </row>
    <row r="720908">
      <c r="D720908" t="n">
        <v>5.796</v>
      </c>
    </row>
    <row r="720909">
      <c r="D720909" t="n">
        <v>9.587999999999999</v>
      </c>
    </row>
    <row r="720910">
      <c r="D720910" t="n">
        <v>9.42</v>
      </c>
    </row>
    <row r="720911">
      <c r="D720911" t="n">
        <v>12.579</v>
      </c>
    </row>
    <row r="720912">
      <c r="D720912" t="n">
        <v>2.419</v>
      </c>
    </row>
    <row r="720913">
      <c r="D720913" t="n">
        <v>-3.651</v>
      </c>
    </row>
    <row r="720914">
      <c r="D720914" t="n">
        <v>6.942</v>
      </c>
    </row>
    <row r="720915">
      <c r="D720915" t="n">
        <v>7.949</v>
      </c>
    </row>
    <row r="720916">
      <c r="D720916" t="n">
        <v>6.579</v>
      </c>
    </row>
    <row r="720917">
      <c r="D720917" t="n">
        <v>5.134</v>
      </c>
    </row>
    <row r="720918">
      <c r="D720918" t="n">
        <v>4.091</v>
      </c>
    </row>
    <row r="720919">
      <c r="D720919" t="n">
        <v>3.351</v>
      </c>
    </row>
    <row r="720920">
      <c r="D720920" t="n">
        <v>3.45</v>
      </c>
    </row>
    <row r="720921">
      <c r="D720921" t="n">
        <v>5.161</v>
      </c>
    </row>
    <row r="720922">
      <c r="D720922" t="n">
        <v>6.062</v>
      </c>
    </row>
    <row r="720923">
      <c r="D720923" t="n">
        <v>5.38</v>
      </c>
    </row>
    <row r="720924">
      <c r="D720924" t="n">
        <v>-6.291</v>
      </c>
    </row>
    <row r="720925">
      <c r="D720925" t="n">
        <v>10.644</v>
      </c>
    </row>
    <row r="720926">
      <c r="D720926" t="n">
        <v>10.96</v>
      </c>
    </row>
    <row r="720927">
      <c r="D720927" t="n">
        <v>7.832</v>
      </c>
    </row>
    <row r="720928">
      <c r="D720928" t="n">
        <v>9.429</v>
      </c>
    </row>
    <row r="720929">
      <c r="D720929" t="n">
        <v>5.977</v>
      </c>
    </row>
    <row r="720930">
      <c r="D720930" t="n">
        <v>5</v>
      </c>
    </row>
    <row r="720931">
      <c r="D720931" t="n">
        <v>5</v>
      </c>
    </row>
    <row r="720932">
      <c r="D720932" t="n">
        <v>2024</v>
      </c>
    </row>
    <row r="737281">
      <c r="D737281" t="n">
        <v>915</v>
      </c>
    </row>
    <row r="737282">
      <c r="D737282" t="inlineStr">
        <is>
          <t>NGDP_RPCH</t>
        </is>
      </c>
    </row>
    <row r="737283">
      <c r="D737283" t="inlineStr">
        <is>
          <t>Georgia</t>
        </is>
      </c>
    </row>
    <row r="737284">
      <c r="D737284" t="inlineStr">
        <is>
          <t>Gross domestic product, constant prices</t>
        </is>
      </c>
    </row>
    <row r="737285">
      <c r="D737285" t="inlineStr">
        <is>
          <t>Percent change</t>
        </is>
      </c>
    </row>
    <row r="737286">
      <c r="D737286" t="inlineStr">
        <is>
          <t>Units</t>
        </is>
      </c>
    </row>
    <row r="737287">
      <c r="D737287" t="inlineStr">
        <is>
          <t>See notes for:  Gross domestic product, constant prices (National currency).</t>
        </is>
      </c>
    </row>
    <row r="737288">
      <c r="D737288" t="n">
        <v>1.865</v>
      </c>
    </row>
    <row r="737289">
      <c r="D737289" t="n">
        <v>4.769</v>
      </c>
    </row>
    <row r="737290">
      <c r="D737290" t="n">
        <v>5.487</v>
      </c>
    </row>
    <row r="737291">
      <c r="D737291" t="n">
        <v>11.228</v>
      </c>
    </row>
    <row r="737292">
      <c r="D737292" t="n">
        <v>5.796</v>
      </c>
    </row>
    <row r="737293">
      <c r="D737293" t="n">
        <v>9.587999999999999</v>
      </c>
    </row>
    <row r="737294">
      <c r="D737294" t="n">
        <v>9.42</v>
      </c>
    </row>
    <row r="737295">
      <c r="D737295" t="n">
        <v>12.579</v>
      </c>
    </row>
    <row r="737296">
      <c r="D737296" t="n">
        <v>2.419</v>
      </c>
    </row>
    <row r="737297">
      <c r="D737297" t="n">
        <v>-3.651</v>
      </c>
    </row>
    <row r="737298">
      <c r="D737298" t="n">
        <v>6.942</v>
      </c>
    </row>
    <row r="737299">
      <c r="D737299" t="n">
        <v>7.949</v>
      </c>
    </row>
    <row r="737300">
      <c r="D737300" t="n">
        <v>6.579</v>
      </c>
    </row>
    <row r="737301">
      <c r="D737301" t="n">
        <v>5.134</v>
      </c>
    </row>
    <row r="737302">
      <c r="D737302" t="n">
        <v>4.091</v>
      </c>
    </row>
    <row r="737303">
      <c r="D737303" t="n">
        <v>3.351</v>
      </c>
    </row>
    <row r="737304">
      <c r="D737304" t="n">
        <v>3.45</v>
      </c>
    </row>
    <row r="737305">
      <c r="D737305" t="n">
        <v>5.161</v>
      </c>
    </row>
    <row r="737306">
      <c r="D737306" t="n">
        <v>6.062</v>
      </c>
    </row>
    <row r="737307">
      <c r="D737307" t="n">
        <v>5.38</v>
      </c>
    </row>
    <row r="737308">
      <c r="D737308" t="n">
        <v>-6.291</v>
      </c>
    </row>
    <row r="737309">
      <c r="D737309" t="n">
        <v>10.644</v>
      </c>
    </row>
    <row r="737310">
      <c r="D737310" t="n">
        <v>10.96</v>
      </c>
    </row>
    <row r="737311">
      <c r="D737311" t="n">
        <v>7.832</v>
      </c>
    </row>
    <row r="737312">
      <c r="D737312" t="n">
        <v>9.429</v>
      </c>
    </row>
    <row r="737313">
      <c r="D737313" t="n">
        <v>5.977</v>
      </c>
    </row>
    <row r="737314">
      <c r="D737314" t="n">
        <v>5</v>
      </c>
    </row>
    <row r="737315">
      <c r="D737315" t="n">
        <v>5</v>
      </c>
    </row>
    <row r="737316">
      <c r="D737316" t="n">
        <v>2024</v>
      </c>
    </row>
    <row r="753665">
      <c r="D753665" t="n">
        <v>915</v>
      </c>
    </row>
    <row r="753666">
      <c r="D753666" t="inlineStr">
        <is>
          <t>NGDP_RPCH</t>
        </is>
      </c>
    </row>
    <row r="753667">
      <c r="D753667" t="inlineStr">
        <is>
          <t>Georgia</t>
        </is>
      </c>
    </row>
    <row r="753668">
      <c r="D753668" t="inlineStr">
        <is>
          <t>Gross domestic product, constant prices</t>
        </is>
      </c>
    </row>
    <row r="753669">
      <c r="D753669" t="inlineStr">
        <is>
          <t>Percent change</t>
        </is>
      </c>
    </row>
    <row r="753670">
      <c r="D753670" t="inlineStr">
        <is>
          <t>Units</t>
        </is>
      </c>
    </row>
    <row r="753671">
      <c r="D753671" t="inlineStr">
        <is>
          <t>See notes for:  Gross domestic product, constant prices (National currency).</t>
        </is>
      </c>
    </row>
    <row r="753672">
      <c r="D753672" t="n">
        <v>1.865</v>
      </c>
    </row>
    <row r="753673">
      <c r="D753673" t="n">
        <v>4.769</v>
      </c>
    </row>
    <row r="753674">
      <c r="D753674" t="n">
        <v>5.487</v>
      </c>
    </row>
    <row r="753675">
      <c r="D753675" t="n">
        <v>11.228</v>
      </c>
    </row>
    <row r="753676">
      <c r="D753676" t="n">
        <v>5.796</v>
      </c>
    </row>
    <row r="753677">
      <c r="D753677" t="n">
        <v>9.587999999999999</v>
      </c>
    </row>
    <row r="753678">
      <c r="D753678" t="n">
        <v>9.42</v>
      </c>
    </row>
    <row r="753679">
      <c r="D753679" t="n">
        <v>12.579</v>
      </c>
    </row>
    <row r="753680">
      <c r="D753680" t="n">
        <v>2.419</v>
      </c>
    </row>
    <row r="753681">
      <c r="D753681" t="n">
        <v>-3.651</v>
      </c>
    </row>
    <row r="753682">
      <c r="D753682" t="n">
        <v>6.942</v>
      </c>
    </row>
    <row r="753683">
      <c r="D753683" t="n">
        <v>7.949</v>
      </c>
    </row>
    <row r="753684">
      <c r="D753684" t="n">
        <v>6.579</v>
      </c>
    </row>
    <row r="753685">
      <c r="D753685" t="n">
        <v>5.134</v>
      </c>
    </row>
    <row r="753686">
      <c r="D753686" t="n">
        <v>4.091</v>
      </c>
    </row>
    <row r="753687">
      <c r="D753687" t="n">
        <v>3.351</v>
      </c>
    </row>
    <row r="753688">
      <c r="D753688" t="n">
        <v>3.45</v>
      </c>
    </row>
    <row r="753689">
      <c r="D753689" t="n">
        <v>5.161</v>
      </c>
    </row>
    <row r="753690">
      <c r="D753690" t="n">
        <v>6.062</v>
      </c>
    </row>
    <row r="753691">
      <c r="D753691" t="n">
        <v>5.38</v>
      </c>
    </row>
    <row r="753692">
      <c r="D753692" t="n">
        <v>-6.291</v>
      </c>
    </row>
    <row r="753693">
      <c r="D753693" t="n">
        <v>10.644</v>
      </c>
    </row>
    <row r="753694">
      <c r="D753694" t="n">
        <v>10.96</v>
      </c>
    </row>
    <row r="753695">
      <c r="D753695" t="n">
        <v>7.832</v>
      </c>
    </row>
    <row r="753696">
      <c r="D753696" t="n">
        <v>9.429</v>
      </c>
    </row>
    <row r="753697">
      <c r="D753697" t="n">
        <v>5.977</v>
      </c>
    </row>
    <row r="753698">
      <c r="D753698" t="n">
        <v>5</v>
      </c>
    </row>
    <row r="753699">
      <c r="D753699" t="n">
        <v>5</v>
      </c>
    </row>
    <row r="753700">
      <c r="D753700" t="n">
        <v>2024</v>
      </c>
    </row>
    <row r="770049">
      <c r="D770049" t="n">
        <v>915</v>
      </c>
    </row>
    <row r="770050">
      <c r="D770050" t="inlineStr">
        <is>
          <t>NGDP_RPCH</t>
        </is>
      </c>
    </row>
    <row r="770051">
      <c r="D770051" t="inlineStr">
        <is>
          <t>Georgia</t>
        </is>
      </c>
    </row>
    <row r="770052">
      <c r="D770052" t="inlineStr">
        <is>
          <t>Gross domestic product, constant prices</t>
        </is>
      </c>
    </row>
    <row r="770053">
      <c r="D770053" t="inlineStr">
        <is>
          <t>Percent change</t>
        </is>
      </c>
    </row>
    <row r="770054">
      <c r="D770054" t="inlineStr">
        <is>
          <t>Units</t>
        </is>
      </c>
    </row>
    <row r="770055">
      <c r="D770055" t="inlineStr">
        <is>
          <t>See notes for:  Gross domestic product, constant prices (National currency).</t>
        </is>
      </c>
    </row>
    <row r="770056">
      <c r="D770056" t="n">
        <v>1.865</v>
      </c>
    </row>
    <row r="770057">
      <c r="D770057" t="n">
        <v>4.769</v>
      </c>
    </row>
    <row r="770058">
      <c r="D770058" t="n">
        <v>5.487</v>
      </c>
    </row>
    <row r="770059">
      <c r="D770059" t="n">
        <v>11.228</v>
      </c>
    </row>
    <row r="770060">
      <c r="D770060" t="n">
        <v>5.796</v>
      </c>
    </row>
    <row r="770061">
      <c r="D770061" t="n">
        <v>9.587999999999999</v>
      </c>
    </row>
    <row r="770062">
      <c r="D770062" t="n">
        <v>9.42</v>
      </c>
    </row>
    <row r="770063">
      <c r="D770063" t="n">
        <v>12.579</v>
      </c>
    </row>
    <row r="770064">
      <c r="D770064" t="n">
        <v>2.419</v>
      </c>
    </row>
    <row r="770065">
      <c r="D770065" t="n">
        <v>-3.651</v>
      </c>
    </row>
    <row r="770066">
      <c r="D770066" t="n">
        <v>6.942</v>
      </c>
    </row>
    <row r="770067">
      <c r="D770067" t="n">
        <v>7.949</v>
      </c>
    </row>
    <row r="770068">
      <c r="D770068" t="n">
        <v>6.579</v>
      </c>
    </row>
    <row r="770069">
      <c r="D770069" t="n">
        <v>5.134</v>
      </c>
    </row>
    <row r="770070">
      <c r="D770070" t="n">
        <v>4.091</v>
      </c>
    </row>
    <row r="770071">
      <c r="D770071" t="n">
        <v>3.351</v>
      </c>
    </row>
    <row r="770072">
      <c r="D770072" t="n">
        <v>3.45</v>
      </c>
    </row>
    <row r="770073">
      <c r="D770073" t="n">
        <v>5.161</v>
      </c>
    </row>
    <row r="770074">
      <c r="D770074" t="n">
        <v>6.062</v>
      </c>
    </row>
    <row r="770075">
      <c r="D770075" t="n">
        <v>5.38</v>
      </c>
    </row>
    <row r="770076">
      <c r="D770076" t="n">
        <v>-6.291</v>
      </c>
    </row>
    <row r="770077">
      <c r="D770077" t="n">
        <v>10.644</v>
      </c>
    </row>
    <row r="770078">
      <c r="D770078" t="n">
        <v>10.96</v>
      </c>
    </row>
    <row r="770079">
      <c r="D770079" t="n">
        <v>7.832</v>
      </c>
    </row>
    <row r="770080">
      <c r="D770080" t="n">
        <v>9.429</v>
      </c>
    </row>
    <row r="770081">
      <c r="D770081" t="n">
        <v>5.977</v>
      </c>
    </row>
    <row r="770082">
      <c r="D770082" t="n">
        <v>5</v>
      </c>
    </row>
    <row r="770083">
      <c r="D770083" t="n">
        <v>5</v>
      </c>
    </row>
    <row r="770084">
      <c r="D770084" t="n">
        <v>2024</v>
      </c>
    </row>
    <row r="786433">
      <c r="D786433" t="n">
        <v>915</v>
      </c>
    </row>
    <row r="786434">
      <c r="D786434" t="inlineStr">
        <is>
          <t>NGDP_RPCH</t>
        </is>
      </c>
    </row>
    <row r="786435">
      <c r="D786435" t="inlineStr">
        <is>
          <t>Georgia</t>
        </is>
      </c>
    </row>
    <row r="786436">
      <c r="D786436" t="inlineStr">
        <is>
          <t>Gross domestic product, constant prices</t>
        </is>
      </c>
    </row>
    <row r="786437">
      <c r="D786437" t="inlineStr">
        <is>
          <t>Percent change</t>
        </is>
      </c>
    </row>
    <row r="786438">
      <c r="D786438" t="inlineStr">
        <is>
          <t>Units</t>
        </is>
      </c>
    </row>
    <row r="786439">
      <c r="D786439" t="inlineStr">
        <is>
          <t>See notes for:  Gross domestic product, constant prices (National currency).</t>
        </is>
      </c>
    </row>
    <row r="786440">
      <c r="D786440" t="n">
        <v>1.865</v>
      </c>
    </row>
    <row r="786441">
      <c r="D786441" t="n">
        <v>4.769</v>
      </c>
    </row>
    <row r="786442">
      <c r="D786442" t="n">
        <v>5.487</v>
      </c>
    </row>
    <row r="786443">
      <c r="D786443" t="n">
        <v>11.228</v>
      </c>
    </row>
    <row r="786444">
      <c r="D786444" t="n">
        <v>5.796</v>
      </c>
    </row>
    <row r="786445">
      <c r="D786445" t="n">
        <v>9.587999999999999</v>
      </c>
    </row>
    <row r="786446">
      <c r="D786446" t="n">
        <v>9.42</v>
      </c>
    </row>
    <row r="786447">
      <c r="D786447" t="n">
        <v>12.579</v>
      </c>
    </row>
    <row r="786448">
      <c r="D786448" t="n">
        <v>2.419</v>
      </c>
    </row>
    <row r="786449">
      <c r="D786449" t="n">
        <v>-3.651</v>
      </c>
    </row>
    <row r="786450">
      <c r="D786450" t="n">
        <v>6.942</v>
      </c>
    </row>
    <row r="786451">
      <c r="D786451" t="n">
        <v>7.949</v>
      </c>
    </row>
    <row r="786452">
      <c r="D786452" t="n">
        <v>6.579</v>
      </c>
    </row>
    <row r="786453">
      <c r="D786453" t="n">
        <v>5.134</v>
      </c>
    </row>
    <row r="786454">
      <c r="D786454" t="n">
        <v>4.091</v>
      </c>
    </row>
    <row r="786455">
      <c r="D786455" t="n">
        <v>3.351</v>
      </c>
    </row>
    <row r="786456">
      <c r="D786456" t="n">
        <v>3.45</v>
      </c>
    </row>
    <row r="786457">
      <c r="D786457" t="n">
        <v>5.161</v>
      </c>
    </row>
    <row r="786458">
      <c r="D786458" t="n">
        <v>6.062</v>
      </c>
    </row>
    <row r="786459">
      <c r="D786459" t="n">
        <v>5.38</v>
      </c>
    </row>
    <row r="786460">
      <c r="D786460" t="n">
        <v>-6.291</v>
      </c>
    </row>
    <row r="786461">
      <c r="D786461" t="n">
        <v>10.644</v>
      </c>
    </row>
    <row r="786462">
      <c r="D786462" t="n">
        <v>10.96</v>
      </c>
    </row>
    <row r="786463">
      <c r="D786463" t="n">
        <v>7.832</v>
      </c>
    </row>
    <row r="786464">
      <c r="D786464" t="n">
        <v>9.429</v>
      </c>
    </row>
    <row r="786465">
      <c r="D786465" t="n">
        <v>5.977</v>
      </c>
    </row>
    <row r="786466">
      <c r="D786466" t="n">
        <v>5</v>
      </c>
    </row>
    <row r="786467">
      <c r="D786467" t="n">
        <v>5</v>
      </c>
    </row>
    <row r="786468">
      <c r="D786468" t="n">
        <v>2024</v>
      </c>
    </row>
    <row r="802817">
      <c r="D802817" t="n">
        <v>915</v>
      </c>
    </row>
    <row r="802818">
      <c r="D802818" t="inlineStr">
        <is>
          <t>NGDP_RPCH</t>
        </is>
      </c>
    </row>
    <row r="802819">
      <c r="D802819" t="inlineStr">
        <is>
          <t>Georgia</t>
        </is>
      </c>
    </row>
    <row r="802820">
      <c r="D802820" t="inlineStr">
        <is>
          <t>Gross domestic product, constant prices</t>
        </is>
      </c>
    </row>
    <row r="802821">
      <c r="D802821" t="inlineStr">
        <is>
          <t>Percent change</t>
        </is>
      </c>
    </row>
    <row r="802822">
      <c r="D802822" t="inlineStr">
        <is>
          <t>Units</t>
        </is>
      </c>
    </row>
    <row r="802823">
      <c r="D802823" t="inlineStr">
        <is>
          <t>See notes for:  Gross domestic product, constant prices (National currency).</t>
        </is>
      </c>
    </row>
    <row r="802824">
      <c r="D802824" t="n">
        <v>1.865</v>
      </c>
    </row>
    <row r="802825">
      <c r="D802825" t="n">
        <v>4.769</v>
      </c>
    </row>
    <row r="802826">
      <c r="D802826" t="n">
        <v>5.487</v>
      </c>
    </row>
    <row r="802827">
      <c r="D802827" t="n">
        <v>11.228</v>
      </c>
    </row>
    <row r="802828">
      <c r="D802828" t="n">
        <v>5.796</v>
      </c>
    </row>
    <row r="802829">
      <c r="D802829" t="n">
        <v>9.587999999999999</v>
      </c>
    </row>
    <row r="802830">
      <c r="D802830" t="n">
        <v>9.42</v>
      </c>
    </row>
    <row r="802831">
      <c r="D802831" t="n">
        <v>12.579</v>
      </c>
    </row>
    <row r="802832">
      <c r="D802832" t="n">
        <v>2.419</v>
      </c>
    </row>
    <row r="802833">
      <c r="D802833" t="n">
        <v>-3.651</v>
      </c>
    </row>
    <row r="802834">
      <c r="D802834" t="n">
        <v>6.942</v>
      </c>
    </row>
    <row r="802835">
      <c r="D802835" t="n">
        <v>7.949</v>
      </c>
    </row>
    <row r="802836">
      <c r="D802836" t="n">
        <v>6.579</v>
      </c>
    </row>
    <row r="802837">
      <c r="D802837" t="n">
        <v>5.134</v>
      </c>
    </row>
    <row r="802838">
      <c r="D802838" t="n">
        <v>4.091</v>
      </c>
    </row>
    <row r="802839">
      <c r="D802839" t="n">
        <v>3.351</v>
      </c>
    </row>
    <row r="802840">
      <c r="D802840" t="n">
        <v>3.45</v>
      </c>
    </row>
    <row r="802841">
      <c r="D802841" t="n">
        <v>5.161</v>
      </c>
    </row>
    <row r="802842">
      <c r="D802842" t="n">
        <v>6.062</v>
      </c>
    </row>
    <row r="802843">
      <c r="D802843" t="n">
        <v>5.38</v>
      </c>
    </row>
    <row r="802844">
      <c r="D802844" t="n">
        <v>-6.291</v>
      </c>
    </row>
    <row r="802845">
      <c r="D802845" t="n">
        <v>10.644</v>
      </c>
    </row>
    <row r="802846">
      <c r="D802846" t="n">
        <v>10.96</v>
      </c>
    </row>
    <row r="802847">
      <c r="D802847" t="n">
        <v>7.832</v>
      </c>
    </row>
    <row r="802848">
      <c r="D802848" t="n">
        <v>9.429</v>
      </c>
    </row>
    <row r="802849">
      <c r="D802849" t="n">
        <v>5.977</v>
      </c>
    </row>
    <row r="802850">
      <c r="D802850" t="n">
        <v>5</v>
      </c>
    </row>
    <row r="802851">
      <c r="D802851" t="n">
        <v>5</v>
      </c>
    </row>
    <row r="802852">
      <c r="D802852" t="n">
        <v>2024</v>
      </c>
    </row>
    <row r="819201">
      <c r="D819201" t="n">
        <v>915</v>
      </c>
    </row>
    <row r="819202">
      <c r="D819202" t="inlineStr">
        <is>
          <t>NGDP_RPCH</t>
        </is>
      </c>
    </row>
    <row r="819203">
      <c r="D819203" t="inlineStr">
        <is>
          <t>Georgia</t>
        </is>
      </c>
    </row>
    <row r="819204">
      <c r="D819204" t="inlineStr">
        <is>
          <t>Gross domestic product, constant prices</t>
        </is>
      </c>
    </row>
    <row r="819205">
      <c r="D819205" t="inlineStr">
        <is>
          <t>Percent change</t>
        </is>
      </c>
    </row>
    <row r="819206">
      <c r="D819206" t="inlineStr">
        <is>
          <t>Units</t>
        </is>
      </c>
    </row>
    <row r="819207">
      <c r="D819207" t="inlineStr">
        <is>
          <t>See notes for:  Gross domestic product, constant prices (National currency).</t>
        </is>
      </c>
    </row>
    <row r="819208">
      <c r="D819208" t="n">
        <v>1.865</v>
      </c>
    </row>
    <row r="819209">
      <c r="D819209" t="n">
        <v>4.769</v>
      </c>
    </row>
    <row r="819210">
      <c r="D819210" t="n">
        <v>5.487</v>
      </c>
    </row>
    <row r="819211">
      <c r="D819211" t="n">
        <v>11.228</v>
      </c>
    </row>
    <row r="819212">
      <c r="D819212" t="n">
        <v>5.796</v>
      </c>
    </row>
    <row r="819213">
      <c r="D819213" t="n">
        <v>9.587999999999999</v>
      </c>
    </row>
    <row r="819214">
      <c r="D819214" t="n">
        <v>9.42</v>
      </c>
    </row>
    <row r="819215">
      <c r="D819215" t="n">
        <v>12.579</v>
      </c>
    </row>
    <row r="819216">
      <c r="D819216" t="n">
        <v>2.419</v>
      </c>
    </row>
    <row r="819217">
      <c r="D819217" t="n">
        <v>-3.651</v>
      </c>
    </row>
    <row r="819218">
      <c r="D819218" t="n">
        <v>6.942</v>
      </c>
    </row>
    <row r="819219">
      <c r="D819219" t="n">
        <v>7.949</v>
      </c>
    </row>
    <row r="819220">
      <c r="D819220" t="n">
        <v>6.579</v>
      </c>
    </row>
    <row r="819221">
      <c r="D819221" t="n">
        <v>5.134</v>
      </c>
    </row>
    <row r="819222">
      <c r="D819222" t="n">
        <v>4.091</v>
      </c>
    </row>
    <row r="819223">
      <c r="D819223" t="n">
        <v>3.351</v>
      </c>
    </row>
    <row r="819224">
      <c r="D819224" t="n">
        <v>3.45</v>
      </c>
    </row>
    <row r="819225">
      <c r="D819225" t="n">
        <v>5.161</v>
      </c>
    </row>
    <row r="819226">
      <c r="D819226" t="n">
        <v>6.062</v>
      </c>
    </row>
    <row r="819227">
      <c r="D819227" t="n">
        <v>5.38</v>
      </c>
    </row>
    <row r="819228">
      <c r="D819228" t="n">
        <v>-6.291</v>
      </c>
    </row>
    <row r="819229">
      <c r="D819229" t="n">
        <v>10.644</v>
      </c>
    </row>
    <row r="819230">
      <c r="D819230" t="n">
        <v>10.96</v>
      </c>
    </row>
    <row r="819231">
      <c r="D819231" t="n">
        <v>7.832</v>
      </c>
    </row>
    <row r="819232">
      <c r="D819232" t="n">
        <v>9.429</v>
      </c>
    </row>
    <row r="819233">
      <c r="D819233" t="n">
        <v>5.977</v>
      </c>
    </row>
    <row r="819234">
      <c r="D819234" t="n">
        <v>5</v>
      </c>
    </row>
    <row r="819235">
      <c r="D819235" t="n">
        <v>5</v>
      </c>
    </row>
    <row r="819236">
      <c r="D819236" t="n">
        <v>2024</v>
      </c>
    </row>
    <row r="835585">
      <c r="D835585" t="n">
        <v>915</v>
      </c>
    </row>
    <row r="835586">
      <c r="D835586" t="inlineStr">
        <is>
          <t>NGDP_RPCH</t>
        </is>
      </c>
    </row>
    <row r="835587">
      <c r="D835587" t="inlineStr">
        <is>
          <t>Georgia</t>
        </is>
      </c>
    </row>
    <row r="835588">
      <c r="D835588" t="inlineStr">
        <is>
          <t>Gross domestic product, constant prices</t>
        </is>
      </c>
    </row>
    <row r="835589">
      <c r="D835589" t="inlineStr">
        <is>
          <t>Percent change</t>
        </is>
      </c>
    </row>
    <row r="835590">
      <c r="D835590" t="inlineStr">
        <is>
          <t>Units</t>
        </is>
      </c>
    </row>
    <row r="835591">
      <c r="D835591" t="inlineStr">
        <is>
          <t>See notes for:  Gross domestic product, constant prices (National currency).</t>
        </is>
      </c>
    </row>
    <row r="835592">
      <c r="D835592" t="n">
        <v>1.865</v>
      </c>
    </row>
    <row r="835593">
      <c r="D835593" t="n">
        <v>4.769</v>
      </c>
    </row>
    <row r="835594">
      <c r="D835594" t="n">
        <v>5.487</v>
      </c>
    </row>
    <row r="835595">
      <c r="D835595" t="n">
        <v>11.228</v>
      </c>
    </row>
    <row r="835596">
      <c r="D835596" t="n">
        <v>5.796</v>
      </c>
    </row>
    <row r="835597">
      <c r="D835597" t="n">
        <v>9.587999999999999</v>
      </c>
    </row>
    <row r="835598">
      <c r="D835598" t="n">
        <v>9.42</v>
      </c>
    </row>
    <row r="835599">
      <c r="D835599" t="n">
        <v>12.579</v>
      </c>
    </row>
    <row r="835600">
      <c r="D835600" t="n">
        <v>2.419</v>
      </c>
    </row>
    <row r="835601">
      <c r="D835601" t="n">
        <v>-3.651</v>
      </c>
    </row>
    <row r="835602">
      <c r="D835602" t="n">
        <v>6.942</v>
      </c>
    </row>
    <row r="835603">
      <c r="D835603" t="n">
        <v>7.949</v>
      </c>
    </row>
    <row r="835604">
      <c r="D835604" t="n">
        <v>6.579</v>
      </c>
    </row>
    <row r="835605">
      <c r="D835605" t="n">
        <v>5.134</v>
      </c>
    </row>
    <row r="835606">
      <c r="D835606" t="n">
        <v>4.091</v>
      </c>
    </row>
    <row r="835607">
      <c r="D835607" t="n">
        <v>3.351</v>
      </c>
    </row>
    <row r="835608">
      <c r="D835608" t="n">
        <v>3.45</v>
      </c>
    </row>
    <row r="835609">
      <c r="D835609" t="n">
        <v>5.161</v>
      </c>
    </row>
    <row r="835610">
      <c r="D835610" t="n">
        <v>6.062</v>
      </c>
    </row>
    <row r="835611">
      <c r="D835611" t="n">
        <v>5.38</v>
      </c>
    </row>
    <row r="835612">
      <c r="D835612" t="n">
        <v>-6.291</v>
      </c>
    </row>
    <row r="835613">
      <c r="D835613" t="n">
        <v>10.644</v>
      </c>
    </row>
    <row r="835614">
      <c r="D835614" t="n">
        <v>10.96</v>
      </c>
    </row>
    <row r="835615">
      <c r="D835615" t="n">
        <v>7.832</v>
      </c>
    </row>
    <row r="835616">
      <c r="D835616" t="n">
        <v>9.429</v>
      </c>
    </row>
    <row r="835617">
      <c r="D835617" t="n">
        <v>5.977</v>
      </c>
    </row>
    <row r="835618">
      <c r="D835618" t="n">
        <v>5</v>
      </c>
    </row>
    <row r="835619">
      <c r="D835619" t="n">
        <v>5</v>
      </c>
    </row>
    <row r="835620">
      <c r="D835620" t="n">
        <v>2024</v>
      </c>
    </row>
    <row r="851969">
      <c r="D851969" t="n">
        <v>915</v>
      </c>
    </row>
    <row r="851970">
      <c r="D851970" t="inlineStr">
        <is>
          <t>NGDP_RPCH</t>
        </is>
      </c>
    </row>
    <row r="851971">
      <c r="D851971" t="inlineStr">
        <is>
          <t>Georgia</t>
        </is>
      </c>
    </row>
    <row r="851972">
      <c r="D851972" t="inlineStr">
        <is>
          <t>Gross domestic product, constant prices</t>
        </is>
      </c>
    </row>
    <row r="851973">
      <c r="D851973" t="inlineStr">
        <is>
          <t>Percent change</t>
        </is>
      </c>
    </row>
    <row r="851974">
      <c r="D851974" t="inlineStr">
        <is>
          <t>Units</t>
        </is>
      </c>
    </row>
    <row r="851975">
      <c r="D851975" t="inlineStr">
        <is>
          <t>See notes for:  Gross domestic product, constant prices (National currency).</t>
        </is>
      </c>
    </row>
    <row r="851976">
      <c r="D851976" t="n">
        <v>1.865</v>
      </c>
    </row>
    <row r="851977">
      <c r="D851977" t="n">
        <v>4.769</v>
      </c>
    </row>
    <row r="851978">
      <c r="D851978" t="n">
        <v>5.487</v>
      </c>
    </row>
    <row r="851979">
      <c r="D851979" t="n">
        <v>11.228</v>
      </c>
    </row>
    <row r="851980">
      <c r="D851980" t="n">
        <v>5.796</v>
      </c>
    </row>
    <row r="851981">
      <c r="D851981" t="n">
        <v>9.587999999999999</v>
      </c>
    </row>
    <row r="851982">
      <c r="D851982" t="n">
        <v>9.42</v>
      </c>
    </row>
    <row r="851983">
      <c r="D851983" t="n">
        <v>12.579</v>
      </c>
    </row>
    <row r="851984">
      <c r="D851984" t="n">
        <v>2.419</v>
      </c>
    </row>
    <row r="851985">
      <c r="D851985" t="n">
        <v>-3.651</v>
      </c>
    </row>
    <row r="851986">
      <c r="D851986" t="n">
        <v>6.942</v>
      </c>
    </row>
    <row r="851987">
      <c r="D851987" t="n">
        <v>7.949</v>
      </c>
    </row>
    <row r="851988">
      <c r="D851988" t="n">
        <v>6.579</v>
      </c>
    </row>
    <row r="851989">
      <c r="D851989" t="n">
        <v>5.134</v>
      </c>
    </row>
    <row r="851990">
      <c r="D851990" t="n">
        <v>4.091</v>
      </c>
    </row>
    <row r="851991">
      <c r="D851991" t="n">
        <v>3.351</v>
      </c>
    </row>
    <row r="851992">
      <c r="D851992" t="n">
        <v>3.45</v>
      </c>
    </row>
    <row r="851993">
      <c r="D851993" t="n">
        <v>5.161</v>
      </c>
    </row>
    <row r="851994">
      <c r="D851994" t="n">
        <v>6.062</v>
      </c>
    </row>
    <row r="851995">
      <c r="D851995" t="n">
        <v>5.38</v>
      </c>
    </row>
    <row r="851996">
      <c r="D851996" t="n">
        <v>-6.291</v>
      </c>
    </row>
    <row r="851997">
      <c r="D851997" t="n">
        <v>10.644</v>
      </c>
    </row>
    <row r="851998">
      <c r="D851998" t="n">
        <v>10.96</v>
      </c>
    </row>
    <row r="851999">
      <c r="D851999" t="n">
        <v>7.832</v>
      </c>
    </row>
    <row r="852000">
      <c r="D852000" t="n">
        <v>9.429</v>
      </c>
    </row>
    <row r="852001">
      <c r="D852001" t="n">
        <v>5.977</v>
      </c>
    </row>
    <row r="852002">
      <c r="D852002" t="n">
        <v>5</v>
      </c>
    </row>
    <row r="852003">
      <c r="D852003" t="n">
        <v>5</v>
      </c>
    </row>
    <row r="852004">
      <c r="D852004" t="n">
        <v>2024</v>
      </c>
    </row>
    <row r="868353">
      <c r="D868353" t="n">
        <v>915</v>
      </c>
    </row>
    <row r="868354">
      <c r="D868354" t="inlineStr">
        <is>
          <t>NGDP_RPCH</t>
        </is>
      </c>
    </row>
    <row r="868355">
      <c r="D868355" t="inlineStr">
        <is>
          <t>Georgia</t>
        </is>
      </c>
    </row>
    <row r="868356">
      <c r="D868356" t="inlineStr">
        <is>
          <t>Gross domestic product, constant prices</t>
        </is>
      </c>
    </row>
    <row r="868357">
      <c r="D868357" t="inlineStr">
        <is>
          <t>Percent change</t>
        </is>
      </c>
    </row>
    <row r="868358">
      <c r="D868358" t="inlineStr">
        <is>
          <t>Units</t>
        </is>
      </c>
    </row>
    <row r="868359">
      <c r="D868359" t="inlineStr">
        <is>
          <t>See notes for:  Gross domestic product, constant prices (National currency).</t>
        </is>
      </c>
    </row>
    <row r="868360">
      <c r="D868360" t="n">
        <v>1.865</v>
      </c>
    </row>
    <row r="868361">
      <c r="D868361" t="n">
        <v>4.769</v>
      </c>
    </row>
    <row r="868362">
      <c r="D868362" t="n">
        <v>5.487</v>
      </c>
    </row>
    <row r="868363">
      <c r="D868363" t="n">
        <v>11.228</v>
      </c>
    </row>
    <row r="868364">
      <c r="D868364" t="n">
        <v>5.796</v>
      </c>
    </row>
    <row r="868365">
      <c r="D868365" t="n">
        <v>9.587999999999999</v>
      </c>
    </row>
    <row r="868366">
      <c r="D868366" t="n">
        <v>9.42</v>
      </c>
    </row>
    <row r="868367">
      <c r="D868367" t="n">
        <v>12.579</v>
      </c>
    </row>
    <row r="868368">
      <c r="D868368" t="n">
        <v>2.419</v>
      </c>
    </row>
    <row r="868369">
      <c r="D868369" t="n">
        <v>-3.651</v>
      </c>
    </row>
    <row r="868370">
      <c r="D868370" t="n">
        <v>6.942</v>
      </c>
    </row>
    <row r="868371">
      <c r="D868371" t="n">
        <v>7.949</v>
      </c>
    </row>
    <row r="868372">
      <c r="D868372" t="n">
        <v>6.579</v>
      </c>
    </row>
    <row r="868373">
      <c r="D868373" t="n">
        <v>5.134</v>
      </c>
    </row>
    <row r="868374">
      <c r="D868374" t="n">
        <v>4.091</v>
      </c>
    </row>
    <row r="868375">
      <c r="D868375" t="n">
        <v>3.351</v>
      </c>
    </row>
    <row r="868376">
      <c r="D868376" t="n">
        <v>3.45</v>
      </c>
    </row>
    <row r="868377">
      <c r="D868377" t="n">
        <v>5.161</v>
      </c>
    </row>
    <row r="868378">
      <c r="D868378" t="n">
        <v>6.062</v>
      </c>
    </row>
    <row r="868379">
      <c r="D868379" t="n">
        <v>5.38</v>
      </c>
    </row>
    <row r="868380">
      <c r="D868380" t="n">
        <v>-6.291</v>
      </c>
    </row>
    <row r="868381">
      <c r="D868381" t="n">
        <v>10.644</v>
      </c>
    </row>
    <row r="868382">
      <c r="D868382" t="n">
        <v>10.96</v>
      </c>
    </row>
    <row r="868383">
      <c r="D868383" t="n">
        <v>7.832</v>
      </c>
    </row>
    <row r="868384">
      <c r="D868384" t="n">
        <v>9.429</v>
      </c>
    </row>
    <row r="868385">
      <c r="D868385" t="n">
        <v>5.977</v>
      </c>
    </row>
    <row r="868386">
      <c r="D868386" t="n">
        <v>5</v>
      </c>
    </row>
    <row r="868387">
      <c r="D868387" t="n">
        <v>5</v>
      </c>
    </row>
    <row r="868388">
      <c r="D868388" t="n">
        <v>2024</v>
      </c>
    </row>
    <row r="884737">
      <c r="D884737" t="n">
        <v>915</v>
      </c>
    </row>
    <row r="884738">
      <c r="D884738" t="inlineStr">
        <is>
          <t>NGDP_RPCH</t>
        </is>
      </c>
    </row>
    <row r="884739">
      <c r="D884739" t="inlineStr">
        <is>
          <t>Georgia</t>
        </is>
      </c>
    </row>
    <row r="884740">
      <c r="D884740" t="inlineStr">
        <is>
          <t>Gross domestic product, constant prices</t>
        </is>
      </c>
    </row>
    <row r="884741">
      <c r="D884741" t="inlineStr">
        <is>
          <t>Percent change</t>
        </is>
      </c>
    </row>
    <row r="884742">
      <c r="D884742" t="inlineStr">
        <is>
          <t>Units</t>
        </is>
      </c>
    </row>
    <row r="884743">
      <c r="D884743" t="inlineStr">
        <is>
          <t>See notes for:  Gross domestic product, constant prices (National currency).</t>
        </is>
      </c>
    </row>
    <row r="884744">
      <c r="D884744" t="n">
        <v>1.865</v>
      </c>
    </row>
    <row r="884745">
      <c r="D884745" t="n">
        <v>4.769</v>
      </c>
    </row>
    <row r="884746">
      <c r="D884746" t="n">
        <v>5.487</v>
      </c>
    </row>
    <row r="884747">
      <c r="D884747" t="n">
        <v>11.228</v>
      </c>
    </row>
    <row r="884748">
      <c r="D884748" t="n">
        <v>5.796</v>
      </c>
    </row>
    <row r="884749">
      <c r="D884749" t="n">
        <v>9.587999999999999</v>
      </c>
    </row>
    <row r="884750">
      <c r="D884750" t="n">
        <v>9.42</v>
      </c>
    </row>
    <row r="884751">
      <c r="D884751" t="n">
        <v>12.579</v>
      </c>
    </row>
    <row r="884752">
      <c r="D884752" t="n">
        <v>2.419</v>
      </c>
    </row>
    <row r="884753">
      <c r="D884753" t="n">
        <v>-3.651</v>
      </c>
    </row>
    <row r="884754">
      <c r="D884754" t="n">
        <v>6.942</v>
      </c>
    </row>
    <row r="884755">
      <c r="D884755" t="n">
        <v>7.949</v>
      </c>
    </row>
    <row r="884756">
      <c r="D884756" t="n">
        <v>6.579</v>
      </c>
    </row>
    <row r="884757">
      <c r="D884757" t="n">
        <v>5.134</v>
      </c>
    </row>
    <row r="884758">
      <c r="D884758" t="n">
        <v>4.091</v>
      </c>
    </row>
    <row r="884759">
      <c r="D884759" t="n">
        <v>3.351</v>
      </c>
    </row>
    <row r="884760">
      <c r="D884760" t="n">
        <v>3.45</v>
      </c>
    </row>
    <row r="884761">
      <c r="D884761" t="n">
        <v>5.161</v>
      </c>
    </row>
    <row r="884762">
      <c r="D884762" t="n">
        <v>6.062</v>
      </c>
    </row>
    <row r="884763">
      <c r="D884763" t="n">
        <v>5.38</v>
      </c>
    </row>
    <row r="884764">
      <c r="D884764" t="n">
        <v>-6.291</v>
      </c>
    </row>
    <row r="884765">
      <c r="D884765" t="n">
        <v>10.644</v>
      </c>
    </row>
    <row r="884766">
      <c r="D884766" t="n">
        <v>10.96</v>
      </c>
    </row>
    <row r="884767">
      <c r="D884767" t="n">
        <v>7.832</v>
      </c>
    </row>
    <row r="884768">
      <c r="D884768" t="n">
        <v>9.429</v>
      </c>
    </row>
    <row r="884769">
      <c r="D884769" t="n">
        <v>5.977</v>
      </c>
    </row>
    <row r="884770">
      <c r="D884770" t="n">
        <v>5</v>
      </c>
    </row>
    <row r="884771">
      <c r="D884771" t="n">
        <v>5</v>
      </c>
    </row>
    <row r="884772">
      <c r="D884772" t="n">
        <v>2024</v>
      </c>
    </row>
    <row r="901121">
      <c r="D901121" t="n">
        <v>915</v>
      </c>
    </row>
    <row r="901122">
      <c r="D901122" t="inlineStr">
        <is>
          <t>NGDP_RPCH</t>
        </is>
      </c>
    </row>
    <row r="901123">
      <c r="D901123" t="inlineStr">
        <is>
          <t>Georgia</t>
        </is>
      </c>
    </row>
    <row r="901124">
      <c r="D901124" t="inlineStr">
        <is>
          <t>Gross domestic product, constant prices</t>
        </is>
      </c>
    </row>
    <row r="901125">
      <c r="D901125" t="inlineStr">
        <is>
          <t>Percent change</t>
        </is>
      </c>
    </row>
    <row r="901126">
      <c r="D901126" t="inlineStr">
        <is>
          <t>Units</t>
        </is>
      </c>
    </row>
    <row r="901127">
      <c r="D901127" t="inlineStr">
        <is>
          <t>See notes for:  Gross domestic product, constant prices (National currency).</t>
        </is>
      </c>
    </row>
    <row r="901128">
      <c r="D901128" t="n">
        <v>1.865</v>
      </c>
    </row>
    <row r="901129">
      <c r="D901129" t="n">
        <v>4.769</v>
      </c>
    </row>
    <row r="901130">
      <c r="D901130" t="n">
        <v>5.487</v>
      </c>
    </row>
    <row r="901131">
      <c r="D901131" t="n">
        <v>11.228</v>
      </c>
    </row>
    <row r="901132">
      <c r="D901132" t="n">
        <v>5.796</v>
      </c>
    </row>
    <row r="901133">
      <c r="D901133" t="n">
        <v>9.587999999999999</v>
      </c>
    </row>
    <row r="901134">
      <c r="D901134" t="n">
        <v>9.42</v>
      </c>
    </row>
    <row r="901135">
      <c r="D901135" t="n">
        <v>12.579</v>
      </c>
    </row>
    <row r="901136">
      <c r="D901136" t="n">
        <v>2.419</v>
      </c>
    </row>
    <row r="901137">
      <c r="D901137" t="n">
        <v>-3.651</v>
      </c>
    </row>
    <row r="901138">
      <c r="D901138" t="n">
        <v>6.942</v>
      </c>
    </row>
    <row r="901139">
      <c r="D901139" t="n">
        <v>7.949</v>
      </c>
    </row>
    <row r="901140">
      <c r="D901140" t="n">
        <v>6.579</v>
      </c>
    </row>
    <row r="901141">
      <c r="D901141" t="n">
        <v>5.134</v>
      </c>
    </row>
    <row r="901142">
      <c r="D901142" t="n">
        <v>4.091</v>
      </c>
    </row>
    <row r="901143">
      <c r="D901143" t="n">
        <v>3.351</v>
      </c>
    </row>
    <row r="901144">
      <c r="D901144" t="n">
        <v>3.45</v>
      </c>
    </row>
    <row r="901145">
      <c r="D901145" t="n">
        <v>5.161</v>
      </c>
    </row>
    <row r="901146">
      <c r="D901146" t="n">
        <v>6.062</v>
      </c>
    </row>
    <row r="901147">
      <c r="D901147" t="n">
        <v>5.38</v>
      </c>
    </row>
    <row r="901148">
      <c r="D901148" t="n">
        <v>-6.291</v>
      </c>
    </row>
    <row r="901149">
      <c r="D901149" t="n">
        <v>10.644</v>
      </c>
    </row>
    <row r="901150">
      <c r="D901150" t="n">
        <v>10.96</v>
      </c>
    </row>
    <row r="901151">
      <c r="D901151" t="n">
        <v>7.832</v>
      </c>
    </row>
    <row r="901152">
      <c r="D901152" t="n">
        <v>9.429</v>
      </c>
    </row>
    <row r="901153">
      <c r="D901153" t="n">
        <v>5.977</v>
      </c>
    </row>
    <row r="901154">
      <c r="D901154" t="n">
        <v>5</v>
      </c>
    </row>
    <row r="901155">
      <c r="D901155" t="n">
        <v>5</v>
      </c>
    </row>
    <row r="901156">
      <c r="D901156" t="n">
        <v>2024</v>
      </c>
    </row>
    <row r="917505">
      <c r="D917505" t="n">
        <v>915</v>
      </c>
    </row>
    <row r="917506">
      <c r="D917506" t="inlineStr">
        <is>
          <t>NGDP_RPCH</t>
        </is>
      </c>
    </row>
    <row r="917507">
      <c r="D917507" t="inlineStr">
        <is>
          <t>Georgia</t>
        </is>
      </c>
    </row>
    <row r="917508">
      <c r="D917508" t="inlineStr">
        <is>
          <t>Gross domestic product, constant prices</t>
        </is>
      </c>
    </row>
    <row r="917509">
      <c r="D917509" t="inlineStr">
        <is>
          <t>Percent change</t>
        </is>
      </c>
    </row>
    <row r="917510">
      <c r="D917510" t="inlineStr">
        <is>
          <t>Units</t>
        </is>
      </c>
    </row>
    <row r="917511">
      <c r="D917511" t="inlineStr">
        <is>
          <t>See notes for:  Gross domestic product, constant prices (National currency).</t>
        </is>
      </c>
    </row>
    <row r="917512">
      <c r="D917512" t="n">
        <v>1.865</v>
      </c>
    </row>
    <row r="917513">
      <c r="D917513" t="n">
        <v>4.769</v>
      </c>
    </row>
    <row r="917514">
      <c r="D917514" t="n">
        <v>5.487</v>
      </c>
    </row>
    <row r="917515">
      <c r="D917515" t="n">
        <v>11.228</v>
      </c>
    </row>
    <row r="917516">
      <c r="D917516" t="n">
        <v>5.796</v>
      </c>
    </row>
    <row r="917517">
      <c r="D917517" t="n">
        <v>9.587999999999999</v>
      </c>
    </row>
    <row r="917518">
      <c r="D917518" t="n">
        <v>9.42</v>
      </c>
    </row>
    <row r="917519">
      <c r="D917519" t="n">
        <v>12.579</v>
      </c>
    </row>
    <row r="917520">
      <c r="D917520" t="n">
        <v>2.419</v>
      </c>
    </row>
    <row r="917521">
      <c r="D917521" t="n">
        <v>-3.651</v>
      </c>
    </row>
    <row r="917522">
      <c r="D917522" t="n">
        <v>6.942</v>
      </c>
    </row>
    <row r="917523">
      <c r="D917523" t="n">
        <v>7.949</v>
      </c>
    </row>
    <row r="917524">
      <c r="D917524" t="n">
        <v>6.579</v>
      </c>
    </row>
    <row r="917525">
      <c r="D917525" t="n">
        <v>5.134</v>
      </c>
    </row>
    <row r="917526">
      <c r="D917526" t="n">
        <v>4.091</v>
      </c>
    </row>
    <row r="917527">
      <c r="D917527" t="n">
        <v>3.351</v>
      </c>
    </row>
    <row r="917528">
      <c r="D917528" t="n">
        <v>3.45</v>
      </c>
    </row>
    <row r="917529">
      <c r="D917529" t="n">
        <v>5.161</v>
      </c>
    </row>
    <row r="917530">
      <c r="D917530" t="n">
        <v>6.062</v>
      </c>
    </row>
    <row r="917531">
      <c r="D917531" t="n">
        <v>5.38</v>
      </c>
    </row>
    <row r="917532">
      <c r="D917532" t="n">
        <v>-6.291</v>
      </c>
    </row>
    <row r="917533">
      <c r="D917533" t="n">
        <v>10.644</v>
      </c>
    </row>
    <row r="917534">
      <c r="D917534" t="n">
        <v>10.96</v>
      </c>
    </row>
    <row r="917535">
      <c r="D917535" t="n">
        <v>7.832</v>
      </c>
    </row>
    <row r="917536">
      <c r="D917536" t="n">
        <v>9.429</v>
      </c>
    </row>
    <row r="917537">
      <c r="D917537" t="n">
        <v>5.977</v>
      </c>
    </row>
    <row r="917538">
      <c r="D917538" t="n">
        <v>5</v>
      </c>
    </row>
    <row r="917539">
      <c r="D917539" t="n">
        <v>5</v>
      </c>
    </row>
    <row r="917540">
      <c r="D917540" t="n">
        <v>2024</v>
      </c>
    </row>
    <row r="933889">
      <c r="D933889" t="n">
        <v>915</v>
      </c>
    </row>
    <row r="933890">
      <c r="D933890" t="inlineStr">
        <is>
          <t>NGDP_RPCH</t>
        </is>
      </c>
    </row>
    <row r="933891">
      <c r="D933891" t="inlineStr">
        <is>
          <t>Georgia</t>
        </is>
      </c>
    </row>
    <row r="933892">
      <c r="D933892" t="inlineStr">
        <is>
          <t>Gross domestic product, constant prices</t>
        </is>
      </c>
    </row>
    <row r="933893">
      <c r="D933893" t="inlineStr">
        <is>
          <t>Percent change</t>
        </is>
      </c>
    </row>
    <row r="933894">
      <c r="D933894" t="inlineStr">
        <is>
          <t>Units</t>
        </is>
      </c>
    </row>
    <row r="933895">
      <c r="D933895" t="inlineStr">
        <is>
          <t>See notes for:  Gross domestic product, constant prices (National currency).</t>
        </is>
      </c>
    </row>
    <row r="933896">
      <c r="D933896" t="n">
        <v>1.865</v>
      </c>
    </row>
    <row r="933897">
      <c r="D933897" t="n">
        <v>4.769</v>
      </c>
    </row>
    <row r="933898">
      <c r="D933898" t="n">
        <v>5.487</v>
      </c>
    </row>
    <row r="933899">
      <c r="D933899" t="n">
        <v>11.228</v>
      </c>
    </row>
    <row r="933900">
      <c r="D933900" t="n">
        <v>5.796</v>
      </c>
    </row>
    <row r="933901">
      <c r="D933901" t="n">
        <v>9.587999999999999</v>
      </c>
    </row>
    <row r="933902">
      <c r="D933902" t="n">
        <v>9.42</v>
      </c>
    </row>
    <row r="933903">
      <c r="D933903" t="n">
        <v>12.579</v>
      </c>
    </row>
    <row r="933904">
      <c r="D933904" t="n">
        <v>2.419</v>
      </c>
    </row>
    <row r="933905">
      <c r="D933905" t="n">
        <v>-3.651</v>
      </c>
    </row>
    <row r="933906">
      <c r="D933906" t="n">
        <v>6.942</v>
      </c>
    </row>
    <row r="933907">
      <c r="D933907" t="n">
        <v>7.949</v>
      </c>
    </row>
    <row r="933908">
      <c r="D933908" t="n">
        <v>6.579</v>
      </c>
    </row>
    <row r="933909">
      <c r="D933909" t="n">
        <v>5.134</v>
      </c>
    </row>
    <row r="933910">
      <c r="D933910" t="n">
        <v>4.091</v>
      </c>
    </row>
    <row r="933911">
      <c r="D933911" t="n">
        <v>3.351</v>
      </c>
    </row>
    <row r="933912">
      <c r="D933912" t="n">
        <v>3.45</v>
      </c>
    </row>
    <row r="933913">
      <c r="D933913" t="n">
        <v>5.161</v>
      </c>
    </row>
    <row r="933914">
      <c r="D933914" t="n">
        <v>6.062</v>
      </c>
    </row>
    <row r="933915">
      <c r="D933915" t="n">
        <v>5.38</v>
      </c>
    </row>
    <row r="933916">
      <c r="D933916" t="n">
        <v>-6.291</v>
      </c>
    </row>
    <row r="933917">
      <c r="D933917" t="n">
        <v>10.644</v>
      </c>
    </row>
    <row r="933918">
      <c r="D933918" t="n">
        <v>10.96</v>
      </c>
    </row>
    <row r="933919">
      <c r="D933919" t="n">
        <v>7.832</v>
      </c>
    </row>
    <row r="933920">
      <c r="D933920" t="n">
        <v>9.429</v>
      </c>
    </row>
    <row r="933921">
      <c r="D933921" t="n">
        <v>5.977</v>
      </c>
    </row>
    <row r="933922">
      <c r="D933922" t="n">
        <v>5</v>
      </c>
    </row>
    <row r="933923">
      <c r="D933923" t="n">
        <v>5</v>
      </c>
    </row>
    <row r="933924">
      <c r="D933924" t="n">
        <v>2024</v>
      </c>
    </row>
    <row r="950273">
      <c r="D950273" t="n">
        <v>915</v>
      </c>
    </row>
    <row r="950274">
      <c r="D950274" t="inlineStr">
        <is>
          <t>NGDP_RPCH</t>
        </is>
      </c>
    </row>
    <row r="950275">
      <c r="D950275" t="inlineStr">
        <is>
          <t>Georgia</t>
        </is>
      </c>
    </row>
    <row r="950276">
      <c r="D950276" t="inlineStr">
        <is>
          <t>Gross domestic product, constant prices</t>
        </is>
      </c>
    </row>
    <row r="950277">
      <c r="D950277" t="inlineStr">
        <is>
          <t>Percent change</t>
        </is>
      </c>
    </row>
    <row r="950278">
      <c r="D950278" t="inlineStr">
        <is>
          <t>Units</t>
        </is>
      </c>
    </row>
    <row r="950279">
      <c r="D950279" t="inlineStr">
        <is>
          <t>See notes for:  Gross domestic product, constant prices (National currency).</t>
        </is>
      </c>
    </row>
    <row r="950280">
      <c r="D950280" t="n">
        <v>1.865</v>
      </c>
    </row>
    <row r="950281">
      <c r="D950281" t="n">
        <v>4.769</v>
      </c>
    </row>
    <row r="950282">
      <c r="D950282" t="n">
        <v>5.487</v>
      </c>
    </row>
    <row r="950283">
      <c r="D950283" t="n">
        <v>11.228</v>
      </c>
    </row>
    <row r="950284">
      <c r="D950284" t="n">
        <v>5.796</v>
      </c>
    </row>
    <row r="950285">
      <c r="D950285" t="n">
        <v>9.587999999999999</v>
      </c>
    </row>
    <row r="950286">
      <c r="D950286" t="n">
        <v>9.42</v>
      </c>
    </row>
    <row r="950287">
      <c r="D950287" t="n">
        <v>12.579</v>
      </c>
    </row>
    <row r="950288">
      <c r="D950288" t="n">
        <v>2.419</v>
      </c>
    </row>
    <row r="950289">
      <c r="D950289" t="n">
        <v>-3.651</v>
      </c>
    </row>
    <row r="950290">
      <c r="D950290" t="n">
        <v>6.942</v>
      </c>
    </row>
    <row r="950291">
      <c r="D950291" t="n">
        <v>7.949</v>
      </c>
    </row>
    <row r="950292">
      <c r="D950292" t="n">
        <v>6.579</v>
      </c>
    </row>
    <row r="950293">
      <c r="D950293" t="n">
        <v>5.134</v>
      </c>
    </row>
    <row r="950294">
      <c r="D950294" t="n">
        <v>4.091</v>
      </c>
    </row>
    <row r="950295">
      <c r="D950295" t="n">
        <v>3.351</v>
      </c>
    </row>
    <row r="950296">
      <c r="D950296" t="n">
        <v>3.45</v>
      </c>
    </row>
    <row r="950297">
      <c r="D950297" t="n">
        <v>5.161</v>
      </c>
    </row>
    <row r="950298">
      <c r="D950298" t="n">
        <v>6.062</v>
      </c>
    </row>
    <row r="950299">
      <c r="D950299" t="n">
        <v>5.38</v>
      </c>
    </row>
    <row r="950300">
      <c r="D950300" t="n">
        <v>-6.291</v>
      </c>
    </row>
    <row r="950301">
      <c r="D950301" t="n">
        <v>10.644</v>
      </c>
    </row>
    <row r="950302">
      <c r="D950302" t="n">
        <v>10.96</v>
      </c>
    </row>
    <row r="950303">
      <c r="D950303" t="n">
        <v>7.832</v>
      </c>
    </row>
    <row r="950304">
      <c r="D950304" t="n">
        <v>9.429</v>
      </c>
    </row>
    <row r="950305">
      <c r="D950305" t="n">
        <v>5.977</v>
      </c>
    </row>
    <row r="950306">
      <c r="D950306" t="n">
        <v>5</v>
      </c>
    </row>
    <row r="950307">
      <c r="D950307" t="n">
        <v>5</v>
      </c>
    </row>
    <row r="950308">
      <c r="D950308" t="n">
        <v>2024</v>
      </c>
    </row>
    <row r="966657">
      <c r="D966657" t="n">
        <v>915</v>
      </c>
    </row>
    <row r="966658">
      <c r="D966658" t="inlineStr">
        <is>
          <t>NGDP_RPCH</t>
        </is>
      </c>
    </row>
    <row r="966659">
      <c r="D966659" t="inlineStr">
        <is>
          <t>Georgia</t>
        </is>
      </c>
    </row>
    <row r="966660">
      <c r="D966660" t="inlineStr">
        <is>
          <t>Gross domestic product, constant prices</t>
        </is>
      </c>
    </row>
    <row r="966661">
      <c r="D966661" t="inlineStr">
        <is>
          <t>Percent change</t>
        </is>
      </c>
    </row>
    <row r="966662">
      <c r="D966662" t="inlineStr">
        <is>
          <t>Units</t>
        </is>
      </c>
    </row>
    <row r="966663">
      <c r="D966663" t="inlineStr">
        <is>
          <t>See notes for:  Gross domestic product, constant prices (National currency).</t>
        </is>
      </c>
    </row>
    <row r="966664">
      <c r="D966664" t="n">
        <v>1.865</v>
      </c>
    </row>
    <row r="966665">
      <c r="D966665" t="n">
        <v>4.769</v>
      </c>
    </row>
    <row r="966666">
      <c r="D966666" t="n">
        <v>5.487</v>
      </c>
    </row>
    <row r="966667">
      <c r="D966667" t="n">
        <v>11.228</v>
      </c>
    </row>
    <row r="966668">
      <c r="D966668" t="n">
        <v>5.796</v>
      </c>
    </row>
    <row r="966669">
      <c r="D966669" t="n">
        <v>9.587999999999999</v>
      </c>
    </row>
    <row r="966670">
      <c r="D966670" t="n">
        <v>9.42</v>
      </c>
    </row>
    <row r="966671">
      <c r="D966671" t="n">
        <v>12.579</v>
      </c>
    </row>
    <row r="966672">
      <c r="D966672" t="n">
        <v>2.419</v>
      </c>
    </row>
    <row r="966673">
      <c r="D966673" t="n">
        <v>-3.651</v>
      </c>
    </row>
    <row r="966674">
      <c r="D966674" t="n">
        <v>6.942</v>
      </c>
    </row>
    <row r="966675">
      <c r="D966675" t="n">
        <v>7.949</v>
      </c>
    </row>
    <row r="966676">
      <c r="D966676" t="n">
        <v>6.579</v>
      </c>
    </row>
    <row r="966677">
      <c r="D966677" t="n">
        <v>5.134</v>
      </c>
    </row>
    <row r="966678">
      <c r="D966678" t="n">
        <v>4.091</v>
      </c>
    </row>
    <row r="966679">
      <c r="D966679" t="n">
        <v>3.351</v>
      </c>
    </row>
    <row r="966680">
      <c r="D966680" t="n">
        <v>3.45</v>
      </c>
    </row>
    <row r="966681">
      <c r="D966681" t="n">
        <v>5.161</v>
      </c>
    </row>
    <row r="966682">
      <c r="D966682" t="n">
        <v>6.062</v>
      </c>
    </row>
    <row r="966683">
      <c r="D966683" t="n">
        <v>5.38</v>
      </c>
    </row>
    <row r="966684">
      <c r="D966684" t="n">
        <v>-6.291</v>
      </c>
    </row>
    <row r="966685">
      <c r="D966685" t="n">
        <v>10.644</v>
      </c>
    </row>
    <row r="966686">
      <c r="D966686" t="n">
        <v>10.96</v>
      </c>
    </row>
    <row r="966687">
      <c r="D966687" t="n">
        <v>7.832</v>
      </c>
    </row>
    <row r="966688">
      <c r="D966688" t="n">
        <v>9.429</v>
      </c>
    </row>
    <row r="966689">
      <c r="D966689" t="n">
        <v>5.977</v>
      </c>
    </row>
    <row r="966690">
      <c r="D966690" t="n">
        <v>5</v>
      </c>
    </row>
    <row r="966691">
      <c r="D966691" t="n">
        <v>5</v>
      </c>
    </row>
    <row r="966692">
      <c r="D966692" t="n">
        <v>2024</v>
      </c>
    </row>
    <row r="983041">
      <c r="D983041" t="n">
        <v>915</v>
      </c>
    </row>
    <row r="983042">
      <c r="D983042" t="inlineStr">
        <is>
          <t>NGDP_RPCH</t>
        </is>
      </c>
    </row>
    <row r="983043">
      <c r="D983043" t="inlineStr">
        <is>
          <t>Georgia</t>
        </is>
      </c>
    </row>
    <row r="983044">
      <c r="D983044" t="inlineStr">
        <is>
          <t>Gross domestic product, constant prices</t>
        </is>
      </c>
    </row>
    <row r="983045">
      <c r="D983045" t="inlineStr">
        <is>
          <t>Percent change</t>
        </is>
      </c>
    </row>
    <row r="983046">
      <c r="D983046" t="inlineStr">
        <is>
          <t>Units</t>
        </is>
      </c>
    </row>
    <row r="983047">
      <c r="D983047" t="inlineStr">
        <is>
          <t>See notes for:  Gross domestic product, constant prices (National currency).</t>
        </is>
      </c>
    </row>
    <row r="983048">
      <c r="D983048" t="n">
        <v>1.865</v>
      </c>
    </row>
    <row r="983049">
      <c r="D983049" t="n">
        <v>4.769</v>
      </c>
    </row>
    <row r="983050">
      <c r="D983050" t="n">
        <v>5.487</v>
      </c>
    </row>
    <row r="983051">
      <c r="D983051" t="n">
        <v>11.228</v>
      </c>
    </row>
    <row r="983052">
      <c r="D983052" t="n">
        <v>5.796</v>
      </c>
    </row>
    <row r="983053">
      <c r="D983053" t="n">
        <v>9.587999999999999</v>
      </c>
    </row>
    <row r="983054">
      <c r="D983054" t="n">
        <v>9.42</v>
      </c>
    </row>
    <row r="983055">
      <c r="D983055" t="n">
        <v>12.579</v>
      </c>
    </row>
    <row r="983056">
      <c r="D983056" t="n">
        <v>2.419</v>
      </c>
    </row>
    <row r="983057">
      <c r="D983057" t="n">
        <v>-3.651</v>
      </c>
    </row>
    <row r="983058">
      <c r="D983058" t="n">
        <v>6.942</v>
      </c>
    </row>
    <row r="983059">
      <c r="D983059" t="n">
        <v>7.949</v>
      </c>
    </row>
    <row r="983060">
      <c r="D983060" t="n">
        <v>6.579</v>
      </c>
    </row>
    <row r="983061">
      <c r="D983061" t="n">
        <v>5.134</v>
      </c>
    </row>
    <row r="983062">
      <c r="D983062" t="n">
        <v>4.091</v>
      </c>
    </row>
    <row r="983063">
      <c r="D983063" t="n">
        <v>3.351</v>
      </c>
    </row>
    <row r="983064">
      <c r="D983064" t="n">
        <v>3.45</v>
      </c>
    </row>
    <row r="983065">
      <c r="D983065" t="n">
        <v>5.161</v>
      </c>
    </row>
    <row r="983066">
      <c r="D983066" t="n">
        <v>6.062</v>
      </c>
    </row>
    <row r="983067">
      <c r="D983067" t="n">
        <v>5.38</v>
      </c>
    </row>
    <row r="983068">
      <c r="D983068" t="n">
        <v>-6.291</v>
      </c>
    </row>
    <row r="983069">
      <c r="D983069" t="n">
        <v>10.644</v>
      </c>
    </row>
    <row r="983070">
      <c r="D983070" t="n">
        <v>10.96</v>
      </c>
    </row>
    <row r="983071">
      <c r="D983071" t="n">
        <v>7.832</v>
      </c>
    </row>
    <row r="983072">
      <c r="D983072" t="n">
        <v>9.429</v>
      </c>
    </row>
    <row r="983073">
      <c r="D983073" t="n">
        <v>5.977</v>
      </c>
    </row>
    <row r="983074">
      <c r="D983074" t="n">
        <v>5</v>
      </c>
    </row>
    <row r="983075">
      <c r="D983075" t="n">
        <v>5</v>
      </c>
    </row>
    <row r="983076">
      <c r="D983076" t="n">
        <v>2024</v>
      </c>
    </row>
    <row r="999425">
      <c r="D999425" t="n">
        <v>915</v>
      </c>
    </row>
    <row r="999426">
      <c r="D999426" t="inlineStr">
        <is>
          <t>NGDP_RPCH</t>
        </is>
      </c>
    </row>
    <row r="999427">
      <c r="D999427" t="inlineStr">
        <is>
          <t>Georgia</t>
        </is>
      </c>
    </row>
    <row r="999428">
      <c r="D999428" t="inlineStr">
        <is>
          <t>Gross domestic product, constant prices</t>
        </is>
      </c>
    </row>
    <row r="999429">
      <c r="D999429" t="inlineStr">
        <is>
          <t>Percent change</t>
        </is>
      </c>
    </row>
    <row r="999430">
      <c r="D999430" t="inlineStr">
        <is>
          <t>Units</t>
        </is>
      </c>
    </row>
    <row r="999431">
      <c r="D999431" t="inlineStr">
        <is>
          <t>See notes for:  Gross domestic product, constant prices (National currency).</t>
        </is>
      </c>
    </row>
    <row r="999432">
      <c r="D999432" t="n">
        <v>1.865</v>
      </c>
    </row>
    <row r="999433">
      <c r="D999433" t="n">
        <v>4.769</v>
      </c>
    </row>
    <row r="999434">
      <c r="D999434" t="n">
        <v>5.487</v>
      </c>
    </row>
    <row r="999435">
      <c r="D999435" t="n">
        <v>11.228</v>
      </c>
    </row>
    <row r="999436">
      <c r="D999436" t="n">
        <v>5.796</v>
      </c>
    </row>
    <row r="999437">
      <c r="D999437" t="n">
        <v>9.587999999999999</v>
      </c>
    </row>
    <row r="999438">
      <c r="D999438" t="n">
        <v>9.42</v>
      </c>
    </row>
    <row r="999439">
      <c r="D999439" t="n">
        <v>12.579</v>
      </c>
    </row>
    <row r="999440">
      <c r="D999440" t="n">
        <v>2.419</v>
      </c>
    </row>
    <row r="999441">
      <c r="D999441" t="n">
        <v>-3.651</v>
      </c>
    </row>
    <row r="999442">
      <c r="D999442" t="n">
        <v>6.942</v>
      </c>
    </row>
    <row r="999443">
      <c r="D999443" t="n">
        <v>7.949</v>
      </c>
    </row>
    <row r="999444">
      <c r="D999444" t="n">
        <v>6.579</v>
      </c>
    </row>
    <row r="999445">
      <c r="D999445" t="n">
        <v>5.134</v>
      </c>
    </row>
    <row r="999446">
      <c r="D999446" t="n">
        <v>4.091</v>
      </c>
    </row>
    <row r="999447">
      <c r="D999447" t="n">
        <v>3.351</v>
      </c>
    </row>
    <row r="999448">
      <c r="D999448" t="n">
        <v>3.45</v>
      </c>
    </row>
    <row r="999449">
      <c r="D999449" t="n">
        <v>5.161</v>
      </c>
    </row>
    <row r="999450">
      <c r="D999450" t="n">
        <v>6.062</v>
      </c>
    </row>
    <row r="999451">
      <c r="D999451" t="n">
        <v>5.38</v>
      </c>
    </row>
    <row r="999452">
      <c r="D999452" t="n">
        <v>-6.291</v>
      </c>
    </row>
    <row r="999453">
      <c r="D999453" t="n">
        <v>10.644</v>
      </c>
    </row>
    <row r="999454">
      <c r="D999454" t="n">
        <v>10.96</v>
      </c>
    </row>
    <row r="999455">
      <c r="D999455" t="n">
        <v>7.832</v>
      </c>
    </row>
    <row r="999456">
      <c r="D999456" t="n">
        <v>9.429</v>
      </c>
    </row>
    <row r="999457">
      <c r="D999457" t="n">
        <v>5.977</v>
      </c>
    </row>
    <row r="999458">
      <c r="D999458" t="n">
        <v>5</v>
      </c>
    </row>
    <row r="999459">
      <c r="D999459" t="n">
        <v>5</v>
      </c>
    </row>
    <row r="999460">
      <c r="D999460" t="n">
        <v>2024</v>
      </c>
    </row>
    <row r="1015809">
      <c r="D1015809" t="n">
        <v>915</v>
      </c>
    </row>
    <row r="1015810">
      <c r="D1015810" t="inlineStr">
        <is>
          <t>NGDP_RPCH</t>
        </is>
      </c>
    </row>
    <row r="1015811">
      <c r="D1015811" t="inlineStr">
        <is>
          <t>Georgia</t>
        </is>
      </c>
    </row>
    <row r="1015812">
      <c r="D1015812" t="inlineStr">
        <is>
          <t>Gross domestic product, constant prices</t>
        </is>
      </c>
    </row>
    <row r="1015813">
      <c r="D1015813" t="inlineStr">
        <is>
          <t>Percent change</t>
        </is>
      </c>
    </row>
    <row r="1015814">
      <c r="D1015814" t="inlineStr">
        <is>
          <t>Units</t>
        </is>
      </c>
    </row>
    <row r="1015815">
      <c r="D1015815" t="inlineStr">
        <is>
          <t>See notes for:  Gross domestic product, constant prices (National currency).</t>
        </is>
      </c>
    </row>
    <row r="1015816">
      <c r="D1015816" t="n">
        <v>1.865</v>
      </c>
    </row>
    <row r="1015817">
      <c r="D1015817" t="n">
        <v>4.769</v>
      </c>
    </row>
    <row r="1015818">
      <c r="D1015818" t="n">
        <v>5.487</v>
      </c>
    </row>
    <row r="1015819">
      <c r="D1015819" t="n">
        <v>11.228</v>
      </c>
    </row>
    <row r="1015820">
      <c r="D1015820" t="n">
        <v>5.796</v>
      </c>
    </row>
    <row r="1015821">
      <c r="D1015821" t="n">
        <v>9.587999999999999</v>
      </c>
    </row>
    <row r="1015822">
      <c r="D1015822" t="n">
        <v>9.42</v>
      </c>
    </row>
    <row r="1015823">
      <c r="D1015823" t="n">
        <v>12.579</v>
      </c>
    </row>
    <row r="1015824">
      <c r="D1015824" t="n">
        <v>2.419</v>
      </c>
    </row>
    <row r="1015825">
      <c r="D1015825" t="n">
        <v>-3.651</v>
      </c>
    </row>
    <row r="1015826">
      <c r="D1015826" t="n">
        <v>6.942</v>
      </c>
    </row>
    <row r="1015827">
      <c r="D1015827" t="n">
        <v>7.949</v>
      </c>
    </row>
    <row r="1015828">
      <c r="D1015828" t="n">
        <v>6.579</v>
      </c>
    </row>
    <row r="1015829">
      <c r="D1015829" t="n">
        <v>5.134</v>
      </c>
    </row>
    <row r="1015830">
      <c r="D1015830" t="n">
        <v>4.091</v>
      </c>
    </row>
    <row r="1015831">
      <c r="D1015831" t="n">
        <v>3.351</v>
      </c>
    </row>
    <row r="1015832">
      <c r="D1015832" t="n">
        <v>3.45</v>
      </c>
    </row>
    <row r="1015833">
      <c r="D1015833" t="n">
        <v>5.161</v>
      </c>
    </row>
    <row r="1015834">
      <c r="D1015834" t="n">
        <v>6.062</v>
      </c>
    </row>
    <row r="1015835">
      <c r="D1015835" t="n">
        <v>5.38</v>
      </c>
    </row>
    <row r="1015836">
      <c r="D1015836" t="n">
        <v>-6.291</v>
      </c>
    </row>
    <row r="1015837">
      <c r="D1015837" t="n">
        <v>10.644</v>
      </c>
    </row>
    <row r="1015838">
      <c r="D1015838" t="n">
        <v>10.96</v>
      </c>
    </row>
    <row r="1015839">
      <c r="D1015839" t="n">
        <v>7.832</v>
      </c>
    </row>
    <row r="1015840">
      <c r="D1015840" t="n">
        <v>9.429</v>
      </c>
    </row>
    <row r="1015841">
      <c r="D1015841" t="n">
        <v>5.977</v>
      </c>
    </row>
    <row r="1015842">
      <c r="D1015842" t="n">
        <v>5</v>
      </c>
    </row>
    <row r="1015843">
      <c r="D1015843" t="n">
        <v>5</v>
      </c>
    </row>
    <row r="1015844">
      <c r="D1015844" t="n">
        <v>2024</v>
      </c>
    </row>
    <row r="1032193">
      <c r="D1032193" t="n">
        <v>915</v>
      </c>
    </row>
    <row r="1032194">
      <c r="D1032194" t="inlineStr">
        <is>
          <t>NGDP_RPCH</t>
        </is>
      </c>
    </row>
    <row r="1032195">
      <c r="D1032195" t="inlineStr">
        <is>
          <t>Georgia</t>
        </is>
      </c>
    </row>
    <row r="1032196">
      <c r="D1032196" t="inlineStr">
        <is>
          <t>Gross domestic product, constant prices</t>
        </is>
      </c>
    </row>
    <row r="1032197">
      <c r="D1032197" t="inlineStr">
        <is>
          <t>Percent change</t>
        </is>
      </c>
    </row>
    <row r="1032198">
      <c r="D1032198" t="inlineStr">
        <is>
          <t>Units</t>
        </is>
      </c>
    </row>
    <row r="1032199">
      <c r="D1032199" t="inlineStr">
        <is>
          <t>See notes for:  Gross domestic product, constant prices (National currency).</t>
        </is>
      </c>
    </row>
    <row r="1032200">
      <c r="D1032200" t="n">
        <v>1.865</v>
      </c>
    </row>
    <row r="1032201">
      <c r="D1032201" t="n">
        <v>4.769</v>
      </c>
    </row>
    <row r="1032202">
      <c r="D1032202" t="n">
        <v>5.487</v>
      </c>
    </row>
    <row r="1032203">
      <c r="D1032203" t="n">
        <v>11.228</v>
      </c>
    </row>
    <row r="1032204">
      <c r="D1032204" t="n">
        <v>5.796</v>
      </c>
    </row>
    <row r="1032205">
      <c r="D1032205" t="n">
        <v>9.587999999999999</v>
      </c>
    </row>
    <row r="1032206">
      <c r="D1032206" t="n">
        <v>9.42</v>
      </c>
    </row>
    <row r="1032207">
      <c r="D1032207" t="n">
        <v>12.579</v>
      </c>
    </row>
    <row r="1032208">
      <c r="D1032208" t="n">
        <v>2.419</v>
      </c>
    </row>
    <row r="1032209">
      <c r="D1032209" t="n">
        <v>-3.651</v>
      </c>
    </row>
    <row r="1032210">
      <c r="D1032210" t="n">
        <v>6.942</v>
      </c>
    </row>
    <row r="1032211">
      <c r="D1032211" t="n">
        <v>7.949</v>
      </c>
    </row>
    <row r="1032212">
      <c r="D1032212" t="n">
        <v>6.579</v>
      </c>
    </row>
    <row r="1032213">
      <c r="D1032213" t="n">
        <v>5.134</v>
      </c>
    </row>
    <row r="1032214">
      <c r="D1032214" t="n">
        <v>4.091</v>
      </c>
    </row>
    <row r="1032215">
      <c r="D1032215" t="n">
        <v>3.351</v>
      </c>
    </row>
    <row r="1032216">
      <c r="D1032216" t="n">
        <v>3.45</v>
      </c>
    </row>
    <row r="1032217">
      <c r="D1032217" t="n">
        <v>5.161</v>
      </c>
    </row>
    <row r="1032218">
      <c r="D1032218" t="n">
        <v>6.062</v>
      </c>
    </row>
    <row r="1032219">
      <c r="D1032219" t="n">
        <v>5.38</v>
      </c>
    </row>
    <row r="1032220">
      <c r="D1032220" t="n">
        <v>-6.291</v>
      </c>
    </row>
    <row r="1032221">
      <c r="D1032221" t="n">
        <v>10.644</v>
      </c>
    </row>
    <row r="1032222">
      <c r="D1032222" t="n">
        <v>10.96</v>
      </c>
    </row>
    <row r="1032223">
      <c r="D1032223" t="n">
        <v>7.832</v>
      </c>
    </row>
    <row r="1032224">
      <c r="D1032224" t="n">
        <v>9.429</v>
      </c>
    </row>
    <row r="1032225">
      <c r="D1032225" t="n">
        <v>5.977</v>
      </c>
    </row>
    <row r="1032226">
      <c r="D1032226" t="n">
        <v>5</v>
      </c>
    </row>
    <row r="1032227">
      <c r="D1032227" t="n">
        <v>5</v>
      </c>
    </row>
    <row r="1032228"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Wang, Shuyi</dc:creator>
  <dcterms:created xmlns:dcterms="http://purl.org/dc/terms/" xmlns:xsi="http://www.w3.org/2001/XMLSchema-instance" xsi:type="dcterms:W3CDTF">2026-01-19T01:35:29Z</dcterms:created>
  <dcterms:modified xmlns:dcterms="http://purl.org/dc/terms/" xmlns:xsi="http://www.w3.org/2001/XMLSchema-instance" xsi:type="dcterms:W3CDTF">2026-01-29T06:04:58Z</dcterms:modified>
  <cp:lastModifiedBy>Wang, Shuyi</cp:lastModifiedBy>
</cp:coreProperties>
</file>

<file path=docProps/custom.xml><?xml version="1.0" encoding="utf-8"?>
<Properties xmlns="http://schemas.openxmlformats.org/officeDocument/2006/custom-properties">
  <property name="MSIP_Label_0c07ed86-5dc5-4593-ad03-a8684b843815_Enabled" fmtid="{D5CDD505-2E9C-101B-9397-08002B2CF9AE}" pid="2">
    <vt:lpwstr xmlns:vt="http://schemas.openxmlformats.org/officeDocument/2006/docPropsVTypes">true</vt:lpwstr>
  </property>
  <property name="MSIP_Label_0c07ed86-5dc5-4593-ad03-a8684b843815_SetDate" fmtid="{D5CDD505-2E9C-101B-9397-08002B2CF9AE}" pid="3">
    <vt:lpwstr xmlns:vt="http://schemas.openxmlformats.org/officeDocument/2006/docPropsVTypes">2026-01-19T03:31:25Z</vt:lpwstr>
  </property>
  <property name="MSIP_Label_0c07ed86-5dc5-4593-ad03-a8684b843815_Method" fmtid="{D5CDD505-2E9C-101B-9397-08002B2CF9AE}" pid="4">
    <vt:lpwstr xmlns:vt="http://schemas.openxmlformats.org/officeDocument/2006/docPropsVTypes">Standard</vt:lpwstr>
  </property>
  <property name="MSIP_Label_0c07ed86-5dc5-4593-ad03-a8684b843815_Name" fmtid="{D5CDD505-2E9C-101B-9397-08002B2CF9AE}" pid="5">
    <vt:lpwstr xmlns:vt="http://schemas.openxmlformats.org/officeDocument/2006/docPropsVTypes">0c07ed86-5dc5-4593-ad03-a8684b843815</vt:lpwstr>
  </property>
  <property name="MSIP_Label_0c07ed86-5dc5-4593-ad03-a8684b843815_SiteId" fmtid="{D5CDD505-2E9C-101B-9397-08002B2CF9AE}" pid="6">
    <vt:lpwstr xmlns:vt="http://schemas.openxmlformats.org/officeDocument/2006/docPropsVTypes">8085fa43-302e-45bd-b171-a6648c3b6be7</vt:lpwstr>
  </property>
  <property name="MSIP_Label_0c07ed86-5dc5-4593-ad03-a8684b843815_ActionId" fmtid="{D5CDD505-2E9C-101B-9397-08002B2CF9AE}" pid="7">
    <vt:lpwstr xmlns:vt="http://schemas.openxmlformats.org/officeDocument/2006/docPropsVTypes">56772174-05a0-49ce-8b7c-60ea98bff72c</vt:lpwstr>
  </property>
  <property name="MSIP_Label_0c07ed86-5dc5-4593-ad03-a8684b843815_ContentBits" fmtid="{D5CDD505-2E9C-101B-9397-08002B2CF9AE}" pid="8">
    <vt:lpwstr xmlns:vt="http://schemas.openxmlformats.org/officeDocument/2006/docPropsVTypes">0</vt:lpwstr>
  </property>
  <property name="MSIP_Label_0c07ed86-5dc5-4593-ad03-a8684b843815_Tag" fmtid="{D5CDD505-2E9C-101B-9397-08002B2CF9AE}" pid="9">
    <vt:lpwstr xmlns:vt="http://schemas.openxmlformats.org/officeDocument/2006/docPropsVTypes">10, 3, 0, 1</vt:lpwstr>
  </property>
</Properties>
</file>