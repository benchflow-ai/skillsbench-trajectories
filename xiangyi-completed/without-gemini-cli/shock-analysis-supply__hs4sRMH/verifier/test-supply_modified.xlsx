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Production" sheetId="1" r:id="rId1"/>
    <sheet name="Investment" sheetId="2" r:id="rId2"/>
    <sheet name="CFC data" sheetId="3" r:id="rId3"/>
    <sheet name="PWT" sheetId="4" r:id="rId4"/>
    <sheet name="WEO_Data" sheetId="5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(* #,##0.00_);_(* \(#,##0.00\);_(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 rightToLeft="0"/>
  </sheetViews>
  <sheetData>
    <row r="1">
      <c r="A1" t="str">
        <v>Assumption</v>
      </c>
    </row>
    <row r="2">
      <c r="A2" t="str">
        <v>capital's share</v>
      </c>
      <c r="B2">
        <v>0.35</v>
      </c>
    </row>
    <row r="3">
      <c r="A3" t="str">
        <v>annual depreciation rate</v>
      </c>
      <c r="B3">
        <f>AVERAGE('CFC data'!E22:E29)</f>
        <v>0</v>
      </c>
    </row>
    <row r="4">
      <c r="K4" t="str">
        <v>HP Filter</v>
      </c>
    </row>
    <row r="5">
      <c r="D5" t="str">
        <v>K</v>
      </c>
      <c r="E5" t="str">
        <v>Real GDP</v>
      </c>
      <c r="F5" t="str">
        <v>LnK</v>
      </c>
      <c r="G5" t="str">
        <v>LnY</v>
      </c>
      <c r="K5" t="str">
        <v>LnZ</v>
      </c>
      <c r="L5" t="str">
        <v>LnZ_HP</v>
      </c>
      <c r="M5" t="str">
        <v>Second-order difference</v>
      </c>
      <c r="N5" t="str">
        <v>LnA-Trend(Check)</v>
      </c>
      <c r="O5" t="str">
        <v>objective</v>
      </c>
      <c r="P5">
        <f>SUMXMY2(K6:K27, L6:L27) + 100*SUMSQ(M8:M27)</f>
        <v>0</v>
      </c>
    </row>
    <row r="6">
      <c r="A6">
        <v>2002</v>
      </c>
      <c r="C6">
        <v>2002</v>
      </c>
      <c r="D6">
        <v>303592.625</v>
      </c>
      <c r="E6">
        <v>28105.572265625</v>
      </c>
      <c r="F6">
        <f>LN(D6)</f>
        <v>0</v>
      </c>
      <c r="G6">
        <f>LN(E6)</f>
        <v>0</v>
      </c>
      <c r="K6">
        <f>G6-$B$2*F6</f>
        <v>0</v>
      </c>
      <c r="N6">
        <f>K6-L6</f>
        <v>0</v>
      </c>
    </row>
    <row r="7">
      <c r="A7">
        <v>2003</v>
      </c>
      <c r="C7">
        <v>2003</v>
      </c>
      <c r="D7">
        <v>307310.28125</v>
      </c>
      <c r="E7">
        <v>31213.515625</v>
      </c>
      <c r="F7">
        <f>LN(D7)</f>
        <v>0</v>
      </c>
      <c r="G7">
        <f>LN(E7)</f>
        <v>0</v>
      </c>
      <c r="K7">
        <f>G7-$B$2*F7</f>
        <v>0</v>
      </c>
      <c r="N7">
        <f>K7-L7</f>
        <v>0</v>
      </c>
    </row>
    <row r="8">
      <c r="A8">
        <v>2004</v>
      </c>
      <c r="C8">
        <v>2004</v>
      </c>
      <c r="D8">
        <v>311984.28125</v>
      </c>
      <c r="E8">
        <v>33022.64453125</v>
      </c>
      <c r="F8">
        <f>LN(D8)</f>
        <v>0</v>
      </c>
      <c r="G8">
        <f>LN(E8)</f>
        <v>0</v>
      </c>
      <c r="K8">
        <f>G8-$B$2*F8</f>
        <v>0</v>
      </c>
      <c r="M8">
        <f>L8-2*L7+L6</f>
        <v>0</v>
      </c>
      <c r="N8">
        <f>K8-L8</f>
        <v>0</v>
      </c>
    </row>
    <row r="9">
      <c r="A9">
        <v>2005</v>
      </c>
      <c r="C9">
        <v>2005</v>
      </c>
      <c r="D9">
        <v>317837.8125</v>
      </c>
      <c r="E9">
        <v>36188.953125</v>
      </c>
      <c r="F9">
        <f>LN(D9)</f>
        <v>0</v>
      </c>
      <c r="G9">
        <f>LN(E9)</f>
        <v>0</v>
      </c>
      <c r="K9">
        <f>G9-$B$2*F9</f>
        <v>0</v>
      </c>
      <c r="M9">
        <f>L9-2*L8+L7</f>
        <v>0</v>
      </c>
      <c r="N9">
        <f>K9-L9</f>
        <v>0</v>
      </c>
    </row>
    <row r="10">
      <c r="A10">
        <v>2006</v>
      </c>
      <c r="C10">
        <v>2006</v>
      </c>
      <c r="D10">
        <v>322943.65625</v>
      </c>
      <c r="E10">
        <v>39598.22265625</v>
      </c>
      <c r="F10">
        <f>LN(D10)</f>
        <v>0</v>
      </c>
      <c r="G10">
        <f>LN(E10)</f>
        <v>0</v>
      </c>
      <c r="K10">
        <f>G10-$B$2*F10</f>
        <v>0</v>
      </c>
      <c r="M10">
        <f>L10-2*L9+L8</f>
        <v>0</v>
      </c>
      <c r="N10">
        <f>K10-L10</f>
        <v>0</v>
      </c>
    </row>
    <row r="11">
      <c r="A11">
        <v>2007</v>
      </c>
      <c r="C11">
        <v>2007</v>
      </c>
      <c r="D11">
        <v>329445.875</v>
      </c>
      <c r="E11">
        <v>44579.19140625</v>
      </c>
      <c r="F11">
        <f>LN(D11)</f>
        <v>0</v>
      </c>
      <c r="G11">
        <f>LN(E11)</f>
        <v>0</v>
      </c>
      <c r="K11">
        <f>G11-$B$2*F11</f>
        <v>0</v>
      </c>
      <c r="M11">
        <f>L11-2*L10+L9</f>
        <v>0</v>
      </c>
      <c r="N11">
        <f>K11-L11</f>
        <v>0</v>
      </c>
    </row>
    <row r="12">
      <c r="A12">
        <v>2008</v>
      </c>
      <c r="C12">
        <v>2008</v>
      </c>
      <c r="D12">
        <v>332604.46875</v>
      </c>
      <c r="E12">
        <v>45657.16015625</v>
      </c>
      <c r="F12">
        <f>LN(D12)</f>
        <v>0</v>
      </c>
      <c r="G12">
        <f>LN(E12)</f>
        <v>0</v>
      </c>
      <c r="K12">
        <f>G12-$B$2*F12</f>
        <v>0</v>
      </c>
      <c r="M12">
        <f>L12-2*L11+L10</f>
        <v>0</v>
      </c>
      <c r="N12">
        <f>K12-L12</f>
        <v>0</v>
      </c>
    </row>
    <row r="13">
      <c r="A13">
        <v>2009</v>
      </c>
      <c r="C13">
        <v>2009</v>
      </c>
      <c r="D13">
        <v>330608.28125</v>
      </c>
      <c r="E13">
        <v>43990.6328125</v>
      </c>
      <c r="F13">
        <f>LN(D13)</f>
        <v>0</v>
      </c>
      <c r="G13">
        <f>LN(E13)</f>
        <v>0</v>
      </c>
      <c r="K13">
        <f>G13-$B$2*F13</f>
        <v>0</v>
      </c>
      <c r="M13">
        <f>L13-2*L12+L11</f>
        <v>0</v>
      </c>
      <c r="N13">
        <f>K13-L13</f>
        <v>0</v>
      </c>
    </row>
    <row r="14">
      <c r="A14">
        <v>2010</v>
      </c>
      <c r="C14">
        <v>2010</v>
      </c>
      <c r="D14">
        <v>332551.53125</v>
      </c>
      <c r="E14">
        <v>46739.7890625</v>
      </c>
      <c r="F14">
        <f>LN(D14)</f>
        <v>0</v>
      </c>
      <c r="G14">
        <f>LN(E14)</f>
        <v>0</v>
      </c>
      <c r="K14">
        <f>G14-$B$2*F14</f>
        <v>0</v>
      </c>
      <c r="M14">
        <f>L14-2*L13+L12</f>
        <v>0</v>
      </c>
      <c r="N14">
        <f>K14-L14</f>
        <v>0</v>
      </c>
    </row>
    <row r="15">
      <c r="A15">
        <v>2011</v>
      </c>
      <c r="C15">
        <v>2011</v>
      </c>
      <c r="D15">
        <v>336560.28125</v>
      </c>
      <c r="E15">
        <v>50455.2109375</v>
      </c>
      <c r="F15">
        <f>LN(D15)</f>
        <v>0</v>
      </c>
      <c r="G15">
        <f>LN(E15)</f>
        <v>0</v>
      </c>
      <c r="K15">
        <f>G15-$B$2*F15</f>
        <v>0</v>
      </c>
      <c r="M15">
        <f>L15-2*L14+L13</f>
        <v>0</v>
      </c>
      <c r="N15">
        <f>K15-L15</f>
        <v>0</v>
      </c>
    </row>
    <row r="16">
      <c r="A16">
        <v>2012</v>
      </c>
      <c r="C16">
        <v>2012</v>
      </c>
      <c r="D16">
        <v>341471.1875</v>
      </c>
      <c r="E16">
        <v>53774.6796875</v>
      </c>
      <c r="F16">
        <f>LN(D16)</f>
        <v>0</v>
      </c>
      <c r="G16">
        <f>LN(E16)</f>
        <v>0</v>
      </c>
      <c r="K16">
        <f>G16-$B$2*F16</f>
        <v>0</v>
      </c>
      <c r="M16">
        <f>L16-2*L15+L14</f>
        <v>0</v>
      </c>
      <c r="N16">
        <f>K16-L16</f>
        <v>0</v>
      </c>
    </row>
    <row r="17">
      <c r="A17">
        <v>2013</v>
      </c>
      <c r="C17">
        <v>2013</v>
      </c>
      <c r="D17">
        <v>344239.03125</v>
      </c>
      <c r="E17">
        <v>56535.23046875</v>
      </c>
      <c r="F17">
        <f>LN(D17)</f>
        <v>0</v>
      </c>
      <c r="G17">
        <f>LN(E17)</f>
        <v>0</v>
      </c>
      <c r="K17">
        <f>G17-$B$2*F17</f>
        <v>0</v>
      </c>
      <c r="M17">
        <f>L17-2*L16+L15</f>
        <v>0</v>
      </c>
      <c r="N17">
        <f>K17-L17</f>
        <v>0</v>
      </c>
    </row>
    <row r="18">
      <c r="A18">
        <v>2014</v>
      </c>
      <c r="C18">
        <v>2014</v>
      </c>
      <c r="D18">
        <v>350962.15625</v>
      </c>
      <c r="E18">
        <v>58847.86328125</v>
      </c>
      <c r="F18">
        <f>LN(D18)</f>
        <v>0</v>
      </c>
      <c r="G18">
        <f>LN(E18)</f>
        <v>0</v>
      </c>
      <c r="K18">
        <f>G18-$B$2*F18</f>
        <v>0</v>
      </c>
      <c r="M18">
        <f>L18-2*L17+L16</f>
        <v>0</v>
      </c>
      <c r="N18">
        <f>K18-L18</f>
        <v>0</v>
      </c>
    </row>
    <row r="19">
      <c r="A19">
        <v>2015</v>
      </c>
      <c r="C19">
        <v>2015</v>
      </c>
      <c r="D19">
        <v>360259.8125</v>
      </c>
      <c r="E19">
        <v>60819.7421875</v>
      </c>
      <c r="F19">
        <f>LN(D19)</f>
        <v>0</v>
      </c>
      <c r="G19">
        <f>LN(E19)</f>
        <v>0</v>
      </c>
      <c r="K19">
        <f>G19-$B$2*F19</f>
        <v>0</v>
      </c>
      <c r="M19">
        <f>L19-2*L18+L17</f>
        <v>0</v>
      </c>
      <c r="N19">
        <f>K19-L19</f>
        <v>0</v>
      </c>
    </row>
    <row r="20">
      <c r="A20">
        <v>2016</v>
      </c>
      <c r="C20">
        <v>2016</v>
      </c>
      <c r="D20">
        <v>370547.65625</v>
      </c>
      <c r="E20">
        <v>62917.9765625</v>
      </c>
      <c r="F20">
        <f>LN(D20)</f>
        <v>0</v>
      </c>
      <c r="G20">
        <f>LN(E20)</f>
        <v>0</v>
      </c>
      <c r="K20">
        <f>G20-$B$2*F20</f>
        <v>0</v>
      </c>
      <c r="M20">
        <f>L20-2*L19+L18</f>
        <v>0</v>
      </c>
      <c r="N20">
        <f>K20-L20</f>
        <v>0</v>
      </c>
    </row>
    <row r="21">
      <c r="A21">
        <v>2017</v>
      </c>
      <c r="C21">
        <v>2017</v>
      </c>
      <c r="D21">
        <v>380655.78125</v>
      </c>
      <c r="E21">
        <v>66165.234375</v>
      </c>
      <c r="F21">
        <f>LN(D21)</f>
        <v>0</v>
      </c>
      <c r="G21">
        <f>LN(E21)</f>
        <v>0</v>
      </c>
      <c r="K21">
        <f>G21-$B$2*F21</f>
        <v>0</v>
      </c>
      <c r="M21">
        <f>L21-2*L20+L19</f>
        <v>0</v>
      </c>
      <c r="N21">
        <f>K21-L21</f>
        <v>0</v>
      </c>
    </row>
    <row r="22">
      <c r="A22">
        <v>2018</v>
      </c>
      <c r="C22">
        <v>2018</v>
      </c>
      <c r="D22">
        <v>390625.1875</v>
      </c>
      <c r="E22">
        <v>70176.296875</v>
      </c>
      <c r="F22">
        <f>LN(D22)</f>
        <v>0</v>
      </c>
      <c r="G22">
        <f>LN(E22)</f>
        <v>0</v>
      </c>
      <c r="K22">
        <f>G22-$B$2*F22</f>
        <v>0</v>
      </c>
      <c r="M22">
        <f>L22-2*L21+L20</f>
        <v>0</v>
      </c>
      <c r="N22">
        <f>K22-L22</f>
        <v>0</v>
      </c>
    </row>
    <row r="23">
      <c r="A23">
        <v>2019</v>
      </c>
      <c r="C23">
        <v>2019</v>
      </c>
      <c r="D23">
        <v>399934.28125</v>
      </c>
      <c r="E23">
        <v>73951.9765625</v>
      </c>
      <c r="F23">
        <f>LN(D23)</f>
        <v>0</v>
      </c>
      <c r="G23">
        <f>LN(E23)</f>
        <v>0</v>
      </c>
      <c r="K23">
        <f>G23-$B$2*F23</f>
        <v>0</v>
      </c>
      <c r="M23">
        <f>L23-2*L22+L21</f>
        <v>0</v>
      </c>
      <c r="N23">
        <f>K23-L23</f>
        <v>0</v>
      </c>
    </row>
    <row r="24">
      <c r="A24">
        <v>2020</v>
      </c>
      <c r="C24">
        <v>2020</v>
      </c>
      <c r="D24">
        <v>405156.15625</v>
      </c>
      <c r="E24">
        <v>69293.0020390625</v>
      </c>
      <c r="F24">
        <f>LN(D24)</f>
        <v>0</v>
      </c>
      <c r="G24">
        <f>LN(E24)</f>
        <v>0</v>
      </c>
      <c r="K24">
        <f>G24-$B$2*F24</f>
        <v>0</v>
      </c>
      <c r="M24">
        <f>L24-2*L23+L22</f>
        <v>0</v>
      </c>
      <c r="N24">
        <f>K24-L24</f>
        <v>0</v>
      </c>
    </row>
    <row r="25">
      <c r="A25">
        <v>2021</v>
      </c>
      <c r="C25">
        <v>2021</v>
      </c>
      <c r="D25">
        <v>409189.75</v>
      </c>
      <c r="E25">
        <v>76638.06025520313</v>
      </c>
      <c r="F25">
        <f>LN(D25)</f>
        <v>0</v>
      </c>
      <c r="G25">
        <f>LN(E25)</f>
        <v>0</v>
      </c>
      <c r="K25">
        <f>G25-$B$2*F25</f>
        <v>0</v>
      </c>
      <c r="M25">
        <f>L25-2*L24+L23</f>
        <v>0</v>
      </c>
      <c r="N25">
        <f>K25-L25</f>
        <v>0</v>
      </c>
    </row>
    <row r="26">
      <c r="A26">
        <v>2022</v>
      </c>
      <c r="C26">
        <v>2022</v>
      </c>
      <c r="D26">
        <v>415085.84375</v>
      </c>
      <c r="E26">
        <v>85068.24688327548</v>
      </c>
      <c r="F26">
        <f>LN(D26)</f>
        <v>0</v>
      </c>
      <c r="G26">
        <f>LN(E26)</f>
        <v>0</v>
      </c>
      <c r="K26">
        <f>G26-$B$2*F26</f>
        <v>0</v>
      </c>
      <c r="M26">
        <f>L26-2*L25+L24</f>
        <v>0</v>
      </c>
      <c r="N26">
        <f>K26-L26</f>
        <v>0</v>
      </c>
    </row>
    <row r="27">
      <c r="A27">
        <v>2023</v>
      </c>
      <c r="C27">
        <v>2023</v>
      </c>
      <c r="D27">
        <v>426190.5</v>
      </c>
      <c r="E27">
        <v>91703.57014017098</v>
      </c>
      <c r="F27">
        <f>LN(D27)</f>
        <v>0</v>
      </c>
      <c r="G27">
        <f>LN(E27)</f>
        <v>0</v>
      </c>
      <c r="K27">
        <f>G27-$B$2*F27</f>
        <v>0</v>
      </c>
      <c r="M27">
        <f>L27-2*L26+L25</f>
        <v>0</v>
      </c>
      <c r="N27">
        <f>K27-L27</f>
        <v>0</v>
      </c>
    </row>
    <row r="35">
      <c r="D35" t="str">
        <v>K/Y</v>
      </c>
      <c r="E35" t="str">
        <v>K</v>
      </c>
      <c r="F35" t="str">
        <v>Y</v>
      </c>
      <c r="G35" t="str">
        <v>LnZ trend</v>
      </c>
      <c r="H35" t="str">
        <v>Ystar_base</v>
      </c>
      <c r="I35" t="str">
        <v>Investment</v>
      </c>
      <c r="J35" t="str">
        <v>ΔK</v>
      </c>
      <c r="K35" t="str">
        <v>K_With</v>
      </c>
      <c r="L35" t="str">
        <v>Ystar_with</v>
      </c>
      <c r="M35" t="str">
        <v>Uplift</v>
      </c>
      <c r="N35" t="str">
        <v>Projected GDP</v>
      </c>
      <c r="O35" t="str">
        <v>Projected GDP Growth</v>
      </c>
      <c r="P35" t="str">
        <v>Baseline GDP Growth</v>
      </c>
    </row>
    <row r="36">
      <c r="C36">
        <v>2002</v>
      </c>
      <c r="D36">
        <f>E36/F36</f>
        <v>0</v>
      </c>
      <c r="E36">
        <v>303592.625</v>
      </c>
      <c r="F36">
        <v>28105.572265625</v>
      </c>
      <c r="G36">
        <f>L6</f>
        <v>0</v>
      </c>
      <c r="H36">
        <f>EXP(G36)*E36^$B$2</f>
        <v>0</v>
      </c>
      <c r="I36">
        <f>SUMIF(Investment!A:A, C36, Investment!B:B)</f>
        <v>0</v>
      </c>
      <c r="J36">
        <v>0</v>
      </c>
      <c r="K36">
        <f>E36+J36</f>
        <v>0</v>
      </c>
      <c r="L36">
        <f>EXP(G36)*K36^$B$2</f>
        <v>0</v>
      </c>
    </row>
    <row r="37">
      <c r="C37">
        <v>2003</v>
      </c>
      <c r="D37">
        <f>E37/F37</f>
        <v>0</v>
      </c>
      <c r="E37">
        <v>307310.28125</v>
      </c>
      <c r="F37">
        <v>31213.515625</v>
      </c>
      <c r="G37">
        <f>L7</f>
        <v>0</v>
      </c>
      <c r="H37">
        <f>EXP(G37)*E37^$B$2</f>
        <v>0</v>
      </c>
      <c r="I37">
        <f>SUMIF(Investment!A:A, C37, Investment!B:B)</f>
        <v>0</v>
      </c>
      <c r="J37">
        <f>J36*(1-$B$3)+I37</f>
        <v>0</v>
      </c>
      <c r="K37">
        <f>E37+J37</f>
        <v>0</v>
      </c>
      <c r="L37">
        <f>EXP(G37)*K37^$B$2</f>
        <v>0</v>
      </c>
    </row>
    <row r="38">
      <c r="C38">
        <v>2004</v>
      </c>
      <c r="D38">
        <f>E38/F38</f>
        <v>0</v>
      </c>
      <c r="E38">
        <v>311984.28125</v>
      </c>
      <c r="F38">
        <v>33022.64453125</v>
      </c>
      <c r="G38">
        <f>L8</f>
        <v>0</v>
      </c>
      <c r="H38">
        <f>EXP(G38)*E38^$B$2</f>
        <v>0</v>
      </c>
      <c r="I38">
        <f>SUMIF(Investment!A:A, C38, Investment!B:B)</f>
        <v>0</v>
      </c>
      <c r="J38">
        <f>J37*(1-$B$3)+I38</f>
        <v>0</v>
      </c>
      <c r="K38">
        <f>E38+J38</f>
        <v>0</v>
      </c>
      <c r="L38">
        <f>EXP(G38)*K38^$B$2</f>
        <v>0</v>
      </c>
    </row>
    <row r="39">
      <c r="C39">
        <v>2005</v>
      </c>
      <c r="D39">
        <f>E39/F39</f>
        <v>0</v>
      </c>
      <c r="E39">
        <v>317837.8125</v>
      </c>
      <c r="F39">
        <v>36188.953125</v>
      </c>
      <c r="G39">
        <f>L9</f>
        <v>0</v>
      </c>
      <c r="H39">
        <f>EXP(G39)*E39^$B$2</f>
        <v>0</v>
      </c>
      <c r="I39">
        <f>SUMIF(Investment!A:A, C39, Investment!B:B)</f>
        <v>0</v>
      </c>
      <c r="J39">
        <f>J38*(1-$B$3)+I39</f>
        <v>0</v>
      </c>
      <c r="K39">
        <f>E39+J39</f>
        <v>0</v>
      </c>
      <c r="L39">
        <f>EXP(G39)*K39^$B$2</f>
        <v>0</v>
      </c>
    </row>
    <row r="40">
      <c r="C40">
        <v>2006</v>
      </c>
      <c r="D40">
        <f>E40/F40</f>
        <v>0</v>
      </c>
      <c r="E40">
        <v>322943.65625</v>
      </c>
      <c r="F40">
        <v>39598.22265625</v>
      </c>
      <c r="G40">
        <f>L10</f>
        <v>0</v>
      </c>
      <c r="H40">
        <f>EXP(G40)*E40^$B$2</f>
        <v>0</v>
      </c>
      <c r="I40">
        <f>SUMIF(Investment!A:A, C40, Investment!B:B)</f>
        <v>0</v>
      </c>
      <c r="J40">
        <f>J39*(1-$B$3)+I40</f>
        <v>0</v>
      </c>
      <c r="K40">
        <f>E40+J40</f>
        <v>0</v>
      </c>
      <c r="L40">
        <f>EXP(G40)*K40^$B$2</f>
        <v>0</v>
      </c>
    </row>
    <row r="41">
      <c r="C41">
        <v>2007</v>
      </c>
      <c r="D41">
        <f>E41/F41</f>
        <v>0</v>
      </c>
      <c r="E41">
        <v>329445.875</v>
      </c>
      <c r="F41">
        <v>44579.19140625</v>
      </c>
      <c r="G41">
        <f>L11</f>
        <v>0</v>
      </c>
      <c r="H41">
        <f>EXP(G41)*E41^$B$2</f>
        <v>0</v>
      </c>
      <c r="I41">
        <f>SUMIF(Investment!A:A, C41, Investment!B:B)</f>
        <v>0</v>
      </c>
      <c r="J41">
        <f>J40*(1-$B$3)+I41</f>
        <v>0</v>
      </c>
      <c r="K41">
        <f>E41+J41</f>
        <v>0</v>
      </c>
      <c r="L41">
        <f>EXP(G41)*K41^$B$2</f>
        <v>0</v>
      </c>
    </row>
    <row r="42">
      <c r="C42">
        <v>2008</v>
      </c>
      <c r="D42">
        <f>E42/F42</f>
        <v>0</v>
      </c>
      <c r="E42">
        <v>332604.46875</v>
      </c>
      <c r="F42">
        <v>45657.16015625</v>
      </c>
      <c r="G42">
        <f>L12</f>
        <v>0</v>
      </c>
      <c r="H42">
        <f>EXP(G42)*E42^$B$2</f>
        <v>0</v>
      </c>
      <c r="I42">
        <f>SUMIF(Investment!A:A, C42, Investment!B:B)</f>
        <v>0</v>
      </c>
      <c r="J42">
        <f>J41*(1-$B$3)+I42</f>
        <v>0</v>
      </c>
      <c r="K42">
        <f>E42+J42</f>
        <v>0</v>
      </c>
      <c r="L42">
        <f>EXP(G42)*K42^$B$2</f>
        <v>0</v>
      </c>
    </row>
    <row r="43">
      <c r="C43">
        <v>2009</v>
      </c>
      <c r="D43">
        <f>E43/F43</f>
        <v>0</v>
      </c>
      <c r="E43">
        <v>330608.28125</v>
      </c>
      <c r="F43">
        <v>43990.6328125</v>
      </c>
      <c r="G43">
        <f>L13</f>
        <v>0</v>
      </c>
      <c r="H43">
        <f>EXP(G43)*E43^$B$2</f>
        <v>0</v>
      </c>
      <c r="I43">
        <f>SUMIF(Investment!A:A, C43, Investment!B:B)</f>
        <v>0</v>
      </c>
      <c r="J43">
        <f>J42*(1-$B$3)+I43</f>
        <v>0</v>
      </c>
      <c r="K43">
        <f>E43+J43</f>
        <v>0</v>
      </c>
      <c r="L43">
        <f>EXP(G43)*K43^$B$2</f>
        <v>0</v>
      </c>
    </row>
    <row r="44">
      <c r="C44">
        <v>2010</v>
      </c>
      <c r="D44">
        <f>E44/F44</f>
        <v>0</v>
      </c>
      <c r="E44">
        <v>332551.53125</v>
      </c>
      <c r="F44">
        <v>46739.7890625</v>
      </c>
      <c r="G44">
        <f>L14</f>
        <v>0</v>
      </c>
      <c r="H44">
        <f>EXP(G44)*E44^$B$2</f>
        <v>0</v>
      </c>
      <c r="I44">
        <f>SUMIF(Investment!A:A, C44, Investment!B:B)</f>
        <v>0</v>
      </c>
      <c r="J44">
        <f>J43*(1-$B$3)+I44</f>
        <v>0</v>
      </c>
      <c r="K44">
        <f>E44+J44</f>
        <v>0</v>
      </c>
      <c r="L44">
        <f>EXP(G44)*K44^$B$2</f>
        <v>0</v>
      </c>
    </row>
    <row r="45">
      <c r="C45">
        <v>2011</v>
      </c>
      <c r="D45">
        <f>E45/F45</f>
        <v>0</v>
      </c>
      <c r="E45">
        <v>336560.28125</v>
      </c>
      <c r="F45">
        <v>50455.2109375</v>
      </c>
      <c r="G45">
        <f>L15</f>
        <v>0</v>
      </c>
      <c r="H45">
        <f>EXP(G45)*E45^$B$2</f>
        <v>0</v>
      </c>
      <c r="I45">
        <f>SUMIF(Investment!A:A, C45, Investment!B:B)</f>
        <v>0</v>
      </c>
      <c r="J45">
        <f>J44*(1-$B$3)+I45</f>
        <v>0</v>
      </c>
      <c r="K45">
        <f>E45+J45</f>
        <v>0</v>
      </c>
      <c r="L45">
        <f>EXP(G45)*K45^$B$2</f>
        <v>0</v>
      </c>
    </row>
    <row r="46">
      <c r="C46">
        <v>2012</v>
      </c>
      <c r="D46">
        <f>E46/F46</f>
        <v>0</v>
      </c>
      <c r="E46">
        <v>341471.1875</v>
      </c>
      <c r="F46">
        <v>53774.6796875</v>
      </c>
      <c r="G46">
        <f>L16</f>
        <v>0</v>
      </c>
      <c r="H46">
        <f>EXP(G46)*E46^$B$2</f>
        <v>0</v>
      </c>
      <c r="I46">
        <f>SUMIF(Investment!A:A, C46, Investment!B:B)</f>
        <v>0</v>
      </c>
      <c r="J46">
        <f>J45*(1-$B$3)+I46</f>
        <v>0</v>
      </c>
      <c r="K46">
        <f>E46+J46</f>
        <v>0</v>
      </c>
      <c r="L46">
        <f>EXP(G46)*K46^$B$2</f>
        <v>0</v>
      </c>
    </row>
    <row r="47">
      <c r="C47">
        <v>2013</v>
      </c>
      <c r="D47">
        <f>E47/F47</f>
        <v>0</v>
      </c>
      <c r="E47">
        <v>344239.03125</v>
      </c>
      <c r="F47">
        <v>56535.23046875</v>
      </c>
      <c r="G47">
        <f>L17</f>
        <v>0</v>
      </c>
      <c r="H47">
        <f>EXP(G47)*E47^$B$2</f>
        <v>0</v>
      </c>
      <c r="I47">
        <f>SUMIF(Investment!A:A, C47, Investment!B:B)</f>
        <v>0</v>
      </c>
      <c r="J47">
        <f>J46*(1-$B$3)+I47</f>
        <v>0</v>
      </c>
      <c r="K47">
        <f>E47+J47</f>
        <v>0</v>
      </c>
      <c r="L47">
        <f>EXP(G47)*K47^$B$2</f>
        <v>0</v>
      </c>
    </row>
    <row r="48">
      <c r="C48">
        <v>2014</v>
      </c>
      <c r="D48">
        <f>E48/F48</f>
        <v>0</v>
      </c>
      <c r="E48">
        <v>350962.15625</v>
      </c>
      <c r="F48">
        <v>58847.86328125</v>
      </c>
      <c r="G48">
        <f>L18</f>
        <v>0</v>
      </c>
      <c r="H48">
        <f>EXP(G48)*E48^$B$2</f>
        <v>0</v>
      </c>
      <c r="I48">
        <f>SUMIF(Investment!A:A, C48, Investment!B:B)</f>
        <v>0</v>
      </c>
      <c r="J48">
        <f>J47*(1-$B$3)+I48</f>
        <v>0</v>
      </c>
      <c r="K48">
        <f>E48+J48</f>
        <v>0</v>
      </c>
      <c r="L48">
        <f>EXP(G48)*K48^$B$2</f>
        <v>0</v>
      </c>
    </row>
    <row r="49">
      <c r="C49">
        <v>2015</v>
      </c>
      <c r="D49">
        <f>E49/F49</f>
        <v>0</v>
      </c>
      <c r="E49">
        <v>360259.8125</v>
      </c>
      <c r="F49">
        <v>60819.7421875</v>
      </c>
      <c r="G49">
        <f>L19</f>
        <v>0</v>
      </c>
      <c r="H49">
        <f>EXP(G49)*E49^$B$2</f>
        <v>0</v>
      </c>
      <c r="I49">
        <f>SUMIF(Investment!A:A, C49, Investment!B:B)</f>
        <v>0</v>
      </c>
      <c r="J49">
        <f>J48*(1-$B$3)+I49</f>
        <v>0</v>
      </c>
      <c r="K49">
        <f>E49+J49</f>
        <v>0</v>
      </c>
      <c r="L49">
        <f>EXP(G49)*K49^$B$2</f>
        <v>0</v>
      </c>
    </row>
    <row r="50">
      <c r="C50">
        <v>2016</v>
      </c>
      <c r="D50">
        <f>E50/F50</f>
        <v>0</v>
      </c>
      <c r="E50">
        <v>370547.65625</v>
      </c>
      <c r="F50">
        <v>62917.9765625</v>
      </c>
      <c r="G50">
        <f>L20</f>
        <v>0</v>
      </c>
      <c r="H50">
        <f>EXP(G50)*E50^$B$2</f>
        <v>0</v>
      </c>
      <c r="I50">
        <f>SUMIF(Investment!A:A, C50, Investment!B:B)</f>
        <v>0</v>
      </c>
      <c r="J50">
        <f>J49*(1-$B$3)+I50</f>
        <v>0</v>
      </c>
      <c r="K50">
        <f>E50+J50</f>
        <v>0</v>
      </c>
      <c r="L50">
        <f>EXP(G50)*K50^$B$2</f>
        <v>0</v>
      </c>
    </row>
    <row r="51">
      <c r="C51">
        <v>2017</v>
      </c>
      <c r="D51">
        <f>E51/F51</f>
        <v>0</v>
      </c>
      <c r="E51">
        <v>380655.78125</v>
      </c>
      <c r="F51">
        <v>66165.234375</v>
      </c>
      <c r="G51">
        <f>L21</f>
        <v>0</v>
      </c>
      <c r="H51">
        <f>EXP(G51)*E51^$B$2</f>
        <v>0</v>
      </c>
      <c r="I51">
        <f>SUMIF(Investment!A:A, C51, Investment!B:B)</f>
        <v>0</v>
      </c>
      <c r="J51">
        <f>J50*(1-$B$3)+I51</f>
        <v>0</v>
      </c>
      <c r="K51">
        <f>E51+J51</f>
        <v>0</v>
      </c>
      <c r="L51">
        <f>EXP(G51)*K51^$B$2</f>
        <v>0</v>
      </c>
    </row>
    <row r="52">
      <c r="C52">
        <v>2018</v>
      </c>
      <c r="D52">
        <f>E52/F52</f>
        <v>0</v>
      </c>
      <c r="E52">
        <v>390625.1875</v>
      </c>
      <c r="F52">
        <v>70176.296875</v>
      </c>
      <c r="G52">
        <f>L22</f>
        <v>0</v>
      </c>
      <c r="H52">
        <f>EXP(G52)*E52^$B$2</f>
        <v>0</v>
      </c>
      <c r="I52">
        <f>SUMIF(Investment!A:A, C52, Investment!B:B)</f>
        <v>0</v>
      </c>
      <c r="J52">
        <f>J51*(1-$B$3)+I52</f>
        <v>0</v>
      </c>
      <c r="K52">
        <f>E52+J52</f>
        <v>0</v>
      </c>
      <c r="L52">
        <f>EXP(G52)*K52^$B$2</f>
        <v>0</v>
      </c>
    </row>
    <row r="53">
      <c r="C53">
        <v>2019</v>
      </c>
      <c r="D53">
        <f>E53/F53</f>
        <v>0</v>
      </c>
      <c r="E53">
        <v>399934.28125</v>
      </c>
      <c r="F53">
        <v>73951.9765625</v>
      </c>
      <c r="G53">
        <f>L23</f>
        <v>0</v>
      </c>
      <c r="H53">
        <f>EXP(G53)*E53^$B$2</f>
        <v>0</v>
      </c>
      <c r="I53">
        <f>SUMIF(Investment!A:A, C53, Investment!B:B)</f>
        <v>0</v>
      </c>
      <c r="J53">
        <f>J52*(1-$B$3)+I53</f>
        <v>0</v>
      </c>
      <c r="K53">
        <f>E53+J53</f>
        <v>0</v>
      </c>
      <c r="L53">
        <f>EXP(G53)*K53^$B$2</f>
        <v>0</v>
      </c>
    </row>
    <row r="54">
      <c r="C54">
        <v>2020</v>
      </c>
      <c r="D54">
        <f>E54/F54</f>
        <v>0</v>
      </c>
      <c r="E54">
        <v>405156.15625</v>
      </c>
      <c r="F54">
        <v>69293.0020390625</v>
      </c>
      <c r="G54">
        <f>L24</f>
        <v>0</v>
      </c>
      <c r="H54">
        <f>EXP(G54)*E54^$B$2</f>
        <v>0</v>
      </c>
      <c r="I54">
        <f>SUMIF(Investment!A:A, C54, Investment!B:B)</f>
        <v>0</v>
      </c>
      <c r="J54">
        <f>J53*(1-$B$3)+I54</f>
        <v>0</v>
      </c>
      <c r="K54">
        <f>E54+J54</f>
        <v>0</v>
      </c>
      <c r="L54">
        <f>EXP(G54)*K54^$B$2</f>
        <v>0</v>
      </c>
    </row>
    <row r="55">
      <c r="C55">
        <v>2021</v>
      </c>
      <c r="D55">
        <f>E55/F55</f>
        <v>0</v>
      </c>
      <c r="E55">
        <v>409189.75</v>
      </c>
      <c r="F55">
        <v>76638.06025520313</v>
      </c>
      <c r="G55">
        <f>L25</f>
        <v>0</v>
      </c>
      <c r="H55">
        <f>EXP(G55)*E55^$B$2</f>
        <v>0</v>
      </c>
      <c r="I55">
        <f>SUMIF(Investment!A:A, C55, Investment!B:B)</f>
        <v>0</v>
      </c>
      <c r="J55">
        <f>J54*(1-$B$3)+I55</f>
        <v>0</v>
      </c>
      <c r="K55">
        <f>E55+J55</f>
        <v>0</v>
      </c>
      <c r="L55">
        <f>EXP(G55)*K55^$B$2</f>
        <v>0</v>
      </c>
    </row>
    <row r="56">
      <c r="C56">
        <v>2022</v>
      </c>
      <c r="D56">
        <f>E56/F56</f>
        <v>0</v>
      </c>
      <c r="E56">
        <v>415085.84375</v>
      </c>
      <c r="F56">
        <v>85068.24688327548</v>
      </c>
      <c r="G56">
        <f>L26</f>
        <v>0</v>
      </c>
      <c r="H56">
        <f>EXP(G56)*E56^$B$2</f>
        <v>0</v>
      </c>
      <c r="I56">
        <f>SUMIF(Investment!A:A, C56, Investment!B:B)</f>
        <v>0</v>
      </c>
      <c r="J56">
        <f>J55*(1-$B$3)+I56</f>
        <v>0</v>
      </c>
      <c r="K56">
        <f>E56+J56</f>
        <v>0</v>
      </c>
      <c r="L56">
        <f>EXP(G56)*K56^$B$2</f>
        <v>0</v>
      </c>
    </row>
    <row r="57">
      <c r="C57">
        <v>2023</v>
      </c>
      <c r="D57">
        <f>E57/F57</f>
        <v>0</v>
      </c>
      <c r="E57">
        <v>426190.5</v>
      </c>
      <c r="F57">
        <v>91703.57014017098</v>
      </c>
      <c r="G57">
        <f>L27</f>
        <v>0</v>
      </c>
      <c r="H57">
        <f>EXP(G57)*E57^$B$2</f>
        <v>0</v>
      </c>
      <c r="I57">
        <f>SUMIF(Investment!A:A, C57, Investment!B:B)</f>
        <v>0</v>
      </c>
      <c r="J57">
        <f>J56*(1-$B$3)+I57</f>
        <v>0</v>
      </c>
      <c r="K57">
        <f>E57+J57</f>
        <v>0</v>
      </c>
      <c r="L57">
        <f>EXP(G57)*K57^$B$2</f>
        <v>0</v>
      </c>
    </row>
    <row r="58">
      <c r="C58">
        <v>2024</v>
      </c>
      <c r="D58">
        <f>E58/F58</f>
        <v>0</v>
      </c>
      <c r="E58">
        <v>549031.8459487967</v>
      </c>
      <c r="F58">
        <v>100323.70573334706</v>
      </c>
      <c r="G58">
        <f>TREND($G$36:$G$57, $C$36:$C$57, C58)</f>
        <v>0</v>
      </c>
      <c r="H58">
        <f>EXP(G58)*E58^$B$2</f>
        <v>0</v>
      </c>
      <c r="I58">
        <f>SUMIF(Investment!A:A, C58, Investment!B:B)</f>
        <v>0</v>
      </c>
      <c r="J58">
        <f>J57*(1-$B$3)+I58</f>
        <v>0</v>
      </c>
      <c r="K58">
        <f>E58+J58</f>
        <v>0</v>
      </c>
      <c r="L58">
        <f>EXP(G58)*K58^$B$2</f>
        <v>0</v>
      </c>
    </row>
    <row r="59">
      <c r="C59">
        <v>2025</v>
      </c>
      <c r="D59">
        <f>E59/F59</f>
        <v>0</v>
      </c>
      <c r="E59">
        <v>588562.1388571102</v>
      </c>
      <c r="F59">
        <v>107547.01254614805</v>
      </c>
      <c r="G59">
        <f>TREND($G$36:$G$57, $C$36:$C$57, C59)</f>
        <v>0</v>
      </c>
      <c r="H59">
        <f>EXP(G59)*E59^$B$2</f>
        <v>0</v>
      </c>
      <c r="I59">
        <f>SUMIF(Investment!A:A, C59, Investment!B:B)</f>
        <v>0</v>
      </c>
      <c r="J59">
        <f>J58*(1-$B$3)+I59</f>
        <v>0</v>
      </c>
      <c r="K59">
        <f>E59+J59</f>
        <v>0</v>
      </c>
      <c r="L59">
        <f>EXP(G59)*K59^$B$2</f>
        <v>0</v>
      </c>
    </row>
    <row r="60">
      <c r="C60">
        <v>2026</v>
      </c>
      <c r="D60">
        <f>E60/F60</f>
        <v>0</v>
      </c>
      <c r="E60">
        <v>617990.2457999657</v>
      </c>
      <c r="F60">
        <v>112924.36317345545</v>
      </c>
      <c r="G60">
        <f>TREND($G$36:$G$57, $C$36:$C$57, C60)</f>
        <v>0</v>
      </c>
      <c r="H60">
        <f>EXP(G60)*E60^$B$2</f>
        <v>0</v>
      </c>
      <c r="I60">
        <f>SUMIF(Investment!A:A, C60, Investment!B:B)</f>
        <v>0</v>
      </c>
      <c r="J60">
        <f>J59*(1-$B$3)+I60</f>
        <v>0</v>
      </c>
      <c r="K60">
        <f>E60+J60</f>
        <v>0</v>
      </c>
      <c r="L60">
        <f>EXP(G60)*K60^$B$2</f>
        <v>0</v>
      </c>
    </row>
    <row r="61">
      <c r="C61">
        <v>2027</v>
      </c>
      <c r="D61">
        <f>E61/F61</f>
        <v>0</v>
      </c>
      <c r="E61">
        <v>648889.7580899639</v>
      </c>
      <c r="F61">
        <v>118570.58133212823</v>
      </c>
      <c r="G61">
        <f>TREND($G$36:$G$57, $C$36:$C$57, C61)</f>
        <v>0</v>
      </c>
      <c r="H61">
        <f>EXP(G61)*E61^$B$2</f>
        <v>0</v>
      </c>
      <c r="I61">
        <f>SUMIF(Investment!A:A, C61, Investment!B:B)</f>
        <v>0</v>
      </c>
      <c r="J61">
        <f>J60*(1-$B$3)+I61</f>
        <v>0</v>
      </c>
      <c r="K61">
        <f>E61+J61</f>
        <v>0</v>
      </c>
      <c r="L61">
        <f>EXP(G61)*K61^$B$2</f>
        <v>0</v>
      </c>
    </row>
    <row r="62">
      <c r="C62">
        <v>2028</v>
      </c>
      <c r="D62">
        <f>E62/F62</f>
        <v>0</v>
      </c>
      <c r="E62">
        <v>681334.2459944622</v>
      </c>
      <c r="F62">
        <v>124499.11039873464</v>
      </c>
      <c r="G62">
        <f>TREND($G$36:$G$57, $C$36:$C$57, C62)</f>
        <v>0</v>
      </c>
      <c r="H62">
        <f>EXP(G62)*E62^$B$2</f>
        <v>0</v>
      </c>
      <c r="I62">
        <f>SUMIF(Investment!A:A, C62, Investment!B:B)</f>
        <v>0</v>
      </c>
      <c r="J62">
        <f>J61*(1-$B$3)+I62</f>
        <v>0</v>
      </c>
      <c r="K62">
        <f>E62+J62</f>
        <v>0</v>
      </c>
      <c r="L62">
        <f>EXP(G62)*K62^$B$2</f>
        <v>0</v>
      </c>
    </row>
    <row r="63">
      <c r="C63">
        <v>2029</v>
      </c>
      <c r="D63">
        <f>E63/F63</f>
        <v>0</v>
      </c>
      <c r="E63">
        <v>715400.9582941852</v>
      </c>
      <c r="F63">
        <v>130724.06591867137</v>
      </c>
      <c r="G63">
        <f>TREND($G$36:$G$57, $C$36:$C$57, C63)</f>
        <v>0</v>
      </c>
      <c r="H63">
        <f>EXP(G63)*E63^$B$2</f>
        <v>0</v>
      </c>
      <c r="I63">
        <f>SUMIF(Investment!A:A, C63, Investment!B:B)</f>
        <v>0</v>
      </c>
      <c r="J63">
        <f>J62*(1-$B$3)+I63</f>
        <v>0</v>
      </c>
      <c r="K63">
        <f>E63+J63</f>
        <v>0</v>
      </c>
      <c r="L63">
        <f>EXP(G63)*K63^$B$2</f>
        <v>0</v>
      </c>
    </row>
    <row r="64">
      <c r="C64">
        <v>2030</v>
      </c>
      <c r="D64">
        <f>E64/F64</f>
        <v>0</v>
      </c>
      <c r="E64">
        <v>751171.0062088945</v>
      </c>
      <c r="F64">
        <v>137260.26921460495</v>
      </c>
      <c r="G64">
        <f>TREND($G$36:$G$57, $C$36:$C$57, C64)</f>
        <v>0</v>
      </c>
      <c r="H64">
        <f>EXP(G64)*E64^$B$2</f>
        <v>0</v>
      </c>
      <c r="I64">
        <f>SUMIF(Investment!A:A, C64, Investment!B:B)</f>
        <v>0</v>
      </c>
      <c r="J64">
        <f>J63*(1-$B$3)+I64</f>
        <v>0</v>
      </c>
      <c r="K64">
        <f>E64+J64</f>
        <v>0</v>
      </c>
      <c r="L64">
        <f>EXP(G64)*K64^$B$2</f>
        <v>0</v>
      </c>
    </row>
    <row r="65">
      <c r="C65">
        <v>2031</v>
      </c>
      <c r="D65">
        <f>E65/F65</f>
        <v>0</v>
      </c>
      <c r="E65">
        <v>788729.5565193393</v>
      </c>
      <c r="F65">
        <v>144123.2826753352</v>
      </c>
      <c r="G65">
        <f>TREND($G$36:$G$57, $C$36:$C$57, C65)</f>
        <v>0</v>
      </c>
      <c r="H65">
        <f>EXP(G65)*E65^$B$2</f>
        <v>0</v>
      </c>
      <c r="I65">
        <f>SUMIF(Investment!A:A, C65, Investment!B:B)</f>
        <v>0</v>
      </c>
      <c r="J65">
        <f>J64*(1-$B$3)+I65</f>
        <v>0</v>
      </c>
      <c r="K65">
        <f>E65+J65</f>
        <v>0</v>
      </c>
      <c r="L65">
        <f>EXP(G65)*K65^$B$2</f>
        <v>0</v>
      </c>
    </row>
    <row r="66">
      <c r="C66">
        <v>2032</v>
      </c>
      <c r="D66">
        <f>E66/F66</f>
        <v>0</v>
      </c>
      <c r="E66">
        <v>828166.0343453063</v>
      </c>
      <c r="F66">
        <v>151329.44680910197</v>
      </c>
      <c r="G66">
        <f>TREND($G$36:$G$57, $C$36:$C$57, C66)</f>
        <v>0</v>
      </c>
      <c r="H66">
        <f>EXP(G66)*E66^$B$2</f>
        <v>0</v>
      </c>
      <c r="I66">
        <f>SUMIF(Investment!A:A, C66, Investment!B:B)</f>
        <v>0</v>
      </c>
      <c r="J66">
        <f>J65*(1-$B$3)+I66</f>
        <v>0</v>
      </c>
      <c r="K66">
        <f>E66+J66</f>
        <v>0</v>
      </c>
      <c r="L66">
        <f>EXP(G66)*K66^$B$2</f>
        <v>0</v>
      </c>
    </row>
    <row r="67">
      <c r="C67">
        <v>2033</v>
      </c>
      <c r="D67">
        <f>E67/F67</f>
        <v>0</v>
      </c>
      <c r="E67">
        <v>869574.3360625716</v>
      </c>
      <c r="F67">
        <v>158895.91914955707</v>
      </c>
      <c r="G67">
        <f>TREND($G$36:$G$57, $C$36:$C$57, C67)</f>
        <v>0</v>
      </c>
      <c r="H67">
        <f>EXP(G67)*E67^$B$2</f>
        <v>0</v>
      </c>
      <c r="I67">
        <f>SUMIF(Investment!A:A, C67, Investment!B:B)</f>
        <v>0</v>
      </c>
      <c r="J67">
        <f>J66*(1-$B$3)+I67</f>
        <v>0</v>
      </c>
      <c r="K67">
        <f>E67+J67</f>
        <v>0</v>
      </c>
      <c r="L67">
        <f>EXP(G67)*K67^$B$2</f>
        <v>0</v>
      </c>
    </row>
    <row r="68">
      <c r="C68">
        <v>2034</v>
      </c>
      <c r="D68">
        <f>E68/F68</f>
        <v>0</v>
      </c>
      <c r="E68">
        <v>913053.0528657002</v>
      </c>
      <c r="F68">
        <v>166840.71510703492</v>
      </c>
      <c r="G68">
        <f>TREND($G$36:$G$57, $C$36:$C$57, C68)</f>
        <v>0</v>
      </c>
      <c r="H68">
        <f>EXP(G68)*E68^$B$2</f>
        <v>0</v>
      </c>
      <c r="I68">
        <f>SUMIF(Investment!A:A, C68, Investment!B:B)</f>
        <v>0</v>
      </c>
      <c r="J68">
        <f>J67*(1-$B$3)+I68</f>
        <v>0</v>
      </c>
      <c r="K68">
        <f>E68+J68</f>
        <v>0</v>
      </c>
      <c r="L68">
        <f>EXP(G68)*K68^$B$2</f>
        <v>0</v>
      </c>
    </row>
    <row r="69">
      <c r="C69">
        <v>2035</v>
      </c>
      <c r="D69">
        <f>E69/F69</f>
        <v>0</v>
      </c>
      <c r="E69">
        <v>958705.7055089853</v>
      </c>
      <c r="F69">
        <v>175182.7508623867</v>
      </c>
      <c r="G69">
        <f>TREND($G$36:$G$57, $C$36:$C$57, C69)</f>
        <v>0</v>
      </c>
      <c r="H69">
        <f>EXP(G69)*E69^$B$2</f>
        <v>0</v>
      </c>
      <c r="I69">
        <f>SUMIF(Investment!A:A, C69, Investment!B:B)</f>
        <v>0</v>
      </c>
      <c r="J69">
        <f>J68*(1-$B$3)+I69</f>
        <v>0</v>
      </c>
      <c r="K69">
        <f>E69+J69</f>
        <v>0</v>
      </c>
      <c r="L69">
        <f>EXP(G69)*K69^$B$2</f>
        <v>0</v>
      </c>
    </row>
    <row r="70">
      <c r="C70">
        <v>2036</v>
      </c>
      <c r="D70">
        <f>E70/F70</f>
        <v>0</v>
      </c>
      <c r="E70">
        <v>1006640.9907844347</v>
      </c>
      <c r="F70">
        <v>183941.88840550603</v>
      </c>
      <c r="G70">
        <f>TREND($G$36:$G$57, $C$36:$C$57, C70)</f>
        <v>0</v>
      </c>
      <c r="H70">
        <f>EXP(G70)*E70^$B$2</f>
        <v>0</v>
      </c>
      <c r="I70">
        <f>SUMIF(Investment!A:A, C70, Investment!B:B)</f>
        <v>0</v>
      </c>
      <c r="J70">
        <f>J69*(1-$B$3)+I70</f>
        <v>0</v>
      </c>
      <c r="K70">
        <f>E70+J70</f>
        <v>0</v>
      </c>
      <c r="L70">
        <f>EXP(G70)*K70^$B$2</f>
        <v>0</v>
      </c>
    </row>
    <row r="71">
      <c r="C71">
        <v>2037</v>
      </c>
      <c r="D71">
        <f>E71/F71</f>
        <v>0</v>
      </c>
      <c r="E71">
        <v>1056973.0403236565</v>
      </c>
      <c r="F71">
        <v>193138.98282578134</v>
      </c>
      <c r="G71">
        <f>TREND($G$36:$G$57, $C$36:$C$57, C71)</f>
        <v>0</v>
      </c>
      <c r="H71">
        <f>EXP(G71)*E71^$B$2</f>
        <v>0</v>
      </c>
      <c r="I71">
        <f>SUMIF(Investment!A:A, C71, Investment!B:B)</f>
        <v>0</v>
      </c>
      <c r="J71">
        <f>J70*(1-$B$3)+I71</f>
        <v>0</v>
      </c>
      <c r="K71">
        <f>E71+J71</f>
        <v>0</v>
      </c>
      <c r="L71">
        <f>EXP(G71)*K71^$B$2</f>
        <v>0</v>
      </c>
    </row>
    <row r="72">
      <c r="C72">
        <v>2038</v>
      </c>
      <c r="D72">
        <f>E72/F72</f>
        <v>0</v>
      </c>
      <c r="E72">
        <v>1109821.6923398392</v>
      </c>
      <c r="F72">
        <v>202795.9319670704</v>
      </c>
      <c r="G72">
        <f>TREND($G$36:$G$57, $C$36:$C$57, C72)</f>
        <v>0</v>
      </c>
      <c r="H72">
        <f>EXP(G72)*E72^$B$2</f>
        <v>0</v>
      </c>
      <c r="I72">
        <f>SUMIF(Investment!A:A, C72, Investment!B:B)</f>
        <v>0</v>
      </c>
      <c r="J72">
        <f>J71*(1-$B$3)+I72</f>
        <v>0</v>
      </c>
      <c r="K72">
        <f>E72+J72</f>
        <v>0</v>
      </c>
      <c r="L72">
        <f>EXP(G72)*K72^$B$2</f>
        <v>0</v>
      </c>
    </row>
    <row r="73">
      <c r="C73">
        <v>2039</v>
      </c>
      <c r="D73">
        <f>E73/F73</f>
        <v>0</v>
      </c>
      <c r="E73">
        <v>1165312.7769568313</v>
      </c>
      <c r="F73">
        <v>212935.72856542395</v>
      </c>
      <c r="G73">
        <f>TREND($G$36:$G$57, $C$36:$C$57, C73)</f>
        <v>0</v>
      </c>
      <c r="H73">
        <f>EXP(G73)*E73^$B$2</f>
        <v>0</v>
      </c>
      <c r="I73">
        <f>SUMIF(Investment!A:A, C73, Investment!B:B)</f>
        <v>0</v>
      </c>
      <c r="J73">
        <f>J72*(1-$B$3)+I73</f>
        <v>0</v>
      </c>
      <c r="K73">
        <f>E73+J73</f>
        <v>0</v>
      </c>
      <c r="L73">
        <f>EXP(G73)*K73^$B$2</f>
        <v>0</v>
      </c>
    </row>
    <row r="74">
      <c r="C74">
        <v>2040</v>
      </c>
      <c r="D74">
        <f>E74/F74</f>
        <v>0</v>
      </c>
      <c r="E74">
        <v>1223578.415804673</v>
      </c>
      <c r="F74">
        <v>223582.51499369516</v>
      </c>
      <c r="G74">
        <f>TREND($G$36:$G$57, $C$36:$C$57, C74)</f>
        <v>0</v>
      </c>
      <c r="H74">
        <f>EXP(G74)*E74^$B$2</f>
        <v>0</v>
      </c>
      <c r="I74">
        <f>SUMIF(Investment!A:A, C74, Investment!B:B)</f>
        <v>0</v>
      </c>
      <c r="J74">
        <f>J73*(1-$B$3)+I74</f>
        <v>0</v>
      </c>
      <c r="K74">
        <f>E74+J74</f>
        <v>0</v>
      </c>
      <c r="L74">
        <f>EXP(G74)*K74^$B$2</f>
        <v>0</v>
      </c>
    </row>
    <row r="75">
      <c r="C75">
        <v>2041</v>
      </c>
      <c r="D75">
        <f>E75/F75</f>
        <v>0</v>
      </c>
      <c r="E75">
        <v>1284757.3365949066</v>
      </c>
      <c r="F75">
        <v>234761.64074337992</v>
      </c>
      <c r="G75">
        <f>TREND($G$36:$G$57, $C$36:$C$57, C75)</f>
        <v>0</v>
      </c>
      <c r="H75">
        <f>EXP(G75)*E75^$B$2</f>
        <v>0</v>
      </c>
      <c r="I75">
        <f>SUMIF(Investment!A:A, C75, Investment!B:B)</f>
        <v>0</v>
      </c>
      <c r="J75">
        <f>J74*(1-$B$3)+I75</f>
        <v>0</v>
      </c>
      <c r="K75">
        <f>E75+J75</f>
        <v>0</v>
      </c>
      <c r="L75">
        <f>EXP(G75)*K75^$B$2</f>
        <v>0</v>
      </c>
    </row>
  </sheetData>
  <pageMargins left="0.7" right="0.7" top="0.75" bottom="0.75" header="0.3" footer="0.3"/>
  <ignoredErrors>
    <ignoredError numberStoredAsText="1" sqref="A1:P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C9"/>
  <sheetViews>
    <sheetView workbookViewId="0" rightToLeft="0"/>
  </sheetViews>
  <sheetData>
    <row r="1">
      <c r="B1" t="str">
        <v>Year</v>
      </c>
      <c r="C1" t="str">
        <v>Project Investment (Deflated)</v>
      </c>
    </row>
    <row r="2">
      <c r="B2">
        <v>2026</v>
      </c>
      <c r="C2">
        <v>648.5893137564417</v>
      </c>
    </row>
    <row r="3">
      <c r="B3">
        <v>2027</v>
      </c>
      <c r="C3">
        <v>1220.080196896535</v>
      </c>
    </row>
    <row r="4">
      <c r="B4">
        <v>2028</v>
      </c>
      <c r="C4">
        <v>1756.17368014315</v>
      </c>
    </row>
    <row r="5">
      <c r="B5">
        <v>2029</v>
      </c>
      <c r="C5">
        <v>2221.194700985215</v>
      </c>
    </row>
    <row r="6">
      <c r="B6">
        <v>2030</v>
      </c>
      <c r="C6">
        <v>2122.467876455729</v>
      </c>
    </row>
    <row r="7">
      <c r="B7">
        <v>2031</v>
      </c>
      <c r="C7">
        <v>1524.5245852767466</v>
      </c>
    </row>
    <row r="8">
      <c r="B8">
        <v>2032</v>
      </c>
      <c r="C8">
        <v>738.1763105598934</v>
      </c>
    </row>
    <row r="9">
      <c r="B9">
        <v>2033</v>
      </c>
      <c r="C9">
        <v>352.60597689700165</v>
      </c>
    </row>
  </sheetData>
  <pageMargins left="0.7" right="0.7" top="0.75" bottom="0.75" header="0.3" footer="0.3"/>
  <ignoredErrors>
    <ignoredError numberStoredAsText="1" sqref="B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 rightToLeft="0"/>
  </sheetViews>
  <sheetData>
    <row r="1">
      <c r="A1" t="str">
        <v>DATE</v>
      </c>
      <c r="B1" t="str">
        <v>Year</v>
      </c>
      <c r="C1" t="str">
        <v>CFC (GEL)</v>
      </c>
      <c r="D1" t="str">
        <v>Capital Stock (PWT)</v>
      </c>
      <c r="E1" t="str">
        <v>Depreciation Rate</v>
      </c>
    </row>
    <row r="2">
      <c r="A2">
        <v>35430</v>
      </c>
      <c r="B2">
        <v>1996</v>
      </c>
      <c r="C2">
        <v>990.5832036644698</v>
      </c>
      <c r="D2">
        <v>301706.46875</v>
      </c>
      <c r="E2">
        <v>0.0012160251967546774</v>
      </c>
    </row>
    <row r="3">
      <c r="A3">
        <v>35795</v>
      </c>
      <c r="B3">
        <v>1997</v>
      </c>
      <c r="C3">
        <v>1076.7208735483366</v>
      </c>
      <c r="D3">
        <v>298764.625</v>
      </c>
      <c r="E3">
        <v>0.0013347815482559425</v>
      </c>
    </row>
    <row r="4">
      <c r="A4">
        <v>36160</v>
      </c>
      <c r="B4">
        <v>1998</v>
      </c>
      <c r="C4">
        <v>1170.348775596018</v>
      </c>
      <c r="D4">
        <v>298990.5</v>
      </c>
      <c r="E4">
        <v>0.0014497534519658873</v>
      </c>
    </row>
    <row r="5">
      <c r="A5">
        <v>36525</v>
      </c>
      <c r="B5">
        <v>1999</v>
      </c>
      <c r="C5">
        <v>1272.1182343434978</v>
      </c>
      <c r="D5">
        <v>299754.78125</v>
      </c>
      <c r="E5">
        <v>0.0015718011223839416</v>
      </c>
    </row>
    <row r="6">
      <c r="A6">
        <v>36891</v>
      </c>
      <c r="B6">
        <v>2000</v>
      </c>
      <c r="C6">
        <v>1382.7372112429325</v>
      </c>
      <c r="D6">
        <v>300383.3125</v>
      </c>
      <c r="E6">
        <v>0.001704904606020476</v>
      </c>
    </row>
    <row r="7">
      <c r="A7">
        <v>37256</v>
      </c>
      <c r="B7">
        <v>2001</v>
      </c>
      <c r="C7">
        <v>1502.975229611883</v>
      </c>
      <c r="D7">
        <v>302284.0625</v>
      </c>
      <c r="E7">
        <v>0.001841504602806658</v>
      </c>
    </row>
    <row r="8">
      <c r="A8">
        <v>37621</v>
      </c>
      <c r="B8">
        <v>2002</v>
      </c>
      <c r="C8">
        <v>1633.6687278390032</v>
      </c>
      <c r="D8">
        <v>303592.625</v>
      </c>
      <c r="E8">
        <v>0.0019930078729423133</v>
      </c>
    </row>
    <row r="9">
      <c r="A9">
        <v>37986</v>
      </c>
      <c r="B9">
        <v>2003</v>
      </c>
      <c r="C9">
        <v>1775.7268780858728</v>
      </c>
      <c r="D9">
        <v>307310.28125</v>
      </c>
      <c r="E9">
        <v>0.002140106145613331</v>
      </c>
    </row>
    <row r="10">
      <c r="A10">
        <v>38352</v>
      </c>
      <c r="B10">
        <v>2004</v>
      </c>
      <c r="C10">
        <v>1930.1379109629054</v>
      </c>
      <c r="D10">
        <v>311984.28125</v>
      </c>
      <c r="E10">
        <v>0.002291352276098763</v>
      </c>
    </row>
    <row r="11">
      <c r="A11">
        <v>38717</v>
      </c>
      <c r="B11">
        <v>2005</v>
      </c>
      <c r="C11">
        <v>2097.975990177071</v>
      </c>
      <c r="D11">
        <v>317837.8125</v>
      </c>
      <c r="E11">
        <v>0.0024447316019393576</v>
      </c>
    </row>
    <row r="12">
      <c r="A12">
        <v>39082</v>
      </c>
      <c r="B12">
        <v>2006</v>
      </c>
      <c r="C12">
        <v>2280.4086849750765</v>
      </c>
      <c r="D12">
        <v>322943.65625</v>
      </c>
      <c r="E12">
        <v>0.0026153039172759052</v>
      </c>
    </row>
    <row r="13">
      <c r="A13">
        <v>39447</v>
      </c>
      <c r="B13">
        <v>2007</v>
      </c>
      <c r="C13">
        <v>2478.705092364214</v>
      </c>
      <c r="D13">
        <v>329445.875</v>
      </c>
      <c r="E13">
        <v>0.002786615322161363</v>
      </c>
    </row>
    <row r="14">
      <c r="A14">
        <v>39813</v>
      </c>
      <c r="B14">
        <v>2008</v>
      </c>
      <c r="C14">
        <v>2694.2446656132756</v>
      </c>
      <c r="D14">
        <v>332604.46875</v>
      </c>
      <c r="E14">
        <v>0.0030001653267672265</v>
      </c>
    </row>
    <row r="15">
      <c r="A15">
        <v>40178</v>
      </c>
      <c r="B15">
        <v>2009</v>
      </c>
      <c r="C15">
        <v>2928.526810449213</v>
      </c>
      <c r="D15">
        <v>330608.28125</v>
      </c>
      <c r="E15">
        <v>0.003280739234131433</v>
      </c>
    </row>
    <row r="16">
      <c r="A16">
        <v>40543</v>
      </c>
      <c r="B16">
        <v>2010</v>
      </c>
      <c r="C16">
        <v>3183.1813157056654</v>
      </c>
      <c r="D16">
        <v>332551.53125</v>
      </c>
      <c r="E16">
        <v>0.0035451830229813446</v>
      </c>
    </row>
    <row r="17">
      <c r="A17">
        <v>40908</v>
      </c>
      <c r="B17">
        <v>2011</v>
      </c>
      <c r="C17">
        <v>3459.9796909844194</v>
      </c>
      <c r="D17">
        <v>336560.28125</v>
      </c>
      <c r="E17">
        <v>0.003807561471200366</v>
      </c>
    </row>
    <row r="18">
      <c r="A18">
        <v>41274</v>
      </c>
      <c r="B18">
        <v>2012</v>
      </c>
      <c r="C18">
        <v>3760.8474902004555</v>
      </c>
      <c r="D18">
        <v>341471.1875</v>
      </c>
      <c r="E18">
        <v>0.004079133258796602</v>
      </c>
    </row>
    <row r="19">
      <c r="A19">
        <v>41639</v>
      </c>
      <c r="B19">
        <v>2013</v>
      </c>
      <c r="C19">
        <v>4087.8777067396254</v>
      </c>
      <c r="D19">
        <v>344239.03125</v>
      </c>
      <c r="E19">
        <v>0.004398190335291722</v>
      </c>
    </row>
    <row r="20">
      <c r="A20">
        <v>42004</v>
      </c>
      <c r="B20">
        <v>2014</v>
      </c>
      <c r="C20">
        <v>4443.345333412636</v>
      </c>
      <c r="D20">
        <v>350962.15625</v>
      </c>
      <c r="E20">
        <v>0.004689062417451154</v>
      </c>
    </row>
    <row r="21">
      <c r="A21">
        <v>42369</v>
      </c>
      <c r="B21">
        <v>2015</v>
      </c>
      <c r="C21">
        <v>4829.723188491996</v>
      </c>
      <c r="D21">
        <v>360259.8125</v>
      </c>
      <c r="E21">
        <v>0.004965267576460937</v>
      </c>
    </row>
    <row r="22">
      <c r="A22">
        <v>42735</v>
      </c>
      <c r="B22">
        <v>2016</v>
      </c>
      <c r="C22">
        <v>5249.699117926082</v>
      </c>
      <c r="D22">
        <v>370547.65625</v>
      </c>
      <c r="E22">
        <v>0.005247187436877195</v>
      </c>
    </row>
    <row r="23">
      <c r="A23">
        <v>43100</v>
      </c>
      <c r="B23">
        <v>2017</v>
      </c>
      <c r="C23">
        <v>5706.194693397915</v>
      </c>
      <c r="D23">
        <v>380655.78125</v>
      </c>
      <c r="E23">
        <v>0.005552011938605563</v>
      </c>
    </row>
    <row r="24">
      <c r="A24">
        <v>43465</v>
      </c>
      <c r="B24">
        <v>2018</v>
      </c>
      <c r="C24">
        <v>6202.385536302081</v>
      </c>
      <c r="D24">
        <v>390625.1875</v>
      </c>
      <c r="E24">
        <v>0.005880777537572458</v>
      </c>
    </row>
    <row r="25">
      <c r="A25">
        <v>43830</v>
      </c>
      <c r="B25">
        <v>2019</v>
      </c>
      <c r="C25">
        <v>6741.723409024001</v>
      </c>
      <c r="D25">
        <v>399934.28125</v>
      </c>
      <c r="E25">
        <v>0.006243362254744984</v>
      </c>
    </row>
    <row r="26">
      <c r="A26">
        <v>44196</v>
      </c>
      <c r="B26">
        <v>2020</v>
      </c>
      <c r="C26">
        <v>7327.9602272</v>
      </c>
      <c r="D26">
        <v>405156.15625</v>
      </c>
      <c r="E26">
        <v>0.00669879823258247</v>
      </c>
    </row>
    <row r="27">
      <c r="A27">
        <v>44561</v>
      </c>
      <c r="B27">
        <v>2021</v>
      </c>
      <c r="C27">
        <v>7965.1741600000005</v>
      </c>
      <c r="D27">
        <v>409189.75</v>
      </c>
      <c r="E27">
        <v>0.007209526885029999</v>
      </c>
    </row>
    <row r="28">
      <c r="A28">
        <v>44926</v>
      </c>
      <c r="B28">
        <v>2022</v>
      </c>
      <c r="C28">
        <v>8657.798</v>
      </c>
      <c r="D28">
        <v>415085.84375</v>
      </c>
      <c r="E28">
        <v>0.007725129392230331</v>
      </c>
    </row>
    <row r="29">
      <c r="A29">
        <v>45291</v>
      </c>
      <c r="B29">
        <v>2023</v>
      </c>
      <c r="C29">
        <v>9410.65</v>
      </c>
      <c r="D29">
        <v>426190.5</v>
      </c>
      <c r="E29">
        <v>0.00817809389445782</v>
      </c>
    </row>
  </sheetData>
  <pageMargins left="0.7" right="0.7" top="0.75" bottom="0.75" header="0.3" footer="0.3"/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5"/>
  <sheetViews>
    <sheetView workbookViewId="0" rightToLeft="0"/>
  </sheetViews>
  <sheetData>
    <row r="1">
      <c r="A1" t="str">
        <v>year</v>
      </c>
      <c r="B1" t="str">
        <v>rnna (Capital Stock)</v>
      </c>
      <c r="C1" t="str">
        <v>rgdpna (Real GDP)</v>
      </c>
    </row>
    <row r="2">
      <c r="A2">
        <v>1990</v>
      </c>
      <c r="B2">
        <v>333953.90625</v>
      </c>
      <c r="C2">
        <v>67440.0546875</v>
      </c>
    </row>
    <row r="3">
      <c r="A3">
        <v>1991</v>
      </c>
      <c r="B3">
        <v>336800.125</v>
      </c>
      <c r="C3">
        <v>53052.83984375</v>
      </c>
    </row>
    <row r="4">
      <c r="A4">
        <v>1992</v>
      </c>
      <c r="B4">
        <v>331575.34375</v>
      </c>
      <c r="C4">
        <v>29442.9375</v>
      </c>
    </row>
    <row r="5">
      <c r="A5">
        <v>1993</v>
      </c>
      <c r="B5">
        <v>318977.5625</v>
      </c>
      <c r="C5">
        <v>20818.90234375</v>
      </c>
    </row>
    <row r="6">
      <c r="A6">
        <v>1994</v>
      </c>
      <c r="B6">
        <v>310557.21875</v>
      </c>
      <c r="C6">
        <v>18657.6640625</v>
      </c>
    </row>
    <row r="7">
      <c r="A7">
        <v>1995</v>
      </c>
      <c r="B7">
        <v>305633.28125</v>
      </c>
      <c r="C7">
        <v>19138.576171875</v>
      </c>
    </row>
    <row r="8">
      <c r="A8">
        <v>1996</v>
      </c>
      <c r="B8">
        <v>301706.46875</v>
      </c>
      <c r="C8">
        <v>21298.572265625</v>
      </c>
    </row>
    <row r="9">
      <c r="A9">
        <v>1997</v>
      </c>
      <c r="B9">
        <v>298764.625</v>
      </c>
      <c r="C9">
        <v>23538.966796875</v>
      </c>
    </row>
    <row r="10">
      <c r="A10">
        <v>1998</v>
      </c>
      <c r="B10">
        <v>298990.5</v>
      </c>
      <c r="C10">
        <v>24269.841796875</v>
      </c>
    </row>
    <row r="11">
      <c r="A11">
        <v>1999</v>
      </c>
      <c r="B11">
        <v>299754.78125</v>
      </c>
      <c r="C11">
        <v>24966.201171875</v>
      </c>
    </row>
    <row r="12">
      <c r="A12">
        <v>2000</v>
      </c>
      <c r="B12">
        <v>300383.3125</v>
      </c>
      <c r="C12">
        <v>25425.16796875</v>
      </c>
    </row>
    <row r="13">
      <c r="A13">
        <v>2001</v>
      </c>
      <c r="B13">
        <v>302284.0625</v>
      </c>
      <c r="C13">
        <v>26646.9609375</v>
      </c>
    </row>
    <row r="14">
      <c r="A14">
        <v>2002</v>
      </c>
      <c r="B14">
        <v>303592.625</v>
      </c>
      <c r="C14">
        <v>28105.572265625</v>
      </c>
    </row>
    <row r="15">
      <c r="A15">
        <v>2003</v>
      </c>
      <c r="B15">
        <v>307310.28125</v>
      </c>
      <c r="C15">
        <v>31213.515625</v>
      </c>
    </row>
    <row r="16">
      <c r="A16">
        <v>2004</v>
      </c>
      <c r="B16">
        <v>311984.28125</v>
      </c>
      <c r="C16">
        <v>33022.64453125</v>
      </c>
    </row>
    <row r="17">
      <c r="A17">
        <v>2005</v>
      </c>
      <c r="B17">
        <v>317837.8125</v>
      </c>
      <c r="C17">
        <v>36188.953125</v>
      </c>
    </row>
    <row r="18">
      <c r="A18">
        <v>2006</v>
      </c>
      <c r="B18">
        <v>322943.65625</v>
      </c>
      <c r="C18">
        <v>39598.22265625</v>
      </c>
    </row>
    <row r="19">
      <c r="A19">
        <v>2007</v>
      </c>
      <c r="B19">
        <v>329445.875</v>
      </c>
      <c r="C19">
        <v>44579.19140625</v>
      </c>
    </row>
    <row r="20">
      <c r="A20">
        <v>2008</v>
      </c>
      <c r="B20">
        <v>332604.46875</v>
      </c>
      <c r="C20">
        <v>45657.16015625</v>
      </c>
    </row>
    <row r="21">
      <c r="A21">
        <v>2009</v>
      </c>
      <c r="B21">
        <v>330608.28125</v>
      </c>
      <c r="C21">
        <v>43990.6328125</v>
      </c>
    </row>
    <row r="22">
      <c r="A22">
        <v>2010</v>
      </c>
      <c r="B22">
        <v>332551.53125</v>
      </c>
      <c r="C22">
        <v>46739.7890625</v>
      </c>
    </row>
    <row r="23">
      <c r="A23">
        <v>2011</v>
      </c>
      <c r="B23">
        <v>336560.28125</v>
      </c>
      <c r="C23">
        <v>50455.2109375</v>
      </c>
    </row>
    <row r="24">
      <c r="A24">
        <v>2012</v>
      </c>
      <c r="B24">
        <v>341471.1875</v>
      </c>
      <c r="C24">
        <v>53774.6796875</v>
      </c>
    </row>
    <row r="25">
      <c r="A25">
        <v>2013</v>
      </c>
      <c r="B25">
        <v>344239.03125</v>
      </c>
      <c r="C25">
        <v>56535.23046875</v>
      </c>
    </row>
    <row r="26">
      <c r="A26">
        <v>2014</v>
      </c>
      <c r="B26">
        <v>350962.15625</v>
      </c>
      <c r="C26">
        <v>58847.86328125</v>
      </c>
    </row>
    <row r="27">
      <c r="A27">
        <v>2015</v>
      </c>
      <c r="B27">
        <v>360259.8125</v>
      </c>
      <c r="C27">
        <v>60819.7421875</v>
      </c>
    </row>
    <row r="28">
      <c r="A28">
        <v>2016</v>
      </c>
      <c r="B28">
        <v>370547.65625</v>
      </c>
      <c r="C28">
        <v>62917.9765625</v>
      </c>
    </row>
    <row r="29">
      <c r="A29">
        <v>2017</v>
      </c>
      <c r="B29">
        <v>380655.78125</v>
      </c>
      <c r="C29">
        <v>66165.234375</v>
      </c>
    </row>
    <row r="30">
      <c r="A30">
        <v>2018</v>
      </c>
      <c r="B30">
        <v>390625.1875</v>
      </c>
      <c r="C30">
        <v>70176.296875</v>
      </c>
    </row>
    <row r="31">
      <c r="A31">
        <v>2019</v>
      </c>
      <c r="B31">
        <v>399934.28125</v>
      </c>
      <c r="C31">
        <v>73951.9765625</v>
      </c>
    </row>
    <row r="32">
      <c r="A32">
        <v>2020</v>
      </c>
    </row>
    <row r="33">
      <c r="A33">
        <v>2021</v>
      </c>
    </row>
    <row r="34">
      <c r="A34">
        <v>2022</v>
      </c>
    </row>
    <row r="35">
      <c r="A35">
        <v>2023</v>
      </c>
    </row>
  </sheetData>
  <pageMargins left="0.7" right="0.7" top="0.75" bottom="0.75" header="0.3" footer="0.3"/>
  <ignoredErrors>
    <ignoredError numberStoredAsText="1" sqref="A1:C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32228"/>
  <sheetViews>
    <sheetView workbookViewId="0" rightToLeft="0"/>
  </sheetViews>
  <sheetData>
    <row r="1">
      <c r="B1" t="str">
        <v>WEO Country Code</v>
      </c>
      <c r="C1">
        <v>915</v>
      </c>
      <c r="D1">
        <v>915</v>
      </c>
    </row>
    <row r="2">
      <c r="B2" t="str">
        <v>WEO Subject Code</v>
      </c>
      <c r="C2" t="str">
        <v>NGDP_R</v>
      </c>
      <c r="D2" t="str">
        <v>NGDP_RPCH</v>
      </c>
    </row>
    <row r="3">
      <c r="B3" t="str">
        <v>Country</v>
      </c>
      <c r="C3" t="str">
        <v>Georgia</v>
      </c>
      <c r="D3" t="str">
        <v>Georgia</v>
      </c>
    </row>
    <row r="4">
      <c r="B4" t="str">
        <v>Subject Descriptor</v>
      </c>
      <c r="C4" t="str">
        <v>Gross domestic product, constant prices</v>
      </c>
      <c r="D4" t="str">
        <v>Gross domestic product, constant prices</v>
      </c>
    </row>
    <row r="5">
      <c r="B5" t="str">
        <v>Units</v>
      </c>
      <c r="C5" t="str">
        <v>National currency</v>
      </c>
      <c r="D5" t="str">
        <v>Percent change</v>
      </c>
    </row>
    <row r="6">
      <c r="A6" t="str">
        <v>Year</v>
      </c>
      <c r="B6" t="str">
        <v>Real GDP</v>
      </c>
      <c r="C6" t="str">
        <v>Growth Rate</v>
      </c>
      <c r="D6" t="str">
        <v>Units</v>
      </c>
    </row>
    <row r="7">
      <c r="A7">
        <v>2000</v>
      </c>
      <c r="B7">
        <v>25425.16796875</v>
      </c>
      <c r="C7">
        <v>1.8383525539802053</v>
      </c>
      <c r="D7" t="str">
        <v>See notes for:  Gross domestic product, constant prices (National currency).</v>
      </c>
    </row>
    <row r="8">
      <c r="A8">
        <v>2001</v>
      </c>
      <c r="B8">
        <v>26646.9609375</v>
      </c>
      <c r="C8">
        <v>4.805446989580176</v>
      </c>
    </row>
    <row r="9">
      <c r="A9">
        <v>2002</v>
      </c>
      <c r="B9">
        <v>28105.572265625</v>
      </c>
      <c r="C9">
        <v>5.473837453907589</v>
      </c>
    </row>
    <row r="10">
      <c r="A10">
        <v>2003</v>
      </c>
      <c r="B10">
        <v>31213.515625</v>
      </c>
      <c r="C10">
        <v>11.058103816573851</v>
      </c>
    </row>
    <row r="11">
      <c r="A11">
        <v>2004</v>
      </c>
      <c r="B11">
        <v>33022.64453125</v>
      </c>
      <c r="C11">
        <v>5.795979305839568</v>
      </c>
    </row>
    <row r="12">
      <c r="A12">
        <v>2005</v>
      </c>
      <c r="B12">
        <v>36188.953125</v>
      </c>
      <c r="C12">
        <v>9.588295058421677</v>
      </c>
    </row>
    <row r="13">
      <c r="A13">
        <v>2006</v>
      </c>
      <c r="B13">
        <v>39598.22265625</v>
      </c>
      <c r="C13">
        <v>9.4207464898862</v>
      </c>
    </row>
    <row r="14">
      <c r="A14">
        <v>2007</v>
      </c>
      <c r="B14">
        <v>44579.19140625</v>
      </c>
      <c r="C14">
        <v>12.578768479685355</v>
      </c>
    </row>
    <row r="15">
      <c r="A15">
        <v>2008</v>
      </c>
      <c r="B15">
        <v>45657.16015625</v>
      </c>
      <c r="C15">
        <v>2.418098480469228</v>
      </c>
    </row>
    <row r="16">
      <c r="A16">
        <v>2009</v>
      </c>
      <c r="B16">
        <v>43990.6328125</v>
      </c>
      <c r="C16">
        <v>-3.650089795437856</v>
      </c>
    </row>
    <row r="17">
      <c r="A17">
        <v>2010</v>
      </c>
      <c r="B17">
        <v>46739.7890625</v>
      </c>
      <c r="C17">
        <v>6.249412827766423</v>
      </c>
    </row>
    <row r="18">
      <c r="A18">
        <v>2011</v>
      </c>
      <c r="B18">
        <v>50455.2109375</v>
      </c>
      <c r="C18">
        <v>7.949162693121643</v>
      </c>
    </row>
    <row r="19">
      <c r="A19">
        <v>2012</v>
      </c>
      <c r="B19">
        <v>53774.6796875</v>
      </c>
      <c r="C19">
        <v>6.579040476338312</v>
      </c>
    </row>
    <row r="20">
      <c r="A20">
        <v>2013</v>
      </c>
      <c r="B20">
        <v>56535.23046875</v>
      </c>
      <c r="C20">
        <v>5.133551324326519</v>
      </c>
    </row>
    <row r="21">
      <c r="A21">
        <v>2014</v>
      </c>
      <c r="B21">
        <v>58847.86328125</v>
      </c>
      <c r="C21">
        <v>4.090604731466185</v>
      </c>
    </row>
    <row r="22">
      <c r="A22">
        <v>2015</v>
      </c>
      <c r="B22">
        <v>60819.7421875</v>
      </c>
      <c r="C22">
        <v>3.3508079925108794</v>
      </c>
    </row>
    <row r="23">
      <c r="A23">
        <v>2016</v>
      </c>
      <c r="B23">
        <v>62917.9765625</v>
      </c>
      <c r="C23">
        <v>3.44992316562506</v>
      </c>
    </row>
    <row r="24">
      <c r="A24">
        <v>2017</v>
      </c>
      <c r="B24">
        <v>66165.234375</v>
      </c>
      <c r="C24">
        <v>5.161097018551311</v>
      </c>
    </row>
    <row r="25">
      <c r="A25">
        <v>2018</v>
      </c>
      <c r="B25">
        <v>70176.296875</v>
      </c>
      <c r="C25">
        <v>6.062190420526263</v>
      </c>
    </row>
    <row r="26">
      <c r="A26">
        <v>2019</v>
      </c>
      <c r="B26">
        <v>73951.9765625</v>
      </c>
      <c r="C26">
        <v>5.380277751368596</v>
      </c>
    </row>
    <row r="27">
      <c r="A27">
        <v>2020</v>
      </c>
      <c r="B27">
        <v>69293.0020390625</v>
      </c>
      <c r="C27">
        <v>-6.3</v>
      </c>
    </row>
    <row r="28">
      <c r="A28">
        <v>2021</v>
      </c>
      <c r="B28">
        <v>76638.06025520313</v>
      </c>
      <c r="C28">
        <v>10.6</v>
      </c>
    </row>
    <row r="29">
      <c r="A29">
        <v>2022</v>
      </c>
      <c r="B29">
        <v>85068.24688327548</v>
      </c>
      <c r="C29">
        <v>11</v>
      </c>
    </row>
    <row r="30">
      <c r="A30">
        <v>2023</v>
      </c>
      <c r="B30">
        <v>91703.57014017098</v>
      </c>
      <c r="C30">
        <v>7.8</v>
      </c>
    </row>
    <row r="31">
      <c r="A31">
        <v>2024</v>
      </c>
      <c r="B31">
        <v>100323.70573334706</v>
      </c>
      <c r="C31">
        <v>9.4</v>
      </c>
    </row>
    <row r="32">
      <c r="A32">
        <v>2025</v>
      </c>
      <c r="B32">
        <v>107547.01254614805</v>
      </c>
      <c r="C32">
        <v>7.2</v>
      </c>
    </row>
    <row r="33">
      <c r="A33">
        <v>2026</v>
      </c>
      <c r="B33">
        <v>112924.36317345545</v>
      </c>
      <c r="C33">
        <v>5</v>
      </c>
    </row>
    <row r="34">
      <c r="A34">
        <v>2027</v>
      </c>
      <c r="B34">
        <v>118570.58133212823</v>
      </c>
      <c r="C34">
        <v>5</v>
      </c>
    </row>
    <row r="35">
      <c r="B35">
        <v>2027</v>
      </c>
    </row>
    <row r="36">
      <c r="B36">
        <v>2028</v>
      </c>
    </row>
    <row r="37">
      <c r="B37">
        <v>2029</v>
      </c>
    </row>
    <row r="38">
      <c r="B38">
        <v>2030</v>
      </c>
    </row>
    <row r="39">
      <c r="B39">
        <v>2031</v>
      </c>
    </row>
    <row r="40">
      <c r="B40">
        <v>2032</v>
      </c>
    </row>
    <row r="41">
      <c r="B41">
        <v>2033</v>
      </c>
    </row>
    <row r="42">
      <c r="B42">
        <v>2034</v>
      </c>
    </row>
    <row r="43">
      <c r="B43">
        <v>2035</v>
      </c>
    </row>
    <row r="44">
      <c r="B44">
        <v>2036</v>
      </c>
    </row>
    <row r="45">
      <c r="B45">
        <v>2037</v>
      </c>
    </row>
    <row r="46">
      <c r="B46">
        <v>2038</v>
      </c>
    </row>
    <row r="47">
      <c r="B47">
        <v>2039</v>
      </c>
    </row>
    <row r="48">
      <c r="B48">
        <v>2040</v>
      </c>
    </row>
    <row r="49">
      <c r="B49">
        <v>2041</v>
      </c>
    </row>
    <row r="50">
      <c r="B50">
        <v>2042</v>
      </c>
    </row>
    <row r="51">
      <c r="B51">
        <v>2043</v>
      </c>
    </row>
    <row r="16385">
      <c r="B16385" t="str">
        <v>WEO Country Code</v>
      </c>
      <c r="C16385">
        <v>915</v>
      </c>
      <c r="D16385">
        <v>915</v>
      </c>
    </row>
    <row r="16386">
      <c r="B16386" t="str">
        <v>WEO Subject Code</v>
      </c>
      <c r="C16386" t="str">
        <v>NGDP_R</v>
      </c>
      <c r="D16386" t="str">
        <v>NGDP_RPCH</v>
      </c>
    </row>
    <row r="16387">
      <c r="B16387" t="str">
        <v>Country</v>
      </c>
      <c r="C16387" t="str">
        <v>Georgia</v>
      </c>
      <c r="D16387" t="str">
        <v>Georgia</v>
      </c>
    </row>
    <row r="16388">
      <c r="B16388" t="str">
        <v>Subject Descriptor</v>
      </c>
      <c r="C16388" t="str">
        <v>Gross domestic product, constant prices</v>
      </c>
      <c r="D16388" t="str">
        <v>Gross domestic product, constant prices</v>
      </c>
    </row>
    <row r="16389">
      <c r="B16389" t="str">
        <v>Units</v>
      </c>
      <c r="C16389" t="str">
        <v>National currency</v>
      </c>
      <c r="D16389" t="str">
        <v>Percent change</v>
      </c>
    </row>
    <row r="16390">
      <c r="B16390" t="str">
        <v>Scale</v>
      </c>
      <c r="C16390" t="str">
        <v>Billions</v>
      </c>
      <c r="D16390" t="str">
        <v>Units</v>
      </c>
    </row>
    <row r="16391">
      <c r="B16391" t="str">
        <v>Country/Series-specific Notes</v>
      </c>
      <c r="C1639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16391" t="str">
        <v>See notes for:  Gross domestic product, constant prices (National currency).</v>
      </c>
    </row>
    <row r="16392">
      <c r="B16392">
        <v>2000</v>
      </c>
      <c r="C16392">
        <v>16.963</v>
      </c>
      <c r="D16392">
        <v>1.865</v>
      </c>
    </row>
    <row r="16393">
      <c r="B16393">
        <v>2001</v>
      </c>
      <c r="C16393">
        <v>17.772</v>
      </c>
      <c r="D16393">
        <v>4.769</v>
      </c>
    </row>
    <row r="16394">
      <c r="B16394">
        <v>2002</v>
      </c>
      <c r="C16394">
        <v>18.747</v>
      </c>
      <c r="D16394">
        <v>5.487</v>
      </c>
    </row>
    <row r="16395">
      <c r="B16395">
        <v>2003</v>
      </c>
      <c r="C16395">
        <v>20.852</v>
      </c>
      <c r="D16395">
        <v>11.228</v>
      </c>
    </row>
    <row r="16396">
      <c r="B16396">
        <v>2004</v>
      </c>
      <c r="C16396">
        <v>22.061</v>
      </c>
      <c r="D16396">
        <v>5.796</v>
      </c>
    </row>
    <row r="16397">
      <c r="B16397">
        <v>2005</v>
      </c>
      <c r="C16397">
        <v>24.176</v>
      </c>
      <c r="D16397">
        <v>9.588</v>
      </c>
    </row>
    <row r="16398">
      <c r="B16398">
        <v>2006</v>
      </c>
      <c r="C16398">
        <v>26.454</v>
      </c>
      <c r="D16398">
        <v>9.42</v>
      </c>
    </row>
    <row r="16399">
      <c r="B16399">
        <v>2007</v>
      </c>
      <c r="C16399">
        <v>29.781</v>
      </c>
      <c r="D16399">
        <v>12.579</v>
      </c>
    </row>
    <row r="16400">
      <c r="B16400">
        <v>2008</v>
      </c>
      <c r="C16400">
        <v>30.502</v>
      </c>
      <c r="D16400">
        <v>2.419</v>
      </c>
    </row>
    <row r="16401">
      <c r="B16401">
        <v>2009</v>
      </c>
      <c r="C16401">
        <v>29.388</v>
      </c>
      <c r="D16401">
        <v>-3.651</v>
      </c>
    </row>
    <row r="16402">
      <c r="B16402">
        <v>2010</v>
      </c>
      <c r="C16402">
        <v>31.428</v>
      </c>
      <c r="D16402">
        <v>6.942</v>
      </c>
    </row>
    <row r="16403">
      <c r="B16403">
        <v>2011</v>
      </c>
      <c r="C16403">
        <v>33.927</v>
      </c>
      <c r="D16403">
        <v>7.949</v>
      </c>
    </row>
    <row r="16404">
      <c r="B16404">
        <v>2012</v>
      </c>
      <c r="C16404">
        <v>36.159</v>
      </c>
      <c r="D16404">
        <v>6.579</v>
      </c>
    </row>
    <row r="16405">
      <c r="B16405">
        <v>2013</v>
      </c>
      <c r="C16405">
        <v>38.015</v>
      </c>
      <c r="D16405">
        <v>5.134</v>
      </c>
    </row>
    <row r="16406">
      <c r="B16406">
        <v>2014</v>
      </c>
      <c r="C16406">
        <v>39.57</v>
      </c>
      <c r="D16406">
        <v>4.091</v>
      </c>
    </row>
    <row r="16407">
      <c r="B16407">
        <v>2015</v>
      </c>
      <c r="C16407">
        <v>40.896</v>
      </c>
      <c r="D16407">
        <v>3.351</v>
      </c>
    </row>
    <row r="16408">
      <c r="B16408">
        <v>2016</v>
      </c>
      <c r="C16408">
        <v>42.307</v>
      </c>
      <c r="D16408">
        <v>3.45</v>
      </c>
    </row>
    <row r="16409">
      <c r="B16409">
        <v>2017</v>
      </c>
      <c r="C16409">
        <v>44.49</v>
      </c>
      <c r="D16409">
        <v>5.161</v>
      </c>
    </row>
    <row r="16410">
      <c r="B16410">
        <v>2018</v>
      </c>
      <c r="C16410">
        <v>47.187</v>
      </c>
      <c r="D16410">
        <v>6.062</v>
      </c>
    </row>
    <row r="16411">
      <c r="B16411">
        <v>2019</v>
      </c>
      <c r="C16411">
        <v>49.726</v>
      </c>
      <c r="D16411">
        <v>5.38</v>
      </c>
    </row>
    <row r="16412">
      <c r="B16412">
        <v>2020</v>
      </c>
      <c r="C16412">
        <v>46.598</v>
      </c>
      <c r="D16412">
        <v>-6.291</v>
      </c>
    </row>
    <row r="16413">
      <c r="B16413">
        <v>2021</v>
      </c>
      <c r="C16413">
        <v>51.558</v>
      </c>
      <c r="D16413">
        <v>10.644</v>
      </c>
    </row>
    <row r="16414">
      <c r="B16414">
        <v>2022</v>
      </c>
      <c r="C16414">
        <v>57.208</v>
      </c>
      <c r="D16414">
        <v>10.96</v>
      </c>
    </row>
    <row r="16415">
      <c r="B16415">
        <v>2023</v>
      </c>
      <c r="C16415">
        <v>61.689</v>
      </c>
      <c r="D16415">
        <v>7.832</v>
      </c>
    </row>
    <row r="16416">
      <c r="B16416">
        <v>2024</v>
      </c>
      <c r="C16416">
        <v>67.505</v>
      </c>
      <c r="D16416">
        <v>9.429</v>
      </c>
    </row>
    <row r="16417">
      <c r="B16417">
        <v>2025</v>
      </c>
      <c r="C16417">
        <v>71.54</v>
      </c>
      <c r="D16417">
        <v>5.977</v>
      </c>
    </row>
    <row r="16418">
      <c r="B16418">
        <v>2026</v>
      </c>
      <c r="C16418">
        <v>75.117</v>
      </c>
      <c r="D16418">
        <v>5</v>
      </c>
    </row>
    <row r="16419">
      <c r="B16419">
        <v>2027</v>
      </c>
      <c r="C16419">
        <v>78.873</v>
      </c>
      <c r="D16419">
        <v>5</v>
      </c>
    </row>
    <row r="16420">
      <c r="B16420" t="str">
        <v>Estimates Start After</v>
      </c>
      <c r="C16420">
        <v>2024</v>
      </c>
      <c r="D16420">
        <v>2024</v>
      </c>
    </row>
    <row r="32769">
      <c r="B32769" t="str">
        <v>WEO Country Code</v>
      </c>
      <c r="C32769">
        <v>915</v>
      </c>
      <c r="D32769">
        <v>915</v>
      </c>
    </row>
    <row r="32770">
      <c r="B32770" t="str">
        <v>WEO Subject Code</v>
      </c>
      <c r="C32770" t="str">
        <v>NGDP_R</v>
      </c>
      <c r="D32770" t="str">
        <v>NGDP_RPCH</v>
      </c>
    </row>
    <row r="32771">
      <c r="B32771" t="str">
        <v>Country</v>
      </c>
      <c r="C32771" t="str">
        <v>Georgia</v>
      </c>
      <c r="D32771" t="str">
        <v>Georgia</v>
      </c>
    </row>
    <row r="32772">
      <c r="B32772" t="str">
        <v>Subject Descriptor</v>
      </c>
      <c r="C32772" t="str">
        <v>Gross domestic product, constant prices</v>
      </c>
      <c r="D32772" t="str">
        <v>Gross domestic product, constant prices</v>
      </c>
    </row>
    <row r="32773">
      <c r="B32773" t="str">
        <v>Units</v>
      </c>
      <c r="C32773" t="str">
        <v>National currency</v>
      </c>
      <c r="D32773" t="str">
        <v>Percent change</v>
      </c>
    </row>
    <row r="32774">
      <c r="B32774" t="str">
        <v>Scale</v>
      </c>
      <c r="C32774" t="str">
        <v>Billions</v>
      </c>
      <c r="D32774" t="str">
        <v>Units</v>
      </c>
    </row>
    <row r="32775">
      <c r="B32775" t="str">
        <v>Country/Series-specific Notes</v>
      </c>
      <c r="C3277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32775" t="str">
        <v>See notes for:  Gross domestic product, constant prices (National currency).</v>
      </c>
    </row>
    <row r="32776">
      <c r="B32776">
        <v>2000</v>
      </c>
      <c r="C32776">
        <v>16.963</v>
      </c>
      <c r="D32776">
        <v>1.865</v>
      </c>
    </row>
    <row r="32777">
      <c r="B32777">
        <v>2001</v>
      </c>
      <c r="C32777">
        <v>17.772</v>
      </c>
      <c r="D32777">
        <v>4.769</v>
      </c>
    </row>
    <row r="32778">
      <c r="B32778">
        <v>2002</v>
      </c>
      <c r="C32778">
        <v>18.747</v>
      </c>
      <c r="D32778">
        <v>5.487</v>
      </c>
    </row>
    <row r="32779">
      <c r="B32779">
        <v>2003</v>
      </c>
      <c r="C32779">
        <v>20.852</v>
      </c>
      <c r="D32779">
        <v>11.228</v>
      </c>
    </row>
    <row r="32780">
      <c r="B32780">
        <v>2004</v>
      </c>
      <c r="C32780">
        <v>22.061</v>
      </c>
      <c r="D32780">
        <v>5.796</v>
      </c>
    </row>
    <row r="32781">
      <c r="B32781">
        <v>2005</v>
      </c>
      <c r="C32781">
        <v>24.176</v>
      </c>
      <c r="D32781">
        <v>9.588</v>
      </c>
    </row>
    <row r="32782">
      <c r="B32782">
        <v>2006</v>
      </c>
      <c r="C32782">
        <v>26.454</v>
      </c>
      <c r="D32782">
        <v>9.42</v>
      </c>
    </row>
    <row r="32783">
      <c r="B32783">
        <v>2007</v>
      </c>
      <c r="C32783">
        <v>29.781</v>
      </c>
      <c r="D32783">
        <v>12.579</v>
      </c>
    </row>
    <row r="32784">
      <c r="B32784">
        <v>2008</v>
      </c>
      <c r="C32784">
        <v>30.502</v>
      </c>
      <c r="D32784">
        <v>2.419</v>
      </c>
    </row>
    <row r="32785">
      <c r="B32785">
        <v>2009</v>
      </c>
      <c r="C32785">
        <v>29.388</v>
      </c>
      <c r="D32785">
        <v>-3.651</v>
      </c>
    </row>
    <row r="32786">
      <c r="B32786">
        <v>2010</v>
      </c>
      <c r="C32786">
        <v>31.428</v>
      </c>
      <c r="D32786">
        <v>6.942</v>
      </c>
    </row>
    <row r="32787">
      <c r="B32787">
        <v>2011</v>
      </c>
      <c r="C32787">
        <v>33.927</v>
      </c>
      <c r="D32787">
        <v>7.949</v>
      </c>
    </row>
    <row r="32788">
      <c r="B32788">
        <v>2012</v>
      </c>
      <c r="C32788">
        <v>36.159</v>
      </c>
      <c r="D32788">
        <v>6.579</v>
      </c>
    </row>
    <row r="32789">
      <c r="B32789">
        <v>2013</v>
      </c>
      <c r="C32789">
        <v>38.015</v>
      </c>
      <c r="D32789">
        <v>5.134</v>
      </c>
    </row>
    <row r="32790">
      <c r="B32790">
        <v>2014</v>
      </c>
      <c r="C32790">
        <v>39.57</v>
      </c>
      <c r="D32790">
        <v>4.091</v>
      </c>
    </row>
    <row r="32791">
      <c r="B32791">
        <v>2015</v>
      </c>
      <c r="C32791">
        <v>40.896</v>
      </c>
      <c r="D32791">
        <v>3.351</v>
      </c>
    </row>
    <row r="32792">
      <c r="B32792">
        <v>2016</v>
      </c>
      <c r="C32792">
        <v>42.307</v>
      </c>
      <c r="D32792">
        <v>3.45</v>
      </c>
    </row>
    <row r="32793">
      <c r="B32793">
        <v>2017</v>
      </c>
      <c r="C32793">
        <v>44.49</v>
      </c>
      <c r="D32793">
        <v>5.161</v>
      </c>
    </row>
    <row r="32794">
      <c r="B32794">
        <v>2018</v>
      </c>
      <c r="C32794">
        <v>47.187</v>
      </c>
      <c r="D32794">
        <v>6.062</v>
      </c>
    </row>
    <row r="32795">
      <c r="B32795">
        <v>2019</v>
      </c>
      <c r="C32795">
        <v>49.726</v>
      </c>
      <c r="D32795">
        <v>5.38</v>
      </c>
    </row>
    <row r="32796">
      <c r="B32796">
        <v>2020</v>
      </c>
      <c r="C32796">
        <v>46.598</v>
      </c>
      <c r="D32796">
        <v>-6.291</v>
      </c>
    </row>
    <row r="32797">
      <c r="B32797">
        <v>2021</v>
      </c>
      <c r="C32797">
        <v>51.558</v>
      </c>
      <c r="D32797">
        <v>10.644</v>
      </c>
    </row>
    <row r="32798">
      <c r="B32798">
        <v>2022</v>
      </c>
      <c r="C32798">
        <v>57.208</v>
      </c>
      <c r="D32798">
        <v>10.96</v>
      </c>
    </row>
    <row r="32799">
      <c r="B32799">
        <v>2023</v>
      </c>
      <c r="C32799">
        <v>61.689</v>
      </c>
      <c r="D32799">
        <v>7.832</v>
      </c>
    </row>
    <row r="32800">
      <c r="B32800">
        <v>2024</v>
      </c>
      <c r="C32800">
        <v>67.505</v>
      </c>
      <c r="D32800">
        <v>9.429</v>
      </c>
    </row>
    <row r="32801">
      <c r="B32801">
        <v>2025</v>
      </c>
      <c r="C32801">
        <v>71.54</v>
      </c>
      <c r="D32801">
        <v>5.977</v>
      </c>
    </row>
    <row r="32802">
      <c r="B32802">
        <v>2026</v>
      </c>
      <c r="C32802">
        <v>75.117</v>
      </c>
      <c r="D32802">
        <v>5</v>
      </c>
    </row>
    <row r="32803">
      <c r="B32803">
        <v>2027</v>
      </c>
      <c r="C32803">
        <v>78.873</v>
      </c>
      <c r="D32803">
        <v>5</v>
      </c>
    </row>
    <row r="32804">
      <c r="B32804" t="str">
        <v>Estimates Start After</v>
      </c>
      <c r="C32804">
        <v>2024</v>
      </c>
      <c r="D32804">
        <v>2024</v>
      </c>
    </row>
    <row r="49153">
      <c r="B49153" t="str">
        <v>WEO Country Code</v>
      </c>
      <c r="C49153">
        <v>915</v>
      </c>
      <c r="D49153">
        <v>915</v>
      </c>
    </row>
    <row r="49154">
      <c r="B49154" t="str">
        <v>WEO Subject Code</v>
      </c>
      <c r="C49154" t="str">
        <v>NGDP_R</v>
      </c>
      <c r="D49154" t="str">
        <v>NGDP_RPCH</v>
      </c>
    </row>
    <row r="49155">
      <c r="B49155" t="str">
        <v>Country</v>
      </c>
      <c r="C49155" t="str">
        <v>Georgia</v>
      </c>
      <c r="D49155" t="str">
        <v>Georgia</v>
      </c>
    </row>
    <row r="49156">
      <c r="B49156" t="str">
        <v>Subject Descriptor</v>
      </c>
      <c r="C49156" t="str">
        <v>Gross domestic product, constant prices</v>
      </c>
      <c r="D49156" t="str">
        <v>Gross domestic product, constant prices</v>
      </c>
    </row>
    <row r="49157">
      <c r="B49157" t="str">
        <v>Units</v>
      </c>
      <c r="C49157" t="str">
        <v>National currency</v>
      </c>
      <c r="D49157" t="str">
        <v>Percent change</v>
      </c>
    </row>
    <row r="49158">
      <c r="B49158" t="str">
        <v>Scale</v>
      </c>
      <c r="C49158" t="str">
        <v>Billions</v>
      </c>
      <c r="D49158" t="str">
        <v>Units</v>
      </c>
    </row>
    <row r="49159">
      <c r="B49159" t="str">
        <v>Country/Series-specific Notes</v>
      </c>
      <c r="C4915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49159" t="str">
        <v>See notes for:  Gross domestic product, constant prices (National currency).</v>
      </c>
    </row>
    <row r="49160">
      <c r="B49160">
        <v>2000</v>
      </c>
      <c r="C49160">
        <v>16.963</v>
      </c>
      <c r="D49160">
        <v>1.865</v>
      </c>
    </row>
    <row r="49161">
      <c r="B49161">
        <v>2001</v>
      </c>
      <c r="C49161">
        <v>17.772</v>
      </c>
      <c r="D49161">
        <v>4.769</v>
      </c>
    </row>
    <row r="49162">
      <c r="B49162">
        <v>2002</v>
      </c>
      <c r="C49162">
        <v>18.747</v>
      </c>
      <c r="D49162">
        <v>5.487</v>
      </c>
    </row>
    <row r="49163">
      <c r="B49163">
        <v>2003</v>
      </c>
      <c r="C49163">
        <v>20.852</v>
      </c>
      <c r="D49163">
        <v>11.228</v>
      </c>
    </row>
    <row r="49164">
      <c r="B49164">
        <v>2004</v>
      </c>
      <c r="C49164">
        <v>22.061</v>
      </c>
      <c r="D49164">
        <v>5.796</v>
      </c>
    </row>
    <row r="49165">
      <c r="B49165">
        <v>2005</v>
      </c>
      <c r="C49165">
        <v>24.176</v>
      </c>
      <c r="D49165">
        <v>9.588</v>
      </c>
    </row>
    <row r="49166">
      <c r="B49166">
        <v>2006</v>
      </c>
      <c r="C49166">
        <v>26.454</v>
      </c>
      <c r="D49166">
        <v>9.42</v>
      </c>
    </row>
    <row r="49167">
      <c r="B49167">
        <v>2007</v>
      </c>
      <c r="C49167">
        <v>29.781</v>
      </c>
      <c r="D49167">
        <v>12.579</v>
      </c>
    </row>
    <row r="49168">
      <c r="B49168">
        <v>2008</v>
      </c>
      <c r="C49168">
        <v>30.502</v>
      </c>
      <c r="D49168">
        <v>2.419</v>
      </c>
    </row>
    <row r="49169">
      <c r="B49169">
        <v>2009</v>
      </c>
      <c r="C49169">
        <v>29.388</v>
      </c>
      <c r="D49169">
        <v>-3.651</v>
      </c>
    </row>
    <row r="49170">
      <c r="B49170">
        <v>2010</v>
      </c>
      <c r="C49170">
        <v>31.428</v>
      </c>
      <c r="D49170">
        <v>6.942</v>
      </c>
    </row>
    <row r="49171">
      <c r="B49171">
        <v>2011</v>
      </c>
      <c r="C49171">
        <v>33.927</v>
      </c>
      <c r="D49171">
        <v>7.949</v>
      </c>
    </row>
    <row r="49172">
      <c r="B49172">
        <v>2012</v>
      </c>
      <c r="C49172">
        <v>36.159</v>
      </c>
      <c r="D49172">
        <v>6.579</v>
      </c>
    </row>
    <row r="49173">
      <c r="B49173">
        <v>2013</v>
      </c>
      <c r="C49173">
        <v>38.015</v>
      </c>
      <c r="D49173">
        <v>5.134</v>
      </c>
    </row>
    <row r="49174">
      <c r="B49174">
        <v>2014</v>
      </c>
      <c r="C49174">
        <v>39.57</v>
      </c>
      <c r="D49174">
        <v>4.091</v>
      </c>
    </row>
    <row r="49175">
      <c r="B49175">
        <v>2015</v>
      </c>
      <c r="C49175">
        <v>40.896</v>
      </c>
      <c r="D49175">
        <v>3.351</v>
      </c>
    </row>
    <row r="49176">
      <c r="B49176">
        <v>2016</v>
      </c>
      <c r="C49176">
        <v>42.307</v>
      </c>
      <c r="D49176">
        <v>3.45</v>
      </c>
    </row>
    <row r="49177">
      <c r="B49177">
        <v>2017</v>
      </c>
      <c r="C49177">
        <v>44.49</v>
      </c>
      <c r="D49177">
        <v>5.161</v>
      </c>
    </row>
    <row r="49178">
      <c r="B49178">
        <v>2018</v>
      </c>
      <c r="C49178">
        <v>47.187</v>
      </c>
      <c r="D49178">
        <v>6.062</v>
      </c>
    </row>
    <row r="49179">
      <c r="B49179">
        <v>2019</v>
      </c>
      <c r="C49179">
        <v>49.726</v>
      </c>
      <c r="D49179">
        <v>5.38</v>
      </c>
    </row>
    <row r="49180">
      <c r="B49180">
        <v>2020</v>
      </c>
      <c r="C49180">
        <v>46.598</v>
      </c>
      <c r="D49180">
        <v>-6.291</v>
      </c>
    </row>
    <row r="49181">
      <c r="B49181">
        <v>2021</v>
      </c>
      <c r="C49181">
        <v>51.558</v>
      </c>
      <c r="D49181">
        <v>10.644</v>
      </c>
    </row>
    <row r="49182">
      <c r="B49182">
        <v>2022</v>
      </c>
      <c r="C49182">
        <v>57.208</v>
      </c>
      <c r="D49182">
        <v>10.96</v>
      </c>
    </row>
    <row r="49183">
      <c r="B49183">
        <v>2023</v>
      </c>
      <c r="C49183">
        <v>61.689</v>
      </c>
      <c r="D49183">
        <v>7.832</v>
      </c>
    </row>
    <row r="49184">
      <c r="B49184">
        <v>2024</v>
      </c>
      <c r="C49184">
        <v>67.505</v>
      </c>
      <c r="D49184">
        <v>9.429</v>
      </c>
    </row>
    <row r="49185">
      <c r="B49185">
        <v>2025</v>
      </c>
      <c r="C49185">
        <v>71.54</v>
      </c>
      <c r="D49185">
        <v>5.977</v>
      </c>
    </row>
    <row r="49186">
      <c r="B49186">
        <v>2026</v>
      </c>
      <c r="C49186">
        <v>75.117</v>
      </c>
      <c r="D49186">
        <v>5</v>
      </c>
    </row>
    <row r="49187">
      <c r="B49187">
        <v>2027</v>
      </c>
      <c r="C49187">
        <v>78.873</v>
      </c>
      <c r="D49187">
        <v>5</v>
      </c>
    </row>
    <row r="49188">
      <c r="B49188" t="str">
        <v>Estimates Start After</v>
      </c>
      <c r="C49188">
        <v>2024</v>
      </c>
      <c r="D49188">
        <v>2024</v>
      </c>
    </row>
    <row r="65537">
      <c r="B65537" t="str">
        <v>WEO Country Code</v>
      </c>
      <c r="C65537">
        <v>915</v>
      </c>
      <c r="D65537">
        <v>915</v>
      </c>
    </row>
    <row r="65538">
      <c r="B65538" t="str">
        <v>WEO Subject Code</v>
      </c>
      <c r="C65538" t="str">
        <v>NGDP_R</v>
      </c>
      <c r="D65538" t="str">
        <v>NGDP_RPCH</v>
      </c>
    </row>
    <row r="65539">
      <c r="B65539" t="str">
        <v>Country</v>
      </c>
      <c r="C65539" t="str">
        <v>Georgia</v>
      </c>
      <c r="D65539" t="str">
        <v>Georgia</v>
      </c>
    </row>
    <row r="65540">
      <c r="B65540" t="str">
        <v>Subject Descriptor</v>
      </c>
      <c r="C65540" t="str">
        <v>Gross domestic product, constant prices</v>
      </c>
      <c r="D65540" t="str">
        <v>Gross domestic product, constant prices</v>
      </c>
    </row>
    <row r="65541">
      <c r="B65541" t="str">
        <v>Units</v>
      </c>
      <c r="C65541" t="str">
        <v>National currency</v>
      </c>
      <c r="D65541" t="str">
        <v>Percent change</v>
      </c>
    </row>
    <row r="65542">
      <c r="B65542" t="str">
        <v>Scale</v>
      </c>
      <c r="C65542" t="str">
        <v>Billions</v>
      </c>
      <c r="D65542" t="str">
        <v>Units</v>
      </c>
    </row>
    <row r="65543">
      <c r="B65543" t="str">
        <v>Country/Series-specific Notes</v>
      </c>
      <c r="C6554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65543" t="str">
        <v>See notes for:  Gross domestic product, constant prices (National currency).</v>
      </c>
    </row>
    <row r="65544">
      <c r="B65544">
        <v>2000</v>
      </c>
      <c r="C65544">
        <v>16.963</v>
      </c>
      <c r="D65544">
        <v>1.865</v>
      </c>
    </row>
    <row r="65545">
      <c r="B65545">
        <v>2001</v>
      </c>
      <c r="C65545">
        <v>17.772</v>
      </c>
      <c r="D65545">
        <v>4.769</v>
      </c>
    </row>
    <row r="65546">
      <c r="B65546">
        <v>2002</v>
      </c>
      <c r="C65546">
        <v>18.747</v>
      </c>
      <c r="D65546">
        <v>5.487</v>
      </c>
    </row>
    <row r="65547">
      <c r="B65547">
        <v>2003</v>
      </c>
      <c r="C65547">
        <v>20.852</v>
      </c>
      <c r="D65547">
        <v>11.228</v>
      </c>
    </row>
    <row r="65548">
      <c r="B65548">
        <v>2004</v>
      </c>
      <c r="C65548">
        <v>22.061</v>
      </c>
      <c r="D65548">
        <v>5.796</v>
      </c>
    </row>
    <row r="65549">
      <c r="B65549">
        <v>2005</v>
      </c>
      <c r="C65549">
        <v>24.176</v>
      </c>
      <c r="D65549">
        <v>9.588</v>
      </c>
    </row>
    <row r="65550">
      <c r="B65550">
        <v>2006</v>
      </c>
      <c r="C65550">
        <v>26.454</v>
      </c>
      <c r="D65550">
        <v>9.42</v>
      </c>
    </row>
    <row r="65551">
      <c r="B65551">
        <v>2007</v>
      </c>
      <c r="C65551">
        <v>29.781</v>
      </c>
      <c r="D65551">
        <v>12.579</v>
      </c>
    </row>
    <row r="65552">
      <c r="B65552">
        <v>2008</v>
      </c>
      <c r="C65552">
        <v>30.502</v>
      </c>
      <c r="D65552">
        <v>2.419</v>
      </c>
    </row>
    <row r="65553">
      <c r="B65553">
        <v>2009</v>
      </c>
      <c r="C65553">
        <v>29.388</v>
      </c>
      <c r="D65553">
        <v>-3.651</v>
      </c>
    </row>
    <row r="65554">
      <c r="B65554">
        <v>2010</v>
      </c>
      <c r="C65554">
        <v>31.428</v>
      </c>
      <c r="D65554">
        <v>6.942</v>
      </c>
    </row>
    <row r="65555">
      <c r="B65555">
        <v>2011</v>
      </c>
      <c r="C65555">
        <v>33.927</v>
      </c>
      <c r="D65555">
        <v>7.949</v>
      </c>
    </row>
    <row r="65556">
      <c r="B65556">
        <v>2012</v>
      </c>
      <c r="C65556">
        <v>36.159</v>
      </c>
      <c r="D65556">
        <v>6.579</v>
      </c>
    </row>
    <row r="65557">
      <c r="B65557">
        <v>2013</v>
      </c>
      <c r="C65557">
        <v>38.015</v>
      </c>
      <c r="D65557">
        <v>5.134</v>
      </c>
    </row>
    <row r="65558">
      <c r="B65558">
        <v>2014</v>
      </c>
      <c r="C65558">
        <v>39.57</v>
      </c>
      <c r="D65558">
        <v>4.091</v>
      </c>
    </row>
    <row r="65559">
      <c r="B65559">
        <v>2015</v>
      </c>
      <c r="C65559">
        <v>40.896</v>
      </c>
      <c r="D65559">
        <v>3.351</v>
      </c>
    </row>
    <row r="65560">
      <c r="B65560">
        <v>2016</v>
      </c>
      <c r="C65560">
        <v>42.307</v>
      </c>
      <c r="D65560">
        <v>3.45</v>
      </c>
    </row>
    <row r="65561">
      <c r="B65561">
        <v>2017</v>
      </c>
      <c r="C65561">
        <v>44.49</v>
      </c>
      <c r="D65561">
        <v>5.161</v>
      </c>
    </row>
    <row r="65562">
      <c r="B65562">
        <v>2018</v>
      </c>
      <c r="C65562">
        <v>47.187</v>
      </c>
      <c r="D65562">
        <v>6.062</v>
      </c>
    </row>
    <row r="65563">
      <c r="B65563">
        <v>2019</v>
      </c>
      <c r="C65563">
        <v>49.726</v>
      </c>
      <c r="D65563">
        <v>5.38</v>
      </c>
    </row>
    <row r="65564">
      <c r="B65564">
        <v>2020</v>
      </c>
      <c r="C65564">
        <v>46.598</v>
      </c>
      <c r="D65564">
        <v>-6.291</v>
      </c>
    </row>
    <row r="65565">
      <c r="B65565">
        <v>2021</v>
      </c>
      <c r="C65565">
        <v>51.558</v>
      </c>
      <c r="D65565">
        <v>10.644</v>
      </c>
    </row>
    <row r="65566">
      <c r="B65566">
        <v>2022</v>
      </c>
      <c r="C65566">
        <v>57.208</v>
      </c>
      <c r="D65566">
        <v>10.96</v>
      </c>
    </row>
    <row r="65567">
      <c r="B65567">
        <v>2023</v>
      </c>
      <c r="C65567">
        <v>61.689</v>
      </c>
      <c r="D65567">
        <v>7.832</v>
      </c>
    </row>
    <row r="65568">
      <c r="B65568">
        <v>2024</v>
      </c>
      <c r="C65568">
        <v>67.505</v>
      </c>
      <c r="D65568">
        <v>9.429</v>
      </c>
    </row>
    <row r="65569">
      <c r="B65569">
        <v>2025</v>
      </c>
      <c r="C65569">
        <v>71.54</v>
      </c>
      <c r="D65569">
        <v>5.977</v>
      </c>
    </row>
    <row r="65570">
      <c r="B65570">
        <v>2026</v>
      </c>
      <c r="C65570">
        <v>75.117</v>
      </c>
      <c r="D65570">
        <v>5</v>
      </c>
    </row>
    <row r="65571">
      <c r="B65571">
        <v>2027</v>
      </c>
      <c r="C65571">
        <v>78.873</v>
      </c>
      <c r="D65571">
        <v>5</v>
      </c>
    </row>
    <row r="65572">
      <c r="B65572" t="str">
        <v>Estimates Start After</v>
      </c>
      <c r="C65572">
        <v>2024</v>
      </c>
      <c r="D65572">
        <v>2024</v>
      </c>
    </row>
    <row r="81921">
      <c r="B81921" t="str">
        <v>WEO Country Code</v>
      </c>
      <c r="C81921">
        <v>915</v>
      </c>
      <c r="D81921">
        <v>915</v>
      </c>
    </row>
    <row r="81922">
      <c r="B81922" t="str">
        <v>WEO Subject Code</v>
      </c>
      <c r="C81922" t="str">
        <v>NGDP_R</v>
      </c>
      <c r="D81922" t="str">
        <v>NGDP_RPCH</v>
      </c>
    </row>
    <row r="81923">
      <c r="B81923" t="str">
        <v>Country</v>
      </c>
      <c r="C81923" t="str">
        <v>Georgia</v>
      </c>
      <c r="D81923" t="str">
        <v>Georgia</v>
      </c>
    </row>
    <row r="81924">
      <c r="B81924" t="str">
        <v>Subject Descriptor</v>
      </c>
      <c r="C81924" t="str">
        <v>Gross domestic product, constant prices</v>
      </c>
      <c r="D81924" t="str">
        <v>Gross domestic product, constant prices</v>
      </c>
    </row>
    <row r="81925">
      <c r="B81925" t="str">
        <v>Units</v>
      </c>
      <c r="C81925" t="str">
        <v>National currency</v>
      </c>
      <c r="D81925" t="str">
        <v>Percent change</v>
      </c>
    </row>
    <row r="81926">
      <c r="B81926" t="str">
        <v>Scale</v>
      </c>
      <c r="C81926" t="str">
        <v>Billions</v>
      </c>
      <c r="D81926" t="str">
        <v>Units</v>
      </c>
    </row>
    <row r="81927">
      <c r="B81927" t="str">
        <v>Country/Series-specific Notes</v>
      </c>
      <c r="C8192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81927" t="str">
        <v>See notes for:  Gross domestic product, constant prices (National currency).</v>
      </c>
    </row>
    <row r="81928">
      <c r="B81928">
        <v>2000</v>
      </c>
      <c r="C81928">
        <v>16.963</v>
      </c>
      <c r="D81928">
        <v>1.865</v>
      </c>
    </row>
    <row r="81929">
      <c r="B81929">
        <v>2001</v>
      </c>
      <c r="C81929">
        <v>17.772</v>
      </c>
      <c r="D81929">
        <v>4.769</v>
      </c>
    </row>
    <row r="81930">
      <c r="B81930">
        <v>2002</v>
      </c>
      <c r="C81930">
        <v>18.747</v>
      </c>
      <c r="D81930">
        <v>5.487</v>
      </c>
    </row>
    <row r="81931">
      <c r="B81931">
        <v>2003</v>
      </c>
      <c r="C81931">
        <v>20.852</v>
      </c>
      <c r="D81931">
        <v>11.228</v>
      </c>
    </row>
    <row r="81932">
      <c r="B81932">
        <v>2004</v>
      </c>
      <c r="C81932">
        <v>22.061</v>
      </c>
      <c r="D81932">
        <v>5.796</v>
      </c>
    </row>
    <row r="81933">
      <c r="B81933">
        <v>2005</v>
      </c>
      <c r="C81933">
        <v>24.176</v>
      </c>
      <c r="D81933">
        <v>9.588</v>
      </c>
    </row>
    <row r="81934">
      <c r="B81934">
        <v>2006</v>
      </c>
      <c r="C81934">
        <v>26.454</v>
      </c>
      <c r="D81934">
        <v>9.42</v>
      </c>
    </row>
    <row r="81935">
      <c r="B81935">
        <v>2007</v>
      </c>
      <c r="C81935">
        <v>29.781</v>
      </c>
      <c r="D81935">
        <v>12.579</v>
      </c>
    </row>
    <row r="81936">
      <c r="B81936">
        <v>2008</v>
      </c>
      <c r="C81936">
        <v>30.502</v>
      </c>
      <c r="D81936">
        <v>2.419</v>
      </c>
    </row>
    <row r="81937">
      <c r="B81937">
        <v>2009</v>
      </c>
      <c r="C81937">
        <v>29.388</v>
      </c>
      <c r="D81937">
        <v>-3.651</v>
      </c>
    </row>
    <row r="81938">
      <c r="B81938">
        <v>2010</v>
      </c>
      <c r="C81938">
        <v>31.428</v>
      </c>
      <c r="D81938">
        <v>6.942</v>
      </c>
    </row>
    <row r="81939">
      <c r="B81939">
        <v>2011</v>
      </c>
      <c r="C81939">
        <v>33.927</v>
      </c>
      <c r="D81939">
        <v>7.949</v>
      </c>
    </row>
    <row r="81940">
      <c r="B81940">
        <v>2012</v>
      </c>
      <c r="C81940">
        <v>36.159</v>
      </c>
      <c r="D81940">
        <v>6.579</v>
      </c>
    </row>
    <row r="81941">
      <c r="B81941">
        <v>2013</v>
      </c>
      <c r="C81941">
        <v>38.015</v>
      </c>
      <c r="D81941">
        <v>5.134</v>
      </c>
    </row>
    <row r="81942">
      <c r="B81942">
        <v>2014</v>
      </c>
      <c r="C81942">
        <v>39.57</v>
      </c>
      <c r="D81942">
        <v>4.091</v>
      </c>
    </row>
    <row r="81943">
      <c r="B81943">
        <v>2015</v>
      </c>
      <c r="C81943">
        <v>40.896</v>
      </c>
      <c r="D81943">
        <v>3.351</v>
      </c>
    </row>
    <row r="81944">
      <c r="B81944">
        <v>2016</v>
      </c>
      <c r="C81944">
        <v>42.307</v>
      </c>
      <c r="D81944">
        <v>3.45</v>
      </c>
    </row>
    <row r="81945">
      <c r="B81945">
        <v>2017</v>
      </c>
      <c r="C81945">
        <v>44.49</v>
      </c>
      <c r="D81945">
        <v>5.161</v>
      </c>
    </row>
    <row r="81946">
      <c r="B81946">
        <v>2018</v>
      </c>
      <c r="C81946">
        <v>47.187</v>
      </c>
      <c r="D81946">
        <v>6.062</v>
      </c>
    </row>
    <row r="81947">
      <c r="B81947">
        <v>2019</v>
      </c>
      <c r="C81947">
        <v>49.726</v>
      </c>
      <c r="D81947">
        <v>5.38</v>
      </c>
    </row>
    <row r="81948">
      <c r="B81948">
        <v>2020</v>
      </c>
      <c r="C81948">
        <v>46.598</v>
      </c>
      <c r="D81948">
        <v>-6.291</v>
      </c>
    </row>
    <row r="81949">
      <c r="B81949">
        <v>2021</v>
      </c>
      <c r="C81949">
        <v>51.558</v>
      </c>
      <c r="D81949">
        <v>10.644</v>
      </c>
    </row>
    <row r="81950">
      <c r="B81950">
        <v>2022</v>
      </c>
      <c r="C81950">
        <v>57.208</v>
      </c>
      <c r="D81950">
        <v>10.96</v>
      </c>
    </row>
    <row r="81951">
      <c r="B81951">
        <v>2023</v>
      </c>
      <c r="C81951">
        <v>61.689</v>
      </c>
      <c r="D81951">
        <v>7.832</v>
      </c>
    </row>
    <row r="81952">
      <c r="B81952">
        <v>2024</v>
      </c>
      <c r="C81952">
        <v>67.505</v>
      </c>
      <c r="D81952">
        <v>9.429</v>
      </c>
    </row>
    <row r="81953">
      <c r="B81953">
        <v>2025</v>
      </c>
      <c r="C81953">
        <v>71.54</v>
      </c>
      <c r="D81953">
        <v>5.977</v>
      </c>
    </row>
    <row r="81954">
      <c r="B81954">
        <v>2026</v>
      </c>
      <c r="C81954">
        <v>75.117</v>
      </c>
      <c r="D81954">
        <v>5</v>
      </c>
    </row>
    <row r="81955">
      <c r="B81955">
        <v>2027</v>
      </c>
      <c r="C81955">
        <v>78.873</v>
      </c>
      <c r="D81955">
        <v>5</v>
      </c>
    </row>
    <row r="81956">
      <c r="B81956" t="str">
        <v>Estimates Start After</v>
      </c>
      <c r="C81956">
        <v>2024</v>
      </c>
      <c r="D81956">
        <v>2024</v>
      </c>
    </row>
    <row r="98305">
      <c r="B98305" t="str">
        <v>WEO Country Code</v>
      </c>
      <c r="C98305">
        <v>915</v>
      </c>
      <c r="D98305">
        <v>915</v>
      </c>
    </row>
    <row r="98306">
      <c r="B98306" t="str">
        <v>WEO Subject Code</v>
      </c>
      <c r="C98306" t="str">
        <v>NGDP_R</v>
      </c>
      <c r="D98306" t="str">
        <v>NGDP_RPCH</v>
      </c>
    </row>
    <row r="98307">
      <c r="B98307" t="str">
        <v>Country</v>
      </c>
      <c r="C98307" t="str">
        <v>Georgia</v>
      </c>
      <c r="D98307" t="str">
        <v>Georgia</v>
      </c>
    </row>
    <row r="98308">
      <c r="B98308" t="str">
        <v>Subject Descriptor</v>
      </c>
      <c r="C98308" t="str">
        <v>Gross domestic product, constant prices</v>
      </c>
      <c r="D98308" t="str">
        <v>Gross domestic product, constant prices</v>
      </c>
    </row>
    <row r="98309">
      <c r="B98309" t="str">
        <v>Units</v>
      </c>
      <c r="C98309" t="str">
        <v>National currency</v>
      </c>
      <c r="D98309" t="str">
        <v>Percent change</v>
      </c>
    </row>
    <row r="98310">
      <c r="B98310" t="str">
        <v>Scale</v>
      </c>
      <c r="C98310" t="str">
        <v>Billions</v>
      </c>
      <c r="D98310" t="str">
        <v>Units</v>
      </c>
    </row>
    <row r="98311">
      <c r="B98311" t="str">
        <v>Country/Series-specific Notes</v>
      </c>
      <c r="C9831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98311" t="str">
        <v>See notes for:  Gross domestic product, constant prices (National currency).</v>
      </c>
    </row>
    <row r="98312">
      <c r="B98312">
        <v>2000</v>
      </c>
      <c r="C98312">
        <v>16.963</v>
      </c>
      <c r="D98312">
        <v>1.865</v>
      </c>
    </row>
    <row r="98313">
      <c r="B98313">
        <v>2001</v>
      </c>
      <c r="C98313">
        <v>17.772</v>
      </c>
      <c r="D98313">
        <v>4.769</v>
      </c>
    </row>
    <row r="98314">
      <c r="B98314">
        <v>2002</v>
      </c>
      <c r="C98314">
        <v>18.747</v>
      </c>
      <c r="D98314">
        <v>5.487</v>
      </c>
    </row>
    <row r="98315">
      <c r="B98315">
        <v>2003</v>
      </c>
      <c r="C98315">
        <v>20.852</v>
      </c>
      <c r="D98315">
        <v>11.228</v>
      </c>
    </row>
    <row r="98316">
      <c r="B98316">
        <v>2004</v>
      </c>
      <c r="C98316">
        <v>22.061</v>
      </c>
      <c r="D98316">
        <v>5.796</v>
      </c>
    </row>
    <row r="98317">
      <c r="B98317">
        <v>2005</v>
      </c>
      <c r="C98317">
        <v>24.176</v>
      </c>
      <c r="D98317">
        <v>9.588</v>
      </c>
    </row>
    <row r="98318">
      <c r="B98318">
        <v>2006</v>
      </c>
      <c r="C98318">
        <v>26.454</v>
      </c>
      <c r="D98318">
        <v>9.42</v>
      </c>
    </row>
    <row r="98319">
      <c r="B98319">
        <v>2007</v>
      </c>
      <c r="C98319">
        <v>29.781</v>
      </c>
      <c r="D98319">
        <v>12.579</v>
      </c>
    </row>
    <row r="98320">
      <c r="B98320">
        <v>2008</v>
      </c>
      <c r="C98320">
        <v>30.502</v>
      </c>
      <c r="D98320">
        <v>2.419</v>
      </c>
    </row>
    <row r="98321">
      <c r="B98321">
        <v>2009</v>
      </c>
      <c r="C98321">
        <v>29.388</v>
      </c>
      <c r="D98321">
        <v>-3.651</v>
      </c>
    </row>
    <row r="98322">
      <c r="B98322">
        <v>2010</v>
      </c>
      <c r="C98322">
        <v>31.428</v>
      </c>
      <c r="D98322">
        <v>6.942</v>
      </c>
    </row>
    <row r="98323">
      <c r="B98323">
        <v>2011</v>
      </c>
      <c r="C98323">
        <v>33.927</v>
      </c>
      <c r="D98323">
        <v>7.949</v>
      </c>
    </row>
    <row r="98324">
      <c r="B98324">
        <v>2012</v>
      </c>
      <c r="C98324">
        <v>36.159</v>
      </c>
      <c r="D98324">
        <v>6.579</v>
      </c>
    </row>
    <row r="98325">
      <c r="B98325">
        <v>2013</v>
      </c>
      <c r="C98325">
        <v>38.015</v>
      </c>
      <c r="D98325">
        <v>5.134</v>
      </c>
    </row>
    <row r="98326">
      <c r="B98326">
        <v>2014</v>
      </c>
      <c r="C98326">
        <v>39.57</v>
      </c>
      <c r="D98326">
        <v>4.091</v>
      </c>
    </row>
    <row r="98327">
      <c r="B98327">
        <v>2015</v>
      </c>
      <c r="C98327">
        <v>40.896</v>
      </c>
      <c r="D98327">
        <v>3.351</v>
      </c>
    </row>
    <row r="98328">
      <c r="B98328">
        <v>2016</v>
      </c>
      <c r="C98328">
        <v>42.307</v>
      </c>
      <c r="D98328">
        <v>3.45</v>
      </c>
    </row>
    <row r="98329">
      <c r="B98329">
        <v>2017</v>
      </c>
      <c r="C98329">
        <v>44.49</v>
      </c>
      <c r="D98329">
        <v>5.161</v>
      </c>
    </row>
    <row r="98330">
      <c r="B98330">
        <v>2018</v>
      </c>
      <c r="C98330">
        <v>47.187</v>
      </c>
      <c r="D98330">
        <v>6.062</v>
      </c>
    </row>
    <row r="98331">
      <c r="B98331">
        <v>2019</v>
      </c>
      <c r="C98331">
        <v>49.726</v>
      </c>
      <c r="D98331">
        <v>5.38</v>
      </c>
    </row>
    <row r="98332">
      <c r="B98332">
        <v>2020</v>
      </c>
      <c r="C98332">
        <v>46.598</v>
      </c>
      <c r="D98332">
        <v>-6.291</v>
      </c>
    </row>
    <row r="98333">
      <c r="B98333">
        <v>2021</v>
      </c>
      <c r="C98333">
        <v>51.558</v>
      </c>
      <c r="D98333">
        <v>10.644</v>
      </c>
    </row>
    <row r="98334">
      <c r="B98334">
        <v>2022</v>
      </c>
      <c r="C98334">
        <v>57.208</v>
      </c>
      <c r="D98334">
        <v>10.96</v>
      </c>
    </row>
    <row r="98335">
      <c r="B98335">
        <v>2023</v>
      </c>
      <c r="C98335">
        <v>61.689</v>
      </c>
      <c r="D98335">
        <v>7.832</v>
      </c>
    </row>
    <row r="98336">
      <c r="B98336">
        <v>2024</v>
      </c>
      <c r="C98336">
        <v>67.505</v>
      </c>
      <c r="D98336">
        <v>9.429</v>
      </c>
    </row>
    <row r="98337">
      <c r="B98337">
        <v>2025</v>
      </c>
      <c r="C98337">
        <v>71.54</v>
      </c>
      <c r="D98337">
        <v>5.977</v>
      </c>
    </row>
    <row r="98338">
      <c r="B98338">
        <v>2026</v>
      </c>
      <c r="C98338">
        <v>75.117</v>
      </c>
      <c r="D98338">
        <v>5</v>
      </c>
    </row>
    <row r="98339">
      <c r="B98339">
        <v>2027</v>
      </c>
      <c r="C98339">
        <v>78.873</v>
      </c>
      <c r="D98339">
        <v>5</v>
      </c>
    </row>
    <row r="98340">
      <c r="B98340" t="str">
        <v>Estimates Start After</v>
      </c>
      <c r="C98340">
        <v>2024</v>
      </c>
      <c r="D98340">
        <v>2024</v>
      </c>
    </row>
    <row r="114689">
      <c r="B114689" t="str">
        <v>WEO Country Code</v>
      </c>
      <c r="C114689">
        <v>915</v>
      </c>
      <c r="D114689">
        <v>915</v>
      </c>
    </row>
    <row r="114690">
      <c r="B114690" t="str">
        <v>WEO Subject Code</v>
      </c>
      <c r="C114690" t="str">
        <v>NGDP_R</v>
      </c>
      <c r="D114690" t="str">
        <v>NGDP_RPCH</v>
      </c>
    </row>
    <row r="114691">
      <c r="B114691" t="str">
        <v>Country</v>
      </c>
      <c r="C114691" t="str">
        <v>Georgia</v>
      </c>
      <c r="D114691" t="str">
        <v>Georgia</v>
      </c>
    </row>
    <row r="114692">
      <c r="B114692" t="str">
        <v>Subject Descriptor</v>
      </c>
      <c r="C114692" t="str">
        <v>Gross domestic product, constant prices</v>
      </c>
      <c r="D114692" t="str">
        <v>Gross domestic product, constant prices</v>
      </c>
    </row>
    <row r="114693">
      <c r="B114693" t="str">
        <v>Units</v>
      </c>
      <c r="C114693" t="str">
        <v>National currency</v>
      </c>
      <c r="D114693" t="str">
        <v>Percent change</v>
      </c>
    </row>
    <row r="114694">
      <c r="B114694" t="str">
        <v>Scale</v>
      </c>
      <c r="C114694" t="str">
        <v>Billions</v>
      </c>
      <c r="D114694" t="str">
        <v>Units</v>
      </c>
    </row>
    <row r="114695">
      <c r="B114695" t="str">
        <v>Country/Series-specific Notes</v>
      </c>
      <c r="C11469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114695" t="str">
        <v>See notes for:  Gross domestic product, constant prices (National currency).</v>
      </c>
    </row>
    <row r="114696">
      <c r="B114696">
        <v>2000</v>
      </c>
      <c r="C114696">
        <v>16.963</v>
      </c>
      <c r="D114696">
        <v>1.865</v>
      </c>
    </row>
    <row r="114697">
      <c r="B114697">
        <v>2001</v>
      </c>
      <c r="C114697">
        <v>17.772</v>
      </c>
      <c r="D114697">
        <v>4.769</v>
      </c>
    </row>
    <row r="114698">
      <c r="B114698">
        <v>2002</v>
      </c>
      <c r="C114698">
        <v>18.747</v>
      </c>
      <c r="D114698">
        <v>5.487</v>
      </c>
    </row>
    <row r="114699">
      <c r="B114699">
        <v>2003</v>
      </c>
      <c r="C114699">
        <v>20.852</v>
      </c>
      <c r="D114699">
        <v>11.228</v>
      </c>
    </row>
    <row r="114700">
      <c r="B114700">
        <v>2004</v>
      </c>
      <c r="C114700">
        <v>22.061</v>
      </c>
      <c r="D114700">
        <v>5.796</v>
      </c>
    </row>
    <row r="114701">
      <c r="B114701">
        <v>2005</v>
      </c>
      <c r="C114701">
        <v>24.176</v>
      </c>
      <c r="D114701">
        <v>9.588</v>
      </c>
    </row>
    <row r="114702">
      <c r="B114702">
        <v>2006</v>
      </c>
      <c r="C114702">
        <v>26.454</v>
      </c>
      <c r="D114702">
        <v>9.42</v>
      </c>
    </row>
    <row r="114703">
      <c r="B114703">
        <v>2007</v>
      </c>
      <c r="C114703">
        <v>29.781</v>
      </c>
      <c r="D114703">
        <v>12.579</v>
      </c>
    </row>
    <row r="114704">
      <c r="B114704">
        <v>2008</v>
      </c>
      <c r="C114704">
        <v>30.502</v>
      </c>
      <c r="D114704">
        <v>2.419</v>
      </c>
    </row>
    <row r="114705">
      <c r="B114705">
        <v>2009</v>
      </c>
      <c r="C114705">
        <v>29.388</v>
      </c>
      <c r="D114705">
        <v>-3.651</v>
      </c>
    </row>
    <row r="114706">
      <c r="B114706">
        <v>2010</v>
      </c>
      <c r="C114706">
        <v>31.428</v>
      </c>
      <c r="D114706">
        <v>6.942</v>
      </c>
    </row>
    <row r="114707">
      <c r="B114707">
        <v>2011</v>
      </c>
      <c r="C114707">
        <v>33.927</v>
      </c>
      <c r="D114707">
        <v>7.949</v>
      </c>
    </row>
    <row r="114708">
      <c r="B114708">
        <v>2012</v>
      </c>
      <c r="C114708">
        <v>36.159</v>
      </c>
      <c r="D114708">
        <v>6.579</v>
      </c>
    </row>
    <row r="114709">
      <c r="B114709">
        <v>2013</v>
      </c>
      <c r="C114709">
        <v>38.015</v>
      </c>
      <c r="D114709">
        <v>5.134</v>
      </c>
    </row>
    <row r="114710">
      <c r="B114710">
        <v>2014</v>
      </c>
      <c r="C114710">
        <v>39.57</v>
      </c>
      <c r="D114710">
        <v>4.091</v>
      </c>
    </row>
    <row r="114711">
      <c r="B114711">
        <v>2015</v>
      </c>
      <c r="C114711">
        <v>40.896</v>
      </c>
      <c r="D114711">
        <v>3.351</v>
      </c>
    </row>
    <row r="114712">
      <c r="B114712">
        <v>2016</v>
      </c>
      <c r="C114712">
        <v>42.307</v>
      </c>
      <c r="D114712">
        <v>3.45</v>
      </c>
    </row>
    <row r="114713">
      <c r="B114713">
        <v>2017</v>
      </c>
      <c r="C114713">
        <v>44.49</v>
      </c>
      <c r="D114713">
        <v>5.161</v>
      </c>
    </row>
    <row r="114714">
      <c r="B114714">
        <v>2018</v>
      </c>
      <c r="C114714">
        <v>47.187</v>
      </c>
      <c r="D114714">
        <v>6.062</v>
      </c>
    </row>
    <row r="114715">
      <c r="B114715">
        <v>2019</v>
      </c>
      <c r="C114715">
        <v>49.726</v>
      </c>
      <c r="D114715">
        <v>5.38</v>
      </c>
    </row>
    <row r="114716">
      <c r="B114716">
        <v>2020</v>
      </c>
      <c r="C114716">
        <v>46.598</v>
      </c>
      <c r="D114716">
        <v>-6.291</v>
      </c>
    </row>
    <row r="114717">
      <c r="B114717">
        <v>2021</v>
      </c>
      <c r="C114717">
        <v>51.558</v>
      </c>
      <c r="D114717">
        <v>10.644</v>
      </c>
    </row>
    <row r="114718">
      <c r="B114718">
        <v>2022</v>
      </c>
      <c r="C114718">
        <v>57.208</v>
      </c>
      <c r="D114718">
        <v>10.96</v>
      </c>
    </row>
    <row r="114719">
      <c r="B114719">
        <v>2023</v>
      </c>
      <c r="C114719">
        <v>61.689</v>
      </c>
      <c r="D114719">
        <v>7.832</v>
      </c>
    </row>
    <row r="114720">
      <c r="B114720">
        <v>2024</v>
      </c>
      <c r="C114720">
        <v>67.505</v>
      </c>
      <c r="D114720">
        <v>9.429</v>
      </c>
    </row>
    <row r="114721">
      <c r="B114721">
        <v>2025</v>
      </c>
      <c r="C114721">
        <v>71.54</v>
      </c>
      <c r="D114721">
        <v>5.977</v>
      </c>
    </row>
    <row r="114722">
      <c r="B114722">
        <v>2026</v>
      </c>
      <c r="C114722">
        <v>75.117</v>
      </c>
      <c r="D114722">
        <v>5</v>
      </c>
    </row>
    <row r="114723">
      <c r="B114723">
        <v>2027</v>
      </c>
      <c r="C114723">
        <v>78.873</v>
      </c>
      <c r="D114723">
        <v>5</v>
      </c>
    </row>
    <row r="114724">
      <c r="B114724" t="str">
        <v>Estimates Start After</v>
      </c>
      <c r="C114724">
        <v>2024</v>
      </c>
      <c r="D114724">
        <v>2024</v>
      </c>
    </row>
    <row r="131073">
      <c r="B131073" t="str">
        <v>WEO Country Code</v>
      </c>
      <c r="C131073">
        <v>915</v>
      </c>
      <c r="D131073">
        <v>915</v>
      </c>
    </row>
    <row r="131074">
      <c r="B131074" t="str">
        <v>WEO Subject Code</v>
      </c>
      <c r="C131074" t="str">
        <v>NGDP_R</v>
      </c>
      <c r="D131074" t="str">
        <v>NGDP_RPCH</v>
      </c>
    </row>
    <row r="131075">
      <c r="B131075" t="str">
        <v>Country</v>
      </c>
      <c r="C131075" t="str">
        <v>Georgia</v>
      </c>
      <c r="D131075" t="str">
        <v>Georgia</v>
      </c>
    </row>
    <row r="131076">
      <c r="B131076" t="str">
        <v>Subject Descriptor</v>
      </c>
      <c r="C131076" t="str">
        <v>Gross domestic product, constant prices</v>
      </c>
      <c r="D131076" t="str">
        <v>Gross domestic product, constant prices</v>
      </c>
    </row>
    <row r="131077">
      <c r="B131077" t="str">
        <v>Units</v>
      </c>
      <c r="C131077" t="str">
        <v>National currency</v>
      </c>
      <c r="D131077" t="str">
        <v>Percent change</v>
      </c>
    </row>
    <row r="131078">
      <c r="B131078" t="str">
        <v>Scale</v>
      </c>
      <c r="C131078" t="str">
        <v>Billions</v>
      </c>
      <c r="D131078" t="str">
        <v>Units</v>
      </c>
    </row>
    <row r="131079">
      <c r="B131079" t="str">
        <v>Country/Series-specific Notes</v>
      </c>
      <c r="C13107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131079" t="str">
        <v>See notes for:  Gross domestic product, constant prices (National currency).</v>
      </c>
    </row>
    <row r="131080">
      <c r="B131080">
        <v>2000</v>
      </c>
      <c r="C131080">
        <v>16.963</v>
      </c>
      <c r="D131080">
        <v>1.865</v>
      </c>
    </row>
    <row r="131081">
      <c r="B131081">
        <v>2001</v>
      </c>
      <c r="C131081">
        <v>17.772</v>
      </c>
      <c r="D131081">
        <v>4.769</v>
      </c>
    </row>
    <row r="131082">
      <c r="B131082">
        <v>2002</v>
      </c>
      <c r="C131082">
        <v>18.747</v>
      </c>
      <c r="D131082">
        <v>5.487</v>
      </c>
    </row>
    <row r="131083">
      <c r="B131083">
        <v>2003</v>
      </c>
      <c r="C131083">
        <v>20.852</v>
      </c>
      <c r="D131083">
        <v>11.228</v>
      </c>
    </row>
    <row r="131084">
      <c r="B131084">
        <v>2004</v>
      </c>
      <c r="C131084">
        <v>22.061</v>
      </c>
      <c r="D131084">
        <v>5.796</v>
      </c>
    </row>
    <row r="131085">
      <c r="B131085">
        <v>2005</v>
      </c>
      <c r="C131085">
        <v>24.176</v>
      </c>
      <c r="D131085">
        <v>9.588</v>
      </c>
    </row>
    <row r="131086">
      <c r="B131086">
        <v>2006</v>
      </c>
      <c r="C131086">
        <v>26.454</v>
      </c>
      <c r="D131086">
        <v>9.42</v>
      </c>
    </row>
    <row r="131087">
      <c r="B131087">
        <v>2007</v>
      </c>
      <c r="C131087">
        <v>29.781</v>
      </c>
      <c r="D131087">
        <v>12.579</v>
      </c>
    </row>
    <row r="131088">
      <c r="B131088">
        <v>2008</v>
      </c>
      <c r="C131088">
        <v>30.502</v>
      </c>
      <c r="D131088">
        <v>2.419</v>
      </c>
    </row>
    <row r="131089">
      <c r="B131089">
        <v>2009</v>
      </c>
      <c r="C131089">
        <v>29.388</v>
      </c>
      <c r="D131089">
        <v>-3.651</v>
      </c>
    </row>
    <row r="131090">
      <c r="B131090">
        <v>2010</v>
      </c>
      <c r="C131090">
        <v>31.428</v>
      </c>
      <c r="D131090">
        <v>6.942</v>
      </c>
    </row>
    <row r="131091">
      <c r="B131091">
        <v>2011</v>
      </c>
      <c r="C131091">
        <v>33.927</v>
      </c>
      <c r="D131091">
        <v>7.949</v>
      </c>
    </row>
    <row r="131092">
      <c r="B131092">
        <v>2012</v>
      </c>
      <c r="C131092">
        <v>36.159</v>
      </c>
      <c r="D131092">
        <v>6.579</v>
      </c>
    </row>
    <row r="131093">
      <c r="B131093">
        <v>2013</v>
      </c>
      <c r="C131093">
        <v>38.015</v>
      </c>
      <c r="D131093">
        <v>5.134</v>
      </c>
    </row>
    <row r="131094">
      <c r="B131094">
        <v>2014</v>
      </c>
      <c r="C131094">
        <v>39.57</v>
      </c>
      <c r="D131094">
        <v>4.091</v>
      </c>
    </row>
    <row r="131095">
      <c r="B131095">
        <v>2015</v>
      </c>
      <c r="C131095">
        <v>40.896</v>
      </c>
      <c r="D131095">
        <v>3.351</v>
      </c>
    </row>
    <row r="131096">
      <c r="B131096">
        <v>2016</v>
      </c>
      <c r="C131096">
        <v>42.307</v>
      </c>
      <c r="D131096">
        <v>3.45</v>
      </c>
    </row>
    <row r="131097">
      <c r="B131097">
        <v>2017</v>
      </c>
      <c r="C131097">
        <v>44.49</v>
      </c>
      <c r="D131097">
        <v>5.161</v>
      </c>
    </row>
    <row r="131098">
      <c r="B131098">
        <v>2018</v>
      </c>
      <c r="C131098">
        <v>47.187</v>
      </c>
      <c r="D131098">
        <v>6.062</v>
      </c>
    </row>
    <row r="131099">
      <c r="B131099">
        <v>2019</v>
      </c>
      <c r="C131099">
        <v>49.726</v>
      </c>
      <c r="D131099">
        <v>5.38</v>
      </c>
    </row>
    <row r="131100">
      <c r="B131100">
        <v>2020</v>
      </c>
      <c r="C131100">
        <v>46.598</v>
      </c>
      <c r="D131100">
        <v>-6.291</v>
      </c>
    </row>
    <row r="131101">
      <c r="B131101">
        <v>2021</v>
      </c>
      <c r="C131101">
        <v>51.558</v>
      </c>
      <c r="D131101">
        <v>10.644</v>
      </c>
    </row>
    <row r="131102">
      <c r="B131102">
        <v>2022</v>
      </c>
      <c r="C131102">
        <v>57.208</v>
      </c>
      <c r="D131102">
        <v>10.96</v>
      </c>
    </row>
    <row r="131103">
      <c r="B131103">
        <v>2023</v>
      </c>
      <c r="C131103">
        <v>61.689</v>
      </c>
      <c r="D131103">
        <v>7.832</v>
      </c>
    </row>
    <row r="131104">
      <c r="B131104">
        <v>2024</v>
      </c>
      <c r="C131104">
        <v>67.505</v>
      </c>
      <c r="D131104">
        <v>9.429</v>
      </c>
    </row>
    <row r="131105">
      <c r="B131105">
        <v>2025</v>
      </c>
      <c r="C131105">
        <v>71.54</v>
      </c>
      <c r="D131105">
        <v>5.977</v>
      </c>
    </row>
    <row r="131106">
      <c r="B131106">
        <v>2026</v>
      </c>
      <c r="C131106">
        <v>75.117</v>
      </c>
      <c r="D131106">
        <v>5</v>
      </c>
    </row>
    <row r="131107">
      <c r="B131107">
        <v>2027</v>
      </c>
      <c r="C131107">
        <v>78.873</v>
      </c>
      <c r="D131107">
        <v>5</v>
      </c>
    </row>
    <row r="131108">
      <c r="B131108" t="str">
        <v>Estimates Start After</v>
      </c>
      <c r="C131108">
        <v>2024</v>
      </c>
      <c r="D131108">
        <v>2024</v>
      </c>
    </row>
    <row r="147457">
      <c r="B147457" t="str">
        <v>WEO Country Code</v>
      </c>
      <c r="C147457">
        <v>915</v>
      </c>
      <c r="D147457">
        <v>915</v>
      </c>
    </row>
    <row r="147458">
      <c r="B147458" t="str">
        <v>WEO Subject Code</v>
      </c>
      <c r="C147458" t="str">
        <v>NGDP_R</v>
      </c>
      <c r="D147458" t="str">
        <v>NGDP_RPCH</v>
      </c>
    </row>
    <row r="147459">
      <c r="B147459" t="str">
        <v>Country</v>
      </c>
      <c r="C147459" t="str">
        <v>Georgia</v>
      </c>
      <c r="D147459" t="str">
        <v>Georgia</v>
      </c>
    </row>
    <row r="147460">
      <c r="B147460" t="str">
        <v>Subject Descriptor</v>
      </c>
      <c r="C147460" t="str">
        <v>Gross domestic product, constant prices</v>
      </c>
      <c r="D147460" t="str">
        <v>Gross domestic product, constant prices</v>
      </c>
    </row>
    <row r="147461">
      <c r="B147461" t="str">
        <v>Units</v>
      </c>
      <c r="C147461" t="str">
        <v>National currency</v>
      </c>
      <c r="D147461" t="str">
        <v>Percent change</v>
      </c>
    </row>
    <row r="147462">
      <c r="B147462" t="str">
        <v>Scale</v>
      </c>
      <c r="C147462" t="str">
        <v>Billions</v>
      </c>
      <c r="D147462" t="str">
        <v>Units</v>
      </c>
    </row>
    <row r="147463">
      <c r="B147463" t="str">
        <v>Country/Series-specific Notes</v>
      </c>
      <c r="C14746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147463" t="str">
        <v>See notes for:  Gross domestic product, constant prices (National currency).</v>
      </c>
    </row>
    <row r="147464">
      <c r="B147464">
        <v>2000</v>
      </c>
      <c r="C147464">
        <v>16.963</v>
      </c>
      <c r="D147464">
        <v>1.865</v>
      </c>
    </row>
    <row r="147465">
      <c r="B147465">
        <v>2001</v>
      </c>
      <c r="C147465">
        <v>17.772</v>
      </c>
      <c r="D147465">
        <v>4.769</v>
      </c>
    </row>
    <row r="147466">
      <c r="B147466">
        <v>2002</v>
      </c>
      <c r="C147466">
        <v>18.747</v>
      </c>
      <c r="D147466">
        <v>5.487</v>
      </c>
    </row>
    <row r="147467">
      <c r="B147467">
        <v>2003</v>
      </c>
      <c r="C147467">
        <v>20.852</v>
      </c>
      <c r="D147467">
        <v>11.228</v>
      </c>
    </row>
    <row r="147468">
      <c r="B147468">
        <v>2004</v>
      </c>
      <c r="C147468">
        <v>22.061</v>
      </c>
      <c r="D147468">
        <v>5.796</v>
      </c>
    </row>
    <row r="147469">
      <c r="B147469">
        <v>2005</v>
      </c>
      <c r="C147469">
        <v>24.176</v>
      </c>
      <c r="D147469">
        <v>9.588</v>
      </c>
    </row>
    <row r="147470">
      <c r="B147470">
        <v>2006</v>
      </c>
      <c r="C147470">
        <v>26.454</v>
      </c>
      <c r="D147470">
        <v>9.42</v>
      </c>
    </row>
    <row r="147471">
      <c r="B147471">
        <v>2007</v>
      </c>
      <c r="C147471">
        <v>29.781</v>
      </c>
      <c r="D147471">
        <v>12.579</v>
      </c>
    </row>
    <row r="147472">
      <c r="B147472">
        <v>2008</v>
      </c>
      <c r="C147472">
        <v>30.502</v>
      </c>
      <c r="D147472">
        <v>2.419</v>
      </c>
    </row>
    <row r="147473">
      <c r="B147473">
        <v>2009</v>
      </c>
      <c r="C147473">
        <v>29.388</v>
      </c>
      <c r="D147473">
        <v>-3.651</v>
      </c>
    </row>
    <row r="147474">
      <c r="B147474">
        <v>2010</v>
      </c>
      <c r="C147474">
        <v>31.428</v>
      </c>
      <c r="D147474">
        <v>6.942</v>
      </c>
    </row>
    <row r="147475">
      <c r="B147475">
        <v>2011</v>
      </c>
      <c r="C147475">
        <v>33.927</v>
      </c>
      <c r="D147475">
        <v>7.949</v>
      </c>
    </row>
    <row r="147476">
      <c r="B147476">
        <v>2012</v>
      </c>
      <c r="C147476">
        <v>36.159</v>
      </c>
      <c r="D147476">
        <v>6.579</v>
      </c>
    </row>
    <row r="147477">
      <c r="B147477">
        <v>2013</v>
      </c>
      <c r="C147477">
        <v>38.015</v>
      </c>
      <c r="D147477">
        <v>5.134</v>
      </c>
    </row>
    <row r="147478">
      <c r="B147478">
        <v>2014</v>
      </c>
      <c r="C147478">
        <v>39.57</v>
      </c>
      <c r="D147478">
        <v>4.091</v>
      </c>
    </row>
    <row r="147479">
      <c r="B147479">
        <v>2015</v>
      </c>
      <c r="C147479">
        <v>40.896</v>
      </c>
      <c r="D147479">
        <v>3.351</v>
      </c>
    </row>
    <row r="147480">
      <c r="B147480">
        <v>2016</v>
      </c>
      <c r="C147480">
        <v>42.307</v>
      </c>
      <c r="D147480">
        <v>3.45</v>
      </c>
    </row>
    <row r="147481">
      <c r="B147481">
        <v>2017</v>
      </c>
      <c r="C147481">
        <v>44.49</v>
      </c>
      <c r="D147481">
        <v>5.161</v>
      </c>
    </row>
    <row r="147482">
      <c r="B147482">
        <v>2018</v>
      </c>
      <c r="C147482">
        <v>47.187</v>
      </c>
      <c r="D147482">
        <v>6.062</v>
      </c>
    </row>
    <row r="147483">
      <c r="B147483">
        <v>2019</v>
      </c>
      <c r="C147483">
        <v>49.726</v>
      </c>
      <c r="D147483">
        <v>5.38</v>
      </c>
    </row>
    <row r="147484">
      <c r="B147484">
        <v>2020</v>
      </c>
      <c r="C147484">
        <v>46.598</v>
      </c>
      <c r="D147484">
        <v>-6.291</v>
      </c>
    </row>
    <row r="147485">
      <c r="B147485">
        <v>2021</v>
      </c>
      <c r="C147485">
        <v>51.558</v>
      </c>
      <c r="D147485">
        <v>10.644</v>
      </c>
    </row>
    <row r="147486">
      <c r="B147486">
        <v>2022</v>
      </c>
      <c r="C147486">
        <v>57.208</v>
      </c>
      <c r="D147486">
        <v>10.96</v>
      </c>
    </row>
    <row r="147487">
      <c r="B147487">
        <v>2023</v>
      </c>
      <c r="C147487">
        <v>61.689</v>
      </c>
      <c r="D147487">
        <v>7.832</v>
      </c>
    </row>
    <row r="147488">
      <c r="B147488">
        <v>2024</v>
      </c>
      <c r="C147488">
        <v>67.505</v>
      </c>
      <c r="D147488">
        <v>9.429</v>
      </c>
    </row>
    <row r="147489">
      <c r="B147489">
        <v>2025</v>
      </c>
      <c r="C147489">
        <v>71.54</v>
      </c>
      <c r="D147489">
        <v>5.977</v>
      </c>
    </row>
    <row r="147490">
      <c r="B147490">
        <v>2026</v>
      </c>
      <c r="C147490">
        <v>75.117</v>
      </c>
      <c r="D147490">
        <v>5</v>
      </c>
    </row>
    <row r="147491">
      <c r="B147491">
        <v>2027</v>
      </c>
      <c r="C147491">
        <v>78.873</v>
      </c>
      <c r="D147491">
        <v>5</v>
      </c>
    </row>
    <row r="147492">
      <c r="B147492" t="str">
        <v>Estimates Start After</v>
      </c>
      <c r="C147492">
        <v>2024</v>
      </c>
      <c r="D147492">
        <v>2024</v>
      </c>
    </row>
    <row r="163841">
      <c r="B163841" t="str">
        <v>WEO Country Code</v>
      </c>
      <c r="C163841">
        <v>915</v>
      </c>
      <c r="D163841">
        <v>915</v>
      </c>
    </row>
    <row r="163842">
      <c r="B163842" t="str">
        <v>WEO Subject Code</v>
      </c>
      <c r="C163842" t="str">
        <v>NGDP_R</v>
      </c>
      <c r="D163842" t="str">
        <v>NGDP_RPCH</v>
      </c>
    </row>
    <row r="163843">
      <c r="B163843" t="str">
        <v>Country</v>
      </c>
      <c r="C163843" t="str">
        <v>Georgia</v>
      </c>
      <c r="D163843" t="str">
        <v>Georgia</v>
      </c>
    </row>
    <row r="163844">
      <c r="B163844" t="str">
        <v>Subject Descriptor</v>
      </c>
      <c r="C163844" t="str">
        <v>Gross domestic product, constant prices</v>
      </c>
      <c r="D163844" t="str">
        <v>Gross domestic product, constant prices</v>
      </c>
    </row>
    <row r="163845">
      <c r="B163845" t="str">
        <v>Units</v>
      </c>
      <c r="C163845" t="str">
        <v>National currency</v>
      </c>
      <c r="D163845" t="str">
        <v>Percent change</v>
      </c>
    </row>
    <row r="163846">
      <c r="B163846" t="str">
        <v>Scale</v>
      </c>
      <c r="C163846" t="str">
        <v>Billions</v>
      </c>
      <c r="D163846" t="str">
        <v>Units</v>
      </c>
    </row>
    <row r="163847">
      <c r="B163847" t="str">
        <v>Country/Series-specific Notes</v>
      </c>
      <c r="C16384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163847" t="str">
        <v>See notes for:  Gross domestic product, constant prices (National currency).</v>
      </c>
    </row>
    <row r="163848">
      <c r="B163848">
        <v>2000</v>
      </c>
      <c r="C163848">
        <v>16.963</v>
      </c>
      <c r="D163848">
        <v>1.865</v>
      </c>
    </row>
    <row r="163849">
      <c r="B163849">
        <v>2001</v>
      </c>
      <c r="C163849">
        <v>17.772</v>
      </c>
      <c r="D163849">
        <v>4.769</v>
      </c>
    </row>
    <row r="163850">
      <c r="B163850">
        <v>2002</v>
      </c>
      <c r="C163850">
        <v>18.747</v>
      </c>
      <c r="D163850">
        <v>5.487</v>
      </c>
    </row>
    <row r="163851">
      <c r="B163851">
        <v>2003</v>
      </c>
      <c r="C163851">
        <v>20.852</v>
      </c>
      <c r="D163851">
        <v>11.228</v>
      </c>
    </row>
    <row r="163852">
      <c r="B163852">
        <v>2004</v>
      </c>
      <c r="C163852">
        <v>22.061</v>
      </c>
      <c r="D163852">
        <v>5.796</v>
      </c>
    </row>
    <row r="163853">
      <c r="B163853">
        <v>2005</v>
      </c>
      <c r="C163853">
        <v>24.176</v>
      </c>
      <c r="D163853">
        <v>9.588</v>
      </c>
    </row>
    <row r="163854">
      <c r="B163854">
        <v>2006</v>
      </c>
      <c r="C163854">
        <v>26.454</v>
      </c>
      <c r="D163854">
        <v>9.42</v>
      </c>
    </row>
    <row r="163855">
      <c r="B163855">
        <v>2007</v>
      </c>
      <c r="C163855">
        <v>29.781</v>
      </c>
      <c r="D163855">
        <v>12.579</v>
      </c>
    </row>
    <row r="163856">
      <c r="B163856">
        <v>2008</v>
      </c>
      <c r="C163856">
        <v>30.502</v>
      </c>
      <c r="D163856">
        <v>2.419</v>
      </c>
    </row>
    <row r="163857">
      <c r="B163857">
        <v>2009</v>
      </c>
      <c r="C163857">
        <v>29.388</v>
      </c>
      <c r="D163857">
        <v>-3.651</v>
      </c>
    </row>
    <row r="163858">
      <c r="B163858">
        <v>2010</v>
      </c>
      <c r="C163858">
        <v>31.428</v>
      </c>
      <c r="D163858">
        <v>6.942</v>
      </c>
    </row>
    <row r="163859">
      <c r="B163859">
        <v>2011</v>
      </c>
      <c r="C163859">
        <v>33.927</v>
      </c>
      <c r="D163859">
        <v>7.949</v>
      </c>
    </row>
    <row r="163860">
      <c r="B163860">
        <v>2012</v>
      </c>
      <c r="C163860">
        <v>36.159</v>
      </c>
      <c r="D163860">
        <v>6.579</v>
      </c>
    </row>
    <row r="163861">
      <c r="B163861">
        <v>2013</v>
      </c>
      <c r="C163861">
        <v>38.015</v>
      </c>
      <c r="D163861">
        <v>5.134</v>
      </c>
    </row>
    <row r="163862">
      <c r="B163862">
        <v>2014</v>
      </c>
      <c r="C163862">
        <v>39.57</v>
      </c>
      <c r="D163862">
        <v>4.091</v>
      </c>
    </row>
    <row r="163863">
      <c r="B163863">
        <v>2015</v>
      </c>
      <c r="C163863">
        <v>40.896</v>
      </c>
      <c r="D163863">
        <v>3.351</v>
      </c>
    </row>
    <row r="163864">
      <c r="B163864">
        <v>2016</v>
      </c>
      <c r="C163864">
        <v>42.307</v>
      </c>
      <c r="D163864">
        <v>3.45</v>
      </c>
    </row>
    <row r="163865">
      <c r="B163865">
        <v>2017</v>
      </c>
      <c r="C163865">
        <v>44.49</v>
      </c>
      <c r="D163865">
        <v>5.161</v>
      </c>
    </row>
    <row r="163866">
      <c r="B163866">
        <v>2018</v>
      </c>
      <c r="C163866">
        <v>47.187</v>
      </c>
      <c r="D163866">
        <v>6.062</v>
      </c>
    </row>
    <row r="163867">
      <c r="B163867">
        <v>2019</v>
      </c>
      <c r="C163867">
        <v>49.726</v>
      </c>
      <c r="D163867">
        <v>5.38</v>
      </c>
    </row>
    <row r="163868">
      <c r="B163868">
        <v>2020</v>
      </c>
      <c r="C163868">
        <v>46.598</v>
      </c>
      <c r="D163868">
        <v>-6.291</v>
      </c>
    </row>
    <row r="163869">
      <c r="B163869">
        <v>2021</v>
      </c>
      <c r="C163869">
        <v>51.558</v>
      </c>
      <c r="D163869">
        <v>10.644</v>
      </c>
    </row>
    <row r="163870">
      <c r="B163870">
        <v>2022</v>
      </c>
      <c r="C163870">
        <v>57.208</v>
      </c>
      <c r="D163870">
        <v>10.96</v>
      </c>
    </row>
    <row r="163871">
      <c r="B163871">
        <v>2023</v>
      </c>
      <c r="C163871">
        <v>61.689</v>
      </c>
      <c r="D163871">
        <v>7.832</v>
      </c>
    </row>
    <row r="163872">
      <c r="B163872">
        <v>2024</v>
      </c>
      <c r="C163872">
        <v>67.505</v>
      </c>
      <c r="D163872">
        <v>9.429</v>
      </c>
    </row>
    <row r="163873">
      <c r="B163873">
        <v>2025</v>
      </c>
      <c r="C163873">
        <v>71.54</v>
      </c>
      <c r="D163873">
        <v>5.977</v>
      </c>
    </row>
    <row r="163874">
      <c r="B163874">
        <v>2026</v>
      </c>
      <c r="C163874">
        <v>75.117</v>
      </c>
      <c r="D163874">
        <v>5</v>
      </c>
    </row>
    <row r="163875">
      <c r="B163875">
        <v>2027</v>
      </c>
      <c r="C163875">
        <v>78.873</v>
      </c>
      <c r="D163875">
        <v>5</v>
      </c>
    </row>
    <row r="163876">
      <c r="B163876" t="str">
        <v>Estimates Start After</v>
      </c>
      <c r="C163876">
        <v>2024</v>
      </c>
      <c r="D163876">
        <v>2024</v>
      </c>
    </row>
    <row r="180225">
      <c r="B180225" t="str">
        <v>WEO Country Code</v>
      </c>
      <c r="C180225">
        <v>915</v>
      </c>
      <c r="D180225">
        <v>915</v>
      </c>
    </row>
    <row r="180226">
      <c r="B180226" t="str">
        <v>WEO Subject Code</v>
      </c>
      <c r="C180226" t="str">
        <v>NGDP_R</v>
      </c>
      <c r="D180226" t="str">
        <v>NGDP_RPCH</v>
      </c>
    </row>
    <row r="180227">
      <c r="B180227" t="str">
        <v>Country</v>
      </c>
      <c r="C180227" t="str">
        <v>Georgia</v>
      </c>
      <c r="D180227" t="str">
        <v>Georgia</v>
      </c>
    </row>
    <row r="180228">
      <c r="B180228" t="str">
        <v>Subject Descriptor</v>
      </c>
      <c r="C180228" t="str">
        <v>Gross domestic product, constant prices</v>
      </c>
      <c r="D180228" t="str">
        <v>Gross domestic product, constant prices</v>
      </c>
    </row>
    <row r="180229">
      <c r="B180229" t="str">
        <v>Units</v>
      </c>
      <c r="C180229" t="str">
        <v>National currency</v>
      </c>
      <c r="D180229" t="str">
        <v>Percent change</v>
      </c>
    </row>
    <row r="180230">
      <c r="B180230" t="str">
        <v>Scale</v>
      </c>
      <c r="C180230" t="str">
        <v>Billions</v>
      </c>
      <c r="D180230" t="str">
        <v>Units</v>
      </c>
    </row>
    <row r="180231">
      <c r="B180231" t="str">
        <v>Country/Series-specific Notes</v>
      </c>
      <c r="C18023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180231" t="str">
        <v>See notes for:  Gross domestic product, constant prices (National currency).</v>
      </c>
    </row>
    <row r="180232">
      <c r="B180232">
        <v>2000</v>
      </c>
      <c r="C180232">
        <v>16.963</v>
      </c>
      <c r="D180232">
        <v>1.865</v>
      </c>
    </row>
    <row r="180233">
      <c r="B180233">
        <v>2001</v>
      </c>
      <c r="C180233">
        <v>17.772</v>
      </c>
      <c r="D180233">
        <v>4.769</v>
      </c>
    </row>
    <row r="180234">
      <c r="B180234">
        <v>2002</v>
      </c>
      <c r="C180234">
        <v>18.747</v>
      </c>
      <c r="D180234">
        <v>5.487</v>
      </c>
    </row>
    <row r="180235">
      <c r="B180235">
        <v>2003</v>
      </c>
      <c r="C180235">
        <v>20.852</v>
      </c>
      <c r="D180235">
        <v>11.228</v>
      </c>
    </row>
    <row r="180236">
      <c r="B180236">
        <v>2004</v>
      </c>
      <c r="C180236">
        <v>22.061</v>
      </c>
      <c r="D180236">
        <v>5.796</v>
      </c>
    </row>
    <row r="180237">
      <c r="B180237">
        <v>2005</v>
      </c>
      <c r="C180237">
        <v>24.176</v>
      </c>
      <c r="D180237">
        <v>9.588</v>
      </c>
    </row>
    <row r="180238">
      <c r="B180238">
        <v>2006</v>
      </c>
      <c r="C180238">
        <v>26.454</v>
      </c>
      <c r="D180238">
        <v>9.42</v>
      </c>
    </row>
    <row r="180239">
      <c r="B180239">
        <v>2007</v>
      </c>
      <c r="C180239">
        <v>29.781</v>
      </c>
      <c r="D180239">
        <v>12.579</v>
      </c>
    </row>
    <row r="180240">
      <c r="B180240">
        <v>2008</v>
      </c>
      <c r="C180240">
        <v>30.502</v>
      </c>
      <c r="D180240">
        <v>2.419</v>
      </c>
    </row>
    <row r="180241">
      <c r="B180241">
        <v>2009</v>
      </c>
      <c r="C180241">
        <v>29.388</v>
      </c>
      <c r="D180241">
        <v>-3.651</v>
      </c>
    </row>
    <row r="180242">
      <c r="B180242">
        <v>2010</v>
      </c>
      <c r="C180242">
        <v>31.428</v>
      </c>
      <c r="D180242">
        <v>6.942</v>
      </c>
    </row>
    <row r="180243">
      <c r="B180243">
        <v>2011</v>
      </c>
      <c r="C180243">
        <v>33.927</v>
      </c>
      <c r="D180243">
        <v>7.949</v>
      </c>
    </row>
    <row r="180244">
      <c r="B180244">
        <v>2012</v>
      </c>
      <c r="C180244">
        <v>36.159</v>
      </c>
      <c r="D180244">
        <v>6.579</v>
      </c>
    </row>
    <row r="180245">
      <c r="B180245">
        <v>2013</v>
      </c>
      <c r="C180245">
        <v>38.015</v>
      </c>
      <c r="D180245">
        <v>5.134</v>
      </c>
    </row>
    <row r="180246">
      <c r="B180246">
        <v>2014</v>
      </c>
      <c r="C180246">
        <v>39.57</v>
      </c>
      <c r="D180246">
        <v>4.091</v>
      </c>
    </row>
    <row r="180247">
      <c r="B180247">
        <v>2015</v>
      </c>
      <c r="C180247">
        <v>40.896</v>
      </c>
      <c r="D180247">
        <v>3.351</v>
      </c>
    </row>
    <row r="180248">
      <c r="B180248">
        <v>2016</v>
      </c>
      <c r="C180248">
        <v>42.307</v>
      </c>
      <c r="D180248">
        <v>3.45</v>
      </c>
    </row>
    <row r="180249">
      <c r="B180249">
        <v>2017</v>
      </c>
      <c r="C180249">
        <v>44.49</v>
      </c>
      <c r="D180249">
        <v>5.161</v>
      </c>
    </row>
    <row r="180250">
      <c r="B180250">
        <v>2018</v>
      </c>
      <c r="C180250">
        <v>47.187</v>
      </c>
      <c r="D180250">
        <v>6.062</v>
      </c>
    </row>
    <row r="180251">
      <c r="B180251">
        <v>2019</v>
      </c>
      <c r="C180251">
        <v>49.726</v>
      </c>
      <c r="D180251">
        <v>5.38</v>
      </c>
    </row>
    <row r="180252">
      <c r="B180252">
        <v>2020</v>
      </c>
      <c r="C180252">
        <v>46.598</v>
      </c>
      <c r="D180252">
        <v>-6.291</v>
      </c>
    </row>
    <row r="180253">
      <c r="B180253">
        <v>2021</v>
      </c>
      <c r="C180253">
        <v>51.558</v>
      </c>
      <c r="D180253">
        <v>10.644</v>
      </c>
    </row>
    <row r="180254">
      <c r="B180254">
        <v>2022</v>
      </c>
      <c r="C180254">
        <v>57.208</v>
      </c>
      <c r="D180254">
        <v>10.96</v>
      </c>
    </row>
    <row r="180255">
      <c r="B180255">
        <v>2023</v>
      </c>
      <c r="C180255">
        <v>61.689</v>
      </c>
      <c r="D180255">
        <v>7.832</v>
      </c>
    </row>
    <row r="180256">
      <c r="B180256">
        <v>2024</v>
      </c>
      <c r="C180256">
        <v>67.505</v>
      </c>
      <c r="D180256">
        <v>9.429</v>
      </c>
    </row>
    <row r="180257">
      <c r="B180257">
        <v>2025</v>
      </c>
      <c r="C180257">
        <v>71.54</v>
      </c>
      <c r="D180257">
        <v>5.977</v>
      </c>
    </row>
    <row r="180258">
      <c r="B180258">
        <v>2026</v>
      </c>
      <c r="C180258">
        <v>75.117</v>
      </c>
      <c r="D180258">
        <v>5</v>
      </c>
    </row>
    <row r="180259">
      <c r="B180259">
        <v>2027</v>
      </c>
      <c r="C180259">
        <v>78.873</v>
      </c>
      <c r="D180259">
        <v>5</v>
      </c>
    </row>
    <row r="180260">
      <c r="B180260" t="str">
        <v>Estimates Start After</v>
      </c>
      <c r="C180260">
        <v>2024</v>
      </c>
      <c r="D180260">
        <v>2024</v>
      </c>
    </row>
    <row r="196609">
      <c r="B196609" t="str">
        <v>WEO Country Code</v>
      </c>
      <c r="C196609">
        <v>915</v>
      </c>
      <c r="D196609">
        <v>915</v>
      </c>
    </row>
    <row r="196610">
      <c r="B196610" t="str">
        <v>WEO Subject Code</v>
      </c>
      <c r="C196610" t="str">
        <v>NGDP_R</v>
      </c>
      <c r="D196610" t="str">
        <v>NGDP_RPCH</v>
      </c>
    </row>
    <row r="196611">
      <c r="B196611" t="str">
        <v>Country</v>
      </c>
      <c r="C196611" t="str">
        <v>Georgia</v>
      </c>
      <c r="D196611" t="str">
        <v>Georgia</v>
      </c>
    </row>
    <row r="196612">
      <c r="B196612" t="str">
        <v>Subject Descriptor</v>
      </c>
      <c r="C196612" t="str">
        <v>Gross domestic product, constant prices</v>
      </c>
      <c r="D196612" t="str">
        <v>Gross domestic product, constant prices</v>
      </c>
    </row>
    <row r="196613">
      <c r="B196613" t="str">
        <v>Units</v>
      </c>
      <c r="C196613" t="str">
        <v>National currency</v>
      </c>
      <c r="D196613" t="str">
        <v>Percent change</v>
      </c>
    </row>
    <row r="196614">
      <c r="B196614" t="str">
        <v>Scale</v>
      </c>
      <c r="C196614" t="str">
        <v>Billions</v>
      </c>
      <c r="D196614" t="str">
        <v>Units</v>
      </c>
    </row>
    <row r="196615">
      <c r="B196615" t="str">
        <v>Country/Series-specific Notes</v>
      </c>
      <c r="C19661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196615" t="str">
        <v>See notes for:  Gross domestic product, constant prices (National currency).</v>
      </c>
    </row>
    <row r="196616">
      <c r="B196616">
        <v>2000</v>
      </c>
      <c r="C196616">
        <v>16.963</v>
      </c>
      <c r="D196616">
        <v>1.865</v>
      </c>
    </row>
    <row r="196617">
      <c r="B196617">
        <v>2001</v>
      </c>
      <c r="C196617">
        <v>17.772</v>
      </c>
      <c r="D196617">
        <v>4.769</v>
      </c>
    </row>
    <row r="196618">
      <c r="B196618">
        <v>2002</v>
      </c>
      <c r="C196618">
        <v>18.747</v>
      </c>
      <c r="D196618">
        <v>5.487</v>
      </c>
    </row>
    <row r="196619">
      <c r="B196619">
        <v>2003</v>
      </c>
      <c r="C196619">
        <v>20.852</v>
      </c>
      <c r="D196619">
        <v>11.228</v>
      </c>
    </row>
    <row r="196620">
      <c r="B196620">
        <v>2004</v>
      </c>
      <c r="C196620">
        <v>22.061</v>
      </c>
      <c r="D196620">
        <v>5.796</v>
      </c>
    </row>
    <row r="196621">
      <c r="B196621">
        <v>2005</v>
      </c>
      <c r="C196621">
        <v>24.176</v>
      </c>
      <c r="D196621">
        <v>9.588</v>
      </c>
    </row>
    <row r="196622">
      <c r="B196622">
        <v>2006</v>
      </c>
      <c r="C196622">
        <v>26.454</v>
      </c>
      <c r="D196622">
        <v>9.42</v>
      </c>
    </row>
    <row r="196623">
      <c r="B196623">
        <v>2007</v>
      </c>
      <c r="C196623">
        <v>29.781</v>
      </c>
      <c r="D196623">
        <v>12.579</v>
      </c>
    </row>
    <row r="196624">
      <c r="B196624">
        <v>2008</v>
      </c>
      <c r="C196624">
        <v>30.502</v>
      </c>
      <c r="D196624">
        <v>2.419</v>
      </c>
    </row>
    <row r="196625">
      <c r="B196625">
        <v>2009</v>
      </c>
      <c r="C196625">
        <v>29.388</v>
      </c>
      <c r="D196625">
        <v>-3.651</v>
      </c>
    </row>
    <row r="196626">
      <c r="B196626">
        <v>2010</v>
      </c>
      <c r="C196626">
        <v>31.428</v>
      </c>
      <c r="D196626">
        <v>6.942</v>
      </c>
    </row>
    <row r="196627">
      <c r="B196627">
        <v>2011</v>
      </c>
      <c r="C196627">
        <v>33.927</v>
      </c>
      <c r="D196627">
        <v>7.949</v>
      </c>
    </row>
    <row r="196628">
      <c r="B196628">
        <v>2012</v>
      </c>
      <c r="C196628">
        <v>36.159</v>
      </c>
      <c r="D196628">
        <v>6.579</v>
      </c>
    </row>
    <row r="196629">
      <c r="B196629">
        <v>2013</v>
      </c>
      <c r="C196629">
        <v>38.015</v>
      </c>
      <c r="D196629">
        <v>5.134</v>
      </c>
    </row>
    <row r="196630">
      <c r="B196630">
        <v>2014</v>
      </c>
      <c r="C196630">
        <v>39.57</v>
      </c>
      <c r="D196630">
        <v>4.091</v>
      </c>
    </row>
    <row r="196631">
      <c r="B196631">
        <v>2015</v>
      </c>
      <c r="C196631">
        <v>40.896</v>
      </c>
      <c r="D196631">
        <v>3.351</v>
      </c>
    </row>
    <row r="196632">
      <c r="B196632">
        <v>2016</v>
      </c>
      <c r="C196632">
        <v>42.307</v>
      </c>
      <c r="D196632">
        <v>3.45</v>
      </c>
    </row>
    <row r="196633">
      <c r="B196633">
        <v>2017</v>
      </c>
      <c r="C196633">
        <v>44.49</v>
      </c>
      <c r="D196633">
        <v>5.161</v>
      </c>
    </row>
    <row r="196634">
      <c r="B196634">
        <v>2018</v>
      </c>
      <c r="C196634">
        <v>47.187</v>
      </c>
      <c r="D196634">
        <v>6.062</v>
      </c>
    </row>
    <row r="196635">
      <c r="B196635">
        <v>2019</v>
      </c>
      <c r="C196635">
        <v>49.726</v>
      </c>
      <c r="D196635">
        <v>5.38</v>
      </c>
    </row>
    <row r="196636">
      <c r="B196636">
        <v>2020</v>
      </c>
      <c r="C196636">
        <v>46.598</v>
      </c>
      <c r="D196636">
        <v>-6.291</v>
      </c>
    </row>
    <row r="196637">
      <c r="B196637">
        <v>2021</v>
      </c>
      <c r="C196637">
        <v>51.558</v>
      </c>
      <c r="D196637">
        <v>10.644</v>
      </c>
    </row>
    <row r="196638">
      <c r="B196638">
        <v>2022</v>
      </c>
      <c r="C196638">
        <v>57.208</v>
      </c>
      <c r="D196638">
        <v>10.96</v>
      </c>
    </row>
    <row r="196639">
      <c r="B196639">
        <v>2023</v>
      </c>
      <c r="C196639">
        <v>61.689</v>
      </c>
      <c r="D196639">
        <v>7.832</v>
      </c>
    </row>
    <row r="196640">
      <c r="B196640">
        <v>2024</v>
      </c>
      <c r="C196640">
        <v>67.505</v>
      </c>
      <c r="D196640">
        <v>9.429</v>
      </c>
    </row>
    <row r="196641">
      <c r="B196641">
        <v>2025</v>
      </c>
      <c r="C196641">
        <v>71.54</v>
      </c>
      <c r="D196641">
        <v>5.977</v>
      </c>
    </row>
    <row r="196642">
      <c r="B196642">
        <v>2026</v>
      </c>
      <c r="C196642">
        <v>75.117</v>
      </c>
      <c r="D196642">
        <v>5</v>
      </c>
    </row>
    <row r="196643">
      <c r="B196643">
        <v>2027</v>
      </c>
      <c r="C196643">
        <v>78.873</v>
      </c>
      <c r="D196643">
        <v>5</v>
      </c>
    </row>
    <row r="196644">
      <c r="B196644" t="str">
        <v>Estimates Start After</v>
      </c>
      <c r="C196644">
        <v>2024</v>
      </c>
      <c r="D196644">
        <v>2024</v>
      </c>
    </row>
    <row r="212993">
      <c r="B212993" t="str">
        <v>WEO Country Code</v>
      </c>
      <c r="C212993">
        <v>915</v>
      </c>
      <c r="D212993">
        <v>915</v>
      </c>
    </row>
    <row r="212994">
      <c r="B212994" t="str">
        <v>WEO Subject Code</v>
      </c>
      <c r="C212994" t="str">
        <v>NGDP_R</v>
      </c>
      <c r="D212994" t="str">
        <v>NGDP_RPCH</v>
      </c>
    </row>
    <row r="212995">
      <c r="B212995" t="str">
        <v>Country</v>
      </c>
      <c r="C212995" t="str">
        <v>Georgia</v>
      </c>
      <c r="D212995" t="str">
        <v>Georgia</v>
      </c>
    </row>
    <row r="212996">
      <c r="B212996" t="str">
        <v>Subject Descriptor</v>
      </c>
      <c r="C212996" t="str">
        <v>Gross domestic product, constant prices</v>
      </c>
      <c r="D212996" t="str">
        <v>Gross domestic product, constant prices</v>
      </c>
    </row>
    <row r="212997">
      <c r="B212997" t="str">
        <v>Units</v>
      </c>
      <c r="C212997" t="str">
        <v>National currency</v>
      </c>
      <c r="D212997" t="str">
        <v>Percent change</v>
      </c>
    </row>
    <row r="212998">
      <c r="B212998" t="str">
        <v>Scale</v>
      </c>
      <c r="C212998" t="str">
        <v>Billions</v>
      </c>
      <c r="D212998" t="str">
        <v>Units</v>
      </c>
    </row>
    <row r="212999">
      <c r="B212999" t="str">
        <v>Country/Series-specific Notes</v>
      </c>
      <c r="C21299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212999" t="str">
        <v>See notes for:  Gross domestic product, constant prices (National currency).</v>
      </c>
    </row>
    <row r="213000">
      <c r="B213000">
        <v>2000</v>
      </c>
      <c r="C213000">
        <v>16.963</v>
      </c>
      <c r="D213000">
        <v>1.865</v>
      </c>
    </row>
    <row r="213001">
      <c r="B213001">
        <v>2001</v>
      </c>
      <c r="C213001">
        <v>17.772</v>
      </c>
      <c r="D213001">
        <v>4.769</v>
      </c>
    </row>
    <row r="213002">
      <c r="B213002">
        <v>2002</v>
      </c>
      <c r="C213002">
        <v>18.747</v>
      </c>
      <c r="D213002">
        <v>5.487</v>
      </c>
    </row>
    <row r="213003">
      <c r="B213003">
        <v>2003</v>
      </c>
      <c r="C213003">
        <v>20.852</v>
      </c>
      <c r="D213003">
        <v>11.228</v>
      </c>
    </row>
    <row r="213004">
      <c r="B213004">
        <v>2004</v>
      </c>
      <c r="C213004">
        <v>22.061</v>
      </c>
      <c r="D213004">
        <v>5.796</v>
      </c>
    </row>
    <row r="213005">
      <c r="B213005">
        <v>2005</v>
      </c>
      <c r="C213005">
        <v>24.176</v>
      </c>
      <c r="D213005">
        <v>9.588</v>
      </c>
    </row>
    <row r="213006">
      <c r="B213006">
        <v>2006</v>
      </c>
      <c r="C213006">
        <v>26.454</v>
      </c>
      <c r="D213006">
        <v>9.42</v>
      </c>
    </row>
    <row r="213007">
      <c r="B213007">
        <v>2007</v>
      </c>
      <c r="C213007">
        <v>29.781</v>
      </c>
      <c r="D213007">
        <v>12.579</v>
      </c>
    </row>
    <row r="213008">
      <c r="B213008">
        <v>2008</v>
      </c>
      <c r="C213008">
        <v>30.502</v>
      </c>
      <c r="D213008">
        <v>2.419</v>
      </c>
    </row>
    <row r="213009">
      <c r="B213009">
        <v>2009</v>
      </c>
      <c r="C213009">
        <v>29.388</v>
      </c>
      <c r="D213009">
        <v>-3.651</v>
      </c>
    </row>
    <row r="213010">
      <c r="B213010">
        <v>2010</v>
      </c>
      <c r="C213010">
        <v>31.428</v>
      </c>
      <c r="D213010">
        <v>6.942</v>
      </c>
    </row>
    <row r="213011">
      <c r="B213011">
        <v>2011</v>
      </c>
      <c r="C213011">
        <v>33.927</v>
      </c>
      <c r="D213011">
        <v>7.949</v>
      </c>
    </row>
    <row r="213012">
      <c r="B213012">
        <v>2012</v>
      </c>
      <c r="C213012">
        <v>36.159</v>
      </c>
      <c r="D213012">
        <v>6.579</v>
      </c>
    </row>
    <row r="213013">
      <c r="B213013">
        <v>2013</v>
      </c>
      <c r="C213013">
        <v>38.015</v>
      </c>
      <c r="D213013">
        <v>5.134</v>
      </c>
    </row>
    <row r="213014">
      <c r="B213014">
        <v>2014</v>
      </c>
      <c r="C213014">
        <v>39.57</v>
      </c>
      <c r="D213014">
        <v>4.091</v>
      </c>
    </row>
    <row r="213015">
      <c r="B213015">
        <v>2015</v>
      </c>
      <c r="C213015">
        <v>40.896</v>
      </c>
      <c r="D213015">
        <v>3.351</v>
      </c>
    </row>
    <row r="213016">
      <c r="B213016">
        <v>2016</v>
      </c>
      <c r="C213016">
        <v>42.307</v>
      </c>
      <c r="D213016">
        <v>3.45</v>
      </c>
    </row>
    <row r="213017">
      <c r="B213017">
        <v>2017</v>
      </c>
      <c r="C213017">
        <v>44.49</v>
      </c>
      <c r="D213017">
        <v>5.161</v>
      </c>
    </row>
    <row r="213018">
      <c r="B213018">
        <v>2018</v>
      </c>
      <c r="C213018">
        <v>47.187</v>
      </c>
      <c r="D213018">
        <v>6.062</v>
      </c>
    </row>
    <row r="213019">
      <c r="B213019">
        <v>2019</v>
      </c>
      <c r="C213019">
        <v>49.726</v>
      </c>
      <c r="D213019">
        <v>5.38</v>
      </c>
    </row>
    <row r="213020">
      <c r="B213020">
        <v>2020</v>
      </c>
      <c r="C213020">
        <v>46.598</v>
      </c>
      <c r="D213020">
        <v>-6.291</v>
      </c>
    </row>
    <row r="213021">
      <c r="B213021">
        <v>2021</v>
      </c>
      <c r="C213021">
        <v>51.558</v>
      </c>
      <c r="D213021">
        <v>10.644</v>
      </c>
    </row>
    <row r="213022">
      <c r="B213022">
        <v>2022</v>
      </c>
      <c r="C213022">
        <v>57.208</v>
      </c>
      <c r="D213022">
        <v>10.96</v>
      </c>
    </row>
    <row r="213023">
      <c r="B213023">
        <v>2023</v>
      </c>
      <c r="C213023">
        <v>61.689</v>
      </c>
      <c r="D213023">
        <v>7.832</v>
      </c>
    </row>
    <row r="213024">
      <c r="B213024">
        <v>2024</v>
      </c>
      <c r="C213024">
        <v>67.505</v>
      </c>
      <c r="D213024">
        <v>9.429</v>
      </c>
    </row>
    <row r="213025">
      <c r="B213025">
        <v>2025</v>
      </c>
      <c r="C213025">
        <v>71.54</v>
      </c>
      <c r="D213025">
        <v>5.977</v>
      </c>
    </row>
    <row r="213026">
      <c r="B213026">
        <v>2026</v>
      </c>
      <c r="C213026">
        <v>75.117</v>
      </c>
      <c r="D213026">
        <v>5</v>
      </c>
    </row>
    <row r="213027">
      <c r="B213027">
        <v>2027</v>
      </c>
      <c r="C213027">
        <v>78.873</v>
      </c>
      <c r="D213027">
        <v>5</v>
      </c>
    </row>
    <row r="213028">
      <c r="B213028" t="str">
        <v>Estimates Start After</v>
      </c>
      <c r="C213028">
        <v>2024</v>
      </c>
      <c r="D213028">
        <v>2024</v>
      </c>
    </row>
    <row r="229377">
      <c r="B229377" t="str">
        <v>WEO Country Code</v>
      </c>
      <c r="C229377">
        <v>915</v>
      </c>
      <c r="D229377">
        <v>915</v>
      </c>
    </row>
    <row r="229378">
      <c r="B229378" t="str">
        <v>WEO Subject Code</v>
      </c>
      <c r="C229378" t="str">
        <v>NGDP_R</v>
      </c>
      <c r="D229378" t="str">
        <v>NGDP_RPCH</v>
      </c>
    </row>
    <row r="229379">
      <c r="B229379" t="str">
        <v>Country</v>
      </c>
      <c r="C229379" t="str">
        <v>Georgia</v>
      </c>
      <c r="D229379" t="str">
        <v>Georgia</v>
      </c>
    </row>
    <row r="229380">
      <c r="B229380" t="str">
        <v>Subject Descriptor</v>
      </c>
      <c r="C229380" t="str">
        <v>Gross domestic product, constant prices</v>
      </c>
      <c r="D229380" t="str">
        <v>Gross domestic product, constant prices</v>
      </c>
    </row>
    <row r="229381">
      <c r="B229381" t="str">
        <v>Units</v>
      </c>
      <c r="C229381" t="str">
        <v>National currency</v>
      </c>
      <c r="D229381" t="str">
        <v>Percent change</v>
      </c>
    </row>
    <row r="229382">
      <c r="B229382" t="str">
        <v>Scale</v>
      </c>
      <c r="C229382" t="str">
        <v>Billions</v>
      </c>
      <c r="D229382" t="str">
        <v>Units</v>
      </c>
    </row>
    <row r="229383">
      <c r="B229383" t="str">
        <v>Country/Series-specific Notes</v>
      </c>
      <c r="C22938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229383" t="str">
        <v>See notes for:  Gross domestic product, constant prices (National currency).</v>
      </c>
    </row>
    <row r="229384">
      <c r="B229384">
        <v>2000</v>
      </c>
      <c r="C229384">
        <v>16.963</v>
      </c>
      <c r="D229384">
        <v>1.865</v>
      </c>
    </row>
    <row r="229385">
      <c r="B229385">
        <v>2001</v>
      </c>
      <c r="C229385">
        <v>17.772</v>
      </c>
      <c r="D229385">
        <v>4.769</v>
      </c>
    </row>
    <row r="229386">
      <c r="B229386">
        <v>2002</v>
      </c>
      <c r="C229386">
        <v>18.747</v>
      </c>
      <c r="D229386">
        <v>5.487</v>
      </c>
    </row>
    <row r="229387">
      <c r="B229387">
        <v>2003</v>
      </c>
      <c r="C229387">
        <v>20.852</v>
      </c>
      <c r="D229387">
        <v>11.228</v>
      </c>
    </row>
    <row r="229388">
      <c r="B229388">
        <v>2004</v>
      </c>
      <c r="C229388">
        <v>22.061</v>
      </c>
      <c r="D229388">
        <v>5.796</v>
      </c>
    </row>
    <row r="229389">
      <c r="B229389">
        <v>2005</v>
      </c>
      <c r="C229389">
        <v>24.176</v>
      </c>
      <c r="D229389">
        <v>9.588</v>
      </c>
    </row>
    <row r="229390">
      <c r="B229390">
        <v>2006</v>
      </c>
      <c r="C229390">
        <v>26.454</v>
      </c>
      <c r="D229390">
        <v>9.42</v>
      </c>
    </row>
    <row r="229391">
      <c r="B229391">
        <v>2007</v>
      </c>
      <c r="C229391">
        <v>29.781</v>
      </c>
      <c r="D229391">
        <v>12.579</v>
      </c>
    </row>
    <row r="229392">
      <c r="B229392">
        <v>2008</v>
      </c>
      <c r="C229392">
        <v>30.502</v>
      </c>
      <c r="D229392">
        <v>2.419</v>
      </c>
    </row>
    <row r="229393">
      <c r="B229393">
        <v>2009</v>
      </c>
      <c r="C229393">
        <v>29.388</v>
      </c>
      <c r="D229393">
        <v>-3.651</v>
      </c>
    </row>
    <row r="229394">
      <c r="B229394">
        <v>2010</v>
      </c>
      <c r="C229394">
        <v>31.428</v>
      </c>
      <c r="D229394">
        <v>6.942</v>
      </c>
    </row>
    <row r="229395">
      <c r="B229395">
        <v>2011</v>
      </c>
      <c r="C229395">
        <v>33.927</v>
      </c>
      <c r="D229395">
        <v>7.949</v>
      </c>
    </row>
    <row r="229396">
      <c r="B229396">
        <v>2012</v>
      </c>
      <c r="C229396">
        <v>36.159</v>
      </c>
      <c r="D229396">
        <v>6.579</v>
      </c>
    </row>
    <row r="229397">
      <c r="B229397">
        <v>2013</v>
      </c>
      <c r="C229397">
        <v>38.015</v>
      </c>
      <c r="D229397">
        <v>5.134</v>
      </c>
    </row>
    <row r="229398">
      <c r="B229398">
        <v>2014</v>
      </c>
      <c r="C229398">
        <v>39.57</v>
      </c>
      <c r="D229398">
        <v>4.091</v>
      </c>
    </row>
    <row r="229399">
      <c r="B229399">
        <v>2015</v>
      </c>
      <c r="C229399">
        <v>40.896</v>
      </c>
      <c r="D229399">
        <v>3.351</v>
      </c>
    </row>
    <row r="229400">
      <c r="B229400">
        <v>2016</v>
      </c>
      <c r="C229400">
        <v>42.307</v>
      </c>
      <c r="D229400">
        <v>3.45</v>
      </c>
    </row>
    <row r="229401">
      <c r="B229401">
        <v>2017</v>
      </c>
      <c r="C229401">
        <v>44.49</v>
      </c>
      <c r="D229401">
        <v>5.161</v>
      </c>
    </row>
    <row r="229402">
      <c r="B229402">
        <v>2018</v>
      </c>
      <c r="C229402">
        <v>47.187</v>
      </c>
      <c r="D229402">
        <v>6.062</v>
      </c>
    </row>
    <row r="229403">
      <c r="B229403">
        <v>2019</v>
      </c>
      <c r="C229403">
        <v>49.726</v>
      </c>
      <c r="D229403">
        <v>5.38</v>
      </c>
    </row>
    <row r="229404">
      <c r="B229404">
        <v>2020</v>
      </c>
      <c r="C229404">
        <v>46.598</v>
      </c>
      <c r="D229404">
        <v>-6.291</v>
      </c>
    </row>
    <row r="229405">
      <c r="B229405">
        <v>2021</v>
      </c>
      <c r="C229405">
        <v>51.558</v>
      </c>
      <c r="D229405">
        <v>10.644</v>
      </c>
    </row>
    <row r="229406">
      <c r="B229406">
        <v>2022</v>
      </c>
      <c r="C229406">
        <v>57.208</v>
      </c>
      <c r="D229406">
        <v>10.96</v>
      </c>
    </row>
    <row r="229407">
      <c r="B229407">
        <v>2023</v>
      </c>
      <c r="C229407">
        <v>61.689</v>
      </c>
      <c r="D229407">
        <v>7.832</v>
      </c>
    </row>
    <row r="229408">
      <c r="B229408">
        <v>2024</v>
      </c>
      <c r="C229408">
        <v>67.505</v>
      </c>
      <c r="D229408">
        <v>9.429</v>
      </c>
    </row>
    <row r="229409">
      <c r="B229409">
        <v>2025</v>
      </c>
      <c r="C229409">
        <v>71.54</v>
      </c>
      <c r="D229409">
        <v>5.977</v>
      </c>
    </row>
    <row r="229410">
      <c r="B229410">
        <v>2026</v>
      </c>
      <c r="C229410">
        <v>75.117</v>
      </c>
      <c r="D229410">
        <v>5</v>
      </c>
    </row>
    <row r="229411">
      <c r="B229411">
        <v>2027</v>
      </c>
      <c r="C229411">
        <v>78.873</v>
      </c>
      <c r="D229411">
        <v>5</v>
      </c>
    </row>
    <row r="229412">
      <c r="B229412" t="str">
        <v>Estimates Start After</v>
      </c>
      <c r="C229412">
        <v>2024</v>
      </c>
      <c r="D229412">
        <v>2024</v>
      </c>
    </row>
    <row r="245761">
      <c r="B245761" t="str">
        <v>WEO Country Code</v>
      </c>
      <c r="C245761">
        <v>915</v>
      </c>
      <c r="D245761">
        <v>915</v>
      </c>
    </row>
    <row r="245762">
      <c r="B245762" t="str">
        <v>WEO Subject Code</v>
      </c>
      <c r="C245762" t="str">
        <v>NGDP_R</v>
      </c>
      <c r="D245762" t="str">
        <v>NGDP_RPCH</v>
      </c>
    </row>
    <row r="245763">
      <c r="B245763" t="str">
        <v>Country</v>
      </c>
      <c r="C245763" t="str">
        <v>Georgia</v>
      </c>
      <c r="D245763" t="str">
        <v>Georgia</v>
      </c>
    </row>
    <row r="245764">
      <c r="B245764" t="str">
        <v>Subject Descriptor</v>
      </c>
      <c r="C245764" t="str">
        <v>Gross domestic product, constant prices</v>
      </c>
      <c r="D245764" t="str">
        <v>Gross domestic product, constant prices</v>
      </c>
    </row>
    <row r="245765">
      <c r="B245765" t="str">
        <v>Units</v>
      </c>
      <c r="C245765" t="str">
        <v>National currency</v>
      </c>
      <c r="D245765" t="str">
        <v>Percent change</v>
      </c>
    </row>
    <row r="245766">
      <c r="B245766" t="str">
        <v>Scale</v>
      </c>
      <c r="C245766" t="str">
        <v>Billions</v>
      </c>
      <c r="D245766" t="str">
        <v>Units</v>
      </c>
    </row>
    <row r="245767">
      <c r="B245767" t="str">
        <v>Country/Series-specific Notes</v>
      </c>
      <c r="C24576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245767" t="str">
        <v>See notes for:  Gross domestic product, constant prices (National currency).</v>
      </c>
    </row>
    <row r="245768">
      <c r="B245768">
        <v>2000</v>
      </c>
      <c r="C245768">
        <v>16.963</v>
      </c>
      <c r="D245768">
        <v>1.865</v>
      </c>
    </row>
    <row r="245769">
      <c r="B245769">
        <v>2001</v>
      </c>
      <c r="C245769">
        <v>17.772</v>
      </c>
      <c r="D245769">
        <v>4.769</v>
      </c>
    </row>
    <row r="245770">
      <c r="B245770">
        <v>2002</v>
      </c>
      <c r="C245770">
        <v>18.747</v>
      </c>
      <c r="D245770">
        <v>5.487</v>
      </c>
    </row>
    <row r="245771">
      <c r="B245771">
        <v>2003</v>
      </c>
      <c r="C245771">
        <v>20.852</v>
      </c>
      <c r="D245771">
        <v>11.228</v>
      </c>
    </row>
    <row r="245772">
      <c r="B245772">
        <v>2004</v>
      </c>
      <c r="C245772">
        <v>22.061</v>
      </c>
      <c r="D245772">
        <v>5.796</v>
      </c>
    </row>
    <row r="245773">
      <c r="B245773">
        <v>2005</v>
      </c>
      <c r="C245773">
        <v>24.176</v>
      </c>
      <c r="D245773">
        <v>9.588</v>
      </c>
    </row>
    <row r="245774">
      <c r="B245774">
        <v>2006</v>
      </c>
      <c r="C245774">
        <v>26.454</v>
      </c>
      <c r="D245774">
        <v>9.42</v>
      </c>
    </row>
    <row r="245775">
      <c r="B245775">
        <v>2007</v>
      </c>
      <c r="C245775">
        <v>29.781</v>
      </c>
      <c r="D245775">
        <v>12.579</v>
      </c>
    </row>
    <row r="245776">
      <c r="B245776">
        <v>2008</v>
      </c>
      <c r="C245776">
        <v>30.502</v>
      </c>
      <c r="D245776">
        <v>2.419</v>
      </c>
    </row>
    <row r="245777">
      <c r="B245777">
        <v>2009</v>
      </c>
      <c r="C245777">
        <v>29.388</v>
      </c>
      <c r="D245777">
        <v>-3.651</v>
      </c>
    </row>
    <row r="245778">
      <c r="B245778">
        <v>2010</v>
      </c>
      <c r="C245778">
        <v>31.428</v>
      </c>
      <c r="D245778">
        <v>6.942</v>
      </c>
    </row>
    <row r="245779">
      <c r="B245779">
        <v>2011</v>
      </c>
      <c r="C245779">
        <v>33.927</v>
      </c>
      <c r="D245779">
        <v>7.949</v>
      </c>
    </row>
    <row r="245780">
      <c r="B245780">
        <v>2012</v>
      </c>
      <c r="C245780">
        <v>36.159</v>
      </c>
      <c r="D245780">
        <v>6.579</v>
      </c>
    </row>
    <row r="245781">
      <c r="B245781">
        <v>2013</v>
      </c>
      <c r="C245781">
        <v>38.015</v>
      </c>
      <c r="D245781">
        <v>5.134</v>
      </c>
    </row>
    <row r="245782">
      <c r="B245782">
        <v>2014</v>
      </c>
      <c r="C245782">
        <v>39.57</v>
      </c>
      <c r="D245782">
        <v>4.091</v>
      </c>
    </row>
    <row r="245783">
      <c r="B245783">
        <v>2015</v>
      </c>
      <c r="C245783">
        <v>40.896</v>
      </c>
      <c r="D245783">
        <v>3.351</v>
      </c>
    </row>
    <row r="245784">
      <c r="B245784">
        <v>2016</v>
      </c>
      <c r="C245784">
        <v>42.307</v>
      </c>
      <c r="D245784">
        <v>3.45</v>
      </c>
    </row>
    <row r="245785">
      <c r="B245785">
        <v>2017</v>
      </c>
      <c r="C245785">
        <v>44.49</v>
      </c>
      <c r="D245785">
        <v>5.161</v>
      </c>
    </row>
    <row r="245786">
      <c r="B245786">
        <v>2018</v>
      </c>
      <c r="C245786">
        <v>47.187</v>
      </c>
      <c r="D245786">
        <v>6.062</v>
      </c>
    </row>
    <row r="245787">
      <c r="B245787">
        <v>2019</v>
      </c>
      <c r="C245787">
        <v>49.726</v>
      </c>
      <c r="D245787">
        <v>5.38</v>
      </c>
    </row>
    <row r="245788">
      <c r="B245788">
        <v>2020</v>
      </c>
      <c r="C245788">
        <v>46.598</v>
      </c>
      <c r="D245788">
        <v>-6.291</v>
      </c>
    </row>
    <row r="245789">
      <c r="B245789">
        <v>2021</v>
      </c>
      <c r="C245789">
        <v>51.558</v>
      </c>
      <c r="D245789">
        <v>10.644</v>
      </c>
    </row>
    <row r="245790">
      <c r="B245790">
        <v>2022</v>
      </c>
      <c r="C245790">
        <v>57.208</v>
      </c>
      <c r="D245790">
        <v>10.96</v>
      </c>
    </row>
    <row r="245791">
      <c r="B245791">
        <v>2023</v>
      </c>
      <c r="C245791">
        <v>61.689</v>
      </c>
      <c r="D245791">
        <v>7.832</v>
      </c>
    </row>
    <row r="245792">
      <c r="B245792">
        <v>2024</v>
      </c>
      <c r="C245792">
        <v>67.505</v>
      </c>
      <c r="D245792">
        <v>9.429</v>
      </c>
    </row>
    <row r="245793">
      <c r="B245793">
        <v>2025</v>
      </c>
      <c r="C245793">
        <v>71.54</v>
      </c>
      <c r="D245793">
        <v>5.977</v>
      </c>
    </row>
    <row r="245794">
      <c r="B245794">
        <v>2026</v>
      </c>
      <c r="C245794">
        <v>75.117</v>
      </c>
      <c r="D245794">
        <v>5</v>
      </c>
    </row>
    <row r="245795">
      <c r="B245795">
        <v>2027</v>
      </c>
      <c r="C245795">
        <v>78.873</v>
      </c>
      <c r="D245795">
        <v>5</v>
      </c>
    </row>
    <row r="245796">
      <c r="B245796" t="str">
        <v>Estimates Start After</v>
      </c>
      <c r="C245796">
        <v>2024</v>
      </c>
      <c r="D245796">
        <v>2024</v>
      </c>
    </row>
    <row r="262145">
      <c r="B262145" t="str">
        <v>WEO Country Code</v>
      </c>
      <c r="C262145">
        <v>915</v>
      </c>
      <c r="D262145">
        <v>915</v>
      </c>
    </row>
    <row r="262146">
      <c r="B262146" t="str">
        <v>WEO Subject Code</v>
      </c>
      <c r="C262146" t="str">
        <v>NGDP_R</v>
      </c>
      <c r="D262146" t="str">
        <v>NGDP_RPCH</v>
      </c>
    </row>
    <row r="262147">
      <c r="B262147" t="str">
        <v>Country</v>
      </c>
      <c r="C262147" t="str">
        <v>Georgia</v>
      </c>
      <c r="D262147" t="str">
        <v>Georgia</v>
      </c>
    </row>
    <row r="262148">
      <c r="B262148" t="str">
        <v>Subject Descriptor</v>
      </c>
      <c r="C262148" t="str">
        <v>Gross domestic product, constant prices</v>
      </c>
      <c r="D262148" t="str">
        <v>Gross domestic product, constant prices</v>
      </c>
    </row>
    <row r="262149">
      <c r="B262149" t="str">
        <v>Units</v>
      </c>
      <c r="C262149" t="str">
        <v>National currency</v>
      </c>
      <c r="D262149" t="str">
        <v>Percent change</v>
      </c>
    </row>
    <row r="262150">
      <c r="B262150" t="str">
        <v>Scale</v>
      </c>
      <c r="C262150" t="str">
        <v>Billions</v>
      </c>
      <c r="D262150" t="str">
        <v>Units</v>
      </c>
    </row>
    <row r="262151">
      <c r="B262151" t="str">
        <v>Country/Series-specific Notes</v>
      </c>
      <c r="C26215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262151" t="str">
        <v>See notes for:  Gross domestic product, constant prices (National currency).</v>
      </c>
    </row>
    <row r="262152">
      <c r="B262152">
        <v>2000</v>
      </c>
      <c r="C262152">
        <v>16.963</v>
      </c>
      <c r="D262152">
        <v>1.865</v>
      </c>
    </row>
    <row r="262153">
      <c r="B262153">
        <v>2001</v>
      </c>
      <c r="C262153">
        <v>17.772</v>
      </c>
      <c r="D262153">
        <v>4.769</v>
      </c>
    </row>
    <row r="262154">
      <c r="B262154">
        <v>2002</v>
      </c>
      <c r="C262154">
        <v>18.747</v>
      </c>
      <c r="D262154">
        <v>5.487</v>
      </c>
    </row>
    <row r="262155">
      <c r="B262155">
        <v>2003</v>
      </c>
      <c r="C262155">
        <v>20.852</v>
      </c>
      <c r="D262155">
        <v>11.228</v>
      </c>
    </row>
    <row r="262156">
      <c r="B262156">
        <v>2004</v>
      </c>
      <c r="C262156">
        <v>22.061</v>
      </c>
      <c r="D262156">
        <v>5.796</v>
      </c>
    </row>
    <row r="262157">
      <c r="B262157">
        <v>2005</v>
      </c>
      <c r="C262157">
        <v>24.176</v>
      </c>
      <c r="D262157">
        <v>9.588</v>
      </c>
    </row>
    <row r="262158">
      <c r="B262158">
        <v>2006</v>
      </c>
      <c r="C262158">
        <v>26.454</v>
      </c>
      <c r="D262158">
        <v>9.42</v>
      </c>
    </row>
    <row r="262159">
      <c r="B262159">
        <v>2007</v>
      </c>
      <c r="C262159">
        <v>29.781</v>
      </c>
      <c r="D262159">
        <v>12.579</v>
      </c>
    </row>
    <row r="262160">
      <c r="B262160">
        <v>2008</v>
      </c>
      <c r="C262160">
        <v>30.502</v>
      </c>
      <c r="D262160">
        <v>2.419</v>
      </c>
    </row>
    <row r="262161">
      <c r="B262161">
        <v>2009</v>
      </c>
      <c r="C262161">
        <v>29.388</v>
      </c>
      <c r="D262161">
        <v>-3.651</v>
      </c>
    </row>
    <row r="262162">
      <c r="B262162">
        <v>2010</v>
      </c>
      <c r="C262162">
        <v>31.428</v>
      </c>
      <c r="D262162">
        <v>6.942</v>
      </c>
    </row>
    <row r="262163">
      <c r="B262163">
        <v>2011</v>
      </c>
      <c r="C262163">
        <v>33.927</v>
      </c>
      <c r="D262163">
        <v>7.949</v>
      </c>
    </row>
    <row r="262164">
      <c r="B262164">
        <v>2012</v>
      </c>
      <c r="C262164">
        <v>36.159</v>
      </c>
      <c r="D262164">
        <v>6.579</v>
      </c>
    </row>
    <row r="262165">
      <c r="B262165">
        <v>2013</v>
      </c>
      <c r="C262165">
        <v>38.015</v>
      </c>
      <c r="D262165">
        <v>5.134</v>
      </c>
    </row>
    <row r="262166">
      <c r="B262166">
        <v>2014</v>
      </c>
      <c r="C262166">
        <v>39.57</v>
      </c>
      <c r="D262166">
        <v>4.091</v>
      </c>
    </row>
    <row r="262167">
      <c r="B262167">
        <v>2015</v>
      </c>
      <c r="C262167">
        <v>40.896</v>
      </c>
      <c r="D262167">
        <v>3.351</v>
      </c>
    </row>
    <row r="262168">
      <c r="B262168">
        <v>2016</v>
      </c>
      <c r="C262168">
        <v>42.307</v>
      </c>
      <c r="D262168">
        <v>3.45</v>
      </c>
    </row>
    <row r="262169">
      <c r="B262169">
        <v>2017</v>
      </c>
      <c r="C262169">
        <v>44.49</v>
      </c>
      <c r="D262169">
        <v>5.161</v>
      </c>
    </row>
    <row r="262170">
      <c r="B262170">
        <v>2018</v>
      </c>
      <c r="C262170">
        <v>47.187</v>
      </c>
      <c r="D262170">
        <v>6.062</v>
      </c>
    </row>
    <row r="262171">
      <c r="B262171">
        <v>2019</v>
      </c>
      <c r="C262171">
        <v>49.726</v>
      </c>
      <c r="D262171">
        <v>5.38</v>
      </c>
    </row>
    <row r="262172">
      <c r="B262172">
        <v>2020</v>
      </c>
      <c r="C262172">
        <v>46.598</v>
      </c>
      <c r="D262172">
        <v>-6.291</v>
      </c>
    </row>
    <row r="262173">
      <c r="B262173">
        <v>2021</v>
      </c>
      <c r="C262173">
        <v>51.558</v>
      </c>
      <c r="D262173">
        <v>10.644</v>
      </c>
    </row>
    <row r="262174">
      <c r="B262174">
        <v>2022</v>
      </c>
      <c r="C262174">
        <v>57.208</v>
      </c>
      <c r="D262174">
        <v>10.96</v>
      </c>
    </row>
    <row r="262175">
      <c r="B262175">
        <v>2023</v>
      </c>
      <c r="C262175">
        <v>61.689</v>
      </c>
      <c r="D262175">
        <v>7.832</v>
      </c>
    </row>
    <row r="262176">
      <c r="B262176">
        <v>2024</v>
      </c>
      <c r="C262176">
        <v>67.505</v>
      </c>
      <c r="D262176">
        <v>9.429</v>
      </c>
    </row>
    <row r="262177">
      <c r="B262177">
        <v>2025</v>
      </c>
      <c r="C262177">
        <v>71.54</v>
      </c>
      <c r="D262177">
        <v>5.977</v>
      </c>
    </row>
    <row r="262178">
      <c r="B262178">
        <v>2026</v>
      </c>
      <c r="C262178">
        <v>75.117</v>
      </c>
      <c r="D262178">
        <v>5</v>
      </c>
    </row>
    <row r="262179">
      <c r="B262179">
        <v>2027</v>
      </c>
      <c r="C262179">
        <v>78.873</v>
      </c>
      <c r="D262179">
        <v>5</v>
      </c>
    </row>
    <row r="262180">
      <c r="B262180" t="str">
        <v>Estimates Start After</v>
      </c>
      <c r="C262180">
        <v>2024</v>
      </c>
      <c r="D262180">
        <v>2024</v>
      </c>
    </row>
    <row r="278529">
      <c r="B278529" t="str">
        <v>WEO Country Code</v>
      </c>
      <c r="C278529">
        <v>915</v>
      </c>
      <c r="D278529">
        <v>915</v>
      </c>
    </row>
    <row r="278530">
      <c r="B278530" t="str">
        <v>WEO Subject Code</v>
      </c>
      <c r="C278530" t="str">
        <v>NGDP_R</v>
      </c>
      <c r="D278530" t="str">
        <v>NGDP_RPCH</v>
      </c>
    </row>
    <row r="278531">
      <c r="B278531" t="str">
        <v>Country</v>
      </c>
      <c r="C278531" t="str">
        <v>Georgia</v>
      </c>
      <c r="D278531" t="str">
        <v>Georgia</v>
      </c>
    </row>
    <row r="278532">
      <c r="B278532" t="str">
        <v>Subject Descriptor</v>
      </c>
      <c r="C278532" t="str">
        <v>Gross domestic product, constant prices</v>
      </c>
      <c r="D278532" t="str">
        <v>Gross domestic product, constant prices</v>
      </c>
    </row>
    <row r="278533">
      <c r="B278533" t="str">
        <v>Units</v>
      </c>
      <c r="C278533" t="str">
        <v>National currency</v>
      </c>
      <c r="D278533" t="str">
        <v>Percent change</v>
      </c>
    </row>
    <row r="278534">
      <c r="B278534" t="str">
        <v>Scale</v>
      </c>
      <c r="C278534" t="str">
        <v>Billions</v>
      </c>
      <c r="D278534" t="str">
        <v>Units</v>
      </c>
    </row>
    <row r="278535">
      <c r="B278535" t="str">
        <v>Country/Series-specific Notes</v>
      </c>
      <c r="C27853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278535" t="str">
        <v>See notes for:  Gross domestic product, constant prices (National currency).</v>
      </c>
    </row>
    <row r="278536">
      <c r="B278536">
        <v>2000</v>
      </c>
      <c r="C278536">
        <v>16.963</v>
      </c>
      <c r="D278536">
        <v>1.865</v>
      </c>
    </row>
    <row r="278537">
      <c r="B278537">
        <v>2001</v>
      </c>
      <c r="C278537">
        <v>17.772</v>
      </c>
      <c r="D278537">
        <v>4.769</v>
      </c>
    </row>
    <row r="278538">
      <c r="B278538">
        <v>2002</v>
      </c>
      <c r="C278538">
        <v>18.747</v>
      </c>
      <c r="D278538">
        <v>5.487</v>
      </c>
    </row>
    <row r="278539">
      <c r="B278539">
        <v>2003</v>
      </c>
      <c r="C278539">
        <v>20.852</v>
      </c>
      <c r="D278539">
        <v>11.228</v>
      </c>
    </row>
    <row r="278540">
      <c r="B278540">
        <v>2004</v>
      </c>
      <c r="C278540">
        <v>22.061</v>
      </c>
      <c r="D278540">
        <v>5.796</v>
      </c>
    </row>
    <row r="278541">
      <c r="B278541">
        <v>2005</v>
      </c>
      <c r="C278541">
        <v>24.176</v>
      </c>
      <c r="D278541">
        <v>9.588</v>
      </c>
    </row>
    <row r="278542">
      <c r="B278542">
        <v>2006</v>
      </c>
      <c r="C278542">
        <v>26.454</v>
      </c>
      <c r="D278542">
        <v>9.42</v>
      </c>
    </row>
    <row r="278543">
      <c r="B278543">
        <v>2007</v>
      </c>
      <c r="C278543">
        <v>29.781</v>
      </c>
      <c r="D278543">
        <v>12.579</v>
      </c>
    </row>
    <row r="278544">
      <c r="B278544">
        <v>2008</v>
      </c>
      <c r="C278544">
        <v>30.502</v>
      </c>
      <c r="D278544">
        <v>2.419</v>
      </c>
    </row>
    <row r="278545">
      <c r="B278545">
        <v>2009</v>
      </c>
      <c r="C278545">
        <v>29.388</v>
      </c>
      <c r="D278545">
        <v>-3.651</v>
      </c>
    </row>
    <row r="278546">
      <c r="B278546">
        <v>2010</v>
      </c>
      <c r="C278546">
        <v>31.428</v>
      </c>
      <c r="D278546">
        <v>6.942</v>
      </c>
    </row>
    <row r="278547">
      <c r="B278547">
        <v>2011</v>
      </c>
      <c r="C278547">
        <v>33.927</v>
      </c>
      <c r="D278547">
        <v>7.949</v>
      </c>
    </row>
    <row r="278548">
      <c r="B278548">
        <v>2012</v>
      </c>
      <c r="C278548">
        <v>36.159</v>
      </c>
      <c r="D278548">
        <v>6.579</v>
      </c>
    </row>
    <row r="278549">
      <c r="B278549">
        <v>2013</v>
      </c>
      <c r="C278549">
        <v>38.015</v>
      </c>
      <c r="D278549">
        <v>5.134</v>
      </c>
    </row>
    <row r="278550">
      <c r="B278550">
        <v>2014</v>
      </c>
      <c r="C278550">
        <v>39.57</v>
      </c>
      <c r="D278550">
        <v>4.091</v>
      </c>
    </row>
    <row r="278551">
      <c r="B278551">
        <v>2015</v>
      </c>
      <c r="C278551">
        <v>40.896</v>
      </c>
      <c r="D278551">
        <v>3.351</v>
      </c>
    </row>
    <row r="278552">
      <c r="B278552">
        <v>2016</v>
      </c>
      <c r="C278552">
        <v>42.307</v>
      </c>
      <c r="D278552">
        <v>3.45</v>
      </c>
    </row>
    <row r="278553">
      <c r="B278553">
        <v>2017</v>
      </c>
      <c r="C278553">
        <v>44.49</v>
      </c>
      <c r="D278553">
        <v>5.161</v>
      </c>
    </row>
    <row r="278554">
      <c r="B278554">
        <v>2018</v>
      </c>
      <c r="C278554">
        <v>47.187</v>
      </c>
      <c r="D278554">
        <v>6.062</v>
      </c>
    </row>
    <row r="278555">
      <c r="B278555">
        <v>2019</v>
      </c>
      <c r="C278555">
        <v>49.726</v>
      </c>
      <c r="D278555">
        <v>5.38</v>
      </c>
    </row>
    <row r="278556">
      <c r="B278556">
        <v>2020</v>
      </c>
      <c r="C278556">
        <v>46.598</v>
      </c>
      <c r="D278556">
        <v>-6.291</v>
      </c>
    </row>
    <row r="278557">
      <c r="B278557">
        <v>2021</v>
      </c>
      <c r="C278557">
        <v>51.558</v>
      </c>
      <c r="D278557">
        <v>10.644</v>
      </c>
    </row>
    <row r="278558">
      <c r="B278558">
        <v>2022</v>
      </c>
      <c r="C278558">
        <v>57.208</v>
      </c>
      <c r="D278558">
        <v>10.96</v>
      </c>
    </row>
    <row r="278559">
      <c r="B278559">
        <v>2023</v>
      </c>
      <c r="C278559">
        <v>61.689</v>
      </c>
      <c r="D278559">
        <v>7.832</v>
      </c>
    </row>
    <row r="278560">
      <c r="B278560">
        <v>2024</v>
      </c>
      <c r="C278560">
        <v>67.505</v>
      </c>
      <c r="D278560">
        <v>9.429</v>
      </c>
    </row>
    <row r="278561">
      <c r="B278561">
        <v>2025</v>
      </c>
      <c r="C278561">
        <v>71.54</v>
      </c>
      <c r="D278561">
        <v>5.977</v>
      </c>
    </row>
    <row r="278562">
      <c r="B278562">
        <v>2026</v>
      </c>
      <c r="C278562">
        <v>75.117</v>
      </c>
      <c r="D278562">
        <v>5</v>
      </c>
    </row>
    <row r="278563">
      <c r="B278563">
        <v>2027</v>
      </c>
      <c r="C278563">
        <v>78.873</v>
      </c>
      <c r="D278563">
        <v>5</v>
      </c>
    </row>
    <row r="278564">
      <c r="B278564" t="str">
        <v>Estimates Start After</v>
      </c>
      <c r="C278564">
        <v>2024</v>
      </c>
      <c r="D278564">
        <v>2024</v>
      </c>
    </row>
    <row r="294913">
      <c r="B294913" t="str">
        <v>WEO Country Code</v>
      </c>
      <c r="C294913">
        <v>915</v>
      </c>
      <c r="D294913">
        <v>915</v>
      </c>
    </row>
    <row r="294914">
      <c r="B294914" t="str">
        <v>WEO Subject Code</v>
      </c>
      <c r="C294914" t="str">
        <v>NGDP_R</v>
      </c>
      <c r="D294914" t="str">
        <v>NGDP_RPCH</v>
      </c>
    </row>
    <row r="294915">
      <c r="B294915" t="str">
        <v>Country</v>
      </c>
      <c r="C294915" t="str">
        <v>Georgia</v>
      </c>
      <c r="D294915" t="str">
        <v>Georgia</v>
      </c>
    </row>
    <row r="294916">
      <c r="B294916" t="str">
        <v>Subject Descriptor</v>
      </c>
      <c r="C294916" t="str">
        <v>Gross domestic product, constant prices</v>
      </c>
      <c r="D294916" t="str">
        <v>Gross domestic product, constant prices</v>
      </c>
    </row>
    <row r="294917">
      <c r="B294917" t="str">
        <v>Units</v>
      </c>
      <c r="C294917" t="str">
        <v>National currency</v>
      </c>
      <c r="D294917" t="str">
        <v>Percent change</v>
      </c>
    </row>
    <row r="294918">
      <c r="B294918" t="str">
        <v>Scale</v>
      </c>
      <c r="C294918" t="str">
        <v>Billions</v>
      </c>
      <c r="D294918" t="str">
        <v>Units</v>
      </c>
    </row>
    <row r="294919">
      <c r="B294919" t="str">
        <v>Country/Series-specific Notes</v>
      </c>
      <c r="C29491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294919" t="str">
        <v>See notes for:  Gross domestic product, constant prices (National currency).</v>
      </c>
    </row>
    <row r="294920">
      <c r="B294920">
        <v>2000</v>
      </c>
      <c r="C294920">
        <v>16.963</v>
      </c>
      <c r="D294920">
        <v>1.865</v>
      </c>
    </row>
    <row r="294921">
      <c r="B294921">
        <v>2001</v>
      </c>
      <c r="C294921">
        <v>17.772</v>
      </c>
      <c r="D294921">
        <v>4.769</v>
      </c>
    </row>
    <row r="294922">
      <c r="B294922">
        <v>2002</v>
      </c>
      <c r="C294922">
        <v>18.747</v>
      </c>
      <c r="D294922">
        <v>5.487</v>
      </c>
    </row>
    <row r="294923">
      <c r="B294923">
        <v>2003</v>
      </c>
      <c r="C294923">
        <v>20.852</v>
      </c>
      <c r="D294923">
        <v>11.228</v>
      </c>
    </row>
    <row r="294924">
      <c r="B294924">
        <v>2004</v>
      </c>
      <c r="C294924">
        <v>22.061</v>
      </c>
      <c r="D294924">
        <v>5.796</v>
      </c>
    </row>
    <row r="294925">
      <c r="B294925">
        <v>2005</v>
      </c>
      <c r="C294925">
        <v>24.176</v>
      </c>
      <c r="D294925">
        <v>9.588</v>
      </c>
    </row>
    <row r="294926">
      <c r="B294926">
        <v>2006</v>
      </c>
      <c r="C294926">
        <v>26.454</v>
      </c>
      <c r="D294926">
        <v>9.42</v>
      </c>
    </row>
    <row r="294927">
      <c r="B294927">
        <v>2007</v>
      </c>
      <c r="C294927">
        <v>29.781</v>
      </c>
      <c r="D294927">
        <v>12.579</v>
      </c>
    </row>
    <row r="294928">
      <c r="B294928">
        <v>2008</v>
      </c>
      <c r="C294928">
        <v>30.502</v>
      </c>
      <c r="D294928">
        <v>2.419</v>
      </c>
    </row>
    <row r="294929">
      <c r="B294929">
        <v>2009</v>
      </c>
      <c r="C294929">
        <v>29.388</v>
      </c>
      <c r="D294929">
        <v>-3.651</v>
      </c>
    </row>
    <row r="294930">
      <c r="B294930">
        <v>2010</v>
      </c>
      <c r="C294930">
        <v>31.428</v>
      </c>
      <c r="D294930">
        <v>6.942</v>
      </c>
    </row>
    <row r="294931">
      <c r="B294931">
        <v>2011</v>
      </c>
      <c r="C294931">
        <v>33.927</v>
      </c>
      <c r="D294931">
        <v>7.949</v>
      </c>
    </row>
    <row r="294932">
      <c r="B294932">
        <v>2012</v>
      </c>
      <c r="C294932">
        <v>36.159</v>
      </c>
      <c r="D294932">
        <v>6.579</v>
      </c>
    </row>
    <row r="294933">
      <c r="B294933">
        <v>2013</v>
      </c>
      <c r="C294933">
        <v>38.015</v>
      </c>
      <c r="D294933">
        <v>5.134</v>
      </c>
    </row>
    <row r="294934">
      <c r="B294934">
        <v>2014</v>
      </c>
      <c r="C294934">
        <v>39.57</v>
      </c>
      <c r="D294934">
        <v>4.091</v>
      </c>
    </row>
    <row r="294935">
      <c r="B294935">
        <v>2015</v>
      </c>
      <c r="C294935">
        <v>40.896</v>
      </c>
      <c r="D294935">
        <v>3.351</v>
      </c>
    </row>
    <row r="294936">
      <c r="B294936">
        <v>2016</v>
      </c>
      <c r="C294936">
        <v>42.307</v>
      </c>
      <c r="D294936">
        <v>3.45</v>
      </c>
    </row>
    <row r="294937">
      <c r="B294937">
        <v>2017</v>
      </c>
      <c r="C294937">
        <v>44.49</v>
      </c>
      <c r="D294937">
        <v>5.161</v>
      </c>
    </row>
    <row r="294938">
      <c r="B294938">
        <v>2018</v>
      </c>
      <c r="C294938">
        <v>47.187</v>
      </c>
      <c r="D294938">
        <v>6.062</v>
      </c>
    </row>
    <row r="294939">
      <c r="B294939">
        <v>2019</v>
      </c>
      <c r="C294939">
        <v>49.726</v>
      </c>
      <c r="D294939">
        <v>5.38</v>
      </c>
    </row>
    <row r="294940">
      <c r="B294940">
        <v>2020</v>
      </c>
      <c r="C294940">
        <v>46.598</v>
      </c>
      <c r="D294940">
        <v>-6.291</v>
      </c>
    </row>
    <row r="294941">
      <c r="B294941">
        <v>2021</v>
      </c>
      <c r="C294941">
        <v>51.558</v>
      </c>
      <c r="D294941">
        <v>10.644</v>
      </c>
    </row>
    <row r="294942">
      <c r="B294942">
        <v>2022</v>
      </c>
      <c r="C294942">
        <v>57.208</v>
      </c>
      <c r="D294942">
        <v>10.96</v>
      </c>
    </row>
    <row r="294943">
      <c r="B294943">
        <v>2023</v>
      </c>
      <c r="C294943">
        <v>61.689</v>
      </c>
      <c r="D294943">
        <v>7.832</v>
      </c>
    </row>
    <row r="294944">
      <c r="B294944">
        <v>2024</v>
      </c>
      <c r="C294944">
        <v>67.505</v>
      </c>
      <c r="D294944">
        <v>9.429</v>
      </c>
    </row>
    <row r="294945">
      <c r="B294945">
        <v>2025</v>
      </c>
      <c r="C294945">
        <v>71.54</v>
      </c>
      <c r="D294945">
        <v>5.977</v>
      </c>
    </row>
    <row r="294946">
      <c r="B294946">
        <v>2026</v>
      </c>
      <c r="C294946">
        <v>75.117</v>
      </c>
      <c r="D294946">
        <v>5</v>
      </c>
    </row>
    <row r="294947">
      <c r="B294947">
        <v>2027</v>
      </c>
      <c r="C294947">
        <v>78.873</v>
      </c>
      <c r="D294947">
        <v>5</v>
      </c>
    </row>
    <row r="294948">
      <c r="B294948" t="str">
        <v>Estimates Start After</v>
      </c>
      <c r="C294948">
        <v>2024</v>
      </c>
      <c r="D294948">
        <v>2024</v>
      </c>
    </row>
    <row r="311297">
      <c r="B311297" t="str">
        <v>WEO Country Code</v>
      </c>
      <c r="C311297">
        <v>915</v>
      </c>
      <c r="D311297">
        <v>915</v>
      </c>
    </row>
    <row r="311298">
      <c r="B311298" t="str">
        <v>WEO Subject Code</v>
      </c>
      <c r="C311298" t="str">
        <v>NGDP_R</v>
      </c>
      <c r="D311298" t="str">
        <v>NGDP_RPCH</v>
      </c>
    </row>
    <row r="311299">
      <c r="B311299" t="str">
        <v>Country</v>
      </c>
      <c r="C311299" t="str">
        <v>Georgia</v>
      </c>
      <c r="D311299" t="str">
        <v>Georgia</v>
      </c>
    </row>
    <row r="311300">
      <c r="B311300" t="str">
        <v>Subject Descriptor</v>
      </c>
      <c r="C311300" t="str">
        <v>Gross domestic product, constant prices</v>
      </c>
      <c r="D311300" t="str">
        <v>Gross domestic product, constant prices</v>
      </c>
    </row>
    <row r="311301">
      <c r="B311301" t="str">
        <v>Units</v>
      </c>
      <c r="C311301" t="str">
        <v>National currency</v>
      </c>
      <c r="D311301" t="str">
        <v>Percent change</v>
      </c>
    </row>
    <row r="311302">
      <c r="B311302" t="str">
        <v>Scale</v>
      </c>
      <c r="C311302" t="str">
        <v>Billions</v>
      </c>
      <c r="D311302" t="str">
        <v>Units</v>
      </c>
    </row>
    <row r="311303">
      <c r="B311303" t="str">
        <v>Country/Series-specific Notes</v>
      </c>
      <c r="C31130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311303" t="str">
        <v>See notes for:  Gross domestic product, constant prices (National currency).</v>
      </c>
    </row>
    <row r="311304">
      <c r="B311304">
        <v>2000</v>
      </c>
      <c r="C311304">
        <v>16.963</v>
      </c>
      <c r="D311304">
        <v>1.865</v>
      </c>
    </row>
    <row r="311305">
      <c r="B311305">
        <v>2001</v>
      </c>
      <c r="C311305">
        <v>17.772</v>
      </c>
      <c r="D311305">
        <v>4.769</v>
      </c>
    </row>
    <row r="311306">
      <c r="B311306">
        <v>2002</v>
      </c>
      <c r="C311306">
        <v>18.747</v>
      </c>
      <c r="D311306">
        <v>5.487</v>
      </c>
    </row>
    <row r="311307">
      <c r="B311307">
        <v>2003</v>
      </c>
      <c r="C311307">
        <v>20.852</v>
      </c>
      <c r="D311307">
        <v>11.228</v>
      </c>
    </row>
    <row r="311308">
      <c r="B311308">
        <v>2004</v>
      </c>
      <c r="C311308">
        <v>22.061</v>
      </c>
      <c r="D311308">
        <v>5.796</v>
      </c>
    </row>
    <row r="311309">
      <c r="B311309">
        <v>2005</v>
      </c>
      <c r="C311309">
        <v>24.176</v>
      </c>
      <c r="D311309">
        <v>9.588</v>
      </c>
    </row>
    <row r="311310">
      <c r="B311310">
        <v>2006</v>
      </c>
      <c r="C311310">
        <v>26.454</v>
      </c>
      <c r="D311310">
        <v>9.42</v>
      </c>
    </row>
    <row r="311311">
      <c r="B311311">
        <v>2007</v>
      </c>
      <c r="C311311">
        <v>29.781</v>
      </c>
      <c r="D311311">
        <v>12.579</v>
      </c>
    </row>
    <row r="311312">
      <c r="B311312">
        <v>2008</v>
      </c>
      <c r="C311312">
        <v>30.502</v>
      </c>
      <c r="D311312">
        <v>2.419</v>
      </c>
    </row>
    <row r="311313">
      <c r="B311313">
        <v>2009</v>
      </c>
      <c r="C311313">
        <v>29.388</v>
      </c>
      <c r="D311313">
        <v>-3.651</v>
      </c>
    </row>
    <row r="311314">
      <c r="B311314">
        <v>2010</v>
      </c>
      <c r="C311314">
        <v>31.428</v>
      </c>
      <c r="D311314">
        <v>6.942</v>
      </c>
    </row>
    <row r="311315">
      <c r="B311315">
        <v>2011</v>
      </c>
      <c r="C311315">
        <v>33.927</v>
      </c>
      <c r="D311315">
        <v>7.949</v>
      </c>
    </row>
    <row r="311316">
      <c r="B311316">
        <v>2012</v>
      </c>
      <c r="C311316">
        <v>36.159</v>
      </c>
      <c r="D311316">
        <v>6.579</v>
      </c>
    </row>
    <row r="311317">
      <c r="B311317">
        <v>2013</v>
      </c>
      <c r="C311317">
        <v>38.015</v>
      </c>
      <c r="D311317">
        <v>5.134</v>
      </c>
    </row>
    <row r="311318">
      <c r="B311318">
        <v>2014</v>
      </c>
      <c r="C311318">
        <v>39.57</v>
      </c>
      <c r="D311318">
        <v>4.091</v>
      </c>
    </row>
    <row r="311319">
      <c r="B311319">
        <v>2015</v>
      </c>
      <c r="C311319">
        <v>40.896</v>
      </c>
      <c r="D311319">
        <v>3.351</v>
      </c>
    </row>
    <row r="311320">
      <c r="B311320">
        <v>2016</v>
      </c>
      <c r="C311320">
        <v>42.307</v>
      </c>
      <c r="D311320">
        <v>3.45</v>
      </c>
    </row>
    <row r="311321">
      <c r="B311321">
        <v>2017</v>
      </c>
      <c r="C311321">
        <v>44.49</v>
      </c>
      <c r="D311321">
        <v>5.161</v>
      </c>
    </row>
    <row r="311322">
      <c r="B311322">
        <v>2018</v>
      </c>
      <c r="C311322">
        <v>47.187</v>
      </c>
      <c r="D311322">
        <v>6.062</v>
      </c>
    </row>
    <row r="311323">
      <c r="B311323">
        <v>2019</v>
      </c>
      <c r="C311323">
        <v>49.726</v>
      </c>
      <c r="D311323">
        <v>5.38</v>
      </c>
    </row>
    <row r="311324">
      <c r="B311324">
        <v>2020</v>
      </c>
      <c r="C311324">
        <v>46.598</v>
      </c>
      <c r="D311324">
        <v>-6.291</v>
      </c>
    </row>
    <row r="311325">
      <c r="B311325">
        <v>2021</v>
      </c>
      <c r="C311325">
        <v>51.558</v>
      </c>
      <c r="D311325">
        <v>10.644</v>
      </c>
    </row>
    <row r="311326">
      <c r="B311326">
        <v>2022</v>
      </c>
      <c r="C311326">
        <v>57.208</v>
      </c>
      <c r="D311326">
        <v>10.96</v>
      </c>
    </row>
    <row r="311327">
      <c r="B311327">
        <v>2023</v>
      </c>
      <c r="C311327">
        <v>61.689</v>
      </c>
      <c r="D311327">
        <v>7.832</v>
      </c>
    </row>
    <row r="311328">
      <c r="B311328">
        <v>2024</v>
      </c>
      <c r="C311328">
        <v>67.505</v>
      </c>
      <c r="D311328">
        <v>9.429</v>
      </c>
    </row>
    <row r="311329">
      <c r="B311329">
        <v>2025</v>
      </c>
      <c r="C311329">
        <v>71.54</v>
      </c>
      <c r="D311329">
        <v>5.977</v>
      </c>
    </row>
    <row r="311330">
      <c r="B311330">
        <v>2026</v>
      </c>
      <c r="C311330">
        <v>75.117</v>
      </c>
      <c r="D311330">
        <v>5</v>
      </c>
    </row>
    <row r="311331">
      <c r="B311331">
        <v>2027</v>
      </c>
      <c r="C311331">
        <v>78.873</v>
      </c>
      <c r="D311331">
        <v>5</v>
      </c>
    </row>
    <row r="311332">
      <c r="B311332" t="str">
        <v>Estimates Start After</v>
      </c>
      <c r="C311332">
        <v>2024</v>
      </c>
      <c r="D311332">
        <v>2024</v>
      </c>
    </row>
    <row r="327681">
      <c r="B327681" t="str">
        <v>WEO Country Code</v>
      </c>
      <c r="C327681">
        <v>915</v>
      </c>
      <c r="D327681">
        <v>915</v>
      </c>
    </row>
    <row r="327682">
      <c r="B327682" t="str">
        <v>WEO Subject Code</v>
      </c>
      <c r="C327682" t="str">
        <v>NGDP_R</v>
      </c>
      <c r="D327682" t="str">
        <v>NGDP_RPCH</v>
      </c>
    </row>
    <row r="327683">
      <c r="B327683" t="str">
        <v>Country</v>
      </c>
      <c r="C327683" t="str">
        <v>Georgia</v>
      </c>
      <c r="D327683" t="str">
        <v>Georgia</v>
      </c>
    </row>
    <row r="327684">
      <c r="B327684" t="str">
        <v>Subject Descriptor</v>
      </c>
      <c r="C327684" t="str">
        <v>Gross domestic product, constant prices</v>
      </c>
      <c r="D327684" t="str">
        <v>Gross domestic product, constant prices</v>
      </c>
    </row>
    <row r="327685">
      <c r="B327685" t="str">
        <v>Units</v>
      </c>
      <c r="C327685" t="str">
        <v>National currency</v>
      </c>
      <c r="D327685" t="str">
        <v>Percent change</v>
      </c>
    </row>
    <row r="327686">
      <c r="B327686" t="str">
        <v>Scale</v>
      </c>
      <c r="C327686" t="str">
        <v>Billions</v>
      </c>
      <c r="D327686" t="str">
        <v>Units</v>
      </c>
    </row>
    <row r="327687">
      <c r="B327687" t="str">
        <v>Country/Series-specific Notes</v>
      </c>
      <c r="C32768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327687" t="str">
        <v>See notes for:  Gross domestic product, constant prices (National currency).</v>
      </c>
    </row>
    <row r="327688">
      <c r="B327688">
        <v>2000</v>
      </c>
      <c r="C327688">
        <v>16.963</v>
      </c>
      <c r="D327688">
        <v>1.865</v>
      </c>
    </row>
    <row r="327689">
      <c r="B327689">
        <v>2001</v>
      </c>
      <c r="C327689">
        <v>17.772</v>
      </c>
      <c r="D327689">
        <v>4.769</v>
      </c>
    </row>
    <row r="327690">
      <c r="B327690">
        <v>2002</v>
      </c>
      <c r="C327690">
        <v>18.747</v>
      </c>
      <c r="D327690">
        <v>5.487</v>
      </c>
    </row>
    <row r="327691">
      <c r="B327691">
        <v>2003</v>
      </c>
      <c r="C327691">
        <v>20.852</v>
      </c>
      <c r="D327691">
        <v>11.228</v>
      </c>
    </row>
    <row r="327692">
      <c r="B327692">
        <v>2004</v>
      </c>
      <c r="C327692">
        <v>22.061</v>
      </c>
      <c r="D327692">
        <v>5.796</v>
      </c>
    </row>
    <row r="327693">
      <c r="B327693">
        <v>2005</v>
      </c>
      <c r="C327693">
        <v>24.176</v>
      </c>
      <c r="D327693">
        <v>9.588</v>
      </c>
    </row>
    <row r="327694">
      <c r="B327694">
        <v>2006</v>
      </c>
      <c r="C327694">
        <v>26.454</v>
      </c>
      <c r="D327694">
        <v>9.42</v>
      </c>
    </row>
    <row r="327695">
      <c r="B327695">
        <v>2007</v>
      </c>
      <c r="C327695">
        <v>29.781</v>
      </c>
      <c r="D327695">
        <v>12.579</v>
      </c>
    </row>
    <row r="327696">
      <c r="B327696">
        <v>2008</v>
      </c>
      <c r="C327696">
        <v>30.502</v>
      </c>
      <c r="D327696">
        <v>2.419</v>
      </c>
    </row>
    <row r="327697">
      <c r="B327697">
        <v>2009</v>
      </c>
      <c r="C327697">
        <v>29.388</v>
      </c>
      <c r="D327697">
        <v>-3.651</v>
      </c>
    </row>
    <row r="327698">
      <c r="B327698">
        <v>2010</v>
      </c>
      <c r="C327698">
        <v>31.428</v>
      </c>
      <c r="D327698">
        <v>6.942</v>
      </c>
    </row>
    <row r="327699">
      <c r="B327699">
        <v>2011</v>
      </c>
      <c r="C327699">
        <v>33.927</v>
      </c>
      <c r="D327699">
        <v>7.949</v>
      </c>
    </row>
    <row r="327700">
      <c r="B327700">
        <v>2012</v>
      </c>
      <c r="C327700">
        <v>36.159</v>
      </c>
      <c r="D327700">
        <v>6.579</v>
      </c>
    </row>
    <row r="327701">
      <c r="B327701">
        <v>2013</v>
      </c>
      <c r="C327701">
        <v>38.015</v>
      </c>
      <c r="D327701">
        <v>5.134</v>
      </c>
    </row>
    <row r="327702">
      <c r="B327702">
        <v>2014</v>
      </c>
      <c r="C327702">
        <v>39.57</v>
      </c>
      <c r="D327702">
        <v>4.091</v>
      </c>
    </row>
    <row r="327703">
      <c r="B327703">
        <v>2015</v>
      </c>
      <c r="C327703">
        <v>40.896</v>
      </c>
      <c r="D327703">
        <v>3.351</v>
      </c>
    </row>
    <row r="327704">
      <c r="B327704">
        <v>2016</v>
      </c>
      <c r="C327704">
        <v>42.307</v>
      </c>
      <c r="D327704">
        <v>3.45</v>
      </c>
    </row>
    <row r="327705">
      <c r="B327705">
        <v>2017</v>
      </c>
      <c r="C327705">
        <v>44.49</v>
      </c>
      <c r="D327705">
        <v>5.161</v>
      </c>
    </row>
    <row r="327706">
      <c r="B327706">
        <v>2018</v>
      </c>
      <c r="C327706">
        <v>47.187</v>
      </c>
      <c r="D327706">
        <v>6.062</v>
      </c>
    </row>
    <row r="327707">
      <c r="B327707">
        <v>2019</v>
      </c>
      <c r="C327707">
        <v>49.726</v>
      </c>
      <c r="D327707">
        <v>5.38</v>
      </c>
    </row>
    <row r="327708">
      <c r="B327708">
        <v>2020</v>
      </c>
      <c r="C327708">
        <v>46.598</v>
      </c>
      <c r="D327708">
        <v>-6.291</v>
      </c>
    </row>
    <row r="327709">
      <c r="B327709">
        <v>2021</v>
      </c>
      <c r="C327709">
        <v>51.558</v>
      </c>
      <c r="D327709">
        <v>10.644</v>
      </c>
    </row>
    <row r="327710">
      <c r="B327710">
        <v>2022</v>
      </c>
      <c r="C327710">
        <v>57.208</v>
      </c>
      <c r="D327710">
        <v>10.96</v>
      </c>
    </row>
    <row r="327711">
      <c r="B327711">
        <v>2023</v>
      </c>
      <c r="C327711">
        <v>61.689</v>
      </c>
      <c r="D327711">
        <v>7.832</v>
      </c>
    </row>
    <row r="327712">
      <c r="B327712">
        <v>2024</v>
      </c>
      <c r="C327712">
        <v>67.505</v>
      </c>
      <c r="D327712">
        <v>9.429</v>
      </c>
    </row>
    <row r="327713">
      <c r="B327713">
        <v>2025</v>
      </c>
      <c r="C327713">
        <v>71.54</v>
      </c>
      <c r="D327713">
        <v>5.977</v>
      </c>
    </row>
    <row r="327714">
      <c r="B327714">
        <v>2026</v>
      </c>
      <c r="C327714">
        <v>75.117</v>
      </c>
      <c r="D327714">
        <v>5</v>
      </c>
    </row>
    <row r="327715">
      <c r="B327715">
        <v>2027</v>
      </c>
      <c r="C327715">
        <v>78.873</v>
      </c>
      <c r="D327715">
        <v>5</v>
      </c>
    </row>
    <row r="327716">
      <c r="B327716" t="str">
        <v>Estimates Start After</v>
      </c>
      <c r="C327716">
        <v>2024</v>
      </c>
      <c r="D327716">
        <v>2024</v>
      </c>
    </row>
    <row r="344065">
      <c r="B344065" t="str">
        <v>WEO Country Code</v>
      </c>
      <c r="C344065">
        <v>915</v>
      </c>
      <c r="D344065">
        <v>915</v>
      </c>
    </row>
    <row r="344066">
      <c r="B344066" t="str">
        <v>WEO Subject Code</v>
      </c>
      <c r="C344066" t="str">
        <v>NGDP_R</v>
      </c>
      <c r="D344066" t="str">
        <v>NGDP_RPCH</v>
      </c>
    </row>
    <row r="344067">
      <c r="B344067" t="str">
        <v>Country</v>
      </c>
      <c r="C344067" t="str">
        <v>Georgia</v>
      </c>
      <c r="D344067" t="str">
        <v>Georgia</v>
      </c>
    </row>
    <row r="344068">
      <c r="B344068" t="str">
        <v>Subject Descriptor</v>
      </c>
      <c r="C344068" t="str">
        <v>Gross domestic product, constant prices</v>
      </c>
      <c r="D344068" t="str">
        <v>Gross domestic product, constant prices</v>
      </c>
    </row>
    <row r="344069">
      <c r="B344069" t="str">
        <v>Units</v>
      </c>
      <c r="C344069" t="str">
        <v>National currency</v>
      </c>
      <c r="D344069" t="str">
        <v>Percent change</v>
      </c>
    </row>
    <row r="344070">
      <c r="B344070" t="str">
        <v>Scale</v>
      </c>
      <c r="C344070" t="str">
        <v>Billions</v>
      </c>
      <c r="D344070" t="str">
        <v>Units</v>
      </c>
    </row>
    <row r="344071">
      <c r="B344071" t="str">
        <v>Country/Series-specific Notes</v>
      </c>
      <c r="C34407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344071" t="str">
        <v>See notes for:  Gross domestic product, constant prices (National currency).</v>
      </c>
    </row>
    <row r="344072">
      <c r="B344072">
        <v>2000</v>
      </c>
      <c r="C344072">
        <v>16.963</v>
      </c>
      <c r="D344072">
        <v>1.865</v>
      </c>
    </row>
    <row r="344073">
      <c r="B344073">
        <v>2001</v>
      </c>
      <c r="C344073">
        <v>17.772</v>
      </c>
      <c r="D344073">
        <v>4.769</v>
      </c>
    </row>
    <row r="344074">
      <c r="B344074">
        <v>2002</v>
      </c>
      <c r="C344074">
        <v>18.747</v>
      </c>
      <c r="D344074">
        <v>5.487</v>
      </c>
    </row>
    <row r="344075">
      <c r="B344075">
        <v>2003</v>
      </c>
      <c r="C344075">
        <v>20.852</v>
      </c>
      <c r="D344075">
        <v>11.228</v>
      </c>
    </row>
    <row r="344076">
      <c r="B344076">
        <v>2004</v>
      </c>
      <c r="C344076">
        <v>22.061</v>
      </c>
      <c r="D344076">
        <v>5.796</v>
      </c>
    </row>
    <row r="344077">
      <c r="B344077">
        <v>2005</v>
      </c>
      <c r="C344077">
        <v>24.176</v>
      </c>
      <c r="D344077">
        <v>9.588</v>
      </c>
    </row>
    <row r="344078">
      <c r="B344078">
        <v>2006</v>
      </c>
      <c r="C344078">
        <v>26.454</v>
      </c>
      <c r="D344078">
        <v>9.42</v>
      </c>
    </row>
    <row r="344079">
      <c r="B344079">
        <v>2007</v>
      </c>
      <c r="C344079">
        <v>29.781</v>
      </c>
      <c r="D344079">
        <v>12.579</v>
      </c>
    </row>
    <row r="344080">
      <c r="B344080">
        <v>2008</v>
      </c>
      <c r="C344080">
        <v>30.502</v>
      </c>
      <c r="D344080">
        <v>2.419</v>
      </c>
    </row>
    <row r="344081">
      <c r="B344081">
        <v>2009</v>
      </c>
      <c r="C344081">
        <v>29.388</v>
      </c>
      <c r="D344081">
        <v>-3.651</v>
      </c>
    </row>
    <row r="344082">
      <c r="B344082">
        <v>2010</v>
      </c>
      <c r="C344082">
        <v>31.428</v>
      </c>
      <c r="D344082">
        <v>6.942</v>
      </c>
    </row>
    <row r="344083">
      <c r="B344083">
        <v>2011</v>
      </c>
      <c r="C344083">
        <v>33.927</v>
      </c>
      <c r="D344083">
        <v>7.949</v>
      </c>
    </row>
    <row r="344084">
      <c r="B344084">
        <v>2012</v>
      </c>
      <c r="C344084">
        <v>36.159</v>
      </c>
      <c r="D344084">
        <v>6.579</v>
      </c>
    </row>
    <row r="344085">
      <c r="B344085">
        <v>2013</v>
      </c>
      <c r="C344085">
        <v>38.015</v>
      </c>
      <c r="D344085">
        <v>5.134</v>
      </c>
    </row>
    <row r="344086">
      <c r="B344086">
        <v>2014</v>
      </c>
      <c r="C344086">
        <v>39.57</v>
      </c>
      <c r="D344086">
        <v>4.091</v>
      </c>
    </row>
    <row r="344087">
      <c r="B344087">
        <v>2015</v>
      </c>
      <c r="C344087">
        <v>40.896</v>
      </c>
      <c r="D344087">
        <v>3.351</v>
      </c>
    </row>
    <row r="344088">
      <c r="B344088">
        <v>2016</v>
      </c>
      <c r="C344088">
        <v>42.307</v>
      </c>
      <c r="D344088">
        <v>3.45</v>
      </c>
    </row>
    <row r="344089">
      <c r="B344089">
        <v>2017</v>
      </c>
      <c r="C344089">
        <v>44.49</v>
      </c>
      <c r="D344089">
        <v>5.161</v>
      </c>
    </row>
    <row r="344090">
      <c r="B344090">
        <v>2018</v>
      </c>
      <c r="C344090">
        <v>47.187</v>
      </c>
      <c r="D344090">
        <v>6.062</v>
      </c>
    </row>
    <row r="344091">
      <c r="B344091">
        <v>2019</v>
      </c>
      <c r="C344091">
        <v>49.726</v>
      </c>
      <c r="D344091">
        <v>5.38</v>
      </c>
    </row>
    <row r="344092">
      <c r="B344092">
        <v>2020</v>
      </c>
      <c r="C344092">
        <v>46.598</v>
      </c>
      <c r="D344092">
        <v>-6.291</v>
      </c>
    </row>
    <row r="344093">
      <c r="B344093">
        <v>2021</v>
      </c>
      <c r="C344093">
        <v>51.558</v>
      </c>
      <c r="D344093">
        <v>10.644</v>
      </c>
    </row>
    <row r="344094">
      <c r="B344094">
        <v>2022</v>
      </c>
      <c r="C344094">
        <v>57.208</v>
      </c>
      <c r="D344094">
        <v>10.96</v>
      </c>
    </row>
    <row r="344095">
      <c r="B344095">
        <v>2023</v>
      </c>
      <c r="C344095">
        <v>61.689</v>
      </c>
      <c r="D344095">
        <v>7.832</v>
      </c>
    </row>
    <row r="344096">
      <c r="B344096">
        <v>2024</v>
      </c>
      <c r="C344096">
        <v>67.505</v>
      </c>
      <c r="D344096">
        <v>9.429</v>
      </c>
    </row>
    <row r="344097">
      <c r="B344097">
        <v>2025</v>
      </c>
      <c r="C344097">
        <v>71.54</v>
      </c>
      <c r="D344097">
        <v>5.977</v>
      </c>
    </row>
    <row r="344098">
      <c r="B344098">
        <v>2026</v>
      </c>
      <c r="C344098">
        <v>75.117</v>
      </c>
      <c r="D344098">
        <v>5</v>
      </c>
    </row>
    <row r="344099">
      <c r="B344099">
        <v>2027</v>
      </c>
      <c r="C344099">
        <v>78.873</v>
      </c>
      <c r="D344099">
        <v>5</v>
      </c>
    </row>
    <row r="344100">
      <c r="B344100" t="str">
        <v>Estimates Start After</v>
      </c>
      <c r="C344100">
        <v>2024</v>
      </c>
      <c r="D344100">
        <v>2024</v>
      </c>
    </row>
    <row r="360449">
      <c r="B360449" t="str">
        <v>WEO Country Code</v>
      </c>
      <c r="C360449">
        <v>915</v>
      </c>
      <c r="D360449">
        <v>915</v>
      </c>
    </row>
    <row r="360450">
      <c r="B360450" t="str">
        <v>WEO Subject Code</v>
      </c>
      <c r="C360450" t="str">
        <v>NGDP_R</v>
      </c>
      <c r="D360450" t="str">
        <v>NGDP_RPCH</v>
      </c>
    </row>
    <row r="360451">
      <c r="B360451" t="str">
        <v>Country</v>
      </c>
      <c r="C360451" t="str">
        <v>Georgia</v>
      </c>
      <c r="D360451" t="str">
        <v>Georgia</v>
      </c>
    </row>
    <row r="360452">
      <c r="B360452" t="str">
        <v>Subject Descriptor</v>
      </c>
      <c r="C360452" t="str">
        <v>Gross domestic product, constant prices</v>
      </c>
      <c r="D360452" t="str">
        <v>Gross domestic product, constant prices</v>
      </c>
    </row>
    <row r="360453">
      <c r="B360453" t="str">
        <v>Units</v>
      </c>
      <c r="C360453" t="str">
        <v>National currency</v>
      </c>
      <c r="D360453" t="str">
        <v>Percent change</v>
      </c>
    </row>
    <row r="360454">
      <c r="B360454" t="str">
        <v>Scale</v>
      </c>
      <c r="C360454" t="str">
        <v>Billions</v>
      </c>
      <c r="D360454" t="str">
        <v>Units</v>
      </c>
    </row>
    <row r="360455">
      <c r="B360455" t="str">
        <v>Country/Series-specific Notes</v>
      </c>
      <c r="C36045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360455" t="str">
        <v>See notes for:  Gross domestic product, constant prices (National currency).</v>
      </c>
    </row>
    <row r="360456">
      <c r="B360456">
        <v>2000</v>
      </c>
      <c r="C360456">
        <v>16.963</v>
      </c>
      <c r="D360456">
        <v>1.865</v>
      </c>
    </row>
    <row r="360457">
      <c r="B360457">
        <v>2001</v>
      </c>
      <c r="C360457">
        <v>17.772</v>
      </c>
      <c r="D360457">
        <v>4.769</v>
      </c>
    </row>
    <row r="360458">
      <c r="B360458">
        <v>2002</v>
      </c>
      <c r="C360458">
        <v>18.747</v>
      </c>
      <c r="D360458">
        <v>5.487</v>
      </c>
    </row>
    <row r="360459">
      <c r="B360459">
        <v>2003</v>
      </c>
      <c r="C360459">
        <v>20.852</v>
      </c>
      <c r="D360459">
        <v>11.228</v>
      </c>
    </row>
    <row r="360460">
      <c r="B360460">
        <v>2004</v>
      </c>
      <c r="C360460">
        <v>22.061</v>
      </c>
      <c r="D360460">
        <v>5.796</v>
      </c>
    </row>
    <row r="360461">
      <c r="B360461">
        <v>2005</v>
      </c>
      <c r="C360461">
        <v>24.176</v>
      </c>
      <c r="D360461">
        <v>9.588</v>
      </c>
    </row>
    <row r="360462">
      <c r="B360462">
        <v>2006</v>
      </c>
      <c r="C360462">
        <v>26.454</v>
      </c>
      <c r="D360462">
        <v>9.42</v>
      </c>
    </row>
    <row r="360463">
      <c r="B360463">
        <v>2007</v>
      </c>
      <c r="C360463">
        <v>29.781</v>
      </c>
      <c r="D360463">
        <v>12.579</v>
      </c>
    </row>
    <row r="360464">
      <c r="B360464">
        <v>2008</v>
      </c>
      <c r="C360464">
        <v>30.502</v>
      </c>
      <c r="D360464">
        <v>2.419</v>
      </c>
    </row>
    <row r="360465">
      <c r="B360465">
        <v>2009</v>
      </c>
      <c r="C360465">
        <v>29.388</v>
      </c>
      <c r="D360465">
        <v>-3.651</v>
      </c>
    </row>
    <row r="360466">
      <c r="B360466">
        <v>2010</v>
      </c>
      <c r="C360466">
        <v>31.428</v>
      </c>
      <c r="D360466">
        <v>6.942</v>
      </c>
    </row>
    <row r="360467">
      <c r="B360467">
        <v>2011</v>
      </c>
      <c r="C360467">
        <v>33.927</v>
      </c>
      <c r="D360467">
        <v>7.949</v>
      </c>
    </row>
    <row r="360468">
      <c r="B360468">
        <v>2012</v>
      </c>
      <c r="C360468">
        <v>36.159</v>
      </c>
      <c r="D360468">
        <v>6.579</v>
      </c>
    </row>
    <row r="360469">
      <c r="B360469">
        <v>2013</v>
      </c>
      <c r="C360469">
        <v>38.015</v>
      </c>
      <c r="D360469">
        <v>5.134</v>
      </c>
    </row>
    <row r="360470">
      <c r="B360470">
        <v>2014</v>
      </c>
      <c r="C360470">
        <v>39.57</v>
      </c>
      <c r="D360470">
        <v>4.091</v>
      </c>
    </row>
    <row r="360471">
      <c r="B360471">
        <v>2015</v>
      </c>
      <c r="C360471">
        <v>40.896</v>
      </c>
      <c r="D360471">
        <v>3.351</v>
      </c>
    </row>
    <row r="360472">
      <c r="B360472">
        <v>2016</v>
      </c>
      <c r="C360472">
        <v>42.307</v>
      </c>
      <c r="D360472">
        <v>3.45</v>
      </c>
    </row>
    <row r="360473">
      <c r="B360473">
        <v>2017</v>
      </c>
      <c r="C360473">
        <v>44.49</v>
      </c>
      <c r="D360473">
        <v>5.161</v>
      </c>
    </row>
    <row r="360474">
      <c r="B360474">
        <v>2018</v>
      </c>
      <c r="C360474">
        <v>47.187</v>
      </c>
      <c r="D360474">
        <v>6.062</v>
      </c>
    </row>
    <row r="360475">
      <c r="B360475">
        <v>2019</v>
      </c>
      <c r="C360475">
        <v>49.726</v>
      </c>
      <c r="D360475">
        <v>5.38</v>
      </c>
    </row>
    <row r="360476">
      <c r="B360476">
        <v>2020</v>
      </c>
      <c r="C360476">
        <v>46.598</v>
      </c>
      <c r="D360476">
        <v>-6.291</v>
      </c>
    </row>
    <row r="360477">
      <c r="B360477">
        <v>2021</v>
      </c>
      <c r="C360477">
        <v>51.558</v>
      </c>
      <c r="D360477">
        <v>10.644</v>
      </c>
    </row>
    <row r="360478">
      <c r="B360478">
        <v>2022</v>
      </c>
      <c r="C360478">
        <v>57.208</v>
      </c>
      <c r="D360478">
        <v>10.96</v>
      </c>
    </row>
    <row r="360479">
      <c r="B360479">
        <v>2023</v>
      </c>
      <c r="C360479">
        <v>61.689</v>
      </c>
      <c r="D360479">
        <v>7.832</v>
      </c>
    </row>
    <row r="360480">
      <c r="B360480">
        <v>2024</v>
      </c>
      <c r="C360480">
        <v>67.505</v>
      </c>
      <c r="D360480">
        <v>9.429</v>
      </c>
    </row>
    <row r="360481">
      <c r="B360481">
        <v>2025</v>
      </c>
      <c r="C360481">
        <v>71.54</v>
      </c>
      <c r="D360481">
        <v>5.977</v>
      </c>
    </row>
    <row r="360482">
      <c r="B360482">
        <v>2026</v>
      </c>
      <c r="C360482">
        <v>75.117</v>
      </c>
      <c r="D360482">
        <v>5</v>
      </c>
    </row>
    <row r="360483">
      <c r="B360483">
        <v>2027</v>
      </c>
      <c r="C360483">
        <v>78.873</v>
      </c>
      <c r="D360483">
        <v>5</v>
      </c>
    </row>
    <row r="360484">
      <c r="B360484" t="str">
        <v>Estimates Start After</v>
      </c>
      <c r="C360484">
        <v>2024</v>
      </c>
      <c r="D360484">
        <v>2024</v>
      </c>
    </row>
    <row r="376833">
      <c r="B376833" t="str">
        <v>WEO Country Code</v>
      </c>
      <c r="C376833">
        <v>915</v>
      </c>
      <c r="D376833">
        <v>915</v>
      </c>
    </row>
    <row r="376834">
      <c r="B376834" t="str">
        <v>WEO Subject Code</v>
      </c>
      <c r="C376834" t="str">
        <v>NGDP_R</v>
      </c>
      <c r="D376834" t="str">
        <v>NGDP_RPCH</v>
      </c>
    </row>
    <row r="376835">
      <c r="B376835" t="str">
        <v>Country</v>
      </c>
      <c r="C376835" t="str">
        <v>Georgia</v>
      </c>
      <c r="D376835" t="str">
        <v>Georgia</v>
      </c>
    </row>
    <row r="376836">
      <c r="B376836" t="str">
        <v>Subject Descriptor</v>
      </c>
      <c r="C376836" t="str">
        <v>Gross domestic product, constant prices</v>
      </c>
      <c r="D376836" t="str">
        <v>Gross domestic product, constant prices</v>
      </c>
    </row>
    <row r="376837">
      <c r="B376837" t="str">
        <v>Units</v>
      </c>
      <c r="C376837" t="str">
        <v>National currency</v>
      </c>
      <c r="D376837" t="str">
        <v>Percent change</v>
      </c>
    </row>
    <row r="376838">
      <c r="B376838" t="str">
        <v>Scale</v>
      </c>
      <c r="C376838" t="str">
        <v>Billions</v>
      </c>
      <c r="D376838" t="str">
        <v>Units</v>
      </c>
    </row>
    <row r="376839">
      <c r="B376839" t="str">
        <v>Country/Series-specific Notes</v>
      </c>
      <c r="C37683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376839" t="str">
        <v>See notes for:  Gross domestic product, constant prices (National currency).</v>
      </c>
    </row>
    <row r="376840">
      <c r="B376840">
        <v>2000</v>
      </c>
      <c r="C376840">
        <v>16.963</v>
      </c>
      <c r="D376840">
        <v>1.865</v>
      </c>
    </row>
    <row r="376841">
      <c r="B376841">
        <v>2001</v>
      </c>
      <c r="C376841">
        <v>17.772</v>
      </c>
      <c r="D376841">
        <v>4.769</v>
      </c>
    </row>
    <row r="376842">
      <c r="B376842">
        <v>2002</v>
      </c>
      <c r="C376842">
        <v>18.747</v>
      </c>
      <c r="D376842">
        <v>5.487</v>
      </c>
    </row>
    <row r="376843">
      <c r="B376843">
        <v>2003</v>
      </c>
      <c r="C376843">
        <v>20.852</v>
      </c>
      <c r="D376843">
        <v>11.228</v>
      </c>
    </row>
    <row r="376844">
      <c r="B376844">
        <v>2004</v>
      </c>
      <c r="C376844">
        <v>22.061</v>
      </c>
      <c r="D376844">
        <v>5.796</v>
      </c>
    </row>
    <row r="376845">
      <c r="B376845">
        <v>2005</v>
      </c>
      <c r="C376845">
        <v>24.176</v>
      </c>
      <c r="D376845">
        <v>9.588</v>
      </c>
    </row>
    <row r="376846">
      <c r="B376846">
        <v>2006</v>
      </c>
      <c r="C376846">
        <v>26.454</v>
      </c>
      <c r="D376846">
        <v>9.42</v>
      </c>
    </row>
    <row r="376847">
      <c r="B376847">
        <v>2007</v>
      </c>
      <c r="C376847">
        <v>29.781</v>
      </c>
      <c r="D376847">
        <v>12.579</v>
      </c>
    </row>
    <row r="376848">
      <c r="B376848">
        <v>2008</v>
      </c>
      <c r="C376848">
        <v>30.502</v>
      </c>
      <c r="D376848">
        <v>2.419</v>
      </c>
    </row>
    <row r="376849">
      <c r="B376849">
        <v>2009</v>
      </c>
      <c r="C376849">
        <v>29.388</v>
      </c>
      <c r="D376849">
        <v>-3.651</v>
      </c>
    </row>
    <row r="376850">
      <c r="B376850">
        <v>2010</v>
      </c>
      <c r="C376850">
        <v>31.428</v>
      </c>
      <c r="D376850">
        <v>6.942</v>
      </c>
    </row>
    <row r="376851">
      <c r="B376851">
        <v>2011</v>
      </c>
      <c r="C376851">
        <v>33.927</v>
      </c>
      <c r="D376851">
        <v>7.949</v>
      </c>
    </row>
    <row r="376852">
      <c r="B376852">
        <v>2012</v>
      </c>
      <c r="C376852">
        <v>36.159</v>
      </c>
      <c r="D376852">
        <v>6.579</v>
      </c>
    </row>
    <row r="376853">
      <c r="B376853">
        <v>2013</v>
      </c>
      <c r="C376853">
        <v>38.015</v>
      </c>
      <c r="D376853">
        <v>5.134</v>
      </c>
    </row>
    <row r="376854">
      <c r="B376854">
        <v>2014</v>
      </c>
      <c r="C376854">
        <v>39.57</v>
      </c>
      <c r="D376854">
        <v>4.091</v>
      </c>
    </row>
    <row r="376855">
      <c r="B376855">
        <v>2015</v>
      </c>
      <c r="C376855">
        <v>40.896</v>
      </c>
      <c r="D376855">
        <v>3.351</v>
      </c>
    </row>
    <row r="376856">
      <c r="B376856">
        <v>2016</v>
      </c>
      <c r="C376856">
        <v>42.307</v>
      </c>
      <c r="D376856">
        <v>3.45</v>
      </c>
    </row>
    <row r="376857">
      <c r="B376857">
        <v>2017</v>
      </c>
      <c r="C376857">
        <v>44.49</v>
      </c>
      <c r="D376857">
        <v>5.161</v>
      </c>
    </row>
    <row r="376858">
      <c r="B376858">
        <v>2018</v>
      </c>
      <c r="C376858">
        <v>47.187</v>
      </c>
      <c r="D376858">
        <v>6.062</v>
      </c>
    </row>
    <row r="376859">
      <c r="B376859">
        <v>2019</v>
      </c>
      <c r="C376859">
        <v>49.726</v>
      </c>
      <c r="D376859">
        <v>5.38</v>
      </c>
    </row>
    <row r="376860">
      <c r="B376860">
        <v>2020</v>
      </c>
      <c r="C376860">
        <v>46.598</v>
      </c>
      <c r="D376860">
        <v>-6.291</v>
      </c>
    </row>
    <row r="376861">
      <c r="B376861">
        <v>2021</v>
      </c>
      <c r="C376861">
        <v>51.558</v>
      </c>
      <c r="D376861">
        <v>10.644</v>
      </c>
    </row>
    <row r="376862">
      <c r="B376862">
        <v>2022</v>
      </c>
      <c r="C376862">
        <v>57.208</v>
      </c>
      <c r="D376862">
        <v>10.96</v>
      </c>
    </row>
    <row r="376863">
      <c r="B376863">
        <v>2023</v>
      </c>
      <c r="C376863">
        <v>61.689</v>
      </c>
      <c r="D376863">
        <v>7.832</v>
      </c>
    </row>
    <row r="376864">
      <c r="B376864">
        <v>2024</v>
      </c>
      <c r="C376864">
        <v>67.505</v>
      </c>
      <c r="D376864">
        <v>9.429</v>
      </c>
    </row>
    <row r="376865">
      <c r="B376865">
        <v>2025</v>
      </c>
      <c r="C376865">
        <v>71.54</v>
      </c>
      <c r="D376865">
        <v>5.977</v>
      </c>
    </row>
    <row r="376866">
      <c r="B376866">
        <v>2026</v>
      </c>
      <c r="C376866">
        <v>75.117</v>
      </c>
      <c r="D376866">
        <v>5</v>
      </c>
    </row>
    <row r="376867">
      <c r="B376867">
        <v>2027</v>
      </c>
      <c r="C376867">
        <v>78.873</v>
      </c>
      <c r="D376867">
        <v>5</v>
      </c>
    </row>
    <row r="376868">
      <c r="B376868" t="str">
        <v>Estimates Start After</v>
      </c>
      <c r="C376868">
        <v>2024</v>
      </c>
      <c r="D376868">
        <v>2024</v>
      </c>
    </row>
    <row r="393217">
      <c r="B393217" t="str">
        <v>WEO Country Code</v>
      </c>
      <c r="C393217">
        <v>915</v>
      </c>
      <c r="D393217">
        <v>915</v>
      </c>
    </row>
    <row r="393218">
      <c r="B393218" t="str">
        <v>WEO Subject Code</v>
      </c>
      <c r="C393218" t="str">
        <v>NGDP_R</v>
      </c>
      <c r="D393218" t="str">
        <v>NGDP_RPCH</v>
      </c>
    </row>
    <row r="393219">
      <c r="B393219" t="str">
        <v>Country</v>
      </c>
      <c r="C393219" t="str">
        <v>Georgia</v>
      </c>
      <c r="D393219" t="str">
        <v>Georgia</v>
      </c>
    </row>
    <row r="393220">
      <c r="B393220" t="str">
        <v>Subject Descriptor</v>
      </c>
      <c r="C393220" t="str">
        <v>Gross domestic product, constant prices</v>
      </c>
      <c r="D393220" t="str">
        <v>Gross domestic product, constant prices</v>
      </c>
    </row>
    <row r="393221">
      <c r="B393221" t="str">
        <v>Units</v>
      </c>
      <c r="C393221" t="str">
        <v>National currency</v>
      </c>
      <c r="D393221" t="str">
        <v>Percent change</v>
      </c>
    </row>
    <row r="393222">
      <c r="B393222" t="str">
        <v>Scale</v>
      </c>
      <c r="C393222" t="str">
        <v>Billions</v>
      </c>
      <c r="D393222" t="str">
        <v>Units</v>
      </c>
    </row>
    <row r="393223">
      <c r="B393223" t="str">
        <v>Country/Series-specific Notes</v>
      </c>
      <c r="C39322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393223" t="str">
        <v>See notes for:  Gross domestic product, constant prices (National currency).</v>
      </c>
    </row>
    <row r="393224">
      <c r="B393224">
        <v>2000</v>
      </c>
      <c r="C393224">
        <v>16.963</v>
      </c>
      <c r="D393224">
        <v>1.865</v>
      </c>
    </row>
    <row r="393225">
      <c r="B393225">
        <v>2001</v>
      </c>
      <c r="C393225">
        <v>17.772</v>
      </c>
      <c r="D393225">
        <v>4.769</v>
      </c>
    </row>
    <row r="393226">
      <c r="B393226">
        <v>2002</v>
      </c>
      <c r="C393226">
        <v>18.747</v>
      </c>
      <c r="D393226">
        <v>5.487</v>
      </c>
    </row>
    <row r="393227">
      <c r="B393227">
        <v>2003</v>
      </c>
      <c r="C393227">
        <v>20.852</v>
      </c>
      <c r="D393227">
        <v>11.228</v>
      </c>
    </row>
    <row r="393228">
      <c r="B393228">
        <v>2004</v>
      </c>
      <c r="C393228">
        <v>22.061</v>
      </c>
      <c r="D393228">
        <v>5.796</v>
      </c>
    </row>
    <row r="393229">
      <c r="B393229">
        <v>2005</v>
      </c>
      <c r="C393229">
        <v>24.176</v>
      </c>
      <c r="D393229">
        <v>9.588</v>
      </c>
    </row>
    <row r="393230">
      <c r="B393230">
        <v>2006</v>
      </c>
      <c r="C393230">
        <v>26.454</v>
      </c>
      <c r="D393230">
        <v>9.42</v>
      </c>
    </row>
    <row r="393231">
      <c r="B393231">
        <v>2007</v>
      </c>
      <c r="C393231">
        <v>29.781</v>
      </c>
      <c r="D393231">
        <v>12.579</v>
      </c>
    </row>
    <row r="393232">
      <c r="B393232">
        <v>2008</v>
      </c>
      <c r="C393232">
        <v>30.502</v>
      </c>
      <c r="D393232">
        <v>2.419</v>
      </c>
    </row>
    <row r="393233">
      <c r="B393233">
        <v>2009</v>
      </c>
      <c r="C393233">
        <v>29.388</v>
      </c>
      <c r="D393233">
        <v>-3.651</v>
      </c>
    </row>
    <row r="393234">
      <c r="B393234">
        <v>2010</v>
      </c>
      <c r="C393234">
        <v>31.428</v>
      </c>
      <c r="D393234">
        <v>6.942</v>
      </c>
    </row>
    <row r="393235">
      <c r="B393235">
        <v>2011</v>
      </c>
      <c r="C393235">
        <v>33.927</v>
      </c>
      <c r="D393235">
        <v>7.949</v>
      </c>
    </row>
    <row r="393236">
      <c r="B393236">
        <v>2012</v>
      </c>
      <c r="C393236">
        <v>36.159</v>
      </c>
      <c r="D393236">
        <v>6.579</v>
      </c>
    </row>
    <row r="393237">
      <c r="B393237">
        <v>2013</v>
      </c>
      <c r="C393237">
        <v>38.015</v>
      </c>
      <c r="D393237">
        <v>5.134</v>
      </c>
    </row>
    <row r="393238">
      <c r="B393238">
        <v>2014</v>
      </c>
      <c r="C393238">
        <v>39.57</v>
      </c>
      <c r="D393238">
        <v>4.091</v>
      </c>
    </row>
    <row r="393239">
      <c r="B393239">
        <v>2015</v>
      </c>
      <c r="C393239">
        <v>40.896</v>
      </c>
      <c r="D393239">
        <v>3.351</v>
      </c>
    </row>
    <row r="393240">
      <c r="B393240">
        <v>2016</v>
      </c>
      <c r="C393240">
        <v>42.307</v>
      </c>
      <c r="D393240">
        <v>3.45</v>
      </c>
    </row>
    <row r="393241">
      <c r="B393241">
        <v>2017</v>
      </c>
      <c r="C393241">
        <v>44.49</v>
      </c>
      <c r="D393241">
        <v>5.161</v>
      </c>
    </row>
    <row r="393242">
      <c r="B393242">
        <v>2018</v>
      </c>
      <c r="C393242">
        <v>47.187</v>
      </c>
      <c r="D393242">
        <v>6.062</v>
      </c>
    </row>
    <row r="393243">
      <c r="B393243">
        <v>2019</v>
      </c>
      <c r="C393243">
        <v>49.726</v>
      </c>
      <c r="D393243">
        <v>5.38</v>
      </c>
    </row>
    <row r="393244">
      <c r="B393244">
        <v>2020</v>
      </c>
      <c r="C393244">
        <v>46.598</v>
      </c>
      <c r="D393244">
        <v>-6.291</v>
      </c>
    </row>
    <row r="393245">
      <c r="B393245">
        <v>2021</v>
      </c>
      <c r="C393245">
        <v>51.558</v>
      </c>
      <c r="D393245">
        <v>10.644</v>
      </c>
    </row>
    <row r="393246">
      <c r="B393246">
        <v>2022</v>
      </c>
      <c r="C393246">
        <v>57.208</v>
      </c>
      <c r="D393246">
        <v>10.96</v>
      </c>
    </row>
    <row r="393247">
      <c r="B393247">
        <v>2023</v>
      </c>
      <c r="C393247">
        <v>61.689</v>
      </c>
      <c r="D393247">
        <v>7.832</v>
      </c>
    </row>
    <row r="393248">
      <c r="B393248">
        <v>2024</v>
      </c>
      <c r="C393248">
        <v>67.505</v>
      </c>
      <c r="D393248">
        <v>9.429</v>
      </c>
    </row>
    <row r="393249">
      <c r="B393249">
        <v>2025</v>
      </c>
      <c r="C393249">
        <v>71.54</v>
      </c>
      <c r="D393249">
        <v>5.977</v>
      </c>
    </row>
    <row r="393250">
      <c r="B393250">
        <v>2026</v>
      </c>
      <c r="C393250">
        <v>75.117</v>
      </c>
      <c r="D393250">
        <v>5</v>
      </c>
    </row>
    <row r="393251">
      <c r="B393251">
        <v>2027</v>
      </c>
      <c r="C393251">
        <v>78.873</v>
      </c>
      <c r="D393251">
        <v>5</v>
      </c>
    </row>
    <row r="393252">
      <c r="B393252" t="str">
        <v>Estimates Start After</v>
      </c>
      <c r="C393252">
        <v>2024</v>
      </c>
      <c r="D393252">
        <v>2024</v>
      </c>
    </row>
    <row r="409601">
      <c r="B409601" t="str">
        <v>WEO Country Code</v>
      </c>
      <c r="C409601">
        <v>915</v>
      </c>
      <c r="D409601">
        <v>915</v>
      </c>
    </row>
    <row r="409602">
      <c r="B409602" t="str">
        <v>WEO Subject Code</v>
      </c>
      <c r="C409602" t="str">
        <v>NGDP_R</v>
      </c>
      <c r="D409602" t="str">
        <v>NGDP_RPCH</v>
      </c>
    </row>
    <row r="409603">
      <c r="B409603" t="str">
        <v>Country</v>
      </c>
      <c r="C409603" t="str">
        <v>Georgia</v>
      </c>
      <c r="D409603" t="str">
        <v>Georgia</v>
      </c>
    </row>
    <row r="409604">
      <c r="B409604" t="str">
        <v>Subject Descriptor</v>
      </c>
      <c r="C409604" t="str">
        <v>Gross domestic product, constant prices</v>
      </c>
      <c r="D409604" t="str">
        <v>Gross domestic product, constant prices</v>
      </c>
    </row>
    <row r="409605">
      <c r="B409605" t="str">
        <v>Units</v>
      </c>
      <c r="C409605" t="str">
        <v>National currency</v>
      </c>
      <c r="D409605" t="str">
        <v>Percent change</v>
      </c>
    </row>
    <row r="409606">
      <c r="B409606" t="str">
        <v>Scale</v>
      </c>
      <c r="C409606" t="str">
        <v>Billions</v>
      </c>
      <c r="D409606" t="str">
        <v>Units</v>
      </c>
    </row>
    <row r="409607">
      <c r="B409607" t="str">
        <v>Country/Series-specific Notes</v>
      </c>
      <c r="C40960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409607" t="str">
        <v>See notes for:  Gross domestic product, constant prices (National currency).</v>
      </c>
    </row>
    <row r="409608">
      <c r="B409608">
        <v>2000</v>
      </c>
      <c r="C409608">
        <v>16.963</v>
      </c>
      <c r="D409608">
        <v>1.865</v>
      </c>
    </row>
    <row r="409609">
      <c r="B409609">
        <v>2001</v>
      </c>
      <c r="C409609">
        <v>17.772</v>
      </c>
      <c r="D409609">
        <v>4.769</v>
      </c>
    </row>
    <row r="409610">
      <c r="B409610">
        <v>2002</v>
      </c>
      <c r="C409610">
        <v>18.747</v>
      </c>
      <c r="D409610">
        <v>5.487</v>
      </c>
    </row>
    <row r="409611">
      <c r="B409611">
        <v>2003</v>
      </c>
      <c r="C409611">
        <v>20.852</v>
      </c>
      <c r="D409611">
        <v>11.228</v>
      </c>
    </row>
    <row r="409612">
      <c r="B409612">
        <v>2004</v>
      </c>
      <c r="C409612">
        <v>22.061</v>
      </c>
      <c r="D409612">
        <v>5.796</v>
      </c>
    </row>
    <row r="409613">
      <c r="B409613">
        <v>2005</v>
      </c>
      <c r="C409613">
        <v>24.176</v>
      </c>
      <c r="D409613">
        <v>9.588</v>
      </c>
    </row>
    <row r="409614">
      <c r="B409614">
        <v>2006</v>
      </c>
      <c r="C409614">
        <v>26.454</v>
      </c>
      <c r="D409614">
        <v>9.42</v>
      </c>
    </row>
    <row r="409615">
      <c r="B409615">
        <v>2007</v>
      </c>
      <c r="C409615">
        <v>29.781</v>
      </c>
      <c r="D409615">
        <v>12.579</v>
      </c>
    </row>
    <row r="409616">
      <c r="B409616">
        <v>2008</v>
      </c>
      <c r="C409616">
        <v>30.502</v>
      </c>
      <c r="D409616">
        <v>2.419</v>
      </c>
    </row>
    <row r="409617">
      <c r="B409617">
        <v>2009</v>
      </c>
      <c r="C409617">
        <v>29.388</v>
      </c>
      <c r="D409617">
        <v>-3.651</v>
      </c>
    </row>
    <row r="409618">
      <c r="B409618">
        <v>2010</v>
      </c>
      <c r="C409618">
        <v>31.428</v>
      </c>
      <c r="D409618">
        <v>6.942</v>
      </c>
    </row>
    <row r="409619">
      <c r="B409619">
        <v>2011</v>
      </c>
      <c r="C409619">
        <v>33.927</v>
      </c>
      <c r="D409619">
        <v>7.949</v>
      </c>
    </row>
    <row r="409620">
      <c r="B409620">
        <v>2012</v>
      </c>
      <c r="C409620">
        <v>36.159</v>
      </c>
      <c r="D409620">
        <v>6.579</v>
      </c>
    </row>
    <row r="409621">
      <c r="B409621">
        <v>2013</v>
      </c>
      <c r="C409621">
        <v>38.015</v>
      </c>
      <c r="D409621">
        <v>5.134</v>
      </c>
    </row>
    <row r="409622">
      <c r="B409622">
        <v>2014</v>
      </c>
      <c r="C409622">
        <v>39.57</v>
      </c>
      <c r="D409622">
        <v>4.091</v>
      </c>
    </row>
    <row r="409623">
      <c r="B409623">
        <v>2015</v>
      </c>
      <c r="C409623">
        <v>40.896</v>
      </c>
      <c r="D409623">
        <v>3.351</v>
      </c>
    </row>
    <row r="409624">
      <c r="B409624">
        <v>2016</v>
      </c>
      <c r="C409624">
        <v>42.307</v>
      </c>
      <c r="D409624">
        <v>3.45</v>
      </c>
    </row>
    <row r="409625">
      <c r="B409625">
        <v>2017</v>
      </c>
      <c r="C409625">
        <v>44.49</v>
      </c>
      <c r="D409625">
        <v>5.161</v>
      </c>
    </row>
    <row r="409626">
      <c r="B409626">
        <v>2018</v>
      </c>
      <c r="C409626">
        <v>47.187</v>
      </c>
      <c r="D409626">
        <v>6.062</v>
      </c>
    </row>
    <row r="409627">
      <c r="B409627">
        <v>2019</v>
      </c>
      <c r="C409627">
        <v>49.726</v>
      </c>
      <c r="D409627">
        <v>5.38</v>
      </c>
    </row>
    <row r="409628">
      <c r="B409628">
        <v>2020</v>
      </c>
      <c r="C409628">
        <v>46.598</v>
      </c>
      <c r="D409628">
        <v>-6.291</v>
      </c>
    </row>
    <row r="409629">
      <c r="B409629">
        <v>2021</v>
      </c>
      <c r="C409629">
        <v>51.558</v>
      </c>
      <c r="D409629">
        <v>10.644</v>
      </c>
    </row>
    <row r="409630">
      <c r="B409630">
        <v>2022</v>
      </c>
      <c r="C409630">
        <v>57.208</v>
      </c>
      <c r="D409630">
        <v>10.96</v>
      </c>
    </row>
    <row r="409631">
      <c r="B409631">
        <v>2023</v>
      </c>
      <c r="C409631">
        <v>61.689</v>
      </c>
      <c r="D409631">
        <v>7.832</v>
      </c>
    </row>
    <row r="409632">
      <c r="B409632">
        <v>2024</v>
      </c>
      <c r="C409632">
        <v>67.505</v>
      </c>
      <c r="D409632">
        <v>9.429</v>
      </c>
    </row>
    <row r="409633">
      <c r="B409633">
        <v>2025</v>
      </c>
      <c r="C409633">
        <v>71.54</v>
      </c>
      <c r="D409633">
        <v>5.977</v>
      </c>
    </row>
    <row r="409634">
      <c r="B409634">
        <v>2026</v>
      </c>
      <c r="C409634">
        <v>75.117</v>
      </c>
      <c r="D409634">
        <v>5</v>
      </c>
    </row>
    <row r="409635">
      <c r="B409635">
        <v>2027</v>
      </c>
      <c r="C409635">
        <v>78.873</v>
      </c>
      <c r="D409635">
        <v>5</v>
      </c>
    </row>
    <row r="409636">
      <c r="B409636" t="str">
        <v>Estimates Start After</v>
      </c>
      <c r="C409636">
        <v>2024</v>
      </c>
      <c r="D409636">
        <v>2024</v>
      </c>
    </row>
    <row r="425985">
      <c r="B425985" t="str">
        <v>WEO Country Code</v>
      </c>
      <c r="C425985">
        <v>915</v>
      </c>
      <c r="D425985">
        <v>915</v>
      </c>
    </row>
    <row r="425986">
      <c r="B425986" t="str">
        <v>WEO Subject Code</v>
      </c>
      <c r="C425986" t="str">
        <v>NGDP_R</v>
      </c>
      <c r="D425986" t="str">
        <v>NGDP_RPCH</v>
      </c>
    </row>
    <row r="425987">
      <c r="B425987" t="str">
        <v>Country</v>
      </c>
      <c r="C425987" t="str">
        <v>Georgia</v>
      </c>
      <c r="D425987" t="str">
        <v>Georgia</v>
      </c>
    </row>
    <row r="425988">
      <c r="B425988" t="str">
        <v>Subject Descriptor</v>
      </c>
      <c r="C425988" t="str">
        <v>Gross domestic product, constant prices</v>
      </c>
      <c r="D425988" t="str">
        <v>Gross domestic product, constant prices</v>
      </c>
    </row>
    <row r="425989">
      <c r="B425989" t="str">
        <v>Units</v>
      </c>
      <c r="C425989" t="str">
        <v>National currency</v>
      </c>
      <c r="D425989" t="str">
        <v>Percent change</v>
      </c>
    </row>
    <row r="425990">
      <c r="B425990" t="str">
        <v>Scale</v>
      </c>
      <c r="C425990" t="str">
        <v>Billions</v>
      </c>
      <c r="D425990" t="str">
        <v>Units</v>
      </c>
    </row>
    <row r="425991">
      <c r="B425991" t="str">
        <v>Country/Series-specific Notes</v>
      </c>
      <c r="C42599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425991" t="str">
        <v>See notes for:  Gross domestic product, constant prices (National currency).</v>
      </c>
    </row>
    <row r="425992">
      <c r="B425992">
        <v>2000</v>
      </c>
      <c r="C425992">
        <v>16.963</v>
      </c>
      <c r="D425992">
        <v>1.865</v>
      </c>
    </row>
    <row r="425993">
      <c r="B425993">
        <v>2001</v>
      </c>
      <c r="C425993">
        <v>17.772</v>
      </c>
      <c r="D425993">
        <v>4.769</v>
      </c>
    </row>
    <row r="425994">
      <c r="B425994">
        <v>2002</v>
      </c>
      <c r="C425994">
        <v>18.747</v>
      </c>
      <c r="D425994">
        <v>5.487</v>
      </c>
    </row>
    <row r="425995">
      <c r="B425995">
        <v>2003</v>
      </c>
      <c r="C425995">
        <v>20.852</v>
      </c>
      <c r="D425995">
        <v>11.228</v>
      </c>
    </row>
    <row r="425996">
      <c r="B425996">
        <v>2004</v>
      </c>
      <c r="C425996">
        <v>22.061</v>
      </c>
      <c r="D425996">
        <v>5.796</v>
      </c>
    </row>
    <row r="425997">
      <c r="B425997">
        <v>2005</v>
      </c>
      <c r="C425997">
        <v>24.176</v>
      </c>
      <c r="D425997">
        <v>9.588</v>
      </c>
    </row>
    <row r="425998">
      <c r="B425998">
        <v>2006</v>
      </c>
      <c r="C425998">
        <v>26.454</v>
      </c>
      <c r="D425998">
        <v>9.42</v>
      </c>
    </row>
    <row r="425999">
      <c r="B425999">
        <v>2007</v>
      </c>
      <c r="C425999">
        <v>29.781</v>
      </c>
      <c r="D425999">
        <v>12.579</v>
      </c>
    </row>
    <row r="426000">
      <c r="B426000">
        <v>2008</v>
      </c>
      <c r="C426000">
        <v>30.502</v>
      </c>
      <c r="D426000">
        <v>2.419</v>
      </c>
    </row>
    <row r="426001">
      <c r="B426001">
        <v>2009</v>
      </c>
      <c r="C426001">
        <v>29.388</v>
      </c>
      <c r="D426001">
        <v>-3.651</v>
      </c>
    </row>
    <row r="426002">
      <c r="B426002">
        <v>2010</v>
      </c>
      <c r="C426002">
        <v>31.428</v>
      </c>
      <c r="D426002">
        <v>6.942</v>
      </c>
    </row>
    <row r="426003">
      <c r="B426003">
        <v>2011</v>
      </c>
      <c r="C426003">
        <v>33.927</v>
      </c>
      <c r="D426003">
        <v>7.949</v>
      </c>
    </row>
    <row r="426004">
      <c r="B426004">
        <v>2012</v>
      </c>
      <c r="C426004">
        <v>36.159</v>
      </c>
      <c r="D426004">
        <v>6.579</v>
      </c>
    </row>
    <row r="426005">
      <c r="B426005">
        <v>2013</v>
      </c>
      <c r="C426005">
        <v>38.015</v>
      </c>
      <c r="D426005">
        <v>5.134</v>
      </c>
    </row>
    <row r="426006">
      <c r="B426006">
        <v>2014</v>
      </c>
      <c r="C426006">
        <v>39.57</v>
      </c>
      <c r="D426006">
        <v>4.091</v>
      </c>
    </row>
    <row r="426007">
      <c r="B426007">
        <v>2015</v>
      </c>
      <c r="C426007">
        <v>40.896</v>
      </c>
      <c r="D426007">
        <v>3.351</v>
      </c>
    </row>
    <row r="426008">
      <c r="B426008">
        <v>2016</v>
      </c>
      <c r="C426008">
        <v>42.307</v>
      </c>
      <c r="D426008">
        <v>3.45</v>
      </c>
    </row>
    <row r="426009">
      <c r="B426009">
        <v>2017</v>
      </c>
      <c r="C426009">
        <v>44.49</v>
      </c>
      <c r="D426009">
        <v>5.161</v>
      </c>
    </row>
    <row r="426010">
      <c r="B426010">
        <v>2018</v>
      </c>
      <c r="C426010">
        <v>47.187</v>
      </c>
      <c r="D426010">
        <v>6.062</v>
      </c>
    </row>
    <row r="426011">
      <c r="B426011">
        <v>2019</v>
      </c>
      <c r="C426011">
        <v>49.726</v>
      </c>
      <c r="D426011">
        <v>5.38</v>
      </c>
    </row>
    <row r="426012">
      <c r="B426012">
        <v>2020</v>
      </c>
      <c r="C426012">
        <v>46.598</v>
      </c>
      <c r="D426012">
        <v>-6.291</v>
      </c>
    </row>
    <row r="426013">
      <c r="B426013">
        <v>2021</v>
      </c>
      <c r="C426013">
        <v>51.558</v>
      </c>
      <c r="D426013">
        <v>10.644</v>
      </c>
    </row>
    <row r="426014">
      <c r="B426014">
        <v>2022</v>
      </c>
      <c r="C426014">
        <v>57.208</v>
      </c>
      <c r="D426014">
        <v>10.96</v>
      </c>
    </row>
    <row r="426015">
      <c r="B426015">
        <v>2023</v>
      </c>
      <c r="C426015">
        <v>61.689</v>
      </c>
      <c r="D426015">
        <v>7.832</v>
      </c>
    </row>
    <row r="426016">
      <c r="B426016">
        <v>2024</v>
      </c>
      <c r="C426016">
        <v>67.505</v>
      </c>
      <c r="D426016">
        <v>9.429</v>
      </c>
    </row>
    <row r="426017">
      <c r="B426017">
        <v>2025</v>
      </c>
      <c r="C426017">
        <v>71.54</v>
      </c>
      <c r="D426017">
        <v>5.977</v>
      </c>
    </row>
    <row r="426018">
      <c r="B426018">
        <v>2026</v>
      </c>
      <c r="C426018">
        <v>75.117</v>
      </c>
      <c r="D426018">
        <v>5</v>
      </c>
    </row>
    <row r="426019">
      <c r="B426019">
        <v>2027</v>
      </c>
      <c r="C426019">
        <v>78.873</v>
      </c>
      <c r="D426019">
        <v>5</v>
      </c>
    </row>
    <row r="426020">
      <c r="B426020" t="str">
        <v>Estimates Start After</v>
      </c>
      <c r="C426020">
        <v>2024</v>
      </c>
      <c r="D426020">
        <v>2024</v>
      </c>
    </row>
    <row r="442369">
      <c r="B442369" t="str">
        <v>WEO Country Code</v>
      </c>
      <c r="C442369">
        <v>915</v>
      </c>
      <c r="D442369">
        <v>915</v>
      </c>
    </row>
    <row r="442370">
      <c r="B442370" t="str">
        <v>WEO Subject Code</v>
      </c>
      <c r="C442370" t="str">
        <v>NGDP_R</v>
      </c>
      <c r="D442370" t="str">
        <v>NGDP_RPCH</v>
      </c>
    </row>
    <row r="442371">
      <c r="B442371" t="str">
        <v>Country</v>
      </c>
      <c r="C442371" t="str">
        <v>Georgia</v>
      </c>
      <c r="D442371" t="str">
        <v>Georgia</v>
      </c>
    </row>
    <row r="442372">
      <c r="B442372" t="str">
        <v>Subject Descriptor</v>
      </c>
      <c r="C442372" t="str">
        <v>Gross domestic product, constant prices</v>
      </c>
      <c r="D442372" t="str">
        <v>Gross domestic product, constant prices</v>
      </c>
    </row>
    <row r="442373">
      <c r="B442373" t="str">
        <v>Units</v>
      </c>
      <c r="C442373" t="str">
        <v>National currency</v>
      </c>
      <c r="D442373" t="str">
        <v>Percent change</v>
      </c>
    </row>
    <row r="442374">
      <c r="B442374" t="str">
        <v>Scale</v>
      </c>
      <c r="C442374" t="str">
        <v>Billions</v>
      </c>
      <c r="D442374" t="str">
        <v>Units</v>
      </c>
    </row>
    <row r="442375">
      <c r="B442375" t="str">
        <v>Country/Series-specific Notes</v>
      </c>
      <c r="C44237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442375" t="str">
        <v>See notes for:  Gross domestic product, constant prices (National currency).</v>
      </c>
    </row>
    <row r="442376">
      <c r="B442376">
        <v>2000</v>
      </c>
      <c r="C442376">
        <v>16.963</v>
      </c>
      <c r="D442376">
        <v>1.865</v>
      </c>
    </row>
    <row r="442377">
      <c r="B442377">
        <v>2001</v>
      </c>
      <c r="C442377">
        <v>17.772</v>
      </c>
      <c r="D442377">
        <v>4.769</v>
      </c>
    </row>
    <row r="442378">
      <c r="B442378">
        <v>2002</v>
      </c>
      <c r="C442378">
        <v>18.747</v>
      </c>
      <c r="D442378">
        <v>5.487</v>
      </c>
    </row>
    <row r="442379">
      <c r="B442379">
        <v>2003</v>
      </c>
      <c r="C442379">
        <v>20.852</v>
      </c>
      <c r="D442379">
        <v>11.228</v>
      </c>
    </row>
    <row r="442380">
      <c r="B442380">
        <v>2004</v>
      </c>
      <c r="C442380">
        <v>22.061</v>
      </c>
      <c r="D442380">
        <v>5.796</v>
      </c>
    </row>
    <row r="442381">
      <c r="B442381">
        <v>2005</v>
      </c>
      <c r="C442381">
        <v>24.176</v>
      </c>
      <c r="D442381">
        <v>9.588</v>
      </c>
    </row>
    <row r="442382">
      <c r="B442382">
        <v>2006</v>
      </c>
      <c r="C442382">
        <v>26.454</v>
      </c>
      <c r="D442382">
        <v>9.42</v>
      </c>
    </row>
    <row r="442383">
      <c r="B442383">
        <v>2007</v>
      </c>
      <c r="C442383">
        <v>29.781</v>
      </c>
      <c r="D442383">
        <v>12.579</v>
      </c>
    </row>
    <row r="442384">
      <c r="B442384">
        <v>2008</v>
      </c>
      <c r="C442384">
        <v>30.502</v>
      </c>
      <c r="D442384">
        <v>2.419</v>
      </c>
    </row>
    <row r="442385">
      <c r="B442385">
        <v>2009</v>
      </c>
      <c r="C442385">
        <v>29.388</v>
      </c>
      <c r="D442385">
        <v>-3.651</v>
      </c>
    </row>
    <row r="442386">
      <c r="B442386">
        <v>2010</v>
      </c>
      <c r="C442386">
        <v>31.428</v>
      </c>
      <c r="D442386">
        <v>6.942</v>
      </c>
    </row>
    <row r="442387">
      <c r="B442387">
        <v>2011</v>
      </c>
      <c r="C442387">
        <v>33.927</v>
      </c>
      <c r="D442387">
        <v>7.949</v>
      </c>
    </row>
    <row r="442388">
      <c r="B442388">
        <v>2012</v>
      </c>
      <c r="C442388">
        <v>36.159</v>
      </c>
      <c r="D442388">
        <v>6.579</v>
      </c>
    </row>
    <row r="442389">
      <c r="B442389">
        <v>2013</v>
      </c>
      <c r="C442389">
        <v>38.015</v>
      </c>
      <c r="D442389">
        <v>5.134</v>
      </c>
    </row>
    <row r="442390">
      <c r="B442390">
        <v>2014</v>
      </c>
      <c r="C442390">
        <v>39.57</v>
      </c>
      <c r="D442390">
        <v>4.091</v>
      </c>
    </row>
    <row r="442391">
      <c r="B442391">
        <v>2015</v>
      </c>
      <c r="C442391">
        <v>40.896</v>
      </c>
      <c r="D442391">
        <v>3.351</v>
      </c>
    </row>
    <row r="442392">
      <c r="B442392">
        <v>2016</v>
      </c>
      <c r="C442392">
        <v>42.307</v>
      </c>
      <c r="D442392">
        <v>3.45</v>
      </c>
    </row>
    <row r="442393">
      <c r="B442393">
        <v>2017</v>
      </c>
      <c r="C442393">
        <v>44.49</v>
      </c>
      <c r="D442393">
        <v>5.161</v>
      </c>
    </row>
    <row r="442394">
      <c r="B442394">
        <v>2018</v>
      </c>
      <c r="C442394">
        <v>47.187</v>
      </c>
      <c r="D442394">
        <v>6.062</v>
      </c>
    </row>
    <row r="442395">
      <c r="B442395">
        <v>2019</v>
      </c>
      <c r="C442395">
        <v>49.726</v>
      </c>
      <c r="D442395">
        <v>5.38</v>
      </c>
    </row>
    <row r="442396">
      <c r="B442396">
        <v>2020</v>
      </c>
      <c r="C442396">
        <v>46.598</v>
      </c>
      <c r="D442396">
        <v>-6.291</v>
      </c>
    </row>
    <row r="442397">
      <c r="B442397">
        <v>2021</v>
      </c>
      <c r="C442397">
        <v>51.558</v>
      </c>
      <c r="D442397">
        <v>10.644</v>
      </c>
    </row>
    <row r="442398">
      <c r="B442398">
        <v>2022</v>
      </c>
      <c r="C442398">
        <v>57.208</v>
      </c>
      <c r="D442398">
        <v>10.96</v>
      </c>
    </row>
    <row r="442399">
      <c r="B442399">
        <v>2023</v>
      </c>
      <c r="C442399">
        <v>61.689</v>
      </c>
      <c r="D442399">
        <v>7.832</v>
      </c>
    </row>
    <row r="442400">
      <c r="B442400">
        <v>2024</v>
      </c>
      <c r="C442400">
        <v>67.505</v>
      </c>
      <c r="D442400">
        <v>9.429</v>
      </c>
    </row>
    <row r="442401">
      <c r="B442401">
        <v>2025</v>
      </c>
      <c r="C442401">
        <v>71.54</v>
      </c>
      <c r="D442401">
        <v>5.977</v>
      </c>
    </row>
    <row r="442402">
      <c r="B442402">
        <v>2026</v>
      </c>
      <c r="C442402">
        <v>75.117</v>
      </c>
      <c r="D442402">
        <v>5</v>
      </c>
    </row>
    <row r="442403">
      <c r="B442403">
        <v>2027</v>
      </c>
      <c r="C442403">
        <v>78.873</v>
      </c>
      <c r="D442403">
        <v>5</v>
      </c>
    </row>
    <row r="442404">
      <c r="B442404" t="str">
        <v>Estimates Start After</v>
      </c>
      <c r="C442404">
        <v>2024</v>
      </c>
      <c r="D442404">
        <v>2024</v>
      </c>
    </row>
    <row r="458753">
      <c r="B458753" t="str">
        <v>WEO Country Code</v>
      </c>
      <c r="C458753">
        <v>915</v>
      </c>
      <c r="D458753">
        <v>915</v>
      </c>
    </row>
    <row r="458754">
      <c r="B458754" t="str">
        <v>WEO Subject Code</v>
      </c>
      <c r="C458754" t="str">
        <v>NGDP_R</v>
      </c>
      <c r="D458754" t="str">
        <v>NGDP_RPCH</v>
      </c>
    </row>
    <row r="458755">
      <c r="B458755" t="str">
        <v>Country</v>
      </c>
      <c r="C458755" t="str">
        <v>Georgia</v>
      </c>
      <c r="D458755" t="str">
        <v>Georgia</v>
      </c>
    </row>
    <row r="458756">
      <c r="B458756" t="str">
        <v>Subject Descriptor</v>
      </c>
      <c r="C458756" t="str">
        <v>Gross domestic product, constant prices</v>
      </c>
      <c r="D458756" t="str">
        <v>Gross domestic product, constant prices</v>
      </c>
    </row>
    <row r="458757">
      <c r="B458757" t="str">
        <v>Units</v>
      </c>
      <c r="C458757" t="str">
        <v>National currency</v>
      </c>
      <c r="D458757" t="str">
        <v>Percent change</v>
      </c>
    </row>
    <row r="458758">
      <c r="B458758" t="str">
        <v>Scale</v>
      </c>
      <c r="C458758" t="str">
        <v>Billions</v>
      </c>
      <c r="D458758" t="str">
        <v>Units</v>
      </c>
    </row>
    <row r="458759">
      <c r="B458759" t="str">
        <v>Country/Series-specific Notes</v>
      </c>
      <c r="C45875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458759" t="str">
        <v>See notes for:  Gross domestic product, constant prices (National currency).</v>
      </c>
    </row>
    <row r="458760">
      <c r="B458760">
        <v>2000</v>
      </c>
      <c r="C458760">
        <v>16.963</v>
      </c>
      <c r="D458760">
        <v>1.865</v>
      </c>
    </row>
    <row r="458761">
      <c r="B458761">
        <v>2001</v>
      </c>
      <c r="C458761">
        <v>17.772</v>
      </c>
      <c r="D458761">
        <v>4.769</v>
      </c>
    </row>
    <row r="458762">
      <c r="B458762">
        <v>2002</v>
      </c>
      <c r="C458762">
        <v>18.747</v>
      </c>
      <c r="D458762">
        <v>5.487</v>
      </c>
    </row>
    <row r="458763">
      <c r="B458763">
        <v>2003</v>
      </c>
      <c r="C458763">
        <v>20.852</v>
      </c>
      <c r="D458763">
        <v>11.228</v>
      </c>
    </row>
    <row r="458764">
      <c r="B458764">
        <v>2004</v>
      </c>
      <c r="C458764">
        <v>22.061</v>
      </c>
      <c r="D458764">
        <v>5.796</v>
      </c>
    </row>
    <row r="458765">
      <c r="B458765">
        <v>2005</v>
      </c>
      <c r="C458765">
        <v>24.176</v>
      </c>
      <c r="D458765">
        <v>9.588</v>
      </c>
    </row>
    <row r="458766">
      <c r="B458766">
        <v>2006</v>
      </c>
      <c r="C458766">
        <v>26.454</v>
      </c>
      <c r="D458766">
        <v>9.42</v>
      </c>
    </row>
    <row r="458767">
      <c r="B458767">
        <v>2007</v>
      </c>
      <c r="C458767">
        <v>29.781</v>
      </c>
      <c r="D458767">
        <v>12.579</v>
      </c>
    </row>
    <row r="458768">
      <c r="B458768">
        <v>2008</v>
      </c>
      <c r="C458768">
        <v>30.502</v>
      </c>
      <c r="D458768">
        <v>2.419</v>
      </c>
    </row>
    <row r="458769">
      <c r="B458769">
        <v>2009</v>
      </c>
      <c r="C458769">
        <v>29.388</v>
      </c>
      <c r="D458769">
        <v>-3.651</v>
      </c>
    </row>
    <row r="458770">
      <c r="B458770">
        <v>2010</v>
      </c>
      <c r="C458770">
        <v>31.428</v>
      </c>
      <c r="D458770">
        <v>6.942</v>
      </c>
    </row>
    <row r="458771">
      <c r="B458771">
        <v>2011</v>
      </c>
      <c r="C458771">
        <v>33.927</v>
      </c>
      <c r="D458771">
        <v>7.949</v>
      </c>
    </row>
    <row r="458772">
      <c r="B458772">
        <v>2012</v>
      </c>
      <c r="C458772">
        <v>36.159</v>
      </c>
      <c r="D458772">
        <v>6.579</v>
      </c>
    </row>
    <row r="458773">
      <c r="B458773">
        <v>2013</v>
      </c>
      <c r="C458773">
        <v>38.015</v>
      </c>
      <c r="D458773">
        <v>5.134</v>
      </c>
    </row>
    <row r="458774">
      <c r="B458774">
        <v>2014</v>
      </c>
      <c r="C458774">
        <v>39.57</v>
      </c>
      <c r="D458774">
        <v>4.091</v>
      </c>
    </row>
    <row r="458775">
      <c r="B458775">
        <v>2015</v>
      </c>
      <c r="C458775">
        <v>40.896</v>
      </c>
      <c r="D458775">
        <v>3.351</v>
      </c>
    </row>
    <row r="458776">
      <c r="B458776">
        <v>2016</v>
      </c>
      <c r="C458776">
        <v>42.307</v>
      </c>
      <c r="D458776">
        <v>3.45</v>
      </c>
    </row>
    <row r="458777">
      <c r="B458777">
        <v>2017</v>
      </c>
      <c r="C458777">
        <v>44.49</v>
      </c>
      <c r="D458777">
        <v>5.161</v>
      </c>
    </row>
    <row r="458778">
      <c r="B458778">
        <v>2018</v>
      </c>
      <c r="C458778">
        <v>47.187</v>
      </c>
      <c r="D458778">
        <v>6.062</v>
      </c>
    </row>
    <row r="458779">
      <c r="B458779">
        <v>2019</v>
      </c>
      <c r="C458779">
        <v>49.726</v>
      </c>
      <c r="D458779">
        <v>5.38</v>
      </c>
    </row>
    <row r="458780">
      <c r="B458780">
        <v>2020</v>
      </c>
      <c r="C458780">
        <v>46.598</v>
      </c>
      <c r="D458780">
        <v>-6.291</v>
      </c>
    </row>
    <row r="458781">
      <c r="B458781">
        <v>2021</v>
      </c>
      <c r="C458781">
        <v>51.558</v>
      </c>
      <c r="D458781">
        <v>10.644</v>
      </c>
    </row>
    <row r="458782">
      <c r="B458782">
        <v>2022</v>
      </c>
      <c r="C458782">
        <v>57.208</v>
      </c>
      <c r="D458782">
        <v>10.96</v>
      </c>
    </row>
    <row r="458783">
      <c r="B458783">
        <v>2023</v>
      </c>
      <c r="C458783">
        <v>61.689</v>
      </c>
      <c r="D458783">
        <v>7.832</v>
      </c>
    </row>
    <row r="458784">
      <c r="B458784">
        <v>2024</v>
      </c>
      <c r="C458784">
        <v>67.505</v>
      </c>
      <c r="D458784">
        <v>9.429</v>
      </c>
    </row>
    <row r="458785">
      <c r="B458785">
        <v>2025</v>
      </c>
      <c r="C458785">
        <v>71.54</v>
      </c>
      <c r="D458785">
        <v>5.977</v>
      </c>
    </row>
    <row r="458786">
      <c r="B458786">
        <v>2026</v>
      </c>
      <c r="C458786">
        <v>75.117</v>
      </c>
      <c r="D458786">
        <v>5</v>
      </c>
    </row>
    <row r="458787">
      <c r="B458787">
        <v>2027</v>
      </c>
      <c r="C458787">
        <v>78.873</v>
      </c>
      <c r="D458787">
        <v>5</v>
      </c>
    </row>
    <row r="458788">
      <c r="B458788" t="str">
        <v>Estimates Start After</v>
      </c>
      <c r="C458788">
        <v>2024</v>
      </c>
      <c r="D458788">
        <v>2024</v>
      </c>
    </row>
    <row r="475137">
      <c r="B475137" t="str">
        <v>WEO Country Code</v>
      </c>
      <c r="C475137">
        <v>915</v>
      </c>
      <c r="D475137">
        <v>915</v>
      </c>
    </row>
    <row r="475138">
      <c r="B475138" t="str">
        <v>WEO Subject Code</v>
      </c>
      <c r="C475138" t="str">
        <v>NGDP_R</v>
      </c>
      <c r="D475138" t="str">
        <v>NGDP_RPCH</v>
      </c>
    </row>
    <row r="475139">
      <c r="B475139" t="str">
        <v>Country</v>
      </c>
      <c r="C475139" t="str">
        <v>Georgia</v>
      </c>
      <c r="D475139" t="str">
        <v>Georgia</v>
      </c>
    </row>
    <row r="475140">
      <c r="B475140" t="str">
        <v>Subject Descriptor</v>
      </c>
      <c r="C475140" t="str">
        <v>Gross domestic product, constant prices</v>
      </c>
      <c r="D475140" t="str">
        <v>Gross domestic product, constant prices</v>
      </c>
    </row>
    <row r="475141">
      <c r="B475141" t="str">
        <v>Units</v>
      </c>
      <c r="C475141" t="str">
        <v>National currency</v>
      </c>
      <c r="D475141" t="str">
        <v>Percent change</v>
      </c>
    </row>
    <row r="475142">
      <c r="B475142" t="str">
        <v>Scale</v>
      </c>
      <c r="C475142" t="str">
        <v>Billions</v>
      </c>
      <c r="D475142" t="str">
        <v>Units</v>
      </c>
    </row>
    <row r="475143">
      <c r="B475143" t="str">
        <v>Country/Series-specific Notes</v>
      </c>
      <c r="C47514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475143" t="str">
        <v>See notes for:  Gross domestic product, constant prices (National currency).</v>
      </c>
    </row>
    <row r="475144">
      <c r="B475144">
        <v>2000</v>
      </c>
      <c r="C475144">
        <v>16.963</v>
      </c>
      <c r="D475144">
        <v>1.865</v>
      </c>
    </row>
    <row r="475145">
      <c r="B475145">
        <v>2001</v>
      </c>
      <c r="C475145">
        <v>17.772</v>
      </c>
      <c r="D475145">
        <v>4.769</v>
      </c>
    </row>
    <row r="475146">
      <c r="B475146">
        <v>2002</v>
      </c>
      <c r="C475146">
        <v>18.747</v>
      </c>
      <c r="D475146">
        <v>5.487</v>
      </c>
    </row>
    <row r="475147">
      <c r="B475147">
        <v>2003</v>
      </c>
      <c r="C475147">
        <v>20.852</v>
      </c>
      <c r="D475147">
        <v>11.228</v>
      </c>
    </row>
    <row r="475148">
      <c r="B475148">
        <v>2004</v>
      </c>
      <c r="C475148">
        <v>22.061</v>
      </c>
      <c r="D475148">
        <v>5.796</v>
      </c>
    </row>
    <row r="475149">
      <c r="B475149">
        <v>2005</v>
      </c>
      <c r="C475149">
        <v>24.176</v>
      </c>
      <c r="D475149">
        <v>9.588</v>
      </c>
    </row>
    <row r="475150">
      <c r="B475150">
        <v>2006</v>
      </c>
      <c r="C475150">
        <v>26.454</v>
      </c>
      <c r="D475150">
        <v>9.42</v>
      </c>
    </row>
    <row r="475151">
      <c r="B475151">
        <v>2007</v>
      </c>
      <c r="C475151">
        <v>29.781</v>
      </c>
      <c r="D475151">
        <v>12.579</v>
      </c>
    </row>
    <row r="475152">
      <c r="B475152">
        <v>2008</v>
      </c>
      <c r="C475152">
        <v>30.502</v>
      </c>
      <c r="D475152">
        <v>2.419</v>
      </c>
    </row>
    <row r="475153">
      <c r="B475153">
        <v>2009</v>
      </c>
      <c r="C475153">
        <v>29.388</v>
      </c>
      <c r="D475153">
        <v>-3.651</v>
      </c>
    </row>
    <row r="475154">
      <c r="B475154">
        <v>2010</v>
      </c>
      <c r="C475154">
        <v>31.428</v>
      </c>
      <c r="D475154">
        <v>6.942</v>
      </c>
    </row>
    <row r="475155">
      <c r="B475155">
        <v>2011</v>
      </c>
      <c r="C475155">
        <v>33.927</v>
      </c>
      <c r="D475155">
        <v>7.949</v>
      </c>
    </row>
    <row r="475156">
      <c r="B475156">
        <v>2012</v>
      </c>
      <c r="C475156">
        <v>36.159</v>
      </c>
      <c r="D475156">
        <v>6.579</v>
      </c>
    </row>
    <row r="475157">
      <c r="B475157">
        <v>2013</v>
      </c>
      <c r="C475157">
        <v>38.015</v>
      </c>
      <c r="D475157">
        <v>5.134</v>
      </c>
    </row>
    <row r="475158">
      <c r="B475158">
        <v>2014</v>
      </c>
      <c r="C475158">
        <v>39.57</v>
      </c>
      <c r="D475158">
        <v>4.091</v>
      </c>
    </row>
    <row r="475159">
      <c r="B475159">
        <v>2015</v>
      </c>
      <c r="C475159">
        <v>40.896</v>
      </c>
      <c r="D475159">
        <v>3.351</v>
      </c>
    </row>
    <row r="475160">
      <c r="B475160">
        <v>2016</v>
      </c>
      <c r="C475160">
        <v>42.307</v>
      </c>
      <c r="D475160">
        <v>3.45</v>
      </c>
    </row>
    <row r="475161">
      <c r="B475161">
        <v>2017</v>
      </c>
      <c r="C475161">
        <v>44.49</v>
      </c>
      <c r="D475161">
        <v>5.161</v>
      </c>
    </row>
    <row r="475162">
      <c r="B475162">
        <v>2018</v>
      </c>
      <c r="C475162">
        <v>47.187</v>
      </c>
      <c r="D475162">
        <v>6.062</v>
      </c>
    </row>
    <row r="475163">
      <c r="B475163">
        <v>2019</v>
      </c>
      <c r="C475163">
        <v>49.726</v>
      </c>
      <c r="D475163">
        <v>5.38</v>
      </c>
    </row>
    <row r="475164">
      <c r="B475164">
        <v>2020</v>
      </c>
      <c r="C475164">
        <v>46.598</v>
      </c>
      <c r="D475164">
        <v>-6.291</v>
      </c>
    </row>
    <row r="475165">
      <c r="B475165">
        <v>2021</v>
      </c>
      <c r="C475165">
        <v>51.558</v>
      </c>
      <c r="D475165">
        <v>10.644</v>
      </c>
    </row>
    <row r="475166">
      <c r="B475166">
        <v>2022</v>
      </c>
      <c r="C475166">
        <v>57.208</v>
      </c>
      <c r="D475166">
        <v>10.96</v>
      </c>
    </row>
    <row r="475167">
      <c r="B475167">
        <v>2023</v>
      </c>
      <c r="C475167">
        <v>61.689</v>
      </c>
      <c r="D475167">
        <v>7.832</v>
      </c>
    </row>
    <row r="475168">
      <c r="B475168">
        <v>2024</v>
      </c>
      <c r="C475168">
        <v>67.505</v>
      </c>
      <c r="D475168">
        <v>9.429</v>
      </c>
    </row>
    <row r="475169">
      <c r="B475169">
        <v>2025</v>
      </c>
      <c r="C475169">
        <v>71.54</v>
      </c>
      <c r="D475169">
        <v>5.977</v>
      </c>
    </row>
    <row r="475170">
      <c r="B475170">
        <v>2026</v>
      </c>
      <c r="C475170">
        <v>75.117</v>
      </c>
      <c r="D475170">
        <v>5</v>
      </c>
    </row>
    <row r="475171">
      <c r="B475171">
        <v>2027</v>
      </c>
      <c r="C475171">
        <v>78.873</v>
      </c>
      <c r="D475171">
        <v>5</v>
      </c>
    </row>
    <row r="475172">
      <c r="B475172" t="str">
        <v>Estimates Start After</v>
      </c>
      <c r="C475172">
        <v>2024</v>
      </c>
      <c r="D475172">
        <v>2024</v>
      </c>
    </row>
    <row r="491521">
      <c r="B491521" t="str">
        <v>WEO Country Code</v>
      </c>
      <c r="C491521">
        <v>915</v>
      </c>
      <c r="D491521">
        <v>915</v>
      </c>
    </row>
    <row r="491522">
      <c r="B491522" t="str">
        <v>WEO Subject Code</v>
      </c>
      <c r="C491522" t="str">
        <v>NGDP_R</v>
      </c>
      <c r="D491522" t="str">
        <v>NGDP_RPCH</v>
      </c>
    </row>
    <row r="491523">
      <c r="B491523" t="str">
        <v>Country</v>
      </c>
      <c r="C491523" t="str">
        <v>Georgia</v>
      </c>
      <c r="D491523" t="str">
        <v>Georgia</v>
      </c>
    </row>
    <row r="491524">
      <c r="B491524" t="str">
        <v>Subject Descriptor</v>
      </c>
      <c r="C491524" t="str">
        <v>Gross domestic product, constant prices</v>
      </c>
      <c r="D491524" t="str">
        <v>Gross domestic product, constant prices</v>
      </c>
    </row>
    <row r="491525">
      <c r="B491525" t="str">
        <v>Units</v>
      </c>
      <c r="C491525" t="str">
        <v>National currency</v>
      </c>
      <c r="D491525" t="str">
        <v>Percent change</v>
      </c>
    </row>
    <row r="491526">
      <c r="B491526" t="str">
        <v>Scale</v>
      </c>
      <c r="C491526" t="str">
        <v>Billions</v>
      </c>
      <c r="D491526" t="str">
        <v>Units</v>
      </c>
    </row>
    <row r="491527">
      <c r="B491527" t="str">
        <v>Country/Series-specific Notes</v>
      </c>
      <c r="C49152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491527" t="str">
        <v>See notes for:  Gross domestic product, constant prices (National currency).</v>
      </c>
    </row>
    <row r="491528">
      <c r="B491528">
        <v>2000</v>
      </c>
      <c r="C491528">
        <v>16.963</v>
      </c>
      <c r="D491528">
        <v>1.865</v>
      </c>
    </row>
    <row r="491529">
      <c r="B491529">
        <v>2001</v>
      </c>
      <c r="C491529">
        <v>17.772</v>
      </c>
      <c r="D491529">
        <v>4.769</v>
      </c>
    </row>
    <row r="491530">
      <c r="B491530">
        <v>2002</v>
      </c>
      <c r="C491530">
        <v>18.747</v>
      </c>
      <c r="D491530">
        <v>5.487</v>
      </c>
    </row>
    <row r="491531">
      <c r="B491531">
        <v>2003</v>
      </c>
      <c r="C491531">
        <v>20.852</v>
      </c>
      <c r="D491531">
        <v>11.228</v>
      </c>
    </row>
    <row r="491532">
      <c r="B491532">
        <v>2004</v>
      </c>
      <c r="C491532">
        <v>22.061</v>
      </c>
      <c r="D491532">
        <v>5.796</v>
      </c>
    </row>
    <row r="491533">
      <c r="B491533">
        <v>2005</v>
      </c>
      <c r="C491533">
        <v>24.176</v>
      </c>
      <c r="D491533">
        <v>9.588</v>
      </c>
    </row>
    <row r="491534">
      <c r="B491534">
        <v>2006</v>
      </c>
      <c r="C491534">
        <v>26.454</v>
      </c>
      <c r="D491534">
        <v>9.42</v>
      </c>
    </row>
    <row r="491535">
      <c r="B491535">
        <v>2007</v>
      </c>
      <c r="C491535">
        <v>29.781</v>
      </c>
      <c r="D491535">
        <v>12.579</v>
      </c>
    </row>
    <row r="491536">
      <c r="B491536">
        <v>2008</v>
      </c>
      <c r="C491536">
        <v>30.502</v>
      </c>
      <c r="D491536">
        <v>2.419</v>
      </c>
    </row>
    <row r="491537">
      <c r="B491537">
        <v>2009</v>
      </c>
      <c r="C491537">
        <v>29.388</v>
      </c>
      <c r="D491537">
        <v>-3.651</v>
      </c>
    </row>
    <row r="491538">
      <c r="B491538">
        <v>2010</v>
      </c>
      <c r="C491538">
        <v>31.428</v>
      </c>
      <c r="D491538">
        <v>6.942</v>
      </c>
    </row>
    <row r="491539">
      <c r="B491539">
        <v>2011</v>
      </c>
      <c r="C491539">
        <v>33.927</v>
      </c>
      <c r="D491539">
        <v>7.949</v>
      </c>
    </row>
    <row r="491540">
      <c r="B491540">
        <v>2012</v>
      </c>
      <c r="C491540">
        <v>36.159</v>
      </c>
      <c r="D491540">
        <v>6.579</v>
      </c>
    </row>
    <row r="491541">
      <c r="B491541">
        <v>2013</v>
      </c>
      <c r="C491541">
        <v>38.015</v>
      </c>
      <c r="D491541">
        <v>5.134</v>
      </c>
    </row>
    <row r="491542">
      <c r="B491542">
        <v>2014</v>
      </c>
      <c r="C491542">
        <v>39.57</v>
      </c>
      <c r="D491542">
        <v>4.091</v>
      </c>
    </row>
    <row r="491543">
      <c r="B491543">
        <v>2015</v>
      </c>
      <c r="C491543">
        <v>40.896</v>
      </c>
      <c r="D491543">
        <v>3.351</v>
      </c>
    </row>
    <row r="491544">
      <c r="B491544">
        <v>2016</v>
      </c>
      <c r="C491544">
        <v>42.307</v>
      </c>
      <c r="D491544">
        <v>3.45</v>
      </c>
    </row>
    <row r="491545">
      <c r="B491545">
        <v>2017</v>
      </c>
      <c r="C491545">
        <v>44.49</v>
      </c>
      <c r="D491545">
        <v>5.161</v>
      </c>
    </row>
    <row r="491546">
      <c r="B491546">
        <v>2018</v>
      </c>
      <c r="C491546">
        <v>47.187</v>
      </c>
      <c r="D491546">
        <v>6.062</v>
      </c>
    </row>
    <row r="491547">
      <c r="B491547">
        <v>2019</v>
      </c>
      <c r="C491547">
        <v>49.726</v>
      </c>
      <c r="D491547">
        <v>5.38</v>
      </c>
    </row>
    <row r="491548">
      <c r="B491548">
        <v>2020</v>
      </c>
      <c r="C491548">
        <v>46.598</v>
      </c>
      <c r="D491548">
        <v>-6.291</v>
      </c>
    </row>
    <row r="491549">
      <c r="B491549">
        <v>2021</v>
      </c>
      <c r="C491549">
        <v>51.558</v>
      </c>
      <c r="D491549">
        <v>10.644</v>
      </c>
    </row>
    <row r="491550">
      <c r="B491550">
        <v>2022</v>
      </c>
      <c r="C491550">
        <v>57.208</v>
      </c>
      <c r="D491550">
        <v>10.96</v>
      </c>
    </row>
    <row r="491551">
      <c r="B491551">
        <v>2023</v>
      </c>
      <c r="C491551">
        <v>61.689</v>
      </c>
      <c r="D491551">
        <v>7.832</v>
      </c>
    </row>
    <row r="491552">
      <c r="B491552">
        <v>2024</v>
      </c>
      <c r="C491552">
        <v>67.505</v>
      </c>
      <c r="D491552">
        <v>9.429</v>
      </c>
    </row>
    <row r="491553">
      <c r="B491553">
        <v>2025</v>
      </c>
      <c r="C491553">
        <v>71.54</v>
      </c>
      <c r="D491553">
        <v>5.977</v>
      </c>
    </row>
    <row r="491554">
      <c r="B491554">
        <v>2026</v>
      </c>
      <c r="C491554">
        <v>75.117</v>
      </c>
      <c r="D491554">
        <v>5</v>
      </c>
    </row>
    <row r="491555">
      <c r="B491555">
        <v>2027</v>
      </c>
      <c r="C491555">
        <v>78.873</v>
      </c>
      <c r="D491555">
        <v>5</v>
      </c>
    </row>
    <row r="491556">
      <c r="B491556" t="str">
        <v>Estimates Start After</v>
      </c>
      <c r="C491556">
        <v>2024</v>
      </c>
      <c r="D491556">
        <v>2024</v>
      </c>
    </row>
    <row r="507905">
      <c r="B507905" t="str">
        <v>WEO Country Code</v>
      </c>
      <c r="C507905">
        <v>915</v>
      </c>
      <c r="D507905">
        <v>915</v>
      </c>
    </row>
    <row r="507906">
      <c r="B507906" t="str">
        <v>WEO Subject Code</v>
      </c>
      <c r="C507906" t="str">
        <v>NGDP_R</v>
      </c>
      <c r="D507906" t="str">
        <v>NGDP_RPCH</v>
      </c>
    </row>
    <row r="507907">
      <c r="B507907" t="str">
        <v>Country</v>
      </c>
      <c r="C507907" t="str">
        <v>Georgia</v>
      </c>
      <c r="D507907" t="str">
        <v>Georgia</v>
      </c>
    </row>
    <row r="507908">
      <c r="B507908" t="str">
        <v>Subject Descriptor</v>
      </c>
      <c r="C507908" t="str">
        <v>Gross domestic product, constant prices</v>
      </c>
      <c r="D507908" t="str">
        <v>Gross domestic product, constant prices</v>
      </c>
    </row>
    <row r="507909">
      <c r="B507909" t="str">
        <v>Units</v>
      </c>
      <c r="C507909" t="str">
        <v>National currency</v>
      </c>
      <c r="D507909" t="str">
        <v>Percent change</v>
      </c>
    </row>
    <row r="507910">
      <c r="B507910" t="str">
        <v>Scale</v>
      </c>
      <c r="C507910" t="str">
        <v>Billions</v>
      </c>
      <c r="D507910" t="str">
        <v>Units</v>
      </c>
    </row>
    <row r="507911">
      <c r="B507911" t="str">
        <v>Country/Series-specific Notes</v>
      </c>
      <c r="C50791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507911" t="str">
        <v>See notes for:  Gross domestic product, constant prices (National currency).</v>
      </c>
    </row>
    <row r="507912">
      <c r="B507912">
        <v>2000</v>
      </c>
      <c r="C507912">
        <v>16.963</v>
      </c>
      <c r="D507912">
        <v>1.865</v>
      </c>
    </row>
    <row r="507913">
      <c r="B507913">
        <v>2001</v>
      </c>
      <c r="C507913">
        <v>17.772</v>
      </c>
      <c r="D507913">
        <v>4.769</v>
      </c>
    </row>
    <row r="507914">
      <c r="B507914">
        <v>2002</v>
      </c>
      <c r="C507914">
        <v>18.747</v>
      </c>
      <c r="D507914">
        <v>5.487</v>
      </c>
    </row>
    <row r="507915">
      <c r="B507915">
        <v>2003</v>
      </c>
      <c r="C507915">
        <v>20.852</v>
      </c>
      <c r="D507915">
        <v>11.228</v>
      </c>
    </row>
    <row r="507916">
      <c r="B507916">
        <v>2004</v>
      </c>
      <c r="C507916">
        <v>22.061</v>
      </c>
      <c r="D507916">
        <v>5.796</v>
      </c>
    </row>
    <row r="507917">
      <c r="B507917">
        <v>2005</v>
      </c>
      <c r="C507917">
        <v>24.176</v>
      </c>
      <c r="D507917">
        <v>9.588</v>
      </c>
    </row>
    <row r="507918">
      <c r="B507918">
        <v>2006</v>
      </c>
      <c r="C507918">
        <v>26.454</v>
      </c>
      <c r="D507918">
        <v>9.42</v>
      </c>
    </row>
    <row r="507919">
      <c r="B507919">
        <v>2007</v>
      </c>
      <c r="C507919">
        <v>29.781</v>
      </c>
      <c r="D507919">
        <v>12.579</v>
      </c>
    </row>
    <row r="507920">
      <c r="B507920">
        <v>2008</v>
      </c>
      <c r="C507920">
        <v>30.502</v>
      </c>
      <c r="D507920">
        <v>2.419</v>
      </c>
    </row>
    <row r="507921">
      <c r="B507921">
        <v>2009</v>
      </c>
      <c r="C507921">
        <v>29.388</v>
      </c>
      <c r="D507921">
        <v>-3.651</v>
      </c>
    </row>
    <row r="507922">
      <c r="B507922">
        <v>2010</v>
      </c>
      <c r="C507922">
        <v>31.428</v>
      </c>
      <c r="D507922">
        <v>6.942</v>
      </c>
    </row>
    <row r="507923">
      <c r="B507923">
        <v>2011</v>
      </c>
      <c r="C507923">
        <v>33.927</v>
      </c>
      <c r="D507923">
        <v>7.949</v>
      </c>
    </row>
    <row r="507924">
      <c r="B507924">
        <v>2012</v>
      </c>
      <c r="C507924">
        <v>36.159</v>
      </c>
      <c r="D507924">
        <v>6.579</v>
      </c>
    </row>
    <row r="507925">
      <c r="B507925">
        <v>2013</v>
      </c>
      <c r="C507925">
        <v>38.015</v>
      </c>
      <c r="D507925">
        <v>5.134</v>
      </c>
    </row>
    <row r="507926">
      <c r="B507926">
        <v>2014</v>
      </c>
      <c r="C507926">
        <v>39.57</v>
      </c>
      <c r="D507926">
        <v>4.091</v>
      </c>
    </row>
    <row r="507927">
      <c r="B507927">
        <v>2015</v>
      </c>
      <c r="C507927">
        <v>40.896</v>
      </c>
      <c r="D507927">
        <v>3.351</v>
      </c>
    </row>
    <row r="507928">
      <c r="B507928">
        <v>2016</v>
      </c>
      <c r="C507928">
        <v>42.307</v>
      </c>
      <c r="D507928">
        <v>3.45</v>
      </c>
    </row>
    <row r="507929">
      <c r="B507929">
        <v>2017</v>
      </c>
      <c r="C507929">
        <v>44.49</v>
      </c>
      <c r="D507929">
        <v>5.161</v>
      </c>
    </row>
    <row r="507930">
      <c r="B507930">
        <v>2018</v>
      </c>
      <c r="C507930">
        <v>47.187</v>
      </c>
      <c r="D507930">
        <v>6.062</v>
      </c>
    </row>
    <row r="507931">
      <c r="B507931">
        <v>2019</v>
      </c>
      <c r="C507931">
        <v>49.726</v>
      </c>
      <c r="D507931">
        <v>5.38</v>
      </c>
    </row>
    <row r="507932">
      <c r="B507932">
        <v>2020</v>
      </c>
      <c r="C507932">
        <v>46.598</v>
      </c>
      <c r="D507932">
        <v>-6.291</v>
      </c>
    </row>
    <row r="507933">
      <c r="B507933">
        <v>2021</v>
      </c>
      <c r="C507933">
        <v>51.558</v>
      </c>
      <c r="D507933">
        <v>10.644</v>
      </c>
    </row>
    <row r="507934">
      <c r="B507934">
        <v>2022</v>
      </c>
      <c r="C507934">
        <v>57.208</v>
      </c>
      <c r="D507934">
        <v>10.96</v>
      </c>
    </row>
    <row r="507935">
      <c r="B507935">
        <v>2023</v>
      </c>
      <c r="C507935">
        <v>61.689</v>
      </c>
      <c r="D507935">
        <v>7.832</v>
      </c>
    </row>
    <row r="507936">
      <c r="B507936">
        <v>2024</v>
      </c>
      <c r="C507936">
        <v>67.505</v>
      </c>
      <c r="D507936">
        <v>9.429</v>
      </c>
    </row>
    <row r="507937">
      <c r="B507937">
        <v>2025</v>
      </c>
      <c r="C507937">
        <v>71.54</v>
      </c>
      <c r="D507937">
        <v>5.977</v>
      </c>
    </row>
    <row r="507938">
      <c r="B507938">
        <v>2026</v>
      </c>
      <c r="C507938">
        <v>75.117</v>
      </c>
      <c r="D507938">
        <v>5</v>
      </c>
    </row>
    <row r="507939">
      <c r="B507939">
        <v>2027</v>
      </c>
      <c r="C507939">
        <v>78.873</v>
      </c>
      <c r="D507939">
        <v>5</v>
      </c>
    </row>
    <row r="507940">
      <c r="B507940" t="str">
        <v>Estimates Start After</v>
      </c>
      <c r="C507940">
        <v>2024</v>
      </c>
      <c r="D507940">
        <v>2024</v>
      </c>
    </row>
    <row r="524289">
      <c r="B524289" t="str">
        <v>WEO Country Code</v>
      </c>
      <c r="C524289">
        <v>915</v>
      </c>
      <c r="D524289">
        <v>915</v>
      </c>
    </row>
    <row r="524290">
      <c r="B524290" t="str">
        <v>WEO Subject Code</v>
      </c>
      <c r="C524290" t="str">
        <v>NGDP_R</v>
      </c>
      <c r="D524290" t="str">
        <v>NGDP_RPCH</v>
      </c>
    </row>
    <row r="524291">
      <c r="B524291" t="str">
        <v>Country</v>
      </c>
      <c r="C524291" t="str">
        <v>Georgia</v>
      </c>
      <c r="D524291" t="str">
        <v>Georgia</v>
      </c>
    </row>
    <row r="524292">
      <c r="B524292" t="str">
        <v>Subject Descriptor</v>
      </c>
      <c r="C524292" t="str">
        <v>Gross domestic product, constant prices</v>
      </c>
      <c r="D524292" t="str">
        <v>Gross domestic product, constant prices</v>
      </c>
    </row>
    <row r="524293">
      <c r="B524293" t="str">
        <v>Units</v>
      </c>
      <c r="C524293" t="str">
        <v>National currency</v>
      </c>
      <c r="D524293" t="str">
        <v>Percent change</v>
      </c>
    </row>
    <row r="524294">
      <c r="B524294" t="str">
        <v>Scale</v>
      </c>
      <c r="C524294" t="str">
        <v>Billions</v>
      </c>
      <c r="D524294" t="str">
        <v>Units</v>
      </c>
    </row>
    <row r="524295">
      <c r="B524295" t="str">
        <v>Country/Series-specific Notes</v>
      </c>
      <c r="C52429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524295" t="str">
        <v>See notes for:  Gross domestic product, constant prices (National currency).</v>
      </c>
    </row>
    <row r="524296">
      <c r="B524296">
        <v>2000</v>
      </c>
      <c r="C524296">
        <v>16.963</v>
      </c>
      <c r="D524296">
        <v>1.865</v>
      </c>
    </row>
    <row r="524297">
      <c r="B524297">
        <v>2001</v>
      </c>
      <c r="C524297">
        <v>17.772</v>
      </c>
      <c r="D524297">
        <v>4.769</v>
      </c>
    </row>
    <row r="524298">
      <c r="B524298">
        <v>2002</v>
      </c>
      <c r="C524298">
        <v>18.747</v>
      </c>
      <c r="D524298">
        <v>5.487</v>
      </c>
    </row>
    <row r="524299">
      <c r="B524299">
        <v>2003</v>
      </c>
      <c r="C524299">
        <v>20.852</v>
      </c>
      <c r="D524299">
        <v>11.228</v>
      </c>
    </row>
    <row r="524300">
      <c r="B524300">
        <v>2004</v>
      </c>
      <c r="C524300">
        <v>22.061</v>
      </c>
      <c r="D524300">
        <v>5.796</v>
      </c>
    </row>
    <row r="524301">
      <c r="B524301">
        <v>2005</v>
      </c>
      <c r="C524301">
        <v>24.176</v>
      </c>
      <c r="D524301">
        <v>9.588</v>
      </c>
    </row>
    <row r="524302">
      <c r="B524302">
        <v>2006</v>
      </c>
      <c r="C524302">
        <v>26.454</v>
      </c>
      <c r="D524302">
        <v>9.42</v>
      </c>
    </row>
    <row r="524303">
      <c r="B524303">
        <v>2007</v>
      </c>
      <c r="C524303">
        <v>29.781</v>
      </c>
      <c r="D524303">
        <v>12.579</v>
      </c>
    </row>
    <row r="524304">
      <c r="B524304">
        <v>2008</v>
      </c>
      <c r="C524304">
        <v>30.502</v>
      </c>
      <c r="D524304">
        <v>2.419</v>
      </c>
    </row>
    <row r="524305">
      <c r="B524305">
        <v>2009</v>
      </c>
      <c r="C524305">
        <v>29.388</v>
      </c>
      <c r="D524305">
        <v>-3.651</v>
      </c>
    </row>
    <row r="524306">
      <c r="B524306">
        <v>2010</v>
      </c>
      <c r="C524306">
        <v>31.428</v>
      </c>
      <c r="D524306">
        <v>6.942</v>
      </c>
    </row>
    <row r="524307">
      <c r="B524307">
        <v>2011</v>
      </c>
      <c r="C524307">
        <v>33.927</v>
      </c>
      <c r="D524307">
        <v>7.949</v>
      </c>
    </row>
    <row r="524308">
      <c r="B524308">
        <v>2012</v>
      </c>
      <c r="C524308">
        <v>36.159</v>
      </c>
      <c r="D524308">
        <v>6.579</v>
      </c>
    </row>
    <row r="524309">
      <c r="B524309">
        <v>2013</v>
      </c>
      <c r="C524309">
        <v>38.015</v>
      </c>
      <c r="D524309">
        <v>5.134</v>
      </c>
    </row>
    <row r="524310">
      <c r="B524310">
        <v>2014</v>
      </c>
      <c r="C524310">
        <v>39.57</v>
      </c>
      <c r="D524310">
        <v>4.091</v>
      </c>
    </row>
    <row r="524311">
      <c r="B524311">
        <v>2015</v>
      </c>
      <c r="C524311">
        <v>40.896</v>
      </c>
      <c r="D524311">
        <v>3.351</v>
      </c>
    </row>
    <row r="524312">
      <c r="B524312">
        <v>2016</v>
      </c>
      <c r="C524312">
        <v>42.307</v>
      </c>
      <c r="D524312">
        <v>3.45</v>
      </c>
    </row>
    <row r="524313">
      <c r="B524313">
        <v>2017</v>
      </c>
      <c r="C524313">
        <v>44.49</v>
      </c>
      <c r="D524313">
        <v>5.161</v>
      </c>
    </row>
    <row r="524314">
      <c r="B524314">
        <v>2018</v>
      </c>
      <c r="C524314">
        <v>47.187</v>
      </c>
      <c r="D524314">
        <v>6.062</v>
      </c>
    </row>
    <row r="524315">
      <c r="B524315">
        <v>2019</v>
      </c>
      <c r="C524315">
        <v>49.726</v>
      </c>
      <c r="D524315">
        <v>5.38</v>
      </c>
    </row>
    <row r="524316">
      <c r="B524316">
        <v>2020</v>
      </c>
      <c r="C524316">
        <v>46.598</v>
      </c>
      <c r="D524316">
        <v>-6.291</v>
      </c>
    </row>
    <row r="524317">
      <c r="B524317">
        <v>2021</v>
      </c>
      <c r="C524317">
        <v>51.558</v>
      </c>
      <c r="D524317">
        <v>10.644</v>
      </c>
    </row>
    <row r="524318">
      <c r="B524318">
        <v>2022</v>
      </c>
      <c r="C524318">
        <v>57.208</v>
      </c>
      <c r="D524318">
        <v>10.96</v>
      </c>
    </row>
    <row r="524319">
      <c r="B524319">
        <v>2023</v>
      </c>
      <c r="C524319">
        <v>61.689</v>
      </c>
      <c r="D524319">
        <v>7.832</v>
      </c>
    </row>
    <row r="524320">
      <c r="B524320">
        <v>2024</v>
      </c>
      <c r="C524320">
        <v>67.505</v>
      </c>
      <c r="D524320">
        <v>9.429</v>
      </c>
    </row>
    <row r="524321">
      <c r="B524321">
        <v>2025</v>
      </c>
      <c r="C524321">
        <v>71.54</v>
      </c>
      <c r="D524321">
        <v>5.977</v>
      </c>
    </row>
    <row r="524322">
      <c r="B524322">
        <v>2026</v>
      </c>
      <c r="C524322">
        <v>75.117</v>
      </c>
      <c r="D524322">
        <v>5</v>
      </c>
    </row>
    <row r="524323">
      <c r="B524323">
        <v>2027</v>
      </c>
      <c r="C524323">
        <v>78.873</v>
      </c>
      <c r="D524323">
        <v>5</v>
      </c>
    </row>
    <row r="524324">
      <c r="B524324" t="str">
        <v>Estimates Start After</v>
      </c>
      <c r="C524324">
        <v>2024</v>
      </c>
      <c r="D524324">
        <v>2024</v>
      </c>
    </row>
    <row r="540673">
      <c r="B540673" t="str">
        <v>WEO Country Code</v>
      </c>
      <c r="C540673">
        <v>915</v>
      </c>
      <c r="D540673">
        <v>915</v>
      </c>
    </row>
    <row r="540674">
      <c r="B540674" t="str">
        <v>WEO Subject Code</v>
      </c>
      <c r="C540674" t="str">
        <v>NGDP_R</v>
      </c>
      <c r="D540674" t="str">
        <v>NGDP_RPCH</v>
      </c>
    </row>
    <row r="540675">
      <c r="B540675" t="str">
        <v>Country</v>
      </c>
      <c r="C540675" t="str">
        <v>Georgia</v>
      </c>
      <c r="D540675" t="str">
        <v>Georgia</v>
      </c>
    </row>
    <row r="540676">
      <c r="B540676" t="str">
        <v>Subject Descriptor</v>
      </c>
      <c r="C540676" t="str">
        <v>Gross domestic product, constant prices</v>
      </c>
      <c r="D540676" t="str">
        <v>Gross domestic product, constant prices</v>
      </c>
    </row>
    <row r="540677">
      <c r="B540677" t="str">
        <v>Units</v>
      </c>
      <c r="C540677" t="str">
        <v>National currency</v>
      </c>
      <c r="D540677" t="str">
        <v>Percent change</v>
      </c>
    </row>
    <row r="540678">
      <c r="B540678" t="str">
        <v>Scale</v>
      </c>
      <c r="C540678" t="str">
        <v>Billions</v>
      </c>
      <c r="D540678" t="str">
        <v>Units</v>
      </c>
    </row>
    <row r="540679">
      <c r="B540679" t="str">
        <v>Country/Series-specific Notes</v>
      </c>
      <c r="C54067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540679" t="str">
        <v>See notes for:  Gross domestic product, constant prices (National currency).</v>
      </c>
    </row>
    <row r="540680">
      <c r="B540680">
        <v>2000</v>
      </c>
      <c r="C540680">
        <v>16.963</v>
      </c>
      <c r="D540680">
        <v>1.865</v>
      </c>
    </row>
    <row r="540681">
      <c r="B540681">
        <v>2001</v>
      </c>
      <c r="C540681">
        <v>17.772</v>
      </c>
      <c r="D540681">
        <v>4.769</v>
      </c>
    </row>
    <row r="540682">
      <c r="B540682">
        <v>2002</v>
      </c>
      <c r="C540682">
        <v>18.747</v>
      </c>
      <c r="D540682">
        <v>5.487</v>
      </c>
    </row>
    <row r="540683">
      <c r="B540683">
        <v>2003</v>
      </c>
      <c r="C540683">
        <v>20.852</v>
      </c>
      <c r="D540683">
        <v>11.228</v>
      </c>
    </row>
    <row r="540684">
      <c r="B540684">
        <v>2004</v>
      </c>
      <c r="C540684">
        <v>22.061</v>
      </c>
      <c r="D540684">
        <v>5.796</v>
      </c>
    </row>
    <row r="540685">
      <c r="B540685">
        <v>2005</v>
      </c>
      <c r="C540685">
        <v>24.176</v>
      </c>
      <c r="D540685">
        <v>9.588</v>
      </c>
    </row>
    <row r="540686">
      <c r="B540686">
        <v>2006</v>
      </c>
      <c r="C540686">
        <v>26.454</v>
      </c>
      <c r="D540686">
        <v>9.42</v>
      </c>
    </row>
    <row r="540687">
      <c r="B540687">
        <v>2007</v>
      </c>
      <c r="C540687">
        <v>29.781</v>
      </c>
      <c r="D540687">
        <v>12.579</v>
      </c>
    </row>
    <row r="540688">
      <c r="B540688">
        <v>2008</v>
      </c>
      <c r="C540688">
        <v>30.502</v>
      </c>
      <c r="D540688">
        <v>2.419</v>
      </c>
    </row>
    <row r="540689">
      <c r="B540689">
        <v>2009</v>
      </c>
      <c r="C540689">
        <v>29.388</v>
      </c>
      <c r="D540689">
        <v>-3.651</v>
      </c>
    </row>
    <row r="540690">
      <c r="B540690">
        <v>2010</v>
      </c>
      <c r="C540690">
        <v>31.428</v>
      </c>
      <c r="D540690">
        <v>6.942</v>
      </c>
    </row>
    <row r="540691">
      <c r="B540691">
        <v>2011</v>
      </c>
      <c r="C540691">
        <v>33.927</v>
      </c>
      <c r="D540691">
        <v>7.949</v>
      </c>
    </row>
    <row r="540692">
      <c r="B540692">
        <v>2012</v>
      </c>
      <c r="C540692">
        <v>36.159</v>
      </c>
      <c r="D540692">
        <v>6.579</v>
      </c>
    </row>
    <row r="540693">
      <c r="B540693">
        <v>2013</v>
      </c>
      <c r="C540693">
        <v>38.015</v>
      </c>
      <c r="D540693">
        <v>5.134</v>
      </c>
    </row>
    <row r="540694">
      <c r="B540694">
        <v>2014</v>
      </c>
      <c r="C540694">
        <v>39.57</v>
      </c>
      <c r="D540694">
        <v>4.091</v>
      </c>
    </row>
    <row r="540695">
      <c r="B540695">
        <v>2015</v>
      </c>
      <c r="C540695">
        <v>40.896</v>
      </c>
      <c r="D540695">
        <v>3.351</v>
      </c>
    </row>
    <row r="540696">
      <c r="B540696">
        <v>2016</v>
      </c>
      <c r="C540696">
        <v>42.307</v>
      </c>
      <c r="D540696">
        <v>3.45</v>
      </c>
    </row>
    <row r="540697">
      <c r="B540697">
        <v>2017</v>
      </c>
      <c r="C540697">
        <v>44.49</v>
      </c>
      <c r="D540697">
        <v>5.161</v>
      </c>
    </row>
    <row r="540698">
      <c r="B540698">
        <v>2018</v>
      </c>
      <c r="C540698">
        <v>47.187</v>
      </c>
      <c r="D540698">
        <v>6.062</v>
      </c>
    </row>
    <row r="540699">
      <c r="B540699">
        <v>2019</v>
      </c>
      <c r="C540699">
        <v>49.726</v>
      </c>
      <c r="D540699">
        <v>5.38</v>
      </c>
    </row>
    <row r="540700">
      <c r="B540700">
        <v>2020</v>
      </c>
      <c r="C540700">
        <v>46.598</v>
      </c>
      <c r="D540700">
        <v>-6.291</v>
      </c>
    </row>
    <row r="540701">
      <c r="B540701">
        <v>2021</v>
      </c>
      <c r="C540701">
        <v>51.558</v>
      </c>
      <c r="D540701">
        <v>10.644</v>
      </c>
    </row>
    <row r="540702">
      <c r="B540702">
        <v>2022</v>
      </c>
      <c r="C540702">
        <v>57.208</v>
      </c>
      <c r="D540702">
        <v>10.96</v>
      </c>
    </row>
    <row r="540703">
      <c r="B540703">
        <v>2023</v>
      </c>
      <c r="C540703">
        <v>61.689</v>
      </c>
      <c r="D540703">
        <v>7.832</v>
      </c>
    </row>
    <row r="540704">
      <c r="B540704">
        <v>2024</v>
      </c>
      <c r="C540704">
        <v>67.505</v>
      </c>
      <c r="D540704">
        <v>9.429</v>
      </c>
    </row>
    <row r="540705">
      <c r="B540705">
        <v>2025</v>
      </c>
      <c r="C540705">
        <v>71.54</v>
      </c>
      <c r="D540705">
        <v>5.977</v>
      </c>
    </row>
    <row r="540706">
      <c r="B540706">
        <v>2026</v>
      </c>
      <c r="C540706">
        <v>75.117</v>
      </c>
      <c r="D540706">
        <v>5</v>
      </c>
    </row>
    <row r="540707">
      <c r="B540707">
        <v>2027</v>
      </c>
      <c r="C540707">
        <v>78.873</v>
      </c>
      <c r="D540707">
        <v>5</v>
      </c>
    </row>
    <row r="540708">
      <c r="B540708" t="str">
        <v>Estimates Start After</v>
      </c>
      <c r="C540708">
        <v>2024</v>
      </c>
      <c r="D540708">
        <v>2024</v>
      </c>
    </row>
    <row r="557057">
      <c r="B557057" t="str">
        <v>WEO Country Code</v>
      </c>
      <c r="C557057">
        <v>915</v>
      </c>
      <c r="D557057">
        <v>915</v>
      </c>
    </row>
    <row r="557058">
      <c r="B557058" t="str">
        <v>WEO Subject Code</v>
      </c>
      <c r="C557058" t="str">
        <v>NGDP_R</v>
      </c>
      <c r="D557058" t="str">
        <v>NGDP_RPCH</v>
      </c>
    </row>
    <row r="557059">
      <c r="B557059" t="str">
        <v>Country</v>
      </c>
      <c r="C557059" t="str">
        <v>Georgia</v>
      </c>
      <c r="D557059" t="str">
        <v>Georgia</v>
      </c>
    </row>
    <row r="557060">
      <c r="B557060" t="str">
        <v>Subject Descriptor</v>
      </c>
      <c r="C557060" t="str">
        <v>Gross domestic product, constant prices</v>
      </c>
      <c r="D557060" t="str">
        <v>Gross domestic product, constant prices</v>
      </c>
    </row>
    <row r="557061">
      <c r="B557061" t="str">
        <v>Units</v>
      </c>
      <c r="C557061" t="str">
        <v>National currency</v>
      </c>
      <c r="D557061" t="str">
        <v>Percent change</v>
      </c>
    </row>
    <row r="557062">
      <c r="B557062" t="str">
        <v>Scale</v>
      </c>
      <c r="C557062" t="str">
        <v>Billions</v>
      </c>
      <c r="D557062" t="str">
        <v>Units</v>
      </c>
    </row>
    <row r="557063">
      <c r="B557063" t="str">
        <v>Country/Series-specific Notes</v>
      </c>
      <c r="C55706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557063" t="str">
        <v>See notes for:  Gross domestic product, constant prices (National currency).</v>
      </c>
    </row>
    <row r="557064">
      <c r="B557064">
        <v>2000</v>
      </c>
      <c r="C557064">
        <v>16.963</v>
      </c>
      <c r="D557064">
        <v>1.865</v>
      </c>
    </row>
    <row r="557065">
      <c r="B557065">
        <v>2001</v>
      </c>
      <c r="C557065">
        <v>17.772</v>
      </c>
      <c r="D557065">
        <v>4.769</v>
      </c>
    </row>
    <row r="557066">
      <c r="B557066">
        <v>2002</v>
      </c>
      <c r="C557066">
        <v>18.747</v>
      </c>
      <c r="D557066">
        <v>5.487</v>
      </c>
    </row>
    <row r="557067">
      <c r="B557067">
        <v>2003</v>
      </c>
      <c r="C557067">
        <v>20.852</v>
      </c>
      <c r="D557067">
        <v>11.228</v>
      </c>
    </row>
    <row r="557068">
      <c r="B557068">
        <v>2004</v>
      </c>
      <c r="C557068">
        <v>22.061</v>
      </c>
      <c r="D557068">
        <v>5.796</v>
      </c>
    </row>
    <row r="557069">
      <c r="B557069">
        <v>2005</v>
      </c>
      <c r="C557069">
        <v>24.176</v>
      </c>
      <c r="D557069">
        <v>9.588</v>
      </c>
    </row>
    <row r="557070">
      <c r="B557070">
        <v>2006</v>
      </c>
      <c r="C557070">
        <v>26.454</v>
      </c>
      <c r="D557070">
        <v>9.42</v>
      </c>
    </row>
    <row r="557071">
      <c r="B557071">
        <v>2007</v>
      </c>
      <c r="C557071">
        <v>29.781</v>
      </c>
      <c r="D557071">
        <v>12.579</v>
      </c>
    </row>
    <row r="557072">
      <c r="B557072">
        <v>2008</v>
      </c>
      <c r="C557072">
        <v>30.502</v>
      </c>
      <c r="D557072">
        <v>2.419</v>
      </c>
    </row>
    <row r="557073">
      <c r="B557073">
        <v>2009</v>
      </c>
      <c r="C557073">
        <v>29.388</v>
      </c>
      <c r="D557073">
        <v>-3.651</v>
      </c>
    </row>
    <row r="557074">
      <c r="B557074">
        <v>2010</v>
      </c>
      <c r="C557074">
        <v>31.428</v>
      </c>
      <c r="D557074">
        <v>6.942</v>
      </c>
    </row>
    <row r="557075">
      <c r="B557075">
        <v>2011</v>
      </c>
      <c r="C557075">
        <v>33.927</v>
      </c>
      <c r="D557075">
        <v>7.949</v>
      </c>
    </row>
    <row r="557076">
      <c r="B557076">
        <v>2012</v>
      </c>
      <c r="C557076">
        <v>36.159</v>
      </c>
      <c r="D557076">
        <v>6.579</v>
      </c>
    </row>
    <row r="557077">
      <c r="B557077">
        <v>2013</v>
      </c>
      <c r="C557077">
        <v>38.015</v>
      </c>
      <c r="D557077">
        <v>5.134</v>
      </c>
    </row>
    <row r="557078">
      <c r="B557078">
        <v>2014</v>
      </c>
      <c r="C557078">
        <v>39.57</v>
      </c>
      <c r="D557078">
        <v>4.091</v>
      </c>
    </row>
    <row r="557079">
      <c r="B557079">
        <v>2015</v>
      </c>
      <c r="C557079">
        <v>40.896</v>
      </c>
      <c r="D557079">
        <v>3.351</v>
      </c>
    </row>
    <row r="557080">
      <c r="B557080">
        <v>2016</v>
      </c>
      <c r="C557080">
        <v>42.307</v>
      </c>
      <c r="D557080">
        <v>3.45</v>
      </c>
    </row>
    <row r="557081">
      <c r="B557081">
        <v>2017</v>
      </c>
      <c r="C557081">
        <v>44.49</v>
      </c>
      <c r="D557081">
        <v>5.161</v>
      </c>
    </row>
    <row r="557082">
      <c r="B557082">
        <v>2018</v>
      </c>
      <c r="C557082">
        <v>47.187</v>
      </c>
      <c r="D557082">
        <v>6.062</v>
      </c>
    </row>
    <row r="557083">
      <c r="B557083">
        <v>2019</v>
      </c>
      <c r="C557083">
        <v>49.726</v>
      </c>
      <c r="D557083">
        <v>5.38</v>
      </c>
    </row>
    <row r="557084">
      <c r="B557084">
        <v>2020</v>
      </c>
      <c r="C557084">
        <v>46.598</v>
      </c>
      <c r="D557084">
        <v>-6.291</v>
      </c>
    </row>
    <row r="557085">
      <c r="B557085">
        <v>2021</v>
      </c>
      <c r="C557085">
        <v>51.558</v>
      </c>
      <c r="D557085">
        <v>10.644</v>
      </c>
    </row>
    <row r="557086">
      <c r="B557086">
        <v>2022</v>
      </c>
      <c r="C557086">
        <v>57.208</v>
      </c>
      <c r="D557086">
        <v>10.96</v>
      </c>
    </row>
    <row r="557087">
      <c r="B557087">
        <v>2023</v>
      </c>
      <c r="C557087">
        <v>61.689</v>
      </c>
      <c r="D557087">
        <v>7.832</v>
      </c>
    </row>
    <row r="557088">
      <c r="B557088">
        <v>2024</v>
      </c>
      <c r="C557088">
        <v>67.505</v>
      </c>
      <c r="D557088">
        <v>9.429</v>
      </c>
    </row>
    <row r="557089">
      <c r="B557089">
        <v>2025</v>
      </c>
      <c r="C557089">
        <v>71.54</v>
      </c>
      <c r="D557089">
        <v>5.977</v>
      </c>
    </row>
    <row r="557090">
      <c r="B557090">
        <v>2026</v>
      </c>
      <c r="C557090">
        <v>75.117</v>
      </c>
      <c r="D557090">
        <v>5</v>
      </c>
    </row>
    <row r="557091">
      <c r="B557091">
        <v>2027</v>
      </c>
      <c r="C557091">
        <v>78.873</v>
      </c>
      <c r="D557091">
        <v>5</v>
      </c>
    </row>
    <row r="557092">
      <c r="B557092" t="str">
        <v>Estimates Start After</v>
      </c>
      <c r="C557092">
        <v>2024</v>
      </c>
      <c r="D557092">
        <v>2024</v>
      </c>
    </row>
    <row r="573441">
      <c r="B573441" t="str">
        <v>WEO Country Code</v>
      </c>
      <c r="C573441">
        <v>915</v>
      </c>
      <c r="D573441">
        <v>915</v>
      </c>
    </row>
    <row r="573442">
      <c r="B573442" t="str">
        <v>WEO Subject Code</v>
      </c>
      <c r="C573442" t="str">
        <v>NGDP_R</v>
      </c>
      <c r="D573442" t="str">
        <v>NGDP_RPCH</v>
      </c>
    </row>
    <row r="573443">
      <c r="B573443" t="str">
        <v>Country</v>
      </c>
      <c r="C573443" t="str">
        <v>Georgia</v>
      </c>
      <c r="D573443" t="str">
        <v>Georgia</v>
      </c>
    </row>
    <row r="573444">
      <c r="B573444" t="str">
        <v>Subject Descriptor</v>
      </c>
      <c r="C573444" t="str">
        <v>Gross domestic product, constant prices</v>
      </c>
      <c r="D573444" t="str">
        <v>Gross domestic product, constant prices</v>
      </c>
    </row>
    <row r="573445">
      <c r="B573445" t="str">
        <v>Units</v>
      </c>
      <c r="C573445" t="str">
        <v>National currency</v>
      </c>
      <c r="D573445" t="str">
        <v>Percent change</v>
      </c>
    </row>
    <row r="573446">
      <c r="B573446" t="str">
        <v>Scale</v>
      </c>
      <c r="C573446" t="str">
        <v>Billions</v>
      </c>
      <c r="D573446" t="str">
        <v>Units</v>
      </c>
    </row>
    <row r="573447">
      <c r="B573447" t="str">
        <v>Country/Series-specific Notes</v>
      </c>
      <c r="C57344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573447" t="str">
        <v>See notes for:  Gross domestic product, constant prices (National currency).</v>
      </c>
    </row>
    <row r="573448">
      <c r="B573448">
        <v>2000</v>
      </c>
      <c r="C573448">
        <v>16.963</v>
      </c>
      <c r="D573448">
        <v>1.865</v>
      </c>
    </row>
    <row r="573449">
      <c r="B573449">
        <v>2001</v>
      </c>
      <c r="C573449">
        <v>17.772</v>
      </c>
      <c r="D573449">
        <v>4.769</v>
      </c>
    </row>
    <row r="573450">
      <c r="B573450">
        <v>2002</v>
      </c>
      <c r="C573450">
        <v>18.747</v>
      </c>
      <c r="D573450">
        <v>5.487</v>
      </c>
    </row>
    <row r="573451">
      <c r="B573451">
        <v>2003</v>
      </c>
      <c r="C573451">
        <v>20.852</v>
      </c>
      <c r="D573451">
        <v>11.228</v>
      </c>
    </row>
    <row r="573452">
      <c r="B573452">
        <v>2004</v>
      </c>
      <c r="C573452">
        <v>22.061</v>
      </c>
      <c r="D573452">
        <v>5.796</v>
      </c>
    </row>
    <row r="573453">
      <c r="B573453">
        <v>2005</v>
      </c>
      <c r="C573453">
        <v>24.176</v>
      </c>
      <c r="D573453">
        <v>9.588</v>
      </c>
    </row>
    <row r="573454">
      <c r="B573454">
        <v>2006</v>
      </c>
      <c r="C573454">
        <v>26.454</v>
      </c>
      <c r="D573454">
        <v>9.42</v>
      </c>
    </row>
    <row r="573455">
      <c r="B573455">
        <v>2007</v>
      </c>
      <c r="C573455">
        <v>29.781</v>
      </c>
      <c r="D573455">
        <v>12.579</v>
      </c>
    </row>
    <row r="573456">
      <c r="B573456">
        <v>2008</v>
      </c>
      <c r="C573456">
        <v>30.502</v>
      </c>
      <c r="D573456">
        <v>2.419</v>
      </c>
    </row>
    <row r="573457">
      <c r="B573457">
        <v>2009</v>
      </c>
      <c r="C573457">
        <v>29.388</v>
      </c>
      <c r="D573457">
        <v>-3.651</v>
      </c>
    </row>
    <row r="573458">
      <c r="B573458">
        <v>2010</v>
      </c>
      <c r="C573458">
        <v>31.428</v>
      </c>
      <c r="D573458">
        <v>6.942</v>
      </c>
    </row>
    <row r="573459">
      <c r="B573459">
        <v>2011</v>
      </c>
      <c r="C573459">
        <v>33.927</v>
      </c>
      <c r="D573459">
        <v>7.949</v>
      </c>
    </row>
    <row r="573460">
      <c r="B573460">
        <v>2012</v>
      </c>
      <c r="C573460">
        <v>36.159</v>
      </c>
      <c r="D573460">
        <v>6.579</v>
      </c>
    </row>
    <row r="573461">
      <c r="B573461">
        <v>2013</v>
      </c>
      <c r="C573461">
        <v>38.015</v>
      </c>
      <c r="D573461">
        <v>5.134</v>
      </c>
    </row>
    <row r="573462">
      <c r="B573462">
        <v>2014</v>
      </c>
      <c r="C573462">
        <v>39.57</v>
      </c>
      <c r="D573462">
        <v>4.091</v>
      </c>
    </row>
    <row r="573463">
      <c r="B573463">
        <v>2015</v>
      </c>
      <c r="C573463">
        <v>40.896</v>
      </c>
      <c r="D573463">
        <v>3.351</v>
      </c>
    </row>
    <row r="573464">
      <c r="B573464">
        <v>2016</v>
      </c>
      <c r="C573464">
        <v>42.307</v>
      </c>
      <c r="D573464">
        <v>3.45</v>
      </c>
    </row>
    <row r="573465">
      <c r="B573465">
        <v>2017</v>
      </c>
      <c r="C573465">
        <v>44.49</v>
      </c>
      <c r="D573465">
        <v>5.161</v>
      </c>
    </row>
    <row r="573466">
      <c r="B573466">
        <v>2018</v>
      </c>
      <c r="C573466">
        <v>47.187</v>
      </c>
      <c r="D573466">
        <v>6.062</v>
      </c>
    </row>
    <row r="573467">
      <c r="B573467">
        <v>2019</v>
      </c>
      <c r="C573467">
        <v>49.726</v>
      </c>
      <c r="D573467">
        <v>5.38</v>
      </c>
    </row>
    <row r="573468">
      <c r="B573468">
        <v>2020</v>
      </c>
      <c r="C573468">
        <v>46.598</v>
      </c>
      <c r="D573468">
        <v>-6.291</v>
      </c>
    </row>
    <row r="573469">
      <c r="B573469">
        <v>2021</v>
      </c>
      <c r="C573469">
        <v>51.558</v>
      </c>
      <c r="D573469">
        <v>10.644</v>
      </c>
    </row>
    <row r="573470">
      <c r="B573470">
        <v>2022</v>
      </c>
      <c r="C573470">
        <v>57.208</v>
      </c>
      <c r="D573470">
        <v>10.96</v>
      </c>
    </row>
    <row r="573471">
      <c r="B573471">
        <v>2023</v>
      </c>
      <c r="C573471">
        <v>61.689</v>
      </c>
      <c r="D573471">
        <v>7.832</v>
      </c>
    </row>
    <row r="573472">
      <c r="B573472">
        <v>2024</v>
      </c>
      <c r="C573472">
        <v>67.505</v>
      </c>
      <c r="D573472">
        <v>9.429</v>
      </c>
    </row>
    <row r="573473">
      <c r="B573473">
        <v>2025</v>
      </c>
      <c r="C573473">
        <v>71.54</v>
      </c>
      <c r="D573473">
        <v>5.977</v>
      </c>
    </row>
    <row r="573474">
      <c r="B573474">
        <v>2026</v>
      </c>
      <c r="C573474">
        <v>75.117</v>
      </c>
      <c r="D573474">
        <v>5</v>
      </c>
    </row>
    <row r="573475">
      <c r="B573475">
        <v>2027</v>
      </c>
      <c r="C573475">
        <v>78.873</v>
      </c>
      <c r="D573475">
        <v>5</v>
      </c>
    </row>
    <row r="573476">
      <c r="B573476" t="str">
        <v>Estimates Start After</v>
      </c>
      <c r="C573476">
        <v>2024</v>
      </c>
      <c r="D573476">
        <v>2024</v>
      </c>
    </row>
    <row r="589825">
      <c r="B589825" t="str">
        <v>WEO Country Code</v>
      </c>
      <c r="C589825">
        <v>915</v>
      </c>
      <c r="D589825">
        <v>915</v>
      </c>
    </row>
    <row r="589826">
      <c r="B589826" t="str">
        <v>WEO Subject Code</v>
      </c>
      <c r="C589826" t="str">
        <v>NGDP_R</v>
      </c>
      <c r="D589826" t="str">
        <v>NGDP_RPCH</v>
      </c>
    </row>
    <row r="589827">
      <c r="B589827" t="str">
        <v>Country</v>
      </c>
      <c r="C589827" t="str">
        <v>Georgia</v>
      </c>
      <c r="D589827" t="str">
        <v>Georgia</v>
      </c>
    </row>
    <row r="589828">
      <c r="B589828" t="str">
        <v>Subject Descriptor</v>
      </c>
      <c r="C589828" t="str">
        <v>Gross domestic product, constant prices</v>
      </c>
      <c r="D589828" t="str">
        <v>Gross domestic product, constant prices</v>
      </c>
    </row>
    <row r="589829">
      <c r="B589829" t="str">
        <v>Units</v>
      </c>
      <c r="C589829" t="str">
        <v>National currency</v>
      </c>
      <c r="D589829" t="str">
        <v>Percent change</v>
      </c>
    </row>
    <row r="589830">
      <c r="B589830" t="str">
        <v>Scale</v>
      </c>
      <c r="C589830" t="str">
        <v>Billions</v>
      </c>
      <c r="D589830" t="str">
        <v>Units</v>
      </c>
    </row>
    <row r="589831">
      <c r="B589831" t="str">
        <v>Country/Series-specific Notes</v>
      </c>
      <c r="C58983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589831" t="str">
        <v>See notes for:  Gross domestic product, constant prices (National currency).</v>
      </c>
    </row>
    <row r="589832">
      <c r="B589832">
        <v>2000</v>
      </c>
      <c r="C589832">
        <v>16.963</v>
      </c>
      <c r="D589832">
        <v>1.865</v>
      </c>
    </row>
    <row r="589833">
      <c r="B589833">
        <v>2001</v>
      </c>
      <c r="C589833">
        <v>17.772</v>
      </c>
      <c r="D589833">
        <v>4.769</v>
      </c>
    </row>
    <row r="589834">
      <c r="B589834">
        <v>2002</v>
      </c>
      <c r="C589834">
        <v>18.747</v>
      </c>
      <c r="D589834">
        <v>5.487</v>
      </c>
    </row>
    <row r="589835">
      <c r="B589835">
        <v>2003</v>
      </c>
      <c r="C589835">
        <v>20.852</v>
      </c>
      <c r="D589835">
        <v>11.228</v>
      </c>
    </row>
    <row r="589836">
      <c r="B589836">
        <v>2004</v>
      </c>
      <c r="C589836">
        <v>22.061</v>
      </c>
      <c r="D589836">
        <v>5.796</v>
      </c>
    </row>
    <row r="589837">
      <c r="B589837">
        <v>2005</v>
      </c>
      <c r="C589837">
        <v>24.176</v>
      </c>
      <c r="D589837">
        <v>9.588</v>
      </c>
    </row>
    <row r="589838">
      <c r="B589838">
        <v>2006</v>
      </c>
      <c r="C589838">
        <v>26.454</v>
      </c>
      <c r="D589838">
        <v>9.42</v>
      </c>
    </row>
    <row r="589839">
      <c r="B589839">
        <v>2007</v>
      </c>
      <c r="C589839">
        <v>29.781</v>
      </c>
      <c r="D589839">
        <v>12.579</v>
      </c>
    </row>
    <row r="589840">
      <c r="B589840">
        <v>2008</v>
      </c>
      <c r="C589840">
        <v>30.502</v>
      </c>
      <c r="D589840">
        <v>2.419</v>
      </c>
    </row>
    <row r="589841">
      <c r="B589841">
        <v>2009</v>
      </c>
      <c r="C589841">
        <v>29.388</v>
      </c>
      <c r="D589841">
        <v>-3.651</v>
      </c>
    </row>
    <row r="589842">
      <c r="B589842">
        <v>2010</v>
      </c>
      <c r="C589842">
        <v>31.428</v>
      </c>
      <c r="D589842">
        <v>6.942</v>
      </c>
    </row>
    <row r="589843">
      <c r="B589843">
        <v>2011</v>
      </c>
      <c r="C589843">
        <v>33.927</v>
      </c>
      <c r="D589843">
        <v>7.949</v>
      </c>
    </row>
    <row r="589844">
      <c r="B589844">
        <v>2012</v>
      </c>
      <c r="C589844">
        <v>36.159</v>
      </c>
      <c r="D589844">
        <v>6.579</v>
      </c>
    </row>
    <row r="589845">
      <c r="B589845">
        <v>2013</v>
      </c>
      <c r="C589845">
        <v>38.015</v>
      </c>
      <c r="D589845">
        <v>5.134</v>
      </c>
    </row>
    <row r="589846">
      <c r="B589846">
        <v>2014</v>
      </c>
      <c r="C589846">
        <v>39.57</v>
      </c>
      <c r="D589846">
        <v>4.091</v>
      </c>
    </row>
    <row r="589847">
      <c r="B589847">
        <v>2015</v>
      </c>
      <c r="C589847">
        <v>40.896</v>
      </c>
      <c r="D589847">
        <v>3.351</v>
      </c>
    </row>
    <row r="589848">
      <c r="B589848">
        <v>2016</v>
      </c>
      <c r="C589848">
        <v>42.307</v>
      </c>
      <c r="D589848">
        <v>3.45</v>
      </c>
    </row>
    <row r="589849">
      <c r="B589849">
        <v>2017</v>
      </c>
      <c r="C589849">
        <v>44.49</v>
      </c>
      <c r="D589849">
        <v>5.161</v>
      </c>
    </row>
    <row r="589850">
      <c r="B589850">
        <v>2018</v>
      </c>
      <c r="C589850">
        <v>47.187</v>
      </c>
      <c r="D589850">
        <v>6.062</v>
      </c>
    </row>
    <row r="589851">
      <c r="B589851">
        <v>2019</v>
      </c>
      <c r="C589851">
        <v>49.726</v>
      </c>
      <c r="D589851">
        <v>5.38</v>
      </c>
    </row>
    <row r="589852">
      <c r="B589852">
        <v>2020</v>
      </c>
      <c r="C589852">
        <v>46.598</v>
      </c>
      <c r="D589852">
        <v>-6.291</v>
      </c>
    </row>
    <row r="589853">
      <c r="B589853">
        <v>2021</v>
      </c>
      <c r="C589853">
        <v>51.558</v>
      </c>
      <c r="D589853">
        <v>10.644</v>
      </c>
    </row>
    <row r="589854">
      <c r="B589854">
        <v>2022</v>
      </c>
      <c r="C589854">
        <v>57.208</v>
      </c>
      <c r="D589854">
        <v>10.96</v>
      </c>
    </row>
    <row r="589855">
      <c r="B589855">
        <v>2023</v>
      </c>
      <c r="C589855">
        <v>61.689</v>
      </c>
      <c r="D589855">
        <v>7.832</v>
      </c>
    </row>
    <row r="589856">
      <c r="B589856">
        <v>2024</v>
      </c>
      <c r="C589856">
        <v>67.505</v>
      </c>
      <c r="D589856">
        <v>9.429</v>
      </c>
    </row>
    <row r="589857">
      <c r="B589857">
        <v>2025</v>
      </c>
      <c r="C589857">
        <v>71.54</v>
      </c>
      <c r="D589857">
        <v>5.977</v>
      </c>
    </row>
    <row r="589858">
      <c r="B589858">
        <v>2026</v>
      </c>
      <c r="C589858">
        <v>75.117</v>
      </c>
      <c r="D589858">
        <v>5</v>
      </c>
    </row>
    <row r="589859">
      <c r="B589859">
        <v>2027</v>
      </c>
      <c r="C589859">
        <v>78.873</v>
      </c>
      <c r="D589859">
        <v>5</v>
      </c>
    </row>
    <row r="589860">
      <c r="B589860" t="str">
        <v>Estimates Start After</v>
      </c>
      <c r="C589860">
        <v>2024</v>
      </c>
      <c r="D589860">
        <v>2024</v>
      </c>
    </row>
    <row r="606209">
      <c r="B606209" t="str">
        <v>WEO Country Code</v>
      </c>
      <c r="C606209">
        <v>915</v>
      </c>
      <c r="D606209">
        <v>915</v>
      </c>
    </row>
    <row r="606210">
      <c r="B606210" t="str">
        <v>WEO Subject Code</v>
      </c>
      <c r="C606210" t="str">
        <v>NGDP_R</v>
      </c>
      <c r="D606210" t="str">
        <v>NGDP_RPCH</v>
      </c>
    </row>
    <row r="606211">
      <c r="B606211" t="str">
        <v>Country</v>
      </c>
      <c r="C606211" t="str">
        <v>Georgia</v>
      </c>
      <c r="D606211" t="str">
        <v>Georgia</v>
      </c>
    </row>
    <row r="606212">
      <c r="B606212" t="str">
        <v>Subject Descriptor</v>
      </c>
      <c r="C606212" t="str">
        <v>Gross domestic product, constant prices</v>
      </c>
      <c r="D606212" t="str">
        <v>Gross domestic product, constant prices</v>
      </c>
    </row>
    <row r="606213">
      <c r="B606213" t="str">
        <v>Units</v>
      </c>
      <c r="C606213" t="str">
        <v>National currency</v>
      </c>
      <c r="D606213" t="str">
        <v>Percent change</v>
      </c>
    </row>
    <row r="606214">
      <c r="B606214" t="str">
        <v>Scale</v>
      </c>
      <c r="C606214" t="str">
        <v>Billions</v>
      </c>
      <c r="D606214" t="str">
        <v>Units</v>
      </c>
    </row>
    <row r="606215">
      <c r="B606215" t="str">
        <v>Country/Series-specific Notes</v>
      </c>
      <c r="C60621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606215" t="str">
        <v>See notes for:  Gross domestic product, constant prices (National currency).</v>
      </c>
    </row>
    <row r="606216">
      <c r="B606216">
        <v>2000</v>
      </c>
      <c r="C606216">
        <v>16.963</v>
      </c>
      <c r="D606216">
        <v>1.865</v>
      </c>
    </row>
    <row r="606217">
      <c r="B606217">
        <v>2001</v>
      </c>
      <c r="C606217">
        <v>17.772</v>
      </c>
      <c r="D606217">
        <v>4.769</v>
      </c>
    </row>
    <row r="606218">
      <c r="B606218">
        <v>2002</v>
      </c>
      <c r="C606218">
        <v>18.747</v>
      </c>
      <c r="D606218">
        <v>5.487</v>
      </c>
    </row>
    <row r="606219">
      <c r="B606219">
        <v>2003</v>
      </c>
      <c r="C606219">
        <v>20.852</v>
      </c>
      <c r="D606219">
        <v>11.228</v>
      </c>
    </row>
    <row r="606220">
      <c r="B606220">
        <v>2004</v>
      </c>
      <c r="C606220">
        <v>22.061</v>
      </c>
      <c r="D606220">
        <v>5.796</v>
      </c>
    </row>
    <row r="606221">
      <c r="B606221">
        <v>2005</v>
      </c>
      <c r="C606221">
        <v>24.176</v>
      </c>
      <c r="D606221">
        <v>9.588</v>
      </c>
    </row>
    <row r="606222">
      <c r="B606222">
        <v>2006</v>
      </c>
      <c r="C606222">
        <v>26.454</v>
      </c>
      <c r="D606222">
        <v>9.42</v>
      </c>
    </row>
    <row r="606223">
      <c r="B606223">
        <v>2007</v>
      </c>
      <c r="C606223">
        <v>29.781</v>
      </c>
      <c r="D606223">
        <v>12.579</v>
      </c>
    </row>
    <row r="606224">
      <c r="B606224">
        <v>2008</v>
      </c>
      <c r="C606224">
        <v>30.502</v>
      </c>
      <c r="D606224">
        <v>2.419</v>
      </c>
    </row>
    <row r="606225">
      <c r="B606225">
        <v>2009</v>
      </c>
      <c r="C606225">
        <v>29.388</v>
      </c>
      <c r="D606225">
        <v>-3.651</v>
      </c>
    </row>
    <row r="606226">
      <c r="B606226">
        <v>2010</v>
      </c>
      <c r="C606226">
        <v>31.428</v>
      </c>
      <c r="D606226">
        <v>6.942</v>
      </c>
    </row>
    <row r="606227">
      <c r="B606227">
        <v>2011</v>
      </c>
      <c r="C606227">
        <v>33.927</v>
      </c>
      <c r="D606227">
        <v>7.949</v>
      </c>
    </row>
    <row r="606228">
      <c r="B606228">
        <v>2012</v>
      </c>
      <c r="C606228">
        <v>36.159</v>
      </c>
      <c r="D606228">
        <v>6.579</v>
      </c>
    </row>
    <row r="606229">
      <c r="B606229">
        <v>2013</v>
      </c>
      <c r="C606229">
        <v>38.015</v>
      </c>
      <c r="D606229">
        <v>5.134</v>
      </c>
    </row>
    <row r="606230">
      <c r="B606230">
        <v>2014</v>
      </c>
      <c r="C606230">
        <v>39.57</v>
      </c>
      <c r="D606230">
        <v>4.091</v>
      </c>
    </row>
    <row r="606231">
      <c r="B606231">
        <v>2015</v>
      </c>
      <c r="C606231">
        <v>40.896</v>
      </c>
      <c r="D606231">
        <v>3.351</v>
      </c>
    </row>
    <row r="606232">
      <c r="B606232">
        <v>2016</v>
      </c>
      <c r="C606232">
        <v>42.307</v>
      </c>
      <c r="D606232">
        <v>3.45</v>
      </c>
    </row>
    <row r="606233">
      <c r="B606233">
        <v>2017</v>
      </c>
      <c r="C606233">
        <v>44.49</v>
      </c>
      <c r="D606233">
        <v>5.161</v>
      </c>
    </row>
    <row r="606234">
      <c r="B606234">
        <v>2018</v>
      </c>
      <c r="C606234">
        <v>47.187</v>
      </c>
      <c r="D606234">
        <v>6.062</v>
      </c>
    </row>
    <row r="606235">
      <c r="B606235">
        <v>2019</v>
      </c>
      <c r="C606235">
        <v>49.726</v>
      </c>
      <c r="D606235">
        <v>5.38</v>
      </c>
    </row>
    <row r="606236">
      <c r="B606236">
        <v>2020</v>
      </c>
      <c r="C606236">
        <v>46.598</v>
      </c>
      <c r="D606236">
        <v>-6.291</v>
      </c>
    </row>
    <row r="606237">
      <c r="B606237">
        <v>2021</v>
      </c>
      <c r="C606237">
        <v>51.558</v>
      </c>
      <c r="D606237">
        <v>10.644</v>
      </c>
    </row>
    <row r="606238">
      <c r="B606238">
        <v>2022</v>
      </c>
      <c r="C606238">
        <v>57.208</v>
      </c>
      <c r="D606238">
        <v>10.96</v>
      </c>
    </row>
    <row r="606239">
      <c r="B606239">
        <v>2023</v>
      </c>
      <c r="C606239">
        <v>61.689</v>
      </c>
      <c r="D606239">
        <v>7.832</v>
      </c>
    </row>
    <row r="606240">
      <c r="B606240">
        <v>2024</v>
      </c>
      <c r="C606240">
        <v>67.505</v>
      </c>
      <c r="D606240">
        <v>9.429</v>
      </c>
    </row>
    <row r="606241">
      <c r="B606241">
        <v>2025</v>
      </c>
      <c r="C606241">
        <v>71.54</v>
      </c>
      <c r="D606241">
        <v>5.977</v>
      </c>
    </row>
    <row r="606242">
      <c r="B606242">
        <v>2026</v>
      </c>
      <c r="C606242">
        <v>75.117</v>
      </c>
      <c r="D606242">
        <v>5</v>
      </c>
    </row>
    <row r="606243">
      <c r="B606243">
        <v>2027</v>
      </c>
      <c r="C606243">
        <v>78.873</v>
      </c>
      <c r="D606243">
        <v>5</v>
      </c>
    </row>
    <row r="606244">
      <c r="B606244" t="str">
        <v>Estimates Start After</v>
      </c>
      <c r="C606244">
        <v>2024</v>
      </c>
      <c r="D606244">
        <v>2024</v>
      </c>
    </row>
    <row r="622593">
      <c r="B622593" t="str">
        <v>WEO Country Code</v>
      </c>
      <c r="C622593">
        <v>915</v>
      </c>
      <c r="D622593">
        <v>915</v>
      </c>
    </row>
    <row r="622594">
      <c r="B622594" t="str">
        <v>WEO Subject Code</v>
      </c>
      <c r="C622594" t="str">
        <v>NGDP_R</v>
      </c>
      <c r="D622594" t="str">
        <v>NGDP_RPCH</v>
      </c>
    </row>
    <row r="622595">
      <c r="B622595" t="str">
        <v>Country</v>
      </c>
      <c r="C622595" t="str">
        <v>Georgia</v>
      </c>
      <c r="D622595" t="str">
        <v>Georgia</v>
      </c>
    </row>
    <row r="622596">
      <c r="B622596" t="str">
        <v>Subject Descriptor</v>
      </c>
      <c r="C622596" t="str">
        <v>Gross domestic product, constant prices</v>
      </c>
      <c r="D622596" t="str">
        <v>Gross domestic product, constant prices</v>
      </c>
    </row>
    <row r="622597">
      <c r="B622597" t="str">
        <v>Units</v>
      </c>
      <c r="C622597" t="str">
        <v>National currency</v>
      </c>
      <c r="D622597" t="str">
        <v>Percent change</v>
      </c>
    </row>
    <row r="622598">
      <c r="B622598" t="str">
        <v>Scale</v>
      </c>
      <c r="C622598" t="str">
        <v>Billions</v>
      </c>
      <c r="D622598" t="str">
        <v>Units</v>
      </c>
    </row>
    <row r="622599">
      <c r="B622599" t="str">
        <v>Country/Series-specific Notes</v>
      </c>
      <c r="C62259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622599" t="str">
        <v>See notes for:  Gross domestic product, constant prices (National currency).</v>
      </c>
    </row>
    <row r="622600">
      <c r="B622600">
        <v>2000</v>
      </c>
      <c r="C622600">
        <v>16.963</v>
      </c>
      <c r="D622600">
        <v>1.865</v>
      </c>
    </row>
    <row r="622601">
      <c r="B622601">
        <v>2001</v>
      </c>
      <c r="C622601">
        <v>17.772</v>
      </c>
      <c r="D622601">
        <v>4.769</v>
      </c>
    </row>
    <row r="622602">
      <c r="B622602">
        <v>2002</v>
      </c>
      <c r="C622602">
        <v>18.747</v>
      </c>
      <c r="D622602">
        <v>5.487</v>
      </c>
    </row>
    <row r="622603">
      <c r="B622603">
        <v>2003</v>
      </c>
      <c r="C622603">
        <v>20.852</v>
      </c>
      <c r="D622603">
        <v>11.228</v>
      </c>
    </row>
    <row r="622604">
      <c r="B622604">
        <v>2004</v>
      </c>
      <c r="C622604">
        <v>22.061</v>
      </c>
      <c r="D622604">
        <v>5.796</v>
      </c>
    </row>
    <row r="622605">
      <c r="B622605">
        <v>2005</v>
      </c>
      <c r="C622605">
        <v>24.176</v>
      </c>
      <c r="D622605">
        <v>9.588</v>
      </c>
    </row>
    <row r="622606">
      <c r="B622606">
        <v>2006</v>
      </c>
      <c r="C622606">
        <v>26.454</v>
      </c>
      <c r="D622606">
        <v>9.42</v>
      </c>
    </row>
    <row r="622607">
      <c r="B622607">
        <v>2007</v>
      </c>
      <c r="C622607">
        <v>29.781</v>
      </c>
      <c r="D622607">
        <v>12.579</v>
      </c>
    </row>
    <row r="622608">
      <c r="B622608">
        <v>2008</v>
      </c>
      <c r="C622608">
        <v>30.502</v>
      </c>
      <c r="D622608">
        <v>2.419</v>
      </c>
    </row>
    <row r="622609">
      <c r="B622609">
        <v>2009</v>
      </c>
      <c r="C622609">
        <v>29.388</v>
      </c>
      <c r="D622609">
        <v>-3.651</v>
      </c>
    </row>
    <row r="622610">
      <c r="B622610">
        <v>2010</v>
      </c>
      <c r="C622610">
        <v>31.428</v>
      </c>
      <c r="D622610">
        <v>6.942</v>
      </c>
    </row>
    <row r="622611">
      <c r="B622611">
        <v>2011</v>
      </c>
      <c r="C622611">
        <v>33.927</v>
      </c>
      <c r="D622611">
        <v>7.949</v>
      </c>
    </row>
    <row r="622612">
      <c r="B622612">
        <v>2012</v>
      </c>
      <c r="C622612">
        <v>36.159</v>
      </c>
      <c r="D622612">
        <v>6.579</v>
      </c>
    </row>
    <row r="622613">
      <c r="B622613">
        <v>2013</v>
      </c>
      <c r="C622613">
        <v>38.015</v>
      </c>
      <c r="D622613">
        <v>5.134</v>
      </c>
    </row>
    <row r="622614">
      <c r="B622614">
        <v>2014</v>
      </c>
      <c r="C622614">
        <v>39.57</v>
      </c>
      <c r="D622614">
        <v>4.091</v>
      </c>
    </row>
    <row r="622615">
      <c r="B622615">
        <v>2015</v>
      </c>
      <c r="C622615">
        <v>40.896</v>
      </c>
      <c r="D622615">
        <v>3.351</v>
      </c>
    </row>
    <row r="622616">
      <c r="B622616">
        <v>2016</v>
      </c>
      <c r="C622616">
        <v>42.307</v>
      </c>
      <c r="D622616">
        <v>3.45</v>
      </c>
    </row>
    <row r="622617">
      <c r="B622617">
        <v>2017</v>
      </c>
      <c r="C622617">
        <v>44.49</v>
      </c>
      <c r="D622617">
        <v>5.161</v>
      </c>
    </row>
    <row r="622618">
      <c r="B622618">
        <v>2018</v>
      </c>
      <c r="C622618">
        <v>47.187</v>
      </c>
      <c r="D622618">
        <v>6.062</v>
      </c>
    </row>
    <row r="622619">
      <c r="B622619">
        <v>2019</v>
      </c>
      <c r="C622619">
        <v>49.726</v>
      </c>
      <c r="D622619">
        <v>5.38</v>
      </c>
    </row>
    <row r="622620">
      <c r="B622620">
        <v>2020</v>
      </c>
      <c r="C622620">
        <v>46.598</v>
      </c>
      <c r="D622620">
        <v>-6.291</v>
      </c>
    </row>
    <row r="622621">
      <c r="B622621">
        <v>2021</v>
      </c>
      <c r="C622621">
        <v>51.558</v>
      </c>
      <c r="D622621">
        <v>10.644</v>
      </c>
    </row>
    <row r="622622">
      <c r="B622622">
        <v>2022</v>
      </c>
      <c r="C622622">
        <v>57.208</v>
      </c>
      <c r="D622622">
        <v>10.96</v>
      </c>
    </row>
    <row r="622623">
      <c r="B622623">
        <v>2023</v>
      </c>
      <c r="C622623">
        <v>61.689</v>
      </c>
      <c r="D622623">
        <v>7.832</v>
      </c>
    </row>
    <row r="622624">
      <c r="B622624">
        <v>2024</v>
      </c>
      <c r="C622624">
        <v>67.505</v>
      </c>
      <c r="D622624">
        <v>9.429</v>
      </c>
    </row>
    <row r="622625">
      <c r="B622625">
        <v>2025</v>
      </c>
      <c r="C622625">
        <v>71.54</v>
      </c>
      <c r="D622625">
        <v>5.977</v>
      </c>
    </row>
    <row r="622626">
      <c r="B622626">
        <v>2026</v>
      </c>
      <c r="C622626">
        <v>75.117</v>
      </c>
      <c r="D622626">
        <v>5</v>
      </c>
    </row>
    <row r="622627">
      <c r="B622627">
        <v>2027</v>
      </c>
      <c r="C622627">
        <v>78.873</v>
      </c>
      <c r="D622627">
        <v>5</v>
      </c>
    </row>
    <row r="622628">
      <c r="B622628" t="str">
        <v>Estimates Start After</v>
      </c>
      <c r="C622628">
        <v>2024</v>
      </c>
      <c r="D622628">
        <v>2024</v>
      </c>
    </row>
    <row r="638977">
      <c r="B638977" t="str">
        <v>WEO Country Code</v>
      </c>
      <c r="C638977">
        <v>915</v>
      </c>
      <c r="D638977">
        <v>915</v>
      </c>
    </row>
    <row r="638978">
      <c r="B638978" t="str">
        <v>WEO Subject Code</v>
      </c>
      <c r="C638978" t="str">
        <v>NGDP_R</v>
      </c>
      <c r="D638978" t="str">
        <v>NGDP_RPCH</v>
      </c>
    </row>
    <row r="638979">
      <c r="B638979" t="str">
        <v>Country</v>
      </c>
      <c r="C638979" t="str">
        <v>Georgia</v>
      </c>
      <c r="D638979" t="str">
        <v>Georgia</v>
      </c>
    </row>
    <row r="638980">
      <c r="B638980" t="str">
        <v>Subject Descriptor</v>
      </c>
      <c r="C638980" t="str">
        <v>Gross domestic product, constant prices</v>
      </c>
      <c r="D638980" t="str">
        <v>Gross domestic product, constant prices</v>
      </c>
    </row>
    <row r="638981">
      <c r="B638981" t="str">
        <v>Units</v>
      </c>
      <c r="C638981" t="str">
        <v>National currency</v>
      </c>
      <c r="D638981" t="str">
        <v>Percent change</v>
      </c>
    </row>
    <row r="638982">
      <c r="B638982" t="str">
        <v>Scale</v>
      </c>
      <c r="C638982" t="str">
        <v>Billions</v>
      </c>
      <c r="D638982" t="str">
        <v>Units</v>
      </c>
    </row>
    <row r="638983">
      <c r="B638983" t="str">
        <v>Country/Series-specific Notes</v>
      </c>
      <c r="C63898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638983" t="str">
        <v>See notes for:  Gross domestic product, constant prices (National currency).</v>
      </c>
    </row>
    <row r="638984">
      <c r="B638984">
        <v>2000</v>
      </c>
      <c r="C638984">
        <v>16.963</v>
      </c>
      <c r="D638984">
        <v>1.865</v>
      </c>
    </row>
    <row r="638985">
      <c r="B638985">
        <v>2001</v>
      </c>
      <c r="C638985">
        <v>17.772</v>
      </c>
      <c r="D638985">
        <v>4.769</v>
      </c>
    </row>
    <row r="638986">
      <c r="B638986">
        <v>2002</v>
      </c>
      <c r="C638986">
        <v>18.747</v>
      </c>
      <c r="D638986">
        <v>5.487</v>
      </c>
    </row>
    <row r="638987">
      <c r="B638987">
        <v>2003</v>
      </c>
      <c r="C638987">
        <v>20.852</v>
      </c>
      <c r="D638987">
        <v>11.228</v>
      </c>
    </row>
    <row r="638988">
      <c r="B638988">
        <v>2004</v>
      </c>
      <c r="C638988">
        <v>22.061</v>
      </c>
      <c r="D638988">
        <v>5.796</v>
      </c>
    </row>
    <row r="638989">
      <c r="B638989">
        <v>2005</v>
      </c>
      <c r="C638989">
        <v>24.176</v>
      </c>
      <c r="D638989">
        <v>9.588</v>
      </c>
    </row>
    <row r="638990">
      <c r="B638990">
        <v>2006</v>
      </c>
      <c r="C638990">
        <v>26.454</v>
      </c>
      <c r="D638990">
        <v>9.42</v>
      </c>
    </row>
    <row r="638991">
      <c r="B638991">
        <v>2007</v>
      </c>
      <c r="C638991">
        <v>29.781</v>
      </c>
      <c r="D638991">
        <v>12.579</v>
      </c>
    </row>
    <row r="638992">
      <c r="B638992">
        <v>2008</v>
      </c>
      <c r="C638992">
        <v>30.502</v>
      </c>
      <c r="D638992">
        <v>2.419</v>
      </c>
    </row>
    <row r="638993">
      <c r="B638993">
        <v>2009</v>
      </c>
      <c r="C638993">
        <v>29.388</v>
      </c>
      <c r="D638993">
        <v>-3.651</v>
      </c>
    </row>
    <row r="638994">
      <c r="B638994">
        <v>2010</v>
      </c>
      <c r="C638994">
        <v>31.428</v>
      </c>
      <c r="D638994">
        <v>6.942</v>
      </c>
    </row>
    <row r="638995">
      <c r="B638995">
        <v>2011</v>
      </c>
      <c r="C638995">
        <v>33.927</v>
      </c>
      <c r="D638995">
        <v>7.949</v>
      </c>
    </row>
    <row r="638996">
      <c r="B638996">
        <v>2012</v>
      </c>
      <c r="C638996">
        <v>36.159</v>
      </c>
      <c r="D638996">
        <v>6.579</v>
      </c>
    </row>
    <row r="638997">
      <c r="B638997">
        <v>2013</v>
      </c>
      <c r="C638997">
        <v>38.015</v>
      </c>
      <c r="D638997">
        <v>5.134</v>
      </c>
    </row>
    <row r="638998">
      <c r="B638998">
        <v>2014</v>
      </c>
      <c r="C638998">
        <v>39.57</v>
      </c>
      <c r="D638998">
        <v>4.091</v>
      </c>
    </row>
    <row r="638999">
      <c r="B638999">
        <v>2015</v>
      </c>
      <c r="C638999">
        <v>40.896</v>
      </c>
      <c r="D638999">
        <v>3.351</v>
      </c>
    </row>
    <row r="639000">
      <c r="B639000">
        <v>2016</v>
      </c>
      <c r="C639000">
        <v>42.307</v>
      </c>
      <c r="D639000">
        <v>3.45</v>
      </c>
    </row>
    <row r="639001">
      <c r="B639001">
        <v>2017</v>
      </c>
      <c r="C639001">
        <v>44.49</v>
      </c>
      <c r="D639001">
        <v>5.161</v>
      </c>
    </row>
    <row r="639002">
      <c r="B639002">
        <v>2018</v>
      </c>
      <c r="C639002">
        <v>47.187</v>
      </c>
      <c r="D639002">
        <v>6.062</v>
      </c>
    </row>
    <row r="639003">
      <c r="B639003">
        <v>2019</v>
      </c>
      <c r="C639003">
        <v>49.726</v>
      </c>
      <c r="D639003">
        <v>5.38</v>
      </c>
    </row>
    <row r="639004">
      <c r="B639004">
        <v>2020</v>
      </c>
      <c r="C639004">
        <v>46.598</v>
      </c>
      <c r="D639004">
        <v>-6.291</v>
      </c>
    </row>
    <row r="639005">
      <c r="B639005">
        <v>2021</v>
      </c>
      <c r="C639005">
        <v>51.558</v>
      </c>
      <c r="D639005">
        <v>10.644</v>
      </c>
    </row>
    <row r="639006">
      <c r="B639006">
        <v>2022</v>
      </c>
      <c r="C639006">
        <v>57.208</v>
      </c>
      <c r="D639006">
        <v>10.96</v>
      </c>
    </row>
    <row r="639007">
      <c r="B639007">
        <v>2023</v>
      </c>
      <c r="C639007">
        <v>61.689</v>
      </c>
      <c r="D639007">
        <v>7.832</v>
      </c>
    </row>
    <row r="639008">
      <c r="B639008">
        <v>2024</v>
      </c>
      <c r="C639008">
        <v>67.505</v>
      </c>
      <c r="D639008">
        <v>9.429</v>
      </c>
    </row>
    <row r="639009">
      <c r="B639009">
        <v>2025</v>
      </c>
      <c r="C639009">
        <v>71.54</v>
      </c>
      <c r="D639009">
        <v>5.977</v>
      </c>
    </row>
    <row r="639010">
      <c r="B639010">
        <v>2026</v>
      </c>
      <c r="C639010">
        <v>75.117</v>
      </c>
      <c r="D639010">
        <v>5</v>
      </c>
    </row>
    <row r="639011">
      <c r="B639011">
        <v>2027</v>
      </c>
      <c r="C639011">
        <v>78.873</v>
      </c>
      <c r="D639011">
        <v>5</v>
      </c>
    </row>
    <row r="639012">
      <c r="B639012" t="str">
        <v>Estimates Start After</v>
      </c>
      <c r="C639012">
        <v>2024</v>
      </c>
      <c r="D639012">
        <v>2024</v>
      </c>
    </row>
    <row r="655361">
      <c r="B655361" t="str">
        <v>WEO Country Code</v>
      </c>
      <c r="C655361">
        <v>915</v>
      </c>
      <c r="D655361">
        <v>915</v>
      </c>
    </row>
    <row r="655362">
      <c r="B655362" t="str">
        <v>WEO Subject Code</v>
      </c>
      <c r="C655362" t="str">
        <v>NGDP_R</v>
      </c>
      <c r="D655362" t="str">
        <v>NGDP_RPCH</v>
      </c>
    </row>
    <row r="655363">
      <c r="B655363" t="str">
        <v>Country</v>
      </c>
      <c r="C655363" t="str">
        <v>Georgia</v>
      </c>
      <c r="D655363" t="str">
        <v>Georgia</v>
      </c>
    </row>
    <row r="655364">
      <c r="B655364" t="str">
        <v>Subject Descriptor</v>
      </c>
      <c r="C655364" t="str">
        <v>Gross domestic product, constant prices</v>
      </c>
      <c r="D655364" t="str">
        <v>Gross domestic product, constant prices</v>
      </c>
    </row>
    <row r="655365">
      <c r="B655365" t="str">
        <v>Units</v>
      </c>
      <c r="C655365" t="str">
        <v>National currency</v>
      </c>
      <c r="D655365" t="str">
        <v>Percent change</v>
      </c>
    </row>
    <row r="655366">
      <c r="B655366" t="str">
        <v>Scale</v>
      </c>
      <c r="C655366" t="str">
        <v>Billions</v>
      </c>
      <c r="D655366" t="str">
        <v>Units</v>
      </c>
    </row>
    <row r="655367">
      <c r="B655367" t="str">
        <v>Country/Series-specific Notes</v>
      </c>
      <c r="C65536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655367" t="str">
        <v>See notes for:  Gross domestic product, constant prices (National currency).</v>
      </c>
    </row>
    <row r="655368">
      <c r="B655368">
        <v>2000</v>
      </c>
      <c r="C655368">
        <v>16.963</v>
      </c>
      <c r="D655368">
        <v>1.865</v>
      </c>
    </row>
    <row r="655369">
      <c r="B655369">
        <v>2001</v>
      </c>
      <c r="C655369">
        <v>17.772</v>
      </c>
      <c r="D655369">
        <v>4.769</v>
      </c>
    </row>
    <row r="655370">
      <c r="B655370">
        <v>2002</v>
      </c>
      <c r="C655370">
        <v>18.747</v>
      </c>
      <c r="D655370">
        <v>5.487</v>
      </c>
    </row>
    <row r="655371">
      <c r="B655371">
        <v>2003</v>
      </c>
      <c r="C655371">
        <v>20.852</v>
      </c>
      <c r="D655371">
        <v>11.228</v>
      </c>
    </row>
    <row r="655372">
      <c r="B655372">
        <v>2004</v>
      </c>
      <c r="C655372">
        <v>22.061</v>
      </c>
      <c r="D655372">
        <v>5.796</v>
      </c>
    </row>
    <row r="655373">
      <c r="B655373">
        <v>2005</v>
      </c>
      <c r="C655373">
        <v>24.176</v>
      </c>
      <c r="D655373">
        <v>9.588</v>
      </c>
    </row>
    <row r="655374">
      <c r="B655374">
        <v>2006</v>
      </c>
      <c r="C655374">
        <v>26.454</v>
      </c>
      <c r="D655374">
        <v>9.42</v>
      </c>
    </row>
    <row r="655375">
      <c r="B655375">
        <v>2007</v>
      </c>
      <c r="C655375">
        <v>29.781</v>
      </c>
      <c r="D655375">
        <v>12.579</v>
      </c>
    </row>
    <row r="655376">
      <c r="B655376">
        <v>2008</v>
      </c>
      <c r="C655376">
        <v>30.502</v>
      </c>
      <c r="D655376">
        <v>2.419</v>
      </c>
    </row>
    <row r="655377">
      <c r="B655377">
        <v>2009</v>
      </c>
      <c r="C655377">
        <v>29.388</v>
      </c>
      <c r="D655377">
        <v>-3.651</v>
      </c>
    </row>
    <row r="655378">
      <c r="B655378">
        <v>2010</v>
      </c>
      <c r="C655378">
        <v>31.428</v>
      </c>
      <c r="D655378">
        <v>6.942</v>
      </c>
    </row>
    <row r="655379">
      <c r="B655379">
        <v>2011</v>
      </c>
      <c r="C655379">
        <v>33.927</v>
      </c>
      <c r="D655379">
        <v>7.949</v>
      </c>
    </row>
    <row r="655380">
      <c r="B655380">
        <v>2012</v>
      </c>
      <c r="C655380">
        <v>36.159</v>
      </c>
      <c r="D655380">
        <v>6.579</v>
      </c>
    </row>
    <row r="655381">
      <c r="B655381">
        <v>2013</v>
      </c>
      <c r="C655381">
        <v>38.015</v>
      </c>
      <c r="D655381">
        <v>5.134</v>
      </c>
    </row>
    <row r="655382">
      <c r="B655382">
        <v>2014</v>
      </c>
      <c r="C655382">
        <v>39.57</v>
      </c>
      <c r="D655382">
        <v>4.091</v>
      </c>
    </row>
    <row r="655383">
      <c r="B655383">
        <v>2015</v>
      </c>
      <c r="C655383">
        <v>40.896</v>
      </c>
      <c r="D655383">
        <v>3.351</v>
      </c>
    </row>
    <row r="655384">
      <c r="B655384">
        <v>2016</v>
      </c>
      <c r="C655384">
        <v>42.307</v>
      </c>
      <c r="D655384">
        <v>3.45</v>
      </c>
    </row>
    <row r="655385">
      <c r="B655385">
        <v>2017</v>
      </c>
      <c r="C655385">
        <v>44.49</v>
      </c>
      <c r="D655385">
        <v>5.161</v>
      </c>
    </row>
    <row r="655386">
      <c r="B655386">
        <v>2018</v>
      </c>
      <c r="C655386">
        <v>47.187</v>
      </c>
      <c r="D655386">
        <v>6.062</v>
      </c>
    </row>
    <row r="655387">
      <c r="B655387">
        <v>2019</v>
      </c>
      <c r="C655387">
        <v>49.726</v>
      </c>
      <c r="D655387">
        <v>5.38</v>
      </c>
    </row>
    <row r="655388">
      <c r="B655388">
        <v>2020</v>
      </c>
      <c r="C655388">
        <v>46.598</v>
      </c>
      <c r="D655388">
        <v>-6.291</v>
      </c>
    </row>
    <row r="655389">
      <c r="B655389">
        <v>2021</v>
      </c>
      <c r="C655389">
        <v>51.558</v>
      </c>
      <c r="D655389">
        <v>10.644</v>
      </c>
    </row>
    <row r="655390">
      <c r="B655390">
        <v>2022</v>
      </c>
      <c r="C655390">
        <v>57.208</v>
      </c>
      <c r="D655390">
        <v>10.96</v>
      </c>
    </row>
    <row r="655391">
      <c r="B655391">
        <v>2023</v>
      </c>
      <c r="C655391">
        <v>61.689</v>
      </c>
      <c r="D655391">
        <v>7.832</v>
      </c>
    </row>
    <row r="655392">
      <c r="B655392">
        <v>2024</v>
      </c>
      <c r="C655392">
        <v>67.505</v>
      </c>
      <c r="D655392">
        <v>9.429</v>
      </c>
    </row>
    <row r="655393">
      <c r="B655393">
        <v>2025</v>
      </c>
      <c r="C655393">
        <v>71.54</v>
      </c>
      <c r="D655393">
        <v>5.977</v>
      </c>
    </row>
    <row r="655394">
      <c r="B655394">
        <v>2026</v>
      </c>
      <c r="C655394">
        <v>75.117</v>
      </c>
      <c r="D655394">
        <v>5</v>
      </c>
    </row>
    <row r="655395">
      <c r="B655395">
        <v>2027</v>
      </c>
      <c r="C655395">
        <v>78.873</v>
      </c>
      <c r="D655395">
        <v>5</v>
      </c>
    </row>
    <row r="655396">
      <c r="B655396" t="str">
        <v>Estimates Start After</v>
      </c>
      <c r="C655396">
        <v>2024</v>
      </c>
      <c r="D655396">
        <v>2024</v>
      </c>
    </row>
    <row r="671745">
      <c r="B671745" t="str">
        <v>WEO Country Code</v>
      </c>
      <c r="C671745">
        <v>915</v>
      </c>
      <c r="D671745">
        <v>915</v>
      </c>
    </row>
    <row r="671746">
      <c r="B671746" t="str">
        <v>WEO Subject Code</v>
      </c>
      <c r="C671746" t="str">
        <v>NGDP_R</v>
      </c>
      <c r="D671746" t="str">
        <v>NGDP_RPCH</v>
      </c>
    </row>
    <row r="671747">
      <c r="B671747" t="str">
        <v>Country</v>
      </c>
      <c r="C671747" t="str">
        <v>Georgia</v>
      </c>
      <c r="D671747" t="str">
        <v>Georgia</v>
      </c>
    </row>
    <row r="671748">
      <c r="B671748" t="str">
        <v>Subject Descriptor</v>
      </c>
      <c r="C671748" t="str">
        <v>Gross domestic product, constant prices</v>
      </c>
      <c r="D671748" t="str">
        <v>Gross domestic product, constant prices</v>
      </c>
    </row>
    <row r="671749">
      <c r="B671749" t="str">
        <v>Units</v>
      </c>
      <c r="C671749" t="str">
        <v>National currency</v>
      </c>
      <c r="D671749" t="str">
        <v>Percent change</v>
      </c>
    </row>
    <row r="671750">
      <c r="B671750" t="str">
        <v>Scale</v>
      </c>
      <c r="C671750" t="str">
        <v>Billions</v>
      </c>
      <c r="D671750" t="str">
        <v>Units</v>
      </c>
    </row>
    <row r="671751">
      <c r="B671751" t="str">
        <v>Country/Series-specific Notes</v>
      </c>
      <c r="C67175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671751" t="str">
        <v>See notes for:  Gross domestic product, constant prices (National currency).</v>
      </c>
    </row>
    <row r="671752">
      <c r="B671752">
        <v>2000</v>
      </c>
      <c r="C671752">
        <v>16.963</v>
      </c>
      <c r="D671752">
        <v>1.865</v>
      </c>
    </row>
    <row r="671753">
      <c r="B671753">
        <v>2001</v>
      </c>
      <c r="C671753">
        <v>17.772</v>
      </c>
      <c r="D671753">
        <v>4.769</v>
      </c>
    </row>
    <row r="671754">
      <c r="B671754">
        <v>2002</v>
      </c>
      <c r="C671754">
        <v>18.747</v>
      </c>
      <c r="D671754">
        <v>5.487</v>
      </c>
    </row>
    <row r="671755">
      <c r="B671755">
        <v>2003</v>
      </c>
      <c r="C671755">
        <v>20.852</v>
      </c>
      <c r="D671755">
        <v>11.228</v>
      </c>
    </row>
    <row r="671756">
      <c r="B671756">
        <v>2004</v>
      </c>
      <c r="C671756">
        <v>22.061</v>
      </c>
      <c r="D671756">
        <v>5.796</v>
      </c>
    </row>
    <row r="671757">
      <c r="B671757">
        <v>2005</v>
      </c>
      <c r="C671757">
        <v>24.176</v>
      </c>
      <c r="D671757">
        <v>9.588</v>
      </c>
    </row>
    <row r="671758">
      <c r="B671758">
        <v>2006</v>
      </c>
      <c r="C671758">
        <v>26.454</v>
      </c>
      <c r="D671758">
        <v>9.42</v>
      </c>
    </row>
    <row r="671759">
      <c r="B671759">
        <v>2007</v>
      </c>
      <c r="C671759">
        <v>29.781</v>
      </c>
      <c r="D671759">
        <v>12.579</v>
      </c>
    </row>
    <row r="671760">
      <c r="B671760">
        <v>2008</v>
      </c>
      <c r="C671760">
        <v>30.502</v>
      </c>
      <c r="D671760">
        <v>2.419</v>
      </c>
    </row>
    <row r="671761">
      <c r="B671761">
        <v>2009</v>
      </c>
      <c r="C671761">
        <v>29.388</v>
      </c>
      <c r="D671761">
        <v>-3.651</v>
      </c>
    </row>
    <row r="671762">
      <c r="B671762">
        <v>2010</v>
      </c>
      <c r="C671762">
        <v>31.428</v>
      </c>
      <c r="D671762">
        <v>6.942</v>
      </c>
    </row>
    <row r="671763">
      <c r="B671763">
        <v>2011</v>
      </c>
      <c r="C671763">
        <v>33.927</v>
      </c>
      <c r="D671763">
        <v>7.949</v>
      </c>
    </row>
    <row r="671764">
      <c r="B671764">
        <v>2012</v>
      </c>
      <c r="C671764">
        <v>36.159</v>
      </c>
      <c r="D671764">
        <v>6.579</v>
      </c>
    </row>
    <row r="671765">
      <c r="B671765">
        <v>2013</v>
      </c>
      <c r="C671765">
        <v>38.015</v>
      </c>
      <c r="D671765">
        <v>5.134</v>
      </c>
    </row>
    <row r="671766">
      <c r="B671766">
        <v>2014</v>
      </c>
      <c r="C671766">
        <v>39.57</v>
      </c>
      <c r="D671766">
        <v>4.091</v>
      </c>
    </row>
    <row r="671767">
      <c r="B671767">
        <v>2015</v>
      </c>
      <c r="C671767">
        <v>40.896</v>
      </c>
      <c r="D671767">
        <v>3.351</v>
      </c>
    </row>
    <row r="671768">
      <c r="B671768">
        <v>2016</v>
      </c>
      <c r="C671768">
        <v>42.307</v>
      </c>
      <c r="D671768">
        <v>3.45</v>
      </c>
    </row>
    <row r="671769">
      <c r="B671769">
        <v>2017</v>
      </c>
      <c r="C671769">
        <v>44.49</v>
      </c>
      <c r="D671769">
        <v>5.161</v>
      </c>
    </row>
    <row r="671770">
      <c r="B671770">
        <v>2018</v>
      </c>
      <c r="C671770">
        <v>47.187</v>
      </c>
      <c r="D671770">
        <v>6.062</v>
      </c>
    </row>
    <row r="671771">
      <c r="B671771">
        <v>2019</v>
      </c>
      <c r="C671771">
        <v>49.726</v>
      </c>
      <c r="D671771">
        <v>5.38</v>
      </c>
    </row>
    <row r="671772">
      <c r="B671772">
        <v>2020</v>
      </c>
      <c r="C671772">
        <v>46.598</v>
      </c>
      <c r="D671772">
        <v>-6.291</v>
      </c>
    </row>
    <row r="671773">
      <c r="B671773">
        <v>2021</v>
      </c>
      <c r="C671773">
        <v>51.558</v>
      </c>
      <c r="D671773">
        <v>10.644</v>
      </c>
    </row>
    <row r="671774">
      <c r="B671774">
        <v>2022</v>
      </c>
      <c r="C671774">
        <v>57.208</v>
      </c>
      <c r="D671774">
        <v>10.96</v>
      </c>
    </row>
    <row r="671775">
      <c r="B671775">
        <v>2023</v>
      </c>
      <c r="C671775">
        <v>61.689</v>
      </c>
      <c r="D671775">
        <v>7.832</v>
      </c>
    </row>
    <row r="671776">
      <c r="B671776">
        <v>2024</v>
      </c>
      <c r="C671776">
        <v>67.505</v>
      </c>
      <c r="D671776">
        <v>9.429</v>
      </c>
    </row>
    <row r="671777">
      <c r="B671777">
        <v>2025</v>
      </c>
      <c r="C671777">
        <v>71.54</v>
      </c>
      <c r="D671777">
        <v>5.977</v>
      </c>
    </row>
    <row r="671778">
      <c r="B671778">
        <v>2026</v>
      </c>
      <c r="C671778">
        <v>75.117</v>
      </c>
      <c r="D671778">
        <v>5</v>
      </c>
    </row>
    <row r="671779">
      <c r="B671779">
        <v>2027</v>
      </c>
      <c r="C671779">
        <v>78.873</v>
      </c>
      <c r="D671779">
        <v>5</v>
      </c>
    </row>
    <row r="671780">
      <c r="B671780" t="str">
        <v>Estimates Start After</v>
      </c>
      <c r="C671780">
        <v>2024</v>
      </c>
      <c r="D671780">
        <v>2024</v>
      </c>
    </row>
    <row r="688129">
      <c r="B688129" t="str">
        <v>WEO Country Code</v>
      </c>
      <c r="C688129">
        <v>915</v>
      </c>
      <c r="D688129">
        <v>915</v>
      </c>
    </row>
    <row r="688130">
      <c r="B688130" t="str">
        <v>WEO Subject Code</v>
      </c>
      <c r="C688130" t="str">
        <v>NGDP_R</v>
      </c>
      <c r="D688130" t="str">
        <v>NGDP_RPCH</v>
      </c>
    </row>
    <row r="688131">
      <c r="B688131" t="str">
        <v>Country</v>
      </c>
      <c r="C688131" t="str">
        <v>Georgia</v>
      </c>
      <c r="D688131" t="str">
        <v>Georgia</v>
      </c>
    </row>
    <row r="688132">
      <c r="B688132" t="str">
        <v>Subject Descriptor</v>
      </c>
      <c r="C688132" t="str">
        <v>Gross domestic product, constant prices</v>
      </c>
      <c r="D688132" t="str">
        <v>Gross domestic product, constant prices</v>
      </c>
    </row>
    <row r="688133">
      <c r="B688133" t="str">
        <v>Units</v>
      </c>
      <c r="C688133" t="str">
        <v>National currency</v>
      </c>
      <c r="D688133" t="str">
        <v>Percent change</v>
      </c>
    </row>
    <row r="688134">
      <c r="B688134" t="str">
        <v>Scale</v>
      </c>
      <c r="C688134" t="str">
        <v>Billions</v>
      </c>
      <c r="D688134" t="str">
        <v>Units</v>
      </c>
    </row>
    <row r="688135">
      <c r="B688135" t="str">
        <v>Country/Series-specific Notes</v>
      </c>
      <c r="C68813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688135" t="str">
        <v>See notes for:  Gross domestic product, constant prices (National currency).</v>
      </c>
    </row>
    <row r="688136">
      <c r="B688136">
        <v>2000</v>
      </c>
      <c r="C688136">
        <v>16.963</v>
      </c>
      <c r="D688136">
        <v>1.865</v>
      </c>
    </row>
    <row r="688137">
      <c r="B688137">
        <v>2001</v>
      </c>
      <c r="C688137">
        <v>17.772</v>
      </c>
      <c r="D688137">
        <v>4.769</v>
      </c>
    </row>
    <row r="688138">
      <c r="B688138">
        <v>2002</v>
      </c>
      <c r="C688138">
        <v>18.747</v>
      </c>
      <c r="D688138">
        <v>5.487</v>
      </c>
    </row>
    <row r="688139">
      <c r="B688139">
        <v>2003</v>
      </c>
      <c r="C688139">
        <v>20.852</v>
      </c>
      <c r="D688139">
        <v>11.228</v>
      </c>
    </row>
    <row r="688140">
      <c r="B688140">
        <v>2004</v>
      </c>
      <c r="C688140">
        <v>22.061</v>
      </c>
      <c r="D688140">
        <v>5.796</v>
      </c>
    </row>
    <row r="688141">
      <c r="B688141">
        <v>2005</v>
      </c>
      <c r="C688141">
        <v>24.176</v>
      </c>
      <c r="D688141">
        <v>9.588</v>
      </c>
    </row>
    <row r="688142">
      <c r="B688142">
        <v>2006</v>
      </c>
      <c r="C688142">
        <v>26.454</v>
      </c>
      <c r="D688142">
        <v>9.42</v>
      </c>
    </row>
    <row r="688143">
      <c r="B688143">
        <v>2007</v>
      </c>
      <c r="C688143">
        <v>29.781</v>
      </c>
      <c r="D688143">
        <v>12.579</v>
      </c>
    </row>
    <row r="688144">
      <c r="B688144">
        <v>2008</v>
      </c>
      <c r="C688144">
        <v>30.502</v>
      </c>
      <c r="D688144">
        <v>2.419</v>
      </c>
    </row>
    <row r="688145">
      <c r="B688145">
        <v>2009</v>
      </c>
      <c r="C688145">
        <v>29.388</v>
      </c>
      <c r="D688145">
        <v>-3.651</v>
      </c>
    </row>
    <row r="688146">
      <c r="B688146">
        <v>2010</v>
      </c>
      <c r="C688146">
        <v>31.428</v>
      </c>
      <c r="D688146">
        <v>6.942</v>
      </c>
    </row>
    <row r="688147">
      <c r="B688147">
        <v>2011</v>
      </c>
      <c r="C688147">
        <v>33.927</v>
      </c>
      <c r="D688147">
        <v>7.949</v>
      </c>
    </row>
    <row r="688148">
      <c r="B688148">
        <v>2012</v>
      </c>
      <c r="C688148">
        <v>36.159</v>
      </c>
      <c r="D688148">
        <v>6.579</v>
      </c>
    </row>
    <row r="688149">
      <c r="B688149">
        <v>2013</v>
      </c>
      <c r="C688149">
        <v>38.015</v>
      </c>
      <c r="D688149">
        <v>5.134</v>
      </c>
    </row>
    <row r="688150">
      <c r="B688150">
        <v>2014</v>
      </c>
      <c r="C688150">
        <v>39.57</v>
      </c>
      <c r="D688150">
        <v>4.091</v>
      </c>
    </row>
    <row r="688151">
      <c r="B688151">
        <v>2015</v>
      </c>
      <c r="C688151">
        <v>40.896</v>
      </c>
      <c r="D688151">
        <v>3.351</v>
      </c>
    </row>
    <row r="688152">
      <c r="B688152">
        <v>2016</v>
      </c>
      <c r="C688152">
        <v>42.307</v>
      </c>
      <c r="D688152">
        <v>3.45</v>
      </c>
    </row>
    <row r="688153">
      <c r="B688153">
        <v>2017</v>
      </c>
      <c r="C688153">
        <v>44.49</v>
      </c>
      <c r="D688153">
        <v>5.161</v>
      </c>
    </row>
    <row r="688154">
      <c r="B688154">
        <v>2018</v>
      </c>
      <c r="C688154">
        <v>47.187</v>
      </c>
      <c r="D688154">
        <v>6.062</v>
      </c>
    </row>
    <row r="688155">
      <c r="B688155">
        <v>2019</v>
      </c>
      <c r="C688155">
        <v>49.726</v>
      </c>
      <c r="D688155">
        <v>5.38</v>
      </c>
    </row>
    <row r="688156">
      <c r="B688156">
        <v>2020</v>
      </c>
      <c r="C688156">
        <v>46.598</v>
      </c>
      <c r="D688156">
        <v>-6.291</v>
      </c>
    </row>
    <row r="688157">
      <c r="B688157">
        <v>2021</v>
      </c>
      <c r="C688157">
        <v>51.558</v>
      </c>
      <c r="D688157">
        <v>10.644</v>
      </c>
    </row>
    <row r="688158">
      <c r="B688158">
        <v>2022</v>
      </c>
      <c r="C688158">
        <v>57.208</v>
      </c>
      <c r="D688158">
        <v>10.96</v>
      </c>
    </row>
    <row r="688159">
      <c r="B688159">
        <v>2023</v>
      </c>
      <c r="C688159">
        <v>61.689</v>
      </c>
      <c r="D688159">
        <v>7.832</v>
      </c>
    </row>
    <row r="688160">
      <c r="B688160">
        <v>2024</v>
      </c>
      <c r="C688160">
        <v>67.505</v>
      </c>
      <c r="D688160">
        <v>9.429</v>
      </c>
    </row>
    <row r="688161">
      <c r="B688161">
        <v>2025</v>
      </c>
      <c r="C688161">
        <v>71.54</v>
      </c>
      <c r="D688161">
        <v>5.977</v>
      </c>
    </row>
    <row r="688162">
      <c r="B688162">
        <v>2026</v>
      </c>
      <c r="C688162">
        <v>75.117</v>
      </c>
      <c r="D688162">
        <v>5</v>
      </c>
    </row>
    <row r="688163">
      <c r="B688163">
        <v>2027</v>
      </c>
      <c r="C688163">
        <v>78.873</v>
      </c>
      <c r="D688163">
        <v>5</v>
      </c>
    </row>
    <row r="688164">
      <c r="B688164" t="str">
        <v>Estimates Start After</v>
      </c>
      <c r="C688164">
        <v>2024</v>
      </c>
      <c r="D688164">
        <v>2024</v>
      </c>
    </row>
    <row r="704513">
      <c r="B704513" t="str">
        <v>WEO Country Code</v>
      </c>
      <c r="C704513">
        <v>915</v>
      </c>
      <c r="D704513">
        <v>915</v>
      </c>
    </row>
    <row r="704514">
      <c r="B704514" t="str">
        <v>WEO Subject Code</v>
      </c>
      <c r="C704514" t="str">
        <v>NGDP_R</v>
      </c>
      <c r="D704514" t="str">
        <v>NGDP_RPCH</v>
      </c>
    </row>
    <row r="704515">
      <c r="B704515" t="str">
        <v>Country</v>
      </c>
      <c r="C704515" t="str">
        <v>Georgia</v>
      </c>
      <c r="D704515" t="str">
        <v>Georgia</v>
      </c>
    </row>
    <row r="704516">
      <c r="B704516" t="str">
        <v>Subject Descriptor</v>
      </c>
      <c r="C704516" t="str">
        <v>Gross domestic product, constant prices</v>
      </c>
      <c r="D704516" t="str">
        <v>Gross domestic product, constant prices</v>
      </c>
    </row>
    <row r="704517">
      <c r="B704517" t="str">
        <v>Units</v>
      </c>
      <c r="C704517" t="str">
        <v>National currency</v>
      </c>
      <c r="D704517" t="str">
        <v>Percent change</v>
      </c>
    </row>
    <row r="704518">
      <c r="B704518" t="str">
        <v>Scale</v>
      </c>
      <c r="C704518" t="str">
        <v>Billions</v>
      </c>
      <c r="D704518" t="str">
        <v>Units</v>
      </c>
    </row>
    <row r="704519">
      <c r="B704519" t="str">
        <v>Country/Series-specific Notes</v>
      </c>
      <c r="C70451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704519" t="str">
        <v>See notes for:  Gross domestic product, constant prices (National currency).</v>
      </c>
    </row>
    <row r="704520">
      <c r="B704520">
        <v>2000</v>
      </c>
      <c r="C704520">
        <v>16.963</v>
      </c>
      <c r="D704520">
        <v>1.865</v>
      </c>
    </row>
    <row r="704521">
      <c r="B704521">
        <v>2001</v>
      </c>
      <c r="C704521">
        <v>17.772</v>
      </c>
      <c r="D704521">
        <v>4.769</v>
      </c>
    </row>
    <row r="704522">
      <c r="B704522">
        <v>2002</v>
      </c>
      <c r="C704522">
        <v>18.747</v>
      </c>
      <c r="D704522">
        <v>5.487</v>
      </c>
    </row>
    <row r="704523">
      <c r="B704523">
        <v>2003</v>
      </c>
      <c r="C704523">
        <v>20.852</v>
      </c>
      <c r="D704523">
        <v>11.228</v>
      </c>
    </row>
    <row r="704524">
      <c r="B704524">
        <v>2004</v>
      </c>
      <c r="C704524">
        <v>22.061</v>
      </c>
      <c r="D704524">
        <v>5.796</v>
      </c>
    </row>
    <row r="704525">
      <c r="B704525">
        <v>2005</v>
      </c>
      <c r="C704525">
        <v>24.176</v>
      </c>
      <c r="D704525">
        <v>9.588</v>
      </c>
    </row>
    <row r="704526">
      <c r="B704526">
        <v>2006</v>
      </c>
      <c r="C704526">
        <v>26.454</v>
      </c>
      <c r="D704526">
        <v>9.42</v>
      </c>
    </row>
    <row r="704527">
      <c r="B704527">
        <v>2007</v>
      </c>
      <c r="C704527">
        <v>29.781</v>
      </c>
      <c r="D704527">
        <v>12.579</v>
      </c>
    </row>
    <row r="704528">
      <c r="B704528">
        <v>2008</v>
      </c>
      <c r="C704528">
        <v>30.502</v>
      </c>
      <c r="D704528">
        <v>2.419</v>
      </c>
    </row>
    <row r="704529">
      <c r="B704529">
        <v>2009</v>
      </c>
      <c r="C704529">
        <v>29.388</v>
      </c>
      <c r="D704529">
        <v>-3.651</v>
      </c>
    </row>
    <row r="704530">
      <c r="B704530">
        <v>2010</v>
      </c>
      <c r="C704530">
        <v>31.428</v>
      </c>
      <c r="D704530">
        <v>6.942</v>
      </c>
    </row>
    <row r="704531">
      <c r="B704531">
        <v>2011</v>
      </c>
      <c r="C704531">
        <v>33.927</v>
      </c>
      <c r="D704531">
        <v>7.949</v>
      </c>
    </row>
    <row r="704532">
      <c r="B704532">
        <v>2012</v>
      </c>
      <c r="C704532">
        <v>36.159</v>
      </c>
      <c r="D704532">
        <v>6.579</v>
      </c>
    </row>
    <row r="704533">
      <c r="B704533">
        <v>2013</v>
      </c>
      <c r="C704533">
        <v>38.015</v>
      </c>
      <c r="D704533">
        <v>5.134</v>
      </c>
    </row>
    <row r="704534">
      <c r="B704534">
        <v>2014</v>
      </c>
      <c r="C704534">
        <v>39.57</v>
      </c>
      <c r="D704534">
        <v>4.091</v>
      </c>
    </row>
    <row r="704535">
      <c r="B704535">
        <v>2015</v>
      </c>
      <c r="C704535">
        <v>40.896</v>
      </c>
      <c r="D704535">
        <v>3.351</v>
      </c>
    </row>
    <row r="704536">
      <c r="B704536">
        <v>2016</v>
      </c>
      <c r="C704536">
        <v>42.307</v>
      </c>
      <c r="D704536">
        <v>3.45</v>
      </c>
    </row>
    <row r="704537">
      <c r="B704537">
        <v>2017</v>
      </c>
      <c r="C704537">
        <v>44.49</v>
      </c>
      <c r="D704537">
        <v>5.161</v>
      </c>
    </row>
    <row r="704538">
      <c r="B704538">
        <v>2018</v>
      </c>
      <c r="C704538">
        <v>47.187</v>
      </c>
      <c r="D704538">
        <v>6.062</v>
      </c>
    </row>
    <row r="704539">
      <c r="B704539">
        <v>2019</v>
      </c>
      <c r="C704539">
        <v>49.726</v>
      </c>
      <c r="D704539">
        <v>5.38</v>
      </c>
    </row>
    <row r="704540">
      <c r="B704540">
        <v>2020</v>
      </c>
      <c r="C704540">
        <v>46.598</v>
      </c>
      <c r="D704540">
        <v>-6.291</v>
      </c>
    </row>
    <row r="704541">
      <c r="B704541">
        <v>2021</v>
      </c>
      <c r="C704541">
        <v>51.558</v>
      </c>
      <c r="D704541">
        <v>10.644</v>
      </c>
    </row>
    <row r="704542">
      <c r="B704542">
        <v>2022</v>
      </c>
      <c r="C704542">
        <v>57.208</v>
      </c>
      <c r="D704542">
        <v>10.96</v>
      </c>
    </row>
    <row r="704543">
      <c r="B704543">
        <v>2023</v>
      </c>
      <c r="C704543">
        <v>61.689</v>
      </c>
      <c r="D704543">
        <v>7.832</v>
      </c>
    </row>
    <row r="704544">
      <c r="B704544">
        <v>2024</v>
      </c>
      <c r="C704544">
        <v>67.505</v>
      </c>
      <c r="D704544">
        <v>9.429</v>
      </c>
    </row>
    <row r="704545">
      <c r="B704545">
        <v>2025</v>
      </c>
      <c r="C704545">
        <v>71.54</v>
      </c>
      <c r="D704545">
        <v>5.977</v>
      </c>
    </row>
    <row r="704546">
      <c r="B704546">
        <v>2026</v>
      </c>
      <c r="C704546">
        <v>75.117</v>
      </c>
      <c r="D704546">
        <v>5</v>
      </c>
    </row>
    <row r="704547">
      <c r="B704547">
        <v>2027</v>
      </c>
      <c r="C704547">
        <v>78.873</v>
      </c>
      <c r="D704547">
        <v>5</v>
      </c>
    </row>
    <row r="704548">
      <c r="B704548" t="str">
        <v>Estimates Start After</v>
      </c>
      <c r="C704548">
        <v>2024</v>
      </c>
      <c r="D704548">
        <v>2024</v>
      </c>
    </row>
    <row r="720897">
      <c r="B720897" t="str">
        <v>WEO Country Code</v>
      </c>
      <c r="C720897">
        <v>915</v>
      </c>
      <c r="D720897">
        <v>915</v>
      </c>
    </row>
    <row r="720898">
      <c r="B720898" t="str">
        <v>WEO Subject Code</v>
      </c>
      <c r="C720898" t="str">
        <v>NGDP_R</v>
      </c>
      <c r="D720898" t="str">
        <v>NGDP_RPCH</v>
      </c>
    </row>
    <row r="720899">
      <c r="B720899" t="str">
        <v>Country</v>
      </c>
      <c r="C720899" t="str">
        <v>Georgia</v>
      </c>
      <c r="D720899" t="str">
        <v>Georgia</v>
      </c>
    </row>
    <row r="720900">
      <c r="B720900" t="str">
        <v>Subject Descriptor</v>
      </c>
      <c r="C720900" t="str">
        <v>Gross domestic product, constant prices</v>
      </c>
      <c r="D720900" t="str">
        <v>Gross domestic product, constant prices</v>
      </c>
    </row>
    <row r="720901">
      <c r="B720901" t="str">
        <v>Units</v>
      </c>
      <c r="C720901" t="str">
        <v>National currency</v>
      </c>
      <c r="D720901" t="str">
        <v>Percent change</v>
      </c>
    </row>
    <row r="720902">
      <c r="B720902" t="str">
        <v>Scale</v>
      </c>
      <c r="C720902" t="str">
        <v>Billions</v>
      </c>
      <c r="D720902" t="str">
        <v>Units</v>
      </c>
    </row>
    <row r="720903">
      <c r="B720903" t="str">
        <v>Country/Series-specific Notes</v>
      </c>
      <c r="C72090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720903" t="str">
        <v>See notes for:  Gross domestic product, constant prices (National currency).</v>
      </c>
    </row>
    <row r="720904">
      <c r="B720904">
        <v>2000</v>
      </c>
      <c r="C720904">
        <v>16.963</v>
      </c>
      <c r="D720904">
        <v>1.865</v>
      </c>
    </row>
    <row r="720905">
      <c r="B720905">
        <v>2001</v>
      </c>
      <c r="C720905">
        <v>17.772</v>
      </c>
      <c r="D720905">
        <v>4.769</v>
      </c>
    </row>
    <row r="720906">
      <c r="B720906">
        <v>2002</v>
      </c>
      <c r="C720906">
        <v>18.747</v>
      </c>
      <c r="D720906">
        <v>5.487</v>
      </c>
    </row>
    <row r="720907">
      <c r="B720907">
        <v>2003</v>
      </c>
      <c r="C720907">
        <v>20.852</v>
      </c>
      <c r="D720907">
        <v>11.228</v>
      </c>
    </row>
    <row r="720908">
      <c r="B720908">
        <v>2004</v>
      </c>
      <c r="C720908">
        <v>22.061</v>
      </c>
      <c r="D720908">
        <v>5.796</v>
      </c>
    </row>
    <row r="720909">
      <c r="B720909">
        <v>2005</v>
      </c>
      <c r="C720909">
        <v>24.176</v>
      </c>
      <c r="D720909">
        <v>9.588</v>
      </c>
    </row>
    <row r="720910">
      <c r="B720910">
        <v>2006</v>
      </c>
      <c r="C720910">
        <v>26.454</v>
      </c>
      <c r="D720910">
        <v>9.42</v>
      </c>
    </row>
    <row r="720911">
      <c r="B720911">
        <v>2007</v>
      </c>
      <c r="C720911">
        <v>29.781</v>
      </c>
      <c r="D720911">
        <v>12.579</v>
      </c>
    </row>
    <row r="720912">
      <c r="B720912">
        <v>2008</v>
      </c>
      <c r="C720912">
        <v>30.502</v>
      </c>
      <c r="D720912">
        <v>2.419</v>
      </c>
    </row>
    <row r="720913">
      <c r="B720913">
        <v>2009</v>
      </c>
      <c r="C720913">
        <v>29.388</v>
      </c>
      <c r="D720913">
        <v>-3.651</v>
      </c>
    </row>
    <row r="720914">
      <c r="B720914">
        <v>2010</v>
      </c>
      <c r="C720914">
        <v>31.428</v>
      </c>
      <c r="D720914">
        <v>6.942</v>
      </c>
    </row>
    <row r="720915">
      <c r="B720915">
        <v>2011</v>
      </c>
      <c r="C720915">
        <v>33.927</v>
      </c>
      <c r="D720915">
        <v>7.949</v>
      </c>
    </row>
    <row r="720916">
      <c r="B720916">
        <v>2012</v>
      </c>
      <c r="C720916">
        <v>36.159</v>
      </c>
      <c r="D720916">
        <v>6.579</v>
      </c>
    </row>
    <row r="720917">
      <c r="B720917">
        <v>2013</v>
      </c>
      <c r="C720917">
        <v>38.015</v>
      </c>
      <c r="D720917">
        <v>5.134</v>
      </c>
    </row>
    <row r="720918">
      <c r="B720918">
        <v>2014</v>
      </c>
      <c r="C720918">
        <v>39.57</v>
      </c>
      <c r="D720918">
        <v>4.091</v>
      </c>
    </row>
    <row r="720919">
      <c r="B720919">
        <v>2015</v>
      </c>
      <c r="C720919">
        <v>40.896</v>
      </c>
      <c r="D720919">
        <v>3.351</v>
      </c>
    </row>
    <row r="720920">
      <c r="B720920">
        <v>2016</v>
      </c>
      <c r="C720920">
        <v>42.307</v>
      </c>
      <c r="D720920">
        <v>3.45</v>
      </c>
    </row>
    <row r="720921">
      <c r="B720921">
        <v>2017</v>
      </c>
      <c r="C720921">
        <v>44.49</v>
      </c>
      <c r="D720921">
        <v>5.161</v>
      </c>
    </row>
    <row r="720922">
      <c r="B720922">
        <v>2018</v>
      </c>
      <c r="C720922">
        <v>47.187</v>
      </c>
      <c r="D720922">
        <v>6.062</v>
      </c>
    </row>
    <row r="720923">
      <c r="B720923">
        <v>2019</v>
      </c>
      <c r="C720923">
        <v>49.726</v>
      </c>
      <c r="D720923">
        <v>5.38</v>
      </c>
    </row>
    <row r="720924">
      <c r="B720924">
        <v>2020</v>
      </c>
      <c r="C720924">
        <v>46.598</v>
      </c>
      <c r="D720924">
        <v>-6.291</v>
      </c>
    </row>
    <row r="720925">
      <c r="B720925">
        <v>2021</v>
      </c>
      <c r="C720925">
        <v>51.558</v>
      </c>
      <c r="D720925">
        <v>10.644</v>
      </c>
    </row>
    <row r="720926">
      <c r="B720926">
        <v>2022</v>
      </c>
      <c r="C720926">
        <v>57.208</v>
      </c>
      <c r="D720926">
        <v>10.96</v>
      </c>
    </row>
    <row r="720927">
      <c r="B720927">
        <v>2023</v>
      </c>
      <c r="C720927">
        <v>61.689</v>
      </c>
      <c r="D720927">
        <v>7.832</v>
      </c>
    </row>
    <row r="720928">
      <c r="B720928">
        <v>2024</v>
      </c>
      <c r="C720928">
        <v>67.505</v>
      </c>
      <c r="D720928">
        <v>9.429</v>
      </c>
    </row>
    <row r="720929">
      <c r="B720929">
        <v>2025</v>
      </c>
      <c r="C720929">
        <v>71.54</v>
      </c>
      <c r="D720929">
        <v>5.977</v>
      </c>
    </row>
    <row r="720930">
      <c r="B720930">
        <v>2026</v>
      </c>
      <c r="C720930">
        <v>75.117</v>
      </c>
      <c r="D720930">
        <v>5</v>
      </c>
    </row>
    <row r="720931">
      <c r="B720931">
        <v>2027</v>
      </c>
      <c r="C720931">
        <v>78.873</v>
      </c>
      <c r="D720931">
        <v>5</v>
      </c>
    </row>
    <row r="720932">
      <c r="B720932" t="str">
        <v>Estimates Start After</v>
      </c>
      <c r="C720932">
        <v>2024</v>
      </c>
      <c r="D720932">
        <v>2024</v>
      </c>
    </row>
    <row r="737281">
      <c r="B737281" t="str">
        <v>WEO Country Code</v>
      </c>
      <c r="C737281">
        <v>915</v>
      </c>
      <c r="D737281">
        <v>915</v>
      </c>
    </row>
    <row r="737282">
      <c r="B737282" t="str">
        <v>WEO Subject Code</v>
      </c>
      <c r="C737282" t="str">
        <v>NGDP_R</v>
      </c>
      <c r="D737282" t="str">
        <v>NGDP_RPCH</v>
      </c>
    </row>
    <row r="737283">
      <c r="B737283" t="str">
        <v>Country</v>
      </c>
      <c r="C737283" t="str">
        <v>Georgia</v>
      </c>
      <c r="D737283" t="str">
        <v>Georgia</v>
      </c>
    </row>
    <row r="737284">
      <c r="B737284" t="str">
        <v>Subject Descriptor</v>
      </c>
      <c r="C737284" t="str">
        <v>Gross domestic product, constant prices</v>
      </c>
      <c r="D737284" t="str">
        <v>Gross domestic product, constant prices</v>
      </c>
    </row>
    <row r="737285">
      <c r="B737285" t="str">
        <v>Units</v>
      </c>
      <c r="C737285" t="str">
        <v>National currency</v>
      </c>
      <c r="D737285" t="str">
        <v>Percent change</v>
      </c>
    </row>
    <row r="737286">
      <c r="B737286" t="str">
        <v>Scale</v>
      </c>
      <c r="C737286" t="str">
        <v>Billions</v>
      </c>
      <c r="D737286" t="str">
        <v>Units</v>
      </c>
    </row>
    <row r="737287">
      <c r="B737287" t="str">
        <v>Country/Series-specific Notes</v>
      </c>
      <c r="C73728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737287" t="str">
        <v>See notes for:  Gross domestic product, constant prices (National currency).</v>
      </c>
    </row>
    <row r="737288">
      <c r="B737288">
        <v>2000</v>
      </c>
      <c r="C737288">
        <v>16.963</v>
      </c>
      <c r="D737288">
        <v>1.865</v>
      </c>
    </row>
    <row r="737289">
      <c r="B737289">
        <v>2001</v>
      </c>
      <c r="C737289">
        <v>17.772</v>
      </c>
      <c r="D737289">
        <v>4.769</v>
      </c>
    </row>
    <row r="737290">
      <c r="B737290">
        <v>2002</v>
      </c>
      <c r="C737290">
        <v>18.747</v>
      </c>
      <c r="D737290">
        <v>5.487</v>
      </c>
    </row>
    <row r="737291">
      <c r="B737291">
        <v>2003</v>
      </c>
      <c r="C737291">
        <v>20.852</v>
      </c>
      <c r="D737291">
        <v>11.228</v>
      </c>
    </row>
    <row r="737292">
      <c r="B737292">
        <v>2004</v>
      </c>
      <c r="C737292">
        <v>22.061</v>
      </c>
      <c r="D737292">
        <v>5.796</v>
      </c>
    </row>
    <row r="737293">
      <c r="B737293">
        <v>2005</v>
      </c>
      <c r="C737293">
        <v>24.176</v>
      </c>
      <c r="D737293">
        <v>9.588</v>
      </c>
    </row>
    <row r="737294">
      <c r="B737294">
        <v>2006</v>
      </c>
      <c r="C737294">
        <v>26.454</v>
      </c>
      <c r="D737294">
        <v>9.42</v>
      </c>
    </row>
    <row r="737295">
      <c r="B737295">
        <v>2007</v>
      </c>
      <c r="C737295">
        <v>29.781</v>
      </c>
      <c r="D737295">
        <v>12.579</v>
      </c>
    </row>
    <row r="737296">
      <c r="B737296">
        <v>2008</v>
      </c>
      <c r="C737296">
        <v>30.502</v>
      </c>
      <c r="D737296">
        <v>2.419</v>
      </c>
    </row>
    <row r="737297">
      <c r="B737297">
        <v>2009</v>
      </c>
      <c r="C737297">
        <v>29.388</v>
      </c>
      <c r="D737297">
        <v>-3.651</v>
      </c>
    </row>
    <row r="737298">
      <c r="B737298">
        <v>2010</v>
      </c>
      <c r="C737298">
        <v>31.428</v>
      </c>
      <c r="D737298">
        <v>6.942</v>
      </c>
    </row>
    <row r="737299">
      <c r="B737299">
        <v>2011</v>
      </c>
      <c r="C737299">
        <v>33.927</v>
      </c>
      <c r="D737299">
        <v>7.949</v>
      </c>
    </row>
    <row r="737300">
      <c r="B737300">
        <v>2012</v>
      </c>
      <c r="C737300">
        <v>36.159</v>
      </c>
      <c r="D737300">
        <v>6.579</v>
      </c>
    </row>
    <row r="737301">
      <c r="B737301">
        <v>2013</v>
      </c>
      <c r="C737301">
        <v>38.015</v>
      </c>
      <c r="D737301">
        <v>5.134</v>
      </c>
    </row>
    <row r="737302">
      <c r="B737302">
        <v>2014</v>
      </c>
      <c r="C737302">
        <v>39.57</v>
      </c>
      <c r="D737302">
        <v>4.091</v>
      </c>
    </row>
    <row r="737303">
      <c r="B737303">
        <v>2015</v>
      </c>
      <c r="C737303">
        <v>40.896</v>
      </c>
      <c r="D737303">
        <v>3.351</v>
      </c>
    </row>
    <row r="737304">
      <c r="B737304">
        <v>2016</v>
      </c>
      <c r="C737304">
        <v>42.307</v>
      </c>
      <c r="D737304">
        <v>3.45</v>
      </c>
    </row>
    <row r="737305">
      <c r="B737305">
        <v>2017</v>
      </c>
      <c r="C737305">
        <v>44.49</v>
      </c>
      <c r="D737305">
        <v>5.161</v>
      </c>
    </row>
    <row r="737306">
      <c r="B737306">
        <v>2018</v>
      </c>
      <c r="C737306">
        <v>47.187</v>
      </c>
      <c r="D737306">
        <v>6.062</v>
      </c>
    </row>
    <row r="737307">
      <c r="B737307">
        <v>2019</v>
      </c>
      <c r="C737307">
        <v>49.726</v>
      </c>
      <c r="D737307">
        <v>5.38</v>
      </c>
    </row>
    <row r="737308">
      <c r="B737308">
        <v>2020</v>
      </c>
      <c r="C737308">
        <v>46.598</v>
      </c>
      <c r="D737308">
        <v>-6.291</v>
      </c>
    </row>
    <row r="737309">
      <c r="B737309">
        <v>2021</v>
      </c>
      <c r="C737309">
        <v>51.558</v>
      </c>
      <c r="D737309">
        <v>10.644</v>
      </c>
    </row>
    <row r="737310">
      <c r="B737310">
        <v>2022</v>
      </c>
      <c r="C737310">
        <v>57.208</v>
      </c>
      <c r="D737310">
        <v>10.96</v>
      </c>
    </row>
    <row r="737311">
      <c r="B737311">
        <v>2023</v>
      </c>
      <c r="C737311">
        <v>61.689</v>
      </c>
      <c r="D737311">
        <v>7.832</v>
      </c>
    </row>
    <row r="737312">
      <c r="B737312">
        <v>2024</v>
      </c>
      <c r="C737312">
        <v>67.505</v>
      </c>
      <c r="D737312">
        <v>9.429</v>
      </c>
    </row>
    <row r="737313">
      <c r="B737313">
        <v>2025</v>
      </c>
      <c r="C737313">
        <v>71.54</v>
      </c>
      <c r="D737313">
        <v>5.977</v>
      </c>
    </row>
    <row r="737314">
      <c r="B737314">
        <v>2026</v>
      </c>
      <c r="C737314">
        <v>75.117</v>
      </c>
      <c r="D737314">
        <v>5</v>
      </c>
    </row>
    <row r="737315">
      <c r="B737315">
        <v>2027</v>
      </c>
      <c r="C737315">
        <v>78.873</v>
      </c>
      <c r="D737315">
        <v>5</v>
      </c>
    </row>
    <row r="737316">
      <c r="B737316" t="str">
        <v>Estimates Start After</v>
      </c>
      <c r="C737316">
        <v>2024</v>
      </c>
      <c r="D737316">
        <v>2024</v>
      </c>
    </row>
    <row r="753665">
      <c r="B753665" t="str">
        <v>WEO Country Code</v>
      </c>
      <c r="C753665">
        <v>915</v>
      </c>
      <c r="D753665">
        <v>915</v>
      </c>
    </row>
    <row r="753666">
      <c r="B753666" t="str">
        <v>WEO Subject Code</v>
      </c>
      <c r="C753666" t="str">
        <v>NGDP_R</v>
      </c>
      <c r="D753666" t="str">
        <v>NGDP_RPCH</v>
      </c>
    </row>
    <row r="753667">
      <c r="B753667" t="str">
        <v>Country</v>
      </c>
      <c r="C753667" t="str">
        <v>Georgia</v>
      </c>
      <c r="D753667" t="str">
        <v>Georgia</v>
      </c>
    </row>
    <row r="753668">
      <c r="B753668" t="str">
        <v>Subject Descriptor</v>
      </c>
      <c r="C753668" t="str">
        <v>Gross domestic product, constant prices</v>
      </c>
      <c r="D753668" t="str">
        <v>Gross domestic product, constant prices</v>
      </c>
    </row>
    <row r="753669">
      <c r="B753669" t="str">
        <v>Units</v>
      </c>
      <c r="C753669" t="str">
        <v>National currency</v>
      </c>
      <c r="D753669" t="str">
        <v>Percent change</v>
      </c>
    </row>
    <row r="753670">
      <c r="B753670" t="str">
        <v>Scale</v>
      </c>
      <c r="C753670" t="str">
        <v>Billions</v>
      </c>
      <c r="D753670" t="str">
        <v>Units</v>
      </c>
    </row>
    <row r="753671">
      <c r="B753671" t="str">
        <v>Country/Series-specific Notes</v>
      </c>
      <c r="C75367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753671" t="str">
        <v>See notes for:  Gross domestic product, constant prices (National currency).</v>
      </c>
    </row>
    <row r="753672">
      <c r="B753672">
        <v>2000</v>
      </c>
      <c r="C753672">
        <v>16.963</v>
      </c>
      <c r="D753672">
        <v>1.865</v>
      </c>
    </row>
    <row r="753673">
      <c r="B753673">
        <v>2001</v>
      </c>
      <c r="C753673">
        <v>17.772</v>
      </c>
      <c r="D753673">
        <v>4.769</v>
      </c>
    </row>
    <row r="753674">
      <c r="B753674">
        <v>2002</v>
      </c>
      <c r="C753674">
        <v>18.747</v>
      </c>
      <c r="D753674">
        <v>5.487</v>
      </c>
    </row>
    <row r="753675">
      <c r="B753675">
        <v>2003</v>
      </c>
      <c r="C753675">
        <v>20.852</v>
      </c>
      <c r="D753675">
        <v>11.228</v>
      </c>
    </row>
    <row r="753676">
      <c r="B753676">
        <v>2004</v>
      </c>
      <c r="C753676">
        <v>22.061</v>
      </c>
      <c r="D753676">
        <v>5.796</v>
      </c>
    </row>
    <row r="753677">
      <c r="B753677">
        <v>2005</v>
      </c>
      <c r="C753677">
        <v>24.176</v>
      </c>
      <c r="D753677">
        <v>9.588</v>
      </c>
    </row>
    <row r="753678">
      <c r="B753678">
        <v>2006</v>
      </c>
      <c r="C753678">
        <v>26.454</v>
      </c>
      <c r="D753678">
        <v>9.42</v>
      </c>
    </row>
    <row r="753679">
      <c r="B753679">
        <v>2007</v>
      </c>
      <c r="C753679">
        <v>29.781</v>
      </c>
      <c r="D753679">
        <v>12.579</v>
      </c>
    </row>
    <row r="753680">
      <c r="B753680">
        <v>2008</v>
      </c>
      <c r="C753680">
        <v>30.502</v>
      </c>
      <c r="D753680">
        <v>2.419</v>
      </c>
    </row>
    <row r="753681">
      <c r="B753681">
        <v>2009</v>
      </c>
      <c r="C753681">
        <v>29.388</v>
      </c>
      <c r="D753681">
        <v>-3.651</v>
      </c>
    </row>
    <row r="753682">
      <c r="B753682">
        <v>2010</v>
      </c>
      <c r="C753682">
        <v>31.428</v>
      </c>
      <c r="D753682">
        <v>6.942</v>
      </c>
    </row>
    <row r="753683">
      <c r="B753683">
        <v>2011</v>
      </c>
      <c r="C753683">
        <v>33.927</v>
      </c>
      <c r="D753683">
        <v>7.949</v>
      </c>
    </row>
    <row r="753684">
      <c r="B753684">
        <v>2012</v>
      </c>
      <c r="C753684">
        <v>36.159</v>
      </c>
      <c r="D753684">
        <v>6.579</v>
      </c>
    </row>
    <row r="753685">
      <c r="B753685">
        <v>2013</v>
      </c>
      <c r="C753685">
        <v>38.015</v>
      </c>
      <c r="D753685">
        <v>5.134</v>
      </c>
    </row>
    <row r="753686">
      <c r="B753686">
        <v>2014</v>
      </c>
      <c r="C753686">
        <v>39.57</v>
      </c>
      <c r="D753686">
        <v>4.091</v>
      </c>
    </row>
    <row r="753687">
      <c r="B753687">
        <v>2015</v>
      </c>
      <c r="C753687">
        <v>40.896</v>
      </c>
      <c r="D753687">
        <v>3.351</v>
      </c>
    </row>
    <row r="753688">
      <c r="B753688">
        <v>2016</v>
      </c>
      <c r="C753688">
        <v>42.307</v>
      </c>
      <c r="D753688">
        <v>3.45</v>
      </c>
    </row>
    <row r="753689">
      <c r="B753689">
        <v>2017</v>
      </c>
      <c r="C753689">
        <v>44.49</v>
      </c>
      <c r="D753689">
        <v>5.161</v>
      </c>
    </row>
    <row r="753690">
      <c r="B753690">
        <v>2018</v>
      </c>
      <c r="C753690">
        <v>47.187</v>
      </c>
      <c r="D753690">
        <v>6.062</v>
      </c>
    </row>
    <row r="753691">
      <c r="B753691">
        <v>2019</v>
      </c>
      <c r="C753691">
        <v>49.726</v>
      </c>
      <c r="D753691">
        <v>5.38</v>
      </c>
    </row>
    <row r="753692">
      <c r="B753692">
        <v>2020</v>
      </c>
      <c r="C753692">
        <v>46.598</v>
      </c>
      <c r="D753692">
        <v>-6.291</v>
      </c>
    </row>
    <row r="753693">
      <c r="B753693">
        <v>2021</v>
      </c>
      <c r="C753693">
        <v>51.558</v>
      </c>
      <c r="D753693">
        <v>10.644</v>
      </c>
    </row>
    <row r="753694">
      <c r="B753694">
        <v>2022</v>
      </c>
      <c r="C753694">
        <v>57.208</v>
      </c>
      <c r="D753694">
        <v>10.96</v>
      </c>
    </row>
    <row r="753695">
      <c r="B753695">
        <v>2023</v>
      </c>
      <c r="C753695">
        <v>61.689</v>
      </c>
      <c r="D753695">
        <v>7.832</v>
      </c>
    </row>
    <row r="753696">
      <c r="B753696">
        <v>2024</v>
      </c>
      <c r="C753696">
        <v>67.505</v>
      </c>
      <c r="D753696">
        <v>9.429</v>
      </c>
    </row>
    <row r="753697">
      <c r="B753697">
        <v>2025</v>
      </c>
      <c r="C753697">
        <v>71.54</v>
      </c>
      <c r="D753697">
        <v>5.977</v>
      </c>
    </row>
    <row r="753698">
      <c r="B753698">
        <v>2026</v>
      </c>
      <c r="C753698">
        <v>75.117</v>
      </c>
      <c r="D753698">
        <v>5</v>
      </c>
    </row>
    <row r="753699">
      <c r="B753699">
        <v>2027</v>
      </c>
      <c r="C753699">
        <v>78.873</v>
      </c>
      <c r="D753699">
        <v>5</v>
      </c>
    </row>
    <row r="753700">
      <c r="B753700" t="str">
        <v>Estimates Start After</v>
      </c>
      <c r="C753700">
        <v>2024</v>
      </c>
      <c r="D753700">
        <v>2024</v>
      </c>
    </row>
    <row r="770049">
      <c r="B770049" t="str">
        <v>WEO Country Code</v>
      </c>
      <c r="C770049">
        <v>915</v>
      </c>
      <c r="D770049">
        <v>915</v>
      </c>
    </row>
    <row r="770050">
      <c r="B770050" t="str">
        <v>WEO Subject Code</v>
      </c>
      <c r="C770050" t="str">
        <v>NGDP_R</v>
      </c>
      <c r="D770050" t="str">
        <v>NGDP_RPCH</v>
      </c>
    </row>
    <row r="770051">
      <c r="B770051" t="str">
        <v>Country</v>
      </c>
      <c r="C770051" t="str">
        <v>Georgia</v>
      </c>
      <c r="D770051" t="str">
        <v>Georgia</v>
      </c>
    </row>
    <row r="770052">
      <c r="B770052" t="str">
        <v>Subject Descriptor</v>
      </c>
      <c r="C770052" t="str">
        <v>Gross domestic product, constant prices</v>
      </c>
      <c r="D770052" t="str">
        <v>Gross domestic product, constant prices</v>
      </c>
    </row>
    <row r="770053">
      <c r="B770053" t="str">
        <v>Units</v>
      </c>
      <c r="C770053" t="str">
        <v>National currency</v>
      </c>
      <c r="D770053" t="str">
        <v>Percent change</v>
      </c>
    </row>
    <row r="770054">
      <c r="B770054" t="str">
        <v>Scale</v>
      </c>
      <c r="C770054" t="str">
        <v>Billions</v>
      </c>
      <c r="D770054" t="str">
        <v>Units</v>
      </c>
    </row>
    <row r="770055">
      <c r="B770055" t="str">
        <v>Country/Series-specific Notes</v>
      </c>
      <c r="C77005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770055" t="str">
        <v>See notes for:  Gross domestic product, constant prices (National currency).</v>
      </c>
    </row>
    <row r="770056">
      <c r="B770056">
        <v>2000</v>
      </c>
      <c r="C770056">
        <v>16.963</v>
      </c>
      <c r="D770056">
        <v>1.865</v>
      </c>
    </row>
    <row r="770057">
      <c r="B770057">
        <v>2001</v>
      </c>
      <c r="C770057">
        <v>17.772</v>
      </c>
      <c r="D770057">
        <v>4.769</v>
      </c>
    </row>
    <row r="770058">
      <c r="B770058">
        <v>2002</v>
      </c>
      <c r="C770058">
        <v>18.747</v>
      </c>
      <c r="D770058">
        <v>5.487</v>
      </c>
    </row>
    <row r="770059">
      <c r="B770059">
        <v>2003</v>
      </c>
      <c r="C770059">
        <v>20.852</v>
      </c>
      <c r="D770059">
        <v>11.228</v>
      </c>
    </row>
    <row r="770060">
      <c r="B770060">
        <v>2004</v>
      </c>
      <c r="C770060">
        <v>22.061</v>
      </c>
      <c r="D770060">
        <v>5.796</v>
      </c>
    </row>
    <row r="770061">
      <c r="B770061">
        <v>2005</v>
      </c>
      <c r="C770061">
        <v>24.176</v>
      </c>
      <c r="D770061">
        <v>9.588</v>
      </c>
    </row>
    <row r="770062">
      <c r="B770062">
        <v>2006</v>
      </c>
      <c r="C770062">
        <v>26.454</v>
      </c>
      <c r="D770062">
        <v>9.42</v>
      </c>
    </row>
    <row r="770063">
      <c r="B770063">
        <v>2007</v>
      </c>
      <c r="C770063">
        <v>29.781</v>
      </c>
      <c r="D770063">
        <v>12.579</v>
      </c>
    </row>
    <row r="770064">
      <c r="B770064">
        <v>2008</v>
      </c>
      <c r="C770064">
        <v>30.502</v>
      </c>
      <c r="D770064">
        <v>2.419</v>
      </c>
    </row>
    <row r="770065">
      <c r="B770065">
        <v>2009</v>
      </c>
      <c r="C770065">
        <v>29.388</v>
      </c>
      <c r="D770065">
        <v>-3.651</v>
      </c>
    </row>
    <row r="770066">
      <c r="B770066">
        <v>2010</v>
      </c>
      <c r="C770066">
        <v>31.428</v>
      </c>
      <c r="D770066">
        <v>6.942</v>
      </c>
    </row>
    <row r="770067">
      <c r="B770067">
        <v>2011</v>
      </c>
      <c r="C770067">
        <v>33.927</v>
      </c>
      <c r="D770067">
        <v>7.949</v>
      </c>
    </row>
    <row r="770068">
      <c r="B770068">
        <v>2012</v>
      </c>
      <c r="C770068">
        <v>36.159</v>
      </c>
      <c r="D770068">
        <v>6.579</v>
      </c>
    </row>
    <row r="770069">
      <c r="B770069">
        <v>2013</v>
      </c>
      <c r="C770069">
        <v>38.015</v>
      </c>
      <c r="D770069">
        <v>5.134</v>
      </c>
    </row>
    <row r="770070">
      <c r="B770070">
        <v>2014</v>
      </c>
      <c r="C770070">
        <v>39.57</v>
      </c>
      <c r="D770070">
        <v>4.091</v>
      </c>
    </row>
    <row r="770071">
      <c r="B770071">
        <v>2015</v>
      </c>
      <c r="C770071">
        <v>40.896</v>
      </c>
      <c r="D770071">
        <v>3.351</v>
      </c>
    </row>
    <row r="770072">
      <c r="B770072">
        <v>2016</v>
      </c>
      <c r="C770072">
        <v>42.307</v>
      </c>
      <c r="D770072">
        <v>3.45</v>
      </c>
    </row>
    <row r="770073">
      <c r="B770073">
        <v>2017</v>
      </c>
      <c r="C770073">
        <v>44.49</v>
      </c>
      <c r="D770073">
        <v>5.161</v>
      </c>
    </row>
    <row r="770074">
      <c r="B770074">
        <v>2018</v>
      </c>
      <c r="C770074">
        <v>47.187</v>
      </c>
      <c r="D770074">
        <v>6.062</v>
      </c>
    </row>
    <row r="770075">
      <c r="B770075">
        <v>2019</v>
      </c>
      <c r="C770075">
        <v>49.726</v>
      </c>
      <c r="D770075">
        <v>5.38</v>
      </c>
    </row>
    <row r="770076">
      <c r="B770076">
        <v>2020</v>
      </c>
      <c r="C770076">
        <v>46.598</v>
      </c>
      <c r="D770076">
        <v>-6.291</v>
      </c>
    </row>
    <row r="770077">
      <c r="B770077">
        <v>2021</v>
      </c>
      <c r="C770077">
        <v>51.558</v>
      </c>
      <c r="D770077">
        <v>10.644</v>
      </c>
    </row>
    <row r="770078">
      <c r="B770078">
        <v>2022</v>
      </c>
      <c r="C770078">
        <v>57.208</v>
      </c>
      <c r="D770078">
        <v>10.96</v>
      </c>
    </row>
    <row r="770079">
      <c r="B770079">
        <v>2023</v>
      </c>
      <c r="C770079">
        <v>61.689</v>
      </c>
      <c r="D770079">
        <v>7.832</v>
      </c>
    </row>
    <row r="770080">
      <c r="B770080">
        <v>2024</v>
      </c>
      <c r="C770080">
        <v>67.505</v>
      </c>
      <c r="D770080">
        <v>9.429</v>
      </c>
    </row>
    <row r="770081">
      <c r="B770081">
        <v>2025</v>
      </c>
      <c r="C770081">
        <v>71.54</v>
      </c>
      <c r="D770081">
        <v>5.977</v>
      </c>
    </row>
    <row r="770082">
      <c r="B770082">
        <v>2026</v>
      </c>
      <c r="C770082">
        <v>75.117</v>
      </c>
      <c r="D770082">
        <v>5</v>
      </c>
    </row>
    <row r="770083">
      <c r="B770083">
        <v>2027</v>
      </c>
      <c r="C770083">
        <v>78.873</v>
      </c>
      <c r="D770083">
        <v>5</v>
      </c>
    </row>
    <row r="770084">
      <c r="B770084" t="str">
        <v>Estimates Start After</v>
      </c>
      <c r="C770084">
        <v>2024</v>
      </c>
      <c r="D770084">
        <v>2024</v>
      </c>
    </row>
    <row r="786433">
      <c r="B786433" t="str">
        <v>WEO Country Code</v>
      </c>
      <c r="C786433">
        <v>915</v>
      </c>
      <c r="D786433">
        <v>915</v>
      </c>
    </row>
    <row r="786434">
      <c r="B786434" t="str">
        <v>WEO Subject Code</v>
      </c>
      <c r="C786434" t="str">
        <v>NGDP_R</v>
      </c>
      <c r="D786434" t="str">
        <v>NGDP_RPCH</v>
      </c>
    </row>
    <row r="786435">
      <c r="B786435" t="str">
        <v>Country</v>
      </c>
      <c r="C786435" t="str">
        <v>Georgia</v>
      </c>
      <c r="D786435" t="str">
        <v>Georgia</v>
      </c>
    </row>
    <row r="786436">
      <c r="B786436" t="str">
        <v>Subject Descriptor</v>
      </c>
      <c r="C786436" t="str">
        <v>Gross domestic product, constant prices</v>
      </c>
      <c r="D786436" t="str">
        <v>Gross domestic product, constant prices</v>
      </c>
    </row>
    <row r="786437">
      <c r="B786437" t="str">
        <v>Units</v>
      </c>
      <c r="C786437" t="str">
        <v>National currency</v>
      </c>
      <c r="D786437" t="str">
        <v>Percent change</v>
      </c>
    </row>
    <row r="786438">
      <c r="B786438" t="str">
        <v>Scale</v>
      </c>
      <c r="C786438" t="str">
        <v>Billions</v>
      </c>
      <c r="D786438" t="str">
        <v>Units</v>
      </c>
    </row>
    <row r="786439">
      <c r="B786439" t="str">
        <v>Country/Series-specific Notes</v>
      </c>
      <c r="C78643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786439" t="str">
        <v>See notes for:  Gross domestic product, constant prices (National currency).</v>
      </c>
    </row>
    <row r="786440">
      <c r="B786440">
        <v>2000</v>
      </c>
      <c r="C786440">
        <v>16.963</v>
      </c>
      <c r="D786440">
        <v>1.865</v>
      </c>
    </row>
    <row r="786441">
      <c r="B786441">
        <v>2001</v>
      </c>
      <c r="C786441">
        <v>17.772</v>
      </c>
      <c r="D786441">
        <v>4.769</v>
      </c>
    </row>
    <row r="786442">
      <c r="B786442">
        <v>2002</v>
      </c>
      <c r="C786442">
        <v>18.747</v>
      </c>
      <c r="D786442">
        <v>5.487</v>
      </c>
    </row>
    <row r="786443">
      <c r="B786443">
        <v>2003</v>
      </c>
      <c r="C786443">
        <v>20.852</v>
      </c>
      <c r="D786443">
        <v>11.228</v>
      </c>
    </row>
    <row r="786444">
      <c r="B786444">
        <v>2004</v>
      </c>
      <c r="C786444">
        <v>22.061</v>
      </c>
      <c r="D786444">
        <v>5.796</v>
      </c>
    </row>
    <row r="786445">
      <c r="B786445">
        <v>2005</v>
      </c>
      <c r="C786445">
        <v>24.176</v>
      </c>
      <c r="D786445">
        <v>9.588</v>
      </c>
    </row>
    <row r="786446">
      <c r="B786446">
        <v>2006</v>
      </c>
      <c r="C786446">
        <v>26.454</v>
      </c>
      <c r="D786446">
        <v>9.42</v>
      </c>
    </row>
    <row r="786447">
      <c r="B786447">
        <v>2007</v>
      </c>
      <c r="C786447">
        <v>29.781</v>
      </c>
      <c r="D786447">
        <v>12.579</v>
      </c>
    </row>
    <row r="786448">
      <c r="B786448">
        <v>2008</v>
      </c>
      <c r="C786448">
        <v>30.502</v>
      </c>
      <c r="D786448">
        <v>2.419</v>
      </c>
    </row>
    <row r="786449">
      <c r="B786449">
        <v>2009</v>
      </c>
      <c r="C786449">
        <v>29.388</v>
      </c>
      <c r="D786449">
        <v>-3.651</v>
      </c>
    </row>
    <row r="786450">
      <c r="B786450">
        <v>2010</v>
      </c>
      <c r="C786450">
        <v>31.428</v>
      </c>
      <c r="D786450">
        <v>6.942</v>
      </c>
    </row>
    <row r="786451">
      <c r="B786451">
        <v>2011</v>
      </c>
      <c r="C786451">
        <v>33.927</v>
      </c>
      <c r="D786451">
        <v>7.949</v>
      </c>
    </row>
    <row r="786452">
      <c r="B786452">
        <v>2012</v>
      </c>
      <c r="C786452">
        <v>36.159</v>
      </c>
      <c r="D786452">
        <v>6.579</v>
      </c>
    </row>
    <row r="786453">
      <c r="B786453">
        <v>2013</v>
      </c>
      <c r="C786453">
        <v>38.015</v>
      </c>
      <c r="D786453">
        <v>5.134</v>
      </c>
    </row>
    <row r="786454">
      <c r="B786454">
        <v>2014</v>
      </c>
      <c r="C786454">
        <v>39.57</v>
      </c>
      <c r="D786454">
        <v>4.091</v>
      </c>
    </row>
    <row r="786455">
      <c r="B786455">
        <v>2015</v>
      </c>
      <c r="C786455">
        <v>40.896</v>
      </c>
      <c r="D786455">
        <v>3.351</v>
      </c>
    </row>
    <row r="786456">
      <c r="B786456">
        <v>2016</v>
      </c>
      <c r="C786456">
        <v>42.307</v>
      </c>
      <c r="D786456">
        <v>3.45</v>
      </c>
    </row>
    <row r="786457">
      <c r="B786457">
        <v>2017</v>
      </c>
      <c r="C786457">
        <v>44.49</v>
      </c>
      <c r="D786457">
        <v>5.161</v>
      </c>
    </row>
    <row r="786458">
      <c r="B786458">
        <v>2018</v>
      </c>
      <c r="C786458">
        <v>47.187</v>
      </c>
      <c r="D786458">
        <v>6.062</v>
      </c>
    </row>
    <row r="786459">
      <c r="B786459">
        <v>2019</v>
      </c>
      <c r="C786459">
        <v>49.726</v>
      </c>
      <c r="D786459">
        <v>5.38</v>
      </c>
    </row>
    <row r="786460">
      <c r="B786460">
        <v>2020</v>
      </c>
      <c r="C786460">
        <v>46.598</v>
      </c>
      <c r="D786460">
        <v>-6.291</v>
      </c>
    </row>
    <row r="786461">
      <c r="B786461">
        <v>2021</v>
      </c>
      <c r="C786461">
        <v>51.558</v>
      </c>
      <c r="D786461">
        <v>10.644</v>
      </c>
    </row>
    <row r="786462">
      <c r="B786462">
        <v>2022</v>
      </c>
      <c r="C786462">
        <v>57.208</v>
      </c>
      <c r="D786462">
        <v>10.96</v>
      </c>
    </row>
    <row r="786463">
      <c r="B786463">
        <v>2023</v>
      </c>
      <c r="C786463">
        <v>61.689</v>
      </c>
      <c r="D786463">
        <v>7.832</v>
      </c>
    </row>
    <row r="786464">
      <c r="B786464">
        <v>2024</v>
      </c>
      <c r="C786464">
        <v>67.505</v>
      </c>
      <c r="D786464">
        <v>9.429</v>
      </c>
    </row>
    <row r="786465">
      <c r="B786465">
        <v>2025</v>
      </c>
      <c r="C786465">
        <v>71.54</v>
      </c>
      <c r="D786465">
        <v>5.977</v>
      </c>
    </row>
    <row r="786466">
      <c r="B786466">
        <v>2026</v>
      </c>
      <c r="C786466">
        <v>75.117</v>
      </c>
      <c r="D786466">
        <v>5</v>
      </c>
    </row>
    <row r="786467">
      <c r="B786467">
        <v>2027</v>
      </c>
      <c r="C786467">
        <v>78.873</v>
      </c>
      <c r="D786467">
        <v>5</v>
      </c>
    </row>
    <row r="786468">
      <c r="B786468" t="str">
        <v>Estimates Start After</v>
      </c>
      <c r="C786468">
        <v>2024</v>
      </c>
      <c r="D786468">
        <v>2024</v>
      </c>
    </row>
    <row r="802817">
      <c r="B802817" t="str">
        <v>WEO Country Code</v>
      </c>
      <c r="C802817">
        <v>915</v>
      </c>
      <c r="D802817">
        <v>915</v>
      </c>
    </row>
    <row r="802818">
      <c r="B802818" t="str">
        <v>WEO Subject Code</v>
      </c>
      <c r="C802818" t="str">
        <v>NGDP_R</v>
      </c>
      <c r="D802818" t="str">
        <v>NGDP_RPCH</v>
      </c>
    </row>
    <row r="802819">
      <c r="B802819" t="str">
        <v>Country</v>
      </c>
      <c r="C802819" t="str">
        <v>Georgia</v>
      </c>
      <c r="D802819" t="str">
        <v>Georgia</v>
      </c>
    </row>
    <row r="802820">
      <c r="B802820" t="str">
        <v>Subject Descriptor</v>
      </c>
      <c r="C802820" t="str">
        <v>Gross domestic product, constant prices</v>
      </c>
      <c r="D802820" t="str">
        <v>Gross domestic product, constant prices</v>
      </c>
    </row>
    <row r="802821">
      <c r="B802821" t="str">
        <v>Units</v>
      </c>
      <c r="C802821" t="str">
        <v>National currency</v>
      </c>
      <c r="D802821" t="str">
        <v>Percent change</v>
      </c>
    </row>
    <row r="802822">
      <c r="B802822" t="str">
        <v>Scale</v>
      </c>
      <c r="C802822" t="str">
        <v>Billions</v>
      </c>
      <c r="D802822" t="str">
        <v>Units</v>
      </c>
    </row>
    <row r="802823">
      <c r="B802823" t="str">
        <v>Country/Series-specific Notes</v>
      </c>
      <c r="C80282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802823" t="str">
        <v>See notes for:  Gross domestic product, constant prices (National currency).</v>
      </c>
    </row>
    <row r="802824">
      <c r="B802824">
        <v>2000</v>
      </c>
      <c r="C802824">
        <v>16.963</v>
      </c>
      <c r="D802824">
        <v>1.865</v>
      </c>
    </row>
    <row r="802825">
      <c r="B802825">
        <v>2001</v>
      </c>
      <c r="C802825">
        <v>17.772</v>
      </c>
      <c r="D802825">
        <v>4.769</v>
      </c>
    </row>
    <row r="802826">
      <c r="B802826">
        <v>2002</v>
      </c>
      <c r="C802826">
        <v>18.747</v>
      </c>
      <c r="D802826">
        <v>5.487</v>
      </c>
    </row>
    <row r="802827">
      <c r="B802827">
        <v>2003</v>
      </c>
      <c r="C802827">
        <v>20.852</v>
      </c>
      <c r="D802827">
        <v>11.228</v>
      </c>
    </row>
    <row r="802828">
      <c r="B802828">
        <v>2004</v>
      </c>
      <c r="C802828">
        <v>22.061</v>
      </c>
      <c r="D802828">
        <v>5.796</v>
      </c>
    </row>
    <row r="802829">
      <c r="B802829">
        <v>2005</v>
      </c>
      <c r="C802829">
        <v>24.176</v>
      </c>
      <c r="D802829">
        <v>9.588</v>
      </c>
    </row>
    <row r="802830">
      <c r="B802830">
        <v>2006</v>
      </c>
      <c r="C802830">
        <v>26.454</v>
      </c>
      <c r="D802830">
        <v>9.42</v>
      </c>
    </row>
    <row r="802831">
      <c r="B802831">
        <v>2007</v>
      </c>
      <c r="C802831">
        <v>29.781</v>
      </c>
      <c r="D802831">
        <v>12.579</v>
      </c>
    </row>
    <row r="802832">
      <c r="B802832">
        <v>2008</v>
      </c>
      <c r="C802832">
        <v>30.502</v>
      </c>
      <c r="D802832">
        <v>2.419</v>
      </c>
    </row>
    <row r="802833">
      <c r="B802833">
        <v>2009</v>
      </c>
      <c r="C802833">
        <v>29.388</v>
      </c>
      <c r="D802833">
        <v>-3.651</v>
      </c>
    </row>
    <row r="802834">
      <c r="B802834">
        <v>2010</v>
      </c>
      <c r="C802834">
        <v>31.428</v>
      </c>
      <c r="D802834">
        <v>6.942</v>
      </c>
    </row>
    <row r="802835">
      <c r="B802835">
        <v>2011</v>
      </c>
      <c r="C802835">
        <v>33.927</v>
      </c>
      <c r="D802835">
        <v>7.949</v>
      </c>
    </row>
    <row r="802836">
      <c r="B802836">
        <v>2012</v>
      </c>
      <c r="C802836">
        <v>36.159</v>
      </c>
      <c r="D802836">
        <v>6.579</v>
      </c>
    </row>
    <row r="802837">
      <c r="B802837">
        <v>2013</v>
      </c>
      <c r="C802837">
        <v>38.015</v>
      </c>
      <c r="D802837">
        <v>5.134</v>
      </c>
    </row>
    <row r="802838">
      <c r="B802838">
        <v>2014</v>
      </c>
      <c r="C802838">
        <v>39.57</v>
      </c>
      <c r="D802838">
        <v>4.091</v>
      </c>
    </row>
    <row r="802839">
      <c r="B802839">
        <v>2015</v>
      </c>
      <c r="C802839">
        <v>40.896</v>
      </c>
      <c r="D802839">
        <v>3.351</v>
      </c>
    </row>
    <row r="802840">
      <c r="B802840">
        <v>2016</v>
      </c>
      <c r="C802840">
        <v>42.307</v>
      </c>
      <c r="D802840">
        <v>3.45</v>
      </c>
    </row>
    <row r="802841">
      <c r="B802841">
        <v>2017</v>
      </c>
      <c r="C802841">
        <v>44.49</v>
      </c>
      <c r="D802841">
        <v>5.161</v>
      </c>
    </row>
    <row r="802842">
      <c r="B802842">
        <v>2018</v>
      </c>
      <c r="C802842">
        <v>47.187</v>
      </c>
      <c r="D802842">
        <v>6.062</v>
      </c>
    </row>
    <row r="802843">
      <c r="B802843">
        <v>2019</v>
      </c>
      <c r="C802843">
        <v>49.726</v>
      </c>
      <c r="D802843">
        <v>5.38</v>
      </c>
    </row>
    <row r="802844">
      <c r="B802844">
        <v>2020</v>
      </c>
      <c r="C802844">
        <v>46.598</v>
      </c>
      <c r="D802844">
        <v>-6.291</v>
      </c>
    </row>
    <row r="802845">
      <c r="B802845">
        <v>2021</v>
      </c>
      <c r="C802845">
        <v>51.558</v>
      </c>
      <c r="D802845">
        <v>10.644</v>
      </c>
    </row>
    <row r="802846">
      <c r="B802846">
        <v>2022</v>
      </c>
      <c r="C802846">
        <v>57.208</v>
      </c>
      <c r="D802846">
        <v>10.96</v>
      </c>
    </row>
    <row r="802847">
      <c r="B802847">
        <v>2023</v>
      </c>
      <c r="C802847">
        <v>61.689</v>
      </c>
      <c r="D802847">
        <v>7.832</v>
      </c>
    </row>
    <row r="802848">
      <c r="B802848">
        <v>2024</v>
      </c>
      <c r="C802848">
        <v>67.505</v>
      </c>
      <c r="D802848">
        <v>9.429</v>
      </c>
    </row>
    <row r="802849">
      <c r="B802849">
        <v>2025</v>
      </c>
      <c r="C802849">
        <v>71.54</v>
      </c>
      <c r="D802849">
        <v>5.977</v>
      </c>
    </row>
    <row r="802850">
      <c r="B802850">
        <v>2026</v>
      </c>
      <c r="C802850">
        <v>75.117</v>
      </c>
      <c r="D802850">
        <v>5</v>
      </c>
    </row>
    <row r="802851">
      <c r="B802851">
        <v>2027</v>
      </c>
      <c r="C802851">
        <v>78.873</v>
      </c>
      <c r="D802851">
        <v>5</v>
      </c>
    </row>
    <row r="802852">
      <c r="B802852" t="str">
        <v>Estimates Start After</v>
      </c>
      <c r="C802852">
        <v>2024</v>
      </c>
      <c r="D802852">
        <v>2024</v>
      </c>
    </row>
    <row r="819201">
      <c r="B819201" t="str">
        <v>WEO Country Code</v>
      </c>
      <c r="C819201">
        <v>915</v>
      </c>
      <c r="D819201">
        <v>915</v>
      </c>
    </row>
    <row r="819202">
      <c r="B819202" t="str">
        <v>WEO Subject Code</v>
      </c>
      <c r="C819202" t="str">
        <v>NGDP_R</v>
      </c>
      <c r="D819202" t="str">
        <v>NGDP_RPCH</v>
      </c>
    </row>
    <row r="819203">
      <c r="B819203" t="str">
        <v>Country</v>
      </c>
      <c r="C819203" t="str">
        <v>Georgia</v>
      </c>
      <c r="D819203" t="str">
        <v>Georgia</v>
      </c>
    </row>
    <row r="819204">
      <c r="B819204" t="str">
        <v>Subject Descriptor</v>
      </c>
      <c r="C819204" t="str">
        <v>Gross domestic product, constant prices</v>
      </c>
      <c r="D819204" t="str">
        <v>Gross domestic product, constant prices</v>
      </c>
    </row>
    <row r="819205">
      <c r="B819205" t="str">
        <v>Units</v>
      </c>
      <c r="C819205" t="str">
        <v>National currency</v>
      </c>
      <c r="D819205" t="str">
        <v>Percent change</v>
      </c>
    </row>
    <row r="819206">
      <c r="B819206" t="str">
        <v>Scale</v>
      </c>
      <c r="C819206" t="str">
        <v>Billions</v>
      </c>
      <c r="D819206" t="str">
        <v>Units</v>
      </c>
    </row>
    <row r="819207">
      <c r="B819207" t="str">
        <v>Country/Series-specific Notes</v>
      </c>
      <c r="C81920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819207" t="str">
        <v>See notes for:  Gross domestic product, constant prices (National currency).</v>
      </c>
    </row>
    <row r="819208">
      <c r="B819208">
        <v>2000</v>
      </c>
      <c r="C819208">
        <v>16.963</v>
      </c>
      <c r="D819208">
        <v>1.865</v>
      </c>
    </row>
    <row r="819209">
      <c r="B819209">
        <v>2001</v>
      </c>
      <c r="C819209">
        <v>17.772</v>
      </c>
      <c r="D819209">
        <v>4.769</v>
      </c>
    </row>
    <row r="819210">
      <c r="B819210">
        <v>2002</v>
      </c>
      <c r="C819210">
        <v>18.747</v>
      </c>
      <c r="D819210">
        <v>5.487</v>
      </c>
    </row>
    <row r="819211">
      <c r="B819211">
        <v>2003</v>
      </c>
      <c r="C819211">
        <v>20.852</v>
      </c>
      <c r="D819211">
        <v>11.228</v>
      </c>
    </row>
    <row r="819212">
      <c r="B819212">
        <v>2004</v>
      </c>
      <c r="C819212">
        <v>22.061</v>
      </c>
      <c r="D819212">
        <v>5.796</v>
      </c>
    </row>
    <row r="819213">
      <c r="B819213">
        <v>2005</v>
      </c>
      <c r="C819213">
        <v>24.176</v>
      </c>
      <c r="D819213">
        <v>9.588</v>
      </c>
    </row>
    <row r="819214">
      <c r="B819214">
        <v>2006</v>
      </c>
      <c r="C819214">
        <v>26.454</v>
      </c>
      <c r="D819214">
        <v>9.42</v>
      </c>
    </row>
    <row r="819215">
      <c r="B819215">
        <v>2007</v>
      </c>
      <c r="C819215">
        <v>29.781</v>
      </c>
      <c r="D819215">
        <v>12.579</v>
      </c>
    </row>
    <row r="819216">
      <c r="B819216">
        <v>2008</v>
      </c>
      <c r="C819216">
        <v>30.502</v>
      </c>
      <c r="D819216">
        <v>2.419</v>
      </c>
    </row>
    <row r="819217">
      <c r="B819217">
        <v>2009</v>
      </c>
      <c r="C819217">
        <v>29.388</v>
      </c>
      <c r="D819217">
        <v>-3.651</v>
      </c>
    </row>
    <row r="819218">
      <c r="B819218">
        <v>2010</v>
      </c>
      <c r="C819218">
        <v>31.428</v>
      </c>
      <c r="D819218">
        <v>6.942</v>
      </c>
    </row>
    <row r="819219">
      <c r="B819219">
        <v>2011</v>
      </c>
      <c r="C819219">
        <v>33.927</v>
      </c>
      <c r="D819219">
        <v>7.949</v>
      </c>
    </row>
    <row r="819220">
      <c r="B819220">
        <v>2012</v>
      </c>
      <c r="C819220">
        <v>36.159</v>
      </c>
      <c r="D819220">
        <v>6.579</v>
      </c>
    </row>
    <row r="819221">
      <c r="B819221">
        <v>2013</v>
      </c>
      <c r="C819221">
        <v>38.015</v>
      </c>
      <c r="D819221">
        <v>5.134</v>
      </c>
    </row>
    <row r="819222">
      <c r="B819222">
        <v>2014</v>
      </c>
      <c r="C819222">
        <v>39.57</v>
      </c>
      <c r="D819222">
        <v>4.091</v>
      </c>
    </row>
    <row r="819223">
      <c r="B819223">
        <v>2015</v>
      </c>
      <c r="C819223">
        <v>40.896</v>
      </c>
      <c r="D819223">
        <v>3.351</v>
      </c>
    </row>
    <row r="819224">
      <c r="B819224">
        <v>2016</v>
      </c>
      <c r="C819224">
        <v>42.307</v>
      </c>
      <c r="D819224">
        <v>3.45</v>
      </c>
    </row>
    <row r="819225">
      <c r="B819225">
        <v>2017</v>
      </c>
      <c r="C819225">
        <v>44.49</v>
      </c>
      <c r="D819225">
        <v>5.161</v>
      </c>
    </row>
    <row r="819226">
      <c r="B819226">
        <v>2018</v>
      </c>
      <c r="C819226">
        <v>47.187</v>
      </c>
      <c r="D819226">
        <v>6.062</v>
      </c>
    </row>
    <row r="819227">
      <c r="B819227">
        <v>2019</v>
      </c>
      <c r="C819227">
        <v>49.726</v>
      </c>
      <c r="D819227">
        <v>5.38</v>
      </c>
    </row>
    <row r="819228">
      <c r="B819228">
        <v>2020</v>
      </c>
      <c r="C819228">
        <v>46.598</v>
      </c>
      <c r="D819228">
        <v>-6.291</v>
      </c>
    </row>
    <row r="819229">
      <c r="B819229">
        <v>2021</v>
      </c>
      <c r="C819229">
        <v>51.558</v>
      </c>
      <c r="D819229">
        <v>10.644</v>
      </c>
    </row>
    <row r="819230">
      <c r="B819230">
        <v>2022</v>
      </c>
      <c r="C819230">
        <v>57.208</v>
      </c>
      <c r="D819230">
        <v>10.96</v>
      </c>
    </row>
    <row r="819231">
      <c r="B819231">
        <v>2023</v>
      </c>
      <c r="C819231">
        <v>61.689</v>
      </c>
      <c r="D819231">
        <v>7.832</v>
      </c>
    </row>
    <row r="819232">
      <c r="B819232">
        <v>2024</v>
      </c>
      <c r="C819232">
        <v>67.505</v>
      </c>
      <c r="D819232">
        <v>9.429</v>
      </c>
    </row>
    <row r="819233">
      <c r="B819233">
        <v>2025</v>
      </c>
      <c r="C819233">
        <v>71.54</v>
      </c>
      <c r="D819233">
        <v>5.977</v>
      </c>
    </row>
    <row r="819234">
      <c r="B819234">
        <v>2026</v>
      </c>
      <c r="C819234">
        <v>75.117</v>
      </c>
      <c r="D819234">
        <v>5</v>
      </c>
    </row>
    <row r="819235">
      <c r="B819235">
        <v>2027</v>
      </c>
      <c r="C819235">
        <v>78.873</v>
      </c>
      <c r="D819235">
        <v>5</v>
      </c>
    </row>
    <row r="819236">
      <c r="B819236" t="str">
        <v>Estimates Start After</v>
      </c>
      <c r="C819236">
        <v>2024</v>
      </c>
      <c r="D819236">
        <v>2024</v>
      </c>
    </row>
    <row r="835585">
      <c r="B835585" t="str">
        <v>WEO Country Code</v>
      </c>
      <c r="C835585">
        <v>915</v>
      </c>
      <c r="D835585">
        <v>915</v>
      </c>
    </row>
    <row r="835586">
      <c r="B835586" t="str">
        <v>WEO Subject Code</v>
      </c>
      <c r="C835586" t="str">
        <v>NGDP_R</v>
      </c>
      <c r="D835586" t="str">
        <v>NGDP_RPCH</v>
      </c>
    </row>
    <row r="835587">
      <c r="B835587" t="str">
        <v>Country</v>
      </c>
      <c r="C835587" t="str">
        <v>Georgia</v>
      </c>
      <c r="D835587" t="str">
        <v>Georgia</v>
      </c>
    </row>
    <row r="835588">
      <c r="B835588" t="str">
        <v>Subject Descriptor</v>
      </c>
      <c r="C835588" t="str">
        <v>Gross domestic product, constant prices</v>
      </c>
      <c r="D835588" t="str">
        <v>Gross domestic product, constant prices</v>
      </c>
    </row>
    <row r="835589">
      <c r="B835589" t="str">
        <v>Units</v>
      </c>
      <c r="C835589" t="str">
        <v>National currency</v>
      </c>
      <c r="D835589" t="str">
        <v>Percent change</v>
      </c>
    </row>
    <row r="835590">
      <c r="B835590" t="str">
        <v>Scale</v>
      </c>
      <c r="C835590" t="str">
        <v>Billions</v>
      </c>
      <c r="D835590" t="str">
        <v>Units</v>
      </c>
    </row>
    <row r="835591">
      <c r="B835591" t="str">
        <v>Country/Series-specific Notes</v>
      </c>
      <c r="C83559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835591" t="str">
        <v>See notes for:  Gross domestic product, constant prices (National currency).</v>
      </c>
    </row>
    <row r="835592">
      <c r="B835592">
        <v>2000</v>
      </c>
      <c r="C835592">
        <v>16.963</v>
      </c>
      <c r="D835592">
        <v>1.865</v>
      </c>
    </row>
    <row r="835593">
      <c r="B835593">
        <v>2001</v>
      </c>
      <c r="C835593">
        <v>17.772</v>
      </c>
      <c r="D835593">
        <v>4.769</v>
      </c>
    </row>
    <row r="835594">
      <c r="B835594">
        <v>2002</v>
      </c>
      <c r="C835594">
        <v>18.747</v>
      </c>
      <c r="D835594">
        <v>5.487</v>
      </c>
    </row>
    <row r="835595">
      <c r="B835595">
        <v>2003</v>
      </c>
      <c r="C835595">
        <v>20.852</v>
      </c>
      <c r="D835595">
        <v>11.228</v>
      </c>
    </row>
    <row r="835596">
      <c r="B835596">
        <v>2004</v>
      </c>
      <c r="C835596">
        <v>22.061</v>
      </c>
      <c r="D835596">
        <v>5.796</v>
      </c>
    </row>
    <row r="835597">
      <c r="B835597">
        <v>2005</v>
      </c>
      <c r="C835597">
        <v>24.176</v>
      </c>
      <c r="D835597">
        <v>9.588</v>
      </c>
    </row>
    <row r="835598">
      <c r="B835598">
        <v>2006</v>
      </c>
      <c r="C835598">
        <v>26.454</v>
      </c>
      <c r="D835598">
        <v>9.42</v>
      </c>
    </row>
    <row r="835599">
      <c r="B835599">
        <v>2007</v>
      </c>
      <c r="C835599">
        <v>29.781</v>
      </c>
      <c r="D835599">
        <v>12.579</v>
      </c>
    </row>
    <row r="835600">
      <c r="B835600">
        <v>2008</v>
      </c>
      <c r="C835600">
        <v>30.502</v>
      </c>
      <c r="D835600">
        <v>2.419</v>
      </c>
    </row>
    <row r="835601">
      <c r="B835601">
        <v>2009</v>
      </c>
      <c r="C835601">
        <v>29.388</v>
      </c>
      <c r="D835601">
        <v>-3.651</v>
      </c>
    </row>
    <row r="835602">
      <c r="B835602">
        <v>2010</v>
      </c>
      <c r="C835602">
        <v>31.428</v>
      </c>
      <c r="D835602">
        <v>6.942</v>
      </c>
    </row>
    <row r="835603">
      <c r="B835603">
        <v>2011</v>
      </c>
      <c r="C835603">
        <v>33.927</v>
      </c>
      <c r="D835603">
        <v>7.949</v>
      </c>
    </row>
    <row r="835604">
      <c r="B835604">
        <v>2012</v>
      </c>
      <c r="C835604">
        <v>36.159</v>
      </c>
      <c r="D835604">
        <v>6.579</v>
      </c>
    </row>
    <row r="835605">
      <c r="B835605">
        <v>2013</v>
      </c>
      <c r="C835605">
        <v>38.015</v>
      </c>
      <c r="D835605">
        <v>5.134</v>
      </c>
    </row>
    <row r="835606">
      <c r="B835606">
        <v>2014</v>
      </c>
      <c r="C835606">
        <v>39.57</v>
      </c>
      <c r="D835606">
        <v>4.091</v>
      </c>
    </row>
    <row r="835607">
      <c r="B835607">
        <v>2015</v>
      </c>
      <c r="C835607">
        <v>40.896</v>
      </c>
      <c r="D835607">
        <v>3.351</v>
      </c>
    </row>
    <row r="835608">
      <c r="B835608">
        <v>2016</v>
      </c>
      <c r="C835608">
        <v>42.307</v>
      </c>
      <c r="D835608">
        <v>3.45</v>
      </c>
    </row>
    <row r="835609">
      <c r="B835609">
        <v>2017</v>
      </c>
      <c r="C835609">
        <v>44.49</v>
      </c>
      <c r="D835609">
        <v>5.161</v>
      </c>
    </row>
    <row r="835610">
      <c r="B835610">
        <v>2018</v>
      </c>
      <c r="C835610">
        <v>47.187</v>
      </c>
      <c r="D835610">
        <v>6.062</v>
      </c>
    </row>
    <row r="835611">
      <c r="B835611">
        <v>2019</v>
      </c>
      <c r="C835611">
        <v>49.726</v>
      </c>
      <c r="D835611">
        <v>5.38</v>
      </c>
    </row>
    <row r="835612">
      <c r="B835612">
        <v>2020</v>
      </c>
      <c r="C835612">
        <v>46.598</v>
      </c>
      <c r="D835612">
        <v>-6.291</v>
      </c>
    </row>
    <row r="835613">
      <c r="B835613">
        <v>2021</v>
      </c>
      <c r="C835613">
        <v>51.558</v>
      </c>
      <c r="D835613">
        <v>10.644</v>
      </c>
    </row>
    <row r="835614">
      <c r="B835614">
        <v>2022</v>
      </c>
      <c r="C835614">
        <v>57.208</v>
      </c>
      <c r="D835614">
        <v>10.96</v>
      </c>
    </row>
    <row r="835615">
      <c r="B835615">
        <v>2023</v>
      </c>
      <c r="C835615">
        <v>61.689</v>
      </c>
      <c r="D835615">
        <v>7.832</v>
      </c>
    </row>
    <row r="835616">
      <c r="B835616">
        <v>2024</v>
      </c>
      <c r="C835616">
        <v>67.505</v>
      </c>
      <c r="D835616">
        <v>9.429</v>
      </c>
    </row>
    <row r="835617">
      <c r="B835617">
        <v>2025</v>
      </c>
      <c r="C835617">
        <v>71.54</v>
      </c>
      <c r="D835617">
        <v>5.977</v>
      </c>
    </row>
    <row r="835618">
      <c r="B835618">
        <v>2026</v>
      </c>
      <c r="C835618">
        <v>75.117</v>
      </c>
      <c r="D835618">
        <v>5</v>
      </c>
    </row>
    <row r="835619">
      <c r="B835619">
        <v>2027</v>
      </c>
      <c r="C835619">
        <v>78.873</v>
      </c>
      <c r="D835619">
        <v>5</v>
      </c>
    </row>
    <row r="835620">
      <c r="B835620" t="str">
        <v>Estimates Start After</v>
      </c>
      <c r="C835620">
        <v>2024</v>
      </c>
      <c r="D835620">
        <v>2024</v>
      </c>
    </row>
    <row r="851969">
      <c r="B851969" t="str">
        <v>WEO Country Code</v>
      </c>
      <c r="C851969">
        <v>915</v>
      </c>
      <c r="D851969">
        <v>915</v>
      </c>
    </row>
    <row r="851970">
      <c r="B851970" t="str">
        <v>WEO Subject Code</v>
      </c>
      <c r="C851970" t="str">
        <v>NGDP_R</v>
      </c>
      <c r="D851970" t="str">
        <v>NGDP_RPCH</v>
      </c>
    </row>
    <row r="851971">
      <c r="B851971" t="str">
        <v>Country</v>
      </c>
      <c r="C851971" t="str">
        <v>Georgia</v>
      </c>
      <c r="D851971" t="str">
        <v>Georgia</v>
      </c>
    </row>
    <row r="851972">
      <c r="B851972" t="str">
        <v>Subject Descriptor</v>
      </c>
      <c r="C851972" t="str">
        <v>Gross domestic product, constant prices</v>
      </c>
      <c r="D851972" t="str">
        <v>Gross domestic product, constant prices</v>
      </c>
    </row>
    <row r="851973">
      <c r="B851973" t="str">
        <v>Units</v>
      </c>
      <c r="C851973" t="str">
        <v>National currency</v>
      </c>
      <c r="D851973" t="str">
        <v>Percent change</v>
      </c>
    </row>
    <row r="851974">
      <c r="B851974" t="str">
        <v>Scale</v>
      </c>
      <c r="C851974" t="str">
        <v>Billions</v>
      </c>
      <c r="D851974" t="str">
        <v>Units</v>
      </c>
    </row>
    <row r="851975">
      <c r="B851975" t="str">
        <v>Country/Series-specific Notes</v>
      </c>
      <c r="C85197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851975" t="str">
        <v>See notes for:  Gross domestic product, constant prices (National currency).</v>
      </c>
    </row>
    <row r="851976">
      <c r="B851976">
        <v>2000</v>
      </c>
      <c r="C851976">
        <v>16.963</v>
      </c>
      <c r="D851976">
        <v>1.865</v>
      </c>
    </row>
    <row r="851977">
      <c r="B851977">
        <v>2001</v>
      </c>
      <c r="C851977">
        <v>17.772</v>
      </c>
      <c r="D851977">
        <v>4.769</v>
      </c>
    </row>
    <row r="851978">
      <c r="B851978">
        <v>2002</v>
      </c>
      <c r="C851978">
        <v>18.747</v>
      </c>
      <c r="D851978">
        <v>5.487</v>
      </c>
    </row>
    <row r="851979">
      <c r="B851979">
        <v>2003</v>
      </c>
      <c r="C851979">
        <v>20.852</v>
      </c>
      <c r="D851979">
        <v>11.228</v>
      </c>
    </row>
    <row r="851980">
      <c r="B851980">
        <v>2004</v>
      </c>
      <c r="C851980">
        <v>22.061</v>
      </c>
      <c r="D851980">
        <v>5.796</v>
      </c>
    </row>
    <row r="851981">
      <c r="B851981">
        <v>2005</v>
      </c>
      <c r="C851981">
        <v>24.176</v>
      </c>
      <c r="D851981">
        <v>9.588</v>
      </c>
    </row>
    <row r="851982">
      <c r="B851982">
        <v>2006</v>
      </c>
      <c r="C851982">
        <v>26.454</v>
      </c>
      <c r="D851982">
        <v>9.42</v>
      </c>
    </row>
    <row r="851983">
      <c r="B851983">
        <v>2007</v>
      </c>
      <c r="C851983">
        <v>29.781</v>
      </c>
      <c r="D851983">
        <v>12.579</v>
      </c>
    </row>
    <row r="851984">
      <c r="B851984">
        <v>2008</v>
      </c>
      <c r="C851984">
        <v>30.502</v>
      </c>
      <c r="D851984">
        <v>2.419</v>
      </c>
    </row>
    <row r="851985">
      <c r="B851985">
        <v>2009</v>
      </c>
      <c r="C851985">
        <v>29.388</v>
      </c>
      <c r="D851985">
        <v>-3.651</v>
      </c>
    </row>
    <row r="851986">
      <c r="B851986">
        <v>2010</v>
      </c>
      <c r="C851986">
        <v>31.428</v>
      </c>
      <c r="D851986">
        <v>6.942</v>
      </c>
    </row>
    <row r="851987">
      <c r="B851987">
        <v>2011</v>
      </c>
      <c r="C851987">
        <v>33.927</v>
      </c>
      <c r="D851987">
        <v>7.949</v>
      </c>
    </row>
    <row r="851988">
      <c r="B851988">
        <v>2012</v>
      </c>
      <c r="C851988">
        <v>36.159</v>
      </c>
      <c r="D851988">
        <v>6.579</v>
      </c>
    </row>
    <row r="851989">
      <c r="B851989">
        <v>2013</v>
      </c>
      <c r="C851989">
        <v>38.015</v>
      </c>
      <c r="D851989">
        <v>5.134</v>
      </c>
    </row>
    <row r="851990">
      <c r="B851990">
        <v>2014</v>
      </c>
      <c r="C851990">
        <v>39.57</v>
      </c>
      <c r="D851990">
        <v>4.091</v>
      </c>
    </row>
    <row r="851991">
      <c r="B851991">
        <v>2015</v>
      </c>
      <c r="C851991">
        <v>40.896</v>
      </c>
      <c r="D851991">
        <v>3.351</v>
      </c>
    </row>
    <row r="851992">
      <c r="B851992">
        <v>2016</v>
      </c>
      <c r="C851992">
        <v>42.307</v>
      </c>
      <c r="D851992">
        <v>3.45</v>
      </c>
    </row>
    <row r="851993">
      <c r="B851993">
        <v>2017</v>
      </c>
      <c r="C851993">
        <v>44.49</v>
      </c>
      <c r="D851993">
        <v>5.161</v>
      </c>
    </row>
    <row r="851994">
      <c r="B851994">
        <v>2018</v>
      </c>
      <c r="C851994">
        <v>47.187</v>
      </c>
      <c r="D851994">
        <v>6.062</v>
      </c>
    </row>
    <row r="851995">
      <c r="B851995">
        <v>2019</v>
      </c>
      <c r="C851995">
        <v>49.726</v>
      </c>
      <c r="D851995">
        <v>5.38</v>
      </c>
    </row>
    <row r="851996">
      <c r="B851996">
        <v>2020</v>
      </c>
      <c r="C851996">
        <v>46.598</v>
      </c>
      <c r="D851996">
        <v>-6.291</v>
      </c>
    </row>
    <row r="851997">
      <c r="B851997">
        <v>2021</v>
      </c>
      <c r="C851997">
        <v>51.558</v>
      </c>
      <c r="D851997">
        <v>10.644</v>
      </c>
    </row>
    <row r="851998">
      <c r="B851998">
        <v>2022</v>
      </c>
      <c r="C851998">
        <v>57.208</v>
      </c>
      <c r="D851998">
        <v>10.96</v>
      </c>
    </row>
    <row r="851999">
      <c r="B851999">
        <v>2023</v>
      </c>
      <c r="C851999">
        <v>61.689</v>
      </c>
      <c r="D851999">
        <v>7.832</v>
      </c>
    </row>
    <row r="852000">
      <c r="B852000">
        <v>2024</v>
      </c>
      <c r="C852000">
        <v>67.505</v>
      </c>
      <c r="D852000">
        <v>9.429</v>
      </c>
    </row>
    <row r="852001">
      <c r="B852001">
        <v>2025</v>
      </c>
      <c r="C852001">
        <v>71.54</v>
      </c>
      <c r="D852001">
        <v>5.977</v>
      </c>
    </row>
    <row r="852002">
      <c r="B852002">
        <v>2026</v>
      </c>
      <c r="C852002">
        <v>75.117</v>
      </c>
      <c r="D852002">
        <v>5</v>
      </c>
    </row>
    <row r="852003">
      <c r="B852003">
        <v>2027</v>
      </c>
      <c r="C852003">
        <v>78.873</v>
      </c>
      <c r="D852003">
        <v>5</v>
      </c>
    </row>
    <row r="852004">
      <c r="B852004" t="str">
        <v>Estimates Start After</v>
      </c>
      <c r="C852004">
        <v>2024</v>
      </c>
      <c r="D852004">
        <v>2024</v>
      </c>
    </row>
    <row r="868353">
      <c r="B868353" t="str">
        <v>WEO Country Code</v>
      </c>
      <c r="C868353">
        <v>915</v>
      </c>
      <c r="D868353">
        <v>915</v>
      </c>
    </row>
    <row r="868354">
      <c r="B868354" t="str">
        <v>WEO Subject Code</v>
      </c>
      <c r="C868354" t="str">
        <v>NGDP_R</v>
      </c>
      <c r="D868354" t="str">
        <v>NGDP_RPCH</v>
      </c>
    </row>
    <row r="868355">
      <c r="B868355" t="str">
        <v>Country</v>
      </c>
      <c r="C868355" t="str">
        <v>Georgia</v>
      </c>
      <c r="D868355" t="str">
        <v>Georgia</v>
      </c>
    </row>
    <row r="868356">
      <c r="B868356" t="str">
        <v>Subject Descriptor</v>
      </c>
      <c r="C868356" t="str">
        <v>Gross domestic product, constant prices</v>
      </c>
      <c r="D868356" t="str">
        <v>Gross domestic product, constant prices</v>
      </c>
    </row>
    <row r="868357">
      <c r="B868357" t="str">
        <v>Units</v>
      </c>
      <c r="C868357" t="str">
        <v>National currency</v>
      </c>
      <c r="D868357" t="str">
        <v>Percent change</v>
      </c>
    </row>
    <row r="868358">
      <c r="B868358" t="str">
        <v>Scale</v>
      </c>
      <c r="C868358" t="str">
        <v>Billions</v>
      </c>
      <c r="D868358" t="str">
        <v>Units</v>
      </c>
    </row>
    <row r="868359">
      <c r="B868359" t="str">
        <v>Country/Series-specific Notes</v>
      </c>
      <c r="C86835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868359" t="str">
        <v>See notes for:  Gross domestic product, constant prices (National currency).</v>
      </c>
    </row>
    <row r="868360">
      <c r="B868360">
        <v>2000</v>
      </c>
      <c r="C868360">
        <v>16.963</v>
      </c>
      <c r="D868360">
        <v>1.865</v>
      </c>
    </row>
    <row r="868361">
      <c r="B868361">
        <v>2001</v>
      </c>
      <c r="C868361">
        <v>17.772</v>
      </c>
      <c r="D868361">
        <v>4.769</v>
      </c>
    </row>
    <row r="868362">
      <c r="B868362">
        <v>2002</v>
      </c>
      <c r="C868362">
        <v>18.747</v>
      </c>
      <c r="D868362">
        <v>5.487</v>
      </c>
    </row>
    <row r="868363">
      <c r="B868363">
        <v>2003</v>
      </c>
      <c r="C868363">
        <v>20.852</v>
      </c>
      <c r="D868363">
        <v>11.228</v>
      </c>
    </row>
    <row r="868364">
      <c r="B868364">
        <v>2004</v>
      </c>
      <c r="C868364">
        <v>22.061</v>
      </c>
      <c r="D868364">
        <v>5.796</v>
      </c>
    </row>
    <row r="868365">
      <c r="B868365">
        <v>2005</v>
      </c>
      <c r="C868365">
        <v>24.176</v>
      </c>
      <c r="D868365">
        <v>9.588</v>
      </c>
    </row>
    <row r="868366">
      <c r="B868366">
        <v>2006</v>
      </c>
      <c r="C868366">
        <v>26.454</v>
      </c>
      <c r="D868366">
        <v>9.42</v>
      </c>
    </row>
    <row r="868367">
      <c r="B868367">
        <v>2007</v>
      </c>
      <c r="C868367">
        <v>29.781</v>
      </c>
      <c r="D868367">
        <v>12.579</v>
      </c>
    </row>
    <row r="868368">
      <c r="B868368">
        <v>2008</v>
      </c>
      <c r="C868368">
        <v>30.502</v>
      </c>
      <c r="D868368">
        <v>2.419</v>
      </c>
    </row>
    <row r="868369">
      <c r="B868369">
        <v>2009</v>
      </c>
      <c r="C868369">
        <v>29.388</v>
      </c>
      <c r="D868369">
        <v>-3.651</v>
      </c>
    </row>
    <row r="868370">
      <c r="B868370">
        <v>2010</v>
      </c>
      <c r="C868370">
        <v>31.428</v>
      </c>
      <c r="D868370">
        <v>6.942</v>
      </c>
    </row>
    <row r="868371">
      <c r="B868371">
        <v>2011</v>
      </c>
      <c r="C868371">
        <v>33.927</v>
      </c>
      <c r="D868371">
        <v>7.949</v>
      </c>
    </row>
    <row r="868372">
      <c r="B868372">
        <v>2012</v>
      </c>
      <c r="C868372">
        <v>36.159</v>
      </c>
      <c r="D868372">
        <v>6.579</v>
      </c>
    </row>
    <row r="868373">
      <c r="B868373">
        <v>2013</v>
      </c>
      <c r="C868373">
        <v>38.015</v>
      </c>
      <c r="D868373">
        <v>5.134</v>
      </c>
    </row>
    <row r="868374">
      <c r="B868374">
        <v>2014</v>
      </c>
      <c r="C868374">
        <v>39.57</v>
      </c>
      <c r="D868374">
        <v>4.091</v>
      </c>
    </row>
    <row r="868375">
      <c r="B868375">
        <v>2015</v>
      </c>
      <c r="C868375">
        <v>40.896</v>
      </c>
      <c r="D868375">
        <v>3.351</v>
      </c>
    </row>
    <row r="868376">
      <c r="B868376">
        <v>2016</v>
      </c>
      <c r="C868376">
        <v>42.307</v>
      </c>
      <c r="D868376">
        <v>3.45</v>
      </c>
    </row>
    <row r="868377">
      <c r="B868377">
        <v>2017</v>
      </c>
      <c r="C868377">
        <v>44.49</v>
      </c>
      <c r="D868377">
        <v>5.161</v>
      </c>
    </row>
    <row r="868378">
      <c r="B868378">
        <v>2018</v>
      </c>
      <c r="C868378">
        <v>47.187</v>
      </c>
      <c r="D868378">
        <v>6.062</v>
      </c>
    </row>
    <row r="868379">
      <c r="B868379">
        <v>2019</v>
      </c>
      <c r="C868379">
        <v>49.726</v>
      </c>
      <c r="D868379">
        <v>5.38</v>
      </c>
    </row>
    <row r="868380">
      <c r="B868380">
        <v>2020</v>
      </c>
      <c r="C868380">
        <v>46.598</v>
      </c>
      <c r="D868380">
        <v>-6.291</v>
      </c>
    </row>
    <row r="868381">
      <c r="B868381">
        <v>2021</v>
      </c>
      <c r="C868381">
        <v>51.558</v>
      </c>
      <c r="D868381">
        <v>10.644</v>
      </c>
    </row>
    <row r="868382">
      <c r="B868382">
        <v>2022</v>
      </c>
      <c r="C868382">
        <v>57.208</v>
      </c>
      <c r="D868382">
        <v>10.96</v>
      </c>
    </row>
    <row r="868383">
      <c r="B868383">
        <v>2023</v>
      </c>
      <c r="C868383">
        <v>61.689</v>
      </c>
      <c r="D868383">
        <v>7.832</v>
      </c>
    </row>
    <row r="868384">
      <c r="B868384">
        <v>2024</v>
      </c>
      <c r="C868384">
        <v>67.505</v>
      </c>
      <c r="D868384">
        <v>9.429</v>
      </c>
    </row>
    <row r="868385">
      <c r="B868385">
        <v>2025</v>
      </c>
      <c r="C868385">
        <v>71.54</v>
      </c>
      <c r="D868385">
        <v>5.977</v>
      </c>
    </row>
    <row r="868386">
      <c r="B868386">
        <v>2026</v>
      </c>
      <c r="C868386">
        <v>75.117</v>
      </c>
      <c r="D868386">
        <v>5</v>
      </c>
    </row>
    <row r="868387">
      <c r="B868387">
        <v>2027</v>
      </c>
      <c r="C868387">
        <v>78.873</v>
      </c>
      <c r="D868387">
        <v>5</v>
      </c>
    </row>
    <row r="868388">
      <c r="B868388" t="str">
        <v>Estimates Start After</v>
      </c>
      <c r="C868388">
        <v>2024</v>
      </c>
      <c r="D868388">
        <v>2024</v>
      </c>
    </row>
    <row r="884737">
      <c r="B884737" t="str">
        <v>WEO Country Code</v>
      </c>
      <c r="C884737">
        <v>915</v>
      </c>
      <c r="D884737">
        <v>915</v>
      </c>
    </row>
    <row r="884738">
      <c r="B884738" t="str">
        <v>WEO Subject Code</v>
      </c>
      <c r="C884738" t="str">
        <v>NGDP_R</v>
      </c>
      <c r="D884738" t="str">
        <v>NGDP_RPCH</v>
      </c>
    </row>
    <row r="884739">
      <c r="B884739" t="str">
        <v>Country</v>
      </c>
      <c r="C884739" t="str">
        <v>Georgia</v>
      </c>
      <c r="D884739" t="str">
        <v>Georgia</v>
      </c>
    </row>
    <row r="884740">
      <c r="B884740" t="str">
        <v>Subject Descriptor</v>
      </c>
      <c r="C884740" t="str">
        <v>Gross domestic product, constant prices</v>
      </c>
      <c r="D884740" t="str">
        <v>Gross domestic product, constant prices</v>
      </c>
    </row>
    <row r="884741">
      <c r="B884741" t="str">
        <v>Units</v>
      </c>
      <c r="C884741" t="str">
        <v>National currency</v>
      </c>
      <c r="D884741" t="str">
        <v>Percent change</v>
      </c>
    </row>
    <row r="884742">
      <c r="B884742" t="str">
        <v>Scale</v>
      </c>
      <c r="C884742" t="str">
        <v>Billions</v>
      </c>
      <c r="D884742" t="str">
        <v>Units</v>
      </c>
    </row>
    <row r="884743">
      <c r="B884743" t="str">
        <v>Country/Series-specific Notes</v>
      </c>
      <c r="C88474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884743" t="str">
        <v>See notes for:  Gross domestic product, constant prices (National currency).</v>
      </c>
    </row>
    <row r="884744">
      <c r="B884744">
        <v>2000</v>
      </c>
      <c r="C884744">
        <v>16.963</v>
      </c>
      <c r="D884744">
        <v>1.865</v>
      </c>
    </row>
    <row r="884745">
      <c r="B884745">
        <v>2001</v>
      </c>
      <c r="C884745">
        <v>17.772</v>
      </c>
      <c r="D884745">
        <v>4.769</v>
      </c>
    </row>
    <row r="884746">
      <c r="B884746">
        <v>2002</v>
      </c>
      <c r="C884746">
        <v>18.747</v>
      </c>
      <c r="D884746">
        <v>5.487</v>
      </c>
    </row>
    <row r="884747">
      <c r="B884747">
        <v>2003</v>
      </c>
      <c r="C884747">
        <v>20.852</v>
      </c>
      <c r="D884747">
        <v>11.228</v>
      </c>
    </row>
    <row r="884748">
      <c r="B884748">
        <v>2004</v>
      </c>
      <c r="C884748">
        <v>22.061</v>
      </c>
      <c r="D884748">
        <v>5.796</v>
      </c>
    </row>
    <row r="884749">
      <c r="B884749">
        <v>2005</v>
      </c>
      <c r="C884749">
        <v>24.176</v>
      </c>
      <c r="D884749">
        <v>9.588</v>
      </c>
    </row>
    <row r="884750">
      <c r="B884750">
        <v>2006</v>
      </c>
      <c r="C884750">
        <v>26.454</v>
      </c>
      <c r="D884750">
        <v>9.42</v>
      </c>
    </row>
    <row r="884751">
      <c r="B884751">
        <v>2007</v>
      </c>
      <c r="C884751">
        <v>29.781</v>
      </c>
      <c r="D884751">
        <v>12.579</v>
      </c>
    </row>
    <row r="884752">
      <c r="B884752">
        <v>2008</v>
      </c>
      <c r="C884752">
        <v>30.502</v>
      </c>
      <c r="D884752">
        <v>2.419</v>
      </c>
    </row>
    <row r="884753">
      <c r="B884753">
        <v>2009</v>
      </c>
      <c r="C884753">
        <v>29.388</v>
      </c>
      <c r="D884753">
        <v>-3.651</v>
      </c>
    </row>
    <row r="884754">
      <c r="B884754">
        <v>2010</v>
      </c>
      <c r="C884754">
        <v>31.428</v>
      </c>
      <c r="D884754">
        <v>6.942</v>
      </c>
    </row>
    <row r="884755">
      <c r="B884755">
        <v>2011</v>
      </c>
      <c r="C884755">
        <v>33.927</v>
      </c>
      <c r="D884755">
        <v>7.949</v>
      </c>
    </row>
    <row r="884756">
      <c r="B884756">
        <v>2012</v>
      </c>
      <c r="C884756">
        <v>36.159</v>
      </c>
      <c r="D884756">
        <v>6.579</v>
      </c>
    </row>
    <row r="884757">
      <c r="B884757">
        <v>2013</v>
      </c>
      <c r="C884757">
        <v>38.015</v>
      </c>
      <c r="D884757">
        <v>5.134</v>
      </c>
    </row>
    <row r="884758">
      <c r="B884758">
        <v>2014</v>
      </c>
      <c r="C884758">
        <v>39.57</v>
      </c>
      <c r="D884758">
        <v>4.091</v>
      </c>
    </row>
    <row r="884759">
      <c r="B884759">
        <v>2015</v>
      </c>
      <c r="C884759">
        <v>40.896</v>
      </c>
      <c r="D884759">
        <v>3.351</v>
      </c>
    </row>
    <row r="884760">
      <c r="B884760">
        <v>2016</v>
      </c>
      <c r="C884760">
        <v>42.307</v>
      </c>
      <c r="D884760">
        <v>3.45</v>
      </c>
    </row>
    <row r="884761">
      <c r="B884761">
        <v>2017</v>
      </c>
      <c r="C884761">
        <v>44.49</v>
      </c>
      <c r="D884761">
        <v>5.161</v>
      </c>
    </row>
    <row r="884762">
      <c r="B884762">
        <v>2018</v>
      </c>
      <c r="C884762">
        <v>47.187</v>
      </c>
      <c r="D884762">
        <v>6.062</v>
      </c>
    </row>
    <row r="884763">
      <c r="B884763">
        <v>2019</v>
      </c>
      <c r="C884763">
        <v>49.726</v>
      </c>
      <c r="D884763">
        <v>5.38</v>
      </c>
    </row>
    <row r="884764">
      <c r="B884764">
        <v>2020</v>
      </c>
      <c r="C884764">
        <v>46.598</v>
      </c>
      <c r="D884764">
        <v>-6.291</v>
      </c>
    </row>
    <row r="884765">
      <c r="B884765">
        <v>2021</v>
      </c>
      <c r="C884765">
        <v>51.558</v>
      </c>
      <c r="D884765">
        <v>10.644</v>
      </c>
    </row>
    <row r="884766">
      <c r="B884766">
        <v>2022</v>
      </c>
      <c r="C884766">
        <v>57.208</v>
      </c>
      <c r="D884766">
        <v>10.96</v>
      </c>
    </row>
    <row r="884767">
      <c r="B884767">
        <v>2023</v>
      </c>
      <c r="C884767">
        <v>61.689</v>
      </c>
      <c r="D884767">
        <v>7.832</v>
      </c>
    </row>
    <row r="884768">
      <c r="B884768">
        <v>2024</v>
      </c>
      <c r="C884768">
        <v>67.505</v>
      </c>
      <c r="D884768">
        <v>9.429</v>
      </c>
    </row>
    <row r="884769">
      <c r="B884769">
        <v>2025</v>
      </c>
      <c r="C884769">
        <v>71.54</v>
      </c>
      <c r="D884769">
        <v>5.977</v>
      </c>
    </row>
    <row r="884770">
      <c r="B884770">
        <v>2026</v>
      </c>
      <c r="C884770">
        <v>75.117</v>
      </c>
      <c r="D884770">
        <v>5</v>
      </c>
    </row>
    <row r="884771">
      <c r="B884771">
        <v>2027</v>
      </c>
      <c r="C884771">
        <v>78.873</v>
      </c>
      <c r="D884771">
        <v>5</v>
      </c>
    </row>
    <row r="884772">
      <c r="B884772" t="str">
        <v>Estimates Start After</v>
      </c>
      <c r="C884772">
        <v>2024</v>
      </c>
      <c r="D884772">
        <v>2024</v>
      </c>
    </row>
    <row r="901121">
      <c r="B901121" t="str">
        <v>WEO Country Code</v>
      </c>
      <c r="C901121">
        <v>915</v>
      </c>
      <c r="D901121">
        <v>915</v>
      </c>
    </row>
    <row r="901122">
      <c r="B901122" t="str">
        <v>WEO Subject Code</v>
      </c>
      <c r="C901122" t="str">
        <v>NGDP_R</v>
      </c>
      <c r="D901122" t="str">
        <v>NGDP_RPCH</v>
      </c>
    </row>
    <row r="901123">
      <c r="B901123" t="str">
        <v>Country</v>
      </c>
      <c r="C901123" t="str">
        <v>Georgia</v>
      </c>
      <c r="D901123" t="str">
        <v>Georgia</v>
      </c>
    </row>
    <row r="901124">
      <c r="B901124" t="str">
        <v>Subject Descriptor</v>
      </c>
      <c r="C901124" t="str">
        <v>Gross domestic product, constant prices</v>
      </c>
      <c r="D901124" t="str">
        <v>Gross domestic product, constant prices</v>
      </c>
    </row>
    <row r="901125">
      <c r="B901125" t="str">
        <v>Units</v>
      </c>
      <c r="C901125" t="str">
        <v>National currency</v>
      </c>
      <c r="D901125" t="str">
        <v>Percent change</v>
      </c>
    </row>
    <row r="901126">
      <c r="B901126" t="str">
        <v>Scale</v>
      </c>
      <c r="C901126" t="str">
        <v>Billions</v>
      </c>
      <c r="D901126" t="str">
        <v>Units</v>
      </c>
    </row>
    <row r="901127">
      <c r="B901127" t="str">
        <v>Country/Series-specific Notes</v>
      </c>
      <c r="C90112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901127" t="str">
        <v>See notes for:  Gross domestic product, constant prices (National currency).</v>
      </c>
    </row>
    <row r="901128">
      <c r="B901128">
        <v>2000</v>
      </c>
      <c r="C901128">
        <v>16.963</v>
      </c>
      <c r="D901128">
        <v>1.865</v>
      </c>
    </row>
    <row r="901129">
      <c r="B901129">
        <v>2001</v>
      </c>
      <c r="C901129">
        <v>17.772</v>
      </c>
      <c r="D901129">
        <v>4.769</v>
      </c>
    </row>
    <row r="901130">
      <c r="B901130">
        <v>2002</v>
      </c>
      <c r="C901130">
        <v>18.747</v>
      </c>
      <c r="D901130">
        <v>5.487</v>
      </c>
    </row>
    <row r="901131">
      <c r="B901131">
        <v>2003</v>
      </c>
      <c r="C901131">
        <v>20.852</v>
      </c>
      <c r="D901131">
        <v>11.228</v>
      </c>
    </row>
    <row r="901132">
      <c r="B901132">
        <v>2004</v>
      </c>
      <c r="C901132">
        <v>22.061</v>
      </c>
      <c r="D901132">
        <v>5.796</v>
      </c>
    </row>
    <row r="901133">
      <c r="B901133">
        <v>2005</v>
      </c>
      <c r="C901133">
        <v>24.176</v>
      </c>
      <c r="D901133">
        <v>9.588</v>
      </c>
    </row>
    <row r="901134">
      <c r="B901134">
        <v>2006</v>
      </c>
      <c r="C901134">
        <v>26.454</v>
      </c>
      <c r="D901134">
        <v>9.42</v>
      </c>
    </row>
    <row r="901135">
      <c r="B901135">
        <v>2007</v>
      </c>
      <c r="C901135">
        <v>29.781</v>
      </c>
      <c r="D901135">
        <v>12.579</v>
      </c>
    </row>
    <row r="901136">
      <c r="B901136">
        <v>2008</v>
      </c>
      <c r="C901136">
        <v>30.502</v>
      </c>
      <c r="D901136">
        <v>2.419</v>
      </c>
    </row>
    <row r="901137">
      <c r="B901137">
        <v>2009</v>
      </c>
      <c r="C901137">
        <v>29.388</v>
      </c>
      <c r="D901137">
        <v>-3.651</v>
      </c>
    </row>
    <row r="901138">
      <c r="B901138">
        <v>2010</v>
      </c>
      <c r="C901138">
        <v>31.428</v>
      </c>
      <c r="D901138">
        <v>6.942</v>
      </c>
    </row>
    <row r="901139">
      <c r="B901139">
        <v>2011</v>
      </c>
      <c r="C901139">
        <v>33.927</v>
      </c>
      <c r="D901139">
        <v>7.949</v>
      </c>
    </row>
    <row r="901140">
      <c r="B901140">
        <v>2012</v>
      </c>
      <c r="C901140">
        <v>36.159</v>
      </c>
      <c r="D901140">
        <v>6.579</v>
      </c>
    </row>
    <row r="901141">
      <c r="B901141">
        <v>2013</v>
      </c>
      <c r="C901141">
        <v>38.015</v>
      </c>
      <c r="D901141">
        <v>5.134</v>
      </c>
    </row>
    <row r="901142">
      <c r="B901142">
        <v>2014</v>
      </c>
      <c r="C901142">
        <v>39.57</v>
      </c>
      <c r="D901142">
        <v>4.091</v>
      </c>
    </row>
    <row r="901143">
      <c r="B901143">
        <v>2015</v>
      </c>
      <c r="C901143">
        <v>40.896</v>
      </c>
      <c r="D901143">
        <v>3.351</v>
      </c>
    </row>
    <row r="901144">
      <c r="B901144">
        <v>2016</v>
      </c>
      <c r="C901144">
        <v>42.307</v>
      </c>
      <c r="D901144">
        <v>3.45</v>
      </c>
    </row>
    <row r="901145">
      <c r="B901145">
        <v>2017</v>
      </c>
      <c r="C901145">
        <v>44.49</v>
      </c>
      <c r="D901145">
        <v>5.161</v>
      </c>
    </row>
    <row r="901146">
      <c r="B901146">
        <v>2018</v>
      </c>
      <c r="C901146">
        <v>47.187</v>
      </c>
      <c r="D901146">
        <v>6.062</v>
      </c>
    </row>
    <row r="901147">
      <c r="B901147">
        <v>2019</v>
      </c>
      <c r="C901147">
        <v>49.726</v>
      </c>
      <c r="D901147">
        <v>5.38</v>
      </c>
    </row>
    <row r="901148">
      <c r="B901148">
        <v>2020</v>
      </c>
      <c r="C901148">
        <v>46.598</v>
      </c>
      <c r="D901148">
        <v>-6.291</v>
      </c>
    </row>
    <row r="901149">
      <c r="B901149">
        <v>2021</v>
      </c>
      <c r="C901149">
        <v>51.558</v>
      </c>
      <c r="D901149">
        <v>10.644</v>
      </c>
    </row>
    <row r="901150">
      <c r="B901150">
        <v>2022</v>
      </c>
      <c r="C901150">
        <v>57.208</v>
      </c>
      <c r="D901150">
        <v>10.96</v>
      </c>
    </row>
    <row r="901151">
      <c r="B901151">
        <v>2023</v>
      </c>
      <c r="C901151">
        <v>61.689</v>
      </c>
      <c r="D901151">
        <v>7.832</v>
      </c>
    </row>
    <row r="901152">
      <c r="B901152">
        <v>2024</v>
      </c>
      <c r="C901152">
        <v>67.505</v>
      </c>
      <c r="D901152">
        <v>9.429</v>
      </c>
    </row>
    <row r="901153">
      <c r="B901153">
        <v>2025</v>
      </c>
      <c r="C901153">
        <v>71.54</v>
      </c>
      <c r="D901153">
        <v>5.977</v>
      </c>
    </row>
    <row r="901154">
      <c r="B901154">
        <v>2026</v>
      </c>
      <c r="C901154">
        <v>75.117</v>
      </c>
      <c r="D901154">
        <v>5</v>
      </c>
    </row>
    <row r="901155">
      <c r="B901155">
        <v>2027</v>
      </c>
      <c r="C901155">
        <v>78.873</v>
      </c>
      <c r="D901155">
        <v>5</v>
      </c>
    </row>
    <row r="901156">
      <c r="B901156" t="str">
        <v>Estimates Start After</v>
      </c>
      <c r="C901156">
        <v>2024</v>
      </c>
      <c r="D901156">
        <v>2024</v>
      </c>
    </row>
    <row r="917505">
      <c r="B917505" t="str">
        <v>WEO Country Code</v>
      </c>
      <c r="C917505">
        <v>915</v>
      </c>
      <c r="D917505">
        <v>915</v>
      </c>
    </row>
    <row r="917506">
      <c r="B917506" t="str">
        <v>WEO Subject Code</v>
      </c>
      <c r="C917506" t="str">
        <v>NGDP_R</v>
      </c>
      <c r="D917506" t="str">
        <v>NGDP_RPCH</v>
      </c>
    </row>
    <row r="917507">
      <c r="B917507" t="str">
        <v>Country</v>
      </c>
      <c r="C917507" t="str">
        <v>Georgia</v>
      </c>
      <c r="D917507" t="str">
        <v>Georgia</v>
      </c>
    </row>
    <row r="917508">
      <c r="B917508" t="str">
        <v>Subject Descriptor</v>
      </c>
      <c r="C917508" t="str">
        <v>Gross domestic product, constant prices</v>
      </c>
      <c r="D917508" t="str">
        <v>Gross domestic product, constant prices</v>
      </c>
    </row>
    <row r="917509">
      <c r="B917509" t="str">
        <v>Units</v>
      </c>
      <c r="C917509" t="str">
        <v>National currency</v>
      </c>
      <c r="D917509" t="str">
        <v>Percent change</v>
      </c>
    </row>
    <row r="917510">
      <c r="B917510" t="str">
        <v>Scale</v>
      </c>
      <c r="C917510" t="str">
        <v>Billions</v>
      </c>
      <c r="D917510" t="str">
        <v>Units</v>
      </c>
    </row>
    <row r="917511">
      <c r="B917511" t="str">
        <v>Country/Series-specific Notes</v>
      </c>
      <c r="C91751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917511" t="str">
        <v>See notes for:  Gross domestic product, constant prices (National currency).</v>
      </c>
    </row>
    <row r="917512">
      <c r="B917512">
        <v>2000</v>
      </c>
      <c r="C917512">
        <v>16.963</v>
      </c>
      <c r="D917512">
        <v>1.865</v>
      </c>
    </row>
    <row r="917513">
      <c r="B917513">
        <v>2001</v>
      </c>
      <c r="C917513">
        <v>17.772</v>
      </c>
      <c r="D917513">
        <v>4.769</v>
      </c>
    </row>
    <row r="917514">
      <c r="B917514">
        <v>2002</v>
      </c>
      <c r="C917514">
        <v>18.747</v>
      </c>
      <c r="D917514">
        <v>5.487</v>
      </c>
    </row>
    <row r="917515">
      <c r="B917515">
        <v>2003</v>
      </c>
      <c r="C917515">
        <v>20.852</v>
      </c>
      <c r="D917515">
        <v>11.228</v>
      </c>
    </row>
    <row r="917516">
      <c r="B917516">
        <v>2004</v>
      </c>
      <c r="C917516">
        <v>22.061</v>
      </c>
      <c r="D917516">
        <v>5.796</v>
      </c>
    </row>
    <row r="917517">
      <c r="B917517">
        <v>2005</v>
      </c>
      <c r="C917517">
        <v>24.176</v>
      </c>
      <c r="D917517">
        <v>9.588</v>
      </c>
    </row>
    <row r="917518">
      <c r="B917518">
        <v>2006</v>
      </c>
      <c r="C917518">
        <v>26.454</v>
      </c>
      <c r="D917518">
        <v>9.42</v>
      </c>
    </row>
    <row r="917519">
      <c r="B917519">
        <v>2007</v>
      </c>
      <c r="C917519">
        <v>29.781</v>
      </c>
      <c r="D917519">
        <v>12.579</v>
      </c>
    </row>
    <row r="917520">
      <c r="B917520">
        <v>2008</v>
      </c>
      <c r="C917520">
        <v>30.502</v>
      </c>
      <c r="D917520">
        <v>2.419</v>
      </c>
    </row>
    <row r="917521">
      <c r="B917521">
        <v>2009</v>
      </c>
      <c r="C917521">
        <v>29.388</v>
      </c>
      <c r="D917521">
        <v>-3.651</v>
      </c>
    </row>
    <row r="917522">
      <c r="B917522">
        <v>2010</v>
      </c>
      <c r="C917522">
        <v>31.428</v>
      </c>
      <c r="D917522">
        <v>6.942</v>
      </c>
    </row>
    <row r="917523">
      <c r="B917523">
        <v>2011</v>
      </c>
      <c r="C917523">
        <v>33.927</v>
      </c>
      <c r="D917523">
        <v>7.949</v>
      </c>
    </row>
    <row r="917524">
      <c r="B917524">
        <v>2012</v>
      </c>
      <c r="C917524">
        <v>36.159</v>
      </c>
      <c r="D917524">
        <v>6.579</v>
      </c>
    </row>
    <row r="917525">
      <c r="B917525">
        <v>2013</v>
      </c>
      <c r="C917525">
        <v>38.015</v>
      </c>
      <c r="D917525">
        <v>5.134</v>
      </c>
    </row>
    <row r="917526">
      <c r="B917526">
        <v>2014</v>
      </c>
      <c r="C917526">
        <v>39.57</v>
      </c>
      <c r="D917526">
        <v>4.091</v>
      </c>
    </row>
    <row r="917527">
      <c r="B917527">
        <v>2015</v>
      </c>
      <c r="C917527">
        <v>40.896</v>
      </c>
      <c r="D917527">
        <v>3.351</v>
      </c>
    </row>
    <row r="917528">
      <c r="B917528">
        <v>2016</v>
      </c>
      <c r="C917528">
        <v>42.307</v>
      </c>
      <c r="D917528">
        <v>3.45</v>
      </c>
    </row>
    <row r="917529">
      <c r="B917529">
        <v>2017</v>
      </c>
      <c r="C917529">
        <v>44.49</v>
      </c>
      <c r="D917529">
        <v>5.161</v>
      </c>
    </row>
    <row r="917530">
      <c r="B917530">
        <v>2018</v>
      </c>
      <c r="C917530">
        <v>47.187</v>
      </c>
      <c r="D917530">
        <v>6.062</v>
      </c>
    </row>
    <row r="917531">
      <c r="B917531">
        <v>2019</v>
      </c>
      <c r="C917531">
        <v>49.726</v>
      </c>
      <c r="D917531">
        <v>5.38</v>
      </c>
    </row>
    <row r="917532">
      <c r="B917532">
        <v>2020</v>
      </c>
      <c r="C917532">
        <v>46.598</v>
      </c>
      <c r="D917532">
        <v>-6.291</v>
      </c>
    </row>
    <row r="917533">
      <c r="B917533">
        <v>2021</v>
      </c>
      <c r="C917533">
        <v>51.558</v>
      </c>
      <c r="D917533">
        <v>10.644</v>
      </c>
    </row>
    <row r="917534">
      <c r="B917534">
        <v>2022</v>
      </c>
      <c r="C917534">
        <v>57.208</v>
      </c>
      <c r="D917534">
        <v>10.96</v>
      </c>
    </row>
    <row r="917535">
      <c r="B917535">
        <v>2023</v>
      </c>
      <c r="C917535">
        <v>61.689</v>
      </c>
      <c r="D917535">
        <v>7.832</v>
      </c>
    </row>
    <row r="917536">
      <c r="B917536">
        <v>2024</v>
      </c>
      <c r="C917536">
        <v>67.505</v>
      </c>
      <c r="D917536">
        <v>9.429</v>
      </c>
    </row>
    <row r="917537">
      <c r="B917537">
        <v>2025</v>
      </c>
      <c r="C917537">
        <v>71.54</v>
      </c>
      <c r="D917537">
        <v>5.977</v>
      </c>
    </row>
    <row r="917538">
      <c r="B917538">
        <v>2026</v>
      </c>
      <c r="C917538">
        <v>75.117</v>
      </c>
      <c r="D917538">
        <v>5</v>
      </c>
    </row>
    <row r="917539">
      <c r="B917539">
        <v>2027</v>
      </c>
      <c r="C917539">
        <v>78.873</v>
      </c>
      <c r="D917539">
        <v>5</v>
      </c>
    </row>
    <row r="917540">
      <c r="B917540" t="str">
        <v>Estimates Start After</v>
      </c>
      <c r="C917540">
        <v>2024</v>
      </c>
      <c r="D917540">
        <v>2024</v>
      </c>
    </row>
    <row r="933889">
      <c r="B933889" t="str">
        <v>WEO Country Code</v>
      </c>
      <c r="C933889">
        <v>915</v>
      </c>
      <c r="D933889">
        <v>915</v>
      </c>
    </row>
    <row r="933890">
      <c r="B933890" t="str">
        <v>WEO Subject Code</v>
      </c>
      <c r="C933890" t="str">
        <v>NGDP_R</v>
      </c>
      <c r="D933890" t="str">
        <v>NGDP_RPCH</v>
      </c>
    </row>
    <row r="933891">
      <c r="B933891" t="str">
        <v>Country</v>
      </c>
      <c r="C933891" t="str">
        <v>Georgia</v>
      </c>
      <c r="D933891" t="str">
        <v>Georgia</v>
      </c>
    </row>
    <row r="933892">
      <c r="B933892" t="str">
        <v>Subject Descriptor</v>
      </c>
      <c r="C933892" t="str">
        <v>Gross domestic product, constant prices</v>
      </c>
      <c r="D933892" t="str">
        <v>Gross domestic product, constant prices</v>
      </c>
    </row>
    <row r="933893">
      <c r="B933893" t="str">
        <v>Units</v>
      </c>
      <c r="C933893" t="str">
        <v>National currency</v>
      </c>
      <c r="D933893" t="str">
        <v>Percent change</v>
      </c>
    </row>
    <row r="933894">
      <c r="B933894" t="str">
        <v>Scale</v>
      </c>
      <c r="C933894" t="str">
        <v>Billions</v>
      </c>
      <c r="D933894" t="str">
        <v>Units</v>
      </c>
    </row>
    <row r="933895">
      <c r="B933895" t="str">
        <v>Country/Series-specific Notes</v>
      </c>
      <c r="C93389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933895" t="str">
        <v>See notes for:  Gross domestic product, constant prices (National currency).</v>
      </c>
    </row>
    <row r="933896">
      <c r="B933896">
        <v>2000</v>
      </c>
      <c r="C933896">
        <v>16.963</v>
      </c>
      <c r="D933896">
        <v>1.865</v>
      </c>
    </row>
    <row r="933897">
      <c r="B933897">
        <v>2001</v>
      </c>
      <c r="C933897">
        <v>17.772</v>
      </c>
      <c r="D933897">
        <v>4.769</v>
      </c>
    </row>
    <row r="933898">
      <c r="B933898">
        <v>2002</v>
      </c>
      <c r="C933898">
        <v>18.747</v>
      </c>
      <c r="D933898">
        <v>5.487</v>
      </c>
    </row>
    <row r="933899">
      <c r="B933899">
        <v>2003</v>
      </c>
      <c r="C933899">
        <v>20.852</v>
      </c>
      <c r="D933899">
        <v>11.228</v>
      </c>
    </row>
    <row r="933900">
      <c r="B933900">
        <v>2004</v>
      </c>
      <c r="C933900">
        <v>22.061</v>
      </c>
      <c r="D933900">
        <v>5.796</v>
      </c>
    </row>
    <row r="933901">
      <c r="B933901">
        <v>2005</v>
      </c>
      <c r="C933901">
        <v>24.176</v>
      </c>
      <c r="D933901">
        <v>9.588</v>
      </c>
    </row>
    <row r="933902">
      <c r="B933902">
        <v>2006</v>
      </c>
      <c r="C933902">
        <v>26.454</v>
      </c>
      <c r="D933902">
        <v>9.42</v>
      </c>
    </row>
    <row r="933903">
      <c r="B933903">
        <v>2007</v>
      </c>
      <c r="C933903">
        <v>29.781</v>
      </c>
      <c r="D933903">
        <v>12.579</v>
      </c>
    </row>
    <row r="933904">
      <c r="B933904">
        <v>2008</v>
      </c>
      <c r="C933904">
        <v>30.502</v>
      </c>
      <c r="D933904">
        <v>2.419</v>
      </c>
    </row>
    <row r="933905">
      <c r="B933905">
        <v>2009</v>
      </c>
      <c r="C933905">
        <v>29.388</v>
      </c>
      <c r="D933905">
        <v>-3.651</v>
      </c>
    </row>
    <row r="933906">
      <c r="B933906">
        <v>2010</v>
      </c>
      <c r="C933906">
        <v>31.428</v>
      </c>
      <c r="D933906">
        <v>6.942</v>
      </c>
    </row>
    <row r="933907">
      <c r="B933907">
        <v>2011</v>
      </c>
      <c r="C933907">
        <v>33.927</v>
      </c>
      <c r="D933907">
        <v>7.949</v>
      </c>
    </row>
    <row r="933908">
      <c r="B933908">
        <v>2012</v>
      </c>
      <c r="C933908">
        <v>36.159</v>
      </c>
      <c r="D933908">
        <v>6.579</v>
      </c>
    </row>
    <row r="933909">
      <c r="B933909">
        <v>2013</v>
      </c>
      <c r="C933909">
        <v>38.015</v>
      </c>
      <c r="D933909">
        <v>5.134</v>
      </c>
    </row>
    <row r="933910">
      <c r="B933910">
        <v>2014</v>
      </c>
      <c r="C933910">
        <v>39.57</v>
      </c>
      <c r="D933910">
        <v>4.091</v>
      </c>
    </row>
    <row r="933911">
      <c r="B933911">
        <v>2015</v>
      </c>
      <c r="C933911">
        <v>40.896</v>
      </c>
      <c r="D933911">
        <v>3.351</v>
      </c>
    </row>
    <row r="933912">
      <c r="B933912">
        <v>2016</v>
      </c>
      <c r="C933912">
        <v>42.307</v>
      </c>
      <c r="D933912">
        <v>3.45</v>
      </c>
    </row>
    <row r="933913">
      <c r="B933913">
        <v>2017</v>
      </c>
      <c r="C933913">
        <v>44.49</v>
      </c>
      <c r="D933913">
        <v>5.161</v>
      </c>
    </row>
    <row r="933914">
      <c r="B933914">
        <v>2018</v>
      </c>
      <c r="C933914">
        <v>47.187</v>
      </c>
      <c r="D933914">
        <v>6.062</v>
      </c>
    </row>
    <row r="933915">
      <c r="B933915">
        <v>2019</v>
      </c>
      <c r="C933915">
        <v>49.726</v>
      </c>
      <c r="D933915">
        <v>5.38</v>
      </c>
    </row>
    <row r="933916">
      <c r="B933916">
        <v>2020</v>
      </c>
      <c r="C933916">
        <v>46.598</v>
      </c>
      <c r="D933916">
        <v>-6.291</v>
      </c>
    </row>
    <row r="933917">
      <c r="B933917">
        <v>2021</v>
      </c>
      <c r="C933917">
        <v>51.558</v>
      </c>
      <c r="D933917">
        <v>10.644</v>
      </c>
    </row>
    <row r="933918">
      <c r="B933918">
        <v>2022</v>
      </c>
      <c r="C933918">
        <v>57.208</v>
      </c>
      <c r="D933918">
        <v>10.96</v>
      </c>
    </row>
    <row r="933919">
      <c r="B933919">
        <v>2023</v>
      </c>
      <c r="C933919">
        <v>61.689</v>
      </c>
      <c r="D933919">
        <v>7.832</v>
      </c>
    </row>
    <row r="933920">
      <c r="B933920">
        <v>2024</v>
      </c>
      <c r="C933920">
        <v>67.505</v>
      </c>
      <c r="D933920">
        <v>9.429</v>
      </c>
    </row>
    <row r="933921">
      <c r="B933921">
        <v>2025</v>
      </c>
      <c r="C933921">
        <v>71.54</v>
      </c>
      <c r="D933921">
        <v>5.977</v>
      </c>
    </row>
    <row r="933922">
      <c r="B933922">
        <v>2026</v>
      </c>
      <c r="C933922">
        <v>75.117</v>
      </c>
      <c r="D933922">
        <v>5</v>
      </c>
    </row>
    <row r="933923">
      <c r="B933923">
        <v>2027</v>
      </c>
      <c r="C933923">
        <v>78.873</v>
      </c>
      <c r="D933923">
        <v>5</v>
      </c>
    </row>
    <row r="933924">
      <c r="B933924" t="str">
        <v>Estimates Start After</v>
      </c>
      <c r="C933924">
        <v>2024</v>
      </c>
      <c r="D933924">
        <v>2024</v>
      </c>
    </row>
    <row r="950273">
      <c r="B950273" t="str">
        <v>WEO Country Code</v>
      </c>
      <c r="C950273">
        <v>915</v>
      </c>
      <c r="D950273">
        <v>915</v>
      </c>
    </row>
    <row r="950274">
      <c r="B950274" t="str">
        <v>WEO Subject Code</v>
      </c>
      <c r="C950274" t="str">
        <v>NGDP_R</v>
      </c>
      <c r="D950274" t="str">
        <v>NGDP_RPCH</v>
      </c>
    </row>
    <row r="950275">
      <c r="B950275" t="str">
        <v>Country</v>
      </c>
      <c r="C950275" t="str">
        <v>Georgia</v>
      </c>
      <c r="D950275" t="str">
        <v>Georgia</v>
      </c>
    </row>
    <row r="950276">
      <c r="B950276" t="str">
        <v>Subject Descriptor</v>
      </c>
      <c r="C950276" t="str">
        <v>Gross domestic product, constant prices</v>
      </c>
      <c r="D950276" t="str">
        <v>Gross domestic product, constant prices</v>
      </c>
    </row>
    <row r="950277">
      <c r="B950277" t="str">
        <v>Units</v>
      </c>
      <c r="C950277" t="str">
        <v>National currency</v>
      </c>
      <c r="D950277" t="str">
        <v>Percent change</v>
      </c>
    </row>
    <row r="950278">
      <c r="B950278" t="str">
        <v>Scale</v>
      </c>
      <c r="C950278" t="str">
        <v>Billions</v>
      </c>
      <c r="D950278" t="str">
        <v>Units</v>
      </c>
    </row>
    <row r="950279">
      <c r="B950279" t="str">
        <v>Country/Series-specific Notes</v>
      </c>
      <c r="C95027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950279" t="str">
        <v>See notes for:  Gross domestic product, constant prices (National currency).</v>
      </c>
    </row>
    <row r="950280">
      <c r="B950280">
        <v>2000</v>
      </c>
      <c r="C950280">
        <v>16.963</v>
      </c>
      <c r="D950280">
        <v>1.865</v>
      </c>
    </row>
    <row r="950281">
      <c r="B950281">
        <v>2001</v>
      </c>
      <c r="C950281">
        <v>17.772</v>
      </c>
      <c r="D950281">
        <v>4.769</v>
      </c>
    </row>
    <row r="950282">
      <c r="B950282">
        <v>2002</v>
      </c>
      <c r="C950282">
        <v>18.747</v>
      </c>
      <c r="D950282">
        <v>5.487</v>
      </c>
    </row>
    <row r="950283">
      <c r="B950283">
        <v>2003</v>
      </c>
      <c r="C950283">
        <v>20.852</v>
      </c>
      <c r="D950283">
        <v>11.228</v>
      </c>
    </row>
    <row r="950284">
      <c r="B950284">
        <v>2004</v>
      </c>
      <c r="C950284">
        <v>22.061</v>
      </c>
      <c r="D950284">
        <v>5.796</v>
      </c>
    </row>
    <row r="950285">
      <c r="B950285">
        <v>2005</v>
      </c>
      <c r="C950285">
        <v>24.176</v>
      </c>
      <c r="D950285">
        <v>9.588</v>
      </c>
    </row>
    <row r="950286">
      <c r="B950286">
        <v>2006</v>
      </c>
      <c r="C950286">
        <v>26.454</v>
      </c>
      <c r="D950286">
        <v>9.42</v>
      </c>
    </row>
    <row r="950287">
      <c r="B950287">
        <v>2007</v>
      </c>
      <c r="C950287">
        <v>29.781</v>
      </c>
      <c r="D950287">
        <v>12.579</v>
      </c>
    </row>
    <row r="950288">
      <c r="B950288">
        <v>2008</v>
      </c>
      <c r="C950288">
        <v>30.502</v>
      </c>
      <c r="D950288">
        <v>2.419</v>
      </c>
    </row>
    <row r="950289">
      <c r="B950289">
        <v>2009</v>
      </c>
      <c r="C950289">
        <v>29.388</v>
      </c>
      <c r="D950289">
        <v>-3.651</v>
      </c>
    </row>
    <row r="950290">
      <c r="B950290">
        <v>2010</v>
      </c>
      <c r="C950290">
        <v>31.428</v>
      </c>
      <c r="D950290">
        <v>6.942</v>
      </c>
    </row>
    <row r="950291">
      <c r="B950291">
        <v>2011</v>
      </c>
      <c r="C950291">
        <v>33.927</v>
      </c>
      <c r="D950291">
        <v>7.949</v>
      </c>
    </row>
    <row r="950292">
      <c r="B950292">
        <v>2012</v>
      </c>
      <c r="C950292">
        <v>36.159</v>
      </c>
      <c r="D950292">
        <v>6.579</v>
      </c>
    </row>
    <row r="950293">
      <c r="B950293">
        <v>2013</v>
      </c>
      <c r="C950293">
        <v>38.015</v>
      </c>
      <c r="D950293">
        <v>5.134</v>
      </c>
    </row>
    <row r="950294">
      <c r="B950294">
        <v>2014</v>
      </c>
      <c r="C950294">
        <v>39.57</v>
      </c>
      <c r="D950294">
        <v>4.091</v>
      </c>
    </row>
    <row r="950295">
      <c r="B950295">
        <v>2015</v>
      </c>
      <c r="C950295">
        <v>40.896</v>
      </c>
      <c r="D950295">
        <v>3.351</v>
      </c>
    </row>
    <row r="950296">
      <c r="B950296">
        <v>2016</v>
      </c>
      <c r="C950296">
        <v>42.307</v>
      </c>
      <c r="D950296">
        <v>3.45</v>
      </c>
    </row>
    <row r="950297">
      <c r="B950297">
        <v>2017</v>
      </c>
      <c r="C950297">
        <v>44.49</v>
      </c>
      <c r="D950297">
        <v>5.161</v>
      </c>
    </row>
    <row r="950298">
      <c r="B950298">
        <v>2018</v>
      </c>
      <c r="C950298">
        <v>47.187</v>
      </c>
      <c r="D950298">
        <v>6.062</v>
      </c>
    </row>
    <row r="950299">
      <c r="B950299">
        <v>2019</v>
      </c>
      <c r="C950299">
        <v>49.726</v>
      </c>
      <c r="D950299">
        <v>5.38</v>
      </c>
    </row>
    <row r="950300">
      <c r="B950300">
        <v>2020</v>
      </c>
      <c r="C950300">
        <v>46.598</v>
      </c>
      <c r="D950300">
        <v>-6.291</v>
      </c>
    </row>
    <row r="950301">
      <c r="B950301">
        <v>2021</v>
      </c>
      <c r="C950301">
        <v>51.558</v>
      </c>
      <c r="D950301">
        <v>10.644</v>
      </c>
    </row>
    <row r="950302">
      <c r="B950302">
        <v>2022</v>
      </c>
      <c r="C950302">
        <v>57.208</v>
      </c>
      <c r="D950302">
        <v>10.96</v>
      </c>
    </row>
    <row r="950303">
      <c r="B950303">
        <v>2023</v>
      </c>
      <c r="C950303">
        <v>61.689</v>
      </c>
      <c r="D950303">
        <v>7.832</v>
      </c>
    </row>
    <row r="950304">
      <c r="B950304">
        <v>2024</v>
      </c>
      <c r="C950304">
        <v>67.505</v>
      </c>
      <c r="D950304">
        <v>9.429</v>
      </c>
    </row>
    <row r="950305">
      <c r="B950305">
        <v>2025</v>
      </c>
      <c r="C950305">
        <v>71.54</v>
      </c>
      <c r="D950305">
        <v>5.977</v>
      </c>
    </row>
    <row r="950306">
      <c r="B950306">
        <v>2026</v>
      </c>
      <c r="C950306">
        <v>75.117</v>
      </c>
      <c r="D950306">
        <v>5</v>
      </c>
    </row>
    <row r="950307">
      <c r="B950307">
        <v>2027</v>
      </c>
      <c r="C950307">
        <v>78.873</v>
      </c>
      <c r="D950307">
        <v>5</v>
      </c>
    </row>
    <row r="950308">
      <c r="B950308" t="str">
        <v>Estimates Start After</v>
      </c>
      <c r="C950308">
        <v>2024</v>
      </c>
      <c r="D950308">
        <v>2024</v>
      </c>
    </row>
    <row r="966657">
      <c r="B966657" t="str">
        <v>WEO Country Code</v>
      </c>
      <c r="C966657">
        <v>915</v>
      </c>
      <c r="D966657">
        <v>915</v>
      </c>
    </row>
    <row r="966658">
      <c r="B966658" t="str">
        <v>WEO Subject Code</v>
      </c>
      <c r="C966658" t="str">
        <v>NGDP_R</v>
      </c>
      <c r="D966658" t="str">
        <v>NGDP_RPCH</v>
      </c>
    </row>
    <row r="966659">
      <c r="B966659" t="str">
        <v>Country</v>
      </c>
      <c r="C966659" t="str">
        <v>Georgia</v>
      </c>
      <c r="D966659" t="str">
        <v>Georgia</v>
      </c>
    </row>
    <row r="966660">
      <c r="B966660" t="str">
        <v>Subject Descriptor</v>
      </c>
      <c r="C966660" t="str">
        <v>Gross domestic product, constant prices</v>
      </c>
      <c r="D966660" t="str">
        <v>Gross domestic product, constant prices</v>
      </c>
    </row>
    <row r="966661">
      <c r="B966661" t="str">
        <v>Units</v>
      </c>
      <c r="C966661" t="str">
        <v>National currency</v>
      </c>
      <c r="D966661" t="str">
        <v>Percent change</v>
      </c>
    </row>
    <row r="966662">
      <c r="B966662" t="str">
        <v>Scale</v>
      </c>
      <c r="C966662" t="str">
        <v>Billions</v>
      </c>
      <c r="D966662" t="str">
        <v>Units</v>
      </c>
    </row>
    <row r="966663">
      <c r="B966663" t="str">
        <v>Country/Series-specific Notes</v>
      </c>
      <c r="C96666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966663" t="str">
        <v>See notes for:  Gross domestic product, constant prices (National currency).</v>
      </c>
    </row>
    <row r="966664">
      <c r="B966664">
        <v>2000</v>
      </c>
      <c r="C966664">
        <v>16.963</v>
      </c>
      <c r="D966664">
        <v>1.865</v>
      </c>
    </row>
    <row r="966665">
      <c r="B966665">
        <v>2001</v>
      </c>
      <c r="C966665">
        <v>17.772</v>
      </c>
      <c r="D966665">
        <v>4.769</v>
      </c>
    </row>
    <row r="966666">
      <c r="B966666">
        <v>2002</v>
      </c>
      <c r="C966666">
        <v>18.747</v>
      </c>
      <c r="D966666">
        <v>5.487</v>
      </c>
    </row>
    <row r="966667">
      <c r="B966667">
        <v>2003</v>
      </c>
      <c r="C966667">
        <v>20.852</v>
      </c>
      <c r="D966667">
        <v>11.228</v>
      </c>
    </row>
    <row r="966668">
      <c r="B966668">
        <v>2004</v>
      </c>
      <c r="C966668">
        <v>22.061</v>
      </c>
      <c r="D966668">
        <v>5.796</v>
      </c>
    </row>
    <row r="966669">
      <c r="B966669">
        <v>2005</v>
      </c>
      <c r="C966669">
        <v>24.176</v>
      </c>
      <c r="D966669">
        <v>9.588</v>
      </c>
    </row>
    <row r="966670">
      <c r="B966670">
        <v>2006</v>
      </c>
      <c r="C966670">
        <v>26.454</v>
      </c>
      <c r="D966670">
        <v>9.42</v>
      </c>
    </row>
    <row r="966671">
      <c r="B966671">
        <v>2007</v>
      </c>
      <c r="C966671">
        <v>29.781</v>
      </c>
      <c r="D966671">
        <v>12.579</v>
      </c>
    </row>
    <row r="966672">
      <c r="B966672">
        <v>2008</v>
      </c>
      <c r="C966672">
        <v>30.502</v>
      </c>
      <c r="D966672">
        <v>2.419</v>
      </c>
    </row>
    <row r="966673">
      <c r="B966673">
        <v>2009</v>
      </c>
      <c r="C966673">
        <v>29.388</v>
      </c>
      <c r="D966673">
        <v>-3.651</v>
      </c>
    </row>
    <row r="966674">
      <c r="B966674">
        <v>2010</v>
      </c>
      <c r="C966674">
        <v>31.428</v>
      </c>
      <c r="D966674">
        <v>6.942</v>
      </c>
    </row>
    <row r="966675">
      <c r="B966675">
        <v>2011</v>
      </c>
      <c r="C966675">
        <v>33.927</v>
      </c>
      <c r="D966675">
        <v>7.949</v>
      </c>
    </row>
    <row r="966676">
      <c r="B966676">
        <v>2012</v>
      </c>
      <c r="C966676">
        <v>36.159</v>
      </c>
      <c r="D966676">
        <v>6.579</v>
      </c>
    </row>
    <row r="966677">
      <c r="B966677">
        <v>2013</v>
      </c>
      <c r="C966677">
        <v>38.015</v>
      </c>
      <c r="D966677">
        <v>5.134</v>
      </c>
    </row>
    <row r="966678">
      <c r="B966678">
        <v>2014</v>
      </c>
      <c r="C966678">
        <v>39.57</v>
      </c>
      <c r="D966678">
        <v>4.091</v>
      </c>
    </row>
    <row r="966679">
      <c r="B966679">
        <v>2015</v>
      </c>
      <c r="C966679">
        <v>40.896</v>
      </c>
      <c r="D966679">
        <v>3.351</v>
      </c>
    </row>
    <row r="966680">
      <c r="B966680">
        <v>2016</v>
      </c>
      <c r="C966680">
        <v>42.307</v>
      </c>
      <c r="D966680">
        <v>3.45</v>
      </c>
    </row>
    <row r="966681">
      <c r="B966681">
        <v>2017</v>
      </c>
      <c r="C966681">
        <v>44.49</v>
      </c>
      <c r="D966681">
        <v>5.161</v>
      </c>
    </row>
    <row r="966682">
      <c r="B966682">
        <v>2018</v>
      </c>
      <c r="C966682">
        <v>47.187</v>
      </c>
      <c r="D966682">
        <v>6.062</v>
      </c>
    </row>
    <row r="966683">
      <c r="B966683">
        <v>2019</v>
      </c>
      <c r="C966683">
        <v>49.726</v>
      </c>
      <c r="D966683">
        <v>5.38</v>
      </c>
    </row>
    <row r="966684">
      <c r="B966684">
        <v>2020</v>
      </c>
      <c r="C966684">
        <v>46.598</v>
      </c>
      <c r="D966684">
        <v>-6.291</v>
      </c>
    </row>
    <row r="966685">
      <c r="B966685">
        <v>2021</v>
      </c>
      <c r="C966685">
        <v>51.558</v>
      </c>
      <c r="D966685">
        <v>10.644</v>
      </c>
    </row>
    <row r="966686">
      <c r="B966686">
        <v>2022</v>
      </c>
      <c r="C966686">
        <v>57.208</v>
      </c>
      <c r="D966686">
        <v>10.96</v>
      </c>
    </row>
    <row r="966687">
      <c r="B966687">
        <v>2023</v>
      </c>
      <c r="C966687">
        <v>61.689</v>
      </c>
      <c r="D966687">
        <v>7.832</v>
      </c>
    </row>
    <row r="966688">
      <c r="B966688">
        <v>2024</v>
      </c>
      <c r="C966688">
        <v>67.505</v>
      </c>
      <c r="D966688">
        <v>9.429</v>
      </c>
    </row>
    <row r="966689">
      <c r="B966689">
        <v>2025</v>
      </c>
      <c r="C966689">
        <v>71.54</v>
      </c>
      <c r="D966689">
        <v>5.977</v>
      </c>
    </row>
    <row r="966690">
      <c r="B966690">
        <v>2026</v>
      </c>
      <c r="C966690">
        <v>75.117</v>
      </c>
      <c r="D966690">
        <v>5</v>
      </c>
    </row>
    <row r="966691">
      <c r="B966691">
        <v>2027</v>
      </c>
      <c r="C966691">
        <v>78.873</v>
      </c>
      <c r="D966691">
        <v>5</v>
      </c>
    </row>
    <row r="966692">
      <c r="B966692" t="str">
        <v>Estimates Start After</v>
      </c>
      <c r="C966692">
        <v>2024</v>
      </c>
      <c r="D966692">
        <v>2024</v>
      </c>
    </row>
    <row r="983041">
      <c r="B983041" t="str">
        <v>WEO Country Code</v>
      </c>
      <c r="C983041">
        <v>915</v>
      </c>
      <c r="D983041">
        <v>915</v>
      </c>
    </row>
    <row r="983042">
      <c r="B983042" t="str">
        <v>WEO Subject Code</v>
      </c>
      <c r="C983042" t="str">
        <v>NGDP_R</v>
      </c>
      <c r="D983042" t="str">
        <v>NGDP_RPCH</v>
      </c>
    </row>
    <row r="983043">
      <c r="B983043" t="str">
        <v>Country</v>
      </c>
      <c r="C983043" t="str">
        <v>Georgia</v>
      </c>
      <c r="D983043" t="str">
        <v>Georgia</v>
      </c>
    </row>
    <row r="983044">
      <c r="B983044" t="str">
        <v>Subject Descriptor</v>
      </c>
      <c r="C983044" t="str">
        <v>Gross domestic product, constant prices</v>
      </c>
      <c r="D983044" t="str">
        <v>Gross domestic product, constant prices</v>
      </c>
    </row>
    <row r="983045">
      <c r="B983045" t="str">
        <v>Units</v>
      </c>
      <c r="C983045" t="str">
        <v>National currency</v>
      </c>
      <c r="D983045" t="str">
        <v>Percent change</v>
      </c>
    </row>
    <row r="983046">
      <c r="B983046" t="str">
        <v>Scale</v>
      </c>
      <c r="C983046" t="str">
        <v>Billions</v>
      </c>
      <c r="D983046" t="str">
        <v>Units</v>
      </c>
    </row>
    <row r="983047">
      <c r="B983047" t="str">
        <v>Country/Series-specific Notes</v>
      </c>
      <c r="C98304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983047" t="str">
        <v>See notes for:  Gross domestic product, constant prices (National currency).</v>
      </c>
    </row>
    <row r="983048">
      <c r="B983048">
        <v>2000</v>
      </c>
      <c r="C983048">
        <v>16.963</v>
      </c>
      <c r="D983048">
        <v>1.865</v>
      </c>
    </row>
    <row r="983049">
      <c r="B983049">
        <v>2001</v>
      </c>
      <c r="C983049">
        <v>17.772</v>
      </c>
      <c r="D983049">
        <v>4.769</v>
      </c>
    </row>
    <row r="983050">
      <c r="B983050">
        <v>2002</v>
      </c>
      <c r="C983050">
        <v>18.747</v>
      </c>
      <c r="D983050">
        <v>5.487</v>
      </c>
    </row>
    <row r="983051">
      <c r="B983051">
        <v>2003</v>
      </c>
      <c r="C983051">
        <v>20.852</v>
      </c>
      <c r="D983051">
        <v>11.228</v>
      </c>
    </row>
    <row r="983052">
      <c r="B983052">
        <v>2004</v>
      </c>
      <c r="C983052">
        <v>22.061</v>
      </c>
      <c r="D983052">
        <v>5.796</v>
      </c>
    </row>
    <row r="983053">
      <c r="B983053">
        <v>2005</v>
      </c>
      <c r="C983053">
        <v>24.176</v>
      </c>
      <c r="D983053">
        <v>9.588</v>
      </c>
    </row>
    <row r="983054">
      <c r="B983054">
        <v>2006</v>
      </c>
      <c r="C983054">
        <v>26.454</v>
      </c>
      <c r="D983054">
        <v>9.42</v>
      </c>
    </row>
    <row r="983055">
      <c r="B983055">
        <v>2007</v>
      </c>
      <c r="C983055">
        <v>29.781</v>
      </c>
      <c r="D983055">
        <v>12.579</v>
      </c>
    </row>
    <row r="983056">
      <c r="B983056">
        <v>2008</v>
      </c>
      <c r="C983056">
        <v>30.502</v>
      </c>
      <c r="D983056">
        <v>2.419</v>
      </c>
    </row>
    <row r="983057">
      <c r="B983057">
        <v>2009</v>
      </c>
      <c r="C983057">
        <v>29.388</v>
      </c>
      <c r="D983057">
        <v>-3.651</v>
      </c>
    </row>
    <row r="983058">
      <c r="B983058">
        <v>2010</v>
      </c>
      <c r="C983058">
        <v>31.428</v>
      </c>
      <c r="D983058">
        <v>6.942</v>
      </c>
    </row>
    <row r="983059">
      <c r="B983059">
        <v>2011</v>
      </c>
      <c r="C983059">
        <v>33.927</v>
      </c>
      <c r="D983059">
        <v>7.949</v>
      </c>
    </row>
    <row r="983060">
      <c r="B983060">
        <v>2012</v>
      </c>
      <c r="C983060">
        <v>36.159</v>
      </c>
      <c r="D983060">
        <v>6.579</v>
      </c>
    </row>
    <row r="983061">
      <c r="B983061">
        <v>2013</v>
      </c>
      <c r="C983061">
        <v>38.015</v>
      </c>
      <c r="D983061">
        <v>5.134</v>
      </c>
    </row>
    <row r="983062">
      <c r="B983062">
        <v>2014</v>
      </c>
      <c r="C983062">
        <v>39.57</v>
      </c>
      <c r="D983062">
        <v>4.091</v>
      </c>
    </row>
    <row r="983063">
      <c r="B983063">
        <v>2015</v>
      </c>
      <c r="C983063">
        <v>40.896</v>
      </c>
      <c r="D983063">
        <v>3.351</v>
      </c>
    </row>
    <row r="983064">
      <c r="B983064">
        <v>2016</v>
      </c>
      <c r="C983064">
        <v>42.307</v>
      </c>
      <c r="D983064">
        <v>3.45</v>
      </c>
    </row>
    <row r="983065">
      <c r="B983065">
        <v>2017</v>
      </c>
      <c r="C983065">
        <v>44.49</v>
      </c>
      <c r="D983065">
        <v>5.161</v>
      </c>
    </row>
    <row r="983066">
      <c r="B983066">
        <v>2018</v>
      </c>
      <c r="C983066">
        <v>47.187</v>
      </c>
      <c r="D983066">
        <v>6.062</v>
      </c>
    </row>
    <row r="983067">
      <c r="B983067">
        <v>2019</v>
      </c>
      <c r="C983067">
        <v>49.726</v>
      </c>
      <c r="D983067">
        <v>5.38</v>
      </c>
    </row>
    <row r="983068">
      <c r="B983068">
        <v>2020</v>
      </c>
      <c r="C983068">
        <v>46.598</v>
      </c>
      <c r="D983068">
        <v>-6.291</v>
      </c>
    </row>
    <row r="983069">
      <c r="B983069">
        <v>2021</v>
      </c>
      <c r="C983069">
        <v>51.558</v>
      </c>
      <c r="D983069">
        <v>10.644</v>
      </c>
    </row>
    <row r="983070">
      <c r="B983070">
        <v>2022</v>
      </c>
      <c r="C983070">
        <v>57.208</v>
      </c>
      <c r="D983070">
        <v>10.96</v>
      </c>
    </row>
    <row r="983071">
      <c r="B983071">
        <v>2023</v>
      </c>
      <c r="C983071">
        <v>61.689</v>
      </c>
      <c r="D983071">
        <v>7.832</v>
      </c>
    </row>
    <row r="983072">
      <c r="B983072">
        <v>2024</v>
      </c>
      <c r="C983072">
        <v>67.505</v>
      </c>
      <c r="D983072">
        <v>9.429</v>
      </c>
    </row>
    <row r="983073">
      <c r="B983073">
        <v>2025</v>
      </c>
      <c r="C983073">
        <v>71.54</v>
      </c>
      <c r="D983073">
        <v>5.977</v>
      </c>
    </row>
    <row r="983074">
      <c r="B983074">
        <v>2026</v>
      </c>
      <c r="C983074">
        <v>75.117</v>
      </c>
      <c r="D983074">
        <v>5</v>
      </c>
    </row>
    <row r="983075">
      <c r="B983075">
        <v>2027</v>
      </c>
      <c r="C983075">
        <v>78.873</v>
      </c>
      <c r="D983075">
        <v>5</v>
      </c>
    </row>
    <row r="983076">
      <c r="B983076" t="str">
        <v>Estimates Start After</v>
      </c>
      <c r="C983076">
        <v>2024</v>
      </c>
      <c r="D983076">
        <v>2024</v>
      </c>
    </row>
    <row r="999425">
      <c r="B999425" t="str">
        <v>WEO Country Code</v>
      </c>
      <c r="C999425">
        <v>915</v>
      </c>
      <c r="D999425">
        <v>915</v>
      </c>
    </row>
    <row r="999426">
      <c r="B999426" t="str">
        <v>WEO Subject Code</v>
      </c>
      <c r="C999426" t="str">
        <v>NGDP_R</v>
      </c>
      <c r="D999426" t="str">
        <v>NGDP_RPCH</v>
      </c>
    </row>
    <row r="999427">
      <c r="B999427" t="str">
        <v>Country</v>
      </c>
      <c r="C999427" t="str">
        <v>Georgia</v>
      </c>
      <c r="D999427" t="str">
        <v>Georgia</v>
      </c>
    </row>
    <row r="999428">
      <c r="B999428" t="str">
        <v>Subject Descriptor</v>
      </c>
      <c r="C999428" t="str">
        <v>Gross domestic product, constant prices</v>
      </c>
      <c r="D999428" t="str">
        <v>Gross domestic product, constant prices</v>
      </c>
    </row>
    <row r="999429">
      <c r="B999429" t="str">
        <v>Units</v>
      </c>
      <c r="C999429" t="str">
        <v>National currency</v>
      </c>
      <c r="D999429" t="str">
        <v>Percent change</v>
      </c>
    </row>
    <row r="999430">
      <c r="B999430" t="str">
        <v>Scale</v>
      </c>
      <c r="C999430" t="str">
        <v>Billions</v>
      </c>
      <c r="D999430" t="str">
        <v>Units</v>
      </c>
    </row>
    <row r="999431">
      <c r="B999431" t="str">
        <v>Country/Series-specific Notes</v>
      </c>
      <c r="C99943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999431" t="str">
        <v>See notes for:  Gross domestic product, constant prices (National currency).</v>
      </c>
    </row>
    <row r="999432">
      <c r="B999432">
        <v>2000</v>
      </c>
      <c r="C999432">
        <v>16.963</v>
      </c>
      <c r="D999432">
        <v>1.865</v>
      </c>
    </row>
    <row r="999433">
      <c r="B999433">
        <v>2001</v>
      </c>
      <c r="C999433">
        <v>17.772</v>
      </c>
      <c r="D999433">
        <v>4.769</v>
      </c>
    </row>
    <row r="999434">
      <c r="B999434">
        <v>2002</v>
      </c>
      <c r="C999434">
        <v>18.747</v>
      </c>
      <c r="D999434">
        <v>5.487</v>
      </c>
    </row>
    <row r="999435">
      <c r="B999435">
        <v>2003</v>
      </c>
      <c r="C999435">
        <v>20.852</v>
      </c>
      <c r="D999435">
        <v>11.228</v>
      </c>
    </row>
    <row r="999436">
      <c r="B999436">
        <v>2004</v>
      </c>
      <c r="C999436">
        <v>22.061</v>
      </c>
      <c r="D999436">
        <v>5.796</v>
      </c>
    </row>
    <row r="999437">
      <c r="B999437">
        <v>2005</v>
      </c>
      <c r="C999437">
        <v>24.176</v>
      </c>
      <c r="D999437">
        <v>9.588</v>
      </c>
    </row>
    <row r="999438">
      <c r="B999438">
        <v>2006</v>
      </c>
      <c r="C999438">
        <v>26.454</v>
      </c>
      <c r="D999438">
        <v>9.42</v>
      </c>
    </row>
    <row r="999439">
      <c r="B999439">
        <v>2007</v>
      </c>
      <c r="C999439">
        <v>29.781</v>
      </c>
      <c r="D999439">
        <v>12.579</v>
      </c>
    </row>
    <row r="999440">
      <c r="B999440">
        <v>2008</v>
      </c>
      <c r="C999440">
        <v>30.502</v>
      </c>
      <c r="D999440">
        <v>2.419</v>
      </c>
    </row>
    <row r="999441">
      <c r="B999441">
        <v>2009</v>
      </c>
      <c r="C999441">
        <v>29.388</v>
      </c>
      <c r="D999441">
        <v>-3.651</v>
      </c>
    </row>
    <row r="999442">
      <c r="B999442">
        <v>2010</v>
      </c>
      <c r="C999442">
        <v>31.428</v>
      </c>
      <c r="D999442">
        <v>6.942</v>
      </c>
    </row>
    <row r="999443">
      <c r="B999443">
        <v>2011</v>
      </c>
      <c r="C999443">
        <v>33.927</v>
      </c>
      <c r="D999443">
        <v>7.949</v>
      </c>
    </row>
    <row r="999444">
      <c r="B999444">
        <v>2012</v>
      </c>
      <c r="C999444">
        <v>36.159</v>
      </c>
      <c r="D999444">
        <v>6.579</v>
      </c>
    </row>
    <row r="999445">
      <c r="B999445">
        <v>2013</v>
      </c>
      <c r="C999445">
        <v>38.015</v>
      </c>
      <c r="D999445">
        <v>5.134</v>
      </c>
    </row>
    <row r="999446">
      <c r="B999446">
        <v>2014</v>
      </c>
      <c r="C999446">
        <v>39.57</v>
      </c>
      <c r="D999446">
        <v>4.091</v>
      </c>
    </row>
    <row r="999447">
      <c r="B999447">
        <v>2015</v>
      </c>
      <c r="C999447">
        <v>40.896</v>
      </c>
      <c r="D999447">
        <v>3.351</v>
      </c>
    </row>
    <row r="999448">
      <c r="B999448">
        <v>2016</v>
      </c>
      <c r="C999448">
        <v>42.307</v>
      </c>
      <c r="D999448">
        <v>3.45</v>
      </c>
    </row>
    <row r="999449">
      <c r="B999449">
        <v>2017</v>
      </c>
      <c r="C999449">
        <v>44.49</v>
      </c>
      <c r="D999449">
        <v>5.161</v>
      </c>
    </row>
    <row r="999450">
      <c r="B999450">
        <v>2018</v>
      </c>
      <c r="C999450">
        <v>47.187</v>
      </c>
      <c r="D999450">
        <v>6.062</v>
      </c>
    </row>
    <row r="999451">
      <c r="B999451">
        <v>2019</v>
      </c>
      <c r="C999451">
        <v>49.726</v>
      </c>
      <c r="D999451">
        <v>5.38</v>
      </c>
    </row>
    <row r="999452">
      <c r="B999452">
        <v>2020</v>
      </c>
      <c r="C999452">
        <v>46.598</v>
      </c>
      <c r="D999452">
        <v>-6.291</v>
      </c>
    </row>
    <row r="999453">
      <c r="B999453">
        <v>2021</v>
      </c>
      <c r="C999453">
        <v>51.558</v>
      </c>
      <c r="D999453">
        <v>10.644</v>
      </c>
    </row>
    <row r="999454">
      <c r="B999454">
        <v>2022</v>
      </c>
      <c r="C999454">
        <v>57.208</v>
      </c>
      <c r="D999454">
        <v>10.96</v>
      </c>
    </row>
    <row r="999455">
      <c r="B999455">
        <v>2023</v>
      </c>
      <c r="C999455">
        <v>61.689</v>
      </c>
      <c r="D999455">
        <v>7.832</v>
      </c>
    </row>
    <row r="999456">
      <c r="B999456">
        <v>2024</v>
      </c>
      <c r="C999456">
        <v>67.505</v>
      </c>
      <c r="D999456">
        <v>9.429</v>
      </c>
    </row>
    <row r="999457">
      <c r="B999457">
        <v>2025</v>
      </c>
      <c r="C999457">
        <v>71.54</v>
      </c>
      <c r="D999457">
        <v>5.977</v>
      </c>
    </row>
    <row r="999458">
      <c r="B999458">
        <v>2026</v>
      </c>
      <c r="C999458">
        <v>75.117</v>
      </c>
      <c r="D999458">
        <v>5</v>
      </c>
    </row>
    <row r="999459">
      <c r="B999459">
        <v>2027</v>
      </c>
      <c r="C999459">
        <v>78.873</v>
      </c>
      <c r="D999459">
        <v>5</v>
      </c>
    </row>
    <row r="999460">
      <c r="B999460" t="str">
        <v>Estimates Start After</v>
      </c>
      <c r="C999460">
        <v>2024</v>
      </c>
      <c r="D999460">
        <v>2024</v>
      </c>
    </row>
    <row r="1015809">
      <c r="B1015809" t="str">
        <v>WEO Country Code</v>
      </c>
      <c r="C1015809">
        <v>915</v>
      </c>
      <c r="D1015809">
        <v>915</v>
      </c>
    </row>
    <row r="1015810">
      <c r="B1015810" t="str">
        <v>WEO Subject Code</v>
      </c>
      <c r="C1015810" t="str">
        <v>NGDP_R</v>
      </c>
      <c r="D1015810" t="str">
        <v>NGDP_RPCH</v>
      </c>
    </row>
    <row r="1015811">
      <c r="B1015811" t="str">
        <v>Country</v>
      </c>
      <c r="C1015811" t="str">
        <v>Georgia</v>
      </c>
      <c r="D1015811" t="str">
        <v>Georgia</v>
      </c>
    </row>
    <row r="1015812">
      <c r="B1015812" t="str">
        <v>Subject Descriptor</v>
      </c>
      <c r="C1015812" t="str">
        <v>Gross domestic product, constant prices</v>
      </c>
      <c r="D1015812" t="str">
        <v>Gross domestic product, constant prices</v>
      </c>
    </row>
    <row r="1015813">
      <c r="B1015813" t="str">
        <v>Units</v>
      </c>
      <c r="C1015813" t="str">
        <v>National currency</v>
      </c>
      <c r="D1015813" t="str">
        <v>Percent change</v>
      </c>
    </row>
    <row r="1015814">
      <c r="B1015814" t="str">
        <v>Scale</v>
      </c>
      <c r="C1015814" t="str">
        <v>Billions</v>
      </c>
      <c r="D1015814" t="str">
        <v>Units</v>
      </c>
    </row>
    <row r="1015815">
      <c r="B1015815" t="str">
        <v>Country/Series-specific Notes</v>
      </c>
      <c r="C101581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1015815" t="str">
        <v>See notes for:  Gross domestic product, constant prices (National currency).</v>
      </c>
    </row>
    <row r="1015816">
      <c r="B1015816">
        <v>2000</v>
      </c>
      <c r="C1015816">
        <v>16.963</v>
      </c>
      <c r="D1015816">
        <v>1.865</v>
      </c>
    </row>
    <row r="1015817">
      <c r="B1015817">
        <v>2001</v>
      </c>
      <c r="C1015817">
        <v>17.772</v>
      </c>
      <c r="D1015817">
        <v>4.769</v>
      </c>
    </row>
    <row r="1015818">
      <c r="B1015818">
        <v>2002</v>
      </c>
      <c r="C1015818">
        <v>18.747</v>
      </c>
      <c r="D1015818">
        <v>5.487</v>
      </c>
    </row>
    <row r="1015819">
      <c r="B1015819">
        <v>2003</v>
      </c>
      <c r="C1015819">
        <v>20.852</v>
      </c>
      <c r="D1015819">
        <v>11.228</v>
      </c>
    </row>
    <row r="1015820">
      <c r="B1015820">
        <v>2004</v>
      </c>
      <c r="C1015820">
        <v>22.061</v>
      </c>
      <c r="D1015820">
        <v>5.796</v>
      </c>
    </row>
    <row r="1015821">
      <c r="B1015821">
        <v>2005</v>
      </c>
      <c r="C1015821">
        <v>24.176</v>
      </c>
      <c r="D1015821">
        <v>9.588</v>
      </c>
    </row>
    <row r="1015822">
      <c r="B1015822">
        <v>2006</v>
      </c>
      <c r="C1015822">
        <v>26.454</v>
      </c>
      <c r="D1015822">
        <v>9.42</v>
      </c>
    </row>
    <row r="1015823">
      <c r="B1015823">
        <v>2007</v>
      </c>
      <c r="C1015823">
        <v>29.781</v>
      </c>
      <c r="D1015823">
        <v>12.579</v>
      </c>
    </row>
    <row r="1015824">
      <c r="B1015824">
        <v>2008</v>
      </c>
      <c r="C1015824">
        <v>30.502</v>
      </c>
      <c r="D1015824">
        <v>2.419</v>
      </c>
    </row>
    <row r="1015825">
      <c r="B1015825">
        <v>2009</v>
      </c>
      <c r="C1015825">
        <v>29.388</v>
      </c>
      <c r="D1015825">
        <v>-3.651</v>
      </c>
    </row>
    <row r="1015826">
      <c r="B1015826">
        <v>2010</v>
      </c>
      <c r="C1015826">
        <v>31.428</v>
      </c>
      <c r="D1015826">
        <v>6.942</v>
      </c>
    </row>
    <row r="1015827">
      <c r="B1015827">
        <v>2011</v>
      </c>
      <c r="C1015827">
        <v>33.927</v>
      </c>
      <c r="D1015827">
        <v>7.949</v>
      </c>
    </row>
    <row r="1015828">
      <c r="B1015828">
        <v>2012</v>
      </c>
      <c r="C1015828">
        <v>36.159</v>
      </c>
      <c r="D1015828">
        <v>6.579</v>
      </c>
    </row>
    <row r="1015829">
      <c r="B1015829">
        <v>2013</v>
      </c>
      <c r="C1015829">
        <v>38.015</v>
      </c>
      <c r="D1015829">
        <v>5.134</v>
      </c>
    </row>
    <row r="1015830">
      <c r="B1015830">
        <v>2014</v>
      </c>
      <c r="C1015830">
        <v>39.57</v>
      </c>
      <c r="D1015830">
        <v>4.091</v>
      </c>
    </row>
    <row r="1015831">
      <c r="B1015831">
        <v>2015</v>
      </c>
      <c r="C1015831">
        <v>40.896</v>
      </c>
      <c r="D1015831">
        <v>3.351</v>
      </c>
    </row>
    <row r="1015832">
      <c r="B1015832">
        <v>2016</v>
      </c>
      <c r="C1015832">
        <v>42.307</v>
      </c>
      <c r="D1015832">
        <v>3.45</v>
      </c>
    </row>
    <row r="1015833">
      <c r="B1015833">
        <v>2017</v>
      </c>
      <c r="C1015833">
        <v>44.49</v>
      </c>
      <c r="D1015833">
        <v>5.161</v>
      </c>
    </row>
    <row r="1015834">
      <c r="B1015834">
        <v>2018</v>
      </c>
      <c r="C1015834">
        <v>47.187</v>
      </c>
      <c r="D1015834">
        <v>6.062</v>
      </c>
    </row>
    <row r="1015835">
      <c r="B1015835">
        <v>2019</v>
      </c>
      <c r="C1015835">
        <v>49.726</v>
      </c>
      <c r="D1015835">
        <v>5.38</v>
      </c>
    </row>
    <row r="1015836">
      <c r="B1015836">
        <v>2020</v>
      </c>
      <c r="C1015836">
        <v>46.598</v>
      </c>
      <c r="D1015836">
        <v>-6.291</v>
      </c>
    </row>
    <row r="1015837">
      <c r="B1015837">
        <v>2021</v>
      </c>
      <c r="C1015837">
        <v>51.558</v>
      </c>
      <c r="D1015837">
        <v>10.644</v>
      </c>
    </row>
    <row r="1015838">
      <c r="B1015838">
        <v>2022</v>
      </c>
      <c r="C1015838">
        <v>57.208</v>
      </c>
      <c r="D1015838">
        <v>10.96</v>
      </c>
    </row>
    <row r="1015839">
      <c r="B1015839">
        <v>2023</v>
      </c>
      <c r="C1015839">
        <v>61.689</v>
      </c>
      <c r="D1015839">
        <v>7.832</v>
      </c>
    </row>
    <row r="1015840">
      <c r="B1015840">
        <v>2024</v>
      </c>
      <c r="C1015840">
        <v>67.505</v>
      </c>
      <c r="D1015840">
        <v>9.429</v>
      </c>
    </row>
    <row r="1015841">
      <c r="B1015841">
        <v>2025</v>
      </c>
      <c r="C1015841">
        <v>71.54</v>
      </c>
      <c r="D1015841">
        <v>5.977</v>
      </c>
    </row>
    <row r="1015842">
      <c r="B1015842">
        <v>2026</v>
      </c>
      <c r="C1015842">
        <v>75.117</v>
      </c>
      <c r="D1015842">
        <v>5</v>
      </c>
    </row>
    <row r="1015843">
      <c r="B1015843">
        <v>2027</v>
      </c>
      <c r="C1015843">
        <v>78.873</v>
      </c>
      <c r="D1015843">
        <v>5</v>
      </c>
    </row>
    <row r="1015844">
      <c r="B1015844" t="str">
        <v>Estimates Start After</v>
      </c>
      <c r="C1015844">
        <v>2024</v>
      </c>
      <c r="D1015844">
        <v>2024</v>
      </c>
    </row>
    <row r="1032193">
      <c r="B1032193" t="str">
        <v>WEO Country Code</v>
      </c>
      <c r="C1032193">
        <v>915</v>
      </c>
      <c r="D1032193">
        <v>915</v>
      </c>
    </row>
    <row r="1032194">
      <c r="B1032194" t="str">
        <v>WEO Subject Code</v>
      </c>
      <c r="C1032194" t="str">
        <v>NGDP_R</v>
      </c>
      <c r="D1032194" t="str">
        <v>NGDP_RPCH</v>
      </c>
    </row>
    <row r="1032195">
      <c r="B1032195" t="str">
        <v>Country</v>
      </c>
      <c r="C1032195" t="str">
        <v>Georgia</v>
      </c>
      <c r="D1032195" t="str">
        <v>Georgia</v>
      </c>
    </row>
    <row r="1032196">
      <c r="B1032196" t="str">
        <v>Subject Descriptor</v>
      </c>
      <c r="C1032196" t="str">
        <v>Gross domestic product, constant prices</v>
      </c>
      <c r="D1032196" t="str">
        <v>Gross domestic product, constant prices</v>
      </c>
    </row>
    <row r="1032197">
      <c r="B1032197" t="str">
        <v>Units</v>
      </c>
      <c r="C1032197" t="str">
        <v>National currency</v>
      </c>
      <c r="D1032197" t="str">
        <v>Percent change</v>
      </c>
    </row>
    <row r="1032198">
      <c r="B1032198" t="str">
        <v>Scale</v>
      </c>
      <c r="C1032198" t="str">
        <v>Billions</v>
      </c>
      <c r="D1032198" t="str">
        <v>Units</v>
      </c>
    </row>
    <row r="1032199">
      <c r="B1032199" t="str">
        <v>Country/Series-specific Notes</v>
      </c>
      <c r="C103219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1032199" t="str">
        <v>See notes for:  Gross domestic product, constant prices (National currency).</v>
      </c>
    </row>
    <row r="1032200">
      <c r="B1032200">
        <v>2000</v>
      </c>
      <c r="C1032200">
        <v>16.963</v>
      </c>
      <c r="D1032200">
        <v>1.865</v>
      </c>
    </row>
    <row r="1032201">
      <c r="B1032201">
        <v>2001</v>
      </c>
      <c r="C1032201">
        <v>17.772</v>
      </c>
      <c r="D1032201">
        <v>4.769</v>
      </c>
    </row>
    <row r="1032202">
      <c r="B1032202">
        <v>2002</v>
      </c>
      <c r="C1032202">
        <v>18.747</v>
      </c>
      <c r="D1032202">
        <v>5.487</v>
      </c>
    </row>
    <row r="1032203">
      <c r="B1032203">
        <v>2003</v>
      </c>
      <c r="C1032203">
        <v>20.852</v>
      </c>
      <c r="D1032203">
        <v>11.228</v>
      </c>
    </row>
    <row r="1032204">
      <c r="B1032204">
        <v>2004</v>
      </c>
      <c r="C1032204">
        <v>22.061</v>
      </c>
      <c r="D1032204">
        <v>5.796</v>
      </c>
    </row>
    <row r="1032205">
      <c r="B1032205">
        <v>2005</v>
      </c>
      <c r="C1032205">
        <v>24.176</v>
      </c>
      <c r="D1032205">
        <v>9.588</v>
      </c>
    </row>
    <row r="1032206">
      <c r="B1032206">
        <v>2006</v>
      </c>
      <c r="C1032206">
        <v>26.454</v>
      </c>
      <c r="D1032206">
        <v>9.42</v>
      </c>
    </row>
    <row r="1032207">
      <c r="B1032207">
        <v>2007</v>
      </c>
      <c r="C1032207">
        <v>29.781</v>
      </c>
      <c r="D1032207">
        <v>12.579</v>
      </c>
    </row>
    <row r="1032208">
      <c r="B1032208">
        <v>2008</v>
      </c>
      <c r="C1032208">
        <v>30.502</v>
      </c>
      <c r="D1032208">
        <v>2.419</v>
      </c>
    </row>
    <row r="1032209">
      <c r="B1032209">
        <v>2009</v>
      </c>
      <c r="C1032209">
        <v>29.388</v>
      </c>
      <c r="D1032209">
        <v>-3.651</v>
      </c>
    </row>
    <row r="1032210">
      <c r="B1032210">
        <v>2010</v>
      </c>
      <c r="C1032210">
        <v>31.428</v>
      </c>
      <c r="D1032210">
        <v>6.942</v>
      </c>
    </row>
    <row r="1032211">
      <c r="B1032211">
        <v>2011</v>
      </c>
      <c r="C1032211">
        <v>33.927</v>
      </c>
      <c r="D1032211">
        <v>7.949</v>
      </c>
    </row>
    <row r="1032212">
      <c r="B1032212">
        <v>2012</v>
      </c>
      <c r="C1032212">
        <v>36.159</v>
      </c>
      <c r="D1032212">
        <v>6.579</v>
      </c>
    </row>
    <row r="1032213">
      <c r="B1032213">
        <v>2013</v>
      </c>
      <c r="C1032213">
        <v>38.015</v>
      </c>
      <c r="D1032213">
        <v>5.134</v>
      </c>
    </row>
    <row r="1032214">
      <c r="B1032214">
        <v>2014</v>
      </c>
      <c r="C1032214">
        <v>39.57</v>
      </c>
      <c r="D1032214">
        <v>4.091</v>
      </c>
    </row>
    <row r="1032215">
      <c r="B1032215">
        <v>2015</v>
      </c>
      <c r="C1032215">
        <v>40.896</v>
      </c>
      <c r="D1032215">
        <v>3.351</v>
      </c>
    </row>
    <row r="1032216">
      <c r="B1032216">
        <v>2016</v>
      </c>
      <c r="C1032216">
        <v>42.307</v>
      </c>
      <c r="D1032216">
        <v>3.45</v>
      </c>
    </row>
    <row r="1032217">
      <c r="B1032217">
        <v>2017</v>
      </c>
      <c r="C1032217">
        <v>44.49</v>
      </c>
      <c r="D1032217">
        <v>5.161</v>
      </c>
    </row>
    <row r="1032218">
      <c r="B1032218">
        <v>2018</v>
      </c>
      <c r="C1032218">
        <v>47.187</v>
      </c>
      <c r="D1032218">
        <v>6.062</v>
      </c>
    </row>
    <row r="1032219">
      <c r="B1032219">
        <v>2019</v>
      </c>
      <c r="C1032219">
        <v>49.726</v>
      </c>
      <c r="D1032219">
        <v>5.38</v>
      </c>
    </row>
    <row r="1032220">
      <c r="B1032220">
        <v>2020</v>
      </c>
      <c r="C1032220">
        <v>46.598</v>
      </c>
      <c r="D1032220">
        <v>-6.291</v>
      </c>
    </row>
    <row r="1032221">
      <c r="B1032221">
        <v>2021</v>
      </c>
      <c r="C1032221">
        <v>51.558</v>
      </c>
      <c r="D1032221">
        <v>10.644</v>
      </c>
    </row>
    <row r="1032222">
      <c r="B1032222">
        <v>2022</v>
      </c>
      <c r="C1032222">
        <v>57.208</v>
      </c>
      <c r="D1032222">
        <v>10.96</v>
      </c>
    </row>
    <row r="1032223">
      <c r="B1032223">
        <v>2023</v>
      </c>
      <c r="C1032223">
        <v>61.689</v>
      </c>
      <c r="D1032223">
        <v>7.832</v>
      </c>
    </row>
    <row r="1032224">
      <c r="B1032224">
        <v>2024</v>
      </c>
      <c r="C1032224">
        <v>67.505</v>
      </c>
      <c r="D1032224">
        <v>9.429</v>
      </c>
    </row>
    <row r="1032225">
      <c r="B1032225">
        <v>2025</v>
      </c>
      <c r="C1032225">
        <v>71.54</v>
      </c>
      <c r="D1032225">
        <v>5.977</v>
      </c>
    </row>
    <row r="1032226">
      <c r="B1032226">
        <v>2026</v>
      </c>
      <c r="C1032226">
        <v>75.117</v>
      </c>
      <c r="D1032226">
        <v>5</v>
      </c>
    </row>
    <row r="1032227">
      <c r="B1032227">
        <v>2027</v>
      </c>
      <c r="C1032227">
        <v>78.873</v>
      </c>
      <c r="D1032227">
        <v>5</v>
      </c>
    </row>
    <row r="1032228">
      <c r="B1032228" t="str">
        <v>Estimates Start After</v>
      </c>
      <c r="C1032228">
        <v>2024</v>
      </c>
      <c r="D1032228">
        <v>2024</v>
      </c>
    </row>
  </sheetData>
  <pageMargins left="0.7" right="0.7" top="0.75" bottom="0.75" header="0.3" footer="0.3"/>
  <ignoredErrors>
    <ignoredError numberStoredAsText="1" sqref="A1:D1032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IMF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Production</vt:lpstr>
      <vt:lpstr>Investment</vt:lpstr>
      <vt:lpstr>CFC data</vt:lpstr>
      <vt:lpstr>PWT</vt:lpstr>
      <vt:lpstr>WEO_Data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terms:modified xsi:type="dcterms:W3CDTF">2026-01-19T04:30:22Z</dcterms:modified>
  <cp:lastModifiedBy>Wang, Shuyi</cp:lastModifiedBy>
  <dc:creator>Wang, Shuyi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2026-01-19T03:31:25Z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56772174-05a0-49ce-8b7c-60ea98bff72c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