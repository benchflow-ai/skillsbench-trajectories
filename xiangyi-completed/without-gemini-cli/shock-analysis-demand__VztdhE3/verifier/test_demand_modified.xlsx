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T Calc" sheetId="3" state="visible" r:id="rId3"/>
    <sheet name="SUPPLY (38-38)-2023" sheetId="4" state="visible" r:id="rId4"/>
    <sheet name="USE (38-38)-2023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89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WEO_Data!C2</f>
        <v/>
      </c>
      <c r="D3" s="10" t="n"/>
      <c r="E3" s="10">
        <f>$D$30*D3*2.746</f>
        <v/>
      </c>
      <c r="F3" s="10">
        <f>E3*$D$31</f>
        <v/>
      </c>
      <c r="G3" s="10">
        <f>E3-F3</f>
        <v/>
      </c>
      <c r="H3" s="10">
        <f>G3*$D$32</f>
        <v/>
      </c>
      <c r="I3" s="10">
        <f>H3/C3</f>
        <v/>
      </c>
      <c r="J3" s="11">
        <f>WEO_Data!F2/100</f>
        <v/>
      </c>
      <c r="K3" s="12">
        <f>J3</f>
        <v/>
      </c>
    </row>
    <row r="4">
      <c r="B4" s="13" t="n">
        <v>2021</v>
      </c>
      <c r="C4">
        <f>WEO_Data!C3</f>
        <v/>
      </c>
      <c r="E4">
        <f>$D$30*D4*2.746</f>
        <v/>
      </c>
      <c r="F4">
        <f>E4*$D$31</f>
        <v/>
      </c>
      <c r="G4">
        <f>E4-F4</f>
        <v/>
      </c>
      <c r="H4">
        <f>G4*$D$32</f>
        <v/>
      </c>
      <c r="I4">
        <f>H4/C4</f>
        <v/>
      </c>
      <c r="J4">
        <f>WEO_Data!F3/100</f>
        <v/>
      </c>
      <c r="K4" s="15">
        <f>((C4+H4)/(C3+H3))-1</f>
        <v/>
      </c>
    </row>
    <row r="5">
      <c r="B5" s="13" t="n">
        <v>2022</v>
      </c>
      <c r="C5">
        <f>WEO_Data!C4</f>
        <v/>
      </c>
      <c r="E5">
        <f>$D$30*D5*2.746</f>
        <v/>
      </c>
      <c r="F5">
        <f>E5*$D$31</f>
        <v/>
      </c>
      <c r="G5">
        <f>E5-F5</f>
        <v/>
      </c>
      <c r="H5">
        <f>G5*$D$32</f>
        <v/>
      </c>
      <c r="I5">
        <f>H5/C5</f>
        <v/>
      </c>
      <c r="J5">
        <f>WEO_Data!F4/100</f>
        <v/>
      </c>
      <c r="K5" s="15">
        <f>((C5+H5)/(C4+H4))-1</f>
        <v/>
      </c>
    </row>
    <row r="6">
      <c r="B6" s="13" t="n">
        <v>2023</v>
      </c>
      <c r="C6">
        <f>WEO_Data!C5</f>
        <v/>
      </c>
      <c r="E6">
        <f>$D$30*D6*2.746</f>
        <v/>
      </c>
      <c r="F6">
        <f>E6*$D$31</f>
        <v/>
      </c>
      <c r="G6">
        <f>E6-F6</f>
        <v/>
      </c>
      <c r="H6">
        <f>G6*$D$32</f>
        <v/>
      </c>
      <c r="I6">
        <f>H6/C6</f>
        <v/>
      </c>
      <c r="J6">
        <f>WEO_Data!F5/100</f>
        <v/>
      </c>
      <c r="K6" s="15">
        <f>((C6+H6)/(C5+H5))-1</f>
        <v/>
      </c>
    </row>
    <row r="7">
      <c r="B7" s="13" t="n">
        <v>2024</v>
      </c>
      <c r="C7">
        <f>WEO_Data!C6</f>
        <v/>
      </c>
      <c r="E7">
        <f>$D$30*D7*2.746</f>
        <v/>
      </c>
      <c r="F7">
        <f>E7*$D$31</f>
        <v/>
      </c>
      <c r="G7">
        <f>E7-F7</f>
        <v/>
      </c>
      <c r="H7">
        <f>G7*$D$32</f>
        <v/>
      </c>
      <c r="I7">
        <f>H7/C7</f>
        <v/>
      </c>
      <c r="J7">
        <f>WEO_Data!F6/100</f>
        <v/>
      </c>
      <c r="K7" s="15">
        <f>((C7+H7)/(C6+H6))-1</f>
        <v/>
      </c>
    </row>
    <row r="8">
      <c r="B8" s="13" t="n">
        <v>2025</v>
      </c>
      <c r="C8">
        <f>WEO_Data!C7</f>
        <v/>
      </c>
      <c r="E8">
        <f>$D$30*D8*2.746</f>
        <v/>
      </c>
      <c r="F8">
        <f>E8*$D$31</f>
        <v/>
      </c>
      <c r="G8">
        <f>E8-F8</f>
        <v/>
      </c>
      <c r="H8">
        <f>G8*$D$32</f>
        <v/>
      </c>
      <c r="I8">
        <f>H8/C8</f>
        <v/>
      </c>
      <c r="J8">
        <f>WEO_Data!F7/100</f>
        <v/>
      </c>
      <c r="K8" s="15">
        <f>((C8+H8)/(C7+H7))-1</f>
        <v/>
      </c>
    </row>
    <row r="9">
      <c r="B9" s="13" t="n">
        <v>2026</v>
      </c>
      <c r="C9">
        <f>WEO_Data!C8</f>
        <v/>
      </c>
      <c r="D9" t="n">
        <v>0.05</v>
      </c>
      <c r="E9">
        <f>$D$30*D9*2.746</f>
        <v/>
      </c>
      <c r="F9">
        <f>E9*$D$31</f>
        <v/>
      </c>
      <c r="G9">
        <f>E9-F9</f>
        <v/>
      </c>
      <c r="H9">
        <f>G9*$D$32</f>
        <v/>
      </c>
      <c r="I9">
        <f>H9/C9</f>
        <v/>
      </c>
      <c r="J9" s="16">
        <f>WEO_Data!F8/100</f>
        <v/>
      </c>
      <c r="K9" s="15">
        <f>((C9+H9)/(C8+H8))-1</f>
        <v/>
      </c>
    </row>
    <row r="10">
      <c r="B10" s="13" t="n">
        <v>2027</v>
      </c>
      <c r="C10">
        <f>WEO_Data!C9</f>
        <v/>
      </c>
      <c r="D10" t="n">
        <v>0.1</v>
      </c>
      <c r="E10">
        <f>$D$30*D10*2.746</f>
        <v/>
      </c>
      <c r="F10">
        <f>E10*$D$31</f>
        <v/>
      </c>
      <c r="G10">
        <f>E10-F10</f>
        <v/>
      </c>
      <c r="H10">
        <f>G10*$D$32</f>
        <v/>
      </c>
      <c r="I10">
        <f>H10/C10</f>
        <v/>
      </c>
      <c r="J10">
        <f>WEO_Data!F9/100</f>
        <v/>
      </c>
      <c r="K10" s="15">
        <f>((C10+H10)/(C9+H9))-1</f>
        <v/>
      </c>
    </row>
    <row r="11">
      <c r="B11" s="13" t="n">
        <v>2028</v>
      </c>
      <c r="C11">
        <f>WEO_Data!C10</f>
        <v/>
      </c>
      <c r="D11" t="n">
        <v>0.15</v>
      </c>
      <c r="E11">
        <f>$D$30*D11*2.746</f>
        <v/>
      </c>
      <c r="F11">
        <f>E11*$D$31</f>
        <v/>
      </c>
      <c r="G11">
        <f>E11-F11</f>
        <v/>
      </c>
      <c r="H11">
        <f>G11*$D$32</f>
        <v/>
      </c>
      <c r="I11">
        <f>H11/C11</f>
        <v/>
      </c>
      <c r="J11">
        <f>WEO_Data!F10/100</f>
        <v/>
      </c>
      <c r="K11" s="15">
        <f>((C11+H11)/(C10+H10))-1</f>
        <v/>
      </c>
    </row>
    <row r="12">
      <c r="B12" s="13" t="n">
        <v>2029</v>
      </c>
      <c r="C12">
        <f>WEO_Data!C11</f>
        <v/>
      </c>
      <c r="D12" t="n">
        <v>0.2</v>
      </c>
      <c r="E12">
        <f>$D$30*D12*2.746</f>
        <v/>
      </c>
      <c r="F12">
        <f>E12*$D$31</f>
        <v/>
      </c>
      <c r="G12">
        <f>E12-F12</f>
        <v/>
      </c>
      <c r="H12">
        <f>G12*$D$32</f>
        <v/>
      </c>
      <c r="I12">
        <f>H12/C12</f>
        <v/>
      </c>
      <c r="J12">
        <f>WEO_Data!F11/100</f>
        <v/>
      </c>
      <c r="K12" s="15">
        <f>((C12+H12)/(C11+H11))-1</f>
        <v/>
      </c>
    </row>
    <row r="13">
      <c r="B13" s="13" t="n">
        <v>2030</v>
      </c>
      <c r="C13">
        <f>WEO_Data!C12</f>
        <v/>
      </c>
      <c r="D13" t="n">
        <v>0.2</v>
      </c>
      <c r="E13">
        <f>$D$30*D13*2.746</f>
        <v/>
      </c>
      <c r="F13">
        <f>E13*$D$31</f>
        <v/>
      </c>
      <c r="G13">
        <f>E13-F13</f>
        <v/>
      </c>
      <c r="H13">
        <f>G13*$D$32</f>
        <v/>
      </c>
      <c r="I13">
        <f>H13/C13</f>
        <v/>
      </c>
      <c r="J13" s="17">
        <f>WEO_Data!F12/100</f>
        <v/>
      </c>
      <c r="K13" s="15">
        <f>((C13+H13)/(C12+H12))-1</f>
        <v/>
      </c>
    </row>
    <row r="14">
      <c r="B14" s="13" t="n">
        <v>2031</v>
      </c>
      <c r="C14">
        <f>WEO_Data!C13</f>
        <v/>
      </c>
      <c r="D14" t="n">
        <v>0.15</v>
      </c>
      <c r="E14">
        <f>$D$30*D14*2.746</f>
        <v/>
      </c>
      <c r="F14">
        <f>E14*$D$31</f>
        <v/>
      </c>
      <c r="G14">
        <f>E14-F14</f>
        <v/>
      </c>
      <c r="H14">
        <f>G14*$D$32</f>
        <v/>
      </c>
      <c r="I14">
        <f>H14/C14</f>
        <v/>
      </c>
      <c r="J14" s="17">
        <f>WEO_Data!F13/100</f>
        <v/>
      </c>
      <c r="K14" s="15">
        <f>((C14+H14)/(C13+H13))-1</f>
        <v/>
      </c>
    </row>
    <row r="15">
      <c r="B15" s="13" t="n">
        <v>2032</v>
      </c>
      <c r="C15">
        <f>WEO_Data!C14</f>
        <v/>
      </c>
      <c r="D15" t="n">
        <v>0.1</v>
      </c>
      <c r="E15">
        <f>$D$30*D15*2.746</f>
        <v/>
      </c>
      <c r="F15">
        <f>E15*$D$31</f>
        <v/>
      </c>
      <c r="G15">
        <f>E15-F15</f>
        <v/>
      </c>
      <c r="H15">
        <f>G15*$D$32</f>
        <v/>
      </c>
      <c r="I15">
        <f>H15/C15</f>
        <v/>
      </c>
      <c r="J15" s="17">
        <f>WEO_Data!F14/100</f>
        <v/>
      </c>
      <c r="K15" s="15">
        <f>((C15+H15)/(C14+H14))-1</f>
        <v/>
      </c>
    </row>
    <row r="16">
      <c r="B16" s="13" t="n">
        <v>2033</v>
      </c>
      <c r="C16">
        <f>WEO_Data!C15</f>
        <v/>
      </c>
      <c r="D16" t="n">
        <v>0.05</v>
      </c>
      <c r="E16">
        <f>$D$30*D16*2.746</f>
        <v/>
      </c>
      <c r="F16">
        <f>E16*$D$31</f>
        <v/>
      </c>
      <c r="G16">
        <f>E16-F16</f>
        <v/>
      </c>
      <c r="H16">
        <f>G16*$D$32</f>
        <v/>
      </c>
      <c r="I16">
        <f>H16/C16</f>
        <v/>
      </c>
      <c r="J16" s="17">
        <f>WEO_Data!F15/100</f>
        <v/>
      </c>
      <c r="K16" s="15">
        <f>((C16+H16)/(C15+H15))-1</f>
        <v/>
      </c>
    </row>
    <row r="17">
      <c r="B17" s="13" t="n">
        <v>2034</v>
      </c>
      <c r="C17">
        <f>WEO_Data!C16</f>
        <v/>
      </c>
      <c r="E17">
        <f>$D$30*D17*2.746</f>
        <v/>
      </c>
      <c r="F17">
        <f>E17*$D$31</f>
        <v/>
      </c>
      <c r="G17">
        <f>E17-F17</f>
        <v/>
      </c>
      <c r="H17">
        <f>G17*$D$32</f>
        <v/>
      </c>
      <c r="I17">
        <f>H17/C17</f>
        <v/>
      </c>
      <c r="J17" s="17">
        <f>WEO_Data!F16/100</f>
        <v/>
      </c>
      <c r="K17" s="15">
        <f>((C17+H17)/(C16+H16))-1</f>
        <v/>
      </c>
    </row>
    <row r="18">
      <c r="B18" s="13" t="n">
        <v>2035</v>
      </c>
      <c r="C18">
        <f>WEO_Data!C17</f>
        <v/>
      </c>
      <c r="E18">
        <f>$D$30*D18*2.746</f>
        <v/>
      </c>
      <c r="F18">
        <f>E18*$D$31</f>
        <v/>
      </c>
      <c r="G18">
        <f>E18-F18</f>
        <v/>
      </c>
      <c r="H18">
        <f>G18*$D$32</f>
        <v/>
      </c>
      <c r="I18">
        <f>H18/C18</f>
        <v/>
      </c>
      <c r="J18" s="17">
        <f>WEO_Data!F17/100</f>
        <v/>
      </c>
      <c r="K18" s="15">
        <f>((C18+H18)/(C17+H17))-1</f>
        <v/>
      </c>
    </row>
    <row r="19">
      <c r="B19" s="13" t="n">
        <v>2036</v>
      </c>
      <c r="C19">
        <f>WEO_Data!C18</f>
        <v/>
      </c>
      <c r="E19">
        <f>$D$30*D19*2.746</f>
        <v/>
      </c>
      <c r="F19">
        <f>E19*$D$31</f>
        <v/>
      </c>
      <c r="G19">
        <f>E19-F19</f>
        <v/>
      </c>
      <c r="H19">
        <f>G19*$D$32</f>
        <v/>
      </c>
      <c r="I19">
        <f>H19/C19</f>
        <v/>
      </c>
      <c r="J19" s="17">
        <f>WEO_Data!F18/100</f>
        <v/>
      </c>
      <c r="K19" s="15">
        <f>((C19+H19)/(C18+H18))-1</f>
        <v/>
      </c>
    </row>
    <row r="20">
      <c r="B20" s="13" t="n">
        <v>2037</v>
      </c>
      <c r="C20">
        <f>WEO_Data!C19</f>
        <v/>
      </c>
      <c r="E20">
        <f>$D$30*D20*2.746</f>
        <v/>
      </c>
      <c r="F20">
        <f>E20*$D$31</f>
        <v/>
      </c>
      <c r="G20">
        <f>E20-F20</f>
        <v/>
      </c>
      <c r="H20">
        <f>G20*$D$32</f>
        <v/>
      </c>
      <c r="I20">
        <f>H20/C20</f>
        <v/>
      </c>
      <c r="J20" s="17">
        <f>WEO_Data!F19/100</f>
        <v/>
      </c>
      <c r="K20" s="15">
        <f>((C20+H20)/(C19+H19))-1</f>
        <v/>
      </c>
    </row>
    <row r="21">
      <c r="B21" s="13" t="n">
        <v>2038</v>
      </c>
      <c r="C21">
        <f>WEO_Data!C20</f>
        <v/>
      </c>
      <c r="E21">
        <f>$D$30*D21*2.746</f>
        <v/>
      </c>
      <c r="F21">
        <f>E21*$D$31</f>
        <v/>
      </c>
      <c r="G21">
        <f>E21-F21</f>
        <v/>
      </c>
      <c r="H21">
        <f>G21*$D$32</f>
        <v/>
      </c>
      <c r="I21">
        <f>H21/C21</f>
        <v/>
      </c>
      <c r="J21" s="17">
        <f>WEO_Data!F20/100</f>
        <v/>
      </c>
      <c r="K21" s="15">
        <f>((C21+H21)/(C20+H20))-1</f>
        <v/>
      </c>
    </row>
    <row r="22">
      <c r="B22" s="13" t="n">
        <v>2039</v>
      </c>
      <c r="C22">
        <f>WEO_Data!C21</f>
        <v/>
      </c>
      <c r="E22">
        <f>$D$30*D22*2.746</f>
        <v/>
      </c>
      <c r="F22">
        <f>E22*$D$31</f>
        <v/>
      </c>
      <c r="G22">
        <f>E22-F22</f>
        <v/>
      </c>
      <c r="H22">
        <f>G22*$D$32</f>
        <v/>
      </c>
      <c r="I22">
        <f>H22/C22</f>
        <v/>
      </c>
      <c r="J22" s="17">
        <f>WEO_Data!F21/100</f>
        <v/>
      </c>
      <c r="K22" s="15">
        <f>((C22+H22)/(C21+H21))-1</f>
        <v/>
      </c>
    </row>
    <row r="23">
      <c r="B23" s="13" t="n">
        <v>2040</v>
      </c>
      <c r="C23">
        <f>WEO_Data!C22</f>
        <v/>
      </c>
      <c r="E23">
        <f>$D$30*D23*2.746</f>
        <v/>
      </c>
      <c r="F23">
        <f>E23*$D$31</f>
        <v/>
      </c>
      <c r="G23">
        <f>E23-F23</f>
        <v/>
      </c>
      <c r="H23">
        <f>G23*$D$32</f>
        <v/>
      </c>
      <c r="I23">
        <f>H23/C23</f>
        <v/>
      </c>
      <c r="J23" s="17">
        <f>WEO_Data!F22/100</f>
        <v/>
      </c>
      <c r="K23" s="15">
        <f>((C23+H23)/(C22+H22))-1</f>
        <v/>
      </c>
    </row>
    <row r="24">
      <c r="B24" s="13" t="n">
        <v>2041</v>
      </c>
      <c r="C24">
        <f>WEO_Data!C23</f>
        <v/>
      </c>
      <c r="E24">
        <f>$D$30*D24*2.746</f>
        <v/>
      </c>
      <c r="F24">
        <f>E24*$D$31</f>
        <v/>
      </c>
      <c r="G24">
        <f>E24-F24</f>
        <v/>
      </c>
      <c r="H24">
        <f>G24*$D$32</f>
        <v/>
      </c>
      <c r="I24">
        <f>H24/C24</f>
        <v/>
      </c>
      <c r="J24" s="17">
        <f>WEO_Data!F23/100</f>
        <v/>
      </c>
      <c r="K24" s="15">
        <f>((C24+H24)/(C23+H23))-1</f>
        <v/>
      </c>
    </row>
    <row r="25">
      <c r="B25" s="18" t="n">
        <v>2042</v>
      </c>
      <c r="C25" s="19">
        <f>WEO_Data!C24</f>
        <v/>
      </c>
      <c r="D25" s="19" t="n"/>
      <c r="E25" s="19">
        <f>$D$30*D25*2.746</f>
        <v/>
      </c>
      <c r="F25" s="19">
        <f>E25*$D$31</f>
        <v/>
      </c>
      <c r="G25" s="19">
        <f>E25-F25</f>
        <v/>
      </c>
      <c r="H25" s="19">
        <f>G25*$D$32</f>
        <v/>
      </c>
      <c r="I25" s="19">
        <f>H25/C25</f>
        <v/>
      </c>
      <c r="J25" s="20">
        <f>WEO_Data!F24/100</f>
        <v/>
      </c>
      <c r="K25" s="21">
        <f>((C25+H25)/(C24+H24))-1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B30" t="inlineStr">
        <is>
          <t>Year</t>
        </is>
      </c>
      <c r="C30" s="13" t="inlineStr">
        <is>
          <t>Real GDP</t>
        </is>
      </c>
      <c r="D30" t="inlineStr">
        <is>
          <t>Project Allocation (%)</t>
        </is>
      </c>
      <c r="E30" t="inlineStr">
        <is>
          <t>Project Investment</t>
        </is>
      </c>
      <c r="F30" t="inlineStr">
        <is>
          <t>Imports</t>
        </is>
      </c>
      <c r="G30" t="inlineStr">
        <is>
          <t>GDP impact</t>
        </is>
      </c>
      <c r="J30" t="inlineStr">
        <is>
          <t>Baseline GDP Growth</t>
        </is>
      </c>
      <c r="K30" s="15" t="inlineStr">
        <is>
          <t>Projected Growth</t>
        </is>
      </c>
    </row>
    <row r="31">
      <c r="C31" s="13" t="inlineStr">
        <is>
          <t>import content share</t>
        </is>
      </c>
      <c r="D31" s="28">
        <f>'SUT Calc'!C46</f>
        <v/>
      </c>
      <c r="G31" t="inlineStr">
        <is>
          <t>I-M</t>
        </is>
      </c>
      <c r="H31" t="inlineStr">
        <is>
          <t>Multiplier</t>
        </is>
      </c>
      <c r="I31" t="inlineStr">
        <is>
          <t>% of GDP</t>
        </is>
      </c>
      <c r="K31" s="15" t="n"/>
    </row>
    <row r="32">
      <c r="B32" t="n">
        <v>2020</v>
      </c>
      <c r="C32" s="13">
        <f>WEO_Data!C2</f>
        <v/>
      </c>
      <c r="D32" s="29" t="n">
        <v>0.8</v>
      </c>
      <c r="E32">
        <f>$D$57*D32*2.746</f>
        <v/>
      </c>
      <c r="F32">
        <f>E32*$D$58</f>
        <v/>
      </c>
      <c r="G32">
        <f>E32-F32</f>
        <v/>
      </c>
      <c r="H32">
        <f>G32*$D$59</f>
        <v/>
      </c>
      <c r="I32">
        <f>H32/C32</f>
        <v/>
      </c>
      <c r="J32">
        <f>WEO_Data!F2/100</f>
        <v/>
      </c>
      <c r="K32" s="15">
        <f>J32</f>
        <v/>
      </c>
    </row>
    <row r="33">
      <c r="B33" t="n">
        <v>2021</v>
      </c>
      <c r="C33" s="18">
        <f>WEO_Data!C3</f>
        <v/>
      </c>
      <c r="D33" s="19" t="inlineStr">
        <is>
          <t>Bell shape</t>
        </is>
      </c>
      <c r="E33" s="19">
        <f>$D$57*D33*2.746</f>
        <v/>
      </c>
      <c r="F33" s="19">
        <f>E33*$D$58</f>
        <v/>
      </c>
      <c r="G33" s="19">
        <f>E33-F33</f>
        <v/>
      </c>
      <c r="H33" s="19">
        <f>G33*$D$59</f>
        <v/>
      </c>
      <c r="I33" s="19">
        <f>H33/C33</f>
        <v/>
      </c>
      <c r="J33" s="27">
        <f>WEO_Data!F3/100</f>
        <v/>
      </c>
      <c r="K33" s="21">
        <f>((C33+H33)/(C32+H32))-1</f>
        <v/>
      </c>
    </row>
    <row r="34">
      <c r="B34" t="n">
        <v>2022</v>
      </c>
      <c r="C34">
        <f>WEO_Data!C4</f>
        <v/>
      </c>
      <c r="E34">
        <f>$D$57*D34*2.746</f>
        <v/>
      </c>
      <c r="F34">
        <f>E34*$D$58</f>
        <v/>
      </c>
      <c r="G34">
        <f>E34-F34</f>
        <v/>
      </c>
      <c r="H34">
        <f>G34*$D$59</f>
        <v/>
      </c>
      <c r="I34">
        <f>H34/C34</f>
        <v/>
      </c>
      <c r="J34">
        <f>WEO_Data!F4/100</f>
        <v/>
      </c>
      <c r="K34">
        <f>((C34+H34)/(C33+H33))-1</f>
        <v/>
      </c>
    </row>
    <row r="35">
      <c r="B35" t="n">
        <v>2023</v>
      </c>
      <c r="C35">
        <f>WEO_Data!C5</f>
        <v/>
      </c>
      <c r="E35">
        <f>$D$57*D35*2.746</f>
        <v/>
      </c>
      <c r="F35">
        <f>E35*$D$58</f>
        <v/>
      </c>
      <c r="G35">
        <f>E35-F35</f>
        <v/>
      </c>
      <c r="H35">
        <f>G35*$D$59</f>
        <v/>
      </c>
      <c r="I35">
        <f>H35/C35</f>
        <v/>
      </c>
      <c r="J35">
        <f>WEO_Data!F5/100</f>
        <v/>
      </c>
      <c r="K35">
        <f>((C35+H35)/(C34+H34))-1</f>
        <v/>
      </c>
    </row>
    <row r="36">
      <c r="B36" t="n">
        <v>2024</v>
      </c>
      <c r="C36">
        <f>WEO_Data!C6</f>
        <v/>
      </c>
      <c r="E36">
        <f>$D$57*D36*2.746</f>
        <v/>
      </c>
      <c r="F36">
        <f>E36*$D$58</f>
        <v/>
      </c>
      <c r="G36">
        <f>E36-F36</f>
        <v/>
      </c>
      <c r="H36">
        <f>G36*$D$59</f>
        <v/>
      </c>
      <c r="I36">
        <f>H36/C36</f>
        <v/>
      </c>
      <c r="J36">
        <f>WEO_Data!F6/100</f>
        <v/>
      </c>
      <c r="K36">
        <f>((C36+H36)/(C35+H35))-1</f>
        <v/>
      </c>
    </row>
    <row r="37">
      <c r="B37" t="n">
        <v>2025</v>
      </c>
      <c r="C37">
        <f>WEO_Data!C7</f>
        <v/>
      </c>
      <c r="E37">
        <f>$D$57*D37*2.746</f>
        <v/>
      </c>
      <c r="F37">
        <f>E37*$D$58</f>
        <v/>
      </c>
      <c r="G37">
        <f>E37-F37</f>
        <v/>
      </c>
      <c r="H37">
        <f>G37*$D$59</f>
        <v/>
      </c>
      <c r="I37">
        <f>H37/C37</f>
        <v/>
      </c>
      <c r="J37">
        <f>WEO_Data!F7/100</f>
        <v/>
      </c>
      <c r="K37">
        <f>((C37+H37)/(C36+H36))-1</f>
        <v/>
      </c>
    </row>
    <row r="38">
      <c r="B38" t="n">
        <v>2026</v>
      </c>
      <c r="C38">
        <f>WEO_Data!C8</f>
        <v/>
      </c>
      <c r="D38" t="n">
        <v>0.05</v>
      </c>
      <c r="E38">
        <f>$D$57*D38*2.746</f>
        <v/>
      </c>
      <c r="F38">
        <f>E38*$D$58</f>
        <v/>
      </c>
      <c r="G38">
        <f>E38-F38</f>
        <v/>
      </c>
      <c r="H38">
        <f>G38*$D$59</f>
        <v/>
      </c>
      <c r="I38">
        <f>H38/C38</f>
        <v/>
      </c>
      <c r="J38">
        <f>WEO_Data!F8/100</f>
        <v/>
      </c>
      <c r="K38">
        <f>((C38+H38)/(C37+H37))-1</f>
        <v/>
      </c>
    </row>
    <row r="39">
      <c r="B39" t="n">
        <v>2027</v>
      </c>
      <c r="C39">
        <f>WEO_Data!C9</f>
        <v/>
      </c>
      <c r="D39" t="n">
        <v>0.1</v>
      </c>
      <c r="E39">
        <f>$D$57*D39*2.746</f>
        <v/>
      </c>
      <c r="F39">
        <f>E39*$D$58</f>
        <v/>
      </c>
      <c r="G39">
        <f>E39-F39</f>
        <v/>
      </c>
      <c r="H39">
        <f>G39*$D$59</f>
        <v/>
      </c>
      <c r="I39">
        <f>H39/C39</f>
        <v/>
      </c>
      <c r="J39">
        <f>WEO_Data!F9/100</f>
        <v/>
      </c>
      <c r="K39">
        <f>((C39+H39)/(C38+H38))-1</f>
        <v/>
      </c>
    </row>
    <row r="40">
      <c r="B40" t="n">
        <v>2028</v>
      </c>
      <c r="C40">
        <f>WEO_Data!C10</f>
        <v/>
      </c>
      <c r="D40" t="n">
        <v>0.15</v>
      </c>
      <c r="E40">
        <f>$D$57*D40*2.746</f>
        <v/>
      </c>
      <c r="F40">
        <f>E40*$D$58</f>
        <v/>
      </c>
      <c r="G40">
        <f>E40-F40</f>
        <v/>
      </c>
      <c r="H40">
        <f>G40*$D$59</f>
        <v/>
      </c>
      <c r="I40">
        <f>H40/C40</f>
        <v/>
      </c>
      <c r="J40">
        <f>WEO_Data!F10/100</f>
        <v/>
      </c>
      <c r="K40">
        <f>((C40+H40)/(C39+H39))-1</f>
        <v/>
      </c>
    </row>
    <row r="41">
      <c r="B41" t="n">
        <v>2029</v>
      </c>
      <c r="C41">
        <f>WEO_Data!C11</f>
        <v/>
      </c>
      <c r="D41" t="n">
        <v>0.2</v>
      </c>
      <c r="E41">
        <f>$D$57*D41*2.746</f>
        <v/>
      </c>
      <c r="F41">
        <f>E41*$D$58</f>
        <v/>
      </c>
      <c r="G41">
        <f>E41-F41</f>
        <v/>
      </c>
      <c r="H41">
        <f>G41*$D$59</f>
        <v/>
      </c>
      <c r="I41">
        <f>H41/C41</f>
        <v/>
      </c>
      <c r="J41">
        <f>WEO_Data!F11/100</f>
        <v/>
      </c>
      <c r="K41">
        <f>((C41+H41)/(C40+H40))-1</f>
        <v/>
      </c>
    </row>
    <row r="42">
      <c r="B42" t="n">
        <v>2030</v>
      </c>
      <c r="C42">
        <f>WEO_Data!C12</f>
        <v/>
      </c>
      <c r="D42" t="n">
        <v>0.2</v>
      </c>
      <c r="E42">
        <f>$D$57*D42*2.746</f>
        <v/>
      </c>
      <c r="F42">
        <f>E42*$D$58</f>
        <v/>
      </c>
      <c r="G42">
        <f>E42-F42</f>
        <v/>
      </c>
      <c r="H42">
        <f>G42*$D$59</f>
        <v/>
      </c>
      <c r="I42">
        <f>H42/C42</f>
        <v/>
      </c>
      <c r="J42">
        <f>WEO_Data!F12/100</f>
        <v/>
      </c>
      <c r="K42">
        <f>((C42+H42)/(C41+H41))-1</f>
        <v/>
      </c>
    </row>
    <row r="43">
      <c r="B43" t="n">
        <v>2031</v>
      </c>
      <c r="C43">
        <f>WEO_Data!C13</f>
        <v/>
      </c>
      <c r="D43" t="n">
        <v>0.15</v>
      </c>
      <c r="E43">
        <f>$D$57*D43*2.746</f>
        <v/>
      </c>
      <c r="F43">
        <f>E43*$D$58</f>
        <v/>
      </c>
      <c r="G43">
        <f>E43-F43</f>
        <v/>
      </c>
      <c r="H43">
        <f>G43*$D$59</f>
        <v/>
      </c>
      <c r="I43">
        <f>H43/C43</f>
        <v/>
      </c>
      <c r="J43">
        <f>WEO_Data!F13/100</f>
        <v/>
      </c>
      <c r="K43">
        <f>((C43+H43)/(C42+H42))-1</f>
        <v/>
      </c>
    </row>
    <row r="44">
      <c r="B44" t="n">
        <v>2032</v>
      </c>
      <c r="C44">
        <f>WEO_Data!C14</f>
        <v/>
      </c>
      <c r="D44" t="n">
        <v>0.1</v>
      </c>
      <c r="E44">
        <f>$D$57*D44*2.746</f>
        <v/>
      </c>
      <c r="F44">
        <f>E44*$D$58</f>
        <v/>
      </c>
      <c r="G44">
        <f>E44-F44</f>
        <v/>
      </c>
      <c r="H44">
        <f>G44*$D$59</f>
        <v/>
      </c>
      <c r="I44">
        <f>H44/C44</f>
        <v/>
      </c>
      <c r="J44">
        <f>WEO_Data!F14/100</f>
        <v/>
      </c>
      <c r="K44">
        <f>((C44+H44)/(C43+H43))-1</f>
        <v/>
      </c>
    </row>
    <row r="45">
      <c r="B45" t="n">
        <v>2033</v>
      </c>
      <c r="C45">
        <f>WEO_Data!C15</f>
        <v/>
      </c>
      <c r="D45" t="n">
        <v>0.05</v>
      </c>
      <c r="E45">
        <f>$D$57*D45*2.746</f>
        <v/>
      </c>
      <c r="F45">
        <f>E45*$D$58</f>
        <v/>
      </c>
      <c r="G45">
        <f>E45-F45</f>
        <v/>
      </c>
      <c r="H45">
        <f>G45*$D$59</f>
        <v/>
      </c>
      <c r="I45">
        <f>H45/C45</f>
        <v/>
      </c>
      <c r="J45">
        <f>WEO_Data!F15/100</f>
        <v/>
      </c>
      <c r="K45">
        <f>((C45+H45)/(C44+H44))-1</f>
        <v/>
      </c>
    </row>
    <row r="46">
      <c r="B46" t="n">
        <v>2034</v>
      </c>
      <c r="C46">
        <f>WEO_Data!C16</f>
        <v/>
      </c>
      <c r="E46">
        <f>$D$57*D46*2.746</f>
        <v/>
      </c>
      <c r="F46">
        <f>E46*$D$58</f>
        <v/>
      </c>
      <c r="G46">
        <f>E46-F46</f>
        <v/>
      </c>
      <c r="H46">
        <f>G46*$D$59</f>
        <v/>
      </c>
      <c r="I46">
        <f>H46/C46</f>
        <v/>
      </c>
      <c r="J46">
        <f>WEO_Data!F16/100</f>
        <v/>
      </c>
      <c r="K46">
        <f>((C46+H46)/(C45+H45))-1</f>
        <v/>
      </c>
    </row>
    <row r="47">
      <c r="B47" t="n">
        <v>2035</v>
      </c>
      <c r="C47">
        <f>WEO_Data!C17</f>
        <v/>
      </c>
      <c r="E47">
        <f>$D$57*D47*2.746</f>
        <v/>
      </c>
      <c r="F47">
        <f>E47*$D$58</f>
        <v/>
      </c>
      <c r="G47">
        <f>E47-F47</f>
        <v/>
      </c>
      <c r="H47">
        <f>G47*$D$59</f>
        <v/>
      </c>
      <c r="I47">
        <f>H47/C47</f>
        <v/>
      </c>
      <c r="J47">
        <f>WEO_Data!F17/100</f>
        <v/>
      </c>
      <c r="K47">
        <f>((C47+H47)/(C46+H46))-1</f>
        <v/>
      </c>
    </row>
    <row r="48">
      <c r="B48" t="n">
        <v>2036</v>
      </c>
      <c r="C48">
        <f>WEO_Data!C18</f>
        <v/>
      </c>
      <c r="E48">
        <f>$D$57*D48*2.746</f>
        <v/>
      </c>
      <c r="F48">
        <f>E48*$D$58</f>
        <v/>
      </c>
      <c r="G48">
        <f>E48-F48</f>
        <v/>
      </c>
      <c r="H48">
        <f>G48*$D$59</f>
        <v/>
      </c>
      <c r="I48">
        <f>H48/C48</f>
        <v/>
      </c>
      <c r="J48">
        <f>WEO_Data!F18/100</f>
        <v/>
      </c>
      <c r="K48">
        <f>((C48+H48)/(C47+H47))-1</f>
        <v/>
      </c>
    </row>
    <row r="49">
      <c r="B49" t="n">
        <v>2037</v>
      </c>
      <c r="C49">
        <f>WEO_Data!C19</f>
        <v/>
      </c>
      <c r="E49">
        <f>$D$57*D49*2.746</f>
        <v/>
      </c>
      <c r="F49">
        <f>E49*$D$58</f>
        <v/>
      </c>
      <c r="G49">
        <f>E49-F49</f>
        <v/>
      </c>
      <c r="H49">
        <f>G49*$D$59</f>
        <v/>
      </c>
      <c r="I49">
        <f>H49/C49</f>
        <v/>
      </c>
      <c r="J49">
        <f>WEO_Data!F19/100</f>
        <v/>
      </c>
      <c r="K49">
        <f>((C49+H49)/(C48+H48))-1</f>
        <v/>
      </c>
    </row>
    <row r="50">
      <c r="B50" t="n">
        <v>2038</v>
      </c>
      <c r="C50">
        <f>WEO_Data!C20</f>
        <v/>
      </c>
      <c r="E50">
        <f>$D$57*D50*2.746</f>
        <v/>
      </c>
      <c r="F50">
        <f>E50*$D$58</f>
        <v/>
      </c>
      <c r="G50">
        <f>E50-F50</f>
        <v/>
      </c>
      <c r="H50">
        <f>G50*$D$59</f>
        <v/>
      </c>
      <c r="I50">
        <f>H50/C50</f>
        <v/>
      </c>
      <c r="J50">
        <f>WEO_Data!F20/100</f>
        <v/>
      </c>
      <c r="K50">
        <f>((C50+H50)/(C49+H49))-1</f>
        <v/>
      </c>
    </row>
    <row r="51">
      <c r="B51" t="n">
        <v>2039</v>
      </c>
      <c r="C51">
        <f>WEO_Data!C21</f>
        <v/>
      </c>
      <c r="E51">
        <f>$D$57*D51*2.746</f>
        <v/>
      </c>
      <c r="F51">
        <f>E51*$D$58</f>
        <v/>
      </c>
      <c r="G51">
        <f>E51-F51</f>
        <v/>
      </c>
      <c r="H51">
        <f>G51*$D$59</f>
        <v/>
      </c>
      <c r="I51">
        <f>H51/C51</f>
        <v/>
      </c>
      <c r="J51">
        <f>WEO_Data!F21/100</f>
        <v/>
      </c>
      <c r="K51">
        <f>((C51+H51)/(C50+H50))-1</f>
        <v/>
      </c>
    </row>
    <row r="52">
      <c r="B52" t="n">
        <v>2040</v>
      </c>
      <c r="C52">
        <f>WEO_Data!C22</f>
        <v/>
      </c>
      <c r="E52">
        <f>$D$57*D52*2.746</f>
        <v/>
      </c>
      <c r="F52">
        <f>E52*$D$58</f>
        <v/>
      </c>
      <c r="G52">
        <f>E52-F52</f>
        <v/>
      </c>
      <c r="H52">
        <f>G52*$D$59</f>
        <v/>
      </c>
      <c r="I52">
        <f>H52/C52</f>
        <v/>
      </c>
      <c r="J52">
        <f>WEO_Data!F22/100</f>
        <v/>
      </c>
      <c r="K52">
        <f>((C52+H52)/(C51+H51))-1</f>
        <v/>
      </c>
    </row>
    <row r="53">
      <c r="B53" t="n">
        <v>2041</v>
      </c>
      <c r="C53">
        <f>WEO_Data!C23</f>
        <v/>
      </c>
      <c r="E53">
        <f>$D$57*D53*2.746</f>
        <v/>
      </c>
      <c r="F53">
        <f>E53*$D$58</f>
        <v/>
      </c>
      <c r="G53">
        <f>E53-F53</f>
        <v/>
      </c>
      <c r="H53">
        <f>G53*$D$59</f>
        <v/>
      </c>
      <c r="I53">
        <f>H53/C53</f>
        <v/>
      </c>
      <c r="J53">
        <f>WEO_Data!F23/100</f>
        <v/>
      </c>
      <c r="K53">
        <f>((C53+H53)/(C52+H52))-1</f>
        <v/>
      </c>
    </row>
    <row r="54">
      <c r="B54" t="n">
        <v>2042</v>
      </c>
      <c r="C54">
        <f>WEO_Data!C24</f>
        <v/>
      </c>
      <c r="E54">
        <f>$D$57*D54*2.746</f>
        <v/>
      </c>
      <c r="F54">
        <f>E54*$D$58</f>
        <v/>
      </c>
      <c r="G54">
        <f>E54-F54</f>
        <v/>
      </c>
      <c r="H54">
        <f>G54*$D$59</f>
        <v/>
      </c>
      <c r="I54">
        <f>H54/C54</f>
        <v/>
      </c>
      <c r="J54">
        <f>WEO_Data!F24/100</f>
        <v/>
      </c>
      <c r="K54">
        <f>((C54+H54)/(C53+H53))-1</f>
        <v/>
      </c>
    </row>
    <row r="57">
      <c r="C57" t="inlineStr">
        <is>
          <t>total investment</t>
        </is>
      </c>
      <c r="D57" t="n">
        <v>6500</v>
      </c>
    </row>
    <row r="58">
      <c r="C58" t="inlineStr">
        <is>
          <t>import content share</t>
        </is>
      </c>
      <c r="D58">
        <f>'SUT Calc'!C46</f>
        <v/>
      </c>
    </row>
    <row r="59">
      <c r="C59" t="inlineStr">
        <is>
          <t>demand multiplier</t>
        </is>
      </c>
      <c r="D59" t="n">
        <v>1</v>
      </c>
    </row>
    <row r="60">
      <c r="B60" t="inlineStr">
        <is>
          <t>Year</t>
        </is>
      </c>
      <c r="C60" t="inlineStr">
        <is>
          <t>Real GDP</t>
        </is>
      </c>
      <c r="D60" t="inlineStr">
        <is>
          <t>Project Allocation (%)</t>
        </is>
      </c>
      <c r="E60" t="inlineStr">
        <is>
          <t>Project Investment</t>
        </is>
      </c>
      <c r="F60" t="inlineStr">
        <is>
          <t>Imports</t>
        </is>
      </c>
      <c r="G60" t="inlineStr">
        <is>
          <t>GDP impact</t>
        </is>
      </c>
      <c r="J60" t="inlineStr">
        <is>
          <t>Baseline GDP Growth</t>
        </is>
      </c>
      <c r="K60" t="inlineStr">
        <is>
          <t>Projected Growth</t>
        </is>
      </c>
    </row>
    <row r="61">
      <c r="G61" t="inlineStr">
        <is>
          <t>I-M</t>
        </is>
      </c>
      <c r="H61" t="inlineStr">
        <is>
          <t>Multiplier</t>
        </is>
      </c>
      <c r="I61" t="inlineStr">
        <is>
          <t>% of GDP</t>
        </is>
      </c>
    </row>
    <row r="62">
      <c r="B62" t="n">
        <v>2020</v>
      </c>
      <c r="C62">
        <f>WEO_Data!C2</f>
        <v/>
      </c>
      <c r="E62">
        <f>$D$87*D62*2.746</f>
        <v/>
      </c>
      <c r="F62">
        <f>E62*$D$88</f>
        <v/>
      </c>
      <c r="G62">
        <f>E62-F62</f>
        <v/>
      </c>
      <c r="H62">
        <f>G62*$D$89</f>
        <v/>
      </c>
      <c r="I62">
        <f>H62/C62</f>
        <v/>
      </c>
      <c r="J62">
        <f>WEO_Data!F2/100</f>
        <v/>
      </c>
      <c r="K62">
        <f>J62</f>
        <v/>
      </c>
    </row>
    <row r="63">
      <c r="B63" t="n">
        <v>2021</v>
      </c>
      <c r="C63">
        <f>WEO_Data!C3</f>
        <v/>
      </c>
      <c r="E63">
        <f>$D$87*D63*2.746</f>
        <v/>
      </c>
      <c r="F63">
        <f>E63*$D$88</f>
        <v/>
      </c>
      <c r="G63">
        <f>E63-F63</f>
        <v/>
      </c>
      <c r="H63">
        <f>G63*$D$89</f>
        <v/>
      </c>
      <c r="I63">
        <f>H63/C63</f>
        <v/>
      </c>
      <c r="J63">
        <f>WEO_Data!F3/100</f>
        <v/>
      </c>
      <c r="K63">
        <f>((C63+H63)/(C62+H62))-1</f>
        <v/>
      </c>
    </row>
    <row r="64">
      <c r="B64" t="n">
        <v>2022</v>
      </c>
      <c r="C64">
        <f>WEO_Data!C4</f>
        <v/>
      </c>
      <c r="E64">
        <f>$D$87*D64*2.746</f>
        <v/>
      </c>
      <c r="F64">
        <f>E64*$D$88</f>
        <v/>
      </c>
      <c r="G64">
        <f>E64-F64</f>
        <v/>
      </c>
      <c r="H64">
        <f>G64*$D$89</f>
        <v/>
      </c>
      <c r="I64">
        <f>H64/C64</f>
        <v/>
      </c>
      <c r="J64">
        <f>WEO_Data!F4/100</f>
        <v/>
      </c>
      <c r="K64">
        <f>((C64+H64)/(C63+H63))-1</f>
        <v/>
      </c>
    </row>
    <row r="65">
      <c r="B65" t="n">
        <v>2023</v>
      </c>
      <c r="C65">
        <f>WEO_Data!C5</f>
        <v/>
      </c>
      <c r="E65">
        <f>$D$87*D65*2.746</f>
        <v/>
      </c>
      <c r="F65">
        <f>E65*$D$88</f>
        <v/>
      </c>
      <c r="G65">
        <f>E65-F65</f>
        <v/>
      </c>
      <c r="H65">
        <f>G65*$D$89</f>
        <v/>
      </c>
      <c r="I65">
        <f>H65/C65</f>
        <v/>
      </c>
      <c r="J65">
        <f>WEO_Data!F5/100</f>
        <v/>
      </c>
      <c r="K65">
        <f>((C65+H65)/(C64+H64))-1</f>
        <v/>
      </c>
    </row>
    <row r="66">
      <c r="B66" t="n">
        <v>2024</v>
      </c>
      <c r="C66">
        <f>WEO_Data!C6</f>
        <v/>
      </c>
      <c r="E66">
        <f>$D$87*D66*2.746</f>
        <v/>
      </c>
      <c r="F66">
        <f>E66*$D$88</f>
        <v/>
      </c>
      <c r="G66">
        <f>E66-F66</f>
        <v/>
      </c>
      <c r="H66">
        <f>G66*$D$89</f>
        <v/>
      </c>
      <c r="I66">
        <f>H66/C66</f>
        <v/>
      </c>
      <c r="J66">
        <f>WEO_Data!F6/100</f>
        <v/>
      </c>
      <c r="K66">
        <f>((C66+H66)/(C65+H65))-1</f>
        <v/>
      </c>
    </row>
    <row r="67">
      <c r="B67" t="n">
        <v>2025</v>
      </c>
      <c r="C67">
        <f>WEO_Data!C7</f>
        <v/>
      </c>
      <c r="E67">
        <f>$D$87*D67*2.746</f>
        <v/>
      </c>
      <c r="F67">
        <f>E67*$D$88</f>
        <v/>
      </c>
      <c r="G67">
        <f>E67-F67</f>
        <v/>
      </c>
      <c r="H67">
        <f>G67*$D$89</f>
        <v/>
      </c>
      <c r="I67">
        <f>H67/C67</f>
        <v/>
      </c>
      <c r="J67">
        <f>WEO_Data!F7/100</f>
        <v/>
      </c>
      <c r="K67">
        <f>((C67+H67)/(C66+H66))-1</f>
        <v/>
      </c>
    </row>
    <row r="68">
      <c r="B68" t="n">
        <v>2026</v>
      </c>
      <c r="C68">
        <f>WEO_Data!C8</f>
        <v/>
      </c>
      <c r="D68" t="n">
        <v>0.05</v>
      </c>
      <c r="E68">
        <f>$D$87*D68*2.746</f>
        <v/>
      </c>
      <c r="F68">
        <f>E68*$D$88</f>
        <v/>
      </c>
      <c r="G68">
        <f>E68-F68</f>
        <v/>
      </c>
      <c r="H68">
        <f>G68*$D$89</f>
        <v/>
      </c>
      <c r="I68">
        <f>H68/C68</f>
        <v/>
      </c>
      <c r="J68">
        <f>WEO_Data!F8/100</f>
        <v/>
      </c>
      <c r="K68">
        <f>((C68+H68)/(C67+H67))-1</f>
        <v/>
      </c>
    </row>
    <row r="69">
      <c r="B69" t="n">
        <v>2027</v>
      </c>
      <c r="C69">
        <f>WEO_Data!C9</f>
        <v/>
      </c>
      <c r="D69" t="n">
        <v>0.1</v>
      </c>
      <c r="E69">
        <f>$D$87*D69*2.746</f>
        <v/>
      </c>
      <c r="F69">
        <f>E69*$D$88</f>
        <v/>
      </c>
      <c r="G69">
        <f>E69-F69</f>
        <v/>
      </c>
      <c r="H69">
        <f>G69*$D$89</f>
        <v/>
      </c>
      <c r="I69">
        <f>H69/C69</f>
        <v/>
      </c>
      <c r="J69">
        <f>WEO_Data!F9/100</f>
        <v/>
      </c>
      <c r="K69">
        <f>((C69+H69)/(C68+H68))-1</f>
        <v/>
      </c>
    </row>
    <row r="70">
      <c r="B70" t="n">
        <v>2028</v>
      </c>
      <c r="C70">
        <f>WEO_Data!C10</f>
        <v/>
      </c>
      <c r="D70" t="n">
        <v>0.15</v>
      </c>
      <c r="E70">
        <f>$D$87*D70*2.746</f>
        <v/>
      </c>
      <c r="F70">
        <f>E70*$D$88</f>
        <v/>
      </c>
      <c r="G70">
        <f>E70-F70</f>
        <v/>
      </c>
      <c r="H70">
        <f>G70*$D$89</f>
        <v/>
      </c>
      <c r="I70">
        <f>H70/C70</f>
        <v/>
      </c>
      <c r="J70">
        <f>WEO_Data!F10/100</f>
        <v/>
      </c>
      <c r="K70">
        <f>((C70+H70)/(C69+H69))-1</f>
        <v/>
      </c>
    </row>
    <row r="71">
      <c r="B71" t="n">
        <v>2029</v>
      </c>
      <c r="C71">
        <f>WEO_Data!C11</f>
        <v/>
      </c>
      <c r="D71" t="n">
        <v>0.2</v>
      </c>
      <c r="E71">
        <f>$D$87*D71*2.746</f>
        <v/>
      </c>
      <c r="F71">
        <f>E71*$D$88</f>
        <v/>
      </c>
      <c r="G71">
        <f>E71-F71</f>
        <v/>
      </c>
      <c r="H71">
        <f>G71*$D$89</f>
        <v/>
      </c>
      <c r="I71">
        <f>H71/C71</f>
        <v/>
      </c>
      <c r="J71">
        <f>WEO_Data!F11/100</f>
        <v/>
      </c>
      <c r="K71">
        <f>((C71+H71)/(C70+H70))-1</f>
        <v/>
      </c>
    </row>
    <row r="72">
      <c r="B72" t="n">
        <v>2030</v>
      </c>
      <c r="C72">
        <f>WEO_Data!C12</f>
        <v/>
      </c>
      <c r="D72" t="n">
        <v>0.2</v>
      </c>
      <c r="E72">
        <f>$D$87*D72*2.746</f>
        <v/>
      </c>
      <c r="F72">
        <f>E72*$D$88</f>
        <v/>
      </c>
      <c r="G72">
        <f>E72-F72</f>
        <v/>
      </c>
      <c r="H72">
        <f>G72*$D$89</f>
        <v/>
      </c>
      <c r="I72">
        <f>H72/C72</f>
        <v/>
      </c>
      <c r="J72">
        <f>WEO_Data!F12/100</f>
        <v/>
      </c>
      <c r="K72">
        <f>((C72+H72)/(C71+H71))-1</f>
        <v/>
      </c>
    </row>
    <row r="73">
      <c r="B73" t="n">
        <v>2031</v>
      </c>
      <c r="C73">
        <f>WEO_Data!C13</f>
        <v/>
      </c>
      <c r="D73" t="n">
        <v>0.15</v>
      </c>
      <c r="E73">
        <f>$D$87*D73*2.746</f>
        <v/>
      </c>
      <c r="F73">
        <f>E73*$D$88</f>
        <v/>
      </c>
      <c r="G73">
        <f>E73-F73</f>
        <v/>
      </c>
      <c r="H73">
        <f>G73*$D$89</f>
        <v/>
      </c>
      <c r="I73">
        <f>H73/C73</f>
        <v/>
      </c>
      <c r="J73">
        <f>WEO_Data!F13/100</f>
        <v/>
      </c>
      <c r="K73">
        <f>((C73+H73)/(C72+H72))-1</f>
        <v/>
      </c>
    </row>
    <row r="74">
      <c r="B74" t="n">
        <v>2032</v>
      </c>
      <c r="C74">
        <f>WEO_Data!C14</f>
        <v/>
      </c>
      <c r="D74" t="n">
        <v>0.1</v>
      </c>
      <c r="E74">
        <f>$D$87*D74*2.746</f>
        <v/>
      </c>
      <c r="F74">
        <f>E74*$D$88</f>
        <v/>
      </c>
      <c r="G74">
        <f>E74-F74</f>
        <v/>
      </c>
      <c r="H74">
        <f>G74*$D$89</f>
        <v/>
      </c>
      <c r="I74">
        <f>H74/C74</f>
        <v/>
      </c>
      <c r="J74">
        <f>WEO_Data!F14/100</f>
        <v/>
      </c>
      <c r="K74">
        <f>((C74+H74)/(C73+H73))-1</f>
        <v/>
      </c>
    </row>
    <row r="75">
      <c r="B75" t="n">
        <v>2033</v>
      </c>
      <c r="C75">
        <f>WEO_Data!C15</f>
        <v/>
      </c>
      <c r="D75" t="n">
        <v>0.05</v>
      </c>
      <c r="E75">
        <f>$D$87*D75*2.746</f>
        <v/>
      </c>
      <c r="F75">
        <f>E75*$D$88</f>
        <v/>
      </c>
      <c r="G75">
        <f>E75-F75</f>
        <v/>
      </c>
      <c r="H75">
        <f>G75*$D$89</f>
        <v/>
      </c>
      <c r="I75">
        <f>H75/C75</f>
        <v/>
      </c>
      <c r="J75">
        <f>WEO_Data!F15/100</f>
        <v/>
      </c>
      <c r="K75">
        <f>((C75+H75)/(C74+H74))-1</f>
        <v/>
      </c>
    </row>
    <row r="76">
      <c r="B76" t="n">
        <v>2034</v>
      </c>
      <c r="C76">
        <f>WEO_Data!C16</f>
        <v/>
      </c>
      <c r="E76">
        <f>$D$87*D76*2.746</f>
        <v/>
      </c>
      <c r="F76">
        <f>E76*$D$88</f>
        <v/>
      </c>
      <c r="G76">
        <f>E76-F76</f>
        <v/>
      </c>
      <c r="H76">
        <f>G76*$D$89</f>
        <v/>
      </c>
      <c r="I76">
        <f>H76/C76</f>
        <v/>
      </c>
      <c r="J76">
        <f>WEO_Data!F16/100</f>
        <v/>
      </c>
      <c r="K76">
        <f>((C76+H76)/(C75+H75))-1</f>
        <v/>
      </c>
    </row>
    <row r="77">
      <c r="B77" t="n">
        <v>2035</v>
      </c>
      <c r="C77">
        <f>WEO_Data!C17</f>
        <v/>
      </c>
      <c r="E77">
        <f>$D$87*D77*2.746</f>
        <v/>
      </c>
      <c r="F77">
        <f>E77*$D$88</f>
        <v/>
      </c>
      <c r="G77">
        <f>E77-F77</f>
        <v/>
      </c>
      <c r="H77">
        <f>G77*$D$89</f>
        <v/>
      </c>
      <c r="I77">
        <f>H77/C77</f>
        <v/>
      </c>
      <c r="J77">
        <f>WEO_Data!F17/100</f>
        <v/>
      </c>
      <c r="K77">
        <f>((C77+H77)/(C76+H76))-1</f>
        <v/>
      </c>
    </row>
    <row r="78">
      <c r="B78" t="n">
        <v>2036</v>
      </c>
      <c r="C78">
        <f>WEO_Data!C18</f>
        <v/>
      </c>
      <c r="E78">
        <f>$D$87*D78*2.746</f>
        <v/>
      </c>
      <c r="F78">
        <f>E78*$D$88</f>
        <v/>
      </c>
      <c r="G78">
        <f>E78-F78</f>
        <v/>
      </c>
      <c r="H78">
        <f>G78*$D$89</f>
        <v/>
      </c>
      <c r="I78">
        <f>H78/C78</f>
        <v/>
      </c>
      <c r="J78">
        <f>WEO_Data!F18/100</f>
        <v/>
      </c>
      <c r="K78">
        <f>((C78+H78)/(C77+H77))-1</f>
        <v/>
      </c>
    </row>
    <row r="79">
      <c r="B79" t="n">
        <v>2037</v>
      </c>
      <c r="C79">
        <f>WEO_Data!C19</f>
        <v/>
      </c>
      <c r="E79">
        <f>$D$87*D79*2.746</f>
        <v/>
      </c>
      <c r="F79">
        <f>E79*$D$88</f>
        <v/>
      </c>
      <c r="G79">
        <f>E79-F79</f>
        <v/>
      </c>
      <c r="H79">
        <f>G79*$D$89</f>
        <v/>
      </c>
      <c r="I79">
        <f>H79/C79</f>
        <v/>
      </c>
      <c r="J79">
        <f>WEO_Data!F19/100</f>
        <v/>
      </c>
      <c r="K79">
        <f>((C79+H79)/(C78+H78))-1</f>
        <v/>
      </c>
    </row>
    <row r="80">
      <c r="B80" t="n">
        <v>2038</v>
      </c>
      <c r="C80">
        <f>WEO_Data!C20</f>
        <v/>
      </c>
      <c r="E80">
        <f>$D$87*D80*2.746</f>
        <v/>
      </c>
      <c r="F80">
        <f>E80*$D$88</f>
        <v/>
      </c>
      <c r="G80">
        <f>E80-F80</f>
        <v/>
      </c>
      <c r="H80">
        <f>G80*$D$89</f>
        <v/>
      </c>
      <c r="I80">
        <f>H80/C80</f>
        <v/>
      </c>
      <c r="J80">
        <f>WEO_Data!F20/100</f>
        <v/>
      </c>
      <c r="K80">
        <f>((C80+H80)/(C79+H79))-1</f>
        <v/>
      </c>
    </row>
    <row r="81">
      <c r="B81" t="n">
        <v>2039</v>
      </c>
      <c r="C81">
        <f>WEO_Data!C21</f>
        <v/>
      </c>
      <c r="E81">
        <f>$D$87*D81*2.746</f>
        <v/>
      </c>
      <c r="F81">
        <f>E81*$D$88</f>
        <v/>
      </c>
      <c r="G81">
        <f>E81-F81</f>
        <v/>
      </c>
      <c r="H81">
        <f>G81*$D$89</f>
        <v/>
      </c>
      <c r="I81">
        <f>H81/C81</f>
        <v/>
      </c>
      <c r="J81">
        <f>WEO_Data!F21/100</f>
        <v/>
      </c>
      <c r="K81">
        <f>((C81+H81)/(C80+H80))-1</f>
        <v/>
      </c>
    </row>
    <row r="82">
      <c r="B82" t="n">
        <v>2040</v>
      </c>
      <c r="C82">
        <f>WEO_Data!C22</f>
        <v/>
      </c>
      <c r="E82">
        <f>$D$87*D82*2.746</f>
        <v/>
      </c>
      <c r="F82">
        <f>E82*$D$88</f>
        <v/>
      </c>
      <c r="G82">
        <f>E82-F82</f>
        <v/>
      </c>
      <c r="H82">
        <f>G82*$D$89</f>
        <v/>
      </c>
      <c r="I82">
        <f>H82/C82</f>
        <v/>
      </c>
      <c r="J82">
        <f>WEO_Data!F22/100</f>
        <v/>
      </c>
      <c r="K82">
        <f>((C82+H82)/(C81+H81))-1</f>
        <v/>
      </c>
    </row>
    <row r="83">
      <c r="B83" t="n">
        <v>2041</v>
      </c>
      <c r="C83">
        <f>WEO_Data!C23</f>
        <v/>
      </c>
      <c r="E83">
        <f>$D$87*D83*2.746</f>
        <v/>
      </c>
      <c r="F83">
        <f>E83*$D$88</f>
        <v/>
      </c>
      <c r="G83">
        <f>E83-F83</f>
        <v/>
      </c>
      <c r="H83">
        <f>G83*$D$89</f>
        <v/>
      </c>
      <c r="I83">
        <f>H83/C83</f>
        <v/>
      </c>
      <c r="J83">
        <f>WEO_Data!F23/100</f>
        <v/>
      </c>
      <c r="K83">
        <f>((C83+H83)/(C82+H82))-1</f>
        <v/>
      </c>
    </row>
    <row r="84">
      <c r="B84" t="n">
        <v>2042</v>
      </c>
      <c r="C84">
        <f>WEO_Data!C24</f>
        <v/>
      </c>
      <c r="E84">
        <f>$D$87*D84*2.746</f>
        <v/>
      </c>
      <c r="F84">
        <f>E84*$D$88</f>
        <v/>
      </c>
      <c r="G84">
        <f>E84-F84</f>
        <v/>
      </c>
      <c r="H84">
        <f>G84*$D$89</f>
        <v/>
      </c>
      <c r="I84">
        <f>H84/C84</f>
        <v/>
      </c>
      <c r="J84">
        <f>WEO_Data!F24/100</f>
        <v/>
      </c>
      <c r="K84">
        <f>((C84+H84)/(C83+H83))-1</f>
        <v/>
      </c>
    </row>
    <row r="87">
      <c r="C87" t="inlineStr">
        <is>
          <t>total investment</t>
        </is>
      </c>
      <c r="D87" t="n">
        <v>6500</v>
      </c>
    </row>
    <row r="88">
      <c r="C88" t="inlineStr">
        <is>
          <t>import content share</t>
        </is>
      </c>
      <c r="D88" t="n">
        <v>0.5</v>
      </c>
    </row>
    <row r="89">
      <c r="C89" t="inlineStr">
        <is>
          <t>demand multiplier</t>
        </is>
      </c>
      <c r="D89" t="n">
        <v>0.8</v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Real GDP</t>
        </is>
      </c>
      <c r="D1" t="inlineStr">
        <is>
          <t>GDP Deflator Growth (%)</t>
        </is>
      </c>
      <c r="E1" t="inlineStr">
        <is>
          <t>GDP Deflator</t>
        </is>
      </c>
      <c r="F1" t="inlineStr">
        <is>
          <t>Baseline Growth</t>
        </is>
      </c>
    </row>
    <row r="2">
      <c r="A2" t="n">
        <v>2020</v>
      </c>
      <c r="B2" t="n">
        <v>-6.3</v>
      </c>
      <c r="C2" t="n">
        <v>49266.7</v>
      </c>
      <c r="D2" t="n">
        <v>7.28</v>
      </c>
      <c r="E2" t="n">
        <v>1</v>
      </c>
      <c r="F2" t="n">
        <v>-6.3</v>
      </c>
    </row>
    <row r="3">
      <c r="A3" t="n">
        <v>2021</v>
      </c>
      <c r="B3" t="n">
        <v>10.6</v>
      </c>
      <c r="C3">
        <f>C2*(1+B3/100)</f>
        <v/>
      </c>
      <c r="D3" t="n">
        <v>10.4</v>
      </c>
      <c r="E3">
        <f>E2*(1+D3/100)</f>
        <v/>
      </c>
      <c r="F3" t="n">
        <v>10.6</v>
      </c>
    </row>
    <row r="4">
      <c r="A4" t="n">
        <v>2022</v>
      </c>
      <c r="B4" t="n">
        <v>11</v>
      </c>
      <c r="C4">
        <f>C3*(1+B4/100)</f>
        <v/>
      </c>
      <c r="D4" t="n">
        <v>10</v>
      </c>
      <c r="E4">
        <f>E3*(1+D4/100)</f>
        <v/>
      </c>
      <c r="F4" t="n">
        <v>11</v>
      </c>
    </row>
    <row r="5">
      <c r="A5" t="n">
        <v>2023</v>
      </c>
      <c r="B5" t="n">
        <v>7.8</v>
      </c>
      <c r="C5">
        <f>C4*(1+B5/100)</f>
        <v/>
      </c>
      <c r="D5" t="n">
        <v>3</v>
      </c>
      <c r="E5">
        <f>E4*(1+D5/100)</f>
        <v/>
      </c>
      <c r="F5" t="n">
        <v>7.8</v>
      </c>
    </row>
    <row r="6">
      <c r="A6" t="n">
        <v>2024</v>
      </c>
      <c r="B6" t="n">
        <v>9.4</v>
      </c>
      <c r="C6">
        <f>C5*(1+B6/100)</f>
        <v/>
      </c>
      <c r="D6" t="n">
        <v>3.8</v>
      </c>
      <c r="E6">
        <f>E5*(1+D6/100)</f>
        <v/>
      </c>
      <c r="F6" t="n">
        <v>9.4</v>
      </c>
    </row>
    <row r="7">
      <c r="A7" t="n">
        <v>2025</v>
      </c>
      <c r="B7" t="n">
        <v>7.2</v>
      </c>
      <c r="C7">
        <f>C6*(1+B7/100)</f>
        <v/>
      </c>
      <c r="D7" t="n">
        <v>4.1</v>
      </c>
      <c r="E7">
        <f>E6*(1+D7/100)</f>
        <v/>
      </c>
      <c r="F7" t="n">
        <v>7.2</v>
      </c>
    </row>
    <row r="8">
      <c r="A8" t="n">
        <v>2026</v>
      </c>
      <c r="B8" t="n">
        <v>5.3</v>
      </c>
      <c r="C8">
        <f>C7*(1+B8/100)</f>
        <v/>
      </c>
      <c r="D8" t="n">
        <v>3.5</v>
      </c>
      <c r="E8">
        <f>E7*(1+D8/100)</f>
        <v/>
      </c>
      <c r="F8" t="n">
        <v>5.3</v>
      </c>
    </row>
    <row r="9">
      <c r="A9" t="n">
        <v>2027</v>
      </c>
      <c r="B9" t="n">
        <v>5</v>
      </c>
      <c r="C9">
        <f>C8*(1+B9/100)</f>
        <v/>
      </c>
      <c r="D9" t="n">
        <v>3.5</v>
      </c>
      <c r="E9">
        <f>E8*(1+D9/100)</f>
        <v/>
      </c>
      <c r="F9" t="n">
        <v>5</v>
      </c>
    </row>
    <row r="10">
      <c r="A10" t="n">
        <v>2028</v>
      </c>
      <c r="B10" t="n">
        <v>5</v>
      </c>
      <c r="C10">
        <f>C9*(1+B10/100)</f>
        <v/>
      </c>
      <c r="D10" t="n">
        <v>3.5</v>
      </c>
      <c r="E10">
        <f>E9*(1+D10/100)</f>
        <v/>
      </c>
      <c r="F10" t="n">
        <v>5</v>
      </c>
    </row>
    <row r="11">
      <c r="A11" t="n">
        <v>2029</v>
      </c>
      <c r="B11" t="n">
        <v>5</v>
      </c>
      <c r="C11">
        <f>C10*(1+B11/100)</f>
        <v/>
      </c>
      <c r="D11" t="n">
        <v>3.5</v>
      </c>
      <c r="E11">
        <f>E10*(1+D11/100)</f>
        <v/>
      </c>
      <c r="F11" t="n">
        <v>5</v>
      </c>
    </row>
    <row r="12">
      <c r="A12" t="n">
        <v>2030</v>
      </c>
      <c r="B12" t="n">
        <v>5</v>
      </c>
      <c r="C12">
        <f>C11*(1+B12/100)</f>
        <v/>
      </c>
      <c r="D12" t="n">
        <v>5.225</v>
      </c>
      <c r="E12">
        <f>E11*(1+D12/100)</f>
        <v/>
      </c>
      <c r="F12" t="n">
        <v>5</v>
      </c>
    </row>
    <row r="13">
      <c r="A13" t="n">
        <v>2031</v>
      </c>
      <c r="B13" t="n">
        <v>5</v>
      </c>
      <c r="C13">
        <f>C12*(1+B13/100)</f>
        <v/>
      </c>
      <c r="D13" t="n">
        <v>5.225</v>
      </c>
      <c r="E13">
        <f>E12*(1+D13/100)</f>
        <v/>
      </c>
      <c r="F13" t="n">
        <v>5</v>
      </c>
    </row>
    <row r="14">
      <c r="A14" t="n">
        <v>2032</v>
      </c>
      <c r="B14" t="n">
        <v>5</v>
      </c>
      <c r="C14">
        <f>C13*(1+B14/100)</f>
        <v/>
      </c>
      <c r="D14" t="n">
        <v>5.225</v>
      </c>
      <c r="E14">
        <f>E13*(1+D14/100)</f>
        <v/>
      </c>
      <c r="F14" t="n">
        <v>5</v>
      </c>
    </row>
    <row r="15">
      <c r="A15" t="n">
        <v>2033</v>
      </c>
      <c r="B15" t="n">
        <v>5</v>
      </c>
      <c r="C15">
        <f>C14*(1+B15/100)</f>
        <v/>
      </c>
      <c r="D15" t="n">
        <v>5.225</v>
      </c>
      <c r="E15">
        <f>E14*(1+D15/100)</f>
        <v/>
      </c>
      <c r="F15" t="n">
        <v>5</v>
      </c>
    </row>
    <row r="16">
      <c r="A16" t="n">
        <v>2034</v>
      </c>
      <c r="B16" t="n">
        <v>5</v>
      </c>
      <c r="C16">
        <f>C15*(1+B16/100)</f>
        <v/>
      </c>
      <c r="D16" t="n">
        <v>5.225</v>
      </c>
      <c r="E16">
        <f>E15*(1+D16/100)</f>
        <v/>
      </c>
      <c r="F16" t="n">
        <v>5</v>
      </c>
    </row>
    <row r="17">
      <c r="A17" t="n">
        <v>2035</v>
      </c>
      <c r="B17" t="n">
        <v>5</v>
      </c>
      <c r="C17">
        <f>C16*(1+B17/100)</f>
        <v/>
      </c>
      <c r="D17" t="n">
        <v>5.225</v>
      </c>
      <c r="E17">
        <f>E16*(1+D17/100)</f>
        <v/>
      </c>
      <c r="F17" t="n">
        <v>5</v>
      </c>
    </row>
    <row r="18">
      <c r="A18" t="n">
        <v>2036</v>
      </c>
      <c r="B18" t="n">
        <v>5</v>
      </c>
      <c r="C18">
        <f>C17*(1+B18/100)</f>
        <v/>
      </c>
      <c r="D18" t="n">
        <v>5.225</v>
      </c>
      <c r="E18">
        <f>E17*(1+D18/100)</f>
        <v/>
      </c>
      <c r="F18" t="n">
        <v>5</v>
      </c>
    </row>
    <row r="19">
      <c r="A19" t="n">
        <v>2037</v>
      </c>
      <c r="B19" t="n">
        <v>5</v>
      </c>
      <c r="C19">
        <f>C18*(1+B19/100)</f>
        <v/>
      </c>
      <c r="D19" t="n">
        <v>5.225</v>
      </c>
      <c r="E19">
        <f>E18*(1+D19/100)</f>
        <v/>
      </c>
      <c r="F19" t="n">
        <v>5</v>
      </c>
    </row>
    <row r="20">
      <c r="A20" t="n">
        <v>2038</v>
      </c>
      <c r="B20" t="n">
        <v>5</v>
      </c>
      <c r="C20">
        <f>C19*(1+B20/100)</f>
        <v/>
      </c>
      <c r="D20" t="n">
        <v>5.225</v>
      </c>
      <c r="E20">
        <f>E19*(1+D20/100)</f>
        <v/>
      </c>
      <c r="F20" t="n">
        <v>5</v>
      </c>
    </row>
    <row r="21">
      <c r="A21" t="n">
        <v>2039</v>
      </c>
      <c r="B21" t="n">
        <v>5</v>
      </c>
      <c r="C21">
        <f>C20*(1+B21/100)</f>
        <v/>
      </c>
      <c r="D21" t="n">
        <v>5.225</v>
      </c>
      <c r="E21">
        <f>E20*(1+D21/100)</f>
        <v/>
      </c>
      <c r="F21" t="n">
        <v>5</v>
      </c>
    </row>
    <row r="22">
      <c r="A22" t="n">
        <v>2040</v>
      </c>
      <c r="B22" t="n">
        <v>5</v>
      </c>
      <c r="C22">
        <f>C21*(1+B22/100)</f>
        <v/>
      </c>
      <c r="D22" t="n">
        <v>5.225</v>
      </c>
      <c r="E22">
        <f>E21*(1+D22/100)</f>
        <v/>
      </c>
      <c r="F22" t="n">
        <v>5</v>
      </c>
    </row>
    <row r="23">
      <c r="A23" t="n">
        <v>2041</v>
      </c>
      <c r="B23" t="n">
        <v>5</v>
      </c>
      <c r="C23">
        <f>C22*(1+B23/100)</f>
        <v/>
      </c>
      <c r="D23" t="n">
        <v>5.225</v>
      </c>
      <c r="E23">
        <f>E22*(1+D23/100)</f>
        <v/>
      </c>
      <c r="F23" t="n">
        <v>5</v>
      </c>
    </row>
    <row r="24">
      <c r="A24" t="n">
        <v>2042</v>
      </c>
      <c r="B24" t="n">
        <v>5</v>
      </c>
      <c r="C24">
        <f>C23*(1+B24/100)</f>
        <v/>
      </c>
      <c r="D24" t="n">
        <v>5.225</v>
      </c>
      <c r="E24">
        <f>E23*(1+D24/100)</f>
        <v/>
      </c>
      <c r="F24" t="n">
        <v>5</v>
      </c>
    </row>
    <row r="25">
      <c r="A25" t="n">
        <v>2043</v>
      </c>
      <c r="B25" t="n">
        <v>5</v>
      </c>
      <c r="C25">
        <f>C24*(1+B25/100)</f>
        <v/>
      </c>
      <c r="D25" t="n">
        <v>5.225</v>
      </c>
      <c r="E25">
        <f>E24*(1+D25/100)</f>
        <v/>
      </c>
      <c r="F2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Total Supply</t>
        </is>
      </c>
      <c r="D1" t="inlineStr">
        <is>
          <t>Imports</t>
        </is>
      </c>
      <c r="E1" t="inlineStr">
        <is>
          <t>GFCF</t>
        </is>
      </c>
      <c r="F1" t="inlineStr">
        <is>
          <t>Import Share</t>
        </is>
      </c>
      <c r="G1" t="inlineStr">
        <is>
          <t>Import Content of GFCF</t>
        </is>
      </c>
    </row>
    <row r="2">
      <c r="A2">
        <f>'SUPPLY (38-38)-2023'!A4</f>
        <v/>
      </c>
      <c r="B2">
        <f>'SUPPLY (38-38)-2023'!B4</f>
        <v/>
      </c>
      <c r="C2">
        <f>'SUPPLY (38-38)-2023'!AT4</f>
        <v/>
      </c>
      <c r="D2">
        <f>'SUPPLY (38-38)-2023'!AS4</f>
        <v/>
      </c>
      <c r="E2">
        <f>'USE (38-38)-2023'!AU4</f>
        <v/>
      </c>
      <c r="F2">
        <f>IF(C2=0,0,D2/C2)</f>
        <v/>
      </c>
      <c r="G2">
        <f>F2*E2</f>
        <v/>
      </c>
    </row>
    <row r="3">
      <c r="A3">
        <f>'SUPPLY (38-38)-2023'!A5</f>
        <v/>
      </c>
      <c r="B3">
        <f>'SUPPLY (38-38)-2023'!B5</f>
        <v/>
      </c>
      <c r="C3">
        <f>'SUPPLY (38-38)-2023'!AT5</f>
        <v/>
      </c>
      <c r="D3">
        <f>'SUPPLY (38-38)-2023'!AS5</f>
        <v/>
      </c>
      <c r="E3">
        <f>'USE (38-38)-2023'!AU5</f>
        <v/>
      </c>
      <c r="F3">
        <f>IF(C3=0,0,D3/C3)</f>
        <v/>
      </c>
      <c r="G3">
        <f>F3*E3</f>
        <v/>
      </c>
    </row>
    <row r="4">
      <c r="A4">
        <f>'SUPPLY (38-38)-2023'!A6</f>
        <v/>
      </c>
      <c r="B4">
        <f>'SUPPLY (38-38)-2023'!B6</f>
        <v/>
      </c>
      <c r="C4">
        <f>'SUPPLY (38-38)-2023'!AT6</f>
        <v/>
      </c>
      <c r="D4">
        <f>'SUPPLY (38-38)-2023'!AS6</f>
        <v/>
      </c>
      <c r="E4">
        <f>'USE (38-38)-2023'!AU6</f>
        <v/>
      </c>
      <c r="F4">
        <f>IF(C4=0,0,D4/C4)</f>
        <v/>
      </c>
      <c r="G4">
        <f>F4*E4</f>
        <v/>
      </c>
    </row>
    <row r="5">
      <c r="A5">
        <f>'SUPPLY (38-38)-2023'!A7</f>
        <v/>
      </c>
      <c r="B5">
        <f>'SUPPLY (38-38)-2023'!B7</f>
        <v/>
      </c>
      <c r="C5">
        <f>'SUPPLY (38-38)-2023'!AT7</f>
        <v/>
      </c>
      <c r="D5">
        <f>'SUPPLY (38-38)-2023'!AS7</f>
        <v/>
      </c>
      <c r="E5">
        <f>'USE (38-38)-2023'!AU7</f>
        <v/>
      </c>
      <c r="F5">
        <f>IF(C5=0,0,D5/C5)</f>
        <v/>
      </c>
      <c r="G5">
        <f>F5*E5</f>
        <v/>
      </c>
    </row>
    <row r="6">
      <c r="A6">
        <f>'SUPPLY (38-38)-2023'!A8</f>
        <v/>
      </c>
      <c r="B6">
        <f>'SUPPLY (38-38)-2023'!B8</f>
        <v/>
      </c>
      <c r="C6">
        <f>'SUPPLY (38-38)-2023'!AT8</f>
        <v/>
      </c>
      <c r="D6">
        <f>'SUPPLY (38-38)-2023'!AS8</f>
        <v/>
      </c>
      <c r="E6">
        <f>'USE (38-38)-2023'!AU8</f>
        <v/>
      </c>
      <c r="F6">
        <f>IF(C6=0,0,D6/C6)</f>
        <v/>
      </c>
      <c r="G6">
        <f>F6*E6</f>
        <v/>
      </c>
    </row>
    <row r="7">
      <c r="A7">
        <f>'SUPPLY (38-38)-2023'!A9</f>
        <v/>
      </c>
      <c r="B7">
        <f>'SUPPLY (38-38)-2023'!B9</f>
        <v/>
      </c>
      <c r="C7">
        <f>'SUPPLY (38-38)-2023'!AT9</f>
        <v/>
      </c>
      <c r="D7">
        <f>'SUPPLY (38-38)-2023'!AS9</f>
        <v/>
      </c>
      <c r="E7">
        <f>'USE (38-38)-2023'!AU9</f>
        <v/>
      </c>
      <c r="F7">
        <f>IF(C7=0,0,D7/C7)</f>
        <v/>
      </c>
      <c r="G7">
        <f>F7*E7</f>
        <v/>
      </c>
    </row>
    <row r="8">
      <c r="A8">
        <f>'SUPPLY (38-38)-2023'!A10</f>
        <v/>
      </c>
      <c r="B8">
        <f>'SUPPLY (38-38)-2023'!B10</f>
        <v/>
      </c>
      <c r="C8">
        <f>'SUPPLY (38-38)-2023'!AT10</f>
        <v/>
      </c>
      <c r="D8">
        <f>'SUPPLY (38-38)-2023'!AS10</f>
        <v/>
      </c>
      <c r="E8">
        <f>'USE (38-38)-2023'!AU10</f>
        <v/>
      </c>
      <c r="F8">
        <f>IF(C8=0,0,D8/C8)</f>
        <v/>
      </c>
      <c r="G8">
        <f>F8*E8</f>
        <v/>
      </c>
    </row>
    <row r="9">
      <c r="A9">
        <f>'SUPPLY (38-38)-2023'!A11</f>
        <v/>
      </c>
      <c r="B9">
        <f>'SUPPLY (38-38)-2023'!B11</f>
        <v/>
      </c>
      <c r="C9">
        <f>'SUPPLY (38-38)-2023'!AT11</f>
        <v/>
      </c>
      <c r="D9">
        <f>'SUPPLY (38-38)-2023'!AS11</f>
        <v/>
      </c>
      <c r="E9">
        <f>'USE (38-38)-2023'!AU11</f>
        <v/>
      </c>
      <c r="F9">
        <f>IF(C9=0,0,D9/C9)</f>
        <v/>
      </c>
      <c r="G9">
        <f>F9*E9</f>
        <v/>
      </c>
    </row>
    <row r="10">
      <c r="A10">
        <f>'SUPPLY (38-38)-2023'!A12</f>
        <v/>
      </c>
      <c r="B10">
        <f>'SUPPLY (38-38)-2023'!B12</f>
        <v/>
      </c>
      <c r="C10">
        <f>'SUPPLY (38-38)-2023'!AT12</f>
        <v/>
      </c>
      <c r="D10">
        <f>'SUPPLY (38-38)-2023'!AS12</f>
        <v/>
      </c>
      <c r="E10">
        <f>'USE (38-38)-2023'!AU12</f>
        <v/>
      </c>
      <c r="F10">
        <f>IF(C10=0,0,D10/C10)</f>
        <v/>
      </c>
      <c r="G10">
        <f>F10*E10</f>
        <v/>
      </c>
    </row>
    <row r="11">
      <c r="A11">
        <f>'SUPPLY (38-38)-2023'!A13</f>
        <v/>
      </c>
      <c r="B11">
        <f>'SUPPLY (38-38)-2023'!B13</f>
        <v/>
      </c>
      <c r="C11">
        <f>'SUPPLY (38-38)-2023'!AT13</f>
        <v/>
      </c>
      <c r="D11">
        <f>'SUPPLY (38-38)-2023'!AS13</f>
        <v/>
      </c>
      <c r="E11">
        <f>'USE (38-38)-2023'!AU13</f>
        <v/>
      </c>
      <c r="F11">
        <f>IF(C11=0,0,D11/C11)</f>
        <v/>
      </c>
      <c r="G11">
        <f>F11*E11</f>
        <v/>
      </c>
    </row>
    <row r="12">
      <c r="A12">
        <f>'SUPPLY (38-38)-2023'!A14</f>
        <v/>
      </c>
      <c r="B12">
        <f>'SUPPLY (38-38)-2023'!B14</f>
        <v/>
      </c>
      <c r="C12">
        <f>'SUPPLY (38-38)-2023'!AT14</f>
        <v/>
      </c>
      <c r="D12">
        <f>'SUPPLY (38-38)-2023'!AS14</f>
        <v/>
      </c>
      <c r="E12">
        <f>'USE (38-38)-2023'!AU14</f>
        <v/>
      </c>
      <c r="F12">
        <f>IF(C12=0,0,D12/C12)</f>
        <v/>
      </c>
      <c r="G12">
        <f>F12*E12</f>
        <v/>
      </c>
    </row>
    <row r="13">
      <c r="A13">
        <f>'SUPPLY (38-38)-2023'!A15</f>
        <v/>
      </c>
      <c r="B13">
        <f>'SUPPLY (38-38)-2023'!B15</f>
        <v/>
      </c>
      <c r="C13">
        <f>'SUPPLY (38-38)-2023'!AT15</f>
        <v/>
      </c>
      <c r="D13">
        <f>'SUPPLY (38-38)-2023'!AS15</f>
        <v/>
      </c>
      <c r="E13">
        <f>'USE (38-38)-2023'!AU15</f>
        <v/>
      </c>
      <c r="F13">
        <f>IF(C13=0,0,D13/C13)</f>
        <v/>
      </c>
      <c r="G13">
        <f>F13*E13</f>
        <v/>
      </c>
    </row>
    <row r="14">
      <c r="A14">
        <f>'SUPPLY (38-38)-2023'!A16</f>
        <v/>
      </c>
      <c r="B14">
        <f>'SUPPLY (38-38)-2023'!B16</f>
        <v/>
      </c>
      <c r="C14">
        <f>'SUPPLY (38-38)-2023'!AT16</f>
        <v/>
      </c>
      <c r="D14">
        <f>'SUPPLY (38-38)-2023'!AS16</f>
        <v/>
      </c>
      <c r="E14">
        <f>'USE (38-38)-2023'!AU16</f>
        <v/>
      </c>
      <c r="F14">
        <f>IF(C14=0,0,D14/C14)</f>
        <v/>
      </c>
      <c r="G14">
        <f>F14*E14</f>
        <v/>
      </c>
    </row>
    <row r="15">
      <c r="A15">
        <f>'SUPPLY (38-38)-2023'!A17</f>
        <v/>
      </c>
      <c r="B15">
        <f>'SUPPLY (38-38)-2023'!B17</f>
        <v/>
      </c>
      <c r="C15">
        <f>'SUPPLY (38-38)-2023'!AT17</f>
        <v/>
      </c>
      <c r="D15">
        <f>'SUPPLY (38-38)-2023'!AS17</f>
        <v/>
      </c>
      <c r="E15">
        <f>'USE (38-38)-2023'!AU17</f>
        <v/>
      </c>
      <c r="F15">
        <f>IF(C15=0,0,D15/C15)</f>
        <v/>
      </c>
      <c r="G15">
        <f>F15*E15</f>
        <v/>
      </c>
    </row>
    <row r="16">
      <c r="A16">
        <f>'SUPPLY (38-38)-2023'!A18</f>
        <v/>
      </c>
      <c r="B16">
        <f>'SUPPLY (38-38)-2023'!B18</f>
        <v/>
      </c>
      <c r="C16">
        <f>'SUPPLY (38-38)-2023'!AT18</f>
        <v/>
      </c>
      <c r="D16">
        <f>'SUPPLY (38-38)-2023'!AS18</f>
        <v/>
      </c>
      <c r="E16">
        <f>'USE (38-38)-2023'!AU18</f>
        <v/>
      </c>
      <c r="F16">
        <f>IF(C16=0,0,D16/C16)</f>
        <v/>
      </c>
      <c r="G16">
        <f>F16*E16</f>
        <v/>
      </c>
    </row>
    <row r="17">
      <c r="A17">
        <f>'SUPPLY (38-38)-2023'!A19</f>
        <v/>
      </c>
      <c r="B17">
        <f>'SUPPLY (38-38)-2023'!B19</f>
        <v/>
      </c>
      <c r="C17">
        <f>'SUPPLY (38-38)-2023'!AT19</f>
        <v/>
      </c>
      <c r="D17">
        <f>'SUPPLY (38-38)-2023'!AS19</f>
        <v/>
      </c>
      <c r="E17">
        <f>'USE (38-38)-2023'!AU19</f>
        <v/>
      </c>
      <c r="F17">
        <f>IF(C17=0,0,D17/C17)</f>
        <v/>
      </c>
      <c r="G17">
        <f>F17*E17</f>
        <v/>
      </c>
    </row>
    <row r="18">
      <c r="A18">
        <f>'SUPPLY (38-38)-2023'!A20</f>
        <v/>
      </c>
      <c r="B18">
        <f>'SUPPLY (38-38)-2023'!B20</f>
        <v/>
      </c>
      <c r="C18">
        <f>'SUPPLY (38-38)-2023'!AT20</f>
        <v/>
      </c>
      <c r="D18">
        <f>'SUPPLY (38-38)-2023'!AS20</f>
        <v/>
      </c>
      <c r="E18">
        <f>'USE (38-38)-2023'!AU20</f>
        <v/>
      </c>
      <c r="F18">
        <f>IF(C18=0,0,D18/C18)</f>
        <v/>
      </c>
      <c r="G18">
        <f>F18*E18</f>
        <v/>
      </c>
    </row>
    <row r="19">
      <c r="A19">
        <f>'SUPPLY (38-38)-2023'!A21</f>
        <v/>
      </c>
      <c r="B19">
        <f>'SUPPLY (38-38)-2023'!B21</f>
        <v/>
      </c>
      <c r="C19">
        <f>'SUPPLY (38-38)-2023'!AT21</f>
        <v/>
      </c>
      <c r="D19">
        <f>'SUPPLY (38-38)-2023'!AS21</f>
        <v/>
      </c>
      <c r="E19">
        <f>'USE (38-38)-2023'!AU21</f>
        <v/>
      </c>
      <c r="F19">
        <f>IF(C19=0,0,D19/C19)</f>
        <v/>
      </c>
      <c r="G19">
        <f>F19*E19</f>
        <v/>
      </c>
    </row>
    <row r="20">
      <c r="A20">
        <f>'SUPPLY (38-38)-2023'!A22</f>
        <v/>
      </c>
      <c r="B20">
        <f>'SUPPLY (38-38)-2023'!B22</f>
        <v/>
      </c>
      <c r="C20">
        <f>'SUPPLY (38-38)-2023'!AT22</f>
        <v/>
      </c>
      <c r="D20">
        <f>'SUPPLY (38-38)-2023'!AS22</f>
        <v/>
      </c>
      <c r="E20">
        <f>'USE (38-38)-2023'!AU22</f>
        <v/>
      </c>
      <c r="F20">
        <f>IF(C20=0,0,D20/C20)</f>
        <v/>
      </c>
      <c r="G20">
        <f>F20*E20</f>
        <v/>
      </c>
    </row>
    <row r="21">
      <c r="A21">
        <f>'SUPPLY (38-38)-2023'!A23</f>
        <v/>
      </c>
      <c r="B21">
        <f>'SUPPLY (38-38)-2023'!B23</f>
        <v/>
      </c>
      <c r="C21">
        <f>'SUPPLY (38-38)-2023'!AT23</f>
        <v/>
      </c>
      <c r="D21">
        <f>'SUPPLY (38-38)-2023'!AS23</f>
        <v/>
      </c>
      <c r="E21">
        <f>'USE (38-38)-2023'!AU23</f>
        <v/>
      </c>
      <c r="F21">
        <f>IF(C21=0,0,D21/C21)</f>
        <v/>
      </c>
      <c r="G21">
        <f>F21*E21</f>
        <v/>
      </c>
    </row>
    <row r="22">
      <c r="A22">
        <f>'SUPPLY (38-38)-2023'!A24</f>
        <v/>
      </c>
      <c r="B22">
        <f>'SUPPLY (38-38)-2023'!B24</f>
        <v/>
      </c>
      <c r="C22">
        <f>'SUPPLY (38-38)-2023'!AT24</f>
        <v/>
      </c>
      <c r="D22">
        <f>'SUPPLY (38-38)-2023'!AS24</f>
        <v/>
      </c>
      <c r="E22">
        <f>'USE (38-38)-2023'!AU24</f>
        <v/>
      </c>
      <c r="F22">
        <f>IF(C22=0,0,D22/C22)</f>
        <v/>
      </c>
      <c r="G22">
        <f>F22*E22</f>
        <v/>
      </c>
    </row>
    <row r="23">
      <c r="A23">
        <f>'SUPPLY (38-38)-2023'!A25</f>
        <v/>
      </c>
      <c r="B23">
        <f>'SUPPLY (38-38)-2023'!B25</f>
        <v/>
      </c>
      <c r="C23">
        <f>'SUPPLY (38-38)-2023'!AT25</f>
        <v/>
      </c>
      <c r="D23">
        <f>'SUPPLY (38-38)-2023'!AS25</f>
        <v/>
      </c>
      <c r="E23">
        <f>'USE (38-38)-2023'!AU25</f>
        <v/>
      </c>
      <c r="F23">
        <f>IF(C23=0,0,D23/C23)</f>
        <v/>
      </c>
      <c r="G23">
        <f>F23*E23</f>
        <v/>
      </c>
    </row>
    <row r="24">
      <c r="A24">
        <f>'SUPPLY (38-38)-2023'!A26</f>
        <v/>
      </c>
      <c r="B24">
        <f>'SUPPLY (38-38)-2023'!B26</f>
        <v/>
      </c>
      <c r="C24">
        <f>'SUPPLY (38-38)-2023'!AT26</f>
        <v/>
      </c>
      <c r="D24">
        <f>'SUPPLY (38-38)-2023'!AS26</f>
        <v/>
      </c>
      <c r="E24">
        <f>'USE (38-38)-2023'!AU26</f>
        <v/>
      </c>
      <c r="F24">
        <f>IF(C24=0,0,D24/C24)</f>
        <v/>
      </c>
      <c r="G24">
        <f>F24*E24</f>
        <v/>
      </c>
    </row>
    <row r="25">
      <c r="A25">
        <f>'SUPPLY (38-38)-2023'!A27</f>
        <v/>
      </c>
      <c r="B25">
        <f>'SUPPLY (38-38)-2023'!B27</f>
        <v/>
      </c>
      <c r="C25">
        <f>'SUPPLY (38-38)-2023'!AT27</f>
        <v/>
      </c>
      <c r="D25">
        <f>'SUPPLY (38-38)-2023'!AS27</f>
        <v/>
      </c>
      <c r="E25">
        <f>'USE (38-38)-2023'!AU27</f>
        <v/>
      </c>
      <c r="F25">
        <f>IF(C25=0,0,D25/C25)</f>
        <v/>
      </c>
      <c r="G25">
        <f>F25*E25</f>
        <v/>
      </c>
    </row>
    <row r="26">
      <c r="A26">
        <f>'SUPPLY (38-38)-2023'!A28</f>
        <v/>
      </c>
      <c r="B26">
        <f>'SUPPLY (38-38)-2023'!B28</f>
        <v/>
      </c>
      <c r="C26">
        <f>'SUPPLY (38-38)-2023'!AT28</f>
        <v/>
      </c>
      <c r="D26">
        <f>'SUPPLY (38-38)-2023'!AS28</f>
        <v/>
      </c>
      <c r="E26">
        <f>'USE (38-38)-2023'!AU28</f>
        <v/>
      </c>
      <c r="F26">
        <f>IF(C26=0,0,D26/C26)</f>
        <v/>
      </c>
      <c r="G26">
        <f>F26*E26</f>
        <v/>
      </c>
    </row>
    <row r="27">
      <c r="A27">
        <f>'SUPPLY (38-38)-2023'!A29</f>
        <v/>
      </c>
      <c r="B27">
        <f>'SUPPLY (38-38)-2023'!B29</f>
        <v/>
      </c>
      <c r="C27">
        <f>'SUPPLY (38-38)-2023'!AT29</f>
        <v/>
      </c>
      <c r="D27">
        <f>'SUPPLY (38-38)-2023'!AS29</f>
        <v/>
      </c>
      <c r="E27">
        <f>'USE (38-38)-2023'!AU29</f>
        <v/>
      </c>
      <c r="F27">
        <f>IF(C27=0,0,D27/C27)</f>
        <v/>
      </c>
      <c r="G27">
        <f>F27*E27</f>
        <v/>
      </c>
    </row>
    <row r="28">
      <c r="A28">
        <f>'SUPPLY (38-38)-2023'!A30</f>
        <v/>
      </c>
      <c r="B28">
        <f>'SUPPLY (38-38)-2023'!B30</f>
        <v/>
      </c>
      <c r="C28">
        <f>'SUPPLY (38-38)-2023'!AT30</f>
        <v/>
      </c>
      <c r="D28">
        <f>'SUPPLY (38-38)-2023'!AS30</f>
        <v/>
      </c>
      <c r="E28">
        <f>'USE (38-38)-2023'!AU30</f>
        <v/>
      </c>
      <c r="F28">
        <f>IF(C28=0,0,D28/C28)</f>
        <v/>
      </c>
      <c r="G28">
        <f>F28*E28</f>
        <v/>
      </c>
    </row>
    <row r="29">
      <c r="A29">
        <f>'SUPPLY (38-38)-2023'!A31</f>
        <v/>
      </c>
      <c r="B29">
        <f>'SUPPLY (38-38)-2023'!B31</f>
        <v/>
      </c>
      <c r="C29">
        <f>'SUPPLY (38-38)-2023'!AT31</f>
        <v/>
      </c>
      <c r="D29">
        <f>'SUPPLY (38-38)-2023'!AS31</f>
        <v/>
      </c>
      <c r="E29">
        <f>'USE (38-38)-2023'!AU31</f>
        <v/>
      </c>
      <c r="F29">
        <f>IF(C29=0,0,D29/C29)</f>
        <v/>
      </c>
      <c r="G29">
        <f>F29*E29</f>
        <v/>
      </c>
    </row>
    <row r="30">
      <c r="A30">
        <f>'SUPPLY (38-38)-2023'!A32</f>
        <v/>
      </c>
      <c r="B30">
        <f>'SUPPLY (38-38)-2023'!B32</f>
        <v/>
      </c>
      <c r="C30">
        <f>'SUPPLY (38-38)-2023'!AT32</f>
        <v/>
      </c>
      <c r="D30">
        <f>'SUPPLY (38-38)-2023'!AS32</f>
        <v/>
      </c>
      <c r="E30">
        <f>'USE (38-38)-2023'!AU32</f>
        <v/>
      </c>
      <c r="F30">
        <f>IF(C30=0,0,D30/C30)</f>
        <v/>
      </c>
      <c r="G30">
        <f>F30*E30</f>
        <v/>
      </c>
    </row>
    <row r="31">
      <c r="A31">
        <f>'SUPPLY (38-38)-2023'!A33</f>
        <v/>
      </c>
      <c r="B31">
        <f>'SUPPLY (38-38)-2023'!B33</f>
        <v/>
      </c>
      <c r="C31">
        <f>'SUPPLY (38-38)-2023'!AT33</f>
        <v/>
      </c>
      <c r="D31">
        <f>'SUPPLY (38-38)-2023'!AS33</f>
        <v/>
      </c>
      <c r="E31">
        <f>'USE (38-38)-2023'!AU33</f>
        <v/>
      </c>
      <c r="F31">
        <f>IF(C31=0,0,D31/C31)</f>
        <v/>
      </c>
      <c r="G31">
        <f>F31*E31</f>
        <v/>
      </c>
    </row>
    <row r="32">
      <c r="A32">
        <f>'SUPPLY (38-38)-2023'!A34</f>
        <v/>
      </c>
      <c r="B32">
        <f>'SUPPLY (38-38)-2023'!B34</f>
        <v/>
      </c>
      <c r="C32">
        <f>'SUPPLY (38-38)-2023'!AT34</f>
        <v/>
      </c>
      <c r="D32">
        <f>'SUPPLY (38-38)-2023'!AS34</f>
        <v/>
      </c>
      <c r="E32">
        <f>'USE (38-38)-2023'!AU34</f>
        <v/>
      </c>
      <c r="F32">
        <f>IF(C32=0,0,D32/C32)</f>
        <v/>
      </c>
      <c r="G32">
        <f>F32*E32</f>
        <v/>
      </c>
    </row>
    <row r="33">
      <c r="A33">
        <f>'SUPPLY (38-38)-2023'!A35</f>
        <v/>
      </c>
      <c r="B33">
        <f>'SUPPLY (38-38)-2023'!B35</f>
        <v/>
      </c>
      <c r="C33">
        <f>'SUPPLY (38-38)-2023'!AT35</f>
        <v/>
      </c>
      <c r="D33">
        <f>'SUPPLY (38-38)-2023'!AS35</f>
        <v/>
      </c>
      <c r="E33">
        <f>'USE (38-38)-2023'!AU35</f>
        <v/>
      </c>
      <c r="F33">
        <f>IF(C33=0,0,D33/C33)</f>
        <v/>
      </c>
      <c r="G33">
        <f>F33*E33</f>
        <v/>
      </c>
    </row>
    <row r="34">
      <c r="A34">
        <f>'SUPPLY (38-38)-2023'!A36</f>
        <v/>
      </c>
      <c r="B34">
        <f>'SUPPLY (38-38)-2023'!B36</f>
        <v/>
      </c>
      <c r="C34">
        <f>'SUPPLY (38-38)-2023'!AT36</f>
        <v/>
      </c>
      <c r="D34">
        <f>'SUPPLY (38-38)-2023'!AS36</f>
        <v/>
      </c>
      <c r="E34">
        <f>'USE (38-38)-2023'!AU36</f>
        <v/>
      </c>
      <c r="F34">
        <f>IF(C34=0,0,D34/C34)</f>
        <v/>
      </c>
      <c r="G34">
        <f>F34*E34</f>
        <v/>
      </c>
    </row>
    <row r="35">
      <c r="A35">
        <f>'SUPPLY (38-38)-2023'!A37</f>
        <v/>
      </c>
      <c r="B35">
        <f>'SUPPLY (38-38)-2023'!B37</f>
        <v/>
      </c>
      <c r="C35">
        <f>'SUPPLY (38-38)-2023'!AT37</f>
        <v/>
      </c>
      <c r="D35">
        <f>'SUPPLY (38-38)-2023'!AS37</f>
        <v/>
      </c>
      <c r="E35">
        <f>'USE (38-38)-2023'!AU37</f>
        <v/>
      </c>
      <c r="F35">
        <f>IF(C35=0,0,D35/C35)</f>
        <v/>
      </c>
      <c r="G35">
        <f>F35*E35</f>
        <v/>
      </c>
    </row>
    <row r="36">
      <c r="A36">
        <f>'SUPPLY (38-38)-2023'!A38</f>
        <v/>
      </c>
      <c r="B36">
        <f>'SUPPLY (38-38)-2023'!B38</f>
        <v/>
      </c>
      <c r="C36">
        <f>'SUPPLY (38-38)-2023'!AT38</f>
        <v/>
      </c>
      <c r="D36">
        <f>'SUPPLY (38-38)-2023'!AS38</f>
        <v/>
      </c>
      <c r="E36">
        <f>'USE (38-38)-2023'!AU38</f>
        <v/>
      </c>
      <c r="F36">
        <f>IF(C36=0,0,D36/C36)</f>
        <v/>
      </c>
      <c r="G36">
        <f>F36*E36</f>
        <v/>
      </c>
    </row>
    <row r="37">
      <c r="A37">
        <f>'SUPPLY (38-38)-2023'!A39</f>
        <v/>
      </c>
      <c r="B37">
        <f>'SUPPLY (38-38)-2023'!B39</f>
        <v/>
      </c>
      <c r="C37">
        <f>'SUPPLY (38-38)-2023'!AT39</f>
        <v/>
      </c>
      <c r="D37">
        <f>'SUPPLY (38-38)-2023'!AS39</f>
        <v/>
      </c>
      <c r="E37">
        <f>'USE (38-38)-2023'!AU39</f>
        <v/>
      </c>
      <c r="F37">
        <f>IF(C37=0,0,D37/C37)</f>
        <v/>
      </c>
      <c r="G37">
        <f>F37*E37</f>
        <v/>
      </c>
    </row>
    <row r="38">
      <c r="A38">
        <f>'SUPPLY (38-38)-2023'!A40</f>
        <v/>
      </c>
      <c r="B38">
        <f>'SUPPLY (38-38)-2023'!B40</f>
        <v/>
      </c>
      <c r="C38">
        <f>'SUPPLY (38-38)-2023'!AT40</f>
        <v/>
      </c>
      <c r="D38">
        <f>'SUPPLY (38-38)-2023'!AS40</f>
        <v/>
      </c>
      <c r="E38">
        <f>'USE (38-38)-2023'!AU40</f>
        <v/>
      </c>
      <c r="F38">
        <f>IF(C38=0,0,D38/C38)</f>
        <v/>
      </c>
      <c r="G38">
        <f>F38*E38</f>
        <v/>
      </c>
    </row>
    <row r="39">
      <c r="A39">
        <f>'SUPPLY (38-38)-2023'!A41</f>
        <v/>
      </c>
      <c r="B39">
        <f>'SUPPLY (38-38)-2023'!B41</f>
        <v/>
      </c>
      <c r="C39">
        <f>'SUPPLY (38-38)-2023'!AT41</f>
        <v/>
      </c>
      <c r="D39">
        <f>'SUPPLY (38-38)-2023'!AS41</f>
        <v/>
      </c>
      <c r="E39">
        <f>'USE (38-38)-2023'!AU41</f>
        <v/>
      </c>
      <c r="F39">
        <f>IF(C39=0,0,D39/C39)</f>
        <v/>
      </c>
      <c r="G39">
        <f>F39*E39</f>
        <v/>
      </c>
    </row>
    <row r="40">
      <c r="B40" t="inlineStr">
        <is>
          <t>Total</t>
        </is>
      </c>
      <c r="E40">
        <f>SUM(E2:E39)</f>
        <v/>
      </c>
      <c r="G40">
        <f>SUM(G2:G39)</f>
        <v/>
      </c>
    </row>
    <row r="46">
      <c r="B46" t="inlineStr">
        <is>
          <t>Import Content Share</t>
        </is>
      </c>
      <c r="C46">
        <f>G40/E40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Supply, 2023 (Current prices, mil. GEL) </t>
        </is>
      </c>
    </row>
    <row r="2">
      <c r="A2" t="inlineStr">
        <is>
          <t xml:space="preserve">        NACE rev.2
CPA 2008</t>
        </is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TotBP</t>
        </is>
      </c>
      <c r="AP2" t="inlineStr">
        <is>
          <t>TTM</t>
        </is>
      </c>
      <c r="AQ2" t="inlineStr">
        <is>
          <t>D21 - D31</t>
        </is>
      </c>
      <c r="AR2" t="inlineStr">
        <is>
          <t>P7</t>
        </is>
      </c>
      <c r="AS2" t="inlineStr">
        <is>
          <t>TotPP</t>
        </is>
      </c>
    </row>
    <row r="3"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Output, total</t>
        </is>
      </c>
      <c r="AP3" t="inlineStr">
        <is>
          <t>Trade and transport margins</t>
        </is>
      </c>
      <c r="AQ3" t="inlineStr">
        <is>
          <t>Taxes on products minus Subsidies on products</t>
        </is>
      </c>
      <c r="AR3" t="inlineStr">
        <is>
          <t>Import, total</t>
        </is>
      </c>
      <c r="AS3" t="inlineStr">
        <is>
          <t>Resources,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7823.913745954769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O4" t="n">
        <v>7823.913745954769</v>
      </c>
      <c r="AP4" t="n">
        <v>2171.97762347074</v>
      </c>
      <c r="AQ4" t="n">
        <v>-135.2249609294165</v>
      </c>
      <c r="AR4" t="n">
        <v>992.3748642623405</v>
      </c>
      <c r="AS4" t="n">
        <v>10853.04127275843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0</v>
      </c>
      <c r="D5" t="n">
        <v>1798.638457797309</v>
      </c>
      <c r="E5" t="n">
        <v>0.164778261252233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18.21448908093933</v>
      </c>
      <c r="L5" t="n">
        <v>0.03995901930917437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13.00605971827794</v>
      </c>
      <c r="U5" t="n">
        <v>4.147630978779768</v>
      </c>
      <c r="V5" t="n">
        <v>1.546784089694946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O5" t="n">
        <v>1835.758158945563</v>
      </c>
      <c r="AP5" t="n">
        <v>729.4756277791305</v>
      </c>
      <c r="AQ5" t="n">
        <v>34.00845221841193</v>
      </c>
      <c r="AR5" t="n">
        <v>736.0931757944692</v>
      </c>
      <c r="AS5" t="n">
        <v>3335.335414737574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0</v>
      </c>
      <c r="D6" t="n">
        <v>0</v>
      </c>
      <c r="E6" t="n">
        <v>12304.93964944596</v>
      </c>
      <c r="F6" t="n">
        <v>0</v>
      </c>
      <c r="G6" t="n">
        <v>0.08059080691164436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0.0437473893285844</v>
      </c>
      <c r="U6" t="n">
        <v>10.7253197690625</v>
      </c>
      <c r="V6" t="n">
        <v>0.016390353590334</v>
      </c>
      <c r="W6" t="n">
        <v>5.427043668672541</v>
      </c>
      <c r="X6" t="n">
        <v>0</v>
      </c>
      <c r="Y6" t="n">
        <v>0</v>
      </c>
      <c r="Z6" t="n">
        <v>0</v>
      </c>
      <c r="AA6" t="n">
        <v>0</v>
      </c>
      <c r="AB6" t="n">
        <v>0.5873813673691644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O6" t="n">
        <v>12321.82012280089</v>
      </c>
      <c r="AP6" t="n">
        <v>6178.06786303544</v>
      </c>
      <c r="AQ6" t="n">
        <v>2905.022358145186</v>
      </c>
      <c r="AR6" t="n">
        <v>3733.604159268944</v>
      </c>
      <c r="AS6" t="n">
        <v>25138.51450325046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0</v>
      </c>
      <c r="D7" t="n">
        <v>0</v>
      </c>
      <c r="E7" t="n">
        <v>0</v>
      </c>
      <c r="F7" t="n">
        <v>737.1174365791858</v>
      </c>
      <c r="G7" t="n">
        <v>0.02094667632257889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0.236781167463113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O7" t="n">
        <v>737.3751644229715</v>
      </c>
      <c r="AP7" t="n">
        <v>1320.706786599219</v>
      </c>
      <c r="AQ7" t="n">
        <v>258.1576243226255</v>
      </c>
      <c r="AR7" t="n">
        <v>1966.38180412762</v>
      </c>
      <c r="AS7" t="n">
        <v>4282.621379472435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0</v>
      </c>
      <c r="D8" t="n">
        <v>0</v>
      </c>
      <c r="E8" t="n">
        <v>0</v>
      </c>
      <c r="F8" t="n">
        <v>0</v>
      </c>
      <c r="G8" t="n">
        <v>637.4342118577883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2.084860031367932</v>
      </c>
      <c r="R8" t="n">
        <v>0</v>
      </c>
      <c r="S8" t="n">
        <v>0</v>
      </c>
      <c r="T8" t="n">
        <v>0</v>
      </c>
      <c r="U8" t="n">
        <v>3.580628831589047</v>
      </c>
      <c r="V8" t="n">
        <v>0</v>
      </c>
      <c r="W8" t="n">
        <v>0</v>
      </c>
      <c r="X8" t="n">
        <v>0.03139746954148339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O8" t="n">
        <v>643.1310981902868</v>
      </c>
      <c r="AP8" t="n">
        <v>588.7694188996153</v>
      </c>
      <c r="AQ8" t="n">
        <v>167.0766260820975</v>
      </c>
      <c r="AR8" t="n">
        <v>1104.443162754562</v>
      </c>
      <c r="AS8" t="n">
        <v>2503.420305926562</v>
      </c>
    </row>
    <row r="9">
      <c r="A9" t="n">
        <v>19</v>
      </c>
      <c r="B9" t="inlineStr">
        <is>
          <t>Coke and refined petroleum products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271.0429635898901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O9" t="n">
        <v>271.0429635898901</v>
      </c>
      <c r="AP9" t="n">
        <v>1177.686837321951</v>
      </c>
      <c r="AQ9" t="n">
        <v>1071.302237217106</v>
      </c>
      <c r="AR9" t="n">
        <v>2629.492399714411</v>
      </c>
      <c r="AS9" t="n">
        <v>5149.524437843358</v>
      </c>
    </row>
    <row r="10">
      <c r="A10" t="n">
        <v>20</v>
      </c>
      <c r="B10" t="inlineStr">
        <is>
          <t xml:space="preserve">Chemicals and chemical products </t>
        </is>
      </c>
      <c r="C10" t="n">
        <v>0</v>
      </c>
      <c r="D10" t="n">
        <v>0</v>
      </c>
      <c r="E10" t="n">
        <v>0.01221065328776658</v>
      </c>
      <c r="F10" t="n">
        <v>0</v>
      </c>
      <c r="G10" t="n">
        <v>1.680896355286349</v>
      </c>
      <c r="H10" t="n">
        <v>0</v>
      </c>
      <c r="I10" t="n">
        <v>827.6507804077261</v>
      </c>
      <c r="J10" t="n">
        <v>1.073438243690031</v>
      </c>
      <c r="K10" t="n">
        <v>1.388227470694724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1.490379521011852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O10" t="n">
        <v>833.2959326516967</v>
      </c>
      <c r="AP10" t="n">
        <v>1107.880015598652</v>
      </c>
      <c r="AQ10" t="n">
        <v>191.8235586749359</v>
      </c>
      <c r="AR10" t="n">
        <v>2127.830867509259</v>
      </c>
      <c r="AS10" t="n">
        <v>4260.830374434543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333.3508429167492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O11" t="n">
        <v>333.3508429167492</v>
      </c>
      <c r="AP11" t="n">
        <v>839.2528333424227</v>
      </c>
      <c r="AQ11" t="n">
        <v>216.8895067938066</v>
      </c>
      <c r="AR11" t="n">
        <v>1457.492485118878</v>
      </c>
      <c r="AS11" t="n">
        <v>2846.985668171857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0</v>
      </c>
      <c r="D12" t="n">
        <v>20.25237106709941</v>
      </c>
      <c r="E12" t="n">
        <v>2.431905994668278</v>
      </c>
      <c r="F12" t="n">
        <v>1.878945485977757</v>
      </c>
      <c r="G12" t="n">
        <v>0</v>
      </c>
      <c r="H12" t="n">
        <v>0</v>
      </c>
      <c r="I12" t="n">
        <v>5.276061563915833</v>
      </c>
      <c r="J12" t="n">
        <v>0</v>
      </c>
      <c r="K12" t="n">
        <v>2899.664686632928</v>
      </c>
      <c r="L12" t="n">
        <v>13.19218534148612</v>
      </c>
      <c r="M12" t="n">
        <v>0</v>
      </c>
      <c r="N12" t="n">
        <v>1.496780140769805</v>
      </c>
      <c r="O12" t="n">
        <v>0.1883022688673007</v>
      </c>
      <c r="P12" t="n">
        <v>0</v>
      </c>
      <c r="Q12" t="n">
        <v>0.2621850108239384</v>
      </c>
      <c r="R12" t="n">
        <v>0.001186886393195928</v>
      </c>
      <c r="S12" t="n">
        <v>0</v>
      </c>
      <c r="T12" t="n">
        <v>82.74903480709324</v>
      </c>
      <c r="U12" t="n">
        <v>2.693708908078925</v>
      </c>
      <c r="V12" t="n">
        <v>3.684919714715707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0.0152538127902794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O12" t="n">
        <v>3033.787527635608</v>
      </c>
      <c r="AP12" t="n">
        <v>1786.668737243768</v>
      </c>
      <c r="AQ12" t="n">
        <v>531.4125761189429</v>
      </c>
      <c r="AR12" t="n">
        <v>2391.535891677056</v>
      </c>
      <c r="AS12" t="n">
        <v>7743.404732675374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0</v>
      </c>
      <c r="D13" t="n">
        <v>0</v>
      </c>
      <c r="E13" t="n">
        <v>1.605625725996562</v>
      </c>
      <c r="F13" t="n">
        <v>8.379335033627726</v>
      </c>
      <c r="G13" t="n">
        <v>0</v>
      </c>
      <c r="H13" t="n">
        <v>0</v>
      </c>
      <c r="I13" t="n">
        <v>0</v>
      </c>
      <c r="J13" t="n">
        <v>0</v>
      </c>
      <c r="K13" t="n">
        <v>29.72766761724251</v>
      </c>
      <c r="L13" t="n">
        <v>1907.551566034067</v>
      </c>
      <c r="M13" t="n">
        <v>0</v>
      </c>
      <c r="N13" t="n">
        <v>0.09964633708758909</v>
      </c>
      <c r="O13" t="n">
        <v>0</v>
      </c>
      <c r="P13" t="n">
        <v>0</v>
      </c>
      <c r="Q13" t="n">
        <v>2.325126066936002</v>
      </c>
      <c r="R13" t="n">
        <v>0</v>
      </c>
      <c r="S13" t="n">
        <v>0</v>
      </c>
      <c r="T13" t="n">
        <v>0</v>
      </c>
      <c r="U13" t="n">
        <v>6.309695438222458</v>
      </c>
      <c r="V13" t="n">
        <v>0.1410656842062409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O13" t="n">
        <v>1956.139727937386</v>
      </c>
      <c r="AP13" t="n">
        <v>1205.131262566828</v>
      </c>
      <c r="AQ13" t="n">
        <v>321.8035066842911</v>
      </c>
      <c r="AR13" t="n">
        <v>2941.200250826337</v>
      </c>
      <c r="AS13" t="n">
        <v>6424.274748014842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5.632497910200534</v>
      </c>
      <c r="N14" t="n">
        <v>0</v>
      </c>
      <c r="O14" t="n">
        <v>0</v>
      </c>
      <c r="P14" t="n">
        <v>0</v>
      </c>
      <c r="Q14" t="n">
        <v>0.06573551441653878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O14" t="n">
        <v>5.698233424617073</v>
      </c>
      <c r="AP14" t="n">
        <v>805.2816283911524</v>
      </c>
      <c r="AQ14" t="n">
        <v>299.5988006237954</v>
      </c>
      <c r="AR14" t="n">
        <v>2125.119262317392</v>
      </c>
      <c r="AS14" t="n">
        <v>3235.697924756957</v>
      </c>
    </row>
    <row r="15">
      <c r="A15" t="n">
        <v>27</v>
      </c>
      <c r="B15" t="inlineStr">
        <is>
          <t xml:space="preserve">Electrical equipment 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198.7254805315055</v>
      </c>
      <c r="O15" t="n">
        <v>0</v>
      </c>
      <c r="P15" t="n">
        <v>0</v>
      </c>
      <c r="Q15" t="n">
        <v>0.9354197909026505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O15" t="n">
        <v>199.6609003224081</v>
      </c>
      <c r="AP15" t="n">
        <v>892.2238692286099</v>
      </c>
      <c r="AQ15" t="n">
        <v>259.3461502447523</v>
      </c>
      <c r="AR15" t="n">
        <v>1501.8532804807</v>
      </c>
      <c r="AS15" t="n">
        <v>2853.084200276471</v>
      </c>
    </row>
    <row r="16">
      <c r="A16" t="n">
        <v>28</v>
      </c>
      <c r="B16" t="inlineStr">
        <is>
          <t xml:space="preserve">Machinery and equipment n.e.c. 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5.353752910866023</v>
      </c>
      <c r="M16" t="n">
        <v>0</v>
      </c>
      <c r="N16" t="n">
        <v>0</v>
      </c>
      <c r="O16" t="n">
        <v>48.66703606783844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O16" t="n">
        <v>54.02078897870446</v>
      </c>
      <c r="AP16" t="n">
        <v>873.1269957647071</v>
      </c>
      <c r="AQ16" t="n">
        <v>258.9402847022027</v>
      </c>
      <c r="AR16" t="n">
        <v>2342.073822116839</v>
      </c>
      <c r="AS16" t="n">
        <v>3528.161891562454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93.79112390833504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O17" t="n">
        <v>93.79112390833504</v>
      </c>
      <c r="AP17" t="n">
        <v>2303.363756242055</v>
      </c>
      <c r="AQ17" t="n">
        <v>603.6999983219411</v>
      </c>
      <c r="AR17" t="n">
        <v>9436.700690280741</v>
      </c>
      <c r="AS17" t="n">
        <v>12437.55556875307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0</v>
      </c>
      <c r="D18" t="n">
        <v>0</v>
      </c>
      <c r="E18" t="n">
        <v>0.2240572479551329</v>
      </c>
      <c r="F18" t="n">
        <v>0.0901026575481565</v>
      </c>
      <c r="G18" t="n">
        <v>0.2709330975683882</v>
      </c>
      <c r="H18" t="n">
        <v>0</v>
      </c>
      <c r="I18" t="n">
        <v>0</v>
      </c>
      <c r="J18" t="n">
        <v>0</v>
      </c>
      <c r="K18" t="n">
        <v>2.809473154950473</v>
      </c>
      <c r="L18" t="n">
        <v>2.268439938919858</v>
      </c>
      <c r="M18" t="n">
        <v>0</v>
      </c>
      <c r="N18" t="n">
        <v>0</v>
      </c>
      <c r="O18" t="n">
        <v>0.6373740715479034</v>
      </c>
      <c r="P18" t="n">
        <v>0</v>
      </c>
      <c r="Q18" t="n">
        <v>565.0159414589584</v>
      </c>
      <c r="R18" t="n">
        <v>0.09780914968801603</v>
      </c>
      <c r="S18" t="n">
        <v>0</v>
      </c>
      <c r="T18" t="n">
        <v>0.03787548403686997</v>
      </c>
      <c r="U18" t="n">
        <v>4.674197013985161</v>
      </c>
      <c r="V18" t="n">
        <v>1.320424065971362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29.50937711148711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5.947302245763217</v>
      </c>
      <c r="AJ18" t="n">
        <v>0</v>
      </c>
      <c r="AK18" t="n">
        <v>0</v>
      </c>
      <c r="AL18" t="n">
        <v>0</v>
      </c>
      <c r="AM18" t="n">
        <v>0</v>
      </c>
      <c r="AO18" t="n">
        <v>612.90330669838</v>
      </c>
      <c r="AP18" t="n">
        <v>560.6575907967364</v>
      </c>
      <c r="AQ18" t="n">
        <v>193.1040102193224</v>
      </c>
      <c r="AR18" t="n">
        <v>1078.088875358336</v>
      </c>
      <c r="AS18" t="n">
        <v>2444.753783072775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0</v>
      </c>
      <c r="D19" t="n">
        <v>0</v>
      </c>
      <c r="E19" t="n">
        <v>0.6613660795481877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1.699560498946598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2816.051042891725</v>
      </c>
      <c r="S19" t="n">
        <v>97.93221056429675</v>
      </c>
      <c r="T19" t="n">
        <v>1.755798865570496</v>
      </c>
      <c r="U19" t="n">
        <v>91.76817902430446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O19" t="n">
        <v>3009.868157924392</v>
      </c>
      <c r="AP19" t="n">
        <v>0</v>
      </c>
      <c r="AQ19" t="n">
        <v>372.1390872039198</v>
      </c>
      <c r="AR19" t="n">
        <v>1106.261676386039</v>
      </c>
      <c r="AS19" t="n">
        <v>4488.268921514351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0</v>
      </c>
      <c r="D20" t="n">
        <v>0</v>
      </c>
      <c r="E20" t="n">
        <v>0.7204778629403794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687.5663331423164</v>
      </c>
      <c r="T20" t="n">
        <v>0</v>
      </c>
      <c r="U20" t="n">
        <v>0.4673757240606577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O20" t="n">
        <v>688.7541867293173</v>
      </c>
      <c r="AP20" t="n">
        <v>0</v>
      </c>
      <c r="AQ20" t="n">
        <v>48.61994984235253</v>
      </c>
      <c r="AR20" t="n">
        <v>58.60379886944452</v>
      </c>
      <c r="AS20" t="n">
        <v>795.9779354411144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0</v>
      </c>
      <c r="D21" t="n">
        <v>5.91233166189304</v>
      </c>
      <c r="E21" t="n">
        <v>0</v>
      </c>
      <c r="F21" t="n">
        <v>0</v>
      </c>
      <c r="G21" t="n">
        <v>2.470122884223449</v>
      </c>
      <c r="H21" t="n">
        <v>1.531122836155027</v>
      </c>
      <c r="I21" t="n">
        <v>0.3938378145394497</v>
      </c>
      <c r="J21" t="n">
        <v>0</v>
      </c>
      <c r="K21" t="n">
        <v>116.7900171895291</v>
      </c>
      <c r="L21" t="n">
        <v>48.83488709359356</v>
      </c>
      <c r="M21" t="n">
        <v>0</v>
      </c>
      <c r="N21" t="n">
        <v>0</v>
      </c>
      <c r="O21" t="n">
        <v>0</v>
      </c>
      <c r="P21" t="n">
        <v>0</v>
      </c>
      <c r="Q21" t="n">
        <v>30.75857476518575</v>
      </c>
      <c r="R21" t="n">
        <v>87.36184170843396</v>
      </c>
      <c r="S21" t="n">
        <v>24.14656503468356</v>
      </c>
      <c r="T21" t="n">
        <v>14915.56647927997</v>
      </c>
      <c r="U21" t="n">
        <v>11.09417655471291</v>
      </c>
      <c r="V21" t="n">
        <v>5.575551773036054</v>
      </c>
      <c r="W21" t="n">
        <v>77.85321581942839</v>
      </c>
      <c r="X21" t="n">
        <v>0</v>
      </c>
      <c r="Y21" t="n">
        <v>7.294739563801694</v>
      </c>
      <c r="Z21" t="n">
        <v>0</v>
      </c>
      <c r="AA21" t="n">
        <v>0</v>
      </c>
      <c r="AB21" t="n">
        <v>1.765034038930955</v>
      </c>
      <c r="AC21" t="n">
        <v>0.8733341685237359</v>
      </c>
      <c r="AD21" t="n">
        <v>0</v>
      </c>
      <c r="AE21" t="n">
        <v>0</v>
      </c>
      <c r="AF21" t="n">
        <v>0.545781626589236</v>
      </c>
      <c r="AG21" t="n">
        <v>0</v>
      </c>
      <c r="AH21" t="n">
        <v>0</v>
      </c>
      <c r="AI21" t="n">
        <v>3.033911191799126</v>
      </c>
      <c r="AJ21" t="n">
        <v>0</v>
      </c>
      <c r="AK21" t="n">
        <v>0</v>
      </c>
      <c r="AL21" t="n">
        <v>0</v>
      </c>
      <c r="AM21" t="n">
        <v>0</v>
      </c>
      <c r="AO21" t="n">
        <v>15341.80152500503</v>
      </c>
      <c r="AP21" t="n">
        <v>0</v>
      </c>
      <c r="AQ21" t="n">
        <v>1482.263162479832</v>
      </c>
      <c r="AR21" t="n">
        <v>0</v>
      </c>
      <c r="AS21" t="n">
        <v>16824.06468748486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0</v>
      </c>
      <c r="D22" t="n">
        <v>33.41859618217487</v>
      </c>
      <c r="E22" t="n">
        <v>381.5312208308173</v>
      </c>
      <c r="F22" t="n">
        <v>23.19416433083047</v>
      </c>
      <c r="G22" t="n">
        <v>41.95696481824379</v>
      </c>
      <c r="H22" t="n">
        <v>6.336810522571007</v>
      </c>
      <c r="I22" t="n">
        <v>35.47676702910475</v>
      </c>
      <c r="J22" t="n">
        <v>2.001525256832334</v>
      </c>
      <c r="K22" t="n">
        <v>104.1848936661056</v>
      </c>
      <c r="L22" t="n">
        <v>748.1348791569579</v>
      </c>
      <c r="M22" t="n">
        <v>0</v>
      </c>
      <c r="N22" t="n">
        <v>0.9915363615874841</v>
      </c>
      <c r="O22" t="n">
        <v>3.833838331205271</v>
      </c>
      <c r="P22" t="n">
        <v>0.07140854943990269</v>
      </c>
      <c r="Q22" t="n">
        <v>12.7062429919806</v>
      </c>
      <c r="R22" t="n">
        <v>0</v>
      </c>
      <c r="S22" t="n">
        <v>0</v>
      </c>
      <c r="T22" t="n">
        <v>54.70409082064591</v>
      </c>
      <c r="U22" t="n">
        <v>17369.79722090267</v>
      </c>
      <c r="V22" t="n">
        <v>99.65599686914202</v>
      </c>
      <c r="W22" t="n">
        <v>4.676163235541256</v>
      </c>
      <c r="X22" t="n">
        <v>0.1996558892581335</v>
      </c>
      <c r="Y22" t="n">
        <v>4.700095815370101</v>
      </c>
      <c r="Z22" t="n">
        <v>3.434350986346589</v>
      </c>
      <c r="AA22" t="n">
        <v>0</v>
      </c>
      <c r="AB22" t="n">
        <v>169.6313400832946</v>
      </c>
      <c r="AC22" t="n">
        <v>0</v>
      </c>
      <c r="AD22" t="n">
        <v>0</v>
      </c>
      <c r="AE22" t="n">
        <v>204.3097986776075</v>
      </c>
      <c r="AF22" t="n">
        <v>35.35781934510666</v>
      </c>
      <c r="AG22" t="n">
        <v>0</v>
      </c>
      <c r="AH22" t="n">
        <v>0.7975620663182059</v>
      </c>
      <c r="AI22" t="n">
        <v>7.205755866654969</v>
      </c>
      <c r="AJ22" t="n">
        <v>0</v>
      </c>
      <c r="AK22" t="n">
        <v>0.2786794220621002</v>
      </c>
      <c r="AL22" t="n">
        <v>14.87446052672793</v>
      </c>
      <c r="AM22" t="n">
        <v>0</v>
      </c>
      <c r="AO22" t="n">
        <v>19363.46183853459</v>
      </c>
      <c r="AP22" t="n">
        <v>-19144.65152859777</v>
      </c>
      <c r="AQ22" t="n">
        <v>6.192536206469475</v>
      </c>
      <c r="AR22" t="n">
        <v>0</v>
      </c>
      <c r="AS22" t="n">
        <v>225.0028461432931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0</v>
      </c>
      <c r="D23" t="n">
        <v>5.264918839363051</v>
      </c>
      <c r="E23" t="n">
        <v>0.1322686448838772</v>
      </c>
      <c r="F23" t="n">
        <v>0</v>
      </c>
      <c r="G23" t="n">
        <v>2.5707964858357</v>
      </c>
      <c r="H23" t="n">
        <v>0</v>
      </c>
      <c r="I23" t="n">
        <v>2.317534756889837</v>
      </c>
      <c r="J23" t="n">
        <v>0</v>
      </c>
      <c r="K23" t="n">
        <v>11.49987163552035</v>
      </c>
      <c r="L23" t="n">
        <v>0.1924606676657651</v>
      </c>
      <c r="M23" t="n">
        <v>0</v>
      </c>
      <c r="N23" t="n">
        <v>0</v>
      </c>
      <c r="O23" t="n">
        <v>0.1619834119769105</v>
      </c>
      <c r="P23" t="n">
        <v>0</v>
      </c>
      <c r="Q23" t="n">
        <v>1.331399142858527</v>
      </c>
      <c r="R23" t="n">
        <v>0</v>
      </c>
      <c r="S23" t="n">
        <v>0</v>
      </c>
      <c r="T23" t="n">
        <v>3.665632651482965</v>
      </c>
      <c r="U23" t="n">
        <v>19.00688084317987</v>
      </c>
      <c r="V23" t="n">
        <v>8230.194157197066</v>
      </c>
      <c r="W23" t="n">
        <v>0</v>
      </c>
      <c r="X23" t="n">
        <v>0</v>
      </c>
      <c r="Y23" t="n">
        <v>0</v>
      </c>
      <c r="Z23" t="n">
        <v>28.87652389999077</v>
      </c>
      <c r="AA23" t="n">
        <v>0</v>
      </c>
      <c r="AB23" t="n">
        <v>14.131767154723</v>
      </c>
      <c r="AC23" t="n">
        <v>0</v>
      </c>
      <c r="AD23" t="n">
        <v>0</v>
      </c>
      <c r="AE23" t="n">
        <v>0</v>
      </c>
      <c r="AF23" t="n">
        <v>0.5269234401367838</v>
      </c>
      <c r="AG23" t="n">
        <v>0</v>
      </c>
      <c r="AH23" t="n">
        <v>0.1570784991181808</v>
      </c>
      <c r="AI23" t="n">
        <v>0.893518853865493</v>
      </c>
      <c r="AJ23" t="n">
        <v>0</v>
      </c>
      <c r="AK23" t="n">
        <v>0</v>
      </c>
      <c r="AL23" t="n">
        <v>0</v>
      </c>
      <c r="AM23" t="n">
        <v>0</v>
      </c>
      <c r="AO23" t="n">
        <v>8320.923716124556</v>
      </c>
      <c r="AP23" t="n">
        <v>-3395.619317683253</v>
      </c>
      <c r="AQ23" t="n">
        <v>469.0283319755392</v>
      </c>
      <c r="AR23" t="n">
        <v>5909.978868511694</v>
      </c>
      <c r="AS23" t="n">
        <v>11304.31159892854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</v>
      </c>
      <c r="D24" t="n">
        <v>0</v>
      </c>
      <c r="E24" t="n">
        <v>21.41780548411099</v>
      </c>
      <c r="F24" t="n">
        <v>0</v>
      </c>
      <c r="G24" t="n">
        <v>0.4241888834125723</v>
      </c>
      <c r="H24" t="n">
        <v>0</v>
      </c>
      <c r="I24" t="n">
        <v>0</v>
      </c>
      <c r="J24" t="n">
        <v>0</v>
      </c>
      <c r="K24" t="n">
        <v>0.009356312259359451</v>
      </c>
      <c r="L24" t="n">
        <v>0.1174063779098806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25.92995837807146</v>
      </c>
      <c r="U24" t="n">
        <v>2.506976171577437</v>
      </c>
      <c r="V24" t="n">
        <v>0.1390509477003598</v>
      </c>
      <c r="W24" t="n">
        <v>5348.875928881003</v>
      </c>
      <c r="X24" t="n">
        <v>6.306682931592169</v>
      </c>
      <c r="Y24" t="n">
        <v>0</v>
      </c>
      <c r="Z24" t="n">
        <v>0</v>
      </c>
      <c r="AA24" t="n">
        <v>0</v>
      </c>
      <c r="AB24" t="n">
        <v>9.587457074528398</v>
      </c>
      <c r="AC24" t="n">
        <v>0.2469429356602028</v>
      </c>
      <c r="AD24" t="n">
        <v>0</v>
      </c>
      <c r="AE24" t="n">
        <v>0</v>
      </c>
      <c r="AF24" t="n">
        <v>1.101127054097125</v>
      </c>
      <c r="AG24" t="n">
        <v>0</v>
      </c>
      <c r="AH24" t="n">
        <v>1.809833242555149</v>
      </c>
      <c r="AI24" t="n">
        <v>0.589738953439747</v>
      </c>
      <c r="AJ24" t="n">
        <v>0.5113527652606144</v>
      </c>
      <c r="AK24" t="n">
        <v>0.8294315676000683</v>
      </c>
      <c r="AL24" t="n">
        <v>0.8570943923032204</v>
      </c>
      <c r="AM24" t="n">
        <v>0</v>
      </c>
      <c r="AO24" t="n">
        <v>5421.260332353082</v>
      </c>
      <c r="AP24" t="n">
        <v>0</v>
      </c>
      <c r="AQ24" t="n">
        <v>252.9174322851291</v>
      </c>
      <c r="AR24" t="n">
        <v>527.1752763235687</v>
      </c>
      <c r="AS24" t="n">
        <v>6201.35304096178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1073.380579974336</v>
      </c>
      <c r="Y25" t="n">
        <v>0</v>
      </c>
      <c r="Z25" t="n">
        <v>2.208896862542521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0.1786968575187158</v>
      </c>
      <c r="AI25" t="n">
        <v>0.010176318384086</v>
      </c>
      <c r="AJ25" t="n">
        <v>0</v>
      </c>
      <c r="AK25" t="n">
        <v>0</v>
      </c>
      <c r="AL25" t="n">
        <v>0</v>
      </c>
      <c r="AM25" t="n">
        <v>0</v>
      </c>
      <c r="AO25" t="n">
        <v>1075.778350012781</v>
      </c>
      <c r="AP25" t="n">
        <v>0</v>
      </c>
      <c r="AQ25" t="n">
        <v>52.59774221920573</v>
      </c>
      <c r="AR25" t="n">
        <v>44.9288225551615</v>
      </c>
      <c r="AS25" t="n">
        <v>1173.304914787148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1.802761425204996</v>
      </c>
      <c r="W26" t="n">
        <v>0</v>
      </c>
      <c r="X26" t="n">
        <v>1.076469127085526</v>
      </c>
      <c r="Y26" t="n">
        <v>1862.469011480937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O26" t="n">
        <v>1865.348242033227</v>
      </c>
      <c r="AP26" t="n">
        <v>0</v>
      </c>
      <c r="AQ26" t="n">
        <v>176.9645790385716</v>
      </c>
      <c r="AR26" t="n">
        <v>121.1412001927399</v>
      </c>
      <c r="AS26" t="n">
        <v>2163.454021264539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2.091323148695404</v>
      </c>
      <c r="V27" t="n">
        <v>0</v>
      </c>
      <c r="W27" t="n">
        <v>0</v>
      </c>
      <c r="X27" t="n">
        <v>0</v>
      </c>
      <c r="Y27" t="n">
        <v>0</v>
      </c>
      <c r="Z27" t="n">
        <v>2643.413942446295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8.742527945362852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O27" t="n">
        <v>2654.247793540353</v>
      </c>
      <c r="AP27" t="n">
        <v>0</v>
      </c>
      <c r="AQ27" t="n">
        <v>69.1567932501317</v>
      </c>
      <c r="AR27" t="n">
        <v>346.4408714377437</v>
      </c>
      <c r="AS27" t="n">
        <v>3069.845458228228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0.008745914802974566</v>
      </c>
      <c r="V28" t="n">
        <v>7.539900526619842</v>
      </c>
      <c r="W28" t="n">
        <v>0</v>
      </c>
      <c r="X28" t="n">
        <v>0</v>
      </c>
      <c r="Y28" t="n">
        <v>0</v>
      </c>
      <c r="Z28" t="n">
        <v>0</v>
      </c>
      <c r="AA28" t="n">
        <v>4876.601563772838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O28" t="n">
        <v>4884.15021021426</v>
      </c>
      <c r="AP28" t="n">
        <v>0</v>
      </c>
      <c r="AQ28" t="n">
        <v>0</v>
      </c>
      <c r="AR28" t="n">
        <v>648.2372459803428</v>
      </c>
      <c r="AS28" t="n">
        <v>5532.387456194603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0</v>
      </c>
      <c r="D29" t="n">
        <v>1.369156220623969</v>
      </c>
      <c r="E29" t="n">
        <v>14.24904689213372</v>
      </c>
      <c r="F29" t="n">
        <v>1.017197047011081</v>
      </c>
      <c r="G29" t="n">
        <v>2.085930083242327</v>
      </c>
      <c r="H29" t="n">
        <v>0</v>
      </c>
      <c r="I29" t="n">
        <v>1.58125909144003</v>
      </c>
      <c r="J29" t="n">
        <v>0.0365759432434373</v>
      </c>
      <c r="K29" t="n">
        <v>2.248660791295702</v>
      </c>
      <c r="L29" t="n">
        <v>10.82222466912931</v>
      </c>
      <c r="M29" t="n">
        <v>0</v>
      </c>
      <c r="N29" t="n">
        <v>0.02436982887421141</v>
      </c>
      <c r="O29" t="n">
        <v>1.590911280844899</v>
      </c>
      <c r="P29" t="n">
        <v>0.3534076339125396</v>
      </c>
      <c r="Q29" t="n">
        <v>3.258292876622179</v>
      </c>
      <c r="R29" t="n">
        <v>0.5761713021078877</v>
      </c>
      <c r="S29" t="n">
        <v>1.346848286966714</v>
      </c>
      <c r="T29" t="n">
        <v>80.41073965141399</v>
      </c>
      <c r="U29" t="n">
        <v>21.57868813304137</v>
      </c>
      <c r="V29" t="n">
        <v>81.1010610100054</v>
      </c>
      <c r="W29" t="n">
        <v>60.53145212693358</v>
      </c>
      <c r="X29" t="n">
        <v>0.9402077014799068</v>
      </c>
      <c r="Y29" t="n">
        <v>2.952417260575212</v>
      </c>
      <c r="Z29" t="n">
        <v>0</v>
      </c>
      <c r="AA29" t="n">
        <v>0</v>
      </c>
      <c r="AB29" t="n">
        <v>8655.996898095709</v>
      </c>
      <c r="AC29" t="n">
        <v>3.154264431622222</v>
      </c>
      <c r="AD29" t="n">
        <v>0.0479026018362625</v>
      </c>
      <c r="AE29" t="n">
        <v>0.003966398899421989</v>
      </c>
      <c r="AF29" t="n">
        <v>1.109527579371167</v>
      </c>
      <c r="AG29" t="n">
        <v>0</v>
      </c>
      <c r="AH29" t="n">
        <v>2.302297841737594</v>
      </c>
      <c r="AI29" t="n">
        <v>10.35114437942977</v>
      </c>
      <c r="AJ29" t="n">
        <v>0</v>
      </c>
      <c r="AK29" t="n">
        <v>8.187683147903806</v>
      </c>
      <c r="AL29" t="n">
        <v>7.679653846796969</v>
      </c>
      <c r="AM29" t="n">
        <v>0</v>
      </c>
      <c r="AO29" t="n">
        <v>8976.907956154204</v>
      </c>
      <c r="AP29" t="n">
        <v>0</v>
      </c>
      <c r="AQ29" t="n">
        <v>22.60445931261654</v>
      </c>
      <c r="AR29" t="n">
        <v>0</v>
      </c>
      <c r="AS29" t="n">
        <v>8999.512415466821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0.7611127528842361</v>
      </c>
      <c r="J30" t="n">
        <v>0</v>
      </c>
      <c r="K30" t="n">
        <v>0.002778590027834859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0.270976953442932</v>
      </c>
      <c r="S30" t="n">
        <v>0</v>
      </c>
      <c r="T30" t="n">
        <v>3.73110931228573</v>
      </c>
      <c r="U30" t="n">
        <v>0.6798323667094812</v>
      </c>
      <c r="V30" t="n">
        <v>0.001773307368427048</v>
      </c>
      <c r="W30" t="n">
        <v>0</v>
      </c>
      <c r="X30" t="n">
        <v>0</v>
      </c>
      <c r="Y30" t="n">
        <v>0</v>
      </c>
      <c r="Z30" t="n">
        <v>2.235730730073427</v>
      </c>
      <c r="AA30" t="n">
        <v>0</v>
      </c>
      <c r="AB30" t="n">
        <v>1.877028769509537</v>
      </c>
      <c r="AC30" t="n">
        <v>1208.167794022163</v>
      </c>
      <c r="AD30" t="n">
        <v>0</v>
      </c>
      <c r="AE30" t="n">
        <v>0</v>
      </c>
      <c r="AF30" t="n">
        <v>0</v>
      </c>
      <c r="AG30" t="n">
        <v>0</v>
      </c>
      <c r="AH30" t="n">
        <v>0.01742080814307765</v>
      </c>
      <c r="AI30" t="n">
        <v>0.4363977307681131</v>
      </c>
      <c r="AJ30" t="n">
        <v>0</v>
      </c>
      <c r="AK30" t="n">
        <v>0</v>
      </c>
      <c r="AL30" t="n">
        <v>0.02415542172962229</v>
      </c>
      <c r="AM30" t="n">
        <v>0</v>
      </c>
      <c r="AO30" t="n">
        <v>1218.206110765106</v>
      </c>
      <c r="AP30" t="n">
        <v>0</v>
      </c>
      <c r="AQ30" t="n">
        <v>133.0972220285042</v>
      </c>
      <c r="AR30" t="n">
        <v>247.6036844277926</v>
      </c>
      <c r="AS30" t="n">
        <v>1598.907017221402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0.01560087221677517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263.6693119372668</v>
      </c>
      <c r="AE31" t="n">
        <v>0</v>
      </c>
      <c r="AF31" t="n">
        <v>0</v>
      </c>
      <c r="AG31" t="n">
        <v>0</v>
      </c>
      <c r="AH31" t="n">
        <v>0</v>
      </c>
      <c r="AI31" t="n">
        <v>0.475128372476305</v>
      </c>
      <c r="AJ31" t="n">
        <v>0</v>
      </c>
      <c r="AK31" t="n">
        <v>0</v>
      </c>
      <c r="AL31" t="n">
        <v>0</v>
      </c>
      <c r="AM31" t="n">
        <v>0</v>
      </c>
      <c r="AO31" t="n">
        <v>264.1600411819599</v>
      </c>
      <c r="AP31" t="n">
        <v>0</v>
      </c>
      <c r="AQ31" t="n">
        <v>-7.966375648829742</v>
      </c>
      <c r="AR31" t="n">
        <v>11.09261318340813</v>
      </c>
      <c r="AS31" t="n">
        <v>267.2862787165383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0</v>
      </c>
      <c r="D32" t="n">
        <v>0</v>
      </c>
      <c r="E32" t="n">
        <v>0</v>
      </c>
      <c r="F32" t="n">
        <v>0</v>
      </c>
      <c r="G32" t="n">
        <v>0.1573294745469443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14.77928701248515</v>
      </c>
      <c r="V32" t="n">
        <v>1.016739628469257</v>
      </c>
      <c r="W32" t="n">
        <v>0</v>
      </c>
      <c r="X32" t="n">
        <v>4.40712221597544</v>
      </c>
      <c r="Y32" t="n">
        <v>0</v>
      </c>
      <c r="Z32" t="n">
        <v>0.4791335203459035</v>
      </c>
      <c r="AA32" t="n">
        <v>0</v>
      </c>
      <c r="AB32" t="n">
        <v>0</v>
      </c>
      <c r="AC32" t="n">
        <v>0</v>
      </c>
      <c r="AD32" t="n">
        <v>0</v>
      </c>
      <c r="AE32" t="n">
        <v>680.2388912394763</v>
      </c>
      <c r="AF32" t="n">
        <v>0.2397038468457928</v>
      </c>
      <c r="AG32" t="n">
        <v>0</v>
      </c>
      <c r="AH32" t="n">
        <v>0</v>
      </c>
      <c r="AI32" t="n">
        <v>0</v>
      </c>
      <c r="AJ32" t="n">
        <v>0</v>
      </c>
      <c r="AK32" t="n">
        <v>2.430431711065054</v>
      </c>
      <c r="AL32" t="n">
        <v>0</v>
      </c>
      <c r="AM32" t="n">
        <v>0</v>
      </c>
      <c r="AO32" t="n">
        <v>703.7486386492099</v>
      </c>
      <c r="AP32" t="n">
        <v>0</v>
      </c>
      <c r="AQ32" t="n">
        <v>66.73122382408086</v>
      </c>
      <c r="AR32" t="n">
        <v>0.1022158671010934</v>
      </c>
      <c r="AS32" t="n">
        <v>770.5820783403918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0</v>
      </c>
      <c r="D33" t="n">
        <v>7.361719880535565</v>
      </c>
      <c r="E33" t="n">
        <v>11.32391855683376</v>
      </c>
      <c r="F33" t="n">
        <v>0</v>
      </c>
      <c r="G33" t="n">
        <v>0.2212276692592989</v>
      </c>
      <c r="H33" t="n">
        <v>0</v>
      </c>
      <c r="I33" t="n">
        <v>0.08431693523109299</v>
      </c>
      <c r="J33" t="n">
        <v>0</v>
      </c>
      <c r="K33" t="n">
        <v>3.818146848863651</v>
      </c>
      <c r="L33" t="n">
        <v>0.2455994288139257</v>
      </c>
      <c r="M33" t="n">
        <v>0</v>
      </c>
      <c r="N33" t="n">
        <v>0</v>
      </c>
      <c r="O33" t="n">
        <v>0</v>
      </c>
      <c r="P33" t="n">
        <v>0</v>
      </c>
      <c r="Q33" t="n">
        <v>0.166420587722077</v>
      </c>
      <c r="R33" t="n">
        <v>0.3747205350969277</v>
      </c>
      <c r="S33" t="n">
        <v>1.582795606975346</v>
      </c>
      <c r="T33" t="n">
        <v>3.908570349598785</v>
      </c>
      <c r="U33" t="n">
        <v>2.836781312835273</v>
      </c>
      <c r="V33" t="n">
        <v>20.29590381140041</v>
      </c>
      <c r="W33" t="n">
        <v>0.06077238974555761</v>
      </c>
      <c r="X33" t="n">
        <v>0.5453739400049562</v>
      </c>
      <c r="Y33" t="n">
        <v>0.8460596352402421</v>
      </c>
      <c r="Z33" t="n">
        <v>0</v>
      </c>
      <c r="AA33" t="n">
        <v>0</v>
      </c>
      <c r="AB33" t="n">
        <v>3.756445323699452</v>
      </c>
      <c r="AC33" t="n">
        <v>0.001169793025343369</v>
      </c>
      <c r="AD33" t="n">
        <v>0</v>
      </c>
      <c r="AE33" t="n">
        <v>0</v>
      </c>
      <c r="AF33" t="n">
        <v>1245.211809619276</v>
      </c>
      <c r="AG33" t="n">
        <v>0</v>
      </c>
      <c r="AH33" t="n">
        <v>0.001025023198625209</v>
      </c>
      <c r="AI33" t="n">
        <v>0.001229023959430676</v>
      </c>
      <c r="AJ33" t="n">
        <v>0</v>
      </c>
      <c r="AK33" t="n">
        <v>0.451502782971228</v>
      </c>
      <c r="AL33" t="n">
        <v>4.265350425124919</v>
      </c>
      <c r="AM33" t="n">
        <v>0</v>
      </c>
      <c r="AO33" t="n">
        <v>1307.360859479412</v>
      </c>
      <c r="AP33" t="n">
        <v>0</v>
      </c>
      <c r="AQ33" t="n">
        <v>87.76679637431732</v>
      </c>
      <c r="AR33" t="n">
        <v>531.2599061877969</v>
      </c>
      <c r="AS33" t="n">
        <v>1926.387562041527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6838.409546439488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O34" t="n">
        <v>6838.409546439488</v>
      </c>
      <c r="AP34" t="n">
        <v>0</v>
      </c>
      <c r="AQ34" t="n">
        <v>0</v>
      </c>
      <c r="AR34" t="n">
        <v>0</v>
      </c>
      <c r="AS34" t="n">
        <v>6838.409546439488</v>
      </c>
    </row>
    <row r="35">
      <c r="A35" t="n">
        <v>85</v>
      </c>
      <c r="B35" t="inlineStr">
        <is>
          <t xml:space="preserve">Education services </t>
        </is>
      </c>
      <c r="C35" t="n">
        <v>0</v>
      </c>
      <c r="D35" t="n">
        <v>0</v>
      </c>
      <c r="E35" t="n">
        <v>0</v>
      </c>
      <c r="F35" t="n">
        <v>0</v>
      </c>
      <c r="G35" t="n">
        <v>0.002907880892555983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0.115032059819265</v>
      </c>
      <c r="R35" t="n">
        <v>0</v>
      </c>
      <c r="S35" t="n">
        <v>0</v>
      </c>
      <c r="T35" t="n">
        <v>0</v>
      </c>
      <c r="U35" t="n">
        <v>0</v>
      </c>
      <c r="V35" t="n">
        <v>0.0896379986327884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0.1046339148723012</v>
      </c>
      <c r="AF35" t="n">
        <v>0</v>
      </c>
      <c r="AG35" t="n">
        <v>0</v>
      </c>
      <c r="AH35" t="n">
        <v>4219.069955639759</v>
      </c>
      <c r="AI35" t="n">
        <v>2.028094370387187</v>
      </c>
      <c r="AJ35" t="n">
        <v>0</v>
      </c>
      <c r="AK35" t="n">
        <v>0</v>
      </c>
      <c r="AL35" t="n">
        <v>0</v>
      </c>
      <c r="AM35" t="n">
        <v>0</v>
      </c>
      <c r="AO35" t="n">
        <v>4221.410261864363</v>
      </c>
      <c r="AP35" t="n">
        <v>0</v>
      </c>
      <c r="AQ35" t="n">
        <v>0</v>
      </c>
      <c r="AR35" t="n">
        <v>364.6587891794814</v>
      </c>
      <c r="AS35" t="n">
        <v>4586.069051043844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0.05931155687584661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0.07609622656320358</v>
      </c>
      <c r="U36" t="n">
        <v>0.1730856646890703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0.08079411635490753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1.335448149309529</v>
      </c>
      <c r="AI36" t="n">
        <v>3847.926656875924</v>
      </c>
      <c r="AJ36" t="n">
        <v>0</v>
      </c>
      <c r="AK36" t="n">
        <v>0</v>
      </c>
      <c r="AL36" t="n">
        <v>5.199460695692855</v>
      </c>
      <c r="AM36" t="n">
        <v>0</v>
      </c>
      <c r="AO36" t="n">
        <v>3854.850853285409</v>
      </c>
      <c r="AP36" t="n">
        <v>0</v>
      </c>
      <c r="AQ36" t="n">
        <v>0</v>
      </c>
      <c r="AR36" t="n">
        <v>117.709975743405</v>
      </c>
      <c r="AS36" t="n">
        <v>3972.560829028815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270.4256109560578</v>
      </c>
      <c r="AK37" t="n">
        <v>0</v>
      </c>
      <c r="AL37" t="n">
        <v>0</v>
      </c>
      <c r="AM37" t="n">
        <v>0</v>
      </c>
      <c r="AO37" t="n">
        <v>270.4256109560578</v>
      </c>
      <c r="AP37" t="n">
        <v>0</v>
      </c>
      <c r="AQ37" t="n">
        <v>0</v>
      </c>
      <c r="AR37" t="n">
        <v>0</v>
      </c>
      <c r="AS37" t="n">
        <v>270.4256109560578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0.1698469729222752</v>
      </c>
      <c r="V38" t="n">
        <v>0</v>
      </c>
      <c r="W38" t="n">
        <v>0.4221617387898665</v>
      </c>
      <c r="X38" t="n">
        <v>0.593437229230354</v>
      </c>
      <c r="Y38" t="n">
        <v>0</v>
      </c>
      <c r="Z38" t="n">
        <v>0.1230694654195785</v>
      </c>
      <c r="AA38" t="n">
        <v>0</v>
      </c>
      <c r="AB38" t="n">
        <v>6.138745045181513</v>
      </c>
      <c r="AC38" t="n">
        <v>0</v>
      </c>
      <c r="AD38" t="n">
        <v>0</v>
      </c>
      <c r="AE38" t="n">
        <v>5.891141640093666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4797.305794426902</v>
      </c>
      <c r="AL38" t="n">
        <v>0</v>
      </c>
      <c r="AM38" t="n">
        <v>0</v>
      </c>
      <c r="AO38" t="n">
        <v>4810.64419651854</v>
      </c>
      <c r="AP38" t="n">
        <v>0</v>
      </c>
      <c r="AQ38" t="n">
        <v>109.4016273284377</v>
      </c>
      <c r="AR38" t="n">
        <v>152.1752739144447</v>
      </c>
      <c r="AS38" t="n">
        <v>5072.221097761422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0.1103673963198568</v>
      </c>
      <c r="T39" t="n">
        <v>0</v>
      </c>
      <c r="U39" t="n">
        <v>0.9829564097798273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0.3500321687656537</v>
      </c>
      <c r="AJ39" t="n">
        <v>0</v>
      </c>
      <c r="AK39" t="n">
        <v>0</v>
      </c>
      <c r="AL39" t="n">
        <v>1119.952385042494</v>
      </c>
      <c r="AM39" t="n">
        <v>0</v>
      </c>
      <c r="AO39" t="n">
        <v>1121.395741017359</v>
      </c>
      <c r="AP39" t="n">
        <v>0</v>
      </c>
      <c r="AQ39" t="n">
        <v>35.37821901522877</v>
      </c>
      <c r="AR39" t="n">
        <v>66.6190832102432</v>
      </c>
      <c r="AS39" t="n">
        <v>1223.393043242831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83.1998834327881</v>
      </c>
      <c r="AO40" t="n">
        <v>83.1998834327881</v>
      </c>
      <c r="AP40" t="n">
        <v>0</v>
      </c>
      <c r="AQ40" t="n">
        <v>0</v>
      </c>
      <c r="AR40" t="n">
        <v>0</v>
      </c>
      <c r="AS40" t="n">
        <v>83.1998834327881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B42" t="inlineStr">
        <is>
          <t>Total</t>
        </is>
      </c>
      <c r="C42" t="n">
        <v>7823.913745954769</v>
      </c>
      <c r="D42" t="n">
        <v>1872.217551648999</v>
      </c>
      <c r="E42" t="n">
        <v>12739.41433168038</v>
      </c>
      <c r="F42" t="n">
        <v>771.6771811341811</v>
      </c>
      <c r="G42" t="n">
        <v>689.3770469735339</v>
      </c>
      <c r="H42" t="n">
        <v>278.9108969486161</v>
      </c>
      <c r="I42" t="n">
        <v>873.5416703517313</v>
      </c>
      <c r="J42" t="n">
        <v>336.4623823605151</v>
      </c>
      <c r="K42" t="n">
        <v>3190.358268990357</v>
      </c>
      <c r="L42" t="n">
        <v>2738.51223269454</v>
      </c>
      <c r="M42" t="n">
        <v>5.632497910200534</v>
      </c>
      <c r="N42" t="n">
        <v>201.3378131998246</v>
      </c>
      <c r="O42" t="n">
        <v>55.07944543228073</v>
      </c>
      <c r="P42" t="n">
        <v>94.21594009168749</v>
      </c>
      <c r="Q42" t="n">
        <v>619.0252302975938</v>
      </c>
      <c r="R42" t="n">
        <v>2904.733749426888</v>
      </c>
      <c r="S42" t="n">
        <v>812.6851200315585</v>
      </c>
      <c r="T42" t="n">
        <v>15185.58519293434</v>
      </c>
      <c r="U42" t="n">
        <v>17571.81529865687</v>
      </c>
      <c r="V42" t="n">
        <v>8454.122118402824</v>
      </c>
      <c r="W42" t="n">
        <v>5497.846737860115</v>
      </c>
      <c r="X42" t="n">
        <v>1087.480926478504</v>
      </c>
      <c r="Y42" t="n">
        <v>1878.262323755924</v>
      </c>
      <c r="Z42" t="n">
        <v>2680.771647911014</v>
      </c>
      <c r="AA42" t="n">
        <v>4876.601563772838</v>
      </c>
      <c r="AB42" t="n">
        <v>8863.552891069301</v>
      </c>
      <c r="AC42" t="n">
        <v>1241.952882462482</v>
      </c>
      <c r="AD42" t="n">
        <v>263.7172145391031</v>
      </c>
      <c r="AE42" t="n">
        <v>890.5484318709492</v>
      </c>
      <c r="AF42" t="n">
        <v>1292.835220456786</v>
      </c>
      <c r="AG42" t="n">
        <v>6838.409546439488</v>
      </c>
      <c r="AH42" t="n">
        <v>4225.684571940448</v>
      </c>
      <c r="AI42" t="n">
        <v>3879.249086351617</v>
      </c>
      <c r="AJ42" t="n">
        <v>270.9369637213184</v>
      </c>
      <c r="AK42" t="n">
        <v>4809.483523058504</v>
      </c>
      <c r="AL42" t="n">
        <v>1152.852560350869</v>
      </c>
      <c r="AM42" t="n">
        <v>83.1998834327881</v>
      </c>
      <c r="AN42" t="n">
        <v>0</v>
      </c>
      <c r="AO42" t="n">
        <v>127052.0036905937</v>
      </c>
      <c r="AP42" t="n">
        <v>4.092726157978177e-12</v>
      </c>
      <c r="AQ42" t="n">
        <v>10553.85351617551</v>
      </c>
      <c r="AR42" t="n">
        <v>46818.2742935783</v>
      </c>
      <c r="AS42" t="n">
        <v>184424.1315003476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Use, 2023 (Current prices, mil. GEL) </t>
        </is>
      </c>
    </row>
    <row r="2">
      <c r="A2" t="inlineStr">
        <is>
          <t xml:space="preserve">       NACE rev.2
CPA 2008</t>
        </is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Tot1</t>
        </is>
      </c>
      <c r="AP2" t="inlineStr">
        <is>
          <t>P31</t>
        </is>
      </c>
      <c r="AQ2" t="inlineStr">
        <is>
          <t>P32</t>
        </is>
      </c>
      <c r="AR2" t="inlineStr">
        <is>
          <t>P3</t>
        </is>
      </c>
      <c r="AS2" t="inlineStr">
        <is>
          <t>P6</t>
        </is>
      </c>
      <c r="AT2" t="inlineStr">
        <is>
          <t>P51</t>
        </is>
      </c>
      <c r="AU2" t="inlineStr">
        <is>
          <t>P52</t>
        </is>
      </c>
      <c r="AV2" t="inlineStr">
        <is>
          <t>P5</t>
        </is>
      </c>
      <c r="AW2" t="inlineStr">
        <is>
          <t>FD</t>
        </is>
      </c>
      <c r="AX2" t="inlineStr">
        <is>
          <t>Tot2</t>
        </is>
      </c>
    </row>
    <row r="3"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Intermediate consumption, total</t>
        </is>
      </c>
      <c r="AP3" t="inlineStr">
        <is>
          <t>Final consumption expenditure by households and non-profit organisations serving households (NPISH)</t>
        </is>
      </c>
      <c r="AQ3" t="inlineStr">
        <is>
          <t>Final consumption expenditure by government</t>
        </is>
      </c>
      <c r="AR3" t="inlineStr">
        <is>
          <t>Final consumption expenditure</t>
        </is>
      </c>
      <c r="AS3" t="inlineStr">
        <is>
          <t>Export, total</t>
        </is>
      </c>
      <c r="AT3" t="inlineStr">
        <is>
          <t>Gross fixed capital formation</t>
        </is>
      </c>
      <c r="AU3" t="inlineStr">
        <is>
          <t>Changes in inventories</t>
        </is>
      </c>
      <c r="AV3" t="inlineStr">
        <is>
          <t>Gross capital formation</t>
        </is>
      </c>
      <c r="AW3" t="inlineStr">
        <is>
          <t>Final uses</t>
        </is>
      </c>
      <c r="AX3" t="inlineStr">
        <is>
          <t>Use,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1386.919114593027</v>
      </c>
      <c r="D4" t="n">
        <v>0</v>
      </c>
      <c r="E4" t="n">
        <v>4837.598136241939</v>
      </c>
      <c r="F4" t="n">
        <v>5.187671442056035</v>
      </c>
      <c r="G4" t="n">
        <v>15.78993296429686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0.3099775261765742</v>
      </c>
      <c r="R4" t="n">
        <v>0.02689550596865908</v>
      </c>
      <c r="S4" t="n">
        <v>0</v>
      </c>
      <c r="T4" t="n">
        <v>3.642800178990447</v>
      </c>
      <c r="U4" t="n">
        <v>65.75326891499975</v>
      </c>
      <c r="V4" t="n">
        <v>0.03556585515124368</v>
      </c>
      <c r="W4" t="n">
        <v>274.7210656156466</v>
      </c>
      <c r="X4" t="n">
        <v>0</v>
      </c>
      <c r="Y4" t="n">
        <v>0</v>
      </c>
      <c r="Z4" t="n">
        <v>0</v>
      </c>
      <c r="AA4" t="n">
        <v>0.01044988791968636</v>
      </c>
      <c r="AB4" t="n">
        <v>0</v>
      </c>
      <c r="AC4" t="n">
        <v>0.02368170422382484</v>
      </c>
      <c r="AD4" t="n">
        <v>0</v>
      </c>
      <c r="AE4" t="n">
        <v>0</v>
      </c>
      <c r="AF4" t="n">
        <v>0</v>
      </c>
      <c r="AG4" t="n">
        <v>0</v>
      </c>
      <c r="AH4" t="n">
        <v>11.31058222461601</v>
      </c>
      <c r="AI4" t="n">
        <v>0.06490055687340228</v>
      </c>
      <c r="AJ4" t="n">
        <v>7.074924733460318</v>
      </c>
      <c r="AK4" t="n">
        <v>47.65789979162439</v>
      </c>
      <c r="AL4" t="n">
        <v>0</v>
      </c>
      <c r="AM4" t="n">
        <v>0</v>
      </c>
      <c r="AO4" t="n">
        <v>6656.126867736968</v>
      </c>
      <c r="AP4" t="n">
        <v>2617.099940586192</v>
      </c>
      <c r="AQ4" t="n">
        <v>0</v>
      </c>
      <c r="AR4" t="n">
        <v>2617.099940586192</v>
      </c>
      <c r="AS4" t="n">
        <v>842.5274740265792</v>
      </c>
      <c r="AT4" t="n">
        <v>583.2202485908889</v>
      </c>
      <c r="AU4" t="n">
        <v>154.0667418178055</v>
      </c>
      <c r="AV4" t="n">
        <v>737.2869904086945</v>
      </c>
      <c r="AW4" t="n">
        <v>4196.914405021465</v>
      </c>
      <c r="AX4" t="n">
        <v>10853.04127275843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2.512076885181457</v>
      </c>
      <c r="D5" t="n">
        <v>187.2846617219652</v>
      </c>
      <c r="E5" t="n">
        <v>0.9621814801546982</v>
      </c>
      <c r="F5" t="n">
        <v>0</v>
      </c>
      <c r="G5" t="n">
        <v>0</v>
      </c>
      <c r="H5" t="n">
        <v>121.6718953522989</v>
      </c>
      <c r="I5" t="n">
        <v>0</v>
      </c>
      <c r="J5" t="n">
        <v>0.08121752063827245</v>
      </c>
      <c r="K5" t="n">
        <v>336.7386789905067</v>
      </c>
      <c r="L5" t="n">
        <v>165.464467479426</v>
      </c>
      <c r="M5" t="n">
        <v>0</v>
      </c>
      <c r="N5" t="n">
        <v>0</v>
      </c>
      <c r="O5" t="n">
        <v>0</v>
      </c>
      <c r="P5" t="n">
        <v>0</v>
      </c>
      <c r="Q5" t="n">
        <v>0.05384992853357554</v>
      </c>
      <c r="R5" t="n">
        <v>5.748404243787658</v>
      </c>
      <c r="S5" t="n">
        <v>0</v>
      </c>
      <c r="T5" t="n">
        <v>181.6699502943599</v>
      </c>
      <c r="U5" t="n">
        <v>4.553580307908138</v>
      </c>
      <c r="V5" t="n">
        <v>33.15990126687513</v>
      </c>
      <c r="W5" t="n">
        <v>0.328565316925198</v>
      </c>
      <c r="X5" t="n">
        <v>0</v>
      </c>
      <c r="Y5" t="n">
        <v>0</v>
      </c>
      <c r="Z5" t="n">
        <v>0</v>
      </c>
      <c r="AA5" t="n">
        <v>0.01502408396413155</v>
      </c>
      <c r="AB5" t="n">
        <v>6.778840059477372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0.111006964219082</v>
      </c>
      <c r="AI5" t="n">
        <v>0.113338592414738</v>
      </c>
      <c r="AJ5" t="n">
        <v>0</v>
      </c>
      <c r="AK5" t="n">
        <v>0</v>
      </c>
      <c r="AL5" t="n">
        <v>0.8924168101633422</v>
      </c>
      <c r="AM5" t="n">
        <v>0</v>
      </c>
      <c r="AO5" t="n">
        <v>1048.140057298799</v>
      </c>
      <c r="AP5" t="n">
        <v>0.5863791818331794</v>
      </c>
      <c r="AQ5" t="n">
        <v>0</v>
      </c>
      <c r="AR5" t="n">
        <v>0.5863791818331794</v>
      </c>
      <c r="AS5" t="n">
        <v>2182.63806281738</v>
      </c>
      <c r="AT5" t="n">
        <v>0.8775561889579081</v>
      </c>
      <c r="AU5" t="n">
        <v>103.0933592506033</v>
      </c>
      <c r="AV5" t="n">
        <v>103.9709154395612</v>
      </c>
      <c r="AW5" t="n">
        <v>2287.195357438774</v>
      </c>
      <c r="AX5" t="n">
        <v>3335.335414737573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492.9955034885496</v>
      </c>
      <c r="D6" t="n">
        <v>0</v>
      </c>
      <c r="E6" t="n">
        <v>2824.379745617177</v>
      </c>
      <c r="F6" t="n">
        <v>0</v>
      </c>
      <c r="G6" t="n">
        <v>0</v>
      </c>
      <c r="H6" t="n">
        <v>0</v>
      </c>
      <c r="I6" t="n">
        <v>0.6646884983083199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0.2990260643097172</v>
      </c>
      <c r="S6" t="n">
        <v>27.68200230073165</v>
      </c>
      <c r="T6" t="n">
        <v>0</v>
      </c>
      <c r="U6" t="n">
        <v>380.7830542818217</v>
      </c>
      <c r="V6" t="n">
        <v>0.1492549840355579</v>
      </c>
      <c r="W6" t="n">
        <v>1315.049275434769</v>
      </c>
      <c r="X6" t="n">
        <v>0.7112081665845282</v>
      </c>
      <c r="Y6" t="n">
        <v>0</v>
      </c>
      <c r="Z6" t="n">
        <v>0.07499093786266468</v>
      </c>
      <c r="AA6" t="n">
        <v>0.1865223538701525</v>
      </c>
      <c r="AB6" t="n">
        <v>0</v>
      </c>
      <c r="AC6" t="n">
        <v>1.535992969298163</v>
      </c>
      <c r="AD6" t="n">
        <v>0</v>
      </c>
      <c r="AE6" t="n">
        <v>0.1154525317844116</v>
      </c>
      <c r="AF6" t="n">
        <v>0</v>
      </c>
      <c r="AG6" t="n">
        <v>0</v>
      </c>
      <c r="AH6" t="n">
        <v>70.77571762592677</v>
      </c>
      <c r="AI6" t="n">
        <v>1.238284519530838</v>
      </c>
      <c r="AJ6" t="n">
        <v>28.09236720284436</v>
      </c>
      <c r="AK6" t="n">
        <v>64.77790647475919</v>
      </c>
      <c r="AL6" t="n">
        <v>0.2657951015971823</v>
      </c>
      <c r="AM6" t="n">
        <v>0</v>
      </c>
      <c r="AO6" t="n">
        <v>5209.776788553761</v>
      </c>
      <c r="AP6" t="n">
        <v>14763.95838444212</v>
      </c>
      <c r="AQ6" t="n">
        <v>0</v>
      </c>
      <c r="AR6" t="n">
        <v>14763.95838444212</v>
      </c>
      <c r="AS6" t="n">
        <v>4777.158125830661</v>
      </c>
      <c r="AT6" t="n">
        <v>0</v>
      </c>
      <c r="AU6" t="n">
        <v>387.6212044239257</v>
      </c>
      <c r="AV6" t="n">
        <v>387.6212044239257</v>
      </c>
      <c r="AW6" t="n">
        <v>19928.7377146967</v>
      </c>
      <c r="AX6" t="n">
        <v>25138.51450325046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8.8422084815054</v>
      </c>
      <c r="D7" t="n">
        <v>0.2352353274357416</v>
      </c>
      <c r="E7" t="n">
        <v>0.8282044783486263</v>
      </c>
      <c r="F7" t="n">
        <v>407.5663582447786</v>
      </c>
      <c r="G7" t="n">
        <v>0</v>
      </c>
      <c r="H7" t="n">
        <v>0</v>
      </c>
      <c r="I7" t="n">
        <v>0</v>
      </c>
      <c r="J7" t="n">
        <v>0</v>
      </c>
      <c r="K7" t="n">
        <v>5.516913045930786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6.318374301651907</v>
      </c>
      <c r="R7" t="n">
        <v>0.1937690274417559</v>
      </c>
      <c r="S7" t="n">
        <v>0.7229652583671284</v>
      </c>
      <c r="T7" t="n">
        <v>9.91714911768779</v>
      </c>
      <c r="U7" t="n">
        <v>113.1128382003265</v>
      </c>
      <c r="V7" t="n">
        <v>1.738602742569443</v>
      </c>
      <c r="W7" t="n">
        <v>3.843585422256516</v>
      </c>
      <c r="X7" t="n">
        <v>0.2478189970642743</v>
      </c>
      <c r="Y7" t="n">
        <v>0</v>
      </c>
      <c r="Z7" t="n">
        <v>0</v>
      </c>
      <c r="AA7" t="n">
        <v>0.1581066778409627</v>
      </c>
      <c r="AB7" t="n">
        <v>0.003595603053104628</v>
      </c>
      <c r="AC7" t="n">
        <v>0.09962110262366781</v>
      </c>
      <c r="AD7" t="n">
        <v>0.07114059972320365</v>
      </c>
      <c r="AE7" t="n">
        <v>3.459697110151691</v>
      </c>
      <c r="AF7" t="n">
        <v>0.7226437168747805</v>
      </c>
      <c r="AG7" t="n">
        <v>103.6806206878249</v>
      </c>
      <c r="AH7" t="n">
        <v>7.541827987696207</v>
      </c>
      <c r="AI7" t="n">
        <v>2.905244027654521</v>
      </c>
      <c r="AJ7" t="n">
        <v>10.2354767533245</v>
      </c>
      <c r="AK7" t="n">
        <v>22.04549687263663</v>
      </c>
      <c r="AL7" t="n">
        <v>15.86635612508765</v>
      </c>
      <c r="AM7" t="n">
        <v>0</v>
      </c>
      <c r="AO7" t="n">
        <v>725.8738499098563</v>
      </c>
      <c r="AP7" t="n">
        <v>2309.459083634888</v>
      </c>
      <c r="AQ7" t="n">
        <v>0</v>
      </c>
      <c r="AR7" t="n">
        <v>2309.459083634888</v>
      </c>
      <c r="AS7" t="n">
        <v>1166.099749166665</v>
      </c>
      <c r="AT7" t="n">
        <v>0</v>
      </c>
      <c r="AU7" t="n">
        <v>81.18869676102676</v>
      </c>
      <c r="AV7" t="n">
        <v>81.18869676102676</v>
      </c>
      <c r="AW7" t="n">
        <v>3556.747529562579</v>
      </c>
      <c r="AX7" t="n">
        <v>4282.621379472435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60.4982536699568</v>
      </c>
      <c r="D8" t="n">
        <v>8.991560845997574</v>
      </c>
      <c r="E8" t="n">
        <v>54.94123781465333</v>
      </c>
      <c r="F8" t="n">
        <v>9.051015316802706</v>
      </c>
      <c r="G8" t="n">
        <v>271.4690772398167</v>
      </c>
      <c r="H8" t="n">
        <v>0.07151265574798533</v>
      </c>
      <c r="I8" t="n">
        <v>0.06214327398963865</v>
      </c>
      <c r="J8" t="n">
        <v>6.323045644745748</v>
      </c>
      <c r="K8" t="n">
        <v>31.13395035159468</v>
      </c>
      <c r="L8" t="n">
        <v>3.189439099275473</v>
      </c>
      <c r="M8" t="n">
        <v>0</v>
      </c>
      <c r="N8" t="n">
        <v>0.07948792887452019</v>
      </c>
      <c r="O8" t="n">
        <v>0.009151556524323812</v>
      </c>
      <c r="P8" t="n">
        <v>0.3031070799221437</v>
      </c>
      <c r="Q8" t="n">
        <v>120.3257060196242</v>
      </c>
      <c r="R8" t="n">
        <v>26.81144933635039</v>
      </c>
      <c r="S8" t="n">
        <v>6.920880663935905</v>
      </c>
      <c r="T8" t="n">
        <v>245.8242931759921</v>
      </c>
      <c r="U8" t="n">
        <v>262.8348135670776</v>
      </c>
      <c r="V8" t="n">
        <v>7.797013736335352</v>
      </c>
      <c r="W8" t="n">
        <v>60.03068143105596</v>
      </c>
      <c r="X8" t="n">
        <v>82.89811861021883</v>
      </c>
      <c r="Y8" t="n">
        <v>1.628161468248759</v>
      </c>
      <c r="Z8" t="n">
        <v>2.279307396397912</v>
      </c>
      <c r="AA8" t="n">
        <v>26.87831506821931</v>
      </c>
      <c r="AB8" t="n">
        <v>61.02421188159799</v>
      </c>
      <c r="AC8" t="n">
        <v>10.84677944593861</v>
      </c>
      <c r="AD8" t="n">
        <v>0.1735426382911271</v>
      </c>
      <c r="AE8" t="n">
        <v>24.86521114445742</v>
      </c>
      <c r="AF8" t="n">
        <v>13.5075317588046</v>
      </c>
      <c r="AG8" t="n">
        <v>12.28632351866216</v>
      </c>
      <c r="AH8" t="n">
        <v>40.43200229668194</v>
      </c>
      <c r="AI8" t="n">
        <v>25.11193009385671</v>
      </c>
      <c r="AJ8" t="n">
        <v>7.099809778929018</v>
      </c>
      <c r="AK8" t="n">
        <v>45.56747739563538</v>
      </c>
      <c r="AL8" t="n">
        <v>28.58714373954468</v>
      </c>
      <c r="AM8" t="n">
        <v>0</v>
      </c>
      <c r="AO8" t="n">
        <v>1559.853686643757</v>
      </c>
      <c r="AP8" t="n">
        <v>567.7727829293588</v>
      </c>
      <c r="AQ8" t="n">
        <v>0</v>
      </c>
      <c r="AR8" t="n">
        <v>567.7727829293588</v>
      </c>
      <c r="AS8" t="n">
        <v>285.8594409276565</v>
      </c>
      <c r="AT8" t="n">
        <v>0</v>
      </c>
      <c r="AU8" t="n">
        <v>89.93439542578921</v>
      </c>
      <c r="AV8" t="n">
        <v>89.93439542578921</v>
      </c>
      <c r="AW8" t="n">
        <v>943.5666192828045</v>
      </c>
      <c r="AX8" t="n">
        <v>2503.420305926562</v>
      </c>
    </row>
    <row r="9">
      <c r="A9" t="n">
        <v>19</v>
      </c>
      <c r="B9" t="inlineStr">
        <is>
          <t>Coke and refined petroleum products</t>
        </is>
      </c>
      <c r="C9" t="n">
        <v>109.1664039681255</v>
      </c>
      <c r="D9" t="n">
        <v>202.722714486698</v>
      </c>
      <c r="E9" t="n">
        <v>71.58692345283012</v>
      </c>
      <c r="F9" t="n">
        <v>1.36284562040168</v>
      </c>
      <c r="G9" t="n">
        <v>4.29352260546167</v>
      </c>
      <c r="H9" t="n">
        <v>109.0829472089269</v>
      </c>
      <c r="I9" t="n">
        <v>7.911989310652012</v>
      </c>
      <c r="J9" t="n">
        <v>0.04028435286296184</v>
      </c>
      <c r="K9" t="n">
        <v>167.1652147959207</v>
      </c>
      <c r="L9" t="n">
        <v>115.5692771738981</v>
      </c>
      <c r="M9" t="n">
        <v>0</v>
      </c>
      <c r="N9" t="n">
        <v>0.5161220992803259</v>
      </c>
      <c r="O9" t="n">
        <v>0.04334453410129822</v>
      </c>
      <c r="P9" t="n">
        <v>0.5810464441866267</v>
      </c>
      <c r="Q9" t="n">
        <v>1.727292986461473</v>
      </c>
      <c r="R9" t="n">
        <v>9.703300590376358</v>
      </c>
      <c r="S9" t="n">
        <v>47.24553502431753</v>
      </c>
      <c r="T9" t="n">
        <v>82.60898661489509</v>
      </c>
      <c r="U9" t="n">
        <v>159.8222227587265</v>
      </c>
      <c r="V9" t="n">
        <v>832.1567935974881</v>
      </c>
      <c r="W9" t="n">
        <v>13.39169574080434</v>
      </c>
      <c r="X9" t="n">
        <v>4.83736528876509</v>
      </c>
      <c r="Y9" t="n">
        <v>0.6852535928194625</v>
      </c>
      <c r="Z9" t="n">
        <v>1.46380108796101</v>
      </c>
      <c r="AA9" t="n">
        <v>3.130617084593815</v>
      </c>
      <c r="AB9" t="n">
        <v>2.696727871350931</v>
      </c>
      <c r="AC9" t="n">
        <v>7.032730173966147</v>
      </c>
      <c r="AD9" t="n">
        <v>1.215303916886147</v>
      </c>
      <c r="AE9" t="n">
        <v>1.98755799484723</v>
      </c>
      <c r="AF9" t="n">
        <v>25.49335441198607</v>
      </c>
      <c r="AG9" t="n">
        <v>268.4510835663956</v>
      </c>
      <c r="AH9" t="n">
        <v>10.23428451258923</v>
      </c>
      <c r="AI9" t="n">
        <v>10.32932043700218</v>
      </c>
      <c r="AJ9" t="n">
        <v>6.338760523449325</v>
      </c>
      <c r="AK9" t="n">
        <v>15.59886521338632</v>
      </c>
      <c r="AL9" t="n">
        <v>3.619822375895368</v>
      </c>
      <c r="AM9" t="n">
        <v>0</v>
      </c>
      <c r="AO9" t="n">
        <v>2299.813311418309</v>
      </c>
      <c r="AP9" t="n">
        <v>2554.775243603917</v>
      </c>
      <c r="AQ9" t="n">
        <v>0</v>
      </c>
      <c r="AR9" t="n">
        <v>2554.775243603917</v>
      </c>
      <c r="AS9" t="n">
        <v>203.3207313517651</v>
      </c>
      <c r="AT9" t="n">
        <v>0</v>
      </c>
      <c r="AU9" t="n">
        <v>91.61515146936821</v>
      </c>
      <c r="AV9" t="n">
        <v>91.61515146936821</v>
      </c>
      <c r="AW9" t="n">
        <v>2849.711126425051</v>
      </c>
      <c r="AX9" t="n">
        <v>5149.52443784336</v>
      </c>
    </row>
    <row r="10">
      <c r="A10" t="n">
        <v>20</v>
      </c>
      <c r="B10" t="inlineStr">
        <is>
          <t xml:space="preserve">Chemicals and chemical products </t>
        </is>
      </c>
      <c r="C10" t="n">
        <v>276.161650595166</v>
      </c>
      <c r="D10" t="n">
        <v>4.000618125538422</v>
      </c>
      <c r="E10" t="n">
        <v>50.41811384963179</v>
      </c>
      <c r="F10" t="n">
        <v>10.21099922027356</v>
      </c>
      <c r="G10" t="n">
        <v>25.49900211538695</v>
      </c>
      <c r="H10" t="n">
        <v>6.038849956729168</v>
      </c>
      <c r="I10" t="n">
        <v>189.3991815777152</v>
      </c>
      <c r="J10" t="n">
        <v>42.09042284735732</v>
      </c>
      <c r="K10" t="n">
        <v>335.1051580094078</v>
      </c>
      <c r="L10" t="n">
        <v>16.86280846777144</v>
      </c>
      <c r="M10" t="n">
        <v>0</v>
      </c>
      <c r="N10" t="n">
        <v>0.1581204815342122</v>
      </c>
      <c r="O10" t="n">
        <v>0.5523240974116419</v>
      </c>
      <c r="P10" t="n">
        <v>0.2403292914752853</v>
      </c>
      <c r="Q10" t="n">
        <v>35.87596676228336</v>
      </c>
      <c r="R10" t="n">
        <v>0.04318849989408086</v>
      </c>
      <c r="S10" t="n">
        <v>1.104720115011165</v>
      </c>
      <c r="T10" t="n">
        <v>128.631582932401</v>
      </c>
      <c r="U10" t="n">
        <v>131.1231281730224</v>
      </c>
      <c r="V10" t="n">
        <v>10.10500304507598</v>
      </c>
      <c r="W10" t="n">
        <v>47.87291809574353</v>
      </c>
      <c r="X10" t="n">
        <v>0.9485674604550072</v>
      </c>
      <c r="Y10" t="n">
        <v>0.01656054648820815</v>
      </c>
      <c r="Z10" t="n">
        <v>0.0461270035794638</v>
      </c>
      <c r="AA10" t="n">
        <v>0.06990949562152983</v>
      </c>
      <c r="AB10" t="n">
        <v>33.19549055472487</v>
      </c>
      <c r="AC10" t="n">
        <v>2.203750351047692</v>
      </c>
      <c r="AD10" t="n">
        <v>0.5559878770889142</v>
      </c>
      <c r="AE10" t="n">
        <v>1.171120396164457</v>
      </c>
      <c r="AF10" t="n">
        <v>1.668024345392567</v>
      </c>
      <c r="AG10" t="n">
        <v>37.57502760372532</v>
      </c>
      <c r="AH10" t="n">
        <v>12.12939296314276</v>
      </c>
      <c r="AI10" t="n">
        <v>13.1302254320295</v>
      </c>
      <c r="AJ10" t="n">
        <v>4.036154397767458</v>
      </c>
      <c r="AK10" t="n">
        <v>23.35261980388908</v>
      </c>
      <c r="AL10" t="n">
        <v>27.54430237988245</v>
      </c>
      <c r="AM10" t="n">
        <v>0</v>
      </c>
      <c r="AO10" t="n">
        <v>1469.137346869829</v>
      </c>
      <c r="AP10" t="n">
        <v>1166.932222663023</v>
      </c>
      <c r="AQ10" t="n">
        <v>0</v>
      </c>
      <c r="AR10" t="n">
        <v>1166.932222663023</v>
      </c>
      <c r="AS10" t="n">
        <v>1518.022231149228</v>
      </c>
      <c r="AT10" t="n">
        <v>0</v>
      </c>
      <c r="AU10" t="n">
        <v>106.7385737524636</v>
      </c>
      <c r="AV10" t="n">
        <v>106.7385737524636</v>
      </c>
      <c r="AW10" t="n">
        <v>2791.693027564714</v>
      </c>
      <c r="AX10" t="n">
        <v>4260.830374434543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4.938116616787048</v>
      </c>
      <c r="D11" t="n">
        <v>0</v>
      </c>
      <c r="E11" t="n">
        <v>0.0026033027373367</v>
      </c>
      <c r="F11" t="n">
        <v>0</v>
      </c>
      <c r="G11" t="n">
        <v>0</v>
      </c>
      <c r="H11" t="n">
        <v>0</v>
      </c>
      <c r="I11" t="n">
        <v>0.2832310552662807</v>
      </c>
      <c r="J11" t="n">
        <v>109.1530097139133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10.96585309870779</v>
      </c>
      <c r="R11" t="n">
        <v>0.04981554737639177</v>
      </c>
      <c r="S11" t="n">
        <v>0.02251276281249618</v>
      </c>
      <c r="T11" t="n">
        <v>0</v>
      </c>
      <c r="U11" t="n">
        <v>27.7048783320798</v>
      </c>
      <c r="V11" t="n">
        <v>0.03940742953939931</v>
      </c>
      <c r="W11" t="n">
        <v>0</v>
      </c>
      <c r="X11" t="n">
        <v>0</v>
      </c>
      <c r="Y11" t="n">
        <v>0</v>
      </c>
      <c r="Z11" t="n">
        <v>0</v>
      </c>
      <c r="AA11" t="n">
        <v>0.00395320060198916</v>
      </c>
      <c r="AB11" t="n">
        <v>0</v>
      </c>
      <c r="AC11" t="n">
        <v>5.848926940204758</v>
      </c>
      <c r="AD11" t="n">
        <v>0.1081650160273844</v>
      </c>
      <c r="AE11" t="n">
        <v>9.655580288308732</v>
      </c>
      <c r="AF11" t="n">
        <v>0.01562945038575732</v>
      </c>
      <c r="AG11" t="n">
        <v>93.92590331033277</v>
      </c>
      <c r="AH11" t="n">
        <v>0.7064325172754833</v>
      </c>
      <c r="AI11" t="n">
        <v>543.292407040537</v>
      </c>
      <c r="AJ11" t="n">
        <v>17.04182344770837</v>
      </c>
      <c r="AK11" t="n">
        <v>0.3258975678007346</v>
      </c>
      <c r="AL11" t="n">
        <v>42.84808996485152</v>
      </c>
      <c r="AM11" t="n">
        <v>0</v>
      </c>
      <c r="AO11" t="n">
        <v>866.9322366032543</v>
      </c>
      <c r="AP11" t="n">
        <v>1566.906984353672</v>
      </c>
      <c r="AQ11" t="n">
        <v>0</v>
      </c>
      <c r="AR11" t="n">
        <v>1566.906984353672</v>
      </c>
      <c r="AS11" t="n">
        <v>408.669073213494</v>
      </c>
      <c r="AT11" t="n">
        <v>0</v>
      </c>
      <c r="AU11" t="n">
        <v>4.477374001436155</v>
      </c>
      <c r="AV11" t="n">
        <v>4.477374001436155</v>
      </c>
      <c r="AW11" t="n">
        <v>1980.053431568603</v>
      </c>
      <c r="AX11" t="n">
        <v>2846.985668171857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24.14723642509502</v>
      </c>
      <c r="D12" t="n">
        <v>82.19763428631266</v>
      </c>
      <c r="E12" t="n">
        <v>274.3239377033536</v>
      </c>
      <c r="F12" t="n">
        <v>8.696682187446577</v>
      </c>
      <c r="G12" t="n">
        <v>4.928756075107915</v>
      </c>
      <c r="H12" t="n">
        <v>0</v>
      </c>
      <c r="I12" t="n">
        <v>22.5826680299619</v>
      </c>
      <c r="J12" t="n">
        <v>0</v>
      </c>
      <c r="K12" t="n">
        <v>844.7560529560753</v>
      </c>
      <c r="L12" t="n">
        <v>12.64799817222135</v>
      </c>
      <c r="M12" t="n">
        <v>0</v>
      </c>
      <c r="N12" t="n">
        <v>2.615952358430815</v>
      </c>
      <c r="O12" t="n">
        <v>0</v>
      </c>
      <c r="P12" t="n">
        <v>0.337226691928288</v>
      </c>
      <c r="Q12" t="n">
        <v>0.7320835765885847</v>
      </c>
      <c r="R12" t="n">
        <v>0.3826215381896134</v>
      </c>
      <c r="S12" t="n">
        <v>0.7211749963808244</v>
      </c>
      <c r="T12" t="n">
        <v>3269.784241475154</v>
      </c>
      <c r="U12" t="n">
        <v>471.7784637055634</v>
      </c>
      <c r="V12" t="n">
        <v>59.65248688460405</v>
      </c>
      <c r="W12" t="n">
        <v>60.7063152295663</v>
      </c>
      <c r="X12" t="n">
        <v>0.05471113190858631</v>
      </c>
      <c r="Y12" t="n">
        <v>0</v>
      </c>
      <c r="Z12" t="n">
        <v>0.2729044138893622</v>
      </c>
      <c r="AA12" t="n">
        <v>5.077730694339913</v>
      </c>
      <c r="AB12" t="n">
        <v>329.9509340587998</v>
      </c>
      <c r="AC12" t="n">
        <v>0.7942761098225802</v>
      </c>
      <c r="AD12" t="n">
        <v>0</v>
      </c>
      <c r="AE12" t="n">
        <v>5.028644156404245</v>
      </c>
      <c r="AF12" t="n">
        <v>5.486260005609662</v>
      </c>
      <c r="AG12" t="n">
        <v>111.8516640886648</v>
      </c>
      <c r="AH12" t="n">
        <v>20.71756590971567</v>
      </c>
      <c r="AI12" t="n">
        <v>0.8317785892553432</v>
      </c>
      <c r="AJ12" t="n">
        <v>0.06599322611935082</v>
      </c>
      <c r="AK12" t="n">
        <v>42.44712396851862</v>
      </c>
      <c r="AL12" t="n">
        <v>3.051998408649158</v>
      </c>
      <c r="AM12" t="n">
        <v>0</v>
      </c>
      <c r="AO12" t="n">
        <v>5666.623117053677</v>
      </c>
      <c r="AP12" t="n">
        <v>1306.182652165208</v>
      </c>
      <c r="AQ12" t="n">
        <v>0</v>
      </c>
      <c r="AR12" t="n">
        <v>1306.182652165208</v>
      </c>
      <c r="AS12" t="n">
        <v>365.7211343850776</v>
      </c>
      <c r="AT12" t="n">
        <v>0</v>
      </c>
      <c r="AU12" t="n">
        <v>404.8778290714127</v>
      </c>
      <c r="AV12" t="n">
        <v>404.8778290714127</v>
      </c>
      <c r="AW12" t="n">
        <v>2076.781615621698</v>
      </c>
      <c r="AX12" t="n">
        <v>7743.404732675375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35.05351434907979</v>
      </c>
      <c r="D13" t="n">
        <v>16.57382435650149</v>
      </c>
      <c r="E13" t="n">
        <v>236.1538026595562</v>
      </c>
      <c r="F13" t="n">
        <v>5.003711940839222</v>
      </c>
      <c r="G13" t="n">
        <v>14.23752392325316</v>
      </c>
      <c r="H13" t="n">
        <v>0</v>
      </c>
      <c r="I13" t="n">
        <v>0</v>
      </c>
      <c r="J13" t="n">
        <v>0</v>
      </c>
      <c r="K13" t="n">
        <v>60.79535659939032</v>
      </c>
      <c r="L13" t="n">
        <v>1013.462720815008</v>
      </c>
      <c r="M13" t="n">
        <v>0</v>
      </c>
      <c r="N13" t="n">
        <v>60.97731215606233</v>
      </c>
      <c r="O13" t="n">
        <v>17.33578303667242</v>
      </c>
      <c r="P13" t="n">
        <v>4.259415062955206</v>
      </c>
      <c r="Q13" t="n">
        <v>76.66588667683115</v>
      </c>
      <c r="R13" t="n">
        <v>14.55537526613404</v>
      </c>
      <c r="S13" t="n">
        <v>8.477596333857148</v>
      </c>
      <c r="T13" t="n">
        <v>1540.269510906592</v>
      </c>
      <c r="U13" t="n">
        <v>189.5766469158001</v>
      </c>
      <c r="V13" t="n">
        <v>17.26069535863778</v>
      </c>
      <c r="W13" t="n">
        <v>31.30636256653482</v>
      </c>
      <c r="X13" t="n">
        <v>0</v>
      </c>
      <c r="Y13" t="n">
        <v>0</v>
      </c>
      <c r="Z13" t="n">
        <v>0</v>
      </c>
      <c r="AA13" t="n">
        <v>5.051743506379402</v>
      </c>
      <c r="AB13" t="n">
        <v>49.64702676138211</v>
      </c>
      <c r="AC13" t="n">
        <v>14.80273368059956</v>
      </c>
      <c r="AD13" t="n">
        <v>0</v>
      </c>
      <c r="AE13" t="n">
        <v>70.4777441973194</v>
      </c>
      <c r="AF13" t="n">
        <v>25.10825162584675</v>
      </c>
      <c r="AG13" t="n">
        <v>31.00813134275438</v>
      </c>
      <c r="AH13" t="n">
        <v>5.496648379162147</v>
      </c>
      <c r="AI13" t="n">
        <v>8.917789174592643</v>
      </c>
      <c r="AJ13" t="n">
        <v>0.06766736617046921</v>
      </c>
      <c r="AK13" t="n">
        <v>6.304096890472509</v>
      </c>
      <c r="AL13" t="n">
        <v>0.8119922665065594</v>
      </c>
      <c r="AM13" t="n">
        <v>0</v>
      </c>
      <c r="AO13" t="n">
        <v>3559.658864114891</v>
      </c>
      <c r="AP13" t="n">
        <v>663.462640876603</v>
      </c>
      <c r="AQ13" t="n">
        <v>0</v>
      </c>
      <c r="AR13" t="n">
        <v>663.462640876603</v>
      </c>
      <c r="AS13" t="n">
        <v>1877.598372433474</v>
      </c>
      <c r="AT13" t="n">
        <v>60</v>
      </c>
      <c r="AU13" t="n">
        <v>263.5548705898725</v>
      </c>
      <c r="AV13" t="n">
        <v>323.5548705898725</v>
      </c>
      <c r="AW13" t="n">
        <v>2864.61588389995</v>
      </c>
      <c r="AX13" t="n">
        <v>6424.274748014841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0.0660282261982317</v>
      </c>
      <c r="D14" t="n">
        <v>0</v>
      </c>
      <c r="E14" t="n">
        <v>1.467695328440553</v>
      </c>
      <c r="F14" t="n">
        <v>0</v>
      </c>
      <c r="G14" t="n">
        <v>0</v>
      </c>
      <c r="H14" t="n">
        <v>0</v>
      </c>
      <c r="I14" t="n">
        <v>0.09264202264240912</v>
      </c>
      <c r="J14" t="n">
        <v>1.078119529161718</v>
      </c>
      <c r="K14" t="n">
        <v>0.2384625927311087</v>
      </c>
      <c r="L14" t="n">
        <v>3.275662502821135</v>
      </c>
      <c r="M14" t="n">
        <v>0.804249902317936</v>
      </c>
      <c r="N14" t="n">
        <v>25.10740135741426</v>
      </c>
      <c r="O14" t="n">
        <v>0</v>
      </c>
      <c r="P14" t="n">
        <v>0.1641860556405705</v>
      </c>
      <c r="Q14" t="n">
        <v>17.25587472520072</v>
      </c>
      <c r="R14" t="n">
        <v>9.452608771202453</v>
      </c>
      <c r="S14" t="n">
        <v>0.07215661002955748</v>
      </c>
      <c r="T14" t="n">
        <v>21.91027039119878</v>
      </c>
      <c r="U14" t="n">
        <v>123.8587322643864</v>
      </c>
      <c r="V14" t="n">
        <v>14.24440496738398</v>
      </c>
      <c r="W14" t="n">
        <v>13.06932778274916</v>
      </c>
      <c r="X14" t="n">
        <v>1.661461853378822</v>
      </c>
      <c r="Y14" t="n">
        <v>57.91996013773549</v>
      </c>
      <c r="Z14" t="n">
        <v>22.90745983104321</v>
      </c>
      <c r="AA14" t="n">
        <v>28.17247614378167</v>
      </c>
      <c r="AB14" t="n">
        <v>4.227176595352941</v>
      </c>
      <c r="AC14" t="n">
        <v>13.36622390570776</v>
      </c>
      <c r="AD14" t="n">
        <v>0.2475112136136073</v>
      </c>
      <c r="AE14" t="n">
        <v>5.639940134518923</v>
      </c>
      <c r="AF14" t="n">
        <v>4.597216205842286</v>
      </c>
      <c r="AG14" t="n">
        <v>12.0683549675074</v>
      </c>
      <c r="AH14" t="n">
        <v>21.59822612725056</v>
      </c>
      <c r="AI14" t="n">
        <v>17.99009035919817</v>
      </c>
      <c r="AJ14" t="n">
        <v>7.032208778822186</v>
      </c>
      <c r="AK14" t="n">
        <v>11.21698389067421</v>
      </c>
      <c r="AL14" t="n">
        <v>79.40772630070086</v>
      </c>
      <c r="AM14" t="n">
        <v>0</v>
      </c>
      <c r="AO14" t="n">
        <v>520.2108394746472</v>
      </c>
      <c r="AP14" t="n">
        <v>1096.139625000641</v>
      </c>
      <c r="AQ14" t="n">
        <v>0</v>
      </c>
      <c r="AR14" t="n">
        <v>1096.139625000641</v>
      </c>
      <c r="AS14" t="n">
        <v>207.4520270929836</v>
      </c>
      <c r="AT14" t="n">
        <v>1359.497311006645</v>
      </c>
      <c r="AU14" t="n">
        <v>52.39812218204057</v>
      </c>
      <c r="AV14" t="n">
        <v>1411.895433188686</v>
      </c>
      <c r="AW14" t="n">
        <v>2715.48708528231</v>
      </c>
      <c r="AX14" t="n">
        <v>3235.697924756957</v>
      </c>
    </row>
    <row r="15">
      <c r="A15" t="n">
        <v>27</v>
      </c>
      <c r="B15" t="inlineStr">
        <is>
          <t xml:space="preserve">Electrical equipment </t>
        </is>
      </c>
      <c r="C15" t="n">
        <v>0.08944367392487892</v>
      </c>
      <c r="D15" t="n">
        <v>1.050787015302765</v>
      </c>
      <c r="E15" t="n">
        <v>4.811155352577213</v>
      </c>
      <c r="F15" t="n">
        <v>0</v>
      </c>
      <c r="G15" t="n">
        <v>0</v>
      </c>
      <c r="H15" t="n">
        <v>0</v>
      </c>
      <c r="I15" t="n">
        <v>1.344203742317163</v>
      </c>
      <c r="J15" t="n">
        <v>0</v>
      </c>
      <c r="K15" t="n">
        <v>0.008541575069190713</v>
      </c>
      <c r="L15" t="n">
        <v>27.13195520190364</v>
      </c>
      <c r="M15" t="n">
        <v>0</v>
      </c>
      <c r="N15" t="n">
        <v>38.45691398031064</v>
      </c>
      <c r="O15" t="n">
        <v>10.12362762064692</v>
      </c>
      <c r="P15" t="n">
        <v>2.997672038373487</v>
      </c>
      <c r="Q15" t="n">
        <v>3.135033669773643</v>
      </c>
      <c r="R15" t="n">
        <v>30.55978270068355</v>
      </c>
      <c r="S15" t="n">
        <v>6.54493827355572</v>
      </c>
      <c r="T15" t="n">
        <v>246.1504825558981</v>
      </c>
      <c r="U15" t="n">
        <v>93.39273198821903</v>
      </c>
      <c r="V15" t="n">
        <v>71.68898522646553</v>
      </c>
      <c r="W15" t="n">
        <v>8.76230126478926</v>
      </c>
      <c r="X15" t="n">
        <v>3.295639109677388</v>
      </c>
      <c r="Y15" t="n">
        <v>0.7779870448533839</v>
      </c>
      <c r="Z15" t="n">
        <v>0.4321024657191087</v>
      </c>
      <c r="AA15" t="n">
        <v>4.196157834731304</v>
      </c>
      <c r="AB15" t="n">
        <v>5.538693821674353</v>
      </c>
      <c r="AC15" t="n">
        <v>4.326479313835185</v>
      </c>
      <c r="AD15" t="n">
        <v>0.1036520654542817</v>
      </c>
      <c r="AE15" t="n">
        <v>0.03519685059664063</v>
      </c>
      <c r="AF15" t="n">
        <v>71.50612139645068</v>
      </c>
      <c r="AG15" t="n">
        <v>11.13960337868233</v>
      </c>
      <c r="AH15" t="n">
        <v>1.841886179382579</v>
      </c>
      <c r="AI15" t="n">
        <v>7.107781131183825</v>
      </c>
      <c r="AJ15" t="n">
        <v>0.5948289215866061</v>
      </c>
      <c r="AK15" t="n">
        <v>28.8318039757627</v>
      </c>
      <c r="AL15" t="n">
        <v>4.780578966260376</v>
      </c>
      <c r="AM15" t="n">
        <v>0</v>
      </c>
      <c r="AO15" t="n">
        <v>690.7570683356613</v>
      </c>
      <c r="AP15" t="n">
        <v>1415.319189482268</v>
      </c>
      <c r="AQ15" t="n">
        <v>0</v>
      </c>
      <c r="AR15" t="n">
        <v>1415.319189482268</v>
      </c>
      <c r="AS15" t="n">
        <v>213.2716565060457</v>
      </c>
      <c r="AT15" t="n">
        <v>469.1483443790735</v>
      </c>
      <c r="AU15" t="n">
        <v>64.58794157342201</v>
      </c>
      <c r="AV15" t="n">
        <v>533.7362859524955</v>
      </c>
      <c r="AW15" t="n">
        <v>2162.32713194081</v>
      </c>
      <c r="AX15" t="n">
        <v>2853.084200276471</v>
      </c>
    </row>
    <row r="16">
      <c r="A16" t="n">
        <v>28</v>
      </c>
      <c r="B16" t="inlineStr">
        <is>
          <t xml:space="preserve">Machinery and equipment n.e.c. </t>
        </is>
      </c>
      <c r="C16" t="n">
        <v>14.5344000092095</v>
      </c>
      <c r="D16" t="n">
        <v>263.8091745657596</v>
      </c>
      <c r="E16" t="n">
        <v>12.92093727340237</v>
      </c>
      <c r="F16" t="n">
        <v>0.203467880075541</v>
      </c>
      <c r="G16" t="n">
        <v>0.1263700838201723</v>
      </c>
      <c r="H16" t="n">
        <v>0</v>
      </c>
      <c r="I16" t="n">
        <v>0.1839782735760048</v>
      </c>
      <c r="J16" t="n">
        <v>0</v>
      </c>
      <c r="K16" t="n">
        <v>17.33460043931611</v>
      </c>
      <c r="L16" t="n">
        <v>287.394319479402</v>
      </c>
      <c r="M16" t="n">
        <v>0</v>
      </c>
      <c r="N16" t="n">
        <v>0</v>
      </c>
      <c r="O16" t="n">
        <v>0</v>
      </c>
      <c r="P16" t="n">
        <v>12.2503487948417</v>
      </c>
      <c r="Q16" t="n">
        <v>10.5525288374659</v>
      </c>
      <c r="R16" t="n">
        <v>3.548321701338583</v>
      </c>
      <c r="S16" t="n">
        <v>25.07363605636257</v>
      </c>
      <c r="T16" t="n">
        <v>72.14100946037144</v>
      </c>
      <c r="U16" t="n">
        <v>77.99980781312347</v>
      </c>
      <c r="V16" t="n">
        <v>28.64285907224445</v>
      </c>
      <c r="W16" t="n">
        <v>18.36842309208613</v>
      </c>
      <c r="X16" t="n">
        <v>0.116478176857718</v>
      </c>
      <c r="Y16" t="n">
        <v>0</v>
      </c>
      <c r="Z16" t="n">
        <v>0</v>
      </c>
      <c r="AA16" t="n">
        <v>1.439689834858702</v>
      </c>
      <c r="AB16" t="n">
        <v>0.02123719756871585</v>
      </c>
      <c r="AC16" t="n">
        <v>0.04347232644760859</v>
      </c>
      <c r="AD16" t="n">
        <v>0.4856491284827114</v>
      </c>
      <c r="AE16" t="n">
        <v>0</v>
      </c>
      <c r="AF16" t="n">
        <v>0.01799336276857326</v>
      </c>
      <c r="AG16" t="n">
        <v>28.90680511112896</v>
      </c>
      <c r="AH16" t="n">
        <v>6.360670922990787</v>
      </c>
      <c r="AI16" t="n">
        <v>24.43848749281694</v>
      </c>
      <c r="AJ16" t="n">
        <v>0.1782262543007782</v>
      </c>
      <c r="AK16" t="n">
        <v>2.993288644702837</v>
      </c>
      <c r="AL16" t="n">
        <v>4.031419868610785</v>
      </c>
      <c r="AM16" t="n">
        <v>0</v>
      </c>
      <c r="AO16" t="n">
        <v>914.1176011539307</v>
      </c>
      <c r="AP16" t="n">
        <v>200.1177029337821</v>
      </c>
      <c r="AQ16" t="n">
        <v>0</v>
      </c>
      <c r="AR16" t="n">
        <v>200.1177029337821</v>
      </c>
      <c r="AS16" t="n">
        <v>309.7152218037672</v>
      </c>
      <c r="AT16" t="n">
        <v>2066.384586385552</v>
      </c>
      <c r="AU16" t="n">
        <v>37.82677928542248</v>
      </c>
      <c r="AV16" t="n">
        <v>2104.211365670975</v>
      </c>
      <c r="AW16" t="n">
        <v>2614.044290408524</v>
      </c>
      <c r="AX16" t="n">
        <v>3528.161891562454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0.8266101346283153</v>
      </c>
      <c r="D17" t="n">
        <v>0.0261719321115719</v>
      </c>
      <c r="E17" t="n">
        <v>2.591941998526568</v>
      </c>
      <c r="F17" t="n">
        <v>0</v>
      </c>
      <c r="G17" t="n">
        <v>0</v>
      </c>
      <c r="H17" t="n">
        <v>0</v>
      </c>
      <c r="I17" t="n">
        <v>0.6391407853113339</v>
      </c>
      <c r="J17" t="n">
        <v>0.02728886069772182</v>
      </c>
      <c r="K17" t="n">
        <v>11.34259235336597</v>
      </c>
      <c r="L17" t="n">
        <v>5.829751761210951</v>
      </c>
      <c r="M17" t="n">
        <v>0</v>
      </c>
      <c r="N17" t="n">
        <v>0</v>
      </c>
      <c r="O17" t="n">
        <v>0</v>
      </c>
      <c r="P17" t="n">
        <v>0</v>
      </c>
      <c r="Q17" t="n">
        <v>8.805905844067523</v>
      </c>
      <c r="R17" t="n">
        <v>0.04003458026425114</v>
      </c>
      <c r="S17" t="n">
        <v>11.71244332952932</v>
      </c>
      <c r="T17" t="n">
        <v>7.802092221040428</v>
      </c>
      <c r="U17" t="n">
        <v>129.3796477707797</v>
      </c>
      <c r="V17" t="n">
        <v>70.14905083666113</v>
      </c>
      <c r="W17" t="n">
        <v>0.4223438551215229</v>
      </c>
      <c r="X17" t="n">
        <v>0.204930316549026</v>
      </c>
      <c r="Y17" t="n">
        <v>0</v>
      </c>
      <c r="Z17" t="n">
        <v>0</v>
      </c>
      <c r="AA17" t="n">
        <v>0.2059481201576033</v>
      </c>
      <c r="AB17" t="n">
        <v>0.003433346982359673</v>
      </c>
      <c r="AC17" t="n">
        <v>0.006056085687293719</v>
      </c>
      <c r="AD17" t="n">
        <v>0.8481397711921738</v>
      </c>
      <c r="AE17" t="n">
        <v>0</v>
      </c>
      <c r="AF17" t="n">
        <v>16.32342444127284</v>
      </c>
      <c r="AG17" t="n">
        <v>38.41510206919266</v>
      </c>
      <c r="AH17" t="n">
        <v>0.6175717087110157</v>
      </c>
      <c r="AI17" t="n">
        <v>1.443445491663325</v>
      </c>
      <c r="AJ17" t="n">
        <v>0.2291059619413683</v>
      </c>
      <c r="AK17" t="n">
        <v>10.33295789749276</v>
      </c>
      <c r="AL17" t="n">
        <v>0.03366374520160488</v>
      </c>
      <c r="AM17" t="n">
        <v>0</v>
      </c>
      <c r="AO17" t="n">
        <v>318.2587952193603</v>
      </c>
      <c r="AP17" t="n">
        <v>907.5430902265364</v>
      </c>
      <c r="AQ17" t="n">
        <v>0</v>
      </c>
      <c r="AR17" t="n">
        <v>907.5430902265364</v>
      </c>
      <c r="AS17" t="n">
        <v>9500.900371606836</v>
      </c>
      <c r="AT17" t="n">
        <v>1530.682803149081</v>
      </c>
      <c r="AU17" t="n">
        <v>180.1705085512582</v>
      </c>
      <c r="AV17" t="n">
        <v>1710.853311700339</v>
      </c>
      <c r="AW17" t="n">
        <v>12119.29677353371</v>
      </c>
      <c r="AX17" t="n">
        <v>12437.55556875307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7.648779461567376</v>
      </c>
      <c r="D18" t="n">
        <v>4.206076688078804</v>
      </c>
      <c r="E18" t="n">
        <v>11.45685514667572</v>
      </c>
      <c r="F18" t="n">
        <v>0</v>
      </c>
      <c r="G18" t="n">
        <v>17.26302986948338</v>
      </c>
      <c r="H18" t="n">
        <v>0</v>
      </c>
      <c r="I18" t="n">
        <v>1.746630758342363</v>
      </c>
      <c r="J18" t="n">
        <v>0</v>
      </c>
      <c r="K18" t="n">
        <v>26.53947841367508</v>
      </c>
      <c r="L18" t="n">
        <v>6.629458828936288</v>
      </c>
      <c r="M18" t="n">
        <v>0</v>
      </c>
      <c r="N18" t="n">
        <v>0.0004307184549136384</v>
      </c>
      <c r="O18" t="n">
        <v>2.531812213293712</v>
      </c>
      <c r="P18" t="n">
        <v>0.8985359954642584</v>
      </c>
      <c r="Q18" t="n">
        <v>44.74147790790568</v>
      </c>
      <c r="R18" t="n">
        <v>6.856720975197034</v>
      </c>
      <c r="S18" t="n">
        <v>20.37441376929043</v>
      </c>
      <c r="T18" t="n">
        <v>50.77864941093607</v>
      </c>
      <c r="U18" t="n">
        <v>53.10178986322067</v>
      </c>
      <c r="V18" t="n">
        <v>50.27001401589141</v>
      </c>
      <c r="W18" t="n">
        <v>104.8230623526875</v>
      </c>
      <c r="X18" t="n">
        <v>11.74094861839598</v>
      </c>
      <c r="Y18" t="n">
        <v>7.895424042192566</v>
      </c>
      <c r="Z18" t="n">
        <v>2.366990329355652</v>
      </c>
      <c r="AA18" t="n">
        <v>4.616850918653053</v>
      </c>
      <c r="AB18" t="n">
        <v>0.5104114071041487</v>
      </c>
      <c r="AC18" t="n">
        <v>0.2709379358757845</v>
      </c>
      <c r="AD18" t="n">
        <v>3.511229855990325</v>
      </c>
      <c r="AE18" t="n">
        <v>2.729950777067142</v>
      </c>
      <c r="AF18" t="n">
        <v>1.482941624905821</v>
      </c>
      <c r="AG18" t="n">
        <v>221.0162475263319</v>
      </c>
      <c r="AH18" t="n">
        <v>44.8796589896581</v>
      </c>
      <c r="AI18" t="n">
        <v>25.71689032863551</v>
      </c>
      <c r="AJ18" t="n">
        <v>1.677294767372254</v>
      </c>
      <c r="AK18" t="n">
        <v>53.33736645768776</v>
      </c>
      <c r="AL18" t="n">
        <v>6.307721269689583</v>
      </c>
      <c r="AM18" t="n">
        <v>0</v>
      </c>
      <c r="AO18" t="n">
        <v>797.9280812380161</v>
      </c>
      <c r="AP18" t="n">
        <v>1257.961597626793</v>
      </c>
      <c r="AQ18" t="n">
        <v>0</v>
      </c>
      <c r="AR18" t="n">
        <v>1257.961597626793</v>
      </c>
      <c r="AS18" t="n">
        <v>289.1823988066129</v>
      </c>
      <c r="AT18" t="n">
        <v>55.64575302662826</v>
      </c>
      <c r="AU18" t="n">
        <v>44.03595237472496</v>
      </c>
      <c r="AV18" t="n">
        <v>99.68170540135321</v>
      </c>
      <c r="AW18" t="n">
        <v>1646.825701834759</v>
      </c>
      <c r="AX18" t="n">
        <v>2444.753783072775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18.5774594311432</v>
      </c>
      <c r="D19" t="n">
        <v>67.44342933288266</v>
      </c>
      <c r="E19" t="n">
        <v>152.688687799748</v>
      </c>
      <c r="F19" t="n">
        <v>8.66271369490593</v>
      </c>
      <c r="G19" t="n">
        <v>7.340725593156198</v>
      </c>
      <c r="H19" t="n">
        <v>0.8915878058910287</v>
      </c>
      <c r="I19" t="n">
        <v>135.5918791536069</v>
      </c>
      <c r="J19" t="n">
        <v>2.403294457599794</v>
      </c>
      <c r="K19" t="n">
        <v>79.64269477727555</v>
      </c>
      <c r="L19" t="n">
        <v>223.9537325095733</v>
      </c>
      <c r="M19" t="n">
        <v>0.0003760661252125758</v>
      </c>
      <c r="N19" t="n">
        <v>1.57993543777552</v>
      </c>
      <c r="O19" t="n">
        <v>1.576340061201398</v>
      </c>
      <c r="P19" t="n">
        <v>1.188665266663854</v>
      </c>
      <c r="Q19" t="n">
        <v>1.528027568201775</v>
      </c>
      <c r="R19" t="n">
        <v>351.1110490190107</v>
      </c>
      <c r="S19" t="n">
        <v>29.41958356971926</v>
      </c>
      <c r="T19" t="n">
        <v>29.54487274158398</v>
      </c>
      <c r="U19" t="n">
        <v>548.0671936076735</v>
      </c>
      <c r="V19" t="n">
        <v>219.7917851997317</v>
      </c>
      <c r="W19" t="n">
        <v>210.5932260351651</v>
      </c>
      <c r="X19" t="n">
        <v>5.358954556787368</v>
      </c>
      <c r="Y19" t="n">
        <v>22.0310828110096</v>
      </c>
      <c r="Z19" t="n">
        <v>40.55001177778153</v>
      </c>
      <c r="AA19" t="n">
        <v>83.32436835367206</v>
      </c>
      <c r="AB19" t="n">
        <v>109.1396380247608</v>
      </c>
      <c r="AC19" t="n">
        <v>4.310047922572354</v>
      </c>
      <c r="AD19" t="n">
        <v>1.629503921523636</v>
      </c>
      <c r="AE19" t="n">
        <v>4.227554720448005</v>
      </c>
      <c r="AF19" t="n">
        <v>5.472061834850167</v>
      </c>
      <c r="AG19" t="n">
        <v>306.3510872628645</v>
      </c>
      <c r="AH19" t="n">
        <v>76.76508929183703</v>
      </c>
      <c r="AI19" t="n">
        <v>33.29646295383033</v>
      </c>
      <c r="AJ19" t="n">
        <v>27.30640447440825</v>
      </c>
      <c r="AK19" t="n">
        <v>129.3526742501027</v>
      </c>
      <c r="AL19" t="n">
        <v>23.94720899944479</v>
      </c>
      <c r="AM19" t="n">
        <v>0</v>
      </c>
      <c r="AO19" t="n">
        <v>2964.659410284527</v>
      </c>
      <c r="AP19" t="n">
        <v>1267.12114607086</v>
      </c>
      <c r="AQ19" t="n">
        <v>0</v>
      </c>
      <c r="AR19" t="n">
        <v>1267.12114607086</v>
      </c>
      <c r="AS19" t="n">
        <v>256.4883651589624</v>
      </c>
      <c r="AT19" t="n">
        <v>0</v>
      </c>
      <c r="AU19" t="n">
        <v>0</v>
      </c>
      <c r="AV19" t="n">
        <v>0</v>
      </c>
      <c r="AW19" t="n">
        <v>1523.609511229822</v>
      </c>
      <c r="AX19" t="n">
        <v>4488.26892151435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16.80569514551392</v>
      </c>
      <c r="D20" t="n">
        <v>4.680035209768432</v>
      </c>
      <c r="E20" t="n">
        <v>24.26229002676131</v>
      </c>
      <c r="F20" t="n">
        <v>1.421575852028513</v>
      </c>
      <c r="G20" t="n">
        <v>1.050074550433191</v>
      </c>
      <c r="H20" t="n">
        <v>0</v>
      </c>
      <c r="I20" t="n">
        <v>0.1577931768218737</v>
      </c>
      <c r="J20" t="n">
        <v>0.1589703583298124</v>
      </c>
      <c r="K20" t="n">
        <v>4.149913294353381</v>
      </c>
      <c r="L20" t="n">
        <v>1.112278239392028</v>
      </c>
      <c r="M20" t="n">
        <v>0</v>
      </c>
      <c r="N20" t="n">
        <v>0.02666081234470067</v>
      </c>
      <c r="O20" t="n">
        <v>0</v>
      </c>
      <c r="P20" t="n">
        <v>2.977337255611384</v>
      </c>
      <c r="Q20" t="n">
        <v>0.2026680562063035</v>
      </c>
      <c r="R20" t="n">
        <v>3.499573648491773</v>
      </c>
      <c r="S20" t="n">
        <v>25.36972271438522</v>
      </c>
      <c r="T20" t="n">
        <v>8.200712443092559</v>
      </c>
      <c r="U20" t="n">
        <v>29.78644531323308</v>
      </c>
      <c r="V20" t="n">
        <v>15.95603896097283</v>
      </c>
      <c r="W20" t="n">
        <v>42.76725022899024</v>
      </c>
      <c r="X20" t="n">
        <v>1.238261070096073</v>
      </c>
      <c r="Y20" t="n">
        <v>0.7690311062239443</v>
      </c>
      <c r="Z20" t="n">
        <v>2.100093058488549</v>
      </c>
      <c r="AA20" t="n">
        <v>5.265975482241845</v>
      </c>
      <c r="AB20" t="n">
        <v>11.45018875440675</v>
      </c>
      <c r="AC20" t="n">
        <v>1.485897640564721</v>
      </c>
      <c r="AD20" t="n">
        <v>0.194615096769024</v>
      </c>
      <c r="AE20" t="n">
        <v>0.04640377020880648</v>
      </c>
      <c r="AF20" t="n">
        <v>7.208825546508587</v>
      </c>
      <c r="AG20" t="n">
        <v>38.32995737151457</v>
      </c>
      <c r="AH20" t="n">
        <v>15.9511539572139</v>
      </c>
      <c r="AI20" t="n">
        <v>11.681584626824</v>
      </c>
      <c r="AJ20" t="n">
        <v>4.623162502720736</v>
      </c>
      <c r="AK20" t="n">
        <v>5.797453575280771</v>
      </c>
      <c r="AL20" t="n">
        <v>6.48320082623632</v>
      </c>
      <c r="AM20" t="n">
        <v>0</v>
      </c>
      <c r="AO20" t="n">
        <v>295.2108396720292</v>
      </c>
      <c r="AP20" t="n">
        <v>282.6335576181345</v>
      </c>
      <c r="AQ20" t="n">
        <v>116.1031768996823</v>
      </c>
      <c r="AR20" t="n">
        <v>398.7367345178167</v>
      </c>
      <c r="AS20" t="n">
        <v>100.602402854657</v>
      </c>
      <c r="AT20" t="n">
        <v>0</v>
      </c>
      <c r="AU20" t="n">
        <v>1.427958396611682</v>
      </c>
      <c r="AV20" t="n">
        <v>1.427958396611682</v>
      </c>
      <c r="AW20" t="n">
        <v>500.7670957690854</v>
      </c>
      <c r="AX20" t="n">
        <v>795.9779354411146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41.29705792954306</v>
      </c>
      <c r="D21" t="n">
        <v>159.5784921258078</v>
      </c>
      <c r="E21" t="n">
        <v>0.9303695112655186</v>
      </c>
      <c r="F21" t="n">
        <v>1.512271693444379</v>
      </c>
      <c r="G21" t="n">
        <v>0.153116666158378</v>
      </c>
      <c r="H21" t="n">
        <v>0</v>
      </c>
      <c r="I21" t="n">
        <v>0</v>
      </c>
      <c r="J21" t="n">
        <v>0</v>
      </c>
      <c r="K21" t="n">
        <v>40.16071811736537</v>
      </c>
      <c r="L21" t="n">
        <v>0</v>
      </c>
      <c r="M21" t="n">
        <v>0</v>
      </c>
      <c r="N21" t="n">
        <v>0</v>
      </c>
      <c r="O21" t="n">
        <v>2.341529460946472</v>
      </c>
      <c r="P21" t="n">
        <v>9.153462299284781</v>
      </c>
      <c r="Q21" t="n">
        <v>0.158648630819343</v>
      </c>
      <c r="R21" t="n">
        <v>49.16958703244617</v>
      </c>
      <c r="S21" t="n">
        <v>8.371381032330746</v>
      </c>
      <c r="T21" t="n">
        <v>2796.057090232196</v>
      </c>
      <c r="U21" t="n">
        <v>96.53499008634188</v>
      </c>
      <c r="V21" t="n">
        <v>13.0949780786497</v>
      </c>
      <c r="W21" t="n">
        <v>22.97899186953588</v>
      </c>
      <c r="X21" t="n">
        <v>2.436363537835058</v>
      </c>
      <c r="Y21" t="n">
        <v>3.58796563290713</v>
      </c>
      <c r="Z21" t="n">
        <v>3.663441762063803</v>
      </c>
      <c r="AA21" t="n">
        <v>69.28343277993933</v>
      </c>
      <c r="AB21" t="n">
        <v>262.5340762736907</v>
      </c>
      <c r="AC21" t="n">
        <v>1.906616376532656</v>
      </c>
      <c r="AD21" t="n">
        <v>25.88722595880598</v>
      </c>
      <c r="AE21" t="n">
        <v>0.004948286467166371</v>
      </c>
      <c r="AF21" t="n">
        <v>27.47510915652542</v>
      </c>
      <c r="AG21" t="n">
        <v>37.93038814629249</v>
      </c>
      <c r="AH21" t="n">
        <v>59.1200978372054</v>
      </c>
      <c r="AI21" t="n">
        <v>31.02097634880009</v>
      </c>
      <c r="AJ21" t="n">
        <v>2.127308010812631</v>
      </c>
      <c r="AK21" t="n">
        <v>10.75329522656343</v>
      </c>
      <c r="AL21" t="n">
        <v>3.36020643934555</v>
      </c>
      <c r="AM21" t="n">
        <v>0</v>
      </c>
      <c r="AO21" t="n">
        <v>3782.584136539922</v>
      </c>
      <c r="AP21" t="n">
        <v>1199.631932410641</v>
      </c>
      <c r="AQ21" t="n">
        <v>14.27788726083438</v>
      </c>
      <c r="AR21" t="n">
        <v>1213.909819671476</v>
      </c>
      <c r="AS21" t="n">
        <v>8.963128008281316</v>
      </c>
      <c r="AT21" t="n">
        <v>11028.12739078199</v>
      </c>
      <c r="AU21" t="n">
        <v>790.4802124831931</v>
      </c>
      <c r="AV21" t="n">
        <v>11818.60760326518</v>
      </c>
      <c r="AW21" t="n">
        <v>13041.48055094494</v>
      </c>
      <c r="AX21" t="n">
        <v>16824.06468748486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3.114995120833419</v>
      </c>
      <c r="D22" t="n">
        <v>1.143313489980136</v>
      </c>
      <c r="E22" t="n">
        <v>11.86515451135527</v>
      </c>
      <c r="F22" t="n">
        <v>0.818316050607472</v>
      </c>
      <c r="G22" t="n">
        <v>5.008722905680121</v>
      </c>
      <c r="H22" t="n">
        <v>0</v>
      </c>
      <c r="I22" t="n">
        <v>2.751170558896159</v>
      </c>
      <c r="J22" t="n">
        <v>0.0134661573216811</v>
      </c>
      <c r="K22" t="n">
        <v>2.827181871211185</v>
      </c>
      <c r="L22" t="n">
        <v>3.80013480113948</v>
      </c>
      <c r="M22" t="n">
        <v>0</v>
      </c>
      <c r="N22" t="n">
        <v>0</v>
      </c>
      <c r="O22" t="n">
        <v>0</v>
      </c>
      <c r="P22" t="n">
        <v>0.06729213959661243</v>
      </c>
      <c r="Q22" t="n">
        <v>7.105367825730933</v>
      </c>
      <c r="R22" t="n">
        <v>1.092410533912673</v>
      </c>
      <c r="S22" t="n">
        <v>18.30684207053432</v>
      </c>
      <c r="T22" t="n">
        <v>3.335376818735701</v>
      </c>
      <c r="U22" t="n">
        <v>56.37190488180465</v>
      </c>
      <c r="V22" t="n">
        <v>10.37412164862894</v>
      </c>
      <c r="W22" t="n">
        <v>8.706853362122233</v>
      </c>
      <c r="X22" t="n">
        <v>0.9225355387045263</v>
      </c>
      <c r="Y22" t="n">
        <v>0.2093493174229893</v>
      </c>
      <c r="Z22" t="n">
        <v>0.5284548285146334</v>
      </c>
      <c r="AA22" t="n">
        <v>0.709911928904624</v>
      </c>
      <c r="AB22" t="n">
        <v>8.598224195882739</v>
      </c>
      <c r="AC22" t="n">
        <v>1.894958163460538</v>
      </c>
      <c r="AD22" t="n">
        <v>0.2260036935514263</v>
      </c>
      <c r="AE22" t="n">
        <v>0.8982668745347302</v>
      </c>
      <c r="AF22" t="n">
        <v>11.62756943590511</v>
      </c>
      <c r="AG22" t="n">
        <v>7.208488311029637</v>
      </c>
      <c r="AH22" t="n">
        <v>3.583275563669791</v>
      </c>
      <c r="AI22" t="n">
        <v>1.054192910483183</v>
      </c>
      <c r="AJ22" t="n">
        <v>0.001068437718002354</v>
      </c>
      <c r="AK22" t="n">
        <v>7.450908513612128</v>
      </c>
      <c r="AL22" t="n">
        <v>0.1615143529784288</v>
      </c>
      <c r="AM22" t="n">
        <v>0</v>
      </c>
      <c r="AO22" t="n">
        <v>181.7773468144635</v>
      </c>
      <c r="AP22" t="n">
        <v>43.22549932883533</v>
      </c>
      <c r="AQ22" t="n">
        <v>0</v>
      </c>
      <c r="AR22" t="n">
        <v>43.22549932883533</v>
      </c>
      <c r="AS22" t="n">
        <v>0</v>
      </c>
      <c r="AT22" t="n">
        <v>0</v>
      </c>
      <c r="AU22" t="n">
        <v>0</v>
      </c>
      <c r="AV22" t="n">
        <v>0</v>
      </c>
      <c r="AW22" t="n">
        <v>43.22549932883533</v>
      </c>
      <c r="AX22" t="n">
        <v>225.0028461432988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181.9633964505487</v>
      </c>
      <c r="D23" t="n">
        <v>144.0518923108905</v>
      </c>
      <c r="E23" t="n">
        <v>192.6853253394767</v>
      </c>
      <c r="F23" t="n">
        <v>9.304702550697248</v>
      </c>
      <c r="G23" t="n">
        <v>19.61563416579516</v>
      </c>
      <c r="H23" t="n">
        <v>7.330246717912051</v>
      </c>
      <c r="I23" t="n">
        <v>15.94183706095312</v>
      </c>
      <c r="J23" t="n">
        <v>7.850324702575775</v>
      </c>
      <c r="K23" t="n">
        <v>84.41589609216112</v>
      </c>
      <c r="L23" t="n">
        <v>51.89299366275995</v>
      </c>
      <c r="M23" t="n">
        <v>0</v>
      </c>
      <c r="N23" t="n">
        <v>13.45575236568489</v>
      </c>
      <c r="O23" t="n">
        <v>0.6244994892897802</v>
      </c>
      <c r="P23" t="n">
        <v>0.4073024961776563</v>
      </c>
      <c r="Q23" t="n">
        <v>2.8238197814174</v>
      </c>
      <c r="R23" t="n">
        <v>12.29398256433516</v>
      </c>
      <c r="S23" t="n">
        <v>38.6049818734091</v>
      </c>
      <c r="T23" t="n">
        <v>283.0640651104822</v>
      </c>
      <c r="U23" t="n">
        <v>1199.573111974122</v>
      </c>
      <c r="V23" t="n">
        <v>1942.614419220991</v>
      </c>
      <c r="W23" t="n">
        <v>51.66571580057249</v>
      </c>
      <c r="X23" t="n">
        <v>0.6290764103101788</v>
      </c>
      <c r="Y23" t="n">
        <v>16.4659621563132</v>
      </c>
      <c r="Z23" t="n">
        <v>41.04105922643502</v>
      </c>
      <c r="AA23" t="n">
        <v>94.91847418494419</v>
      </c>
      <c r="AB23" t="n">
        <v>10.17232198794239</v>
      </c>
      <c r="AC23" t="n">
        <v>17.03135326202526</v>
      </c>
      <c r="AD23" t="n">
        <v>0.5832683696311947</v>
      </c>
      <c r="AE23" t="n">
        <v>16.80023590335218</v>
      </c>
      <c r="AF23" t="n">
        <v>24.00710782403541</v>
      </c>
      <c r="AG23" t="n">
        <v>32.47881934684342</v>
      </c>
      <c r="AH23" t="n">
        <v>105.6264719976921</v>
      </c>
      <c r="AI23" t="n">
        <v>11.23258152590614</v>
      </c>
      <c r="AJ23" t="n">
        <v>5.182302289294592</v>
      </c>
      <c r="AK23" t="n">
        <v>69.34365649685842</v>
      </c>
      <c r="AL23" t="n">
        <v>24.39079531207354</v>
      </c>
      <c r="AM23" t="n">
        <v>0</v>
      </c>
      <c r="AO23" t="n">
        <v>4730.083386023909</v>
      </c>
      <c r="AP23" t="n">
        <v>1188.264912628444</v>
      </c>
      <c r="AQ23" t="n">
        <v>0</v>
      </c>
      <c r="AR23" t="n">
        <v>1188.264912628444</v>
      </c>
      <c r="AS23" t="n">
        <v>5385.963300276188</v>
      </c>
      <c r="AT23" t="n">
        <v>0</v>
      </c>
      <c r="AU23" t="n">
        <v>0</v>
      </c>
      <c r="AV23" t="n">
        <v>0</v>
      </c>
      <c r="AW23" t="n">
        <v>6574.228212904631</v>
      </c>
      <c r="AX23" t="n">
        <v>11304.31159892854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0.3251767834567313</v>
      </c>
      <c r="D24" t="n">
        <v>2.884906122874543</v>
      </c>
      <c r="E24" t="n">
        <v>11.19368290522172</v>
      </c>
      <c r="F24" t="n">
        <v>0.3272475741797814</v>
      </c>
      <c r="G24" t="n">
        <v>0.2992583196890282</v>
      </c>
      <c r="H24" t="n">
        <v>0.0773881015593728</v>
      </c>
      <c r="I24" t="n">
        <v>0.2724673533455276</v>
      </c>
      <c r="J24" t="n">
        <v>0.1182739000794697</v>
      </c>
      <c r="K24" t="n">
        <v>7.905667045642668</v>
      </c>
      <c r="L24" t="n">
        <v>0.8706361576416286</v>
      </c>
      <c r="M24" t="n">
        <v>0</v>
      </c>
      <c r="N24" t="n">
        <v>0</v>
      </c>
      <c r="O24" t="n">
        <v>0.05328393006590495</v>
      </c>
      <c r="P24" t="n">
        <v>0.005699698362197611</v>
      </c>
      <c r="Q24" t="n">
        <v>1.75161820098548</v>
      </c>
      <c r="R24" t="n">
        <v>4.390001267490331</v>
      </c>
      <c r="S24" t="n">
        <v>1.366709629052037</v>
      </c>
      <c r="T24" t="n">
        <v>26.88170939110053</v>
      </c>
      <c r="U24" t="n">
        <v>99.03316962757255</v>
      </c>
      <c r="V24" t="n">
        <v>114.8301171271028</v>
      </c>
      <c r="W24" t="n">
        <v>39.46056605144241</v>
      </c>
      <c r="X24" t="n">
        <v>3.370721211289625</v>
      </c>
      <c r="Y24" t="n">
        <v>2.054194351207122</v>
      </c>
      <c r="Z24" t="n">
        <v>12.57395509583176</v>
      </c>
      <c r="AA24" t="n">
        <v>59.88269831918309</v>
      </c>
      <c r="AB24" t="n">
        <v>5.206869872067369</v>
      </c>
      <c r="AC24" t="n">
        <v>17.68243393246764</v>
      </c>
      <c r="AD24" t="n">
        <v>0.5553861894082442</v>
      </c>
      <c r="AE24" t="n">
        <v>3.295661902850552</v>
      </c>
      <c r="AF24" t="n">
        <v>25.30220192326725</v>
      </c>
      <c r="AG24" t="n">
        <v>203.4061819232855</v>
      </c>
      <c r="AH24" t="n">
        <v>70.9013685565475</v>
      </c>
      <c r="AI24" t="n">
        <v>10.98631137030112</v>
      </c>
      <c r="AJ24" t="n">
        <v>3.890850619740193</v>
      </c>
      <c r="AK24" t="n">
        <v>196.5914109343417</v>
      </c>
      <c r="AL24" t="n">
        <v>27.98783708720838</v>
      </c>
      <c r="AM24" t="n">
        <v>0</v>
      </c>
      <c r="AO24" t="n">
        <v>955.7356624758615</v>
      </c>
      <c r="AP24" t="n">
        <v>1624.007322812618</v>
      </c>
      <c r="AQ24" t="n">
        <v>0</v>
      </c>
      <c r="AR24" t="n">
        <v>1624.007322812618</v>
      </c>
      <c r="AS24" t="n">
        <v>3621.6100556733</v>
      </c>
      <c r="AT24" t="n">
        <v>0</v>
      </c>
      <c r="AU24" t="n">
        <v>0</v>
      </c>
      <c r="AV24" t="n">
        <v>0</v>
      </c>
      <c r="AW24" t="n">
        <v>5245.617378485917</v>
      </c>
      <c r="AX24" t="n">
        <v>6201.353040961779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0.2244150423668685</v>
      </c>
      <c r="D25" t="n">
        <v>0</v>
      </c>
      <c r="E25" t="n">
        <v>2.3109584017557</v>
      </c>
      <c r="F25" t="n">
        <v>0.07799384927626904</v>
      </c>
      <c r="G25" t="n">
        <v>0.08419235838082589</v>
      </c>
      <c r="H25" t="n">
        <v>0</v>
      </c>
      <c r="I25" t="n">
        <v>0.06174020395695377</v>
      </c>
      <c r="J25" t="n">
        <v>0.001197094429728657</v>
      </c>
      <c r="K25" t="n">
        <v>2.226431800693284</v>
      </c>
      <c r="L25" t="n">
        <v>0</v>
      </c>
      <c r="M25" t="n">
        <v>0</v>
      </c>
      <c r="N25" t="n">
        <v>0</v>
      </c>
      <c r="O25" t="n">
        <v>0</v>
      </c>
      <c r="P25" t="n">
        <v>0.08561987805068011</v>
      </c>
      <c r="Q25" t="n">
        <v>0.0922038427954544</v>
      </c>
      <c r="R25" t="n">
        <v>1.528866044121417</v>
      </c>
      <c r="S25" t="n">
        <v>0.1835787262391432</v>
      </c>
      <c r="T25" t="n">
        <v>1.030752757362516</v>
      </c>
      <c r="U25" t="n">
        <v>46.64284579935767</v>
      </c>
      <c r="V25" t="n">
        <v>2.847560084304431</v>
      </c>
      <c r="W25" t="n">
        <v>4.520055884609624</v>
      </c>
      <c r="X25" t="n">
        <v>182.5208056379714</v>
      </c>
      <c r="Y25" t="n">
        <v>27.18577137777042</v>
      </c>
      <c r="Z25" t="n">
        <v>27.46881542951214</v>
      </c>
      <c r="AA25" t="n">
        <v>37.87040209506737</v>
      </c>
      <c r="AB25" t="n">
        <v>1.051089347275288</v>
      </c>
      <c r="AC25" t="n">
        <v>3.15730039643586</v>
      </c>
      <c r="AD25" t="n">
        <v>2.600368715017197</v>
      </c>
      <c r="AE25" t="n">
        <v>43.32565910500273</v>
      </c>
      <c r="AF25" t="n">
        <v>1.855201858867384</v>
      </c>
      <c r="AG25" t="n">
        <v>33.43854775654419</v>
      </c>
      <c r="AH25" t="n">
        <v>10.15060585896092</v>
      </c>
      <c r="AI25" t="n">
        <v>3.278696874250066</v>
      </c>
      <c r="AJ25" t="n">
        <v>0.6913269506789212</v>
      </c>
      <c r="AK25" t="n">
        <v>13.6629462441418</v>
      </c>
      <c r="AL25" t="n">
        <v>1.772316993132609</v>
      </c>
      <c r="AM25" t="n">
        <v>0</v>
      </c>
      <c r="AO25" t="n">
        <v>451.9482664083289</v>
      </c>
      <c r="AP25" t="n">
        <v>135.7523827823648</v>
      </c>
      <c r="AQ25" t="n">
        <v>81.81954639553354</v>
      </c>
      <c r="AR25" t="n">
        <v>217.5719291778984</v>
      </c>
      <c r="AS25" t="n">
        <v>501.1012244674238</v>
      </c>
      <c r="AT25" t="n">
        <v>0</v>
      </c>
      <c r="AU25" t="n">
        <v>2.683494733497385</v>
      </c>
      <c r="AV25" t="n">
        <v>2.683494733497385</v>
      </c>
      <c r="AW25" t="n">
        <v>721.3566483788195</v>
      </c>
      <c r="AX25" t="n">
        <v>1173.304914787148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1.089336121813612</v>
      </c>
      <c r="D26" t="n">
        <v>0.1619396156585419</v>
      </c>
      <c r="E26" t="n">
        <v>7.558241196417573</v>
      </c>
      <c r="F26" t="n">
        <v>0.1117732366428337</v>
      </c>
      <c r="G26" t="n">
        <v>1.006924145080652</v>
      </c>
      <c r="H26" t="n">
        <v>0</v>
      </c>
      <c r="I26" t="n">
        <v>0.9189195643866667</v>
      </c>
      <c r="J26" t="n">
        <v>0</v>
      </c>
      <c r="K26" t="n">
        <v>3.326360255500069</v>
      </c>
      <c r="L26" t="n">
        <v>0.9369771956349258</v>
      </c>
      <c r="M26" t="n">
        <v>0</v>
      </c>
      <c r="N26" t="n">
        <v>0.009747316337848875</v>
      </c>
      <c r="O26" t="n">
        <v>0.01297680746144064</v>
      </c>
      <c r="P26" t="n">
        <v>0.00138810872514553</v>
      </c>
      <c r="Q26" t="n">
        <v>0.4902201455632971</v>
      </c>
      <c r="R26" t="n">
        <v>15.24217476707643</v>
      </c>
      <c r="S26" t="n">
        <v>1.062703149567733</v>
      </c>
      <c r="T26" t="n">
        <v>9.089272533721083</v>
      </c>
      <c r="U26" t="n">
        <v>17.54910854985175</v>
      </c>
      <c r="V26" t="n">
        <v>6.987190694057999</v>
      </c>
      <c r="W26" t="n">
        <v>5.79799316994672</v>
      </c>
      <c r="X26" t="n">
        <v>11.22976045112316</v>
      </c>
      <c r="Y26" t="n">
        <v>143.9850967674125</v>
      </c>
      <c r="Z26" t="n">
        <v>7.151899813805482</v>
      </c>
      <c r="AA26" t="n">
        <v>25.50768711426388</v>
      </c>
      <c r="AB26" t="n">
        <v>6.488330941327701</v>
      </c>
      <c r="AC26" t="n">
        <v>3.390866086321279</v>
      </c>
      <c r="AD26" t="n">
        <v>0.3271218980338642</v>
      </c>
      <c r="AE26" t="n">
        <v>0.7381041566694998</v>
      </c>
      <c r="AF26" t="n">
        <v>2.389458986393603</v>
      </c>
      <c r="AG26" t="n">
        <v>34.32705342175716</v>
      </c>
      <c r="AH26" t="n">
        <v>8.580928694941793</v>
      </c>
      <c r="AI26" t="n">
        <v>4.80567940792269</v>
      </c>
      <c r="AJ26" t="n">
        <v>0.02788832508311607</v>
      </c>
      <c r="AK26" t="n">
        <v>84.56326646574254</v>
      </c>
      <c r="AL26" t="n">
        <v>3.686500033491912</v>
      </c>
      <c r="AM26" t="n">
        <v>0</v>
      </c>
      <c r="AO26" t="n">
        <v>408.5528891377346</v>
      </c>
      <c r="AP26" t="n">
        <v>1261.519581697035</v>
      </c>
      <c r="AQ26" t="n">
        <v>0</v>
      </c>
      <c r="AR26" t="n">
        <v>1261.519581697035</v>
      </c>
      <c r="AS26" t="n">
        <v>493.381550429769</v>
      </c>
      <c r="AT26" t="n">
        <v>0</v>
      </c>
      <c r="AU26" t="n">
        <v>0</v>
      </c>
      <c r="AV26" t="n">
        <v>0</v>
      </c>
      <c r="AW26" t="n">
        <v>1754.901132126804</v>
      </c>
      <c r="AX26" t="n">
        <v>2163.454021264539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0.4056080384972362</v>
      </c>
      <c r="D27" t="n">
        <v>0.2135773682883197</v>
      </c>
      <c r="E27" t="n">
        <v>2.690302029846242</v>
      </c>
      <c r="F27" t="n">
        <v>0.01516025001740683</v>
      </c>
      <c r="G27" t="n">
        <v>1.377378264858447</v>
      </c>
      <c r="H27" t="n">
        <v>0</v>
      </c>
      <c r="I27" t="n">
        <v>0.07159540504227944</v>
      </c>
      <c r="J27" t="n">
        <v>0.07816435743218796</v>
      </c>
      <c r="K27" t="n">
        <v>2.468086622422513</v>
      </c>
      <c r="L27" t="n">
        <v>0</v>
      </c>
      <c r="M27" t="n">
        <v>0</v>
      </c>
      <c r="N27" t="n">
        <v>0</v>
      </c>
      <c r="O27" t="n">
        <v>0.005615013599583779</v>
      </c>
      <c r="P27" t="n">
        <v>0.02285092042957007</v>
      </c>
      <c r="Q27" t="n">
        <v>0.175995025964837</v>
      </c>
      <c r="R27" t="n">
        <v>21.9800728407635</v>
      </c>
      <c r="S27" t="n">
        <v>0.4349605580388403</v>
      </c>
      <c r="T27" t="n">
        <v>42.37966508914081</v>
      </c>
      <c r="U27" t="n">
        <v>38.65289437700424</v>
      </c>
      <c r="V27" t="n">
        <v>8.204157293708363</v>
      </c>
      <c r="W27" t="n">
        <v>6.862603463371105</v>
      </c>
      <c r="X27" t="n">
        <v>2.45604474227078</v>
      </c>
      <c r="Y27" t="n">
        <v>23.53998442989738</v>
      </c>
      <c r="Z27" t="n">
        <v>126.2574493172517</v>
      </c>
      <c r="AA27" t="n">
        <v>135.3045035292112</v>
      </c>
      <c r="AB27" t="n">
        <v>3.165040863654795</v>
      </c>
      <c r="AC27" t="n">
        <v>6.255709584923943</v>
      </c>
      <c r="AD27" t="n">
        <v>0.0004868526290153507</v>
      </c>
      <c r="AE27" t="n">
        <v>0.3166414781199044</v>
      </c>
      <c r="AF27" t="n">
        <v>4.316720556226273</v>
      </c>
      <c r="AG27" t="n">
        <v>0</v>
      </c>
      <c r="AH27" t="n">
        <v>5.289837493891933</v>
      </c>
      <c r="AI27" t="n">
        <v>6.090543965556209</v>
      </c>
      <c r="AJ27" t="n">
        <v>0.8258363334605334</v>
      </c>
      <c r="AK27" t="n">
        <v>2.635353007114287</v>
      </c>
      <c r="AL27" t="n">
        <v>1.168462320432111</v>
      </c>
      <c r="AM27" t="n">
        <v>0</v>
      </c>
      <c r="AO27" t="n">
        <v>443.6613013930655</v>
      </c>
      <c r="AP27" t="n">
        <v>252.5261545891167</v>
      </c>
      <c r="AQ27" t="n">
        <v>0</v>
      </c>
      <c r="AR27" t="n">
        <v>252.5261545891167</v>
      </c>
      <c r="AS27" t="n">
        <v>2363.961549798611</v>
      </c>
      <c r="AT27" t="n">
        <v>9.680421028271001</v>
      </c>
      <c r="AU27" t="n">
        <v>0.01603141916376175</v>
      </c>
      <c r="AV27" t="n">
        <v>9.696452447434762</v>
      </c>
      <c r="AW27" t="n">
        <v>2626.184156835163</v>
      </c>
      <c r="AX27" t="n">
        <v>3069.845458228228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208.8588253252334</v>
      </c>
      <c r="D28" t="n">
        <v>51.89936464290206</v>
      </c>
      <c r="E28" t="n">
        <v>211.8244158935868</v>
      </c>
      <c r="F28" t="n">
        <v>19.75716928676846</v>
      </c>
      <c r="G28" t="n">
        <v>17.72876961460419</v>
      </c>
      <c r="H28" t="n">
        <v>6.750766011330208</v>
      </c>
      <c r="I28" t="n">
        <v>22.52156750763436</v>
      </c>
      <c r="J28" t="n">
        <v>8.606220128963534</v>
      </c>
      <c r="K28" t="n">
        <v>86.33732144764676</v>
      </c>
      <c r="L28" t="n">
        <v>87.96221190690331</v>
      </c>
      <c r="M28" t="n">
        <v>0.5463517550772478</v>
      </c>
      <c r="N28" t="n">
        <v>5.300097013079021</v>
      </c>
      <c r="O28" t="n">
        <v>1.429460822963871</v>
      </c>
      <c r="P28" t="n">
        <v>2.425067608338292</v>
      </c>
      <c r="Q28" t="n">
        <v>17.04687381169613</v>
      </c>
      <c r="R28" t="n">
        <v>110.6674510101319</v>
      </c>
      <c r="S28" t="n">
        <v>19.67084649034678</v>
      </c>
      <c r="T28" t="n">
        <v>402.7948990824167</v>
      </c>
      <c r="U28" t="n">
        <v>509.2175871734365</v>
      </c>
      <c r="V28" t="n">
        <v>240.2596860189781</v>
      </c>
      <c r="W28" t="n">
        <v>130.7543237649074</v>
      </c>
      <c r="X28" t="n">
        <v>26.97369863537966</v>
      </c>
      <c r="Y28" t="n">
        <v>51.60710706558463</v>
      </c>
      <c r="Z28" t="n">
        <v>72.68255079265124</v>
      </c>
      <c r="AA28" t="n">
        <v>235.741623123151</v>
      </c>
      <c r="AB28" t="n">
        <v>396.127649870385</v>
      </c>
      <c r="AC28" t="n">
        <v>40.85365438550346</v>
      </c>
      <c r="AD28" t="n">
        <v>1.830844896467212</v>
      </c>
      <c r="AE28" t="n">
        <v>24.19057040737873</v>
      </c>
      <c r="AF28" t="n">
        <v>37.18392026419641</v>
      </c>
      <c r="AG28" t="n">
        <v>174.4847381177343</v>
      </c>
      <c r="AH28" t="n">
        <v>25.20307797276946</v>
      </c>
      <c r="AI28" t="n">
        <v>91.94131718738701</v>
      </c>
      <c r="AJ28" t="n">
        <v>4.468758611964031</v>
      </c>
      <c r="AK28" t="n">
        <v>110.5444078059901</v>
      </c>
      <c r="AL28" t="n">
        <v>10.39855957741231</v>
      </c>
      <c r="AM28" t="n">
        <v>0</v>
      </c>
      <c r="AO28" t="n">
        <v>3466.5917550309</v>
      </c>
      <c r="AP28" t="n">
        <v>1459.945052831109</v>
      </c>
      <c r="AQ28" t="n">
        <v>0</v>
      </c>
      <c r="AR28" t="n">
        <v>1459.945052831109</v>
      </c>
      <c r="AS28" t="n">
        <v>605.8506483325939</v>
      </c>
      <c r="AT28" t="n">
        <v>0</v>
      </c>
      <c r="AU28" t="n">
        <v>0</v>
      </c>
      <c r="AV28" t="n">
        <v>0</v>
      </c>
      <c r="AW28" t="n">
        <v>2065.795701163704</v>
      </c>
      <c r="AX28" t="n">
        <v>5532.387456194603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22.13982635376138</v>
      </c>
      <c r="D29" t="n">
        <v>59.46173401657076</v>
      </c>
      <c r="E29" t="n">
        <v>55.61820832006261</v>
      </c>
      <c r="F29" t="n">
        <v>11.63116076876602</v>
      </c>
      <c r="G29" t="n">
        <v>10.73545113418755</v>
      </c>
      <c r="H29" t="n">
        <v>1.585404100640216</v>
      </c>
      <c r="I29" t="n">
        <v>0.8586129546428307</v>
      </c>
      <c r="J29" t="n">
        <v>0</v>
      </c>
      <c r="K29" t="n">
        <v>13.93611239167894</v>
      </c>
      <c r="L29" t="n">
        <v>5.7531585824614</v>
      </c>
      <c r="M29" t="n">
        <v>0</v>
      </c>
      <c r="N29" t="n">
        <v>0.1349431942097689</v>
      </c>
      <c r="O29" t="n">
        <v>0.07350150289948051</v>
      </c>
      <c r="P29" t="n">
        <v>3.043906713706269</v>
      </c>
      <c r="Q29" t="n">
        <v>15.4099986727052</v>
      </c>
      <c r="R29" t="n">
        <v>12.02580932568608</v>
      </c>
      <c r="S29" t="n">
        <v>1.691859742349647</v>
      </c>
      <c r="T29" t="n">
        <v>52.69629898725523</v>
      </c>
      <c r="U29" t="n">
        <v>888.1126304836145</v>
      </c>
      <c r="V29" t="n">
        <v>247.6292042140848</v>
      </c>
      <c r="W29" t="n">
        <v>220.0025567048067</v>
      </c>
      <c r="X29" t="n">
        <v>17.68304793720874</v>
      </c>
      <c r="Y29" t="n">
        <v>20.28045892683686</v>
      </c>
      <c r="Z29" t="n">
        <v>42.24385257484751</v>
      </c>
      <c r="AA29" t="n">
        <v>127.6127986345109</v>
      </c>
      <c r="AB29" t="n">
        <v>78.28092339165998</v>
      </c>
      <c r="AC29" t="n">
        <v>34.71802694287543</v>
      </c>
      <c r="AD29" t="n">
        <v>1.228569315897172</v>
      </c>
      <c r="AE29" t="n">
        <v>38.15431783598439</v>
      </c>
      <c r="AF29" t="n">
        <v>57.14641178945595</v>
      </c>
      <c r="AG29" t="n">
        <v>36.35699544499803</v>
      </c>
      <c r="AH29" t="n">
        <v>33.82158955484746</v>
      </c>
      <c r="AI29" t="n">
        <v>44.61523862187234</v>
      </c>
      <c r="AJ29" t="n">
        <v>13.44311653969254</v>
      </c>
      <c r="AK29" t="n">
        <v>115.7447364912557</v>
      </c>
      <c r="AL29" t="n">
        <v>63.4387382731842</v>
      </c>
      <c r="AM29" t="n">
        <v>0</v>
      </c>
      <c r="AO29" t="n">
        <v>2347.309200439217</v>
      </c>
      <c r="AP29" t="n">
        <v>6644.919756209965</v>
      </c>
      <c r="AQ29" t="n">
        <v>2.477616817639256</v>
      </c>
      <c r="AR29" t="n">
        <v>6647.397373027605</v>
      </c>
      <c r="AS29" t="n">
        <v>4.805842</v>
      </c>
      <c r="AT29" t="n">
        <v>0</v>
      </c>
      <c r="AU29" t="n">
        <v>0</v>
      </c>
      <c r="AV29" t="n">
        <v>0</v>
      </c>
      <c r="AW29" t="n">
        <v>6652.203215027605</v>
      </c>
      <c r="AX29" t="n">
        <v>8999.512415466821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0.9660931057297476</v>
      </c>
      <c r="D30" t="n">
        <v>3.142670305801821</v>
      </c>
      <c r="E30" t="n">
        <v>18.66481042857836</v>
      </c>
      <c r="F30" t="n">
        <v>0.2236106723573188</v>
      </c>
      <c r="G30" t="n">
        <v>0.3616416429302916</v>
      </c>
      <c r="H30" t="n">
        <v>0</v>
      </c>
      <c r="I30" t="n">
        <v>0.07213055140591423</v>
      </c>
      <c r="J30" t="n">
        <v>0.09089280011865965</v>
      </c>
      <c r="K30" t="n">
        <v>31.82609219605516</v>
      </c>
      <c r="L30" t="n">
        <v>1.14835021983597</v>
      </c>
      <c r="M30" t="n">
        <v>0</v>
      </c>
      <c r="N30" t="n">
        <v>1.505392424263884</v>
      </c>
      <c r="O30" t="n">
        <v>0.009627259193527977</v>
      </c>
      <c r="P30" t="n">
        <v>8.038546868033141</v>
      </c>
      <c r="Q30" t="n">
        <v>4.386397949720516</v>
      </c>
      <c r="R30" t="n">
        <v>113.4180266898523</v>
      </c>
      <c r="S30" t="n">
        <v>4.610420039053548</v>
      </c>
      <c r="T30" t="n">
        <v>171.2756822155492</v>
      </c>
      <c r="U30" t="n">
        <v>41.15678944231517</v>
      </c>
      <c r="V30" t="n">
        <v>71.13073851890333</v>
      </c>
      <c r="W30" t="n">
        <v>13.8720958978595</v>
      </c>
      <c r="X30" t="n">
        <v>2.457868878664818</v>
      </c>
      <c r="Y30" t="n">
        <v>24.73674102761469</v>
      </c>
      <c r="Z30" t="n">
        <v>45.16894478693559</v>
      </c>
      <c r="AA30" t="n">
        <v>146.3826246252009</v>
      </c>
      <c r="AB30" t="n">
        <v>15.63778528172709</v>
      </c>
      <c r="AC30" t="n">
        <v>158.1006114782379</v>
      </c>
      <c r="AD30" t="n">
        <v>0.05805207055552233</v>
      </c>
      <c r="AE30" t="n">
        <v>4.368122493914218</v>
      </c>
      <c r="AF30" t="n">
        <v>2.085679121517273</v>
      </c>
      <c r="AG30" t="n">
        <v>1.797260038046963</v>
      </c>
      <c r="AH30" t="n">
        <v>27.05446043380176</v>
      </c>
      <c r="AI30" t="n">
        <v>14.26628016889307</v>
      </c>
      <c r="AJ30" t="n">
        <v>0.6188719273393454</v>
      </c>
      <c r="AK30" t="n">
        <v>46.86197090901951</v>
      </c>
      <c r="AL30" t="n">
        <v>2.589379541435066</v>
      </c>
      <c r="AM30" t="n">
        <v>0</v>
      </c>
      <c r="AO30" t="n">
        <v>978.0846620104613</v>
      </c>
      <c r="AP30" t="n">
        <v>406.4532827790661</v>
      </c>
      <c r="AQ30" t="n">
        <v>0</v>
      </c>
      <c r="AR30" t="n">
        <v>406.4532827790661</v>
      </c>
      <c r="AS30" t="n">
        <v>212.48814607141</v>
      </c>
      <c r="AT30" t="n">
        <v>0.4581500874491461</v>
      </c>
      <c r="AU30" t="n">
        <v>1.422776273016455</v>
      </c>
      <c r="AV30" t="n">
        <v>1.880926360465601</v>
      </c>
      <c r="AW30" t="n">
        <v>620.8223552109416</v>
      </c>
      <c r="AX30" t="n">
        <v>1598.907017221403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0.04636191866000836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3.298643447065452</v>
      </c>
      <c r="S31" t="n">
        <v>0</v>
      </c>
      <c r="T31" t="n">
        <v>0.09836558773637129</v>
      </c>
      <c r="U31" t="n">
        <v>0.1707728486346493</v>
      </c>
      <c r="V31" t="n">
        <v>0.0726006313111755</v>
      </c>
      <c r="W31" t="n">
        <v>0</v>
      </c>
      <c r="X31" t="n">
        <v>0</v>
      </c>
      <c r="Y31" t="n">
        <v>0</v>
      </c>
      <c r="Z31" t="n">
        <v>0</v>
      </c>
      <c r="AA31" t="n">
        <v>0.07719352381145687</v>
      </c>
      <c r="AB31" t="n">
        <v>0</v>
      </c>
      <c r="AC31" t="n">
        <v>0</v>
      </c>
      <c r="AD31" t="n">
        <v>19.63847814803398</v>
      </c>
      <c r="AE31" t="n">
        <v>0.8084193124857678</v>
      </c>
      <c r="AF31" t="n">
        <v>0</v>
      </c>
      <c r="AG31" t="n">
        <v>0</v>
      </c>
      <c r="AH31" t="n">
        <v>0.01721753528413791</v>
      </c>
      <c r="AI31" t="n">
        <v>0.2460406414765584</v>
      </c>
      <c r="AJ31" t="n">
        <v>0</v>
      </c>
      <c r="AK31" t="n">
        <v>0</v>
      </c>
      <c r="AL31" t="n">
        <v>0.08015658021723478</v>
      </c>
      <c r="AM31" t="n">
        <v>0</v>
      </c>
      <c r="AO31" t="n">
        <v>24.5542501747168</v>
      </c>
      <c r="AP31" t="n">
        <v>0</v>
      </c>
      <c r="AQ31" t="n">
        <v>20.38764536408177</v>
      </c>
      <c r="AR31" t="n">
        <v>20.38764536408177</v>
      </c>
      <c r="AS31" t="n">
        <v>29.11011311833365</v>
      </c>
      <c r="AT31" t="n">
        <v>193.234270059406</v>
      </c>
      <c r="AU31" t="n">
        <v>0</v>
      </c>
      <c r="AV31" t="n">
        <v>193.234270059406</v>
      </c>
      <c r="AW31" t="n">
        <v>242.7320285418214</v>
      </c>
      <c r="AX31" t="n">
        <v>267.2862787165382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10.43319295463187</v>
      </c>
      <c r="D32" t="n">
        <v>0</v>
      </c>
      <c r="E32" t="n">
        <v>28.92281056935386</v>
      </c>
      <c r="F32" t="n">
        <v>0.04790016427428801</v>
      </c>
      <c r="G32" t="n">
        <v>0.5318269357587786</v>
      </c>
      <c r="H32" t="n">
        <v>0</v>
      </c>
      <c r="I32" t="n">
        <v>1.822757010043734</v>
      </c>
      <c r="J32" t="n">
        <v>5.782662194789411</v>
      </c>
      <c r="K32" t="n">
        <v>2.500677699858371</v>
      </c>
      <c r="L32" t="n">
        <v>0.008763382777810073</v>
      </c>
      <c r="M32" t="n">
        <v>0</v>
      </c>
      <c r="N32" t="n">
        <v>0</v>
      </c>
      <c r="O32" t="n">
        <v>0</v>
      </c>
      <c r="P32" t="n">
        <v>0.033703101877706</v>
      </c>
      <c r="Q32" t="n">
        <v>0.6183595105223185</v>
      </c>
      <c r="R32" t="n">
        <v>0.7316402432774416</v>
      </c>
      <c r="S32" t="n">
        <v>0.1581783196817054</v>
      </c>
      <c r="T32" t="n">
        <v>12.22066040856764</v>
      </c>
      <c r="U32" t="n">
        <v>314.1382457084534</v>
      </c>
      <c r="V32" t="n">
        <v>0.6105075473242622</v>
      </c>
      <c r="W32" t="n">
        <v>18.41166392276775</v>
      </c>
      <c r="X32" t="n">
        <v>50.81298003418213</v>
      </c>
      <c r="Y32" t="n">
        <v>2.733180205098361</v>
      </c>
      <c r="Z32" t="n">
        <v>6.88266174099389</v>
      </c>
      <c r="AA32" t="n">
        <v>83.79536854387483</v>
      </c>
      <c r="AB32" t="n">
        <v>0.6895503530604893</v>
      </c>
      <c r="AC32" t="n">
        <v>5.263152207583743</v>
      </c>
      <c r="AD32" t="n">
        <v>0.05636584850382654</v>
      </c>
      <c r="AE32" t="n">
        <v>71.04126840759862</v>
      </c>
      <c r="AF32" t="n">
        <v>1.404953775552587</v>
      </c>
      <c r="AG32" t="n">
        <v>73.03117146311607</v>
      </c>
      <c r="AH32" t="n">
        <v>10.45275465626079</v>
      </c>
      <c r="AI32" t="n">
        <v>7.623880078925008</v>
      </c>
      <c r="AJ32" t="n">
        <v>1.533730497127684</v>
      </c>
      <c r="AK32" t="n">
        <v>5.480863749509453</v>
      </c>
      <c r="AL32" t="n">
        <v>6.869595299856526</v>
      </c>
      <c r="AM32" t="n">
        <v>0</v>
      </c>
      <c r="AO32" t="n">
        <v>724.6450265352044</v>
      </c>
      <c r="AP32" t="n">
        <v>45.92072054467573</v>
      </c>
      <c r="AQ32" t="n">
        <v>0</v>
      </c>
      <c r="AR32" t="n">
        <v>45.92072054467573</v>
      </c>
      <c r="AS32" t="n">
        <v>0.01633126051171057</v>
      </c>
      <c r="AT32" t="n">
        <v>0</v>
      </c>
      <c r="AU32" t="n">
        <v>0</v>
      </c>
      <c r="AV32" t="n">
        <v>0</v>
      </c>
      <c r="AW32" t="n">
        <v>45.93705180518744</v>
      </c>
      <c r="AX32" t="n">
        <v>770.5820783403918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26.54956499129659</v>
      </c>
      <c r="D33" t="n">
        <v>7.161879772252207</v>
      </c>
      <c r="E33" t="n">
        <v>44.92954444689335</v>
      </c>
      <c r="F33" t="n">
        <v>0.5835377764977238</v>
      </c>
      <c r="G33" t="n">
        <v>13.41641633201245</v>
      </c>
      <c r="H33" t="n">
        <v>0</v>
      </c>
      <c r="I33" t="n">
        <v>1.05273914968114</v>
      </c>
      <c r="J33" t="n">
        <v>0.5000290325349903</v>
      </c>
      <c r="K33" t="n">
        <v>23.92578355935708</v>
      </c>
      <c r="L33" t="n">
        <v>0.4560184796353319</v>
      </c>
      <c r="M33" t="n">
        <v>0</v>
      </c>
      <c r="N33" t="n">
        <v>0.002985414760775844</v>
      </c>
      <c r="O33" t="n">
        <v>0.1213275019573467</v>
      </c>
      <c r="P33" t="n">
        <v>0.01523680784996989</v>
      </c>
      <c r="Q33" t="n">
        <v>4.354667110607696</v>
      </c>
      <c r="R33" t="n">
        <v>16.30489149045379</v>
      </c>
      <c r="S33" t="n">
        <v>2.037321844682297</v>
      </c>
      <c r="T33" t="n">
        <v>121.9660720532552</v>
      </c>
      <c r="U33" t="n">
        <v>141.5318836128946</v>
      </c>
      <c r="V33" t="n">
        <v>51.68563723884745</v>
      </c>
      <c r="W33" t="n">
        <v>63.17364791818916</v>
      </c>
      <c r="X33" t="n">
        <v>42.45271687483525</v>
      </c>
      <c r="Y33" t="n">
        <v>4.31415182455029</v>
      </c>
      <c r="Z33" t="n">
        <v>54.64518889519169</v>
      </c>
      <c r="AA33" t="n">
        <v>134.9325636101123</v>
      </c>
      <c r="AB33" t="n">
        <v>24.68514321916016</v>
      </c>
      <c r="AC33" t="n">
        <v>21.63460139757194</v>
      </c>
      <c r="AD33" t="n">
        <v>0.3509799218946547</v>
      </c>
      <c r="AE33" t="n">
        <v>6.924027849339794</v>
      </c>
      <c r="AF33" t="n">
        <v>153.4279159906516</v>
      </c>
      <c r="AG33" t="n">
        <v>87.15679303168351</v>
      </c>
      <c r="AH33" t="n">
        <v>14.14561951746217</v>
      </c>
      <c r="AI33" t="n">
        <v>36.2759158996794</v>
      </c>
      <c r="AJ33" t="n">
        <v>9.851231559493266</v>
      </c>
      <c r="AK33" t="n">
        <v>75.87871958140592</v>
      </c>
      <c r="AL33" t="n">
        <v>9.377964961632232</v>
      </c>
      <c r="AM33" t="n">
        <v>0</v>
      </c>
      <c r="AO33" t="n">
        <v>1195.822718668323</v>
      </c>
      <c r="AP33" t="n">
        <v>395.2470951755021</v>
      </c>
      <c r="AQ33" t="n">
        <v>0</v>
      </c>
      <c r="AR33" t="n">
        <v>395.2470951755021</v>
      </c>
      <c r="AS33" t="n">
        <v>335.3112401977008</v>
      </c>
      <c r="AT33" t="n">
        <v>0.006508</v>
      </c>
      <c r="AU33" t="n">
        <v>0</v>
      </c>
      <c r="AV33" t="n">
        <v>0.006508</v>
      </c>
      <c r="AW33" t="n">
        <v>730.5648433732028</v>
      </c>
      <c r="AX33" t="n">
        <v>1926.387562041526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1.00661012261716</v>
      </c>
      <c r="D34" t="n">
        <v>0</v>
      </c>
      <c r="E34" t="n">
        <v>4.998256655730698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0.4752359852478872</v>
      </c>
      <c r="S34" t="n">
        <v>0.02311696028543818</v>
      </c>
      <c r="T34" t="n">
        <v>0.03991162362644528</v>
      </c>
      <c r="U34" t="n">
        <v>9.967951025613717</v>
      </c>
      <c r="V34" t="n">
        <v>1.01076537861817</v>
      </c>
      <c r="W34" t="n">
        <v>4.991617090571233</v>
      </c>
      <c r="X34" t="n">
        <v>0</v>
      </c>
      <c r="Y34" t="n">
        <v>0</v>
      </c>
      <c r="Z34" t="n">
        <v>0.1696862995112844</v>
      </c>
      <c r="AA34" t="n">
        <v>9.030482559197967</v>
      </c>
      <c r="AB34" t="n">
        <v>0</v>
      </c>
      <c r="AC34" t="n">
        <v>0</v>
      </c>
      <c r="AD34" t="n">
        <v>0.0002963449767768833</v>
      </c>
      <c r="AE34" t="n">
        <v>0.1429485519732508</v>
      </c>
      <c r="AF34" t="n">
        <v>1.00752398719342</v>
      </c>
      <c r="AG34" t="n">
        <v>8.287094080850776</v>
      </c>
      <c r="AH34" t="n">
        <v>0.006182665521754541</v>
      </c>
      <c r="AI34" t="n">
        <v>5.950477856305981</v>
      </c>
      <c r="AJ34" t="n">
        <v>0</v>
      </c>
      <c r="AK34" t="n">
        <v>2.994375508192824</v>
      </c>
      <c r="AL34" t="n">
        <v>0.02315807653477424</v>
      </c>
      <c r="AM34" t="n">
        <v>0</v>
      </c>
      <c r="AO34" t="n">
        <v>50.12569077256957</v>
      </c>
      <c r="AP34" t="n">
        <v>1312.79260922743</v>
      </c>
      <c r="AQ34" t="n">
        <v>5475.491246439487</v>
      </c>
      <c r="AR34" t="n">
        <v>6788.283855666918</v>
      </c>
      <c r="AS34" t="n">
        <v>0</v>
      </c>
      <c r="AT34" t="n">
        <v>0</v>
      </c>
      <c r="AU34" t="n">
        <v>0</v>
      </c>
      <c r="AV34" t="n">
        <v>0</v>
      </c>
      <c r="AW34" t="n">
        <v>6788.283855666918</v>
      </c>
      <c r="AX34" t="n">
        <v>6838.409546439487</v>
      </c>
    </row>
    <row r="35">
      <c r="A35" t="n">
        <v>85</v>
      </c>
      <c r="B35" t="inlineStr">
        <is>
          <t xml:space="preserve">Education services </t>
        </is>
      </c>
      <c r="C35" t="n">
        <v>0.01593111305605761</v>
      </c>
      <c r="D35" t="n">
        <v>0</v>
      </c>
      <c r="E35" t="n">
        <v>0.01371135852147653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1.776259680404679</v>
      </c>
      <c r="L35" t="n">
        <v>0</v>
      </c>
      <c r="M35" t="n">
        <v>0</v>
      </c>
      <c r="N35" t="n">
        <v>0</v>
      </c>
      <c r="O35" t="n">
        <v>0</v>
      </c>
      <c r="P35" t="n">
        <v>0.03365018501970968</v>
      </c>
      <c r="Q35" t="n">
        <v>0.06994385386464232</v>
      </c>
      <c r="R35" t="n">
        <v>0.01254999844056524</v>
      </c>
      <c r="S35" t="n">
        <v>0.00429660256976996</v>
      </c>
      <c r="T35" t="n">
        <v>0.08489744515859667</v>
      </c>
      <c r="U35" t="n">
        <v>2.04546418424482</v>
      </c>
      <c r="V35" t="n">
        <v>1.316361880364145</v>
      </c>
      <c r="W35" t="n">
        <v>0.3186079397079467</v>
      </c>
      <c r="X35" t="n">
        <v>0.2544607674597009</v>
      </c>
      <c r="Y35" t="n">
        <v>0.6442740671466368</v>
      </c>
      <c r="Z35" t="n">
        <v>12.97282966214871</v>
      </c>
      <c r="AA35" t="n">
        <v>11.46950620591255</v>
      </c>
      <c r="AB35" t="n">
        <v>0.02379794006904035</v>
      </c>
      <c r="AC35" t="n">
        <v>0.005177470613829675</v>
      </c>
      <c r="AD35" t="n">
        <v>0.01512341393939073</v>
      </c>
      <c r="AE35" t="n">
        <v>0.5008137078112163</v>
      </c>
      <c r="AF35" t="n">
        <v>0.02852131115657123</v>
      </c>
      <c r="AG35" t="n">
        <v>38.12413323143765</v>
      </c>
      <c r="AH35" t="n">
        <v>15.20000108118712</v>
      </c>
      <c r="AI35" t="n">
        <v>0.1917147758316968</v>
      </c>
      <c r="AJ35" t="n">
        <v>3.865903978254066</v>
      </c>
      <c r="AK35" t="n">
        <v>66.73886137152053</v>
      </c>
      <c r="AL35" t="n">
        <v>3.304703574838732</v>
      </c>
      <c r="AM35" t="n">
        <v>0</v>
      </c>
      <c r="AO35" t="n">
        <v>159.0314968006799</v>
      </c>
      <c r="AP35" t="n">
        <v>2331.060472321939</v>
      </c>
      <c r="AQ35" t="n">
        <v>2044.936465952611</v>
      </c>
      <c r="AR35" t="n">
        <v>4375.99693827455</v>
      </c>
      <c r="AS35" t="n">
        <v>51.04061596861408</v>
      </c>
      <c r="AT35" t="n">
        <v>0</v>
      </c>
      <c r="AU35" t="n">
        <v>0</v>
      </c>
      <c r="AV35" t="n">
        <v>0</v>
      </c>
      <c r="AW35" t="n">
        <v>4427.037554243165</v>
      </c>
      <c r="AX35" t="n">
        <v>4586.069051043844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0.006482521705317493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6.450037171051865</v>
      </c>
      <c r="L36" t="n">
        <v>0</v>
      </c>
      <c r="M36" t="n">
        <v>0</v>
      </c>
      <c r="N36" t="n">
        <v>0</v>
      </c>
      <c r="O36" t="n">
        <v>0</v>
      </c>
      <c r="P36" t="n">
        <v>0.2151518981300383</v>
      </c>
      <c r="Q36" t="n">
        <v>0.006032875252148769</v>
      </c>
      <c r="R36" t="n">
        <v>0.0220988799988907</v>
      </c>
      <c r="S36" t="n">
        <v>0.06097080385093716</v>
      </c>
      <c r="T36" t="n">
        <v>0</v>
      </c>
      <c r="U36" t="n">
        <v>0</v>
      </c>
      <c r="V36" t="n">
        <v>0</v>
      </c>
      <c r="W36" t="n">
        <v>0</v>
      </c>
      <c r="X36" t="n">
        <v>0.01859431045831875</v>
      </c>
      <c r="Y36" t="n">
        <v>0.09975368034534364</v>
      </c>
      <c r="Z36" t="n">
        <v>0.1361819261875269</v>
      </c>
      <c r="AA36" t="n">
        <v>0.0005306500529604101</v>
      </c>
      <c r="AB36" t="n">
        <v>0.1672237053220975</v>
      </c>
      <c r="AC36" t="n">
        <v>3.37030876008211</v>
      </c>
      <c r="AD36" t="n">
        <v>0.02518441344180569</v>
      </c>
      <c r="AE36" t="n">
        <v>0</v>
      </c>
      <c r="AF36" t="n">
        <v>0.001709615664696429</v>
      </c>
      <c r="AG36" t="n">
        <v>6.016166963665928</v>
      </c>
      <c r="AH36" t="n">
        <v>18.44213759395754</v>
      </c>
      <c r="AI36" t="n">
        <v>288.4481779334766</v>
      </c>
      <c r="AJ36" t="n">
        <v>2.356534040945094</v>
      </c>
      <c r="AK36" t="n">
        <v>0.3311855904116627</v>
      </c>
      <c r="AL36" t="n">
        <v>0.1945781248106075</v>
      </c>
      <c r="AM36" t="n">
        <v>0</v>
      </c>
      <c r="AO36" t="n">
        <v>326.3690414588116</v>
      </c>
      <c r="AP36" t="n">
        <v>1919.979812277824</v>
      </c>
      <c r="AQ36" t="n">
        <v>1711.355704661624</v>
      </c>
      <c r="AR36" t="n">
        <v>3631.335516939448</v>
      </c>
      <c r="AS36" t="n">
        <v>14.8562706305556</v>
      </c>
      <c r="AT36" t="n">
        <v>0</v>
      </c>
      <c r="AU36" t="n">
        <v>0</v>
      </c>
      <c r="AV36" t="n">
        <v>0</v>
      </c>
      <c r="AW36" t="n">
        <v>3646.191787570004</v>
      </c>
      <c r="AX36" t="n">
        <v>3972.560829028816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O37" t="n">
        <v>0</v>
      </c>
      <c r="AP37" t="n">
        <v>265.5230774589828</v>
      </c>
      <c r="AQ37" t="n">
        <v>4.902533497075008</v>
      </c>
      <c r="AR37" t="n">
        <v>270.4256109560578</v>
      </c>
      <c r="AS37" t="n">
        <v>0</v>
      </c>
      <c r="AT37" t="n">
        <v>0</v>
      </c>
      <c r="AU37" t="n">
        <v>0</v>
      </c>
      <c r="AV37" t="n">
        <v>0</v>
      </c>
      <c r="AW37" t="n">
        <v>270.4256109560578</v>
      </c>
      <c r="AX37" t="n">
        <v>270.4256109560578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0.5457629277167028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0.04849190805718043</v>
      </c>
      <c r="T38" t="n">
        <v>0</v>
      </c>
      <c r="U38" t="n">
        <v>0</v>
      </c>
      <c r="V38" t="n">
        <v>0.0874747795310445</v>
      </c>
      <c r="W38" t="n">
        <v>1.185656249937686</v>
      </c>
      <c r="X38" t="n">
        <v>0.2920553131304129</v>
      </c>
      <c r="Y38" t="n">
        <v>0</v>
      </c>
      <c r="Z38" t="n">
        <v>1.190530492473845</v>
      </c>
      <c r="AA38" t="n">
        <v>0.1880629593284237</v>
      </c>
      <c r="AB38" t="n">
        <v>5.179025797546035e-05</v>
      </c>
      <c r="AC38" t="n">
        <v>0.004847901714256723</v>
      </c>
      <c r="AD38" t="n">
        <v>0.1376613523985246</v>
      </c>
      <c r="AE38" t="n">
        <v>0</v>
      </c>
      <c r="AF38" t="n">
        <v>0.03543827694759823</v>
      </c>
      <c r="AG38" t="n">
        <v>62.19962117189128</v>
      </c>
      <c r="AH38" t="n">
        <v>5.105653970992575</v>
      </c>
      <c r="AI38" t="n">
        <v>0.03363168795445832</v>
      </c>
      <c r="AJ38" t="n">
        <v>0.008449452034368279</v>
      </c>
      <c r="AK38" t="n">
        <v>717.8072247033118</v>
      </c>
      <c r="AL38" t="n">
        <v>2.724823936301804</v>
      </c>
      <c r="AM38" t="n">
        <v>0</v>
      </c>
      <c r="AN38" t="n">
        <v>0</v>
      </c>
      <c r="AO38" t="n">
        <v>791.59543887398</v>
      </c>
      <c r="AP38" t="n">
        <v>2216.866895450069</v>
      </c>
      <c r="AQ38" t="n">
        <v>352.5727963257615</v>
      </c>
      <c r="AR38" t="n">
        <v>2569.43969177583</v>
      </c>
      <c r="AS38" t="n">
        <v>1710.651896681612</v>
      </c>
      <c r="AT38" t="n">
        <v>0.53407043</v>
      </c>
      <c r="AU38" t="n">
        <v>0</v>
      </c>
      <c r="AV38" t="n">
        <v>0.53407043</v>
      </c>
      <c r="AW38" t="n">
        <v>4280.625658887442</v>
      </c>
      <c r="AX38" t="n">
        <v>5072.221097761422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1.326661352962099</v>
      </c>
      <c r="F39" t="n">
        <v>1.137480981371206</v>
      </c>
      <c r="G39" t="n">
        <v>0.02371062685428401</v>
      </c>
      <c r="H39" t="n">
        <v>0</v>
      </c>
      <c r="I39" t="n">
        <v>0</v>
      </c>
      <c r="J39" t="n">
        <v>0.07229817314882728</v>
      </c>
      <c r="K39" t="n">
        <v>0.1858958182478219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0.1005964994084517</v>
      </c>
      <c r="R39" t="n">
        <v>31.95612275504078</v>
      </c>
      <c r="S39" t="n">
        <v>1.313957347256936</v>
      </c>
      <c r="T39" t="n">
        <v>0.9151296131003185</v>
      </c>
      <c r="U39" t="n">
        <v>4.700793936893058</v>
      </c>
      <c r="V39" t="n">
        <v>0.7226355496682727</v>
      </c>
      <c r="W39" t="n">
        <v>7.938928005395697</v>
      </c>
      <c r="X39" t="n">
        <v>0.01188911438328363</v>
      </c>
      <c r="Y39" t="n">
        <v>0</v>
      </c>
      <c r="Z39" t="n">
        <v>40.10424539667317</v>
      </c>
      <c r="AA39" t="n">
        <v>33.09894343628362</v>
      </c>
      <c r="AB39" t="n">
        <v>0</v>
      </c>
      <c r="AC39" t="n">
        <v>1.113544068456935</v>
      </c>
      <c r="AD39" t="n">
        <v>0</v>
      </c>
      <c r="AE39" t="n">
        <v>0.2447296578619011</v>
      </c>
      <c r="AF39" t="n">
        <v>0.05964356735857888</v>
      </c>
      <c r="AG39" t="n">
        <v>10.02341782297536</v>
      </c>
      <c r="AH39" t="n">
        <v>0.3752267273952622</v>
      </c>
      <c r="AI39" t="n">
        <v>3.024573529413164</v>
      </c>
      <c r="AJ39" t="n">
        <v>0.00328669709243276</v>
      </c>
      <c r="AK39" t="n">
        <v>0.2430057900959329</v>
      </c>
      <c r="AL39" t="n">
        <v>2.847799126835565</v>
      </c>
      <c r="AM39" t="n">
        <v>0</v>
      </c>
      <c r="AO39" t="n">
        <v>141.544515594173</v>
      </c>
      <c r="AP39" t="n">
        <v>1075.873917301365</v>
      </c>
      <c r="AQ39" t="n">
        <v>1.754793196043711</v>
      </c>
      <c r="AR39" t="n">
        <v>1077.628710497408</v>
      </c>
      <c r="AS39" t="n">
        <v>4.219817151249995</v>
      </c>
      <c r="AT39" t="n">
        <v>0</v>
      </c>
      <c r="AU39" t="n">
        <v>0</v>
      </c>
      <c r="AV39" t="n">
        <v>0</v>
      </c>
      <c r="AW39" t="n">
        <v>1081.848527648658</v>
      </c>
      <c r="AX39" t="n">
        <v>1223.393043242831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O40" t="n">
        <v>0</v>
      </c>
      <c r="AP40" t="n">
        <v>83.1998834327881</v>
      </c>
      <c r="AQ40" t="n">
        <v>0</v>
      </c>
      <c r="AR40" t="n">
        <v>83.1998834327881</v>
      </c>
      <c r="AS40" t="n">
        <v>0</v>
      </c>
      <c r="AT40" t="n">
        <v>0</v>
      </c>
      <c r="AU40" t="n">
        <v>0</v>
      </c>
      <c r="AV40" t="n">
        <v>0</v>
      </c>
      <c r="AW40" t="n">
        <v>83.1998834327881</v>
      </c>
      <c r="AX40" t="n">
        <v>83.1998834327881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B42" t="inlineStr">
        <is>
          <t>Total</t>
        </is>
      </c>
      <c r="C42" t="n">
        <v>2958.172524608043</v>
      </c>
      <c r="D42" t="n">
        <v>1272.92169366538</v>
      </c>
      <c r="E42" t="n">
        <v>9156.933384969241</v>
      </c>
      <c r="F42" t="n">
        <v>502.9153662545087</v>
      </c>
      <c r="G42" t="n">
        <v>432.3410581322062</v>
      </c>
      <c r="H42" t="n">
        <v>253.5005979110357</v>
      </c>
      <c r="I42" t="n">
        <v>407.0520688971601</v>
      </c>
      <c r="J42" t="n">
        <v>184.469181826701</v>
      </c>
      <c r="K42" t="n">
        <v>2231.281892891627</v>
      </c>
      <c r="L42" t="n">
        <v>2035.353114119629</v>
      </c>
      <c r="M42" t="n">
        <v>1.350977723520396</v>
      </c>
      <c r="N42" t="n">
        <v>149.9272550588184</v>
      </c>
      <c r="O42" t="n">
        <v>36.84420490822913</v>
      </c>
      <c r="P42" t="n">
        <v>49.74674870064458</v>
      </c>
      <c r="Q42" t="n">
        <v>393.7872512227339</v>
      </c>
      <c r="R42" t="n">
        <v>857.4915018913578</v>
      </c>
      <c r="S42" t="n">
        <v>309.4148988755921</v>
      </c>
      <c r="T42" t="n">
        <v>9822.8064528696</v>
      </c>
      <c r="U42" t="n">
        <v>6328.029387490117</v>
      </c>
      <c r="V42" t="n">
        <v>4146.316019084737</v>
      </c>
      <c r="W42" t="n">
        <v>2806.698276560634</v>
      </c>
      <c r="X42" t="n">
        <v>457.8370827519458</v>
      </c>
      <c r="Y42" t="n">
        <v>413.1674515796789</v>
      </c>
      <c r="Z42" t="n">
        <v>567.3755363431075</v>
      </c>
      <c r="AA42" t="n">
        <v>1373.610646564398</v>
      </c>
      <c r="AB42" t="n">
        <v>1427.015684971719</v>
      </c>
      <c r="AC42" t="n">
        <v>383.3807700232225</v>
      </c>
      <c r="AD42" t="n">
        <v>62.66585850422833</v>
      </c>
      <c r="AE42" t="n">
        <v>341.1947900036217</v>
      </c>
      <c r="AF42" t="n">
        <v>527.9653671684144</v>
      </c>
      <c r="AG42" t="n">
        <v>2161.272782077735</v>
      </c>
      <c r="AH42" t="n">
        <v>760.5462262704586</v>
      </c>
      <c r="AI42" t="n">
        <v>1288.696191632334</v>
      </c>
      <c r="AJ42" t="n">
        <v>170.5906733616562</v>
      </c>
      <c r="AK42" t="n">
        <v>2037.566101059514</v>
      </c>
      <c r="AL42" t="n">
        <v>412.8565267600439</v>
      </c>
      <c r="AM42" t="n">
        <v>0</v>
      </c>
      <c r="AN42" t="n">
        <v>0</v>
      </c>
      <c r="AO42" t="n">
        <v>56723.0955467336</v>
      </c>
      <c r="AP42" t="n">
        <v>57806.68258465559</v>
      </c>
      <c r="AQ42" t="n">
        <v>9826.079412810373</v>
      </c>
      <c r="AR42" t="n">
        <v>67632.76199746595</v>
      </c>
      <c r="AS42" t="n">
        <v>39848.55856919799</v>
      </c>
      <c r="AT42" t="n">
        <v>17357.49741311394</v>
      </c>
      <c r="AU42" t="n">
        <v>2862.217973836055</v>
      </c>
      <c r="AV42" t="n">
        <v>20219.71538695</v>
      </c>
      <c r="AW42" t="n">
        <v>127701.0359536139</v>
      </c>
      <c r="AX42" t="n">
        <v>184424.1315003476</v>
      </c>
    </row>
    <row r="43">
      <c r="A43" t="inlineStr">
        <is>
          <t>D.1</t>
        </is>
      </c>
      <c r="B43" t="inlineStr">
        <is>
          <t>Compensation of employees</t>
        </is>
      </c>
      <c r="C43" t="n">
        <v>252.8030579236221</v>
      </c>
      <c r="D43" t="n">
        <v>339.1508150240909</v>
      </c>
      <c r="E43" t="n">
        <v>913.8021771856908</v>
      </c>
      <c r="F43" t="n">
        <v>148.471617563534</v>
      </c>
      <c r="G43" t="n">
        <v>102.9667627261533</v>
      </c>
      <c r="H43" t="n">
        <v>6.502482495395776</v>
      </c>
      <c r="I43" t="n">
        <v>92.54912621898114</v>
      </c>
      <c r="J43" t="n">
        <v>71.74084859571421</v>
      </c>
      <c r="K43" t="n">
        <v>297.1990368205819</v>
      </c>
      <c r="L43" t="n">
        <v>271.7191570335436</v>
      </c>
      <c r="M43" t="n">
        <v>1.043454510166942</v>
      </c>
      <c r="N43" t="n">
        <v>31.79248997514832</v>
      </c>
      <c r="O43" t="n">
        <v>9.678377897626792</v>
      </c>
      <c r="P43" t="n">
        <v>25.00292457426138</v>
      </c>
      <c r="Q43" t="n">
        <v>135.0174845829413</v>
      </c>
      <c r="R43" t="n">
        <v>544.9481325766144</v>
      </c>
      <c r="S43" t="n">
        <v>196.2832888872647</v>
      </c>
      <c r="T43" t="n">
        <v>2037.675924432974</v>
      </c>
      <c r="U43" t="n">
        <v>4348.383531486445</v>
      </c>
      <c r="V43" t="n">
        <v>1597.928892929923</v>
      </c>
      <c r="W43" t="n">
        <v>733.3750356940643</v>
      </c>
      <c r="X43" t="n">
        <v>417.5724167118464</v>
      </c>
      <c r="Y43" t="n">
        <v>411.8366007597987</v>
      </c>
      <c r="Z43" t="n">
        <v>1551.657997232998</v>
      </c>
      <c r="AA43" t="n">
        <v>1799.266471102025</v>
      </c>
      <c r="AB43" t="n">
        <v>393.1503499480423</v>
      </c>
      <c r="AC43" t="n">
        <v>723.4435178944969</v>
      </c>
      <c r="AD43" t="n">
        <v>86.5954331815456</v>
      </c>
      <c r="AE43" t="n">
        <v>278.6897557657406</v>
      </c>
      <c r="AF43" t="n">
        <v>413.592327436954</v>
      </c>
      <c r="AG43" t="n">
        <v>3341.837157330002</v>
      </c>
      <c r="AH43" t="n">
        <v>2396.055520201415</v>
      </c>
      <c r="AI43" t="n">
        <v>1841.223663332118</v>
      </c>
      <c r="AJ43" t="n">
        <v>93.87192253734412</v>
      </c>
      <c r="AK43" t="n">
        <v>946.5279179350175</v>
      </c>
      <c r="AL43" t="n">
        <v>213.410588260817</v>
      </c>
      <c r="AM43" t="n">
        <v>71.3600670431849</v>
      </c>
      <c r="AN43" t="n">
        <v>0</v>
      </c>
      <c r="AO43" t="n">
        <v>27138.12632580808</v>
      </c>
    </row>
    <row r="44">
      <c r="A44" t="inlineStr">
        <is>
          <t>D29-D.39</t>
        </is>
      </c>
      <c r="B44" t="inlineStr">
        <is>
          <t>Other taxes on production less other subsidies on production</t>
        </is>
      </c>
      <c r="C44" t="n">
        <v>-3.65101553295942</v>
      </c>
      <c r="D44" t="n">
        <v>9.769160263794184</v>
      </c>
      <c r="E44" t="n">
        <v>35.63838448747727</v>
      </c>
      <c r="F44" t="n">
        <v>1.909155417568035</v>
      </c>
      <c r="G44" t="n">
        <v>2.490559002495029</v>
      </c>
      <c r="H44" t="n">
        <v>0.2307293392106315</v>
      </c>
      <c r="I44" t="n">
        <v>4.004325912365642</v>
      </c>
      <c r="J44" t="n">
        <v>1.057370087442412</v>
      </c>
      <c r="K44" t="n">
        <v>14.74621573105747</v>
      </c>
      <c r="L44" t="n">
        <v>12.31635574554914</v>
      </c>
      <c r="M44" t="n">
        <v>0.07544637518013542</v>
      </c>
      <c r="N44" t="n">
        <v>0.6456585482505051</v>
      </c>
      <c r="O44" t="n">
        <v>0.2050623312702645</v>
      </c>
      <c r="P44" t="n">
        <v>1.794972664666656</v>
      </c>
      <c r="Q44" t="n">
        <v>1.928588878441534</v>
      </c>
      <c r="R44" t="n">
        <v>109.2152984078773</v>
      </c>
      <c r="S44" t="n">
        <v>26.34760078445345</v>
      </c>
      <c r="T44" t="n">
        <v>95.85234354107268</v>
      </c>
      <c r="U44" t="n">
        <v>63.64554249813359</v>
      </c>
      <c r="V44" t="n">
        <v>58.80248744172134</v>
      </c>
      <c r="W44" t="n">
        <v>48.92245201738006</v>
      </c>
      <c r="X44" t="n">
        <v>14.75448938329844</v>
      </c>
      <c r="Y44" t="n">
        <v>21.02600128895254</v>
      </c>
      <c r="Z44" t="n">
        <v>1.121172505984679</v>
      </c>
      <c r="AA44" t="n">
        <v>36.23879269567786</v>
      </c>
      <c r="AB44" t="n">
        <v>85.18956287269518</v>
      </c>
      <c r="AC44" t="n">
        <v>4.374692810376835</v>
      </c>
      <c r="AD44" t="n">
        <v>0.28876205</v>
      </c>
      <c r="AE44" t="n">
        <v>1.961274785366736</v>
      </c>
      <c r="AF44" t="n">
        <v>9.836720685948402</v>
      </c>
      <c r="AG44" t="n">
        <v>37.81345359</v>
      </c>
      <c r="AH44" t="n">
        <v>7.283908855871608</v>
      </c>
      <c r="AI44" t="n">
        <v>3.165428037252266</v>
      </c>
      <c r="AJ44" t="n">
        <v>0.04017075942554296</v>
      </c>
      <c r="AK44" t="n">
        <v>113.1755393462693</v>
      </c>
      <c r="AL44" t="n">
        <v>1.34592553410936</v>
      </c>
      <c r="AM44" t="n">
        <v>0</v>
      </c>
      <c r="AN44" t="n">
        <v>0</v>
      </c>
      <c r="AO44" t="n">
        <v>823.5625891436765</v>
      </c>
    </row>
    <row r="45">
      <c r="A45" t="inlineStr">
        <is>
          <t>K.1</t>
        </is>
      </c>
      <c r="B45" t="inlineStr">
        <is>
          <t>Consumption of fixed capital</t>
        </is>
      </c>
      <c r="C45" t="n">
        <v>147.5091694609598</v>
      </c>
      <c r="D45" t="n">
        <v>75.5657587396351</v>
      </c>
      <c r="E45" t="n">
        <v>319.2604653148841</v>
      </c>
      <c r="F45" t="n">
        <v>16.12549383639234</v>
      </c>
      <c r="G45" t="n">
        <v>35.50494113483947</v>
      </c>
      <c r="H45" t="n">
        <v>1.487113483224115</v>
      </c>
      <c r="I45" t="n">
        <v>17.53736638691003</v>
      </c>
      <c r="J45" t="n">
        <v>14.41935880931128</v>
      </c>
      <c r="K45" t="n">
        <v>149.7583730522386</v>
      </c>
      <c r="L45" t="n">
        <v>88.50005954602189</v>
      </c>
      <c r="M45" t="n">
        <v>1.233895086170676</v>
      </c>
      <c r="N45" t="n">
        <v>7.328190695563321</v>
      </c>
      <c r="O45" t="n">
        <v>0.6560366106735344</v>
      </c>
      <c r="P45" t="n">
        <v>4.245921183121867</v>
      </c>
      <c r="Q45" t="n">
        <v>16.12827932819063</v>
      </c>
      <c r="R45" t="n">
        <v>603.098184695775</v>
      </c>
      <c r="S45" t="n">
        <v>183.707429405965</v>
      </c>
      <c r="T45" t="n">
        <v>1315.41078854646</v>
      </c>
      <c r="U45" t="n">
        <v>623.2527544262757</v>
      </c>
      <c r="V45" t="n">
        <v>956.5629526741089</v>
      </c>
      <c r="W45" t="n">
        <v>118.3048395943598</v>
      </c>
      <c r="X45" t="n">
        <v>36.58567785625005</v>
      </c>
      <c r="Y45" t="n">
        <v>222.0982724199844</v>
      </c>
      <c r="Z45" t="n">
        <v>29.4961544339846</v>
      </c>
      <c r="AA45" t="n">
        <v>115.5382993983148</v>
      </c>
      <c r="AB45" t="n">
        <v>146.7905463125245</v>
      </c>
      <c r="AC45" t="n">
        <v>81.80893238076045</v>
      </c>
      <c r="AD45" t="n">
        <v>101.9210843368155</v>
      </c>
      <c r="AE45" t="n">
        <v>29.89629518236636</v>
      </c>
      <c r="AF45" t="n">
        <v>72.45821020888164</v>
      </c>
      <c r="AG45" t="n">
        <v>1297.486153441747</v>
      </c>
      <c r="AH45" t="n">
        <v>261.0734797807132</v>
      </c>
      <c r="AI45" t="n">
        <v>287.874580843166</v>
      </c>
      <c r="AJ45" t="n">
        <v>3.290138667340059</v>
      </c>
      <c r="AK45" t="n">
        <v>186.0931510871171</v>
      </c>
      <c r="AL45" t="n">
        <v>11.21994646549244</v>
      </c>
      <c r="AM45" t="n">
        <v>0</v>
      </c>
      <c r="AN45" t="n">
        <v>0</v>
      </c>
      <c r="AO45" t="n">
        <v>7579.22829482654</v>
      </c>
    </row>
    <row r="46">
      <c r="A46" t="inlineStr">
        <is>
          <t>B.2n/B.3n</t>
        </is>
      </c>
      <c r="B46" t="inlineStr">
        <is>
          <t>Net operating surplus/Net mixed income</t>
        </is>
      </c>
      <c r="C46" t="n">
        <v>4469.080009495109</v>
      </c>
      <c r="D46" t="n">
        <v>174.8101239560988</v>
      </c>
      <c r="E46" t="n">
        <v>2313.779919723095</v>
      </c>
      <c r="F46" t="n">
        <v>102.2555480621781</v>
      </c>
      <c r="G46" t="n">
        <v>116.0737259778398</v>
      </c>
      <c r="H46" t="n">
        <v>17.18997371974987</v>
      </c>
      <c r="I46" t="n">
        <v>352.3987829363142</v>
      </c>
      <c r="J46" t="n">
        <v>64.77562304134618</v>
      </c>
      <c r="K46" t="n">
        <v>497.3727504948522</v>
      </c>
      <c r="L46" t="n">
        <v>330.6235462497973</v>
      </c>
      <c r="M46" t="n">
        <v>1.928724215162385</v>
      </c>
      <c r="N46" t="n">
        <v>11.64421892204399</v>
      </c>
      <c r="O46" t="n">
        <v>7.695763684481028</v>
      </c>
      <c r="P46" t="n">
        <v>13.42537296899303</v>
      </c>
      <c r="Q46" t="n">
        <v>72.16362628528648</v>
      </c>
      <c r="R46" t="n">
        <v>789.9806318552621</v>
      </c>
      <c r="S46" t="n">
        <v>96.9319020782833</v>
      </c>
      <c r="T46" t="n">
        <v>1913.83968354423</v>
      </c>
      <c r="U46" t="n">
        <v>6208.504082755901</v>
      </c>
      <c r="V46" t="n">
        <v>1694.511766272336</v>
      </c>
      <c r="W46" t="n">
        <v>1790.54613399367</v>
      </c>
      <c r="X46" t="n">
        <v>160.7312597751629</v>
      </c>
      <c r="Y46" t="n">
        <v>810.1339977075091</v>
      </c>
      <c r="Z46" t="n">
        <v>531.1207873949392</v>
      </c>
      <c r="AA46" t="n">
        <v>1551.947354012421</v>
      </c>
      <c r="AB46" t="n">
        <v>6811.406746964326</v>
      </c>
      <c r="AC46" t="n">
        <v>48.94496935362511</v>
      </c>
      <c r="AD46" t="n">
        <v>12.24607646651361</v>
      </c>
      <c r="AE46" t="n">
        <v>238.8063161338537</v>
      </c>
      <c r="AF46" t="n">
        <v>268.9825949565875</v>
      </c>
      <c r="AG46" t="n">
        <v>0</v>
      </c>
      <c r="AH46" t="n">
        <v>800.7254368319896</v>
      </c>
      <c r="AI46" t="n">
        <v>458.2892225067485</v>
      </c>
      <c r="AJ46" t="n">
        <v>3.144058395551916</v>
      </c>
      <c r="AK46" t="n">
        <v>1526.120813630587</v>
      </c>
      <c r="AL46" t="n">
        <v>514.0195733304063</v>
      </c>
      <c r="AM46" t="n">
        <v>11.8398163896032</v>
      </c>
      <c r="AN46" t="n">
        <v>0</v>
      </c>
      <c r="AO46" t="n">
        <v>34787.99093408186</v>
      </c>
    </row>
    <row r="47">
      <c r="A47" t="inlineStr">
        <is>
          <t>P.1</t>
        </is>
      </c>
      <c r="B47" t="inlineStr">
        <is>
          <t>Output at basic prices</t>
        </is>
      </c>
      <c r="C47" t="n">
        <v>7823.913745954775</v>
      </c>
      <c r="D47" t="n">
        <v>1872.217551648999</v>
      </c>
      <c r="E47" t="n">
        <v>12739.41433168039</v>
      </c>
      <c r="F47" t="n">
        <v>771.6771811341813</v>
      </c>
      <c r="G47" t="n">
        <v>689.3770469735338</v>
      </c>
      <c r="H47" t="n">
        <v>278.9108969486161</v>
      </c>
      <c r="I47" t="n">
        <v>873.5416703517311</v>
      </c>
      <c r="J47" t="n">
        <v>336.4623823605151</v>
      </c>
      <c r="K47" t="n">
        <v>3190.358268990357</v>
      </c>
      <c r="L47" t="n">
        <v>2738.512232694541</v>
      </c>
      <c r="M47" t="n">
        <v>5.632497910200534</v>
      </c>
      <c r="N47" t="n">
        <v>201.3378131998245</v>
      </c>
      <c r="O47" t="n">
        <v>55.07944543228074</v>
      </c>
      <c r="P47" t="n">
        <v>94.21594009168751</v>
      </c>
      <c r="Q47" t="n">
        <v>619.0252302975939</v>
      </c>
      <c r="R47" t="n">
        <v>2904.733749426887</v>
      </c>
      <c r="S47" t="n">
        <v>812.6851200315588</v>
      </c>
      <c r="T47" t="n">
        <v>15185.58519293434</v>
      </c>
      <c r="U47" t="n">
        <v>17571.81529865687</v>
      </c>
      <c r="V47" t="n">
        <v>8454.122118402827</v>
      </c>
      <c r="W47" t="n">
        <v>5497.846737860108</v>
      </c>
      <c r="X47" t="n">
        <v>1087.480926478504</v>
      </c>
      <c r="Y47" t="n">
        <v>1878.262323755924</v>
      </c>
      <c r="Z47" t="n">
        <v>2680.771647911014</v>
      </c>
      <c r="AA47" t="n">
        <v>4876.601563772837</v>
      </c>
      <c r="AB47" t="n">
        <v>8863.552891069306</v>
      </c>
      <c r="AC47" t="n">
        <v>1241.952882462482</v>
      </c>
      <c r="AD47" t="n">
        <v>263.7172145391031</v>
      </c>
      <c r="AE47" t="n">
        <v>890.5484318709491</v>
      </c>
      <c r="AF47" t="n">
        <v>1292.835220456786</v>
      </c>
      <c r="AG47" t="n">
        <v>6838.409546439484</v>
      </c>
      <c r="AH47" t="n">
        <v>4225.684571940448</v>
      </c>
      <c r="AI47" t="n">
        <v>3879.249086351618</v>
      </c>
      <c r="AJ47" t="n">
        <v>270.9369637213179</v>
      </c>
      <c r="AK47" t="n">
        <v>4809.483523058504</v>
      </c>
      <c r="AL47" t="n">
        <v>1152.852560350869</v>
      </c>
      <c r="AM47" t="n">
        <v>83.1998834327881</v>
      </c>
      <c r="AN47" t="n">
        <v>0</v>
      </c>
      <c r="AO47" t="n">
        <v>127052.0036905937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2026-01-29T05:58:57Z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