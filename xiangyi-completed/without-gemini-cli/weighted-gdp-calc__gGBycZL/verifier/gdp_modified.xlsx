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VLOOKUP($D12, Data!$B$21:$M$40, MATCH(H$9, Data!$B$4:$M$4, 0), FALSE)</f>
        <v/>
      </c>
      <c r="I12" s="19">
        <f>VLOOKUP($D12, Data!$B$21:$M$40, MATCH(I$9, Data!$B$4:$M$4, 0), FALSE)</f>
        <v/>
      </c>
      <c r="J12" s="19">
        <f>VLOOKUP($D12, Data!$B$21:$M$40, MATCH(J$9, Data!$B$4:$M$4, 0), FALSE)</f>
        <v/>
      </c>
      <c r="K12" s="19">
        <f>VLOOKUP($D12, Data!$B$21:$M$40, MATCH(K$9, Data!$B$4:$M$4, 0), FALSE)</f>
        <v/>
      </c>
      <c r="L12" s="20">
        <f>VLOOKUP($D12, Data!$B$21:$M$40, MATCH(L$9, Data!$B$4:$M$4, 0), FALSE)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VLOOKUP($D13, Data!$B$21:$M$40, MATCH(H$9, Data!$B$4:$M$4, 0), FALSE)</f>
        <v/>
      </c>
      <c r="I13" s="4">
        <f>VLOOKUP($D13, Data!$B$21:$M$40, MATCH(I$9, Data!$B$4:$M$4, 0), FALSE)</f>
        <v/>
      </c>
      <c r="J13" s="4">
        <f>VLOOKUP($D13, Data!$B$21:$M$40, MATCH(J$9, Data!$B$4:$M$4, 0), FALSE)</f>
        <v/>
      </c>
      <c r="K13" s="4">
        <f>VLOOKUP($D13, Data!$B$21:$M$40, MATCH(K$9, Data!$B$4:$M$4, 0), FALSE)</f>
        <v/>
      </c>
      <c r="L13" s="5">
        <f>VLOOKUP($D13, Data!$B$21:$M$40, MATCH(L$9, Data!$B$4:$M$4, 0), FALSE)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VLOOKUP($D14, Data!$B$21:$M$40, MATCH(H$9, Data!$B$4:$M$4, 0), FALSE)</f>
        <v/>
      </c>
      <c r="I14" s="4">
        <f>VLOOKUP($D14, Data!$B$21:$M$40, MATCH(I$9, Data!$B$4:$M$4, 0), FALSE)</f>
        <v/>
      </c>
      <c r="J14" s="4">
        <f>VLOOKUP($D14, Data!$B$21:$M$40, MATCH(J$9, Data!$B$4:$M$4, 0), FALSE)</f>
        <v/>
      </c>
      <c r="K14" s="4">
        <f>VLOOKUP($D14, Data!$B$21:$M$40, MATCH(K$9, Data!$B$4:$M$4, 0), FALSE)</f>
        <v/>
      </c>
      <c r="L14" s="5">
        <f>VLOOKUP($D14, Data!$B$21:$M$40, MATCH(L$9, Data!$B$4:$M$4, 0), FALSE)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VLOOKUP($D15, Data!$B$21:$M$40, MATCH(H$9, Data!$B$4:$M$4, 0), FALSE)</f>
        <v/>
      </c>
      <c r="I15" s="4">
        <f>VLOOKUP($D15, Data!$B$21:$M$40, MATCH(I$9, Data!$B$4:$M$4, 0), FALSE)</f>
        <v/>
      </c>
      <c r="J15" s="4">
        <f>VLOOKUP($D15, Data!$B$21:$M$40, MATCH(J$9, Data!$B$4:$M$4, 0), FALSE)</f>
        <v/>
      </c>
      <c r="K15" s="4">
        <f>VLOOKUP($D15, Data!$B$21:$M$40, MATCH(K$9, Data!$B$4:$M$4, 0), FALSE)</f>
        <v/>
      </c>
      <c r="L15" s="5">
        <f>VLOOKUP($D15, Data!$B$21:$M$40, MATCH(L$9, Data!$B$4:$M$4, 0), FALSE)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VLOOKUP($D16, Data!$B$21:$M$40, MATCH(H$9, Data!$B$4:$M$4, 0), FALSE)</f>
        <v/>
      </c>
      <c r="I16" s="4">
        <f>VLOOKUP($D16, Data!$B$21:$M$40, MATCH(I$9, Data!$B$4:$M$4, 0), FALSE)</f>
        <v/>
      </c>
      <c r="J16" s="4">
        <f>VLOOKUP($D16, Data!$B$21:$M$40, MATCH(J$9, Data!$B$4:$M$4, 0), FALSE)</f>
        <v/>
      </c>
      <c r="K16" s="4">
        <f>VLOOKUP($D16, Data!$B$21:$M$40, MATCH(K$9, Data!$B$4:$M$4, 0), FALSE)</f>
        <v/>
      </c>
      <c r="L16" s="5">
        <f>VLOOKUP($D16, Data!$B$21:$M$40, MATCH(L$9, Data!$B$4:$M$4, 0), FALSE)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VLOOKUP($D17, Data!$B$21:$M$40, MATCH(H$9, Data!$B$4:$M$4, 0), FALSE)</f>
        <v/>
      </c>
      <c r="I17" s="6">
        <f>VLOOKUP($D17, Data!$B$21:$M$40, MATCH(I$9, Data!$B$4:$M$4, 0), FALSE)</f>
        <v/>
      </c>
      <c r="J17" s="6">
        <f>VLOOKUP($D17, Data!$B$21:$M$40, MATCH(J$9, Data!$B$4:$M$4, 0), FALSE)</f>
        <v/>
      </c>
      <c r="K17" s="6">
        <f>VLOOKUP($D17, Data!$B$21:$M$40, MATCH(K$9, Data!$B$4:$M$4, 0), FALSE)</f>
        <v/>
      </c>
      <c r="L17" s="7">
        <f>VLOOKUP($D17, Data!$B$21:$M$40, MATCH(L$9, Data!$B$4:$M$4, 0), FALSE)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VLOOKUP($D19, Data!$B$21:$M$40, MATCH(H$9, Data!$B$4:$M$4, 0), FALSE)</f>
        <v/>
      </c>
      <c r="I19" s="19">
        <f>VLOOKUP($D19, Data!$B$21:$M$40, MATCH(I$9, Data!$B$4:$M$4, 0), FALSE)</f>
        <v/>
      </c>
      <c r="J19" s="19">
        <f>VLOOKUP($D19, Data!$B$21:$M$40, MATCH(J$9, Data!$B$4:$M$4, 0), FALSE)</f>
        <v/>
      </c>
      <c r="K19" s="19">
        <f>VLOOKUP($D19, Data!$B$21:$M$40, MATCH(K$9, Data!$B$4:$M$4, 0), FALSE)</f>
        <v/>
      </c>
      <c r="L19" s="20">
        <f>VLOOKUP($D19, Data!$B$21:$M$40, MATCH(L$9, Data!$B$4:$M$4, 0), FALSE)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VLOOKUP($D20, Data!$B$21:$M$40, MATCH(H$9, Data!$B$4:$M$4, 0), FALSE)</f>
        <v/>
      </c>
      <c r="I20" s="4">
        <f>VLOOKUP($D20, Data!$B$21:$M$40, MATCH(I$9, Data!$B$4:$M$4, 0), FALSE)</f>
        <v/>
      </c>
      <c r="J20" s="4">
        <f>VLOOKUP($D20, Data!$B$21:$M$40, MATCH(J$9, Data!$B$4:$M$4, 0), FALSE)</f>
        <v/>
      </c>
      <c r="K20" s="4">
        <f>VLOOKUP($D20, Data!$B$21:$M$40, MATCH(K$9, Data!$B$4:$M$4, 0), FALSE)</f>
        <v/>
      </c>
      <c r="L20" s="5">
        <f>VLOOKUP($D20, Data!$B$21:$M$40, MATCH(L$9, Data!$B$4:$M$4, 0), FALSE)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VLOOKUP($D21, Data!$B$21:$M$40, MATCH(H$9, Data!$B$4:$M$4, 0), FALSE)</f>
        <v/>
      </c>
      <c r="I21" s="4">
        <f>VLOOKUP($D21, Data!$B$21:$M$40, MATCH(I$9, Data!$B$4:$M$4, 0), FALSE)</f>
        <v/>
      </c>
      <c r="J21" s="4">
        <f>VLOOKUP($D21, Data!$B$21:$M$40, MATCH(J$9, Data!$B$4:$M$4, 0), FALSE)</f>
        <v/>
      </c>
      <c r="K21" s="4">
        <f>VLOOKUP($D21, Data!$B$21:$M$40, MATCH(K$9, Data!$B$4:$M$4, 0), FALSE)</f>
        <v/>
      </c>
      <c r="L21" s="5">
        <f>VLOOKUP($D21, Data!$B$21:$M$40, MATCH(L$9, Data!$B$4:$M$4, 0), FALSE)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VLOOKUP($D22, Data!$B$21:$M$40, MATCH(H$9, Data!$B$4:$M$4, 0), FALSE)</f>
        <v/>
      </c>
      <c r="I22" s="4">
        <f>VLOOKUP($D22, Data!$B$21:$M$40, MATCH(I$9, Data!$B$4:$M$4, 0), FALSE)</f>
        <v/>
      </c>
      <c r="J22" s="4">
        <f>VLOOKUP($D22, Data!$B$21:$M$40, MATCH(J$9, Data!$B$4:$M$4, 0), FALSE)</f>
        <v/>
      </c>
      <c r="K22" s="4">
        <f>VLOOKUP($D22, Data!$B$21:$M$40, MATCH(K$9, Data!$B$4:$M$4, 0), FALSE)</f>
        <v/>
      </c>
      <c r="L22" s="5">
        <f>VLOOKUP($D22, Data!$B$21:$M$40, MATCH(L$9, Data!$B$4:$M$4, 0), FALSE)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VLOOKUP($D23, Data!$B$21:$M$40, MATCH(H$9, Data!$B$4:$M$4, 0), FALSE)</f>
        <v/>
      </c>
      <c r="I23" s="4">
        <f>VLOOKUP($D23, Data!$B$21:$M$40, MATCH(I$9, Data!$B$4:$M$4, 0), FALSE)</f>
        <v/>
      </c>
      <c r="J23" s="4">
        <f>VLOOKUP($D23, Data!$B$21:$M$40, MATCH(J$9, Data!$B$4:$M$4, 0), FALSE)</f>
        <v/>
      </c>
      <c r="K23" s="4">
        <f>VLOOKUP($D23, Data!$B$21:$M$40, MATCH(K$9, Data!$B$4:$M$4, 0), FALSE)</f>
        <v/>
      </c>
      <c r="L23" s="5">
        <f>VLOOKUP($D23, Data!$B$21:$M$40, MATCH(L$9, Data!$B$4:$M$4, 0), FALSE)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VLOOKUP($D24, Data!$B$21:$M$40, MATCH(H$9, Data!$B$4:$M$4, 0), FALSE)</f>
        <v/>
      </c>
      <c r="I24" s="6">
        <f>VLOOKUP($D24, Data!$B$21:$M$40, MATCH(I$9, Data!$B$4:$M$4, 0), FALSE)</f>
        <v/>
      </c>
      <c r="J24" s="6">
        <f>VLOOKUP($D24, Data!$B$21:$M$40, MATCH(J$9, Data!$B$4:$M$4, 0), FALSE)</f>
        <v/>
      </c>
      <c r="K24" s="6">
        <f>VLOOKUP($D24, Data!$B$21:$M$40, MATCH(K$9, Data!$B$4:$M$4, 0), FALSE)</f>
        <v/>
      </c>
      <c r="L24" s="7">
        <f>VLOOKUP($D24, Data!$B$21:$M$40, MATCH(L$9, Data!$B$4:$M$4, 0), FALSE)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VLOOKUP($D26, Data!$B$21:$M$40, MATCH(H$9, Data!$B$4:$M$4, 0), FALSE)</f>
        <v/>
      </c>
      <c r="I26" s="19">
        <f>VLOOKUP($D26, Data!$B$21:$M$40, MATCH(I$9, Data!$B$4:$M$4, 0), FALSE)</f>
        <v/>
      </c>
      <c r="J26" s="19">
        <f>VLOOKUP($D26, Data!$B$21:$M$40, MATCH(J$9, Data!$B$4:$M$4, 0), FALSE)</f>
        <v/>
      </c>
      <c r="K26" s="19">
        <f>VLOOKUP($D26, Data!$B$21:$M$40, MATCH(K$9, Data!$B$4:$M$4, 0), FALSE)</f>
        <v/>
      </c>
      <c r="L26" s="20">
        <f>VLOOKUP($D26, Data!$B$21:$M$40, MATCH(L$9, Data!$B$4:$M$4, 0), FALSE)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VLOOKUP($D27, Data!$B$21:$M$40, MATCH(H$9, Data!$B$4:$M$4, 0), FALSE)</f>
        <v/>
      </c>
      <c r="I27" s="4">
        <f>VLOOKUP($D27, Data!$B$21:$M$40, MATCH(I$9, Data!$B$4:$M$4, 0), FALSE)</f>
        <v/>
      </c>
      <c r="J27" s="4">
        <f>VLOOKUP($D27, Data!$B$21:$M$40, MATCH(J$9, Data!$B$4:$M$4, 0), FALSE)</f>
        <v/>
      </c>
      <c r="K27" s="4">
        <f>VLOOKUP($D27, Data!$B$21:$M$40, MATCH(K$9, Data!$B$4:$M$4, 0), FALSE)</f>
        <v/>
      </c>
      <c r="L27" s="5">
        <f>VLOOKUP($D27, Data!$B$21:$M$40, MATCH(L$9, Data!$B$4:$M$4, 0), FALSE)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VLOOKUP($D28, Data!$B$21:$M$40, MATCH(H$9, Data!$B$4:$M$4, 0), FALSE)</f>
        <v/>
      </c>
      <c r="I28" s="4">
        <f>VLOOKUP($D28, Data!$B$21:$M$40, MATCH(I$9, Data!$B$4:$M$4, 0), FALSE)</f>
        <v/>
      </c>
      <c r="J28" s="4">
        <f>VLOOKUP($D28, Data!$B$21:$M$40, MATCH(J$9, Data!$B$4:$M$4, 0), FALSE)</f>
        <v/>
      </c>
      <c r="K28" s="4">
        <f>VLOOKUP($D28, Data!$B$21:$M$40, MATCH(K$9, Data!$B$4:$M$4, 0), FALSE)</f>
        <v/>
      </c>
      <c r="L28" s="5">
        <f>VLOOKUP($D28, Data!$B$21:$M$40, MATCH(L$9, Data!$B$4:$M$4, 0), FALSE)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VLOOKUP($D29, Data!$B$21:$M$40, MATCH(H$9, Data!$B$4:$M$4, 0), FALSE)</f>
        <v/>
      </c>
      <c r="I29" s="4">
        <f>VLOOKUP($D29, Data!$B$21:$M$40, MATCH(I$9, Data!$B$4:$M$4, 0), FALSE)</f>
        <v/>
      </c>
      <c r="J29" s="4">
        <f>VLOOKUP($D29, Data!$B$21:$M$40, MATCH(J$9, Data!$B$4:$M$4, 0), FALSE)</f>
        <v/>
      </c>
      <c r="K29" s="4">
        <f>VLOOKUP($D29, Data!$B$21:$M$40, MATCH(K$9, Data!$B$4:$M$4, 0), FALSE)</f>
        <v/>
      </c>
      <c r="L29" s="5">
        <f>VLOOKUP($D29, Data!$B$21:$M$40, MATCH(L$9, Data!$B$4:$M$4, 0), FALSE)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VLOOKUP($D30, Data!$B$21:$M$40, MATCH(H$9, Data!$B$4:$M$4, 0), FALSE)</f>
        <v/>
      </c>
      <c r="I30" s="4">
        <f>VLOOKUP($D30, Data!$B$21:$M$40, MATCH(I$9, Data!$B$4:$M$4, 0), FALSE)</f>
        <v/>
      </c>
      <c r="J30" s="4">
        <f>VLOOKUP($D30, Data!$B$21:$M$40, MATCH(J$9, Data!$B$4:$M$4, 0), FALSE)</f>
        <v/>
      </c>
      <c r="K30" s="4">
        <f>VLOOKUP($D30, Data!$B$21:$M$40, MATCH(K$9, Data!$B$4:$M$4, 0), FALSE)</f>
        <v/>
      </c>
      <c r="L30" s="5">
        <f>VLOOKUP($D30, Data!$B$21:$M$40, MATCH(L$9, Data!$B$4:$M$4, 0), FALSE)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VLOOKUP($D31, Data!$B$21:$M$40, MATCH(H$9, Data!$B$4:$M$4, 0), FALSE)</f>
        <v/>
      </c>
      <c r="I31" s="6">
        <f>VLOOKUP($D31, Data!$B$21:$M$40, MATCH(I$9, Data!$B$4:$M$4, 0), FALSE)</f>
        <v/>
      </c>
      <c r="J31" s="6">
        <f>VLOOKUP($D31, Data!$B$21:$M$40, MATCH(J$9, Data!$B$4:$M$4, 0), FALSE)</f>
        <v/>
      </c>
      <c r="K31" s="6">
        <f>VLOOKUP($D31, Data!$B$21:$M$40, MATCH(K$9, Data!$B$4:$M$4, 0), FALSE)</f>
        <v/>
      </c>
      <c r="L31" s="7">
        <f>VLOOKUP($D31, Data!$B$21:$M$40, MATCH(L$9, Data!$B$4:$M$4, 0), FALSE)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MIN(H$35:H$40)</f>
        <v/>
      </c>
      <c r="I42" s="19">
        <f>MIN(I$35:I$40)</f>
        <v/>
      </c>
      <c r="J42" s="19">
        <f>MIN(J$35:J$40)</f>
        <v/>
      </c>
      <c r="K42" s="19">
        <f>MIN(K$35:K$40)</f>
        <v/>
      </c>
      <c r="L42" s="20">
        <f>MIN(L$35:L$40)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MAX(H$35:H$40)</f>
        <v/>
      </c>
      <c r="I43" s="4">
        <f>MAX(I$35:I$40)</f>
        <v/>
      </c>
      <c r="J43" s="4">
        <f>MAX(J$35:J$40)</f>
        <v/>
      </c>
      <c r="K43" s="4">
        <f>MAX(K$35:K$40)</f>
        <v/>
      </c>
      <c r="L43" s="5">
        <f>MAX(L$35:L$40)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MEDIAN(H$35:H$40)</f>
        <v/>
      </c>
      <c r="I44" s="4">
        <f>MEDIAN(I$35:I$40)</f>
        <v/>
      </c>
      <c r="J44" s="4">
        <f>MEDIAN(J$35:J$40)</f>
        <v/>
      </c>
      <c r="K44" s="4">
        <f>MEDIAN(K$35:K$40)</f>
        <v/>
      </c>
      <c r="L44" s="5">
        <f>MEDIAN(L$35:L$40)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AVERAGE(H$35:H$40)</f>
        <v/>
      </c>
      <c r="I45" s="4">
        <f>AVERAGE(I$35:I$40)</f>
        <v/>
      </c>
      <c r="J45" s="4">
        <f>AVERAGE(J$35:J$40)</f>
        <v/>
      </c>
      <c r="K45" s="4">
        <f>AVERAGE(K$35:K$40)</f>
        <v/>
      </c>
      <c r="L45" s="5">
        <f>AVERAGE(L$35:L$40)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PERCENTILE.INC(H$35:H$40, 0.25)</f>
        <v/>
      </c>
      <c r="I46" s="4">
        <f>PERCENTILE.INC(I$35:I$40, 0.25)</f>
        <v/>
      </c>
      <c r="J46" s="4">
        <f>PERCENTILE.INC(J$35:J$40, 0.25)</f>
        <v/>
      </c>
      <c r="K46" s="4">
        <f>PERCENTILE.INC(K$35:K$40, 0.25)</f>
        <v/>
      </c>
      <c r="L46" s="5">
        <f>PERCENTILE.INC(L$35:L$40, 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PERCENTILE.INC(H$35:H$40, 0.75)</f>
        <v/>
      </c>
      <c r="I47" s="6">
        <f>PERCENTILE.INC(I$35:I$40, 0.75)</f>
        <v/>
      </c>
      <c r="J47" s="6">
        <f>PERCENTILE.INC(J$35:J$40, 0.75)</f>
        <v/>
      </c>
      <c r="K47" s="6">
        <f>PERCENTILE.INC(K$35:K$40, 0.75)</f>
        <v/>
      </c>
      <c r="L47" s="7">
        <f>PERCENTILE.INC(L$35:L$40, 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SUMPRODUCT(H$35:H$40, H$26:H$31)/SUM(H$26:H$31)</f>
        <v/>
      </c>
      <c r="I50" s="26">
        <f>SUMPRODUCT(I$35:I$40, I$26:I$31)/SUM(I$26:I$31)</f>
        <v/>
      </c>
      <c r="J50" s="26">
        <f>SUMPRODUCT(J$35:J$40, J$26:J$31)/SUM(J$26:J$31)</f>
        <v/>
      </c>
      <c r="K50" s="26">
        <f>SUMPRODUCT(K$35:K$40, K$26:K$31)/SUM(K$26:K$31)</f>
        <v/>
      </c>
      <c r="L50" s="27">
        <f>SUMPRODUCT(L$35:L$40, L$26:L$31)/SUM(L$26:L$31)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2026-01-29T06:16:31Z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