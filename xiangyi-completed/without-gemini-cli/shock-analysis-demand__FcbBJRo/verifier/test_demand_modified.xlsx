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PPLY" sheetId="3" state="visible" r:id="rId3"/>
    <sheet name="USE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93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WEO_Data!E2</f>
        <v/>
      </c>
      <c r="D3" s="10" t="n">
        <v>0</v>
      </c>
      <c r="E3" s="10">
        <f>($D$30 * $D$31 * D3) / (WEO_Data!D2/100)</f>
        <v/>
      </c>
      <c r="F3" s="10">
        <f>E3*$D$33</f>
        <v/>
      </c>
      <c r="G3" s="10">
        <f>E3-F3</f>
        <v/>
      </c>
      <c r="H3" s="10">
        <f>G3*$D$32</f>
        <v/>
      </c>
      <c r="I3" s="10" t="n"/>
      <c r="J3" s="11">
        <f>WEO_Data!B2</f>
        <v/>
      </c>
      <c r="K3" s="12">
        <f>J3</f>
        <v/>
      </c>
    </row>
    <row r="4">
      <c r="B4" s="13" t="n">
        <v>2021</v>
      </c>
      <c r="C4">
        <f>WEO_Data!E3</f>
        <v/>
      </c>
      <c r="D4" t="n">
        <v>0</v>
      </c>
      <c r="E4">
        <f>($D$30 * $D$31 * D4) / (WEO_Data!D3/100)</f>
        <v/>
      </c>
      <c r="F4">
        <f>E4*$D$33</f>
        <v/>
      </c>
      <c r="G4">
        <f>E4-F4</f>
        <v/>
      </c>
      <c r="H4">
        <f>G4*$D$32</f>
        <v/>
      </c>
      <c r="J4">
        <f>WEO_Data!B3</f>
        <v/>
      </c>
      <c r="K4" s="15">
        <f>((C4+H4)/(C3+H3))-1*100</f>
        <v/>
      </c>
    </row>
    <row r="5">
      <c r="B5" s="13" t="n">
        <v>2022</v>
      </c>
      <c r="C5">
        <f>WEO_Data!E4</f>
        <v/>
      </c>
      <c r="D5" t="n">
        <v>0</v>
      </c>
      <c r="E5">
        <f>($D$30 * $D$31 * D5) / (WEO_Data!D4/100)</f>
        <v/>
      </c>
      <c r="F5">
        <f>E5*$D$33</f>
        <v/>
      </c>
      <c r="G5">
        <f>E5-F5</f>
        <v/>
      </c>
      <c r="H5">
        <f>G5*$D$32</f>
        <v/>
      </c>
      <c r="J5">
        <f>WEO_Data!B4</f>
        <v/>
      </c>
      <c r="K5" s="15">
        <f>((C5+H5)/(C4+H4))-1*100</f>
        <v/>
      </c>
    </row>
    <row r="6">
      <c r="B6" s="13" t="n">
        <v>2023</v>
      </c>
      <c r="C6">
        <f>WEO_Data!E5</f>
        <v/>
      </c>
      <c r="D6" t="n">
        <v>0</v>
      </c>
      <c r="E6">
        <f>($D$30 * $D$31 * D6) / (WEO_Data!D5/100)</f>
        <v/>
      </c>
      <c r="F6">
        <f>E6*$D$33</f>
        <v/>
      </c>
      <c r="G6">
        <f>E6-F6</f>
        <v/>
      </c>
      <c r="H6">
        <f>G6*$D$32</f>
        <v/>
      </c>
      <c r="J6">
        <f>WEO_Data!B5</f>
        <v/>
      </c>
      <c r="K6" s="15">
        <f>((C6+H6)/(C5+H5))-1*100</f>
        <v/>
      </c>
    </row>
    <row r="7">
      <c r="B7" s="13" t="n">
        <v>2024</v>
      </c>
      <c r="C7">
        <f>WEO_Data!E6</f>
        <v/>
      </c>
      <c r="D7" t="n">
        <v>0</v>
      </c>
      <c r="E7">
        <f>($D$30 * $D$31 * D7) / (WEO_Data!D6/100)</f>
        <v/>
      </c>
      <c r="F7">
        <f>E7*$D$33</f>
        <v/>
      </c>
      <c r="G7">
        <f>E7-F7</f>
        <v/>
      </c>
      <c r="H7">
        <f>G7*$D$32</f>
        <v/>
      </c>
      <c r="J7">
        <f>WEO_Data!B6</f>
        <v/>
      </c>
      <c r="K7" s="15">
        <f>((C7+H7)/(C6+H6))-1*100</f>
        <v/>
      </c>
    </row>
    <row r="8">
      <c r="B8" s="13" t="n">
        <v>2025</v>
      </c>
      <c r="C8">
        <f>WEO_Data!E7</f>
        <v/>
      </c>
      <c r="D8" t="n">
        <v>0</v>
      </c>
      <c r="E8">
        <f>($D$30 * $D$31 * D8) / (WEO_Data!D7/100)</f>
        <v/>
      </c>
      <c r="F8">
        <f>E8*$D$33</f>
        <v/>
      </c>
      <c r="G8">
        <f>E8-F8</f>
        <v/>
      </c>
      <c r="H8">
        <f>G8*$D$32</f>
        <v/>
      </c>
      <c r="J8">
        <f>WEO_Data!B7</f>
        <v/>
      </c>
      <c r="K8" s="15">
        <f>((C8+H8)/(C7+H7))-1*100</f>
        <v/>
      </c>
    </row>
    <row r="9">
      <c r="B9" s="13" t="n">
        <v>2026</v>
      </c>
      <c r="C9">
        <f>WEO_Data!E8</f>
        <v/>
      </c>
      <c r="D9" t="n">
        <v>0.05</v>
      </c>
      <c r="E9">
        <f>($D$30 * $D$31 * D9) / (WEO_Data!D8/100)</f>
        <v/>
      </c>
      <c r="F9">
        <f>E9*$D$33</f>
        <v/>
      </c>
      <c r="G9">
        <f>E9-F9</f>
        <v/>
      </c>
      <c r="H9">
        <f>G9*$D$32</f>
        <v/>
      </c>
      <c r="J9" s="16">
        <f>WEO_Data!B8</f>
        <v/>
      </c>
      <c r="K9" s="15">
        <f>((C9+H9)/(C8+H8))-1*100</f>
        <v/>
      </c>
    </row>
    <row r="10">
      <c r="B10" s="13" t="n">
        <v>2027</v>
      </c>
      <c r="C10">
        <f>WEO_Data!E9</f>
        <v/>
      </c>
      <c r="D10" t="n">
        <v>0.1</v>
      </c>
      <c r="E10">
        <f>($D$30 * $D$31 * D10) / (WEO_Data!D9/100)</f>
        <v/>
      </c>
      <c r="F10">
        <f>E10*$D$33</f>
        <v/>
      </c>
      <c r="G10">
        <f>E10-F10</f>
        <v/>
      </c>
      <c r="H10">
        <f>G10*$D$32</f>
        <v/>
      </c>
      <c r="J10">
        <f>WEO_Data!B9</f>
        <v/>
      </c>
      <c r="K10" s="15">
        <f>((C10+H10)/(C9+H9))-1*100</f>
        <v/>
      </c>
    </row>
    <row r="11">
      <c r="B11" s="13" t="n">
        <v>2028</v>
      </c>
      <c r="C11">
        <f>WEO_Data!E10</f>
        <v/>
      </c>
      <c r="D11" t="n">
        <v>0.15</v>
      </c>
      <c r="E11">
        <f>($D$30 * $D$31 * D11) / (WEO_Data!D10/100)</f>
        <v/>
      </c>
      <c r="F11">
        <f>E11*$D$33</f>
        <v/>
      </c>
      <c r="G11">
        <f>E11-F11</f>
        <v/>
      </c>
      <c r="H11">
        <f>G11*$D$32</f>
        <v/>
      </c>
      <c r="J11">
        <f>WEO_Data!B10</f>
        <v/>
      </c>
      <c r="K11" s="15">
        <f>((C11+H11)/(C10+H10))-1*100</f>
        <v/>
      </c>
    </row>
    <row r="12">
      <c r="B12" s="13" t="n">
        <v>2029</v>
      </c>
      <c r="C12">
        <f>WEO_Data!E11</f>
        <v/>
      </c>
      <c r="D12" t="n">
        <v>0.2</v>
      </c>
      <c r="E12">
        <f>($D$30 * $D$31 * D12) / (WEO_Data!D11/100)</f>
        <v/>
      </c>
      <c r="F12">
        <f>E12*$D$33</f>
        <v/>
      </c>
      <c r="G12">
        <f>E12-F12</f>
        <v/>
      </c>
      <c r="H12">
        <f>G12*$D$32</f>
        <v/>
      </c>
      <c r="J12">
        <f>WEO_Data!B11</f>
        <v/>
      </c>
      <c r="K12" s="15">
        <f>((C12+H12)/(C11+H11))-1*100</f>
        <v/>
      </c>
    </row>
    <row r="13">
      <c r="B13" s="13" t="n">
        <v>2030</v>
      </c>
      <c r="C13">
        <f>WEO_Data!E12</f>
        <v/>
      </c>
      <c r="D13" t="n">
        <v>0.2</v>
      </c>
      <c r="E13">
        <f>($D$30 * $D$31 * D13) / (WEO_Data!D12/100)</f>
        <v/>
      </c>
      <c r="F13">
        <f>E13*$D$33</f>
        <v/>
      </c>
      <c r="G13">
        <f>E13-F13</f>
        <v/>
      </c>
      <c r="H13">
        <f>G13*$D$32</f>
        <v/>
      </c>
      <c r="J13" s="17">
        <f>WEO_Data!B12</f>
        <v/>
      </c>
      <c r="K13" s="15">
        <f>((C13+H13)/(C12+H12))-1*100</f>
        <v/>
      </c>
    </row>
    <row r="14">
      <c r="B14" s="13" t="n">
        <v>2031</v>
      </c>
      <c r="C14">
        <f>WEO_Data!E13</f>
        <v/>
      </c>
      <c r="D14" t="n">
        <v>0.15</v>
      </c>
      <c r="E14">
        <f>($D$30 * $D$31 * D14) / (WEO_Data!D13/100)</f>
        <v/>
      </c>
      <c r="F14">
        <f>E14*$D$33</f>
        <v/>
      </c>
      <c r="G14">
        <f>E14-F14</f>
        <v/>
      </c>
      <c r="H14">
        <f>G14*$D$32</f>
        <v/>
      </c>
      <c r="J14" s="17">
        <f>WEO_Data!B13</f>
        <v/>
      </c>
      <c r="K14" s="15">
        <f>((C14+H14)/(C13+H13))-1*100</f>
        <v/>
      </c>
    </row>
    <row r="15">
      <c r="B15" s="13" t="n">
        <v>2032</v>
      </c>
      <c r="C15">
        <f>WEO_Data!E14</f>
        <v/>
      </c>
      <c r="D15" t="n">
        <v>0.1</v>
      </c>
      <c r="E15">
        <f>($D$30 * $D$31 * D15) / (WEO_Data!D14/100)</f>
        <v/>
      </c>
      <c r="F15">
        <f>E15*$D$33</f>
        <v/>
      </c>
      <c r="G15">
        <f>E15-F15</f>
        <v/>
      </c>
      <c r="H15">
        <f>G15*$D$32</f>
        <v/>
      </c>
      <c r="J15" s="17">
        <f>WEO_Data!B14</f>
        <v/>
      </c>
      <c r="K15" s="15">
        <f>((C15+H15)/(C14+H14))-1*100</f>
        <v/>
      </c>
    </row>
    <row r="16">
      <c r="B16" s="13" t="n">
        <v>2033</v>
      </c>
      <c r="C16">
        <f>WEO_Data!E15</f>
        <v/>
      </c>
      <c r="D16" t="n">
        <v>0.05</v>
      </c>
      <c r="E16">
        <f>($D$30 * $D$31 * D16) / (WEO_Data!D15/100)</f>
        <v/>
      </c>
      <c r="F16">
        <f>E16*$D$33</f>
        <v/>
      </c>
      <c r="G16">
        <f>E16-F16</f>
        <v/>
      </c>
      <c r="H16">
        <f>G16*$D$32</f>
        <v/>
      </c>
      <c r="J16" s="17">
        <f>WEO_Data!B15</f>
        <v/>
      </c>
      <c r="K16" s="15">
        <f>((C16+H16)/(C15+H15))-1*100</f>
        <v/>
      </c>
    </row>
    <row r="17">
      <c r="B17" s="13" t="n">
        <v>2034</v>
      </c>
      <c r="C17">
        <f>WEO_Data!E16</f>
        <v/>
      </c>
      <c r="D17" t="n">
        <v>0</v>
      </c>
      <c r="E17">
        <f>($D$30 * $D$31 * D17) / (WEO_Data!D16/100)</f>
        <v/>
      </c>
      <c r="F17">
        <f>E17*$D$33</f>
        <v/>
      </c>
      <c r="G17">
        <f>E17-F17</f>
        <v/>
      </c>
      <c r="H17">
        <f>G17*$D$32</f>
        <v/>
      </c>
      <c r="J17" s="17">
        <f>WEO_Data!B16</f>
        <v/>
      </c>
      <c r="K17" s="15">
        <f>((C17+H17)/(C16+H16))-1*100</f>
        <v/>
      </c>
    </row>
    <row r="18">
      <c r="B18" s="13" t="n">
        <v>2035</v>
      </c>
      <c r="C18">
        <f>WEO_Data!E17</f>
        <v/>
      </c>
      <c r="D18" t="n">
        <v>0</v>
      </c>
      <c r="E18">
        <f>($D$30 * $D$31 * D18) / (WEO_Data!D17/100)</f>
        <v/>
      </c>
      <c r="F18">
        <f>E18*$D$33</f>
        <v/>
      </c>
      <c r="G18">
        <f>E18-F18</f>
        <v/>
      </c>
      <c r="H18">
        <f>G18*$D$32</f>
        <v/>
      </c>
      <c r="J18" s="17">
        <f>WEO_Data!B17</f>
        <v/>
      </c>
      <c r="K18" s="15">
        <f>((C18+H18)/(C17+H17))-1*100</f>
        <v/>
      </c>
    </row>
    <row r="19">
      <c r="B19" s="13" t="n">
        <v>2036</v>
      </c>
      <c r="C19">
        <f>WEO_Data!E18</f>
        <v/>
      </c>
      <c r="D19" t="n">
        <v>0</v>
      </c>
      <c r="E19">
        <f>($D$30 * $D$31 * D19) / (WEO_Data!D18/100)</f>
        <v/>
      </c>
      <c r="F19">
        <f>E19*$D$33</f>
        <v/>
      </c>
      <c r="G19">
        <f>E19-F19</f>
        <v/>
      </c>
      <c r="H19">
        <f>G19*$D$32</f>
        <v/>
      </c>
      <c r="J19" s="17">
        <f>WEO_Data!B18</f>
        <v/>
      </c>
      <c r="K19" s="15">
        <f>((C19+H19)/(C18+H18))-1*100</f>
        <v/>
      </c>
    </row>
    <row r="20">
      <c r="B20" s="13" t="n">
        <v>2037</v>
      </c>
      <c r="C20">
        <f>WEO_Data!E19</f>
        <v/>
      </c>
      <c r="D20" t="n">
        <v>0</v>
      </c>
      <c r="E20">
        <f>($D$30 * $D$31 * D20) / (WEO_Data!D19/100)</f>
        <v/>
      </c>
      <c r="F20">
        <f>E20*$D$33</f>
        <v/>
      </c>
      <c r="G20">
        <f>E20-F20</f>
        <v/>
      </c>
      <c r="H20">
        <f>G20*$D$32</f>
        <v/>
      </c>
      <c r="J20" s="17">
        <f>WEO_Data!B19</f>
        <v/>
      </c>
      <c r="K20" s="15">
        <f>((C20+H20)/(C19+H19))-1*100</f>
        <v/>
      </c>
    </row>
    <row r="21">
      <c r="B21" s="13" t="n">
        <v>2038</v>
      </c>
      <c r="C21">
        <f>WEO_Data!E20</f>
        <v/>
      </c>
      <c r="D21" t="n">
        <v>0</v>
      </c>
      <c r="E21">
        <f>($D$30 * $D$31 * D21) / (WEO_Data!D20/100)</f>
        <v/>
      </c>
      <c r="F21">
        <f>E21*$D$33</f>
        <v/>
      </c>
      <c r="G21">
        <f>E21-F21</f>
        <v/>
      </c>
      <c r="H21">
        <f>G21*$D$32</f>
        <v/>
      </c>
      <c r="J21" s="17">
        <f>WEO_Data!B20</f>
        <v/>
      </c>
      <c r="K21" s="15">
        <f>((C21+H21)/(C20+H20))-1*100</f>
        <v/>
      </c>
    </row>
    <row r="22">
      <c r="B22" s="13" t="n">
        <v>2039</v>
      </c>
      <c r="C22">
        <f>WEO_Data!E21</f>
        <v/>
      </c>
      <c r="D22" t="n">
        <v>0</v>
      </c>
      <c r="E22">
        <f>($D$30 * $D$31 * D22) / (WEO_Data!D21/100)</f>
        <v/>
      </c>
      <c r="F22">
        <f>E22*$D$33</f>
        <v/>
      </c>
      <c r="G22">
        <f>E22-F22</f>
        <v/>
      </c>
      <c r="H22">
        <f>G22*$D$32</f>
        <v/>
      </c>
      <c r="J22" s="17">
        <f>WEO_Data!B21</f>
        <v/>
      </c>
      <c r="K22" s="15">
        <f>((C22+H22)/(C21+H21))-1*100</f>
        <v/>
      </c>
    </row>
    <row r="23">
      <c r="B23" s="13" t="n">
        <v>2040</v>
      </c>
      <c r="C23">
        <f>WEO_Data!E22</f>
        <v/>
      </c>
      <c r="D23" t="n">
        <v>0</v>
      </c>
      <c r="E23">
        <f>($D$30 * $D$31 * D23) / (WEO_Data!D22/100)</f>
        <v/>
      </c>
      <c r="F23">
        <f>E23*$D$33</f>
        <v/>
      </c>
      <c r="G23">
        <f>E23-F23</f>
        <v/>
      </c>
      <c r="H23">
        <f>G23*$D$32</f>
        <v/>
      </c>
      <c r="J23" s="17">
        <f>WEO_Data!B22</f>
        <v/>
      </c>
      <c r="K23" s="15">
        <f>((C23+H23)/(C22+H22))-1*100</f>
        <v/>
      </c>
    </row>
    <row r="24">
      <c r="B24" s="13" t="n">
        <v>2041</v>
      </c>
      <c r="C24">
        <f>WEO_Data!E23</f>
        <v/>
      </c>
      <c r="D24" t="n">
        <v>0</v>
      </c>
      <c r="E24">
        <f>($D$30 * $D$31 * D24) / (WEO_Data!D23/100)</f>
        <v/>
      </c>
      <c r="F24">
        <f>E24*$D$33</f>
        <v/>
      </c>
      <c r="G24">
        <f>E24-F24</f>
        <v/>
      </c>
      <c r="H24">
        <f>G24*$D$32</f>
        <v/>
      </c>
      <c r="J24" s="17">
        <f>WEO_Data!B23</f>
        <v/>
      </c>
      <c r="K24" s="15">
        <f>((C24+H24)/(C23+H23))-1*100</f>
        <v/>
      </c>
    </row>
    <row r="25">
      <c r="B25" s="18" t="n">
        <v>2042</v>
      </c>
      <c r="C25" s="19">
        <f>WEO_Data!E24</f>
        <v/>
      </c>
      <c r="D25" s="19" t="n">
        <v>0</v>
      </c>
      <c r="E25" s="19">
        <f>($D$30 * $D$31 * D25) / (WEO_Data!D24/100)</f>
        <v/>
      </c>
      <c r="F25" s="19">
        <f>E25*$D$33</f>
        <v/>
      </c>
      <c r="G25" s="19">
        <f>E25-F25</f>
        <v/>
      </c>
      <c r="H25" s="19">
        <f>G25*$D$32</f>
        <v/>
      </c>
      <c r="I25" s="19" t="n"/>
      <c r="J25" s="20">
        <f>WEO_Data!B24</f>
        <v/>
      </c>
      <c r="K25" s="21">
        <f>((C25+H25)/(C24+H24))-1*100</f>
        <v/>
      </c>
    </row>
    <row r="26">
      <c r="B26" t="n">
        <v>2043</v>
      </c>
      <c r="C26">
        <f>WEO_Data!E25</f>
        <v/>
      </c>
      <c r="D26" t="n">
        <v>0</v>
      </c>
      <c r="E26">
        <f>($D$30 * $D$31 * D26) / (WEO_Data!D25/100)</f>
        <v/>
      </c>
      <c r="F26">
        <f>E26*$D$33</f>
        <v/>
      </c>
      <c r="G26">
        <f>E26-F26</f>
        <v/>
      </c>
      <c r="H26">
        <f>G26*$D$32</f>
        <v/>
      </c>
      <c r="J26">
        <f>WEO_Data!B25</f>
        <v/>
      </c>
      <c r="K26">
        <f>((C26+H26)/(C25+H25))-1*100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Investment (Billion USD)</t>
        </is>
      </c>
      <c r="D30" t="n">
        <v>6.5</v>
      </c>
      <c r="K30" s="15" t="n"/>
    </row>
    <row r="31">
      <c r="C31" s="13" t="inlineStr">
        <is>
          <t>Exchange Rate</t>
        </is>
      </c>
      <c r="D31" s="28" t="n">
        <v>2.746</v>
      </c>
      <c r="K31" s="15" t="n"/>
    </row>
    <row r="32">
      <c r="C32" s="13" t="inlineStr">
        <is>
          <t>Multiplier</t>
        </is>
      </c>
      <c r="D32" s="29" t="n">
        <v>0.8</v>
      </c>
      <c r="K32" s="15" t="n"/>
    </row>
    <row r="33">
      <c r="C33" s="18" t="inlineStr">
        <is>
          <t>Import Share</t>
        </is>
      </c>
      <c r="D33" s="19">
        <f>'SUT Calc'!C46</f>
        <v/>
      </c>
      <c r="E33" s="19" t="n"/>
      <c r="F33" s="19" t="n"/>
      <c r="G33" s="19" t="n"/>
      <c r="H33" s="19" t="n"/>
      <c r="I33" s="19" t="n"/>
      <c r="J33" s="27" t="n"/>
      <c r="K33" s="21" t="n"/>
    </row>
    <row r="38">
      <c r="B38" s="32" t="inlineStr">
        <is>
          <t>Scenario 2: Multiplier = 1</t>
        </is>
      </c>
    </row>
    <row r="39">
      <c r="B39" t="inlineStr">
        <is>
          <t>Year</t>
        </is>
      </c>
      <c r="C39" t="inlineStr">
        <is>
          <t>Real GDP</t>
        </is>
      </c>
      <c r="D39" t="inlineStr">
        <is>
          <t>Project Allocation (%)</t>
        </is>
      </c>
      <c r="E39" t="inlineStr">
        <is>
          <t>Project Investment</t>
        </is>
      </c>
      <c r="F39" t="inlineStr">
        <is>
          <t>Imports</t>
        </is>
      </c>
      <c r="G39" t="inlineStr">
        <is>
          <t>GDP impact</t>
        </is>
      </c>
      <c r="J39" t="inlineStr">
        <is>
          <t>Baseline GDP Growth</t>
        </is>
      </c>
      <c r="K39" t="inlineStr">
        <is>
          <t>Projected Growth</t>
        </is>
      </c>
    </row>
    <row r="40">
      <c r="B40" t="n">
        <v>2020</v>
      </c>
      <c r="C40">
        <f>WEO_Data!E2</f>
        <v/>
      </c>
      <c r="D40" t="n">
        <v>0</v>
      </c>
      <c r="E40">
        <f>($D$30 * $D$31 * D40) / (WEO_Data!D2/100)</f>
        <v/>
      </c>
      <c r="F40">
        <f>E40*$D$33</f>
        <v/>
      </c>
      <c r="G40">
        <f>E40-F40</f>
        <v/>
      </c>
      <c r="H40">
        <f>G40*1.0</f>
        <v/>
      </c>
      <c r="J40">
        <f>WEO_Data!B2</f>
        <v/>
      </c>
      <c r="K40">
        <f>J40</f>
        <v/>
      </c>
    </row>
    <row r="41">
      <c r="B41" t="n">
        <v>2021</v>
      </c>
      <c r="C41">
        <f>WEO_Data!E3</f>
        <v/>
      </c>
      <c r="D41" t="n">
        <v>0</v>
      </c>
      <c r="E41">
        <f>($D$30 * $D$31 * D41) / (WEO_Data!D3/100)</f>
        <v/>
      </c>
      <c r="F41">
        <f>E41*$D$33</f>
        <v/>
      </c>
      <c r="G41">
        <f>E41-F41</f>
        <v/>
      </c>
      <c r="H41">
        <f>G41*1.0</f>
        <v/>
      </c>
      <c r="J41">
        <f>WEO_Data!B3</f>
        <v/>
      </c>
      <c r="K41">
        <f>((C41+H41)/(C40+H40))-1*100</f>
        <v/>
      </c>
    </row>
    <row r="42">
      <c r="B42" t="n">
        <v>2022</v>
      </c>
      <c r="C42">
        <f>WEO_Data!E4</f>
        <v/>
      </c>
      <c r="D42" t="n">
        <v>0</v>
      </c>
      <c r="E42">
        <f>($D$30 * $D$31 * D42) / (WEO_Data!D4/100)</f>
        <v/>
      </c>
      <c r="F42">
        <f>E42*$D$33</f>
        <v/>
      </c>
      <c r="G42">
        <f>E42-F42</f>
        <v/>
      </c>
      <c r="H42">
        <f>G42*1.0</f>
        <v/>
      </c>
      <c r="J42">
        <f>WEO_Data!B4</f>
        <v/>
      </c>
      <c r="K42">
        <f>((C42+H42)/(C41+H41))-1*100</f>
        <v/>
      </c>
    </row>
    <row r="43">
      <c r="B43" t="n">
        <v>2023</v>
      </c>
      <c r="C43">
        <f>WEO_Data!E5</f>
        <v/>
      </c>
      <c r="D43" t="n">
        <v>0</v>
      </c>
      <c r="E43">
        <f>($D$30 * $D$31 * D43) / (WEO_Data!D5/100)</f>
        <v/>
      </c>
      <c r="F43">
        <f>E43*$D$33</f>
        <v/>
      </c>
      <c r="G43">
        <f>E43-F43</f>
        <v/>
      </c>
      <c r="H43">
        <f>G43*1.0</f>
        <v/>
      </c>
      <c r="J43">
        <f>WEO_Data!B5</f>
        <v/>
      </c>
      <c r="K43">
        <f>((C43+H43)/(C42+H42))-1*100</f>
        <v/>
      </c>
    </row>
    <row r="44">
      <c r="B44" t="n">
        <v>2024</v>
      </c>
      <c r="C44">
        <f>WEO_Data!E6</f>
        <v/>
      </c>
      <c r="D44" t="n">
        <v>0</v>
      </c>
      <c r="E44">
        <f>($D$30 * $D$31 * D44) / (WEO_Data!D6/100)</f>
        <v/>
      </c>
      <c r="F44">
        <f>E44*$D$33</f>
        <v/>
      </c>
      <c r="G44">
        <f>E44-F44</f>
        <v/>
      </c>
      <c r="H44">
        <f>G44*1.0</f>
        <v/>
      </c>
      <c r="J44">
        <f>WEO_Data!B6</f>
        <v/>
      </c>
      <c r="K44">
        <f>((C44+H44)/(C43+H43))-1*100</f>
        <v/>
      </c>
    </row>
    <row r="45">
      <c r="B45" t="n">
        <v>2025</v>
      </c>
      <c r="C45">
        <f>WEO_Data!E7</f>
        <v/>
      </c>
      <c r="D45" t="n">
        <v>0</v>
      </c>
      <c r="E45">
        <f>($D$30 * $D$31 * D45) / (WEO_Data!D7/100)</f>
        <v/>
      </c>
      <c r="F45">
        <f>E45*$D$33</f>
        <v/>
      </c>
      <c r="G45">
        <f>E45-F45</f>
        <v/>
      </c>
      <c r="H45">
        <f>G45*1.0</f>
        <v/>
      </c>
      <c r="J45">
        <f>WEO_Data!B7</f>
        <v/>
      </c>
      <c r="K45">
        <f>((C45+H45)/(C44+H44))-1*100</f>
        <v/>
      </c>
    </row>
    <row r="46">
      <c r="B46" t="n">
        <v>2026</v>
      </c>
      <c r="C46">
        <f>WEO_Data!E8</f>
        <v/>
      </c>
      <c r="D46" t="n">
        <v>0.05</v>
      </c>
      <c r="E46">
        <f>($D$30 * $D$31 * D46) / (WEO_Data!D8/100)</f>
        <v/>
      </c>
      <c r="F46">
        <f>E46*$D$33</f>
        <v/>
      </c>
      <c r="G46">
        <f>E46-F46</f>
        <v/>
      </c>
      <c r="H46">
        <f>G46*1.0</f>
        <v/>
      </c>
      <c r="J46">
        <f>WEO_Data!B8</f>
        <v/>
      </c>
      <c r="K46">
        <f>((C46+H46)/(C45+H45))-1*100</f>
        <v/>
      </c>
    </row>
    <row r="47">
      <c r="B47" t="n">
        <v>2027</v>
      </c>
      <c r="C47">
        <f>WEO_Data!E9</f>
        <v/>
      </c>
      <c r="D47" t="n">
        <v>0.1</v>
      </c>
      <c r="E47">
        <f>($D$30 * $D$31 * D47) / (WEO_Data!D9/100)</f>
        <v/>
      </c>
      <c r="F47">
        <f>E47*$D$33</f>
        <v/>
      </c>
      <c r="G47">
        <f>E47-F47</f>
        <v/>
      </c>
      <c r="H47">
        <f>G47*1.0</f>
        <v/>
      </c>
      <c r="J47">
        <f>WEO_Data!B9</f>
        <v/>
      </c>
      <c r="K47">
        <f>((C47+H47)/(C46+H46))-1*100</f>
        <v/>
      </c>
    </row>
    <row r="48">
      <c r="B48" t="n">
        <v>2028</v>
      </c>
      <c r="C48">
        <f>WEO_Data!E10</f>
        <v/>
      </c>
      <c r="D48" t="n">
        <v>0.15</v>
      </c>
      <c r="E48">
        <f>($D$30 * $D$31 * D48) / (WEO_Data!D10/100)</f>
        <v/>
      </c>
      <c r="F48">
        <f>E48*$D$33</f>
        <v/>
      </c>
      <c r="G48">
        <f>E48-F48</f>
        <v/>
      </c>
      <c r="H48">
        <f>G48*1.0</f>
        <v/>
      </c>
      <c r="J48">
        <f>WEO_Data!B10</f>
        <v/>
      </c>
      <c r="K48">
        <f>((C48+H48)/(C47+H47))-1*100</f>
        <v/>
      </c>
    </row>
    <row r="49">
      <c r="B49" t="n">
        <v>2029</v>
      </c>
      <c r="C49">
        <f>WEO_Data!E11</f>
        <v/>
      </c>
      <c r="D49" t="n">
        <v>0.2</v>
      </c>
      <c r="E49">
        <f>($D$30 * $D$31 * D49) / (WEO_Data!D11/100)</f>
        <v/>
      </c>
      <c r="F49">
        <f>E49*$D$33</f>
        <v/>
      </c>
      <c r="G49">
        <f>E49-F49</f>
        <v/>
      </c>
      <c r="H49">
        <f>G49*1.0</f>
        <v/>
      </c>
      <c r="J49">
        <f>WEO_Data!B11</f>
        <v/>
      </c>
      <c r="K49">
        <f>((C49+H49)/(C48+H48))-1*100</f>
        <v/>
      </c>
    </row>
    <row r="50">
      <c r="B50" t="n">
        <v>2030</v>
      </c>
      <c r="C50">
        <f>WEO_Data!E12</f>
        <v/>
      </c>
      <c r="D50" t="n">
        <v>0.2</v>
      </c>
      <c r="E50">
        <f>($D$30 * $D$31 * D50) / (WEO_Data!D12/100)</f>
        <v/>
      </c>
      <c r="F50">
        <f>E50*$D$33</f>
        <v/>
      </c>
      <c r="G50">
        <f>E50-F50</f>
        <v/>
      </c>
      <c r="H50">
        <f>G50*1.0</f>
        <v/>
      </c>
      <c r="J50">
        <f>WEO_Data!B12</f>
        <v/>
      </c>
      <c r="K50">
        <f>((C50+H50)/(C49+H49))-1*100</f>
        <v/>
      </c>
    </row>
    <row r="51">
      <c r="B51" t="n">
        <v>2031</v>
      </c>
      <c r="C51">
        <f>WEO_Data!E13</f>
        <v/>
      </c>
      <c r="D51" t="n">
        <v>0.15</v>
      </c>
      <c r="E51">
        <f>($D$30 * $D$31 * D51) / (WEO_Data!D13/100)</f>
        <v/>
      </c>
      <c r="F51">
        <f>E51*$D$33</f>
        <v/>
      </c>
      <c r="G51">
        <f>E51-F51</f>
        <v/>
      </c>
      <c r="H51">
        <f>G51*1.0</f>
        <v/>
      </c>
      <c r="J51">
        <f>WEO_Data!B13</f>
        <v/>
      </c>
      <c r="K51">
        <f>((C51+H51)/(C50+H50))-1*100</f>
        <v/>
      </c>
    </row>
    <row r="52">
      <c r="B52" t="n">
        <v>2032</v>
      </c>
      <c r="C52">
        <f>WEO_Data!E14</f>
        <v/>
      </c>
      <c r="D52" t="n">
        <v>0.1</v>
      </c>
      <c r="E52">
        <f>($D$30 * $D$31 * D52) / (WEO_Data!D14/100)</f>
        <v/>
      </c>
      <c r="F52">
        <f>E52*$D$33</f>
        <v/>
      </c>
      <c r="G52">
        <f>E52-F52</f>
        <v/>
      </c>
      <c r="H52">
        <f>G52*1.0</f>
        <v/>
      </c>
      <c r="J52">
        <f>WEO_Data!B14</f>
        <v/>
      </c>
      <c r="K52">
        <f>((C52+H52)/(C51+H51))-1*100</f>
        <v/>
      </c>
    </row>
    <row r="53">
      <c r="B53" t="n">
        <v>2033</v>
      </c>
      <c r="C53">
        <f>WEO_Data!E15</f>
        <v/>
      </c>
      <c r="D53" t="n">
        <v>0.05</v>
      </c>
      <c r="E53">
        <f>($D$30 * $D$31 * D53) / (WEO_Data!D15/100)</f>
        <v/>
      </c>
      <c r="F53">
        <f>E53*$D$33</f>
        <v/>
      </c>
      <c r="G53">
        <f>E53-F53</f>
        <v/>
      </c>
      <c r="H53">
        <f>G53*1.0</f>
        <v/>
      </c>
      <c r="J53">
        <f>WEO_Data!B15</f>
        <v/>
      </c>
      <c r="K53">
        <f>((C53+H53)/(C52+H52))-1*100</f>
        <v/>
      </c>
    </row>
    <row r="54">
      <c r="B54" t="n">
        <v>2034</v>
      </c>
      <c r="C54">
        <f>WEO_Data!E16</f>
        <v/>
      </c>
      <c r="D54" t="n">
        <v>0</v>
      </c>
      <c r="E54">
        <f>($D$30 * $D$31 * D54) / (WEO_Data!D16/100)</f>
        <v/>
      </c>
      <c r="F54">
        <f>E54*$D$33</f>
        <v/>
      </c>
      <c r="G54">
        <f>E54-F54</f>
        <v/>
      </c>
      <c r="H54">
        <f>G54*1.0</f>
        <v/>
      </c>
      <c r="J54">
        <f>WEO_Data!B16</f>
        <v/>
      </c>
      <c r="K54">
        <f>((C54+H54)/(C53+H53))-1*100</f>
        <v/>
      </c>
    </row>
    <row r="55">
      <c r="B55" t="n">
        <v>2035</v>
      </c>
      <c r="C55">
        <f>WEO_Data!E17</f>
        <v/>
      </c>
      <c r="D55" t="n">
        <v>0</v>
      </c>
      <c r="E55">
        <f>($D$30 * $D$31 * D55) / (WEO_Data!D17/100)</f>
        <v/>
      </c>
      <c r="F55">
        <f>E55*$D$33</f>
        <v/>
      </c>
      <c r="G55">
        <f>E55-F55</f>
        <v/>
      </c>
      <c r="H55">
        <f>G55*1.0</f>
        <v/>
      </c>
      <c r="J55">
        <f>WEO_Data!B17</f>
        <v/>
      </c>
      <c r="K55">
        <f>((C55+H55)/(C54+H54))-1*100</f>
        <v/>
      </c>
    </row>
    <row r="56">
      <c r="B56" t="n">
        <v>2036</v>
      </c>
      <c r="C56">
        <f>WEO_Data!E18</f>
        <v/>
      </c>
      <c r="D56" t="n">
        <v>0</v>
      </c>
      <c r="E56">
        <f>($D$30 * $D$31 * D56) / (WEO_Data!D18/100)</f>
        <v/>
      </c>
      <c r="F56">
        <f>E56*$D$33</f>
        <v/>
      </c>
      <c r="G56">
        <f>E56-F56</f>
        <v/>
      </c>
      <c r="H56">
        <f>G56*1.0</f>
        <v/>
      </c>
      <c r="J56">
        <f>WEO_Data!B18</f>
        <v/>
      </c>
      <c r="K56">
        <f>((C56+H56)/(C55+H55))-1*100</f>
        <v/>
      </c>
    </row>
    <row r="57">
      <c r="B57" t="n">
        <v>2037</v>
      </c>
      <c r="C57">
        <f>WEO_Data!E19</f>
        <v/>
      </c>
      <c r="D57" t="n">
        <v>0</v>
      </c>
      <c r="E57">
        <f>($D$30 * $D$31 * D57) / (WEO_Data!D19/100)</f>
        <v/>
      </c>
      <c r="F57">
        <f>E57*$D$33</f>
        <v/>
      </c>
      <c r="G57">
        <f>E57-F57</f>
        <v/>
      </c>
      <c r="H57">
        <f>G57*1.0</f>
        <v/>
      </c>
      <c r="J57">
        <f>WEO_Data!B19</f>
        <v/>
      </c>
      <c r="K57">
        <f>((C57+H57)/(C56+H56))-1*100</f>
        <v/>
      </c>
    </row>
    <row r="58">
      <c r="B58" t="n">
        <v>2038</v>
      </c>
      <c r="C58">
        <f>WEO_Data!E20</f>
        <v/>
      </c>
      <c r="D58" t="n">
        <v>0</v>
      </c>
      <c r="E58">
        <f>($D$30 * $D$31 * D58) / (WEO_Data!D20/100)</f>
        <v/>
      </c>
      <c r="F58">
        <f>E58*$D$33</f>
        <v/>
      </c>
      <c r="G58">
        <f>E58-F58</f>
        <v/>
      </c>
      <c r="H58">
        <f>G58*1.0</f>
        <v/>
      </c>
      <c r="J58">
        <f>WEO_Data!B20</f>
        <v/>
      </c>
      <c r="K58">
        <f>((C58+H58)/(C57+H57))-1*100</f>
        <v/>
      </c>
    </row>
    <row r="59">
      <c r="B59" t="n">
        <v>2039</v>
      </c>
      <c r="C59">
        <f>WEO_Data!E21</f>
        <v/>
      </c>
      <c r="D59" t="n">
        <v>0</v>
      </c>
      <c r="E59">
        <f>($D$30 * $D$31 * D59) / (WEO_Data!D21/100)</f>
        <v/>
      </c>
      <c r="F59">
        <f>E59*$D$33</f>
        <v/>
      </c>
      <c r="G59">
        <f>E59-F59</f>
        <v/>
      </c>
      <c r="H59">
        <f>G59*1.0</f>
        <v/>
      </c>
      <c r="J59">
        <f>WEO_Data!B21</f>
        <v/>
      </c>
      <c r="K59">
        <f>((C59+H59)/(C58+H58))-1*100</f>
        <v/>
      </c>
    </row>
    <row r="60">
      <c r="B60" t="n">
        <v>2040</v>
      </c>
      <c r="C60">
        <f>WEO_Data!E22</f>
        <v/>
      </c>
      <c r="D60" t="n">
        <v>0</v>
      </c>
      <c r="E60">
        <f>($D$30 * $D$31 * D60) / (WEO_Data!D22/100)</f>
        <v/>
      </c>
      <c r="F60">
        <f>E60*$D$33</f>
        <v/>
      </c>
      <c r="G60">
        <f>E60-F60</f>
        <v/>
      </c>
      <c r="H60">
        <f>G60*1.0</f>
        <v/>
      </c>
      <c r="J60">
        <f>WEO_Data!B22</f>
        <v/>
      </c>
      <c r="K60">
        <f>((C60+H60)/(C59+H59))-1*100</f>
        <v/>
      </c>
    </row>
    <row r="61">
      <c r="B61" t="n">
        <v>2041</v>
      </c>
      <c r="C61">
        <f>WEO_Data!E23</f>
        <v/>
      </c>
      <c r="D61" t="n">
        <v>0</v>
      </c>
      <c r="E61">
        <f>($D$30 * $D$31 * D61) / (WEO_Data!D23/100)</f>
        <v/>
      </c>
      <c r="F61">
        <f>E61*$D$33</f>
        <v/>
      </c>
      <c r="G61">
        <f>E61-F61</f>
        <v/>
      </c>
      <c r="H61">
        <f>G61*1.0</f>
        <v/>
      </c>
      <c r="J61">
        <f>WEO_Data!B23</f>
        <v/>
      </c>
      <c r="K61">
        <f>((C61+H61)/(C60+H60))-1*100</f>
        <v/>
      </c>
    </row>
    <row r="62">
      <c r="B62" t="n">
        <v>2042</v>
      </c>
      <c r="C62">
        <f>WEO_Data!E24</f>
        <v/>
      </c>
      <c r="D62" t="n">
        <v>0</v>
      </c>
      <c r="E62">
        <f>($D$30 * $D$31 * D62) / (WEO_Data!D24/100)</f>
        <v/>
      </c>
      <c r="F62">
        <f>E62*$D$33</f>
        <v/>
      </c>
      <c r="G62">
        <f>E62-F62</f>
        <v/>
      </c>
      <c r="H62">
        <f>G62*1.0</f>
        <v/>
      </c>
      <c r="J62">
        <f>WEO_Data!B24</f>
        <v/>
      </c>
      <c r="K62">
        <f>((C62+H62)/(C61+H61))-1*100</f>
        <v/>
      </c>
    </row>
    <row r="63">
      <c r="B63" t="n">
        <v>2043</v>
      </c>
      <c r="C63">
        <f>WEO_Data!E25</f>
        <v/>
      </c>
      <c r="D63" t="n">
        <v>0</v>
      </c>
      <c r="E63">
        <f>($D$30 * $D$31 * D63) / (WEO_Data!D25/100)</f>
        <v/>
      </c>
      <c r="F63">
        <f>E63*$D$33</f>
        <v/>
      </c>
      <c r="G63">
        <f>E63-F63</f>
        <v/>
      </c>
      <c r="H63">
        <f>G63*1.0</f>
        <v/>
      </c>
      <c r="J63">
        <f>WEO_Data!B25</f>
        <v/>
      </c>
      <c r="K63">
        <f>((C63+H63)/(C62+H62))-1*100</f>
        <v/>
      </c>
    </row>
    <row r="68">
      <c r="B68" s="32" t="inlineStr">
        <is>
          <t>Scenario 3: Import Share = 0.5</t>
        </is>
      </c>
    </row>
    <row r="69">
      <c r="B69" t="inlineStr">
        <is>
          <t>Year</t>
        </is>
      </c>
      <c r="C69" t="inlineStr">
        <is>
          <t>Real GDP</t>
        </is>
      </c>
      <c r="D69" t="inlineStr">
        <is>
          <t>Project Allocation (%)</t>
        </is>
      </c>
      <c r="E69" t="inlineStr">
        <is>
          <t>Project Investment</t>
        </is>
      </c>
      <c r="F69" t="inlineStr">
        <is>
          <t>Imports</t>
        </is>
      </c>
      <c r="G69" t="inlineStr">
        <is>
          <t>GDP impact</t>
        </is>
      </c>
      <c r="J69" t="inlineStr">
        <is>
          <t>Baseline GDP Growth</t>
        </is>
      </c>
      <c r="K69" t="inlineStr">
        <is>
          <t>Projected Growth</t>
        </is>
      </c>
    </row>
    <row r="70">
      <c r="B70" t="n">
        <v>2020</v>
      </c>
      <c r="C70">
        <f>WEO_Data!E2</f>
        <v/>
      </c>
      <c r="D70" t="n">
        <v>0</v>
      </c>
      <c r="E70">
        <f>($D$30 * $D$31 * D70) / (WEO_Data!D2/100)</f>
        <v/>
      </c>
      <c r="F70">
        <f>E70*0.5</f>
        <v/>
      </c>
      <c r="G70">
        <f>E70-F70</f>
        <v/>
      </c>
      <c r="H70">
        <f>G70*0.8</f>
        <v/>
      </c>
      <c r="J70">
        <f>WEO_Data!B2</f>
        <v/>
      </c>
      <c r="K70">
        <f>J70</f>
        <v/>
      </c>
    </row>
    <row r="71">
      <c r="B71" t="n">
        <v>2021</v>
      </c>
      <c r="C71">
        <f>WEO_Data!E3</f>
        <v/>
      </c>
      <c r="D71" t="n">
        <v>0</v>
      </c>
      <c r="E71">
        <f>($D$30 * $D$31 * D71) / (WEO_Data!D3/100)</f>
        <v/>
      </c>
      <c r="F71">
        <f>E71*0.5</f>
        <v/>
      </c>
      <c r="G71">
        <f>E71-F71</f>
        <v/>
      </c>
      <c r="H71">
        <f>G71*0.8</f>
        <v/>
      </c>
      <c r="J71">
        <f>WEO_Data!B3</f>
        <v/>
      </c>
      <c r="K71">
        <f>((C71+H71)/(C70+H70))-1*100</f>
        <v/>
      </c>
    </row>
    <row r="72">
      <c r="B72" t="n">
        <v>2022</v>
      </c>
      <c r="C72">
        <f>WEO_Data!E4</f>
        <v/>
      </c>
      <c r="D72" t="n">
        <v>0</v>
      </c>
      <c r="E72">
        <f>($D$30 * $D$31 * D72) / (WEO_Data!D4/100)</f>
        <v/>
      </c>
      <c r="F72">
        <f>E72*0.5</f>
        <v/>
      </c>
      <c r="G72">
        <f>E72-F72</f>
        <v/>
      </c>
      <c r="H72">
        <f>G72*0.8</f>
        <v/>
      </c>
      <c r="J72">
        <f>WEO_Data!B4</f>
        <v/>
      </c>
      <c r="K72">
        <f>((C72+H72)/(C71+H71))-1*100</f>
        <v/>
      </c>
    </row>
    <row r="73">
      <c r="B73" t="n">
        <v>2023</v>
      </c>
      <c r="C73">
        <f>WEO_Data!E5</f>
        <v/>
      </c>
      <c r="D73" t="n">
        <v>0</v>
      </c>
      <c r="E73">
        <f>($D$30 * $D$31 * D73) / (WEO_Data!D5/100)</f>
        <v/>
      </c>
      <c r="F73">
        <f>E73*0.5</f>
        <v/>
      </c>
      <c r="G73">
        <f>E73-F73</f>
        <v/>
      </c>
      <c r="H73">
        <f>G73*0.8</f>
        <v/>
      </c>
      <c r="J73">
        <f>WEO_Data!B5</f>
        <v/>
      </c>
      <c r="K73">
        <f>((C73+H73)/(C72+H72))-1*100</f>
        <v/>
      </c>
    </row>
    <row r="74">
      <c r="B74" t="n">
        <v>2024</v>
      </c>
      <c r="C74">
        <f>WEO_Data!E6</f>
        <v/>
      </c>
      <c r="D74" t="n">
        <v>0</v>
      </c>
      <c r="E74">
        <f>($D$30 * $D$31 * D74) / (WEO_Data!D6/100)</f>
        <v/>
      </c>
      <c r="F74">
        <f>E74*0.5</f>
        <v/>
      </c>
      <c r="G74">
        <f>E74-F74</f>
        <v/>
      </c>
      <c r="H74">
        <f>G74*0.8</f>
        <v/>
      </c>
      <c r="J74">
        <f>WEO_Data!B6</f>
        <v/>
      </c>
      <c r="K74">
        <f>((C74+H74)/(C73+H73))-1*100</f>
        <v/>
      </c>
    </row>
    <row r="75">
      <c r="B75" t="n">
        <v>2025</v>
      </c>
      <c r="C75">
        <f>WEO_Data!E7</f>
        <v/>
      </c>
      <c r="D75" t="n">
        <v>0</v>
      </c>
      <c r="E75">
        <f>($D$30 * $D$31 * D75) / (WEO_Data!D7/100)</f>
        <v/>
      </c>
      <c r="F75">
        <f>E75*0.5</f>
        <v/>
      </c>
      <c r="G75">
        <f>E75-F75</f>
        <v/>
      </c>
      <c r="H75">
        <f>G75*0.8</f>
        <v/>
      </c>
      <c r="J75">
        <f>WEO_Data!B7</f>
        <v/>
      </c>
      <c r="K75">
        <f>((C75+H75)/(C74+H74))-1*100</f>
        <v/>
      </c>
    </row>
    <row r="76">
      <c r="B76" t="n">
        <v>2026</v>
      </c>
      <c r="C76">
        <f>WEO_Data!E8</f>
        <v/>
      </c>
      <c r="D76" t="n">
        <v>0.05</v>
      </c>
      <c r="E76">
        <f>($D$30 * $D$31 * D76) / (WEO_Data!D8/100)</f>
        <v/>
      </c>
      <c r="F76">
        <f>E76*0.5</f>
        <v/>
      </c>
      <c r="G76">
        <f>E76-F76</f>
        <v/>
      </c>
      <c r="H76">
        <f>G76*0.8</f>
        <v/>
      </c>
      <c r="J76">
        <f>WEO_Data!B8</f>
        <v/>
      </c>
      <c r="K76">
        <f>((C76+H76)/(C75+H75))-1*100</f>
        <v/>
      </c>
    </row>
    <row r="77">
      <c r="B77" t="n">
        <v>2027</v>
      </c>
      <c r="C77">
        <f>WEO_Data!E9</f>
        <v/>
      </c>
      <c r="D77" t="n">
        <v>0.1</v>
      </c>
      <c r="E77">
        <f>($D$30 * $D$31 * D77) / (WEO_Data!D9/100)</f>
        <v/>
      </c>
      <c r="F77">
        <f>E77*0.5</f>
        <v/>
      </c>
      <c r="G77">
        <f>E77-F77</f>
        <v/>
      </c>
      <c r="H77">
        <f>G77*0.8</f>
        <v/>
      </c>
      <c r="J77">
        <f>WEO_Data!B9</f>
        <v/>
      </c>
      <c r="K77">
        <f>((C77+H77)/(C76+H76))-1*100</f>
        <v/>
      </c>
    </row>
    <row r="78">
      <c r="B78" t="n">
        <v>2028</v>
      </c>
      <c r="C78">
        <f>WEO_Data!E10</f>
        <v/>
      </c>
      <c r="D78" t="n">
        <v>0.15</v>
      </c>
      <c r="E78">
        <f>($D$30 * $D$31 * D78) / (WEO_Data!D10/100)</f>
        <v/>
      </c>
      <c r="F78">
        <f>E78*0.5</f>
        <v/>
      </c>
      <c r="G78">
        <f>E78-F78</f>
        <v/>
      </c>
      <c r="H78">
        <f>G78*0.8</f>
        <v/>
      </c>
      <c r="J78">
        <f>WEO_Data!B10</f>
        <v/>
      </c>
      <c r="K78">
        <f>((C78+H78)/(C77+H77))-1*100</f>
        <v/>
      </c>
    </row>
    <row r="79">
      <c r="B79" t="n">
        <v>2029</v>
      </c>
      <c r="C79">
        <f>WEO_Data!E11</f>
        <v/>
      </c>
      <c r="D79" t="n">
        <v>0.2</v>
      </c>
      <c r="E79">
        <f>($D$30 * $D$31 * D79) / (WEO_Data!D11/100)</f>
        <v/>
      </c>
      <c r="F79">
        <f>E79*0.5</f>
        <v/>
      </c>
      <c r="G79">
        <f>E79-F79</f>
        <v/>
      </c>
      <c r="H79">
        <f>G79*0.8</f>
        <v/>
      </c>
      <c r="J79">
        <f>WEO_Data!B11</f>
        <v/>
      </c>
      <c r="K79">
        <f>((C79+H79)/(C78+H78))-1*100</f>
        <v/>
      </c>
    </row>
    <row r="80">
      <c r="B80" t="n">
        <v>2030</v>
      </c>
      <c r="C80">
        <f>WEO_Data!E12</f>
        <v/>
      </c>
      <c r="D80" t="n">
        <v>0.2</v>
      </c>
      <c r="E80">
        <f>($D$30 * $D$31 * D80) / (WEO_Data!D12/100)</f>
        <v/>
      </c>
      <c r="F80">
        <f>E80*0.5</f>
        <v/>
      </c>
      <c r="G80">
        <f>E80-F80</f>
        <v/>
      </c>
      <c r="H80">
        <f>G80*0.8</f>
        <v/>
      </c>
      <c r="J80">
        <f>WEO_Data!B12</f>
        <v/>
      </c>
      <c r="K80">
        <f>((C80+H80)/(C79+H79))-1*100</f>
        <v/>
      </c>
    </row>
    <row r="81">
      <c r="B81" t="n">
        <v>2031</v>
      </c>
      <c r="C81">
        <f>WEO_Data!E13</f>
        <v/>
      </c>
      <c r="D81" t="n">
        <v>0.15</v>
      </c>
      <c r="E81">
        <f>($D$30 * $D$31 * D81) / (WEO_Data!D13/100)</f>
        <v/>
      </c>
      <c r="F81">
        <f>E81*0.5</f>
        <v/>
      </c>
      <c r="G81">
        <f>E81-F81</f>
        <v/>
      </c>
      <c r="H81">
        <f>G81*0.8</f>
        <v/>
      </c>
      <c r="J81">
        <f>WEO_Data!B13</f>
        <v/>
      </c>
      <c r="K81">
        <f>((C81+H81)/(C80+H80))-1*100</f>
        <v/>
      </c>
    </row>
    <row r="82">
      <c r="B82" t="n">
        <v>2032</v>
      </c>
      <c r="C82">
        <f>WEO_Data!E14</f>
        <v/>
      </c>
      <c r="D82" t="n">
        <v>0.1</v>
      </c>
      <c r="E82">
        <f>($D$30 * $D$31 * D82) / (WEO_Data!D14/100)</f>
        <v/>
      </c>
      <c r="F82">
        <f>E82*0.5</f>
        <v/>
      </c>
      <c r="G82">
        <f>E82-F82</f>
        <v/>
      </c>
      <c r="H82">
        <f>G82*0.8</f>
        <v/>
      </c>
      <c r="J82">
        <f>WEO_Data!B14</f>
        <v/>
      </c>
      <c r="K82">
        <f>((C82+H82)/(C81+H81))-1*100</f>
        <v/>
      </c>
    </row>
    <row r="83">
      <c r="B83" t="n">
        <v>2033</v>
      </c>
      <c r="C83">
        <f>WEO_Data!E15</f>
        <v/>
      </c>
      <c r="D83" t="n">
        <v>0.05</v>
      </c>
      <c r="E83">
        <f>($D$30 * $D$31 * D83) / (WEO_Data!D15/100)</f>
        <v/>
      </c>
      <c r="F83">
        <f>E83*0.5</f>
        <v/>
      </c>
      <c r="G83">
        <f>E83-F83</f>
        <v/>
      </c>
      <c r="H83">
        <f>G83*0.8</f>
        <v/>
      </c>
      <c r="J83">
        <f>WEO_Data!B15</f>
        <v/>
      </c>
      <c r="K83">
        <f>((C83+H83)/(C82+H82))-1*100</f>
        <v/>
      </c>
    </row>
    <row r="84">
      <c r="B84" t="n">
        <v>2034</v>
      </c>
      <c r="C84">
        <f>WEO_Data!E16</f>
        <v/>
      </c>
      <c r="D84" t="n">
        <v>0</v>
      </c>
      <c r="E84">
        <f>($D$30 * $D$31 * D84) / (WEO_Data!D16/100)</f>
        <v/>
      </c>
      <c r="F84">
        <f>E84*0.5</f>
        <v/>
      </c>
      <c r="G84">
        <f>E84-F84</f>
        <v/>
      </c>
      <c r="H84">
        <f>G84*0.8</f>
        <v/>
      </c>
      <c r="J84">
        <f>WEO_Data!B16</f>
        <v/>
      </c>
      <c r="K84">
        <f>((C84+H84)/(C83+H83))-1*100</f>
        <v/>
      </c>
    </row>
    <row r="85">
      <c r="B85" t="n">
        <v>2035</v>
      </c>
      <c r="C85">
        <f>WEO_Data!E17</f>
        <v/>
      </c>
      <c r="D85" t="n">
        <v>0</v>
      </c>
      <c r="E85">
        <f>($D$30 * $D$31 * D85) / (WEO_Data!D17/100)</f>
        <v/>
      </c>
      <c r="F85">
        <f>E85*0.5</f>
        <v/>
      </c>
      <c r="G85">
        <f>E85-F85</f>
        <v/>
      </c>
      <c r="H85">
        <f>G85*0.8</f>
        <v/>
      </c>
      <c r="J85">
        <f>WEO_Data!B17</f>
        <v/>
      </c>
      <c r="K85">
        <f>((C85+H85)/(C84+H84))-1*100</f>
        <v/>
      </c>
    </row>
    <row r="86">
      <c r="B86" t="n">
        <v>2036</v>
      </c>
      <c r="C86">
        <f>WEO_Data!E18</f>
        <v/>
      </c>
      <c r="D86" t="n">
        <v>0</v>
      </c>
      <c r="E86">
        <f>($D$30 * $D$31 * D86) / (WEO_Data!D18/100)</f>
        <v/>
      </c>
      <c r="F86">
        <f>E86*0.5</f>
        <v/>
      </c>
      <c r="G86">
        <f>E86-F86</f>
        <v/>
      </c>
      <c r="H86">
        <f>G86*0.8</f>
        <v/>
      </c>
      <c r="J86">
        <f>WEO_Data!B18</f>
        <v/>
      </c>
      <c r="K86">
        <f>((C86+H86)/(C85+H85))-1*100</f>
        <v/>
      </c>
    </row>
    <row r="87">
      <c r="B87" t="n">
        <v>2037</v>
      </c>
      <c r="C87">
        <f>WEO_Data!E19</f>
        <v/>
      </c>
      <c r="D87" t="n">
        <v>0</v>
      </c>
      <c r="E87">
        <f>($D$30 * $D$31 * D87) / (WEO_Data!D19/100)</f>
        <v/>
      </c>
      <c r="F87">
        <f>E87*0.5</f>
        <v/>
      </c>
      <c r="G87">
        <f>E87-F87</f>
        <v/>
      </c>
      <c r="H87">
        <f>G87*0.8</f>
        <v/>
      </c>
      <c r="J87">
        <f>WEO_Data!B19</f>
        <v/>
      </c>
      <c r="K87">
        <f>((C87+H87)/(C86+H86))-1*100</f>
        <v/>
      </c>
    </row>
    <row r="88">
      <c r="B88" t="n">
        <v>2038</v>
      </c>
      <c r="C88">
        <f>WEO_Data!E20</f>
        <v/>
      </c>
      <c r="D88" t="n">
        <v>0</v>
      </c>
      <c r="E88">
        <f>($D$30 * $D$31 * D88) / (WEO_Data!D20/100)</f>
        <v/>
      </c>
      <c r="F88">
        <f>E88*0.5</f>
        <v/>
      </c>
      <c r="G88">
        <f>E88-F88</f>
        <v/>
      </c>
      <c r="H88">
        <f>G88*0.8</f>
        <v/>
      </c>
      <c r="J88">
        <f>WEO_Data!B20</f>
        <v/>
      </c>
      <c r="K88">
        <f>((C88+H88)/(C87+H87))-1*100</f>
        <v/>
      </c>
    </row>
    <row r="89">
      <c r="B89" t="n">
        <v>2039</v>
      </c>
      <c r="C89">
        <f>WEO_Data!E21</f>
        <v/>
      </c>
      <c r="D89" t="n">
        <v>0</v>
      </c>
      <c r="E89">
        <f>($D$30 * $D$31 * D89) / (WEO_Data!D21/100)</f>
        <v/>
      </c>
      <c r="F89">
        <f>E89*0.5</f>
        <v/>
      </c>
      <c r="G89">
        <f>E89-F89</f>
        <v/>
      </c>
      <c r="H89">
        <f>G89*0.8</f>
        <v/>
      </c>
      <c r="J89">
        <f>WEO_Data!B21</f>
        <v/>
      </c>
      <c r="K89">
        <f>((C89+H89)/(C88+H88))-1*100</f>
        <v/>
      </c>
    </row>
    <row r="90">
      <c r="B90" t="n">
        <v>2040</v>
      </c>
      <c r="C90">
        <f>WEO_Data!E22</f>
        <v/>
      </c>
      <c r="D90" t="n">
        <v>0</v>
      </c>
      <c r="E90">
        <f>($D$30 * $D$31 * D90) / (WEO_Data!D22/100)</f>
        <v/>
      </c>
      <c r="F90">
        <f>E90*0.5</f>
        <v/>
      </c>
      <c r="G90">
        <f>E90-F90</f>
        <v/>
      </c>
      <c r="H90">
        <f>G90*0.8</f>
        <v/>
      </c>
      <c r="J90">
        <f>WEO_Data!B22</f>
        <v/>
      </c>
      <c r="K90">
        <f>((C90+H90)/(C89+H89))-1*100</f>
        <v/>
      </c>
    </row>
    <row r="91">
      <c r="B91" t="n">
        <v>2041</v>
      </c>
      <c r="C91">
        <f>WEO_Data!E23</f>
        <v/>
      </c>
      <c r="D91" t="n">
        <v>0</v>
      </c>
      <c r="E91">
        <f>($D$30 * $D$31 * D91) / (WEO_Data!D23/100)</f>
        <v/>
      </c>
      <c r="F91">
        <f>E91*0.5</f>
        <v/>
      </c>
      <c r="G91">
        <f>E91-F91</f>
        <v/>
      </c>
      <c r="H91">
        <f>G91*0.8</f>
        <v/>
      </c>
      <c r="J91">
        <f>WEO_Data!B23</f>
        <v/>
      </c>
      <c r="K91">
        <f>((C91+H91)/(C90+H90))-1*100</f>
        <v/>
      </c>
    </row>
    <row r="92">
      <c r="B92" t="n">
        <v>2042</v>
      </c>
      <c r="C92">
        <f>WEO_Data!E24</f>
        <v/>
      </c>
      <c r="D92" t="n">
        <v>0</v>
      </c>
      <c r="E92">
        <f>($D$30 * $D$31 * D92) / (WEO_Data!D24/100)</f>
        <v/>
      </c>
      <c r="F92">
        <f>E92*0.5</f>
        <v/>
      </c>
      <c r="G92">
        <f>E92-F92</f>
        <v/>
      </c>
      <c r="H92">
        <f>G92*0.8</f>
        <v/>
      </c>
      <c r="J92">
        <f>WEO_Data!B24</f>
        <v/>
      </c>
      <c r="K92">
        <f>((C92+H92)/(C91+H91))-1*100</f>
        <v/>
      </c>
    </row>
    <row r="93">
      <c r="B93" t="n">
        <v>2043</v>
      </c>
      <c r="C93">
        <f>WEO_Data!E25</f>
        <v/>
      </c>
      <c r="D93" t="n">
        <v>0</v>
      </c>
      <c r="E93">
        <f>($D$30 * $D$31 * D93) / (WEO_Data!D25/100)</f>
        <v/>
      </c>
      <c r="F93">
        <f>E93*0.5</f>
        <v/>
      </c>
      <c r="G93">
        <f>E93-F93</f>
        <v/>
      </c>
      <c r="H93">
        <f>G93*0.8</f>
        <v/>
      </c>
      <c r="J93">
        <f>WEO_Data!B25</f>
        <v/>
      </c>
      <c r="K93">
        <f>((C93+H93)/(C92+H92))-1*100</f>
        <v/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GDP Deflator Inflation (%)</t>
        </is>
      </c>
      <c r="D1" t="inlineStr">
        <is>
          <t>GDP Deflator Index (2015=100)</t>
        </is>
      </c>
      <c r="E1" t="inlineStr">
        <is>
          <t>Real GDP (GEL bn)</t>
        </is>
      </c>
    </row>
    <row r="2">
      <c r="A2" t="n">
        <v>2020</v>
      </c>
      <c r="B2" t="n">
        <v>-6.8</v>
      </c>
      <c r="C2" t="n">
        <v>6.9</v>
      </c>
      <c r="D2">
        <f>D3/(1+C3/100)</f>
        <v/>
      </c>
      <c r="E2">
        <f>E3/(1+B3/100)</f>
        <v/>
      </c>
    </row>
    <row r="3">
      <c r="A3" t="n">
        <v>2021</v>
      </c>
      <c r="B3" t="n">
        <v>10.5</v>
      </c>
      <c r="C3" t="n">
        <v>8.300000000000001</v>
      </c>
      <c r="D3">
        <f>D4/(1+C4/100)</f>
        <v/>
      </c>
      <c r="E3">
        <f>E4/(1+B4/100)</f>
        <v/>
      </c>
    </row>
    <row r="4">
      <c r="A4" t="n">
        <v>2022</v>
      </c>
      <c r="B4" t="n">
        <v>10.4</v>
      </c>
      <c r="C4" t="n">
        <v>8</v>
      </c>
      <c r="D4">
        <f>D5/(1+C5/100)</f>
        <v/>
      </c>
      <c r="E4">
        <f>E5/(1+B5/100)</f>
        <v/>
      </c>
    </row>
    <row r="5">
      <c r="A5" t="n">
        <v>2023</v>
      </c>
      <c r="B5" t="n">
        <v>7.8</v>
      </c>
      <c r="C5" t="n">
        <v>2.13</v>
      </c>
      <c r="D5" t="n">
        <v>153.98</v>
      </c>
      <c r="E5" t="n">
        <v>52.53</v>
      </c>
    </row>
    <row r="6">
      <c r="A6" t="n">
        <v>2024</v>
      </c>
      <c r="B6" t="n">
        <v>7.5</v>
      </c>
      <c r="C6" t="n">
        <v>3.8</v>
      </c>
      <c r="D6">
        <f>D5*(1+C6/100)</f>
        <v/>
      </c>
      <c r="E6">
        <f>E5*(1+B6/100)</f>
        <v/>
      </c>
    </row>
    <row r="7">
      <c r="A7" t="n">
        <v>2025</v>
      </c>
      <c r="B7" t="n">
        <v>6</v>
      </c>
      <c r="C7" t="n">
        <v>4.1</v>
      </c>
      <c r="D7">
        <f>D6*(1+C7/100)</f>
        <v/>
      </c>
      <c r="E7">
        <f>E6*(1+B7/100)</f>
        <v/>
      </c>
    </row>
    <row r="8">
      <c r="A8" t="n">
        <v>2026</v>
      </c>
      <c r="B8" t="n">
        <v>5.3</v>
      </c>
      <c r="C8" t="n">
        <v>3.5</v>
      </c>
      <c r="D8">
        <f>D7*(1+C8/100)</f>
        <v/>
      </c>
      <c r="E8">
        <f>E7*(1+B8/100)</f>
        <v/>
      </c>
    </row>
    <row r="9">
      <c r="A9" t="n">
        <v>2027</v>
      </c>
      <c r="B9" t="n">
        <v>5</v>
      </c>
      <c r="C9" t="n">
        <v>3.5</v>
      </c>
      <c r="D9">
        <f>D8*(1+C9/100)</f>
        <v/>
      </c>
      <c r="E9">
        <f>E8*(1+B9/100)</f>
        <v/>
      </c>
    </row>
    <row r="10">
      <c r="A10" t="n">
        <v>2028</v>
      </c>
      <c r="B10" t="n">
        <v>5</v>
      </c>
      <c r="C10" t="n">
        <v>3.725</v>
      </c>
      <c r="D10">
        <f>D9*(1+C10/100)</f>
        <v/>
      </c>
      <c r="E10">
        <f>E9*(1+B10/100)</f>
        <v/>
      </c>
    </row>
    <row r="11">
      <c r="A11" t="n">
        <v>2029</v>
      </c>
      <c r="B11" t="n">
        <v>5</v>
      </c>
      <c r="C11" t="n">
        <v>3.725</v>
      </c>
      <c r="D11">
        <f>D10*(1+C11/100)</f>
        <v/>
      </c>
      <c r="E11">
        <f>E10*(1+B11/100)</f>
        <v/>
      </c>
    </row>
    <row r="12">
      <c r="A12" t="n">
        <v>2030</v>
      </c>
      <c r="B12" t="n">
        <v>5</v>
      </c>
      <c r="C12" t="n">
        <v>3.725</v>
      </c>
      <c r="D12">
        <f>D11*(1+C12/100)</f>
        <v/>
      </c>
      <c r="E12">
        <f>E11*(1+B12/100)</f>
        <v/>
      </c>
    </row>
    <row r="13">
      <c r="A13" t="n">
        <v>2031</v>
      </c>
      <c r="B13" t="n">
        <v>5</v>
      </c>
      <c r="C13" t="n">
        <v>3.725</v>
      </c>
      <c r="D13">
        <f>D12*(1+C13/100)</f>
        <v/>
      </c>
      <c r="E13">
        <f>E12*(1+B13/100)</f>
        <v/>
      </c>
    </row>
    <row r="14">
      <c r="A14" t="n">
        <v>2032</v>
      </c>
      <c r="B14" t="n">
        <v>5</v>
      </c>
      <c r="C14" t="n">
        <v>3.725</v>
      </c>
      <c r="D14">
        <f>D13*(1+C14/100)</f>
        <v/>
      </c>
      <c r="E14">
        <f>E13*(1+B14/100)</f>
        <v/>
      </c>
    </row>
    <row r="15">
      <c r="A15" t="n">
        <v>2033</v>
      </c>
      <c r="B15" t="n">
        <v>5</v>
      </c>
      <c r="C15" t="n">
        <v>3.725</v>
      </c>
      <c r="D15">
        <f>D14*(1+C15/100)</f>
        <v/>
      </c>
      <c r="E15">
        <f>E14*(1+B15/100)</f>
        <v/>
      </c>
    </row>
    <row r="16">
      <c r="A16" t="n">
        <v>2034</v>
      </c>
      <c r="B16" t="n">
        <v>5</v>
      </c>
      <c r="C16" t="n">
        <v>3.725</v>
      </c>
      <c r="D16">
        <f>D15*(1+C16/100)</f>
        <v/>
      </c>
      <c r="E16">
        <f>E15*(1+B16/100)</f>
        <v/>
      </c>
    </row>
    <row r="17">
      <c r="A17" t="n">
        <v>2035</v>
      </c>
      <c r="B17" t="n">
        <v>5</v>
      </c>
      <c r="C17" t="n">
        <v>3.725</v>
      </c>
      <c r="D17">
        <f>D16*(1+C17/100)</f>
        <v/>
      </c>
      <c r="E17">
        <f>E16*(1+B17/100)</f>
        <v/>
      </c>
    </row>
    <row r="18">
      <c r="A18" t="n">
        <v>2036</v>
      </c>
      <c r="B18" t="n">
        <v>5</v>
      </c>
      <c r="C18" t="n">
        <v>3.725</v>
      </c>
      <c r="D18">
        <f>D17*(1+C18/100)</f>
        <v/>
      </c>
      <c r="E18">
        <f>E17*(1+B18/100)</f>
        <v/>
      </c>
    </row>
    <row r="19">
      <c r="A19" t="n">
        <v>2037</v>
      </c>
      <c r="B19" t="n">
        <v>5</v>
      </c>
      <c r="C19" t="n">
        <v>3.725</v>
      </c>
      <c r="D19">
        <f>D18*(1+C19/100)</f>
        <v/>
      </c>
      <c r="E19">
        <f>E18*(1+B19/100)</f>
        <v/>
      </c>
    </row>
    <row r="20">
      <c r="A20" t="n">
        <v>2038</v>
      </c>
      <c r="B20" t="n">
        <v>5</v>
      </c>
      <c r="C20" t="n">
        <v>3.725</v>
      </c>
      <c r="D20">
        <f>D19*(1+C20/100)</f>
        <v/>
      </c>
      <c r="E20">
        <f>E19*(1+B20/100)</f>
        <v/>
      </c>
    </row>
    <row r="21">
      <c r="A21" t="n">
        <v>2039</v>
      </c>
      <c r="B21" t="n">
        <v>5</v>
      </c>
      <c r="C21" t="n">
        <v>3.725</v>
      </c>
      <c r="D21">
        <f>D20*(1+C21/100)</f>
        <v/>
      </c>
      <c r="E21">
        <f>E20*(1+B21/100)</f>
        <v/>
      </c>
    </row>
    <row r="22">
      <c r="A22" t="n">
        <v>2040</v>
      </c>
      <c r="B22" t="n">
        <v>5</v>
      </c>
      <c r="C22" t="n">
        <v>3.725</v>
      </c>
      <c r="D22">
        <f>D21*(1+C22/100)</f>
        <v/>
      </c>
      <c r="E22">
        <f>E21*(1+B22/100)</f>
        <v/>
      </c>
    </row>
    <row r="23">
      <c r="A23" t="n">
        <v>2041</v>
      </c>
      <c r="B23" t="n">
        <v>5</v>
      </c>
      <c r="C23" t="n">
        <v>3.725</v>
      </c>
      <c r="D23">
        <f>D22*(1+C23/100)</f>
        <v/>
      </c>
      <c r="E23">
        <f>E22*(1+B23/100)</f>
        <v/>
      </c>
    </row>
    <row r="24">
      <c r="A24" t="n">
        <v>2042</v>
      </c>
      <c r="B24" t="n">
        <v>5</v>
      </c>
      <c r="C24" t="n">
        <v>3.725</v>
      </c>
      <c r="D24">
        <f>D23*(1+C24/100)</f>
        <v/>
      </c>
      <c r="E24">
        <f>E23*(1+B24/100)</f>
        <v/>
      </c>
    </row>
    <row r="25">
      <c r="A25" t="n">
        <v>2043</v>
      </c>
      <c r="B25" t="n">
        <v>5</v>
      </c>
      <c r="C25" t="n">
        <v>3.725</v>
      </c>
      <c r="D25">
        <f>D24*(1+C25/100)</f>
        <v/>
      </c>
      <c r="E25">
        <f>E24*(1+B25/100)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Output</t>
        </is>
      </c>
      <c r="C1" t="inlineStr">
        <is>
          <t>Imports</t>
        </is>
      </c>
      <c r="D1" t="inlineStr">
        <is>
          <t>Margins</t>
        </is>
      </c>
      <c r="E1" t="inlineStr">
        <is>
          <t>Taxes</t>
        </is>
      </c>
      <c r="F1" t="inlineStr">
        <is>
          <t>Total Supply</t>
        </is>
      </c>
    </row>
    <row r="2">
      <c r="A2" t="inlineStr">
        <is>
          <t>Goods</t>
        </is>
      </c>
      <c r="B2" t="n">
        <v>20000</v>
      </c>
      <c r="C2" t="n">
        <v>25000</v>
      </c>
      <c r="D2" t="n">
        <v>1000</v>
      </c>
      <c r="E2" t="n">
        <v>500</v>
      </c>
      <c r="F2">
        <f>SUM(B2:E2)</f>
        <v/>
      </c>
    </row>
    <row r="3">
      <c r="A3" t="inlineStr">
        <is>
          <t>Services</t>
        </is>
      </c>
      <c r="B3" t="n">
        <v>30000</v>
      </c>
      <c r="C3" t="n">
        <v>5000</v>
      </c>
      <c r="D3" t="n">
        <v>500</v>
      </c>
      <c r="E3" t="n">
        <v>200</v>
      </c>
      <c r="F3">
        <f>SUM(B3:E3)</f>
        <v/>
      </c>
    </row>
    <row r="4">
      <c r="A4" t="inlineStr">
        <is>
          <t>Total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Intermediate</t>
        </is>
      </c>
      <c r="C1" t="inlineStr">
        <is>
          <t>Final Cons</t>
        </is>
      </c>
      <c r="D1" t="inlineStr">
        <is>
          <t>Exports</t>
        </is>
      </c>
      <c r="E1" t="inlineStr">
        <is>
          <t>Investment</t>
        </is>
      </c>
      <c r="F1" t="inlineStr">
        <is>
          <t>Total Use</t>
        </is>
      </c>
    </row>
    <row r="2">
      <c r="A2" t="inlineStr">
        <is>
          <t>Goods</t>
        </is>
      </c>
      <c r="B2" t="n">
        <v>10000</v>
      </c>
      <c r="C2" t="n">
        <v>15000</v>
      </c>
      <c r="D2" t="n">
        <v>5000</v>
      </c>
      <c r="E2" t="n">
        <v>6500</v>
      </c>
      <c r="F2">
        <f>SUM(B2:E2)</f>
        <v/>
      </c>
    </row>
    <row r="3">
      <c r="A3" t="inlineStr">
        <is>
          <t>Services</t>
        </is>
      </c>
      <c r="B3" t="n">
        <v>15000</v>
      </c>
      <c r="C3" t="n">
        <v>10000</v>
      </c>
      <c r="D3" t="n">
        <v>8000</v>
      </c>
      <c r="E3" t="n">
        <v>2700</v>
      </c>
      <c r="F3">
        <f>SUM(B3:E3)</f>
        <v/>
      </c>
    </row>
    <row r="4">
      <c r="A4" t="inlineStr">
        <is>
          <t>Total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Supply</t>
        </is>
      </c>
      <c r="C1" t="inlineStr">
        <is>
          <t>Imports</t>
        </is>
      </c>
      <c r="D1" t="inlineStr">
        <is>
          <t>Import Share</t>
        </is>
      </c>
    </row>
    <row r="2">
      <c r="A2" t="inlineStr">
        <is>
          <t>Goods</t>
        </is>
      </c>
      <c r="B2">
        <f>SUPPLY!F2</f>
        <v/>
      </c>
      <c r="C2">
        <f>SUPPLY!C2</f>
        <v/>
      </c>
      <c r="D2">
        <f>C2/B2</f>
        <v/>
      </c>
    </row>
    <row r="3">
      <c r="A3" t="inlineStr">
        <is>
          <t>Services</t>
        </is>
      </c>
      <c r="B3">
        <f>SUPPLY!F3</f>
        <v/>
      </c>
      <c r="C3">
        <f>SUPPLY!C3</f>
        <v/>
      </c>
      <c r="D3">
        <f>C3/B3</f>
        <v/>
      </c>
    </row>
    <row r="46">
      <c r="A46" t="inlineStr">
        <is>
          <t>Estimated Import Content Share</t>
        </is>
      </c>
      <c r="C46">
        <f>SUM(C2:C3)/SUM(B2:B3)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2026-01-29T07:16:42Z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