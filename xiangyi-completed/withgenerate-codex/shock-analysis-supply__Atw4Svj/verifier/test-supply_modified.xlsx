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SUMXMY2(K6:K27,L6:L27)+100*SUMSQ(M8:M27)</f>
        <v/>
      </c>
    </row>
    <row r="6">
      <c r="C6" t="n">
        <v>2002</v>
      </c>
      <c r="D6" s="19">
        <f>INDEX(PWT!$B$2:$B$35,MATCH(C6,PWT!$A$2:$A$35,0))</f>
        <v/>
      </c>
      <c r="E6">
        <f>INDEX(WEO_Data!$C$8:$C$51,MATCH(C6,WEO_Data!$B$8:$B$51,0))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</row>
    <row r="7">
      <c r="C7" t="n">
        <v>2003</v>
      </c>
      <c r="D7" s="19">
        <f>INDEX(PWT!$B$2:$B$35,MATCH(C7,PWT!$A$2:$A$35,0))</f>
        <v/>
      </c>
      <c r="E7">
        <f>INDEX(WEO_Data!$C$8:$C$51,MATCH(C7,WEO_Data!$B$8:$B$51,0))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N7" s="5">
        <f>K7-L7</f>
        <v/>
      </c>
    </row>
    <row r="8">
      <c r="C8" t="n">
        <v>2004</v>
      </c>
      <c r="D8" s="19">
        <f>INDEX(PWT!$B$2:$B$35,MATCH(C8,PWT!$A$2:$A$35,0))</f>
        <v/>
      </c>
      <c r="E8">
        <f>INDEX(WEO_Data!$C$8:$C$51,MATCH(C8,WEO_Data!$B$8:$B$51,0))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L8-2*L7+L6</f>
        <v/>
      </c>
      <c r="N8" s="5">
        <f>K8-L8</f>
        <v/>
      </c>
    </row>
    <row r="9">
      <c r="C9" t="n">
        <v>2005</v>
      </c>
      <c r="D9" s="19">
        <f>INDEX(PWT!$B$2:$B$35,MATCH(C9,PWT!$A$2:$A$35,0))</f>
        <v/>
      </c>
      <c r="E9">
        <f>INDEX(WEO_Data!$C$8:$C$51,MATCH(C9,WEO_Data!$B$8:$B$51,0))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L9-2*L8+L7</f>
        <v/>
      </c>
      <c r="N9" s="5">
        <f>K9-L9</f>
        <v/>
      </c>
    </row>
    <row r="10">
      <c r="C10" t="n">
        <v>2006</v>
      </c>
      <c r="D10" s="19">
        <f>INDEX(PWT!$B$2:$B$35,MATCH(C10,PWT!$A$2:$A$35,0))</f>
        <v/>
      </c>
      <c r="E10">
        <f>INDEX(WEO_Data!$C$8:$C$51,MATCH(C10,WEO_Data!$B$8:$B$51,0))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L10-2*L9+L8</f>
        <v/>
      </c>
      <c r="N10" s="5">
        <f>K10-L10</f>
        <v/>
      </c>
    </row>
    <row r="11">
      <c r="C11" t="n">
        <v>2007</v>
      </c>
      <c r="D11" s="19">
        <f>INDEX(PWT!$B$2:$B$35,MATCH(C11,PWT!$A$2:$A$35,0))</f>
        <v/>
      </c>
      <c r="E11">
        <f>INDEX(WEO_Data!$C$8:$C$51,MATCH(C11,WEO_Data!$B$8:$B$51,0))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L11-2*L10+L9</f>
        <v/>
      </c>
      <c r="N11" s="5">
        <f>K11-L11</f>
        <v/>
      </c>
    </row>
    <row r="12">
      <c r="C12" t="n">
        <v>2008</v>
      </c>
      <c r="D12" s="19">
        <f>INDEX(PWT!$B$2:$B$35,MATCH(C12,PWT!$A$2:$A$35,0))</f>
        <v/>
      </c>
      <c r="E12">
        <f>INDEX(WEO_Data!$C$8:$C$51,MATCH(C12,WEO_Data!$B$8:$B$51,0))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L12-2*L11+L10</f>
        <v/>
      </c>
      <c r="N12" s="5">
        <f>K12-L12</f>
        <v/>
      </c>
    </row>
    <row r="13">
      <c r="C13" t="n">
        <v>2009</v>
      </c>
      <c r="D13" s="19">
        <f>INDEX(PWT!$B$2:$B$35,MATCH(C13,PWT!$A$2:$A$35,0))</f>
        <v/>
      </c>
      <c r="E13">
        <f>INDEX(WEO_Data!$C$8:$C$51,MATCH(C13,WEO_Data!$B$8:$B$51,0))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L13-2*L12+L11</f>
        <v/>
      </c>
      <c r="N13" s="5">
        <f>K13-L13</f>
        <v/>
      </c>
    </row>
    <row r="14">
      <c r="C14" t="n">
        <v>2010</v>
      </c>
      <c r="D14" s="19">
        <f>INDEX(PWT!$B$2:$B$35,MATCH(C14,PWT!$A$2:$A$35,0))</f>
        <v/>
      </c>
      <c r="E14">
        <f>INDEX(WEO_Data!$C$8:$C$51,MATCH(C14,WEO_Data!$B$8:$B$51,0))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L14-2*L13+L12</f>
        <v/>
      </c>
      <c r="N14" s="5">
        <f>K14-L14</f>
        <v/>
      </c>
    </row>
    <row r="15">
      <c r="C15" t="n">
        <v>2011</v>
      </c>
      <c r="D15" s="19">
        <f>INDEX(PWT!$B$2:$B$35,MATCH(C15,PWT!$A$2:$A$35,0))</f>
        <v/>
      </c>
      <c r="E15">
        <f>INDEX(WEO_Data!$C$8:$C$51,MATCH(C15,WEO_Data!$B$8:$B$51,0))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L15-2*L14+L13</f>
        <v/>
      </c>
      <c r="N15" s="5">
        <f>K15-L15</f>
        <v/>
      </c>
    </row>
    <row r="16">
      <c r="C16" t="n">
        <v>2012</v>
      </c>
      <c r="D16" s="19">
        <f>INDEX(PWT!$B$2:$B$35,MATCH(C16,PWT!$A$2:$A$35,0))</f>
        <v/>
      </c>
      <c r="E16">
        <f>INDEX(WEO_Data!$C$8:$C$51,MATCH(C16,WEO_Data!$B$8:$B$51,0))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L16-2*L15+L14</f>
        <v/>
      </c>
      <c r="N16" s="5">
        <f>K16-L16</f>
        <v/>
      </c>
    </row>
    <row r="17">
      <c r="C17" t="n">
        <v>2013</v>
      </c>
      <c r="D17" s="19">
        <f>INDEX(PWT!$B$2:$B$35,MATCH(C17,PWT!$A$2:$A$35,0))</f>
        <v/>
      </c>
      <c r="E17">
        <f>INDEX(WEO_Data!$C$8:$C$51,MATCH(C17,WEO_Data!$B$8:$B$51,0))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L17-2*L16+L15</f>
        <v/>
      </c>
      <c r="N17" s="5">
        <f>K17-L17</f>
        <v/>
      </c>
    </row>
    <row r="18">
      <c r="C18" t="n">
        <v>2014</v>
      </c>
      <c r="D18" s="19">
        <f>INDEX(PWT!$B$2:$B$35,MATCH(C18,PWT!$A$2:$A$35,0))</f>
        <v/>
      </c>
      <c r="E18">
        <f>INDEX(WEO_Data!$C$8:$C$51,MATCH(C18,WEO_Data!$B$8:$B$51,0))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L18-2*L17+L16</f>
        <v/>
      </c>
      <c r="N18" s="5">
        <f>K18-L18</f>
        <v/>
      </c>
    </row>
    <row r="19">
      <c r="C19" t="n">
        <v>2015</v>
      </c>
      <c r="D19" s="19">
        <f>INDEX(PWT!$B$2:$B$35,MATCH(C19,PWT!$A$2:$A$35,0))</f>
        <v/>
      </c>
      <c r="E19">
        <f>INDEX(WEO_Data!$C$8:$C$51,MATCH(C19,WEO_Data!$B$8:$B$51,0))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L19-2*L18+L17</f>
        <v/>
      </c>
      <c r="N19" s="5">
        <f>K19-L19</f>
        <v/>
      </c>
    </row>
    <row r="20">
      <c r="C20" t="n">
        <v>2016</v>
      </c>
      <c r="D20" s="19">
        <f>INDEX(PWT!$B$2:$B$35,MATCH(C20,PWT!$A$2:$A$35,0))</f>
        <v/>
      </c>
      <c r="E20">
        <f>INDEX(WEO_Data!$C$8:$C$51,MATCH(C20,WEO_Data!$B$8:$B$51,0))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L20-2*L19+L18</f>
        <v/>
      </c>
      <c r="N20" s="5">
        <f>K20-L20</f>
        <v/>
      </c>
    </row>
    <row r="21">
      <c r="C21" t="n">
        <v>2017</v>
      </c>
      <c r="D21" s="19">
        <f>INDEX(PWT!$B$2:$B$35,MATCH(C21,PWT!$A$2:$A$35,0))</f>
        <v/>
      </c>
      <c r="E21">
        <f>INDEX(WEO_Data!$C$8:$C$51,MATCH(C21,WEO_Data!$B$8:$B$51,0))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L21-2*L20+L19</f>
        <v/>
      </c>
      <c r="N21" s="5">
        <f>K21-L21</f>
        <v/>
      </c>
    </row>
    <row r="22">
      <c r="C22" t="n">
        <v>2018</v>
      </c>
      <c r="D22" s="19">
        <f>INDEX(PWT!$B$2:$B$35,MATCH(C22,PWT!$A$2:$A$35,0))</f>
        <v/>
      </c>
      <c r="E22">
        <f>INDEX(WEO_Data!$C$8:$C$51,MATCH(C22,WEO_Data!$B$8:$B$51,0))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L22-2*L21+L20</f>
        <v/>
      </c>
      <c r="N22" s="5">
        <f>K22-L22</f>
        <v/>
      </c>
    </row>
    <row r="23">
      <c r="C23" t="n">
        <v>2019</v>
      </c>
      <c r="D23" s="19">
        <f>INDEX(PWT!$B$2:$B$35,MATCH(C23,PWT!$A$2:$A$35,0))</f>
        <v/>
      </c>
      <c r="E23">
        <f>INDEX(WEO_Data!$C$8:$C$51,MATCH(C23,WEO_Data!$B$8:$B$51,0))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L23-2*L22+L21</f>
        <v/>
      </c>
      <c r="N23" s="5">
        <f>K23-L23</f>
        <v/>
      </c>
    </row>
    <row r="24">
      <c r="C24" t="n">
        <v>2020</v>
      </c>
      <c r="D24" s="19">
        <f>INDEX(PWT!$B$2:$B$35,MATCH(C24,PWT!$A$2:$A$35,0))</f>
        <v/>
      </c>
      <c r="E24">
        <f>INDEX(WEO_Data!$C$8:$C$51,MATCH(C24,WEO_Data!$B$8:$B$51,0))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L24-2*L23+L22</f>
        <v/>
      </c>
      <c r="N24" s="5">
        <f>K24-L24</f>
        <v/>
      </c>
    </row>
    <row r="25">
      <c r="C25" t="n">
        <v>2021</v>
      </c>
      <c r="D25" s="19">
        <f>INDEX(PWT!$B$2:$B$35,MATCH(C25,PWT!$A$2:$A$35,0))</f>
        <v/>
      </c>
      <c r="E25">
        <f>INDEX(WEO_Data!$C$8:$C$51,MATCH(C25,WEO_Data!$B$8:$B$51,0))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L25-2*L24+L23</f>
        <v/>
      </c>
      <c r="N25" s="5">
        <f>K25-L25</f>
        <v/>
      </c>
    </row>
    <row r="26">
      <c r="C26" t="n">
        <v>2022</v>
      </c>
      <c r="D26" s="19">
        <f>INDEX(PWT!$B$2:$B$35,MATCH(C26,PWT!$A$2:$A$35,0))</f>
        <v/>
      </c>
      <c r="E26">
        <f>INDEX(WEO_Data!$C$8:$C$51,MATCH(C26,WEO_Data!$B$8:$B$51,0))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L26-2*L25+L24</f>
        <v/>
      </c>
      <c r="N26" s="5">
        <f>K26-L26</f>
        <v/>
      </c>
    </row>
    <row r="27">
      <c r="C27" t="n">
        <v>2023</v>
      </c>
      <c r="D27" s="19">
        <f>INDEX(PWT!$B$2:$B$35,MATCH(C27,PWT!$A$2:$A$35,0))</f>
        <v/>
      </c>
      <c r="E27">
        <f>INDEX(WEO_Data!$C$8:$C$51,MATCH(C27,WEO_Data!$B$8:$B$51,0))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>
        <f>L27-2*L26+L25</f>
        <v/>
      </c>
      <c r="N27" s="8">
        <f>K27-L27</f>
        <v/>
      </c>
    </row>
    <row r="33">
      <c r="C33" t="inlineStr">
        <is>
          <t>K/Y avg (last 9 yrs)</t>
        </is>
      </c>
      <c r="D33">
        <f>AVERAGE(D49:D57)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D6</f>
        <v/>
      </c>
      <c r="F36">
        <f>INDEX(WEO_Data!$C$8:$C$51,MATCH(C36,WEO_Data!$B$8:$B$51,0))</f>
        <v/>
      </c>
      <c r="G36">
        <f>L6</f>
        <v/>
      </c>
      <c r="H36">
        <f>EXP(G36)*(E36^$B$2)</f>
        <v/>
      </c>
      <c r="I36">
        <f>IFERROR(VLOOKUP(C36,Investment!$B$2:$C$9,2,FALSE),0)</f>
        <v/>
      </c>
      <c r="J36">
        <f>0</f>
        <v/>
      </c>
      <c r="K36" s="19">
        <f>E36+J36</f>
        <v/>
      </c>
      <c r="L36">
        <f>EXP(G36)*(K36^$B$2)</f>
        <v/>
      </c>
      <c r="M36">
        <f>L36-H36</f>
        <v/>
      </c>
      <c r="N36">
        <f>F36+M36</f>
        <v/>
      </c>
    </row>
    <row r="37">
      <c r="C37" t="n">
        <v>2003</v>
      </c>
      <c r="D37">
        <f>E37/F37</f>
        <v/>
      </c>
      <c r="E37" s="19">
        <f>D7</f>
        <v/>
      </c>
      <c r="F37">
        <f>INDEX(WEO_Data!$C$8:$C$51,MATCH(C37,WEO_Data!$B$8:$B$51,0))</f>
        <v/>
      </c>
      <c r="G37">
        <f>L7</f>
        <v/>
      </c>
      <c r="H37">
        <f>EXP(G37)*(E37^$B$2)</f>
        <v/>
      </c>
      <c r="I37">
        <f>IFERROR(VLOOKUP(C37,Investment!$B$2:$C$9,2,FALSE),0)</f>
        <v/>
      </c>
      <c r="J37">
        <f>J36*(1-$B$3)+I37</f>
        <v/>
      </c>
      <c r="K37" s="19">
        <f>E37+J37</f>
        <v/>
      </c>
      <c r="L37">
        <f>EXP(G37)*(K37^$B$2)</f>
        <v/>
      </c>
      <c r="M37">
        <f>L37-H37</f>
        <v/>
      </c>
      <c r="N37">
        <f>F37+M37</f>
        <v/>
      </c>
    </row>
    <row r="38">
      <c r="C38" t="n">
        <v>2004</v>
      </c>
      <c r="D38">
        <f>E38/F38</f>
        <v/>
      </c>
      <c r="E38" s="19">
        <f>D8</f>
        <v/>
      </c>
      <c r="F38">
        <f>INDEX(WEO_Data!$C$8:$C$51,MATCH(C38,WEO_Data!$B$8:$B$51,0))</f>
        <v/>
      </c>
      <c r="G38">
        <f>L8</f>
        <v/>
      </c>
      <c r="H38">
        <f>EXP(G38)*(E38^$B$2)</f>
        <v/>
      </c>
      <c r="I38">
        <f>IFERROR(VLOOKUP(C38,Investment!$B$2:$C$9,2,FALSE),0)</f>
        <v/>
      </c>
      <c r="J38">
        <f>J37*(1-$B$3)+I38</f>
        <v/>
      </c>
      <c r="K38" s="19">
        <f>E38+J38</f>
        <v/>
      </c>
      <c r="L38">
        <f>EXP(G38)*(K38^$B$2)</f>
        <v/>
      </c>
      <c r="M38">
        <f>L38-H38</f>
        <v/>
      </c>
      <c r="N38">
        <f>F38+M38</f>
        <v/>
      </c>
    </row>
    <row r="39">
      <c r="C39" t="n">
        <v>2005</v>
      </c>
      <c r="D39">
        <f>E39/F39</f>
        <v/>
      </c>
      <c r="E39" s="19">
        <f>D9</f>
        <v/>
      </c>
      <c r="F39">
        <f>INDEX(WEO_Data!$C$8:$C$51,MATCH(C39,WEO_Data!$B$8:$B$51,0))</f>
        <v/>
      </c>
      <c r="G39">
        <f>L9</f>
        <v/>
      </c>
      <c r="H39">
        <f>EXP(G39)*(E39^$B$2)</f>
        <v/>
      </c>
      <c r="I39">
        <f>IFERROR(VLOOKUP(C39,Investment!$B$2:$C$9,2,FALSE),0)</f>
        <v/>
      </c>
      <c r="J39">
        <f>J38*(1-$B$3)+I39</f>
        <v/>
      </c>
      <c r="K39" s="19">
        <f>E39+J39</f>
        <v/>
      </c>
      <c r="L39">
        <f>EXP(G39)*(K39^$B$2)</f>
        <v/>
      </c>
      <c r="M39">
        <f>L39-H39</f>
        <v/>
      </c>
      <c r="N39">
        <f>F39+M39</f>
        <v/>
      </c>
    </row>
    <row r="40">
      <c r="C40" t="n">
        <v>2006</v>
      </c>
      <c r="D40">
        <f>E40/F40</f>
        <v/>
      </c>
      <c r="E40" s="19">
        <f>D10</f>
        <v/>
      </c>
      <c r="F40">
        <f>INDEX(WEO_Data!$C$8:$C$51,MATCH(C40,WEO_Data!$B$8:$B$51,0))</f>
        <v/>
      </c>
      <c r="G40">
        <f>L10</f>
        <v/>
      </c>
      <c r="H40">
        <f>EXP(G40)*(E40^$B$2)</f>
        <v/>
      </c>
      <c r="I40">
        <f>IFERROR(VLOOKUP(C40,Investment!$B$2:$C$9,2,FALSE),0)</f>
        <v/>
      </c>
      <c r="J40">
        <f>J39*(1-$B$3)+I40</f>
        <v/>
      </c>
      <c r="K40" s="19">
        <f>E40+J40</f>
        <v/>
      </c>
      <c r="L40">
        <f>EXP(G40)*(K40^$B$2)</f>
        <v/>
      </c>
      <c r="M40">
        <f>L40-H40</f>
        <v/>
      </c>
      <c r="N40">
        <f>F40+M40</f>
        <v/>
      </c>
    </row>
    <row r="41">
      <c r="C41" t="n">
        <v>2007</v>
      </c>
      <c r="D41">
        <f>E41/F41</f>
        <v/>
      </c>
      <c r="E41" s="19">
        <f>D11</f>
        <v/>
      </c>
      <c r="F41">
        <f>INDEX(WEO_Data!$C$8:$C$51,MATCH(C41,WEO_Data!$B$8:$B$51,0))</f>
        <v/>
      </c>
      <c r="G41">
        <f>L11</f>
        <v/>
      </c>
      <c r="H41">
        <f>EXP(G41)*(E41^$B$2)</f>
        <v/>
      </c>
      <c r="I41">
        <f>IFERROR(VLOOKUP(C41,Investment!$B$2:$C$9,2,FALSE),0)</f>
        <v/>
      </c>
      <c r="J41">
        <f>J40*(1-$B$3)+I41</f>
        <v/>
      </c>
      <c r="K41" s="19">
        <f>E41+J41</f>
        <v/>
      </c>
      <c r="L41">
        <f>EXP(G41)*(K41^$B$2)</f>
        <v/>
      </c>
      <c r="M41">
        <f>L41-H41</f>
        <v/>
      </c>
      <c r="N41">
        <f>F41+M41</f>
        <v/>
      </c>
    </row>
    <row r="42">
      <c r="C42" t="n">
        <v>2008</v>
      </c>
      <c r="D42">
        <f>E42/F42</f>
        <v/>
      </c>
      <c r="E42" s="19">
        <f>D12</f>
        <v/>
      </c>
      <c r="F42">
        <f>INDEX(WEO_Data!$C$8:$C$51,MATCH(C42,WEO_Data!$B$8:$B$51,0))</f>
        <v/>
      </c>
      <c r="G42">
        <f>L12</f>
        <v/>
      </c>
      <c r="H42">
        <f>EXP(G42)*(E42^$B$2)</f>
        <v/>
      </c>
      <c r="I42">
        <f>IFERROR(VLOOKUP(C42,Investment!$B$2:$C$9,2,FALSE),0)</f>
        <v/>
      </c>
      <c r="J42">
        <f>J41*(1-$B$3)+I42</f>
        <v/>
      </c>
      <c r="K42" s="19">
        <f>E42+J42</f>
        <v/>
      </c>
      <c r="L42">
        <f>EXP(G42)*(K42^$B$2)</f>
        <v/>
      </c>
      <c r="M42">
        <f>L42-H42</f>
        <v/>
      </c>
      <c r="N42">
        <f>F42+M42</f>
        <v/>
      </c>
    </row>
    <row r="43">
      <c r="C43" t="n">
        <v>2009</v>
      </c>
      <c r="D43">
        <f>E43/F43</f>
        <v/>
      </c>
      <c r="E43" s="19">
        <f>D13</f>
        <v/>
      </c>
      <c r="F43">
        <f>INDEX(WEO_Data!$C$8:$C$51,MATCH(C43,WEO_Data!$B$8:$B$51,0))</f>
        <v/>
      </c>
      <c r="G43">
        <f>L13</f>
        <v/>
      </c>
      <c r="H43">
        <f>EXP(G43)*(E43^$B$2)</f>
        <v/>
      </c>
      <c r="I43">
        <f>IFERROR(VLOOKUP(C43,Investment!$B$2:$C$9,2,FALSE),0)</f>
        <v/>
      </c>
      <c r="J43">
        <f>J42*(1-$B$3)+I43</f>
        <v/>
      </c>
      <c r="K43" s="19">
        <f>E43+J43</f>
        <v/>
      </c>
      <c r="L43">
        <f>EXP(G43)*(K43^$B$2)</f>
        <v/>
      </c>
      <c r="M43">
        <f>L43-H43</f>
        <v/>
      </c>
      <c r="N43">
        <f>F43+M43</f>
        <v/>
      </c>
    </row>
    <row r="44">
      <c r="C44" t="n">
        <v>2010</v>
      </c>
      <c r="D44">
        <f>E44/F44</f>
        <v/>
      </c>
      <c r="E44" s="19">
        <f>D14</f>
        <v/>
      </c>
      <c r="F44">
        <f>INDEX(WEO_Data!$C$8:$C$51,MATCH(C44,WEO_Data!$B$8:$B$51,0))</f>
        <v/>
      </c>
      <c r="G44">
        <f>L14</f>
        <v/>
      </c>
      <c r="H44">
        <f>EXP(G44)*(E44^$B$2)</f>
        <v/>
      </c>
      <c r="I44">
        <f>IFERROR(VLOOKUP(C44,Investment!$B$2:$C$9,2,FALSE),0)</f>
        <v/>
      </c>
      <c r="J44">
        <f>J43*(1-$B$3)+I44</f>
        <v/>
      </c>
      <c r="K44" s="19">
        <f>E44+J44</f>
        <v/>
      </c>
      <c r="L44">
        <f>EXP(G44)*(K44^$B$2)</f>
        <v/>
      </c>
      <c r="M44">
        <f>L44-H44</f>
        <v/>
      </c>
      <c r="N44">
        <f>F44+M44</f>
        <v/>
      </c>
    </row>
    <row r="45">
      <c r="C45" t="n">
        <v>2011</v>
      </c>
      <c r="D45">
        <f>E45/F45</f>
        <v/>
      </c>
      <c r="E45" s="19">
        <f>D15</f>
        <v/>
      </c>
      <c r="F45">
        <f>INDEX(WEO_Data!$C$8:$C$51,MATCH(C45,WEO_Data!$B$8:$B$51,0))</f>
        <v/>
      </c>
      <c r="G45">
        <f>L15</f>
        <v/>
      </c>
      <c r="H45">
        <f>EXP(G45)*(E45^$B$2)</f>
        <v/>
      </c>
      <c r="I45">
        <f>IFERROR(VLOOKUP(C45,Investment!$B$2:$C$9,2,FALSE),0)</f>
        <v/>
      </c>
      <c r="J45">
        <f>J44*(1-$B$3)+I45</f>
        <v/>
      </c>
      <c r="K45" s="19">
        <f>E45+J45</f>
        <v/>
      </c>
      <c r="L45">
        <f>EXP(G45)*(K45^$B$2)</f>
        <v/>
      </c>
      <c r="M45">
        <f>L45-H45</f>
        <v/>
      </c>
      <c r="N45">
        <f>F45+M45</f>
        <v/>
      </c>
    </row>
    <row r="46">
      <c r="C46" t="n">
        <v>2012</v>
      </c>
      <c r="D46">
        <f>E46/F46</f>
        <v/>
      </c>
      <c r="E46" s="19">
        <f>D16</f>
        <v/>
      </c>
      <c r="F46">
        <f>INDEX(WEO_Data!$C$8:$C$51,MATCH(C46,WEO_Data!$B$8:$B$51,0))</f>
        <v/>
      </c>
      <c r="G46">
        <f>L16</f>
        <v/>
      </c>
      <c r="H46">
        <f>EXP(G46)*(E46^$B$2)</f>
        <v/>
      </c>
      <c r="I46">
        <f>IFERROR(VLOOKUP(C46,Investment!$B$2:$C$9,2,FALSE),0)</f>
        <v/>
      </c>
      <c r="J46">
        <f>J45*(1-$B$3)+I46</f>
        <v/>
      </c>
      <c r="K46" s="19">
        <f>E46+J46</f>
        <v/>
      </c>
      <c r="L46">
        <f>EXP(G46)*(K46^$B$2)</f>
        <v/>
      </c>
      <c r="M46">
        <f>L46-H46</f>
        <v/>
      </c>
      <c r="N46">
        <f>F46+M46</f>
        <v/>
      </c>
    </row>
    <row r="47">
      <c r="C47" t="n">
        <v>2013</v>
      </c>
      <c r="D47">
        <f>E47/F47</f>
        <v/>
      </c>
      <c r="E47" s="19">
        <f>D17</f>
        <v/>
      </c>
      <c r="F47">
        <f>INDEX(WEO_Data!$C$8:$C$51,MATCH(C47,WEO_Data!$B$8:$B$51,0))</f>
        <v/>
      </c>
      <c r="G47">
        <f>L17</f>
        <v/>
      </c>
      <c r="H47">
        <f>EXP(G47)*(E47^$B$2)</f>
        <v/>
      </c>
      <c r="I47">
        <f>IFERROR(VLOOKUP(C47,Investment!$B$2:$C$9,2,FALSE),0)</f>
        <v/>
      </c>
      <c r="J47">
        <f>J46*(1-$B$3)+I47</f>
        <v/>
      </c>
      <c r="K47" s="19">
        <f>E47+J47</f>
        <v/>
      </c>
      <c r="L47">
        <f>EXP(G47)*(K47^$B$2)</f>
        <v/>
      </c>
      <c r="M47">
        <f>L47-H47</f>
        <v/>
      </c>
      <c r="N47">
        <f>F47+M47</f>
        <v/>
      </c>
    </row>
    <row r="48">
      <c r="C48" t="n">
        <v>2014</v>
      </c>
      <c r="D48">
        <f>E48/F48</f>
        <v/>
      </c>
      <c r="E48" s="19">
        <f>D18</f>
        <v/>
      </c>
      <c r="F48">
        <f>INDEX(WEO_Data!$C$8:$C$51,MATCH(C48,WEO_Data!$B$8:$B$51,0))</f>
        <v/>
      </c>
      <c r="G48">
        <f>L18</f>
        <v/>
      </c>
      <c r="H48">
        <f>EXP(G48)*(E48^$B$2)</f>
        <v/>
      </c>
      <c r="I48">
        <f>IFERROR(VLOOKUP(C48,Investment!$B$2:$C$9,2,FALSE),0)</f>
        <v/>
      </c>
      <c r="J48">
        <f>J47*(1-$B$3)+I48</f>
        <v/>
      </c>
      <c r="K48" s="19">
        <f>E48+J48</f>
        <v/>
      </c>
      <c r="L48">
        <f>EXP(G48)*(K48^$B$2)</f>
        <v/>
      </c>
      <c r="M48">
        <f>L48-H48</f>
        <v/>
      </c>
      <c r="N48">
        <f>F48+M48</f>
        <v/>
      </c>
    </row>
    <row r="49">
      <c r="C49" t="n">
        <v>2015</v>
      </c>
      <c r="D49">
        <f>E49/F49</f>
        <v/>
      </c>
      <c r="E49" s="19">
        <f>D19</f>
        <v/>
      </c>
      <c r="F49">
        <f>INDEX(WEO_Data!$C$8:$C$51,MATCH(C49,WEO_Data!$B$8:$B$51,0))</f>
        <v/>
      </c>
      <c r="G49">
        <f>L19</f>
        <v/>
      </c>
      <c r="H49">
        <f>EXP(G49)*(E49^$B$2)</f>
        <v/>
      </c>
      <c r="I49">
        <f>IFERROR(VLOOKUP(C49,Investment!$B$2:$C$9,2,FALSE),0)</f>
        <v/>
      </c>
      <c r="J49">
        <f>J48*(1-$B$3)+I49</f>
        <v/>
      </c>
      <c r="K49" s="19">
        <f>E49+J49</f>
        <v/>
      </c>
      <c r="L49">
        <f>EXP(G49)*(K49^$B$2)</f>
        <v/>
      </c>
      <c r="M49">
        <f>L49-H49</f>
        <v/>
      </c>
      <c r="N49">
        <f>F49+M49</f>
        <v/>
      </c>
    </row>
    <row r="50">
      <c r="C50" t="n">
        <v>2016</v>
      </c>
      <c r="D50">
        <f>E50/F50</f>
        <v/>
      </c>
      <c r="E50" s="19">
        <f>D20</f>
        <v/>
      </c>
      <c r="F50">
        <f>INDEX(WEO_Data!$C$8:$C$51,MATCH(C50,WEO_Data!$B$8:$B$51,0))</f>
        <v/>
      </c>
      <c r="G50">
        <f>L20</f>
        <v/>
      </c>
      <c r="H50">
        <f>EXP(G50)*(E50^$B$2)</f>
        <v/>
      </c>
      <c r="I50">
        <f>IFERROR(VLOOKUP(C50,Investment!$B$2:$C$9,2,FALSE),0)</f>
        <v/>
      </c>
      <c r="J50">
        <f>J49*(1-$B$3)+I50</f>
        <v/>
      </c>
      <c r="K50" s="19">
        <f>E50+J50</f>
        <v/>
      </c>
      <c r="L50">
        <f>EXP(G50)*(K50^$B$2)</f>
        <v/>
      </c>
      <c r="M50">
        <f>L50-H50</f>
        <v/>
      </c>
      <c r="N50">
        <f>F50+M50</f>
        <v/>
      </c>
    </row>
    <row r="51">
      <c r="C51" t="n">
        <v>2017</v>
      </c>
      <c r="D51">
        <f>E51/F51</f>
        <v/>
      </c>
      <c r="E51" s="19">
        <f>D21</f>
        <v/>
      </c>
      <c r="F51">
        <f>INDEX(WEO_Data!$C$8:$C$51,MATCH(C51,WEO_Data!$B$8:$B$51,0))</f>
        <v/>
      </c>
      <c r="G51">
        <f>L21</f>
        <v/>
      </c>
      <c r="H51">
        <f>EXP(G51)*(E51^$B$2)</f>
        <v/>
      </c>
      <c r="I51">
        <f>IFERROR(VLOOKUP(C51,Investment!$B$2:$C$9,2,FALSE),0)</f>
        <v/>
      </c>
      <c r="J51">
        <f>J50*(1-$B$3)+I51</f>
        <v/>
      </c>
      <c r="K51" s="19">
        <f>E51+J51</f>
        <v/>
      </c>
      <c r="L51">
        <f>EXP(G51)*(K51^$B$2)</f>
        <v/>
      </c>
      <c r="M51">
        <f>L51-H51</f>
        <v/>
      </c>
      <c r="N51">
        <f>F51+M51</f>
        <v/>
      </c>
    </row>
    <row r="52">
      <c r="C52" t="n">
        <v>2018</v>
      </c>
      <c r="D52">
        <f>E52/F52</f>
        <v/>
      </c>
      <c r="E52" s="19">
        <f>D22</f>
        <v/>
      </c>
      <c r="F52">
        <f>INDEX(WEO_Data!$C$8:$C$51,MATCH(C52,WEO_Data!$B$8:$B$51,0))</f>
        <v/>
      </c>
      <c r="G52">
        <f>L22</f>
        <v/>
      </c>
      <c r="H52">
        <f>EXP(G52)*(E52^$B$2)</f>
        <v/>
      </c>
      <c r="I52">
        <f>IFERROR(VLOOKUP(C52,Investment!$B$2:$C$9,2,FALSE),0)</f>
        <v/>
      </c>
      <c r="J52">
        <f>J51*(1-$B$3)+I52</f>
        <v/>
      </c>
      <c r="K52" s="19">
        <f>E52+J52</f>
        <v/>
      </c>
      <c r="L52">
        <f>EXP(G52)*(K52^$B$2)</f>
        <v/>
      </c>
      <c r="M52">
        <f>L52-H52</f>
        <v/>
      </c>
      <c r="N52">
        <f>F52+M52</f>
        <v/>
      </c>
    </row>
    <row r="53">
      <c r="C53" t="n">
        <v>2019</v>
      </c>
      <c r="D53">
        <f>E53/F53</f>
        <v/>
      </c>
      <c r="E53" s="19">
        <f>D23</f>
        <v/>
      </c>
      <c r="F53">
        <f>INDEX(WEO_Data!$C$8:$C$51,MATCH(C53,WEO_Data!$B$8:$B$51,0))</f>
        <v/>
      </c>
      <c r="G53">
        <f>L23</f>
        <v/>
      </c>
      <c r="H53">
        <f>EXP(G53)*(E53^$B$2)</f>
        <v/>
      </c>
      <c r="I53">
        <f>IFERROR(VLOOKUP(C53,Investment!$B$2:$C$9,2,FALSE),0)</f>
        <v/>
      </c>
      <c r="J53">
        <f>J52*(1-$B$3)+I53</f>
        <v/>
      </c>
      <c r="K53" s="19">
        <f>E53+J53</f>
        <v/>
      </c>
      <c r="L53">
        <f>EXP(G53)*(K53^$B$2)</f>
        <v/>
      </c>
      <c r="M53">
        <f>L53-H53</f>
        <v/>
      </c>
      <c r="N53">
        <f>F53+M53</f>
        <v/>
      </c>
    </row>
    <row r="54">
      <c r="C54" t="n">
        <v>2020</v>
      </c>
      <c r="D54">
        <f>E54/F54</f>
        <v/>
      </c>
      <c r="E54" s="19">
        <f>D24</f>
        <v/>
      </c>
      <c r="F54">
        <f>INDEX(WEO_Data!$C$8:$C$51,MATCH(C54,WEO_Data!$B$8:$B$51,0))</f>
        <v/>
      </c>
      <c r="G54">
        <f>L24</f>
        <v/>
      </c>
      <c r="H54">
        <f>EXP(G54)*(E54^$B$2)</f>
        <v/>
      </c>
      <c r="I54">
        <f>IFERROR(VLOOKUP(C54,Investment!$B$2:$C$9,2,FALSE),0)</f>
        <v/>
      </c>
      <c r="J54">
        <f>J53*(1-$B$3)+I54</f>
        <v/>
      </c>
      <c r="K54" s="19">
        <f>E54+J54</f>
        <v/>
      </c>
      <c r="L54">
        <f>EXP(G54)*(K54^$B$2)</f>
        <v/>
      </c>
      <c r="M54">
        <f>L54-H54</f>
        <v/>
      </c>
      <c r="N54">
        <f>F54+M54</f>
        <v/>
      </c>
    </row>
    <row r="55">
      <c r="C55" t="n">
        <v>2021</v>
      </c>
      <c r="D55">
        <f>E55/F55</f>
        <v/>
      </c>
      <c r="E55" s="19">
        <f>D25</f>
        <v/>
      </c>
      <c r="F55">
        <f>INDEX(WEO_Data!$C$8:$C$51,MATCH(C55,WEO_Data!$B$8:$B$51,0))</f>
        <v/>
      </c>
      <c r="G55">
        <f>L25</f>
        <v/>
      </c>
      <c r="H55">
        <f>EXP(G55)*(E55^$B$2)</f>
        <v/>
      </c>
      <c r="I55">
        <f>IFERROR(VLOOKUP(C55,Investment!$B$2:$C$9,2,FALSE),0)</f>
        <v/>
      </c>
      <c r="J55">
        <f>J54*(1-$B$3)+I55</f>
        <v/>
      </c>
      <c r="K55" s="19">
        <f>E55+J55</f>
        <v/>
      </c>
      <c r="L55">
        <f>EXP(G55)*(K55^$B$2)</f>
        <v/>
      </c>
      <c r="M55">
        <f>L55-H55</f>
        <v/>
      </c>
      <c r="N55">
        <f>F55+M55</f>
        <v/>
      </c>
    </row>
    <row r="56">
      <c r="C56" t="n">
        <v>2022</v>
      </c>
      <c r="D56">
        <f>E56/F56</f>
        <v/>
      </c>
      <c r="E56" s="19">
        <f>D26</f>
        <v/>
      </c>
      <c r="F56">
        <f>INDEX(WEO_Data!$C$8:$C$51,MATCH(C56,WEO_Data!$B$8:$B$51,0))</f>
        <v/>
      </c>
      <c r="G56">
        <f>L26</f>
        <v/>
      </c>
      <c r="H56">
        <f>EXP(G56)*(E56^$B$2)</f>
        <v/>
      </c>
      <c r="I56">
        <f>IFERROR(VLOOKUP(C56,Investment!$B$2:$C$9,2,FALSE),0)</f>
        <v/>
      </c>
      <c r="J56">
        <f>J55*(1-$B$3)+I56</f>
        <v/>
      </c>
      <c r="K56" s="19">
        <f>E56+J56</f>
        <v/>
      </c>
      <c r="L56">
        <f>EXP(G56)*(K56^$B$2)</f>
        <v/>
      </c>
      <c r="M56">
        <f>L56-H56</f>
        <v/>
      </c>
      <c r="N56">
        <f>F56+M56</f>
        <v/>
      </c>
    </row>
    <row r="57">
      <c r="C57" t="n">
        <v>2023</v>
      </c>
      <c r="D57">
        <f>E57/F57</f>
        <v/>
      </c>
      <c r="E57" s="19">
        <f>D27</f>
        <v/>
      </c>
      <c r="F57">
        <f>INDEX(WEO_Data!$C$8:$C$51,MATCH(C57,WEO_Data!$B$8:$B$51,0))</f>
        <v/>
      </c>
      <c r="G57">
        <f>L27</f>
        <v/>
      </c>
      <c r="H57">
        <f>EXP(G57)*(E57^$B$2)</f>
        <v/>
      </c>
      <c r="I57">
        <f>IFERROR(VLOOKUP(C57,Investment!$B$2:$C$9,2,FALSE),0)</f>
        <v/>
      </c>
      <c r="J57">
        <f>J56*(1-$B$3)+I57</f>
        <v/>
      </c>
      <c r="K57" s="19">
        <f>E57+J57</f>
        <v/>
      </c>
      <c r="L57">
        <f>EXP(G57)*(K57^$B$2)</f>
        <v/>
      </c>
      <c r="M57">
        <f>L57-H57</f>
        <v/>
      </c>
      <c r="N57">
        <f>F57+M57</f>
        <v/>
      </c>
    </row>
    <row r="58">
      <c r="C58" t="n">
        <v>2024</v>
      </c>
      <c r="D58">
        <f>E58/F58</f>
        <v/>
      </c>
      <c r="E58" s="21">
        <f>$D$33*F58</f>
        <v/>
      </c>
      <c r="F58">
        <f>INDEX(WEO_Data!$C$8:$C$51,MATCH(C58,WEO_Data!$B$8:$B$51,0))</f>
        <v/>
      </c>
      <c r="G58" s="20">
        <f>TREND($G$36:$G$57,$C$36:$C$57,C58)</f>
        <v/>
      </c>
      <c r="H58">
        <f>EXP(G58)*(E58^$B$2)</f>
        <v/>
      </c>
      <c r="I58">
        <f>IFERROR(VLOOKUP(C58,Investment!$B$2:$C$9,2,FALSE),0)</f>
        <v/>
      </c>
      <c r="J58">
        <f>J57*(1-$B$3)+I58</f>
        <v/>
      </c>
      <c r="K58" s="19">
        <f>E58+J58</f>
        <v/>
      </c>
      <c r="L58">
        <f>EXP(G58)*(K58^$B$2)</f>
        <v/>
      </c>
      <c r="M58">
        <f>L58-H58</f>
        <v/>
      </c>
      <c r="N58">
        <f>F58+M58</f>
        <v/>
      </c>
    </row>
    <row r="59">
      <c r="C59" t="n">
        <v>2025</v>
      </c>
      <c r="D59">
        <f>E59/F59</f>
        <v/>
      </c>
      <c r="E59" s="21">
        <f>$D$33*F59</f>
        <v/>
      </c>
      <c r="F59">
        <f>INDEX(WEO_Data!$C$8:$C$51,MATCH(C59,WEO_Data!$B$8:$B$51,0))</f>
        <v/>
      </c>
      <c r="G59" s="20">
        <f>TREND($G$36:$G$57,$C$36:$C$57,C59)</f>
        <v/>
      </c>
      <c r="H59">
        <f>EXP(G59)*(E59^$B$2)</f>
        <v/>
      </c>
      <c r="I59">
        <f>IFERROR(VLOOKUP(C59,Investment!$B$2:$C$9,2,FALSE),0)</f>
        <v/>
      </c>
      <c r="J59">
        <f>J58*(1-$B$3)+I59</f>
        <v/>
      </c>
      <c r="K59" s="19">
        <f>E59+J59</f>
        <v/>
      </c>
      <c r="L59">
        <f>EXP(G59)*(K59^$B$2)</f>
        <v/>
      </c>
      <c r="M59">
        <f>L59-H59</f>
        <v/>
      </c>
      <c r="N59">
        <f>F59+M59</f>
        <v/>
      </c>
    </row>
    <row r="60">
      <c r="C60" t="n">
        <v>2026</v>
      </c>
      <c r="D60">
        <f>E60/F60</f>
        <v/>
      </c>
      <c r="E60" s="21">
        <f>$D$33*F60</f>
        <v/>
      </c>
      <c r="F60" s="20">
        <f>INDEX(WEO_Data!$C$8:$C$51,MATCH(C60,WEO_Data!$B$8:$B$51,0))</f>
        <v/>
      </c>
      <c r="G60" s="20">
        <f>TREND($G$36:$G$57,$C$36:$C$57,C60)</f>
        <v/>
      </c>
      <c r="H60">
        <f>EXP(G60)*(E60^$B$2)</f>
        <v/>
      </c>
      <c r="I60" s="17">
        <f>IFERROR(VLOOKUP(C60,Investment!$B$2:$C$9,2,FALSE),0)</f>
        <v/>
      </c>
      <c r="J60">
        <f>J59*(1-$B$3)+I60</f>
        <v/>
      </c>
      <c r="K60" s="19">
        <f>E60+J60</f>
        <v/>
      </c>
      <c r="L60">
        <f>EXP(G60)*(K60^$B$2)</f>
        <v/>
      </c>
      <c r="M60">
        <f>L60-H60</f>
        <v/>
      </c>
      <c r="N60">
        <f>F60+M60</f>
        <v/>
      </c>
    </row>
    <row r="61">
      <c r="C61" t="n">
        <v>2027</v>
      </c>
      <c r="D61">
        <f>E61/F61</f>
        <v/>
      </c>
      <c r="E61" s="21">
        <f>$D$33*F61</f>
        <v/>
      </c>
      <c r="F61" s="20">
        <f>INDEX(WEO_Data!$C$8:$C$51,MATCH(C61,WEO_Data!$B$8:$B$51,0))</f>
        <v/>
      </c>
      <c r="G61" s="20">
        <f>TREND($G$36:$G$57,$C$36:$C$57,C61)</f>
        <v/>
      </c>
      <c r="H61">
        <f>EXP(G61)*(E61^$B$2)</f>
        <v/>
      </c>
      <c r="I61" s="17">
        <f>IFERROR(VLOOKUP(C61,Investment!$B$2:$C$9,2,FALSE),0)</f>
        <v/>
      </c>
      <c r="J61">
        <f>J60*(1-$B$3)+I61</f>
        <v/>
      </c>
      <c r="K61" s="19">
        <f>E61+J61</f>
        <v/>
      </c>
      <c r="L61">
        <f>EXP(G61)*(K61^$B$2)</f>
        <v/>
      </c>
      <c r="M61">
        <f>L61-H61</f>
        <v/>
      </c>
      <c r="N61">
        <f>F61+M61</f>
        <v/>
      </c>
    </row>
    <row r="62">
      <c r="C62" t="n">
        <v>2028</v>
      </c>
      <c r="D62">
        <f>E62/F62</f>
        <v/>
      </c>
      <c r="E62" s="21">
        <f>$D$33*F62</f>
        <v/>
      </c>
      <c r="F62" s="20">
        <f>INDEX(WEO_Data!$C$8:$C$51,MATCH(C62,WEO_Data!$B$8:$B$51,0))</f>
        <v/>
      </c>
      <c r="G62" s="20">
        <f>TREND($G$36:$G$57,$C$36:$C$57,C62)</f>
        <v/>
      </c>
      <c r="H62">
        <f>EXP(G62)*(E62^$B$2)</f>
        <v/>
      </c>
      <c r="I62" s="17">
        <f>IFERROR(VLOOKUP(C62,Investment!$B$2:$C$9,2,FALSE),0)</f>
        <v/>
      </c>
      <c r="J62">
        <f>J61*(1-$B$3)+I62</f>
        <v/>
      </c>
      <c r="K62" s="19">
        <f>E62+J62</f>
        <v/>
      </c>
      <c r="L62">
        <f>EXP(G62)*(K62^$B$2)</f>
        <v/>
      </c>
      <c r="M62">
        <f>L62-H62</f>
        <v/>
      </c>
      <c r="N62">
        <f>F62+M62</f>
        <v/>
      </c>
    </row>
    <row r="63">
      <c r="C63" t="n">
        <v>2029</v>
      </c>
      <c r="D63">
        <f>E63/F63</f>
        <v/>
      </c>
      <c r="E63" s="21">
        <f>$D$33*F63</f>
        <v/>
      </c>
      <c r="F63" s="20">
        <f>INDEX(WEO_Data!$C$8:$C$51,MATCH(C63,WEO_Data!$B$8:$B$51,0))</f>
        <v/>
      </c>
      <c r="G63" s="20">
        <f>TREND($G$36:$G$57,$C$36:$C$57,C63)</f>
        <v/>
      </c>
      <c r="H63">
        <f>EXP(G63)*(E63^$B$2)</f>
        <v/>
      </c>
      <c r="I63" s="17">
        <f>IFERROR(VLOOKUP(C63,Investment!$B$2:$C$9,2,FALSE),0)</f>
        <v/>
      </c>
      <c r="J63">
        <f>J62*(1-$B$3)+I63</f>
        <v/>
      </c>
      <c r="K63" s="19">
        <f>E63+J63</f>
        <v/>
      </c>
      <c r="L63">
        <f>EXP(G63)*(K63^$B$2)</f>
        <v/>
      </c>
      <c r="M63">
        <f>L63-H63</f>
        <v/>
      </c>
      <c r="N63">
        <f>F63+M63</f>
        <v/>
      </c>
    </row>
    <row r="64">
      <c r="C64" t="n">
        <v>2030</v>
      </c>
      <c r="D64">
        <f>E64/F64</f>
        <v/>
      </c>
      <c r="E64" s="21">
        <f>$D$33*F64</f>
        <v/>
      </c>
      <c r="F64" s="20">
        <f>INDEX(WEO_Data!$C$8:$C$51,MATCH(C64,WEO_Data!$B$8:$B$51,0))</f>
        <v/>
      </c>
      <c r="G64" s="20">
        <f>TREND($G$36:$G$57,$C$36:$C$57,C64)</f>
        <v/>
      </c>
      <c r="H64">
        <f>EXP(G64)*(E64^$B$2)</f>
        <v/>
      </c>
      <c r="I64" s="17">
        <f>IFERROR(VLOOKUP(C64,Investment!$B$2:$C$9,2,FALSE),0)</f>
        <v/>
      </c>
      <c r="J64">
        <f>J63*(1-$B$3)+I64</f>
        <v/>
      </c>
      <c r="K64" s="19">
        <f>E64+J64</f>
        <v/>
      </c>
      <c r="L64">
        <f>EXP(G64)*(K64^$B$2)</f>
        <v/>
      </c>
      <c r="M64">
        <f>L64-H64</f>
        <v/>
      </c>
      <c r="N64">
        <f>F64+M64</f>
        <v/>
      </c>
    </row>
    <row r="65">
      <c r="C65" t="n">
        <v>2031</v>
      </c>
      <c r="D65">
        <f>E65/F65</f>
        <v/>
      </c>
      <c r="E65" s="21">
        <f>$D$33*F65</f>
        <v/>
      </c>
      <c r="F65" s="20">
        <f>INDEX(WEO_Data!$C$8:$C$51,MATCH(C65,WEO_Data!$B$8:$B$51,0))</f>
        <v/>
      </c>
      <c r="G65" s="20">
        <f>TREND($G$36:$G$57,$C$36:$C$57,C65)</f>
        <v/>
      </c>
      <c r="H65">
        <f>EXP(G65)*(E65^$B$2)</f>
        <v/>
      </c>
      <c r="I65" s="17">
        <f>IFERROR(VLOOKUP(C65,Investment!$B$2:$C$9,2,FALSE),0)</f>
        <v/>
      </c>
      <c r="J65">
        <f>J64*(1-$B$3)+I65</f>
        <v/>
      </c>
      <c r="K65" s="19">
        <f>E65+J65</f>
        <v/>
      </c>
      <c r="L65">
        <f>EXP(G65)*(K65^$B$2)</f>
        <v/>
      </c>
      <c r="M65">
        <f>L65-H65</f>
        <v/>
      </c>
      <c r="N65">
        <f>F65+M65</f>
        <v/>
      </c>
    </row>
    <row r="66">
      <c r="C66" t="n">
        <v>2032</v>
      </c>
      <c r="D66">
        <f>E66/F66</f>
        <v/>
      </c>
      <c r="E66" s="21">
        <f>$D$33*F66</f>
        <v/>
      </c>
      <c r="F66" s="20">
        <f>INDEX(WEO_Data!$C$8:$C$51,MATCH(C66,WEO_Data!$B$8:$B$51,0))</f>
        <v/>
      </c>
      <c r="G66" s="20">
        <f>TREND($G$36:$G$57,$C$36:$C$57,C66)</f>
        <v/>
      </c>
      <c r="H66">
        <f>EXP(G66)*(E66^$B$2)</f>
        <v/>
      </c>
      <c r="I66" s="17">
        <f>IFERROR(VLOOKUP(C66,Investment!$B$2:$C$9,2,FALSE),0)</f>
        <v/>
      </c>
      <c r="J66">
        <f>J65*(1-$B$3)+I66</f>
        <v/>
      </c>
      <c r="K66" s="19">
        <f>E66+J66</f>
        <v/>
      </c>
      <c r="L66">
        <f>EXP(G66)*(K66^$B$2)</f>
        <v/>
      </c>
      <c r="M66">
        <f>L66-H66</f>
        <v/>
      </c>
      <c r="N66">
        <f>F66+M66</f>
        <v/>
      </c>
    </row>
    <row r="67">
      <c r="C67" t="n">
        <v>2033</v>
      </c>
      <c r="D67">
        <f>E67/F67</f>
        <v/>
      </c>
      <c r="E67" s="21">
        <f>$D$33*F67</f>
        <v/>
      </c>
      <c r="F67" s="20">
        <f>INDEX(WEO_Data!$C$8:$C$51,MATCH(C67,WEO_Data!$B$8:$B$51,0))</f>
        <v/>
      </c>
      <c r="G67" s="20">
        <f>TREND($G$36:$G$57,$C$36:$C$57,C67)</f>
        <v/>
      </c>
      <c r="H67">
        <f>EXP(G67)*(E67^$B$2)</f>
        <v/>
      </c>
      <c r="I67" s="17">
        <f>IFERROR(VLOOKUP(C67,Investment!$B$2:$C$9,2,FALSE),0)</f>
        <v/>
      </c>
      <c r="J67">
        <f>J66*(1-$B$3)+I67</f>
        <v/>
      </c>
      <c r="K67" s="19">
        <f>E67+J67</f>
        <v/>
      </c>
      <c r="L67">
        <f>EXP(G67)*(K67^$B$2)</f>
        <v/>
      </c>
      <c r="M67">
        <f>L67-H67</f>
        <v/>
      </c>
      <c r="N67">
        <f>F67+M67</f>
        <v/>
      </c>
    </row>
    <row r="68">
      <c r="C68" t="n">
        <v>2034</v>
      </c>
      <c r="D68">
        <f>E68/F68</f>
        <v/>
      </c>
      <c r="E68" s="21">
        <f>$D$33*F68</f>
        <v/>
      </c>
      <c r="F68" s="20">
        <f>INDEX(WEO_Data!$C$8:$C$51,MATCH(C68,WEO_Data!$B$8:$B$51,0))</f>
        <v/>
      </c>
      <c r="G68" s="20">
        <f>TREND($G$36:$G$57,$C$36:$C$57,C68)</f>
        <v/>
      </c>
      <c r="H68">
        <f>EXP(G68)*(E68^$B$2)</f>
        <v/>
      </c>
      <c r="I68">
        <f>IFERROR(VLOOKUP(C68,Investment!$B$2:$C$9,2,FALSE),0)</f>
        <v/>
      </c>
      <c r="J68">
        <f>J67*(1-$B$3)+I68</f>
        <v/>
      </c>
      <c r="K68" s="19">
        <f>E68+J68</f>
        <v/>
      </c>
      <c r="L68">
        <f>EXP(G68)*(K68^$B$2)</f>
        <v/>
      </c>
      <c r="M68">
        <f>L68-H68</f>
        <v/>
      </c>
      <c r="N68">
        <f>F68+M68</f>
        <v/>
      </c>
    </row>
    <row r="69">
      <c r="C69" t="n">
        <v>2035</v>
      </c>
      <c r="D69">
        <f>E69/F69</f>
        <v/>
      </c>
      <c r="E69" s="21">
        <f>$D$33*F69</f>
        <v/>
      </c>
      <c r="F69" s="20">
        <f>INDEX(WEO_Data!$C$8:$C$51,MATCH(C69,WEO_Data!$B$8:$B$51,0))</f>
        <v/>
      </c>
      <c r="G69" s="20">
        <f>TREND($G$36:$G$57,$C$36:$C$57,C69)</f>
        <v/>
      </c>
      <c r="H69">
        <f>EXP(G69)*(E69^$B$2)</f>
        <v/>
      </c>
      <c r="I69">
        <f>IFERROR(VLOOKUP(C69,Investment!$B$2:$C$9,2,FALSE),0)</f>
        <v/>
      </c>
      <c r="J69">
        <f>J68*(1-$B$3)+I69</f>
        <v/>
      </c>
      <c r="K69" s="19">
        <f>E69+J69</f>
        <v/>
      </c>
      <c r="L69">
        <f>EXP(G69)*(K69^$B$2)</f>
        <v/>
      </c>
      <c r="M69">
        <f>L69-H69</f>
        <v/>
      </c>
      <c r="N69">
        <f>F69+M69</f>
        <v/>
      </c>
    </row>
    <row r="70">
      <c r="C70" t="n">
        <v>2036</v>
      </c>
      <c r="D70">
        <f>E70/F70</f>
        <v/>
      </c>
      <c r="E70" s="21">
        <f>$D$33*F70</f>
        <v/>
      </c>
      <c r="F70" s="20">
        <f>INDEX(WEO_Data!$C$8:$C$51,MATCH(C70,WEO_Data!$B$8:$B$51,0))</f>
        <v/>
      </c>
      <c r="G70" s="20">
        <f>TREND($G$36:$G$57,$C$36:$C$57,C70)</f>
        <v/>
      </c>
      <c r="H70">
        <f>EXP(G70)*(E70^$B$2)</f>
        <v/>
      </c>
      <c r="I70">
        <f>IFERROR(VLOOKUP(C70,Investment!$B$2:$C$9,2,FALSE),0)</f>
        <v/>
      </c>
      <c r="J70">
        <f>J69*(1-$B$3)+I70</f>
        <v/>
      </c>
      <c r="K70" s="19">
        <f>E70+J70</f>
        <v/>
      </c>
      <c r="L70">
        <f>EXP(G70)*(K70^$B$2)</f>
        <v/>
      </c>
      <c r="M70">
        <f>L70-H70</f>
        <v/>
      </c>
      <c r="N70">
        <f>F70+M70</f>
        <v/>
      </c>
    </row>
    <row r="71">
      <c r="C71" t="n">
        <v>2037</v>
      </c>
      <c r="D71">
        <f>E71/F71</f>
        <v/>
      </c>
      <c r="E71" s="21">
        <f>$D$33*F71</f>
        <v/>
      </c>
      <c r="F71" s="20">
        <f>INDEX(WEO_Data!$C$8:$C$51,MATCH(C71,WEO_Data!$B$8:$B$51,0))</f>
        <v/>
      </c>
      <c r="G71" s="20">
        <f>TREND($G$36:$G$57,$C$36:$C$57,C71)</f>
        <v/>
      </c>
      <c r="H71">
        <f>EXP(G71)*(E71^$B$2)</f>
        <v/>
      </c>
      <c r="I71">
        <f>IFERROR(VLOOKUP(C71,Investment!$B$2:$C$9,2,FALSE),0)</f>
        <v/>
      </c>
      <c r="J71">
        <f>J70*(1-$B$3)+I71</f>
        <v/>
      </c>
      <c r="K71" s="19">
        <f>E71+J71</f>
        <v/>
      </c>
      <c r="L71">
        <f>EXP(G71)*(K71^$B$2)</f>
        <v/>
      </c>
      <c r="M71">
        <f>L71-H71</f>
        <v/>
      </c>
      <c r="N71">
        <f>F71+M71</f>
        <v/>
      </c>
    </row>
    <row r="72">
      <c r="C72" t="n">
        <v>2038</v>
      </c>
      <c r="D72">
        <f>E72/F72</f>
        <v/>
      </c>
      <c r="E72" s="21">
        <f>$D$33*F72</f>
        <v/>
      </c>
      <c r="F72" s="20">
        <f>INDEX(WEO_Data!$C$8:$C$51,MATCH(C72,WEO_Data!$B$8:$B$51,0))</f>
        <v/>
      </c>
      <c r="G72" s="20">
        <f>TREND($G$36:$G$57,$C$36:$C$57,C72)</f>
        <v/>
      </c>
      <c r="H72">
        <f>EXP(G72)*(E72^$B$2)</f>
        <v/>
      </c>
      <c r="I72">
        <f>IFERROR(VLOOKUP(C72,Investment!$B$2:$C$9,2,FALSE),0)</f>
        <v/>
      </c>
      <c r="J72">
        <f>J71*(1-$B$3)+I72</f>
        <v/>
      </c>
      <c r="K72" s="19">
        <f>E72+J72</f>
        <v/>
      </c>
      <c r="L72">
        <f>EXP(G72)*(K72^$B$2)</f>
        <v/>
      </c>
      <c r="M72">
        <f>L72-H72</f>
        <v/>
      </c>
      <c r="N72">
        <f>F72+M72</f>
        <v/>
      </c>
    </row>
    <row r="73">
      <c r="C73" t="n">
        <v>2039</v>
      </c>
      <c r="D73">
        <f>E73/F73</f>
        <v/>
      </c>
      <c r="E73" s="21">
        <f>$D$33*F73</f>
        <v/>
      </c>
      <c r="F73" s="20">
        <f>INDEX(WEO_Data!$C$8:$C$51,MATCH(C73,WEO_Data!$B$8:$B$51,0))</f>
        <v/>
      </c>
      <c r="G73" s="20">
        <f>TREND($G$36:$G$57,$C$36:$C$57,C73)</f>
        <v/>
      </c>
      <c r="H73">
        <f>EXP(G73)*(E73^$B$2)</f>
        <v/>
      </c>
      <c r="I73">
        <f>IFERROR(VLOOKUP(C73,Investment!$B$2:$C$9,2,FALSE),0)</f>
        <v/>
      </c>
      <c r="J73">
        <f>J72*(1-$B$3)+I73</f>
        <v/>
      </c>
      <c r="K73" s="19">
        <f>E73+J73</f>
        <v/>
      </c>
      <c r="L73">
        <f>EXP(G73)*(K73^$B$2)</f>
        <v/>
      </c>
      <c r="M73">
        <f>L73-H73</f>
        <v/>
      </c>
      <c r="N73">
        <f>F73+M73</f>
        <v/>
      </c>
    </row>
    <row r="74">
      <c r="C74" t="n">
        <v>2040</v>
      </c>
      <c r="D74">
        <f>E74/F74</f>
        <v/>
      </c>
      <c r="E74" s="21">
        <f>$D$33*F74</f>
        <v/>
      </c>
      <c r="F74" s="20">
        <f>INDEX(WEO_Data!$C$8:$C$51,MATCH(C74,WEO_Data!$B$8:$B$51,0))</f>
        <v/>
      </c>
      <c r="G74" s="20">
        <f>TREND($G$36:$G$57,$C$36:$C$57,C74)</f>
        <v/>
      </c>
      <c r="H74">
        <f>EXP(G74)*(E74^$B$2)</f>
        <v/>
      </c>
      <c r="I74">
        <f>IFERROR(VLOOKUP(C74,Investment!$B$2:$C$9,2,FALSE),0)</f>
        <v/>
      </c>
      <c r="J74">
        <f>J73*(1-$B$3)+I74</f>
        <v/>
      </c>
      <c r="K74" s="19">
        <f>E74+J74</f>
        <v/>
      </c>
      <c r="L74">
        <f>EXP(G74)*(K74^$B$2)</f>
        <v/>
      </c>
      <c r="M74">
        <f>L74-H74</f>
        <v/>
      </c>
      <c r="N74">
        <f>F74+M74</f>
        <v/>
      </c>
    </row>
    <row r="75">
      <c r="C75" t="n">
        <v>2041</v>
      </c>
      <c r="D75">
        <f>E75/F75</f>
        <v/>
      </c>
      <c r="E75" s="21">
        <f>$D$33*F75</f>
        <v/>
      </c>
      <c r="F75" s="20">
        <f>INDEX(WEO_Data!$C$8:$C$51,MATCH(C75,WEO_Data!$B$8:$B$51,0))</f>
        <v/>
      </c>
      <c r="G75" s="20">
        <f>TREND($G$36:$G$57,$C$36:$C$57,C75)</f>
        <v/>
      </c>
      <c r="H75">
        <f>EXP(G75)*(E75^$B$2)</f>
        <v/>
      </c>
      <c r="I75">
        <f>IFERROR(VLOOKUP(C75,Investment!$B$2:$C$9,2,FALSE),0)</f>
        <v/>
      </c>
      <c r="J75">
        <f>J74*(1-$B$3)+I75</f>
        <v/>
      </c>
      <c r="K75" s="19">
        <f>E75+J75</f>
        <v/>
      </c>
      <c r="L75">
        <f>EXP(G75)*(K75^$B$2)</f>
        <v/>
      </c>
      <c r="M75">
        <f>L75-H75</f>
        <v/>
      </c>
      <c r="N75">
        <f>F75+M75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INDEX(PWT!$B$2:$B$35,MATCH(B2,PWT!$A$2:$A$35,0))</f>
        <v/>
      </c>
      <c r="E2">
        <f>IFERROR(C2/D2,"")</f>
        <v/>
      </c>
    </row>
    <row r="3">
      <c r="A3" s="18" t="n">
        <v>35795</v>
      </c>
      <c r="B3" t="n">
        <v>1997</v>
      </c>
      <c r="C3" t="n">
        <v>383641663.608596</v>
      </c>
      <c r="D3" s="19">
        <f>INDEX(PWT!$B$2:$B$35,MATCH(B3,PWT!$A$2:$A$35,0))</f>
        <v/>
      </c>
      <c r="E3">
        <f>IFERROR(C3/D3,"")</f>
        <v/>
      </c>
    </row>
    <row r="4">
      <c r="A4" s="18" t="n">
        <v>36160</v>
      </c>
      <c r="B4" t="n">
        <v>1998</v>
      </c>
      <c r="C4" t="n">
        <v>516397121.222809</v>
      </c>
      <c r="D4" s="19">
        <f>INDEX(PWT!$B$2:$B$35,MATCH(B4,PWT!$A$2:$A$35,0))</f>
        <v/>
      </c>
      <c r="E4">
        <f>IFERROR(C4/D4,"")</f>
        <v/>
      </c>
    </row>
    <row r="5">
      <c r="A5" s="18" t="n">
        <v>36525</v>
      </c>
      <c r="B5" t="n">
        <v>1999</v>
      </c>
      <c r="C5" t="n">
        <v>661603834.429231</v>
      </c>
      <c r="D5" s="19">
        <f>INDEX(PWT!$B$2:$B$35,MATCH(B5,PWT!$A$2:$A$35,0))</f>
        <v/>
      </c>
      <c r="E5">
        <f>IFERROR(C5/D5,"")</f>
        <v/>
      </c>
    </row>
    <row r="6">
      <c r="A6" s="18" t="n">
        <v>36891</v>
      </c>
      <c r="B6" t="n">
        <v>2000</v>
      </c>
      <c r="C6" t="n">
        <v>631701000.88782</v>
      </c>
      <c r="D6" s="19">
        <f>INDEX(PWT!$B$2:$B$35,MATCH(B6,PWT!$A$2:$A$35,0))</f>
        <v/>
      </c>
      <c r="E6">
        <f>IFERROR(C6/D6,"")</f>
        <v/>
      </c>
    </row>
    <row r="7">
      <c r="A7" s="18" t="n">
        <v>37256</v>
      </c>
      <c r="B7" t="n">
        <v>2001</v>
      </c>
      <c r="C7" t="n">
        <v>706983726.789065</v>
      </c>
      <c r="D7" s="19">
        <f>INDEX(PWT!$B$2:$B$35,MATCH(B7,PWT!$A$2:$A$35,0))</f>
        <v/>
      </c>
      <c r="E7">
        <f>IFERROR(C7/D7,"")</f>
        <v/>
      </c>
    </row>
    <row r="8">
      <c r="A8" s="18" t="n">
        <v>37621</v>
      </c>
      <c r="B8" t="n">
        <v>2002</v>
      </c>
      <c r="C8" t="n">
        <v>790112565.198609</v>
      </c>
      <c r="D8" s="19">
        <f>INDEX(PWT!$B$2:$B$35,MATCH(B8,PWT!$A$2:$A$35,0))</f>
        <v/>
      </c>
      <c r="E8">
        <f>IFERROR(C8/D8,"")</f>
        <v/>
      </c>
    </row>
    <row r="9">
      <c r="A9" s="18" t="n">
        <v>37986</v>
      </c>
      <c r="B9" t="n">
        <v>2003</v>
      </c>
      <c r="C9" t="n">
        <v>932916219.671159</v>
      </c>
      <c r="D9" s="19">
        <f>INDEX(PWT!$B$2:$B$35,MATCH(B9,PWT!$A$2:$A$35,0))</f>
        <v/>
      </c>
      <c r="E9">
        <f>IFERROR(C9/D9,"")</f>
        <v/>
      </c>
    </row>
    <row r="10">
      <c r="A10" s="18" t="n">
        <v>38352</v>
      </c>
      <c r="B10" t="n">
        <v>2004</v>
      </c>
      <c r="C10" t="n">
        <v>976818537.799271</v>
      </c>
      <c r="D10" s="19">
        <f>INDEX(PWT!$B$2:$B$35,MATCH(B10,PWT!$A$2:$A$35,0))</f>
        <v/>
      </c>
      <c r="E10">
        <f>IFERROR(C10/D10,"")</f>
        <v/>
      </c>
    </row>
    <row r="11">
      <c r="A11" s="18" t="n">
        <v>38717</v>
      </c>
      <c r="B11" t="n">
        <v>2005</v>
      </c>
      <c r="C11" t="n">
        <v>1113450058.59263</v>
      </c>
      <c r="D11" s="19">
        <f>INDEX(PWT!$B$2:$B$35,MATCH(B11,PWT!$A$2:$A$35,0))</f>
        <v/>
      </c>
      <c r="E11">
        <f>IFERROR(C11/D11,"")</f>
        <v/>
      </c>
    </row>
    <row r="12">
      <c r="A12" s="18" t="n">
        <v>39082</v>
      </c>
      <c r="B12" t="n">
        <v>2006</v>
      </c>
      <c r="C12" t="n">
        <v>1306373084.13224</v>
      </c>
      <c r="D12" s="19">
        <f>INDEX(PWT!$B$2:$B$35,MATCH(B12,PWT!$A$2:$A$35,0))</f>
        <v/>
      </c>
      <c r="E12">
        <f>IFERROR(C12/D12,"")</f>
        <v/>
      </c>
    </row>
    <row r="13">
      <c r="A13" s="18" t="n">
        <v>39447</v>
      </c>
      <c r="B13" t="n">
        <v>2007</v>
      </c>
      <c r="C13" t="n">
        <v>1617029966.25711</v>
      </c>
      <c r="D13" s="19">
        <f>INDEX(PWT!$B$2:$B$35,MATCH(B13,PWT!$A$2:$A$35,0))</f>
        <v/>
      </c>
      <c r="E13">
        <f>IFERROR(C13/D13,"")</f>
        <v/>
      </c>
    </row>
    <row r="14">
      <c r="A14" s="18" t="n">
        <v>39813</v>
      </c>
      <c r="B14" t="n">
        <v>2008</v>
      </c>
      <c r="C14" t="n">
        <v>1758049267.6717</v>
      </c>
      <c r="D14" s="19">
        <f>INDEX(PWT!$B$2:$B$35,MATCH(B14,PWT!$A$2:$A$35,0))</f>
        <v/>
      </c>
      <c r="E14">
        <f>IFERROR(C14/D14,"")</f>
        <v/>
      </c>
    </row>
    <row r="15">
      <c r="A15" s="18" t="n">
        <v>40178</v>
      </c>
      <c r="B15" t="n">
        <v>2009</v>
      </c>
      <c r="C15" t="n">
        <v>1751366684.88131</v>
      </c>
      <c r="D15" s="19">
        <f>INDEX(PWT!$B$2:$B$35,MATCH(B15,PWT!$A$2:$A$35,0))</f>
        <v/>
      </c>
      <c r="E15">
        <f>IFERROR(C15/D15,"")</f>
        <v/>
      </c>
    </row>
    <row r="16">
      <c r="A16" s="18" t="n">
        <v>40543</v>
      </c>
      <c r="B16" t="n">
        <v>2010</v>
      </c>
      <c r="C16" t="n">
        <v>2046413234.66733</v>
      </c>
      <c r="D16" s="19">
        <f>INDEX(PWT!$B$2:$B$35,MATCH(B16,PWT!$A$2:$A$35,0))</f>
        <v/>
      </c>
      <c r="E16">
        <f>IFERROR(C16/D16,"")</f>
        <v/>
      </c>
    </row>
    <row r="17">
      <c r="A17" s="18" t="n">
        <v>40908</v>
      </c>
      <c r="B17" t="n">
        <v>2011</v>
      </c>
      <c r="C17" t="n">
        <v>2350512405.90543</v>
      </c>
      <c r="D17" s="19">
        <f>INDEX(PWT!$B$2:$B$35,MATCH(B17,PWT!$A$2:$A$35,0))</f>
        <v/>
      </c>
      <c r="E17">
        <f>IFERROR(C17/D17,"")</f>
        <v/>
      </c>
    </row>
    <row r="18">
      <c r="A18" s="18" t="n">
        <v>41274</v>
      </c>
      <c r="B18" t="n">
        <v>2012</v>
      </c>
      <c r="C18" t="n">
        <v>2643602887.96874</v>
      </c>
      <c r="D18" s="19">
        <f>INDEX(PWT!$B$2:$B$35,MATCH(B18,PWT!$A$2:$A$35,0))</f>
        <v/>
      </c>
      <c r="E18">
        <f>IFERROR(C18/D18,"")</f>
        <v/>
      </c>
    </row>
    <row r="19">
      <c r="A19" s="18" t="n">
        <v>41639</v>
      </c>
      <c r="B19" t="n">
        <v>2013</v>
      </c>
      <c r="C19" t="n">
        <v>1555932152.31816</v>
      </c>
      <c r="D19" s="19">
        <f>INDEX(PWT!$B$2:$B$35,MATCH(B19,PWT!$A$2:$A$35,0))</f>
        <v/>
      </c>
      <c r="E19">
        <f>IFERROR(C19/D19,"")</f>
        <v/>
      </c>
    </row>
    <row r="20">
      <c r="A20" s="18" t="n">
        <v>42004</v>
      </c>
      <c r="B20" t="n">
        <v>2014</v>
      </c>
      <c r="C20" t="n">
        <v>2984890468.6878</v>
      </c>
      <c r="D20" s="19">
        <f>INDEX(PWT!$B$2:$B$35,MATCH(B20,PWT!$A$2:$A$35,0))</f>
        <v/>
      </c>
      <c r="E20">
        <f>IFERROR(C20/D20,"")</f>
        <v/>
      </c>
    </row>
    <row r="21">
      <c r="A21" s="18" t="n">
        <v>42369</v>
      </c>
      <c r="B21" t="n">
        <v>2015</v>
      </c>
      <c r="C21" t="n">
        <v>3657280672.54249</v>
      </c>
      <c r="D21" s="19">
        <f>INDEX(PWT!$B$2:$B$35,MATCH(B21,PWT!$A$2:$A$35,0))</f>
        <v/>
      </c>
      <c r="E21">
        <f>IFERROR(C21/D21,"")</f>
        <v/>
      </c>
    </row>
    <row r="22">
      <c r="A22" s="18" t="n">
        <v>42735</v>
      </c>
      <c r="B22" t="n">
        <v>2016</v>
      </c>
      <c r="C22" t="n">
        <v>4004828719.85304</v>
      </c>
      <c r="D22" s="19">
        <f>INDEX(PWT!$B$2:$B$35,MATCH(B22,PWT!$A$2:$A$35,0))</f>
        <v/>
      </c>
      <c r="E22">
        <f>IFERROR(C22/D22,"")</f>
        <v/>
      </c>
    </row>
    <row r="23">
      <c r="A23" s="18" t="n">
        <v>43100</v>
      </c>
      <c r="B23" t="n">
        <v>2017</v>
      </c>
      <c r="C23" t="n">
        <v>4492921334.90825</v>
      </c>
      <c r="D23" s="19">
        <f>INDEX(PWT!$B$2:$B$35,MATCH(B23,PWT!$A$2:$A$35,0))</f>
        <v/>
      </c>
      <c r="E23">
        <f>IFERROR(C23/D23,"")</f>
        <v/>
      </c>
    </row>
    <row r="24">
      <c r="A24" s="18" t="n">
        <v>43465</v>
      </c>
      <c r="B24" t="n">
        <v>2018</v>
      </c>
      <c r="C24" t="n">
        <v>4843616440.28627</v>
      </c>
      <c r="D24" s="19">
        <f>INDEX(PWT!$B$2:$B$35,MATCH(B24,PWT!$A$2:$A$35,0))</f>
        <v/>
      </c>
      <c r="E24">
        <f>IFERROR(C24/D24,"")</f>
        <v/>
      </c>
    </row>
    <row r="25">
      <c r="A25" s="18" t="n">
        <v>43830</v>
      </c>
      <c r="B25" t="n">
        <v>2019</v>
      </c>
      <c r="C25" t="n">
        <v>5452957379.35004</v>
      </c>
      <c r="D25" s="19">
        <f>INDEX(PWT!$B$2:$B$35,MATCH(B25,PWT!$A$2:$A$35,0))</f>
        <v/>
      </c>
      <c r="E25">
        <f>IFERROR(C25/D25,"")</f>
        <v/>
      </c>
    </row>
    <row r="26">
      <c r="A26" s="18" t="n">
        <v>44196</v>
      </c>
      <c r="B26" t="n">
        <v>2020</v>
      </c>
      <c r="C26" t="n">
        <v>6152769261.61805</v>
      </c>
      <c r="D26" s="19">
        <f>INDEX(PWT!$B$2:$B$35,MATCH(B26,PWT!$A$2:$A$35,0))</f>
        <v/>
      </c>
      <c r="E26">
        <f>IFERROR(C26/D26,"")</f>
        <v/>
      </c>
    </row>
    <row r="27">
      <c r="A27" s="18" t="n">
        <v>44561</v>
      </c>
      <c r="B27" t="n">
        <v>2021</v>
      </c>
      <c r="C27" t="n">
        <v>7072625348.89823</v>
      </c>
      <c r="D27" s="19">
        <f>INDEX(PWT!$B$2:$B$35,MATCH(B27,PWT!$A$2:$A$35,0))</f>
        <v/>
      </c>
      <c r="E27">
        <f>IFERROR(C27/D27,"")</f>
        <v/>
      </c>
    </row>
    <row r="28">
      <c r="A28" s="18" t="n">
        <v>44926</v>
      </c>
      <c r="B28" t="n">
        <v>2022</v>
      </c>
      <c r="C28" t="n">
        <v>7661448474.88107</v>
      </c>
      <c r="D28" s="19">
        <f>INDEX(PWT!$B$2:$B$35,MATCH(B28,PWT!$A$2:$A$35,0))</f>
        <v/>
      </c>
      <c r="E28">
        <f>IFERROR(C28/D28,"")</f>
        <v/>
      </c>
    </row>
    <row r="29">
      <c r="A29" s="18" t="n">
        <v>45291</v>
      </c>
      <c r="B29" t="n">
        <v>2023</v>
      </c>
      <c r="C29" t="n">
        <v>9410657843.71035</v>
      </c>
      <c r="D29" s="19">
        <f>INDEX(PWT!$B$2:$B$35,MATCH(B29,PWT!$A$2:$A$35,0))</f>
        <v/>
      </c>
      <c r="E29">
        <f>IFERROR(C29/D29,"")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rgdpo</t>
        </is>
      </c>
    </row>
    <row r="2">
      <c r="A2" s="19" t="n">
        <v>1990</v>
      </c>
      <c r="B2" s="19" t="n">
        <v>217572.265625</v>
      </c>
      <c r="C2" t="n">
        <v>63675.9921875</v>
      </c>
    </row>
    <row r="3">
      <c r="A3" s="19" t="n">
        <v>1991</v>
      </c>
      <c r="B3" s="19" t="n">
        <v>219328.421875</v>
      </c>
      <c r="C3" t="n">
        <v>54811.1953125</v>
      </c>
    </row>
    <row r="4">
      <c r="A4" s="19" t="n">
        <v>1992</v>
      </c>
      <c r="B4" s="19" t="n">
        <v>215882.453125</v>
      </c>
      <c r="C4" t="n">
        <v>23999.486328125</v>
      </c>
    </row>
    <row r="5">
      <c r="A5" s="19" t="n">
        <v>1993</v>
      </c>
      <c r="B5" s="19" t="n">
        <v>207684.890625</v>
      </c>
      <c r="C5" t="n">
        <v>14675.55859375</v>
      </c>
    </row>
    <row r="6">
      <c r="A6" s="19" t="n">
        <v>1994</v>
      </c>
      <c r="B6" s="19" t="n">
        <v>202188.8125</v>
      </c>
      <c r="C6" t="n">
        <v>12791.138671875</v>
      </c>
    </row>
    <row r="7">
      <c r="A7" s="19" t="n">
        <v>1995</v>
      </c>
      <c r="B7" s="19" t="n">
        <v>198953.859375</v>
      </c>
      <c r="C7" t="n">
        <v>13533.6123046875</v>
      </c>
    </row>
    <row r="8">
      <c r="A8" s="19" t="n">
        <v>1996</v>
      </c>
      <c r="B8" s="19" t="n">
        <v>196366.453125</v>
      </c>
      <c r="C8" t="n">
        <v>15722.8896484375</v>
      </c>
    </row>
    <row r="9">
      <c r="A9" s="19" t="n">
        <v>1997</v>
      </c>
      <c r="B9" s="19" t="n">
        <v>194417.84375</v>
      </c>
      <c r="C9" t="n">
        <v>17199.60546875</v>
      </c>
    </row>
    <row r="10">
      <c r="A10" s="19" t="n">
        <v>1998</v>
      </c>
      <c r="B10" s="19" t="n">
        <v>194516.296875</v>
      </c>
      <c r="C10" t="n">
        <v>16725.55859375</v>
      </c>
    </row>
    <row r="11">
      <c r="A11" s="19" t="n">
        <v>1999</v>
      </c>
      <c r="B11" s="19" t="n">
        <v>194964.5625</v>
      </c>
      <c r="C11" t="n">
        <v>16716.576171875</v>
      </c>
    </row>
    <row r="12">
      <c r="A12" s="19" t="n">
        <v>2000</v>
      </c>
      <c r="B12" s="19" t="n">
        <v>195327.078125</v>
      </c>
      <c r="C12" t="n">
        <v>16712.875</v>
      </c>
    </row>
    <row r="13">
      <c r="A13" s="19" t="n">
        <v>2001</v>
      </c>
      <c r="B13" s="19" t="n">
        <v>196512.453125</v>
      </c>
      <c r="C13" t="n">
        <v>17758.263671875</v>
      </c>
    </row>
    <row r="14">
      <c r="A14" s="19" t="n">
        <v>2002</v>
      </c>
      <c r="B14" s="19" t="n">
        <v>197317.59375</v>
      </c>
      <c r="C14" t="n">
        <v>18997.685546875</v>
      </c>
    </row>
    <row r="15">
      <c r="A15" s="19" t="n">
        <v>2003</v>
      </c>
      <c r="B15" s="19" t="n">
        <v>199678.921875</v>
      </c>
      <c r="C15" t="n">
        <v>21115.13671875</v>
      </c>
    </row>
    <row r="16">
      <c r="A16" s="19" t="n">
        <v>2004</v>
      </c>
      <c r="B16" s="19" t="n">
        <v>202658.8125</v>
      </c>
      <c r="C16" t="n">
        <v>22980.375</v>
      </c>
    </row>
    <row r="17">
      <c r="A17" s="19" t="n">
        <v>2005</v>
      </c>
      <c r="B17" s="19" t="n">
        <v>206400.5</v>
      </c>
      <c r="C17" t="n">
        <v>25652.58203125</v>
      </c>
    </row>
    <row r="18">
      <c r="A18" s="19" t="n">
        <v>2006</v>
      </c>
      <c r="B18" s="19" t="n">
        <v>209660.25</v>
      </c>
      <c r="C18" t="n">
        <v>29468.84375</v>
      </c>
    </row>
    <row r="19">
      <c r="A19" s="19" t="n">
        <v>2007</v>
      </c>
      <c r="B19" s="19" t="n">
        <v>213821.375</v>
      </c>
      <c r="C19" t="n">
        <v>32952.94921875</v>
      </c>
    </row>
    <row r="20">
      <c r="A20" s="19" t="n">
        <v>2008</v>
      </c>
      <c r="B20" s="19" t="n">
        <v>215825.90625</v>
      </c>
      <c r="C20" t="n">
        <v>34404.453125</v>
      </c>
    </row>
    <row r="21">
      <c r="A21" s="19" t="n">
        <v>2009</v>
      </c>
      <c r="B21" s="19" t="n">
        <v>214505.90625</v>
      </c>
      <c r="C21" t="n">
        <v>34939.60546875</v>
      </c>
    </row>
    <row r="22">
      <c r="A22" s="19" t="n">
        <v>2010</v>
      </c>
      <c r="B22" s="19" t="n">
        <v>215740.28125</v>
      </c>
      <c r="C22" t="n">
        <v>36534.484375</v>
      </c>
    </row>
    <row r="23">
      <c r="A23" s="19" t="n">
        <v>2011</v>
      </c>
      <c r="B23" s="19" t="n">
        <v>218333.703125</v>
      </c>
      <c r="C23" t="n">
        <v>39661.0703125</v>
      </c>
    </row>
    <row r="24">
      <c r="A24" s="19" t="n">
        <v>2012</v>
      </c>
      <c r="B24" s="19" t="n">
        <v>221570.09375</v>
      </c>
      <c r="C24" t="n">
        <v>42720.05859375</v>
      </c>
    </row>
    <row r="25">
      <c r="A25" s="19" t="n">
        <v>2013</v>
      </c>
      <c r="B25" s="19" t="n">
        <v>223431.875</v>
      </c>
      <c r="C25" t="n">
        <v>44351.8125</v>
      </c>
    </row>
    <row r="26">
      <c r="A26" s="19" t="n">
        <v>2014</v>
      </c>
      <c r="B26" s="19" t="n">
        <v>227911.96875</v>
      </c>
      <c r="C26" t="n">
        <v>47383.81640625</v>
      </c>
    </row>
    <row r="27">
      <c r="A27" s="19" t="n">
        <v>2015</v>
      </c>
      <c r="B27" s="19" t="n">
        <v>234164.859375</v>
      </c>
      <c r="C27" t="n">
        <v>51087.30859375</v>
      </c>
    </row>
    <row r="28">
      <c r="A28" s="19" t="n">
        <v>2016</v>
      </c>
      <c r="B28" s="19" t="n">
        <v>241138.375</v>
      </c>
      <c r="C28" t="n">
        <v>53355.2109375</v>
      </c>
    </row>
    <row r="29">
      <c r="A29" s="19" t="n">
        <v>2017</v>
      </c>
      <c r="B29" s="19" t="n">
        <v>248033.09375</v>
      </c>
      <c r="C29" t="n">
        <v>57609.70703125</v>
      </c>
    </row>
    <row r="30">
      <c r="A30" s="19" t="n">
        <v>2018</v>
      </c>
      <c r="B30" s="19" t="n">
        <v>254809.796875</v>
      </c>
      <c r="C30" t="n">
        <v>60610.921875</v>
      </c>
    </row>
    <row r="31">
      <c r="A31" s="19" t="n">
        <v>2019</v>
      </c>
      <c r="B31" s="19" t="n">
        <v>264125.5625</v>
      </c>
      <c r="C31" t="n">
        <v>68167.484375</v>
      </c>
    </row>
    <row r="32">
      <c r="A32" s="19" t="n">
        <v>2020</v>
      </c>
      <c r="B32" s="19">
        <f>TREND($B$2:$B$31,$A$2:$A$31,A32)</f>
        <v/>
      </c>
      <c r="C32">
        <f>TREND($C$2:$C$31,$A$2:$A$31,A32)</f>
        <v/>
      </c>
    </row>
    <row r="33">
      <c r="A33" s="19" t="n">
        <v>2021</v>
      </c>
      <c r="B33" s="19">
        <f>TREND($B$2:$B$31,$A$2:$A$31,A33)</f>
        <v/>
      </c>
      <c r="C33">
        <f>TREND($C$2:$C$31,$A$2:$A$31,A33)</f>
        <v/>
      </c>
    </row>
    <row r="34">
      <c r="A34" s="19" t="n">
        <v>2022</v>
      </c>
      <c r="B34" s="19">
        <f>TREND($B$2:$B$31,$A$2:$A$31,A34)</f>
        <v/>
      </c>
      <c r="C34">
        <f>TREND($C$2:$C$31,$A$2:$A$31,A34)</f>
        <v/>
      </c>
    </row>
    <row r="35">
      <c r="A35" s="19" t="n">
        <v>2023</v>
      </c>
      <c r="B35" s="19">
        <f>TREND($B$2:$B$31,$A$2:$A$31,A35)</f>
        <v/>
      </c>
      <c r="C35">
        <f>TREND($C$2:$C$31,$A$2:$A$31,A35)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$D$35</f>
        <v/>
      </c>
    </row>
    <row r="37">
      <c r="B37" t="n">
        <v>2029</v>
      </c>
      <c r="C37">
        <f>C36*(1+D37/100)</f>
        <v/>
      </c>
      <c r="D37">
        <f>$D$35</f>
        <v/>
      </c>
    </row>
    <row r="38">
      <c r="B38" t="n">
        <v>2030</v>
      </c>
      <c r="C38">
        <f>C37*(1+D38/100)</f>
        <v/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2026-01-29T06:37:46Z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