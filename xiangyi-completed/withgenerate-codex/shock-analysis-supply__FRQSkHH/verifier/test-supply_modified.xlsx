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SUMXMY2(K6:K27,L6:L27)+100*SUMSQ(M7:M26)</f>
        <v/>
      </c>
    </row>
    <row r="6">
      <c r="C6" t="n">
        <v>2002</v>
      </c>
      <c r="D6" s="19">
        <f>IFERROR(VLOOKUP($C6,PWT!$A$2:$C$35,3,FALSE),"")</f>
        <v/>
      </c>
      <c r="E6">
        <f>IFERROR(VLOOKUP($C6,WEO_Data!$B$8:$D$51,2,FALSE),"")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IFERROR(VLOOKUP($C7,PWT!$A$2:$C$35,3,FALSE),"")</f>
        <v/>
      </c>
      <c r="E7">
        <f>IFERROR(VLOOKUP($C7,WEO_Data!$B$8:$D$51,2,FALSE),"")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L8-2*L7+L6</f>
        <v/>
      </c>
      <c r="N7" s="5">
        <f>K7-L7</f>
        <v/>
      </c>
    </row>
    <row r="8">
      <c r="C8" t="n">
        <v>2004</v>
      </c>
      <c r="D8" s="19">
        <f>IFERROR(VLOOKUP($C8,PWT!$A$2:$C$35,3,FALSE),"")</f>
        <v/>
      </c>
      <c r="E8">
        <f>IFERROR(VLOOKUP($C8,WEO_Data!$B$8:$D$51,2,FALSE),"")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L9-2*L8+L7</f>
        <v/>
      </c>
      <c r="N8" s="5">
        <f>K8-L8</f>
        <v/>
      </c>
    </row>
    <row r="9">
      <c r="C9" t="n">
        <v>2005</v>
      </c>
      <c r="D9" s="19">
        <f>IFERROR(VLOOKUP($C9,PWT!$A$2:$C$35,3,FALSE),"")</f>
        <v/>
      </c>
      <c r="E9">
        <f>IFERROR(VLOOKUP($C9,WEO_Data!$B$8:$D$51,2,FALSE),"")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L10-2*L9+L8</f>
        <v/>
      </c>
      <c r="N9" s="5">
        <f>K9-L9</f>
        <v/>
      </c>
    </row>
    <row r="10">
      <c r="C10" t="n">
        <v>2006</v>
      </c>
      <c r="D10" s="19">
        <f>IFERROR(VLOOKUP($C10,PWT!$A$2:$C$35,3,FALSE),"")</f>
        <v/>
      </c>
      <c r="E10">
        <f>IFERROR(VLOOKUP($C10,WEO_Data!$B$8:$D$51,2,FALSE),"")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L11-2*L10+L9</f>
        <v/>
      </c>
      <c r="N10" s="5">
        <f>K10-L10</f>
        <v/>
      </c>
    </row>
    <row r="11">
      <c r="C11" t="n">
        <v>2007</v>
      </c>
      <c r="D11" s="19">
        <f>IFERROR(VLOOKUP($C11,PWT!$A$2:$C$35,3,FALSE),"")</f>
        <v/>
      </c>
      <c r="E11">
        <f>IFERROR(VLOOKUP($C11,WEO_Data!$B$8:$D$51,2,FALSE),"")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L12-2*L11+L10</f>
        <v/>
      </c>
      <c r="N11" s="5">
        <f>K11-L11</f>
        <v/>
      </c>
    </row>
    <row r="12">
      <c r="C12" t="n">
        <v>2008</v>
      </c>
      <c r="D12" s="19">
        <f>IFERROR(VLOOKUP($C12,PWT!$A$2:$C$35,3,FALSE),"")</f>
        <v/>
      </c>
      <c r="E12">
        <f>IFERROR(VLOOKUP($C12,WEO_Data!$B$8:$D$51,2,FALSE),"")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L13-2*L12+L11</f>
        <v/>
      </c>
      <c r="N12" s="5">
        <f>K12-L12</f>
        <v/>
      </c>
    </row>
    <row r="13">
      <c r="C13" t="n">
        <v>2009</v>
      </c>
      <c r="D13" s="19">
        <f>IFERROR(VLOOKUP($C13,PWT!$A$2:$C$35,3,FALSE),"")</f>
        <v/>
      </c>
      <c r="E13">
        <f>IFERROR(VLOOKUP($C13,WEO_Data!$B$8:$D$51,2,FALSE),"")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L14-2*L13+L12</f>
        <v/>
      </c>
      <c r="N13" s="5">
        <f>K13-L13</f>
        <v/>
      </c>
    </row>
    <row r="14">
      <c r="C14" t="n">
        <v>2010</v>
      </c>
      <c r="D14" s="19">
        <f>IFERROR(VLOOKUP($C14,PWT!$A$2:$C$35,3,FALSE),"")</f>
        <v/>
      </c>
      <c r="E14">
        <f>IFERROR(VLOOKUP($C14,WEO_Data!$B$8:$D$51,2,FALSE),"")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L15-2*L14+L13</f>
        <v/>
      </c>
      <c r="N14" s="5">
        <f>K14-L14</f>
        <v/>
      </c>
    </row>
    <row r="15">
      <c r="C15" t="n">
        <v>2011</v>
      </c>
      <c r="D15" s="19">
        <f>IFERROR(VLOOKUP($C15,PWT!$A$2:$C$35,3,FALSE),"")</f>
        <v/>
      </c>
      <c r="E15">
        <f>IFERROR(VLOOKUP($C15,WEO_Data!$B$8:$D$51,2,FALSE),"")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L16-2*L15+L14</f>
        <v/>
      </c>
      <c r="N15" s="5">
        <f>K15-L15</f>
        <v/>
      </c>
    </row>
    <row r="16">
      <c r="C16" t="n">
        <v>2012</v>
      </c>
      <c r="D16" s="19">
        <f>IFERROR(VLOOKUP($C16,PWT!$A$2:$C$35,3,FALSE),"")</f>
        <v/>
      </c>
      <c r="E16">
        <f>IFERROR(VLOOKUP($C16,WEO_Data!$B$8:$D$51,2,FALSE),"")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L17-2*L16+L15</f>
        <v/>
      </c>
      <c r="N16" s="5">
        <f>K16-L16</f>
        <v/>
      </c>
    </row>
    <row r="17">
      <c r="C17" t="n">
        <v>2013</v>
      </c>
      <c r="D17" s="19">
        <f>IFERROR(VLOOKUP($C17,PWT!$A$2:$C$35,3,FALSE),"")</f>
        <v/>
      </c>
      <c r="E17">
        <f>IFERROR(VLOOKUP($C17,WEO_Data!$B$8:$D$51,2,FALSE),"")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L18-2*L17+L16</f>
        <v/>
      </c>
      <c r="N17" s="5">
        <f>K17-L17</f>
        <v/>
      </c>
    </row>
    <row r="18">
      <c r="C18" t="n">
        <v>2014</v>
      </c>
      <c r="D18" s="19">
        <f>IFERROR(VLOOKUP($C18,PWT!$A$2:$C$35,3,FALSE),"")</f>
        <v/>
      </c>
      <c r="E18">
        <f>IFERROR(VLOOKUP($C18,WEO_Data!$B$8:$D$51,2,FALSE),"")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L19-2*L18+L17</f>
        <v/>
      </c>
      <c r="N18" s="5">
        <f>K18-L18</f>
        <v/>
      </c>
    </row>
    <row r="19">
      <c r="C19" t="n">
        <v>2015</v>
      </c>
      <c r="D19" s="19">
        <f>IFERROR(VLOOKUP($C19,PWT!$A$2:$C$35,3,FALSE),"")</f>
        <v/>
      </c>
      <c r="E19">
        <f>IFERROR(VLOOKUP($C19,WEO_Data!$B$8:$D$51,2,FALSE),"")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L20-2*L19+L18</f>
        <v/>
      </c>
      <c r="N19" s="5">
        <f>K19-L19</f>
        <v/>
      </c>
    </row>
    <row r="20">
      <c r="C20" t="n">
        <v>2016</v>
      </c>
      <c r="D20" s="19">
        <f>IFERROR(VLOOKUP($C20,PWT!$A$2:$C$35,3,FALSE),"")</f>
        <v/>
      </c>
      <c r="E20">
        <f>IFERROR(VLOOKUP($C20,WEO_Data!$B$8:$D$51,2,FALSE),"")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L21-2*L20+L19</f>
        <v/>
      </c>
      <c r="N20" s="5">
        <f>K20-L20</f>
        <v/>
      </c>
    </row>
    <row r="21">
      <c r="C21" t="n">
        <v>2017</v>
      </c>
      <c r="D21" s="19">
        <f>IFERROR(VLOOKUP($C21,PWT!$A$2:$C$35,3,FALSE),"")</f>
        <v/>
      </c>
      <c r="E21">
        <f>IFERROR(VLOOKUP($C21,WEO_Data!$B$8:$D$51,2,FALSE),"")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L22-2*L21+L20</f>
        <v/>
      </c>
      <c r="N21" s="5">
        <f>K21-L21</f>
        <v/>
      </c>
    </row>
    <row r="22">
      <c r="C22" t="n">
        <v>2018</v>
      </c>
      <c r="D22" s="19">
        <f>IFERROR(VLOOKUP($C22,PWT!$A$2:$C$35,3,FALSE),"")</f>
        <v/>
      </c>
      <c r="E22">
        <f>IFERROR(VLOOKUP($C22,WEO_Data!$B$8:$D$51,2,FALSE),"")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L23-2*L22+L21</f>
        <v/>
      </c>
      <c r="N22" s="5">
        <f>K22-L22</f>
        <v/>
      </c>
    </row>
    <row r="23">
      <c r="C23" t="n">
        <v>2019</v>
      </c>
      <c r="D23" s="19">
        <f>IFERROR(VLOOKUP($C23,PWT!$A$2:$C$35,3,FALSE),"")</f>
        <v/>
      </c>
      <c r="E23">
        <f>IFERROR(VLOOKUP($C23,WEO_Data!$B$8:$D$51,2,FALSE),"")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L24-2*L23+L22</f>
        <v/>
      </c>
      <c r="N23" s="5">
        <f>K23-L23</f>
        <v/>
      </c>
    </row>
    <row r="24">
      <c r="C24" t="n">
        <v>2020</v>
      </c>
      <c r="D24" s="19">
        <f>IFERROR(VLOOKUP($C24,PWT!$A$2:$C$35,3,FALSE),"")</f>
        <v/>
      </c>
      <c r="E24">
        <f>IFERROR(VLOOKUP($C24,WEO_Data!$B$8:$D$51,2,FALSE),"")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L25-2*L24+L23</f>
        <v/>
      </c>
      <c r="N24" s="5">
        <f>K24-L24</f>
        <v/>
      </c>
    </row>
    <row r="25">
      <c r="C25" t="n">
        <v>2021</v>
      </c>
      <c r="D25" s="19">
        <f>IFERROR(VLOOKUP($C25,PWT!$A$2:$C$35,3,FALSE),"")</f>
        <v/>
      </c>
      <c r="E25">
        <f>IFERROR(VLOOKUP($C25,WEO_Data!$B$8:$D$51,2,FALSE),"")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L26-2*L25+L24</f>
        <v/>
      </c>
      <c r="N25" s="5">
        <f>K25-L25</f>
        <v/>
      </c>
    </row>
    <row r="26">
      <c r="C26" t="n">
        <v>2022</v>
      </c>
      <c r="D26" s="19">
        <f>IFERROR(VLOOKUP($C26,PWT!$A$2:$C$35,3,FALSE),"")</f>
        <v/>
      </c>
      <c r="E26">
        <f>IFERROR(VLOOKUP($C26,WEO_Data!$B$8:$D$51,2,FALSE),"")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L27-2*L26+L25</f>
        <v/>
      </c>
      <c r="N26" s="5">
        <f>K26-L26</f>
        <v/>
      </c>
    </row>
    <row r="27">
      <c r="C27" t="n">
        <v>2023</v>
      </c>
      <c r="D27" s="19">
        <f>IFERROR(VLOOKUP($C27,PWT!$A$2:$C$35,3,FALSE),"")</f>
        <v/>
      </c>
      <c r="E27">
        <f>IFERROR(VLOOKUP($C27,WEO_Data!$B$8:$D$51,2,FALSE),"")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IF($C36&lt;=2023,E36/F36,AVERAGE($D$49:$D$57))</f>
        <v/>
      </c>
      <c r="E36" s="19">
        <f>IF($C36&lt;=2023,IFERROR(VLOOKUP($C36,PWT!$A$2:$C$35,3,FALSE),""),D36*F36)</f>
        <v/>
      </c>
      <c r="F36">
        <f>IFERROR(VLOOKUP($C36,WEO_Data!$B$8:$D$51,2,FALSE),"")</f>
        <v/>
      </c>
      <c r="G36">
        <f>L6</f>
        <v/>
      </c>
      <c r="H36">
        <f>EXP(G36+$B$2*LN(E36))</f>
        <v/>
      </c>
      <c r="I36">
        <f>IFERROR(VLOOKUP($C36,Investment!$B$2:$C$9,2,FALSE),0)</f>
        <v/>
      </c>
      <c r="J36">
        <f>IF($C36&lt;2026,0,(1-$B$3)*J35+I36)</f>
        <v/>
      </c>
      <c r="K36" s="19">
        <f>E36+J36</f>
        <v/>
      </c>
      <c r="L36">
        <f>EXP(G36+$B$2*LN(K36))</f>
        <v/>
      </c>
      <c r="M36">
        <f>L36-H36</f>
        <v/>
      </c>
      <c r="N36">
        <f>F36+M36</f>
        <v/>
      </c>
      <c r="O36">
        <f>IF($C36=2002,"",N36/N35-1)</f>
        <v/>
      </c>
      <c r="P36">
        <f>IF($C36=2002,"",F36/F35-1)</f>
        <v/>
      </c>
    </row>
    <row r="37">
      <c r="C37" t="n">
        <v>2003</v>
      </c>
      <c r="D37">
        <f>IF($C37&lt;=2023,E37/F37,AVERAGE($D$49:$D$57))</f>
        <v/>
      </c>
      <c r="E37" s="19">
        <f>IF($C37&lt;=2023,IFERROR(VLOOKUP($C37,PWT!$A$2:$C$35,3,FALSE),""),D37*F37)</f>
        <v/>
      </c>
      <c r="F37">
        <f>IFERROR(VLOOKUP($C37,WEO_Data!$B$8:$D$51,2,FALSE),"")</f>
        <v/>
      </c>
      <c r="G37">
        <f>L7</f>
        <v/>
      </c>
      <c r="H37">
        <f>EXP(G37+$B$2*LN(E37))</f>
        <v/>
      </c>
      <c r="I37">
        <f>IFERROR(VLOOKUP($C37,Investment!$B$2:$C$9,2,FALSE),0)</f>
        <v/>
      </c>
      <c r="J37">
        <f>IF($C37&lt;2026,0,(1-$B$3)*J36+I37)</f>
        <v/>
      </c>
      <c r="K37" s="19">
        <f>E37+J37</f>
        <v/>
      </c>
      <c r="L37">
        <f>EXP(G37+$B$2*LN(K37))</f>
        <v/>
      </c>
      <c r="M37">
        <f>L37-H37</f>
        <v/>
      </c>
      <c r="N37">
        <f>F37+M37</f>
        <v/>
      </c>
      <c r="O37">
        <f>IF($C37=2002,"",N37/N36-1)</f>
        <v/>
      </c>
      <c r="P37">
        <f>IF($C37=2002,"",F37/F36-1)</f>
        <v/>
      </c>
    </row>
    <row r="38">
      <c r="C38" t="n">
        <v>2004</v>
      </c>
      <c r="D38">
        <f>IF($C38&lt;=2023,E38/F38,AVERAGE($D$49:$D$57))</f>
        <v/>
      </c>
      <c r="E38" s="19">
        <f>IF($C38&lt;=2023,IFERROR(VLOOKUP($C38,PWT!$A$2:$C$35,3,FALSE),""),D38*F38)</f>
        <v/>
      </c>
      <c r="F38">
        <f>IFERROR(VLOOKUP($C38,WEO_Data!$B$8:$D$51,2,FALSE),"")</f>
        <v/>
      </c>
      <c r="G38">
        <f>L8</f>
        <v/>
      </c>
      <c r="H38">
        <f>EXP(G38+$B$2*LN(E38))</f>
        <v/>
      </c>
      <c r="I38">
        <f>IFERROR(VLOOKUP($C38,Investment!$B$2:$C$9,2,FALSE),0)</f>
        <v/>
      </c>
      <c r="J38">
        <f>IF($C38&lt;2026,0,(1-$B$3)*J37+I38)</f>
        <v/>
      </c>
      <c r="K38" s="19">
        <f>E38+J38</f>
        <v/>
      </c>
      <c r="L38">
        <f>EXP(G38+$B$2*LN(K38))</f>
        <v/>
      </c>
      <c r="M38">
        <f>L38-H38</f>
        <v/>
      </c>
      <c r="N38">
        <f>F38+M38</f>
        <v/>
      </c>
      <c r="O38">
        <f>IF($C38=2002,"",N38/N37-1)</f>
        <v/>
      </c>
      <c r="P38">
        <f>IF($C38=2002,"",F38/F37-1)</f>
        <v/>
      </c>
    </row>
    <row r="39">
      <c r="C39" t="n">
        <v>2005</v>
      </c>
      <c r="D39">
        <f>IF($C39&lt;=2023,E39/F39,AVERAGE($D$49:$D$57))</f>
        <v/>
      </c>
      <c r="E39" s="19">
        <f>IF($C39&lt;=2023,IFERROR(VLOOKUP($C39,PWT!$A$2:$C$35,3,FALSE),""),D39*F39)</f>
        <v/>
      </c>
      <c r="F39">
        <f>IFERROR(VLOOKUP($C39,WEO_Data!$B$8:$D$51,2,FALSE),"")</f>
        <v/>
      </c>
      <c r="G39">
        <f>L9</f>
        <v/>
      </c>
      <c r="H39">
        <f>EXP(G39+$B$2*LN(E39))</f>
        <v/>
      </c>
      <c r="I39">
        <f>IFERROR(VLOOKUP($C39,Investment!$B$2:$C$9,2,FALSE),0)</f>
        <v/>
      </c>
      <c r="J39">
        <f>IF($C39&lt;2026,0,(1-$B$3)*J38+I39)</f>
        <v/>
      </c>
      <c r="K39" s="19">
        <f>E39+J39</f>
        <v/>
      </c>
      <c r="L39">
        <f>EXP(G39+$B$2*LN(K39))</f>
        <v/>
      </c>
      <c r="M39">
        <f>L39-H39</f>
        <v/>
      </c>
      <c r="N39">
        <f>F39+M39</f>
        <v/>
      </c>
      <c r="O39">
        <f>IF($C39=2002,"",N39/N38-1)</f>
        <v/>
      </c>
      <c r="P39">
        <f>IF($C39=2002,"",F39/F38-1)</f>
        <v/>
      </c>
    </row>
    <row r="40">
      <c r="C40" t="n">
        <v>2006</v>
      </c>
      <c r="D40">
        <f>IF($C40&lt;=2023,E40/F40,AVERAGE($D$49:$D$57))</f>
        <v/>
      </c>
      <c r="E40" s="19">
        <f>IF($C40&lt;=2023,IFERROR(VLOOKUP($C40,PWT!$A$2:$C$35,3,FALSE),""),D40*F40)</f>
        <v/>
      </c>
      <c r="F40">
        <f>IFERROR(VLOOKUP($C40,WEO_Data!$B$8:$D$51,2,FALSE),"")</f>
        <v/>
      </c>
      <c r="G40">
        <f>L10</f>
        <v/>
      </c>
      <c r="H40">
        <f>EXP(G40+$B$2*LN(E40))</f>
        <v/>
      </c>
      <c r="I40">
        <f>IFERROR(VLOOKUP($C40,Investment!$B$2:$C$9,2,FALSE),0)</f>
        <v/>
      </c>
      <c r="J40">
        <f>IF($C40&lt;2026,0,(1-$B$3)*J39+I40)</f>
        <v/>
      </c>
      <c r="K40" s="19">
        <f>E40+J40</f>
        <v/>
      </c>
      <c r="L40">
        <f>EXP(G40+$B$2*LN(K40))</f>
        <v/>
      </c>
      <c r="M40">
        <f>L40-H40</f>
        <v/>
      </c>
      <c r="N40">
        <f>F40+M40</f>
        <v/>
      </c>
      <c r="O40">
        <f>IF($C40=2002,"",N40/N39-1)</f>
        <v/>
      </c>
      <c r="P40">
        <f>IF($C40=2002,"",F40/F39-1)</f>
        <v/>
      </c>
    </row>
    <row r="41">
      <c r="C41" t="n">
        <v>2007</v>
      </c>
      <c r="D41">
        <f>IF($C41&lt;=2023,E41/F41,AVERAGE($D$49:$D$57))</f>
        <v/>
      </c>
      <c r="E41" s="19">
        <f>IF($C41&lt;=2023,IFERROR(VLOOKUP($C41,PWT!$A$2:$C$35,3,FALSE),""),D41*F41)</f>
        <v/>
      </c>
      <c r="F41">
        <f>IFERROR(VLOOKUP($C41,WEO_Data!$B$8:$D$51,2,FALSE),"")</f>
        <v/>
      </c>
      <c r="G41">
        <f>L11</f>
        <v/>
      </c>
      <c r="H41">
        <f>EXP(G41+$B$2*LN(E41))</f>
        <v/>
      </c>
      <c r="I41">
        <f>IFERROR(VLOOKUP($C41,Investment!$B$2:$C$9,2,FALSE),0)</f>
        <v/>
      </c>
      <c r="J41">
        <f>IF($C41&lt;2026,0,(1-$B$3)*J40+I41)</f>
        <v/>
      </c>
      <c r="K41" s="19">
        <f>E41+J41</f>
        <v/>
      </c>
      <c r="L41">
        <f>EXP(G41+$B$2*LN(K41))</f>
        <v/>
      </c>
      <c r="M41">
        <f>L41-H41</f>
        <v/>
      </c>
      <c r="N41">
        <f>F41+M41</f>
        <v/>
      </c>
      <c r="O41">
        <f>IF($C41=2002,"",N41/N40-1)</f>
        <v/>
      </c>
      <c r="P41">
        <f>IF($C41=2002,"",F41/F40-1)</f>
        <v/>
      </c>
    </row>
    <row r="42">
      <c r="C42" t="n">
        <v>2008</v>
      </c>
      <c r="D42">
        <f>IF($C42&lt;=2023,E42/F42,AVERAGE($D$49:$D$57))</f>
        <v/>
      </c>
      <c r="E42" s="19">
        <f>IF($C42&lt;=2023,IFERROR(VLOOKUP($C42,PWT!$A$2:$C$35,3,FALSE),""),D42*F42)</f>
        <v/>
      </c>
      <c r="F42">
        <f>IFERROR(VLOOKUP($C42,WEO_Data!$B$8:$D$51,2,FALSE),"")</f>
        <v/>
      </c>
      <c r="G42">
        <f>L12</f>
        <v/>
      </c>
      <c r="H42">
        <f>EXP(G42+$B$2*LN(E42))</f>
        <v/>
      </c>
      <c r="I42">
        <f>IFERROR(VLOOKUP($C42,Investment!$B$2:$C$9,2,FALSE),0)</f>
        <v/>
      </c>
      <c r="J42">
        <f>IF($C42&lt;2026,0,(1-$B$3)*J41+I42)</f>
        <v/>
      </c>
      <c r="K42" s="19">
        <f>E42+J42</f>
        <v/>
      </c>
      <c r="L42">
        <f>EXP(G42+$B$2*LN(K42))</f>
        <v/>
      </c>
      <c r="M42">
        <f>L42-H42</f>
        <v/>
      </c>
      <c r="N42">
        <f>F42+M42</f>
        <v/>
      </c>
      <c r="O42">
        <f>IF($C42=2002,"",N42/N41-1)</f>
        <v/>
      </c>
      <c r="P42">
        <f>IF($C42=2002,"",F42/F41-1)</f>
        <v/>
      </c>
    </row>
    <row r="43">
      <c r="C43" t="n">
        <v>2009</v>
      </c>
      <c r="D43">
        <f>IF($C43&lt;=2023,E43/F43,AVERAGE($D$49:$D$57))</f>
        <v/>
      </c>
      <c r="E43" s="19">
        <f>IF($C43&lt;=2023,IFERROR(VLOOKUP($C43,PWT!$A$2:$C$35,3,FALSE),""),D43*F43)</f>
        <v/>
      </c>
      <c r="F43">
        <f>IFERROR(VLOOKUP($C43,WEO_Data!$B$8:$D$51,2,FALSE),"")</f>
        <v/>
      </c>
      <c r="G43">
        <f>L13</f>
        <v/>
      </c>
      <c r="H43">
        <f>EXP(G43+$B$2*LN(E43))</f>
        <v/>
      </c>
      <c r="I43">
        <f>IFERROR(VLOOKUP($C43,Investment!$B$2:$C$9,2,FALSE),0)</f>
        <v/>
      </c>
      <c r="J43">
        <f>IF($C43&lt;2026,0,(1-$B$3)*J42+I43)</f>
        <v/>
      </c>
      <c r="K43" s="19">
        <f>E43+J43</f>
        <v/>
      </c>
      <c r="L43">
        <f>EXP(G43+$B$2*LN(K43))</f>
        <v/>
      </c>
      <c r="M43">
        <f>L43-H43</f>
        <v/>
      </c>
      <c r="N43">
        <f>F43+M43</f>
        <v/>
      </c>
      <c r="O43">
        <f>IF($C43=2002,"",N43/N42-1)</f>
        <v/>
      </c>
      <c r="P43">
        <f>IF($C43=2002,"",F43/F42-1)</f>
        <v/>
      </c>
    </row>
    <row r="44">
      <c r="C44" t="n">
        <v>2010</v>
      </c>
      <c r="D44">
        <f>IF($C44&lt;=2023,E44/F44,AVERAGE($D$49:$D$57))</f>
        <v/>
      </c>
      <c r="E44" s="19">
        <f>IF($C44&lt;=2023,IFERROR(VLOOKUP($C44,PWT!$A$2:$C$35,3,FALSE),""),D44*F44)</f>
        <v/>
      </c>
      <c r="F44">
        <f>IFERROR(VLOOKUP($C44,WEO_Data!$B$8:$D$51,2,FALSE),"")</f>
        <v/>
      </c>
      <c r="G44">
        <f>L14</f>
        <v/>
      </c>
      <c r="H44">
        <f>EXP(G44+$B$2*LN(E44))</f>
        <v/>
      </c>
      <c r="I44">
        <f>IFERROR(VLOOKUP($C44,Investment!$B$2:$C$9,2,FALSE),0)</f>
        <v/>
      </c>
      <c r="J44">
        <f>IF($C44&lt;2026,0,(1-$B$3)*J43+I44)</f>
        <v/>
      </c>
      <c r="K44" s="19">
        <f>E44+J44</f>
        <v/>
      </c>
      <c r="L44">
        <f>EXP(G44+$B$2*LN(K44))</f>
        <v/>
      </c>
      <c r="M44">
        <f>L44-H44</f>
        <v/>
      </c>
      <c r="N44">
        <f>F44+M44</f>
        <v/>
      </c>
      <c r="O44">
        <f>IF($C44=2002,"",N44/N43-1)</f>
        <v/>
      </c>
      <c r="P44">
        <f>IF($C44=2002,"",F44/F43-1)</f>
        <v/>
      </c>
    </row>
    <row r="45">
      <c r="C45" t="n">
        <v>2011</v>
      </c>
      <c r="D45">
        <f>IF($C45&lt;=2023,E45/F45,AVERAGE($D$49:$D$57))</f>
        <v/>
      </c>
      <c r="E45" s="19">
        <f>IF($C45&lt;=2023,IFERROR(VLOOKUP($C45,PWT!$A$2:$C$35,3,FALSE),""),D45*F45)</f>
        <v/>
      </c>
      <c r="F45">
        <f>IFERROR(VLOOKUP($C45,WEO_Data!$B$8:$D$51,2,FALSE),"")</f>
        <v/>
      </c>
      <c r="G45">
        <f>L15</f>
        <v/>
      </c>
      <c r="H45">
        <f>EXP(G45+$B$2*LN(E45))</f>
        <v/>
      </c>
      <c r="I45">
        <f>IFERROR(VLOOKUP($C45,Investment!$B$2:$C$9,2,FALSE),0)</f>
        <v/>
      </c>
      <c r="J45">
        <f>IF($C45&lt;2026,0,(1-$B$3)*J44+I45)</f>
        <v/>
      </c>
      <c r="K45" s="19">
        <f>E45+J45</f>
        <v/>
      </c>
      <c r="L45">
        <f>EXP(G45+$B$2*LN(K45))</f>
        <v/>
      </c>
      <c r="M45">
        <f>L45-H45</f>
        <v/>
      </c>
      <c r="N45">
        <f>F45+M45</f>
        <v/>
      </c>
      <c r="O45">
        <f>IF($C45=2002,"",N45/N44-1)</f>
        <v/>
      </c>
      <c r="P45">
        <f>IF($C45=2002,"",F45/F44-1)</f>
        <v/>
      </c>
    </row>
    <row r="46">
      <c r="C46" t="n">
        <v>2012</v>
      </c>
      <c r="D46">
        <f>IF($C46&lt;=2023,E46/F46,AVERAGE($D$49:$D$57))</f>
        <v/>
      </c>
      <c r="E46" s="19">
        <f>IF($C46&lt;=2023,IFERROR(VLOOKUP($C46,PWT!$A$2:$C$35,3,FALSE),""),D46*F46)</f>
        <v/>
      </c>
      <c r="F46">
        <f>IFERROR(VLOOKUP($C46,WEO_Data!$B$8:$D$51,2,FALSE),"")</f>
        <v/>
      </c>
      <c r="G46">
        <f>L16</f>
        <v/>
      </c>
      <c r="H46">
        <f>EXP(G46+$B$2*LN(E46))</f>
        <v/>
      </c>
      <c r="I46">
        <f>IFERROR(VLOOKUP($C46,Investment!$B$2:$C$9,2,FALSE),0)</f>
        <v/>
      </c>
      <c r="J46">
        <f>IF($C46&lt;2026,0,(1-$B$3)*J45+I46)</f>
        <v/>
      </c>
      <c r="K46" s="19">
        <f>E46+J46</f>
        <v/>
      </c>
      <c r="L46">
        <f>EXP(G46+$B$2*LN(K46))</f>
        <v/>
      </c>
      <c r="M46">
        <f>L46-H46</f>
        <v/>
      </c>
      <c r="N46">
        <f>F46+M46</f>
        <v/>
      </c>
      <c r="O46">
        <f>IF($C46=2002,"",N46/N45-1)</f>
        <v/>
      </c>
      <c r="P46">
        <f>IF($C46=2002,"",F46/F45-1)</f>
        <v/>
      </c>
    </row>
    <row r="47">
      <c r="C47" t="n">
        <v>2013</v>
      </c>
      <c r="D47">
        <f>IF($C47&lt;=2023,E47/F47,AVERAGE($D$49:$D$57))</f>
        <v/>
      </c>
      <c r="E47" s="19">
        <f>IF($C47&lt;=2023,IFERROR(VLOOKUP($C47,PWT!$A$2:$C$35,3,FALSE),""),D47*F47)</f>
        <v/>
      </c>
      <c r="F47">
        <f>IFERROR(VLOOKUP($C47,WEO_Data!$B$8:$D$51,2,FALSE),"")</f>
        <v/>
      </c>
      <c r="G47">
        <f>L17</f>
        <v/>
      </c>
      <c r="H47">
        <f>EXP(G47+$B$2*LN(E47))</f>
        <v/>
      </c>
      <c r="I47">
        <f>IFERROR(VLOOKUP($C47,Investment!$B$2:$C$9,2,FALSE),0)</f>
        <v/>
      </c>
      <c r="J47">
        <f>IF($C47&lt;2026,0,(1-$B$3)*J46+I47)</f>
        <v/>
      </c>
      <c r="K47" s="19">
        <f>E47+J47</f>
        <v/>
      </c>
      <c r="L47">
        <f>EXP(G47+$B$2*LN(K47))</f>
        <v/>
      </c>
      <c r="M47">
        <f>L47-H47</f>
        <v/>
      </c>
      <c r="N47">
        <f>F47+M47</f>
        <v/>
      </c>
      <c r="O47">
        <f>IF($C47=2002,"",N47/N46-1)</f>
        <v/>
      </c>
      <c r="P47">
        <f>IF($C47=2002,"",F47/F46-1)</f>
        <v/>
      </c>
    </row>
    <row r="48">
      <c r="C48" t="n">
        <v>2014</v>
      </c>
      <c r="D48">
        <f>IF($C48&lt;=2023,E48/F48,AVERAGE($D$49:$D$57))</f>
        <v/>
      </c>
      <c r="E48" s="19">
        <f>IF($C48&lt;=2023,IFERROR(VLOOKUP($C48,PWT!$A$2:$C$35,3,FALSE),""),D48*F48)</f>
        <v/>
      </c>
      <c r="F48">
        <f>IFERROR(VLOOKUP($C48,WEO_Data!$B$8:$D$51,2,FALSE),"")</f>
        <v/>
      </c>
      <c r="G48">
        <f>L18</f>
        <v/>
      </c>
      <c r="H48">
        <f>EXP(G48+$B$2*LN(E48))</f>
        <v/>
      </c>
      <c r="I48">
        <f>IFERROR(VLOOKUP($C48,Investment!$B$2:$C$9,2,FALSE),0)</f>
        <v/>
      </c>
      <c r="J48">
        <f>IF($C48&lt;2026,0,(1-$B$3)*J47+I48)</f>
        <v/>
      </c>
      <c r="K48" s="19">
        <f>E48+J48</f>
        <v/>
      </c>
      <c r="L48">
        <f>EXP(G48+$B$2*LN(K48))</f>
        <v/>
      </c>
      <c r="M48">
        <f>L48-H48</f>
        <v/>
      </c>
      <c r="N48">
        <f>F48+M48</f>
        <v/>
      </c>
      <c r="O48">
        <f>IF($C48=2002,"",N48/N47-1)</f>
        <v/>
      </c>
      <c r="P48">
        <f>IF($C48=2002,"",F48/F47-1)</f>
        <v/>
      </c>
    </row>
    <row r="49">
      <c r="C49" t="n">
        <v>2015</v>
      </c>
      <c r="D49">
        <f>IF($C49&lt;=2023,E49/F49,AVERAGE($D$49:$D$57))</f>
        <v/>
      </c>
      <c r="E49" s="19">
        <f>IF($C49&lt;=2023,IFERROR(VLOOKUP($C49,PWT!$A$2:$C$35,3,FALSE),""),D49*F49)</f>
        <v/>
      </c>
      <c r="F49">
        <f>IFERROR(VLOOKUP($C49,WEO_Data!$B$8:$D$51,2,FALSE),"")</f>
        <v/>
      </c>
      <c r="G49">
        <f>L19</f>
        <v/>
      </c>
      <c r="H49">
        <f>EXP(G49+$B$2*LN(E49))</f>
        <v/>
      </c>
      <c r="I49">
        <f>IFERROR(VLOOKUP($C49,Investment!$B$2:$C$9,2,FALSE),0)</f>
        <v/>
      </c>
      <c r="J49">
        <f>IF($C49&lt;2026,0,(1-$B$3)*J48+I49)</f>
        <v/>
      </c>
      <c r="K49" s="19">
        <f>E49+J49</f>
        <v/>
      </c>
      <c r="L49">
        <f>EXP(G49+$B$2*LN(K49))</f>
        <v/>
      </c>
      <c r="M49">
        <f>L49-H49</f>
        <v/>
      </c>
      <c r="N49">
        <f>F49+M49</f>
        <v/>
      </c>
      <c r="O49">
        <f>IF($C49=2002,"",N49/N48-1)</f>
        <v/>
      </c>
      <c r="P49">
        <f>IF($C49=2002,"",F49/F48-1)</f>
        <v/>
      </c>
    </row>
    <row r="50">
      <c r="C50" t="n">
        <v>2016</v>
      </c>
      <c r="D50">
        <f>IF($C50&lt;=2023,E50/F50,AVERAGE($D$49:$D$57))</f>
        <v/>
      </c>
      <c r="E50" s="19">
        <f>IF($C50&lt;=2023,IFERROR(VLOOKUP($C50,PWT!$A$2:$C$35,3,FALSE),""),D50*F50)</f>
        <v/>
      </c>
      <c r="F50">
        <f>IFERROR(VLOOKUP($C50,WEO_Data!$B$8:$D$51,2,FALSE),"")</f>
        <v/>
      </c>
      <c r="G50">
        <f>L20</f>
        <v/>
      </c>
      <c r="H50">
        <f>EXP(G50+$B$2*LN(E50))</f>
        <v/>
      </c>
      <c r="I50">
        <f>IFERROR(VLOOKUP($C50,Investment!$B$2:$C$9,2,FALSE),0)</f>
        <v/>
      </c>
      <c r="J50">
        <f>IF($C50&lt;2026,0,(1-$B$3)*J49+I50)</f>
        <v/>
      </c>
      <c r="K50" s="19">
        <f>E50+J50</f>
        <v/>
      </c>
      <c r="L50">
        <f>EXP(G50+$B$2*LN(K50))</f>
        <v/>
      </c>
      <c r="M50">
        <f>L50-H50</f>
        <v/>
      </c>
      <c r="N50">
        <f>F50+M50</f>
        <v/>
      </c>
      <c r="O50">
        <f>IF($C50=2002,"",N50/N49-1)</f>
        <v/>
      </c>
      <c r="P50">
        <f>IF($C50=2002,"",F50/F49-1)</f>
        <v/>
      </c>
    </row>
    <row r="51">
      <c r="C51" t="n">
        <v>2017</v>
      </c>
      <c r="D51">
        <f>IF($C51&lt;=2023,E51/F51,AVERAGE($D$49:$D$57))</f>
        <v/>
      </c>
      <c r="E51" s="19">
        <f>IF($C51&lt;=2023,IFERROR(VLOOKUP($C51,PWT!$A$2:$C$35,3,FALSE),""),D51*F51)</f>
        <v/>
      </c>
      <c r="F51">
        <f>IFERROR(VLOOKUP($C51,WEO_Data!$B$8:$D$51,2,FALSE),"")</f>
        <v/>
      </c>
      <c r="G51">
        <f>L21</f>
        <v/>
      </c>
      <c r="H51">
        <f>EXP(G51+$B$2*LN(E51))</f>
        <v/>
      </c>
      <c r="I51">
        <f>IFERROR(VLOOKUP($C51,Investment!$B$2:$C$9,2,FALSE),0)</f>
        <v/>
      </c>
      <c r="J51">
        <f>IF($C51&lt;2026,0,(1-$B$3)*J50+I51)</f>
        <v/>
      </c>
      <c r="K51" s="19">
        <f>E51+J51</f>
        <v/>
      </c>
      <c r="L51">
        <f>EXP(G51+$B$2*LN(K51))</f>
        <v/>
      </c>
      <c r="M51">
        <f>L51-H51</f>
        <v/>
      </c>
      <c r="N51">
        <f>F51+M51</f>
        <v/>
      </c>
      <c r="O51">
        <f>IF($C51=2002,"",N51/N50-1)</f>
        <v/>
      </c>
      <c r="P51">
        <f>IF($C51=2002,"",F51/F50-1)</f>
        <v/>
      </c>
    </row>
    <row r="52">
      <c r="C52" t="n">
        <v>2018</v>
      </c>
      <c r="D52">
        <f>IF($C52&lt;=2023,E52/F52,AVERAGE($D$49:$D$57))</f>
        <v/>
      </c>
      <c r="E52" s="19">
        <f>IF($C52&lt;=2023,IFERROR(VLOOKUP($C52,PWT!$A$2:$C$35,3,FALSE),""),D52*F52)</f>
        <v/>
      </c>
      <c r="F52">
        <f>IFERROR(VLOOKUP($C52,WEO_Data!$B$8:$D$51,2,FALSE),"")</f>
        <v/>
      </c>
      <c r="G52">
        <f>L22</f>
        <v/>
      </c>
      <c r="H52">
        <f>EXP(G52+$B$2*LN(E52))</f>
        <v/>
      </c>
      <c r="I52">
        <f>IFERROR(VLOOKUP($C52,Investment!$B$2:$C$9,2,FALSE),0)</f>
        <v/>
      </c>
      <c r="J52">
        <f>IF($C52&lt;2026,0,(1-$B$3)*J51+I52)</f>
        <v/>
      </c>
      <c r="K52" s="19">
        <f>E52+J52</f>
        <v/>
      </c>
      <c r="L52">
        <f>EXP(G52+$B$2*LN(K52))</f>
        <v/>
      </c>
      <c r="M52">
        <f>L52-H52</f>
        <v/>
      </c>
      <c r="N52">
        <f>F52+M52</f>
        <v/>
      </c>
      <c r="O52">
        <f>IF($C52=2002,"",N52/N51-1)</f>
        <v/>
      </c>
      <c r="P52">
        <f>IF($C52=2002,"",F52/F51-1)</f>
        <v/>
      </c>
    </row>
    <row r="53">
      <c r="C53" t="n">
        <v>2019</v>
      </c>
      <c r="D53">
        <f>IF($C53&lt;=2023,E53/F53,AVERAGE($D$49:$D$57))</f>
        <v/>
      </c>
      <c r="E53" s="19">
        <f>IF($C53&lt;=2023,IFERROR(VLOOKUP($C53,PWT!$A$2:$C$35,3,FALSE),""),D53*F53)</f>
        <v/>
      </c>
      <c r="F53">
        <f>IFERROR(VLOOKUP($C53,WEO_Data!$B$8:$D$51,2,FALSE),"")</f>
        <v/>
      </c>
      <c r="G53">
        <f>L23</f>
        <v/>
      </c>
      <c r="H53">
        <f>EXP(G53+$B$2*LN(E53))</f>
        <v/>
      </c>
      <c r="I53">
        <f>IFERROR(VLOOKUP($C53,Investment!$B$2:$C$9,2,FALSE),0)</f>
        <v/>
      </c>
      <c r="J53">
        <f>IF($C53&lt;2026,0,(1-$B$3)*J52+I53)</f>
        <v/>
      </c>
      <c r="K53" s="19">
        <f>E53+J53</f>
        <v/>
      </c>
      <c r="L53">
        <f>EXP(G53+$B$2*LN(K53))</f>
        <v/>
      </c>
      <c r="M53">
        <f>L53-H53</f>
        <v/>
      </c>
      <c r="N53">
        <f>F53+M53</f>
        <v/>
      </c>
      <c r="O53">
        <f>IF($C53=2002,"",N53/N52-1)</f>
        <v/>
      </c>
      <c r="P53">
        <f>IF($C53=2002,"",F53/F52-1)</f>
        <v/>
      </c>
    </row>
    <row r="54">
      <c r="C54" t="n">
        <v>2020</v>
      </c>
      <c r="D54">
        <f>IF($C54&lt;=2023,E54/F54,AVERAGE($D$49:$D$57))</f>
        <v/>
      </c>
      <c r="E54" s="19">
        <f>IF($C54&lt;=2023,IFERROR(VLOOKUP($C54,PWT!$A$2:$C$35,3,FALSE),""),D54*F54)</f>
        <v/>
      </c>
      <c r="F54">
        <f>IFERROR(VLOOKUP($C54,WEO_Data!$B$8:$D$51,2,FALSE),"")</f>
        <v/>
      </c>
      <c r="G54">
        <f>L24</f>
        <v/>
      </c>
      <c r="H54">
        <f>EXP(G54+$B$2*LN(E54))</f>
        <v/>
      </c>
      <c r="I54">
        <f>IFERROR(VLOOKUP($C54,Investment!$B$2:$C$9,2,FALSE),0)</f>
        <v/>
      </c>
      <c r="J54">
        <f>IF($C54&lt;2026,0,(1-$B$3)*J53+I54)</f>
        <v/>
      </c>
      <c r="K54" s="19">
        <f>E54+J54</f>
        <v/>
      </c>
      <c r="L54">
        <f>EXP(G54+$B$2*LN(K54))</f>
        <v/>
      </c>
      <c r="M54">
        <f>L54-H54</f>
        <v/>
      </c>
      <c r="N54">
        <f>F54+M54</f>
        <v/>
      </c>
      <c r="O54">
        <f>IF($C54=2002,"",N54/N53-1)</f>
        <v/>
      </c>
      <c r="P54">
        <f>IF($C54=2002,"",F54/F53-1)</f>
        <v/>
      </c>
    </row>
    <row r="55">
      <c r="C55" t="n">
        <v>2021</v>
      </c>
      <c r="D55">
        <f>IF($C55&lt;=2023,E55/F55,AVERAGE($D$49:$D$57))</f>
        <v/>
      </c>
      <c r="E55" s="19">
        <f>IF($C55&lt;=2023,IFERROR(VLOOKUP($C55,PWT!$A$2:$C$35,3,FALSE),""),D55*F55)</f>
        <v/>
      </c>
      <c r="F55">
        <f>IFERROR(VLOOKUP($C55,WEO_Data!$B$8:$D$51,2,FALSE),"")</f>
        <v/>
      </c>
      <c r="G55">
        <f>L25</f>
        <v/>
      </c>
      <c r="H55">
        <f>EXP(G55+$B$2*LN(E55))</f>
        <v/>
      </c>
      <c r="I55">
        <f>IFERROR(VLOOKUP($C55,Investment!$B$2:$C$9,2,FALSE),0)</f>
        <v/>
      </c>
      <c r="J55">
        <f>IF($C55&lt;2026,0,(1-$B$3)*J54+I55)</f>
        <v/>
      </c>
      <c r="K55" s="19">
        <f>E55+J55</f>
        <v/>
      </c>
      <c r="L55">
        <f>EXP(G55+$B$2*LN(K55))</f>
        <v/>
      </c>
      <c r="M55">
        <f>L55-H55</f>
        <v/>
      </c>
      <c r="N55">
        <f>F55+M55</f>
        <v/>
      </c>
      <c r="O55">
        <f>IF($C55=2002,"",N55/N54-1)</f>
        <v/>
      </c>
      <c r="P55">
        <f>IF($C55=2002,"",F55/F54-1)</f>
        <v/>
      </c>
    </row>
    <row r="56">
      <c r="C56" t="n">
        <v>2022</v>
      </c>
      <c r="D56">
        <f>IF($C56&lt;=2023,E56/F56,AVERAGE($D$49:$D$57))</f>
        <v/>
      </c>
      <c r="E56" s="19">
        <f>IF($C56&lt;=2023,IFERROR(VLOOKUP($C56,PWT!$A$2:$C$35,3,FALSE),""),D56*F56)</f>
        <v/>
      </c>
      <c r="F56">
        <f>IFERROR(VLOOKUP($C56,WEO_Data!$B$8:$D$51,2,FALSE),"")</f>
        <v/>
      </c>
      <c r="G56">
        <f>L26</f>
        <v/>
      </c>
      <c r="H56">
        <f>EXP(G56+$B$2*LN(E56))</f>
        <v/>
      </c>
      <c r="I56">
        <f>IFERROR(VLOOKUP($C56,Investment!$B$2:$C$9,2,FALSE),0)</f>
        <v/>
      </c>
      <c r="J56">
        <f>IF($C56&lt;2026,0,(1-$B$3)*J55+I56)</f>
        <v/>
      </c>
      <c r="K56" s="19">
        <f>E56+J56</f>
        <v/>
      </c>
      <c r="L56">
        <f>EXP(G56+$B$2*LN(K56))</f>
        <v/>
      </c>
      <c r="M56">
        <f>L56-H56</f>
        <v/>
      </c>
      <c r="N56">
        <f>F56+M56</f>
        <v/>
      </c>
      <c r="O56">
        <f>IF($C56=2002,"",N56/N55-1)</f>
        <v/>
      </c>
      <c r="P56">
        <f>IF($C56=2002,"",F56/F55-1)</f>
        <v/>
      </c>
    </row>
    <row r="57">
      <c r="C57" t="n">
        <v>2023</v>
      </c>
      <c r="D57">
        <f>IF($C57&lt;=2023,E57/F57,AVERAGE($D$49:$D$57))</f>
        <v/>
      </c>
      <c r="E57" s="19">
        <f>IF($C57&lt;=2023,IFERROR(VLOOKUP($C57,PWT!$A$2:$C$35,3,FALSE),""),D57*F57)</f>
        <v/>
      </c>
      <c r="F57">
        <f>IFERROR(VLOOKUP($C57,WEO_Data!$B$8:$D$51,2,FALSE),"")</f>
        <v/>
      </c>
      <c r="G57">
        <f>L27</f>
        <v/>
      </c>
      <c r="H57">
        <f>EXP(G57+$B$2*LN(E57))</f>
        <v/>
      </c>
      <c r="I57">
        <f>IFERROR(VLOOKUP($C57,Investment!$B$2:$C$9,2,FALSE),0)</f>
        <v/>
      </c>
      <c r="J57">
        <f>IF($C57&lt;2026,0,(1-$B$3)*J56+I57)</f>
        <v/>
      </c>
      <c r="K57" s="19">
        <f>E57+J57</f>
        <v/>
      </c>
      <c r="L57">
        <f>EXP(G57+$B$2*LN(K57))</f>
        <v/>
      </c>
      <c r="M57">
        <f>L57-H57</f>
        <v/>
      </c>
      <c r="N57">
        <f>F57+M57</f>
        <v/>
      </c>
      <c r="O57">
        <f>IF($C57=2002,"",N57/N56-1)</f>
        <v/>
      </c>
      <c r="P57">
        <f>IF($C57=2002,"",F57/F56-1)</f>
        <v/>
      </c>
    </row>
    <row r="58">
      <c r="C58" t="n">
        <v>2024</v>
      </c>
      <c r="D58">
        <f>IF($C58&lt;=2023,E58/F58,AVERAGE($D$49:$D$57))</f>
        <v/>
      </c>
      <c r="E58" s="21">
        <f>IF($C58&lt;=2023,IFERROR(VLOOKUP($C58,PWT!$A$2:$C$35,3,FALSE),""),D58*F58)</f>
        <v/>
      </c>
      <c r="F58">
        <f>IFERROR(VLOOKUP($C58,WEO_Data!$B$8:$D$51,2,FALSE),"")</f>
        <v/>
      </c>
      <c r="G58" s="20">
        <f>TREND($G$36:$G$57,$C$36:$C$57,C58)</f>
        <v/>
      </c>
      <c r="H58">
        <f>EXP(G58+$B$2*LN(E58))</f>
        <v/>
      </c>
      <c r="I58">
        <f>IFERROR(VLOOKUP($C58,Investment!$B$2:$C$9,2,FALSE),0)</f>
        <v/>
      </c>
      <c r="J58">
        <f>IF($C58&lt;2026,0,(1-$B$3)*J57+I58)</f>
        <v/>
      </c>
      <c r="K58" s="19">
        <f>E58+J58</f>
        <v/>
      </c>
      <c r="L58">
        <f>EXP(G58+$B$2*LN(K58))</f>
        <v/>
      </c>
      <c r="M58">
        <f>L58-H58</f>
        <v/>
      </c>
      <c r="N58">
        <f>F58+M58</f>
        <v/>
      </c>
      <c r="O58">
        <f>IF($C58=2002,"",N58/N57-1)</f>
        <v/>
      </c>
      <c r="P58">
        <f>IF($C58=2002,"",F58/F57-1)</f>
        <v/>
      </c>
    </row>
    <row r="59">
      <c r="C59" t="n">
        <v>2025</v>
      </c>
      <c r="D59">
        <f>IF($C59&lt;=2023,E59/F59,AVERAGE($D$49:$D$57))</f>
        <v/>
      </c>
      <c r="E59" s="21">
        <f>IF($C59&lt;=2023,IFERROR(VLOOKUP($C59,PWT!$A$2:$C$35,3,FALSE),""),D59*F59)</f>
        <v/>
      </c>
      <c r="F59">
        <f>IFERROR(VLOOKUP($C59,WEO_Data!$B$8:$D$51,2,FALSE),"")</f>
        <v/>
      </c>
      <c r="G59" s="20">
        <f>TREND($G$36:$G$57,$C$36:$C$57,C59)</f>
        <v/>
      </c>
      <c r="H59">
        <f>EXP(G59+$B$2*LN(E59))</f>
        <v/>
      </c>
      <c r="I59">
        <f>IFERROR(VLOOKUP($C59,Investment!$B$2:$C$9,2,FALSE),0)</f>
        <v/>
      </c>
      <c r="J59">
        <f>IF($C59&lt;2026,0,(1-$B$3)*J58+I59)</f>
        <v/>
      </c>
      <c r="K59" s="19">
        <f>E59+J59</f>
        <v/>
      </c>
      <c r="L59">
        <f>EXP(G59+$B$2*LN(K59))</f>
        <v/>
      </c>
      <c r="M59">
        <f>L59-H59</f>
        <v/>
      </c>
      <c r="N59">
        <f>F59+M59</f>
        <v/>
      </c>
      <c r="O59">
        <f>IF($C59=2002,"",N59/N58-1)</f>
        <v/>
      </c>
      <c r="P59">
        <f>IF($C59=2002,"",F59/F58-1)</f>
        <v/>
      </c>
    </row>
    <row r="60">
      <c r="C60" t="n">
        <v>2026</v>
      </c>
      <c r="D60">
        <f>IF($C60&lt;=2023,E60/F60,AVERAGE($D$49:$D$57))</f>
        <v/>
      </c>
      <c r="E60" s="21">
        <f>IF($C60&lt;=2023,IFERROR(VLOOKUP($C60,PWT!$A$2:$C$35,3,FALSE),""),D60*F60)</f>
        <v/>
      </c>
      <c r="F60" s="20">
        <f>IFERROR(VLOOKUP($C60,WEO_Data!$B$8:$D$51,2,FALSE),"")</f>
        <v/>
      </c>
      <c r="G60" s="20">
        <f>TREND($G$36:$G$57,$C$36:$C$57,C60)</f>
        <v/>
      </c>
      <c r="H60">
        <f>EXP(G60+$B$2*LN(E60))</f>
        <v/>
      </c>
      <c r="I60" s="17">
        <f>IFERROR(VLOOKUP($C60,Investment!$B$2:$C$9,2,FALSE),0)</f>
        <v/>
      </c>
      <c r="J60">
        <f>IF($C60&lt;2026,0,(1-$B$3)*J59+I60)</f>
        <v/>
      </c>
      <c r="K60" s="19">
        <f>E60+J60</f>
        <v/>
      </c>
      <c r="L60">
        <f>EXP(G60+$B$2*LN(K60))</f>
        <v/>
      </c>
      <c r="M60">
        <f>L60-H60</f>
        <v/>
      </c>
      <c r="N60">
        <f>F60+M60</f>
        <v/>
      </c>
      <c r="O60">
        <f>IF($C60=2002,"",N60/N59-1)</f>
        <v/>
      </c>
      <c r="P60">
        <f>IF($C60=2002,"",F60/F59-1)</f>
        <v/>
      </c>
    </row>
    <row r="61">
      <c r="C61" t="n">
        <v>2027</v>
      </c>
      <c r="D61">
        <f>IF($C61&lt;=2023,E61/F61,AVERAGE($D$49:$D$57))</f>
        <v/>
      </c>
      <c r="E61" s="21">
        <f>IF($C61&lt;=2023,IFERROR(VLOOKUP($C61,PWT!$A$2:$C$35,3,FALSE),""),D61*F61)</f>
        <v/>
      </c>
      <c r="F61" s="20">
        <f>IFERROR(VLOOKUP($C61,WEO_Data!$B$8:$D$51,2,FALSE),"")</f>
        <v/>
      </c>
      <c r="G61" s="20">
        <f>TREND($G$36:$G$57,$C$36:$C$57,C61)</f>
        <v/>
      </c>
      <c r="H61">
        <f>EXP(G61+$B$2*LN(E61))</f>
        <v/>
      </c>
      <c r="I61" s="17">
        <f>IFERROR(VLOOKUP($C61,Investment!$B$2:$C$9,2,FALSE),0)</f>
        <v/>
      </c>
      <c r="J61">
        <f>IF($C61&lt;2026,0,(1-$B$3)*J60+I61)</f>
        <v/>
      </c>
      <c r="K61" s="19">
        <f>E61+J61</f>
        <v/>
      </c>
      <c r="L61">
        <f>EXP(G61+$B$2*LN(K61))</f>
        <v/>
      </c>
      <c r="M61">
        <f>L61-H61</f>
        <v/>
      </c>
      <c r="N61">
        <f>F61+M61</f>
        <v/>
      </c>
      <c r="O61">
        <f>IF($C61=2002,"",N61/N60-1)</f>
        <v/>
      </c>
      <c r="P61">
        <f>IF($C61=2002,"",F61/F60-1)</f>
        <v/>
      </c>
    </row>
    <row r="62">
      <c r="C62" t="n">
        <v>2028</v>
      </c>
      <c r="D62">
        <f>IF($C62&lt;=2023,E62/F62,AVERAGE($D$49:$D$57))</f>
        <v/>
      </c>
      <c r="E62" s="21">
        <f>IF($C62&lt;=2023,IFERROR(VLOOKUP($C62,PWT!$A$2:$C$35,3,FALSE),""),D62*F62)</f>
        <v/>
      </c>
      <c r="F62" s="20">
        <f>IFERROR(VLOOKUP($C62,WEO_Data!$B$8:$D$51,2,FALSE),"")</f>
        <v/>
      </c>
      <c r="G62" s="20">
        <f>TREND($G$36:$G$57,$C$36:$C$57,C62)</f>
        <v/>
      </c>
      <c r="H62">
        <f>EXP(G62+$B$2*LN(E62))</f>
        <v/>
      </c>
      <c r="I62" s="17">
        <f>IFERROR(VLOOKUP($C62,Investment!$B$2:$C$9,2,FALSE),0)</f>
        <v/>
      </c>
      <c r="J62">
        <f>IF($C62&lt;2026,0,(1-$B$3)*J61+I62)</f>
        <v/>
      </c>
      <c r="K62" s="19">
        <f>E62+J62</f>
        <v/>
      </c>
      <c r="L62">
        <f>EXP(G62+$B$2*LN(K62))</f>
        <v/>
      </c>
      <c r="M62">
        <f>L62-H62</f>
        <v/>
      </c>
      <c r="N62">
        <f>F62+M62</f>
        <v/>
      </c>
      <c r="O62">
        <f>IF($C62=2002,"",N62/N61-1)</f>
        <v/>
      </c>
      <c r="P62">
        <f>IF($C62=2002,"",F62/F61-1)</f>
        <v/>
      </c>
    </row>
    <row r="63">
      <c r="C63" t="n">
        <v>2029</v>
      </c>
      <c r="D63">
        <f>IF($C63&lt;=2023,E63/F63,AVERAGE($D$49:$D$57))</f>
        <v/>
      </c>
      <c r="E63" s="21">
        <f>IF($C63&lt;=2023,IFERROR(VLOOKUP($C63,PWT!$A$2:$C$35,3,FALSE),""),D63*F63)</f>
        <v/>
      </c>
      <c r="F63" s="20">
        <f>IFERROR(VLOOKUP($C63,WEO_Data!$B$8:$D$51,2,FALSE),"")</f>
        <v/>
      </c>
      <c r="G63" s="20">
        <f>TREND($G$36:$G$57,$C$36:$C$57,C63)</f>
        <v/>
      </c>
      <c r="H63">
        <f>EXP(G63+$B$2*LN(E63))</f>
        <v/>
      </c>
      <c r="I63" s="17">
        <f>IFERROR(VLOOKUP($C63,Investment!$B$2:$C$9,2,FALSE),0)</f>
        <v/>
      </c>
      <c r="J63">
        <f>IF($C63&lt;2026,0,(1-$B$3)*J62+I63)</f>
        <v/>
      </c>
      <c r="K63" s="19">
        <f>E63+J63</f>
        <v/>
      </c>
      <c r="L63">
        <f>EXP(G63+$B$2*LN(K63))</f>
        <v/>
      </c>
      <c r="M63">
        <f>L63-H63</f>
        <v/>
      </c>
      <c r="N63">
        <f>F63+M63</f>
        <v/>
      </c>
      <c r="O63">
        <f>IF($C63=2002,"",N63/N62-1)</f>
        <v/>
      </c>
      <c r="P63">
        <f>IF($C63=2002,"",F63/F62-1)</f>
        <v/>
      </c>
    </row>
    <row r="64">
      <c r="C64" t="n">
        <v>2030</v>
      </c>
      <c r="D64">
        <f>IF($C64&lt;=2023,E64/F64,AVERAGE($D$49:$D$57))</f>
        <v/>
      </c>
      <c r="E64" s="21">
        <f>IF($C64&lt;=2023,IFERROR(VLOOKUP($C64,PWT!$A$2:$C$35,3,FALSE),""),D64*F64)</f>
        <v/>
      </c>
      <c r="F64" s="20">
        <f>IFERROR(VLOOKUP($C64,WEO_Data!$B$8:$D$51,2,FALSE),"")</f>
        <v/>
      </c>
      <c r="G64" s="20">
        <f>TREND($G$36:$G$57,$C$36:$C$57,C64)</f>
        <v/>
      </c>
      <c r="H64">
        <f>EXP(G64+$B$2*LN(E64))</f>
        <v/>
      </c>
      <c r="I64" s="17">
        <f>IFERROR(VLOOKUP($C64,Investment!$B$2:$C$9,2,FALSE),0)</f>
        <v/>
      </c>
      <c r="J64">
        <f>IF($C64&lt;2026,0,(1-$B$3)*J63+I64)</f>
        <v/>
      </c>
      <c r="K64" s="19">
        <f>E64+J64</f>
        <v/>
      </c>
      <c r="L64">
        <f>EXP(G64+$B$2*LN(K64))</f>
        <v/>
      </c>
      <c r="M64">
        <f>L64-H64</f>
        <v/>
      </c>
      <c r="N64">
        <f>F64+M64</f>
        <v/>
      </c>
      <c r="O64">
        <f>IF($C64=2002,"",N64/N63-1)</f>
        <v/>
      </c>
      <c r="P64">
        <f>IF($C64=2002,"",F64/F63-1)</f>
        <v/>
      </c>
    </row>
    <row r="65">
      <c r="C65" t="n">
        <v>2031</v>
      </c>
      <c r="D65">
        <f>IF($C65&lt;=2023,E65/F65,AVERAGE($D$49:$D$57))</f>
        <v/>
      </c>
      <c r="E65" s="21">
        <f>IF($C65&lt;=2023,IFERROR(VLOOKUP($C65,PWT!$A$2:$C$35,3,FALSE),""),D65*F65)</f>
        <v/>
      </c>
      <c r="F65" s="20">
        <f>IFERROR(VLOOKUP($C65,WEO_Data!$B$8:$D$51,2,FALSE),"")</f>
        <v/>
      </c>
      <c r="G65" s="20">
        <f>TREND($G$36:$G$57,$C$36:$C$57,C65)</f>
        <v/>
      </c>
      <c r="H65">
        <f>EXP(G65+$B$2*LN(E65))</f>
        <v/>
      </c>
      <c r="I65" s="17">
        <f>IFERROR(VLOOKUP($C65,Investment!$B$2:$C$9,2,FALSE),0)</f>
        <v/>
      </c>
      <c r="J65">
        <f>IF($C65&lt;2026,0,(1-$B$3)*J64+I65)</f>
        <v/>
      </c>
      <c r="K65" s="19">
        <f>E65+J65</f>
        <v/>
      </c>
      <c r="L65">
        <f>EXP(G65+$B$2*LN(K65))</f>
        <v/>
      </c>
      <c r="M65">
        <f>L65-H65</f>
        <v/>
      </c>
      <c r="N65">
        <f>F65+M65</f>
        <v/>
      </c>
      <c r="O65">
        <f>IF($C65=2002,"",N65/N64-1)</f>
        <v/>
      </c>
      <c r="P65">
        <f>IF($C65=2002,"",F65/F64-1)</f>
        <v/>
      </c>
    </row>
    <row r="66">
      <c r="C66" t="n">
        <v>2032</v>
      </c>
      <c r="D66">
        <f>IF($C66&lt;=2023,E66/F66,AVERAGE($D$49:$D$57))</f>
        <v/>
      </c>
      <c r="E66" s="21">
        <f>IF($C66&lt;=2023,IFERROR(VLOOKUP($C66,PWT!$A$2:$C$35,3,FALSE),""),D66*F66)</f>
        <v/>
      </c>
      <c r="F66" s="20">
        <f>IFERROR(VLOOKUP($C66,WEO_Data!$B$8:$D$51,2,FALSE),"")</f>
        <v/>
      </c>
      <c r="G66" s="20">
        <f>TREND($G$36:$G$57,$C$36:$C$57,C66)</f>
        <v/>
      </c>
      <c r="H66">
        <f>EXP(G66+$B$2*LN(E66))</f>
        <v/>
      </c>
      <c r="I66" s="17">
        <f>IFERROR(VLOOKUP($C66,Investment!$B$2:$C$9,2,FALSE),0)</f>
        <v/>
      </c>
      <c r="J66">
        <f>IF($C66&lt;2026,0,(1-$B$3)*J65+I66)</f>
        <v/>
      </c>
      <c r="K66" s="19">
        <f>E66+J66</f>
        <v/>
      </c>
      <c r="L66">
        <f>EXP(G66+$B$2*LN(K66))</f>
        <v/>
      </c>
      <c r="M66">
        <f>L66-H66</f>
        <v/>
      </c>
      <c r="N66">
        <f>F66+M66</f>
        <v/>
      </c>
      <c r="O66">
        <f>IF($C66=2002,"",N66/N65-1)</f>
        <v/>
      </c>
      <c r="P66">
        <f>IF($C66=2002,"",F66/F65-1)</f>
        <v/>
      </c>
    </row>
    <row r="67">
      <c r="C67" t="n">
        <v>2033</v>
      </c>
      <c r="D67">
        <f>IF($C67&lt;=2023,E67/F67,AVERAGE($D$49:$D$57))</f>
        <v/>
      </c>
      <c r="E67" s="21">
        <f>IF($C67&lt;=2023,IFERROR(VLOOKUP($C67,PWT!$A$2:$C$35,3,FALSE),""),D67*F67)</f>
        <v/>
      </c>
      <c r="F67" s="20">
        <f>IFERROR(VLOOKUP($C67,WEO_Data!$B$8:$D$51,2,FALSE),"")</f>
        <v/>
      </c>
      <c r="G67" s="20">
        <f>TREND($G$36:$G$57,$C$36:$C$57,C67)</f>
        <v/>
      </c>
      <c r="H67">
        <f>EXP(G67+$B$2*LN(E67))</f>
        <v/>
      </c>
      <c r="I67" s="17">
        <f>IFERROR(VLOOKUP($C67,Investment!$B$2:$C$9,2,FALSE),0)</f>
        <v/>
      </c>
      <c r="J67">
        <f>IF($C67&lt;2026,0,(1-$B$3)*J66+I67)</f>
        <v/>
      </c>
      <c r="K67" s="19">
        <f>E67+J67</f>
        <v/>
      </c>
      <c r="L67">
        <f>EXP(G67+$B$2*LN(K67))</f>
        <v/>
      </c>
      <c r="M67">
        <f>L67-H67</f>
        <v/>
      </c>
      <c r="N67">
        <f>F67+M67</f>
        <v/>
      </c>
      <c r="O67">
        <f>IF($C67=2002,"",N67/N66-1)</f>
        <v/>
      </c>
      <c r="P67">
        <f>IF($C67=2002,"",F67/F66-1)</f>
        <v/>
      </c>
    </row>
    <row r="68">
      <c r="C68" t="n">
        <v>2034</v>
      </c>
      <c r="D68">
        <f>IF($C68&lt;=2023,E68/F68,AVERAGE($D$49:$D$57))</f>
        <v/>
      </c>
      <c r="E68" s="21">
        <f>IF($C68&lt;=2023,IFERROR(VLOOKUP($C68,PWT!$A$2:$C$35,3,FALSE),""),D68*F68)</f>
        <v/>
      </c>
      <c r="F68" s="20">
        <f>IFERROR(VLOOKUP($C68,WEO_Data!$B$8:$D$51,2,FALSE),"")</f>
        <v/>
      </c>
      <c r="G68" s="20">
        <f>TREND($G$36:$G$57,$C$36:$C$57,C68)</f>
        <v/>
      </c>
      <c r="H68">
        <f>EXP(G68+$B$2*LN(E68))</f>
        <v/>
      </c>
      <c r="I68">
        <f>IFERROR(VLOOKUP($C68,Investment!$B$2:$C$9,2,FALSE),0)</f>
        <v/>
      </c>
      <c r="J68">
        <f>IF($C68&lt;2026,0,(1-$B$3)*J67+I68)</f>
        <v/>
      </c>
      <c r="K68" s="19">
        <f>E68+J68</f>
        <v/>
      </c>
      <c r="L68">
        <f>EXP(G68+$B$2*LN(K68))</f>
        <v/>
      </c>
      <c r="M68">
        <f>L68-H68</f>
        <v/>
      </c>
      <c r="N68">
        <f>F68+M68</f>
        <v/>
      </c>
      <c r="O68">
        <f>IF($C68=2002,"",N68/N67-1)</f>
        <v/>
      </c>
      <c r="P68">
        <f>IF($C68=2002,"",F68/F67-1)</f>
        <v/>
      </c>
    </row>
    <row r="69">
      <c r="C69" t="n">
        <v>2035</v>
      </c>
      <c r="D69">
        <f>IF($C69&lt;=2023,E69/F69,AVERAGE($D$49:$D$57))</f>
        <v/>
      </c>
      <c r="E69" s="21">
        <f>IF($C69&lt;=2023,IFERROR(VLOOKUP($C69,PWT!$A$2:$C$35,3,FALSE),""),D69*F69)</f>
        <v/>
      </c>
      <c r="F69" s="20">
        <f>IFERROR(VLOOKUP($C69,WEO_Data!$B$8:$D$51,2,FALSE),"")</f>
        <v/>
      </c>
      <c r="G69" s="20">
        <f>TREND($G$36:$G$57,$C$36:$C$57,C69)</f>
        <v/>
      </c>
      <c r="H69">
        <f>EXP(G69+$B$2*LN(E69))</f>
        <v/>
      </c>
      <c r="I69">
        <f>IFERROR(VLOOKUP($C69,Investment!$B$2:$C$9,2,FALSE),0)</f>
        <v/>
      </c>
      <c r="J69">
        <f>IF($C69&lt;2026,0,(1-$B$3)*J68+I69)</f>
        <v/>
      </c>
      <c r="K69" s="19">
        <f>E69+J69</f>
        <v/>
      </c>
      <c r="L69">
        <f>EXP(G69+$B$2*LN(K69))</f>
        <v/>
      </c>
      <c r="M69">
        <f>L69-H69</f>
        <v/>
      </c>
      <c r="N69">
        <f>F69+M69</f>
        <v/>
      </c>
      <c r="O69">
        <f>IF($C69=2002,"",N69/N68-1)</f>
        <v/>
      </c>
      <c r="P69">
        <f>IF($C69=2002,"",F69/F68-1)</f>
        <v/>
      </c>
    </row>
    <row r="70">
      <c r="C70" t="n">
        <v>2036</v>
      </c>
      <c r="D70">
        <f>IF($C70&lt;=2023,E70/F70,AVERAGE($D$49:$D$57))</f>
        <v/>
      </c>
      <c r="E70" s="21">
        <f>IF($C70&lt;=2023,IFERROR(VLOOKUP($C70,PWT!$A$2:$C$35,3,FALSE),""),D70*F70)</f>
        <v/>
      </c>
      <c r="F70" s="20">
        <f>IFERROR(VLOOKUP($C70,WEO_Data!$B$8:$D$51,2,FALSE),"")</f>
        <v/>
      </c>
      <c r="G70" s="20">
        <f>TREND($G$36:$G$57,$C$36:$C$57,C70)</f>
        <v/>
      </c>
      <c r="H70">
        <f>EXP(G70+$B$2*LN(E70))</f>
        <v/>
      </c>
      <c r="I70">
        <f>IFERROR(VLOOKUP($C70,Investment!$B$2:$C$9,2,FALSE),0)</f>
        <v/>
      </c>
      <c r="J70">
        <f>IF($C70&lt;2026,0,(1-$B$3)*J69+I70)</f>
        <v/>
      </c>
      <c r="K70" s="19">
        <f>E70+J70</f>
        <v/>
      </c>
      <c r="L70">
        <f>EXP(G70+$B$2*LN(K70))</f>
        <v/>
      </c>
      <c r="M70">
        <f>L70-H70</f>
        <v/>
      </c>
      <c r="N70">
        <f>F70+M70</f>
        <v/>
      </c>
      <c r="O70">
        <f>IF($C70=2002,"",N70/N69-1)</f>
        <v/>
      </c>
      <c r="P70">
        <f>IF($C70=2002,"",F70/F69-1)</f>
        <v/>
      </c>
    </row>
    <row r="71">
      <c r="C71" t="n">
        <v>2037</v>
      </c>
      <c r="D71">
        <f>IF($C71&lt;=2023,E71/F71,AVERAGE($D$49:$D$57))</f>
        <v/>
      </c>
      <c r="E71" s="21">
        <f>IF($C71&lt;=2023,IFERROR(VLOOKUP($C71,PWT!$A$2:$C$35,3,FALSE),""),D71*F71)</f>
        <v/>
      </c>
      <c r="F71" s="20">
        <f>IFERROR(VLOOKUP($C71,WEO_Data!$B$8:$D$51,2,FALSE),"")</f>
        <v/>
      </c>
      <c r="G71" s="20">
        <f>TREND($G$36:$G$57,$C$36:$C$57,C71)</f>
        <v/>
      </c>
      <c r="H71">
        <f>EXP(G71+$B$2*LN(E71))</f>
        <v/>
      </c>
      <c r="I71">
        <f>IFERROR(VLOOKUP($C71,Investment!$B$2:$C$9,2,FALSE),0)</f>
        <v/>
      </c>
      <c r="J71">
        <f>IF($C71&lt;2026,0,(1-$B$3)*J70+I71)</f>
        <v/>
      </c>
      <c r="K71" s="19">
        <f>E71+J71</f>
        <v/>
      </c>
      <c r="L71">
        <f>EXP(G71+$B$2*LN(K71))</f>
        <v/>
      </c>
      <c r="M71">
        <f>L71-H71</f>
        <v/>
      </c>
      <c r="N71">
        <f>F71+M71</f>
        <v/>
      </c>
      <c r="O71">
        <f>IF($C71=2002,"",N71/N70-1)</f>
        <v/>
      </c>
      <c r="P71">
        <f>IF($C71=2002,"",F71/F70-1)</f>
        <v/>
      </c>
    </row>
    <row r="72">
      <c r="C72" t="n">
        <v>2038</v>
      </c>
      <c r="D72">
        <f>IF($C72&lt;=2023,E72/F72,AVERAGE($D$49:$D$57))</f>
        <v/>
      </c>
      <c r="E72" s="21">
        <f>IF($C72&lt;=2023,IFERROR(VLOOKUP($C72,PWT!$A$2:$C$35,3,FALSE),""),D72*F72)</f>
        <v/>
      </c>
      <c r="F72" s="20">
        <f>IFERROR(VLOOKUP($C72,WEO_Data!$B$8:$D$51,2,FALSE),"")</f>
        <v/>
      </c>
      <c r="G72" s="20">
        <f>TREND($G$36:$G$57,$C$36:$C$57,C72)</f>
        <v/>
      </c>
      <c r="H72">
        <f>EXP(G72+$B$2*LN(E72))</f>
        <v/>
      </c>
      <c r="I72">
        <f>IFERROR(VLOOKUP($C72,Investment!$B$2:$C$9,2,FALSE),0)</f>
        <v/>
      </c>
      <c r="J72">
        <f>IF($C72&lt;2026,0,(1-$B$3)*J71+I72)</f>
        <v/>
      </c>
      <c r="K72" s="19">
        <f>E72+J72</f>
        <v/>
      </c>
      <c r="L72">
        <f>EXP(G72+$B$2*LN(K72))</f>
        <v/>
      </c>
      <c r="M72">
        <f>L72-H72</f>
        <v/>
      </c>
      <c r="N72">
        <f>F72+M72</f>
        <v/>
      </c>
      <c r="O72">
        <f>IF($C72=2002,"",N72/N71-1)</f>
        <v/>
      </c>
      <c r="P72">
        <f>IF($C72=2002,"",F72/F71-1)</f>
        <v/>
      </c>
    </row>
    <row r="73">
      <c r="C73" t="n">
        <v>2039</v>
      </c>
      <c r="D73">
        <f>IF($C73&lt;=2023,E73/F73,AVERAGE($D$49:$D$57))</f>
        <v/>
      </c>
      <c r="E73" s="21">
        <f>IF($C73&lt;=2023,IFERROR(VLOOKUP($C73,PWT!$A$2:$C$35,3,FALSE),""),D73*F73)</f>
        <v/>
      </c>
      <c r="F73" s="20">
        <f>IFERROR(VLOOKUP($C73,WEO_Data!$B$8:$D$51,2,FALSE),"")</f>
        <v/>
      </c>
      <c r="G73" s="20">
        <f>TREND($G$36:$G$57,$C$36:$C$57,C73)</f>
        <v/>
      </c>
      <c r="H73">
        <f>EXP(G73+$B$2*LN(E73))</f>
        <v/>
      </c>
      <c r="I73">
        <f>IFERROR(VLOOKUP($C73,Investment!$B$2:$C$9,2,FALSE),0)</f>
        <v/>
      </c>
      <c r="J73">
        <f>IF($C73&lt;2026,0,(1-$B$3)*J72+I73)</f>
        <v/>
      </c>
      <c r="K73" s="19">
        <f>E73+J73</f>
        <v/>
      </c>
      <c r="L73">
        <f>EXP(G73+$B$2*LN(K73))</f>
        <v/>
      </c>
      <c r="M73">
        <f>L73-H73</f>
        <v/>
      </c>
      <c r="N73">
        <f>F73+M73</f>
        <v/>
      </c>
      <c r="O73">
        <f>IF($C73=2002,"",N73/N72-1)</f>
        <v/>
      </c>
      <c r="P73">
        <f>IF($C73=2002,"",F73/F72-1)</f>
        <v/>
      </c>
    </row>
    <row r="74">
      <c r="C74" t="n">
        <v>2040</v>
      </c>
      <c r="D74">
        <f>IF($C74&lt;=2023,E74/F74,AVERAGE($D$49:$D$57))</f>
        <v/>
      </c>
      <c r="E74" s="21">
        <f>IF($C74&lt;=2023,IFERROR(VLOOKUP($C74,PWT!$A$2:$C$35,3,FALSE),""),D74*F74)</f>
        <v/>
      </c>
      <c r="F74" s="20">
        <f>IFERROR(VLOOKUP($C74,WEO_Data!$B$8:$D$51,2,FALSE),"")</f>
        <v/>
      </c>
      <c r="G74" s="20">
        <f>TREND($G$36:$G$57,$C$36:$C$57,C74)</f>
        <v/>
      </c>
      <c r="H74">
        <f>EXP(G74+$B$2*LN(E74))</f>
        <v/>
      </c>
      <c r="I74">
        <f>IFERROR(VLOOKUP($C74,Investment!$B$2:$C$9,2,FALSE),0)</f>
        <v/>
      </c>
      <c r="J74">
        <f>IF($C74&lt;2026,0,(1-$B$3)*J73+I74)</f>
        <v/>
      </c>
      <c r="K74" s="19">
        <f>E74+J74</f>
        <v/>
      </c>
      <c r="L74">
        <f>EXP(G74+$B$2*LN(K74))</f>
        <v/>
      </c>
      <c r="M74">
        <f>L74-H74</f>
        <v/>
      </c>
      <c r="N74">
        <f>F74+M74</f>
        <v/>
      </c>
      <c r="O74">
        <f>IF($C74=2002,"",N74/N73-1)</f>
        <v/>
      </c>
      <c r="P74">
        <f>IF($C74=2002,"",F74/F73-1)</f>
        <v/>
      </c>
    </row>
    <row r="75">
      <c r="C75" t="n">
        <v>2041</v>
      </c>
      <c r="D75">
        <f>IF($C75&lt;=2023,E75/F75,AVERAGE($D$49:$D$57))</f>
        <v/>
      </c>
      <c r="E75" s="21">
        <f>IF($C75&lt;=2023,IFERROR(VLOOKUP($C75,PWT!$A$2:$C$35,3,FALSE),""),D75*F75)</f>
        <v/>
      </c>
      <c r="F75" s="20">
        <f>IFERROR(VLOOKUP($C75,WEO_Data!$B$8:$D$51,2,FALSE),"")</f>
        <v/>
      </c>
      <c r="G75" s="20">
        <f>TREND($G$36:$G$57,$C$36:$C$57,C75)</f>
        <v/>
      </c>
      <c r="H75">
        <f>EXP(G75+$B$2*LN(E75))</f>
        <v/>
      </c>
      <c r="I75">
        <f>IFERROR(VLOOKUP($C75,Investment!$B$2:$C$9,2,FALSE),0)</f>
        <v/>
      </c>
      <c r="J75">
        <f>IF($C75&lt;2026,0,(1-$B$3)*J74+I75)</f>
        <v/>
      </c>
      <c r="K75" s="19">
        <f>E75+J75</f>
        <v/>
      </c>
      <c r="L75">
        <f>EXP(G75+$B$2*LN(K75))</f>
        <v/>
      </c>
      <c r="M75">
        <f>L75-H75</f>
        <v/>
      </c>
      <c r="N75">
        <f>F75+M75</f>
        <v/>
      </c>
      <c r="O75">
        <f>IF($C75=2002,"",N75/N74-1)</f>
        <v/>
      </c>
      <c r="P75">
        <f>IF($C75=2002,"",F75/F74-1)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IFERROR(VLOOKUP(B2,PWT!$A$2:$C$35,3,FALSE),"")</f>
        <v/>
      </c>
      <c r="E2">
        <f>IFERROR(C2/D2,"")</f>
        <v/>
      </c>
    </row>
    <row r="3">
      <c r="A3" s="18" t="n">
        <v>35795</v>
      </c>
      <c r="B3" t="n">
        <v>1997</v>
      </c>
      <c r="C3" t="n">
        <v>383641663.608596</v>
      </c>
      <c r="D3" s="19">
        <f>IFERROR(VLOOKUP(B3,PWT!$A$2:$C$35,3,FALSE),"")</f>
        <v/>
      </c>
      <c r="E3">
        <f>IFERROR(C3/D3,"")</f>
        <v/>
      </c>
    </row>
    <row r="4">
      <c r="A4" s="18" t="n">
        <v>36160</v>
      </c>
      <c r="B4" t="n">
        <v>1998</v>
      </c>
      <c r="C4" t="n">
        <v>516397121.222809</v>
      </c>
      <c r="D4" s="19">
        <f>IFERROR(VLOOKUP(B4,PWT!$A$2:$C$35,3,FALSE),"")</f>
        <v/>
      </c>
      <c r="E4">
        <f>IFERROR(C4/D4,"")</f>
        <v/>
      </c>
    </row>
    <row r="5">
      <c r="A5" s="18" t="n">
        <v>36525</v>
      </c>
      <c r="B5" t="n">
        <v>1999</v>
      </c>
      <c r="C5" t="n">
        <v>661603834.429231</v>
      </c>
      <c r="D5" s="19">
        <f>IFERROR(VLOOKUP(B5,PWT!$A$2:$C$35,3,FALSE),"")</f>
        <v/>
      </c>
      <c r="E5">
        <f>IFERROR(C5/D5,"")</f>
        <v/>
      </c>
    </row>
    <row r="6">
      <c r="A6" s="18" t="n">
        <v>36891</v>
      </c>
      <c r="B6" t="n">
        <v>2000</v>
      </c>
      <c r="C6" t="n">
        <v>631701000.88782</v>
      </c>
      <c r="D6" s="19">
        <f>IFERROR(VLOOKUP(B6,PWT!$A$2:$C$35,3,FALSE),"")</f>
        <v/>
      </c>
      <c r="E6">
        <f>IFERROR(C6/D6,"")</f>
        <v/>
      </c>
    </row>
    <row r="7">
      <c r="A7" s="18" t="n">
        <v>37256</v>
      </c>
      <c r="B7" t="n">
        <v>2001</v>
      </c>
      <c r="C7" t="n">
        <v>706983726.789065</v>
      </c>
      <c r="D7" s="19">
        <f>IFERROR(VLOOKUP(B7,PWT!$A$2:$C$35,3,FALSE),"")</f>
        <v/>
      </c>
      <c r="E7">
        <f>IFERROR(C7/D7,"")</f>
        <v/>
      </c>
    </row>
    <row r="8">
      <c r="A8" s="18" t="n">
        <v>37621</v>
      </c>
      <c r="B8" t="n">
        <v>2002</v>
      </c>
      <c r="C8" t="n">
        <v>790112565.198609</v>
      </c>
      <c r="D8" s="19">
        <f>IFERROR(VLOOKUP(B8,PWT!$A$2:$C$35,3,FALSE),"")</f>
        <v/>
      </c>
      <c r="E8">
        <f>IFERROR(C8/D8,"")</f>
        <v/>
      </c>
    </row>
    <row r="9">
      <c r="A9" s="18" t="n">
        <v>37986</v>
      </c>
      <c r="B9" t="n">
        <v>2003</v>
      </c>
      <c r="C9" t="n">
        <v>932916219.671159</v>
      </c>
      <c r="D9" s="19">
        <f>IFERROR(VLOOKUP(B9,PWT!$A$2:$C$35,3,FALSE),"")</f>
        <v/>
      </c>
      <c r="E9">
        <f>IFERROR(C9/D9,"")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IFERROR(VLOOKUP(B10,PWT!$A$2:$C$35,3,FALSE),"")</f>
        <v/>
      </c>
      <c r="E10">
        <f>IFERROR(C10/D10,"")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IFERROR(VLOOKUP(B11,PWT!$A$2:$C$35,3,FALSE),"")</f>
        <v/>
      </c>
      <c r="E11">
        <f>IFERROR(C11/D11,"")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IFERROR(VLOOKUP(B12,PWT!$A$2:$C$35,3,FALSE),"")</f>
        <v/>
      </c>
      <c r="E12">
        <f>IFERROR(C12/D12,"")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IFERROR(VLOOKUP(B13,PWT!$A$2:$C$35,3,FALSE),"")</f>
        <v/>
      </c>
      <c r="E13">
        <f>IFERROR(C13/D13,"")</f>
        <v/>
      </c>
    </row>
    <row r="14">
      <c r="A14" s="18" t="n">
        <v>39813</v>
      </c>
      <c r="B14" t="n">
        <v>2008</v>
      </c>
      <c r="C14" t="n">
        <v>1758049267.6717</v>
      </c>
      <c r="D14" s="19">
        <f>IFERROR(VLOOKUP(B14,PWT!$A$2:$C$35,3,FALSE),"")</f>
        <v/>
      </c>
      <c r="E14">
        <f>IFERROR(C14/D14,"")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IFERROR(VLOOKUP(B15,PWT!$A$2:$C$35,3,FALSE),"")</f>
        <v/>
      </c>
      <c r="E15">
        <f>IFERROR(C15/D15,"")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IFERROR(VLOOKUP(B16,PWT!$A$2:$C$35,3,FALSE),"")</f>
        <v/>
      </c>
      <c r="E16">
        <f>IFERROR(C16/D16,"")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IFERROR(VLOOKUP(B17,PWT!$A$2:$C$35,3,FALSE),"")</f>
        <v/>
      </c>
      <c r="E17">
        <f>IFERROR(C17/D17,"")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IFERROR(VLOOKUP(B18,PWT!$A$2:$C$35,3,FALSE),"")</f>
        <v/>
      </c>
      <c r="E18">
        <f>IFERROR(C18/D18,"")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IFERROR(VLOOKUP(B19,PWT!$A$2:$C$35,3,FALSE),"")</f>
        <v/>
      </c>
      <c r="E19">
        <f>IFERROR(C19/D19,"")</f>
        <v/>
      </c>
    </row>
    <row r="20">
      <c r="A20" s="18" t="n">
        <v>42004</v>
      </c>
      <c r="B20" t="n">
        <v>2014</v>
      </c>
      <c r="C20" t="n">
        <v>2984890468.6878</v>
      </c>
      <c r="D20" s="19">
        <f>IFERROR(VLOOKUP(B20,PWT!$A$2:$C$35,3,FALSE),"")</f>
        <v/>
      </c>
      <c r="E20">
        <f>IFERROR(C20/D20,"")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IFERROR(VLOOKUP(B21,PWT!$A$2:$C$35,3,FALSE),"")</f>
        <v/>
      </c>
      <c r="E21">
        <f>IFERROR(C21/D21,"")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IFERROR(VLOOKUP(B22,PWT!$A$2:$C$35,3,FALSE),"")</f>
        <v/>
      </c>
      <c r="E22">
        <f>IFERROR(C22/D22,"")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IFERROR(VLOOKUP(B23,PWT!$A$2:$C$35,3,FALSE),"")</f>
        <v/>
      </c>
      <c r="E23">
        <f>IFERROR(C23/D23,"")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IFERROR(VLOOKUP(B24,PWT!$A$2:$C$35,3,FALSE),"")</f>
        <v/>
      </c>
      <c r="E24">
        <f>IFERROR(C24/D24,"")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IFERROR(VLOOKUP(B25,PWT!$A$2:$C$35,3,FALSE),"")</f>
        <v/>
      </c>
      <c r="E25">
        <f>IFERROR(C25/D25,"")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IFERROR(VLOOKUP(B26,PWT!$A$2:$C$35,3,FALSE),"")</f>
        <v/>
      </c>
      <c r="E26">
        <f>IFERROR(C26/D26,"")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IFERROR(VLOOKUP(B27,PWT!$A$2:$C$35,3,FALSE),"")</f>
        <v/>
      </c>
      <c r="E27">
        <f>IFERROR(C27/D27,"")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IFERROR(VLOOKUP(B28,PWT!$A$2:$C$35,3,FALSE),"")</f>
        <v/>
      </c>
      <c r="E28">
        <f>IFERROR(C28/D28,"")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IFERROR(VLOOKUP(B29,PWT!$A$2:$C$35,3,FALSE),"")</f>
        <v/>
      </c>
      <c r="E29">
        <f>IFERROR(C29/D29,"")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rkna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2026-01-29T06:28:17Z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