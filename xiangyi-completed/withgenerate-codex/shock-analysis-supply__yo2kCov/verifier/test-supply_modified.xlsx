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AVERAGE(OFFSET('CFC data'!E2,COUNT('CFC data'!E:E)-8,0,8,1))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SUMSQ(N6:N27)+100*SUMSQ(M8:M27)</f>
        <v/>
      </c>
    </row>
    <row r="6">
      <c r="C6" t="n">
        <v>2002</v>
      </c>
      <c r="D6" s="19">
        <f>IFERROR(INDEX(PWT!$B$2:$B$35,MATCH(C6,PWT!$A$2:$A$35,0)),"")</f>
        <v/>
      </c>
      <c r="E6">
        <f>IFERROR(INDEX(WEO_Data!$C$8:$C$51,MATCH(C6,WEO_Data!$B$8:$B$51,0)),"")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IFERROR(INDEX(PWT!$B$2:$B$35,MATCH(C7,PWT!$A$2:$A$35,0)),"")</f>
        <v/>
      </c>
      <c r="E7">
        <f>IFERROR(INDEX(WEO_Data!$C$8:$C$51,MATCH(C7,WEO_Data!$B$8:$B$51,0)),"")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</row>
    <row r="8">
      <c r="C8" t="n">
        <v>2004</v>
      </c>
      <c r="D8" s="19">
        <f>IFERROR(INDEX(PWT!$B$2:$B$35,MATCH(C8,PWT!$A$2:$A$35,0)),"")</f>
        <v/>
      </c>
      <c r="E8">
        <f>IFERROR(INDEX(WEO_Data!$C$8:$C$51,MATCH(C8,WEO_Data!$B$8:$B$51,0)),"")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IFERROR(INDEX(PWT!$B$2:$B$35,MATCH(C9,PWT!$A$2:$A$35,0)),"")</f>
        <v/>
      </c>
      <c r="E9">
        <f>IFERROR(INDEX(WEO_Data!$C$8:$C$51,MATCH(C9,WEO_Data!$B$8:$B$51,0)),"")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IFERROR(INDEX(PWT!$B$2:$B$35,MATCH(C10,PWT!$A$2:$A$35,0)),"")</f>
        <v/>
      </c>
      <c r="E10">
        <f>IFERROR(INDEX(WEO_Data!$C$8:$C$51,MATCH(C10,WEO_Data!$B$8:$B$51,0)),"")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IFERROR(INDEX(PWT!$B$2:$B$35,MATCH(C11,PWT!$A$2:$A$35,0)),"")</f>
        <v/>
      </c>
      <c r="E11">
        <f>IFERROR(INDEX(WEO_Data!$C$8:$C$51,MATCH(C11,WEO_Data!$B$8:$B$51,0)),"")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IFERROR(INDEX(PWT!$B$2:$B$35,MATCH(C12,PWT!$A$2:$A$35,0)),"")</f>
        <v/>
      </c>
      <c r="E12">
        <f>IFERROR(INDEX(WEO_Data!$C$8:$C$51,MATCH(C12,WEO_Data!$B$8:$B$51,0)),"")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IFERROR(INDEX(PWT!$B$2:$B$35,MATCH(C13,PWT!$A$2:$A$35,0)),"")</f>
        <v/>
      </c>
      <c r="E13">
        <f>IFERROR(INDEX(WEO_Data!$C$8:$C$51,MATCH(C13,WEO_Data!$B$8:$B$51,0)),"")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IFERROR(INDEX(PWT!$B$2:$B$35,MATCH(C14,PWT!$A$2:$A$35,0)),"")</f>
        <v/>
      </c>
      <c r="E14">
        <f>IFERROR(INDEX(WEO_Data!$C$8:$C$51,MATCH(C14,WEO_Data!$B$8:$B$51,0)),"")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IFERROR(INDEX(PWT!$B$2:$B$35,MATCH(C15,PWT!$A$2:$A$35,0)),"")</f>
        <v/>
      </c>
      <c r="E15">
        <f>IFERROR(INDEX(WEO_Data!$C$8:$C$51,MATCH(C15,WEO_Data!$B$8:$B$51,0)),"")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IFERROR(INDEX(PWT!$B$2:$B$35,MATCH(C16,PWT!$A$2:$A$35,0)),"")</f>
        <v/>
      </c>
      <c r="E16">
        <f>IFERROR(INDEX(WEO_Data!$C$8:$C$51,MATCH(C16,WEO_Data!$B$8:$B$51,0)),"")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IFERROR(INDEX(PWT!$B$2:$B$35,MATCH(C17,PWT!$A$2:$A$35,0)),"")</f>
        <v/>
      </c>
      <c r="E17">
        <f>IFERROR(INDEX(WEO_Data!$C$8:$C$51,MATCH(C17,WEO_Data!$B$8:$B$51,0)),"")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IFERROR(INDEX(PWT!$B$2:$B$35,MATCH(C18,PWT!$A$2:$A$35,0)),"")</f>
        <v/>
      </c>
      <c r="E18">
        <f>IFERROR(INDEX(WEO_Data!$C$8:$C$51,MATCH(C18,WEO_Data!$B$8:$B$51,0)),"")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IFERROR(INDEX(PWT!$B$2:$B$35,MATCH(C19,PWT!$A$2:$A$35,0)),"")</f>
        <v/>
      </c>
      <c r="E19">
        <f>IFERROR(INDEX(WEO_Data!$C$8:$C$51,MATCH(C19,WEO_Data!$B$8:$B$51,0)),"")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IFERROR(INDEX(PWT!$B$2:$B$35,MATCH(C20,PWT!$A$2:$A$35,0)),"")</f>
        <v/>
      </c>
      <c r="E20">
        <f>IFERROR(INDEX(WEO_Data!$C$8:$C$51,MATCH(C20,WEO_Data!$B$8:$B$51,0)),"")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IFERROR(INDEX(PWT!$B$2:$B$35,MATCH(C21,PWT!$A$2:$A$35,0)),"")</f>
        <v/>
      </c>
      <c r="E21">
        <f>IFERROR(INDEX(WEO_Data!$C$8:$C$51,MATCH(C21,WEO_Data!$B$8:$B$51,0)),"")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IFERROR(INDEX(PWT!$B$2:$B$35,MATCH(C22,PWT!$A$2:$A$35,0)),"")</f>
        <v/>
      </c>
      <c r="E22">
        <f>IFERROR(INDEX(WEO_Data!$C$8:$C$51,MATCH(C22,WEO_Data!$B$8:$B$51,0)),"")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IFERROR(INDEX(PWT!$B$2:$B$35,MATCH(C23,PWT!$A$2:$A$35,0)),"")</f>
        <v/>
      </c>
      <c r="E23">
        <f>IFERROR(INDEX(WEO_Data!$C$8:$C$51,MATCH(C23,WEO_Data!$B$8:$B$51,0)),"")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IFERROR(INDEX(PWT!$B$2:$B$35,MATCH(C24,PWT!$A$2:$A$35,0)),"")</f>
        <v/>
      </c>
      <c r="E24">
        <f>IFERROR(INDEX(WEO_Data!$C$8:$C$51,MATCH(C24,WEO_Data!$B$8:$B$51,0)),"")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IFERROR(INDEX(PWT!$B$2:$B$35,MATCH(C25,PWT!$A$2:$A$35,0)),"")</f>
        <v/>
      </c>
      <c r="E25">
        <f>IFERROR(INDEX(WEO_Data!$C$8:$C$51,MATCH(C25,WEO_Data!$B$8:$B$51,0)),"")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IFERROR(INDEX(PWT!$B$2:$B$35,MATCH(C26,PWT!$A$2:$A$35,0)),"")</f>
        <v/>
      </c>
      <c r="E26">
        <f>IFERROR(INDEX(WEO_Data!$C$8:$C$51,MATCH(C26,WEO_Data!$B$8:$B$51,0)),"")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IFERROR(INDEX(PWT!$B$2:$B$35,MATCH(C27,PWT!$A$2:$A$35,0)),"")</f>
        <v/>
      </c>
      <c r="E27">
        <f>IFERROR(INDEX(WEO_Data!$C$8:$C$51,MATCH(C27,WEO_Data!$B$8:$B$51,0)),"")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IFERROR(INDEX(PWT!$B$2:$B$35,MATCH(C36,PWT!$A$2:$A$35,0)),"")</f>
        <v/>
      </c>
      <c r="F36">
        <f>IFERROR(INDEX(WEO_Data!$C$8:$C$51,MATCH(C36,WEO_Data!$B$8:$B$51,0)),"")</f>
        <v/>
      </c>
      <c r="G36">
        <f>IFERROR(INDEX($L$6:$L$27,MATCH(C36,$C$6:$C$27,0)),"")</f>
        <v/>
      </c>
      <c r="H36">
        <f>EXP(G36+$B$2*LN(E36))</f>
        <v/>
      </c>
      <c r="I36">
        <f>IFERROR(INDEX(Investment!$C$2:$C$9,MATCH(C36,Investment!$B$2:$B$9,0)),0)</f>
        <v/>
      </c>
      <c r="J36" t="n">
        <v>0</v>
      </c>
      <c r="K36" s="19">
        <f>E36+J36</f>
        <v/>
      </c>
      <c r="L36">
        <f>EXP(G36+$B$2*LN(K36))</f>
        <v/>
      </c>
      <c r="M36">
        <f>IFERROR(L36/H36-1,"")</f>
        <v/>
      </c>
      <c r="N36">
        <f>IFERROR(F36*(1+M36),"")</f>
        <v/>
      </c>
    </row>
    <row r="37">
      <c r="C37" t="n">
        <v>2003</v>
      </c>
      <c r="D37">
        <f>E37/F37</f>
        <v/>
      </c>
      <c r="E37" s="19">
        <f>IFERROR(INDEX(PWT!$B$2:$B$35,MATCH(C37,PWT!$A$2:$A$35,0)),"")</f>
        <v/>
      </c>
      <c r="F37">
        <f>IFERROR(INDEX(WEO_Data!$C$8:$C$51,MATCH(C37,WEO_Data!$B$8:$B$51,0)),"")</f>
        <v/>
      </c>
      <c r="G37">
        <f>IFERROR(INDEX($L$6:$L$27,MATCH(C37,$C$6:$C$27,0)),"")</f>
        <v/>
      </c>
      <c r="H37">
        <f>EXP(G37+$B$2*LN(E37))</f>
        <v/>
      </c>
      <c r="I37">
        <f>IFERROR(INDEX(Investment!$C$2:$C$9,MATCH(C37,Investment!$B$2:$B$9,0)),0)</f>
        <v/>
      </c>
      <c r="J37">
        <f>IF(C37&lt;2026,0,(1-$B$3)*J36+I37)</f>
        <v/>
      </c>
      <c r="K37" s="19">
        <f>E37+J37</f>
        <v/>
      </c>
      <c r="L37">
        <f>EXP(G37+$B$2*LN(K37))</f>
        <v/>
      </c>
      <c r="M37">
        <f>IFERROR(L37/H37-1,"")</f>
        <v/>
      </c>
      <c r="N37">
        <f>IFERROR(F37*(1+M37),"")</f>
        <v/>
      </c>
      <c r="O37">
        <f>IFERROR(N37/N36-1,"")</f>
        <v/>
      </c>
      <c r="P37">
        <f>IFERROR(F37/F36-1,"")</f>
        <v/>
      </c>
    </row>
    <row r="38">
      <c r="C38" t="n">
        <v>2004</v>
      </c>
      <c r="D38">
        <f>E38/F38</f>
        <v/>
      </c>
      <c r="E38" s="19">
        <f>IFERROR(INDEX(PWT!$B$2:$B$35,MATCH(C38,PWT!$A$2:$A$35,0)),"")</f>
        <v/>
      </c>
      <c r="F38">
        <f>IFERROR(INDEX(WEO_Data!$C$8:$C$51,MATCH(C38,WEO_Data!$B$8:$B$51,0)),"")</f>
        <v/>
      </c>
      <c r="G38">
        <f>IFERROR(INDEX($L$6:$L$27,MATCH(C38,$C$6:$C$27,0)),"")</f>
        <v/>
      </c>
      <c r="H38">
        <f>EXP(G38+$B$2*LN(E38))</f>
        <v/>
      </c>
      <c r="I38">
        <f>IFERROR(INDEX(Investment!$C$2:$C$9,MATCH(C38,Investment!$B$2:$B$9,0)),0)</f>
        <v/>
      </c>
      <c r="J38">
        <f>IF(C38&lt;2026,0,(1-$B$3)*J37+I38)</f>
        <v/>
      </c>
      <c r="K38" s="19">
        <f>E38+J38</f>
        <v/>
      </c>
      <c r="L38">
        <f>EXP(G38+$B$2*LN(K38))</f>
        <v/>
      </c>
      <c r="M38">
        <f>IFERROR(L38/H38-1,"")</f>
        <v/>
      </c>
      <c r="N38">
        <f>IFERROR(F38*(1+M38),"")</f>
        <v/>
      </c>
      <c r="O38">
        <f>IFERROR(N38/N37-1,"")</f>
        <v/>
      </c>
      <c r="P38">
        <f>IFERROR(F38/F37-1,"")</f>
        <v/>
      </c>
    </row>
    <row r="39">
      <c r="C39" t="n">
        <v>2005</v>
      </c>
      <c r="D39">
        <f>E39/F39</f>
        <v/>
      </c>
      <c r="E39" s="19">
        <f>IFERROR(INDEX(PWT!$B$2:$B$35,MATCH(C39,PWT!$A$2:$A$35,0)),"")</f>
        <v/>
      </c>
      <c r="F39">
        <f>IFERROR(INDEX(WEO_Data!$C$8:$C$51,MATCH(C39,WEO_Data!$B$8:$B$51,0)),"")</f>
        <v/>
      </c>
      <c r="G39">
        <f>IFERROR(INDEX($L$6:$L$27,MATCH(C39,$C$6:$C$27,0)),"")</f>
        <v/>
      </c>
      <c r="H39">
        <f>EXP(G39+$B$2*LN(E39))</f>
        <v/>
      </c>
      <c r="I39">
        <f>IFERROR(INDEX(Investment!$C$2:$C$9,MATCH(C39,Investment!$B$2:$B$9,0)),0)</f>
        <v/>
      </c>
      <c r="J39">
        <f>IF(C39&lt;2026,0,(1-$B$3)*J38+I39)</f>
        <v/>
      </c>
      <c r="K39" s="19">
        <f>E39+J39</f>
        <v/>
      </c>
      <c r="L39">
        <f>EXP(G39+$B$2*LN(K39))</f>
        <v/>
      </c>
      <c r="M39">
        <f>IFERROR(L39/H39-1,"")</f>
        <v/>
      </c>
      <c r="N39">
        <f>IFERROR(F39*(1+M39),"")</f>
        <v/>
      </c>
      <c r="O39">
        <f>IFERROR(N39/N38-1,"")</f>
        <v/>
      </c>
      <c r="P39">
        <f>IFERROR(F39/F38-1,"")</f>
        <v/>
      </c>
    </row>
    <row r="40">
      <c r="C40" t="n">
        <v>2006</v>
      </c>
      <c r="D40">
        <f>E40/F40</f>
        <v/>
      </c>
      <c r="E40" s="19">
        <f>IFERROR(INDEX(PWT!$B$2:$B$35,MATCH(C40,PWT!$A$2:$A$35,0)),"")</f>
        <v/>
      </c>
      <c r="F40">
        <f>IFERROR(INDEX(WEO_Data!$C$8:$C$51,MATCH(C40,WEO_Data!$B$8:$B$51,0)),"")</f>
        <v/>
      </c>
      <c r="G40">
        <f>IFERROR(INDEX($L$6:$L$27,MATCH(C40,$C$6:$C$27,0)),"")</f>
        <v/>
      </c>
      <c r="H40">
        <f>EXP(G40+$B$2*LN(E40))</f>
        <v/>
      </c>
      <c r="I40">
        <f>IFERROR(INDEX(Investment!$C$2:$C$9,MATCH(C40,Investment!$B$2:$B$9,0)),0)</f>
        <v/>
      </c>
      <c r="J40">
        <f>IF(C40&lt;2026,0,(1-$B$3)*J39+I40)</f>
        <v/>
      </c>
      <c r="K40" s="19">
        <f>E40+J40</f>
        <v/>
      </c>
      <c r="L40">
        <f>EXP(G40+$B$2*LN(K40))</f>
        <v/>
      </c>
      <c r="M40">
        <f>IFERROR(L40/H40-1,"")</f>
        <v/>
      </c>
      <c r="N40">
        <f>IFERROR(F40*(1+M40),"")</f>
        <v/>
      </c>
      <c r="O40">
        <f>IFERROR(N40/N39-1,"")</f>
        <v/>
      </c>
      <c r="P40">
        <f>IFERROR(F40/F39-1,"")</f>
        <v/>
      </c>
    </row>
    <row r="41">
      <c r="C41" t="n">
        <v>2007</v>
      </c>
      <c r="D41">
        <f>E41/F41</f>
        <v/>
      </c>
      <c r="E41" s="19">
        <f>IFERROR(INDEX(PWT!$B$2:$B$35,MATCH(C41,PWT!$A$2:$A$35,0)),"")</f>
        <v/>
      </c>
      <c r="F41">
        <f>IFERROR(INDEX(WEO_Data!$C$8:$C$51,MATCH(C41,WEO_Data!$B$8:$B$51,0)),"")</f>
        <v/>
      </c>
      <c r="G41">
        <f>IFERROR(INDEX($L$6:$L$27,MATCH(C41,$C$6:$C$27,0)),"")</f>
        <v/>
      </c>
      <c r="H41">
        <f>EXP(G41+$B$2*LN(E41))</f>
        <v/>
      </c>
      <c r="I41">
        <f>IFERROR(INDEX(Investment!$C$2:$C$9,MATCH(C41,Investment!$B$2:$B$9,0)),0)</f>
        <v/>
      </c>
      <c r="J41">
        <f>IF(C41&lt;2026,0,(1-$B$3)*J40+I41)</f>
        <v/>
      </c>
      <c r="K41" s="19">
        <f>E41+J41</f>
        <v/>
      </c>
      <c r="L41">
        <f>EXP(G41+$B$2*LN(K41))</f>
        <v/>
      </c>
      <c r="M41">
        <f>IFERROR(L41/H41-1,"")</f>
        <v/>
      </c>
      <c r="N41">
        <f>IFERROR(F41*(1+M41),"")</f>
        <v/>
      </c>
      <c r="O41">
        <f>IFERROR(N41/N40-1,"")</f>
        <v/>
      </c>
      <c r="P41">
        <f>IFERROR(F41/F40-1,"")</f>
        <v/>
      </c>
    </row>
    <row r="42">
      <c r="C42" t="n">
        <v>2008</v>
      </c>
      <c r="D42">
        <f>E42/F42</f>
        <v/>
      </c>
      <c r="E42" s="19">
        <f>IFERROR(INDEX(PWT!$B$2:$B$35,MATCH(C42,PWT!$A$2:$A$35,0)),"")</f>
        <v/>
      </c>
      <c r="F42">
        <f>IFERROR(INDEX(WEO_Data!$C$8:$C$51,MATCH(C42,WEO_Data!$B$8:$B$51,0)),"")</f>
        <v/>
      </c>
      <c r="G42">
        <f>IFERROR(INDEX($L$6:$L$27,MATCH(C42,$C$6:$C$27,0)),"")</f>
        <v/>
      </c>
      <c r="H42">
        <f>EXP(G42+$B$2*LN(E42))</f>
        <v/>
      </c>
      <c r="I42">
        <f>IFERROR(INDEX(Investment!$C$2:$C$9,MATCH(C42,Investment!$B$2:$B$9,0)),0)</f>
        <v/>
      </c>
      <c r="J42">
        <f>IF(C42&lt;2026,0,(1-$B$3)*J41+I42)</f>
        <v/>
      </c>
      <c r="K42" s="19">
        <f>E42+J42</f>
        <v/>
      </c>
      <c r="L42">
        <f>EXP(G42+$B$2*LN(K42))</f>
        <v/>
      </c>
      <c r="M42">
        <f>IFERROR(L42/H42-1,"")</f>
        <v/>
      </c>
      <c r="N42">
        <f>IFERROR(F42*(1+M42),"")</f>
        <v/>
      </c>
      <c r="O42">
        <f>IFERROR(N42/N41-1,"")</f>
        <v/>
      </c>
      <c r="P42">
        <f>IFERROR(F42/F41-1,"")</f>
        <v/>
      </c>
    </row>
    <row r="43">
      <c r="C43" t="n">
        <v>2009</v>
      </c>
      <c r="D43">
        <f>E43/F43</f>
        <v/>
      </c>
      <c r="E43" s="19">
        <f>IFERROR(INDEX(PWT!$B$2:$B$35,MATCH(C43,PWT!$A$2:$A$35,0)),"")</f>
        <v/>
      </c>
      <c r="F43">
        <f>IFERROR(INDEX(WEO_Data!$C$8:$C$51,MATCH(C43,WEO_Data!$B$8:$B$51,0)),"")</f>
        <v/>
      </c>
      <c r="G43">
        <f>IFERROR(INDEX($L$6:$L$27,MATCH(C43,$C$6:$C$27,0)),"")</f>
        <v/>
      </c>
      <c r="H43">
        <f>EXP(G43+$B$2*LN(E43))</f>
        <v/>
      </c>
      <c r="I43">
        <f>IFERROR(INDEX(Investment!$C$2:$C$9,MATCH(C43,Investment!$B$2:$B$9,0)),0)</f>
        <v/>
      </c>
      <c r="J43">
        <f>IF(C43&lt;2026,0,(1-$B$3)*J42+I43)</f>
        <v/>
      </c>
      <c r="K43" s="19">
        <f>E43+J43</f>
        <v/>
      </c>
      <c r="L43">
        <f>EXP(G43+$B$2*LN(K43))</f>
        <v/>
      </c>
      <c r="M43">
        <f>IFERROR(L43/H43-1,"")</f>
        <v/>
      </c>
      <c r="N43">
        <f>IFERROR(F43*(1+M43),"")</f>
        <v/>
      </c>
      <c r="O43">
        <f>IFERROR(N43/N42-1,"")</f>
        <v/>
      </c>
      <c r="P43">
        <f>IFERROR(F43/F42-1,"")</f>
        <v/>
      </c>
    </row>
    <row r="44">
      <c r="C44" t="n">
        <v>2010</v>
      </c>
      <c r="D44">
        <f>E44/F44</f>
        <v/>
      </c>
      <c r="E44" s="19">
        <f>IFERROR(INDEX(PWT!$B$2:$B$35,MATCH(C44,PWT!$A$2:$A$35,0)),"")</f>
        <v/>
      </c>
      <c r="F44">
        <f>IFERROR(INDEX(WEO_Data!$C$8:$C$51,MATCH(C44,WEO_Data!$B$8:$B$51,0)),"")</f>
        <v/>
      </c>
      <c r="G44">
        <f>IFERROR(INDEX($L$6:$L$27,MATCH(C44,$C$6:$C$27,0)),"")</f>
        <v/>
      </c>
      <c r="H44">
        <f>EXP(G44+$B$2*LN(E44))</f>
        <v/>
      </c>
      <c r="I44">
        <f>IFERROR(INDEX(Investment!$C$2:$C$9,MATCH(C44,Investment!$B$2:$B$9,0)),0)</f>
        <v/>
      </c>
      <c r="J44">
        <f>IF(C44&lt;2026,0,(1-$B$3)*J43+I44)</f>
        <v/>
      </c>
      <c r="K44" s="19">
        <f>E44+J44</f>
        <v/>
      </c>
      <c r="L44">
        <f>EXP(G44+$B$2*LN(K44))</f>
        <v/>
      </c>
      <c r="M44">
        <f>IFERROR(L44/H44-1,"")</f>
        <v/>
      </c>
      <c r="N44">
        <f>IFERROR(F44*(1+M44),"")</f>
        <v/>
      </c>
      <c r="O44">
        <f>IFERROR(N44/N43-1,"")</f>
        <v/>
      </c>
      <c r="P44">
        <f>IFERROR(F44/F43-1,"")</f>
        <v/>
      </c>
    </row>
    <row r="45">
      <c r="C45" t="n">
        <v>2011</v>
      </c>
      <c r="D45">
        <f>E45/F45</f>
        <v/>
      </c>
      <c r="E45" s="19">
        <f>IFERROR(INDEX(PWT!$B$2:$B$35,MATCH(C45,PWT!$A$2:$A$35,0)),"")</f>
        <v/>
      </c>
      <c r="F45">
        <f>IFERROR(INDEX(WEO_Data!$C$8:$C$51,MATCH(C45,WEO_Data!$B$8:$B$51,0)),"")</f>
        <v/>
      </c>
      <c r="G45">
        <f>IFERROR(INDEX($L$6:$L$27,MATCH(C45,$C$6:$C$27,0)),"")</f>
        <v/>
      </c>
      <c r="H45">
        <f>EXP(G45+$B$2*LN(E45))</f>
        <v/>
      </c>
      <c r="I45">
        <f>IFERROR(INDEX(Investment!$C$2:$C$9,MATCH(C45,Investment!$B$2:$B$9,0)),0)</f>
        <v/>
      </c>
      <c r="J45">
        <f>IF(C45&lt;2026,0,(1-$B$3)*J44+I45)</f>
        <v/>
      </c>
      <c r="K45" s="19">
        <f>E45+J45</f>
        <v/>
      </c>
      <c r="L45">
        <f>EXP(G45+$B$2*LN(K45))</f>
        <v/>
      </c>
      <c r="M45">
        <f>IFERROR(L45/H45-1,"")</f>
        <v/>
      </c>
      <c r="N45">
        <f>IFERROR(F45*(1+M45),"")</f>
        <v/>
      </c>
      <c r="O45">
        <f>IFERROR(N45/N44-1,"")</f>
        <v/>
      </c>
      <c r="P45">
        <f>IFERROR(F45/F44-1,"")</f>
        <v/>
      </c>
    </row>
    <row r="46">
      <c r="C46" t="n">
        <v>2012</v>
      </c>
      <c r="D46">
        <f>E46/F46</f>
        <v/>
      </c>
      <c r="E46" s="19">
        <f>IFERROR(INDEX(PWT!$B$2:$B$35,MATCH(C46,PWT!$A$2:$A$35,0)),"")</f>
        <v/>
      </c>
      <c r="F46">
        <f>IFERROR(INDEX(WEO_Data!$C$8:$C$51,MATCH(C46,WEO_Data!$B$8:$B$51,0)),"")</f>
        <v/>
      </c>
      <c r="G46">
        <f>IFERROR(INDEX($L$6:$L$27,MATCH(C46,$C$6:$C$27,0)),"")</f>
        <v/>
      </c>
      <c r="H46">
        <f>EXP(G46+$B$2*LN(E46))</f>
        <v/>
      </c>
      <c r="I46">
        <f>IFERROR(INDEX(Investment!$C$2:$C$9,MATCH(C46,Investment!$B$2:$B$9,0)),0)</f>
        <v/>
      </c>
      <c r="J46">
        <f>IF(C46&lt;2026,0,(1-$B$3)*J45+I46)</f>
        <v/>
      </c>
      <c r="K46" s="19">
        <f>E46+J46</f>
        <v/>
      </c>
      <c r="L46">
        <f>EXP(G46+$B$2*LN(K46))</f>
        <v/>
      </c>
      <c r="M46">
        <f>IFERROR(L46/H46-1,"")</f>
        <v/>
      </c>
      <c r="N46">
        <f>IFERROR(F46*(1+M46),"")</f>
        <v/>
      </c>
      <c r="O46">
        <f>IFERROR(N46/N45-1,"")</f>
        <v/>
      </c>
      <c r="P46">
        <f>IFERROR(F46/F45-1,"")</f>
        <v/>
      </c>
    </row>
    <row r="47">
      <c r="C47" t="n">
        <v>2013</v>
      </c>
      <c r="D47">
        <f>E47/F47</f>
        <v/>
      </c>
      <c r="E47" s="19">
        <f>IFERROR(INDEX(PWT!$B$2:$B$35,MATCH(C47,PWT!$A$2:$A$35,0)),"")</f>
        <v/>
      </c>
      <c r="F47">
        <f>IFERROR(INDEX(WEO_Data!$C$8:$C$51,MATCH(C47,WEO_Data!$B$8:$B$51,0)),"")</f>
        <v/>
      </c>
      <c r="G47">
        <f>IFERROR(INDEX($L$6:$L$27,MATCH(C47,$C$6:$C$27,0)),"")</f>
        <v/>
      </c>
      <c r="H47">
        <f>EXP(G47+$B$2*LN(E47))</f>
        <v/>
      </c>
      <c r="I47">
        <f>IFERROR(INDEX(Investment!$C$2:$C$9,MATCH(C47,Investment!$B$2:$B$9,0)),0)</f>
        <v/>
      </c>
      <c r="J47">
        <f>IF(C47&lt;2026,0,(1-$B$3)*J46+I47)</f>
        <v/>
      </c>
      <c r="K47" s="19">
        <f>E47+J47</f>
        <v/>
      </c>
      <c r="L47">
        <f>EXP(G47+$B$2*LN(K47))</f>
        <v/>
      </c>
      <c r="M47">
        <f>IFERROR(L47/H47-1,"")</f>
        <v/>
      </c>
      <c r="N47">
        <f>IFERROR(F47*(1+M47),"")</f>
        <v/>
      </c>
      <c r="O47">
        <f>IFERROR(N47/N46-1,"")</f>
        <v/>
      </c>
      <c r="P47">
        <f>IFERROR(F47/F46-1,"")</f>
        <v/>
      </c>
    </row>
    <row r="48">
      <c r="C48" t="n">
        <v>2014</v>
      </c>
      <c r="D48">
        <f>E48/F48</f>
        <v/>
      </c>
      <c r="E48" s="19">
        <f>IFERROR(INDEX(PWT!$B$2:$B$35,MATCH(C48,PWT!$A$2:$A$35,0)),"")</f>
        <v/>
      </c>
      <c r="F48">
        <f>IFERROR(INDEX(WEO_Data!$C$8:$C$51,MATCH(C48,WEO_Data!$B$8:$B$51,0)),"")</f>
        <v/>
      </c>
      <c r="G48">
        <f>IFERROR(INDEX($L$6:$L$27,MATCH(C48,$C$6:$C$27,0)),"")</f>
        <v/>
      </c>
      <c r="H48">
        <f>EXP(G48+$B$2*LN(E48))</f>
        <v/>
      </c>
      <c r="I48">
        <f>IFERROR(INDEX(Investment!$C$2:$C$9,MATCH(C48,Investment!$B$2:$B$9,0)),0)</f>
        <v/>
      </c>
      <c r="J48">
        <f>IF(C48&lt;2026,0,(1-$B$3)*J47+I48)</f>
        <v/>
      </c>
      <c r="K48" s="19">
        <f>E48+J48</f>
        <v/>
      </c>
      <c r="L48">
        <f>EXP(G48+$B$2*LN(K48))</f>
        <v/>
      </c>
      <c r="M48">
        <f>IFERROR(L48/H48-1,"")</f>
        <v/>
      </c>
      <c r="N48">
        <f>IFERROR(F48*(1+M48),"")</f>
        <v/>
      </c>
      <c r="O48">
        <f>IFERROR(N48/N47-1,"")</f>
        <v/>
      </c>
      <c r="P48">
        <f>IFERROR(F48/F47-1,"")</f>
        <v/>
      </c>
    </row>
    <row r="49">
      <c r="C49" t="n">
        <v>2015</v>
      </c>
      <c r="D49">
        <f>E49/F49</f>
        <v/>
      </c>
      <c r="E49" s="19">
        <f>IFERROR(INDEX(PWT!$B$2:$B$35,MATCH(C49,PWT!$A$2:$A$35,0)),"")</f>
        <v/>
      </c>
      <c r="F49">
        <f>IFERROR(INDEX(WEO_Data!$C$8:$C$51,MATCH(C49,WEO_Data!$B$8:$B$51,0)),"")</f>
        <v/>
      </c>
      <c r="G49">
        <f>IFERROR(INDEX($L$6:$L$27,MATCH(C49,$C$6:$C$27,0)),"")</f>
        <v/>
      </c>
      <c r="H49">
        <f>EXP(G49+$B$2*LN(E49))</f>
        <v/>
      </c>
      <c r="I49">
        <f>IFERROR(INDEX(Investment!$C$2:$C$9,MATCH(C49,Investment!$B$2:$B$9,0)),0)</f>
        <v/>
      </c>
      <c r="J49">
        <f>IF(C49&lt;2026,0,(1-$B$3)*J48+I49)</f>
        <v/>
      </c>
      <c r="K49" s="19">
        <f>E49+J49</f>
        <v/>
      </c>
      <c r="L49">
        <f>EXP(G49+$B$2*LN(K49))</f>
        <v/>
      </c>
      <c r="M49">
        <f>IFERROR(L49/H49-1,"")</f>
        <v/>
      </c>
      <c r="N49">
        <f>IFERROR(F49*(1+M49),"")</f>
        <v/>
      </c>
      <c r="O49">
        <f>IFERROR(N49/N48-1,"")</f>
        <v/>
      </c>
      <c r="P49">
        <f>IFERROR(F49/F48-1,"")</f>
        <v/>
      </c>
    </row>
    <row r="50">
      <c r="C50" t="n">
        <v>2016</v>
      </c>
      <c r="D50">
        <f>E50/F50</f>
        <v/>
      </c>
      <c r="E50" s="19">
        <f>IFERROR(INDEX(PWT!$B$2:$B$35,MATCH(C50,PWT!$A$2:$A$35,0)),"")</f>
        <v/>
      </c>
      <c r="F50">
        <f>IFERROR(INDEX(WEO_Data!$C$8:$C$51,MATCH(C50,WEO_Data!$B$8:$B$51,0)),"")</f>
        <v/>
      </c>
      <c r="G50">
        <f>IFERROR(INDEX($L$6:$L$27,MATCH(C50,$C$6:$C$27,0)),"")</f>
        <v/>
      </c>
      <c r="H50">
        <f>EXP(G50+$B$2*LN(E50))</f>
        <v/>
      </c>
      <c r="I50">
        <f>IFERROR(INDEX(Investment!$C$2:$C$9,MATCH(C50,Investment!$B$2:$B$9,0)),0)</f>
        <v/>
      </c>
      <c r="J50">
        <f>IF(C50&lt;2026,0,(1-$B$3)*J49+I50)</f>
        <v/>
      </c>
      <c r="K50" s="19">
        <f>E50+J50</f>
        <v/>
      </c>
      <c r="L50">
        <f>EXP(G50+$B$2*LN(K50))</f>
        <v/>
      </c>
      <c r="M50">
        <f>IFERROR(L50/H50-1,"")</f>
        <v/>
      </c>
      <c r="N50">
        <f>IFERROR(F50*(1+M50),"")</f>
        <v/>
      </c>
      <c r="O50">
        <f>IFERROR(N50/N49-1,"")</f>
        <v/>
      </c>
      <c r="P50">
        <f>IFERROR(F50/F49-1,"")</f>
        <v/>
      </c>
    </row>
    <row r="51">
      <c r="C51" t="n">
        <v>2017</v>
      </c>
      <c r="D51">
        <f>E51/F51</f>
        <v/>
      </c>
      <c r="E51" s="19">
        <f>IFERROR(INDEX(PWT!$B$2:$B$35,MATCH(C51,PWT!$A$2:$A$35,0)),"")</f>
        <v/>
      </c>
      <c r="F51">
        <f>IFERROR(INDEX(WEO_Data!$C$8:$C$51,MATCH(C51,WEO_Data!$B$8:$B$51,0)),"")</f>
        <v/>
      </c>
      <c r="G51">
        <f>IFERROR(INDEX($L$6:$L$27,MATCH(C51,$C$6:$C$27,0)),"")</f>
        <v/>
      </c>
      <c r="H51">
        <f>EXP(G51+$B$2*LN(E51))</f>
        <v/>
      </c>
      <c r="I51">
        <f>IFERROR(INDEX(Investment!$C$2:$C$9,MATCH(C51,Investment!$B$2:$B$9,0)),0)</f>
        <v/>
      </c>
      <c r="J51">
        <f>IF(C51&lt;2026,0,(1-$B$3)*J50+I51)</f>
        <v/>
      </c>
      <c r="K51" s="19">
        <f>E51+J51</f>
        <v/>
      </c>
      <c r="L51">
        <f>EXP(G51+$B$2*LN(K51))</f>
        <v/>
      </c>
      <c r="M51">
        <f>IFERROR(L51/H51-1,"")</f>
        <v/>
      </c>
      <c r="N51">
        <f>IFERROR(F51*(1+M51),"")</f>
        <v/>
      </c>
      <c r="O51">
        <f>IFERROR(N51/N50-1,"")</f>
        <v/>
      </c>
      <c r="P51">
        <f>IFERROR(F51/F50-1,"")</f>
        <v/>
      </c>
    </row>
    <row r="52">
      <c r="C52" t="n">
        <v>2018</v>
      </c>
      <c r="D52">
        <f>E52/F52</f>
        <v/>
      </c>
      <c r="E52" s="19">
        <f>IFERROR(INDEX(PWT!$B$2:$B$35,MATCH(C52,PWT!$A$2:$A$35,0)),"")</f>
        <v/>
      </c>
      <c r="F52">
        <f>IFERROR(INDEX(WEO_Data!$C$8:$C$51,MATCH(C52,WEO_Data!$B$8:$B$51,0)),"")</f>
        <v/>
      </c>
      <c r="G52">
        <f>IFERROR(INDEX($L$6:$L$27,MATCH(C52,$C$6:$C$27,0)),"")</f>
        <v/>
      </c>
      <c r="H52">
        <f>EXP(G52+$B$2*LN(E52))</f>
        <v/>
      </c>
      <c r="I52">
        <f>IFERROR(INDEX(Investment!$C$2:$C$9,MATCH(C52,Investment!$B$2:$B$9,0)),0)</f>
        <v/>
      </c>
      <c r="J52">
        <f>IF(C52&lt;2026,0,(1-$B$3)*J51+I52)</f>
        <v/>
      </c>
      <c r="K52" s="19">
        <f>E52+J52</f>
        <v/>
      </c>
      <c r="L52">
        <f>EXP(G52+$B$2*LN(K52))</f>
        <v/>
      </c>
      <c r="M52">
        <f>IFERROR(L52/H52-1,"")</f>
        <v/>
      </c>
      <c r="N52">
        <f>IFERROR(F52*(1+M52),"")</f>
        <v/>
      </c>
      <c r="O52">
        <f>IFERROR(N52/N51-1,"")</f>
        <v/>
      </c>
      <c r="P52">
        <f>IFERROR(F52/F51-1,"")</f>
        <v/>
      </c>
    </row>
    <row r="53">
      <c r="C53" t="n">
        <v>2019</v>
      </c>
      <c r="D53">
        <f>E53/F53</f>
        <v/>
      </c>
      <c r="E53" s="19">
        <f>IFERROR(INDEX(PWT!$B$2:$B$35,MATCH(C53,PWT!$A$2:$A$35,0)),"")</f>
        <v/>
      </c>
      <c r="F53">
        <f>IFERROR(INDEX(WEO_Data!$C$8:$C$51,MATCH(C53,WEO_Data!$B$8:$B$51,0)),"")</f>
        <v/>
      </c>
      <c r="G53">
        <f>IFERROR(INDEX($L$6:$L$27,MATCH(C53,$C$6:$C$27,0)),"")</f>
        <v/>
      </c>
      <c r="H53">
        <f>EXP(G53+$B$2*LN(E53))</f>
        <v/>
      </c>
      <c r="I53">
        <f>IFERROR(INDEX(Investment!$C$2:$C$9,MATCH(C53,Investment!$B$2:$B$9,0)),0)</f>
        <v/>
      </c>
      <c r="J53">
        <f>IF(C53&lt;2026,0,(1-$B$3)*J52+I53)</f>
        <v/>
      </c>
      <c r="K53" s="19">
        <f>E53+J53</f>
        <v/>
      </c>
      <c r="L53">
        <f>EXP(G53+$B$2*LN(K53))</f>
        <v/>
      </c>
      <c r="M53">
        <f>IFERROR(L53/H53-1,"")</f>
        <v/>
      </c>
      <c r="N53">
        <f>IFERROR(F53*(1+M53),"")</f>
        <v/>
      </c>
      <c r="O53">
        <f>IFERROR(N53/N52-1,"")</f>
        <v/>
      </c>
      <c r="P53">
        <f>IFERROR(F53/F52-1,"")</f>
        <v/>
      </c>
    </row>
    <row r="54">
      <c r="C54" t="n">
        <v>2020</v>
      </c>
      <c r="D54">
        <f>E54/F54</f>
        <v/>
      </c>
      <c r="E54" s="19">
        <f>IFERROR(INDEX(PWT!$B$2:$B$35,MATCH(C54,PWT!$A$2:$A$35,0)),"")</f>
        <v/>
      </c>
      <c r="F54">
        <f>IFERROR(INDEX(WEO_Data!$C$8:$C$51,MATCH(C54,WEO_Data!$B$8:$B$51,0)),"")</f>
        <v/>
      </c>
      <c r="G54">
        <f>IFERROR(INDEX($L$6:$L$27,MATCH(C54,$C$6:$C$27,0)),"")</f>
        <v/>
      </c>
      <c r="H54">
        <f>EXP(G54+$B$2*LN(E54))</f>
        <v/>
      </c>
      <c r="I54">
        <f>IFERROR(INDEX(Investment!$C$2:$C$9,MATCH(C54,Investment!$B$2:$B$9,0)),0)</f>
        <v/>
      </c>
      <c r="J54">
        <f>IF(C54&lt;2026,0,(1-$B$3)*J53+I54)</f>
        <v/>
      </c>
      <c r="K54" s="19">
        <f>E54+J54</f>
        <v/>
      </c>
      <c r="L54">
        <f>EXP(G54+$B$2*LN(K54))</f>
        <v/>
      </c>
      <c r="M54">
        <f>IFERROR(L54/H54-1,"")</f>
        <v/>
      </c>
      <c r="N54">
        <f>IFERROR(F54*(1+M54),"")</f>
        <v/>
      </c>
      <c r="O54">
        <f>IFERROR(N54/N53-1,"")</f>
        <v/>
      </c>
      <c r="P54">
        <f>IFERROR(F54/F53-1,"")</f>
        <v/>
      </c>
    </row>
    <row r="55">
      <c r="C55" t="n">
        <v>2021</v>
      </c>
      <c r="D55">
        <f>E55/F55</f>
        <v/>
      </c>
      <c r="E55" s="19">
        <f>IFERROR(INDEX(PWT!$B$2:$B$35,MATCH(C55,PWT!$A$2:$A$35,0)),"")</f>
        <v/>
      </c>
      <c r="F55">
        <f>IFERROR(INDEX(WEO_Data!$C$8:$C$51,MATCH(C55,WEO_Data!$B$8:$B$51,0)),"")</f>
        <v/>
      </c>
      <c r="G55">
        <f>IFERROR(INDEX($L$6:$L$27,MATCH(C55,$C$6:$C$27,0)),"")</f>
        <v/>
      </c>
      <c r="H55">
        <f>EXP(G55+$B$2*LN(E55))</f>
        <v/>
      </c>
      <c r="I55">
        <f>IFERROR(INDEX(Investment!$C$2:$C$9,MATCH(C55,Investment!$B$2:$B$9,0)),0)</f>
        <v/>
      </c>
      <c r="J55">
        <f>IF(C55&lt;2026,0,(1-$B$3)*J54+I55)</f>
        <v/>
      </c>
      <c r="K55" s="19">
        <f>E55+J55</f>
        <v/>
      </c>
      <c r="L55">
        <f>EXP(G55+$B$2*LN(K55))</f>
        <v/>
      </c>
      <c r="M55">
        <f>IFERROR(L55/H55-1,"")</f>
        <v/>
      </c>
      <c r="N55">
        <f>IFERROR(F55*(1+M55),"")</f>
        <v/>
      </c>
      <c r="O55">
        <f>IFERROR(N55/N54-1,"")</f>
        <v/>
      </c>
      <c r="P55">
        <f>IFERROR(F55/F54-1,"")</f>
        <v/>
      </c>
    </row>
    <row r="56">
      <c r="C56" t="n">
        <v>2022</v>
      </c>
      <c r="D56">
        <f>E56/F56</f>
        <v/>
      </c>
      <c r="E56" s="19">
        <f>IFERROR(INDEX(PWT!$B$2:$B$35,MATCH(C56,PWT!$A$2:$A$35,0)),"")</f>
        <v/>
      </c>
      <c r="F56">
        <f>IFERROR(INDEX(WEO_Data!$C$8:$C$51,MATCH(C56,WEO_Data!$B$8:$B$51,0)),"")</f>
        <v/>
      </c>
      <c r="G56">
        <f>IFERROR(INDEX($L$6:$L$27,MATCH(C56,$C$6:$C$27,0)),"")</f>
        <v/>
      </c>
      <c r="H56">
        <f>EXP(G56+$B$2*LN(E56))</f>
        <v/>
      </c>
      <c r="I56">
        <f>IFERROR(INDEX(Investment!$C$2:$C$9,MATCH(C56,Investment!$B$2:$B$9,0)),0)</f>
        <v/>
      </c>
      <c r="J56">
        <f>IF(C56&lt;2026,0,(1-$B$3)*J55+I56)</f>
        <v/>
      </c>
      <c r="K56" s="19">
        <f>E56+J56</f>
        <v/>
      </c>
      <c r="L56">
        <f>EXP(G56+$B$2*LN(K56))</f>
        <v/>
      </c>
      <c r="M56">
        <f>IFERROR(L56/H56-1,"")</f>
        <v/>
      </c>
      <c r="N56">
        <f>IFERROR(F56*(1+M56),"")</f>
        <v/>
      </c>
      <c r="O56">
        <f>IFERROR(N56/N55-1,"")</f>
        <v/>
      </c>
      <c r="P56">
        <f>IFERROR(F56/F55-1,"")</f>
        <v/>
      </c>
    </row>
    <row r="57">
      <c r="C57" t="n">
        <v>2023</v>
      </c>
      <c r="D57">
        <f>E57/F57</f>
        <v/>
      </c>
      <c r="E57" s="19">
        <f>IFERROR(INDEX(PWT!$B$2:$B$35,MATCH(C57,PWT!$A$2:$A$35,0)),"")</f>
        <v/>
      </c>
      <c r="F57">
        <f>IFERROR(INDEX(WEO_Data!$C$8:$C$51,MATCH(C57,WEO_Data!$B$8:$B$51,0)),"")</f>
        <v/>
      </c>
      <c r="G57">
        <f>IFERROR(INDEX($L$6:$L$27,MATCH(C57,$C$6:$C$27,0)),"")</f>
        <v/>
      </c>
      <c r="H57">
        <f>EXP(G57+$B$2*LN(E57))</f>
        <v/>
      </c>
      <c r="I57">
        <f>IFERROR(INDEX(Investment!$C$2:$C$9,MATCH(C57,Investment!$B$2:$B$9,0)),0)</f>
        <v/>
      </c>
      <c r="J57">
        <f>IF(C57&lt;2026,0,(1-$B$3)*J56+I57)</f>
        <v/>
      </c>
      <c r="K57" s="19">
        <f>E57+J57</f>
        <v/>
      </c>
      <c r="L57">
        <f>EXP(G57+$B$2*LN(K57))</f>
        <v/>
      </c>
      <c r="M57">
        <f>IFERROR(L57/H57-1,"")</f>
        <v/>
      </c>
      <c r="N57">
        <f>IFERROR(F57*(1+M57),"")</f>
        <v/>
      </c>
      <c r="O57">
        <f>IFERROR(N57/N56-1,"")</f>
        <v/>
      </c>
      <c r="P57">
        <f>IFERROR(F57/F56-1,"")</f>
        <v/>
      </c>
    </row>
    <row r="58">
      <c r="C58" t="n">
        <v>2024</v>
      </c>
      <c r="D58">
        <f>AVERAGE($D$49:$D$57)</f>
        <v/>
      </c>
      <c r="E58" s="21">
        <f>D58*F58</f>
        <v/>
      </c>
      <c r="F58">
        <f>IFERROR(INDEX(WEO_Data!$C$8:$C$51,MATCH(C58,WEO_Data!$B$8:$B$51,0)),"")</f>
        <v/>
      </c>
      <c r="G58" s="20">
        <f>TREND($G$36:$G$57,$C$36:$C$57,C58)</f>
        <v/>
      </c>
      <c r="H58">
        <f>EXP(G58+$B$2*LN(E58))</f>
        <v/>
      </c>
      <c r="I58">
        <f>IFERROR(INDEX(Investment!$C$2:$C$9,MATCH(C58,Investment!$B$2:$B$9,0)),0)</f>
        <v/>
      </c>
      <c r="J58">
        <f>IF(C58&lt;2026,0,(1-$B$3)*J57+I58)</f>
        <v/>
      </c>
      <c r="K58" s="19">
        <f>E58+J58</f>
        <v/>
      </c>
      <c r="L58">
        <f>EXP(G58+$B$2*LN(K58))</f>
        <v/>
      </c>
      <c r="M58">
        <f>IFERROR(L58/H58-1,"")</f>
        <v/>
      </c>
      <c r="N58">
        <f>IFERROR(F58*(1+M58),"")</f>
        <v/>
      </c>
      <c r="O58">
        <f>IFERROR(N58/N57-1,"")</f>
        <v/>
      </c>
      <c r="P58">
        <f>IFERROR(F58/F57-1,"")</f>
        <v/>
      </c>
    </row>
    <row r="59">
      <c r="C59" t="n">
        <v>2025</v>
      </c>
      <c r="D59">
        <f>AVERAGE($D$49:$D$57)</f>
        <v/>
      </c>
      <c r="E59" s="21">
        <f>D59*F59</f>
        <v/>
      </c>
      <c r="F59">
        <f>IFERROR(INDEX(WEO_Data!$C$8:$C$51,MATCH(C59,WEO_Data!$B$8:$B$51,0)),"")</f>
        <v/>
      </c>
      <c r="G59" s="20">
        <f>TREND($G$36:$G$57,$C$36:$C$57,C59)</f>
        <v/>
      </c>
      <c r="H59">
        <f>EXP(G59+$B$2*LN(E59))</f>
        <v/>
      </c>
      <c r="I59">
        <f>IFERROR(INDEX(Investment!$C$2:$C$9,MATCH(C59,Investment!$B$2:$B$9,0)),0)</f>
        <v/>
      </c>
      <c r="J59">
        <f>IF(C59&lt;2026,0,(1-$B$3)*J58+I59)</f>
        <v/>
      </c>
      <c r="K59" s="19">
        <f>E59+J59</f>
        <v/>
      </c>
      <c r="L59">
        <f>EXP(G59+$B$2*LN(K59))</f>
        <v/>
      </c>
      <c r="M59">
        <f>IFERROR(L59/H59-1,"")</f>
        <v/>
      </c>
      <c r="N59">
        <f>IFERROR(F59*(1+M59),"")</f>
        <v/>
      </c>
      <c r="O59">
        <f>IFERROR(N59/N58-1,"")</f>
        <v/>
      </c>
      <c r="P59">
        <f>IFERROR(F59/F58-1,"")</f>
        <v/>
      </c>
    </row>
    <row r="60">
      <c r="C60" t="n">
        <v>2026</v>
      </c>
      <c r="D60">
        <f>AVERAGE($D$49:$D$57)</f>
        <v/>
      </c>
      <c r="E60" s="21">
        <f>D60*F60</f>
        <v/>
      </c>
      <c r="F60" s="20">
        <f>IFERROR(INDEX(WEO_Data!$C$8:$C$51,MATCH(C60,WEO_Data!$B$8:$B$51,0)),"")</f>
        <v/>
      </c>
      <c r="G60" s="20">
        <f>TREND($G$36:$G$57,$C$36:$C$57,C60)</f>
        <v/>
      </c>
      <c r="H60">
        <f>EXP(G60+$B$2*LN(E60))</f>
        <v/>
      </c>
      <c r="I60" s="17">
        <f>IFERROR(INDEX(Investment!$C$2:$C$9,MATCH(C60,Investment!$B$2:$B$9,0)),0)</f>
        <v/>
      </c>
      <c r="J60">
        <f>IF(C60&lt;2026,0,(1-$B$3)*J59+I60)</f>
        <v/>
      </c>
      <c r="K60" s="19">
        <f>E60+J60</f>
        <v/>
      </c>
      <c r="L60">
        <f>EXP(G60+$B$2*LN(K60))</f>
        <v/>
      </c>
      <c r="M60">
        <f>IFERROR(L60/H60-1,"")</f>
        <v/>
      </c>
      <c r="N60">
        <f>IFERROR(F60*(1+M60),"")</f>
        <v/>
      </c>
      <c r="O60">
        <f>IFERROR(N60/N59-1,"")</f>
        <v/>
      </c>
      <c r="P60">
        <f>IFERROR(F60/F59-1,"")</f>
        <v/>
      </c>
    </row>
    <row r="61">
      <c r="C61" t="n">
        <v>2027</v>
      </c>
      <c r="D61">
        <f>AVERAGE($D$49:$D$57)</f>
        <v/>
      </c>
      <c r="E61" s="21">
        <f>D61*F61</f>
        <v/>
      </c>
      <c r="F61" s="20">
        <f>IFERROR(INDEX(WEO_Data!$C$8:$C$51,MATCH(C61,WEO_Data!$B$8:$B$51,0)),"")</f>
        <v/>
      </c>
      <c r="G61" s="20">
        <f>TREND($G$36:$G$57,$C$36:$C$57,C61)</f>
        <v/>
      </c>
      <c r="H61">
        <f>EXP(G61+$B$2*LN(E61))</f>
        <v/>
      </c>
      <c r="I61" s="17">
        <f>IFERROR(INDEX(Investment!$C$2:$C$9,MATCH(C61,Investment!$B$2:$B$9,0)),0)</f>
        <v/>
      </c>
      <c r="J61">
        <f>IF(C61&lt;2026,0,(1-$B$3)*J60+I61)</f>
        <v/>
      </c>
      <c r="K61" s="19">
        <f>E61+J61</f>
        <v/>
      </c>
      <c r="L61">
        <f>EXP(G61+$B$2*LN(K61))</f>
        <v/>
      </c>
      <c r="M61">
        <f>IFERROR(L61/H61-1,"")</f>
        <v/>
      </c>
      <c r="N61">
        <f>IFERROR(F61*(1+M61),"")</f>
        <v/>
      </c>
      <c r="O61">
        <f>IFERROR(N61/N60-1,"")</f>
        <v/>
      </c>
      <c r="P61">
        <f>IFERROR(F61/F60-1,"")</f>
        <v/>
      </c>
    </row>
    <row r="62">
      <c r="C62" t="n">
        <v>2028</v>
      </c>
      <c r="D62">
        <f>AVERAGE($D$49:$D$57)</f>
        <v/>
      </c>
      <c r="E62" s="21">
        <f>D62*F62</f>
        <v/>
      </c>
      <c r="F62" s="20">
        <f>IFERROR(INDEX(WEO_Data!$C$8:$C$51,MATCH(C62,WEO_Data!$B$8:$B$51,0)),"")</f>
        <v/>
      </c>
      <c r="G62" s="20">
        <f>TREND($G$36:$G$57,$C$36:$C$57,C62)</f>
        <v/>
      </c>
      <c r="H62">
        <f>EXP(G62+$B$2*LN(E62))</f>
        <v/>
      </c>
      <c r="I62" s="17">
        <f>IFERROR(INDEX(Investment!$C$2:$C$9,MATCH(C62,Investment!$B$2:$B$9,0)),0)</f>
        <v/>
      </c>
      <c r="J62">
        <f>IF(C62&lt;2026,0,(1-$B$3)*J61+I62)</f>
        <v/>
      </c>
      <c r="K62" s="19">
        <f>E62+J62</f>
        <v/>
      </c>
      <c r="L62">
        <f>EXP(G62+$B$2*LN(K62))</f>
        <v/>
      </c>
      <c r="M62">
        <f>IFERROR(L62/H62-1,"")</f>
        <v/>
      </c>
      <c r="N62">
        <f>IFERROR(F62*(1+M62),"")</f>
        <v/>
      </c>
      <c r="O62">
        <f>IFERROR(N62/N61-1,"")</f>
        <v/>
      </c>
      <c r="P62">
        <f>IFERROR(F62/F61-1,"")</f>
        <v/>
      </c>
    </row>
    <row r="63">
      <c r="C63" t="n">
        <v>2029</v>
      </c>
      <c r="D63">
        <f>AVERAGE($D$49:$D$57)</f>
        <v/>
      </c>
      <c r="E63" s="21">
        <f>D63*F63</f>
        <v/>
      </c>
      <c r="F63" s="20">
        <f>IFERROR(INDEX(WEO_Data!$C$8:$C$51,MATCH(C63,WEO_Data!$B$8:$B$51,0)),"")</f>
        <v/>
      </c>
      <c r="G63" s="20">
        <f>TREND($G$36:$G$57,$C$36:$C$57,C63)</f>
        <v/>
      </c>
      <c r="H63">
        <f>EXP(G63+$B$2*LN(E63))</f>
        <v/>
      </c>
      <c r="I63" s="17">
        <f>IFERROR(INDEX(Investment!$C$2:$C$9,MATCH(C63,Investment!$B$2:$B$9,0)),0)</f>
        <v/>
      </c>
      <c r="J63">
        <f>IF(C63&lt;2026,0,(1-$B$3)*J62+I63)</f>
        <v/>
      </c>
      <c r="K63" s="19">
        <f>E63+J63</f>
        <v/>
      </c>
      <c r="L63">
        <f>EXP(G63+$B$2*LN(K63))</f>
        <v/>
      </c>
      <c r="M63">
        <f>IFERROR(L63/H63-1,"")</f>
        <v/>
      </c>
      <c r="N63">
        <f>IFERROR(F63*(1+M63),"")</f>
        <v/>
      </c>
      <c r="O63">
        <f>IFERROR(N63/N62-1,"")</f>
        <v/>
      </c>
      <c r="P63">
        <f>IFERROR(F63/F62-1,"")</f>
        <v/>
      </c>
    </row>
    <row r="64">
      <c r="C64" t="n">
        <v>2030</v>
      </c>
      <c r="D64">
        <f>AVERAGE($D$49:$D$57)</f>
        <v/>
      </c>
      <c r="E64" s="21">
        <f>D64*F64</f>
        <v/>
      </c>
      <c r="F64" s="20">
        <f>IFERROR(INDEX(WEO_Data!$C$8:$C$51,MATCH(C64,WEO_Data!$B$8:$B$51,0)),"")</f>
        <v/>
      </c>
      <c r="G64" s="20">
        <f>TREND($G$36:$G$57,$C$36:$C$57,C64)</f>
        <v/>
      </c>
      <c r="H64">
        <f>EXP(G64+$B$2*LN(E64))</f>
        <v/>
      </c>
      <c r="I64" s="17">
        <f>IFERROR(INDEX(Investment!$C$2:$C$9,MATCH(C64,Investment!$B$2:$B$9,0)),0)</f>
        <v/>
      </c>
      <c r="J64">
        <f>IF(C64&lt;2026,0,(1-$B$3)*J63+I64)</f>
        <v/>
      </c>
      <c r="K64" s="19">
        <f>E64+J64</f>
        <v/>
      </c>
      <c r="L64">
        <f>EXP(G64+$B$2*LN(K64))</f>
        <v/>
      </c>
      <c r="M64">
        <f>IFERROR(L64/H64-1,"")</f>
        <v/>
      </c>
      <c r="N64">
        <f>IFERROR(F64*(1+M64),"")</f>
        <v/>
      </c>
      <c r="O64">
        <f>IFERROR(N64/N63-1,"")</f>
        <v/>
      </c>
      <c r="P64">
        <f>IFERROR(F64/F63-1,"")</f>
        <v/>
      </c>
    </row>
    <row r="65">
      <c r="C65" t="n">
        <v>2031</v>
      </c>
      <c r="D65">
        <f>AVERAGE($D$49:$D$57)</f>
        <v/>
      </c>
      <c r="E65" s="21">
        <f>D65*F65</f>
        <v/>
      </c>
      <c r="F65" s="20">
        <f>IFERROR(INDEX(WEO_Data!$C$8:$C$51,MATCH(C65,WEO_Data!$B$8:$B$51,0)),"")</f>
        <v/>
      </c>
      <c r="G65" s="20">
        <f>TREND($G$36:$G$57,$C$36:$C$57,C65)</f>
        <v/>
      </c>
      <c r="H65">
        <f>EXP(G65+$B$2*LN(E65))</f>
        <v/>
      </c>
      <c r="I65" s="17">
        <f>IFERROR(INDEX(Investment!$C$2:$C$9,MATCH(C65,Investment!$B$2:$B$9,0)),0)</f>
        <v/>
      </c>
      <c r="J65">
        <f>IF(C65&lt;2026,0,(1-$B$3)*J64+I65)</f>
        <v/>
      </c>
      <c r="K65" s="19">
        <f>E65+J65</f>
        <v/>
      </c>
      <c r="L65">
        <f>EXP(G65+$B$2*LN(K65))</f>
        <v/>
      </c>
      <c r="M65">
        <f>IFERROR(L65/H65-1,"")</f>
        <v/>
      </c>
      <c r="N65">
        <f>IFERROR(F65*(1+M65),"")</f>
        <v/>
      </c>
      <c r="O65">
        <f>IFERROR(N65/N64-1,"")</f>
        <v/>
      </c>
      <c r="P65">
        <f>IFERROR(F65/F64-1,"")</f>
        <v/>
      </c>
    </row>
    <row r="66">
      <c r="C66" t="n">
        <v>2032</v>
      </c>
      <c r="D66">
        <f>AVERAGE($D$49:$D$57)</f>
        <v/>
      </c>
      <c r="E66" s="21">
        <f>D66*F66</f>
        <v/>
      </c>
      <c r="F66" s="20">
        <f>IFERROR(INDEX(WEO_Data!$C$8:$C$51,MATCH(C66,WEO_Data!$B$8:$B$51,0)),"")</f>
        <v/>
      </c>
      <c r="G66" s="20">
        <f>TREND($G$36:$G$57,$C$36:$C$57,C66)</f>
        <v/>
      </c>
      <c r="H66">
        <f>EXP(G66+$B$2*LN(E66))</f>
        <v/>
      </c>
      <c r="I66" s="17">
        <f>IFERROR(INDEX(Investment!$C$2:$C$9,MATCH(C66,Investment!$B$2:$B$9,0)),0)</f>
        <v/>
      </c>
      <c r="J66">
        <f>IF(C66&lt;2026,0,(1-$B$3)*J65+I66)</f>
        <v/>
      </c>
      <c r="K66" s="19">
        <f>E66+J66</f>
        <v/>
      </c>
      <c r="L66">
        <f>EXP(G66+$B$2*LN(K66))</f>
        <v/>
      </c>
      <c r="M66">
        <f>IFERROR(L66/H66-1,"")</f>
        <v/>
      </c>
      <c r="N66">
        <f>IFERROR(F66*(1+M66),"")</f>
        <v/>
      </c>
      <c r="O66">
        <f>IFERROR(N66/N65-1,"")</f>
        <v/>
      </c>
      <c r="P66">
        <f>IFERROR(F66/F65-1,"")</f>
        <v/>
      </c>
    </row>
    <row r="67">
      <c r="C67" t="n">
        <v>2033</v>
      </c>
      <c r="D67">
        <f>AVERAGE($D$49:$D$57)</f>
        <v/>
      </c>
      <c r="E67" s="21">
        <f>D67*F67</f>
        <v/>
      </c>
      <c r="F67" s="20">
        <f>IFERROR(INDEX(WEO_Data!$C$8:$C$51,MATCH(C67,WEO_Data!$B$8:$B$51,0)),"")</f>
        <v/>
      </c>
      <c r="G67" s="20">
        <f>TREND($G$36:$G$57,$C$36:$C$57,C67)</f>
        <v/>
      </c>
      <c r="H67">
        <f>EXP(G67+$B$2*LN(E67))</f>
        <v/>
      </c>
      <c r="I67" s="17">
        <f>IFERROR(INDEX(Investment!$C$2:$C$9,MATCH(C67,Investment!$B$2:$B$9,0)),0)</f>
        <v/>
      </c>
      <c r="J67">
        <f>IF(C67&lt;2026,0,(1-$B$3)*J66+I67)</f>
        <v/>
      </c>
      <c r="K67" s="19">
        <f>E67+J67</f>
        <v/>
      </c>
      <c r="L67">
        <f>EXP(G67+$B$2*LN(K67))</f>
        <v/>
      </c>
      <c r="M67">
        <f>IFERROR(L67/H67-1,"")</f>
        <v/>
      </c>
      <c r="N67">
        <f>IFERROR(F67*(1+M67),"")</f>
        <v/>
      </c>
      <c r="O67">
        <f>IFERROR(N67/N66-1,"")</f>
        <v/>
      </c>
      <c r="P67">
        <f>IFERROR(F67/F66-1,"")</f>
        <v/>
      </c>
    </row>
    <row r="68">
      <c r="C68" t="n">
        <v>2034</v>
      </c>
      <c r="D68">
        <f>AVERAGE($D$49:$D$57)</f>
        <v/>
      </c>
      <c r="E68" s="21">
        <f>D68*F68</f>
        <v/>
      </c>
      <c r="F68" s="20">
        <f>IFERROR(INDEX(WEO_Data!$C$8:$C$51,MATCH(C68,WEO_Data!$B$8:$B$51,0)),"")</f>
        <v/>
      </c>
      <c r="G68" s="20">
        <f>TREND($G$36:$G$57,$C$36:$C$57,C68)</f>
        <v/>
      </c>
      <c r="H68">
        <f>EXP(G68+$B$2*LN(E68))</f>
        <v/>
      </c>
      <c r="I68">
        <f>IFERROR(INDEX(Investment!$C$2:$C$9,MATCH(C68,Investment!$B$2:$B$9,0)),0)</f>
        <v/>
      </c>
      <c r="J68">
        <f>IF(C68&lt;2026,0,(1-$B$3)*J67+I68)</f>
        <v/>
      </c>
      <c r="K68" s="19">
        <f>E68+J68</f>
        <v/>
      </c>
      <c r="L68">
        <f>EXP(G68+$B$2*LN(K68))</f>
        <v/>
      </c>
      <c r="M68">
        <f>IFERROR(L68/H68-1,"")</f>
        <v/>
      </c>
      <c r="N68">
        <f>IFERROR(F68*(1+M68),"")</f>
        <v/>
      </c>
      <c r="O68">
        <f>IFERROR(N68/N67-1,"")</f>
        <v/>
      </c>
      <c r="P68">
        <f>IFERROR(F68/F67-1,"")</f>
        <v/>
      </c>
    </row>
    <row r="69">
      <c r="C69" t="n">
        <v>2035</v>
      </c>
      <c r="D69">
        <f>AVERAGE($D$49:$D$57)</f>
        <v/>
      </c>
      <c r="E69" s="21">
        <f>D69*F69</f>
        <v/>
      </c>
      <c r="F69" s="20">
        <f>IFERROR(INDEX(WEO_Data!$C$8:$C$51,MATCH(C69,WEO_Data!$B$8:$B$51,0)),"")</f>
        <v/>
      </c>
      <c r="G69" s="20">
        <f>TREND($G$36:$G$57,$C$36:$C$57,C69)</f>
        <v/>
      </c>
      <c r="H69">
        <f>EXP(G69+$B$2*LN(E69))</f>
        <v/>
      </c>
      <c r="I69">
        <f>IFERROR(INDEX(Investment!$C$2:$C$9,MATCH(C69,Investment!$B$2:$B$9,0)),0)</f>
        <v/>
      </c>
      <c r="J69">
        <f>IF(C69&lt;2026,0,(1-$B$3)*J68+I69)</f>
        <v/>
      </c>
      <c r="K69" s="19">
        <f>E69+J69</f>
        <v/>
      </c>
      <c r="L69">
        <f>EXP(G69+$B$2*LN(K69))</f>
        <v/>
      </c>
      <c r="M69">
        <f>IFERROR(L69/H69-1,"")</f>
        <v/>
      </c>
      <c r="N69">
        <f>IFERROR(F69*(1+M69),"")</f>
        <v/>
      </c>
      <c r="O69">
        <f>IFERROR(N69/N68-1,"")</f>
        <v/>
      </c>
      <c r="P69">
        <f>IFERROR(F69/F68-1,"")</f>
        <v/>
      </c>
    </row>
    <row r="70">
      <c r="C70" t="n">
        <v>2036</v>
      </c>
      <c r="D70">
        <f>AVERAGE($D$49:$D$57)</f>
        <v/>
      </c>
      <c r="E70" s="21">
        <f>D70*F70</f>
        <v/>
      </c>
      <c r="F70" s="20">
        <f>IFERROR(INDEX(WEO_Data!$C$8:$C$51,MATCH(C70,WEO_Data!$B$8:$B$51,0)),"")</f>
        <v/>
      </c>
      <c r="G70" s="20">
        <f>TREND($G$36:$G$57,$C$36:$C$57,C70)</f>
        <v/>
      </c>
      <c r="H70">
        <f>EXP(G70+$B$2*LN(E70))</f>
        <v/>
      </c>
      <c r="I70">
        <f>IFERROR(INDEX(Investment!$C$2:$C$9,MATCH(C70,Investment!$B$2:$B$9,0)),0)</f>
        <v/>
      </c>
      <c r="J70">
        <f>IF(C70&lt;2026,0,(1-$B$3)*J69+I70)</f>
        <v/>
      </c>
      <c r="K70" s="19">
        <f>E70+J70</f>
        <v/>
      </c>
      <c r="L70">
        <f>EXP(G70+$B$2*LN(K70))</f>
        <v/>
      </c>
      <c r="M70">
        <f>IFERROR(L70/H70-1,"")</f>
        <v/>
      </c>
      <c r="N70">
        <f>IFERROR(F70*(1+M70),"")</f>
        <v/>
      </c>
      <c r="O70">
        <f>IFERROR(N70/N69-1,"")</f>
        <v/>
      </c>
      <c r="P70">
        <f>IFERROR(F70/F69-1,"")</f>
        <v/>
      </c>
    </row>
    <row r="71">
      <c r="C71" t="n">
        <v>2037</v>
      </c>
      <c r="D71">
        <f>AVERAGE($D$49:$D$57)</f>
        <v/>
      </c>
      <c r="E71" s="21">
        <f>D71*F71</f>
        <v/>
      </c>
      <c r="F71" s="20">
        <f>IFERROR(INDEX(WEO_Data!$C$8:$C$51,MATCH(C71,WEO_Data!$B$8:$B$51,0)),"")</f>
        <v/>
      </c>
      <c r="G71" s="20">
        <f>TREND($G$36:$G$57,$C$36:$C$57,C71)</f>
        <v/>
      </c>
      <c r="H71">
        <f>EXP(G71+$B$2*LN(E71))</f>
        <v/>
      </c>
      <c r="I71">
        <f>IFERROR(INDEX(Investment!$C$2:$C$9,MATCH(C71,Investment!$B$2:$B$9,0)),0)</f>
        <v/>
      </c>
      <c r="J71">
        <f>IF(C71&lt;2026,0,(1-$B$3)*J70+I71)</f>
        <v/>
      </c>
      <c r="K71" s="19">
        <f>E71+J71</f>
        <v/>
      </c>
      <c r="L71">
        <f>EXP(G71+$B$2*LN(K71))</f>
        <v/>
      </c>
      <c r="M71">
        <f>IFERROR(L71/H71-1,"")</f>
        <v/>
      </c>
      <c r="N71">
        <f>IFERROR(F71*(1+M71),"")</f>
        <v/>
      </c>
      <c r="O71">
        <f>IFERROR(N71/N70-1,"")</f>
        <v/>
      </c>
      <c r="P71">
        <f>IFERROR(F71/F70-1,"")</f>
        <v/>
      </c>
    </row>
    <row r="72">
      <c r="C72" t="n">
        <v>2038</v>
      </c>
      <c r="D72">
        <f>AVERAGE($D$49:$D$57)</f>
        <v/>
      </c>
      <c r="E72" s="21">
        <f>D72*F72</f>
        <v/>
      </c>
      <c r="F72" s="20">
        <f>IFERROR(INDEX(WEO_Data!$C$8:$C$51,MATCH(C72,WEO_Data!$B$8:$B$51,0)),"")</f>
        <v/>
      </c>
      <c r="G72" s="20">
        <f>TREND($G$36:$G$57,$C$36:$C$57,C72)</f>
        <v/>
      </c>
      <c r="H72">
        <f>EXP(G72+$B$2*LN(E72))</f>
        <v/>
      </c>
      <c r="I72">
        <f>IFERROR(INDEX(Investment!$C$2:$C$9,MATCH(C72,Investment!$B$2:$B$9,0)),0)</f>
        <v/>
      </c>
      <c r="J72">
        <f>IF(C72&lt;2026,0,(1-$B$3)*J71+I72)</f>
        <v/>
      </c>
      <c r="K72" s="19">
        <f>E72+J72</f>
        <v/>
      </c>
      <c r="L72">
        <f>EXP(G72+$B$2*LN(K72))</f>
        <v/>
      </c>
      <c r="M72">
        <f>IFERROR(L72/H72-1,"")</f>
        <v/>
      </c>
      <c r="N72">
        <f>IFERROR(F72*(1+M72),"")</f>
        <v/>
      </c>
      <c r="O72">
        <f>IFERROR(N72/N71-1,"")</f>
        <v/>
      </c>
      <c r="P72">
        <f>IFERROR(F72/F71-1,"")</f>
        <v/>
      </c>
    </row>
    <row r="73">
      <c r="C73" t="n">
        <v>2039</v>
      </c>
      <c r="D73">
        <f>AVERAGE($D$49:$D$57)</f>
        <v/>
      </c>
      <c r="E73" s="21">
        <f>D73*F73</f>
        <v/>
      </c>
      <c r="F73" s="20">
        <f>IFERROR(INDEX(WEO_Data!$C$8:$C$51,MATCH(C73,WEO_Data!$B$8:$B$51,0)),"")</f>
        <v/>
      </c>
      <c r="G73" s="20">
        <f>TREND($G$36:$G$57,$C$36:$C$57,C73)</f>
        <v/>
      </c>
      <c r="H73">
        <f>EXP(G73+$B$2*LN(E73))</f>
        <v/>
      </c>
      <c r="I73">
        <f>IFERROR(INDEX(Investment!$C$2:$C$9,MATCH(C73,Investment!$B$2:$B$9,0)),0)</f>
        <v/>
      </c>
      <c r="J73">
        <f>IF(C73&lt;2026,0,(1-$B$3)*J72+I73)</f>
        <v/>
      </c>
      <c r="K73" s="19">
        <f>E73+J73</f>
        <v/>
      </c>
      <c r="L73">
        <f>EXP(G73+$B$2*LN(K73))</f>
        <v/>
      </c>
      <c r="M73">
        <f>IFERROR(L73/H73-1,"")</f>
        <v/>
      </c>
      <c r="N73">
        <f>IFERROR(F73*(1+M73),"")</f>
        <v/>
      </c>
      <c r="O73">
        <f>IFERROR(N73/N72-1,"")</f>
        <v/>
      </c>
      <c r="P73">
        <f>IFERROR(F73/F72-1,"")</f>
        <v/>
      </c>
    </row>
    <row r="74">
      <c r="C74" t="n">
        <v>2040</v>
      </c>
      <c r="D74">
        <f>AVERAGE($D$49:$D$57)</f>
        <v/>
      </c>
      <c r="E74" s="21">
        <f>D74*F74</f>
        <v/>
      </c>
      <c r="F74" s="20">
        <f>IFERROR(INDEX(WEO_Data!$C$8:$C$51,MATCH(C74,WEO_Data!$B$8:$B$51,0)),"")</f>
        <v/>
      </c>
      <c r="G74" s="20">
        <f>TREND($G$36:$G$57,$C$36:$C$57,C74)</f>
        <v/>
      </c>
      <c r="H74">
        <f>EXP(G74+$B$2*LN(E74))</f>
        <v/>
      </c>
      <c r="I74">
        <f>IFERROR(INDEX(Investment!$C$2:$C$9,MATCH(C74,Investment!$B$2:$B$9,0)),0)</f>
        <v/>
      </c>
      <c r="J74">
        <f>IF(C74&lt;2026,0,(1-$B$3)*J73+I74)</f>
        <v/>
      </c>
      <c r="K74" s="19">
        <f>E74+J74</f>
        <v/>
      </c>
      <c r="L74">
        <f>EXP(G74+$B$2*LN(K74))</f>
        <v/>
      </c>
      <c r="M74">
        <f>IFERROR(L74/H74-1,"")</f>
        <v/>
      </c>
      <c r="N74">
        <f>IFERROR(F74*(1+M74),"")</f>
        <v/>
      </c>
      <c r="O74">
        <f>IFERROR(N74/N73-1,"")</f>
        <v/>
      </c>
      <c r="P74">
        <f>IFERROR(F74/F73-1,"")</f>
        <v/>
      </c>
    </row>
    <row r="75">
      <c r="C75" t="n">
        <v>2041</v>
      </c>
      <c r="D75">
        <f>AVERAGE($D$49:$D$57)</f>
        <v/>
      </c>
      <c r="E75" s="21">
        <f>D75*F75</f>
        <v/>
      </c>
      <c r="F75" s="20">
        <f>IFERROR(INDEX(WEO_Data!$C$8:$C$51,MATCH(C75,WEO_Data!$B$8:$B$51,0)),"")</f>
        <v/>
      </c>
      <c r="G75" s="20">
        <f>TREND($G$36:$G$57,$C$36:$C$57,C75)</f>
        <v/>
      </c>
      <c r="H75">
        <f>EXP(G75+$B$2*LN(E75))</f>
        <v/>
      </c>
      <c r="I75">
        <f>IFERROR(INDEX(Investment!$C$2:$C$9,MATCH(C75,Investment!$B$2:$B$9,0)),0)</f>
        <v/>
      </c>
      <c r="J75">
        <f>IF(C75&lt;2026,0,(1-$B$3)*J74+I75)</f>
        <v/>
      </c>
      <c r="K75" s="19">
        <f>E75+J75</f>
        <v/>
      </c>
      <c r="L75">
        <f>EXP(G75+$B$2*LN(K75))</f>
        <v/>
      </c>
      <c r="M75">
        <f>IFERROR(L75/H75-1,"")</f>
        <v/>
      </c>
      <c r="N75">
        <f>IFERROR(F75*(1+M75),"")</f>
        <v/>
      </c>
      <c r="O75">
        <f>IFERROR(N75/N74-1,"")</f>
        <v/>
      </c>
      <c r="P75">
        <f>IFERROR(F75/F74-1,"")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IFERROR(INDEX(PWT!$B$2:$B$35,MATCH(B2,PWT!$A$2:$A$35,0)),"")</f>
        <v/>
      </c>
      <c r="E2">
        <f>IFERROR(C2/D2,"")</f>
        <v/>
      </c>
    </row>
    <row r="3">
      <c r="A3" s="18" t="n">
        <v>35795</v>
      </c>
      <c r="B3" t="n">
        <v>1997</v>
      </c>
      <c r="C3" t="n">
        <v>383641663.608596</v>
      </c>
      <c r="D3" s="19">
        <f>IFERROR(INDEX(PWT!$B$2:$B$35,MATCH(B3,PWT!$A$2:$A$35,0)),"")</f>
        <v/>
      </c>
      <c r="E3">
        <f>IFERROR(C3/D3,"")</f>
        <v/>
      </c>
    </row>
    <row r="4">
      <c r="A4" s="18" t="n">
        <v>36160</v>
      </c>
      <c r="B4" t="n">
        <v>1998</v>
      </c>
      <c r="C4" t="n">
        <v>516397121.222809</v>
      </c>
      <c r="D4" s="19">
        <f>IFERROR(INDEX(PWT!$B$2:$B$35,MATCH(B4,PWT!$A$2:$A$35,0)),"")</f>
        <v/>
      </c>
      <c r="E4">
        <f>IFERROR(C4/D4,"")</f>
        <v/>
      </c>
    </row>
    <row r="5">
      <c r="A5" s="18" t="n">
        <v>36525</v>
      </c>
      <c r="B5" t="n">
        <v>1999</v>
      </c>
      <c r="C5" t="n">
        <v>661603834.429231</v>
      </c>
      <c r="D5" s="19">
        <f>IFERROR(INDEX(PWT!$B$2:$B$35,MATCH(B5,PWT!$A$2:$A$35,0)),"")</f>
        <v/>
      </c>
      <c r="E5">
        <f>IFERROR(C5/D5,"")</f>
        <v/>
      </c>
    </row>
    <row r="6">
      <c r="A6" s="18" t="n">
        <v>36891</v>
      </c>
      <c r="B6" t="n">
        <v>2000</v>
      </c>
      <c r="C6" t="n">
        <v>631701000.88782</v>
      </c>
      <c r="D6" s="19">
        <f>IFERROR(INDEX(PWT!$B$2:$B$35,MATCH(B6,PWT!$A$2:$A$35,0)),"")</f>
        <v/>
      </c>
      <c r="E6">
        <f>IFERROR(C6/D6,"")</f>
        <v/>
      </c>
    </row>
    <row r="7">
      <c r="A7" s="18" t="n">
        <v>37256</v>
      </c>
      <c r="B7" t="n">
        <v>2001</v>
      </c>
      <c r="C7" t="n">
        <v>706983726.789065</v>
      </c>
      <c r="D7" s="19">
        <f>IFERROR(INDEX(PWT!$B$2:$B$35,MATCH(B7,PWT!$A$2:$A$35,0)),"")</f>
        <v/>
      </c>
      <c r="E7">
        <f>IFERROR(C7/D7,"")</f>
        <v/>
      </c>
    </row>
    <row r="8">
      <c r="A8" s="18" t="n">
        <v>37621</v>
      </c>
      <c r="B8" t="n">
        <v>2002</v>
      </c>
      <c r="C8" t="n">
        <v>790112565.198609</v>
      </c>
      <c r="D8" s="19">
        <f>IFERROR(INDEX(PWT!$B$2:$B$35,MATCH(B8,PWT!$A$2:$A$35,0)),"")</f>
        <v/>
      </c>
      <c r="E8">
        <f>IFERROR(C8/D8,"")</f>
        <v/>
      </c>
    </row>
    <row r="9">
      <c r="A9" s="18" t="n">
        <v>37986</v>
      </c>
      <c r="B9" t="n">
        <v>2003</v>
      </c>
      <c r="C9" t="n">
        <v>932916219.671159</v>
      </c>
      <c r="D9" s="19">
        <f>IFERROR(INDEX(PWT!$B$2:$B$35,MATCH(B9,PWT!$A$2:$A$35,0)),"")</f>
        <v/>
      </c>
      <c r="E9">
        <f>IFERROR(C9/D9,"")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IFERROR(INDEX(PWT!$B$2:$B$35,MATCH(B10,PWT!$A$2:$A$35,0)),"")</f>
        <v/>
      </c>
      <c r="E10">
        <f>IFERROR(C10/D10,"")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IFERROR(INDEX(PWT!$B$2:$B$35,MATCH(B11,PWT!$A$2:$A$35,0)),"")</f>
        <v/>
      </c>
      <c r="E11">
        <f>IFERROR(C11/D11,"")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IFERROR(INDEX(PWT!$B$2:$B$35,MATCH(B12,PWT!$A$2:$A$35,0)),"")</f>
        <v/>
      </c>
      <c r="E12">
        <f>IFERROR(C12/D12,"")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IFERROR(INDEX(PWT!$B$2:$B$35,MATCH(B13,PWT!$A$2:$A$35,0)),"")</f>
        <v/>
      </c>
      <c r="E13">
        <f>IFERROR(C13/D13,"")</f>
        <v/>
      </c>
    </row>
    <row r="14">
      <c r="A14" s="18" t="n">
        <v>39813</v>
      </c>
      <c r="B14" t="n">
        <v>2008</v>
      </c>
      <c r="C14" t="n">
        <v>1758049267.6717</v>
      </c>
      <c r="D14" s="19">
        <f>IFERROR(INDEX(PWT!$B$2:$B$35,MATCH(B14,PWT!$A$2:$A$35,0)),"")</f>
        <v/>
      </c>
      <c r="E14">
        <f>IFERROR(C14/D14,"")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IFERROR(INDEX(PWT!$B$2:$B$35,MATCH(B15,PWT!$A$2:$A$35,0)),"")</f>
        <v/>
      </c>
      <c r="E15">
        <f>IFERROR(C15/D15,"")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IFERROR(INDEX(PWT!$B$2:$B$35,MATCH(B16,PWT!$A$2:$A$35,0)),"")</f>
        <v/>
      </c>
      <c r="E16">
        <f>IFERROR(C16/D16,"")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IFERROR(INDEX(PWT!$B$2:$B$35,MATCH(B17,PWT!$A$2:$A$35,0)),"")</f>
        <v/>
      </c>
      <c r="E17">
        <f>IFERROR(C17/D17,"")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IFERROR(INDEX(PWT!$B$2:$B$35,MATCH(B18,PWT!$A$2:$A$35,0)),"")</f>
        <v/>
      </c>
      <c r="E18">
        <f>IFERROR(C18/D18,"")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IFERROR(INDEX(PWT!$B$2:$B$35,MATCH(B19,PWT!$A$2:$A$35,0)),"")</f>
        <v/>
      </c>
      <c r="E19">
        <f>IFERROR(C19/D19,"")</f>
        <v/>
      </c>
    </row>
    <row r="20">
      <c r="A20" s="18" t="n">
        <v>42004</v>
      </c>
      <c r="B20" t="n">
        <v>2014</v>
      </c>
      <c r="C20" t="n">
        <v>2984890468.6878</v>
      </c>
      <c r="D20" s="19">
        <f>IFERROR(INDEX(PWT!$B$2:$B$35,MATCH(B20,PWT!$A$2:$A$35,0)),"")</f>
        <v/>
      </c>
      <c r="E20">
        <f>IFERROR(C20/D20,"")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IFERROR(INDEX(PWT!$B$2:$B$35,MATCH(B21,PWT!$A$2:$A$35,0)),"")</f>
        <v/>
      </c>
      <c r="E21">
        <f>IFERROR(C21/D21,"")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IFERROR(INDEX(PWT!$B$2:$B$35,MATCH(B22,PWT!$A$2:$A$35,0)),"")</f>
        <v/>
      </c>
      <c r="E22">
        <f>IFERROR(C22/D22,"")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IFERROR(INDEX(PWT!$B$2:$B$35,MATCH(B23,PWT!$A$2:$A$35,0)),"")</f>
        <v/>
      </c>
      <c r="E23">
        <f>IFERROR(C23/D23,"")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IFERROR(INDEX(PWT!$B$2:$B$35,MATCH(B24,PWT!$A$2:$A$35,0)),"")</f>
        <v/>
      </c>
      <c r="E24">
        <f>IFERROR(C24/D24,"")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IFERROR(INDEX(PWT!$B$2:$B$35,MATCH(B25,PWT!$A$2:$A$35,0)),"")</f>
        <v/>
      </c>
      <c r="E25">
        <f>IFERROR(C25/D25,"")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IFERROR(INDEX(PWT!$B$2:$B$35,MATCH(B26,PWT!$A$2:$A$35,0)),"")</f>
        <v/>
      </c>
      <c r="E26">
        <f>IFERROR(C26/D26,"")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IFERROR(INDEX(PWT!$B$2:$B$35,MATCH(B27,PWT!$A$2:$A$35,0)),"")</f>
        <v/>
      </c>
      <c r="E27">
        <f>IFERROR(C27/D27,"")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IFERROR(INDEX(PWT!$B$2:$B$35,MATCH(B28,PWT!$A$2:$A$35,0)),"")</f>
        <v/>
      </c>
      <c r="E28">
        <f>IFERROR(C28/D28,"")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IFERROR(INDEX(PWT!$B$2:$B$35,MATCH(B29,PWT!$A$2:$A$35,0)),"")</f>
        <v/>
      </c>
      <c r="E29">
        <f>IFERROR(C29/D29,"")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333953.90625</v>
      </c>
      <c r="C2" t="n">
        <v>67440.0546875</v>
      </c>
    </row>
    <row r="3">
      <c r="A3" s="19" t="n">
        <v>1991</v>
      </c>
      <c r="B3" s="19" t="n">
        <v>336800.125</v>
      </c>
      <c r="C3" t="n">
        <v>53052.83984375</v>
      </c>
    </row>
    <row r="4">
      <c r="A4" s="19" t="n">
        <v>1992</v>
      </c>
      <c r="B4" s="19" t="n">
        <v>331575.34375</v>
      </c>
      <c r="C4" t="n">
        <v>29442.9375</v>
      </c>
    </row>
    <row r="5">
      <c r="A5" s="19" t="n">
        <v>1993</v>
      </c>
      <c r="B5" s="19" t="n">
        <v>318977.5625</v>
      </c>
      <c r="C5" t="n">
        <v>20818.90234375</v>
      </c>
    </row>
    <row r="6">
      <c r="A6" s="19" t="n">
        <v>1994</v>
      </c>
      <c r="B6" s="19" t="n">
        <v>310557.21875</v>
      </c>
      <c r="C6" t="n">
        <v>18657.6640625</v>
      </c>
    </row>
    <row r="7">
      <c r="A7" s="19" t="n">
        <v>1995</v>
      </c>
      <c r="B7" s="19" t="n">
        <v>305633.28125</v>
      </c>
      <c r="C7" t="n">
        <v>19138.576171875</v>
      </c>
    </row>
    <row r="8">
      <c r="A8" s="19" t="n">
        <v>1996</v>
      </c>
      <c r="B8" s="19" t="n">
        <v>301706.46875</v>
      </c>
      <c r="C8" t="n">
        <v>21298.572265625</v>
      </c>
    </row>
    <row r="9">
      <c r="A9" s="19" t="n">
        <v>1997</v>
      </c>
      <c r="B9" s="19" t="n">
        <v>298764.625</v>
      </c>
      <c r="C9" t="n">
        <v>23538.966796875</v>
      </c>
    </row>
    <row r="10">
      <c r="A10" s="19" t="n">
        <v>1998</v>
      </c>
      <c r="B10" s="19" t="n">
        <v>298990.5</v>
      </c>
      <c r="C10" t="n">
        <v>24269.841796875</v>
      </c>
    </row>
    <row r="11">
      <c r="A11" s="19" t="n">
        <v>1999</v>
      </c>
      <c r="B11" s="19" t="n">
        <v>299754.78125</v>
      </c>
      <c r="C11" t="n">
        <v>24966.201171875</v>
      </c>
    </row>
    <row r="12">
      <c r="A12" s="19" t="n">
        <v>2000</v>
      </c>
      <c r="B12" s="19" t="n">
        <v>300383.3125</v>
      </c>
      <c r="C12" t="n">
        <v>25425.16796875</v>
      </c>
    </row>
    <row r="13">
      <c r="A13" s="19" t="n">
        <v>2001</v>
      </c>
      <c r="B13" s="19" t="n">
        <v>302284.0625</v>
      </c>
      <c r="C13" t="n">
        <v>26646.9609375</v>
      </c>
    </row>
    <row r="14">
      <c r="A14" s="19" t="n">
        <v>2002</v>
      </c>
      <c r="B14" s="19" t="n">
        <v>303592.625</v>
      </c>
      <c r="C14" t="n">
        <v>28105.572265625</v>
      </c>
    </row>
    <row r="15">
      <c r="A15" s="19" t="n">
        <v>2003</v>
      </c>
      <c r="B15" s="19" t="n">
        <v>307310.28125</v>
      </c>
      <c r="C15" t="n">
        <v>31213.515625</v>
      </c>
    </row>
    <row r="16">
      <c r="A16" s="19" t="n">
        <v>2004</v>
      </c>
      <c r="B16" s="19" t="n">
        <v>311984.28125</v>
      </c>
      <c r="C16" t="n">
        <v>33022.64453125</v>
      </c>
    </row>
    <row r="17">
      <c r="A17" s="19" t="n">
        <v>2005</v>
      </c>
      <c r="B17" s="19" t="n">
        <v>317837.8125</v>
      </c>
      <c r="C17" t="n">
        <v>36188.953125</v>
      </c>
    </row>
    <row r="18">
      <c r="A18" s="19" t="n">
        <v>2006</v>
      </c>
      <c r="B18" s="19" t="n">
        <v>322943.65625</v>
      </c>
      <c r="C18" t="n">
        <v>39598.22265625</v>
      </c>
    </row>
    <row r="19">
      <c r="A19" s="19" t="n">
        <v>2007</v>
      </c>
      <c r="B19" s="19" t="n">
        <v>329445.875</v>
      </c>
      <c r="C19" t="n">
        <v>44579.19140625</v>
      </c>
    </row>
    <row r="20">
      <c r="A20" s="19" t="n">
        <v>2008</v>
      </c>
      <c r="B20" s="19" t="n">
        <v>332604.46875</v>
      </c>
      <c r="C20" t="n">
        <v>45657.16015625</v>
      </c>
    </row>
    <row r="21">
      <c r="A21" s="19" t="n">
        <v>2009</v>
      </c>
      <c r="B21" s="19" t="n">
        <v>330608.28125</v>
      </c>
      <c r="C21" t="n">
        <v>43990.6328125</v>
      </c>
    </row>
    <row r="22">
      <c r="A22" s="19" t="n">
        <v>2010</v>
      </c>
      <c r="B22" s="19" t="n">
        <v>332551.53125</v>
      </c>
      <c r="C22" t="n">
        <v>46739.7890625</v>
      </c>
    </row>
    <row r="23">
      <c r="A23" s="19" t="n">
        <v>2011</v>
      </c>
      <c r="B23" s="19" t="n">
        <v>336560.28125</v>
      </c>
      <c r="C23" t="n">
        <v>50455.2109375</v>
      </c>
    </row>
    <row r="24">
      <c r="A24" s="19" t="n">
        <v>2012</v>
      </c>
      <c r="B24" s="19" t="n">
        <v>341471.1875</v>
      </c>
      <c r="C24" t="n">
        <v>53774.6796875</v>
      </c>
    </row>
    <row r="25">
      <c r="A25" s="19" t="n">
        <v>2013</v>
      </c>
      <c r="B25" s="19" t="n">
        <v>344239.03125</v>
      </c>
      <c r="C25" t="n">
        <v>56535.23046875</v>
      </c>
    </row>
    <row r="26">
      <c r="A26" s="19" t="n">
        <v>2014</v>
      </c>
      <c r="B26" s="19" t="n">
        <v>350962.15625</v>
      </c>
      <c r="C26" t="n">
        <v>58847.86328125</v>
      </c>
    </row>
    <row r="27">
      <c r="A27" s="19" t="n">
        <v>2015</v>
      </c>
      <c r="B27" s="19" t="n">
        <v>360259.8125</v>
      </c>
      <c r="C27" t="n">
        <v>60819.7421875</v>
      </c>
    </row>
    <row r="28">
      <c r="A28" s="19" t="n">
        <v>2016</v>
      </c>
      <c r="B28" s="19" t="n">
        <v>370547.65625</v>
      </c>
      <c r="C28" t="n">
        <v>62917.9765625</v>
      </c>
    </row>
    <row r="29">
      <c r="A29" s="19" t="n">
        <v>2017</v>
      </c>
      <c r="B29" s="19" t="n">
        <v>380655.78125</v>
      </c>
      <c r="C29" t="n">
        <v>66165.234375</v>
      </c>
    </row>
    <row r="30">
      <c r="A30" s="19" t="n">
        <v>2018</v>
      </c>
      <c r="B30" s="19" t="n">
        <v>390625.1875</v>
      </c>
      <c r="C30" t="n">
        <v>70176.296875</v>
      </c>
    </row>
    <row r="31">
      <c r="A31" s="19" t="n">
        <v>2019</v>
      </c>
      <c r="B31" s="19" t="n">
        <v>399934.28125</v>
      </c>
      <c r="C31" t="n">
        <v>73951.9765625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85079.0234375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2026-01-29T06:22:12Z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