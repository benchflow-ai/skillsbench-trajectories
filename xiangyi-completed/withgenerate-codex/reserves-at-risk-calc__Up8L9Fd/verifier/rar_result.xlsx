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LOOKUP(2,1/('Gold price'!D:D&lt;&gt;""),'Gold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price'!E:E&lt;&gt;""),'Gold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INDEX(Value!$C$18:$R$18, MATCH(C11&amp;"*", Value!$C$1:$R$1, 0))</f>
        <v/>
      </c>
      <c r="D12" s="2">
        <f>INDEX(Value!$C$18:$R$18, MATCH(D11&amp;"*", Value!$C$1:$R$1, 0))</f>
        <v/>
      </c>
      <c r="E12" s="3">
        <f>INDEX(Value!$C$18:$R$18, MATCH(E11&amp;"*", Value!$C$1:$R$1, 0))</f>
        <v/>
      </c>
      <c r="F12" s="3">
        <f>INDEX(Value!$C$18:$R$18, MATCH(F11&amp;"*", Value!$C$1:$R$1, 0))</f>
        <v/>
      </c>
      <c r="G12" s="3">
        <f>INDEX(Value!$C$18:$R$18, MATCH(G11&amp;"*", Value!$C$1:$R$1, 0))</f>
        <v/>
      </c>
      <c r="H12" s="3">
        <f>INDEX(Value!$C$18:$R$18, MATCH(H11&amp;"*", Value!$C$1:$R$1, 0))</f>
        <v/>
      </c>
      <c r="I12" s="3">
        <f>INDEX(Value!$C$18:$R$18, MATCH(I11&amp;"*", Value!$C$1:$R$1, 0))</f>
        <v/>
      </c>
      <c r="J12" s="7">
        <f>INDEX(Value!$C$18:$R$18, MATCH(J11&amp;"*", Value!$C$1:$R$1, 0))</f>
        <v/>
      </c>
      <c r="K12" s="3">
        <f>INDEX(Volume!$C$18:$L$18, MATCH(K11&amp;"*", Volume!$C$1:$L$1, 0))*AVERAGE(INDEX('Gold price'!$B:$B, MATCH("2025M1", 'Gold price'!$A:$A, 0)):INDEX('Gold price'!$B:$B, MATCH("2025M9", 'Gold price'!$A:$A, 0)))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INDEX($C$12:$K$12, MATCH(C20, $C$11:$K$11, 0))</f>
        <v/>
      </c>
      <c r="D21" s="2">
        <f>INDEX($C$12:$K$12, MATCH(D20, $C$11:$K$11, 0))</f>
        <v/>
      </c>
      <c r="E21" s="3">
        <f>INDEX($C$12:$K$12, MATCH(E20, $C$11:$K$11, 0))</f>
        <v/>
      </c>
      <c r="F21" s="3">
        <f>INDEX($C$12:$K$12, MATCH(F20, $C$11:$K$11, 0))</f>
        <v/>
      </c>
      <c r="G21" s="3">
        <f>INDEX($C$12:$K$12, MATCH(G20, $C$11:$K$11, 0))</f>
        <v/>
      </c>
      <c r="H21" s="7">
        <f>INDEX($C$12:$K$12, MATCH(H20, $C$11:$K$11, 0))</f>
        <v/>
      </c>
      <c r="I21">
        <f>INDEX($C$12:$K$12, MATCH(I20, $C$11:$K$11, 0))</f>
        <v/>
      </c>
    </row>
    <row r="22">
      <c r="B22" t="inlineStr">
        <is>
          <t>Gold valuation exposure (95% one-sided shock)</t>
        </is>
      </c>
      <c r="C22">
        <f>INDEX($C$13:$K$13, MATCH(C20, $C$11:$K$11, 0))</f>
        <v/>
      </c>
      <c r="D22">
        <f>INDEX($C$13:$K$13, MATCH(D20, $C$11:$K$11, 0))</f>
        <v/>
      </c>
      <c r="E22">
        <f>INDEX($C$13:$K$13, MATCH(E20, $C$11:$K$11, 0))</f>
        <v/>
      </c>
      <c r="F22">
        <f>INDEX($C$13:$K$13, MATCH(F20, $C$11:$K$11, 0))</f>
        <v/>
      </c>
      <c r="G22">
        <f>INDEX($C$13:$K$13, MATCH(G20, $C$11:$K$11, 0))</f>
        <v/>
      </c>
      <c r="H22">
        <f>INDEX($C$13:$K$13, MATCH(H20, $C$11:$K$11, 0))</f>
        <v/>
      </c>
      <c r="I22">
        <f>INDEX($C$13:$K$13, MATCH(I20, $C$11:$K$11, 0))</f>
        <v/>
      </c>
    </row>
    <row r="23">
      <c r="B23" t="inlineStr">
        <is>
          <t>Total Reserve</t>
        </is>
      </c>
      <c r="C23">
        <f>INDEX('Total Reserves'!$C$18:$P$18, MATCH(C20&amp;"*", 'Total Reserves'!$C$1:$P$1, 0))</f>
        <v/>
      </c>
      <c r="D23">
        <f>INDEX('Total Reserves'!$C$18:$P$18, MATCH(D20&amp;"*", 'Total Reserves'!$C$1:$P$1, 0))</f>
        <v/>
      </c>
      <c r="E23">
        <f>INDEX('Total Reserves'!$C$18:$P$18, MATCH(E20&amp;"*", 'Total Reserves'!$C$1:$P$1, 0))</f>
        <v/>
      </c>
      <c r="F23">
        <f>INDEX('Total Reserves'!$C$18:$P$18, MATCH(F20&amp;"*", 'Total Reserves'!$C$1:$P$1, 0))</f>
        <v/>
      </c>
      <c r="G23">
        <f>INDEX('Total Reserves'!$C$18:$P$18, MATCH(G20&amp;"*", 'Total Reserves'!$C$1:$P$1, 0))</f>
        <v/>
      </c>
      <c r="H23">
        <f>INDEX('Total Reserves'!$C$18:$P$18, MATCH(H20&amp;"*", 'Total Reserves'!$C$1:$P$1, 0))</f>
        <v/>
      </c>
      <c r="I23">
        <f>INDEX('Total Reserves'!$C$18:$P$18, MATCH(I20&amp;"*", 'Total Reserves'!$C$1:$P$1, 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2026-01-29T06:23:53Z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