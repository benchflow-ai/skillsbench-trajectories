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'Volume'!H18*AVERAGE('Gold price'!B422:B430)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XLOOKUP(C20,$C$11:$K$11,$C$12:$K$12)</f>
        <v/>
      </c>
      <c r="D21" s="2">
        <f>XLOOKUP(D20,$C$11:$K$11,$C$12:$K$12)</f>
        <v/>
      </c>
      <c r="E21" s="3">
        <f>XLOOKUP(E20,$C$11:$K$11,$C$12:$K$12)</f>
        <v/>
      </c>
      <c r="F21" s="3">
        <f>XLOOKUP(F20,$C$11:$K$11,$C$12:$K$12)</f>
        <v/>
      </c>
      <c r="G21" s="3">
        <f>XLOOKUP(G20,$C$11:$K$11,$C$12:$K$12)</f>
        <v/>
      </c>
      <c r="H21" s="7">
        <f>XLOOKUP(H20,$C$11:$K$11,$C$12:$K$12)</f>
        <v/>
      </c>
      <c r="I21">
        <f>XLOOKUP(I20,$C$11:$K$11,$C$12:$K$12)</f>
        <v/>
      </c>
    </row>
    <row r="22">
      <c r="B22" t="inlineStr">
        <is>
          <t>Gold valuation exposure (95% one-sided shock)</t>
        </is>
      </c>
      <c r="C22">
        <f>XLOOKUP(C20,$C$11:$K$11,$C$13:$K$13)</f>
        <v/>
      </c>
      <c r="D22">
        <f>XLOOKUP(D20,$C$11:$K$11,$C$13:$K$13)</f>
        <v/>
      </c>
      <c r="E22">
        <f>XLOOKUP(E20,$C$11:$K$11,$C$13:$K$13)</f>
        <v/>
      </c>
      <c r="F22">
        <f>XLOOKUP(F20,$C$11:$K$11,$C$13:$K$13)</f>
        <v/>
      </c>
      <c r="G22">
        <f>XLOOKUP(G20,$C$11:$K$11,$C$13:$K$13)</f>
        <v/>
      </c>
      <c r="H22">
        <f>XLOOKUP(H20,$C$11:$K$11,$C$13:$K$13)</f>
        <v/>
      </c>
      <c r="I22">
        <f>XLOOKUP(I20,$C$11:$K$11,$C$13:$K$13)</f>
        <v/>
      </c>
    </row>
    <row r="23">
      <c r="B23" t="inlineStr">
        <is>
          <t>Total Reserve</t>
        </is>
      </c>
      <c r="C23">
        <f>INDEX('Total Reserves'!$C$18:$P$18,MATCH(C20&amp;"*",'Total Reserves'!$C$1:$P$1,0))</f>
        <v/>
      </c>
      <c r="D23">
        <f>INDEX('Total Reserves'!$C$18:$P$18,MATCH(D20&amp;"*",'Total Reserves'!$C$1:$P$1,0))</f>
        <v/>
      </c>
      <c r="E23">
        <f>INDEX('Total Reserves'!$C$18:$P$18,MATCH(E20&amp;"*",'Total Reserves'!$C$1:$P$1,0))</f>
        <v/>
      </c>
      <c r="F23">
        <f>INDEX('Total Reserves'!$C$18:$P$18,MATCH(F20&amp;"*",'Total Reserves'!$C$1:$P$1,0))</f>
        <v/>
      </c>
      <c r="G23">
        <f>INDEX('Total Reserves'!$C$18:$P$18,MATCH(G20&amp;"*",'Total Reserves'!$C$1:$P$1,0))</f>
        <v/>
      </c>
      <c r="H23">
        <f>INDEX('Total Reserves'!$C$18:$P$18,MATCH(H20&amp;"*",'Total Reserves'!$C$1:$P$1,0))</f>
        <v/>
      </c>
      <c r="I23">
        <f>INDEX('Total Reserves'!$C$18:$P$18,MATCH(I20&amp;"*",'Total Reserves'!$C$1:$P$1,0))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  <c r="D4">
        <f>STDEV.S(C2:C4)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  <c r="E13">
        <f>STDEV.S(C2:C13)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2026-01-29T06:20:11Z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