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WT" sheetId="1" state="visible" r:id="rId1"/>
    <sheet name="WEO_Data" sheetId="2" state="visible" r:id="rId2"/>
    <sheet name="CFC data" sheetId="3" state="visible" r:id="rId3"/>
    <sheet name="Investment" sheetId="4" state="visible" r:id="rId4"/>
    <sheet name="Produ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000"/>
    <numFmt numFmtId="166" formatCode="0.000"/>
    <numFmt numFmtId="167" formatCode="0.000000000"/>
    <numFmt numFmtId="168" formatCode="0.000000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167" fontId="1" fillId="2" borderId="0" pivotButton="0" quotePrefix="0" xfId="0"/>
    <xf numFmtId="168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0" customWidth="1" min="3" max="3"/>
  </cols>
  <sheetData>
    <row r="1">
      <c r="A1" s="1" t="inlineStr">
        <is>
          <t>Year</t>
        </is>
      </c>
      <c r="B1" s="1" t="inlineStr">
        <is>
          <t>rnna</t>
        </is>
      </c>
      <c r="C1" s="1" t="inlineStr">
        <is>
          <t>labsh</t>
        </is>
      </c>
    </row>
    <row r="2">
      <c r="B2" t="inlineStr">
        <is>
          <t>Capital stock at constant 2017 national prices (bil. GEL)</t>
        </is>
      </c>
      <c r="C2" t="inlineStr">
        <is>
          <t>Share of labour compensation in GDP</t>
        </is>
      </c>
    </row>
    <row r="3">
      <c r="A3" t="n">
        <v>2000</v>
      </c>
      <c r="B3" s="2" t="n">
        <v>239.1716</v>
      </c>
      <c r="C3" s="3" t="n">
        <v>0.428574</v>
      </c>
    </row>
    <row r="4">
      <c r="A4" t="n">
        <v>2001</v>
      </c>
      <c r="B4" s="2" t="n">
        <v>240.0663</v>
      </c>
      <c r="C4" s="3" t="n">
        <v>0.39467</v>
      </c>
    </row>
    <row r="5">
      <c r="A5" t="n">
        <v>2002</v>
      </c>
      <c r="B5" s="2" t="n">
        <v>240.523</v>
      </c>
      <c r="C5" s="3" t="n">
        <v>0.329503</v>
      </c>
    </row>
    <row r="6">
      <c r="A6" t="n">
        <v>2003</v>
      </c>
      <c r="B6" s="2" t="n">
        <v>242.7153</v>
      </c>
      <c r="C6" s="3" t="n">
        <v>0.256159</v>
      </c>
    </row>
    <row r="7">
      <c r="A7" t="n">
        <v>2004</v>
      </c>
      <c r="B7" s="2" t="n">
        <v>245.5801</v>
      </c>
      <c r="C7" s="3" t="n">
        <v>0.236965</v>
      </c>
    </row>
    <row r="8">
      <c r="A8" t="n">
        <v>2005</v>
      </c>
      <c r="B8" s="2" t="n">
        <v>249.249</v>
      </c>
      <c r="C8" s="3" t="n">
        <v>0.241387</v>
      </c>
    </row>
    <row r="9">
      <c r="A9" t="n">
        <v>2006</v>
      </c>
      <c r="B9" s="2" t="n">
        <v>252.2971</v>
      </c>
      <c r="C9" s="3" t="n">
        <v>0.22512</v>
      </c>
    </row>
    <row r="10">
      <c r="A10" t="n">
        <v>2007</v>
      </c>
      <c r="B10" s="2" t="n">
        <v>256.2341</v>
      </c>
      <c r="C10" s="3" t="n">
        <v>0.252003</v>
      </c>
    </row>
    <row r="11">
      <c r="A11" t="n">
        <v>2008</v>
      </c>
      <c r="B11" s="2" t="n">
        <v>257.7154</v>
      </c>
      <c r="C11" s="3" t="n">
        <v>0.297765</v>
      </c>
    </row>
    <row r="12">
      <c r="A12" t="n">
        <v>2009</v>
      </c>
      <c r="B12" s="2" t="n">
        <v>255.5961</v>
      </c>
      <c r="C12" s="3" t="n">
        <v>0.367544</v>
      </c>
    </row>
    <row r="13">
      <c r="A13" t="n">
        <v>2010</v>
      </c>
      <c r="B13" s="2" t="n">
        <v>256.1851</v>
      </c>
      <c r="C13" s="3" t="n">
        <v>0.329557</v>
      </c>
    </row>
    <row r="14">
      <c r="A14" t="n">
        <v>2011</v>
      </c>
      <c r="B14" s="2" t="n">
        <v>258.1974</v>
      </c>
      <c r="C14" s="3" t="n">
        <v>0.352695</v>
      </c>
    </row>
    <row r="15">
      <c r="A15" t="n">
        <v>2012</v>
      </c>
      <c r="B15" s="2" t="n">
        <v>260.773</v>
      </c>
      <c r="C15" s="3" t="n">
        <v>0.377518</v>
      </c>
    </row>
    <row r="16">
      <c r="A16" t="n">
        <v>2013</v>
      </c>
      <c r="B16" s="2" t="n">
        <v>261.9431</v>
      </c>
      <c r="C16" s="3" t="n">
        <v>0.39643</v>
      </c>
    </row>
    <row r="17">
      <c r="A17" t="n">
        <v>2014</v>
      </c>
      <c r="B17" s="2" t="n">
        <v>265.8184</v>
      </c>
      <c r="C17" s="3" t="n">
        <v>0.391857</v>
      </c>
    </row>
    <row r="18">
      <c r="A18" t="n">
        <v>2015</v>
      </c>
      <c r="B18" s="2" t="n">
        <v>271.4255</v>
      </c>
      <c r="C18" s="3" t="n">
        <v>0.407941</v>
      </c>
    </row>
    <row r="19">
      <c r="A19" t="n">
        <v>2016</v>
      </c>
      <c r="B19" s="2" t="n">
        <v>277.5882</v>
      </c>
      <c r="C19" s="3" t="n">
        <v>0.442174</v>
      </c>
    </row>
    <row r="20">
      <c r="A20" t="n">
        <v>2017</v>
      </c>
      <c r="B20" s="2" t="n">
        <v>283.6822</v>
      </c>
      <c r="C20" s="3" t="n">
        <v>0.440607</v>
      </c>
    </row>
    <row r="21">
      <c r="A21" t="n">
        <v>2018</v>
      </c>
      <c r="B21" s="2" t="n">
        <v>289.5609</v>
      </c>
      <c r="C21" s="3" t="n">
        <v>0.446428</v>
      </c>
    </row>
    <row r="22">
      <c r="A22" t="n">
        <v>2019</v>
      </c>
      <c r="B22" s="2" t="n">
        <v>298.2151</v>
      </c>
      <c r="C22" s="3" t="n">
        <v>0.446428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5" customWidth="1" min="3" max="3"/>
  </cols>
  <sheetData>
    <row r="1">
      <c r="A1" s="1" t="inlineStr">
        <is>
          <t>Year</t>
        </is>
      </c>
      <c r="B1" s="1" t="inlineStr">
        <is>
          <t>Real GDP Level (NGDP_R)</t>
        </is>
      </c>
      <c r="C1" s="1" t="inlineStr">
        <is>
          <t>Real GDP Growth Rate (NGDP_RPCH)</t>
        </is>
      </c>
    </row>
    <row r="2">
      <c r="B2" t="inlineStr">
        <is>
          <t>Billions of national currency (GEL), constant prices</t>
        </is>
      </c>
      <c r="C2" t="inlineStr">
        <is>
          <t>Annual percent change</t>
        </is>
      </c>
    </row>
    <row r="3">
      <c r="A3" t="n">
        <v>2000</v>
      </c>
      <c r="B3" s="4" t="n">
        <v>16.963</v>
      </c>
      <c r="C3" s="4" t="n">
        <v>1.865</v>
      </c>
    </row>
    <row r="4">
      <c r="A4" t="n">
        <v>2001</v>
      </c>
      <c r="B4" s="4" t="n">
        <v>17.772</v>
      </c>
      <c r="C4" s="4" t="n">
        <v>4.769</v>
      </c>
    </row>
    <row r="5">
      <c r="A5" t="n">
        <v>2002</v>
      </c>
      <c r="B5" s="4" t="n">
        <v>18.747</v>
      </c>
      <c r="C5" s="4" t="n">
        <v>5.487</v>
      </c>
    </row>
    <row r="6">
      <c r="A6" t="n">
        <v>2003</v>
      </c>
      <c r="B6" s="4" t="n">
        <v>20.852</v>
      </c>
      <c r="C6" s="4" t="n">
        <v>11.228</v>
      </c>
    </row>
    <row r="7">
      <c r="A7" t="n">
        <v>2004</v>
      </c>
      <c r="B7" s="4" t="n">
        <v>22.061</v>
      </c>
      <c r="C7" s="4" t="n">
        <v>5.796</v>
      </c>
    </row>
    <row r="8">
      <c r="A8" t="n">
        <v>2005</v>
      </c>
      <c r="B8" s="4" t="n">
        <v>24.176</v>
      </c>
      <c r="C8" s="4" t="n">
        <v>9.587999999999999</v>
      </c>
    </row>
    <row r="9">
      <c r="A9" t="n">
        <v>2006</v>
      </c>
      <c r="B9" s="4" t="n">
        <v>26.454</v>
      </c>
      <c r="C9" s="4" t="n">
        <v>9.42</v>
      </c>
    </row>
    <row r="10">
      <c r="A10" t="n">
        <v>2007</v>
      </c>
      <c r="B10" s="4" t="n">
        <v>29.781</v>
      </c>
      <c r="C10" s="4" t="n">
        <v>12.579</v>
      </c>
    </row>
    <row r="11">
      <c r="A11" t="n">
        <v>2008</v>
      </c>
      <c r="B11" s="4" t="n">
        <v>30.502</v>
      </c>
      <c r="C11" s="4" t="n">
        <v>2.419</v>
      </c>
    </row>
    <row r="12">
      <c r="A12" t="n">
        <v>2009</v>
      </c>
      <c r="B12" s="4" t="n">
        <v>29.388</v>
      </c>
      <c r="C12" s="4" t="n">
        <v>-3.651</v>
      </c>
    </row>
    <row r="13">
      <c r="A13" t="n">
        <v>2010</v>
      </c>
      <c r="B13" s="4" t="n">
        <v>31.428</v>
      </c>
      <c r="C13" s="4" t="n">
        <v>6.942</v>
      </c>
    </row>
    <row r="14">
      <c r="A14" t="n">
        <v>2011</v>
      </c>
      <c r="B14" s="4" t="n">
        <v>33.927</v>
      </c>
      <c r="C14" s="4" t="n">
        <v>7.949</v>
      </c>
    </row>
    <row r="15">
      <c r="A15" t="n">
        <v>2012</v>
      </c>
      <c r="B15" s="4" t="n">
        <v>36.159</v>
      </c>
      <c r="C15" s="4" t="n">
        <v>6.579</v>
      </c>
    </row>
    <row r="16">
      <c r="A16" t="n">
        <v>2013</v>
      </c>
      <c r="B16" s="4" t="n">
        <v>38.015</v>
      </c>
      <c r="C16" s="4" t="n">
        <v>5.134</v>
      </c>
    </row>
    <row r="17">
      <c r="A17" t="n">
        <v>2014</v>
      </c>
      <c r="B17" s="4" t="n">
        <v>39.57</v>
      </c>
      <c r="C17" s="4" t="n">
        <v>4.091</v>
      </c>
    </row>
    <row r="18">
      <c r="A18" t="n">
        <v>2015</v>
      </c>
      <c r="B18" s="4" t="n">
        <v>40.896</v>
      </c>
      <c r="C18" s="4" t="n">
        <v>3.351</v>
      </c>
    </row>
    <row r="19">
      <c r="A19" t="n">
        <v>2016</v>
      </c>
      <c r="B19" s="4" t="n">
        <v>42.307</v>
      </c>
      <c r="C19" s="4" t="n">
        <v>3.45</v>
      </c>
    </row>
    <row r="20">
      <c r="A20" t="n">
        <v>2017</v>
      </c>
      <c r="B20" s="4" t="n">
        <v>44.49</v>
      </c>
      <c r="C20" s="4" t="n">
        <v>5.161</v>
      </c>
    </row>
    <row r="21">
      <c r="A21" t="n">
        <v>2018</v>
      </c>
      <c r="B21" s="4" t="n">
        <v>47.187</v>
      </c>
      <c r="C21" s="4" t="n">
        <v>6.062</v>
      </c>
    </row>
    <row r="22">
      <c r="A22" t="n">
        <v>2019</v>
      </c>
      <c r="B22" s="4" t="n">
        <v>49.726</v>
      </c>
      <c r="C22" s="4" t="n">
        <v>5.38</v>
      </c>
    </row>
    <row r="23">
      <c r="A23" t="n">
        <v>2020</v>
      </c>
      <c r="B23" s="4" t="n">
        <v>46.598</v>
      </c>
      <c r="C23" s="4" t="n">
        <v>-6.291</v>
      </c>
    </row>
    <row r="24">
      <c r="A24" t="n">
        <v>2021</v>
      </c>
      <c r="B24" s="4" t="n">
        <v>51.558</v>
      </c>
      <c r="C24" s="4" t="n">
        <v>10.644</v>
      </c>
    </row>
    <row r="25">
      <c r="A25" t="n">
        <v>2022</v>
      </c>
      <c r="B25" s="4" t="n">
        <v>57.208</v>
      </c>
      <c r="C25" s="4" t="n">
        <v>10.96</v>
      </c>
    </row>
    <row r="26">
      <c r="A26" t="n">
        <v>2023</v>
      </c>
      <c r="B26" s="4" t="n">
        <v>61.484</v>
      </c>
      <c r="C26" s="4" t="n">
        <v>7.474</v>
      </c>
    </row>
    <row r="27">
      <c r="A27" t="n">
        <v>2024</v>
      </c>
      <c r="B27" s="4" t="n">
        <v>66.128</v>
      </c>
      <c r="C27" s="4" t="n">
        <v>7.554</v>
      </c>
    </row>
    <row r="28">
      <c r="A28" t="n">
        <v>2025</v>
      </c>
      <c r="B28" s="4" t="n">
        <v>70.08</v>
      </c>
      <c r="C28" s="4" t="n">
        <v>5.976</v>
      </c>
    </row>
    <row r="29">
      <c r="A29" t="n">
        <v>2026</v>
      </c>
      <c r="B29" s="4" t="n">
        <v>73.584</v>
      </c>
      <c r="C29" s="4" t="n">
        <v>5</v>
      </c>
    </row>
    <row r="30">
      <c r="A30" t="n">
        <v>2027</v>
      </c>
      <c r="B30" s="4" t="n">
        <v>77.26300000000001</v>
      </c>
      <c r="C30" s="4" t="n">
        <v>5</v>
      </c>
    </row>
    <row r="31">
      <c r="A31" t="n">
        <v>2028</v>
      </c>
      <c r="B31" s="4">
        <f>B30*(1+C31/100)</f>
        <v/>
      </c>
      <c r="C31" s="4">
        <f>C30</f>
        <v/>
      </c>
    </row>
    <row r="32">
      <c r="A32" t="n">
        <v>2029</v>
      </c>
      <c r="B32" s="4">
        <f>B31*(1+C32/100)</f>
        <v/>
      </c>
      <c r="C32" s="4">
        <f>C30</f>
        <v/>
      </c>
    </row>
    <row r="33">
      <c r="A33" t="n">
        <v>2030</v>
      </c>
      <c r="B33" s="4">
        <f>B32*(1+C33/100)</f>
        <v/>
      </c>
      <c r="C33" s="4">
        <f>C30</f>
        <v/>
      </c>
    </row>
    <row r="34">
      <c r="A34" t="n">
        <v>2031</v>
      </c>
      <c r="B34" s="4">
        <f>B33*(1+C34/100)</f>
        <v/>
      </c>
      <c r="C34" s="4">
        <f>C30</f>
        <v/>
      </c>
    </row>
    <row r="35">
      <c r="A35" t="n">
        <v>2032</v>
      </c>
      <c r="B35" s="4">
        <f>B34*(1+C35/100)</f>
        <v/>
      </c>
      <c r="C35" s="4">
        <f>C30</f>
        <v/>
      </c>
    </row>
    <row r="36">
      <c r="A36" t="n">
        <v>2033</v>
      </c>
      <c r="B36" s="4">
        <f>B35*(1+C36/100)</f>
        <v/>
      </c>
      <c r="C36" s="4">
        <f>C30</f>
        <v/>
      </c>
    </row>
    <row r="37">
      <c r="A37" t="n">
        <v>2034</v>
      </c>
      <c r="B37" s="4">
        <f>B36*(1+C37/100)</f>
        <v/>
      </c>
      <c r="C37" s="4">
        <f>C30</f>
        <v/>
      </c>
    </row>
    <row r="38">
      <c r="A38" t="n">
        <v>2035</v>
      </c>
      <c r="B38" s="4">
        <f>B37*(1+C38/100)</f>
        <v/>
      </c>
      <c r="C38" s="4">
        <f>C30</f>
        <v/>
      </c>
    </row>
    <row r="39">
      <c r="A39" t="n">
        <v>2036</v>
      </c>
      <c r="B39" s="4">
        <f>B38*(1+C39/100)</f>
        <v/>
      </c>
      <c r="C39" s="4">
        <f>C30</f>
        <v/>
      </c>
    </row>
    <row r="40">
      <c r="A40" t="n">
        <v>2037</v>
      </c>
      <c r="B40" s="4">
        <f>B39*(1+C40/100)</f>
        <v/>
      </c>
      <c r="C40" s="4">
        <f>C30</f>
        <v/>
      </c>
    </row>
    <row r="41">
      <c r="A41" t="n">
        <v>2038</v>
      </c>
      <c r="B41" s="4">
        <f>B40*(1+C41/100)</f>
        <v/>
      </c>
      <c r="C41" s="4">
        <f>C30</f>
        <v/>
      </c>
    </row>
    <row r="42">
      <c r="A42" t="n">
        <v>2039</v>
      </c>
      <c r="B42" s="4">
        <f>B41*(1+C42/100)</f>
        <v/>
      </c>
      <c r="C42" s="4">
        <f>C30</f>
        <v/>
      </c>
    </row>
    <row r="43">
      <c r="A43" t="n">
        <v>2040</v>
      </c>
      <c r="B43" s="4">
        <f>B42*(1+C43/100)</f>
        <v/>
      </c>
      <c r="C43" s="4">
        <f>C30</f>
        <v/>
      </c>
    </row>
    <row r="44">
      <c r="A44" t="n">
        <v>2041</v>
      </c>
      <c r="B44" s="4">
        <f>B43*(1+C44/100)</f>
        <v/>
      </c>
      <c r="C44" s="4">
        <f>C30</f>
        <v/>
      </c>
    </row>
    <row r="45">
      <c r="A45" t="n">
        <v>2042</v>
      </c>
      <c r="B45" s="4">
        <f>B44*(1+C45/100)</f>
        <v/>
      </c>
      <c r="C45" s="4">
        <f>C30</f>
        <v/>
      </c>
    </row>
    <row r="46">
      <c r="A46" t="n">
        <v>2043</v>
      </c>
      <c r="B46" s="4">
        <f>B45*(1+C46/100)</f>
        <v/>
      </c>
      <c r="C46" s="4">
        <f>C30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18" customWidth="1" min="5" max="5"/>
  </cols>
  <sheetData>
    <row r="1">
      <c r="A1" s="1" t="inlineStr">
        <is>
          <t>Year</t>
        </is>
      </c>
      <c r="B1" s="1" t="inlineStr">
        <is>
          <t>Notes</t>
        </is>
      </c>
      <c r="C1" s="1" t="inlineStr">
        <is>
          <t>CFC (P.51C)</t>
        </is>
      </c>
      <c r="D1" s="1" t="inlineStr">
        <is>
          <t>Capital Stock (rnna)</t>
        </is>
      </c>
      <c r="E1" s="1" t="inlineStr">
        <is>
          <t>Depreciation Rate</t>
        </is>
      </c>
    </row>
    <row r="2">
      <c r="C2" t="inlineStr">
        <is>
          <t>GEL, current prices (ECB)</t>
        </is>
      </c>
      <c r="D2" t="inlineStr">
        <is>
          <t>Billions, 2017 GEL (from PWT)</t>
        </is>
      </c>
      <c r="E2">
        <f> CFC / (K_bil * 1e9)</f>
        <v/>
      </c>
    </row>
    <row r="3">
      <c r="A3" t="n">
        <v>2000</v>
      </c>
      <c r="C3" s="5" t="n">
        <v>631701000.89</v>
      </c>
      <c r="D3" s="2">
        <f>PWT!B3</f>
        <v/>
      </c>
      <c r="E3" s="3">
        <f>C3/(D3*1000000000)</f>
        <v/>
      </c>
    </row>
    <row r="4">
      <c r="A4" t="n">
        <v>2001</v>
      </c>
      <c r="C4" s="5" t="n">
        <v>706983726.79</v>
      </c>
      <c r="D4" s="2">
        <f>PWT!B4</f>
        <v/>
      </c>
      <c r="E4" s="3">
        <f>C4/(D4*1000000000)</f>
        <v/>
      </c>
    </row>
    <row r="5">
      <c r="A5" t="n">
        <v>2002</v>
      </c>
      <c r="C5" s="5" t="n">
        <v>790112565.2</v>
      </c>
      <c r="D5" s="2">
        <f>PWT!B5</f>
        <v/>
      </c>
      <c r="E5" s="3">
        <f>C5/(D5*1000000000)</f>
        <v/>
      </c>
    </row>
    <row r="6">
      <c r="A6" t="n">
        <v>2003</v>
      </c>
      <c r="C6" s="5" t="n">
        <v>932916219.67</v>
      </c>
      <c r="D6" s="2">
        <f>PWT!B6</f>
        <v/>
      </c>
      <c r="E6" s="3">
        <f>C6/(D6*1000000000)</f>
        <v/>
      </c>
    </row>
    <row r="7">
      <c r="A7" t="n">
        <v>2004</v>
      </c>
      <c r="C7" s="5" t="n">
        <v>976818537.8</v>
      </c>
      <c r="D7" s="2">
        <f>PWT!B7</f>
        <v/>
      </c>
      <c r="E7" s="3">
        <f>C7/(D7*1000000000)</f>
        <v/>
      </c>
    </row>
    <row r="8">
      <c r="A8" t="n">
        <v>2005</v>
      </c>
      <c r="C8" s="5" t="n">
        <v>1113450058.59</v>
      </c>
      <c r="D8" s="2">
        <f>PWT!B8</f>
        <v/>
      </c>
      <c r="E8" s="3">
        <f>C8/(D8*1000000000)</f>
        <v/>
      </c>
    </row>
    <row r="9">
      <c r="A9" t="n">
        <v>2006</v>
      </c>
      <c r="C9" s="5" t="n">
        <v>1306373084.13</v>
      </c>
      <c r="D9" s="2">
        <f>PWT!B9</f>
        <v/>
      </c>
      <c r="E9" s="3">
        <f>C9/(D9*1000000000)</f>
        <v/>
      </c>
    </row>
    <row r="10">
      <c r="A10" t="n">
        <v>2007</v>
      </c>
      <c r="C10" s="5" t="n">
        <v>1617029966.26</v>
      </c>
      <c r="D10" s="2">
        <f>PWT!B10</f>
        <v/>
      </c>
      <c r="E10" s="3">
        <f>C10/(D10*1000000000)</f>
        <v/>
      </c>
    </row>
    <row r="11">
      <c r="A11" t="n">
        <v>2008</v>
      </c>
      <c r="C11" s="5" t="n">
        <v>1758049267.67</v>
      </c>
      <c r="D11" s="2">
        <f>PWT!B11</f>
        <v/>
      </c>
      <c r="E11" s="3">
        <f>C11/(D11*1000000000)</f>
        <v/>
      </c>
    </row>
    <row r="12">
      <c r="A12" t="n">
        <v>2009</v>
      </c>
      <c r="C12" s="5" t="n">
        <v>1751366684.88</v>
      </c>
      <c r="D12" s="2">
        <f>PWT!B12</f>
        <v/>
      </c>
      <c r="E12" s="3">
        <f>C12/(D12*1000000000)</f>
        <v/>
      </c>
    </row>
    <row r="13">
      <c r="A13" t="n">
        <v>2010</v>
      </c>
      <c r="C13" s="5" t="n">
        <v>2046413234.67</v>
      </c>
      <c r="D13" s="2">
        <f>PWT!B13</f>
        <v/>
      </c>
      <c r="E13" s="3">
        <f>C13/(D13*1000000000)</f>
        <v/>
      </c>
    </row>
    <row r="14">
      <c r="A14" t="n">
        <v>2011</v>
      </c>
      <c r="C14" s="5" t="n">
        <v>2350512405.91</v>
      </c>
      <c r="D14" s="2">
        <f>PWT!B14</f>
        <v/>
      </c>
      <c r="E14" s="3">
        <f>C14/(D14*1000000000)</f>
        <v/>
      </c>
    </row>
    <row r="15">
      <c r="A15" t="n">
        <v>2012</v>
      </c>
      <c r="C15" s="5" t="n">
        <v>2643602887.97</v>
      </c>
      <c r="D15" s="2">
        <f>PWT!B15</f>
        <v/>
      </c>
      <c r="E15" s="3">
        <f>C15/(D15*1000000000)</f>
        <v/>
      </c>
    </row>
    <row r="16">
      <c r="A16" t="n">
        <v>2013</v>
      </c>
      <c r="C16" s="5" t="n">
        <v>1555932152.32</v>
      </c>
      <c r="D16" s="2">
        <f>PWT!B16</f>
        <v/>
      </c>
      <c r="E16" s="3">
        <f>C16/(D16*1000000000)</f>
        <v/>
      </c>
    </row>
    <row r="17">
      <c r="A17" t="n">
        <v>2014</v>
      </c>
      <c r="C17" s="5" t="n">
        <v>2984890468.69</v>
      </c>
      <c r="D17" s="2">
        <f>PWT!B17</f>
        <v/>
      </c>
      <c r="E17" s="3">
        <f>C17/(D17*1000000000)</f>
        <v/>
      </c>
    </row>
    <row r="18">
      <c r="A18" t="n">
        <v>2015</v>
      </c>
      <c r="C18" s="5" t="n">
        <v>3657280672.54</v>
      </c>
      <c r="D18" s="2">
        <f>PWT!B18</f>
        <v/>
      </c>
      <c r="E18" s="3">
        <f>C18/(D18*1000000000)</f>
        <v/>
      </c>
    </row>
    <row r="19">
      <c r="A19" t="n">
        <v>2016</v>
      </c>
      <c r="C19" s="5" t="n">
        <v>4004828719.85</v>
      </c>
      <c r="D19" s="2">
        <f>PWT!B19</f>
        <v/>
      </c>
      <c r="E19" s="3">
        <f>C19/(D19*1000000000)</f>
        <v/>
      </c>
    </row>
    <row r="20">
      <c r="A20" t="n">
        <v>2017</v>
      </c>
      <c r="C20" s="5" t="n">
        <v>4492921334.91</v>
      </c>
      <c r="D20" s="2">
        <f>PWT!B20</f>
        <v/>
      </c>
      <c r="E20" s="3">
        <f>C20/(D20*1000000000)</f>
        <v/>
      </c>
    </row>
    <row r="21">
      <c r="A21" t="n">
        <v>2018</v>
      </c>
      <c r="C21" s="5" t="n">
        <v>4843616440.29</v>
      </c>
      <c r="D21" s="2">
        <f>PWT!B21</f>
        <v/>
      </c>
      <c r="E21" s="3">
        <f>C21/(D21*1000000000)</f>
        <v/>
      </c>
    </row>
    <row r="22">
      <c r="A22" t="n">
        <v>2019</v>
      </c>
      <c r="C22" s="5" t="n">
        <v>5452957379.35</v>
      </c>
      <c r="D22" s="2">
        <f>PWT!B22</f>
        <v/>
      </c>
      <c r="E22" s="3">
        <f>C22/(D22*1000000000)</f>
        <v/>
      </c>
    </row>
    <row r="23">
      <c r="A23" t="n">
        <v>2020</v>
      </c>
      <c r="C23" s="5" t="n">
        <v>6152769261.62</v>
      </c>
    </row>
    <row r="24">
      <c r="A24" t="n">
        <v>2021</v>
      </c>
      <c r="C24" s="5" t="n">
        <v>7072625348.9</v>
      </c>
    </row>
    <row r="25">
      <c r="A25" t="n">
        <v>2022</v>
      </c>
      <c r="C25" s="5" t="n">
        <v>7661448474.88</v>
      </c>
    </row>
    <row r="26">
      <c r="A26" t="n">
        <v>2023</v>
      </c>
      <c r="C26" s="5" t="n">
        <v>9410657843.709999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</cols>
  <sheetData>
    <row r="1">
      <c r="A1" s="1" t="inlineStr">
        <is>
          <t>Year</t>
        </is>
      </c>
      <c r="B1" s="1" t="inlineStr">
        <is>
          <t>Investment Shock</t>
        </is>
      </c>
      <c r="C1" s="1" t="inlineStr">
        <is>
          <t>Investment in GEL (const. 2017 prices)</t>
        </is>
      </c>
      <c r="D1" s="1" t="inlineStr">
        <is>
          <t>Conversion Rate</t>
        </is>
      </c>
    </row>
    <row r="2">
      <c r="B2" t="inlineStr">
        <is>
          <t>Billions USD</t>
        </is>
      </c>
      <c r="C2" t="inlineStr">
        <is>
          <t>Billions GEL (converted at ~2.51 GEL/USD)</t>
        </is>
      </c>
      <c r="D2" t="inlineStr">
        <is>
          <t>2017 avg GEL/USD</t>
        </is>
      </c>
    </row>
    <row r="3">
      <c r="D3" t="n">
        <v>2.51</v>
      </c>
    </row>
    <row r="4">
      <c r="A4" t="n">
        <v>2002</v>
      </c>
      <c r="B4" s="2" t="n">
        <v>0</v>
      </c>
      <c r="C4" s="2">
        <f>B4*$D$3</f>
        <v/>
      </c>
    </row>
    <row r="5">
      <c r="A5" t="n">
        <v>2003</v>
      </c>
      <c r="B5" s="2" t="n">
        <v>0</v>
      </c>
      <c r="C5" s="2">
        <f>B5*$D$3</f>
        <v/>
      </c>
    </row>
    <row r="6">
      <c r="A6" t="n">
        <v>2004</v>
      </c>
      <c r="B6" s="2" t="n">
        <v>0</v>
      </c>
      <c r="C6" s="2">
        <f>B6*$D$3</f>
        <v/>
      </c>
    </row>
    <row r="7">
      <c r="A7" t="n">
        <v>2005</v>
      </c>
      <c r="B7" s="2" t="n">
        <v>0</v>
      </c>
      <c r="C7" s="2">
        <f>B7*$D$3</f>
        <v/>
      </c>
    </row>
    <row r="8">
      <c r="A8" t="n">
        <v>2006</v>
      </c>
      <c r="B8" s="2" t="n">
        <v>0</v>
      </c>
      <c r="C8" s="2">
        <f>B8*$D$3</f>
        <v/>
      </c>
    </row>
    <row r="9">
      <c r="A9" t="n">
        <v>2007</v>
      </c>
      <c r="B9" s="2" t="n">
        <v>0</v>
      </c>
      <c r="C9" s="2">
        <f>B9*$D$3</f>
        <v/>
      </c>
    </row>
    <row r="10">
      <c r="A10" t="n">
        <v>2008</v>
      </c>
      <c r="B10" s="2" t="n">
        <v>0</v>
      </c>
      <c r="C10" s="2">
        <f>B10*$D$3</f>
        <v/>
      </c>
    </row>
    <row r="11">
      <c r="A11" t="n">
        <v>2009</v>
      </c>
      <c r="B11" s="2" t="n">
        <v>0</v>
      </c>
      <c r="C11" s="2">
        <f>B11*$D$3</f>
        <v/>
      </c>
    </row>
    <row r="12">
      <c r="A12" t="n">
        <v>2010</v>
      </c>
      <c r="B12" s="2" t="n">
        <v>0</v>
      </c>
      <c r="C12" s="2">
        <f>B12*$D$3</f>
        <v/>
      </c>
    </row>
    <row r="13">
      <c r="A13" t="n">
        <v>2011</v>
      </c>
      <c r="B13" s="2" t="n">
        <v>0</v>
      </c>
      <c r="C13" s="2">
        <f>B13*$D$3</f>
        <v/>
      </c>
    </row>
    <row r="14">
      <c r="A14" t="n">
        <v>2012</v>
      </c>
      <c r="B14" s="2" t="n">
        <v>0</v>
      </c>
      <c r="C14" s="2">
        <f>B14*$D$3</f>
        <v/>
      </c>
    </row>
    <row r="15">
      <c r="A15" t="n">
        <v>2013</v>
      </c>
      <c r="B15" s="2" t="n">
        <v>0</v>
      </c>
      <c r="C15" s="2">
        <f>B15*$D$3</f>
        <v/>
      </c>
    </row>
    <row r="16">
      <c r="A16" t="n">
        <v>2014</v>
      </c>
      <c r="B16" s="2" t="n">
        <v>0</v>
      </c>
      <c r="C16" s="2">
        <f>B16*$D$3</f>
        <v/>
      </c>
    </row>
    <row r="17">
      <c r="A17" t="n">
        <v>2015</v>
      </c>
      <c r="B17" s="2" t="n">
        <v>0</v>
      </c>
      <c r="C17" s="2">
        <f>B17*$D$3</f>
        <v/>
      </c>
    </row>
    <row r="18">
      <c r="A18" t="n">
        <v>2016</v>
      </c>
      <c r="B18" s="2" t="n">
        <v>0</v>
      </c>
      <c r="C18" s="2">
        <f>B18*$D$3</f>
        <v/>
      </c>
    </row>
    <row r="19">
      <c r="A19" t="n">
        <v>2017</v>
      </c>
      <c r="B19" s="2" t="n">
        <v>0</v>
      </c>
      <c r="C19" s="2">
        <f>B19*$D$3</f>
        <v/>
      </c>
    </row>
    <row r="20">
      <c r="A20" t="n">
        <v>2018</v>
      </c>
      <c r="B20" s="2" t="n">
        <v>0</v>
      </c>
      <c r="C20" s="2">
        <f>B20*$D$3</f>
        <v/>
      </c>
    </row>
    <row r="21">
      <c r="A21" t="n">
        <v>2019</v>
      </c>
      <c r="B21" s="2" t="n">
        <v>0</v>
      </c>
      <c r="C21" s="2">
        <f>B21*$D$3</f>
        <v/>
      </c>
    </row>
    <row r="22">
      <c r="A22" t="n">
        <v>2020</v>
      </c>
      <c r="B22" s="2" t="n">
        <v>0</v>
      </c>
      <c r="C22" s="2">
        <f>B22*$D$3</f>
        <v/>
      </c>
    </row>
    <row r="23">
      <c r="A23" t="n">
        <v>2021</v>
      </c>
      <c r="B23" s="2" t="n">
        <v>0</v>
      </c>
      <c r="C23" s="2">
        <f>B23*$D$3</f>
        <v/>
      </c>
    </row>
    <row r="24">
      <c r="A24" t="n">
        <v>2022</v>
      </c>
      <c r="B24" s="2" t="n">
        <v>0</v>
      </c>
      <c r="C24" s="2">
        <f>B24*$D$3</f>
        <v/>
      </c>
    </row>
    <row r="25">
      <c r="A25" t="n">
        <v>2023</v>
      </c>
      <c r="B25" s="2" t="n">
        <v>0</v>
      </c>
      <c r="C25" s="2">
        <f>B25*$D$3</f>
        <v/>
      </c>
    </row>
    <row r="26">
      <c r="A26" t="n">
        <v>2024</v>
      </c>
      <c r="B26" s="2" t="n">
        <v>0</v>
      </c>
      <c r="C26" s="2">
        <f>B26*$D$3</f>
        <v/>
      </c>
    </row>
    <row r="27">
      <c r="A27" t="n">
        <v>2025</v>
      </c>
      <c r="B27" s="2" t="n">
        <v>0</v>
      </c>
      <c r="C27" s="2">
        <f>B27*$D$3</f>
        <v/>
      </c>
    </row>
    <row r="28">
      <c r="A28" t="n">
        <v>2026</v>
      </c>
      <c r="B28" s="2" t="n">
        <v>0.8125</v>
      </c>
      <c r="C28" s="2">
        <f>B28*$D$3</f>
        <v/>
      </c>
    </row>
    <row r="29">
      <c r="A29" t="n">
        <v>2027</v>
      </c>
      <c r="B29" s="2" t="n">
        <v>0.8125</v>
      </c>
      <c r="C29" s="2">
        <f>B29*$D$3</f>
        <v/>
      </c>
    </row>
    <row r="30">
      <c r="A30" t="n">
        <v>2028</v>
      </c>
      <c r="B30" s="2" t="n">
        <v>0.8125</v>
      </c>
      <c r="C30" s="2">
        <f>B30*$D$3</f>
        <v/>
      </c>
    </row>
    <row r="31">
      <c r="A31" t="n">
        <v>2029</v>
      </c>
      <c r="B31" s="2" t="n">
        <v>0.8125</v>
      </c>
      <c r="C31" s="2">
        <f>B31*$D$3</f>
        <v/>
      </c>
    </row>
    <row r="32">
      <c r="A32" t="n">
        <v>2030</v>
      </c>
      <c r="B32" s="2" t="n">
        <v>0.8125</v>
      </c>
      <c r="C32" s="2">
        <f>B32*$D$3</f>
        <v/>
      </c>
    </row>
    <row r="33">
      <c r="A33" t="n">
        <v>2031</v>
      </c>
      <c r="B33" s="2" t="n">
        <v>0.8125</v>
      </c>
      <c r="C33" s="2">
        <f>B33*$D$3</f>
        <v/>
      </c>
    </row>
    <row r="34">
      <c r="A34" t="n">
        <v>2032</v>
      </c>
      <c r="B34" s="2" t="n">
        <v>0.8125</v>
      </c>
      <c r="C34" s="2">
        <f>B34*$D$3</f>
        <v/>
      </c>
    </row>
    <row r="35">
      <c r="A35" t="n">
        <v>2033</v>
      </c>
      <c r="B35" s="2" t="n">
        <v>0.8125</v>
      </c>
      <c r="C35" s="2">
        <f>B35*$D$3</f>
        <v/>
      </c>
    </row>
    <row r="36">
      <c r="A36" t="n">
        <v>2034</v>
      </c>
      <c r="B36" s="2" t="n">
        <v>0</v>
      </c>
      <c r="C36" s="2">
        <f>B36*$D$3</f>
        <v/>
      </c>
    </row>
    <row r="37">
      <c r="A37" t="n">
        <v>2035</v>
      </c>
      <c r="B37" s="2" t="n">
        <v>0</v>
      </c>
      <c r="C37" s="2">
        <f>B37*$D$3</f>
        <v/>
      </c>
    </row>
    <row r="38">
      <c r="A38" t="n">
        <v>2036</v>
      </c>
      <c r="B38" s="2" t="n">
        <v>0</v>
      </c>
      <c r="C38" s="2">
        <f>B38*$D$3</f>
        <v/>
      </c>
    </row>
    <row r="39">
      <c r="A39" t="n">
        <v>2037</v>
      </c>
      <c r="B39" s="2" t="n">
        <v>0</v>
      </c>
      <c r="C39" s="2">
        <f>B39*$D$3</f>
        <v/>
      </c>
    </row>
    <row r="40">
      <c r="A40" t="n">
        <v>2038</v>
      </c>
      <c r="B40" s="2" t="n">
        <v>0</v>
      </c>
      <c r="C40" s="2">
        <f>B40*$D$3</f>
        <v/>
      </c>
    </row>
    <row r="41">
      <c r="A41" t="n">
        <v>2039</v>
      </c>
      <c r="B41" s="2" t="n">
        <v>0</v>
      </c>
      <c r="C41" s="2">
        <f>B41*$D$3</f>
        <v/>
      </c>
    </row>
    <row r="42">
      <c r="A42" t="n">
        <v>2040</v>
      </c>
      <c r="B42" s="2" t="n">
        <v>0</v>
      </c>
      <c r="C42" s="2">
        <f>B42*$D$3</f>
        <v/>
      </c>
    </row>
    <row r="43">
      <c r="A43" t="n">
        <v>2041</v>
      </c>
      <c r="B43" s="2" t="n">
        <v>0</v>
      </c>
      <c r="C43" s="2">
        <f>B43*$D$3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2" customWidth="1" min="12" max="12"/>
    <col width="10" customWidth="1" min="13" max="13"/>
    <col width="8" customWidth="1" min="14" max="14"/>
    <col width="14" customWidth="1" min="15" max="15"/>
    <col width="15" customWidth="1" min="16" max="16"/>
    <col width="4" customWidth="1" min="17" max="17"/>
  </cols>
  <sheetData>
    <row r="1">
      <c r="A1" s="6" t="inlineStr">
        <is>
          <t>Parameters</t>
        </is>
      </c>
    </row>
    <row r="2">
      <c r="A2" t="inlineStr">
        <is>
          <t>Capital's Share (α)</t>
        </is>
      </c>
      <c r="B2" s="3">
        <f>1-AVERAGE(PWT!C3:PWT!C22)</f>
        <v/>
      </c>
    </row>
    <row r="3">
      <c r="A3" t="inlineStr">
        <is>
          <t>Depreciation Rate (δ)</t>
        </is>
      </c>
      <c r="B3" s="3">
        <f>AVERAGE('CFC data'!E15:'CFC data'!E22)</f>
        <v/>
      </c>
    </row>
    <row r="4">
      <c r="A4" t="inlineStr">
        <is>
          <t>Lambda (HP filter)</t>
        </is>
      </c>
      <c r="B4" t="n">
        <v>100</v>
      </c>
      <c r="P4" s="1" t="inlineStr">
        <is>
          <t>Objective</t>
        </is>
      </c>
    </row>
    <row r="5">
      <c r="A5" s="1" t="inlineStr">
        <is>
          <t>Year</t>
        </is>
      </c>
      <c r="B5" s="1" t="inlineStr"/>
      <c r="C5" s="1" t="inlineStr">
        <is>
          <t>i</t>
        </is>
      </c>
      <c r="D5" s="1" t="inlineStr">
        <is>
          <t>K</t>
        </is>
      </c>
      <c r="E5" s="1" t="inlineStr">
        <is>
          <t>Y</t>
        </is>
      </c>
      <c r="F5" s="1" t="inlineStr">
        <is>
          <t>LnK</t>
        </is>
      </c>
      <c r="G5" s="1" t="inlineStr">
        <is>
          <t>LnY</t>
        </is>
      </c>
      <c r="H5" s="1" t="inlineStr">
        <is>
          <t>LnZ</t>
        </is>
      </c>
      <c r="I5" s="1" t="inlineStr"/>
      <c r="J5" s="6" t="inlineStr">
        <is>
          <t>HP Filter →</t>
        </is>
      </c>
      <c r="K5" s="1" t="inlineStr">
        <is>
          <t>LnZ</t>
        </is>
      </c>
      <c r="L5" s="1" t="inlineStr">
        <is>
          <t>LnZ_HP</t>
        </is>
      </c>
      <c r="M5" s="1" t="inlineStr">
        <is>
          <t>2nd Diff</t>
        </is>
      </c>
      <c r="N5" s="1" t="inlineStr">
        <is>
          <t>LnZ-Trend</t>
        </is>
      </c>
      <c r="O5" s="1" t="inlineStr">
        <is>
          <t>Sq(2nd Diff)</t>
        </is>
      </c>
      <c r="P5" s="7">
        <f>SUM(P6:P27)+$B$4*SUM(O8:O27)</f>
        <v/>
      </c>
    </row>
    <row r="6">
      <c r="A6" t="n">
        <v>2002</v>
      </c>
      <c r="C6" t="n">
        <v>1</v>
      </c>
      <c r="D6" s="2">
        <f>PWT!B5</f>
        <v/>
      </c>
      <c r="E6" s="2">
        <f>WEO_Data!B5</f>
        <v/>
      </c>
      <c r="F6" s="3">
        <f>LN(D6)</f>
        <v/>
      </c>
      <c r="G6" s="3">
        <f>LN(E6)</f>
        <v/>
      </c>
      <c r="H6" s="3">
        <f>G6-$B$2*F6</f>
        <v/>
      </c>
      <c r="K6" s="3">
        <f>H6</f>
        <v/>
      </c>
      <c r="L6" s="3">
        <f>K6</f>
        <v/>
      </c>
      <c r="N6" s="3">
        <f>K6-L6</f>
        <v/>
      </c>
      <c r="P6" s="8">
        <f>N6^2</f>
        <v/>
      </c>
    </row>
    <row r="7">
      <c r="A7" t="n">
        <v>2003</v>
      </c>
      <c r="C7" t="n">
        <v>2</v>
      </c>
      <c r="D7" s="2">
        <f>PWT!B6</f>
        <v/>
      </c>
      <c r="E7" s="2">
        <f>WEO_Data!B6</f>
        <v/>
      </c>
      <c r="F7" s="3">
        <f>LN(D7)</f>
        <v/>
      </c>
      <c r="G7" s="3">
        <f>LN(E7)</f>
        <v/>
      </c>
      <c r="H7" s="3">
        <f>G7-$B$2*F7</f>
        <v/>
      </c>
      <c r="K7" s="3">
        <f>H7</f>
        <v/>
      </c>
      <c r="L7" s="3">
        <f>K7</f>
        <v/>
      </c>
      <c r="N7" s="3">
        <f>K7-L7</f>
        <v/>
      </c>
      <c r="P7" s="8">
        <f>N7^2</f>
        <v/>
      </c>
    </row>
    <row r="8">
      <c r="A8" t="n">
        <v>2004</v>
      </c>
      <c r="C8" t="n">
        <v>3</v>
      </c>
      <c r="D8" s="2">
        <f>PWT!B7</f>
        <v/>
      </c>
      <c r="E8" s="2">
        <f>WEO_Data!B7</f>
        <v/>
      </c>
      <c r="F8" s="3">
        <f>LN(D8)</f>
        <v/>
      </c>
      <c r="G8" s="3">
        <f>LN(E8)</f>
        <v/>
      </c>
      <c r="H8" s="3">
        <f>G8-$B$2*F8</f>
        <v/>
      </c>
      <c r="K8" s="3">
        <f>H8</f>
        <v/>
      </c>
      <c r="L8" s="3">
        <f>K8</f>
        <v/>
      </c>
      <c r="M8" s="3">
        <f>L8-2*L7+L6</f>
        <v/>
      </c>
      <c r="N8" s="3">
        <f>K8-L8</f>
        <v/>
      </c>
      <c r="O8" s="8">
        <f>M8^2</f>
        <v/>
      </c>
      <c r="P8" s="8">
        <f>N8^2</f>
        <v/>
      </c>
    </row>
    <row r="9">
      <c r="A9" t="n">
        <v>2005</v>
      </c>
      <c r="C9" t="n">
        <v>4</v>
      </c>
      <c r="D9" s="2">
        <f>PWT!B8</f>
        <v/>
      </c>
      <c r="E9" s="2">
        <f>WEO_Data!B8</f>
        <v/>
      </c>
      <c r="F9" s="3">
        <f>LN(D9)</f>
        <v/>
      </c>
      <c r="G9" s="3">
        <f>LN(E9)</f>
        <v/>
      </c>
      <c r="H9" s="3">
        <f>G9-$B$2*F9</f>
        <v/>
      </c>
      <c r="K9" s="3">
        <f>H9</f>
        <v/>
      </c>
      <c r="L9" s="3">
        <f>K9</f>
        <v/>
      </c>
      <c r="M9" s="3">
        <f>L9-2*L8+L7</f>
        <v/>
      </c>
      <c r="N9" s="3">
        <f>K9-L9</f>
        <v/>
      </c>
      <c r="O9" s="8">
        <f>M9^2</f>
        <v/>
      </c>
      <c r="P9" s="8">
        <f>N9^2</f>
        <v/>
      </c>
    </row>
    <row r="10">
      <c r="A10" t="n">
        <v>2006</v>
      </c>
      <c r="C10" t="n">
        <v>5</v>
      </c>
      <c r="D10" s="2">
        <f>PWT!B9</f>
        <v/>
      </c>
      <c r="E10" s="2">
        <f>WEO_Data!B9</f>
        <v/>
      </c>
      <c r="F10" s="3">
        <f>LN(D10)</f>
        <v/>
      </c>
      <c r="G10" s="3">
        <f>LN(E10)</f>
        <v/>
      </c>
      <c r="H10" s="3">
        <f>G10-$B$2*F10</f>
        <v/>
      </c>
      <c r="K10" s="3">
        <f>H10</f>
        <v/>
      </c>
      <c r="L10" s="3">
        <f>K10</f>
        <v/>
      </c>
      <c r="M10" s="3">
        <f>L10-2*L9+L8</f>
        <v/>
      </c>
      <c r="N10" s="3">
        <f>K10-L10</f>
        <v/>
      </c>
      <c r="O10" s="8">
        <f>M10^2</f>
        <v/>
      </c>
      <c r="P10" s="8">
        <f>N10^2</f>
        <v/>
      </c>
    </row>
    <row r="11">
      <c r="A11" t="n">
        <v>2007</v>
      </c>
      <c r="C11" t="n">
        <v>6</v>
      </c>
      <c r="D11" s="2">
        <f>PWT!B10</f>
        <v/>
      </c>
      <c r="E11" s="2">
        <f>WEO_Data!B10</f>
        <v/>
      </c>
      <c r="F11" s="3">
        <f>LN(D11)</f>
        <v/>
      </c>
      <c r="G11" s="3">
        <f>LN(E11)</f>
        <v/>
      </c>
      <c r="H11" s="3">
        <f>G11-$B$2*F11</f>
        <v/>
      </c>
      <c r="K11" s="3">
        <f>H11</f>
        <v/>
      </c>
      <c r="L11" s="3">
        <f>K11</f>
        <v/>
      </c>
      <c r="M11" s="3">
        <f>L11-2*L10+L9</f>
        <v/>
      </c>
      <c r="N11" s="3">
        <f>K11-L11</f>
        <v/>
      </c>
      <c r="O11" s="8">
        <f>M11^2</f>
        <v/>
      </c>
      <c r="P11" s="8">
        <f>N11^2</f>
        <v/>
      </c>
    </row>
    <row r="12">
      <c r="A12" t="n">
        <v>2008</v>
      </c>
      <c r="C12" t="n">
        <v>7</v>
      </c>
      <c r="D12" s="2">
        <f>PWT!B11</f>
        <v/>
      </c>
      <c r="E12" s="2">
        <f>WEO_Data!B11</f>
        <v/>
      </c>
      <c r="F12" s="3">
        <f>LN(D12)</f>
        <v/>
      </c>
      <c r="G12" s="3">
        <f>LN(E12)</f>
        <v/>
      </c>
      <c r="H12" s="3">
        <f>G12-$B$2*F12</f>
        <v/>
      </c>
      <c r="K12" s="3">
        <f>H12</f>
        <v/>
      </c>
      <c r="L12" s="3">
        <f>K12</f>
        <v/>
      </c>
      <c r="M12" s="3">
        <f>L12-2*L11+L10</f>
        <v/>
      </c>
      <c r="N12" s="3">
        <f>K12-L12</f>
        <v/>
      </c>
      <c r="O12" s="8">
        <f>M12^2</f>
        <v/>
      </c>
      <c r="P12" s="8">
        <f>N12^2</f>
        <v/>
      </c>
    </row>
    <row r="13">
      <c r="A13" t="n">
        <v>2009</v>
      </c>
      <c r="C13" t="n">
        <v>8</v>
      </c>
      <c r="D13" s="2">
        <f>PWT!B12</f>
        <v/>
      </c>
      <c r="E13" s="2">
        <f>WEO_Data!B12</f>
        <v/>
      </c>
      <c r="F13" s="3">
        <f>LN(D13)</f>
        <v/>
      </c>
      <c r="G13" s="3">
        <f>LN(E13)</f>
        <v/>
      </c>
      <c r="H13" s="3">
        <f>G13-$B$2*F13</f>
        <v/>
      </c>
      <c r="K13" s="3">
        <f>H13</f>
        <v/>
      </c>
      <c r="L13" s="3">
        <f>K13</f>
        <v/>
      </c>
      <c r="M13" s="3">
        <f>L13-2*L12+L11</f>
        <v/>
      </c>
      <c r="N13" s="3">
        <f>K13-L13</f>
        <v/>
      </c>
      <c r="O13" s="8">
        <f>M13^2</f>
        <v/>
      </c>
      <c r="P13" s="8">
        <f>N13^2</f>
        <v/>
      </c>
    </row>
    <row r="14">
      <c r="A14" t="n">
        <v>2010</v>
      </c>
      <c r="C14" t="n">
        <v>9</v>
      </c>
      <c r="D14" s="2">
        <f>PWT!B13</f>
        <v/>
      </c>
      <c r="E14" s="2">
        <f>WEO_Data!B13</f>
        <v/>
      </c>
      <c r="F14" s="3">
        <f>LN(D14)</f>
        <v/>
      </c>
      <c r="G14" s="3">
        <f>LN(E14)</f>
        <v/>
      </c>
      <c r="H14" s="3">
        <f>G14-$B$2*F14</f>
        <v/>
      </c>
      <c r="K14" s="3">
        <f>H14</f>
        <v/>
      </c>
      <c r="L14" s="3">
        <f>K14</f>
        <v/>
      </c>
      <c r="M14" s="3">
        <f>L14-2*L13+L12</f>
        <v/>
      </c>
      <c r="N14" s="3">
        <f>K14-L14</f>
        <v/>
      </c>
      <c r="O14" s="8">
        <f>M14^2</f>
        <v/>
      </c>
      <c r="P14" s="8">
        <f>N14^2</f>
        <v/>
      </c>
    </row>
    <row r="15">
      <c r="A15" t="n">
        <v>2011</v>
      </c>
      <c r="C15" t="n">
        <v>10</v>
      </c>
      <c r="D15" s="2">
        <f>PWT!B14</f>
        <v/>
      </c>
      <c r="E15" s="2">
        <f>WEO_Data!B14</f>
        <v/>
      </c>
      <c r="F15" s="3">
        <f>LN(D15)</f>
        <v/>
      </c>
      <c r="G15" s="3">
        <f>LN(E15)</f>
        <v/>
      </c>
      <c r="H15" s="3">
        <f>G15-$B$2*F15</f>
        <v/>
      </c>
      <c r="K15" s="3">
        <f>H15</f>
        <v/>
      </c>
      <c r="L15" s="3">
        <f>K15</f>
        <v/>
      </c>
      <c r="M15" s="3">
        <f>L15-2*L14+L13</f>
        <v/>
      </c>
      <c r="N15" s="3">
        <f>K15-L15</f>
        <v/>
      </c>
      <c r="O15" s="8">
        <f>M15^2</f>
        <v/>
      </c>
      <c r="P15" s="8">
        <f>N15^2</f>
        <v/>
      </c>
    </row>
    <row r="16">
      <c r="A16" t="n">
        <v>2012</v>
      </c>
      <c r="C16" t="n">
        <v>11</v>
      </c>
      <c r="D16" s="2">
        <f>PWT!B15</f>
        <v/>
      </c>
      <c r="E16" s="2">
        <f>WEO_Data!B15</f>
        <v/>
      </c>
      <c r="F16" s="3">
        <f>LN(D16)</f>
        <v/>
      </c>
      <c r="G16" s="3">
        <f>LN(E16)</f>
        <v/>
      </c>
      <c r="H16" s="3">
        <f>G16-$B$2*F16</f>
        <v/>
      </c>
      <c r="K16" s="3">
        <f>H16</f>
        <v/>
      </c>
      <c r="L16" s="3">
        <f>K16</f>
        <v/>
      </c>
      <c r="M16" s="3">
        <f>L16-2*L15+L14</f>
        <v/>
      </c>
      <c r="N16" s="3">
        <f>K16-L16</f>
        <v/>
      </c>
      <c r="O16" s="8">
        <f>M16^2</f>
        <v/>
      </c>
      <c r="P16" s="8">
        <f>N16^2</f>
        <v/>
      </c>
    </row>
    <row r="17">
      <c r="A17" t="n">
        <v>2013</v>
      </c>
      <c r="C17" t="n">
        <v>12</v>
      </c>
      <c r="D17" s="2">
        <f>PWT!B16</f>
        <v/>
      </c>
      <c r="E17" s="2">
        <f>WEO_Data!B16</f>
        <v/>
      </c>
      <c r="F17" s="3">
        <f>LN(D17)</f>
        <v/>
      </c>
      <c r="G17" s="3">
        <f>LN(E17)</f>
        <v/>
      </c>
      <c r="H17" s="3">
        <f>G17-$B$2*F17</f>
        <v/>
      </c>
      <c r="K17" s="3">
        <f>H17</f>
        <v/>
      </c>
      <c r="L17" s="3">
        <f>K17</f>
        <v/>
      </c>
      <c r="M17" s="3">
        <f>L17-2*L16+L15</f>
        <v/>
      </c>
      <c r="N17" s="3">
        <f>K17-L17</f>
        <v/>
      </c>
      <c r="O17" s="8">
        <f>M17^2</f>
        <v/>
      </c>
      <c r="P17" s="8">
        <f>N17^2</f>
        <v/>
      </c>
    </row>
    <row r="18">
      <c r="A18" t="n">
        <v>2014</v>
      </c>
      <c r="C18" t="n">
        <v>13</v>
      </c>
      <c r="D18" s="2">
        <f>PWT!B17</f>
        <v/>
      </c>
      <c r="E18" s="2">
        <f>WEO_Data!B17</f>
        <v/>
      </c>
      <c r="F18" s="3">
        <f>LN(D18)</f>
        <v/>
      </c>
      <c r="G18" s="3">
        <f>LN(E18)</f>
        <v/>
      </c>
      <c r="H18" s="3">
        <f>G18-$B$2*F18</f>
        <v/>
      </c>
      <c r="K18" s="3">
        <f>H18</f>
        <v/>
      </c>
      <c r="L18" s="3">
        <f>K18</f>
        <v/>
      </c>
      <c r="M18" s="3">
        <f>L18-2*L17+L16</f>
        <v/>
      </c>
      <c r="N18" s="3">
        <f>K18-L18</f>
        <v/>
      </c>
      <c r="O18" s="8">
        <f>M18^2</f>
        <v/>
      </c>
      <c r="P18" s="8">
        <f>N18^2</f>
        <v/>
      </c>
    </row>
    <row r="19">
      <c r="A19" t="n">
        <v>2015</v>
      </c>
      <c r="C19" t="n">
        <v>14</v>
      </c>
      <c r="D19" s="2">
        <f>PWT!B18</f>
        <v/>
      </c>
      <c r="E19" s="2">
        <f>WEO_Data!B18</f>
        <v/>
      </c>
      <c r="F19" s="3">
        <f>LN(D19)</f>
        <v/>
      </c>
      <c r="G19" s="3">
        <f>LN(E19)</f>
        <v/>
      </c>
      <c r="H19" s="3">
        <f>G19-$B$2*F19</f>
        <v/>
      </c>
      <c r="K19" s="3">
        <f>H19</f>
        <v/>
      </c>
      <c r="L19" s="3">
        <f>K19</f>
        <v/>
      </c>
      <c r="M19" s="3">
        <f>L19-2*L18+L17</f>
        <v/>
      </c>
      <c r="N19" s="3">
        <f>K19-L19</f>
        <v/>
      </c>
      <c r="O19" s="8">
        <f>M19^2</f>
        <v/>
      </c>
      <c r="P19" s="8">
        <f>N19^2</f>
        <v/>
      </c>
    </row>
    <row r="20">
      <c r="A20" t="n">
        <v>2016</v>
      </c>
      <c r="C20" t="n">
        <v>15</v>
      </c>
      <c r="D20" s="2">
        <f>PWT!B19</f>
        <v/>
      </c>
      <c r="E20" s="2">
        <f>WEO_Data!B19</f>
        <v/>
      </c>
      <c r="F20" s="3">
        <f>LN(D20)</f>
        <v/>
      </c>
      <c r="G20" s="3">
        <f>LN(E20)</f>
        <v/>
      </c>
      <c r="H20" s="3">
        <f>G20-$B$2*F20</f>
        <v/>
      </c>
      <c r="K20" s="3">
        <f>H20</f>
        <v/>
      </c>
      <c r="L20" s="3">
        <f>K20</f>
        <v/>
      </c>
      <c r="M20" s="3">
        <f>L20-2*L19+L18</f>
        <v/>
      </c>
      <c r="N20" s="3">
        <f>K20-L20</f>
        <v/>
      </c>
      <c r="O20" s="8">
        <f>M20^2</f>
        <v/>
      </c>
      <c r="P20" s="8">
        <f>N20^2</f>
        <v/>
      </c>
    </row>
    <row r="21">
      <c r="A21" t="n">
        <v>2017</v>
      </c>
      <c r="C21" t="n">
        <v>16</v>
      </c>
      <c r="D21" s="2">
        <f>PWT!B20</f>
        <v/>
      </c>
      <c r="E21" s="2">
        <f>WEO_Data!B20</f>
        <v/>
      </c>
      <c r="F21" s="3">
        <f>LN(D21)</f>
        <v/>
      </c>
      <c r="G21" s="3">
        <f>LN(E21)</f>
        <v/>
      </c>
      <c r="H21" s="3">
        <f>G21-$B$2*F21</f>
        <v/>
      </c>
      <c r="K21" s="3">
        <f>H21</f>
        <v/>
      </c>
      <c r="L21" s="3">
        <f>K21</f>
        <v/>
      </c>
      <c r="M21" s="3">
        <f>L21-2*L20+L19</f>
        <v/>
      </c>
      <c r="N21" s="3">
        <f>K21-L21</f>
        <v/>
      </c>
      <c r="O21" s="8">
        <f>M21^2</f>
        <v/>
      </c>
      <c r="P21" s="8">
        <f>N21^2</f>
        <v/>
      </c>
    </row>
    <row r="22">
      <c r="A22" t="n">
        <v>2018</v>
      </c>
      <c r="C22" t="n">
        <v>17</v>
      </c>
      <c r="D22" s="2">
        <f>PWT!B21</f>
        <v/>
      </c>
      <c r="E22" s="2">
        <f>WEO_Data!B21</f>
        <v/>
      </c>
      <c r="F22" s="3">
        <f>LN(D22)</f>
        <v/>
      </c>
      <c r="G22" s="3">
        <f>LN(E22)</f>
        <v/>
      </c>
      <c r="H22" s="3">
        <f>G22-$B$2*F22</f>
        <v/>
      </c>
      <c r="K22" s="3">
        <f>H22</f>
        <v/>
      </c>
      <c r="L22" s="3">
        <f>K22</f>
        <v/>
      </c>
      <c r="M22" s="3">
        <f>L22-2*L21+L20</f>
        <v/>
      </c>
      <c r="N22" s="3">
        <f>K22-L22</f>
        <v/>
      </c>
      <c r="O22" s="8">
        <f>M22^2</f>
        <v/>
      </c>
      <c r="P22" s="8">
        <f>N22^2</f>
        <v/>
      </c>
    </row>
    <row r="23">
      <c r="A23" t="n">
        <v>2019</v>
      </c>
      <c r="C23" t="n">
        <v>18</v>
      </c>
      <c r="D23" s="2">
        <f>PWT!B22</f>
        <v/>
      </c>
      <c r="E23" s="2">
        <f>WEO_Data!B22</f>
        <v/>
      </c>
      <c r="F23" s="3">
        <f>LN(D23)</f>
        <v/>
      </c>
      <c r="G23" s="3">
        <f>LN(E23)</f>
        <v/>
      </c>
      <c r="H23" s="3">
        <f>G23-$B$2*F23</f>
        <v/>
      </c>
      <c r="K23" s="3">
        <f>H23</f>
        <v/>
      </c>
      <c r="L23" s="3">
        <f>K23</f>
        <v/>
      </c>
      <c r="M23" s="3">
        <f>L23-2*L22+L21</f>
        <v/>
      </c>
      <c r="N23" s="3">
        <f>K23-L23</f>
        <v/>
      </c>
      <c r="O23" s="8">
        <f>M23^2</f>
        <v/>
      </c>
      <c r="P23" s="8">
        <f>N23^2</f>
        <v/>
      </c>
    </row>
    <row r="24">
      <c r="A24" t="n">
        <v>2020</v>
      </c>
      <c r="C24" t="n">
        <v>19</v>
      </c>
      <c r="D24" s="2">
        <f>E54</f>
        <v/>
      </c>
      <c r="E24" s="2">
        <f>WEO_Data!B23</f>
        <v/>
      </c>
      <c r="F24" s="3">
        <f>LN(D24)</f>
        <v/>
      </c>
      <c r="G24" s="3">
        <f>LN(E24)</f>
        <v/>
      </c>
      <c r="H24" s="3">
        <f>G24-$B$2*F24</f>
        <v/>
      </c>
      <c r="K24" s="3">
        <f>H24</f>
        <v/>
      </c>
      <c r="L24" s="3">
        <f>K24</f>
        <v/>
      </c>
      <c r="M24" s="3">
        <f>L24-2*L23+L22</f>
        <v/>
      </c>
      <c r="N24" s="3">
        <f>K24-L24</f>
        <v/>
      </c>
      <c r="O24" s="8">
        <f>M24^2</f>
        <v/>
      </c>
      <c r="P24" s="8">
        <f>N24^2</f>
        <v/>
      </c>
    </row>
    <row r="25">
      <c r="A25" t="n">
        <v>2021</v>
      </c>
      <c r="C25" t="n">
        <v>20</v>
      </c>
      <c r="D25" s="2">
        <f>E55</f>
        <v/>
      </c>
      <c r="E25" s="2">
        <f>WEO_Data!B24</f>
        <v/>
      </c>
      <c r="F25" s="3">
        <f>LN(D25)</f>
        <v/>
      </c>
      <c r="G25" s="3">
        <f>LN(E25)</f>
        <v/>
      </c>
      <c r="H25" s="3">
        <f>G25-$B$2*F25</f>
        <v/>
      </c>
      <c r="K25" s="3">
        <f>H25</f>
        <v/>
      </c>
      <c r="L25" s="3">
        <f>K25</f>
        <v/>
      </c>
      <c r="M25" s="3">
        <f>L25-2*L24+L23</f>
        <v/>
      </c>
      <c r="N25" s="3">
        <f>K25-L25</f>
        <v/>
      </c>
      <c r="O25" s="8">
        <f>M25^2</f>
        <v/>
      </c>
      <c r="P25" s="8">
        <f>N25^2</f>
        <v/>
      </c>
    </row>
    <row r="26">
      <c r="A26" t="n">
        <v>2022</v>
      </c>
      <c r="C26" t="n">
        <v>21</v>
      </c>
      <c r="D26" s="2">
        <f>E56</f>
        <v/>
      </c>
      <c r="E26" s="2">
        <f>WEO_Data!B25</f>
        <v/>
      </c>
      <c r="F26" s="3">
        <f>LN(D26)</f>
        <v/>
      </c>
      <c r="G26" s="3">
        <f>LN(E26)</f>
        <v/>
      </c>
      <c r="H26" s="3">
        <f>G26-$B$2*F26</f>
        <v/>
      </c>
      <c r="K26" s="3">
        <f>H26</f>
        <v/>
      </c>
      <c r="L26" s="3">
        <f>K26</f>
        <v/>
      </c>
      <c r="M26" s="3">
        <f>L26-2*L25+L24</f>
        <v/>
      </c>
      <c r="N26" s="3">
        <f>K26-L26</f>
        <v/>
      </c>
      <c r="O26" s="8">
        <f>M26^2</f>
        <v/>
      </c>
      <c r="P26" s="8">
        <f>N26^2</f>
        <v/>
      </c>
    </row>
    <row r="27">
      <c r="A27" t="n">
        <v>2023</v>
      </c>
      <c r="C27" t="n">
        <v>22</v>
      </c>
      <c r="D27" s="2">
        <f>E57</f>
        <v/>
      </c>
      <c r="E27" s="2">
        <f>WEO_Data!B26</f>
        <v/>
      </c>
      <c r="F27" s="3">
        <f>LN(D27)</f>
        <v/>
      </c>
      <c r="G27" s="3">
        <f>LN(E27)</f>
        <v/>
      </c>
      <c r="H27" s="3">
        <f>G27-$B$2*F27</f>
        <v/>
      </c>
      <c r="K27" s="3">
        <f>H27</f>
        <v/>
      </c>
      <c r="L27" s="3">
        <f>K27</f>
        <v/>
      </c>
      <c r="M27" s="3">
        <f>L27-2*L26+L25</f>
        <v/>
      </c>
      <c r="N27" s="3">
        <f>K27-L27</f>
        <v/>
      </c>
      <c r="O27" s="8">
        <f>M27^2</f>
        <v/>
      </c>
      <c r="P27" s="8">
        <f>N27^2</f>
        <v/>
      </c>
    </row>
    <row r="30">
      <c r="A30" s="6" t="inlineStr">
        <is>
          <t>Step 3: Production Function</t>
        </is>
      </c>
    </row>
    <row r="31">
      <c r="A31" t="inlineStr">
        <is>
          <t>K/Y Anchor (avg of most recent 9 yrs)</t>
        </is>
      </c>
      <c r="B31" s="3">
        <f>AVERAGE(D49:D57)</f>
        <v/>
      </c>
    </row>
    <row r="35">
      <c r="A35" s="1" t="inlineStr">
        <is>
          <t>Year</t>
        </is>
      </c>
      <c r="B35" s="1" t="inlineStr">
        <is>
          <t>K</t>
        </is>
      </c>
      <c r="C35" s="1" t="inlineStr">
        <is>
          <t>Y</t>
        </is>
      </c>
      <c r="D35" s="1" t="inlineStr">
        <is>
          <t>K/Y</t>
        </is>
      </c>
      <c r="E35" s="1" t="inlineStr">
        <is>
          <t>K_ext</t>
        </is>
      </c>
      <c r="F35" s="1" t="inlineStr">
        <is>
          <t>Y_ext</t>
        </is>
      </c>
      <c r="G35" s="1" t="inlineStr">
        <is>
          <t>LnZ_trend</t>
        </is>
      </c>
      <c r="H35" s="1" t="inlineStr">
        <is>
          <t>Ystar_base</t>
        </is>
      </c>
      <c r="I35" s="1" t="inlineStr">
        <is>
          <t>Inv_Shock</t>
        </is>
      </c>
      <c r="J35" s="1" t="inlineStr">
        <is>
          <t>deltaK</t>
        </is>
      </c>
      <c r="K35" s="1" t="inlineStr">
        <is>
          <t>K_With</t>
        </is>
      </c>
      <c r="L35" s="1" t="inlineStr">
        <is>
          <t>Ystar_with</t>
        </is>
      </c>
      <c r="M35" s="1" t="inlineStr">
        <is>
          <t>Gap</t>
        </is>
      </c>
      <c r="N35" s="1" t="inlineStr">
        <is>
          <t>Gap%</t>
        </is>
      </c>
    </row>
    <row r="36">
      <c r="A36" t="n">
        <v>2002</v>
      </c>
      <c r="B36" s="2">
        <f>PWT!B5</f>
        <v/>
      </c>
      <c r="C36" s="2">
        <f>WEO_Data!B5</f>
        <v/>
      </c>
      <c r="D36" s="3">
        <f>B36/C36</f>
        <v/>
      </c>
      <c r="E36" s="2">
        <f>B36</f>
        <v/>
      </c>
      <c r="F36" s="2">
        <f>C36</f>
        <v/>
      </c>
      <c r="G36" s="3">
        <f>L6</f>
        <v/>
      </c>
      <c r="H36" s="2">
        <f>EXP(G36+$B$2*LN(E36))</f>
        <v/>
      </c>
      <c r="I36" s="2">
        <f>Investment!C4</f>
        <v/>
      </c>
      <c r="J36" s="2" t="n">
        <v>0</v>
      </c>
      <c r="K36" s="2">
        <f>E36+J36</f>
        <v/>
      </c>
      <c r="L36" s="2">
        <f>EXP(G36+$B$2*LN(K36))</f>
        <v/>
      </c>
      <c r="M36" s="2">
        <f>L36-H36</f>
        <v/>
      </c>
      <c r="N36" s="9">
        <f>M36/H36*100</f>
        <v/>
      </c>
    </row>
    <row r="37">
      <c r="A37" t="n">
        <v>2003</v>
      </c>
      <c r="B37" s="2">
        <f>PWT!B6</f>
        <v/>
      </c>
      <c r="C37" s="2">
        <f>WEO_Data!B6</f>
        <v/>
      </c>
      <c r="D37" s="3">
        <f>B37/C37</f>
        <v/>
      </c>
      <c r="E37" s="2">
        <f>B37</f>
        <v/>
      </c>
      <c r="F37" s="2">
        <f>C37</f>
        <v/>
      </c>
      <c r="G37" s="3">
        <f>L7</f>
        <v/>
      </c>
      <c r="H37" s="2">
        <f>EXP(G37+$B$2*LN(E37))</f>
        <v/>
      </c>
      <c r="I37" s="2">
        <f>Investment!C5</f>
        <v/>
      </c>
      <c r="J37" s="2">
        <f>(1-$B$3)*J36+I37</f>
        <v/>
      </c>
      <c r="K37" s="2">
        <f>E37+J37</f>
        <v/>
      </c>
      <c r="L37" s="2">
        <f>EXP(G37+$B$2*LN(K37))</f>
        <v/>
      </c>
      <c r="M37" s="2">
        <f>L37-H37</f>
        <v/>
      </c>
      <c r="N37" s="9">
        <f>M37/H37*100</f>
        <v/>
      </c>
    </row>
    <row r="38">
      <c r="A38" t="n">
        <v>2004</v>
      </c>
      <c r="B38" s="2">
        <f>PWT!B7</f>
        <v/>
      </c>
      <c r="C38" s="2">
        <f>WEO_Data!B7</f>
        <v/>
      </c>
      <c r="D38" s="3">
        <f>B38/C38</f>
        <v/>
      </c>
      <c r="E38" s="2">
        <f>B38</f>
        <v/>
      </c>
      <c r="F38" s="2">
        <f>C38</f>
        <v/>
      </c>
      <c r="G38" s="3">
        <f>L8</f>
        <v/>
      </c>
      <c r="H38" s="2">
        <f>EXP(G38+$B$2*LN(E38))</f>
        <v/>
      </c>
      <c r="I38" s="2">
        <f>Investment!C6</f>
        <v/>
      </c>
      <c r="J38" s="2">
        <f>(1-$B$3)*J37+I38</f>
        <v/>
      </c>
      <c r="K38" s="2">
        <f>E38+J38</f>
        <v/>
      </c>
      <c r="L38" s="2">
        <f>EXP(G38+$B$2*LN(K38))</f>
        <v/>
      </c>
      <c r="M38" s="2">
        <f>L38-H38</f>
        <v/>
      </c>
      <c r="N38" s="9">
        <f>M38/H38*100</f>
        <v/>
      </c>
    </row>
    <row r="39">
      <c r="A39" t="n">
        <v>2005</v>
      </c>
      <c r="B39" s="2">
        <f>PWT!B8</f>
        <v/>
      </c>
      <c r="C39" s="2">
        <f>WEO_Data!B8</f>
        <v/>
      </c>
      <c r="D39" s="3">
        <f>B39/C39</f>
        <v/>
      </c>
      <c r="E39" s="2">
        <f>B39</f>
        <v/>
      </c>
      <c r="F39" s="2">
        <f>C39</f>
        <v/>
      </c>
      <c r="G39" s="3">
        <f>L9</f>
        <v/>
      </c>
      <c r="H39" s="2">
        <f>EXP(G39+$B$2*LN(E39))</f>
        <v/>
      </c>
      <c r="I39" s="2">
        <f>Investment!C7</f>
        <v/>
      </c>
      <c r="J39" s="2">
        <f>(1-$B$3)*J38+I39</f>
        <v/>
      </c>
      <c r="K39" s="2">
        <f>E39+J39</f>
        <v/>
      </c>
      <c r="L39" s="2">
        <f>EXP(G39+$B$2*LN(K39))</f>
        <v/>
      </c>
      <c r="M39" s="2">
        <f>L39-H39</f>
        <v/>
      </c>
      <c r="N39" s="9">
        <f>M39/H39*100</f>
        <v/>
      </c>
    </row>
    <row r="40">
      <c r="A40" t="n">
        <v>2006</v>
      </c>
      <c r="B40" s="2">
        <f>PWT!B9</f>
        <v/>
      </c>
      <c r="C40" s="2">
        <f>WEO_Data!B9</f>
        <v/>
      </c>
      <c r="D40" s="3">
        <f>B40/C40</f>
        <v/>
      </c>
      <c r="E40" s="2">
        <f>B40</f>
        <v/>
      </c>
      <c r="F40" s="2">
        <f>C40</f>
        <v/>
      </c>
      <c r="G40" s="3">
        <f>L10</f>
        <v/>
      </c>
      <c r="H40" s="2">
        <f>EXP(G40+$B$2*LN(E40))</f>
        <v/>
      </c>
      <c r="I40" s="2">
        <f>Investment!C8</f>
        <v/>
      </c>
      <c r="J40" s="2">
        <f>(1-$B$3)*J39+I40</f>
        <v/>
      </c>
      <c r="K40" s="2">
        <f>E40+J40</f>
        <v/>
      </c>
      <c r="L40" s="2">
        <f>EXP(G40+$B$2*LN(K40))</f>
        <v/>
      </c>
      <c r="M40" s="2">
        <f>L40-H40</f>
        <v/>
      </c>
      <c r="N40" s="9">
        <f>M40/H40*100</f>
        <v/>
      </c>
    </row>
    <row r="41">
      <c r="A41" t="n">
        <v>2007</v>
      </c>
      <c r="B41" s="2">
        <f>PWT!B10</f>
        <v/>
      </c>
      <c r="C41" s="2">
        <f>WEO_Data!B10</f>
        <v/>
      </c>
      <c r="D41" s="3">
        <f>B41/C41</f>
        <v/>
      </c>
      <c r="E41" s="2">
        <f>B41</f>
        <v/>
      </c>
      <c r="F41" s="2">
        <f>C41</f>
        <v/>
      </c>
      <c r="G41" s="3">
        <f>L11</f>
        <v/>
      </c>
      <c r="H41" s="2">
        <f>EXP(G41+$B$2*LN(E41))</f>
        <v/>
      </c>
      <c r="I41" s="2">
        <f>Investment!C9</f>
        <v/>
      </c>
      <c r="J41" s="2">
        <f>(1-$B$3)*J40+I41</f>
        <v/>
      </c>
      <c r="K41" s="2">
        <f>E41+J41</f>
        <v/>
      </c>
      <c r="L41" s="2">
        <f>EXP(G41+$B$2*LN(K41))</f>
        <v/>
      </c>
      <c r="M41" s="2">
        <f>L41-H41</f>
        <v/>
      </c>
      <c r="N41" s="9">
        <f>M41/H41*100</f>
        <v/>
      </c>
    </row>
    <row r="42">
      <c r="A42" t="n">
        <v>2008</v>
      </c>
      <c r="B42" s="2">
        <f>PWT!B11</f>
        <v/>
      </c>
      <c r="C42" s="2">
        <f>WEO_Data!B11</f>
        <v/>
      </c>
      <c r="D42" s="3">
        <f>B42/C42</f>
        <v/>
      </c>
      <c r="E42" s="2">
        <f>B42</f>
        <v/>
      </c>
      <c r="F42" s="2">
        <f>C42</f>
        <v/>
      </c>
      <c r="G42" s="3">
        <f>L12</f>
        <v/>
      </c>
      <c r="H42" s="2">
        <f>EXP(G42+$B$2*LN(E42))</f>
        <v/>
      </c>
      <c r="I42" s="2">
        <f>Investment!C10</f>
        <v/>
      </c>
      <c r="J42" s="2">
        <f>(1-$B$3)*J41+I42</f>
        <v/>
      </c>
      <c r="K42" s="2">
        <f>E42+J42</f>
        <v/>
      </c>
      <c r="L42" s="2">
        <f>EXP(G42+$B$2*LN(K42))</f>
        <v/>
      </c>
      <c r="M42" s="2">
        <f>L42-H42</f>
        <v/>
      </c>
      <c r="N42" s="9">
        <f>M42/H42*100</f>
        <v/>
      </c>
    </row>
    <row r="43">
      <c r="A43" t="n">
        <v>2009</v>
      </c>
      <c r="B43" s="2">
        <f>PWT!B12</f>
        <v/>
      </c>
      <c r="C43" s="2">
        <f>WEO_Data!B12</f>
        <v/>
      </c>
      <c r="D43" s="3">
        <f>B43/C43</f>
        <v/>
      </c>
      <c r="E43" s="2">
        <f>B43</f>
        <v/>
      </c>
      <c r="F43" s="2">
        <f>C43</f>
        <v/>
      </c>
      <c r="G43" s="3">
        <f>L13</f>
        <v/>
      </c>
      <c r="H43" s="2">
        <f>EXP(G43+$B$2*LN(E43))</f>
        <v/>
      </c>
      <c r="I43" s="2">
        <f>Investment!C11</f>
        <v/>
      </c>
      <c r="J43" s="2">
        <f>(1-$B$3)*J42+I43</f>
        <v/>
      </c>
      <c r="K43" s="2">
        <f>E43+J43</f>
        <v/>
      </c>
      <c r="L43" s="2">
        <f>EXP(G43+$B$2*LN(K43))</f>
        <v/>
      </c>
      <c r="M43" s="2">
        <f>L43-H43</f>
        <v/>
      </c>
      <c r="N43" s="9">
        <f>M43/H43*100</f>
        <v/>
      </c>
    </row>
    <row r="44">
      <c r="A44" t="n">
        <v>2010</v>
      </c>
      <c r="B44" s="2">
        <f>PWT!B13</f>
        <v/>
      </c>
      <c r="C44" s="2">
        <f>WEO_Data!B13</f>
        <v/>
      </c>
      <c r="D44" s="3">
        <f>B44/C44</f>
        <v/>
      </c>
      <c r="E44" s="2">
        <f>B44</f>
        <v/>
      </c>
      <c r="F44" s="2">
        <f>C44</f>
        <v/>
      </c>
      <c r="G44" s="3">
        <f>L14</f>
        <v/>
      </c>
      <c r="H44" s="2">
        <f>EXP(G44+$B$2*LN(E44))</f>
        <v/>
      </c>
      <c r="I44" s="2">
        <f>Investment!C12</f>
        <v/>
      </c>
      <c r="J44" s="2">
        <f>(1-$B$3)*J43+I44</f>
        <v/>
      </c>
      <c r="K44" s="2">
        <f>E44+J44</f>
        <v/>
      </c>
      <c r="L44" s="2">
        <f>EXP(G44+$B$2*LN(K44))</f>
        <v/>
      </c>
      <c r="M44" s="2">
        <f>L44-H44</f>
        <v/>
      </c>
      <c r="N44" s="9">
        <f>M44/H44*100</f>
        <v/>
      </c>
    </row>
    <row r="45">
      <c r="A45" t="n">
        <v>2011</v>
      </c>
      <c r="B45" s="2">
        <f>PWT!B14</f>
        <v/>
      </c>
      <c r="C45" s="2">
        <f>WEO_Data!B14</f>
        <v/>
      </c>
      <c r="D45" s="3">
        <f>B45/C45</f>
        <v/>
      </c>
      <c r="E45" s="2">
        <f>B45</f>
        <v/>
      </c>
      <c r="F45" s="2">
        <f>C45</f>
        <v/>
      </c>
      <c r="G45" s="3">
        <f>L15</f>
        <v/>
      </c>
      <c r="H45" s="2">
        <f>EXP(G45+$B$2*LN(E45))</f>
        <v/>
      </c>
      <c r="I45" s="2">
        <f>Investment!C13</f>
        <v/>
      </c>
      <c r="J45" s="2">
        <f>(1-$B$3)*J44+I45</f>
        <v/>
      </c>
      <c r="K45" s="2">
        <f>E45+J45</f>
        <v/>
      </c>
      <c r="L45" s="2">
        <f>EXP(G45+$B$2*LN(K45))</f>
        <v/>
      </c>
      <c r="M45" s="2">
        <f>L45-H45</f>
        <v/>
      </c>
      <c r="N45" s="9">
        <f>M45/H45*100</f>
        <v/>
      </c>
    </row>
    <row r="46">
      <c r="A46" t="n">
        <v>2012</v>
      </c>
      <c r="B46" s="2">
        <f>PWT!B15</f>
        <v/>
      </c>
      <c r="C46" s="2">
        <f>WEO_Data!B15</f>
        <v/>
      </c>
      <c r="D46" s="3">
        <f>B46/C46</f>
        <v/>
      </c>
      <c r="E46" s="2">
        <f>B46</f>
        <v/>
      </c>
      <c r="F46" s="2">
        <f>C46</f>
        <v/>
      </c>
      <c r="G46" s="3">
        <f>L16</f>
        <v/>
      </c>
      <c r="H46" s="2">
        <f>EXP(G46+$B$2*LN(E46))</f>
        <v/>
      </c>
      <c r="I46" s="2">
        <f>Investment!C14</f>
        <v/>
      </c>
      <c r="J46" s="2">
        <f>(1-$B$3)*J45+I46</f>
        <v/>
      </c>
      <c r="K46" s="2">
        <f>E46+J46</f>
        <v/>
      </c>
      <c r="L46" s="2">
        <f>EXP(G46+$B$2*LN(K46))</f>
        <v/>
      </c>
      <c r="M46" s="2">
        <f>L46-H46</f>
        <v/>
      </c>
      <c r="N46" s="9">
        <f>M46/H46*100</f>
        <v/>
      </c>
    </row>
    <row r="47">
      <c r="A47" t="n">
        <v>2013</v>
      </c>
      <c r="B47" s="2">
        <f>PWT!B16</f>
        <v/>
      </c>
      <c r="C47" s="2">
        <f>WEO_Data!B16</f>
        <v/>
      </c>
      <c r="D47" s="3">
        <f>B47/C47</f>
        <v/>
      </c>
      <c r="E47" s="2">
        <f>B47</f>
        <v/>
      </c>
      <c r="F47" s="2">
        <f>C47</f>
        <v/>
      </c>
      <c r="G47" s="3">
        <f>L17</f>
        <v/>
      </c>
      <c r="H47" s="2">
        <f>EXP(G47+$B$2*LN(E47))</f>
        <v/>
      </c>
      <c r="I47" s="2">
        <f>Investment!C15</f>
        <v/>
      </c>
      <c r="J47" s="2">
        <f>(1-$B$3)*J46+I47</f>
        <v/>
      </c>
      <c r="K47" s="2">
        <f>E47+J47</f>
        <v/>
      </c>
      <c r="L47" s="2">
        <f>EXP(G47+$B$2*LN(K47))</f>
        <v/>
      </c>
      <c r="M47" s="2">
        <f>L47-H47</f>
        <v/>
      </c>
      <c r="N47" s="9">
        <f>M47/H47*100</f>
        <v/>
      </c>
    </row>
    <row r="48">
      <c r="A48" t="n">
        <v>2014</v>
      </c>
      <c r="B48" s="2">
        <f>PWT!B17</f>
        <v/>
      </c>
      <c r="C48" s="2">
        <f>WEO_Data!B17</f>
        <v/>
      </c>
      <c r="D48" s="3">
        <f>B48/C48</f>
        <v/>
      </c>
      <c r="E48" s="2">
        <f>B48</f>
        <v/>
      </c>
      <c r="F48" s="2">
        <f>C48</f>
        <v/>
      </c>
      <c r="G48" s="3">
        <f>L18</f>
        <v/>
      </c>
      <c r="H48" s="2">
        <f>EXP(G48+$B$2*LN(E48))</f>
        <v/>
      </c>
      <c r="I48" s="2">
        <f>Investment!C16</f>
        <v/>
      </c>
      <c r="J48" s="2">
        <f>(1-$B$3)*J47+I48</f>
        <v/>
      </c>
      <c r="K48" s="2">
        <f>E48+J48</f>
        <v/>
      </c>
      <c r="L48" s="2">
        <f>EXP(G48+$B$2*LN(K48))</f>
        <v/>
      </c>
      <c r="M48" s="2">
        <f>L48-H48</f>
        <v/>
      </c>
      <c r="N48" s="9">
        <f>M48/H48*100</f>
        <v/>
      </c>
    </row>
    <row r="49">
      <c r="A49" t="n">
        <v>2015</v>
      </c>
      <c r="B49" s="2">
        <f>PWT!B18</f>
        <v/>
      </c>
      <c r="C49" s="2">
        <f>WEO_Data!B18</f>
        <v/>
      </c>
      <c r="D49" s="3">
        <f>B49/C49</f>
        <v/>
      </c>
      <c r="E49" s="2">
        <f>B49</f>
        <v/>
      </c>
      <c r="F49" s="2">
        <f>C49</f>
        <v/>
      </c>
      <c r="G49" s="3">
        <f>L19</f>
        <v/>
      </c>
      <c r="H49" s="2">
        <f>EXP(G49+$B$2*LN(E49))</f>
        <v/>
      </c>
      <c r="I49" s="2">
        <f>Investment!C17</f>
        <v/>
      </c>
      <c r="J49" s="2">
        <f>(1-$B$3)*J48+I49</f>
        <v/>
      </c>
      <c r="K49" s="2">
        <f>E49+J49</f>
        <v/>
      </c>
      <c r="L49" s="2">
        <f>EXP(G49+$B$2*LN(K49))</f>
        <v/>
      </c>
      <c r="M49" s="2">
        <f>L49-H49</f>
        <v/>
      </c>
      <c r="N49" s="9">
        <f>M49/H49*100</f>
        <v/>
      </c>
    </row>
    <row r="50">
      <c r="A50" t="n">
        <v>2016</v>
      </c>
      <c r="B50" s="2">
        <f>PWT!B19</f>
        <v/>
      </c>
      <c r="C50" s="2">
        <f>WEO_Data!B19</f>
        <v/>
      </c>
      <c r="D50" s="3">
        <f>B50/C50</f>
        <v/>
      </c>
      <c r="E50" s="2">
        <f>B50</f>
        <v/>
      </c>
      <c r="F50" s="2">
        <f>C50</f>
        <v/>
      </c>
      <c r="G50" s="3">
        <f>L20</f>
        <v/>
      </c>
      <c r="H50" s="2">
        <f>EXP(G50+$B$2*LN(E50))</f>
        <v/>
      </c>
      <c r="I50" s="2">
        <f>Investment!C18</f>
        <v/>
      </c>
      <c r="J50" s="2">
        <f>(1-$B$3)*J49+I50</f>
        <v/>
      </c>
      <c r="K50" s="2">
        <f>E50+J50</f>
        <v/>
      </c>
      <c r="L50" s="2">
        <f>EXP(G50+$B$2*LN(K50))</f>
        <v/>
      </c>
      <c r="M50" s="2">
        <f>L50-H50</f>
        <v/>
      </c>
      <c r="N50" s="9">
        <f>M50/H50*100</f>
        <v/>
      </c>
    </row>
    <row r="51">
      <c r="A51" t="n">
        <v>2017</v>
      </c>
      <c r="B51" s="2">
        <f>PWT!B20</f>
        <v/>
      </c>
      <c r="C51" s="2">
        <f>WEO_Data!B20</f>
        <v/>
      </c>
      <c r="D51" s="3">
        <f>B51/C51</f>
        <v/>
      </c>
      <c r="E51" s="2">
        <f>B51</f>
        <v/>
      </c>
      <c r="F51" s="2">
        <f>C51</f>
        <v/>
      </c>
      <c r="G51" s="3">
        <f>L21</f>
        <v/>
      </c>
      <c r="H51" s="2">
        <f>EXP(G51+$B$2*LN(E51))</f>
        <v/>
      </c>
      <c r="I51" s="2">
        <f>Investment!C19</f>
        <v/>
      </c>
      <c r="J51" s="2">
        <f>(1-$B$3)*J50+I51</f>
        <v/>
      </c>
      <c r="K51" s="2">
        <f>E51+J51</f>
        <v/>
      </c>
      <c r="L51" s="2">
        <f>EXP(G51+$B$2*LN(K51))</f>
        <v/>
      </c>
      <c r="M51" s="2">
        <f>L51-H51</f>
        <v/>
      </c>
      <c r="N51" s="9">
        <f>M51/H51*100</f>
        <v/>
      </c>
    </row>
    <row r="52">
      <c r="A52" t="n">
        <v>2018</v>
      </c>
      <c r="B52" s="2">
        <f>PWT!B21</f>
        <v/>
      </c>
      <c r="C52" s="2">
        <f>WEO_Data!B21</f>
        <v/>
      </c>
      <c r="D52" s="3">
        <f>B52/C52</f>
        <v/>
      </c>
      <c r="E52" s="2">
        <f>B52</f>
        <v/>
      </c>
      <c r="F52" s="2">
        <f>C52</f>
        <v/>
      </c>
      <c r="G52" s="3">
        <f>L22</f>
        <v/>
      </c>
      <c r="H52" s="2">
        <f>EXP(G52+$B$2*LN(E52))</f>
        <v/>
      </c>
      <c r="I52" s="2">
        <f>Investment!C20</f>
        <v/>
      </c>
      <c r="J52" s="2">
        <f>(1-$B$3)*J51+I52</f>
        <v/>
      </c>
      <c r="K52" s="2">
        <f>E52+J52</f>
        <v/>
      </c>
      <c r="L52" s="2">
        <f>EXP(G52+$B$2*LN(K52))</f>
        <v/>
      </c>
      <c r="M52" s="2">
        <f>L52-H52</f>
        <v/>
      </c>
      <c r="N52" s="9">
        <f>M52/H52*100</f>
        <v/>
      </c>
    </row>
    <row r="53">
      <c r="A53" t="n">
        <v>2019</v>
      </c>
      <c r="B53" s="2">
        <f>PWT!B22</f>
        <v/>
      </c>
      <c r="C53" s="2">
        <f>WEO_Data!B22</f>
        <v/>
      </c>
      <c r="D53" s="3">
        <f>B53/C53</f>
        <v/>
      </c>
      <c r="E53" s="2">
        <f>B53</f>
        <v/>
      </c>
      <c r="F53" s="2">
        <f>C53</f>
        <v/>
      </c>
      <c r="G53" s="3">
        <f>L23</f>
        <v/>
      </c>
      <c r="H53" s="2">
        <f>EXP(G53+$B$2*LN(E53))</f>
        <v/>
      </c>
      <c r="I53" s="2">
        <f>Investment!C21</f>
        <v/>
      </c>
      <c r="J53" s="2">
        <f>(1-$B$3)*J52+I53</f>
        <v/>
      </c>
      <c r="K53" s="2">
        <f>E53+J53</f>
        <v/>
      </c>
      <c r="L53" s="2">
        <f>EXP(G53+$B$2*LN(K53))</f>
        <v/>
      </c>
      <c r="M53" s="2">
        <f>L53-H53</f>
        <v/>
      </c>
      <c r="N53" s="9">
        <f>M53/H53*100</f>
        <v/>
      </c>
    </row>
    <row r="54">
      <c r="A54" t="n">
        <v>2020</v>
      </c>
      <c r="C54" s="2">
        <f>WEO_Data!B23</f>
        <v/>
      </c>
      <c r="D54" s="3">
        <f>E54/F54</f>
        <v/>
      </c>
      <c r="E54" s="2">
        <f>$B$31*F54</f>
        <v/>
      </c>
      <c r="F54" s="2">
        <f>C54</f>
        <v/>
      </c>
      <c r="G54" s="3">
        <f>L24</f>
        <v/>
      </c>
      <c r="H54" s="2">
        <f>EXP(G54+$B$2*LN(E54))</f>
        <v/>
      </c>
      <c r="I54" s="2">
        <f>Investment!C22</f>
        <v/>
      </c>
      <c r="J54" s="2">
        <f>(1-$B$3)*J53+I54</f>
        <v/>
      </c>
      <c r="K54" s="2">
        <f>E54+J54</f>
        <v/>
      </c>
      <c r="L54" s="2">
        <f>EXP(G54+$B$2*LN(K54))</f>
        <v/>
      </c>
      <c r="M54" s="2">
        <f>L54-H54</f>
        <v/>
      </c>
      <c r="N54" s="9">
        <f>M54/H54*100</f>
        <v/>
      </c>
    </row>
    <row r="55">
      <c r="A55" t="n">
        <v>2021</v>
      </c>
      <c r="C55" s="2">
        <f>WEO_Data!B24</f>
        <v/>
      </c>
      <c r="D55" s="3">
        <f>E55/F55</f>
        <v/>
      </c>
      <c r="E55" s="2">
        <f>$B$31*F55</f>
        <v/>
      </c>
      <c r="F55" s="2">
        <f>C55</f>
        <v/>
      </c>
      <c r="G55" s="3">
        <f>L25</f>
        <v/>
      </c>
      <c r="H55" s="2">
        <f>EXP(G55+$B$2*LN(E55))</f>
        <v/>
      </c>
      <c r="I55" s="2">
        <f>Investment!C23</f>
        <v/>
      </c>
      <c r="J55" s="2">
        <f>(1-$B$3)*J54+I55</f>
        <v/>
      </c>
      <c r="K55" s="2">
        <f>E55+J55</f>
        <v/>
      </c>
      <c r="L55" s="2">
        <f>EXP(G55+$B$2*LN(K55))</f>
        <v/>
      </c>
      <c r="M55" s="2">
        <f>L55-H55</f>
        <v/>
      </c>
      <c r="N55" s="9">
        <f>M55/H55*100</f>
        <v/>
      </c>
    </row>
    <row r="56">
      <c r="A56" t="n">
        <v>2022</v>
      </c>
      <c r="C56" s="2">
        <f>WEO_Data!B25</f>
        <v/>
      </c>
      <c r="D56" s="3">
        <f>E56/F56</f>
        <v/>
      </c>
      <c r="E56" s="2">
        <f>$B$31*F56</f>
        <v/>
      </c>
      <c r="F56" s="2">
        <f>C56</f>
        <v/>
      </c>
      <c r="G56" s="3">
        <f>L26</f>
        <v/>
      </c>
      <c r="H56" s="2">
        <f>EXP(G56+$B$2*LN(E56))</f>
        <v/>
      </c>
      <c r="I56" s="2">
        <f>Investment!C24</f>
        <v/>
      </c>
      <c r="J56" s="2">
        <f>(1-$B$3)*J55+I56</f>
        <v/>
      </c>
      <c r="K56" s="2">
        <f>E56+J56</f>
        <v/>
      </c>
      <c r="L56" s="2">
        <f>EXP(G56+$B$2*LN(K56))</f>
        <v/>
      </c>
      <c r="M56" s="2">
        <f>L56-H56</f>
        <v/>
      </c>
      <c r="N56" s="9">
        <f>M56/H56*100</f>
        <v/>
      </c>
    </row>
    <row r="57">
      <c r="A57" t="n">
        <v>2023</v>
      </c>
      <c r="C57" s="2">
        <f>WEO_Data!B26</f>
        <v/>
      </c>
      <c r="D57" s="3">
        <f>E57/F57</f>
        <v/>
      </c>
      <c r="E57" s="2">
        <f>$B$31*F57</f>
        <v/>
      </c>
      <c r="F57" s="2">
        <f>C57</f>
        <v/>
      </c>
      <c r="G57" s="3">
        <f>L27</f>
        <v/>
      </c>
      <c r="H57" s="2">
        <f>EXP(G57+$B$2*LN(E57))</f>
        <v/>
      </c>
      <c r="I57" s="2">
        <f>Investment!C25</f>
        <v/>
      </c>
      <c r="J57" s="2">
        <f>(1-$B$3)*J56+I57</f>
        <v/>
      </c>
      <c r="K57" s="2">
        <f>E57+J57</f>
        <v/>
      </c>
      <c r="L57" s="2">
        <f>EXP(G57+$B$2*LN(K57))</f>
        <v/>
      </c>
      <c r="M57" s="2">
        <f>L57-H57</f>
        <v/>
      </c>
      <c r="N57" s="9">
        <f>M57/H57*100</f>
        <v/>
      </c>
    </row>
    <row r="58">
      <c r="A58" t="n">
        <v>2024</v>
      </c>
      <c r="C58" s="2">
        <f>WEO_Data!B27</f>
        <v/>
      </c>
      <c r="E58" s="2">
        <f>$B$31*F58</f>
        <v/>
      </c>
      <c r="F58" s="2">
        <f>C58</f>
        <v/>
      </c>
      <c r="G58" s="3">
        <f>TREND($G$36:$G$57,$A$36:$A$57,A58)</f>
        <v/>
      </c>
      <c r="H58" s="2">
        <f>EXP(G58+$B$2*LN(E58))</f>
        <v/>
      </c>
      <c r="I58" s="2">
        <f>Investment!C26</f>
        <v/>
      </c>
      <c r="J58" s="2">
        <f>(1-$B$3)*J57+I58</f>
        <v/>
      </c>
      <c r="K58" s="2">
        <f>E58+J58</f>
        <v/>
      </c>
      <c r="L58" s="2">
        <f>EXP(G58+$B$2*LN(K58))</f>
        <v/>
      </c>
      <c r="M58" s="2">
        <f>L58-H58</f>
        <v/>
      </c>
      <c r="N58" s="9">
        <f>M58/H58*100</f>
        <v/>
      </c>
    </row>
    <row r="59">
      <c r="A59" t="n">
        <v>2025</v>
      </c>
      <c r="C59" s="2">
        <f>WEO_Data!B28</f>
        <v/>
      </c>
      <c r="E59" s="2">
        <f>$B$31*F59</f>
        <v/>
      </c>
      <c r="F59" s="2">
        <f>C59</f>
        <v/>
      </c>
      <c r="G59" s="3">
        <f>TREND($G$36:$G$57,$A$36:$A$57,A59)</f>
        <v/>
      </c>
      <c r="H59" s="2">
        <f>EXP(G59+$B$2*LN(E59))</f>
        <v/>
      </c>
      <c r="I59" s="2">
        <f>Investment!C27</f>
        <v/>
      </c>
      <c r="J59" s="2">
        <f>(1-$B$3)*J58+I59</f>
        <v/>
      </c>
      <c r="K59" s="2">
        <f>E59+J59</f>
        <v/>
      </c>
      <c r="L59" s="2">
        <f>EXP(G59+$B$2*LN(K59))</f>
        <v/>
      </c>
      <c r="M59" s="2">
        <f>L59-H59</f>
        <v/>
      </c>
      <c r="N59" s="9">
        <f>M59/H59*100</f>
        <v/>
      </c>
    </row>
    <row r="60">
      <c r="A60" t="n">
        <v>2026</v>
      </c>
      <c r="C60" s="2">
        <f>WEO_Data!B29</f>
        <v/>
      </c>
      <c r="E60" s="2">
        <f>$B$31*F60</f>
        <v/>
      </c>
      <c r="F60" s="2">
        <f>C60</f>
        <v/>
      </c>
      <c r="G60" s="3">
        <f>TREND($G$36:$G$57,$A$36:$A$57,A60)</f>
        <v/>
      </c>
      <c r="H60" s="2">
        <f>EXP(G60+$B$2*LN(E60))</f>
        <v/>
      </c>
      <c r="I60" s="2">
        <f>Investment!C28</f>
        <v/>
      </c>
      <c r="J60" s="2">
        <f>(1-$B$3)*J59+I60</f>
        <v/>
      </c>
      <c r="K60" s="2">
        <f>E60+J60</f>
        <v/>
      </c>
      <c r="L60" s="2">
        <f>EXP(G60+$B$2*LN(K60))</f>
        <v/>
      </c>
      <c r="M60" s="2">
        <f>L60-H60</f>
        <v/>
      </c>
      <c r="N60" s="9">
        <f>M60/H60*100</f>
        <v/>
      </c>
    </row>
    <row r="61">
      <c r="A61" t="n">
        <v>2027</v>
      </c>
      <c r="C61" s="2">
        <f>WEO_Data!B30</f>
        <v/>
      </c>
      <c r="E61" s="2">
        <f>$B$31*F61</f>
        <v/>
      </c>
      <c r="F61" s="2">
        <f>C61</f>
        <v/>
      </c>
      <c r="G61" s="3">
        <f>TREND($G$36:$G$57,$A$36:$A$57,A61)</f>
        <v/>
      </c>
      <c r="H61" s="2">
        <f>EXP(G61+$B$2*LN(E61))</f>
        <v/>
      </c>
      <c r="I61" s="2">
        <f>Investment!C29</f>
        <v/>
      </c>
      <c r="J61" s="2">
        <f>(1-$B$3)*J60+I61</f>
        <v/>
      </c>
      <c r="K61" s="2">
        <f>E61+J61</f>
        <v/>
      </c>
      <c r="L61" s="2">
        <f>EXP(G61+$B$2*LN(K61))</f>
        <v/>
      </c>
      <c r="M61" s="2">
        <f>L61-H61</f>
        <v/>
      </c>
      <c r="N61" s="9">
        <f>M61/H61*100</f>
        <v/>
      </c>
    </row>
    <row r="62">
      <c r="A62" t="n">
        <v>2028</v>
      </c>
      <c r="C62" s="2">
        <f>WEO_Data!B31</f>
        <v/>
      </c>
      <c r="E62" s="2">
        <f>$B$31*F62</f>
        <v/>
      </c>
      <c r="F62" s="2">
        <f>C62</f>
        <v/>
      </c>
      <c r="G62" s="3">
        <f>TREND($G$36:$G$57,$A$36:$A$57,A62)</f>
        <v/>
      </c>
      <c r="H62" s="2">
        <f>EXP(G62+$B$2*LN(E62))</f>
        <v/>
      </c>
      <c r="I62" s="2">
        <f>Investment!C30</f>
        <v/>
      </c>
      <c r="J62" s="2">
        <f>(1-$B$3)*J61+I62</f>
        <v/>
      </c>
      <c r="K62" s="2">
        <f>E62+J62</f>
        <v/>
      </c>
      <c r="L62" s="2">
        <f>EXP(G62+$B$2*LN(K62))</f>
        <v/>
      </c>
      <c r="M62" s="2">
        <f>L62-H62</f>
        <v/>
      </c>
      <c r="N62" s="9">
        <f>M62/H62*100</f>
        <v/>
      </c>
    </row>
    <row r="63">
      <c r="A63" t="n">
        <v>2029</v>
      </c>
      <c r="C63" s="2">
        <f>WEO_Data!B32</f>
        <v/>
      </c>
      <c r="E63" s="2">
        <f>$B$31*F63</f>
        <v/>
      </c>
      <c r="F63" s="2">
        <f>C63</f>
        <v/>
      </c>
      <c r="G63" s="3">
        <f>TREND($G$36:$G$57,$A$36:$A$57,A63)</f>
        <v/>
      </c>
      <c r="H63" s="2">
        <f>EXP(G63+$B$2*LN(E63))</f>
        <v/>
      </c>
      <c r="I63" s="2">
        <f>Investment!C31</f>
        <v/>
      </c>
      <c r="J63" s="2">
        <f>(1-$B$3)*J62+I63</f>
        <v/>
      </c>
      <c r="K63" s="2">
        <f>E63+J63</f>
        <v/>
      </c>
      <c r="L63" s="2">
        <f>EXP(G63+$B$2*LN(K63))</f>
        <v/>
      </c>
      <c r="M63" s="2">
        <f>L63-H63</f>
        <v/>
      </c>
      <c r="N63" s="9">
        <f>M63/H63*100</f>
        <v/>
      </c>
    </row>
    <row r="64">
      <c r="A64" t="n">
        <v>2030</v>
      </c>
      <c r="C64" s="2">
        <f>WEO_Data!B33</f>
        <v/>
      </c>
      <c r="E64" s="2">
        <f>$B$31*F64</f>
        <v/>
      </c>
      <c r="F64" s="2">
        <f>C64</f>
        <v/>
      </c>
      <c r="G64" s="3">
        <f>TREND($G$36:$G$57,$A$36:$A$57,A64)</f>
        <v/>
      </c>
      <c r="H64" s="2">
        <f>EXP(G64+$B$2*LN(E64))</f>
        <v/>
      </c>
      <c r="I64" s="2">
        <f>Investment!C32</f>
        <v/>
      </c>
      <c r="J64" s="2">
        <f>(1-$B$3)*J63+I64</f>
        <v/>
      </c>
      <c r="K64" s="2">
        <f>E64+J64</f>
        <v/>
      </c>
      <c r="L64" s="2">
        <f>EXP(G64+$B$2*LN(K64))</f>
        <v/>
      </c>
      <c r="M64" s="2">
        <f>L64-H64</f>
        <v/>
      </c>
      <c r="N64" s="9">
        <f>M64/H64*100</f>
        <v/>
      </c>
    </row>
    <row r="65">
      <c r="A65" t="n">
        <v>2031</v>
      </c>
      <c r="C65" s="2">
        <f>WEO_Data!B34</f>
        <v/>
      </c>
      <c r="E65" s="2">
        <f>$B$31*F65</f>
        <v/>
      </c>
      <c r="F65" s="2">
        <f>C65</f>
        <v/>
      </c>
      <c r="G65" s="3">
        <f>TREND($G$36:$G$57,$A$36:$A$57,A65)</f>
        <v/>
      </c>
      <c r="H65" s="2">
        <f>EXP(G65+$B$2*LN(E65))</f>
        <v/>
      </c>
      <c r="I65" s="2">
        <f>Investment!C33</f>
        <v/>
      </c>
      <c r="J65" s="2">
        <f>(1-$B$3)*J64+I65</f>
        <v/>
      </c>
      <c r="K65" s="2">
        <f>E65+J65</f>
        <v/>
      </c>
      <c r="L65" s="2">
        <f>EXP(G65+$B$2*LN(K65))</f>
        <v/>
      </c>
      <c r="M65" s="2">
        <f>L65-H65</f>
        <v/>
      </c>
      <c r="N65" s="9">
        <f>M65/H65*100</f>
        <v/>
      </c>
    </row>
    <row r="66">
      <c r="A66" t="n">
        <v>2032</v>
      </c>
      <c r="C66" s="2">
        <f>WEO_Data!B35</f>
        <v/>
      </c>
      <c r="E66" s="2">
        <f>$B$31*F66</f>
        <v/>
      </c>
      <c r="F66" s="2">
        <f>C66</f>
        <v/>
      </c>
      <c r="G66" s="3">
        <f>TREND($G$36:$G$57,$A$36:$A$57,A66)</f>
        <v/>
      </c>
      <c r="H66" s="2">
        <f>EXP(G66+$B$2*LN(E66))</f>
        <v/>
      </c>
      <c r="I66" s="2">
        <f>Investment!C34</f>
        <v/>
      </c>
      <c r="J66" s="2">
        <f>(1-$B$3)*J65+I66</f>
        <v/>
      </c>
      <c r="K66" s="2">
        <f>E66+J66</f>
        <v/>
      </c>
      <c r="L66" s="2">
        <f>EXP(G66+$B$2*LN(K66))</f>
        <v/>
      </c>
      <c r="M66" s="2">
        <f>L66-H66</f>
        <v/>
      </c>
      <c r="N66" s="9">
        <f>M66/H66*100</f>
        <v/>
      </c>
    </row>
    <row r="67">
      <c r="A67" t="n">
        <v>2033</v>
      </c>
      <c r="C67" s="2">
        <f>WEO_Data!B36</f>
        <v/>
      </c>
      <c r="E67" s="2">
        <f>$B$31*F67</f>
        <v/>
      </c>
      <c r="F67" s="2">
        <f>C67</f>
        <v/>
      </c>
      <c r="G67" s="3">
        <f>TREND($G$36:$G$57,$A$36:$A$57,A67)</f>
        <v/>
      </c>
      <c r="H67" s="2">
        <f>EXP(G67+$B$2*LN(E67))</f>
        <v/>
      </c>
      <c r="I67" s="2">
        <f>Investment!C35</f>
        <v/>
      </c>
      <c r="J67" s="2">
        <f>(1-$B$3)*J66+I67</f>
        <v/>
      </c>
      <c r="K67" s="2">
        <f>E67+J67</f>
        <v/>
      </c>
      <c r="L67" s="2">
        <f>EXP(G67+$B$2*LN(K67))</f>
        <v/>
      </c>
      <c r="M67" s="2">
        <f>L67-H67</f>
        <v/>
      </c>
      <c r="N67" s="9">
        <f>M67/H67*100</f>
        <v/>
      </c>
    </row>
    <row r="68">
      <c r="A68" t="n">
        <v>2034</v>
      </c>
      <c r="C68" s="2">
        <f>WEO_Data!B37</f>
        <v/>
      </c>
      <c r="E68" s="2">
        <f>$B$31*F68</f>
        <v/>
      </c>
      <c r="F68" s="2">
        <f>C68</f>
        <v/>
      </c>
      <c r="G68" s="3">
        <f>TREND($G$36:$G$57,$A$36:$A$57,A68)</f>
        <v/>
      </c>
      <c r="H68" s="2">
        <f>EXP(G68+$B$2*LN(E68))</f>
        <v/>
      </c>
      <c r="I68" s="2">
        <f>Investment!C36</f>
        <v/>
      </c>
      <c r="J68" s="2">
        <f>(1-$B$3)*J67+I68</f>
        <v/>
      </c>
      <c r="K68" s="2">
        <f>E68+J68</f>
        <v/>
      </c>
      <c r="L68" s="2">
        <f>EXP(G68+$B$2*LN(K68))</f>
        <v/>
      </c>
      <c r="M68" s="2">
        <f>L68-H68</f>
        <v/>
      </c>
      <c r="N68" s="9">
        <f>M68/H68*100</f>
        <v/>
      </c>
    </row>
    <row r="69">
      <c r="A69" t="n">
        <v>2035</v>
      </c>
      <c r="C69" s="2">
        <f>WEO_Data!B38</f>
        <v/>
      </c>
      <c r="E69" s="2">
        <f>$B$31*F69</f>
        <v/>
      </c>
      <c r="F69" s="2">
        <f>C69</f>
        <v/>
      </c>
      <c r="G69" s="3">
        <f>TREND($G$36:$G$57,$A$36:$A$57,A69)</f>
        <v/>
      </c>
      <c r="H69" s="2">
        <f>EXP(G69+$B$2*LN(E69))</f>
        <v/>
      </c>
      <c r="I69" s="2">
        <f>Investment!C37</f>
        <v/>
      </c>
      <c r="J69" s="2">
        <f>(1-$B$3)*J68+I69</f>
        <v/>
      </c>
      <c r="K69" s="2">
        <f>E69+J69</f>
        <v/>
      </c>
      <c r="L69" s="2">
        <f>EXP(G69+$B$2*LN(K69))</f>
        <v/>
      </c>
      <c r="M69" s="2">
        <f>L69-H69</f>
        <v/>
      </c>
      <c r="N69" s="9">
        <f>M69/H69*100</f>
        <v/>
      </c>
    </row>
    <row r="70">
      <c r="A70" t="n">
        <v>2036</v>
      </c>
      <c r="C70" s="2">
        <f>WEO_Data!B39</f>
        <v/>
      </c>
      <c r="E70" s="2">
        <f>$B$31*F70</f>
        <v/>
      </c>
      <c r="F70" s="2">
        <f>C70</f>
        <v/>
      </c>
      <c r="G70" s="3">
        <f>TREND($G$36:$G$57,$A$36:$A$57,A70)</f>
        <v/>
      </c>
      <c r="H70" s="2">
        <f>EXP(G70+$B$2*LN(E70))</f>
        <v/>
      </c>
      <c r="I70" s="2">
        <f>Investment!C38</f>
        <v/>
      </c>
      <c r="J70" s="2">
        <f>(1-$B$3)*J69+I70</f>
        <v/>
      </c>
      <c r="K70" s="2">
        <f>E70+J70</f>
        <v/>
      </c>
      <c r="L70" s="2">
        <f>EXP(G70+$B$2*LN(K70))</f>
        <v/>
      </c>
      <c r="M70" s="2">
        <f>L70-H70</f>
        <v/>
      </c>
      <c r="N70" s="9">
        <f>M70/H70*100</f>
        <v/>
      </c>
    </row>
    <row r="71">
      <c r="A71" t="n">
        <v>2037</v>
      </c>
      <c r="C71" s="2">
        <f>WEO_Data!B40</f>
        <v/>
      </c>
      <c r="E71" s="2">
        <f>$B$31*F71</f>
        <v/>
      </c>
      <c r="F71" s="2">
        <f>C71</f>
        <v/>
      </c>
      <c r="G71" s="3">
        <f>TREND($G$36:$G$57,$A$36:$A$57,A71)</f>
        <v/>
      </c>
      <c r="H71" s="2">
        <f>EXP(G71+$B$2*LN(E71))</f>
        <v/>
      </c>
      <c r="I71" s="2">
        <f>Investment!C39</f>
        <v/>
      </c>
      <c r="J71" s="2">
        <f>(1-$B$3)*J70+I71</f>
        <v/>
      </c>
      <c r="K71" s="2">
        <f>E71+J71</f>
        <v/>
      </c>
      <c r="L71" s="2">
        <f>EXP(G71+$B$2*LN(K71))</f>
        <v/>
      </c>
      <c r="M71" s="2">
        <f>L71-H71</f>
        <v/>
      </c>
      <c r="N71" s="9">
        <f>M71/H71*100</f>
        <v/>
      </c>
    </row>
    <row r="72">
      <c r="A72" t="n">
        <v>2038</v>
      </c>
      <c r="C72" s="2">
        <f>WEO_Data!B41</f>
        <v/>
      </c>
      <c r="E72" s="2">
        <f>$B$31*F72</f>
        <v/>
      </c>
      <c r="F72" s="2">
        <f>C72</f>
        <v/>
      </c>
      <c r="G72" s="3">
        <f>TREND($G$36:$G$57,$A$36:$A$57,A72)</f>
        <v/>
      </c>
      <c r="H72" s="2">
        <f>EXP(G72+$B$2*LN(E72))</f>
        <v/>
      </c>
      <c r="I72" s="2">
        <f>Investment!C40</f>
        <v/>
      </c>
      <c r="J72" s="2">
        <f>(1-$B$3)*J71+I72</f>
        <v/>
      </c>
      <c r="K72" s="2">
        <f>E72+J72</f>
        <v/>
      </c>
      <c r="L72" s="2">
        <f>EXP(G72+$B$2*LN(K72))</f>
        <v/>
      </c>
      <c r="M72" s="2">
        <f>L72-H72</f>
        <v/>
      </c>
      <c r="N72" s="9">
        <f>M72/H72*100</f>
        <v/>
      </c>
    </row>
    <row r="73">
      <c r="A73" t="n">
        <v>2039</v>
      </c>
      <c r="C73" s="2">
        <f>WEO_Data!B42</f>
        <v/>
      </c>
      <c r="E73" s="2">
        <f>$B$31*F73</f>
        <v/>
      </c>
      <c r="F73" s="2">
        <f>C73</f>
        <v/>
      </c>
      <c r="G73" s="3">
        <f>TREND($G$36:$G$57,$A$36:$A$57,A73)</f>
        <v/>
      </c>
      <c r="H73" s="2">
        <f>EXP(G73+$B$2*LN(E73))</f>
        <v/>
      </c>
      <c r="I73" s="2">
        <f>Investment!C41</f>
        <v/>
      </c>
      <c r="J73" s="2">
        <f>(1-$B$3)*J72+I73</f>
        <v/>
      </c>
      <c r="K73" s="2">
        <f>E73+J73</f>
        <v/>
      </c>
      <c r="L73" s="2">
        <f>EXP(G73+$B$2*LN(K73))</f>
        <v/>
      </c>
      <c r="M73" s="2">
        <f>L73-H73</f>
        <v/>
      </c>
      <c r="N73" s="9">
        <f>M73/H73*100</f>
        <v/>
      </c>
    </row>
    <row r="74">
      <c r="A74" t="n">
        <v>2040</v>
      </c>
      <c r="C74" s="2">
        <f>WEO_Data!B43</f>
        <v/>
      </c>
      <c r="E74" s="2">
        <f>$B$31*F74</f>
        <v/>
      </c>
      <c r="F74" s="2">
        <f>C74</f>
        <v/>
      </c>
      <c r="G74" s="3">
        <f>TREND($G$36:$G$57,$A$36:$A$57,A74)</f>
        <v/>
      </c>
      <c r="H74" s="2">
        <f>EXP(G74+$B$2*LN(E74))</f>
        <v/>
      </c>
      <c r="I74" s="2">
        <f>Investment!C42</f>
        <v/>
      </c>
      <c r="J74" s="2">
        <f>(1-$B$3)*J73+I74</f>
        <v/>
      </c>
      <c r="K74" s="2">
        <f>E74+J74</f>
        <v/>
      </c>
      <c r="L74" s="2">
        <f>EXP(G74+$B$2*LN(K74))</f>
        <v/>
      </c>
      <c r="M74" s="2">
        <f>L74-H74</f>
        <v/>
      </c>
      <c r="N74" s="9">
        <f>M74/H74*100</f>
        <v/>
      </c>
    </row>
    <row r="75">
      <c r="A75" t="n">
        <v>2041</v>
      </c>
      <c r="C75" s="2">
        <f>WEO_Data!B44</f>
        <v/>
      </c>
      <c r="E75" s="2">
        <f>$B$31*F75</f>
        <v/>
      </c>
      <c r="F75" s="2">
        <f>C75</f>
        <v/>
      </c>
      <c r="G75" s="3">
        <f>TREND($G$36:$G$57,$A$36:$A$57,A75)</f>
        <v/>
      </c>
      <c r="H75" s="2">
        <f>EXP(G75+$B$2*LN(E75))</f>
        <v/>
      </c>
      <c r="I75" s="2">
        <f>Investment!C43</f>
        <v/>
      </c>
      <c r="J75" s="2">
        <f>(1-$B$3)*J74+I75</f>
        <v/>
      </c>
      <c r="K75" s="2">
        <f>E75+J75</f>
        <v/>
      </c>
      <c r="L75" s="2">
        <f>EXP(G75+$B$2*LN(K75))</f>
        <v/>
      </c>
      <c r="M75" s="2">
        <f>L75-H75</f>
        <v/>
      </c>
      <c r="N75" s="9">
        <f>M75/H75*100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2026-02-07T07:03:31Z</dcterms:created>
  <dcterms:modified xsi:type="dcterms:W3CDTF">2026-02-07T07:03:31Z</dcterms:modified>
</cp:coreProperties>
</file>