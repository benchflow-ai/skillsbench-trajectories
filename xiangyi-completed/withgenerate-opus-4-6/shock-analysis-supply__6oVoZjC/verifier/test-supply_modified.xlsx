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t="inlineStr">
        <is>
          <t>HP Filter</t>
        </is>
      </c>
    </row>
    <row r="2">
      <c r="A2" s="4" t="inlineStr">
        <is>
          <t>capital's share</t>
        </is>
      </c>
      <c r="B2" t="n">
        <v>0.35</v>
      </c>
      <c r="I2" s="5" t="n"/>
      <c r="K2" t="inlineStr">
        <is>
          <t>lambda=100 (annual data)</t>
        </is>
      </c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  <c r="K3" t="inlineStr">
        <is>
          <t>Solver: Min P5 by changing L6:L27</t>
        </is>
      </c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SUMPRODUCT(N6:N27,N6:N27)+100*SUMPRODUCT(M7:M26,M7:M26)</f>
        <v/>
      </c>
    </row>
    <row r="6">
      <c r="C6" t="n">
        <v>2002</v>
      </c>
      <c r="D6" s="19">
        <f>'PWT'!B14</f>
        <v/>
      </c>
      <c r="E6">
        <f>'WEO_Data'!C10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 t="n">
        <v>0</v>
      </c>
      <c r="N6" s="5">
        <f>K6-L6</f>
        <v/>
      </c>
    </row>
    <row r="7">
      <c r="C7" t="n">
        <v>2003</v>
      </c>
      <c r="D7" s="19">
        <f>'PWT'!B15</f>
        <v/>
      </c>
      <c r="E7">
        <f>'WEO_Data'!C11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'PWT'!B16</f>
        <v/>
      </c>
      <c r="E8">
        <f>'WEO_Data'!C12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'PWT'!B17</f>
        <v/>
      </c>
      <c r="E9">
        <f>'WEO_Data'!C13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'PWT'!B18</f>
        <v/>
      </c>
      <c r="E10">
        <f>'WEO_Data'!C14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'PWT'!B19</f>
        <v/>
      </c>
      <c r="E11">
        <f>'WEO_Data'!C15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'PWT'!B20</f>
        <v/>
      </c>
      <c r="E12">
        <f>'WEO_Data'!C16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'PWT'!B21</f>
        <v/>
      </c>
      <c r="E13">
        <f>'WEO_Data'!C17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'PWT'!B22</f>
        <v/>
      </c>
      <c r="E14">
        <f>'WEO_Data'!C18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'PWT'!B23</f>
        <v/>
      </c>
      <c r="E15">
        <f>'WEO_Data'!C19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'PWT'!B24</f>
        <v/>
      </c>
      <c r="E16">
        <f>'WEO_Data'!C20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'PWT'!B25</f>
        <v/>
      </c>
      <c r="E17">
        <f>'WEO_Data'!C21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'PWT'!B26</f>
        <v/>
      </c>
      <c r="E18">
        <f>'WEO_Data'!C22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'PWT'!B27</f>
        <v/>
      </c>
      <c r="E19">
        <f>'WEO_Data'!C23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'PWT'!B28</f>
        <v/>
      </c>
      <c r="E20">
        <f>'WEO_Data'!C24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'PWT'!B29</f>
        <v/>
      </c>
      <c r="E21">
        <f>'WEO_Data'!C25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'PWT'!B30</f>
        <v/>
      </c>
      <c r="E22">
        <f>'WEO_Data'!C26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'PWT'!B31</f>
        <v/>
      </c>
      <c r="E23">
        <f>'WEO_Data'!C27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'PWT'!B32</f>
        <v/>
      </c>
      <c r="E24">
        <f>'WEO_Data'!C28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'PWT'!B33</f>
        <v/>
      </c>
      <c r="E25">
        <f>'WEO_Data'!C29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'PWT'!B34</f>
        <v/>
      </c>
      <c r="E26">
        <f>'WEO_Data'!C30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'PWT'!B35</f>
        <v/>
      </c>
      <c r="E27">
        <f>'WEO_Data'!C31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>
        <v>0</v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'PWT'!B14/'WEO_Data'!C10</f>
        <v/>
      </c>
      <c r="E36" s="19">
        <f>'PWT'!B14</f>
        <v/>
      </c>
      <c r="F36">
        <f>'WEO_Data'!C10</f>
        <v/>
      </c>
      <c r="G36">
        <f>L6</f>
        <v/>
      </c>
      <c r="H36">
        <f>EXP(G36)*E36^$B$2</f>
        <v/>
      </c>
      <c r="I36" t="n">
        <v>0</v>
      </c>
      <c r="J36">
        <f>I36</f>
        <v/>
      </c>
      <c r="K36" s="19">
        <f>E36+J36</f>
        <v/>
      </c>
      <c r="L36">
        <f>EXP(G36)*K36^$B$2</f>
        <v/>
      </c>
      <c r="M36">
        <f>L36/H36-1</f>
        <v/>
      </c>
      <c r="N36">
        <f>F36*(1+M36)</f>
        <v/>
      </c>
    </row>
    <row r="37">
      <c r="C37" t="n">
        <v>2003</v>
      </c>
      <c r="D37">
        <f>'PWT'!B15/'WEO_Data'!C11</f>
        <v/>
      </c>
      <c r="E37" s="19">
        <f>'PWT'!B15</f>
        <v/>
      </c>
      <c r="F37">
        <f>'WEO_Data'!C11</f>
        <v/>
      </c>
      <c r="G37">
        <f>L7</f>
        <v/>
      </c>
      <c r="H37">
        <f>EXP(G37)*E37^$B$2</f>
        <v/>
      </c>
      <c r="I37" t="n">
        <v>0</v>
      </c>
      <c r="J37">
        <f>(1-$B$3)*J36+I37</f>
        <v/>
      </c>
      <c r="K37" s="19">
        <f>E37+J37</f>
        <v/>
      </c>
      <c r="L37">
        <f>EXP(G37)*K37^$B$2</f>
        <v/>
      </c>
      <c r="M37">
        <f>L37/H37-1</f>
        <v/>
      </c>
      <c r="N37">
        <f>F37*(1+M37)</f>
        <v/>
      </c>
      <c r="O37">
        <f>N37/N36-1</f>
        <v/>
      </c>
      <c r="P37">
        <f>F37/F36-1</f>
        <v/>
      </c>
    </row>
    <row r="38">
      <c r="C38" t="n">
        <v>2004</v>
      </c>
      <c r="D38">
        <f>'PWT'!B16/'WEO_Data'!C12</f>
        <v/>
      </c>
      <c r="E38" s="19">
        <f>'PWT'!B16</f>
        <v/>
      </c>
      <c r="F38">
        <f>'WEO_Data'!C12</f>
        <v/>
      </c>
      <c r="G38">
        <f>L8</f>
        <v/>
      </c>
      <c r="H38">
        <f>EXP(G38)*E38^$B$2</f>
        <v/>
      </c>
      <c r="I38" t="n">
        <v>0</v>
      </c>
      <c r="J38">
        <f>(1-$B$3)*J37+I38</f>
        <v/>
      </c>
      <c r="K38" s="19">
        <f>E38+J38</f>
        <v/>
      </c>
      <c r="L38">
        <f>EXP(G38)*K38^$B$2</f>
        <v/>
      </c>
      <c r="M38">
        <f>L38/H38-1</f>
        <v/>
      </c>
      <c r="N38">
        <f>F38*(1+M38)</f>
        <v/>
      </c>
      <c r="O38">
        <f>N38/N37-1</f>
        <v/>
      </c>
      <c r="P38">
        <f>F38/F37-1</f>
        <v/>
      </c>
    </row>
    <row r="39">
      <c r="C39" t="n">
        <v>2005</v>
      </c>
      <c r="D39">
        <f>'PWT'!B17/'WEO_Data'!C13</f>
        <v/>
      </c>
      <c r="E39" s="19">
        <f>'PWT'!B17</f>
        <v/>
      </c>
      <c r="F39">
        <f>'WEO_Data'!C13</f>
        <v/>
      </c>
      <c r="G39">
        <f>L9</f>
        <v/>
      </c>
      <c r="H39">
        <f>EXP(G39)*E39^$B$2</f>
        <v/>
      </c>
      <c r="I39" t="n">
        <v>0</v>
      </c>
      <c r="J39">
        <f>(1-$B$3)*J38+I39</f>
        <v/>
      </c>
      <c r="K39" s="19">
        <f>E39+J39</f>
        <v/>
      </c>
      <c r="L39">
        <f>EXP(G39)*K39^$B$2</f>
        <v/>
      </c>
      <c r="M39">
        <f>L39/H39-1</f>
        <v/>
      </c>
      <c r="N39">
        <f>F39*(1+M39)</f>
        <v/>
      </c>
      <c r="O39">
        <f>N39/N38-1</f>
        <v/>
      </c>
      <c r="P39">
        <f>F39/F38-1</f>
        <v/>
      </c>
    </row>
    <row r="40">
      <c r="C40" t="n">
        <v>2006</v>
      </c>
      <c r="D40">
        <f>'PWT'!B18/'WEO_Data'!C14</f>
        <v/>
      </c>
      <c r="E40" s="19">
        <f>'PWT'!B18</f>
        <v/>
      </c>
      <c r="F40">
        <f>'WEO_Data'!C14</f>
        <v/>
      </c>
      <c r="G40">
        <f>L10</f>
        <v/>
      </c>
      <c r="H40">
        <f>EXP(G40)*E40^$B$2</f>
        <v/>
      </c>
      <c r="I40" t="n">
        <v>0</v>
      </c>
      <c r="J40">
        <f>(1-$B$3)*J39+I40</f>
        <v/>
      </c>
      <c r="K40" s="19">
        <f>E40+J40</f>
        <v/>
      </c>
      <c r="L40">
        <f>EXP(G40)*K40^$B$2</f>
        <v/>
      </c>
      <c r="M40">
        <f>L40/H40-1</f>
        <v/>
      </c>
      <c r="N40">
        <f>F40*(1+M40)</f>
        <v/>
      </c>
      <c r="O40">
        <f>N40/N39-1</f>
        <v/>
      </c>
      <c r="P40">
        <f>F40/F39-1</f>
        <v/>
      </c>
    </row>
    <row r="41">
      <c r="C41" t="n">
        <v>2007</v>
      </c>
      <c r="D41">
        <f>'PWT'!B19/'WEO_Data'!C15</f>
        <v/>
      </c>
      <c r="E41" s="19">
        <f>'PWT'!B19</f>
        <v/>
      </c>
      <c r="F41">
        <f>'WEO_Data'!C15</f>
        <v/>
      </c>
      <c r="G41">
        <f>L11</f>
        <v/>
      </c>
      <c r="H41">
        <f>EXP(G41)*E41^$B$2</f>
        <v/>
      </c>
      <c r="I41" t="n">
        <v>0</v>
      </c>
      <c r="J41">
        <f>(1-$B$3)*J40+I41</f>
        <v/>
      </c>
      <c r="K41" s="19">
        <f>E41+J41</f>
        <v/>
      </c>
      <c r="L41">
        <f>EXP(G41)*K41^$B$2</f>
        <v/>
      </c>
      <c r="M41">
        <f>L41/H41-1</f>
        <v/>
      </c>
      <c r="N41">
        <f>F41*(1+M41)</f>
        <v/>
      </c>
      <c r="O41">
        <f>N41/N40-1</f>
        <v/>
      </c>
      <c r="P41">
        <f>F41/F40-1</f>
        <v/>
      </c>
    </row>
    <row r="42">
      <c r="C42" t="n">
        <v>2008</v>
      </c>
      <c r="D42">
        <f>'PWT'!B20/'WEO_Data'!C16</f>
        <v/>
      </c>
      <c r="E42" s="19">
        <f>'PWT'!B20</f>
        <v/>
      </c>
      <c r="F42">
        <f>'WEO_Data'!C16</f>
        <v/>
      </c>
      <c r="G42">
        <f>L12</f>
        <v/>
      </c>
      <c r="H42">
        <f>EXP(G42)*E42^$B$2</f>
        <v/>
      </c>
      <c r="I42" t="n">
        <v>0</v>
      </c>
      <c r="J42">
        <f>(1-$B$3)*J41+I42</f>
        <v/>
      </c>
      <c r="K42" s="19">
        <f>E42+J42</f>
        <v/>
      </c>
      <c r="L42">
        <f>EXP(G42)*K42^$B$2</f>
        <v/>
      </c>
      <c r="M42">
        <f>L42/H42-1</f>
        <v/>
      </c>
      <c r="N42">
        <f>F42*(1+M42)</f>
        <v/>
      </c>
      <c r="O42">
        <f>N42/N41-1</f>
        <v/>
      </c>
      <c r="P42">
        <f>F42/F41-1</f>
        <v/>
      </c>
    </row>
    <row r="43">
      <c r="C43" t="n">
        <v>2009</v>
      </c>
      <c r="D43">
        <f>'PWT'!B21/'WEO_Data'!C17</f>
        <v/>
      </c>
      <c r="E43" s="19">
        <f>'PWT'!B21</f>
        <v/>
      </c>
      <c r="F43">
        <f>'WEO_Data'!C17</f>
        <v/>
      </c>
      <c r="G43">
        <f>L13</f>
        <v/>
      </c>
      <c r="H43">
        <f>EXP(G43)*E43^$B$2</f>
        <v/>
      </c>
      <c r="I43" t="n">
        <v>0</v>
      </c>
      <c r="J43">
        <f>(1-$B$3)*J42+I43</f>
        <v/>
      </c>
      <c r="K43" s="19">
        <f>E43+J43</f>
        <v/>
      </c>
      <c r="L43">
        <f>EXP(G43)*K43^$B$2</f>
        <v/>
      </c>
      <c r="M43">
        <f>L43/H43-1</f>
        <v/>
      </c>
      <c r="N43">
        <f>F43*(1+M43)</f>
        <v/>
      </c>
      <c r="O43">
        <f>N43/N42-1</f>
        <v/>
      </c>
      <c r="P43">
        <f>F43/F42-1</f>
        <v/>
      </c>
    </row>
    <row r="44">
      <c r="C44" t="n">
        <v>2010</v>
      </c>
      <c r="D44">
        <f>'PWT'!B22/'WEO_Data'!C18</f>
        <v/>
      </c>
      <c r="E44" s="19">
        <f>'PWT'!B22</f>
        <v/>
      </c>
      <c r="F44">
        <f>'WEO_Data'!C18</f>
        <v/>
      </c>
      <c r="G44">
        <f>L14</f>
        <v/>
      </c>
      <c r="H44">
        <f>EXP(G44)*E44^$B$2</f>
        <v/>
      </c>
      <c r="I44" t="n">
        <v>0</v>
      </c>
      <c r="J44">
        <f>(1-$B$3)*J43+I44</f>
        <v/>
      </c>
      <c r="K44" s="19">
        <f>E44+J44</f>
        <v/>
      </c>
      <c r="L44">
        <f>EXP(G44)*K44^$B$2</f>
        <v/>
      </c>
      <c r="M44">
        <f>L44/H44-1</f>
        <v/>
      </c>
      <c r="N44">
        <f>F44*(1+M44)</f>
        <v/>
      </c>
      <c r="O44">
        <f>N44/N43-1</f>
        <v/>
      </c>
      <c r="P44">
        <f>F44/F43-1</f>
        <v/>
      </c>
    </row>
    <row r="45">
      <c r="C45" t="n">
        <v>2011</v>
      </c>
      <c r="D45">
        <f>'PWT'!B23/'WEO_Data'!C19</f>
        <v/>
      </c>
      <c r="E45" s="19">
        <f>'PWT'!B23</f>
        <v/>
      </c>
      <c r="F45">
        <f>'WEO_Data'!C19</f>
        <v/>
      </c>
      <c r="G45">
        <f>L15</f>
        <v/>
      </c>
      <c r="H45">
        <f>EXP(G45)*E45^$B$2</f>
        <v/>
      </c>
      <c r="I45" t="n">
        <v>0</v>
      </c>
      <c r="J45">
        <f>(1-$B$3)*J44+I45</f>
        <v/>
      </c>
      <c r="K45" s="19">
        <f>E45+J45</f>
        <v/>
      </c>
      <c r="L45">
        <f>EXP(G45)*K45^$B$2</f>
        <v/>
      </c>
      <c r="M45">
        <f>L45/H45-1</f>
        <v/>
      </c>
      <c r="N45">
        <f>F45*(1+M45)</f>
        <v/>
      </c>
      <c r="O45">
        <f>N45/N44-1</f>
        <v/>
      </c>
      <c r="P45">
        <f>F45/F44-1</f>
        <v/>
      </c>
    </row>
    <row r="46">
      <c r="C46" t="n">
        <v>2012</v>
      </c>
      <c r="D46">
        <f>'PWT'!B24/'WEO_Data'!C20</f>
        <v/>
      </c>
      <c r="E46" s="19">
        <f>'PWT'!B24</f>
        <v/>
      </c>
      <c r="F46">
        <f>'WEO_Data'!C20</f>
        <v/>
      </c>
      <c r="G46">
        <f>L16</f>
        <v/>
      </c>
      <c r="H46">
        <f>EXP(G46)*E46^$B$2</f>
        <v/>
      </c>
      <c r="I46" t="n">
        <v>0</v>
      </c>
      <c r="J46">
        <f>(1-$B$3)*J45+I46</f>
        <v/>
      </c>
      <c r="K46" s="19">
        <f>E46+J46</f>
        <v/>
      </c>
      <c r="L46">
        <f>EXP(G46)*K46^$B$2</f>
        <v/>
      </c>
      <c r="M46">
        <f>L46/H46-1</f>
        <v/>
      </c>
      <c r="N46">
        <f>F46*(1+M46)</f>
        <v/>
      </c>
      <c r="O46">
        <f>N46/N45-1</f>
        <v/>
      </c>
      <c r="P46">
        <f>F46/F45-1</f>
        <v/>
      </c>
    </row>
    <row r="47">
      <c r="C47" t="n">
        <v>2013</v>
      </c>
      <c r="D47">
        <f>'PWT'!B25/'WEO_Data'!C21</f>
        <v/>
      </c>
      <c r="E47" s="19">
        <f>'PWT'!B25</f>
        <v/>
      </c>
      <c r="F47">
        <f>'WEO_Data'!C21</f>
        <v/>
      </c>
      <c r="G47">
        <f>L17</f>
        <v/>
      </c>
      <c r="H47">
        <f>EXP(G47)*E47^$B$2</f>
        <v/>
      </c>
      <c r="I47" t="n">
        <v>0</v>
      </c>
      <c r="J47">
        <f>(1-$B$3)*J46+I47</f>
        <v/>
      </c>
      <c r="K47" s="19">
        <f>E47+J47</f>
        <v/>
      </c>
      <c r="L47">
        <f>EXP(G47)*K47^$B$2</f>
        <v/>
      </c>
      <c r="M47">
        <f>L47/H47-1</f>
        <v/>
      </c>
      <c r="N47">
        <f>F47*(1+M47)</f>
        <v/>
      </c>
      <c r="O47">
        <f>N47/N46-1</f>
        <v/>
      </c>
      <c r="P47">
        <f>F47/F46-1</f>
        <v/>
      </c>
    </row>
    <row r="48">
      <c r="C48" t="n">
        <v>2014</v>
      </c>
      <c r="D48">
        <f>'PWT'!B26/'WEO_Data'!C22</f>
        <v/>
      </c>
      <c r="E48" s="19">
        <f>'PWT'!B26</f>
        <v/>
      </c>
      <c r="F48">
        <f>'WEO_Data'!C22</f>
        <v/>
      </c>
      <c r="G48">
        <f>L18</f>
        <v/>
      </c>
      <c r="H48">
        <f>EXP(G48)*E48^$B$2</f>
        <v/>
      </c>
      <c r="I48" t="n">
        <v>0</v>
      </c>
      <c r="J48">
        <f>(1-$B$3)*J47+I48</f>
        <v/>
      </c>
      <c r="K48" s="19">
        <f>E48+J48</f>
        <v/>
      </c>
      <c r="L48">
        <f>EXP(G48)*K48^$B$2</f>
        <v/>
      </c>
      <c r="M48">
        <f>L48/H48-1</f>
        <v/>
      </c>
      <c r="N48">
        <f>F48*(1+M48)</f>
        <v/>
      </c>
      <c r="O48">
        <f>N48/N47-1</f>
        <v/>
      </c>
      <c r="P48">
        <f>F48/F47-1</f>
        <v/>
      </c>
    </row>
    <row r="49">
      <c r="C49" t="n">
        <v>2015</v>
      </c>
      <c r="D49">
        <f>'PWT'!B27/'WEO_Data'!C23</f>
        <v/>
      </c>
      <c r="E49" s="19">
        <f>'PWT'!B27</f>
        <v/>
      </c>
      <c r="F49">
        <f>'WEO_Data'!C23</f>
        <v/>
      </c>
      <c r="G49">
        <f>L19</f>
        <v/>
      </c>
      <c r="H49">
        <f>EXP(G49)*E49^$B$2</f>
        <v/>
      </c>
      <c r="I49" t="n">
        <v>0</v>
      </c>
      <c r="J49">
        <f>(1-$B$3)*J48+I49</f>
        <v/>
      </c>
      <c r="K49" s="19">
        <f>E49+J49</f>
        <v/>
      </c>
      <c r="L49">
        <f>EXP(G49)*K49^$B$2</f>
        <v/>
      </c>
      <c r="M49">
        <f>L49/H49-1</f>
        <v/>
      </c>
      <c r="N49">
        <f>F49*(1+M49)</f>
        <v/>
      </c>
      <c r="O49">
        <f>N49/N48-1</f>
        <v/>
      </c>
      <c r="P49">
        <f>F49/F48-1</f>
        <v/>
      </c>
    </row>
    <row r="50">
      <c r="C50" t="n">
        <v>2016</v>
      </c>
      <c r="D50">
        <f>'PWT'!B28/'WEO_Data'!C24</f>
        <v/>
      </c>
      <c r="E50" s="19">
        <f>'PWT'!B28</f>
        <v/>
      </c>
      <c r="F50">
        <f>'WEO_Data'!C24</f>
        <v/>
      </c>
      <c r="G50">
        <f>L20</f>
        <v/>
      </c>
      <c r="H50">
        <f>EXP(G50)*E50^$B$2</f>
        <v/>
      </c>
      <c r="I50" t="n">
        <v>0</v>
      </c>
      <c r="J50">
        <f>(1-$B$3)*J49+I50</f>
        <v/>
      </c>
      <c r="K50" s="19">
        <f>E50+J50</f>
        <v/>
      </c>
      <c r="L50">
        <f>EXP(G50)*K50^$B$2</f>
        <v/>
      </c>
      <c r="M50">
        <f>L50/H50-1</f>
        <v/>
      </c>
      <c r="N50">
        <f>F50*(1+M50)</f>
        <v/>
      </c>
      <c r="O50">
        <f>N50/N49-1</f>
        <v/>
      </c>
      <c r="P50">
        <f>F50/F49-1</f>
        <v/>
      </c>
    </row>
    <row r="51">
      <c r="C51" t="n">
        <v>2017</v>
      </c>
      <c r="D51">
        <f>'PWT'!B29/'WEO_Data'!C25</f>
        <v/>
      </c>
      <c r="E51" s="19">
        <f>'PWT'!B29</f>
        <v/>
      </c>
      <c r="F51">
        <f>'WEO_Data'!C25</f>
        <v/>
      </c>
      <c r="G51">
        <f>L21</f>
        <v/>
      </c>
      <c r="H51">
        <f>EXP(G51)*E51^$B$2</f>
        <v/>
      </c>
      <c r="I51" t="n">
        <v>0</v>
      </c>
      <c r="J51">
        <f>(1-$B$3)*J50+I51</f>
        <v/>
      </c>
      <c r="K51" s="19">
        <f>E51+J51</f>
        <v/>
      </c>
      <c r="L51">
        <f>EXP(G51)*K51^$B$2</f>
        <v/>
      </c>
      <c r="M51">
        <f>L51/H51-1</f>
        <v/>
      </c>
      <c r="N51">
        <f>F51*(1+M51)</f>
        <v/>
      </c>
      <c r="O51">
        <f>N51/N50-1</f>
        <v/>
      </c>
      <c r="P51">
        <f>F51/F50-1</f>
        <v/>
      </c>
    </row>
    <row r="52">
      <c r="C52" t="n">
        <v>2018</v>
      </c>
      <c r="D52">
        <f>'PWT'!B30/'WEO_Data'!C26</f>
        <v/>
      </c>
      <c r="E52" s="19">
        <f>'PWT'!B30</f>
        <v/>
      </c>
      <c r="F52">
        <f>'WEO_Data'!C26</f>
        <v/>
      </c>
      <c r="G52">
        <f>L22</f>
        <v/>
      </c>
      <c r="H52">
        <f>EXP(G52)*E52^$B$2</f>
        <v/>
      </c>
      <c r="I52" t="n">
        <v>0</v>
      </c>
      <c r="J52">
        <f>(1-$B$3)*J51+I52</f>
        <v/>
      </c>
      <c r="K52" s="19">
        <f>E52+J52</f>
        <v/>
      </c>
      <c r="L52">
        <f>EXP(G52)*K52^$B$2</f>
        <v/>
      </c>
      <c r="M52">
        <f>L52/H52-1</f>
        <v/>
      </c>
      <c r="N52">
        <f>F52*(1+M52)</f>
        <v/>
      </c>
      <c r="O52">
        <f>N52/N51-1</f>
        <v/>
      </c>
      <c r="P52">
        <f>F52/F51-1</f>
        <v/>
      </c>
    </row>
    <row r="53">
      <c r="C53" t="n">
        <v>2019</v>
      </c>
      <c r="D53">
        <f>'PWT'!B31/'WEO_Data'!C27</f>
        <v/>
      </c>
      <c r="E53" s="19">
        <f>'PWT'!B31</f>
        <v/>
      </c>
      <c r="F53">
        <f>'WEO_Data'!C27</f>
        <v/>
      </c>
      <c r="G53">
        <f>L23</f>
        <v/>
      </c>
      <c r="H53">
        <f>EXP(G53)*E53^$B$2</f>
        <v/>
      </c>
      <c r="I53" t="n">
        <v>0</v>
      </c>
      <c r="J53">
        <f>(1-$B$3)*J52+I53</f>
        <v/>
      </c>
      <c r="K53" s="19">
        <f>E53+J53</f>
        <v/>
      </c>
      <c r="L53">
        <f>EXP(G53)*K53^$B$2</f>
        <v/>
      </c>
      <c r="M53">
        <f>L53/H53-1</f>
        <v/>
      </c>
      <c r="N53">
        <f>F53*(1+M53)</f>
        <v/>
      </c>
      <c r="O53">
        <f>N53/N52-1</f>
        <v/>
      </c>
      <c r="P53">
        <f>F53/F52-1</f>
        <v/>
      </c>
    </row>
    <row r="54">
      <c r="C54" t="n">
        <v>2020</v>
      </c>
      <c r="D54">
        <f>'PWT'!B32/'WEO_Data'!C28</f>
        <v/>
      </c>
      <c r="E54" s="19">
        <f>'PWT'!B32</f>
        <v/>
      </c>
      <c r="F54">
        <f>'WEO_Data'!C28</f>
        <v/>
      </c>
      <c r="G54">
        <f>L24</f>
        <v/>
      </c>
      <c r="H54">
        <f>EXP(G54)*E54^$B$2</f>
        <v/>
      </c>
      <c r="I54" t="n">
        <v>0</v>
      </c>
      <c r="J54">
        <f>(1-$B$3)*J53+I54</f>
        <v/>
      </c>
      <c r="K54" s="19">
        <f>E54+J54</f>
        <v/>
      </c>
      <c r="L54">
        <f>EXP(G54)*K54^$B$2</f>
        <v/>
      </c>
      <c r="M54">
        <f>L54/H54-1</f>
        <v/>
      </c>
      <c r="N54">
        <f>F54*(1+M54)</f>
        <v/>
      </c>
      <c r="O54">
        <f>N54/N53-1</f>
        <v/>
      </c>
      <c r="P54">
        <f>F54/F53-1</f>
        <v/>
      </c>
    </row>
    <row r="55">
      <c r="C55" t="n">
        <v>2021</v>
      </c>
      <c r="D55">
        <f>'PWT'!B33/'WEO_Data'!C29</f>
        <v/>
      </c>
      <c r="E55" s="19">
        <f>'PWT'!B33</f>
        <v/>
      </c>
      <c r="F55">
        <f>'WEO_Data'!C29</f>
        <v/>
      </c>
      <c r="G55">
        <f>L25</f>
        <v/>
      </c>
      <c r="H55">
        <f>EXP(G55)*E55^$B$2</f>
        <v/>
      </c>
      <c r="I55" t="n">
        <v>0</v>
      </c>
      <c r="J55">
        <f>(1-$B$3)*J54+I55</f>
        <v/>
      </c>
      <c r="K55" s="19">
        <f>E55+J55</f>
        <v/>
      </c>
      <c r="L55">
        <f>EXP(G55)*K55^$B$2</f>
        <v/>
      </c>
      <c r="M55">
        <f>L55/H55-1</f>
        <v/>
      </c>
      <c r="N55">
        <f>F55*(1+M55)</f>
        <v/>
      </c>
      <c r="O55">
        <f>N55/N54-1</f>
        <v/>
      </c>
      <c r="P55">
        <f>F55/F54-1</f>
        <v/>
      </c>
    </row>
    <row r="56">
      <c r="C56" t="n">
        <v>2022</v>
      </c>
      <c r="D56">
        <f>'PWT'!B34/'WEO_Data'!C30</f>
        <v/>
      </c>
      <c r="E56" s="19">
        <f>'PWT'!B34</f>
        <v/>
      </c>
      <c r="F56">
        <f>'WEO_Data'!C30</f>
        <v/>
      </c>
      <c r="G56">
        <f>L26</f>
        <v/>
      </c>
      <c r="H56">
        <f>EXP(G56)*E56^$B$2</f>
        <v/>
      </c>
      <c r="I56" t="n">
        <v>0</v>
      </c>
      <c r="J56">
        <f>(1-$B$3)*J55+I56</f>
        <v/>
      </c>
      <c r="K56" s="19">
        <f>E56+J56</f>
        <v/>
      </c>
      <c r="L56">
        <f>EXP(G56)*K56^$B$2</f>
        <v/>
      </c>
      <c r="M56">
        <f>L56/H56-1</f>
        <v/>
      </c>
      <c r="N56">
        <f>F56*(1+M56)</f>
        <v/>
      </c>
      <c r="O56">
        <f>N56/N55-1</f>
        <v/>
      </c>
      <c r="P56">
        <f>F56/F55-1</f>
        <v/>
      </c>
    </row>
    <row r="57">
      <c r="C57" t="n">
        <v>2023</v>
      </c>
      <c r="D57">
        <f>'PWT'!B35/'WEO_Data'!C31</f>
        <v/>
      </c>
      <c r="E57" s="19">
        <f>'PWT'!B35</f>
        <v/>
      </c>
      <c r="F57">
        <f>'WEO_Data'!C31</f>
        <v/>
      </c>
      <c r="G57">
        <f>L27</f>
        <v/>
      </c>
      <c r="H57">
        <f>EXP(G57)*E57^$B$2</f>
        <v/>
      </c>
      <c r="I57" t="n">
        <v>0</v>
      </c>
      <c r="J57">
        <f>(1-$B$3)*J56+I57</f>
        <v/>
      </c>
      <c r="K57" s="19">
        <f>E57+J57</f>
        <v/>
      </c>
      <c r="L57">
        <f>EXP(G57)*K57^$B$2</f>
        <v/>
      </c>
      <c r="M57">
        <f>L57/H57-1</f>
        <v/>
      </c>
      <c r="N57">
        <f>F57*(1+M57)</f>
        <v/>
      </c>
      <c r="O57">
        <f>N57/N56-1</f>
        <v/>
      </c>
      <c r="P57">
        <f>F57/F56-1</f>
        <v/>
      </c>
    </row>
    <row r="58">
      <c r="C58" t="n">
        <v>2024</v>
      </c>
      <c r="E58" s="21">
        <f>AVERAGE($D$49:$D$57)*F58</f>
        <v/>
      </c>
      <c r="F58">
        <f>'WEO_Data'!C32</f>
        <v/>
      </c>
      <c r="G58" s="20">
        <f>TREND($G$36:$G$57,$C$36:$C$57,C58)</f>
        <v/>
      </c>
      <c r="H58">
        <f>EXP(G58)*E58^$B$2</f>
        <v/>
      </c>
      <c r="I58" t="n">
        <v>0</v>
      </c>
      <c r="J58">
        <f>(1-$B$3)*J57+I58</f>
        <v/>
      </c>
      <c r="K58" s="19">
        <f>E58+J58</f>
        <v/>
      </c>
      <c r="L58">
        <f>EXP(G58)*K58^$B$2</f>
        <v/>
      </c>
      <c r="M58">
        <f>L58/H58-1</f>
        <v/>
      </c>
      <c r="N58">
        <f>F58*(1+M58)</f>
        <v/>
      </c>
      <c r="O58">
        <f>N58/N57-1</f>
        <v/>
      </c>
      <c r="P58">
        <f>F58/F57-1</f>
        <v/>
      </c>
    </row>
    <row r="59">
      <c r="C59" t="n">
        <v>2025</v>
      </c>
      <c r="E59" s="21">
        <f>AVERAGE($D$49:$D$57)*F59</f>
        <v/>
      </c>
      <c r="F59">
        <f>'WEO_Data'!C33</f>
        <v/>
      </c>
      <c r="G59" s="20">
        <f>TREND($G$36:$G$57,$C$36:$C$57,C59)</f>
        <v/>
      </c>
      <c r="H59">
        <f>EXP(G59)*E59^$B$2</f>
        <v/>
      </c>
      <c r="I59" t="n">
        <v>0</v>
      </c>
      <c r="J59">
        <f>(1-$B$3)*J58+I59</f>
        <v/>
      </c>
      <c r="K59" s="19">
        <f>E59+J59</f>
        <v/>
      </c>
      <c r="L59">
        <f>EXP(G59)*K59^$B$2</f>
        <v/>
      </c>
      <c r="M59">
        <f>L59/H59-1</f>
        <v/>
      </c>
      <c r="N59">
        <f>F59*(1+M59)</f>
        <v/>
      </c>
      <c r="O59">
        <f>N59/N58-1</f>
        <v/>
      </c>
      <c r="P59">
        <f>F59/F58-1</f>
        <v/>
      </c>
    </row>
    <row r="60">
      <c r="C60" t="n">
        <v>2026</v>
      </c>
      <c r="E60" s="21">
        <f>AVERAGE($D$49:$D$57)*F60</f>
        <v/>
      </c>
      <c r="F60" s="20">
        <f>'WEO_Data'!C34</f>
        <v/>
      </c>
      <c r="G60" s="20">
        <f>TREND($G$36:$G$57,$C$36:$C$57,C60)</f>
        <v/>
      </c>
      <c r="H60">
        <f>EXP(G60)*E60^$B$2</f>
        <v/>
      </c>
      <c r="I60" s="17">
        <f>'Investment'!C2</f>
        <v/>
      </c>
      <c r="J60">
        <f>(1-$B$3)*J59+I60</f>
        <v/>
      </c>
      <c r="K60" s="19">
        <f>E60+J60</f>
        <v/>
      </c>
      <c r="L60">
        <f>EXP(G60)*K60^$B$2</f>
        <v/>
      </c>
      <c r="M60">
        <f>L60/H60-1</f>
        <v/>
      </c>
      <c r="N60">
        <f>F60*(1+M60)</f>
        <v/>
      </c>
      <c r="O60">
        <f>N60/N59-1</f>
        <v/>
      </c>
      <c r="P60">
        <f>F60/F59-1</f>
        <v/>
      </c>
    </row>
    <row r="61">
      <c r="C61" t="n">
        <v>2027</v>
      </c>
      <c r="E61" s="21">
        <f>AVERAGE($D$49:$D$57)*F61</f>
        <v/>
      </c>
      <c r="F61" s="20">
        <f>'WEO_Data'!C35</f>
        <v/>
      </c>
      <c r="G61" s="20">
        <f>TREND($G$36:$G$57,$C$36:$C$57,C61)</f>
        <v/>
      </c>
      <c r="H61">
        <f>EXP(G61)*E61^$B$2</f>
        <v/>
      </c>
      <c r="I61" s="17">
        <f>'Investment'!C3</f>
        <v/>
      </c>
      <c r="J61">
        <f>(1-$B$3)*J60+I61</f>
        <v/>
      </c>
      <c r="K61" s="19">
        <f>E61+J61</f>
        <v/>
      </c>
      <c r="L61">
        <f>EXP(G61)*K61^$B$2</f>
        <v/>
      </c>
      <c r="M61">
        <f>L61/H61-1</f>
        <v/>
      </c>
      <c r="N61">
        <f>F61*(1+M61)</f>
        <v/>
      </c>
      <c r="O61">
        <f>N61/N60-1</f>
        <v/>
      </c>
      <c r="P61">
        <f>F61/F60-1</f>
        <v/>
      </c>
    </row>
    <row r="62">
      <c r="C62" t="n">
        <v>2028</v>
      </c>
      <c r="E62" s="21">
        <f>AVERAGE($D$49:$D$57)*F62</f>
        <v/>
      </c>
      <c r="F62" s="20">
        <f>'WEO_Data'!C36</f>
        <v/>
      </c>
      <c r="G62" s="20">
        <f>TREND($G$36:$G$57,$C$36:$C$57,C62)</f>
        <v/>
      </c>
      <c r="H62">
        <f>EXP(G62)*E62^$B$2</f>
        <v/>
      </c>
      <c r="I62" s="17">
        <f>'Investment'!C4</f>
        <v/>
      </c>
      <c r="J62">
        <f>(1-$B$3)*J61+I62</f>
        <v/>
      </c>
      <c r="K62" s="19">
        <f>E62+J62</f>
        <v/>
      </c>
      <c r="L62">
        <f>EXP(G62)*K62^$B$2</f>
        <v/>
      </c>
      <c r="M62">
        <f>L62/H62-1</f>
        <v/>
      </c>
      <c r="N62">
        <f>F62*(1+M62)</f>
        <v/>
      </c>
      <c r="O62">
        <f>N62/N61-1</f>
        <v/>
      </c>
      <c r="P62">
        <f>F62/F61-1</f>
        <v/>
      </c>
    </row>
    <row r="63">
      <c r="C63" t="n">
        <v>2029</v>
      </c>
      <c r="E63" s="21">
        <f>AVERAGE($D$49:$D$57)*F63</f>
        <v/>
      </c>
      <c r="F63" s="20">
        <f>'WEO_Data'!C37</f>
        <v/>
      </c>
      <c r="G63" s="20">
        <f>TREND($G$36:$G$57,$C$36:$C$57,C63)</f>
        <v/>
      </c>
      <c r="H63">
        <f>EXP(G63)*E63^$B$2</f>
        <v/>
      </c>
      <c r="I63" s="17">
        <f>'Investment'!C5</f>
        <v/>
      </c>
      <c r="J63">
        <f>(1-$B$3)*J62+I63</f>
        <v/>
      </c>
      <c r="K63" s="19">
        <f>E63+J63</f>
        <v/>
      </c>
      <c r="L63">
        <f>EXP(G63)*K63^$B$2</f>
        <v/>
      </c>
      <c r="M63">
        <f>L63/H63-1</f>
        <v/>
      </c>
      <c r="N63">
        <f>F63*(1+M63)</f>
        <v/>
      </c>
      <c r="O63">
        <f>N63/N62-1</f>
        <v/>
      </c>
      <c r="P63">
        <f>F63/F62-1</f>
        <v/>
      </c>
    </row>
    <row r="64">
      <c r="C64" t="n">
        <v>2030</v>
      </c>
      <c r="E64" s="21">
        <f>AVERAGE($D$49:$D$57)*F64</f>
        <v/>
      </c>
      <c r="F64" s="20">
        <f>'WEO_Data'!C38</f>
        <v/>
      </c>
      <c r="G64" s="20">
        <f>TREND($G$36:$G$57,$C$36:$C$57,C64)</f>
        <v/>
      </c>
      <c r="H64">
        <f>EXP(G64)*E64^$B$2</f>
        <v/>
      </c>
      <c r="I64" s="17">
        <f>'Investment'!C6</f>
        <v/>
      </c>
      <c r="J64">
        <f>(1-$B$3)*J63+I64</f>
        <v/>
      </c>
      <c r="K64" s="19">
        <f>E64+J64</f>
        <v/>
      </c>
      <c r="L64">
        <f>EXP(G64)*K64^$B$2</f>
        <v/>
      </c>
      <c r="M64">
        <f>L64/H64-1</f>
        <v/>
      </c>
      <c r="N64">
        <f>F64*(1+M64)</f>
        <v/>
      </c>
      <c r="O64">
        <f>N64/N63-1</f>
        <v/>
      </c>
      <c r="P64">
        <f>F64/F63-1</f>
        <v/>
      </c>
    </row>
    <row r="65">
      <c r="C65" t="n">
        <v>2031</v>
      </c>
      <c r="E65" s="21">
        <f>AVERAGE($D$49:$D$57)*F65</f>
        <v/>
      </c>
      <c r="F65" s="20">
        <f>'WEO_Data'!C39</f>
        <v/>
      </c>
      <c r="G65" s="20">
        <f>TREND($G$36:$G$57,$C$36:$C$57,C65)</f>
        <v/>
      </c>
      <c r="H65">
        <f>EXP(G65)*E65^$B$2</f>
        <v/>
      </c>
      <c r="I65" s="17">
        <f>'Investment'!C7</f>
        <v/>
      </c>
      <c r="J65">
        <f>(1-$B$3)*J64+I65</f>
        <v/>
      </c>
      <c r="K65" s="19">
        <f>E65+J65</f>
        <v/>
      </c>
      <c r="L65">
        <f>EXP(G65)*K65^$B$2</f>
        <v/>
      </c>
      <c r="M65">
        <f>L65/H65-1</f>
        <v/>
      </c>
      <c r="N65">
        <f>F65*(1+M65)</f>
        <v/>
      </c>
      <c r="O65">
        <f>N65/N64-1</f>
        <v/>
      </c>
      <c r="P65">
        <f>F65/F64-1</f>
        <v/>
      </c>
    </row>
    <row r="66">
      <c r="C66" t="n">
        <v>2032</v>
      </c>
      <c r="E66" s="21">
        <f>AVERAGE($D$49:$D$57)*F66</f>
        <v/>
      </c>
      <c r="F66" s="20">
        <f>'WEO_Data'!C40</f>
        <v/>
      </c>
      <c r="G66" s="20">
        <f>TREND($G$36:$G$57,$C$36:$C$57,C66)</f>
        <v/>
      </c>
      <c r="H66">
        <f>EXP(G66)*E66^$B$2</f>
        <v/>
      </c>
      <c r="I66" s="17">
        <f>'Investment'!C8</f>
        <v/>
      </c>
      <c r="J66">
        <f>(1-$B$3)*J65+I66</f>
        <v/>
      </c>
      <c r="K66" s="19">
        <f>E66+J66</f>
        <v/>
      </c>
      <c r="L66">
        <f>EXP(G66)*K66^$B$2</f>
        <v/>
      </c>
      <c r="M66">
        <f>L66/H66-1</f>
        <v/>
      </c>
      <c r="N66">
        <f>F66*(1+M66)</f>
        <v/>
      </c>
      <c r="O66">
        <f>N66/N65-1</f>
        <v/>
      </c>
      <c r="P66">
        <f>F66/F65-1</f>
        <v/>
      </c>
    </row>
    <row r="67">
      <c r="C67" t="n">
        <v>2033</v>
      </c>
      <c r="E67" s="21">
        <f>AVERAGE($D$49:$D$57)*F67</f>
        <v/>
      </c>
      <c r="F67" s="20">
        <f>'WEO_Data'!C41</f>
        <v/>
      </c>
      <c r="G67" s="20">
        <f>TREND($G$36:$G$57,$C$36:$C$57,C67)</f>
        <v/>
      </c>
      <c r="H67">
        <f>EXP(G67)*E67^$B$2</f>
        <v/>
      </c>
      <c r="I67" s="17">
        <f>'Investment'!C9</f>
        <v/>
      </c>
      <c r="J67">
        <f>(1-$B$3)*J66+I67</f>
        <v/>
      </c>
      <c r="K67" s="19">
        <f>E67+J67</f>
        <v/>
      </c>
      <c r="L67">
        <f>EXP(G67)*K67^$B$2</f>
        <v/>
      </c>
      <c r="M67">
        <f>L67/H67-1</f>
        <v/>
      </c>
      <c r="N67">
        <f>F67*(1+M67)</f>
        <v/>
      </c>
      <c r="O67">
        <f>N67/N66-1</f>
        <v/>
      </c>
      <c r="P67">
        <f>F67/F66-1</f>
        <v/>
      </c>
    </row>
    <row r="68">
      <c r="C68" t="n">
        <v>2034</v>
      </c>
      <c r="E68" s="21">
        <f>AVERAGE($D$49:$D$57)*F68</f>
        <v/>
      </c>
      <c r="F68" s="20">
        <f>'WEO_Data'!C42</f>
        <v/>
      </c>
      <c r="G68" s="20">
        <f>TREND($G$36:$G$57,$C$36:$C$57,C68)</f>
        <v/>
      </c>
      <c r="H68">
        <f>EXP(G68)*E68^$B$2</f>
        <v/>
      </c>
      <c r="I68" t="n">
        <v>0</v>
      </c>
      <c r="J68">
        <f>(1-$B$3)*J67+I68</f>
        <v/>
      </c>
      <c r="K68" s="19">
        <f>E68+J68</f>
        <v/>
      </c>
      <c r="L68">
        <f>EXP(G68)*K68^$B$2</f>
        <v/>
      </c>
      <c r="M68">
        <f>L68/H68-1</f>
        <v/>
      </c>
      <c r="N68">
        <f>F68*(1+M68)</f>
        <v/>
      </c>
      <c r="O68">
        <f>N68/N67-1</f>
        <v/>
      </c>
      <c r="P68">
        <f>F68/F67-1</f>
        <v/>
      </c>
    </row>
    <row r="69">
      <c r="C69" t="n">
        <v>2035</v>
      </c>
      <c r="E69" s="21">
        <f>AVERAGE($D$49:$D$57)*F69</f>
        <v/>
      </c>
      <c r="F69" s="20">
        <f>'WEO_Data'!C43</f>
        <v/>
      </c>
      <c r="G69" s="20">
        <f>TREND($G$36:$G$57,$C$36:$C$57,C69)</f>
        <v/>
      </c>
      <c r="H69">
        <f>EXP(G69)*E69^$B$2</f>
        <v/>
      </c>
      <c r="I69" t="n">
        <v>0</v>
      </c>
      <c r="J69">
        <f>(1-$B$3)*J68+I69</f>
        <v/>
      </c>
      <c r="K69" s="19">
        <f>E69+J69</f>
        <v/>
      </c>
      <c r="L69">
        <f>EXP(G69)*K69^$B$2</f>
        <v/>
      </c>
      <c r="M69">
        <f>L69/H69-1</f>
        <v/>
      </c>
      <c r="N69">
        <f>F69*(1+M69)</f>
        <v/>
      </c>
      <c r="O69">
        <f>N69/N68-1</f>
        <v/>
      </c>
      <c r="P69">
        <f>F69/F68-1</f>
        <v/>
      </c>
    </row>
    <row r="70">
      <c r="C70" t="n">
        <v>2036</v>
      </c>
      <c r="E70" s="21">
        <f>AVERAGE($D$49:$D$57)*F70</f>
        <v/>
      </c>
      <c r="F70" s="20">
        <f>'WEO_Data'!C44</f>
        <v/>
      </c>
      <c r="G70" s="20">
        <f>TREND($G$36:$G$57,$C$36:$C$57,C70)</f>
        <v/>
      </c>
      <c r="H70">
        <f>EXP(G70)*E70^$B$2</f>
        <v/>
      </c>
      <c r="I70" t="n">
        <v>0</v>
      </c>
      <c r="J70">
        <f>(1-$B$3)*J69+I70</f>
        <v/>
      </c>
      <c r="K70" s="19">
        <f>E70+J70</f>
        <v/>
      </c>
      <c r="L70">
        <f>EXP(G70)*K70^$B$2</f>
        <v/>
      </c>
      <c r="M70">
        <f>L70/H70-1</f>
        <v/>
      </c>
      <c r="N70">
        <f>F70*(1+M70)</f>
        <v/>
      </c>
      <c r="O70">
        <f>N70/N69-1</f>
        <v/>
      </c>
      <c r="P70">
        <f>F70/F69-1</f>
        <v/>
      </c>
    </row>
    <row r="71">
      <c r="C71" t="n">
        <v>2037</v>
      </c>
      <c r="E71" s="21">
        <f>AVERAGE($D$49:$D$57)*F71</f>
        <v/>
      </c>
      <c r="F71" s="20">
        <f>'WEO_Data'!C45</f>
        <v/>
      </c>
      <c r="G71" s="20">
        <f>TREND($G$36:$G$57,$C$36:$C$57,C71)</f>
        <v/>
      </c>
      <c r="H71">
        <f>EXP(G71)*E71^$B$2</f>
        <v/>
      </c>
      <c r="I71" t="n">
        <v>0</v>
      </c>
      <c r="J71">
        <f>(1-$B$3)*J70+I71</f>
        <v/>
      </c>
      <c r="K71" s="19">
        <f>E71+J71</f>
        <v/>
      </c>
      <c r="L71">
        <f>EXP(G71)*K71^$B$2</f>
        <v/>
      </c>
      <c r="M71">
        <f>L71/H71-1</f>
        <v/>
      </c>
      <c r="N71">
        <f>F71*(1+M71)</f>
        <v/>
      </c>
      <c r="O71">
        <f>N71/N70-1</f>
        <v/>
      </c>
      <c r="P71">
        <f>F71/F70-1</f>
        <v/>
      </c>
    </row>
    <row r="72">
      <c r="C72" t="n">
        <v>2038</v>
      </c>
      <c r="E72" s="21">
        <f>AVERAGE($D$49:$D$57)*F72</f>
        <v/>
      </c>
      <c r="F72" s="20">
        <f>'WEO_Data'!C46</f>
        <v/>
      </c>
      <c r="G72" s="20">
        <f>TREND($G$36:$G$57,$C$36:$C$57,C72)</f>
        <v/>
      </c>
      <c r="H72">
        <f>EXP(G72)*E72^$B$2</f>
        <v/>
      </c>
      <c r="I72" t="n">
        <v>0</v>
      </c>
      <c r="J72">
        <f>(1-$B$3)*J71+I72</f>
        <v/>
      </c>
      <c r="K72" s="19">
        <f>E72+J72</f>
        <v/>
      </c>
      <c r="L72">
        <f>EXP(G72)*K72^$B$2</f>
        <v/>
      </c>
      <c r="M72">
        <f>L72/H72-1</f>
        <v/>
      </c>
      <c r="N72">
        <f>F72*(1+M72)</f>
        <v/>
      </c>
      <c r="O72">
        <f>N72/N71-1</f>
        <v/>
      </c>
      <c r="P72">
        <f>F72/F71-1</f>
        <v/>
      </c>
    </row>
    <row r="73">
      <c r="C73" t="n">
        <v>2039</v>
      </c>
      <c r="E73" s="21">
        <f>AVERAGE($D$49:$D$57)*F73</f>
        <v/>
      </c>
      <c r="F73" s="20">
        <f>'WEO_Data'!C47</f>
        <v/>
      </c>
      <c r="G73" s="20">
        <f>TREND($G$36:$G$57,$C$36:$C$57,C73)</f>
        <v/>
      </c>
      <c r="H73">
        <f>EXP(G73)*E73^$B$2</f>
        <v/>
      </c>
      <c r="I73" t="n">
        <v>0</v>
      </c>
      <c r="J73">
        <f>(1-$B$3)*J72+I73</f>
        <v/>
      </c>
      <c r="K73" s="19">
        <f>E73+J73</f>
        <v/>
      </c>
      <c r="L73">
        <f>EXP(G73)*K73^$B$2</f>
        <v/>
      </c>
      <c r="M73">
        <f>L73/H73-1</f>
        <v/>
      </c>
      <c r="N73">
        <f>F73*(1+M73)</f>
        <v/>
      </c>
      <c r="O73">
        <f>N73/N72-1</f>
        <v/>
      </c>
      <c r="P73">
        <f>F73/F72-1</f>
        <v/>
      </c>
    </row>
    <row r="74">
      <c r="C74" t="n">
        <v>2040</v>
      </c>
      <c r="E74" s="21">
        <f>AVERAGE($D$49:$D$57)*F74</f>
        <v/>
      </c>
      <c r="F74" s="20">
        <f>'WEO_Data'!C48</f>
        <v/>
      </c>
      <c r="G74" s="20">
        <f>TREND($G$36:$G$57,$C$36:$C$57,C74)</f>
        <v/>
      </c>
      <c r="H74">
        <f>EXP(G74)*E74^$B$2</f>
        <v/>
      </c>
      <c r="I74" t="n">
        <v>0</v>
      </c>
      <c r="J74">
        <f>(1-$B$3)*J73+I74</f>
        <v/>
      </c>
      <c r="K74" s="19">
        <f>E74+J74</f>
        <v/>
      </c>
      <c r="L74">
        <f>EXP(G74)*K74^$B$2</f>
        <v/>
      </c>
      <c r="M74">
        <f>L74/H74-1</f>
        <v/>
      </c>
      <c r="N74">
        <f>F74*(1+M74)</f>
        <v/>
      </c>
      <c r="O74">
        <f>N74/N73-1</f>
        <v/>
      </c>
      <c r="P74">
        <f>F74/F73-1</f>
        <v/>
      </c>
    </row>
    <row r="75">
      <c r="C75" t="n">
        <v>2041</v>
      </c>
      <c r="E75" s="21">
        <f>AVERAGE($D$49:$D$57)*F75</f>
        <v/>
      </c>
      <c r="F75" s="20">
        <f>'WEO_Data'!C49</f>
        <v/>
      </c>
      <c r="G75" s="20">
        <f>TREND($G$36:$G$57,$C$36:$C$57,C75)</f>
        <v/>
      </c>
      <c r="H75">
        <f>EXP(G75)*E75^$B$2</f>
        <v/>
      </c>
      <c r="I75" t="n">
        <v>0</v>
      </c>
      <c r="J75">
        <f>(1-$B$3)*J74+I75</f>
        <v/>
      </c>
      <c r="K75" s="19">
        <f>E75+J75</f>
        <v/>
      </c>
      <c r="L75">
        <f>EXP(G75)*K75^$B$2</f>
        <v/>
      </c>
      <c r="M75">
        <f>L75/H75-1</f>
        <v/>
      </c>
      <c r="N75">
        <f>F75*(1+M75)</f>
        <v/>
      </c>
      <c r="O75">
        <f>N75/N74-1</f>
        <v/>
      </c>
      <c r="P75">
        <f>F75/F74-1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</v>
      </c>
      <c r="D2" s="19">
        <f>'PWT'!B8</f>
        <v/>
      </c>
      <c r="E2">
        <f>C2/1000000/D2</f>
        <v/>
      </c>
    </row>
    <row r="3">
      <c r="A3" s="18" t="n">
        <v>35795</v>
      </c>
      <c r="B3" t="n">
        <v>1997</v>
      </c>
      <c r="C3" t="n">
        <v>383641663.61</v>
      </c>
      <c r="D3" s="19">
        <f>'PWT'!B9</f>
        <v/>
      </c>
      <c r="E3">
        <f>C3/1000000/D3</f>
        <v/>
      </c>
    </row>
    <row r="4">
      <c r="A4" s="18" t="n">
        <v>36160</v>
      </c>
      <c r="B4" t="n">
        <v>1998</v>
      </c>
      <c r="C4" t="n">
        <v>516397121.22</v>
      </c>
      <c r="D4" s="19">
        <f>'PWT'!B10</f>
        <v/>
      </c>
      <c r="E4">
        <f>C4/1000000/D4</f>
        <v/>
      </c>
    </row>
    <row r="5">
      <c r="A5" s="18" t="n">
        <v>36525</v>
      </c>
      <c r="B5" t="n">
        <v>1999</v>
      </c>
      <c r="C5" t="n">
        <v>661603834.4299999</v>
      </c>
      <c r="D5" s="19">
        <f>'PWT'!B11</f>
        <v/>
      </c>
      <c r="E5">
        <f>C5/1000000/D5</f>
        <v/>
      </c>
    </row>
    <row r="6">
      <c r="A6" s="18" t="n">
        <v>36891</v>
      </c>
      <c r="B6" t="n">
        <v>2000</v>
      </c>
      <c r="C6" t="n">
        <v>631701000.89</v>
      </c>
      <c r="D6" s="19">
        <f>'PWT'!B12</f>
        <v/>
      </c>
      <c r="E6">
        <f>C6/1000000/D6</f>
        <v/>
      </c>
    </row>
    <row r="7">
      <c r="A7" s="18" t="n">
        <v>37256</v>
      </c>
      <c r="B7" t="n">
        <v>2001</v>
      </c>
      <c r="C7" t="n">
        <v>706983726.79</v>
      </c>
      <c r="D7" s="19">
        <f>'PWT'!B13</f>
        <v/>
      </c>
      <c r="E7">
        <f>C7/1000000/D7</f>
        <v/>
      </c>
    </row>
    <row r="8">
      <c r="A8" s="18" t="n">
        <v>37621</v>
      </c>
      <c r="B8" t="n">
        <v>2002</v>
      </c>
      <c r="C8" t="n">
        <v>790112565.2</v>
      </c>
      <c r="D8" s="19">
        <f>'PWT'!B14</f>
        <v/>
      </c>
      <c r="E8">
        <f>C8/1000000/D8</f>
        <v/>
      </c>
    </row>
    <row r="9">
      <c r="A9" s="18" t="n">
        <v>37986</v>
      </c>
      <c r="B9" t="n">
        <v>2003</v>
      </c>
      <c r="C9" t="n">
        <v>932916219.67</v>
      </c>
      <c r="D9" s="19">
        <f>'PWT'!B15</f>
        <v/>
      </c>
      <c r="E9">
        <f>C9/1000000/D9</f>
        <v/>
      </c>
    </row>
    <row r="10">
      <c r="A10" s="18" t="n">
        <v>38352</v>
      </c>
      <c r="B10" t="n">
        <v>2004</v>
      </c>
      <c r="C10" t="n">
        <v>976818537.8</v>
      </c>
      <c r="D10" s="19">
        <f>'PWT'!B16</f>
        <v/>
      </c>
      <c r="E10">
        <f>C10/1000000/D10</f>
        <v/>
      </c>
    </row>
    <row r="11">
      <c r="A11" s="18" t="n">
        <v>38717</v>
      </c>
      <c r="B11" t="n">
        <v>2005</v>
      </c>
      <c r="C11" t="n">
        <v>1113450058.59</v>
      </c>
      <c r="D11" s="19">
        <f>'PWT'!B17</f>
        <v/>
      </c>
      <c r="E11">
        <f>C11/1000000/D11</f>
        <v/>
      </c>
    </row>
    <row r="12">
      <c r="A12" s="18" t="n">
        <v>39082</v>
      </c>
      <c r="B12" t="n">
        <v>2006</v>
      </c>
      <c r="C12" t="n">
        <v>1306373084.13</v>
      </c>
      <c r="D12" s="19">
        <f>'PWT'!B18</f>
        <v/>
      </c>
      <c r="E12">
        <f>C12/1000000/D12</f>
        <v/>
      </c>
    </row>
    <row r="13">
      <c r="A13" s="18" t="n">
        <v>39447</v>
      </c>
      <c r="B13" t="n">
        <v>2007</v>
      </c>
      <c r="C13" t="n">
        <v>1617029966.26</v>
      </c>
      <c r="D13" s="19">
        <f>'PWT'!B19</f>
        <v/>
      </c>
      <c r="E13">
        <f>C13/1000000/D13</f>
        <v/>
      </c>
    </row>
    <row r="14">
      <c r="A14" s="18" t="n">
        <v>39813</v>
      </c>
      <c r="B14" t="n">
        <v>2008</v>
      </c>
      <c r="C14" t="n">
        <v>1758049267.67</v>
      </c>
      <c r="D14" s="19">
        <f>'PWT'!B20</f>
        <v/>
      </c>
      <c r="E14">
        <f>C14/1000000/D14</f>
        <v/>
      </c>
    </row>
    <row r="15">
      <c r="A15" s="18" t="n">
        <v>40178</v>
      </c>
      <c r="B15" t="n">
        <v>2009</v>
      </c>
      <c r="C15" t="n">
        <v>1751366684.88</v>
      </c>
      <c r="D15" s="19">
        <f>'PWT'!B21</f>
        <v/>
      </c>
      <c r="E15">
        <f>C15/1000000/D15</f>
        <v/>
      </c>
    </row>
    <row r="16">
      <c r="A16" s="18" t="n">
        <v>40543</v>
      </c>
      <c r="B16" t="n">
        <v>2010</v>
      </c>
      <c r="C16" t="n">
        <v>2046413234.67</v>
      </c>
      <c r="D16" s="19">
        <f>'PWT'!B22</f>
        <v/>
      </c>
      <c r="E16">
        <f>C16/1000000/D16</f>
        <v/>
      </c>
    </row>
    <row r="17">
      <c r="A17" s="18" t="n">
        <v>40908</v>
      </c>
      <c r="B17" t="n">
        <v>2011</v>
      </c>
      <c r="C17" t="n">
        <v>2350512405.91</v>
      </c>
      <c r="D17" s="19">
        <f>'PWT'!B23</f>
        <v/>
      </c>
      <c r="E17">
        <f>C17/1000000/D17</f>
        <v/>
      </c>
    </row>
    <row r="18">
      <c r="A18" s="18" t="n">
        <v>41274</v>
      </c>
      <c r="B18" t="n">
        <v>2012</v>
      </c>
      <c r="C18" t="n">
        <v>2643602887.97</v>
      </c>
      <c r="D18" s="19">
        <f>'PWT'!B24</f>
        <v/>
      </c>
      <c r="E18">
        <f>C18/1000000/D18</f>
        <v/>
      </c>
    </row>
    <row r="19">
      <c r="A19" s="18" t="n">
        <v>41639</v>
      </c>
      <c r="B19" t="n">
        <v>2013</v>
      </c>
      <c r="C19" t="n">
        <v>1555932152.32</v>
      </c>
      <c r="D19" s="19">
        <f>'PWT'!B25</f>
        <v/>
      </c>
      <c r="E19">
        <f>C19/1000000/D19</f>
        <v/>
      </c>
    </row>
    <row r="20">
      <c r="A20" s="18" t="n">
        <v>42004</v>
      </c>
      <c r="B20" t="n">
        <v>2014</v>
      </c>
      <c r="C20" t="n">
        <v>2984890468.69</v>
      </c>
      <c r="D20" s="19">
        <f>'PWT'!B26</f>
        <v/>
      </c>
      <c r="E20">
        <f>C20/1000000/D20</f>
        <v/>
      </c>
    </row>
    <row r="21">
      <c r="A21" s="18" t="n">
        <v>42369</v>
      </c>
      <c r="B21" t="n">
        <v>2015</v>
      </c>
      <c r="C21" t="n">
        <v>3657280672.54</v>
      </c>
      <c r="D21" s="19">
        <f>'PWT'!B27</f>
        <v/>
      </c>
      <c r="E21">
        <f>C21/1000000/D21</f>
        <v/>
      </c>
    </row>
    <row r="22">
      <c r="A22" s="18" t="n">
        <v>42735</v>
      </c>
      <c r="B22" t="n">
        <v>2016</v>
      </c>
      <c r="C22" t="n">
        <v>4004828719.85</v>
      </c>
      <c r="D22" s="19">
        <f>'PWT'!B28</f>
        <v/>
      </c>
      <c r="E22">
        <f>C22/1000000/D22</f>
        <v/>
      </c>
    </row>
    <row r="23">
      <c r="A23" s="18" t="n">
        <v>43100</v>
      </c>
      <c r="B23" t="n">
        <v>2017</v>
      </c>
      <c r="C23" t="n">
        <v>4492921334.91</v>
      </c>
      <c r="D23" s="19">
        <f>'PWT'!B29</f>
        <v/>
      </c>
      <c r="E23">
        <f>C23/1000000/D23</f>
        <v/>
      </c>
    </row>
    <row r="24">
      <c r="A24" s="18" t="n">
        <v>43465</v>
      </c>
      <c r="B24" t="n">
        <v>2018</v>
      </c>
      <c r="C24" t="n">
        <v>4843616440.29</v>
      </c>
      <c r="D24" s="19">
        <f>'PWT'!B30</f>
        <v/>
      </c>
      <c r="E24">
        <f>C24/1000000/D24</f>
        <v/>
      </c>
    </row>
    <row r="25">
      <c r="A25" s="18" t="n">
        <v>43830</v>
      </c>
      <c r="B25" t="n">
        <v>2019</v>
      </c>
      <c r="C25" t="n">
        <v>5452957379.35</v>
      </c>
      <c r="D25" s="19">
        <f>'PWT'!B31</f>
        <v/>
      </c>
      <c r="E25">
        <f>C25/1000000/D25</f>
        <v/>
      </c>
    </row>
    <row r="26">
      <c r="A26" s="18" t="n">
        <v>44196</v>
      </c>
      <c r="B26" t="n">
        <v>2020</v>
      </c>
      <c r="C26" t="n">
        <v>6152769261.62</v>
      </c>
      <c r="D26" s="19">
        <f>'PWT'!B32</f>
        <v/>
      </c>
      <c r="E26">
        <f>C26/1000000/D26</f>
        <v/>
      </c>
    </row>
    <row r="27">
      <c r="A27" s="18" t="n">
        <v>44561</v>
      </c>
      <c r="B27" t="n">
        <v>2021</v>
      </c>
      <c r="C27" t="n">
        <v>7072625348.9</v>
      </c>
      <c r="D27" s="19">
        <f>'PWT'!B33</f>
        <v/>
      </c>
      <c r="E27">
        <f>C27/1000000/D27</f>
        <v/>
      </c>
    </row>
    <row r="28">
      <c r="A28" s="18" t="n">
        <v>44926</v>
      </c>
      <c r="B28" t="n">
        <v>2022</v>
      </c>
      <c r="C28" t="n">
        <v>7661448474.88</v>
      </c>
      <c r="D28" s="19">
        <f>'PWT'!B34</f>
        <v/>
      </c>
      <c r="E28">
        <f>C28/1000000/D28</f>
        <v/>
      </c>
    </row>
    <row r="29">
      <c r="A29" s="18" t="n">
        <v>45291</v>
      </c>
      <c r="B29" t="n">
        <v>2023</v>
      </c>
      <c r="C29" t="n">
        <v>9410657843.709999</v>
      </c>
      <c r="D29" s="19">
        <f>'PWT'!B35</f>
        <v/>
      </c>
      <c r="E29">
        <f>C29/1000000/D29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/>
      <c r="C2" t="n">
        <v>67440.054688</v>
      </c>
    </row>
    <row r="3">
      <c r="A3" s="19" t="n">
        <v>1991</v>
      </c>
      <c r="B3" s="19" t="n"/>
      <c r="C3" t="n">
        <v>53052.839844</v>
      </c>
    </row>
    <row r="4">
      <c r="A4" s="19" t="n">
        <v>1992</v>
      </c>
      <c r="B4" s="19" t="n"/>
      <c r="C4" t="n">
        <v>29442.9375</v>
      </c>
    </row>
    <row r="5">
      <c r="A5" s="19" t="n">
        <v>1993</v>
      </c>
      <c r="B5" s="19" t="n"/>
      <c r="C5" t="n">
        <v>20818.902344</v>
      </c>
    </row>
    <row r="6">
      <c r="A6" s="19" t="n">
        <v>1994</v>
      </c>
      <c r="B6" s="19" t="n">
        <v>310557.21875</v>
      </c>
      <c r="C6" t="n">
        <v>18657.664063</v>
      </c>
    </row>
    <row r="7">
      <c r="A7" s="19" t="n">
        <v>1995</v>
      </c>
      <c r="B7" s="19" t="n">
        <v>305633.28125</v>
      </c>
      <c r="C7" t="n">
        <v>19138.576172</v>
      </c>
    </row>
    <row r="8">
      <c r="A8" s="19" t="n">
        <v>1996</v>
      </c>
      <c r="B8" s="19" t="n">
        <v>301706.46875</v>
      </c>
      <c r="C8" t="n">
        <v>21298.572266</v>
      </c>
    </row>
    <row r="9">
      <c r="A9" s="19" t="n">
        <v>1997</v>
      </c>
      <c r="B9" s="19" t="n">
        <v>298764.625</v>
      </c>
      <c r="C9" t="n">
        <v>23538.966797</v>
      </c>
    </row>
    <row r="10">
      <c r="A10" s="19" t="n">
        <v>1998</v>
      </c>
      <c r="B10" s="19" t="n">
        <v>298990.5</v>
      </c>
      <c r="C10" t="n">
        <v>24269.841797</v>
      </c>
    </row>
    <row r="11">
      <c r="A11" s="19" t="n">
        <v>1999</v>
      </c>
      <c r="B11" s="19" t="n">
        <v>299754.78125</v>
      </c>
      <c r="C11" t="n">
        <v>24966.201172</v>
      </c>
    </row>
    <row r="12">
      <c r="A12" s="19" t="n">
        <v>2000</v>
      </c>
      <c r="B12" s="19" t="n">
        <v>300383.3125</v>
      </c>
      <c r="C12" t="n">
        <v>25425.167969</v>
      </c>
    </row>
    <row r="13">
      <c r="A13" s="19" t="n">
        <v>2001</v>
      </c>
      <c r="B13" s="19" t="n">
        <v>302284.0625</v>
      </c>
      <c r="C13" t="n">
        <v>26646.960938</v>
      </c>
    </row>
    <row r="14">
      <c r="A14" s="19" t="n">
        <v>2002</v>
      </c>
      <c r="B14" s="19" t="n">
        <v>303592.625</v>
      </c>
      <c r="C14" t="n">
        <v>28105.572266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</v>
      </c>
    </row>
    <row r="19">
      <c r="A19" s="19" t="n">
        <v>2007</v>
      </c>
      <c r="B19" s="19" t="n">
        <v>329445.875</v>
      </c>
      <c r="C19" t="n">
        <v>44579.191406</v>
      </c>
    </row>
    <row r="20">
      <c r="A20" s="19" t="n">
        <v>2008</v>
      </c>
      <c r="B20" s="19" t="n">
        <v>332604.46875</v>
      </c>
      <c r="C20" t="n">
        <v>45657.160156</v>
      </c>
    </row>
    <row r="21">
      <c r="A21" s="19" t="n">
        <v>2009</v>
      </c>
      <c r="B21" s="19" t="n">
        <v>330608.28125</v>
      </c>
      <c r="C21" t="n">
        <v>43990.632813</v>
      </c>
    </row>
    <row r="22">
      <c r="A22" s="19" t="n">
        <v>2010</v>
      </c>
      <c r="B22" s="19" t="n">
        <v>332551.53125</v>
      </c>
      <c r="C22" t="n">
        <v>46739.789063</v>
      </c>
    </row>
    <row r="23">
      <c r="A23" s="19" t="n">
        <v>2011</v>
      </c>
      <c r="B23" s="19" t="n">
        <v>336560.28125</v>
      </c>
      <c r="C23" t="n">
        <v>50455.210938</v>
      </c>
    </row>
    <row r="24">
      <c r="A24" s="19" t="n">
        <v>2012</v>
      </c>
      <c r="B24" s="19" t="n">
        <v>341471.1875</v>
      </c>
      <c r="C24" t="n">
        <v>53774.679688</v>
      </c>
    </row>
    <row r="25">
      <c r="A25" s="19" t="n">
        <v>2013</v>
      </c>
      <c r="B25" s="19" t="n">
        <v>344239.03125</v>
      </c>
      <c r="C25" t="n">
        <v>56535.230469</v>
      </c>
    </row>
    <row r="26">
      <c r="A26" s="19" t="n">
        <v>2014</v>
      </c>
      <c r="B26" s="19" t="n">
        <v>350962.15625</v>
      </c>
      <c r="C26" t="n">
        <v>58847.863281</v>
      </c>
    </row>
    <row r="27">
      <c r="A27" s="19" t="n">
        <v>2015</v>
      </c>
      <c r="B27" s="19" t="n">
        <v>360259.8125</v>
      </c>
      <c r="C27" t="n">
        <v>60819.742188</v>
      </c>
    </row>
    <row r="28">
      <c r="A28" s="19" t="n">
        <v>2016</v>
      </c>
      <c r="B28" s="19" t="n">
        <v>370547.65625</v>
      </c>
      <c r="C28" t="n">
        <v>62917.976563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73951.976563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85079.023438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D36</f>
        <v/>
      </c>
    </row>
    <row r="38">
      <c r="B38" t="n">
        <v>2030</v>
      </c>
      <c r="C38">
        <f>C37*(1+D38/100)</f>
        <v/>
      </c>
      <c r="D38">
        <f>D37</f>
        <v/>
      </c>
    </row>
    <row r="39">
      <c r="B39" t="n">
        <v>2031</v>
      </c>
      <c r="C39">
        <f>C38*(1+D39/100)</f>
        <v/>
      </c>
      <c r="D39">
        <f>D38</f>
        <v/>
      </c>
    </row>
    <row r="40">
      <c r="B40" t="n">
        <v>2032</v>
      </c>
      <c r="C40">
        <f>C39*(1+D40/100)</f>
        <v/>
      </c>
      <c r="D40">
        <f>D39</f>
        <v/>
      </c>
    </row>
    <row r="41">
      <c r="B41" t="n">
        <v>2033</v>
      </c>
      <c r="C41">
        <f>C40*(1+D41/100)</f>
        <v/>
      </c>
      <c r="D41">
        <f>D40</f>
        <v/>
      </c>
    </row>
    <row r="42">
      <c r="B42" t="n">
        <v>2034</v>
      </c>
      <c r="C42">
        <f>C41*(1+D42/100)</f>
        <v/>
      </c>
      <c r="D42">
        <f>D41</f>
        <v/>
      </c>
    </row>
    <row r="43">
      <c r="B43" t="n">
        <v>2035</v>
      </c>
      <c r="C43">
        <f>C42*(1+D43/100)</f>
        <v/>
      </c>
      <c r="D43">
        <f>D42</f>
        <v/>
      </c>
    </row>
    <row r="44">
      <c r="B44" t="n">
        <v>2036</v>
      </c>
      <c r="C44">
        <f>C43*(1+D44/100)</f>
        <v/>
      </c>
      <c r="D44">
        <f>D43</f>
        <v/>
      </c>
    </row>
    <row r="45">
      <c r="B45" t="n">
        <v>2037</v>
      </c>
      <c r="C45">
        <f>C44*(1+D45/100)</f>
        <v/>
      </c>
      <c r="D45">
        <f>D44</f>
        <v/>
      </c>
    </row>
    <row r="46">
      <c r="B46" t="n">
        <v>2038</v>
      </c>
      <c r="C46">
        <f>C45*(1+D46/100)</f>
        <v/>
      </c>
      <c r="D46">
        <f>D45</f>
        <v/>
      </c>
    </row>
    <row r="47">
      <c r="B47" t="n">
        <v>2039</v>
      </c>
      <c r="C47">
        <f>C46*(1+D47/100)</f>
        <v/>
      </c>
      <c r="D47">
        <f>D46</f>
        <v/>
      </c>
    </row>
    <row r="48">
      <c r="B48" t="n">
        <v>2040</v>
      </c>
      <c r="C48">
        <f>C47*(1+D48/100)</f>
        <v/>
      </c>
      <c r="D48">
        <f>D47</f>
        <v/>
      </c>
    </row>
    <row r="49">
      <c r="B49" t="n">
        <v>2041</v>
      </c>
      <c r="C49">
        <f>C48*(1+D49/100)</f>
        <v/>
      </c>
      <c r="D49">
        <f>D48</f>
        <v/>
      </c>
    </row>
    <row r="50">
      <c r="B50" t="n">
        <v>2042</v>
      </c>
      <c r="C50">
        <f>C49*(1+D50/100)</f>
        <v/>
      </c>
      <c r="D50">
        <f>D49</f>
        <v/>
      </c>
    </row>
    <row r="51">
      <c r="B51" t="n">
        <v>2043</v>
      </c>
      <c r="C51">
        <f>C50*(1+D51/100)</f>
        <v/>
      </c>
      <c r="D51">
        <f>D50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2026-02-07T06:00:00Z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