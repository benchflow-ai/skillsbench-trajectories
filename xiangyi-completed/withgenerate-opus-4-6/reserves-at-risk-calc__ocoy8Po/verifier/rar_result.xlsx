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'Value'!D18</f>
        <v/>
      </c>
      <c r="D12" s="2">
        <f>'Value'!F18</f>
        <v/>
      </c>
      <c r="E12" s="3">
        <f>'Value'!J18</f>
        <v/>
      </c>
      <c r="F12" s="3">
        <f>'Value'!L18</f>
        <v/>
      </c>
      <c r="G12" s="3">
        <f>'Value'!M18</f>
        <v/>
      </c>
      <c r="H12" s="3">
        <f>'Value'!N18</f>
        <v/>
      </c>
      <c r="I12" s="3">
        <f>'Value'!O18</f>
        <v/>
      </c>
      <c r="J12" s="7">
        <f>'Value'!Q18</f>
        <v/>
      </c>
      <c r="K12" s="3">
        <f>'Volume'!H18*AVERAGE('Gold price'!B422:B430)</f>
        <v/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G12</f>
        <v/>
      </c>
      <c r="G21" s="3">
        <f>H12</f>
        <v/>
      </c>
      <c r="H21" s="7">
        <f>I12</f>
        <v/>
      </c>
      <c r="I21">
        <f>J12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G13</f>
        <v/>
      </c>
      <c r="G22">
        <f>H13</f>
        <v/>
      </c>
      <c r="H22">
        <f>I13</f>
        <v/>
      </c>
      <c r="I22">
        <f>J13</f>
        <v/>
      </c>
    </row>
    <row r="23">
      <c r="B23" t="inlineStr">
        <is>
          <t>Total Reserve</t>
        </is>
      </c>
      <c r="C23">
        <f>XLOOKUP(C20&amp;"*",'Total Reserves'!$C$1:$P$1,'Total Reserves'!$C$18:$P$18,"",2)</f>
        <v/>
      </c>
      <c r="D23">
        <f>XLOOKUP(D20&amp;"*",'Total Reserves'!$C$1:$P$1,'Total Reserves'!$C$18:$P$18,"",2)</f>
        <v/>
      </c>
      <c r="E23">
        <f>XLOOKUP(E20&amp;"*",'Total Reserves'!$C$1:$P$1,'Total Reserves'!$C$18:$P$18,"",2)</f>
        <v/>
      </c>
      <c r="F23">
        <f>XLOOKUP(F20&amp;"*",'Total Reserves'!$C$1:$P$1,'Total Reserves'!$C$18:$P$18,"",2)</f>
        <v/>
      </c>
      <c r="G23">
        <f>XLOOKUP(G20&amp;"*",'Total Reserves'!$C$1:$P$1,'Total Reserves'!$C$18:$P$18,"",2)</f>
        <v/>
      </c>
      <c r="H23">
        <f>XLOOKUP(H20&amp;"*",'Total Reserves'!$C$1:$P$1,'Total Reserves'!$C$18:$P$18,"",2)</f>
        <v/>
      </c>
      <c r="I23">
        <f>XLOOKUP(I20&amp;"*",'Total Reserves'!$C$1:$P$1,'Total Reserves'!$C$18:$P$18,"",2)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2026-02-07T05:16:03Z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