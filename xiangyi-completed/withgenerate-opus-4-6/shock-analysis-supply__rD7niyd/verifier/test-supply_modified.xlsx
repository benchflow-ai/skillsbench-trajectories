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data'!E22:'CFC data'!E29)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SUM(O6:O27)+100*SUMPRODUCT(M7:M26,M7:M26)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  <c r="O6">
        <f>(K6-L6)^2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  <c r="O7">
        <f>(K7-L7)^2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  <c r="O8">
        <f>(K8-L8)^2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  <c r="O9">
        <f>(K9-L9)^2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  <c r="O10">
        <f>(K10-L10)^2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  <c r="O11">
        <f>(K11-L11)^2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  <c r="O12">
        <f>(K12-L12)^2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  <c r="O13">
        <f>(K13-L13)^2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  <c r="O14">
        <f>(K14-L14)^2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  <c r="O15">
        <f>(K15-L15)^2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  <c r="O16">
        <f>(K16-L16)^2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  <c r="O17">
        <f>(K17-L17)^2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  <c r="O18">
        <f>(K18-L18)^2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  <c r="O19">
        <f>(K19-L19)^2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  <c r="O20">
        <f>(K20-L20)^2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  <c r="O21">
        <f>(K21-L21)^2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  <c r="O22">
        <f>(K22-L22)^2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  <c r="O23">
        <f>(K23-L23)^2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  <c r="O24">
        <f>(K24-L24)^2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  <c r="O25">
        <f>(K25-L25)^2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  <c r="O26">
        <f>(K26-L26)^2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  <c r="O27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383641663.61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661603834.4299999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631701000.89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706983726.79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790112565.2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976818537.8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1617029966.26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2046413234.67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2350512405.91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2643602887.97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1555932152.32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2984890468.69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4492921334.91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4843616440.29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6152769261.62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9410657843.709999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217572.27</v>
      </c>
      <c r="C2" t="n">
        <v>60484.34</v>
      </c>
    </row>
    <row r="3">
      <c r="A3" s="19" t="n">
        <v>1991</v>
      </c>
      <c r="B3" s="19" t="n">
        <v>219328.42</v>
      </c>
      <c r="C3" t="n">
        <v>47581.01</v>
      </c>
    </row>
    <row r="4">
      <c r="A4" s="19" t="n">
        <v>1992</v>
      </c>
      <c r="B4" s="19" t="n">
        <v>215882.45</v>
      </c>
      <c r="C4" t="n">
        <v>26406.21</v>
      </c>
    </row>
    <row r="5">
      <c r="A5" s="19" t="n">
        <v>1993</v>
      </c>
      <c r="B5" s="19" t="n">
        <v>207684.89</v>
      </c>
      <c r="C5" t="n">
        <v>18671.66</v>
      </c>
    </row>
    <row r="6">
      <c r="A6" s="19" t="n">
        <v>1994</v>
      </c>
      <c r="B6" s="19" t="n">
        <v>202188.81</v>
      </c>
      <c r="C6" t="n">
        <v>16733.33</v>
      </c>
    </row>
    <row r="7">
      <c r="A7" s="19" t="n">
        <v>1995</v>
      </c>
      <c r="B7" s="19" t="n">
        <v>198953.86</v>
      </c>
      <c r="C7" t="n">
        <v>17164.64</v>
      </c>
    </row>
    <row r="8">
      <c r="A8" s="19" t="n">
        <v>1996</v>
      </c>
      <c r="B8" s="19" t="n">
        <v>196366.45</v>
      </c>
      <c r="C8" t="n">
        <v>19101.85</v>
      </c>
    </row>
    <row r="9">
      <c r="A9" s="19" t="n">
        <v>1997</v>
      </c>
      <c r="B9" s="19" t="n">
        <v>194417.84</v>
      </c>
      <c r="C9" t="n">
        <v>21111.17</v>
      </c>
    </row>
    <row r="10">
      <c r="A10" s="19" t="n">
        <v>1998</v>
      </c>
      <c r="B10" s="19" t="n">
        <v>194516.3</v>
      </c>
      <c r="C10" t="n">
        <v>21766.67</v>
      </c>
    </row>
    <row r="11">
      <c r="A11" s="19" t="n">
        <v>1999</v>
      </c>
      <c r="B11" s="19" t="n">
        <v>194964.56</v>
      </c>
      <c r="C11" t="n">
        <v>22391.21</v>
      </c>
    </row>
    <row r="12">
      <c r="A12" s="19" t="n">
        <v>2000</v>
      </c>
      <c r="B12" s="19" t="n">
        <v>195327.08</v>
      </c>
      <c r="C12" t="n">
        <v>22802.84</v>
      </c>
    </row>
    <row r="13">
      <c r="A13" s="19" t="n">
        <v>2001</v>
      </c>
      <c r="B13" s="19" t="n">
        <v>196512.45</v>
      </c>
      <c r="C13" t="n">
        <v>23898.62</v>
      </c>
    </row>
    <row r="14">
      <c r="A14" s="19" t="n">
        <v>2002</v>
      </c>
      <c r="B14" s="19" t="n">
        <v>197317.59</v>
      </c>
      <c r="C14" t="n">
        <v>25206.79</v>
      </c>
    </row>
    <row r="15">
      <c r="A15" s="19" t="n">
        <v>2003</v>
      </c>
      <c r="B15" s="19" t="n">
        <v>199678.92</v>
      </c>
      <c r="C15" t="n">
        <v>27994.18</v>
      </c>
    </row>
    <row r="16">
      <c r="A16" s="19" t="n">
        <v>2004</v>
      </c>
      <c r="B16" s="19" t="n">
        <v>202658.81</v>
      </c>
      <c r="C16" t="n">
        <v>29616.71</v>
      </c>
    </row>
    <row r="17">
      <c r="A17" s="19" t="n">
        <v>2005</v>
      </c>
      <c r="B17" s="19" t="n">
        <v>206400.5</v>
      </c>
      <c r="C17" t="n">
        <v>32456.45</v>
      </c>
    </row>
    <row r="18">
      <c r="A18" s="19" t="n">
        <v>2006</v>
      </c>
      <c r="B18" s="19" t="n">
        <v>209660.25</v>
      </c>
      <c r="C18" t="n">
        <v>35514.09</v>
      </c>
    </row>
    <row r="19">
      <c r="A19" s="19" t="n">
        <v>2007</v>
      </c>
      <c r="B19" s="19" t="n">
        <v>213821.38</v>
      </c>
      <c r="C19" t="n">
        <v>39981.33</v>
      </c>
    </row>
    <row r="20">
      <c r="A20" s="19" t="n">
        <v>2008</v>
      </c>
      <c r="B20" s="19" t="n">
        <v>215825.91</v>
      </c>
      <c r="C20" t="n">
        <v>40948.12</v>
      </c>
    </row>
    <row r="21">
      <c r="A21" s="19" t="n">
        <v>2009</v>
      </c>
      <c r="B21" s="19" t="n">
        <v>214505.91</v>
      </c>
      <c r="C21" t="n">
        <v>39453.47</v>
      </c>
    </row>
    <row r="22">
      <c r="A22" s="19" t="n">
        <v>2010</v>
      </c>
      <c r="B22" s="19" t="n">
        <v>215740.28</v>
      </c>
      <c r="C22" t="n">
        <v>41919.09</v>
      </c>
    </row>
    <row r="23">
      <c r="A23" s="19" t="n">
        <v>2011</v>
      </c>
      <c r="B23" s="19" t="n">
        <v>218333.7</v>
      </c>
      <c r="C23" t="n">
        <v>45004.61</v>
      </c>
    </row>
    <row r="24">
      <c r="A24" s="19" t="n">
        <v>2012</v>
      </c>
      <c r="B24" s="19" t="n">
        <v>221570.09</v>
      </c>
      <c r="C24" t="n">
        <v>47892.45</v>
      </c>
    </row>
    <row r="25">
      <c r="A25" s="19" t="n">
        <v>2013</v>
      </c>
      <c r="B25" s="19" t="n">
        <v>223431.88</v>
      </c>
      <c r="C25" t="n">
        <v>49624.03</v>
      </c>
    </row>
    <row r="26">
      <c r="A26" s="19" t="n">
        <v>2014</v>
      </c>
      <c r="B26" s="19" t="n">
        <v>227911.97</v>
      </c>
      <c r="C26" t="n">
        <v>51828.1</v>
      </c>
    </row>
    <row r="27">
      <c r="A27" s="19" t="n">
        <v>2015</v>
      </c>
      <c r="B27" s="19" t="n">
        <v>234164.86</v>
      </c>
      <c r="C27" t="n">
        <v>53396.74</v>
      </c>
    </row>
    <row r="28">
      <c r="A28" s="19" t="n">
        <v>2016</v>
      </c>
      <c r="B28" s="19" t="n">
        <v>241138.38</v>
      </c>
      <c r="C28" t="n">
        <v>54948.36</v>
      </c>
    </row>
    <row r="29">
      <c r="A29" s="19" t="n">
        <v>2017</v>
      </c>
      <c r="B29" s="19" t="n">
        <v>248033.09</v>
      </c>
      <c r="C29" t="n">
        <v>57609.71</v>
      </c>
    </row>
    <row r="30">
      <c r="A30" s="19" t="n">
        <v>2018</v>
      </c>
      <c r="B30" s="19" t="n">
        <v>254809.8</v>
      </c>
      <c r="C30" t="n">
        <v>60399.59</v>
      </c>
    </row>
    <row r="31">
      <c r="A31" s="19" t="n">
        <v>2019</v>
      </c>
      <c r="B31" s="19" t="n">
        <v>264125.56</v>
      </c>
      <c r="C31" t="n">
        <v>63508.82</v>
      </c>
    </row>
    <row r="32">
      <c r="A32" s="19" t="n">
        <v>2020</v>
      </c>
      <c r="B32" s="19">
        <f>TREND(B22:B31,A22:A31,A32)</f>
        <v/>
      </c>
      <c r="C32">
        <f>TREND(C22:C31,A22:A31,A32)</f>
        <v/>
      </c>
    </row>
    <row r="33">
      <c r="A33" s="19" t="n">
        <v>2021</v>
      </c>
      <c r="B33" s="19">
        <f>TREND(B22:B31,A22:A31,A33)</f>
        <v/>
      </c>
      <c r="C33">
        <f>TREND(C22:C31,A22:A31,A33)</f>
        <v/>
      </c>
    </row>
    <row r="34">
      <c r="A34" s="19" t="n">
        <v>2022</v>
      </c>
      <c r="B34" s="19">
        <f>TREND(B22:B31,A22:A31,A34)</f>
        <v/>
      </c>
      <c r="C34">
        <f>TREND(C22:C31,A22:A31,A34)</f>
        <v/>
      </c>
    </row>
    <row r="35">
      <c r="A35" s="19" t="n">
        <v>2023</v>
      </c>
      <c r="B35" s="19">
        <f>TREND(B22:B31,A22:A31,A35)</f>
        <v/>
      </c>
      <c r="C35">
        <f>TREND(C22:C31,A22:A31,A35)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1.9</v>
      </c>
    </row>
    <row r="9">
      <c r="B9" t="n">
        <v>2001</v>
      </c>
      <c r="C9" t="n">
        <v>17.772</v>
      </c>
      <c r="D9" t="n">
        <v>4.8</v>
      </c>
    </row>
    <row r="10">
      <c r="B10" t="n">
        <v>2002</v>
      </c>
      <c r="C10" t="n">
        <v>18.747</v>
      </c>
      <c r="D10" t="n">
        <v>5.5</v>
      </c>
    </row>
    <row r="11">
      <c r="B11" t="n">
        <v>2003</v>
      </c>
      <c r="C11" t="n">
        <v>20.852</v>
      </c>
      <c r="D11" t="n">
        <v>11.2</v>
      </c>
    </row>
    <row r="12">
      <c r="B12" t="n">
        <v>2004</v>
      </c>
      <c r="C12" t="n">
        <v>22.061</v>
      </c>
      <c r="D12" t="n">
        <v>5.8</v>
      </c>
    </row>
    <row r="13">
      <c r="B13" t="n">
        <v>2005</v>
      </c>
      <c r="C13" t="n">
        <v>24.176</v>
      </c>
      <c r="D13" t="n">
        <v>9.6</v>
      </c>
    </row>
    <row r="14">
      <c r="B14" t="n">
        <v>2006</v>
      </c>
      <c r="C14" t="n">
        <v>26.454</v>
      </c>
      <c r="D14" t="n">
        <v>9.4</v>
      </c>
    </row>
    <row r="15">
      <c r="B15" t="n">
        <v>2007</v>
      </c>
      <c r="C15" t="n">
        <v>29.781</v>
      </c>
      <c r="D15" t="n">
        <v>12.6</v>
      </c>
    </row>
    <row r="16">
      <c r="B16" t="n">
        <v>2008</v>
      </c>
      <c r="C16" t="n">
        <v>30.502</v>
      </c>
      <c r="D16" t="n">
        <v>2.4</v>
      </c>
    </row>
    <row r="17">
      <c r="B17" t="n">
        <v>2009</v>
      </c>
      <c r="C17" t="n">
        <v>29.388</v>
      </c>
      <c r="D17" t="n">
        <v>-3.7</v>
      </c>
    </row>
    <row r="18">
      <c r="B18" t="n">
        <v>2010</v>
      </c>
      <c r="C18" t="n">
        <v>31.428</v>
      </c>
      <c r="D18" t="n">
        <v>6.9</v>
      </c>
    </row>
    <row r="19">
      <c r="B19" t="n">
        <v>2011</v>
      </c>
      <c r="C19" t="n">
        <v>33.927</v>
      </c>
      <c r="D19" t="n">
        <v>7.9</v>
      </c>
    </row>
    <row r="20">
      <c r="B20" t="n">
        <v>2012</v>
      </c>
      <c r="C20" t="n">
        <v>36.159</v>
      </c>
      <c r="D20" t="n">
        <v>6.6</v>
      </c>
    </row>
    <row r="21">
      <c r="B21" t="n">
        <v>2013</v>
      </c>
      <c r="C21" t="n">
        <v>38.015</v>
      </c>
      <c r="D21" t="n">
        <v>5.1</v>
      </c>
    </row>
    <row r="22">
      <c r="B22" t="n">
        <v>2014</v>
      </c>
      <c r="C22" t="n">
        <v>39.57</v>
      </c>
      <c r="D22" t="n">
        <v>4.1</v>
      </c>
    </row>
    <row r="23">
      <c r="B23" t="n">
        <v>2015</v>
      </c>
      <c r="C23" t="n">
        <v>40.896</v>
      </c>
      <c r="D23" t="n">
        <v>3.4</v>
      </c>
    </row>
    <row r="24">
      <c r="B24" t="n">
        <v>2016</v>
      </c>
      <c r="C24" t="n">
        <v>42.307</v>
      </c>
      <c r="D24" t="n">
        <v>3.4</v>
      </c>
    </row>
    <row r="25">
      <c r="B25" t="n">
        <v>2017</v>
      </c>
      <c r="C25" t="n">
        <v>44.49</v>
      </c>
      <c r="D25" t="n">
        <v>5.2</v>
      </c>
    </row>
    <row r="26">
      <c r="B26" t="n">
        <v>2018</v>
      </c>
      <c r="C26" t="n">
        <v>47.187</v>
      </c>
      <c r="D26" t="n">
        <v>6.1</v>
      </c>
    </row>
    <row r="27">
      <c r="B27" t="n">
        <v>2019</v>
      </c>
      <c r="C27" t="n">
        <v>49.726</v>
      </c>
      <c r="D27" t="n">
        <v>5.4</v>
      </c>
    </row>
    <row r="28">
      <c r="B28" t="n">
        <v>2020</v>
      </c>
      <c r="C28" t="n">
        <v>46.598</v>
      </c>
      <c r="D28" t="n">
        <v>-6.3</v>
      </c>
    </row>
    <row r="29">
      <c r="B29" t="n">
        <v>2021</v>
      </c>
      <c r="C29" t="n">
        <v>51.558</v>
      </c>
      <c r="D29" t="n">
        <v>10.6</v>
      </c>
    </row>
    <row r="30">
      <c r="B30" t="n">
        <v>2022</v>
      </c>
      <c r="C30" t="n">
        <v>57.208</v>
      </c>
      <c r="D30" t="n">
        <v>11</v>
      </c>
    </row>
    <row r="31">
      <c r="B31" t="n">
        <v>2023</v>
      </c>
      <c r="C31" t="n">
        <v>61.484</v>
      </c>
      <c r="D31" t="n">
        <v>7.8</v>
      </c>
    </row>
    <row r="32">
      <c r="B32" t="n">
        <v>2024</v>
      </c>
      <c r="C32">
        <f>C31*(1+D32/100)</f>
        <v/>
      </c>
      <c r="D32" t="n">
        <v>9.4</v>
      </c>
    </row>
    <row r="33">
      <c r="B33" t="n">
        <v>2025</v>
      </c>
      <c r="C33">
        <f>C32*(1+D33/100)</f>
        <v/>
      </c>
      <c r="D33" t="n">
        <v>7.2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D35</f>
        <v/>
      </c>
    </row>
    <row r="38">
      <c r="B38" t="n">
        <v>2030</v>
      </c>
      <c r="C38">
        <f>C37*(1+D38/100)</f>
        <v/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2026-02-07T06:21:38Z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