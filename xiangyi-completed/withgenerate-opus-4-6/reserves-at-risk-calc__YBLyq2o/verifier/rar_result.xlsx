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C4*SQRT(4)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'Value'!D18</f>
        <v/>
      </c>
      <c r="D12" s="2">
        <f>'Value'!F18</f>
        <v/>
      </c>
      <c r="E12" s="3">
        <f>'Value'!J18</f>
        <v/>
      </c>
      <c r="F12" s="3">
        <f>'Value'!L18</f>
        <v/>
      </c>
      <c r="G12" s="3">
        <f>'Value'!M18</f>
        <v/>
      </c>
      <c r="H12" s="3">
        <f>'Value'!N18</f>
        <v/>
      </c>
      <c r="I12" s="3">
        <f>'Value'!O18</f>
        <v/>
      </c>
      <c r="J12" s="7">
        <f>'Value'!Q18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$C$3*($C$4/100)*C12</f>
        <v/>
      </c>
      <c r="D13">
        <f>$C$3*($C$4/100)*D12</f>
        <v/>
      </c>
      <c r="E13">
        <f>$C$3*($C$4/100)*E12</f>
        <v/>
      </c>
      <c r="F13">
        <f>$C$3*($C$4/100)*F12</f>
        <v/>
      </c>
      <c r="G13">
        <f>$C$3*($C$4/100)*G12</f>
        <v/>
      </c>
      <c r="H13">
        <f>$C$3*($C$4/100)*H12</f>
        <v/>
      </c>
      <c r="I13">
        <f>$C$3*($C$4/100)*I12</f>
        <v/>
      </c>
      <c r="J13">
        <f>$C$3*($C$4/100)*J12</f>
        <v/>
      </c>
      <c r="K13">
        <f>$C$3*($C$4/100)*K12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XLOOKUP(C20,$C$11:$K$11,$C$12:$K$12)</f>
        <v/>
      </c>
      <c r="D21" s="2">
        <f>XLOOKUP(D20,$C$11:$K$11,$C$12:$K$12)</f>
        <v/>
      </c>
      <c r="E21" s="3">
        <f>XLOOKUP(E20,$C$11:$K$11,$C$12:$K$12)</f>
        <v/>
      </c>
      <c r="F21" s="3">
        <f>XLOOKUP(F20,$C$11:$K$11,$C$12:$K$12)</f>
        <v/>
      </c>
      <c r="G21" s="3">
        <f>XLOOKUP(G20,$C$11:$K$11,$C$12:$K$12)</f>
        <v/>
      </c>
      <c r="H21" s="7">
        <f>XLOOKUP(H20,$C$11:$K$11,$C$12:$K$12)</f>
        <v/>
      </c>
      <c r="I21">
        <f>XLOOKUP(I20,$C$11:$K$11,$C$12:$K$12)</f>
        <v/>
      </c>
    </row>
    <row r="22">
      <c r="B22" t="inlineStr">
        <is>
          <t>Gold valuation exposure (95% one-sided shock)</t>
        </is>
      </c>
      <c r="C22">
        <f>$C$3*($C$4/100)*C21</f>
        <v/>
      </c>
      <c r="D22">
        <f>$C$3*($C$4/100)*D21</f>
        <v/>
      </c>
      <c r="E22">
        <f>$C$3*($C$4/100)*E21</f>
        <v/>
      </c>
      <c r="F22">
        <f>$C$3*($C$4/100)*F21</f>
        <v/>
      </c>
      <c r="G22">
        <f>$C$3*($C$4/100)*G21</f>
        <v/>
      </c>
      <c r="H22">
        <f>$C$3*($C$4/100)*H21</f>
        <v/>
      </c>
      <c r="I22">
        <f>$C$3*($C$4/100)*I21</f>
        <v/>
      </c>
    </row>
    <row r="23">
      <c r="B23" t="inlineStr">
        <is>
          <t>Total Reserve</t>
        </is>
      </c>
      <c r="C23">
        <f>'Total Reserves'!D18</f>
        <v/>
      </c>
      <c r="D23">
        <f>'Total Reserves'!E18</f>
        <v/>
      </c>
      <c r="E23">
        <f>'Total Reserves'!H18</f>
        <v/>
      </c>
      <c r="F23">
        <f>'Total Reserves'!I18</f>
        <v/>
      </c>
      <c r="G23">
        <f>'Total Reserves'!J18</f>
        <v/>
      </c>
      <c r="H23">
        <f>'Total Reserves'!K18</f>
        <v/>
      </c>
      <c r="I23">
        <f>'Total Reserves'!N18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2026-02-07T06:30:28Z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