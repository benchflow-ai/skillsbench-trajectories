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A4" t="inlineStr">
        <is>
          <t>HP lambda</t>
        </is>
      </c>
      <c r="B4" t="n">
        <v>100</v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>
        <f>SUMXMY2(K6:K27,L6:L27)+$B$4*SUMSQ(M8:M27)</f>
        <v/>
      </c>
      <c r="P5" s="13" t="n"/>
    </row>
    <row r="6">
      <c r="C6" t="n">
        <v>2002</v>
      </c>
      <c r="D6" s="19">
        <f>IFERROR(INDEX(PWT!$C$2:$C$35, MATCH(C6, PWT!$A$2:$A$35, 0)), "")</f>
        <v/>
      </c>
      <c r="E6">
        <f>IFERROR(INDEX('WEO_Data'!$C:$C, MATCH(C6, 'WEO_Data'!$B:$B, 0)), "")</f>
        <v/>
      </c>
      <c r="F6">
        <f>IFERROR(LN(D6), "")</f>
        <v/>
      </c>
      <c r="G6">
        <f>IFERROR(LN(E6), "")</f>
        <v/>
      </c>
      <c r="K6" s="4">
        <f>IFERROR(G6-$B$2*F6, "")</f>
        <v/>
      </c>
      <c r="L6">
        <f>K6</f>
        <v/>
      </c>
      <c r="M6">
        <f>IF(ROW()&lt;8, "", L6-2*L5+L4)</f>
        <v/>
      </c>
      <c r="N6" s="5">
        <f>K6-L6</f>
        <v/>
      </c>
    </row>
    <row r="7">
      <c r="C7" t="n">
        <v>2003</v>
      </c>
      <c r="D7" s="19">
        <f>IFERROR(INDEX(PWT!$C$2:$C$35, MATCH(C7, PWT!$A$2:$A$35, 0)), "")</f>
        <v/>
      </c>
      <c r="E7">
        <f>IFERROR(INDEX('WEO_Data'!$C:$C, MATCH(C7, 'WEO_Data'!$B:$B, 0)), "")</f>
        <v/>
      </c>
      <c r="F7">
        <f>IFERROR(LN(D7), "")</f>
        <v/>
      </c>
      <c r="G7">
        <f>IFERROR(LN(E7), "")</f>
        <v/>
      </c>
      <c r="K7" s="4">
        <f>IFERROR(G7-$B$2*F7, "")</f>
        <v/>
      </c>
      <c r="L7">
        <f>K7</f>
        <v/>
      </c>
      <c r="M7">
        <f>IF(ROW()&lt;8, "", L7-2*L6+L5)</f>
        <v/>
      </c>
      <c r="N7" s="5">
        <f>K7-L7</f>
        <v/>
      </c>
    </row>
    <row r="8">
      <c r="C8" t="n">
        <v>2004</v>
      </c>
      <c r="D8" s="19">
        <f>IFERROR(INDEX(PWT!$C$2:$C$35, MATCH(C8, PWT!$A$2:$A$35, 0)), "")</f>
        <v/>
      </c>
      <c r="E8">
        <f>IFERROR(INDEX('WEO_Data'!$C:$C, MATCH(C8, 'WEO_Data'!$B:$B, 0)), "")</f>
        <v/>
      </c>
      <c r="F8">
        <f>IFERROR(LN(D8), "")</f>
        <v/>
      </c>
      <c r="G8">
        <f>IFERROR(LN(E8), "")</f>
        <v/>
      </c>
      <c r="K8" s="4">
        <f>IFERROR(G8-$B$2*F8, "")</f>
        <v/>
      </c>
      <c r="L8">
        <f>K8</f>
        <v/>
      </c>
      <c r="M8">
        <f>IF(ROW()&lt;8, "", L8-2*L7+L6)</f>
        <v/>
      </c>
      <c r="N8" s="5">
        <f>K8-L8</f>
        <v/>
      </c>
    </row>
    <row r="9">
      <c r="C9" t="n">
        <v>2005</v>
      </c>
      <c r="D9" s="19">
        <f>IFERROR(INDEX(PWT!$C$2:$C$35, MATCH(C9, PWT!$A$2:$A$35, 0)), "")</f>
        <v/>
      </c>
      <c r="E9">
        <f>IFERROR(INDEX('WEO_Data'!$C:$C, MATCH(C9, 'WEO_Data'!$B:$B, 0)), "")</f>
        <v/>
      </c>
      <c r="F9">
        <f>IFERROR(LN(D9), "")</f>
        <v/>
      </c>
      <c r="G9">
        <f>IFERROR(LN(E9), "")</f>
        <v/>
      </c>
      <c r="K9" s="4">
        <f>IFERROR(G9-$B$2*F9, "")</f>
        <v/>
      </c>
      <c r="L9">
        <f>K9</f>
        <v/>
      </c>
      <c r="M9">
        <f>IF(ROW()&lt;8, "", L9-2*L8+L7)</f>
        <v/>
      </c>
      <c r="N9" s="5">
        <f>K9-L9</f>
        <v/>
      </c>
    </row>
    <row r="10">
      <c r="C10" t="n">
        <v>2006</v>
      </c>
      <c r="D10" s="19">
        <f>IFERROR(INDEX(PWT!$C$2:$C$35, MATCH(C10, PWT!$A$2:$A$35, 0)), "")</f>
        <v/>
      </c>
      <c r="E10">
        <f>IFERROR(INDEX('WEO_Data'!$C:$C, MATCH(C10, 'WEO_Data'!$B:$B, 0)), "")</f>
        <v/>
      </c>
      <c r="F10">
        <f>IFERROR(LN(D10), "")</f>
        <v/>
      </c>
      <c r="G10">
        <f>IFERROR(LN(E10), "")</f>
        <v/>
      </c>
      <c r="K10" s="4">
        <f>IFERROR(G10-$B$2*F10, "")</f>
        <v/>
      </c>
      <c r="L10">
        <f>K10</f>
        <v/>
      </c>
      <c r="M10">
        <f>IF(ROW()&lt;8, "", L10-2*L9+L8)</f>
        <v/>
      </c>
      <c r="N10" s="5">
        <f>K10-L10</f>
        <v/>
      </c>
    </row>
    <row r="11">
      <c r="C11" t="n">
        <v>2007</v>
      </c>
      <c r="D11" s="19">
        <f>IFERROR(INDEX(PWT!$C$2:$C$35, MATCH(C11, PWT!$A$2:$A$35, 0)), "")</f>
        <v/>
      </c>
      <c r="E11">
        <f>IFERROR(INDEX('WEO_Data'!$C:$C, MATCH(C11, 'WEO_Data'!$B:$B, 0)), "")</f>
        <v/>
      </c>
      <c r="F11">
        <f>IFERROR(LN(D11), "")</f>
        <v/>
      </c>
      <c r="G11">
        <f>IFERROR(LN(E11), "")</f>
        <v/>
      </c>
      <c r="K11" s="4">
        <f>IFERROR(G11-$B$2*F11, "")</f>
        <v/>
      </c>
      <c r="L11">
        <f>K11</f>
        <v/>
      </c>
      <c r="M11">
        <f>IF(ROW()&lt;8, "", L11-2*L10+L9)</f>
        <v/>
      </c>
      <c r="N11" s="5">
        <f>K11-L11</f>
        <v/>
      </c>
    </row>
    <row r="12">
      <c r="C12" t="n">
        <v>2008</v>
      </c>
      <c r="D12" s="19">
        <f>IFERROR(INDEX(PWT!$C$2:$C$35, MATCH(C12, PWT!$A$2:$A$35, 0)), "")</f>
        <v/>
      </c>
      <c r="E12">
        <f>IFERROR(INDEX('WEO_Data'!$C:$C, MATCH(C12, 'WEO_Data'!$B:$B, 0)), "")</f>
        <v/>
      </c>
      <c r="F12">
        <f>IFERROR(LN(D12), "")</f>
        <v/>
      </c>
      <c r="G12">
        <f>IFERROR(LN(E12), "")</f>
        <v/>
      </c>
      <c r="K12" s="4">
        <f>IFERROR(G12-$B$2*F12, "")</f>
        <v/>
      </c>
      <c r="L12">
        <f>K12</f>
        <v/>
      </c>
      <c r="M12">
        <f>IF(ROW()&lt;8, "", L12-2*L11+L10)</f>
        <v/>
      </c>
      <c r="N12" s="5">
        <f>K12-L12</f>
        <v/>
      </c>
    </row>
    <row r="13">
      <c r="C13" t="n">
        <v>2009</v>
      </c>
      <c r="D13" s="19">
        <f>IFERROR(INDEX(PWT!$C$2:$C$35, MATCH(C13, PWT!$A$2:$A$35, 0)), "")</f>
        <v/>
      </c>
      <c r="E13">
        <f>IFERROR(INDEX('WEO_Data'!$C:$C, MATCH(C13, 'WEO_Data'!$B:$B, 0)), "")</f>
        <v/>
      </c>
      <c r="F13">
        <f>IFERROR(LN(D13), "")</f>
        <v/>
      </c>
      <c r="G13">
        <f>IFERROR(LN(E13), "")</f>
        <v/>
      </c>
      <c r="K13" s="4">
        <f>IFERROR(G13-$B$2*F13, "")</f>
        <v/>
      </c>
      <c r="L13">
        <f>K13</f>
        <v/>
      </c>
      <c r="M13">
        <f>IF(ROW()&lt;8, "", L13-2*L12+L11)</f>
        <v/>
      </c>
      <c r="N13" s="5">
        <f>K13-L13</f>
        <v/>
      </c>
    </row>
    <row r="14">
      <c r="C14" t="n">
        <v>2010</v>
      </c>
      <c r="D14" s="19">
        <f>IFERROR(INDEX(PWT!$C$2:$C$35, MATCH(C14, PWT!$A$2:$A$35, 0)), "")</f>
        <v/>
      </c>
      <c r="E14">
        <f>IFERROR(INDEX('WEO_Data'!$C:$C, MATCH(C14, 'WEO_Data'!$B:$B, 0)), "")</f>
        <v/>
      </c>
      <c r="F14">
        <f>IFERROR(LN(D14), "")</f>
        <v/>
      </c>
      <c r="G14">
        <f>IFERROR(LN(E14), "")</f>
        <v/>
      </c>
      <c r="K14" s="4">
        <f>IFERROR(G14-$B$2*F14, "")</f>
        <v/>
      </c>
      <c r="L14">
        <f>K14</f>
        <v/>
      </c>
      <c r="M14">
        <f>IF(ROW()&lt;8, "", L14-2*L13+L12)</f>
        <v/>
      </c>
      <c r="N14" s="5">
        <f>K14-L14</f>
        <v/>
      </c>
    </row>
    <row r="15">
      <c r="C15" t="n">
        <v>2011</v>
      </c>
      <c r="D15" s="19">
        <f>IFERROR(INDEX(PWT!$C$2:$C$35, MATCH(C15, PWT!$A$2:$A$35, 0)), "")</f>
        <v/>
      </c>
      <c r="E15">
        <f>IFERROR(INDEX('WEO_Data'!$C:$C, MATCH(C15, 'WEO_Data'!$B:$B, 0)), "")</f>
        <v/>
      </c>
      <c r="F15">
        <f>IFERROR(LN(D15), "")</f>
        <v/>
      </c>
      <c r="G15">
        <f>IFERROR(LN(E15), "")</f>
        <v/>
      </c>
      <c r="K15" s="4">
        <f>IFERROR(G15-$B$2*F15, "")</f>
        <v/>
      </c>
      <c r="L15">
        <f>K15</f>
        <v/>
      </c>
      <c r="M15">
        <f>IF(ROW()&lt;8, "", L15-2*L14+L13)</f>
        <v/>
      </c>
      <c r="N15" s="5">
        <f>K15-L15</f>
        <v/>
      </c>
    </row>
    <row r="16">
      <c r="C16" t="n">
        <v>2012</v>
      </c>
      <c r="D16" s="19">
        <f>IFERROR(INDEX(PWT!$C$2:$C$35, MATCH(C16, PWT!$A$2:$A$35, 0)), "")</f>
        <v/>
      </c>
      <c r="E16">
        <f>IFERROR(INDEX('WEO_Data'!$C:$C, MATCH(C16, 'WEO_Data'!$B:$B, 0)), "")</f>
        <v/>
      </c>
      <c r="F16">
        <f>IFERROR(LN(D16), "")</f>
        <v/>
      </c>
      <c r="G16">
        <f>IFERROR(LN(E16), "")</f>
        <v/>
      </c>
      <c r="K16" s="4">
        <f>IFERROR(G16-$B$2*F16, "")</f>
        <v/>
      </c>
      <c r="L16">
        <f>K16</f>
        <v/>
      </c>
      <c r="M16">
        <f>IF(ROW()&lt;8, "", L16-2*L15+L14)</f>
        <v/>
      </c>
      <c r="N16" s="5">
        <f>K16-L16</f>
        <v/>
      </c>
    </row>
    <row r="17">
      <c r="C17" t="n">
        <v>2013</v>
      </c>
      <c r="D17" s="19">
        <f>IFERROR(INDEX(PWT!$C$2:$C$35, MATCH(C17, PWT!$A$2:$A$35, 0)), "")</f>
        <v/>
      </c>
      <c r="E17">
        <f>IFERROR(INDEX('WEO_Data'!$C:$C, MATCH(C17, 'WEO_Data'!$B:$B, 0)), "")</f>
        <v/>
      </c>
      <c r="F17">
        <f>IFERROR(LN(D17), "")</f>
        <v/>
      </c>
      <c r="G17">
        <f>IFERROR(LN(E17), "")</f>
        <v/>
      </c>
      <c r="K17" s="4">
        <f>IFERROR(G17-$B$2*F17, "")</f>
        <v/>
      </c>
      <c r="L17">
        <f>K17</f>
        <v/>
      </c>
      <c r="M17">
        <f>IF(ROW()&lt;8, "", L17-2*L16+L15)</f>
        <v/>
      </c>
      <c r="N17" s="5">
        <f>K17-L17</f>
        <v/>
      </c>
    </row>
    <row r="18">
      <c r="C18" t="n">
        <v>2014</v>
      </c>
      <c r="D18" s="19">
        <f>IFERROR(INDEX(PWT!$C$2:$C$35, MATCH(C18, PWT!$A$2:$A$35, 0)), "")</f>
        <v/>
      </c>
      <c r="E18">
        <f>IFERROR(INDEX('WEO_Data'!$C:$C, MATCH(C18, 'WEO_Data'!$B:$B, 0)), "")</f>
        <v/>
      </c>
      <c r="F18">
        <f>IFERROR(LN(D18), "")</f>
        <v/>
      </c>
      <c r="G18">
        <f>IFERROR(LN(E18), "")</f>
        <v/>
      </c>
      <c r="K18" s="4">
        <f>IFERROR(G18-$B$2*F18, "")</f>
        <v/>
      </c>
      <c r="L18">
        <f>K18</f>
        <v/>
      </c>
      <c r="M18">
        <f>IF(ROW()&lt;8, "", L18-2*L17+L16)</f>
        <v/>
      </c>
      <c r="N18" s="5">
        <f>K18-L18</f>
        <v/>
      </c>
    </row>
    <row r="19">
      <c r="C19" t="n">
        <v>2015</v>
      </c>
      <c r="D19" s="19">
        <f>IFERROR(INDEX(PWT!$C$2:$C$35, MATCH(C19, PWT!$A$2:$A$35, 0)), "")</f>
        <v/>
      </c>
      <c r="E19">
        <f>IFERROR(INDEX('WEO_Data'!$C:$C, MATCH(C19, 'WEO_Data'!$B:$B, 0)), "")</f>
        <v/>
      </c>
      <c r="F19">
        <f>IFERROR(LN(D19), "")</f>
        <v/>
      </c>
      <c r="G19">
        <f>IFERROR(LN(E19), "")</f>
        <v/>
      </c>
      <c r="K19" s="4">
        <f>IFERROR(G19-$B$2*F19, "")</f>
        <v/>
      </c>
      <c r="L19">
        <f>K19</f>
        <v/>
      </c>
      <c r="M19">
        <f>IF(ROW()&lt;8, "", L19-2*L18+L17)</f>
        <v/>
      </c>
      <c r="N19" s="5">
        <f>K19-L19</f>
        <v/>
      </c>
    </row>
    <row r="20">
      <c r="C20" t="n">
        <v>2016</v>
      </c>
      <c r="D20" s="19">
        <f>IFERROR(INDEX(PWT!$C$2:$C$35, MATCH(C20, PWT!$A$2:$A$35, 0)), "")</f>
        <v/>
      </c>
      <c r="E20">
        <f>IFERROR(INDEX('WEO_Data'!$C:$C, MATCH(C20, 'WEO_Data'!$B:$B, 0)), "")</f>
        <v/>
      </c>
      <c r="F20">
        <f>IFERROR(LN(D20), "")</f>
        <v/>
      </c>
      <c r="G20">
        <f>IFERROR(LN(E20), "")</f>
        <v/>
      </c>
      <c r="K20" s="4">
        <f>IFERROR(G20-$B$2*F20, "")</f>
        <v/>
      </c>
      <c r="L20">
        <f>K20</f>
        <v/>
      </c>
      <c r="M20">
        <f>IF(ROW()&lt;8, "", L20-2*L19+L18)</f>
        <v/>
      </c>
      <c r="N20" s="5">
        <f>K20-L20</f>
        <v/>
      </c>
    </row>
    <row r="21">
      <c r="C21" t="n">
        <v>2017</v>
      </c>
      <c r="D21" s="19">
        <f>IFERROR(INDEX(PWT!$C$2:$C$35, MATCH(C21, PWT!$A$2:$A$35, 0)), "")</f>
        <v/>
      </c>
      <c r="E21">
        <f>IFERROR(INDEX('WEO_Data'!$C:$C, MATCH(C21, 'WEO_Data'!$B:$B, 0)), "")</f>
        <v/>
      </c>
      <c r="F21">
        <f>IFERROR(LN(D21), "")</f>
        <v/>
      </c>
      <c r="G21">
        <f>IFERROR(LN(E21), "")</f>
        <v/>
      </c>
      <c r="K21" s="4">
        <f>IFERROR(G21-$B$2*F21, "")</f>
        <v/>
      </c>
      <c r="L21">
        <f>K21</f>
        <v/>
      </c>
      <c r="M21">
        <f>IF(ROW()&lt;8, "", L21-2*L20+L19)</f>
        <v/>
      </c>
      <c r="N21" s="5">
        <f>K21-L21</f>
        <v/>
      </c>
    </row>
    <row r="22">
      <c r="C22" t="n">
        <v>2018</v>
      </c>
      <c r="D22" s="19">
        <f>IFERROR(INDEX(PWT!$C$2:$C$35, MATCH(C22, PWT!$A$2:$A$35, 0)), "")</f>
        <v/>
      </c>
      <c r="E22">
        <f>IFERROR(INDEX('WEO_Data'!$C:$C, MATCH(C22, 'WEO_Data'!$B:$B, 0)), "")</f>
        <v/>
      </c>
      <c r="F22">
        <f>IFERROR(LN(D22), "")</f>
        <v/>
      </c>
      <c r="G22">
        <f>IFERROR(LN(E22), "")</f>
        <v/>
      </c>
      <c r="K22" s="4">
        <f>IFERROR(G22-$B$2*F22, "")</f>
        <v/>
      </c>
      <c r="L22">
        <f>K22</f>
        <v/>
      </c>
      <c r="M22">
        <f>IF(ROW()&lt;8, "", L22-2*L21+L20)</f>
        <v/>
      </c>
      <c r="N22" s="5">
        <f>K22-L22</f>
        <v/>
      </c>
    </row>
    <row r="23">
      <c r="C23" t="n">
        <v>2019</v>
      </c>
      <c r="D23" s="19">
        <f>IFERROR(INDEX(PWT!$C$2:$C$35, MATCH(C23, PWT!$A$2:$A$35, 0)), "")</f>
        <v/>
      </c>
      <c r="E23">
        <f>IFERROR(INDEX('WEO_Data'!$C:$C, MATCH(C23, 'WEO_Data'!$B:$B, 0)), "")</f>
        <v/>
      </c>
      <c r="F23">
        <f>IFERROR(LN(D23), "")</f>
        <v/>
      </c>
      <c r="G23">
        <f>IFERROR(LN(E23), "")</f>
        <v/>
      </c>
      <c r="K23" s="4">
        <f>IFERROR(G23-$B$2*F23, "")</f>
        <v/>
      </c>
      <c r="L23">
        <f>K23</f>
        <v/>
      </c>
      <c r="M23">
        <f>IF(ROW()&lt;8, "", L23-2*L22+L21)</f>
        <v/>
      </c>
      <c r="N23" s="5">
        <f>K23-L23</f>
        <v/>
      </c>
    </row>
    <row r="24">
      <c r="C24" t="n">
        <v>2020</v>
      </c>
      <c r="D24" s="19">
        <f>IFERROR(INDEX(PWT!$C$2:$C$35, MATCH(C24, PWT!$A$2:$A$35, 0)), "")</f>
        <v/>
      </c>
      <c r="E24">
        <f>IFERROR(INDEX('WEO_Data'!$C:$C, MATCH(C24, 'WEO_Data'!$B:$B, 0)), "")</f>
        <v/>
      </c>
      <c r="F24">
        <f>IFERROR(LN(D24), "")</f>
        <v/>
      </c>
      <c r="G24">
        <f>IFERROR(LN(E24), "")</f>
        <v/>
      </c>
      <c r="K24" s="4">
        <f>IFERROR(G24-$B$2*F24, "")</f>
        <v/>
      </c>
      <c r="L24">
        <f>K24</f>
        <v/>
      </c>
      <c r="M24">
        <f>IF(ROW()&lt;8, "", L24-2*L23+L22)</f>
        <v/>
      </c>
      <c r="N24" s="5">
        <f>K24-L24</f>
        <v/>
      </c>
    </row>
    <row r="25">
      <c r="C25" t="n">
        <v>2021</v>
      </c>
      <c r="D25" s="19">
        <f>IFERROR(INDEX(PWT!$C$2:$C$35, MATCH(C25, PWT!$A$2:$A$35, 0)), "")</f>
        <v/>
      </c>
      <c r="E25">
        <f>IFERROR(INDEX('WEO_Data'!$C:$C, MATCH(C25, 'WEO_Data'!$B:$B, 0)), "")</f>
        <v/>
      </c>
      <c r="F25">
        <f>IFERROR(LN(D25), "")</f>
        <v/>
      </c>
      <c r="G25">
        <f>IFERROR(LN(E25), "")</f>
        <v/>
      </c>
      <c r="K25" s="4">
        <f>IFERROR(G25-$B$2*F25, "")</f>
        <v/>
      </c>
      <c r="L25">
        <f>K25</f>
        <v/>
      </c>
      <c r="M25">
        <f>IF(ROW()&lt;8, "", L25-2*L24+L23)</f>
        <v/>
      </c>
      <c r="N25" s="5">
        <f>K25-L25</f>
        <v/>
      </c>
    </row>
    <row r="26">
      <c r="C26" t="n">
        <v>2022</v>
      </c>
      <c r="D26" s="19">
        <f>IFERROR(INDEX(PWT!$C$2:$C$35, MATCH(C26, PWT!$A$2:$A$35, 0)), "")</f>
        <v/>
      </c>
      <c r="E26">
        <f>IFERROR(INDEX('WEO_Data'!$C:$C, MATCH(C26, 'WEO_Data'!$B:$B, 0)), "")</f>
        <v/>
      </c>
      <c r="F26">
        <f>IFERROR(LN(D26), "")</f>
        <v/>
      </c>
      <c r="G26">
        <f>IFERROR(LN(E26), "")</f>
        <v/>
      </c>
      <c r="K26" s="4">
        <f>IFERROR(G26-$B$2*F26, "")</f>
        <v/>
      </c>
      <c r="L26">
        <f>K26</f>
        <v/>
      </c>
      <c r="M26">
        <f>IF(ROW()&lt;8, "", L26-2*L25+L24)</f>
        <v/>
      </c>
      <c r="N26" s="5">
        <f>K26-L26</f>
        <v/>
      </c>
    </row>
    <row r="27">
      <c r="C27" t="n">
        <v>2023</v>
      </c>
      <c r="D27" s="19">
        <f>IFERROR(INDEX(PWT!$C$2:$C$35, MATCH(C27, PWT!$A$2:$A$35, 0)), "")</f>
        <v/>
      </c>
      <c r="E27">
        <f>IFERROR(INDEX('WEO_Data'!$C:$C, MATCH(C27, 'WEO_Data'!$B:$B, 0)), "")</f>
        <v/>
      </c>
      <c r="F27">
        <f>IFERROR(LN(D27), "")</f>
        <v/>
      </c>
      <c r="G27">
        <f>IFERROR(LN(E27), "")</f>
        <v/>
      </c>
      <c r="K27" s="6">
        <f>IFERROR(G27-$B$2*F27, "")</f>
        <v/>
      </c>
      <c r="L27" s="7">
        <f>K27</f>
        <v/>
      </c>
      <c r="M27" s="7">
        <f>IF(ROW()&lt;8, "", L27-2*L26+L25)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IFERROR(IF(C36&lt;=2023, E36/F36, AVERAGE($D$49:$D$57)), "")</f>
        <v/>
      </c>
      <c r="E36" s="19">
        <f>IF(C36&lt;=2023, IFERROR(INDEX(PWT!$C$2:$C$35, MATCH(C36, PWT!$A$2:$A$35, 0)), ""), D36*F36)</f>
        <v/>
      </c>
      <c r="F36">
        <f>IFERROR(INDEX('WEO_Data'!$C:$C, MATCH(C36, 'WEO_Data'!$B:$B, 0)), "")</f>
        <v/>
      </c>
      <c r="G36">
        <f>IF(C36&lt;=2023, INDEX($L$6:$L$27, ROW()-35), TREND($G$36:$G$57, $C$36:$C$57, C36))</f>
        <v/>
      </c>
      <c r="H36">
        <f>IFERROR(EXP(G36+$B$2*LN(E36)), "")</f>
        <v/>
      </c>
      <c r="I36">
        <f>IFERROR(INDEX(Investment!$C:$C, MATCH(C36, Investment!$B:$B, 0)), 0)</f>
        <v/>
      </c>
      <c r="J36">
        <f>IF(C36&lt;2026, 0, (1-$B$3)*IFERROR(J35, 0)+I36)</f>
        <v/>
      </c>
      <c r="K36" s="19">
        <f>IFERROR(E36+J36, "")</f>
        <v/>
      </c>
      <c r="L36">
        <f>IFERROR(EXP(G36+$B$2*LN(K36)), "")</f>
        <v/>
      </c>
      <c r="M36">
        <f>IFERROR(L36-H36, "")</f>
        <v/>
      </c>
      <c r="N36">
        <f>IFERROR(F36+M36, "")</f>
        <v/>
      </c>
      <c r="O36">
        <f>IFERROR(N36/N35-1, "")</f>
        <v/>
      </c>
      <c r="P36">
        <f>IFERROR(F36/F35-1, "")</f>
        <v/>
      </c>
    </row>
    <row r="37">
      <c r="C37" t="n">
        <v>2003</v>
      </c>
      <c r="D37">
        <f>IFERROR(IF(C37&lt;=2023, E37/F37, AVERAGE($D$49:$D$57)), "")</f>
        <v/>
      </c>
      <c r="E37" s="19">
        <f>IF(C37&lt;=2023, IFERROR(INDEX(PWT!$C$2:$C$35, MATCH(C37, PWT!$A$2:$A$35, 0)), ""), D37*F37)</f>
        <v/>
      </c>
      <c r="F37">
        <f>IFERROR(INDEX('WEO_Data'!$C:$C, MATCH(C37, 'WEO_Data'!$B:$B, 0)), "")</f>
        <v/>
      </c>
      <c r="G37">
        <f>IF(C37&lt;=2023, INDEX($L$6:$L$27, ROW()-35), TREND($G$36:$G$57, $C$36:$C$57, C37))</f>
        <v/>
      </c>
      <c r="H37">
        <f>IFERROR(EXP(G37+$B$2*LN(E37)), "")</f>
        <v/>
      </c>
      <c r="I37">
        <f>IFERROR(INDEX(Investment!$C:$C, MATCH(C37, Investment!$B:$B, 0)), 0)</f>
        <v/>
      </c>
      <c r="J37">
        <f>IF(C37&lt;2026, 0, (1-$B$3)*IFERROR(J36, 0)+I37)</f>
        <v/>
      </c>
      <c r="K37" s="19">
        <f>IFERROR(E37+J37, "")</f>
        <v/>
      </c>
      <c r="L37">
        <f>IFERROR(EXP(G37+$B$2*LN(K37)), "")</f>
        <v/>
      </c>
      <c r="M37">
        <f>IFERROR(L37-H37, "")</f>
        <v/>
      </c>
      <c r="N37">
        <f>IFERROR(F37+M37, "")</f>
        <v/>
      </c>
      <c r="O37">
        <f>IFERROR(N37/N36-1, "")</f>
        <v/>
      </c>
      <c r="P37">
        <f>IFERROR(F37/F36-1, "")</f>
        <v/>
      </c>
    </row>
    <row r="38">
      <c r="C38" t="n">
        <v>2004</v>
      </c>
      <c r="D38">
        <f>IFERROR(IF(C38&lt;=2023, E38/F38, AVERAGE($D$49:$D$57)), "")</f>
        <v/>
      </c>
      <c r="E38" s="19">
        <f>IF(C38&lt;=2023, IFERROR(INDEX(PWT!$C$2:$C$35, MATCH(C38, PWT!$A$2:$A$35, 0)), ""), D38*F38)</f>
        <v/>
      </c>
      <c r="F38">
        <f>IFERROR(INDEX('WEO_Data'!$C:$C, MATCH(C38, 'WEO_Data'!$B:$B, 0)), "")</f>
        <v/>
      </c>
      <c r="G38">
        <f>IF(C38&lt;=2023, INDEX($L$6:$L$27, ROW()-35), TREND($G$36:$G$57, $C$36:$C$57, C38))</f>
        <v/>
      </c>
      <c r="H38">
        <f>IFERROR(EXP(G38+$B$2*LN(E38)), "")</f>
        <v/>
      </c>
      <c r="I38">
        <f>IFERROR(INDEX(Investment!$C:$C, MATCH(C38, Investment!$B:$B, 0)), 0)</f>
        <v/>
      </c>
      <c r="J38">
        <f>IF(C38&lt;2026, 0, (1-$B$3)*IFERROR(J37, 0)+I38)</f>
        <v/>
      </c>
      <c r="K38" s="19">
        <f>IFERROR(E38+J38, "")</f>
        <v/>
      </c>
      <c r="L38">
        <f>IFERROR(EXP(G38+$B$2*LN(K38)), "")</f>
        <v/>
      </c>
      <c r="M38">
        <f>IFERROR(L38-H38, "")</f>
        <v/>
      </c>
      <c r="N38">
        <f>IFERROR(F38+M38, "")</f>
        <v/>
      </c>
      <c r="O38">
        <f>IFERROR(N38/N37-1, "")</f>
        <v/>
      </c>
      <c r="P38">
        <f>IFERROR(F38/F37-1, "")</f>
        <v/>
      </c>
    </row>
    <row r="39">
      <c r="C39" t="n">
        <v>2005</v>
      </c>
      <c r="D39">
        <f>IFERROR(IF(C39&lt;=2023, E39/F39, AVERAGE($D$49:$D$57)), "")</f>
        <v/>
      </c>
      <c r="E39" s="19">
        <f>IF(C39&lt;=2023, IFERROR(INDEX(PWT!$C$2:$C$35, MATCH(C39, PWT!$A$2:$A$35, 0)), ""), D39*F39)</f>
        <v/>
      </c>
      <c r="F39">
        <f>IFERROR(INDEX('WEO_Data'!$C:$C, MATCH(C39, 'WEO_Data'!$B:$B, 0)), "")</f>
        <v/>
      </c>
      <c r="G39">
        <f>IF(C39&lt;=2023, INDEX($L$6:$L$27, ROW()-35), TREND($G$36:$G$57, $C$36:$C$57, C39))</f>
        <v/>
      </c>
      <c r="H39">
        <f>IFERROR(EXP(G39+$B$2*LN(E39)), "")</f>
        <v/>
      </c>
      <c r="I39">
        <f>IFERROR(INDEX(Investment!$C:$C, MATCH(C39, Investment!$B:$B, 0)), 0)</f>
        <v/>
      </c>
      <c r="J39">
        <f>IF(C39&lt;2026, 0, (1-$B$3)*IFERROR(J38, 0)+I39)</f>
        <v/>
      </c>
      <c r="K39" s="19">
        <f>IFERROR(E39+J39, "")</f>
        <v/>
      </c>
      <c r="L39">
        <f>IFERROR(EXP(G39+$B$2*LN(K39)), "")</f>
        <v/>
      </c>
      <c r="M39">
        <f>IFERROR(L39-H39, "")</f>
        <v/>
      </c>
      <c r="N39">
        <f>IFERROR(F39+M39, "")</f>
        <v/>
      </c>
      <c r="O39">
        <f>IFERROR(N39/N38-1, "")</f>
        <v/>
      </c>
      <c r="P39">
        <f>IFERROR(F39/F38-1, "")</f>
        <v/>
      </c>
    </row>
    <row r="40">
      <c r="C40" t="n">
        <v>2006</v>
      </c>
      <c r="D40">
        <f>IFERROR(IF(C40&lt;=2023, E40/F40, AVERAGE($D$49:$D$57)), "")</f>
        <v/>
      </c>
      <c r="E40" s="19">
        <f>IF(C40&lt;=2023, IFERROR(INDEX(PWT!$C$2:$C$35, MATCH(C40, PWT!$A$2:$A$35, 0)), ""), D40*F40)</f>
        <v/>
      </c>
      <c r="F40">
        <f>IFERROR(INDEX('WEO_Data'!$C:$C, MATCH(C40, 'WEO_Data'!$B:$B, 0)), "")</f>
        <v/>
      </c>
      <c r="G40">
        <f>IF(C40&lt;=2023, INDEX($L$6:$L$27, ROW()-35), TREND($G$36:$G$57, $C$36:$C$57, C40))</f>
        <v/>
      </c>
      <c r="H40">
        <f>IFERROR(EXP(G40+$B$2*LN(E40)), "")</f>
        <v/>
      </c>
      <c r="I40">
        <f>IFERROR(INDEX(Investment!$C:$C, MATCH(C40, Investment!$B:$B, 0)), 0)</f>
        <v/>
      </c>
      <c r="J40">
        <f>IF(C40&lt;2026, 0, (1-$B$3)*IFERROR(J39, 0)+I40)</f>
        <v/>
      </c>
      <c r="K40" s="19">
        <f>IFERROR(E40+J40, "")</f>
        <v/>
      </c>
      <c r="L40">
        <f>IFERROR(EXP(G40+$B$2*LN(K40)), "")</f>
        <v/>
      </c>
      <c r="M40">
        <f>IFERROR(L40-H40, "")</f>
        <v/>
      </c>
      <c r="N40">
        <f>IFERROR(F40+M40, "")</f>
        <v/>
      </c>
      <c r="O40">
        <f>IFERROR(N40/N39-1, "")</f>
        <v/>
      </c>
      <c r="P40">
        <f>IFERROR(F40/F39-1, "")</f>
        <v/>
      </c>
    </row>
    <row r="41">
      <c r="C41" t="n">
        <v>2007</v>
      </c>
      <c r="D41">
        <f>IFERROR(IF(C41&lt;=2023, E41/F41, AVERAGE($D$49:$D$57)), "")</f>
        <v/>
      </c>
      <c r="E41" s="19">
        <f>IF(C41&lt;=2023, IFERROR(INDEX(PWT!$C$2:$C$35, MATCH(C41, PWT!$A$2:$A$35, 0)), ""), D41*F41)</f>
        <v/>
      </c>
      <c r="F41">
        <f>IFERROR(INDEX('WEO_Data'!$C:$C, MATCH(C41, 'WEO_Data'!$B:$B, 0)), "")</f>
        <v/>
      </c>
      <c r="G41">
        <f>IF(C41&lt;=2023, INDEX($L$6:$L$27, ROW()-35), TREND($G$36:$G$57, $C$36:$C$57, C41))</f>
        <v/>
      </c>
      <c r="H41">
        <f>IFERROR(EXP(G41+$B$2*LN(E41)), "")</f>
        <v/>
      </c>
      <c r="I41">
        <f>IFERROR(INDEX(Investment!$C:$C, MATCH(C41, Investment!$B:$B, 0)), 0)</f>
        <v/>
      </c>
      <c r="J41">
        <f>IF(C41&lt;2026, 0, (1-$B$3)*IFERROR(J40, 0)+I41)</f>
        <v/>
      </c>
      <c r="K41" s="19">
        <f>IFERROR(E41+J41, "")</f>
        <v/>
      </c>
      <c r="L41">
        <f>IFERROR(EXP(G41+$B$2*LN(K41)), "")</f>
        <v/>
      </c>
      <c r="M41">
        <f>IFERROR(L41-H41, "")</f>
        <v/>
      </c>
      <c r="N41">
        <f>IFERROR(F41+M41, "")</f>
        <v/>
      </c>
      <c r="O41">
        <f>IFERROR(N41/N40-1, "")</f>
        <v/>
      </c>
      <c r="P41">
        <f>IFERROR(F41/F40-1, "")</f>
        <v/>
      </c>
    </row>
    <row r="42">
      <c r="C42" t="n">
        <v>2008</v>
      </c>
      <c r="D42">
        <f>IFERROR(IF(C42&lt;=2023, E42/F42, AVERAGE($D$49:$D$57)), "")</f>
        <v/>
      </c>
      <c r="E42" s="19">
        <f>IF(C42&lt;=2023, IFERROR(INDEX(PWT!$C$2:$C$35, MATCH(C42, PWT!$A$2:$A$35, 0)), ""), D42*F42)</f>
        <v/>
      </c>
      <c r="F42">
        <f>IFERROR(INDEX('WEO_Data'!$C:$C, MATCH(C42, 'WEO_Data'!$B:$B, 0)), "")</f>
        <v/>
      </c>
      <c r="G42">
        <f>IF(C42&lt;=2023, INDEX($L$6:$L$27, ROW()-35), TREND($G$36:$G$57, $C$36:$C$57, C42))</f>
        <v/>
      </c>
      <c r="H42">
        <f>IFERROR(EXP(G42+$B$2*LN(E42)), "")</f>
        <v/>
      </c>
      <c r="I42">
        <f>IFERROR(INDEX(Investment!$C:$C, MATCH(C42, Investment!$B:$B, 0)), 0)</f>
        <v/>
      </c>
      <c r="J42">
        <f>IF(C42&lt;2026, 0, (1-$B$3)*IFERROR(J41, 0)+I42)</f>
        <v/>
      </c>
      <c r="K42" s="19">
        <f>IFERROR(E42+J42, "")</f>
        <v/>
      </c>
      <c r="L42">
        <f>IFERROR(EXP(G42+$B$2*LN(K42)), "")</f>
        <v/>
      </c>
      <c r="M42">
        <f>IFERROR(L42-H42, "")</f>
        <v/>
      </c>
      <c r="N42">
        <f>IFERROR(F42+M42, "")</f>
        <v/>
      </c>
      <c r="O42">
        <f>IFERROR(N42/N41-1, "")</f>
        <v/>
      </c>
      <c r="P42">
        <f>IFERROR(F42/F41-1, "")</f>
        <v/>
      </c>
    </row>
    <row r="43">
      <c r="C43" t="n">
        <v>2009</v>
      </c>
      <c r="D43">
        <f>IFERROR(IF(C43&lt;=2023, E43/F43, AVERAGE($D$49:$D$57)), "")</f>
        <v/>
      </c>
      <c r="E43" s="19">
        <f>IF(C43&lt;=2023, IFERROR(INDEX(PWT!$C$2:$C$35, MATCH(C43, PWT!$A$2:$A$35, 0)), ""), D43*F43)</f>
        <v/>
      </c>
      <c r="F43">
        <f>IFERROR(INDEX('WEO_Data'!$C:$C, MATCH(C43, 'WEO_Data'!$B:$B, 0)), "")</f>
        <v/>
      </c>
      <c r="G43">
        <f>IF(C43&lt;=2023, INDEX($L$6:$L$27, ROW()-35), TREND($G$36:$G$57, $C$36:$C$57, C43))</f>
        <v/>
      </c>
      <c r="H43">
        <f>IFERROR(EXP(G43+$B$2*LN(E43)), "")</f>
        <v/>
      </c>
      <c r="I43">
        <f>IFERROR(INDEX(Investment!$C:$C, MATCH(C43, Investment!$B:$B, 0)), 0)</f>
        <v/>
      </c>
      <c r="J43">
        <f>IF(C43&lt;2026, 0, (1-$B$3)*IFERROR(J42, 0)+I43)</f>
        <v/>
      </c>
      <c r="K43" s="19">
        <f>IFERROR(E43+J43, "")</f>
        <v/>
      </c>
      <c r="L43">
        <f>IFERROR(EXP(G43+$B$2*LN(K43)), "")</f>
        <v/>
      </c>
      <c r="M43">
        <f>IFERROR(L43-H43, "")</f>
        <v/>
      </c>
      <c r="N43">
        <f>IFERROR(F43+M43, "")</f>
        <v/>
      </c>
      <c r="O43">
        <f>IFERROR(N43/N42-1, "")</f>
        <v/>
      </c>
      <c r="P43">
        <f>IFERROR(F43/F42-1, "")</f>
        <v/>
      </c>
    </row>
    <row r="44">
      <c r="C44" t="n">
        <v>2010</v>
      </c>
      <c r="D44">
        <f>IFERROR(IF(C44&lt;=2023, E44/F44, AVERAGE($D$49:$D$57)), "")</f>
        <v/>
      </c>
      <c r="E44" s="19">
        <f>IF(C44&lt;=2023, IFERROR(INDEX(PWT!$C$2:$C$35, MATCH(C44, PWT!$A$2:$A$35, 0)), ""), D44*F44)</f>
        <v/>
      </c>
      <c r="F44">
        <f>IFERROR(INDEX('WEO_Data'!$C:$C, MATCH(C44, 'WEO_Data'!$B:$B, 0)), "")</f>
        <v/>
      </c>
      <c r="G44">
        <f>IF(C44&lt;=2023, INDEX($L$6:$L$27, ROW()-35), TREND($G$36:$G$57, $C$36:$C$57, C44))</f>
        <v/>
      </c>
      <c r="H44">
        <f>IFERROR(EXP(G44+$B$2*LN(E44)), "")</f>
        <v/>
      </c>
      <c r="I44">
        <f>IFERROR(INDEX(Investment!$C:$C, MATCH(C44, Investment!$B:$B, 0)), 0)</f>
        <v/>
      </c>
      <c r="J44">
        <f>IF(C44&lt;2026, 0, (1-$B$3)*IFERROR(J43, 0)+I44)</f>
        <v/>
      </c>
      <c r="K44" s="19">
        <f>IFERROR(E44+J44, "")</f>
        <v/>
      </c>
      <c r="L44">
        <f>IFERROR(EXP(G44+$B$2*LN(K44)), "")</f>
        <v/>
      </c>
      <c r="M44">
        <f>IFERROR(L44-H44, "")</f>
        <v/>
      </c>
      <c r="N44">
        <f>IFERROR(F44+M44, "")</f>
        <v/>
      </c>
      <c r="O44">
        <f>IFERROR(N44/N43-1, "")</f>
        <v/>
      </c>
      <c r="P44">
        <f>IFERROR(F44/F43-1, "")</f>
        <v/>
      </c>
    </row>
    <row r="45">
      <c r="C45" t="n">
        <v>2011</v>
      </c>
      <c r="D45">
        <f>IFERROR(IF(C45&lt;=2023, E45/F45, AVERAGE($D$49:$D$57)), "")</f>
        <v/>
      </c>
      <c r="E45" s="19">
        <f>IF(C45&lt;=2023, IFERROR(INDEX(PWT!$C$2:$C$35, MATCH(C45, PWT!$A$2:$A$35, 0)), ""), D45*F45)</f>
        <v/>
      </c>
      <c r="F45">
        <f>IFERROR(INDEX('WEO_Data'!$C:$C, MATCH(C45, 'WEO_Data'!$B:$B, 0)), "")</f>
        <v/>
      </c>
      <c r="G45">
        <f>IF(C45&lt;=2023, INDEX($L$6:$L$27, ROW()-35), TREND($G$36:$G$57, $C$36:$C$57, C45))</f>
        <v/>
      </c>
      <c r="H45">
        <f>IFERROR(EXP(G45+$B$2*LN(E45)), "")</f>
        <v/>
      </c>
      <c r="I45">
        <f>IFERROR(INDEX(Investment!$C:$C, MATCH(C45, Investment!$B:$B, 0)), 0)</f>
        <v/>
      </c>
      <c r="J45">
        <f>IF(C45&lt;2026, 0, (1-$B$3)*IFERROR(J44, 0)+I45)</f>
        <v/>
      </c>
      <c r="K45" s="19">
        <f>IFERROR(E45+J45, "")</f>
        <v/>
      </c>
      <c r="L45">
        <f>IFERROR(EXP(G45+$B$2*LN(K45)), "")</f>
        <v/>
      </c>
      <c r="M45">
        <f>IFERROR(L45-H45, "")</f>
        <v/>
      </c>
      <c r="N45">
        <f>IFERROR(F45+M45, "")</f>
        <v/>
      </c>
      <c r="O45">
        <f>IFERROR(N45/N44-1, "")</f>
        <v/>
      </c>
      <c r="P45">
        <f>IFERROR(F45/F44-1, "")</f>
        <v/>
      </c>
    </row>
    <row r="46">
      <c r="C46" t="n">
        <v>2012</v>
      </c>
      <c r="D46">
        <f>IFERROR(IF(C46&lt;=2023, E46/F46, AVERAGE($D$49:$D$57)), "")</f>
        <v/>
      </c>
      <c r="E46" s="19">
        <f>IF(C46&lt;=2023, IFERROR(INDEX(PWT!$C$2:$C$35, MATCH(C46, PWT!$A$2:$A$35, 0)), ""), D46*F46)</f>
        <v/>
      </c>
      <c r="F46">
        <f>IFERROR(INDEX('WEO_Data'!$C:$C, MATCH(C46, 'WEO_Data'!$B:$B, 0)), "")</f>
        <v/>
      </c>
      <c r="G46">
        <f>IF(C46&lt;=2023, INDEX($L$6:$L$27, ROW()-35), TREND($G$36:$G$57, $C$36:$C$57, C46))</f>
        <v/>
      </c>
      <c r="H46">
        <f>IFERROR(EXP(G46+$B$2*LN(E46)), "")</f>
        <v/>
      </c>
      <c r="I46">
        <f>IFERROR(INDEX(Investment!$C:$C, MATCH(C46, Investment!$B:$B, 0)), 0)</f>
        <v/>
      </c>
      <c r="J46">
        <f>IF(C46&lt;2026, 0, (1-$B$3)*IFERROR(J45, 0)+I46)</f>
        <v/>
      </c>
      <c r="K46" s="19">
        <f>IFERROR(E46+J46, "")</f>
        <v/>
      </c>
      <c r="L46">
        <f>IFERROR(EXP(G46+$B$2*LN(K46)), "")</f>
        <v/>
      </c>
      <c r="M46">
        <f>IFERROR(L46-H46, "")</f>
        <v/>
      </c>
      <c r="N46">
        <f>IFERROR(F46+M46, "")</f>
        <v/>
      </c>
      <c r="O46">
        <f>IFERROR(N46/N45-1, "")</f>
        <v/>
      </c>
      <c r="P46">
        <f>IFERROR(F46/F45-1, "")</f>
        <v/>
      </c>
    </row>
    <row r="47">
      <c r="C47" t="n">
        <v>2013</v>
      </c>
      <c r="D47">
        <f>IFERROR(IF(C47&lt;=2023, E47/F47, AVERAGE($D$49:$D$57)), "")</f>
        <v/>
      </c>
      <c r="E47" s="19">
        <f>IF(C47&lt;=2023, IFERROR(INDEX(PWT!$C$2:$C$35, MATCH(C47, PWT!$A$2:$A$35, 0)), ""), D47*F47)</f>
        <v/>
      </c>
      <c r="F47">
        <f>IFERROR(INDEX('WEO_Data'!$C:$C, MATCH(C47, 'WEO_Data'!$B:$B, 0)), "")</f>
        <v/>
      </c>
      <c r="G47">
        <f>IF(C47&lt;=2023, INDEX($L$6:$L$27, ROW()-35), TREND($G$36:$G$57, $C$36:$C$57, C47))</f>
        <v/>
      </c>
      <c r="H47">
        <f>IFERROR(EXP(G47+$B$2*LN(E47)), "")</f>
        <v/>
      </c>
      <c r="I47">
        <f>IFERROR(INDEX(Investment!$C:$C, MATCH(C47, Investment!$B:$B, 0)), 0)</f>
        <v/>
      </c>
      <c r="J47">
        <f>IF(C47&lt;2026, 0, (1-$B$3)*IFERROR(J46, 0)+I47)</f>
        <v/>
      </c>
      <c r="K47" s="19">
        <f>IFERROR(E47+J47, "")</f>
        <v/>
      </c>
      <c r="L47">
        <f>IFERROR(EXP(G47+$B$2*LN(K47)), "")</f>
        <v/>
      </c>
      <c r="M47">
        <f>IFERROR(L47-H47, "")</f>
        <v/>
      </c>
      <c r="N47">
        <f>IFERROR(F47+M47, "")</f>
        <v/>
      </c>
      <c r="O47">
        <f>IFERROR(N47/N46-1, "")</f>
        <v/>
      </c>
      <c r="P47">
        <f>IFERROR(F47/F46-1, "")</f>
        <v/>
      </c>
    </row>
    <row r="48">
      <c r="C48" t="n">
        <v>2014</v>
      </c>
      <c r="D48">
        <f>IFERROR(IF(C48&lt;=2023, E48/F48, AVERAGE($D$49:$D$57)), "")</f>
        <v/>
      </c>
      <c r="E48" s="19">
        <f>IF(C48&lt;=2023, IFERROR(INDEX(PWT!$C$2:$C$35, MATCH(C48, PWT!$A$2:$A$35, 0)), ""), D48*F48)</f>
        <v/>
      </c>
      <c r="F48">
        <f>IFERROR(INDEX('WEO_Data'!$C:$C, MATCH(C48, 'WEO_Data'!$B:$B, 0)), "")</f>
        <v/>
      </c>
      <c r="G48">
        <f>IF(C48&lt;=2023, INDEX($L$6:$L$27, ROW()-35), TREND($G$36:$G$57, $C$36:$C$57, C48))</f>
        <v/>
      </c>
      <c r="H48">
        <f>IFERROR(EXP(G48+$B$2*LN(E48)), "")</f>
        <v/>
      </c>
      <c r="I48">
        <f>IFERROR(INDEX(Investment!$C:$C, MATCH(C48, Investment!$B:$B, 0)), 0)</f>
        <v/>
      </c>
      <c r="J48">
        <f>IF(C48&lt;2026, 0, (1-$B$3)*IFERROR(J47, 0)+I48)</f>
        <v/>
      </c>
      <c r="K48" s="19">
        <f>IFERROR(E48+J48, "")</f>
        <v/>
      </c>
      <c r="L48">
        <f>IFERROR(EXP(G48+$B$2*LN(K48)), "")</f>
        <v/>
      </c>
      <c r="M48">
        <f>IFERROR(L48-H48, "")</f>
        <v/>
      </c>
      <c r="N48">
        <f>IFERROR(F48+M48, "")</f>
        <v/>
      </c>
      <c r="O48">
        <f>IFERROR(N48/N47-1, "")</f>
        <v/>
      </c>
      <c r="P48">
        <f>IFERROR(F48/F47-1, "")</f>
        <v/>
      </c>
    </row>
    <row r="49">
      <c r="C49" t="n">
        <v>2015</v>
      </c>
      <c r="D49">
        <f>IFERROR(IF(C49&lt;=2023, E49/F49, AVERAGE($D$49:$D$57)), "")</f>
        <v/>
      </c>
      <c r="E49" s="19">
        <f>IF(C49&lt;=2023, IFERROR(INDEX(PWT!$C$2:$C$35, MATCH(C49, PWT!$A$2:$A$35, 0)), ""), D49*F49)</f>
        <v/>
      </c>
      <c r="F49">
        <f>IFERROR(INDEX('WEO_Data'!$C:$C, MATCH(C49, 'WEO_Data'!$B:$B, 0)), "")</f>
        <v/>
      </c>
      <c r="G49">
        <f>IF(C49&lt;=2023, INDEX($L$6:$L$27, ROW()-35), TREND($G$36:$G$57, $C$36:$C$57, C49))</f>
        <v/>
      </c>
      <c r="H49">
        <f>IFERROR(EXP(G49+$B$2*LN(E49)), "")</f>
        <v/>
      </c>
      <c r="I49">
        <f>IFERROR(INDEX(Investment!$C:$C, MATCH(C49, Investment!$B:$B, 0)), 0)</f>
        <v/>
      </c>
      <c r="J49">
        <f>IF(C49&lt;2026, 0, (1-$B$3)*IFERROR(J48, 0)+I49)</f>
        <v/>
      </c>
      <c r="K49" s="19">
        <f>IFERROR(E49+J49, "")</f>
        <v/>
      </c>
      <c r="L49">
        <f>IFERROR(EXP(G49+$B$2*LN(K49)), "")</f>
        <v/>
      </c>
      <c r="M49">
        <f>IFERROR(L49-H49, "")</f>
        <v/>
      </c>
      <c r="N49">
        <f>IFERROR(F49+M49, "")</f>
        <v/>
      </c>
      <c r="O49">
        <f>IFERROR(N49/N48-1, "")</f>
        <v/>
      </c>
      <c r="P49">
        <f>IFERROR(F49/F48-1, "")</f>
        <v/>
      </c>
    </row>
    <row r="50">
      <c r="C50" t="n">
        <v>2016</v>
      </c>
      <c r="D50">
        <f>IFERROR(IF(C50&lt;=2023, E50/F50, AVERAGE($D$49:$D$57)), "")</f>
        <v/>
      </c>
      <c r="E50" s="19">
        <f>IF(C50&lt;=2023, IFERROR(INDEX(PWT!$C$2:$C$35, MATCH(C50, PWT!$A$2:$A$35, 0)), ""), D50*F50)</f>
        <v/>
      </c>
      <c r="F50">
        <f>IFERROR(INDEX('WEO_Data'!$C:$C, MATCH(C50, 'WEO_Data'!$B:$B, 0)), "")</f>
        <v/>
      </c>
      <c r="G50">
        <f>IF(C50&lt;=2023, INDEX($L$6:$L$27, ROW()-35), TREND($G$36:$G$57, $C$36:$C$57, C50))</f>
        <v/>
      </c>
      <c r="H50">
        <f>IFERROR(EXP(G50+$B$2*LN(E50)), "")</f>
        <v/>
      </c>
      <c r="I50">
        <f>IFERROR(INDEX(Investment!$C:$C, MATCH(C50, Investment!$B:$B, 0)), 0)</f>
        <v/>
      </c>
      <c r="J50">
        <f>IF(C50&lt;2026, 0, (1-$B$3)*IFERROR(J49, 0)+I50)</f>
        <v/>
      </c>
      <c r="K50" s="19">
        <f>IFERROR(E50+J50, "")</f>
        <v/>
      </c>
      <c r="L50">
        <f>IFERROR(EXP(G50+$B$2*LN(K50)), "")</f>
        <v/>
      </c>
      <c r="M50">
        <f>IFERROR(L50-H50, "")</f>
        <v/>
      </c>
      <c r="N50">
        <f>IFERROR(F50+M50, "")</f>
        <v/>
      </c>
      <c r="O50">
        <f>IFERROR(N50/N49-1, "")</f>
        <v/>
      </c>
      <c r="P50">
        <f>IFERROR(F50/F49-1, "")</f>
        <v/>
      </c>
    </row>
    <row r="51">
      <c r="C51" t="n">
        <v>2017</v>
      </c>
      <c r="D51">
        <f>IFERROR(IF(C51&lt;=2023, E51/F51, AVERAGE($D$49:$D$57)), "")</f>
        <v/>
      </c>
      <c r="E51" s="19">
        <f>IF(C51&lt;=2023, IFERROR(INDEX(PWT!$C$2:$C$35, MATCH(C51, PWT!$A$2:$A$35, 0)), ""), D51*F51)</f>
        <v/>
      </c>
      <c r="F51">
        <f>IFERROR(INDEX('WEO_Data'!$C:$C, MATCH(C51, 'WEO_Data'!$B:$B, 0)), "")</f>
        <v/>
      </c>
      <c r="G51">
        <f>IF(C51&lt;=2023, INDEX($L$6:$L$27, ROW()-35), TREND($G$36:$G$57, $C$36:$C$57, C51))</f>
        <v/>
      </c>
      <c r="H51">
        <f>IFERROR(EXP(G51+$B$2*LN(E51)), "")</f>
        <v/>
      </c>
      <c r="I51">
        <f>IFERROR(INDEX(Investment!$C:$C, MATCH(C51, Investment!$B:$B, 0)), 0)</f>
        <v/>
      </c>
      <c r="J51">
        <f>IF(C51&lt;2026, 0, (1-$B$3)*IFERROR(J50, 0)+I51)</f>
        <v/>
      </c>
      <c r="K51" s="19">
        <f>IFERROR(E51+J51, "")</f>
        <v/>
      </c>
      <c r="L51">
        <f>IFERROR(EXP(G51+$B$2*LN(K51)), "")</f>
        <v/>
      </c>
      <c r="M51">
        <f>IFERROR(L51-H51, "")</f>
        <v/>
      </c>
      <c r="N51">
        <f>IFERROR(F51+M51, "")</f>
        <v/>
      </c>
      <c r="O51">
        <f>IFERROR(N51/N50-1, "")</f>
        <v/>
      </c>
      <c r="P51">
        <f>IFERROR(F51/F50-1, "")</f>
        <v/>
      </c>
    </row>
    <row r="52">
      <c r="C52" t="n">
        <v>2018</v>
      </c>
      <c r="D52">
        <f>IFERROR(IF(C52&lt;=2023, E52/F52, AVERAGE($D$49:$D$57)), "")</f>
        <v/>
      </c>
      <c r="E52" s="19">
        <f>IF(C52&lt;=2023, IFERROR(INDEX(PWT!$C$2:$C$35, MATCH(C52, PWT!$A$2:$A$35, 0)), ""), D52*F52)</f>
        <v/>
      </c>
      <c r="F52">
        <f>IFERROR(INDEX('WEO_Data'!$C:$C, MATCH(C52, 'WEO_Data'!$B:$B, 0)), "")</f>
        <v/>
      </c>
      <c r="G52">
        <f>IF(C52&lt;=2023, INDEX($L$6:$L$27, ROW()-35), TREND($G$36:$G$57, $C$36:$C$57, C52))</f>
        <v/>
      </c>
      <c r="H52">
        <f>IFERROR(EXP(G52+$B$2*LN(E52)), "")</f>
        <v/>
      </c>
      <c r="I52">
        <f>IFERROR(INDEX(Investment!$C:$C, MATCH(C52, Investment!$B:$B, 0)), 0)</f>
        <v/>
      </c>
      <c r="J52">
        <f>IF(C52&lt;2026, 0, (1-$B$3)*IFERROR(J51, 0)+I52)</f>
        <v/>
      </c>
      <c r="K52" s="19">
        <f>IFERROR(E52+J52, "")</f>
        <v/>
      </c>
      <c r="L52">
        <f>IFERROR(EXP(G52+$B$2*LN(K52)), "")</f>
        <v/>
      </c>
      <c r="M52">
        <f>IFERROR(L52-H52, "")</f>
        <v/>
      </c>
      <c r="N52">
        <f>IFERROR(F52+M52, "")</f>
        <v/>
      </c>
      <c r="O52">
        <f>IFERROR(N52/N51-1, "")</f>
        <v/>
      </c>
      <c r="P52">
        <f>IFERROR(F52/F51-1, "")</f>
        <v/>
      </c>
    </row>
    <row r="53">
      <c r="C53" t="n">
        <v>2019</v>
      </c>
      <c r="D53">
        <f>IFERROR(IF(C53&lt;=2023, E53/F53, AVERAGE($D$49:$D$57)), "")</f>
        <v/>
      </c>
      <c r="E53" s="19">
        <f>IF(C53&lt;=2023, IFERROR(INDEX(PWT!$C$2:$C$35, MATCH(C53, PWT!$A$2:$A$35, 0)), ""), D53*F53)</f>
        <v/>
      </c>
      <c r="F53">
        <f>IFERROR(INDEX('WEO_Data'!$C:$C, MATCH(C53, 'WEO_Data'!$B:$B, 0)), "")</f>
        <v/>
      </c>
      <c r="G53">
        <f>IF(C53&lt;=2023, INDEX($L$6:$L$27, ROW()-35), TREND($G$36:$G$57, $C$36:$C$57, C53))</f>
        <v/>
      </c>
      <c r="H53">
        <f>IFERROR(EXP(G53+$B$2*LN(E53)), "")</f>
        <v/>
      </c>
      <c r="I53">
        <f>IFERROR(INDEX(Investment!$C:$C, MATCH(C53, Investment!$B:$B, 0)), 0)</f>
        <v/>
      </c>
      <c r="J53">
        <f>IF(C53&lt;2026, 0, (1-$B$3)*IFERROR(J52, 0)+I53)</f>
        <v/>
      </c>
      <c r="K53" s="19">
        <f>IFERROR(E53+J53, "")</f>
        <v/>
      </c>
      <c r="L53">
        <f>IFERROR(EXP(G53+$B$2*LN(K53)), "")</f>
        <v/>
      </c>
      <c r="M53">
        <f>IFERROR(L53-H53, "")</f>
        <v/>
      </c>
      <c r="N53">
        <f>IFERROR(F53+M53, "")</f>
        <v/>
      </c>
      <c r="O53">
        <f>IFERROR(N53/N52-1, "")</f>
        <v/>
      </c>
      <c r="P53">
        <f>IFERROR(F53/F52-1, "")</f>
        <v/>
      </c>
    </row>
    <row r="54">
      <c r="C54" t="n">
        <v>2020</v>
      </c>
      <c r="D54">
        <f>IFERROR(IF(C54&lt;=2023, E54/F54, AVERAGE($D$49:$D$57)), "")</f>
        <v/>
      </c>
      <c r="E54" s="19">
        <f>IF(C54&lt;=2023, IFERROR(INDEX(PWT!$C$2:$C$35, MATCH(C54, PWT!$A$2:$A$35, 0)), ""), D54*F54)</f>
        <v/>
      </c>
      <c r="F54">
        <f>IFERROR(INDEX('WEO_Data'!$C:$C, MATCH(C54, 'WEO_Data'!$B:$B, 0)), "")</f>
        <v/>
      </c>
      <c r="G54">
        <f>IF(C54&lt;=2023, INDEX($L$6:$L$27, ROW()-35), TREND($G$36:$G$57, $C$36:$C$57, C54))</f>
        <v/>
      </c>
      <c r="H54">
        <f>IFERROR(EXP(G54+$B$2*LN(E54)), "")</f>
        <v/>
      </c>
      <c r="I54">
        <f>IFERROR(INDEX(Investment!$C:$C, MATCH(C54, Investment!$B:$B, 0)), 0)</f>
        <v/>
      </c>
      <c r="J54">
        <f>IF(C54&lt;2026, 0, (1-$B$3)*IFERROR(J53, 0)+I54)</f>
        <v/>
      </c>
      <c r="K54" s="19">
        <f>IFERROR(E54+J54, "")</f>
        <v/>
      </c>
      <c r="L54">
        <f>IFERROR(EXP(G54+$B$2*LN(K54)), "")</f>
        <v/>
      </c>
      <c r="M54">
        <f>IFERROR(L54-H54, "")</f>
        <v/>
      </c>
      <c r="N54">
        <f>IFERROR(F54+M54, "")</f>
        <v/>
      </c>
      <c r="O54">
        <f>IFERROR(N54/N53-1, "")</f>
        <v/>
      </c>
      <c r="P54">
        <f>IFERROR(F54/F53-1, "")</f>
        <v/>
      </c>
    </row>
    <row r="55">
      <c r="C55" t="n">
        <v>2021</v>
      </c>
      <c r="D55">
        <f>IFERROR(IF(C55&lt;=2023, E55/F55, AVERAGE($D$49:$D$57)), "")</f>
        <v/>
      </c>
      <c r="E55" s="19">
        <f>IF(C55&lt;=2023, IFERROR(INDEX(PWT!$C$2:$C$35, MATCH(C55, PWT!$A$2:$A$35, 0)), ""), D55*F55)</f>
        <v/>
      </c>
      <c r="F55">
        <f>IFERROR(INDEX('WEO_Data'!$C:$C, MATCH(C55, 'WEO_Data'!$B:$B, 0)), "")</f>
        <v/>
      </c>
      <c r="G55">
        <f>IF(C55&lt;=2023, INDEX($L$6:$L$27, ROW()-35), TREND($G$36:$G$57, $C$36:$C$57, C55))</f>
        <v/>
      </c>
      <c r="H55">
        <f>IFERROR(EXP(G55+$B$2*LN(E55)), "")</f>
        <v/>
      </c>
      <c r="I55">
        <f>IFERROR(INDEX(Investment!$C:$C, MATCH(C55, Investment!$B:$B, 0)), 0)</f>
        <v/>
      </c>
      <c r="J55">
        <f>IF(C55&lt;2026, 0, (1-$B$3)*IFERROR(J54, 0)+I55)</f>
        <v/>
      </c>
      <c r="K55" s="19">
        <f>IFERROR(E55+J55, "")</f>
        <v/>
      </c>
      <c r="L55">
        <f>IFERROR(EXP(G55+$B$2*LN(K55)), "")</f>
        <v/>
      </c>
      <c r="M55">
        <f>IFERROR(L55-H55, "")</f>
        <v/>
      </c>
      <c r="N55">
        <f>IFERROR(F55+M55, "")</f>
        <v/>
      </c>
      <c r="O55">
        <f>IFERROR(N55/N54-1, "")</f>
        <v/>
      </c>
      <c r="P55">
        <f>IFERROR(F55/F54-1, "")</f>
        <v/>
      </c>
    </row>
    <row r="56">
      <c r="C56" t="n">
        <v>2022</v>
      </c>
      <c r="D56">
        <f>IFERROR(IF(C56&lt;=2023, E56/F56, AVERAGE($D$49:$D$57)), "")</f>
        <v/>
      </c>
      <c r="E56" s="19">
        <f>IF(C56&lt;=2023, IFERROR(INDEX(PWT!$C$2:$C$35, MATCH(C56, PWT!$A$2:$A$35, 0)), ""), D56*F56)</f>
        <v/>
      </c>
      <c r="F56">
        <f>IFERROR(INDEX('WEO_Data'!$C:$C, MATCH(C56, 'WEO_Data'!$B:$B, 0)), "")</f>
        <v/>
      </c>
      <c r="G56">
        <f>IF(C56&lt;=2023, INDEX($L$6:$L$27, ROW()-35), TREND($G$36:$G$57, $C$36:$C$57, C56))</f>
        <v/>
      </c>
      <c r="H56">
        <f>IFERROR(EXP(G56+$B$2*LN(E56)), "")</f>
        <v/>
      </c>
      <c r="I56">
        <f>IFERROR(INDEX(Investment!$C:$C, MATCH(C56, Investment!$B:$B, 0)), 0)</f>
        <v/>
      </c>
      <c r="J56">
        <f>IF(C56&lt;2026, 0, (1-$B$3)*IFERROR(J55, 0)+I56)</f>
        <v/>
      </c>
      <c r="K56" s="19">
        <f>IFERROR(E56+J56, "")</f>
        <v/>
      </c>
      <c r="L56">
        <f>IFERROR(EXP(G56+$B$2*LN(K56)), "")</f>
        <v/>
      </c>
      <c r="M56">
        <f>IFERROR(L56-H56, "")</f>
        <v/>
      </c>
      <c r="N56">
        <f>IFERROR(F56+M56, "")</f>
        <v/>
      </c>
      <c r="O56">
        <f>IFERROR(N56/N55-1, "")</f>
        <v/>
      </c>
      <c r="P56">
        <f>IFERROR(F56/F55-1, "")</f>
        <v/>
      </c>
    </row>
    <row r="57">
      <c r="C57" t="n">
        <v>2023</v>
      </c>
      <c r="D57">
        <f>IFERROR(IF(C57&lt;=2023, E57/F57, AVERAGE($D$49:$D$57)), "")</f>
        <v/>
      </c>
      <c r="E57" s="19">
        <f>IF(C57&lt;=2023, IFERROR(INDEX(PWT!$C$2:$C$35, MATCH(C57, PWT!$A$2:$A$35, 0)), ""), D57*F57)</f>
        <v/>
      </c>
      <c r="F57">
        <f>IFERROR(INDEX('WEO_Data'!$C:$C, MATCH(C57, 'WEO_Data'!$B:$B, 0)), "")</f>
        <v/>
      </c>
      <c r="G57">
        <f>IF(C57&lt;=2023, INDEX($L$6:$L$27, ROW()-35), TREND($G$36:$G$57, $C$36:$C$57, C57))</f>
        <v/>
      </c>
      <c r="H57">
        <f>IFERROR(EXP(G57+$B$2*LN(E57)), "")</f>
        <v/>
      </c>
      <c r="I57">
        <f>IFERROR(INDEX(Investment!$C:$C, MATCH(C57, Investment!$B:$B, 0)), 0)</f>
        <v/>
      </c>
      <c r="J57">
        <f>IF(C57&lt;2026, 0, (1-$B$3)*IFERROR(J56, 0)+I57)</f>
        <v/>
      </c>
      <c r="K57" s="19">
        <f>IFERROR(E57+J57, "")</f>
        <v/>
      </c>
      <c r="L57">
        <f>IFERROR(EXP(G57+$B$2*LN(K57)), "")</f>
        <v/>
      </c>
      <c r="M57">
        <f>IFERROR(L57-H57, "")</f>
        <v/>
      </c>
      <c r="N57">
        <f>IFERROR(F57+M57, "")</f>
        <v/>
      </c>
      <c r="O57">
        <f>IFERROR(N57/N56-1, "")</f>
        <v/>
      </c>
      <c r="P57">
        <f>IFERROR(F57/F56-1, "")</f>
        <v/>
      </c>
    </row>
    <row r="58">
      <c r="C58" t="n">
        <v>2024</v>
      </c>
      <c r="D58">
        <f>IFERROR(IF(C58&lt;=2023, E58/F58, AVERAGE($D$49:$D$57)), "")</f>
        <v/>
      </c>
      <c r="E58" s="21">
        <f>IF(C58&lt;=2023, IFERROR(INDEX(PWT!$C$2:$C$35, MATCH(C58, PWT!$A$2:$A$35, 0)), ""), D58*F58)</f>
        <v/>
      </c>
      <c r="F58">
        <f>IFERROR(INDEX('WEO_Data'!$C:$C, MATCH(C58, 'WEO_Data'!$B:$B, 0)), "")</f>
        <v/>
      </c>
      <c r="G58" s="20">
        <f>IF(C58&lt;=2023, INDEX($L$6:$L$27, ROW()-35), TREND($G$36:$G$57, $C$36:$C$57, C58))</f>
        <v/>
      </c>
      <c r="H58">
        <f>IFERROR(EXP(G58+$B$2*LN(E58)), "")</f>
        <v/>
      </c>
      <c r="I58">
        <f>IFERROR(INDEX(Investment!$C:$C, MATCH(C58, Investment!$B:$B, 0)), 0)</f>
        <v/>
      </c>
      <c r="J58">
        <f>IF(C58&lt;2026, 0, (1-$B$3)*IFERROR(J57, 0)+I58)</f>
        <v/>
      </c>
      <c r="K58" s="19">
        <f>IFERROR(E58+J58, "")</f>
        <v/>
      </c>
      <c r="L58">
        <f>IFERROR(EXP(G58+$B$2*LN(K58)), "")</f>
        <v/>
      </c>
      <c r="M58">
        <f>IFERROR(L58-H58, "")</f>
        <v/>
      </c>
      <c r="N58">
        <f>IFERROR(F58+M58, "")</f>
        <v/>
      </c>
      <c r="O58">
        <f>IFERROR(N58/N57-1, "")</f>
        <v/>
      </c>
      <c r="P58">
        <f>IFERROR(F58/F57-1, "")</f>
        <v/>
      </c>
    </row>
    <row r="59">
      <c r="C59" t="n">
        <v>2025</v>
      </c>
      <c r="D59">
        <f>IFERROR(IF(C59&lt;=2023, E59/F59, AVERAGE($D$49:$D$57)), "")</f>
        <v/>
      </c>
      <c r="E59" s="21">
        <f>IF(C59&lt;=2023, IFERROR(INDEX(PWT!$C$2:$C$35, MATCH(C59, PWT!$A$2:$A$35, 0)), ""), D59*F59)</f>
        <v/>
      </c>
      <c r="F59">
        <f>IFERROR(INDEX('WEO_Data'!$C:$C, MATCH(C59, 'WEO_Data'!$B:$B, 0)), "")</f>
        <v/>
      </c>
      <c r="G59" s="20">
        <f>IF(C59&lt;=2023, INDEX($L$6:$L$27, ROW()-35), TREND($G$36:$G$57, $C$36:$C$57, C59))</f>
        <v/>
      </c>
      <c r="H59">
        <f>IFERROR(EXP(G59+$B$2*LN(E59)), "")</f>
        <v/>
      </c>
      <c r="I59">
        <f>IFERROR(INDEX(Investment!$C:$C, MATCH(C59, Investment!$B:$B, 0)), 0)</f>
        <v/>
      </c>
      <c r="J59">
        <f>IF(C59&lt;2026, 0, (1-$B$3)*IFERROR(J58, 0)+I59)</f>
        <v/>
      </c>
      <c r="K59" s="19">
        <f>IFERROR(E59+J59, "")</f>
        <v/>
      </c>
      <c r="L59">
        <f>IFERROR(EXP(G59+$B$2*LN(K59)), "")</f>
        <v/>
      </c>
      <c r="M59">
        <f>IFERROR(L59-H59, "")</f>
        <v/>
      </c>
      <c r="N59">
        <f>IFERROR(F59+M59, "")</f>
        <v/>
      </c>
      <c r="O59">
        <f>IFERROR(N59/N58-1, "")</f>
        <v/>
      </c>
      <c r="P59">
        <f>IFERROR(F59/F58-1, "")</f>
        <v/>
      </c>
    </row>
    <row r="60">
      <c r="C60" t="n">
        <v>2026</v>
      </c>
      <c r="D60">
        <f>IFERROR(IF(C60&lt;=2023, E60/F60, AVERAGE($D$49:$D$57)), "")</f>
        <v/>
      </c>
      <c r="E60" s="21">
        <f>IF(C60&lt;=2023, IFERROR(INDEX(PWT!$C$2:$C$35, MATCH(C60, PWT!$A$2:$A$35, 0)), ""), D60*F60)</f>
        <v/>
      </c>
      <c r="F60" s="20">
        <f>IFERROR(INDEX('WEO_Data'!$C:$C, MATCH(C60, 'WEO_Data'!$B:$B, 0)), "")</f>
        <v/>
      </c>
      <c r="G60" s="20">
        <f>IF(C60&lt;=2023, INDEX($L$6:$L$27, ROW()-35), TREND($G$36:$G$57, $C$36:$C$57, C60))</f>
        <v/>
      </c>
      <c r="H60">
        <f>IFERROR(EXP(G60+$B$2*LN(E60)), "")</f>
        <v/>
      </c>
      <c r="I60" s="17">
        <f>IFERROR(INDEX(Investment!$C:$C, MATCH(C60, Investment!$B:$B, 0)), 0)</f>
        <v/>
      </c>
      <c r="J60">
        <f>IF(C60&lt;2026, 0, (1-$B$3)*IFERROR(J59, 0)+I60)</f>
        <v/>
      </c>
      <c r="K60" s="19">
        <f>IFERROR(E60+J60, "")</f>
        <v/>
      </c>
      <c r="L60">
        <f>IFERROR(EXP(G60+$B$2*LN(K60)), "")</f>
        <v/>
      </c>
      <c r="M60">
        <f>IFERROR(L60-H60, "")</f>
        <v/>
      </c>
      <c r="N60">
        <f>IFERROR(F60+M60, "")</f>
        <v/>
      </c>
      <c r="O60">
        <f>IFERROR(N60/N59-1, "")</f>
        <v/>
      </c>
      <c r="P60">
        <f>IFERROR(F60/F59-1, "")</f>
        <v/>
      </c>
    </row>
    <row r="61">
      <c r="C61" t="n">
        <v>2027</v>
      </c>
      <c r="D61">
        <f>IFERROR(IF(C61&lt;=2023, E61/F61, AVERAGE($D$49:$D$57)), "")</f>
        <v/>
      </c>
      <c r="E61" s="21">
        <f>IF(C61&lt;=2023, IFERROR(INDEX(PWT!$C$2:$C$35, MATCH(C61, PWT!$A$2:$A$35, 0)), ""), D61*F61)</f>
        <v/>
      </c>
      <c r="F61" s="20">
        <f>IFERROR(INDEX('WEO_Data'!$C:$C, MATCH(C61, 'WEO_Data'!$B:$B, 0)), "")</f>
        <v/>
      </c>
      <c r="G61" s="20">
        <f>IF(C61&lt;=2023, INDEX($L$6:$L$27, ROW()-35), TREND($G$36:$G$57, $C$36:$C$57, C61))</f>
        <v/>
      </c>
      <c r="H61">
        <f>IFERROR(EXP(G61+$B$2*LN(E61)), "")</f>
        <v/>
      </c>
      <c r="I61" s="17">
        <f>IFERROR(INDEX(Investment!$C:$C, MATCH(C61, Investment!$B:$B, 0)), 0)</f>
        <v/>
      </c>
      <c r="J61">
        <f>IF(C61&lt;2026, 0, (1-$B$3)*IFERROR(J60, 0)+I61)</f>
        <v/>
      </c>
      <c r="K61" s="19">
        <f>IFERROR(E61+J61, "")</f>
        <v/>
      </c>
      <c r="L61">
        <f>IFERROR(EXP(G61+$B$2*LN(K61)), "")</f>
        <v/>
      </c>
      <c r="M61">
        <f>IFERROR(L61-H61, "")</f>
        <v/>
      </c>
      <c r="N61">
        <f>IFERROR(F61+M61, "")</f>
        <v/>
      </c>
      <c r="O61">
        <f>IFERROR(N61/N60-1, "")</f>
        <v/>
      </c>
      <c r="P61">
        <f>IFERROR(F61/F60-1, "")</f>
        <v/>
      </c>
    </row>
    <row r="62">
      <c r="C62" t="n">
        <v>2028</v>
      </c>
      <c r="D62">
        <f>IFERROR(IF(C62&lt;=2023, E62/F62, AVERAGE($D$49:$D$57)), "")</f>
        <v/>
      </c>
      <c r="E62" s="21">
        <f>IF(C62&lt;=2023, IFERROR(INDEX(PWT!$C$2:$C$35, MATCH(C62, PWT!$A$2:$A$35, 0)), ""), D62*F62)</f>
        <v/>
      </c>
      <c r="F62" s="20">
        <f>IFERROR(INDEX('WEO_Data'!$C:$C, MATCH(C62, 'WEO_Data'!$B:$B, 0)), "")</f>
        <v/>
      </c>
      <c r="G62" s="20">
        <f>IF(C62&lt;=2023, INDEX($L$6:$L$27, ROW()-35), TREND($G$36:$G$57, $C$36:$C$57, C62))</f>
        <v/>
      </c>
      <c r="H62">
        <f>IFERROR(EXP(G62+$B$2*LN(E62)), "")</f>
        <v/>
      </c>
      <c r="I62" s="17">
        <f>IFERROR(INDEX(Investment!$C:$C, MATCH(C62, Investment!$B:$B, 0)), 0)</f>
        <v/>
      </c>
      <c r="J62">
        <f>IF(C62&lt;2026, 0, (1-$B$3)*IFERROR(J61, 0)+I62)</f>
        <v/>
      </c>
      <c r="K62" s="19">
        <f>IFERROR(E62+J62, "")</f>
        <v/>
      </c>
      <c r="L62">
        <f>IFERROR(EXP(G62+$B$2*LN(K62)), "")</f>
        <v/>
      </c>
      <c r="M62">
        <f>IFERROR(L62-H62, "")</f>
        <v/>
      </c>
      <c r="N62">
        <f>IFERROR(F62+M62, "")</f>
        <v/>
      </c>
      <c r="O62">
        <f>IFERROR(N62/N61-1, "")</f>
        <v/>
      </c>
      <c r="P62">
        <f>IFERROR(F62/F61-1, "")</f>
        <v/>
      </c>
    </row>
    <row r="63">
      <c r="C63" t="n">
        <v>2029</v>
      </c>
      <c r="D63">
        <f>IFERROR(IF(C63&lt;=2023, E63/F63, AVERAGE($D$49:$D$57)), "")</f>
        <v/>
      </c>
      <c r="E63" s="21">
        <f>IF(C63&lt;=2023, IFERROR(INDEX(PWT!$C$2:$C$35, MATCH(C63, PWT!$A$2:$A$35, 0)), ""), D63*F63)</f>
        <v/>
      </c>
      <c r="F63" s="20">
        <f>IFERROR(INDEX('WEO_Data'!$C:$C, MATCH(C63, 'WEO_Data'!$B:$B, 0)), "")</f>
        <v/>
      </c>
      <c r="G63" s="20">
        <f>IF(C63&lt;=2023, INDEX($L$6:$L$27, ROW()-35), TREND($G$36:$G$57, $C$36:$C$57, C63))</f>
        <v/>
      </c>
      <c r="H63">
        <f>IFERROR(EXP(G63+$B$2*LN(E63)), "")</f>
        <v/>
      </c>
      <c r="I63" s="17">
        <f>IFERROR(INDEX(Investment!$C:$C, MATCH(C63, Investment!$B:$B, 0)), 0)</f>
        <v/>
      </c>
      <c r="J63">
        <f>IF(C63&lt;2026, 0, (1-$B$3)*IFERROR(J62, 0)+I63)</f>
        <v/>
      </c>
      <c r="K63" s="19">
        <f>IFERROR(E63+J63, "")</f>
        <v/>
      </c>
      <c r="L63">
        <f>IFERROR(EXP(G63+$B$2*LN(K63)), "")</f>
        <v/>
      </c>
      <c r="M63">
        <f>IFERROR(L63-H63, "")</f>
        <v/>
      </c>
      <c r="N63">
        <f>IFERROR(F63+M63, "")</f>
        <v/>
      </c>
      <c r="O63">
        <f>IFERROR(N63/N62-1, "")</f>
        <v/>
      </c>
      <c r="P63">
        <f>IFERROR(F63/F62-1, "")</f>
        <v/>
      </c>
    </row>
    <row r="64">
      <c r="C64" t="n">
        <v>2030</v>
      </c>
      <c r="D64">
        <f>IFERROR(IF(C64&lt;=2023, E64/F64, AVERAGE($D$49:$D$57)), "")</f>
        <v/>
      </c>
      <c r="E64" s="21">
        <f>IF(C64&lt;=2023, IFERROR(INDEX(PWT!$C$2:$C$35, MATCH(C64, PWT!$A$2:$A$35, 0)), ""), D64*F64)</f>
        <v/>
      </c>
      <c r="F64" s="20">
        <f>IFERROR(INDEX('WEO_Data'!$C:$C, MATCH(C64, 'WEO_Data'!$B:$B, 0)), "")</f>
        <v/>
      </c>
      <c r="G64" s="20">
        <f>IF(C64&lt;=2023, INDEX($L$6:$L$27, ROW()-35), TREND($G$36:$G$57, $C$36:$C$57, C64))</f>
        <v/>
      </c>
      <c r="H64">
        <f>IFERROR(EXP(G64+$B$2*LN(E64)), "")</f>
        <v/>
      </c>
      <c r="I64" s="17">
        <f>IFERROR(INDEX(Investment!$C:$C, MATCH(C64, Investment!$B:$B, 0)), 0)</f>
        <v/>
      </c>
      <c r="J64">
        <f>IF(C64&lt;2026, 0, (1-$B$3)*IFERROR(J63, 0)+I64)</f>
        <v/>
      </c>
      <c r="K64" s="19">
        <f>IFERROR(E64+J64, "")</f>
        <v/>
      </c>
      <c r="L64">
        <f>IFERROR(EXP(G64+$B$2*LN(K64)), "")</f>
        <v/>
      </c>
      <c r="M64">
        <f>IFERROR(L64-H64, "")</f>
        <v/>
      </c>
      <c r="N64">
        <f>IFERROR(F64+M64, "")</f>
        <v/>
      </c>
      <c r="O64">
        <f>IFERROR(N64/N63-1, "")</f>
        <v/>
      </c>
      <c r="P64">
        <f>IFERROR(F64/F63-1, "")</f>
        <v/>
      </c>
    </row>
    <row r="65">
      <c r="C65" t="n">
        <v>2031</v>
      </c>
      <c r="D65">
        <f>IFERROR(IF(C65&lt;=2023, E65/F65, AVERAGE($D$49:$D$57)), "")</f>
        <v/>
      </c>
      <c r="E65" s="21">
        <f>IF(C65&lt;=2023, IFERROR(INDEX(PWT!$C$2:$C$35, MATCH(C65, PWT!$A$2:$A$35, 0)), ""), D65*F65)</f>
        <v/>
      </c>
      <c r="F65" s="20">
        <f>IFERROR(INDEX('WEO_Data'!$C:$C, MATCH(C65, 'WEO_Data'!$B:$B, 0)), "")</f>
        <v/>
      </c>
      <c r="G65" s="20">
        <f>IF(C65&lt;=2023, INDEX($L$6:$L$27, ROW()-35), TREND($G$36:$G$57, $C$36:$C$57, C65))</f>
        <v/>
      </c>
      <c r="H65">
        <f>IFERROR(EXP(G65+$B$2*LN(E65)), "")</f>
        <v/>
      </c>
      <c r="I65" s="17">
        <f>IFERROR(INDEX(Investment!$C:$C, MATCH(C65, Investment!$B:$B, 0)), 0)</f>
        <v/>
      </c>
      <c r="J65">
        <f>IF(C65&lt;2026, 0, (1-$B$3)*IFERROR(J64, 0)+I65)</f>
        <v/>
      </c>
      <c r="K65" s="19">
        <f>IFERROR(E65+J65, "")</f>
        <v/>
      </c>
      <c r="L65">
        <f>IFERROR(EXP(G65+$B$2*LN(K65)), "")</f>
        <v/>
      </c>
      <c r="M65">
        <f>IFERROR(L65-H65, "")</f>
        <v/>
      </c>
      <c r="N65">
        <f>IFERROR(F65+M65, "")</f>
        <v/>
      </c>
      <c r="O65">
        <f>IFERROR(N65/N64-1, "")</f>
        <v/>
      </c>
      <c r="P65">
        <f>IFERROR(F65/F64-1, "")</f>
        <v/>
      </c>
    </row>
    <row r="66">
      <c r="C66" t="n">
        <v>2032</v>
      </c>
      <c r="D66">
        <f>IFERROR(IF(C66&lt;=2023, E66/F66, AVERAGE($D$49:$D$57)), "")</f>
        <v/>
      </c>
      <c r="E66" s="21">
        <f>IF(C66&lt;=2023, IFERROR(INDEX(PWT!$C$2:$C$35, MATCH(C66, PWT!$A$2:$A$35, 0)), ""), D66*F66)</f>
        <v/>
      </c>
      <c r="F66" s="20">
        <f>IFERROR(INDEX('WEO_Data'!$C:$C, MATCH(C66, 'WEO_Data'!$B:$B, 0)), "")</f>
        <v/>
      </c>
      <c r="G66" s="20">
        <f>IF(C66&lt;=2023, INDEX($L$6:$L$27, ROW()-35), TREND($G$36:$G$57, $C$36:$C$57, C66))</f>
        <v/>
      </c>
      <c r="H66">
        <f>IFERROR(EXP(G66+$B$2*LN(E66)), "")</f>
        <v/>
      </c>
      <c r="I66" s="17">
        <f>IFERROR(INDEX(Investment!$C:$C, MATCH(C66, Investment!$B:$B, 0)), 0)</f>
        <v/>
      </c>
      <c r="J66">
        <f>IF(C66&lt;2026, 0, (1-$B$3)*IFERROR(J65, 0)+I66)</f>
        <v/>
      </c>
      <c r="K66" s="19">
        <f>IFERROR(E66+J66, "")</f>
        <v/>
      </c>
      <c r="L66">
        <f>IFERROR(EXP(G66+$B$2*LN(K66)), "")</f>
        <v/>
      </c>
      <c r="M66">
        <f>IFERROR(L66-H66, "")</f>
        <v/>
      </c>
      <c r="N66">
        <f>IFERROR(F66+M66, "")</f>
        <v/>
      </c>
      <c r="O66">
        <f>IFERROR(N66/N65-1, "")</f>
        <v/>
      </c>
      <c r="P66">
        <f>IFERROR(F66/F65-1, "")</f>
        <v/>
      </c>
    </row>
    <row r="67">
      <c r="C67" t="n">
        <v>2033</v>
      </c>
      <c r="D67">
        <f>IFERROR(IF(C67&lt;=2023, E67/F67, AVERAGE($D$49:$D$57)), "")</f>
        <v/>
      </c>
      <c r="E67" s="21">
        <f>IF(C67&lt;=2023, IFERROR(INDEX(PWT!$C$2:$C$35, MATCH(C67, PWT!$A$2:$A$35, 0)), ""), D67*F67)</f>
        <v/>
      </c>
      <c r="F67" s="20">
        <f>IFERROR(INDEX('WEO_Data'!$C:$C, MATCH(C67, 'WEO_Data'!$B:$B, 0)), "")</f>
        <v/>
      </c>
      <c r="G67" s="20">
        <f>IF(C67&lt;=2023, INDEX($L$6:$L$27, ROW()-35), TREND($G$36:$G$57, $C$36:$C$57, C67))</f>
        <v/>
      </c>
      <c r="H67">
        <f>IFERROR(EXP(G67+$B$2*LN(E67)), "")</f>
        <v/>
      </c>
      <c r="I67" s="17">
        <f>IFERROR(INDEX(Investment!$C:$C, MATCH(C67, Investment!$B:$B, 0)), 0)</f>
        <v/>
      </c>
      <c r="J67">
        <f>IF(C67&lt;2026, 0, (1-$B$3)*IFERROR(J66, 0)+I67)</f>
        <v/>
      </c>
      <c r="K67" s="19">
        <f>IFERROR(E67+J67, "")</f>
        <v/>
      </c>
      <c r="L67">
        <f>IFERROR(EXP(G67+$B$2*LN(K67)), "")</f>
        <v/>
      </c>
      <c r="M67">
        <f>IFERROR(L67-H67, "")</f>
        <v/>
      </c>
      <c r="N67">
        <f>IFERROR(F67+M67, "")</f>
        <v/>
      </c>
      <c r="O67">
        <f>IFERROR(N67/N66-1, "")</f>
        <v/>
      </c>
      <c r="P67">
        <f>IFERROR(F67/F66-1, "")</f>
        <v/>
      </c>
    </row>
    <row r="68">
      <c r="C68" t="n">
        <v>2034</v>
      </c>
      <c r="D68">
        <f>IFERROR(IF(C68&lt;=2023, E68/F68, AVERAGE($D$49:$D$57)), "")</f>
        <v/>
      </c>
      <c r="E68" s="21">
        <f>IF(C68&lt;=2023, IFERROR(INDEX(PWT!$C$2:$C$35, MATCH(C68, PWT!$A$2:$A$35, 0)), ""), D68*F68)</f>
        <v/>
      </c>
      <c r="F68" s="20">
        <f>IFERROR(INDEX('WEO_Data'!$C:$C, MATCH(C68, 'WEO_Data'!$B:$B, 0)), "")</f>
        <v/>
      </c>
      <c r="G68" s="20">
        <f>IF(C68&lt;=2023, INDEX($L$6:$L$27, ROW()-35), TREND($G$36:$G$57, $C$36:$C$57, C68))</f>
        <v/>
      </c>
      <c r="H68">
        <f>IFERROR(EXP(G68+$B$2*LN(E68)), "")</f>
        <v/>
      </c>
      <c r="I68">
        <f>IFERROR(INDEX(Investment!$C:$C, MATCH(C68, Investment!$B:$B, 0)), 0)</f>
        <v/>
      </c>
      <c r="J68">
        <f>IF(C68&lt;2026, 0, (1-$B$3)*IFERROR(J67, 0)+I68)</f>
        <v/>
      </c>
      <c r="K68" s="19">
        <f>IFERROR(E68+J68, "")</f>
        <v/>
      </c>
      <c r="L68">
        <f>IFERROR(EXP(G68+$B$2*LN(K68)), "")</f>
        <v/>
      </c>
      <c r="M68">
        <f>IFERROR(L68-H68, "")</f>
        <v/>
      </c>
      <c r="N68">
        <f>IFERROR(F68+M68, "")</f>
        <v/>
      </c>
      <c r="O68">
        <f>IFERROR(N68/N67-1, "")</f>
        <v/>
      </c>
      <c r="P68">
        <f>IFERROR(F68/F67-1, "")</f>
        <v/>
      </c>
    </row>
    <row r="69">
      <c r="C69" t="n">
        <v>2035</v>
      </c>
      <c r="D69">
        <f>IFERROR(IF(C69&lt;=2023, E69/F69, AVERAGE($D$49:$D$57)), "")</f>
        <v/>
      </c>
      <c r="E69" s="21">
        <f>IF(C69&lt;=2023, IFERROR(INDEX(PWT!$C$2:$C$35, MATCH(C69, PWT!$A$2:$A$35, 0)), ""), D69*F69)</f>
        <v/>
      </c>
      <c r="F69" s="20">
        <f>IFERROR(INDEX('WEO_Data'!$C:$C, MATCH(C69, 'WEO_Data'!$B:$B, 0)), "")</f>
        <v/>
      </c>
      <c r="G69" s="20">
        <f>IF(C69&lt;=2023, INDEX($L$6:$L$27, ROW()-35), TREND($G$36:$G$57, $C$36:$C$57, C69))</f>
        <v/>
      </c>
      <c r="H69">
        <f>IFERROR(EXP(G69+$B$2*LN(E69)), "")</f>
        <v/>
      </c>
      <c r="I69">
        <f>IFERROR(INDEX(Investment!$C:$C, MATCH(C69, Investment!$B:$B, 0)), 0)</f>
        <v/>
      </c>
      <c r="J69">
        <f>IF(C69&lt;2026, 0, (1-$B$3)*IFERROR(J68, 0)+I69)</f>
        <v/>
      </c>
      <c r="K69" s="19">
        <f>IFERROR(E69+J69, "")</f>
        <v/>
      </c>
      <c r="L69">
        <f>IFERROR(EXP(G69+$B$2*LN(K69)), "")</f>
        <v/>
      </c>
      <c r="M69">
        <f>IFERROR(L69-H69, "")</f>
        <v/>
      </c>
      <c r="N69">
        <f>IFERROR(F69+M69, "")</f>
        <v/>
      </c>
      <c r="O69">
        <f>IFERROR(N69/N68-1, "")</f>
        <v/>
      </c>
      <c r="P69">
        <f>IFERROR(F69/F68-1, "")</f>
        <v/>
      </c>
    </row>
    <row r="70">
      <c r="C70" t="n">
        <v>2036</v>
      </c>
      <c r="D70">
        <f>IFERROR(IF(C70&lt;=2023, E70/F70, AVERAGE($D$49:$D$57)), "")</f>
        <v/>
      </c>
      <c r="E70" s="21">
        <f>IF(C70&lt;=2023, IFERROR(INDEX(PWT!$C$2:$C$35, MATCH(C70, PWT!$A$2:$A$35, 0)), ""), D70*F70)</f>
        <v/>
      </c>
      <c r="F70" s="20">
        <f>IFERROR(INDEX('WEO_Data'!$C:$C, MATCH(C70, 'WEO_Data'!$B:$B, 0)), "")</f>
        <v/>
      </c>
      <c r="G70" s="20">
        <f>IF(C70&lt;=2023, INDEX($L$6:$L$27, ROW()-35), TREND($G$36:$G$57, $C$36:$C$57, C70))</f>
        <v/>
      </c>
      <c r="H70">
        <f>IFERROR(EXP(G70+$B$2*LN(E70)), "")</f>
        <v/>
      </c>
      <c r="I70">
        <f>IFERROR(INDEX(Investment!$C:$C, MATCH(C70, Investment!$B:$B, 0)), 0)</f>
        <v/>
      </c>
      <c r="J70">
        <f>IF(C70&lt;2026, 0, (1-$B$3)*IFERROR(J69, 0)+I70)</f>
        <v/>
      </c>
      <c r="K70" s="19">
        <f>IFERROR(E70+J70, "")</f>
        <v/>
      </c>
      <c r="L70">
        <f>IFERROR(EXP(G70+$B$2*LN(K70)), "")</f>
        <v/>
      </c>
      <c r="M70">
        <f>IFERROR(L70-H70, "")</f>
        <v/>
      </c>
      <c r="N70">
        <f>IFERROR(F70+M70, "")</f>
        <v/>
      </c>
      <c r="O70">
        <f>IFERROR(N70/N69-1, "")</f>
        <v/>
      </c>
      <c r="P70">
        <f>IFERROR(F70/F69-1, "")</f>
        <v/>
      </c>
    </row>
    <row r="71">
      <c r="C71" t="n">
        <v>2037</v>
      </c>
      <c r="D71">
        <f>IFERROR(IF(C71&lt;=2023, E71/F71, AVERAGE($D$49:$D$57)), "")</f>
        <v/>
      </c>
      <c r="E71" s="21">
        <f>IF(C71&lt;=2023, IFERROR(INDEX(PWT!$C$2:$C$35, MATCH(C71, PWT!$A$2:$A$35, 0)), ""), D71*F71)</f>
        <v/>
      </c>
      <c r="F71" s="20">
        <f>IFERROR(INDEX('WEO_Data'!$C:$C, MATCH(C71, 'WEO_Data'!$B:$B, 0)), "")</f>
        <v/>
      </c>
      <c r="G71" s="20">
        <f>IF(C71&lt;=2023, INDEX($L$6:$L$27, ROW()-35), TREND($G$36:$G$57, $C$36:$C$57, C71))</f>
        <v/>
      </c>
      <c r="H71">
        <f>IFERROR(EXP(G71+$B$2*LN(E71)), "")</f>
        <v/>
      </c>
      <c r="I71">
        <f>IFERROR(INDEX(Investment!$C:$C, MATCH(C71, Investment!$B:$B, 0)), 0)</f>
        <v/>
      </c>
      <c r="J71">
        <f>IF(C71&lt;2026, 0, (1-$B$3)*IFERROR(J70, 0)+I71)</f>
        <v/>
      </c>
      <c r="K71" s="19">
        <f>IFERROR(E71+J71, "")</f>
        <v/>
      </c>
      <c r="L71">
        <f>IFERROR(EXP(G71+$B$2*LN(K71)), "")</f>
        <v/>
      </c>
      <c r="M71">
        <f>IFERROR(L71-H71, "")</f>
        <v/>
      </c>
      <c r="N71">
        <f>IFERROR(F71+M71, "")</f>
        <v/>
      </c>
      <c r="O71">
        <f>IFERROR(N71/N70-1, "")</f>
        <v/>
      </c>
      <c r="P71">
        <f>IFERROR(F71/F70-1, "")</f>
        <v/>
      </c>
    </row>
    <row r="72">
      <c r="C72" t="n">
        <v>2038</v>
      </c>
      <c r="D72">
        <f>IFERROR(IF(C72&lt;=2023, E72/F72, AVERAGE($D$49:$D$57)), "")</f>
        <v/>
      </c>
      <c r="E72" s="21">
        <f>IF(C72&lt;=2023, IFERROR(INDEX(PWT!$C$2:$C$35, MATCH(C72, PWT!$A$2:$A$35, 0)), ""), D72*F72)</f>
        <v/>
      </c>
      <c r="F72" s="20">
        <f>IFERROR(INDEX('WEO_Data'!$C:$C, MATCH(C72, 'WEO_Data'!$B:$B, 0)), "")</f>
        <v/>
      </c>
      <c r="G72" s="20">
        <f>IF(C72&lt;=2023, INDEX($L$6:$L$27, ROW()-35), TREND($G$36:$G$57, $C$36:$C$57, C72))</f>
        <v/>
      </c>
      <c r="H72">
        <f>IFERROR(EXP(G72+$B$2*LN(E72)), "")</f>
        <v/>
      </c>
      <c r="I72">
        <f>IFERROR(INDEX(Investment!$C:$C, MATCH(C72, Investment!$B:$B, 0)), 0)</f>
        <v/>
      </c>
      <c r="J72">
        <f>IF(C72&lt;2026, 0, (1-$B$3)*IFERROR(J71, 0)+I72)</f>
        <v/>
      </c>
      <c r="K72" s="19">
        <f>IFERROR(E72+J72, "")</f>
        <v/>
      </c>
      <c r="L72">
        <f>IFERROR(EXP(G72+$B$2*LN(K72)), "")</f>
        <v/>
      </c>
      <c r="M72">
        <f>IFERROR(L72-H72, "")</f>
        <v/>
      </c>
      <c r="N72">
        <f>IFERROR(F72+M72, "")</f>
        <v/>
      </c>
      <c r="O72">
        <f>IFERROR(N72/N71-1, "")</f>
        <v/>
      </c>
      <c r="P72">
        <f>IFERROR(F72/F71-1, "")</f>
        <v/>
      </c>
    </row>
    <row r="73">
      <c r="C73" t="n">
        <v>2039</v>
      </c>
      <c r="D73">
        <f>IFERROR(IF(C73&lt;=2023, E73/F73, AVERAGE($D$49:$D$57)), "")</f>
        <v/>
      </c>
      <c r="E73" s="21">
        <f>IF(C73&lt;=2023, IFERROR(INDEX(PWT!$C$2:$C$35, MATCH(C73, PWT!$A$2:$A$35, 0)), ""), D73*F73)</f>
        <v/>
      </c>
      <c r="F73" s="20">
        <f>IFERROR(INDEX('WEO_Data'!$C:$C, MATCH(C73, 'WEO_Data'!$B:$B, 0)), "")</f>
        <v/>
      </c>
      <c r="G73" s="20">
        <f>IF(C73&lt;=2023, INDEX($L$6:$L$27, ROW()-35), TREND($G$36:$G$57, $C$36:$C$57, C73))</f>
        <v/>
      </c>
      <c r="H73">
        <f>IFERROR(EXP(G73+$B$2*LN(E73)), "")</f>
        <v/>
      </c>
      <c r="I73">
        <f>IFERROR(INDEX(Investment!$C:$C, MATCH(C73, Investment!$B:$B, 0)), 0)</f>
        <v/>
      </c>
      <c r="J73">
        <f>IF(C73&lt;2026, 0, (1-$B$3)*IFERROR(J72, 0)+I73)</f>
        <v/>
      </c>
      <c r="K73" s="19">
        <f>IFERROR(E73+J73, "")</f>
        <v/>
      </c>
      <c r="L73">
        <f>IFERROR(EXP(G73+$B$2*LN(K73)), "")</f>
        <v/>
      </c>
      <c r="M73">
        <f>IFERROR(L73-H73, "")</f>
        <v/>
      </c>
      <c r="N73">
        <f>IFERROR(F73+M73, "")</f>
        <v/>
      </c>
      <c r="O73">
        <f>IFERROR(N73/N72-1, "")</f>
        <v/>
      </c>
      <c r="P73">
        <f>IFERROR(F73/F72-1, "")</f>
        <v/>
      </c>
    </row>
    <row r="74">
      <c r="C74" t="n">
        <v>2040</v>
      </c>
      <c r="D74">
        <f>IFERROR(IF(C74&lt;=2023, E74/F74, AVERAGE($D$49:$D$57)), "")</f>
        <v/>
      </c>
      <c r="E74" s="21">
        <f>IF(C74&lt;=2023, IFERROR(INDEX(PWT!$C$2:$C$35, MATCH(C74, PWT!$A$2:$A$35, 0)), ""), D74*F74)</f>
        <v/>
      </c>
      <c r="F74" s="20">
        <f>IFERROR(INDEX('WEO_Data'!$C:$C, MATCH(C74, 'WEO_Data'!$B:$B, 0)), "")</f>
        <v/>
      </c>
      <c r="G74" s="20">
        <f>IF(C74&lt;=2023, INDEX($L$6:$L$27, ROW()-35), TREND($G$36:$G$57, $C$36:$C$57, C74))</f>
        <v/>
      </c>
      <c r="H74">
        <f>IFERROR(EXP(G74+$B$2*LN(E74)), "")</f>
        <v/>
      </c>
      <c r="I74">
        <f>IFERROR(INDEX(Investment!$C:$C, MATCH(C74, Investment!$B:$B, 0)), 0)</f>
        <v/>
      </c>
      <c r="J74">
        <f>IF(C74&lt;2026, 0, (1-$B$3)*IFERROR(J73, 0)+I74)</f>
        <v/>
      </c>
      <c r="K74" s="19">
        <f>IFERROR(E74+J74, "")</f>
        <v/>
      </c>
      <c r="L74">
        <f>IFERROR(EXP(G74+$B$2*LN(K74)), "")</f>
        <v/>
      </c>
      <c r="M74">
        <f>IFERROR(L74-H74, "")</f>
        <v/>
      </c>
      <c r="N74">
        <f>IFERROR(F74+M74, "")</f>
        <v/>
      </c>
      <c r="O74">
        <f>IFERROR(N74/N73-1, "")</f>
        <v/>
      </c>
      <c r="P74">
        <f>IFERROR(F74/F73-1, "")</f>
        <v/>
      </c>
    </row>
    <row r="75">
      <c r="C75" t="n">
        <v>2041</v>
      </c>
      <c r="D75">
        <f>IFERROR(IF(C75&lt;=2023, E75/F75, AVERAGE($D$49:$D$57)), "")</f>
        <v/>
      </c>
      <c r="E75" s="21">
        <f>IF(C75&lt;=2023, IFERROR(INDEX(PWT!$C$2:$C$35, MATCH(C75, PWT!$A$2:$A$35, 0)), ""), D75*F75)</f>
        <v/>
      </c>
      <c r="F75" s="20">
        <f>IFERROR(INDEX('WEO_Data'!$C:$C, MATCH(C75, 'WEO_Data'!$B:$B, 0)), "")</f>
        <v/>
      </c>
      <c r="G75" s="20">
        <f>IF(C75&lt;=2023, INDEX($L$6:$L$27, ROW()-35), TREND($G$36:$G$57, $C$36:$C$57, C75))</f>
        <v/>
      </c>
      <c r="H75">
        <f>IFERROR(EXP(G75+$B$2*LN(E75)), "")</f>
        <v/>
      </c>
      <c r="I75">
        <f>IFERROR(INDEX(Investment!$C:$C, MATCH(C75, Investment!$B:$B, 0)), 0)</f>
        <v/>
      </c>
      <c r="J75">
        <f>IF(C75&lt;2026, 0, (1-$B$3)*IFERROR(J74, 0)+I75)</f>
        <v/>
      </c>
      <c r="K75" s="19">
        <f>IFERROR(E75+J75, "")</f>
        <v/>
      </c>
      <c r="L75">
        <f>IFERROR(EXP(G75+$B$2*LN(K75)), "")</f>
        <v/>
      </c>
      <c r="M75">
        <f>IFERROR(L75-H75, "")</f>
        <v/>
      </c>
      <c r="N75">
        <f>IFERROR(F75+M75, "")</f>
        <v/>
      </c>
      <c r="O75">
        <f>IFERROR(N75/N74-1, "")</f>
        <v/>
      </c>
      <c r="P75">
        <f>IFERROR(F75/F74-1, 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IFERROR(INDEX(PWT!$C$2:$C$35, MATCH(B2, PWT!$A$2:$A$35, 0)), "")</f>
        <v/>
      </c>
      <c r="E2">
        <f>IFERROR(C2/D2, "")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IFERROR(INDEX(PWT!$C$2:$C$35, MATCH(B3, PWT!$A$2:$A$35, 0)), "")</f>
        <v/>
      </c>
      <c r="E3">
        <f>IFERROR(C3/D3, "")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IFERROR(INDEX(PWT!$C$2:$C$35, MATCH(B4, PWT!$A$2:$A$35, 0)), "")</f>
        <v/>
      </c>
      <c r="E4">
        <f>IFERROR(C4/D4, "")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IFERROR(INDEX(PWT!$C$2:$C$35, MATCH(B5, PWT!$A$2:$A$35, 0)), "")</f>
        <v/>
      </c>
      <c r="E5">
        <f>IFERROR(C5/D5, "")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IFERROR(INDEX(PWT!$C$2:$C$35, MATCH(B6, PWT!$A$2:$A$35, 0)), "")</f>
        <v/>
      </c>
      <c r="E6">
        <f>IFERROR(C6/D6, "")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IFERROR(INDEX(PWT!$C$2:$C$35, MATCH(B7, PWT!$A$2:$A$35, 0)), "")</f>
        <v/>
      </c>
      <c r="E7">
        <f>IFERROR(C7/D7, "")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IFERROR(INDEX(PWT!$C$2:$C$35, MATCH(B8, PWT!$A$2:$A$35, 0)), "")</f>
        <v/>
      </c>
      <c r="E8">
        <f>IFERROR(C8/D8, "")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IFERROR(INDEX(PWT!$C$2:$C$35, MATCH(B9, PWT!$A$2:$A$35, 0)), "")</f>
        <v/>
      </c>
      <c r="E9">
        <f>IFERROR(C9/D9, 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IFERROR(INDEX(PWT!$C$2:$C$35, MATCH(B10, PWT!$A$2:$A$35, 0)), "")</f>
        <v/>
      </c>
      <c r="E10">
        <f>IFERROR(C10/D10, 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IFERROR(INDEX(PWT!$C$2:$C$35, MATCH(B11, PWT!$A$2:$A$35, 0)), "")</f>
        <v/>
      </c>
      <c r="E11">
        <f>IFERROR(C11/D11, 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IFERROR(INDEX(PWT!$C$2:$C$35, MATCH(B12, PWT!$A$2:$A$35, 0)), "")</f>
        <v/>
      </c>
      <c r="E12">
        <f>IFERROR(C12/D12, 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IFERROR(INDEX(PWT!$C$2:$C$35, MATCH(B13, PWT!$A$2:$A$35, 0)), "")</f>
        <v/>
      </c>
      <c r="E13">
        <f>IFERROR(C13/D13, 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IFERROR(INDEX(PWT!$C$2:$C$35, MATCH(B14, PWT!$A$2:$A$35, 0)), "")</f>
        <v/>
      </c>
      <c r="E14">
        <f>IFERROR(C14/D14, 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IFERROR(INDEX(PWT!$C$2:$C$35, MATCH(B15, PWT!$A$2:$A$35, 0)), "")</f>
        <v/>
      </c>
      <c r="E15">
        <f>IFERROR(C15/D15, 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IFERROR(INDEX(PWT!$C$2:$C$35, MATCH(B16, PWT!$A$2:$A$35, 0)), "")</f>
        <v/>
      </c>
      <c r="E16">
        <f>IFERROR(C16/D16, 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IFERROR(INDEX(PWT!$C$2:$C$35, MATCH(B17, PWT!$A$2:$A$35, 0)), "")</f>
        <v/>
      </c>
      <c r="E17">
        <f>IFERROR(C17/D17, 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IFERROR(INDEX(PWT!$C$2:$C$35, MATCH(B18, PWT!$A$2:$A$35, 0)), "")</f>
        <v/>
      </c>
      <c r="E18">
        <f>IFERROR(C18/D18, 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IFERROR(INDEX(PWT!$C$2:$C$35, MATCH(B19, PWT!$A$2:$A$35, 0)), "")</f>
        <v/>
      </c>
      <c r="E19">
        <f>IFERROR(C19/D19, 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IFERROR(INDEX(PWT!$C$2:$C$35, MATCH(B20, PWT!$A$2:$A$35, 0)), "")</f>
        <v/>
      </c>
      <c r="E20">
        <f>IFERROR(C20/D20, 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IFERROR(INDEX(PWT!$C$2:$C$35, MATCH(B21, PWT!$A$2:$A$35, 0)), "")</f>
        <v/>
      </c>
      <c r="E21">
        <f>IFERROR(C21/D21, 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IFERROR(INDEX(PWT!$C$2:$C$35, MATCH(B22, PWT!$A$2:$A$35, 0)), "")</f>
        <v/>
      </c>
      <c r="E22">
        <f>IFERROR(C22/D22, 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IFERROR(INDEX(PWT!$C$2:$C$35, MATCH(B23, PWT!$A$2:$A$35, 0)), "")</f>
        <v/>
      </c>
      <c r="E23">
        <f>IFERROR(C23/D23, 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IFERROR(INDEX(PWT!$C$2:$C$35, MATCH(B24, PWT!$A$2:$A$35, 0)), "")</f>
        <v/>
      </c>
      <c r="E24">
        <f>IFERROR(C24/D24, 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IFERROR(INDEX(PWT!$C$2:$C$35, MATCH(B25, PWT!$A$2:$A$35, 0)), "")</f>
        <v/>
      </c>
      <c r="E25">
        <f>IFERROR(C25/D25, 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IFERROR(INDEX(PWT!$C$2:$C$35, MATCH(B26, PWT!$A$2:$A$35, 0)), "")</f>
        <v/>
      </c>
      <c r="E26">
        <f>IFERROR(C26/D26, 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IFERROR(INDEX(PWT!$C$2:$C$35, MATCH(B27, PWT!$A$2:$A$35, 0)), "")</f>
        <v/>
      </c>
      <c r="E27">
        <f>IFERROR(C27/D27, 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IFERROR(INDEX(PWT!$C$2:$C$35, MATCH(B28, PWT!$A$2:$A$35, 0)), "")</f>
        <v/>
      </c>
      <c r="E28">
        <f>IFERROR(C28/D28, 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IFERROR(INDEX(PWT!$C$2:$C$35, MATCH(B29, PWT!$A$2:$A$35, 0)), "")</f>
        <v/>
      </c>
      <c r="E29">
        <f>IFERROR(C29/D29,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2026-01-29T04:09:18Z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