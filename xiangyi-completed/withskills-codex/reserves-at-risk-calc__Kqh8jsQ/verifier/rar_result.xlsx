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<sst xmlns="http://schemas.openxmlformats.org/spreadsheetml/2006/main" count="878" uniqueCount="627">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</sst>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NORMSINV(0.95)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LOOKUP(9.9E+307,'Gold price'!D:D)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LOOKUP(9.9E+307,'Gold price'!E:E)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Volume!H18*AVERAGE(INDEX('Gold price'!B:B,MATCH("2025M1",'Gold price'!A:A,0)):INDEX('Gold price'!B:B,MATCH("2025M9",'Gold price'!A:A,0)))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591.494888513959</v>
      </c>
      <c r="D13" s="1" t="n">
        <f aca="false">D12*$C$3*$C$4/100</f>
        <v>79.3304615568179</v>
      </c>
      <c r="E13" s="1" t="n">
        <f aca="false">E12*$C$3*$C$4/100</f>
        <v>0.847933376520479</v>
      </c>
      <c r="F13" s="1" t="n">
        <f aca="false">F12*$C$3*$C$4/100</f>
        <v>307.000969013153</v>
      </c>
      <c r="G13" s="1" t="n">
        <f aca="false">G12*$C$3*$C$4/100</f>
        <v>4361.78353980246</v>
      </c>
      <c r="H13" s="1" t="n">
        <f aca="false">H12*$C$3*$C$4/100</f>
        <v>801.371462602136</v>
      </c>
      <c r="I13" s="1" t="n">
        <f aca="false">I12*$C$3*$C$4/100</f>
        <v>72.9396882465721</v>
      </c>
      <c r="J13" s="1" t="n">
        <f aca="false">J12*$C$3*$C$4/100</f>
        <v>63.8998158907263</v>
      </c>
      <c r="K13" s="1" t="n">
        <f aca="false">K12*$C$3*$C$4/100</f>
        <v>258.392238676449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INDEX($C$12:$K$12,1,MATCH(C20,$C$11:$K$11,0))</f>
        <v>7471</v>
      </c>
      <c r="D21" s="4" t="n">
        <f aca="false">INDEX($C$12:$K$12,1,MATCH(D20,$C$11:$K$11,0))</f>
        <v>1002</v>
      </c>
      <c r="E21" s="5" t="n">
        <f aca="false">INDEX($C$12:$K$12,1,MATCH(E20,$C$11:$K$11,0))</f>
        <v>10.71</v>
      </c>
      <c r="F21" s="5" t="n">
        <f aca="false">INDEX($C$12:$K$12,1,MATCH(F20,$C$11:$K$11,0))</f>
        <v>55092.42</v>
      </c>
      <c r="G21" s="5" t="n">
        <f aca="false">INDEX($C$12:$K$12,1,MATCH(G20,$C$11:$K$11,0))</f>
        <v>10121.89</v>
      </c>
      <c r="H21" s="3" t="n">
        <f aca="false">INDEX($C$12:$K$12,1,MATCH(H20,$C$11:$K$11,0))</f>
        <v>921.28</v>
      </c>
      <c r="I21" s="3" t="n">
        <f aca="false">INDEX($C$12:$K$12,1,MATCH(I20,$C$11:$K$11,0))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INDEX($C$13:$K$13,1,MATCH(C20,$C$11:$K$11,0))</f>
        <v>591.494888513959</v>
      </c>
      <c r="D22" s="1" t="n">
        <f aca="false">INDEX($C$13:$K$13,1,MATCH(D20,$C$11:$K$11,0))</f>
        <v>79.3304615568179</v>
      </c>
      <c r="E22" s="1" t="n">
        <f aca="false">INDEX($C$13:$K$13,1,MATCH(E20,$C$11:$K$11,0))</f>
        <v>0.847933376520479</v>
      </c>
      <c r="F22" s="1" t="n">
        <f aca="false">INDEX($C$13:$K$13,1,MATCH(F20,$C$11:$K$11,0))</f>
        <v>4361.78353980246</v>
      </c>
      <c r="G22" s="1" t="n">
        <f aca="false">INDEX($C$13:$K$13,1,MATCH(G20,$C$11:$K$11,0))</f>
        <v>801.371462602136</v>
      </c>
      <c r="H22" s="1" t="n">
        <f aca="false">INDEX($C$13:$K$13,1,MATCH(H20,$C$11:$K$11,0))</f>
        <v>72.9396882465721</v>
      </c>
      <c r="I22" s="1" t="n">
        <f aca="false">INDEX($C$13:$K$13,1,MATCH(I20,$C$11:$K$11,0))</f>
        <v>63.8998158907263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Reserves'!$C$18:$P$18,1,MATCH("*"&amp;C20&amp;"*",'Total Reserves'!$C$1:$P$1,0))</f>
        <v>14425.9</v>
      </c>
      <c r="D23" s="5" t="n">
        <f aca="false">INDEX('Total Reserves'!$C$18:$P$18,1,MATCH("*"&amp;D20&amp;"*",'Total Reserves'!$C$1:$P$1,0))</f>
        <v>6158.7</v>
      </c>
      <c r="E23" s="5" t="n">
        <f aca="false">INDEX('Total Reserves'!$C$18:$P$18,1,MATCH("*"&amp;E20&amp;"*",'Total Reserves'!$C$1:$P$1,0))</f>
        <v>5999.34</v>
      </c>
      <c r="F23" s="5" t="n">
        <f aca="false">INDEX('Total Reserves'!$C$18:$P$18,1,MATCH("*"&amp;F20&amp;"*",'Total Reserves'!$C$1:$P$1,0))</f>
        <v>66311.75</v>
      </c>
      <c r="G23" s="5" t="n">
        <f aca="false">INDEX('Total Reserves'!$C$18:$P$18,1,MATCH("*"&amp;G20&amp;"*",'Total Reserves'!$C$1:$P$1,0))</f>
        <v>175830.49</v>
      </c>
      <c r="H23" s="5" t="n">
        <f aca="false">INDEX('Total Reserves'!$C$18:$P$18,1,MATCH("*"&amp;H20&amp;"*",'Total Reserves'!$C$1:$P$1,0))</f>
        <v>6076.9</v>
      </c>
      <c r="I23" s="3" t="n">
        <f aca="false">INDEX('Total Reserves'!$C$18:$P$18,1,MATCH("*"&amp;I20&amp;"*",'Total Reserves'!$C$1:$P$1,0))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IF(C23="","",C22/C23*100)</f>
        <v>4.10022867560401</v>
      </c>
      <c r="D24" s="1" t="n">
        <f aca="false">IF(D23="","",D22/D23*100)</f>
        <v>1.28810400826178</v>
      </c>
      <c r="E24" s="1" t="n">
        <f aca="false">IF(E23="","",E22/E23*100)</f>
        <v>0.0141337776575503</v>
      </c>
      <c r="F24" s="1" t="n">
        <f aca="false">IF(F23="","",F22/F23*100)</f>
        <v>6.57769330443317</v>
      </c>
      <c r="G24" s="1" t="n">
        <f aca="false">IF(G23="","",G22/G23*100)</f>
        <v>0.455763652027663</v>
      </c>
      <c r="H24" s="1" t="n">
        <f aca="false">IF(H23="","",H22/H23*100)</f>
        <v>1.20027790891033</v>
      </c>
      <c r="I24" s="1" t="n">
        <f aca="false">IF(I23="","",I22/I23*100)</f>
        <v>0.902195714780046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IF(B2="","",LN(B3/B2)*100)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IF(B3="","",LN(B4/B3)*100)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IF(B4="","",LN(B5/B4)*100)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IF(B5="","",LN(B6/B5)*100)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IF(B6="","",LN(B7/B6)*100)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IF(B7="","",LN(B8/B7)*100)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IF(B8="","",LN(B9/B8)*100)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IF(B9="","",LN(B10/B9)*100)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IF(B10="","",LN(B11/B10)*100)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IF(B11="","",LN(B12/B11)*100)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IF(B12="","",LN(B13/B12)*100)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IF(B13="","",LN(B14/B13)*100)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IF(B14="","",LN(B15/B14)*100)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IF(B15="","",LN(B16/B15)*100)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IF(B16="","",LN(B17/B16)*100)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IF(B17="","",LN(B18/B17)*100)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IF(B18="","",LN(B19/B18)*100)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IF(B19="","",LN(B20/B19)*100)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IF(B20="","",LN(B21/B20)*100)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IF(B21="","",LN(B22/B21)*100)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IF(B22="","",LN(B23/B22)*100)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IF(B23="","",LN(B24/B23)*100)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IF(B24="","",LN(B25/B24)*100)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IF(B25="","",LN(B26/B25)*100)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IF(B26="","",LN(B27/B26)*100)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IF(B27="","",LN(B28/B27)*100)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IF(B28="","",LN(B29/B28)*100)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IF(B29="","",LN(B30/B29)*100)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IF(B30="","",LN(B31/B30)*100)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IF(B31="","",LN(B32/B31)*100)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IF(B32="","",LN(B33/B32)*100)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IF(B33="","",LN(B34/B33)*100)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IF(B34="","",LN(B35/B34)*100)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IF(B35="","",LN(B36/B35)*100)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IF(B36="","",LN(B37/B36)*100)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IF(B37="","",LN(B38/B37)*100)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IF(B38="","",LN(B39/B38)*100)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IF(B39="","",LN(B40/B39)*100)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IF(B40="","",LN(B41/B40)*100)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IF(B41="","",LN(B42/B41)*100)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IF(B42="","",LN(B43/B42)*100)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IF(B43="","",LN(B44/B43)*100)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IF(B44="","",LN(B45/B44)*100)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IF(B45="","",LN(B46/B45)*100)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IF(B46="","",LN(B47/B46)*100)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IF(B47="","",LN(B48/B47)*100)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IF(B48="","",LN(B49/B48)*100)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IF(B49="","",LN(B50/B49)*100)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IF(B50="","",LN(B51/B50)*100)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IF(B51="","",LN(B52/B51)*100)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IF(B52="","",LN(B53/B52)*100)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IF(B53="","",LN(B54/B53)*100)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IF(B54="","",LN(B55/B54)*100)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IF(B55="","",LN(B56/B55)*100)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IF(B56="","",LN(B57/B56)*100)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IF(B57="","",LN(B58/B57)*100)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IF(B58="","",LN(B59/B58)*100)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IF(B59="","",LN(B60/B59)*100)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IF(B60="","",LN(B61/B60)*100)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IF(B61="","",LN(B62/B61)*100)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IF(B62="","",LN(B63/B62)*100)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IF(B63="","",LN(B64/B63)*100)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IF(B64="","",LN(B65/B64)*100)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IF(B65="","",LN(B66/B65)*100)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IF(B66="","",LN(B67/B66)*100)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IF(B67="","",LN(B68/B67)*100)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IF(B68="","",LN(B69/B68)*100)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IF(B69="","",LN(B70/B69)*100)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IF(B70="","",LN(B71/B70)*100)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IF(B71="","",LN(B72/B71)*100)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IF(B72="","",LN(B73/B72)*100)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IF(B73="","",LN(B74/B73)*100)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IF(B74="","",LN(B75/B74)*100)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IF(B75="","",LN(B76/B75)*100)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IF(B76="","",LN(B77/B76)*100)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IF(B77="","",LN(B78/B77)*100)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IF(B78="","",LN(B79/B78)*100)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IF(B79="","",LN(B80/B79)*100)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IF(B80="","",LN(B81/B80)*100)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IF(B81="","",LN(B82/B81)*100)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IF(B82="","",LN(B83/B82)*100)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IF(B83="","",LN(B84/B83)*100)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IF(B84="","",LN(B85/B84)*100)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IF(B85="","",LN(B86/B85)*100)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IF(B86="","",LN(B87/B86)*100)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IF(B87="","",LN(B88/B87)*100)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IF(B88="","",LN(B89/B88)*100)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IF(B89="","",LN(B90/B89)*100)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IF(B90="","",LN(B91/B90)*100)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IF(B91="","",LN(B92/B91)*100)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IF(B92="","",LN(B93/B92)*100)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IF(B93="","",LN(B94/B93)*100)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IF(B94="","",LN(B95/B94)*100)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IF(B95="","",LN(B96/B95)*100)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IF(B96="","",LN(B97/B96)*100)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IF(B97="","",LN(B98/B97)*100)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IF(B98="","",LN(B99/B98)*100)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IF(B99="","",LN(B100/B99)*100)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IF(B100="","",LN(B101/B100)*100)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IF(B101="","",LN(B102/B101)*100)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IF(B102="","",LN(B103/B102)*100)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IF(B103="","",LN(B104/B103)*100)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IF(B104="","",LN(B105/B104)*100)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IF(B105="","",LN(B106/B105)*100)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IF(B106="","",LN(B107/B106)*100)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IF(B107="","",LN(B108/B107)*100)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IF(B108="","",LN(B109/B108)*100)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IF(B109="","",LN(B110/B109)*100)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IF(B110="","",LN(B111/B110)*100)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IF(B111="","",LN(B112/B111)*100)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IF(B112="","",LN(B113/B112)*100)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IF(B113="","",LN(B114/B113)*100)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IF(B114="","",LN(B115/B114)*100)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IF(B115="","",LN(B116/B115)*100)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IF(B116="","",LN(B117/B116)*100)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IF(B117="","",LN(B118/B117)*100)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IF(B118="","",LN(B119/B118)*100)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IF(B119="","",LN(B120/B119)*100)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IF(B120="","",LN(B121/B120)*100)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IF(B121="","",LN(B122/B121)*100)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IF(B122="","",LN(B123/B122)*100)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IF(B123="","",LN(B124/B123)*100)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IF(B124="","",LN(B125/B124)*100)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IF(B125="","",LN(B126/B125)*100)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IF(B126="","",LN(B127/B126)*100)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IF(B127="","",LN(B128/B127)*100)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IF(B128="","",LN(B129/B128)*100)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IF(B129="","",LN(B130/B129)*100)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IF(B130="","",LN(B131/B130)*100)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IF(B131="","",LN(B132/B131)*100)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IF(B132="","",LN(B133/B132)*100)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IF(B133="","",LN(B134/B133)*100)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IF(B134="","",LN(B135/B134)*100)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IF(B135="","",LN(B136/B135)*100)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IF(B136="","",LN(B137/B136)*100)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IF(B137="","",LN(B138/B137)*100)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IF(B138="","",LN(B139/B138)*100)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IF(B139="","",LN(B140/B139)*100)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IF(B140="","",LN(B141/B140)*100)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IF(B141="","",LN(B142/B141)*100)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IF(B142="","",LN(B143/B142)*100)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IF(B143="","",LN(B144/B143)*100)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IF(B144="","",LN(B145/B144)*100)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IF(B145="","",LN(B146/B145)*100)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IF(B146="","",LN(B147/B146)*100)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IF(B147="","",LN(B148/B147)*100)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IF(B148="","",LN(B149/B148)*100)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IF(B149="","",LN(B150/B149)*100)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IF(B150="","",LN(B151/B150)*100)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IF(B151="","",LN(B152/B151)*100)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IF(B152="","",LN(B153/B152)*100)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IF(B153="","",LN(B154/B153)*100)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IF(B154="","",LN(B155/B154)*100)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IF(B155="","",LN(B156/B155)*100)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IF(B156="","",LN(B157/B156)*100)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IF(B157="","",LN(B158/B157)*100)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IF(B158="","",LN(B159/B158)*100)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IF(B159="","",LN(B160/B159)*100)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IF(B160="","",LN(B161/B160)*100)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IF(B161="","",LN(B162/B161)*100)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IF(B162="","",LN(B163/B162)*100)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IF(B163="","",LN(B164/B163)*100)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IF(B164="","",LN(B165/B164)*100)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IF(B165="","",LN(B166/B165)*100)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IF(B166="","",LN(B167/B166)*100)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IF(B167="","",LN(B168/B167)*100)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IF(B168="","",LN(B169/B168)*100)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IF(B169="","",LN(B170/B169)*100)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IF(B170="","",LN(B171/B170)*100)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IF(B171="","",LN(B172/B171)*100)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IF(B172="","",LN(B173/B172)*100)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IF(B173="","",LN(B174/B173)*100)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IF(B174="","",LN(B175/B174)*100)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IF(B175="","",LN(B176/B175)*100)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IF(B176="","",LN(B177/B176)*100)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IF(B177="","",LN(B178/B177)*100)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IF(B178="","",LN(B179/B178)*100)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IF(B179="","",LN(B180/B179)*100)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IF(B180="","",LN(B181/B180)*100)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IF(B181="","",LN(B182/B181)*100)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IF(B182="","",LN(B183/B182)*100)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IF(B183="","",LN(B184/B183)*100)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IF(B184="","",LN(B185/B184)*100)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IF(B185="","",LN(B186/B185)*100)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IF(B186="","",LN(B187/B186)*100)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IF(B187="","",LN(B188/B187)*100)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IF(B188="","",LN(B189/B188)*100)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IF(B189="","",LN(B190/B189)*100)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IF(B190="","",LN(B191/B190)*100)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IF(B191="","",LN(B192/B191)*100)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IF(B192="","",LN(B193/B192)*100)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IF(B193="","",LN(B194/B193)*100)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IF(B194="","",LN(B195/B194)*100)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IF(B195="","",LN(B196/B195)*100)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IF(B196="","",LN(B197/B196)*100)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IF(B197="","",LN(B198/B197)*100)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IF(B198="","",LN(B199/B198)*100)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IF(B199="","",LN(B200/B199)*100)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IF(B200="","",LN(B201/B200)*100)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IF(B201="","",LN(B202/B201)*100)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IF(B202="","",LN(B203/B202)*100)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IF(B203="","",LN(B204/B203)*100)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IF(B204="","",LN(B205/B204)*100)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IF(B205="","",LN(B206/B205)*100)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IF(B206="","",LN(B207/B206)*100)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IF(B207="","",LN(B208/B207)*100)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IF(B208="","",LN(B209/B208)*100)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IF(B209="","",LN(B210/B209)*100)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IF(B210="","",LN(B211/B210)*100)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IF(B211="","",LN(B212/B211)*100)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IF(B212="","",LN(B213/B212)*100)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IF(B213="","",LN(B214/B213)*100)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IF(B214="","",LN(B215/B214)*100)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IF(B215="","",LN(B216/B215)*100)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IF(B216="","",LN(B217/B216)*100)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IF(B217="","",LN(B218/B217)*100)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IF(B218="","",LN(B219/B218)*100)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IF(B219="","",LN(B220/B219)*100)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IF(B220="","",LN(B221/B220)*100)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IF(B221="","",LN(B222/B221)*100)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IF(B222="","",LN(B223/B222)*100)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IF(B223="","",LN(B224/B223)*100)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IF(B224="","",LN(B225/B224)*100)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IF(B225="","",LN(B226/B225)*100)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IF(B226="","",LN(B227/B226)*100)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IF(B227="","",LN(B228/B227)*100)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IF(B228="","",LN(B229/B228)*100)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IF(B229="","",LN(B230/B229)*100)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IF(B230="","",LN(B231/B230)*100)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IF(B231="","",LN(B232/B231)*100)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IF(B232="","",LN(B233/B232)*100)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IF(B233="","",LN(B234/B233)*100)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IF(B234="","",LN(B235/B234)*100)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IF(B235="","",LN(B236/B235)*100)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IF(B236="","",LN(B237/B236)*100)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IF(B237="","",LN(B238/B237)*100)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IF(B238="","",LN(B239/B238)*100)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IF(B239="","",LN(B240/B239)*100)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IF(B240="","",LN(B241/B240)*100)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IF(B241="","",LN(B242/B241)*100)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IF(B242="","",LN(B243/B242)*100)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IF(B243="","",LN(B244/B243)*100)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IF(B244="","",LN(B245/B244)*100)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IF(B245="","",LN(B246/B245)*100)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IF(B246="","",LN(B247/B246)*100)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IF(B247="","",LN(B248/B247)*100)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IF(B248="","",LN(B249/B248)*100)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IF(B249="","",LN(B250/B249)*100)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IF(B250="","",LN(B251/B250)*100)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IF(B251="","",LN(B252/B251)*100)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IF(B252="","",LN(B253/B252)*100)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IF(B253="","",LN(B254/B253)*100)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IF(B254="","",LN(B255/B254)*100)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IF(B255="","",LN(B256/B255)*100)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IF(B256="","",LN(B257/B256)*100)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IF(B257="","",LN(B258/B257)*100)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IF(B258="","",LN(B259/B258)*100)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IF(B259="","",LN(B260/B259)*100)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IF(B260="","",LN(B261/B260)*100)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IF(B261="","",LN(B262/B261)*100)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IF(B262="","",LN(B263/B262)*100)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IF(B263="","",LN(B264/B263)*100)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IF(B264="","",LN(B265/B264)*100)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IF(B265="","",LN(B266/B265)*100)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IF(B266="","",LN(B267/B266)*100)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IF(B267="","",LN(B268/B267)*100)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IF(B268="","",LN(B269/B268)*100)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IF(B269="","",LN(B270/B269)*100)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IF(B270="","",LN(B271/B270)*100)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IF(B271="","",LN(B272/B271)*100)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IF(B272="","",LN(B273/B272)*100)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IF(B273="","",LN(B274/B273)*100)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IF(B274="","",LN(B275/B274)*100)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IF(B275="","",LN(B276/B275)*100)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IF(B276="","",LN(B277/B276)*100)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IF(B277="","",LN(B278/B277)*100)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IF(B278="","",LN(B279/B278)*100)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IF(B279="","",LN(B280/B279)*100)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IF(B280="","",LN(B281/B280)*100)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IF(B281="","",LN(B282/B281)*100)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IF(B282="","",LN(B283/B282)*100)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IF(B283="","",LN(B284/B283)*100)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IF(B284="","",LN(B285/B284)*100)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IF(B285="","",LN(B286/B285)*100)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IF(B286="","",LN(B287/B286)*100)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IF(B287="","",LN(B288/B287)*100)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IF(B288="","",LN(B289/B288)*100)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IF(B289="","",LN(B290/B289)*100)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IF(B290="","",LN(B291/B290)*100)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IF(B291="","",LN(B292/B291)*100)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IF(B292="","",LN(B293/B292)*100)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IF(B293="","",LN(B294/B293)*100)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IF(B294="","",LN(B295/B294)*100)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IF(B295="","",LN(B296/B295)*100)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IF(B296="","",LN(B297/B296)*100)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IF(B297="","",LN(B298/B297)*100)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IF(B298="","",LN(B299/B298)*100)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IF(B299="","",LN(B300/B299)*100)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IF(B300="","",LN(B301/B300)*100)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IF(B301="","",LN(B302/B301)*100)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IF(B302="","",LN(B303/B302)*100)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IF(B303="","",LN(B304/B303)*100)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IF(B304="","",LN(B305/B304)*100)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IF(B305="","",LN(B306/B305)*100)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IF(B306="","",LN(B307/B306)*100)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IF(B307="","",LN(B308/B307)*100)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IF(B308="","",LN(B309/B308)*100)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IF(B309="","",LN(B310/B309)*100)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IF(B310="","",LN(B311/B310)*100)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IF(B311="","",LN(B312/B311)*100)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IF(B312="","",LN(B313/B312)*100)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IF(B313="","",LN(B314/B313)*100)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IF(B314="","",LN(B315/B314)*100)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IF(B315="","",LN(B316/B315)*100)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IF(B316="","",LN(B317/B316)*100)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IF(B317="","",LN(B318/B317)*100)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IF(B318="","",LN(B319/B318)*100)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IF(B319="","",LN(B320/B319)*100)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IF(B320="","",LN(B321/B320)*100)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IF(B321="","",LN(B322/B321)*100)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IF(B322="","",LN(B323/B322)*100)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IF(B323="","",LN(B324/B323)*100)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IF(B324="","",LN(B325/B324)*100)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IF(B325="","",LN(B326/B325)*100)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IF(B326="","",LN(B327/B326)*100)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IF(B327="","",LN(B328/B327)*100)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IF(B328="","",LN(B329/B328)*100)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IF(B329="","",LN(B330/B329)*100)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IF(B330="","",LN(B331/B330)*100)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IF(B331="","",LN(B332/B331)*100)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IF(B332="","",LN(B333/B332)*100)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IF(B333="","",LN(B334/B333)*100)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IF(B334="","",LN(B335/B334)*100)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IF(B335="","",LN(B336/B335)*100)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IF(B336="","",LN(B337/B336)*100)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IF(B337="","",LN(B338/B337)*100)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IF(B338="","",LN(B339/B338)*100)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IF(B339="","",LN(B340/B339)*100)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IF(B340="","",LN(B341/B340)*100)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IF(B341="","",LN(B342/B341)*100)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IF(B342="","",LN(B343/B342)*100)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IF(B343="","",LN(B344/B343)*100)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IF(B344="","",LN(B345/B344)*100)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IF(B345="","",LN(B346/B345)*100)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IF(B346="","",LN(B347/B346)*100)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IF(B347="","",LN(B348/B347)*100)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IF(B348="","",LN(B349/B348)*100)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IF(B349="","",LN(B350/B349)*100)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IF(B350="","",LN(B351/B350)*100)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IF(B351="","",LN(B352/B351)*100)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IF(B352="","",LN(B353/B352)*100)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IF(B353="","",LN(B354/B353)*100)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IF(B354="","",LN(B355/B354)*100)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IF(B355="","",LN(B356/B355)*100)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IF(B356="","",LN(B357/B356)*100)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IF(B357="","",LN(B358/B357)*100)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IF(B358="","",LN(B359/B358)*100)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IF(B359="","",LN(B360/B359)*100)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IF(B360="","",LN(B361/B360)*100)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IF(B361="","",LN(B362/B361)*100)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IF(B362="","",LN(B363/B362)*100)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IF(B363="","",LN(B364/B363)*100)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IF(B364="","",LN(B365/B364)*100)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IF(B365="","",LN(B366/B365)*100)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IF(B366="","",LN(B367/B366)*100)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IF(B367="","",LN(B368/B367)*100)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IF(B368="","",LN(B369/B368)*100)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IF(B369="","",LN(B370/B369)*100)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IF(B370="","",LN(B371/B370)*100)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IF(B371="","",LN(B372/B371)*100)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IF(B372="","",LN(B373/B372)*100)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IF(B373="","",LN(B374/B373)*100)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IF(B374="","",LN(B375/B374)*100)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IF(B375="","",LN(B376/B375)*100)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IF(B376="","",LN(B377/B376)*100)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IF(B377="","",LN(B378/B377)*100)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IF(B378="","",LN(B379/B378)*100)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IF(B379="","",LN(B380/B379)*100)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IF(B380="","",LN(B381/B380)*100)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IF(B381="","",LN(B382/B381)*100)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IF(B382="","",LN(B383/B382)*100)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IF(B383="","",LN(B384/B383)*100)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IF(B384="","",LN(B385/B384)*100)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IF(B385="","",LN(B386/B385)*100)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IF(B386="","",LN(B387/B386)*100)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IF(B387="","",LN(B388/B387)*100)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IF(B388="","",LN(B389/B388)*100)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IF(B389="","",LN(B390/B389)*100)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IF(B390="","",LN(B391/B390)*100)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IF(B391="","",LN(B392/B391)*100)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IF(B392="","",LN(B393/B392)*100)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IF(B393="","",LN(B394/B393)*100)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IF(B394="","",LN(B395/B394)*100)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IF(B395="","",LN(B396/B395)*100)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IF(B396="","",LN(B397/B396)*100)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IF(B397="","",LN(B398/B397)*100)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IF(B398="","",LN(B399/B398)*100)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IF(B399="","",LN(B400/B399)*100)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IF(B400="","",LN(B401/B400)*100)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IF(B401="","",LN(B402/B401)*100)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IF(B402="","",LN(B403/B402)*100)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IF(B403="","",LN(B404/B403)*100)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IF(B404="","",LN(B405/B404)*100)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IF(B405="","",LN(B406/B405)*100)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IF(B406="","",LN(B407/B406)*100)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IF(B407="","",LN(B408/B407)*100)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IF(B408="","",LN(B409/B408)*100)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IF(B409="","",LN(B410/B409)*100)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IF(B410="","",LN(B411/B410)*100)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IF(B411="","",LN(B412/B411)*100)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IF(B412="","",LN(B413/B412)*100)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IF(B413="","",LN(B414/B413)*100)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IF(B414="","",LN(B415/B414)*100)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IF(B415="","",LN(B416/B415)*100)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IF(B416="","",LN(B417/B416)*100)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IF(B417="","",LN(B418/B417)*100)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IF(B418="","",LN(B419/B418)*100)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IF(B419="","",LN(B420/B419)*100)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IF(B420="","",LN(B421/B420)*100)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IF(B421="","",LN(B422/B421)*100)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IF(B422="","",LN(B423/B422)*100)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IF(B423="","",LN(B424/B423)*100)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IF(B424="","",LN(B425/B424)*100)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IF(B425="","",LN(B426/B425)*100)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IF(B426="","",LN(B427/B426)*100)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IF(B427="","",LN(B428/B427)*100)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IF(B428="","",LN(B429/B428)*100)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IF(B429="","",LN(B430/B429)*100)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2026-01-29T04:27:43Z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