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AVERAGE(OFFSET('CFC data'!$E$2,COUNT('CFC data'!$E$2:$E$29)-8,0,8,1))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  <c r="O4" t="inlineStr">
        <is>
          <t>lambda</t>
        </is>
      </c>
      <c r="P4" t="n">
        <v>100</v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SUMXMY2($K$6:$K$27,$L$6:$L$27)+$P$4*SUMSQ($M$8:$M$27)</f>
        <v/>
      </c>
    </row>
    <row r="6">
      <c r="C6" t="n">
        <v>2002</v>
      </c>
      <c r="D6" s="19">
        <f>IFERROR(VLOOKUP($C6,PWT!$A:$C,2,FALSE),$D$34*E6)</f>
        <v/>
      </c>
      <c r="E6">
        <f>IFERROR(VLOOKUP($C6,WEO_Data!$B:$D,2,FALSE),"")</f>
        <v/>
      </c>
      <c r="F6">
        <f>IF(D6="","",LN(D6))</f>
        <v/>
      </c>
      <c r="G6">
        <f>IF(E6="","",LN(E6))</f>
        <v/>
      </c>
      <c r="K6" s="4">
        <f>IF(OR(F6="",G6=""),"",G6-$B$2*F6)</f>
        <v/>
      </c>
      <c r="L6">
        <f>K6</f>
        <v/>
      </c>
      <c r="N6" s="5">
        <f>IF(OR(K6="",L6=""),"",K6-L6)</f>
        <v/>
      </c>
    </row>
    <row r="7">
      <c r="C7" t="n">
        <v>2003</v>
      </c>
      <c r="D7" s="19">
        <f>IFERROR(VLOOKUP($C7,PWT!$A:$C,2,FALSE),$D$34*E7)</f>
        <v/>
      </c>
      <c r="E7">
        <f>IFERROR(VLOOKUP($C7,WEO_Data!$B:$D,2,FALSE),"")</f>
        <v/>
      </c>
      <c r="F7">
        <f>IF(D7="","",LN(D7))</f>
        <v/>
      </c>
      <c r="G7">
        <f>IF(E7="","",LN(E7))</f>
        <v/>
      </c>
      <c r="K7" s="4">
        <f>IF(OR(F7="",G7=""),"",G7-$B$2*F7)</f>
        <v/>
      </c>
      <c r="L7">
        <f>K7</f>
        <v/>
      </c>
      <c r="N7" s="5">
        <f>IF(OR(K7="",L7=""),"",K7-L7)</f>
        <v/>
      </c>
    </row>
    <row r="8">
      <c r="C8" t="n">
        <v>2004</v>
      </c>
      <c r="D8" s="19">
        <f>IFERROR(VLOOKUP($C8,PWT!$A:$C,2,FALSE),$D$34*E8)</f>
        <v/>
      </c>
      <c r="E8">
        <f>IFERROR(VLOOKUP($C8,WEO_Data!$B:$D,2,FALSE),"")</f>
        <v/>
      </c>
      <c r="F8">
        <f>IF(D8="","",LN(D8))</f>
        <v/>
      </c>
      <c r="G8">
        <f>IF(E8="","",LN(E8))</f>
        <v/>
      </c>
      <c r="K8" s="4">
        <f>IF(OR(F8="",G8=""),"",G8-$B$2*F8)</f>
        <v/>
      </c>
      <c r="L8">
        <f>K8</f>
        <v/>
      </c>
      <c r="M8">
        <f>IF(OR(L8="",L7="",L6=""),"",L8-2*L7+L6)</f>
        <v/>
      </c>
      <c r="N8" s="5">
        <f>IF(OR(K8="",L8=""),"",K8-L8)</f>
        <v/>
      </c>
    </row>
    <row r="9">
      <c r="C9" t="n">
        <v>2005</v>
      </c>
      <c r="D9" s="19">
        <f>IFERROR(VLOOKUP($C9,PWT!$A:$C,2,FALSE),$D$34*E9)</f>
        <v/>
      </c>
      <c r="E9">
        <f>IFERROR(VLOOKUP($C9,WEO_Data!$B:$D,2,FALSE),"")</f>
        <v/>
      </c>
      <c r="F9">
        <f>IF(D9="","",LN(D9))</f>
        <v/>
      </c>
      <c r="G9">
        <f>IF(E9="","",LN(E9))</f>
        <v/>
      </c>
      <c r="K9" s="4">
        <f>IF(OR(F9="",G9=""),"",G9-$B$2*F9)</f>
        <v/>
      </c>
      <c r="L9">
        <f>K9</f>
        <v/>
      </c>
      <c r="M9">
        <f>IF(OR(L9="",L8="",L7=""),"",L9-2*L8+L7)</f>
        <v/>
      </c>
      <c r="N9" s="5">
        <f>IF(OR(K9="",L9=""),"",K9-L9)</f>
        <v/>
      </c>
    </row>
    <row r="10">
      <c r="C10" t="n">
        <v>2006</v>
      </c>
      <c r="D10" s="19">
        <f>IFERROR(VLOOKUP($C10,PWT!$A:$C,2,FALSE),$D$34*E10)</f>
        <v/>
      </c>
      <c r="E10">
        <f>IFERROR(VLOOKUP($C10,WEO_Data!$B:$D,2,FALSE),"")</f>
        <v/>
      </c>
      <c r="F10">
        <f>IF(D10="","",LN(D10))</f>
        <v/>
      </c>
      <c r="G10">
        <f>IF(E10="","",LN(E10))</f>
        <v/>
      </c>
      <c r="K10" s="4">
        <f>IF(OR(F10="",G10=""),"",G10-$B$2*F10)</f>
        <v/>
      </c>
      <c r="L10">
        <f>K10</f>
        <v/>
      </c>
      <c r="M10">
        <f>IF(OR(L10="",L9="",L8=""),"",L10-2*L9+L8)</f>
        <v/>
      </c>
      <c r="N10" s="5">
        <f>IF(OR(K10="",L10=""),"",K10-L10)</f>
        <v/>
      </c>
    </row>
    <row r="11">
      <c r="C11" t="n">
        <v>2007</v>
      </c>
      <c r="D11" s="19">
        <f>IFERROR(VLOOKUP($C11,PWT!$A:$C,2,FALSE),$D$34*E11)</f>
        <v/>
      </c>
      <c r="E11">
        <f>IFERROR(VLOOKUP($C11,WEO_Data!$B:$D,2,FALSE),"")</f>
        <v/>
      </c>
      <c r="F11">
        <f>IF(D11="","",LN(D11))</f>
        <v/>
      </c>
      <c r="G11">
        <f>IF(E11="","",LN(E11))</f>
        <v/>
      </c>
      <c r="K11" s="4">
        <f>IF(OR(F11="",G11=""),"",G11-$B$2*F11)</f>
        <v/>
      </c>
      <c r="L11">
        <f>K11</f>
        <v/>
      </c>
      <c r="M11">
        <f>IF(OR(L11="",L10="",L9=""),"",L11-2*L10+L9)</f>
        <v/>
      </c>
      <c r="N11" s="5">
        <f>IF(OR(K11="",L11=""),"",K11-L11)</f>
        <v/>
      </c>
    </row>
    <row r="12">
      <c r="C12" t="n">
        <v>2008</v>
      </c>
      <c r="D12" s="19">
        <f>IFERROR(VLOOKUP($C12,PWT!$A:$C,2,FALSE),$D$34*E12)</f>
        <v/>
      </c>
      <c r="E12">
        <f>IFERROR(VLOOKUP($C12,WEO_Data!$B:$D,2,FALSE),"")</f>
        <v/>
      </c>
      <c r="F12">
        <f>IF(D12="","",LN(D12))</f>
        <v/>
      </c>
      <c r="G12">
        <f>IF(E12="","",LN(E12))</f>
        <v/>
      </c>
      <c r="K12" s="4">
        <f>IF(OR(F12="",G12=""),"",G12-$B$2*F12)</f>
        <v/>
      </c>
      <c r="L12">
        <f>K12</f>
        <v/>
      </c>
      <c r="M12">
        <f>IF(OR(L12="",L11="",L10=""),"",L12-2*L11+L10)</f>
        <v/>
      </c>
      <c r="N12" s="5">
        <f>IF(OR(K12="",L12=""),"",K12-L12)</f>
        <v/>
      </c>
    </row>
    <row r="13">
      <c r="C13" t="n">
        <v>2009</v>
      </c>
      <c r="D13" s="19">
        <f>IFERROR(VLOOKUP($C13,PWT!$A:$C,2,FALSE),$D$34*E13)</f>
        <v/>
      </c>
      <c r="E13">
        <f>IFERROR(VLOOKUP($C13,WEO_Data!$B:$D,2,FALSE),"")</f>
        <v/>
      </c>
      <c r="F13">
        <f>IF(D13="","",LN(D13))</f>
        <v/>
      </c>
      <c r="G13">
        <f>IF(E13="","",LN(E13))</f>
        <v/>
      </c>
      <c r="K13" s="4">
        <f>IF(OR(F13="",G13=""),"",G13-$B$2*F13)</f>
        <v/>
      </c>
      <c r="L13">
        <f>K13</f>
        <v/>
      </c>
      <c r="M13">
        <f>IF(OR(L13="",L12="",L11=""),"",L13-2*L12+L11)</f>
        <v/>
      </c>
      <c r="N13" s="5">
        <f>IF(OR(K13="",L13=""),"",K13-L13)</f>
        <v/>
      </c>
    </row>
    <row r="14">
      <c r="C14" t="n">
        <v>2010</v>
      </c>
      <c r="D14" s="19">
        <f>IFERROR(VLOOKUP($C14,PWT!$A:$C,2,FALSE),$D$34*E14)</f>
        <v/>
      </c>
      <c r="E14">
        <f>IFERROR(VLOOKUP($C14,WEO_Data!$B:$D,2,FALSE),"")</f>
        <v/>
      </c>
      <c r="F14">
        <f>IF(D14="","",LN(D14))</f>
        <v/>
      </c>
      <c r="G14">
        <f>IF(E14="","",LN(E14))</f>
        <v/>
      </c>
      <c r="K14" s="4">
        <f>IF(OR(F14="",G14=""),"",G14-$B$2*F14)</f>
        <v/>
      </c>
      <c r="L14">
        <f>K14</f>
        <v/>
      </c>
      <c r="M14">
        <f>IF(OR(L14="",L13="",L12=""),"",L14-2*L13+L12)</f>
        <v/>
      </c>
      <c r="N14" s="5">
        <f>IF(OR(K14="",L14=""),"",K14-L14)</f>
        <v/>
      </c>
    </row>
    <row r="15">
      <c r="C15" t="n">
        <v>2011</v>
      </c>
      <c r="D15" s="19">
        <f>IFERROR(VLOOKUP($C15,PWT!$A:$C,2,FALSE),$D$34*E15)</f>
        <v/>
      </c>
      <c r="E15">
        <f>IFERROR(VLOOKUP($C15,WEO_Data!$B:$D,2,FALSE),"")</f>
        <v/>
      </c>
      <c r="F15">
        <f>IF(D15="","",LN(D15))</f>
        <v/>
      </c>
      <c r="G15">
        <f>IF(E15="","",LN(E15))</f>
        <v/>
      </c>
      <c r="K15" s="4">
        <f>IF(OR(F15="",G15=""),"",G15-$B$2*F15)</f>
        <v/>
      </c>
      <c r="L15">
        <f>K15</f>
        <v/>
      </c>
      <c r="M15">
        <f>IF(OR(L15="",L14="",L13=""),"",L15-2*L14+L13)</f>
        <v/>
      </c>
      <c r="N15" s="5">
        <f>IF(OR(K15="",L15=""),"",K15-L15)</f>
        <v/>
      </c>
    </row>
    <row r="16">
      <c r="C16" t="n">
        <v>2012</v>
      </c>
      <c r="D16" s="19">
        <f>IFERROR(VLOOKUP($C16,PWT!$A:$C,2,FALSE),$D$34*E16)</f>
        <v/>
      </c>
      <c r="E16">
        <f>IFERROR(VLOOKUP($C16,WEO_Data!$B:$D,2,FALSE),"")</f>
        <v/>
      </c>
      <c r="F16">
        <f>IF(D16="","",LN(D16))</f>
        <v/>
      </c>
      <c r="G16">
        <f>IF(E16="","",LN(E16))</f>
        <v/>
      </c>
      <c r="K16" s="4">
        <f>IF(OR(F16="",G16=""),"",G16-$B$2*F16)</f>
        <v/>
      </c>
      <c r="L16">
        <f>K16</f>
        <v/>
      </c>
      <c r="M16">
        <f>IF(OR(L16="",L15="",L14=""),"",L16-2*L15+L14)</f>
        <v/>
      </c>
      <c r="N16" s="5">
        <f>IF(OR(K16="",L16=""),"",K16-L16)</f>
        <v/>
      </c>
    </row>
    <row r="17">
      <c r="C17" t="n">
        <v>2013</v>
      </c>
      <c r="D17" s="19">
        <f>IFERROR(VLOOKUP($C17,PWT!$A:$C,2,FALSE),$D$34*E17)</f>
        <v/>
      </c>
      <c r="E17">
        <f>IFERROR(VLOOKUP($C17,WEO_Data!$B:$D,2,FALSE),"")</f>
        <v/>
      </c>
      <c r="F17">
        <f>IF(D17="","",LN(D17))</f>
        <v/>
      </c>
      <c r="G17">
        <f>IF(E17="","",LN(E17))</f>
        <v/>
      </c>
      <c r="K17" s="4">
        <f>IF(OR(F17="",G17=""),"",G17-$B$2*F17)</f>
        <v/>
      </c>
      <c r="L17">
        <f>K17</f>
        <v/>
      </c>
      <c r="M17">
        <f>IF(OR(L17="",L16="",L15=""),"",L17-2*L16+L15)</f>
        <v/>
      </c>
      <c r="N17" s="5">
        <f>IF(OR(K17="",L17=""),"",K17-L17)</f>
        <v/>
      </c>
    </row>
    <row r="18">
      <c r="C18" t="n">
        <v>2014</v>
      </c>
      <c r="D18" s="19">
        <f>IFERROR(VLOOKUP($C18,PWT!$A:$C,2,FALSE),$D$34*E18)</f>
        <v/>
      </c>
      <c r="E18">
        <f>IFERROR(VLOOKUP($C18,WEO_Data!$B:$D,2,FALSE),"")</f>
        <v/>
      </c>
      <c r="F18">
        <f>IF(D18="","",LN(D18))</f>
        <v/>
      </c>
      <c r="G18">
        <f>IF(E18="","",LN(E18))</f>
        <v/>
      </c>
      <c r="K18" s="4">
        <f>IF(OR(F18="",G18=""),"",G18-$B$2*F18)</f>
        <v/>
      </c>
      <c r="L18">
        <f>K18</f>
        <v/>
      </c>
      <c r="M18">
        <f>IF(OR(L18="",L17="",L16=""),"",L18-2*L17+L16)</f>
        <v/>
      </c>
      <c r="N18" s="5">
        <f>IF(OR(K18="",L18=""),"",K18-L18)</f>
        <v/>
      </c>
    </row>
    <row r="19">
      <c r="C19" t="n">
        <v>2015</v>
      </c>
      <c r="D19" s="19">
        <f>IFERROR(VLOOKUP($C19,PWT!$A:$C,2,FALSE),$D$34*E19)</f>
        <v/>
      </c>
      <c r="E19">
        <f>IFERROR(VLOOKUP($C19,WEO_Data!$B:$D,2,FALSE),"")</f>
        <v/>
      </c>
      <c r="F19">
        <f>IF(D19="","",LN(D19))</f>
        <v/>
      </c>
      <c r="G19">
        <f>IF(E19="","",LN(E19))</f>
        <v/>
      </c>
      <c r="K19" s="4">
        <f>IF(OR(F19="",G19=""),"",G19-$B$2*F19)</f>
        <v/>
      </c>
      <c r="L19">
        <f>K19</f>
        <v/>
      </c>
      <c r="M19">
        <f>IF(OR(L19="",L18="",L17=""),"",L19-2*L18+L17)</f>
        <v/>
      </c>
      <c r="N19" s="5">
        <f>IF(OR(K19="",L19=""),"",K19-L19)</f>
        <v/>
      </c>
    </row>
    <row r="20">
      <c r="C20" t="n">
        <v>2016</v>
      </c>
      <c r="D20" s="19">
        <f>IFERROR(VLOOKUP($C20,PWT!$A:$C,2,FALSE),$D$34*E20)</f>
        <v/>
      </c>
      <c r="E20">
        <f>IFERROR(VLOOKUP($C20,WEO_Data!$B:$D,2,FALSE),"")</f>
        <v/>
      </c>
      <c r="F20">
        <f>IF(D20="","",LN(D20))</f>
        <v/>
      </c>
      <c r="G20">
        <f>IF(E20="","",LN(E20))</f>
        <v/>
      </c>
      <c r="K20" s="4">
        <f>IF(OR(F20="",G20=""),"",G20-$B$2*F20)</f>
        <v/>
      </c>
      <c r="L20">
        <f>K20</f>
        <v/>
      </c>
      <c r="M20">
        <f>IF(OR(L20="",L19="",L18=""),"",L20-2*L19+L18)</f>
        <v/>
      </c>
      <c r="N20" s="5">
        <f>IF(OR(K20="",L20=""),"",K20-L20)</f>
        <v/>
      </c>
    </row>
    <row r="21">
      <c r="C21" t="n">
        <v>2017</v>
      </c>
      <c r="D21" s="19">
        <f>IFERROR(VLOOKUP($C21,PWT!$A:$C,2,FALSE),$D$34*E21)</f>
        <v/>
      </c>
      <c r="E21">
        <f>IFERROR(VLOOKUP($C21,WEO_Data!$B:$D,2,FALSE),"")</f>
        <v/>
      </c>
      <c r="F21">
        <f>IF(D21="","",LN(D21))</f>
        <v/>
      </c>
      <c r="G21">
        <f>IF(E21="","",LN(E21))</f>
        <v/>
      </c>
      <c r="K21" s="4">
        <f>IF(OR(F21="",G21=""),"",G21-$B$2*F21)</f>
        <v/>
      </c>
      <c r="L21">
        <f>K21</f>
        <v/>
      </c>
      <c r="M21">
        <f>IF(OR(L21="",L20="",L19=""),"",L21-2*L20+L19)</f>
        <v/>
      </c>
      <c r="N21" s="5">
        <f>IF(OR(K21="",L21=""),"",K21-L21)</f>
        <v/>
      </c>
    </row>
    <row r="22">
      <c r="C22" t="n">
        <v>2018</v>
      </c>
      <c r="D22" s="19">
        <f>IFERROR(VLOOKUP($C22,PWT!$A:$C,2,FALSE),$D$34*E22)</f>
        <v/>
      </c>
      <c r="E22">
        <f>IFERROR(VLOOKUP($C22,WEO_Data!$B:$D,2,FALSE),"")</f>
        <v/>
      </c>
      <c r="F22">
        <f>IF(D22="","",LN(D22))</f>
        <v/>
      </c>
      <c r="G22">
        <f>IF(E22="","",LN(E22))</f>
        <v/>
      </c>
      <c r="K22" s="4">
        <f>IF(OR(F22="",G22=""),"",G22-$B$2*F22)</f>
        <v/>
      </c>
      <c r="L22">
        <f>K22</f>
        <v/>
      </c>
      <c r="M22">
        <f>IF(OR(L22="",L21="",L20=""),"",L22-2*L21+L20)</f>
        <v/>
      </c>
      <c r="N22" s="5">
        <f>IF(OR(K22="",L22=""),"",K22-L22)</f>
        <v/>
      </c>
    </row>
    <row r="23">
      <c r="C23" t="n">
        <v>2019</v>
      </c>
      <c r="D23" s="19">
        <f>IFERROR(VLOOKUP($C23,PWT!$A:$C,2,FALSE),$D$34*E23)</f>
        <v/>
      </c>
      <c r="E23">
        <f>IFERROR(VLOOKUP($C23,WEO_Data!$B:$D,2,FALSE),"")</f>
        <v/>
      </c>
      <c r="F23">
        <f>IF(D23="","",LN(D23))</f>
        <v/>
      </c>
      <c r="G23">
        <f>IF(E23="","",LN(E23))</f>
        <v/>
      </c>
      <c r="K23" s="4">
        <f>IF(OR(F23="",G23=""),"",G23-$B$2*F23)</f>
        <v/>
      </c>
      <c r="L23">
        <f>K23</f>
        <v/>
      </c>
      <c r="M23">
        <f>IF(OR(L23="",L22="",L21=""),"",L23-2*L22+L21)</f>
        <v/>
      </c>
      <c r="N23" s="5">
        <f>IF(OR(K23="",L23=""),"",K23-L23)</f>
        <v/>
      </c>
    </row>
    <row r="24">
      <c r="C24" t="n">
        <v>2020</v>
      </c>
      <c r="D24" s="19">
        <f>IFERROR(VLOOKUP($C24,PWT!$A:$C,2,FALSE),$D$34*E24)</f>
        <v/>
      </c>
      <c r="E24">
        <f>IFERROR(VLOOKUP($C24,WEO_Data!$B:$D,2,FALSE),"")</f>
        <v/>
      </c>
      <c r="F24">
        <f>IF(D24="","",LN(D24))</f>
        <v/>
      </c>
      <c r="G24">
        <f>IF(E24="","",LN(E24))</f>
        <v/>
      </c>
      <c r="K24" s="4">
        <f>IF(OR(F24="",G24=""),"",G24-$B$2*F24)</f>
        <v/>
      </c>
      <c r="L24">
        <f>K24</f>
        <v/>
      </c>
      <c r="M24">
        <f>IF(OR(L24="",L23="",L22=""),"",L24-2*L23+L22)</f>
        <v/>
      </c>
      <c r="N24" s="5">
        <f>IF(OR(K24="",L24=""),"",K24-L24)</f>
        <v/>
      </c>
    </row>
    <row r="25">
      <c r="C25" t="n">
        <v>2021</v>
      </c>
      <c r="D25" s="19">
        <f>IFERROR(VLOOKUP($C25,PWT!$A:$C,2,FALSE),$D$34*E25)</f>
        <v/>
      </c>
      <c r="E25">
        <f>IFERROR(VLOOKUP($C25,WEO_Data!$B:$D,2,FALSE),"")</f>
        <v/>
      </c>
      <c r="F25">
        <f>IF(D25="","",LN(D25))</f>
        <v/>
      </c>
      <c r="G25">
        <f>IF(E25="","",LN(E25))</f>
        <v/>
      </c>
      <c r="K25" s="4">
        <f>IF(OR(F25="",G25=""),"",G25-$B$2*F25)</f>
        <v/>
      </c>
      <c r="L25">
        <f>K25</f>
        <v/>
      </c>
      <c r="M25">
        <f>IF(OR(L25="",L24="",L23=""),"",L25-2*L24+L23)</f>
        <v/>
      </c>
      <c r="N25" s="5">
        <f>IF(OR(K25="",L25=""),"",K25-L25)</f>
        <v/>
      </c>
    </row>
    <row r="26">
      <c r="C26" t="n">
        <v>2022</v>
      </c>
      <c r="D26" s="19">
        <f>IFERROR(VLOOKUP($C26,PWT!$A:$C,2,FALSE),$D$34*E26)</f>
        <v/>
      </c>
      <c r="E26">
        <f>IFERROR(VLOOKUP($C26,WEO_Data!$B:$D,2,FALSE),"")</f>
        <v/>
      </c>
      <c r="F26">
        <f>IF(D26="","",LN(D26))</f>
        <v/>
      </c>
      <c r="G26">
        <f>IF(E26="","",LN(E26))</f>
        <v/>
      </c>
      <c r="K26" s="4">
        <f>IF(OR(F26="",G26=""),"",G26-$B$2*F26)</f>
        <v/>
      </c>
      <c r="L26">
        <f>K26</f>
        <v/>
      </c>
      <c r="M26">
        <f>IF(OR(L26="",L25="",L24=""),"",L26-2*L25+L24)</f>
        <v/>
      </c>
      <c r="N26" s="5">
        <f>IF(OR(K26="",L26=""),"",K26-L26)</f>
        <v/>
      </c>
    </row>
    <row r="27">
      <c r="C27" t="n">
        <v>2023</v>
      </c>
      <c r="D27" s="19">
        <f>IFERROR(VLOOKUP($C27,PWT!$A:$C,2,FALSE),$D$34*E27)</f>
        <v/>
      </c>
      <c r="E27">
        <f>IFERROR(VLOOKUP($C27,WEO_Data!$B:$D,2,FALSE),"")</f>
        <v/>
      </c>
      <c r="F27">
        <f>IF(D27="","",LN(D27))</f>
        <v/>
      </c>
      <c r="G27">
        <f>IF(E27="","",LN(E27))</f>
        <v/>
      </c>
      <c r="K27" s="6">
        <f>IF(OR(F27="",G27=""),"",G27-$B$2*F27)</f>
        <v/>
      </c>
      <c r="L27" s="7">
        <f>K27</f>
        <v/>
      </c>
      <c r="M27" s="7">
        <f>IF(OR(L27="",L26="",L25=""),"",L27-2*L26+L25)</f>
        <v/>
      </c>
      <c r="N27" s="8">
        <f>IF(OR(K27="",L27=""),"",K27-L27)</f>
        <v/>
      </c>
    </row>
    <row r="34">
      <c r="C34" t="inlineStr">
        <is>
          <t>Avg K/Y (2011-2019)</t>
        </is>
      </c>
      <c r="D34">
        <f>AVERAGE(D45:D53)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IFERROR(E36/F36,"")</f>
        <v/>
      </c>
      <c r="E36" s="19">
        <f>IFERROR(VLOOKUP($C36,PWT!$A:$C,2,FALSE),"")</f>
        <v/>
      </c>
      <c r="F36">
        <f>IFERROR(VLOOKUP($C36,WEO_Data!$B:$D,2,FALSE),"")</f>
        <v/>
      </c>
      <c r="G36">
        <f>L6</f>
        <v/>
      </c>
      <c r="H36">
        <f>IF(OR(E36="",G36=""),"",EXP(G36+$B$2*LN(E36)))</f>
        <v/>
      </c>
      <c r="I36">
        <f>IFERROR(VLOOKUP($C36,Investment!$B:$C,2,FALSE),0)</f>
        <v/>
      </c>
      <c r="J36">
        <f>IF($C36&lt;2026,0,J35*(1-$B$3)+I36)</f>
        <v/>
      </c>
      <c r="K36" s="19">
        <f>IF(E36="","",E36+J36)</f>
        <v/>
      </c>
      <c r="L36">
        <f>IF(OR(K36="",G36=""),"",EXP(G36+$B$2*LN(K36)))</f>
        <v/>
      </c>
      <c r="M36">
        <f>IF(OR(L36="",H36=""),"",L36-H36)</f>
        <v/>
      </c>
      <c r="N36">
        <f>IF(OR(F36="",M36=""),"",F36+M36)</f>
        <v/>
      </c>
    </row>
    <row r="37">
      <c r="C37" t="n">
        <v>2003</v>
      </c>
      <c r="D37">
        <f>IFERROR(E37/F37,"")</f>
        <v/>
      </c>
      <c r="E37" s="19">
        <f>IFERROR(VLOOKUP($C37,PWT!$A:$C,2,FALSE),"")</f>
        <v/>
      </c>
      <c r="F37">
        <f>IFERROR(VLOOKUP($C37,WEO_Data!$B:$D,2,FALSE),"")</f>
        <v/>
      </c>
      <c r="G37">
        <f>L7</f>
        <v/>
      </c>
      <c r="H37">
        <f>IF(OR(E37="",G37=""),"",EXP(G37+$B$2*LN(E37)))</f>
        <v/>
      </c>
      <c r="I37">
        <f>IFERROR(VLOOKUP($C37,Investment!$B:$C,2,FALSE),0)</f>
        <v/>
      </c>
      <c r="J37">
        <f>IF($C37&lt;2026,0,J36*(1-$B$3)+I37)</f>
        <v/>
      </c>
      <c r="K37" s="19">
        <f>IF(E37="","",E37+J37)</f>
        <v/>
      </c>
      <c r="L37">
        <f>IF(OR(K37="",G37=""),"",EXP(G37+$B$2*LN(K37)))</f>
        <v/>
      </c>
      <c r="M37">
        <f>IF(OR(L37="",H37=""),"",L37-H37)</f>
        <v/>
      </c>
      <c r="N37">
        <f>IF(OR(F37="",M37=""),"",F37+M37)</f>
        <v/>
      </c>
      <c r="O37">
        <f>IF(OR(N37="",N36=""),"",N37/N36-1)</f>
        <v/>
      </c>
    </row>
    <row r="38">
      <c r="C38" t="n">
        <v>2004</v>
      </c>
      <c r="D38">
        <f>IFERROR(E38/F38,"")</f>
        <v/>
      </c>
      <c r="E38" s="19">
        <f>IFERROR(VLOOKUP($C38,PWT!$A:$C,2,FALSE),"")</f>
        <v/>
      </c>
      <c r="F38">
        <f>IFERROR(VLOOKUP($C38,WEO_Data!$B:$D,2,FALSE),"")</f>
        <v/>
      </c>
      <c r="G38">
        <f>L8</f>
        <v/>
      </c>
      <c r="H38">
        <f>IF(OR(E38="",G38=""),"",EXP(G38+$B$2*LN(E38)))</f>
        <v/>
      </c>
      <c r="I38">
        <f>IFERROR(VLOOKUP($C38,Investment!$B:$C,2,FALSE),0)</f>
        <v/>
      </c>
      <c r="J38">
        <f>IF($C38&lt;2026,0,J37*(1-$B$3)+I38)</f>
        <v/>
      </c>
      <c r="K38" s="19">
        <f>IF(E38="","",E38+J38)</f>
        <v/>
      </c>
      <c r="L38">
        <f>IF(OR(K38="",G38=""),"",EXP(G38+$B$2*LN(K38)))</f>
        <v/>
      </c>
      <c r="M38">
        <f>IF(OR(L38="",H38=""),"",L38-H38)</f>
        <v/>
      </c>
      <c r="N38">
        <f>IF(OR(F38="",M38=""),"",F38+M38)</f>
        <v/>
      </c>
      <c r="O38">
        <f>IF(OR(N38="",N37=""),"",N38/N37-1)</f>
        <v/>
      </c>
    </row>
    <row r="39">
      <c r="C39" t="n">
        <v>2005</v>
      </c>
      <c r="D39">
        <f>IFERROR(E39/F39,"")</f>
        <v/>
      </c>
      <c r="E39" s="19">
        <f>IFERROR(VLOOKUP($C39,PWT!$A:$C,2,FALSE),"")</f>
        <v/>
      </c>
      <c r="F39">
        <f>IFERROR(VLOOKUP($C39,WEO_Data!$B:$D,2,FALSE),"")</f>
        <v/>
      </c>
      <c r="G39">
        <f>L9</f>
        <v/>
      </c>
      <c r="H39">
        <f>IF(OR(E39="",G39=""),"",EXP(G39+$B$2*LN(E39)))</f>
        <v/>
      </c>
      <c r="I39">
        <f>IFERROR(VLOOKUP($C39,Investment!$B:$C,2,FALSE),0)</f>
        <v/>
      </c>
      <c r="J39">
        <f>IF($C39&lt;2026,0,J38*(1-$B$3)+I39)</f>
        <v/>
      </c>
      <c r="K39" s="19">
        <f>IF(E39="","",E39+J39)</f>
        <v/>
      </c>
      <c r="L39">
        <f>IF(OR(K39="",G39=""),"",EXP(G39+$B$2*LN(K39)))</f>
        <v/>
      </c>
      <c r="M39">
        <f>IF(OR(L39="",H39=""),"",L39-H39)</f>
        <v/>
      </c>
      <c r="N39">
        <f>IF(OR(F39="",M39=""),"",F39+M39)</f>
        <v/>
      </c>
      <c r="O39">
        <f>IF(OR(N39="",N38=""),"",N39/N38-1)</f>
        <v/>
      </c>
    </row>
    <row r="40">
      <c r="C40" t="n">
        <v>2006</v>
      </c>
      <c r="D40">
        <f>IFERROR(E40/F40,"")</f>
        <v/>
      </c>
      <c r="E40" s="19">
        <f>IFERROR(VLOOKUP($C40,PWT!$A:$C,2,FALSE),"")</f>
        <v/>
      </c>
      <c r="F40">
        <f>IFERROR(VLOOKUP($C40,WEO_Data!$B:$D,2,FALSE),"")</f>
        <v/>
      </c>
      <c r="G40">
        <f>L10</f>
        <v/>
      </c>
      <c r="H40">
        <f>IF(OR(E40="",G40=""),"",EXP(G40+$B$2*LN(E40)))</f>
        <v/>
      </c>
      <c r="I40">
        <f>IFERROR(VLOOKUP($C40,Investment!$B:$C,2,FALSE),0)</f>
        <v/>
      </c>
      <c r="J40">
        <f>IF($C40&lt;2026,0,J39*(1-$B$3)+I40)</f>
        <v/>
      </c>
      <c r="K40" s="19">
        <f>IF(E40="","",E40+J40)</f>
        <v/>
      </c>
      <c r="L40">
        <f>IF(OR(K40="",G40=""),"",EXP(G40+$B$2*LN(K40)))</f>
        <v/>
      </c>
      <c r="M40">
        <f>IF(OR(L40="",H40=""),"",L40-H40)</f>
        <v/>
      </c>
      <c r="N40">
        <f>IF(OR(F40="",M40=""),"",F40+M40)</f>
        <v/>
      </c>
      <c r="O40">
        <f>IF(OR(N40="",N39=""),"",N40/N39-1)</f>
        <v/>
      </c>
    </row>
    <row r="41">
      <c r="C41" t="n">
        <v>2007</v>
      </c>
      <c r="D41">
        <f>IFERROR(E41/F41,"")</f>
        <v/>
      </c>
      <c r="E41" s="19">
        <f>IFERROR(VLOOKUP($C41,PWT!$A:$C,2,FALSE),"")</f>
        <v/>
      </c>
      <c r="F41">
        <f>IFERROR(VLOOKUP($C41,WEO_Data!$B:$D,2,FALSE),"")</f>
        <v/>
      </c>
      <c r="G41">
        <f>L11</f>
        <v/>
      </c>
      <c r="H41">
        <f>IF(OR(E41="",G41=""),"",EXP(G41+$B$2*LN(E41)))</f>
        <v/>
      </c>
      <c r="I41">
        <f>IFERROR(VLOOKUP($C41,Investment!$B:$C,2,FALSE),0)</f>
        <v/>
      </c>
      <c r="J41">
        <f>IF($C41&lt;2026,0,J40*(1-$B$3)+I41)</f>
        <v/>
      </c>
      <c r="K41" s="19">
        <f>IF(E41="","",E41+J41)</f>
        <v/>
      </c>
      <c r="L41">
        <f>IF(OR(K41="",G41=""),"",EXP(G41+$B$2*LN(K41)))</f>
        <v/>
      </c>
      <c r="M41">
        <f>IF(OR(L41="",H41=""),"",L41-H41)</f>
        <v/>
      </c>
      <c r="N41">
        <f>IF(OR(F41="",M41=""),"",F41+M41)</f>
        <v/>
      </c>
      <c r="O41">
        <f>IF(OR(N41="",N40=""),"",N41/N40-1)</f>
        <v/>
      </c>
    </row>
    <row r="42">
      <c r="C42" t="n">
        <v>2008</v>
      </c>
      <c r="D42">
        <f>IFERROR(E42/F42,"")</f>
        <v/>
      </c>
      <c r="E42" s="19">
        <f>IFERROR(VLOOKUP($C42,PWT!$A:$C,2,FALSE),"")</f>
        <v/>
      </c>
      <c r="F42">
        <f>IFERROR(VLOOKUP($C42,WEO_Data!$B:$D,2,FALSE),"")</f>
        <v/>
      </c>
      <c r="G42">
        <f>L12</f>
        <v/>
      </c>
      <c r="H42">
        <f>IF(OR(E42="",G42=""),"",EXP(G42+$B$2*LN(E42)))</f>
        <v/>
      </c>
      <c r="I42">
        <f>IFERROR(VLOOKUP($C42,Investment!$B:$C,2,FALSE),0)</f>
        <v/>
      </c>
      <c r="J42">
        <f>IF($C42&lt;2026,0,J41*(1-$B$3)+I42)</f>
        <v/>
      </c>
      <c r="K42" s="19">
        <f>IF(E42="","",E42+J42)</f>
        <v/>
      </c>
      <c r="L42">
        <f>IF(OR(K42="",G42=""),"",EXP(G42+$B$2*LN(K42)))</f>
        <v/>
      </c>
      <c r="M42">
        <f>IF(OR(L42="",H42=""),"",L42-H42)</f>
        <v/>
      </c>
      <c r="N42">
        <f>IF(OR(F42="",M42=""),"",F42+M42)</f>
        <v/>
      </c>
      <c r="O42">
        <f>IF(OR(N42="",N41=""),"",N42/N41-1)</f>
        <v/>
      </c>
    </row>
    <row r="43">
      <c r="C43" t="n">
        <v>2009</v>
      </c>
      <c r="D43">
        <f>IFERROR(E43/F43,"")</f>
        <v/>
      </c>
      <c r="E43" s="19">
        <f>IFERROR(VLOOKUP($C43,PWT!$A:$C,2,FALSE),"")</f>
        <v/>
      </c>
      <c r="F43">
        <f>IFERROR(VLOOKUP($C43,WEO_Data!$B:$D,2,FALSE),"")</f>
        <v/>
      </c>
      <c r="G43">
        <f>L13</f>
        <v/>
      </c>
      <c r="H43">
        <f>IF(OR(E43="",G43=""),"",EXP(G43+$B$2*LN(E43)))</f>
        <v/>
      </c>
      <c r="I43">
        <f>IFERROR(VLOOKUP($C43,Investment!$B:$C,2,FALSE),0)</f>
        <v/>
      </c>
      <c r="J43">
        <f>IF($C43&lt;2026,0,J42*(1-$B$3)+I43)</f>
        <v/>
      </c>
      <c r="K43" s="19">
        <f>IF(E43="","",E43+J43)</f>
        <v/>
      </c>
      <c r="L43">
        <f>IF(OR(K43="",G43=""),"",EXP(G43+$B$2*LN(K43)))</f>
        <v/>
      </c>
      <c r="M43">
        <f>IF(OR(L43="",H43=""),"",L43-H43)</f>
        <v/>
      </c>
      <c r="N43">
        <f>IF(OR(F43="",M43=""),"",F43+M43)</f>
        <v/>
      </c>
      <c r="O43">
        <f>IF(OR(N43="",N42=""),"",N43/N42-1)</f>
        <v/>
      </c>
    </row>
    <row r="44">
      <c r="C44" t="n">
        <v>2010</v>
      </c>
      <c r="D44">
        <f>IFERROR(E44/F44,"")</f>
        <v/>
      </c>
      <c r="E44" s="19">
        <f>IFERROR(VLOOKUP($C44,PWT!$A:$C,2,FALSE),"")</f>
        <v/>
      </c>
      <c r="F44">
        <f>IFERROR(VLOOKUP($C44,WEO_Data!$B:$D,2,FALSE),"")</f>
        <v/>
      </c>
      <c r="G44">
        <f>L14</f>
        <v/>
      </c>
      <c r="H44">
        <f>IF(OR(E44="",G44=""),"",EXP(G44+$B$2*LN(E44)))</f>
        <v/>
      </c>
      <c r="I44">
        <f>IFERROR(VLOOKUP($C44,Investment!$B:$C,2,FALSE),0)</f>
        <v/>
      </c>
      <c r="J44">
        <f>IF($C44&lt;2026,0,J43*(1-$B$3)+I44)</f>
        <v/>
      </c>
      <c r="K44" s="19">
        <f>IF(E44="","",E44+J44)</f>
        <v/>
      </c>
      <c r="L44">
        <f>IF(OR(K44="",G44=""),"",EXP(G44+$B$2*LN(K44)))</f>
        <v/>
      </c>
      <c r="M44">
        <f>IF(OR(L44="",H44=""),"",L44-H44)</f>
        <v/>
      </c>
      <c r="N44">
        <f>IF(OR(F44="",M44=""),"",F44+M44)</f>
        <v/>
      </c>
      <c r="O44">
        <f>IF(OR(N44="",N43=""),"",N44/N43-1)</f>
        <v/>
      </c>
    </row>
    <row r="45">
      <c r="C45" t="n">
        <v>2011</v>
      </c>
      <c r="D45">
        <f>IFERROR(E45/F45,"")</f>
        <v/>
      </c>
      <c r="E45" s="19">
        <f>IFERROR(VLOOKUP($C45,PWT!$A:$C,2,FALSE),"")</f>
        <v/>
      </c>
      <c r="F45">
        <f>IFERROR(VLOOKUP($C45,WEO_Data!$B:$D,2,FALSE),"")</f>
        <v/>
      </c>
      <c r="G45">
        <f>L15</f>
        <v/>
      </c>
      <c r="H45">
        <f>IF(OR(E45="",G45=""),"",EXP(G45+$B$2*LN(E45)))</f>
        <v/>
      </c>
      <c r="I45">
        <f>IFERROR(VLOOKUP($C45,Investment!$B:$C,2,FALSE),0)</f>
        <v/>
      </c>
      <c r="J45">
        <f>IF($C45&lt;2026,0,J44*(1-$B$3)+I45)</f>
        <v/>
      </c>
      <c r="K45" s="19">
        <f>IF(E45="","",E45+J45)</f>
        <v/>
      </c>
      <c r="L45">
        <f>IF(OR(K45="",G45=""),"",EXP(G45+$B$2*LN(K45)))</f>
        <v/>
      </c>
      <c r="M45">
        <f>IF(OR(L45="",H45=""),"",L45-H45)</f>
        <v/>
      </c>
      <c r="N45">
        <f>IF(OR(F45="",M45=""),"",F45+M45)</f>
        <v/>
      </c>
      <c r="O45">
        <f>IF(OR(N45="",N44=""),"",N45/N44-1)</f>
        <v/>
      </c>
    </row>
    <row r="46">
      <c r="C46" t="n">
        <v>2012</v>
      </c>
      <c r="D46">
        <f>IFERROR(E46/F46,"")</f>
        <v/>
      </c>
      <c r="E46" s="19">
        <f>IFERROR(VLOOKUP($C46,PWT!$A:$C,2,FALSE),"")</f>
        <v/>
      </c>
      <c r="F46">
        <f>IFERROR(VLOOKUP($C46,WEO_Data!$B:$D,2,FALSE),"")</f>
        <v/>
      </c>
      <c r="G46">
        <f>L16</f>
        <v/>
      </c>
      <c r="H46">
        <f>IF(OR(E46="",G46=""),"",EXP(G46+$B$2*LN(E46)))</f>
        <v/>
      </c>
      <c r="I46">
        <f>IFERROR(VLOOKUP($C46,Investment!$B:$C,2,FALSE),0)</f>
        <v/>
      </c>
      <c r="J46">
        <f>IF($C46&lt;2026,0,J45*(1-$B$3)+I46)</f>
        <v/>
      </c>
      <c r="K46" s="19">
        <f>IF(E46="","",E46+J46)</f>
        <v/>
      </c>
      <c r="L46">
        <f>IF(OR(K46="",G46=""),"",EXP(G46+$B$2*LN(K46)))</f>
        <v/>
      </c>
      <c r="M46">
        <f>IF(OR(L46="",H46=""),"",L46-H46)</f>
        <v/>
      </c>
      <c r="N46">
        <f>IF(OR(F46="",M46=""),"",F46+M46)</f>
        <v/>
      </c>
      <c r="O46">
        <f>IF(OR(N46="",N45=""),"",N46/N45-1)</f>
        <v/>
      </c>
    </row>
    <row r="47">
      <c r="C47" t="n">
        <v>2013</v>
      </c>
      <c r="D47">
        <f>IFERROR(E47/F47,"")</f>
        <v/>
      </c>
      <c r="E47" s="19">
        <f>IFERROR(VLOOKUP($C47,PWT!$A:$C,2,FALSE),"")</f>
        <v/>
      </c>
      <c r="F47">
        <f>IFERROR(VLOOKUP($C47,WEO_Data!$B:$D,2,FALSE),"")</f>
        <v/>
      </c>
      <c r="G47">
        <f>L17</f>
        <v/>
      </c>
      <c r="H47">
        <f>IF(OR(E47="",G47=""),"",EXP(G47+$B$2*LN(E47)))</f>
        <v/>
      </c>
      <c r="I47">
        <f>IFERROR(VLOOKUP($C47,Investment!$B:$C,2,FALSE),0)</f>
        <v/>
      </c>
      <c r="J47">
        <f>IF($C47&lt;2026,0,J46*(1-$B$3)+I47)</f>
        <v/>
      </c>
      <c r="K47" s="19">
        <f>IF(E47="","",E47+J47)</f>
        <v/>
      </c>
      <c r="L47">
        <f>IF(OR(K47="",G47=""),"",EXP(G47+$B$2*LN(K47)))</f>
        <v/>
      </c>
      <c r="M47">
        <f>IF(OR(L47="",H47=""),"",L47-H47)</f>
        <v/>
      </c>
      <c r="N47">
        <f>IF(OR(F47="",M47=""),"",F47+M47)</f>
        <v/>
      </c>
      <c r="O47">
        <f>IF(OR(N47="",N46=""),"",N47/N46-1)</f>
        <v/>
      </c>
    </row>
    <row r="48">
      <c r="C48" t="n">
        <v>2014</v>
      </c>
      <c r="D48">
        <f>IFERROR(E48/F48,"")</f>
        <v/>
      </c>
      <c r="E48" s="19">
        <f>IFERROR(VLOOKUP($C48,PWT!$A:$C,2,FALSE),"")</f>
        <v/>
      </c>
      <c r="F48">
        <f>IFERROR(VLOOKUP($C48,WEO_Data!$B:$D,2,FALSE),"")</f>
        <v/>
      </c>
      <c r="G48">
        <f>L18</f>
        <v/>
      </c>
      <c r="H48">
        <f>IF(OR(E48="",G48=""),"",EXP(G48+$B$2*LN(E48)))</f>
        <v/>
      </c>
      <c r="I48">
        <f>IFERROR(VLOOKUP($C48,Investment!$B:$C,2,FALSE),0)</f>
        <v/>
      </c>
      <c r="J48">
        <f>IF($C48&lt;2026,0,J47*(1-$B$3)+I48)</f>
        <v/>
      </c>
      <c r="K48" s="19">
        <f>IF(E48="","",E48+J48)</f>
        <v/>
      </c>
      <c r="L48">
        <f>IF(OR(K48="",G48=""),"",EXP(G48+$B$2*LN(K48)))</f>
        <v/>
      </c>
      <c r="M48">
        <f>IF(OR(L48="",H48=""),"",L48-H48)</f>
        <v/>
      </c>
      <c r="N48">
        <f>IF(OR(F48="",M48=""),"",F48+M48)</f>
        <v/>
      </c>
      <c r="O48">
        <f>IF(OR(N48="",N47=""),"",N48/N47-1)</f>
        <v/>
      </c>
    </row>
    <row r="49">
      <c r="C49" t="n">
        <v>2015</v>
      </c>
      <c r="D49">
        <f>IFERROR(E49/F49,"")</f>
        <v/>
      </c>
      <c r="E49" s="19">
        <f>IFERROR(VLOOKUP($C49,PWT!$A:$C,2,FALSE),"")</f>
        <v/>
      </c>
      <c r="F49">
        <f>IFERROR(VLOOKUP($C49,WEO_Data!$B:$D,2,FALSE),"")</f>
        <v/>
      </c>
      <c r="G49">
        <f>L19</f>
        <v/>
      </c>
      <c r="H49">
        <f>IF(OR(E49="",G49=""),"",EXP(G49+$B$2*LN(E49)))</f>
        <v/>
      </c>
      <c r="I49">
        <f>IFERROR(VLOOKUP($C49,Investment!$B:$C,2,FALSE),0)</f>
        <v/>
      </c>
      <c r="J49">
        <f>IF($C49&lt;2026,0,J48*(1-$B$3)+I49)</f>
        <v/>
      </c>
      <c r="K49" s="19">
        <f>IF(E49="","",E49+J49)</f>
        <v/>
      </c>
      <c r="L49">
        <f>IF(OR(K49="",G49=""),"",EXP(G49+$B$2*LN(K49)))</f>
        <v/>
      </c>
      <c r="M49">
        <f>IF(OR(L49="",H49=""),"",L49-H49)</f>
        <v/>
      </c>
      <c r="N49">
        <f>IF(OR(F49="",M49=""),"",F49+M49)</f>
        <v/>
      </c>
      <c r="O49">
        <f>IF(OR(N49="",N48=""),"",N49/N48-1)</f>
        <v/>
      </c>
    </row>
    <row r="50">
      <c r="C50" t="n">
        <v>2016</v>
      </c>
      <c r="D50">
        <f>IFERROR(E50/F50,"")</f>
        <v/>
      </c>
      <c r="E50" s="19">
        <f>IFERROR(VLOOKUP($C50,PWT!$A:$C,2,FALSE),"")</f>
        <v/>
      </c>
      <c r="F50">
        <f>IFERROR(VLOOKUP($C50,WEO_Data!$B:$D,2,FALSE),"")</f>
        <v/>
      </c>
      <c r="G50">
        <f>L20</f>
        <v/>
      </c>
      <c r="H50">
        <f>IF(OR(E50="",G50=""),"",EXP(G50+$B$2*LN(E50)))</f>
        <v/>
      </c>
      <c r="I50">
        <f>IFERROR(VLOOKUP($C50,Investment!$B:$C,2,FALSE),0)</f>
        <v/>
      </c>
      <c r="J50">
        <f>IF($C50&lt;2026,0,J49*(1-$B$3)+I50)</f>
        <v/>
      </c>
      <c r="K50" s="19">
        <f>IF(E50="","",E50+J50)</f>
        <v/>
      </c>
      <c r="L50">
        <f>IF(OR(K50="",G50=""),"",EXP(G50+$B$2*LN(K50)))</f>
        <v/>
      </c>
      <c r="M50">
        <f>IF(OR(L50="",H50=""),"",L50-H50)</f>
        <v/>
      </c>
      <c r="N50">
        <f>IF(OR(F50="",M50=""),"",F50+M50)</f>
        <v/>
      </c>
      <c r="O50">
        <f>IF(OR(N50="",N49=""),"",N50/N49-1)</f>
        <v/>
      </c>
    </row>
    <row r="51">
      <c r="C51" t="n">
        <v>2017</v>
      </c>
      <c r="D51">
        <f>IFERROR(E51/F51,"")</f>
        <v/>
      </c>
      <c r="E51" s="19">
        <f>IFERROR(VLOOKUP($C51,PWT!$A:$C,2,FALSE),"")</f>
        <v/>
      </c>
      <c r="F51">
        <f>IFERROR(VLOOKUP($C51,WEO_Data!$B:$D,2,FALSE),"")</f>
        <v/>
      </c>
      <c r="G51">
        <f>L21</f>
        <v/>
      </c>
      <c r="H51">
        <f>IF(OR(E51="",G51=""),"",EXP(G51+$B$2*LN(E51)))</f>
        <v/>
      </c>
      <c r="I51">
        <f>IFERROR(VLOOKUP($C51,Investment!$B:$C,2,FALSE),0)</f>
        <v/>
      </c>
      <c r="J51">
        <f>IF($C51&lt;2026,0,J50*(1-$B$3)+I51)</f>
        <v/>
      </c>
      <c r="K51" s="19">
        <f>IF(E51="","",E51+J51)</f>
        <v/>
      </c>
      <c r="L51">
        <f>IF(OR(K51="",G51=""),"",EXP(G51+$B$2*LN(K51)))</f>
        <v/>
      </c>
      <c r="M51">
        <f>IF(OR(L51="",H51=""),"",L51-H51)</f>
        <v/>
      </c>
      <c r="N51">
        <f>IF(OR(F51="",M51=""),"",F51+M51)</f>
        <v/>
      </c>
      <c r="O51">
        <f>IF(OR(N51="",N50=""),"",N51/N50-1)</f>
        <v/>
      </c>
    </row>
    <row r="52">
      <c r="C52" t="n">
        <v>2018</v>
      </c>
      <c r="D52">
        <f>IFERROR(E52/F52,"")</f>
        <v/>
      </c>
      <c r="E52" s="19">
        <f>IFERROR(VLOOKUP($C52,PWT!$A:$C,2,FALSE),"")</f>
        <v/>
      </c>
      <c r="F52">
        <f>IFERROR(VLOOKUP($C52,WEO_Data!$B:$D,2,FALSE),"")</f>
        <v/>
      </c>
      <c r="G52">
        <f>L22</f>
        <v/>
      </c>
      <c r="H52">
        <f>IF(OR(E52="",G52=""),"",EXP(G52+$B$2*LN(E52)))</f>
        <v/>
      </c>
      <c r="I52">
        <f>IFERROR(VLOOKUP($C52,Investment!$B:$C,2,FALSE),0)</f>
        <v/>
      </c>
      <c r="J52">
        <f>IF($C52&lt;2026,0,J51*(1-$B$3)+I52)</f>
        <v/>
      </c>
      <c r="K52" s="19">
        <f>IF(E52="","",E52+J52)</f>
        <v/>
      </c>
      <c r="L52">
        <f>IF(OR(K52="",G52=""),"",EXP(G52+$B$2*LN(K52)))</f>
        <v/>
      </c>
      <c r="M52">
        <f>IF(OR(L52="",H52=""),"",L52-H52)</f>
        <v/>
      </c>
      <c r="N52">
        <f>IF(OR(F52="",M52=""),"",F52+M52)</f>
        <v/>
      </c>
      <c r="O52">
        <f>IF(OR(N52="",N51=""),"",N52/N51-1)</f>
        <v/>
      </c>
    </row>
    <row r="53">
      <c r="C53" t="n">
        <v>2019</v>
      </c>
      <c r="D53">
        <f>IFERROR(E53/F53,"")</f>
        <v/>
      </c>
      <c r="E53" s="19">
        <f>IFERROR(VLOOKUP($C53,PWT!$A:$C,2,FALSE),"")</f>
        <v/>
      </c>
      <c r="F53">
        <f>IFERROR(VLOOKUP($C53,WEO_Data!$B:$D,2,FALSE),"")</f>
        <v/>
      </c>
      <c r="G53">
        <f>L23</f>
        <v/>
      </c>
      <c r="H53">
        <f>IF(OR(E53="",G53=""),"",EXP(G53+$B$2*LN(E53)))</f>
        <v/>
      </c>
      <c r="I53">
        <f>IFERROR(VLOOKUP($C53,Investment!$B:$C,2,FALSE),0)</f>
        <v/>
      </c>
      <c r="J53">
        <f>IF($C53&lt;2026,0,J52*(1-$B$3)+I53)</f>
        <v/>
      </c>
      <c r="K53" s="19">
        <f>IF(E53="","",E53+J53)</f>
        <v/>
      </c>
      <c r="L53">
        <f>IF(OR(K53="",G53=""),"",EXP(G53+$B$2*LN(K53)))</f>
        <v/>
      </c>
      <c r="M53">
        <f>IF(OR(L53="",H53=""),"",L53-H53)</f>
        <v/>
      </c>
      <c r="N53">
        <f>IF(OR(F53="",M53=""),"",F53+M53)</f>
        <v/>
      </c>
      <c r="O53">
        <f>IF(OR(N53="",N52=""),"",N53/N52-1)</f>
        <v/>
      </c>
    </row>
    <row r="54">
      <c r="C54" t="n">
        <v>2020</v>
      </c>
      <c r="D54">
        <f>IFERROR(E54/F54,"")</f>
        <v/>
      </c>
      <c r="E54" s="19">
        <f>IF($D$34="","",$D$34*F54)</f>
        <v/>
      </c>
      <c r="F54">
        <f>IFERROR(VLOOKUP($C54,WEO_Data!$B:$D,2,FALSE),"")</f>
        <v/>
      </c>
      <c r="G54">
        <f>L24</f>
        <v/>
      </c>
      <c r="H54">
        <f>IF(OR(E54="",G54=""),"",EXP(G54+$B$2*LN(E54)))</f>
        <v/>
      </c>
      <c r="I54">
        <f>IFERROR(VLOOKUP($C54,Investment!$B:$C,2,FALSE),0)</f>
        <v/>
      </c>
      <c r="J54">
        <f>IF($C54&lt;2026,0,J53*(1-$B$3)+I54)</f>
        <v/>
      </c>
      <c r="K54" s="19">
        <f>IF(E54="","",E54+J54)</f>
        <v/>
      </c>
      <c r="L54">
        <f>IF(OR(K54="",G54=""),"",EXP(G54+$B$2*LN(K54)))</f>
        <v/>
      </c>
      <c r="M54">
        <f>IF(OR(L54="",H54=""),"",L54-H54)</f>
        <v/>
      </c>
      <c r="N54">
        <f>IF(OR(F54="",M54=""),"",F54+M54)</f>
        <v/>
      </c>
      <c r="O54">
        <f>IF(OR(N54="",N53=""),"",N54/N53-1)</f>
        <v/>
      </c>
    </row>
    <row r="55">
      <c r="C55" t="n">
        <v>2021</v>
      </c>
      <c r="D55">
        <f>IFERROR(E55/F55,"")</f>
        <v/>
      </c>
      <c r="E55" s="19">
        <f>IF($D$34="","",$D$34*F55)</f>
        <v/>
      </c>
      <c r="F55">
        <f>IFERROR(VLOOKUP($C55,WEO_Data!$B:$D,2,FALSE),"")</f>
        <v/>
      </c>
      <c r="G55">
        <f>L25</f>
        <v/>
      </c>
      <c r="H55">
        <f>IF(OR(E55="",G55=""),"",EXP(G55+$B$2*LN(E55)))</f>
        <v/>
      </c>
      <c r="I55">
        <f>IFERROR(VLOOKUP($C55,Investment!$B:$C,2,FALSE),0)</f>
        <v/>
      </c>
      <c r="J55">
        <f>IF($C55&lt;2026,0,J54*(1-$B$3)+I55)</f>
        <v/>
      </c>
      <c r="K55" s="19">
        <f>IF(E55="","",E55+J55)</f>
        <v/>
      </c>
      <c r="L55">
        <f>IF(OR(K55="",G55=""),"",EXP(G55+$B$2*LN(K55)))</f>
        <v/>
      </c>
      <c r="M55">
        <f>IF(OR(L55="",H55=""),"",L55-H55)</f>
        <v/>
      </c>
      <c r="N55">
        <f>IF(OR(F55="",M55=""),"",F55+M55)</f>
        <v/>
      </c>
      <c r="O55">
        <f>IF(OR(N55="",N54=""),"",N55/N54-1)</f>
        <v/>
      </c>
    </row>
    <row r="56">
      <c r="C56" t="n">
        <v>2022</v>
      </c>
      <c r="D56">
        <f>IFERROR(E56/F56,"")</f>
        <v/>
      </c>
      <c r="E56" s="19">
        <f>IF($D$34="","",$D$34*F56)</f>
        <v/>
      </c>
      <c r="F56">
        <f>IFERROR(VLOOKUP($C56,WEO_Data!$B:$D,2,FALSE),"")</f>
        <v/>
      </c>
      <c r="G56">
        <f>L26</f>
        <v/>
      </c>
      <c r="H56">
        <f>IF(OR(E56="",G56=""),"",EXP(G56+$B$2*LN(E56)))</f>
        <v/>
      </c>
      <c r="I56">
        <f>IFERROR(VLOOKUP($C56,Investment!$B:$C,2,FALSE),0)</f>
        <v/>
      </c>
      <c r="J56">
        <f>IF($C56&lt;2026,0,J55*(1-$B$3)+I56)</f>
        <v/>
      </c>
      <c r="K56" s="19">
        <f>IF(E56="","",E56+J56)</f>
        <v/>
      </c>
      <c r="L56">
        <f>IF(OR(K56="",G56=""),"",EXP(G56+$B$2*LN(K56)))</f>
        <v/>
      </c>
      <c r="M56">
        <f>IF(OR(L56="",H56=""),"",L56-H56)</f>
        <v/>
      </c>
      <c r="N56">
        <f>IF(OR(F56="",M56=""),"",F56+M56)</f>
        <v/>
      </c>
      <c r="O56">
        <f>IF(OR(N56="",N55=""),"",N56/N55-1)</f>
        <v/>
      </c>
    </row>
    <row r="57">
      <c r="C57" t="n">
        <v>2023</v>
      </c>
      <c r="D57">
        <f>IFERROR(E57/F57,"")</f>
        <v/>
      </c>
      <c r="E57" s="19">
        <f>IF($D$34="","",$D$34*F57)</f>
        <v/>
      </c>
      <c r="F57">
        <f>IFERROR(VLOOKUP($C57,WEO_Data!$B:$D,2,FALSE),"")</f>
        <v/>
      </c>
      <c r="G57">
        <f>L27</f>
        <v/>
      </c>
      <c r="H57">
        <f>IF(OR(E57="",G57=""),"",EXP(G57+$B$2*LN(E57)))</f>
        <v/>
      </c>
      <c r="I57">
        <f>IFERROR(VLOOKUP($C57,Investment!$B:$C,2,FALSE),0)</f>
        <v/>
      </c>
      <c r="J57">
        <f>IF($C57&lt;2026,0,J56*(1-$B$3)+I57)</f>
        <v/>
      </c>
      <c r="K57" s="19">
        <f>IF(E57="","",E57+J57)</f>
        <v/>
      </c>
      <c r="L57">
        <f>IF(OR(K57="",G57=""),"",EXP(G57+$B$2*LN(K57)))</f>
        <v/>
      </c>
      <c r="M57">
        <f>IF(OR(L57="",H57=""),"",L57-H57)</f>
        <v/>
      </c>
      <c r="N57">
        <f>IF(OR(F57="",M57=""),"",F57+M57)</f>
        <v/>
      </c>
      <c r="O57">
        <f>IF(OR(N57="",N56=""),"",N57/N56-1)</f>
        <v/>
      </c>
    </row>
    <row r="58">
      <c r="C58" t="n">
        <v>2024</v>
      </c>
      <c r="D58">
        <f>IFERROR(E58/F58,"")</f>
        <v/>
      </c>
      <c r="E58" s="21">
        <f>IF($D$34="","",$D$34*F58)</f>
        <v/>
      </c>
      <c r="F58">
        <f>IFERROR(VLOOKUP($C58,WEO_Data!$B:$D,2,FALSE),"")</f>
        <v/>
      </c>
      <c r="G58" s="20">
        <f>TREND($G$36:$G$57,$C$36:$C$57,C58)</f>
        <v/>
      </c>
      <c r="H58">
        <f>IF(OR(E58="",G58=""),"",EXP(G58+$B$2*LN(E58)))</f>
        <v/>
      </c>
      <c r="I58">
        <f>IFERROR(VLOOKUP($C58,Investment!$B:$C,2,FALSE),0)</f>
        <v/>
      </c>
      <c r="J58">
        <f>IF($C58&lt;2026,0,J57*(1-$B$3)+I58)</f>
        <v/>
      </c>
      <c r="K58" s="19">
        <f>IF(E58="","",E58+J58)</f>
        <v/>
      </c>
      <c r="L58">
        <f>IF(OR(K58="",G58=""),"",EXP(G58+$B$2*LN(K58)))</f>
        <v/>
      </c>
      <c r="M58">
        <f>IF(OR(L58="",H58=""),"",L58-H58)</f>
        <v/>
      </c>
      <c r="N58">
        <f>IF(OR(F58="",M58=""),"",F58+M58)</f>
        <v/>
      </c>
      <c r="O58">
        <f>IF(OR(N58="",N57=""),"",N58/N57-1)</f>
        <v/>
      </c>
    </row>
    <row r="59">
      <c r="C59" t="n">
        <v>2025</v>
      </c>
      <c r="D59">
        <f>IFERROR(E59/F59,"")</f>
        <v/>
      </c>
      <c r="E59" s="21">
        <f>IF($D$34="","",$D$34*F59)</f>
        <v/>
      </c>
      <c r="F59">
        <f>IFERROR(VLOOKUP($C59,WEO_Data!$B:$D,2,FALSE),"")</f>
        <v/>
      </c>
      <c r="G59" s="20">
        <f>TREND($G$36:$G$57,$C$36:$C$57,C59)</f>
        <v/>
      </c>
      <c r="H59">
        <f>IF(OR(E59="",G59=""),"",EXP(G59+$B$2*LN(E59)))</f>
        <v/>
      </c>
      <c r="I59">
        <f>IFERROR(VLOOKUP($C59,Investment!$B:$C,2,FALSE),0)</f>
        <v/>
      </c>
      <c r="J59">
        <f>IF($C59&lt;2026,0,J58*(1-$B$3)+I59)</f>
        <v/>
      </c>
      <c r="K59" s="19">
        <f>IF(E59="","",E59+J59)</f>
        <v/>
      </c>
      <c r="L59">
        <f>IF(OR(K59="",G59=""),"",EXP(G59+$B$2*LN(K59)))</f>
        <v/>
      </c>
      <c r="M59">
        <f>IF(OR(L59="",H59=""),"",L59-H59)</f>
        <v/>
      </c>
      <c r="N59">
        <f>IF(OR(F59="",M59=""),"",F59+M59)</f>
        <v/>
      </c>
      <c r="O59">
        <f>IF(OR(N59="",N58=""),"",N59/N58-1)</f>
        <v/>
      </c>
    </row>
    <row r="60">
      <c r="C60" t="n">
        <v>2026</v>
      </c>
      <c r="D60">
        <f>IFERROR(E60/F60,"")</f>
        <v/>
      </c>
      <c r="E60" s="21">
        <f>IF($D$34="","",$D$34*F60)</f>
        <v/>
      </c>
      <c r="F60" s="20">
        <f>IFERROR(VLOOKUP($C60,WEO_Data!$B:$D,2,FALSE),"")</f>
        <v/>
      </c>
      <c r="G60" s="20">
        <f>TREND($G$36:$G$57,$C$36:$C$57,C60)</f>
        <v/>
      </c>
      <c r="H60">
        <f>IF(OR(E60="",G60=""),"",EXP(G60+$B$2*LN(E60)))</f>
        <v/>
      </c>
      <c r="I60" s="17">
        <f>IFERROR(VLOOKUP($C60,Investment!$B:$C,2,FALSE),0)</f>
        <v/>
      </c>
      <c r="J60">
        <f>IF($C60&lt;2026,0,J59*(1-$B$3)+I60)</f>
        <v/>
      </c>
      <c r="K60" s="19">
        <f>IF(E60="","",E60+J60)</f>
        <v/>
      </c>
      <c r="L60">
        <f>IF(OR(K60="",G60=""),"",EXP(G60+$B$2*LN(K60)))</f>
        <v/>
      </c>
      <c r="M60">
        <f>IF(OR(L60="",H60=""),"",L60-H60)</f>
        <v/>
      </c>
      <c r="N60">
        <f>IF(OR(F60="",M60=""),"",F60+M60)</f>
        <v/>
      </c>
      <c r="O60">
        <f>IF(OR(N60="",N59=""),"",N60/N59-1)</f>
        <v/>
      </c>
    </row>
    <row r="61">
      <c r="C61" t="n">
        <v>2027</v>
      </c>
      <c r="D61">
        <f>IFERROR(E61/F61,"")</f>
        <v/>
      </c>
      <c r="E61" s="21">
        <f>IF($D$34="","",$D$34*F61)</f>
        <v/>
      </c>
      <c r="F61" s="20">
        <f>IFERROR(VLOOKUP($C61,WEO_Data!$B:$D,2,FALSE),"")</f>
        <v/>
      </c>
      <c r="G61" s="20">
        <f>TREND($G$36:$G$57,$C$36:$C$57,C61)</f>
        <v/>
      </c>
      <c r="H61">
        <f>IF(OR(E61="",G61=""),"",EXP(G61+$B$2*LN(E61)))</f>
        <v/>
      </c>
      <c r="I61" s="17">
        <f>IFERROR(VLOOKUP($C61,Investment!$B:$C,2,FALSE),0)</f>
        <v/>
      </c>
      <c r="J61">
        <f>IF($C61&lt;2026,0,J60*(1-$B$3)+I61)</f>
        <v/>
      </c>
      <c r="K61" s="19">
        <f>IF(E61="","",E61+J61)</f>
        <v/>
      </c>
      <c r="L61">
        <f>IF(OR(K61="",G61=""),"",EXP(G61+$B$2*LN(K61)))</f>
        <v/>
      </c>
      <c r="M61">
        <f>IF(OR(L61="",H61=""),"",L61-H61)</f>
        <v/>
      </c>
      <c r="N61">
        <f>IF(OR(F61="",M61=""),"",F61+M61)</f>
        <v/>
      </c>
      <c r="O61">
        <f>IF(OR(N61="",N60=""),"",N61/N60-1)</f>
        <v/>
      </c>
    </row>
    <row r="62">
      <c r="C62" t="n">
        <v>2028</v>
      </c>
      <c r="D62">
        <f>IFERROR(E62/F62,"")</f>
        <v/>
      </c>
      <c r="E62" s="21">
        <f>IF($D$34="","",$D$34*F62)</f>
        <v/>
      </c>
      <c r="F62" s="20">
        <f>IFERROR(VLOOKUP($C62,WEO_Data!$B:$D,2,FALSE),"")</f>
        <v/>
      </c>
      <c r="G62" s="20">
        <f>TREND($G$36:$G$57,$C$36:$C$57,C62)</f>
        <v/>
      </c>
      <c r="H62">
        <f>IF(OR(E62="",G62=""),"",EXP(G62+$B$2*LN(E62)))</f>
        <v/>
      </c>
      <c r="I62" s="17">
        <f>IFERROR(VLOOKUP($C62,Investment!$B:$C,2,FALSE),0)</f>
        <v/>
      </c>
      <c r="J62">
        <f>IF($C62&lt;2026,0,J61*(1-$B$3)+I62)</f>
        <v/>
      </c>
      <c r="K62" s="19">
        <f>IF(E62="","",E62+J62)</f>
        <v/>
      </c>
      <c r="L62">
        <f>IF(OR(K62="",G62=""),"",EXP(G62+$B$2*LN(K62)))</f>
        <v/>
      </c>
      <c r="M62">
        <f>IF(OR(L62="",H62=""),"",L62-H62)</f>
        <v/>
      </c>
      <c r="N62">
        <f>IF(OR(F62="",M62=""),"",F62+M62)</f>
        <v/>
      </c>
      <c r="O62">
        <f>IF(OR(N62="",N61=""),"",N62/N61-1)</f>
        <v/>
      </c>
    </row>
    <row r="63">
      <c r="C63" t="n">
        <v>2029</v>
      </c>
      <c r="D63">
        <f>IFERROR(E63/F63,"")</f>
        <v/>
      </c>
      <c r="E63" s="21">
        <f>IF($D$34="","",$D$34*F63)</f>
        <v/>
      </c>
      <c r="F63" s="20">
        <f>IFERROR(VLOOKUP($C63,WEO_Data!$B:$D,2,FALSE),"")</f>
        <v/>
      </c>
      <c r="G63" s="20">
        <f>TREND($G$36:$G$57,$C$36:$C$57,C63)</f>
        <v/>
      </c>
      <c r="H63">
        <f>IF(OR(E63="",G63=""),"",EXP(G63+$B$2*LN(E63)))</f>
        <v/>
      </c>
      <c r="I63" s="17">
        <f>IFERROR(VLOOKUP($C63,Investment!$B:$C,2,FALSE),0)</f>
        <v/>
      </c>
      <c r="J63">
        <f>IF($C63&lt;2026,0,J62*(1-$B$3)+I63)</f>
        <v/>
      </c>
      <c r="K63" s="19">
        <f>IF(E63="","",E63+J63)</f>
        <v/>
      </c>
      <c r="L63">
        <f>IF(OR(K63="",G63=""),"",EXP(G63+$B$2*LN(K63)))</f>
        <v/>
      </c>
      <c r="M63">
        <f>IF(OR(L63="",H63=""),"",L63-H63)</f>
        <v/>
      </c>
      <c r="N63">
        <f>IF(OR(F63="",M63=""),"",F63+M63)</f>
        <v/>
      </c>
      <c r="O63">
        <f>IF(OR(N63="",N62=""),"",N63/N62-1)</f>
        <v/>
      </c>
    </row>
    <row r="64">
      <c r="C64" t="n">
        <v>2030</v>
      </c>
      <c r="D64">
        <f>IFERROR(E64/F64,"")</f>
        <v/>
      </c>
      <c r="E64" s="21">
        <f>IF($D$34="","",$D$34*F64)</f>
        <v/>
      </c>
      <c r="F64" s="20">
        <f>IFERROR(VLOOKUP($C64,WEO_Data!$B:$D,2,FALSE),"")</f>
        <v/>
      </c>
      <c r="G64" s="20">
        <f>TREND($G$36:$G$57,$C$36:$C$57,C64)</f>
        <v/>
      </c>
      <c r="H64">
        <f>IF(OR(E64="",G64=""),"",EXP(G64+$B$2*LN(E64)))</f>
        <v/>
      </c>
      <c r="I64" s="17">
        <f>IFERROR(VLOOKUP($C64,Investment!$B:$C,2,FALSE),0)</f>
        <v/>
      </c>
      <c r="J64">
        <f>IF($C64&lt;2026,0,J63*(1-$B$3)+I64)</f>
        <v/>
      </c>
      <c r="K64" s="19">
        <f>IF(E64="","",E64+J64)</f>
        <v/>
      </c>
      <c r="L64">
        <f>IF(OR(K64="",G64=""),"",EXP(G64+$B$2*LN(K64)))</f>
        <v/>
      </c>
      <c r="M64">
        <f>IF(OR(L64="",H64=""),"",L64-H64)</f>
        <v/>
      </c>
      <c r="N64">
        <f>IF(OR(F64="",M64=""),"",F64+M64)</f>
        <v/>
      </c>
      <c r="O64">
        <f>IF(OR(N64="",N63=""),"",N64/N63-1)</f>
        <v/>
      </c>
    </row>
    <row r="65">
      <c r="C65" t="n">
        <v>2031</v>
      </c>
      <c r="D65">
        <f>IFERROR(E65/F65,"")</f>
        <v/>
      </c>
      <c r="E65" s="21">
        <f>IF($D$34="","",$D$34*F65)</f>
        <v/>
      </c>
      <c r="F65" s="20">
        <f>IFERROR(VLOOKUP($C65,WEO_Data!$B:$D,2,FALSE),"")</f>
        <v/>
      </c>
      <c r="G65" s="20">
        <f>TREND($G$36:$G$57,$C$36:$C$57,C65)</f>
        <v/>
      </c>
      <c r="H65">
        <f>IF(OR(E65="",G65=""),"",EXP(G65+$B$2*LN(E65)))</f>
        <v/>
      </c>
      <c r="I65" s="17">
        <f>IFERROR(VLOOKUP($C65,Investment!$B:$C,2,FALSE),0)</f>
        <v/>
      </c>
      <c r="J65">
        <f>IF($C65&lt;2026,0,J64*(1-$B$3)+I65)</f>
        <v/>
      </c>
      <c r="K65" s="19">
        <f>IF(E65="","",E65+J65)</f>
        <v/>
      </c>
      <c r="L65">
        <f>IF(OR(K65="",G65=""),"",EXP(G65+$B$2*LN(K65)))</f>
        <v/>
      </c>
      <c r="M65">
        <f>IF(OR(L65="",H65=""),"",L65-H65)</f>
        <v/>
      </c>
      <c r="N65">
        <f>IF(OR(F65="",M65=""),"",F65+M65)</f>
        <v/>
      </c>
      <c r="O65">
        <f>IF(OR(N65="",N64=""),"",N65/N64-1)</f>
        <v/>
      </c>
    </row>
    <row r="66">
      <c r="C66" t="n">
        <v>2032</v>
      </c>
      <c r="D66">
        <f>IFERROR(E66/F66,"")</f>
        <v/>
      </c>
      <c r="E66" s="21">
        <f>IF($D$34="","",$D$34*F66)</f>
        <v/>
      </c>
      <c r="F66" s="20">
        <f>IFERROR(VLOOKUP($C66,WEO_Data!$B:$D,2,FALSE),"")</f>
        <v/>
      </c>
      <c r="G66" s="20">
        <f>TREND($G$36:$G$57,$C$36:$C$57,C66)</f>
        <v/>
      </c>
      <c r="H66">
        <f>IF(OR(E66="",G66=""),"",EXP(G66+$B$2*LN(E66)))</f>
        <v/>
      </c>
      <c r="I66" s="17">
        <f>IFERROR(VLOOKUP($C66,Investment!$B:$C,2,FALSE),0)</f>
        <v/>
      </c>
      <c r="J66">
        <f>IF($C66&lt;2026,0,J65*(1-$B$3)+I66)</f>
        <v/>
      </c>
      <c r="K66" s="19">
        <f>IF(E66="","",E66+J66)</f>
        <v/>
      </c>
      <c r="L66">
        <f>IF(OR(K66="",G66=""),"",EXP(G66+$B$2*LN(K66)))</f>
        <v/>
      </c>
      <c r="M66">
        <f>IF(OR(L66="",H66=""),"",L66-H66)</f>
        <v/>
      </c>
      <c r="N66">
        <f>IF(OR(F66="",M66=""),"",F66+M66)</f>
        <v/>
      </c>
      <c r="O66">
        <f>IF(OR(N66="",N65=""),"",N66/N65-1)</f>
        <v/>
      </c>
    </row>
    <row r="67">
      <c r="C67" t="n">
        <v>2033</v>
      </c>
      <c r="D67">
        <f>IFERROR(E67/F67,"")</f>
        <v/>
      </c>
      <c r="E67" s="21">
        <f>IF($D$34="","",$D$34*F67)</f>
        <v/>
      </c>
      <c r="F67" s="20">
        <f>IFERROR(VLOOKUP($C67,WEO_Data!$B:$D,2,FALSE),"")</f>
        <v/>
      </c>
      <c r="G67" s="20">
        <f>TREND($G$36:$G$57,$C$36:$C$57,C67)</f>
        <v/>
      </c>
      <c r="H67">
        <f>IF(OR(E67="",G67=""),"",EXP(G67+$B$2*LN(E67)))</f>
        <v/>
      </c>
      <c r="I67" s="17">
        <f>IFERROR(VLOOKUP($C67,Investment!$B:$C,2,FALSE),0)</f>
        <v/>
      </c>
      <c r="J67">
        <f>IF($C67&lt;2026,0,J66*(1-$B$3)+I67)</f>
        <v/>
      </c>
      <c r="K67" s="19">
        <f>IF(E67="","",E67+J67)</f>
        <v/>
      </c>
      <c r="L67">
        <f>IF(OR(K67="",G67=""),"",EXP(G67+$B$2*LN(K67)))</f>
        <v/>
      </c>
      <c r="M67">
        <f>IF(OR(L67="",H67=""),"",L67-H67)</f>
        <v/>
      </c>
      <c r="N67">
        <f>IF(OR(F67="",M67=""),"",F67+M67)</f>
        <v/>
      </c>
      <c r="O67">
        <f>IF(OR(N67="",N66=""),"",N67/N66-1)</f>
        <v/>
      </c>
    </row>
    <row r="68">
      <c r="C68" t="n">
        <v>2034</v>
      </c>
      <c r="D68">
        <f>IFERROR(E68/F68,"")</f>
        <v/>
      </c>
      <c r="E68" s="21">
        <f>IF($D$34="","",$D$34*F68)</f>
        <v/>
      </c>
      <c r="F68" s="20">
        <f>IFERROR(VLOOKUP($C68,WEO_Data!$B:$D,2,FALSE),"")</f>
        <v/>
      </c>
      <c r="G68" s="20">
        <f>TREND($G$36:$G$57,$C$36:$C$57,C68)</f>
        <v/>
      </c>
      <c r="H68">
        <f>IF(OR(E68="",G68=""),"",EXP(G68+$B$2*LN(E68)))</f>
        <v/>
      </c>
      <c r="I68">
        <f>IFERROR(VLOOKUP($C68,Investment!$B:$C,2,FALSE),0)</f>
        <v/>
      </c>
      <c r="J68">
        <f>IF($C68&lt;2026,0,J67*(1-$B$3)+I68)</f>
        <v/>
      </c>
      <c r="K68" s="19">
        <f>IF(E68="","",E68+J68)</f>
        <v/>
      </c>
      <c r="L68">
        <f>IF(OR(K68="",G68=""),"",EXP(G68+$B$2*LN(K68)))</f>
        <v/>
      </c>
      <c r="M68">
        <f>IF(OR(L68="",H68=""),"",L68-H68)</f>
        <v/>
      </c>
      <c r="N68">
        <f>IF(OR(F68="",M68=""),"",F68+M68)</f>
        <v/>
      </c>
      <c r="O68">
        <f>IF(OR(N68="",N67=""),"",N68/N67-1)</f>
        <v/>
      </c>
    </row>
    <row r="69">
      <c r="C69" t="n">
        <v>2035</v>
      </c>
      <c r="D69">
        <f>IFERROR(E69/F69,"")</f>
        <v/>
      </c>
      <c r="E69" s="21">
        <f>IF($D$34="","",$D$34*F69)</f>
        <v/>
      </c>
      <c r="F69" s="20">
        <f>IFERROR(VLOOKUP($C69,WEO_Data!$B:$D,2,FALSE),"")</f>
        <v/>
      </c>
      <c r="G69" s="20">
        <f>TREND($G$36:$G$57,$C$36:$C$57,C69)</f>
        <v/>
      </c>
      <c r="H69">
        <f>IF(OR(E69="",G69=""),"",EXP(G69+$B$2*LN(E69)))</f>
        <v/>
      </c>
      <c r="I69">
        <f>IFERROR(VLOOKUP($C69,Investment!$B:$C,2,FALSE),0)</f>
        <v/>
      </c>
      <c r="J69">
        <f>IF($C69&lt;2026,0,J68*(1-$B$3)+I69)</f>
        <v/>
      </c>
      <c r="K69" s="19">
        <f>IF(E69="","",E69+J69)</f>
        <v/>
      </c>
      <c r="L69">
        <f>IF(OR(K69="",G69=""),"",EXP(G69+$B$2*LN(K69)))</f>
        <v/>
      </c>
      <c r="M69">
        <f>IF(OR(L69="",H69=""),"",L69-H69)</f>
        <v/>
      </c>
      <c r="N69">
        <f>IF(OR(F69="",M69=""),"",F69+M69)</f>
        <v/>
      </c>
      <c r="O69">
        <f>IF(OR(N69="",N68=""),"",N69/N68-1)</f>
        <v/>
      </c>
    </row>
    <row r="70">
      <c r="C70" t="n">
        <v>2036</v>
      </c>
      <c r="D70">
        <f>IFERROR(E70/F70,"")</f>
        <v/>
      </c>
      <c r="E70" s="21">
        <f>IF($D$34="","",$D$34*F70)</f>
        <v/>
      </c>
      <c r="F70" s="20">
        <f>IFERROR(VLOOKUP($C70,WEO_Data!$B:$D,2,FALSE),"")</f>
        <v/>
      </c>
      <c r="G70" s="20">
        <f>TREND($G$36:$G$57,$C$36:$C$57,C70)</f>
        <v/>
      </c>
      <c r="H70">
        <f>IF(OR(E70="",G70=""),"",EXP(G70+$B$2*LN(E70)))</f>
        <v/>
      </c>
      <c r="I70">
        <f>IFERROR(VLOOKUP($C70,Investment!$B:$C,2,FALSE),0)</f>
        <v/>
      </c>
      <c r="J70">
        <f>IF($C70&lt;2026,0,J69*(1-$B$3)+I70)</f>
        <v/>
      </c>
      <c r="K70" s="19">
        <f>IF(E70="","",E70+J70)</f>
        <v/>
      </c>
      <c r="L70">
        <f>IF(OR(K70="",G70=""),"",EXP(G70+$B$2*LN(K70)))</f>
        <v/>
      </c>
      <c r="M70">
        <f>IF(OR(L70="",H70=""),"",L70-H70)</f>
        <v/>
      </c>
      <c r="N70">
        <f>IF(OR(F70="",M70=""),"",F70+M70)</f>
        <v/>
      </c>
      <c r="O70">
        <f>IF(OR(N70="",N69=""),"",N70/N69-1)</f>
        <v/>
      </c>
    </row>
    <row r="71">
      <c r="C71" t="n">
        <v>2037</v>
      </c>
      <c r="D71">
        <f>IFERROR(E71/F71,"")</f>
        <v/>
      </c>
      <c r="E71" s="21">
        <f>IF($D$34="","",$D$34*F71)</f>
        <v/>
      </c>
      <c r="F71" s="20">
        <f>IFERROR(VLOOKUP($C71,WEO_Data!$B:$D,2,FALSE),"")</f>
        <v/>
      </c>
      <c r="G71" s="20">
        <f>TREND($G$36:$G$57,$C$36:$C$57,C71)</f>
        <v/>
      </c>
      <c r="H71">
        <f>IF(OR(E71="",G71=""),"",EXP(G71+$B$2*LN(E71)))</f>
        <v/>
      </c>
      <c r="I71">
        <f>IFERROR(VLOOKUP($C71,Investment!$B:$C,2,FALSE),0)</f>
        <v/>
      </c>
      <c r="J71">
        <f>IF($C71&lt;2026,0,J70*(1-$B$3)+I71)</f>
        <v/>
      </c>
      <c r="K71" s="19">
        <f>IF(E71="","",E71+J71)</f>
        <v/>
      </c>
      <c r="L71">
        <f>IF(OR(K71="",G71=""),"",EXP(G71+$B$2*LN(K71)))</f>
        <v/>
      </c>
      <c r="M71">
        <f>IF(OR(L71="",H71=""),"",L71-H71)</f>
        <v/>
      </c>
      <c r="N71">
        <f>IF(OR(F71="",M71=""),"",F71+M71)</f>
        <v/>
      </c>
      <c r="O71">
        <f>IF(OR(N71="",N70=""),"",N71/N70-1)</f>
        <v/>
      </c>
    </row>
    <row r="72">
      <c r="C72" t="n">
        <v>2038</v>
      </c>
      <c r="D72">
        <f>IFERROR(E72/F72,"")</f>
        <v/>
      </c>
      <c r="E72" s="21">
        <f>IF($D$34="","",$D$34*F72)</f>
        <v/>
      </c>
      <c r="F72" s="20">
        <f>IFERROR(VLOOKUP($C72,WEO_Data!$B:$D,2,FALSE),"")</f>
        <v/>
      </c>
      <c r="G72" s="20">
        <f>TREND($G$36:$G$57,$C$36:$C$57,C72)</f>
        <v/>
      </c>
      <c r="H72">
        <f>IF(OR(E72="",G72=""),"",EXP(G72+$B$2*LN(E72)))</f>
        <v/>
      </c>
      <c r="I72">
        <f>IFERROR(VLOOKUP($C72,Investment!$B:$C,2,FALSE),0)</f>
        <v/>
      </c>
      <c r="J72">
        <f>IF($C72&lt;2026,0,J71*(1-$B$3)+I72)</f>
        <v/>
      </c>
      <c r="K72" s="19">
        <f>IF(E72="","",E72+J72)</f>
        <v/>
      </c>
      <c r="L72">
        <f>IF(OR(K72="",G72=""),"",EXP(G72+$B$2*LN(K72)))</f>
        <v/>
      </c>
      <c r="M72">
        <f>IF(OR(L72="",H72=""),"",L72-H72)</f>
        <v/>
      </c>
      <c r="N72">
        <f>IF(OR(F72="",M72=""),"",F72+M72)</f>
        <v/>
      </c>
      <c r="O72">
        <f>IF(OR(N72="",N71=""),"",N72/N71-1)</f>
        <v/>
      </c>
    </row>
    <row r="73">
      <c r="C73" t="n">
        <v>2039</v>
      </c>
      <c r="D73">
        <f>IFERROR(E73/F73,"")</f>
        <v/>
      </c>
      <c r="E73" s="21">
        <f>IF($D$34="","",$D$34*F73)</f>
        <v/>
      </c>
      <c r="F73" s="20">
        <f>IFERROR(VLOOKUP($C73,WEO_Data!$B:$D,2,FALSE),"")</f>
        <v/>
      </c>
      <c r="G73" s="20">
        <f>TREND($G$36:$G$57,$C$36:$C$57,C73)</f>
        <v/>
      </c>
      <c r="H73">
        <f>IF(OR(E73="",G73=""),"",EXP(G73+$B$2*LN(E73)))</f>
        <v/>
      </c>
      <c r="I73">
        <f>IFERROR(VLOOKUP($C73,Investment!$B:$C,2,FALSE),0)</f>
        <v/>
      </c>
      <c r="J73">
        <f>IF($C73&lt;2026,0,J72*(1-$B$3)+I73)</f>
        <v/>
      </c>
      <c r="K73" s="19">
        <f>IF(E73="","",E73+J73)</f>
        <v/>
      </c>
      <c r="L73">
        <f>IF(OR(K73="",G73=""),"",EXP(G73+$B$2*LN(K73)))</f>
        <v/>
      </c>
      <c r="M73">
        <f>IF(OR(L73="",H73=""),"",L73-H73)</f>
        <v/>
      </c>
      <c r="N73">
        <f>IF(OR(F73="",M73=""),"",F73+M73)</f>
        <v/>
      </c>
      <c r="O73">
        <f>IF(OR(N73="",N72=""),"",N73/N72-1)</f>
        <v/>
      </c>
    </row>
    <row r="74">
      <c r="C74" t="n">
        <v>2040</v>
      </c>
      <c r="D74">
        <f>IFERROR(E74/F74,"")</f>
        <v/>
      </c>
      <c r="E74" s="21">
        <f>IF($D$34="","",$D$34*F74)</f>
        <v/>
      </c>
      <c r="F74" s="20">
        <f>IFERROR(VLOOKUP($C74,WEO_Data!$B:$D,2,FALSE),"")</f>
        <v/>
      </c>
      <c r="G74" s="20">
        <f>TREND($G$36:$G$57,$C$36:$C$57,C74)</f>
        <v/>
      </c>
      <c r="H74">
        <f>IF(OR(E74="",G74=""),"",EXP(G74+$B$2*LN(E74)))</f>
        <v/>
      </c>
      <c r="I74">
        <f>IFERROR(VLOOKUP($C74,Investment!$B:$C,2,FALSE),0)</f>
        <v/>
      </c>
      <c r="J74">
        <f>IF($C74&lt;2026,0,J73*(1-$B$3)+I74)</f>
        <v/>
      </c>
      <c r="K74" s="19">
        <f>IF(E74="","",E74+J74)</f>
        <v/>
      </c>
      <c r="L74">
        <f>IF(OR(K74="",G74=""),"",EXP(G74+$B$2*LN(K74)))</f>
        <v/>
      </c>
      <c r="M74">
        <f>IF(OR(L74="",H74=""),"",L74-H74)</f>
        <v/>
      </c>
      <c r="N74">
        <f>IF(OR(F74="",M74=""),"",F74+M74)</f>
        <v/>
      </c>
      <c r="O74">
        <f>IF(OR(N74="",N73=""),"",N74/N73-1)</f>
        <v/>
      </c>
    </row>
    <row r="75">
      <c r="C75" t="n">
        <v>2041</v>
      </c>
      <c r="D75">
        <f>IFERROR(E75/F75,"")</f>
        <v/>
      </c>
      <c r="E75" s="21">
        <f>IF($D$34="","",$D$34*F75)</f>
        <v/>
      </c>
      <c r="F75" s="20">
        <f>IFERROR(VLOOKUP($C75,WEO_Data!$B:$D,2,FALSE),"")</f>
        <v/>
      </c>
      <c r="G75" s="20">
        <f>TREND($G$36:$G$57,$C$36:$C$57,C75)</f>
        <v/>
      </c>
      <c r="H75">
        <f>IF(OR(E75="",G75=""),"",EXP(G75+$B$2*LN(E75)))</f>
        <v/>
      </c>
      <c r="I75">
        <f>IFERROR(VLOOKUP($C75,Investment!$B:$C,2,FALSE),0)</f>
        <v/>
      </c>
      <c r="J75">
        <f>IF($C75&lt;2026,0,J74*(1-$B$3)+I75)</f>
        <v/>
      </c>
      <c r="K75" s="19">
        <f>IF(E75="","",E75+J75)</f>
        <v/>
      </c>
      <c r="L75">
        <f>IF(OR(K75="",G75=""),"",EXP(G75+$B$2*LN(K75)))</f>
        <v/>
      </c>
      <c r="M75">
        <f>IF(OR(L75="",H75=""),"",L75-H75)</f>
        <v/>
      </c>
      <c r="N75">
        <f>IF(OR(F75="",M75=""),"",F75+M75)</f>
        <v/>
      </c>
      <c r="O75">
        <f>IF(OR(N75="",N74=""),"",N75/N74-1)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  <c r="F1" t="inlineStr">
        <is>
          <t>Source: ECB Data API (series IDCM.A.N.GE.W2.S1.S1.D.P51C.N1G._T._Z.XDC.V.N), accessed 2026-01-29</t>
        </is>
      </c>
    </row>
    <row r="2">
      <c r="A2" s="18" t="n">
        <v>35430</v>
      </c>
      <c r="B2" t="n">
        <v>1996</v>
      </c>
      <c r="C2" t="n">
        <v>304515091.7602</v>
      </c>
      <c r="D2" s="19">
        <f>IFERROR(VLOOKUP(B2,PWT!$A:$C,2,FALSE),"")</f>
        <v/>
      </c>
      <c r="E2">
        <f>IFERROR(C2/D2,"")</f>
        <v/>
      </c>
    </row>
    <row r="3">
      <c r="A3" s="18" t="n">
        <v>35795</v>
      </c>
      <c r="B3" t="n">
        <v>1997</v>
      </c>
      <c r="C3" t="n">
        <v>383641663.608596</v>
      </c>
      <c r="D3" s="19">
        <f>IFERROR(VLOOKUP(B3,PWT!$A:$C,2,FALSE),"")</f>
        <v/>
      </c>
      <c r="E3">
        <f>IFERROR(C3/D3,"")</f>
        <v/>
      </c>
    </row>
    <row r="4">
      <c r="A4" s="18" t="n">
        <v>36160</v>
      </c>
      <c r="B4" t="n">
        <v>1998</v>
      </c>
      <c r="C4" t="n">
        <v>516397121.222809</v>
      </c>
      <c r="D4" s="19">
        <f>IFERROR(VLOOKUP(B4,PWT!$A:$C,2,FALSE),"")</f>
        <v/>
      </c>
      <c r="E4">
        <f>IFERROR(C4/D4,"")</f>
        <v/>
      </c>
    </row>
    <row r="5">
      <c r="A5" s="18" t="n">
        <v>36525</v>
      </c>
      <c r="B5" t="n">
        <v>1999</v>
      </c>
      <c r="C5" t="n">
        <v>661603834.429231</v>
      </c>
      <c r="D5" s="19">
        <f>IFERROR(VLOOKUP(B5,PWT!$A:$C,2,FALSE),"")</f>
        <v/>
      </c>
      <c r="E5">
        <f>IFERROR(C5/D5,"")</f>
        <v/>
      </c>
    </row>
    <row r="6">
      <c r="A6" s="18" t="n">
        <v>36891</v>
      </c>
      <c r="B6" t="n">
        <v>2000</v>
      </c>
      <c r="C6" t="n">
        <v>631701000.88782</v>
      </c>
      <c r="D6" s="19">
        <f>IFERROR(VLOOKUP(B6,PWT!$A:$C,2,FALSE),"")</f>
        <v/>
      </c>
      <c r="E6">
        <f>IFERROR(C6/D6,"")</f>
        <v/>
      </c>
    </row>
    <row r="7">
      <c r="A7" s="18" t="n">
        <v>37256</v>
      </c>
      <c r="B7" t="n">
        <v>2001</v>
      </c>
      <c r="C7" t="n">
        <v>706983726.789065</v>
      </c>
      <c r="D7" s="19">
        <f>IFERROR(VLOOKUP(B7,PWT!$A:$C,2,FALSE),"")</f>
        <v/>
      </c>
      <c r="E7">
        <f>IFERROR(C7/D7,"")</f>
        <v/>
      </c>
    </row>
    <row r="8">
      <c r="A8" s="18" t="n">
        <v>37621</v>
      </c>
      <c r="B8" t="n">
        <v>2002</v>
      </c>
      <c r="C8" t="n">
        <v>790112565.198609</v>
      </c>
      <c r="D8" s="19">
        <f>IFERROR(VLOOKUP(B8,PWT!$A:$C,2,FALSE),"")</f>
        <v/>
      </c>
      <c r="E8">
        <f>IFERROR(C8/D8,"")</f>
        <v/>
      </c>
    </row>
    <row r="9">
      <c r="A9" s="18" t="n">
        <v>37986</v>
      </c>
      <c r="B9" t="n">
        <v>2003</v>
      </c>
      <c r="C9" t="n">
        <v>932916219.671159</v>
      </c>
      <c r="D9" s="19">
        <f>IFERROR(VLOOKUP(B9,PWT!$A:$C,2,FALSE),"")</f>
        <v/>
      </c>
      <c r="E9">
        <f>IFERROR(C9/D9,"")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IFERROR(VLOOKUP(B10,PWT!$A:$C,2,FALSE),"")</f>
        <v/>
      </c>
      <c r="E10">
        <f>IFERROR(C10/D10,"")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IFERROR(VLOOKUP(B11,PWT!$A:$C,2,FALSE),"")</f>
        <v/>
      </c>
      <c r="E11">
        <f>IFERROR(C11/D11,"")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IFERROR(VLOOKUP(B12,PWT!$A:$C,2,FALSE),"")</f>
        <v/>
      </c>
      <c r="E12">
        <f>IFERROR(C12/D12,"")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IFERROR(VLOOKUP(B13,PWT!$A:$C,2,FALSE),"")</f>
        <v/>
      </c>
      <c r="E13">
        <f>IFERROR(C13/D13,"")</f>
        <v/>
      </c>
    </row>
    <row r="14">
      <c r="A14" s="18" t="n">
        <v>39813</v>
      </c>
      <c r="B14" t="n">
        <v>2008</v>
      </c>
      <c r="C14" t="n">
        <v>1758049267.6717</v>
      </c>
      <c r="D14" s="19">
        <f>IFERROR(VLOOKUP(B14,PWT!$A:$C,2,FALSE),"")</f>
        <v/>
      </c>
      <c r="E14">
        <f>IFERROR(C14/D14,"")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IFERROR(VLOOKUP(B15,PWT!$A:$C,2,FALSE),"")</f>
        <v/>
      </c>
      <c r="E15">
        <f>IFERROR(C15/D15,"")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IFERROR(VLOOKUP(B16,PWT!$A:$C,2,FALSE),"")</f>
        <v/>
      </c>
      <c r="E16">
        <f>IFERROR(C16/D16,"")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IFERROR(VLOOKUP(B17,PWT!$A:$C,2,FALSE),"")</f>
        <v/>
      </c>
      <c r="E17">
        <f>IFERROR(C17/D17,"")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IFERROR(VLOOKUP(B18,PWT!$A:$C,2,FALSE),"")</f>
        <v/>
      </c>
      <c r="E18">
        <f>IFERROR(C18/D18,"")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IFERROR(VLOOKUP(B19,PWT!$A:$C,2,FALSE),"")</f>
        <v/>
      </c>
      <c r="E19">
        <f>IFERROR(C19/D19,"")</f>
        <v/>
      </c>
    </row>
    <row r="20">
      <c r="A20" s="18" t="n">
        <v>42004</v>
      </c>
      <c r="B20" t="n">
        <v>2014</v>
      </c>
      <c r="C20" t="n">
        <v>2984890468.6878</v>
      </c>
      <c r="D20" s="19">
        <f>IFERROR(VLOOKUP(B20,PWT!$A:$C,2,FALSE),"")</f>
        <v/>
      </c>
      <c r="E20">
        <f>IFERROR(C20/D20,"")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IFERROR(VLOOKUP(B21,PWT!$A:$C,2,FALSE),"")</f>
        <v/>
      </c>
      <c r="E21">
        <f>IFERROR(C21/D21,"")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IFERROR(VLOOKUP(B22,PWT!$A:$C,2,FALSE),"")</f>
        <v/>
      </c>
      <c r="E22">
        <f>IFERROR(C22/D22,"")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IFERROR(VLOOKUP(B23,PWT!$A:$C,2,FALSE),"")</f>
        <v/>
      </c>
      <c r="E23">
        <f>IFERROR(C23/D23,"")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IFERROR(VLOOKUP(B24,PWT!$A:$C,2,FALSE),"")</f>
        <v/>
      </c>
      <c r="E24">
        <f>IFERROR(C24/D24,"")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IFERROR(VLOOKUP(B25,PWT!$A:$C,2,FALSE),"")</f>
        <v/>
      </c>
      <c r="E25">
        <f>IFERROR(C25/D25,"")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IFERROR(VLOOKUP(B26,PWT!$A:$C,2,FALSE),"")</f>
        <v/>
      </c>
      <c r="E26">
        <f>IFERROR(C26/D26,"")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IFERROR(VLOOKUP(B27,PWT!$A:$C,2,FALSE),"")</f>
        <v/>
      </c>
      <c r="E27">
        <f>IFERROR(C27/D27,"")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IFERROR(VLOOKUP(B28,PWT!$A:$C,2,FALSE),"")</f>
        <v/>
      </c>
      <c r="E28">
        <f>IFERROR(C28/D28,"")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IFERROR(VLOOKUP(B29,PWT!$A:$C,2,FALSE),"")</f>
        <v/>
      </c>
      <c r="E29">
        <f>IFERROR(C29/D29,"")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  <c r="D1" t="inlineStr">
        <is>
          <t>Source: PWT 10.01 (doi:10.34894/QT5BCC), Data sheet, accessed 2026-01-29</t>
        </is>
      </c>
    </row>
    <row r="2">
      <c r="A2" s="19" t="n">
        <v>1990</v>
      </c>
      <c r="B2" s="19" t="n">
        <v>217572.265625</v>
      </c>
      <c r="C2" t="n">
        <v>60484.3359375</v>
      </c>
    </row>
    <row r="3">
      <c r="A3" s="19" t="n">
        <v>1991</v>
      </c>
      <c r="B3" s="19" t="n">
        <v>219328.421875</v>
      </c>
      <c r="C3" t="n">
        <v>47581.01171875</v>
      </c>
    </row>
    <row r="4">
      <c r="A4" s="19" t="n">
        <v>1992</v>
      </c>
      <c r="B4" s="19" t="n">
        <v>215882.453125</v>
      </c>
      <c r="C4" t="n">
        <v>26406.21484375</v>
      </c>
    </row>
    <row r="5">
      <c r="A5" s="19" t="n">
        <v>1993</v>
      </c>
      <c r="B5" s="19" t="n">
        <v>207684.890625</v>
      </c>
      <c r="C5" t="n">
        <v>18671.65625</v>
      </c>
    </row>
    <row r="6">
      <c r="A6" s="19" t="n">
        <v>1994</v>
      </c>
      <c r="B6" s="19" t="n">
        <v>202188.8125</v>
      </c>
      <c r="C6" t="n">
        <v>16733.326171875</v>
      </c>
    </row>
    <row r="7">
      <c r="A7" s="19" t="n">
        <v>1995</v>
      </c>
      <c r="B7" s="19" t="n">
        <v>198953.859375</v>
      </c>
      <c r="C7" t="n">
        <v>17164.638671875</v>
      </c>
    </row>
    <row r="8">
      <c r="A8" s="19" t="n">
        <v>1996</v>
      </c>
      <c r="B8" s="19" t="n">
        <v>196366.453125</v>
      </c>
      <c r="C8" t="n">
        <v>19101.853515625</v>
      </c>
    </row>
    <row r="9">
      <c r="A9" s="19" t="n">
        <v>1997</v>
      </c>
      <c r="B9" s="19" t="n">
        <v>194417.84375</v>
      </c>
      <c r="C9" t="n">
        <v>21111.173828125</v>
      </c>
    </row>
    <row r="10">
      <c r="A10" s="19" t="n">
        <v>1998</v>
      </c>
      <c r="B10" s="19" t="n">
        <v>194516.296875</v>
      </c>
      <c r="C10" t="n">
        <v>21766.669921875</v>
      </c>
    </row>
    <row r="11">
      <c r="A11" s="19" t="n">
        <v>1999</v>
      </c>
      <c r="B11" s="19" t="n">
        <v>194964.5625</v>
      </c>
      <c r="C11" t="n">
        <v>22391.20703125</v>
      </c>
    </row>
    <row r="12">
      <c r="A12" s="19" t="n">
        <v>2000</v>
      </c>
      <c r="B12" s="19" t="n">
        <v>195327.078125</v>
      </c>
      <c r="C12" t="n">
        <v>22802.8359375</v>
      </c>
    </row>
    <row r="13">
      <c r="A13" s="19" t="n">
        <v>2001</v>
      </c>
      <c r="B13" s="19" t="n">
        <v>196512.453125</v>
      </c>
      <c r="C13" t="n">
        <v>23898.615234375</v>
      </c>
    </row>
    <row r="14">
      <c r="A14" s="19" t="n">
        <v>2002</v>
      </c>
      <c r="B14" s="19" t="n">
        <v>197317.59375</v>
      </c>
      <c r="C14" t="n">
        <v>25206.78515625</v>
      </c>
    </row>
    <row r="15">
      <c r="A15" s="19" t="n">
        <v>2003</v>
      </c>
      <c r="B15" s="19" t="n">
        <v>199678.921875</v>
      </c>
      <c r="C15" t="n">
        <v>27994.177734375</v>
      </c>
    </row>
    <row r="16">
      <c r="A16" s="19" t="n">
        <v>2004</v>
      </c>
      <c r="B16" s="19" t="n">
        <v>202658.8125</v>
      </c>
      <c r="C16" t="n">
        <v>29616.71484375</v>
      </c>
    </row>
    <row r="17">
      <c r="A17" s="19" t="n">
        <v>2005</v>
      </c>
      <c r="B17" s="19" t="n">
        <v>206400.5</v>
      </c>
      <c r="C17" t="n">
        <v>32456.451171875</v>
      </c>
    </row>
    <row r="18">
      <c r="A18" s="19" t="n">
        <v>2006</v>
      </c>
      <c r="B18" s="19" t="n">
        <v>209660.25</v>
      </c>
      <c r="C18" t="n">
        <v>35514.08984375</v>
      </c>
    </row>
    <row r="19">
      <c r="A19" s="19" t="n">
        <v>2007</v>
      </c>
      <c r="B19" s="19" t="n">
        <v>213821.375</v>
      </c>
      <c r="C19" t="n">
        <v>39981.328125</v>
      </c>
    </row>
    <row r="20">
      <c r="A20" s="19" t="n">
        <v>2008</v>
      </c>
      <c r="B20" s="19" t="n">
        <v>215825.90625</v>
      </c>
      <c r="C20" t="n">
        <v>40948.1171875</v>
      </c>
    </row>
    <row r="21">
      <c r="A21" s="19" t="n">
        <v>2009</v>
      </c>
      <c r="B21" s="19" t="n">
        <v>214505.90625</v>
      </c>
      <c r="C21" t="n">
        <v>39453.47265625</v>
      </c>
    </row>
    <row r="22">
      <c r="A22" s="19" t="n">
        <v>2010</v>
      </c>
      <c r="B22" s="19" t="n">
        <v>215740.28125</v>
      </c>
      <c r="C22" t="n">
        <v>41919.0859375</v>
      </c>
    </row>
    <row r="23">
      <c r="A23" s="19" t="n">
        <v>2011</v>
      </c>
      <c r="B23" s="19" t="n">
        <v>218333.703125</v>
      </c>
      <c r="C23" t="n">
        <v>45004.60546875</v>
      </c>
    </row>
    <row r="24">
      <c r="A24" s="19" t="n">
        <v>2012</v>
      </c>
      <c r="B24" s="19" t="n">
        <v>221570.09375</v>
      </c>
      <c r="C24" t="n">
        <v>47892.44921875</v>
      </c>
    </row>
    <row r="25">
      <c r="A25" s="19" t="n">
        <v>2013</v>
      </c>
      <c r="B25" s="19" t="n">
        <v>223431.875</v>
      </c>
      <c r="C25" t="n">
        <v>49624.02734375</v>
      </c>
    </row>
    <row r="26">
      <c r="A26" s="19" t="n">
        <v>2014</v>
      </c>
      <c r="B26" s="19" t="n">
        <v>227911.96875</v>
      </c>
      <c r="C26" t="n">
        <v>51828.1015625</v>
      </c>
    </row>
    <row r="27">
      <c r="A27" s="19" t="n">
        <v>2015</v>
      </c>
      <c r="B27" s="19" t="n">
        <v>234164.859375</v>
      </c>
      <c r="C27" t="n">
        <v>53396.7421875</v>
      </c>
    </row>
    <row r="28">
      <c r="A28" s="19" t="n">
        <v>2016</v>
      </c>
      <c r="B28" s="19" t="n">
        <v>241138.375</v>
      </c>
      <c r="C28" t="n">
        <v>54948.359375</v>
      </c>
    </row>
    <row r="29">
      <c r="A29" s="19" t="n">
        <v>2017</v>
      </c>
      <c r="B29" s="19" t="n">
        <v>248033.09375</v>
      </c>
      <c r="C29" t="n">
        <v>57609.7109375</v>
      </c>
    </row>
    <row r="30">
      <c r="A30" s="19" t="n">
        <v>2018</v>
      </c>
      <c r="B30" s="19" t="n">
        <v>254809.796875</v>
      </c>
      <c r="C30" t="n">
        <v>60399.59375</v>
      </c>
    </row>
    <row r="31">
      <c r="A31" s="19" t="n">
        <v>2019</v>
      </c>
      <c r="B31" s="19" t="n">
        <v>264125.5625</v>
      </c>
      <c r="C31" t="n">
        <v>63508.82421875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  <c r="E1" t="inlineStr">
        <is>
          <t>Source: IMF WEO Apr 2025 database (weoapr2025all.xls), accessed 2026-01-29</t>
        </is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2026-01-29T04:27:50Z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