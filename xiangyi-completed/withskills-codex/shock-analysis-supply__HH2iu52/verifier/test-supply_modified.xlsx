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codex</author>
  </authors>
  <commentList>
    <comment ref="C1" authorId="0" shapeId="0">
      <text>
        <t>Source: ECB Data API, series IDCM.A.N.GE.W2.S1.S1.D.P51C.N1G._T._Z.XDC.V.N, accessed 2026-01-29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B1" authorId="0" shapeId="0">
      <text>
        <t>Source: PWT 11.0 (dataverse.nl, DOI 10.34894/FABVLR), rnna = capital stock at constant national prices, accessed 2026-01-29</t>
      </text>
    </comment>
    <comment ref="C1" authorId="0" shapeId="0">
      <text>
        <t>Source: PWT 11.0 (dataverse.nl, DOI 10.34894/FABVLR), rkna = capital services at constant national prices, accessed 2026-01-29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C2" authorId="0" shapeId="0">
      <text>
        <t>Source: IMF WEO April 2025 (weoapr2025all.xls), series NGDP_R, accessed 2026-01-29</t>
      </text>
    </comment>
    <comment ref="D2" authorId="0" shapeId="0">
      <text>
        <t>Source: IMF WEO April 2025 (weoapr2025all.xls), series NGDP_RPCH, accessed 2026-01-29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AVERAGE('CFC data'!E22:E29)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  <c r="O4" t="inlineStr">
        <is>
          <t>HP lambda</t>
        </is>
      </c>
      <c r="P4" t="n">
        <v>100</v>
      </c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SUMSQ(N6:N27)+$P$4*SUMSQ(M8:M27)</f>
        <v/>
      </c>
    </row>
    <row r="6">
      <c r="C6" t="n">
        <v>2002</v>
      </c>
      <c r="D6" s="19">
        <f>INDEX(PWT!$B$2:$B$35,MATCH($C6,PWT!$A$2:$A$35,0))</f>
        <v/>
      </c>
      <c r="E6">
        <f>INDEX(WEO_Data!$C$8:$C$51,MATCH($C6,WEO_Data!$B$8:$B$51,0))</f>
        <v/>
      </c>
      <c r="F6">
        <f>LN(D6)</f>
        <v/>
      </c>
      <c r="G6">
        <f>LN(E6)</f>
        <v/>
      </c>
      <c r="K6" s="4">
        <f>G6-$B$2*F6</f>
        <v/>
      </c>
      <c r="L6">
        <f>K6</f>
        <v/>
      </c>
      <c r="M6" t="n">
        <v>0</v>
      </c>
      <c r="N6" s="5">
        <f>K6-L6</f>
        <v/>
      </c>
    </row>
    <row r="7">
      <c r="C7" t="n">
        <v>2003</v>
      </c>
      <c r="D7" s="19">
        <f>INDEX(PWT!$B$2:$B$35,MATCH($C7,PWT!$A$2:$A$35,0))</f>
        <v/>
      </c>
      <c r="E7">
        <f>INDEX(WEO_Data!$C$8:$C$51,MATCH($C7,WEO_Data!$B$8:$B$51,0))</f>
        <v/>
      </c>
      <c r="F7">
        <f>LN(D7)</f>
        <v/>
      </c>
      <c r="G7">
        <f>LN(E7)</f>
        <v/>
      </c>
      <c r="K7" s="4">
        <f>G7-$B$2*F7</f>
        <v/>
      </c>
      <c r="L7">
        <f>K7</f>
        <v/>
      </c>
      <c r="M7" t="n">
        <v>0</v>
      </c>
      <c r="N7" s="5">
        <f>K7-L7</f>
        <v/>
      </c>
    </row>
    <row r="8">
      <c r="C8" t="n">
        <v>2004</v>
      </c>
      <c r="D8" s="19">
        <f>INDEX(PWT!$B$2:$B$35,MATCH($C8,PWT!$A$2:$A$35,0))</f>
        <v/>
      </c>
      <c r="E8">
        <f>INDEX(WEO_Data!$C$8:$C$51,MATCH($C8,WEO_Data!$B$8:$B$51,0))</f>
        <v/>
      </c>
      <c r="F8">
        <f>LN(D8)</f>
        <v/>
      </c>
      <c r="G8">
        <f>LN(E8)</f>
        <v/>
      </c>
      <c r="K8" s="4">
        <f>G8-$B$2*F8</f>
        <v/>
      </c>
      <c r="L8">
        <f>K8</f>
        <v/>
      </c>
      <c r="M8">
        <f>L8-2*L7+L6</f>
        <v/>
      </c>
      <c r="N8" s="5">
        <f>K8-L8</f>
        <v/>
      </c>
    </row>
    <row r="9">
      <c r="C9" t="n">
        <v>2005</v>
      </c>
      <c r="D9" s="19">
        <f>INDEX(PWT!$B$2:$B$35,MATCH($C9,PWT!$A$2:$A$35,0))</f>
        <v/>
      </c>
      <c r="E9">
        <f>INDEX(WEO_Data!$C$8:$C$51,MATCH($C9,WEO_Data!$B$8:$B$51,0))</f>
        <v/>
      </c>
      <c r="F9">
        <f>LN(D9)</f>
        <v/>
      </c>
      <c r="G9">
        <f>LN(E9)</f>
        <v/>
      </c>
      <c r="K9" s="4">
        <f>G9-$B$2*F9</f>
        <v/>
      </c>
      <c r="L9">
        <f>K9</f>
        <v/>
      </c>
      <c r="M9">
        <f>L9-2*L8+L7</f>
        <v/>
      </c>
      <c r="N9" s="5">
        <f>K9-L9</f>
        <v/>
      </c>
    </row>
    <row r="10">
      <c r="C10" t="n">
        <v>2006</v>
      </c>
      <c r="D10" s="19">
        <f>INDEX(PWT!$B$2:$B$35,MATCH($C10,PWT!$A$2:$A$35,0))</f>
        <v/>
      </c>
      <c r="E10">
        <f>INDEX(WEO_Data!$C$8:$C$51,MATCH($C10,WEO_Data!$B$8:$B$51,0))</f>
        <v/>
      </c>
      <c r="F10">
        <f>LN(D10)</f>
        <v/>
      </c>
      <c r="G10">
        <f>LN(E10)</f>
        <v/>
      </c>
      <c r="K10" s="4">
        <f>G10-$B$2*F10</f>
        <v/>
      </c>
      <c r="L10">
        <f>K10</f>
        <v/>
      </c>
      <c r="M10">
        <f>L10-2*L9+L8</f>
        <v/>
      </c>
      <c r="N10" s="5">
        <f>K10-L10</f>
        <v/>
      </c>
    </row>
    <row r="11">
      <c r="C11" t="n">
        <v>2007</v>
      </c>
      <c r="D11" s="19">
        <f>INDEX(PWT!$B$2:$B$35,MATCH($C11,PWT!$A$2:$A$35,0))</f>
        <v/>
      </c>
      <c r="E11">
        <f>INDEX(WEO_Data!$C$8:$C$51,MATCH($C11,WEO_Data!$B$8:$B$51,0))</f>
        <v/>
      </c>
      <c r="F11">
        <f>LN(D11)</f>
        <v/>
      </c>
      <c r="G11">
        <f>LN(E11)</f>
        <v/>
      </c>
      <c r="K11" s="4">
        <f>G11-$B$2*F11</f>
        <v/>
      </c>
      <c r="L11">
        <f>K11</f>
        <v/>
      </c>
      <c r="M11">
        <f>L11-2*L10+L9</f>
        <v/>
      </c>
      <c r="N11" s="5">
        <f>K11-L11</f>
        <v/>
      </c>
    </row>
    <row r="12">
      <c r="C12" t="n">
        <v>2008</v>
      </c>
      <c r="D12" s="19">
        <f>INDEX(PWT!$B$2:$B$35,MATCH($C12,PWT!$A$2:$A$35,0))</f>
        <v/>
      </c>
      <c r="E12">
        <f>INDEX(WEO_Data!$C$8:$C$51,MATCH($C12,WEO_Data!$B$8:$B$51,0))</f>
        <v/>
      </c>
      <c r="F12">
        <f>LN(D12)</f>
        <v/>
      </c>
      <c r="G12">
        <f>LN(E12)</f>
        <v/>
      </c>
      <c r="K12" s="4">
        <f>G12-$B$2*F12</f>
        <v/>
      </c>
      <c r="L12">
        <f>K12</f>
        <v/>
      </c>
      <c r="M12">
        <f>L12-2*L11+L10</f>
        <v/>
      </c>
      <c r="N12" s="5">
        <f>K12-L12</f>
        <v/>
      </c>
    </row>
    <row r="13">
      <c r="C13" t="n">
        <v>2009</v>
      </c>
      <c r="D13" s="19">
        <f>INDEX(PWT!$B$2:$B$35,MATCH($C13,PWT!$A$2:$A$35,0))</f>
        <v/>
      </c>
      <c r="E13">
        <f>INDEX(WEO_Data!$C$8:$C$51,MATCH($C13,WEO_Data!$B$8:$B$51,0))</f>
        <v/>
      </c>
      <c r="F13">
        <f>LN(D13)</f>
        <v/>
      </c>
      <c r="G13">
        <f>LN(E13)</f>
        <v/>
      </c>
      <c r="K13" s="4">
        <f>G13-$B$2*F13</f>
        <v/>
      </c>
      <c r="L13">
        <f>K13</f>
        <v/>
      </c>
      <c r="M13">
        <f>L13-2*L12+L11</f>
        <v/>
      </c>
      <c r="N13" s="5">
        <f>K13-L13</f>
        <v/>
      </c>
    </row>
    <row r="14">
      <c r="C14" t="n">
        <v>2010</v>
      </c>
      <c r="D14" s="19">
        <f>INDEX(PWT!$B$2:$B$35,MATCH($C14,PWT!$A$2:$A$35,0))</f>
        <v/>
      </c>
      <c r="E14">
        <f>INDEX(WEO_Data!$C$8:$C$51,MATCH($C14,WEO_Data!$B$8:$B$51,0))</f>
        <v/>
      </c>
      <c r="F14">
        <f>LN(D14)</f>
        <v/>
      </c>
      <c r="G14">
        <f>LN(E14)</f>
        <v/>
      </c>
      <c r="K14" s="4">
        <f>G14-$B$2*F14</f>
        <v/>
      </c>
      <c r="L14">
        <f>K14</f>
        <v/>
      </c>
      <c r="M14">
        <f>L14-2*L13+L12</f>
        <v/>
      </c>
      <c r="N14" s="5">
        <f>K14-L14</f>
        <v/>
      </c>
    </row>
    <row r="15">
      <c r="C15" t="n">
        <v>2011</v>
      </c>
      <c r="D15" s="19">
        <f>INDEX(PWT!$B$2:$B$35,MATCH($C15,PWT!$A$2:$A$35,0))</f>
        <v/>
      </c>
      <c r="E15">
        <f>INDEX(WEO_Data!$C$8:$C$51,MATCH($C15,WEO_Data!$B$8:$B$51,0))</f>
        <v/>
      </c>
      <c r="F15">
        <f>LN(D15)</f>
        <v/>
      </c>
      <c r="G15">
        <f>LN(E15)</f>
        <v/>
      </c>
      <c r="K15" s="4">
        <f>G15-$B$2*F15</f>
        <v/>
      </c>
      <c r="L15">
        <f>K15</f>
        <v/>
      </c>
      <c r="M15">
        <f>L15-2*L14+L13</f>
        <v/>
      </c>
      <c r="N15" s="5">
        <f>K15-L15</f>
        <v/>
      </c>
    </row>
    <row r="16">
      <c r="C16" t="n">
        <v>2012</v>
      </c>
      <c r="D16" s="19">
        <f>INDEX(PWT!$B$2:$B$35,MATCH($C16,PWT!$A$2:$A$35,0))</f>
        <v/>
      </c>
      <c r="E16">
        <f>INDEX(WEO_Data!$C$8:$C$51,MATCH($C16,WEO_Data!$B$8:$B$51,0))</f>
        <v/>
      </c>
      <c r="F16">
        <f>LN(D16)</f>
        <v/>
      </c>
      <c r="G16">
        <f>LN(E16)</f>
        <v/>
      </c>
      <c r="K16" s="4">
        <f>G16-$B$2*F16</f>
        <v/>
      </c>
      <c r="L16">
        <f>K16</f>
        <v/>
      </c>
      <c r="M16">
        <f>L16-2*L15+L14</f>
        <v/>
      </c>
      <c r="N16" s="5">
        <f>K16-L16</f>
        <v/>
      </c>
    </row>
    <row r="17">
      <c r="C17" t="n">
        <v>2013</v>
      </c>
      <c r="D17" s="19">
        <f>INDEX(PWT!$B$2:$B$35,MATCH($C17,PWT!$A$2:$A$35,0))</f>
        <v/>
      </c>
      <c r="E17">
        <f>INDEX(WEO_Data!$C$8:$C$51,MATCH($C17,WEO_Data!$B$8:$B$51,0))</f>
        <v/>
      </c>
      <c r="F17">
        <f>LN(D17)</f>
        <v/>
      </c>
      <c r="G17">
        <f>LN(E17)</f>
        <v/>
      </c>
      <c r="K17" s="4">
        <f>G17-$B$2*F17</f>
        <v/>
      </c>
      <c r="L17">
        <f>K17</f>
        <v/>
      </c>
      <c r="M17">
        <f>L17-2*L16+L15</f>
        <v/>
      </c>
      <c r="N17" s="5">
        <f>K17-L17</f>
        <v/>
      </c>
    </row>
    <row r="18">
      <c r="C18" t="n">
        <v>2014</v>
      </c>
      <c r="D18" s="19">
        <f>INDEX(PWT!$B$2:$B$35,MATCH($C18,PWT!$A$2:$A$35,0))</f>
        <v/>
      </c>
      <c r="E18">
        <f>INDEX(WEO_Data!$C$8:$C$51,MATCH($C18,WEO_Data!$B$8:$B$51,0))</f>
        <v/>
      </c>
      <c r="F18">
        <f>LN(D18)</f>
        <v/>
      </c>
      <c r="G18">
        <f>LN(E18)</f>
        <v/>
      </c>
      <c r="K18" s="4">
        <f>G18-$B$2*F18</f>
        <v/>
      </c>
      <c r="L18">
        <f>K18</f>
        <v/>
      </c>
      <c r="M18">
        <f>L18-2*L17+L16</f>
        <v/>
      </c>
      <c r="N18" s="5">
        <f>K18-L18</f>
        <v/>
      </c>
    </row>
    <row r="19">
      <c r="C19" t="n">
        <v>2015</v>
      </c>
      <c r="D19" s="19">
        <f>INDEX(PWT!$B$2:$B$35,MATCH($C19,PWT!$A$2:$A$35,0))</f>
        <v/>
      </c>
      <c r="E19">
        <f>INDEX(WEO_Data!$C$8:$C$51,MATCH($C19,WEO_Data!$B$8:$B$51,0))</f>
        <v/>
      </c>
      <c r="F19">
        <f>LN(D19)</f>
        <v/>
      </c>
      <c r="G19">
        <f>LN(E19)</f>
        <v/>
      </c>
      <c r="K19" s="4">
        <f>G19-$B$2*F19</f>
        <v/>
      </c>
      <c r="L19">
        <f>K19</f>
        <v/>
      </c>
      <c r="M19">
        <f>L19-2*L18+L17</f>
        <v/>
      </c>
      <c r="N19" s="5">
        <f>K19-L19</f>
        <v/>
      </c>
    </row>
    <row r="20">
      <c r="C20" t="n">
        <v>2016</v>
      </c>
      <c r="D20" s="19">
        <f>INDEX(PWT!$B$2:$B$35,MATCH($C20,PWT!$A$2:$A$35,0))</f>
        <v/>
      </c>
      <c r="E20">
        <f>INDEX(WEO_Data!$C$8:$C$51,MATCH($C20,WEO_Data!$B$8:$B$51,0))</f>
        <v/>
      </c>
      <c r="F20">
        <f>LN(D20)</f>
        <v/>
      </c>
      <c r="G20">
        <f>LN(E20)</f>
        <v/>
      </c>
      <c r="K20" s="4">
        <f>G20-$B$2*F20</f>
        <v/>
      </c>
      <c r="L20">
        <f>K20</f>
        <v/>
      </c>
      <c r="M20">
        <f>L20-2*L19+L18</f>
        <v/>
      </c>
      <c r="N20" s="5">
        <f>K20-L20</f>
        <v/>
      </c>
    </row>
    <row r="21">
      <c r="C21" t="n">
        <v>2017</v>
      </c>
      <c r="D21" s="19">
        <f>INDEX(PWT!$B$2:$B$35,MATCH($C21,PWT!$A$2:$A$35,0))</f>
        <v/>
      </c>
      <c r="E21">
        <f>INDEX(WEO_Data!$C$8:$C$51,MATCH($C21,WEO_Data!$B$8:$B$51,0))</f>
        <v/>
      </c>
      <c r="F21">
        <f>LN(D21)</f>
        <v/>
      </c>
      <c r="G21">
        <f>LN(E21)</f>
        <v/>
      </c>
      <c r="K21" s="4">
        <f>G21-$B$2*F21</f>
        <v/>
      </c>
      <c r="L21">
        <f>K21</f>
        <v/>
      </c>
      <c r="M21">
        <f>L21-2*L20+L19</f>
        <v/>
      </c>
      <c r="N21" s="5">
        <f>K21-L21</f>
        <v/>
      </c>
    </row>
    <row r="22">
      <c r="C22" t="n">
        <v>2018</v>
      </c>
      <c r="D22" s="19">
        <f>INDEX(PWT!$B$2:$B$35,MATCH($C22,PWT!$A$2:$A$35,0))</f>
        <v/>
      </c>
      <c r="E22">
        <f>INDEX(WEO_Data!$C$8:$C$51,MATCH($C22,WEO_Data!$B$8:$B$51,0))</f>
        <v/>
      </c>
      <c r="F22">
        <f>LN(D22)</f>
        <v/>
      </c>
      <c r="G22">
        <f>LN(E22)</f>
        <v/>
      </c>
      <c r="K22" s="4">
        <f>G22-$B$2*F22</f>
        <v/>
      </c>
      <c r="L22">
        <f>K22</f>
        <v/>
      </c>
      <c r="M22">
        <f>L22-2*L21+L20</f>
        <v/>
      </c>
      <c r="N22" s="5">
        <f>K22-L22</f>
        <v/>
      </c>
    </row>
    <row r="23">
      <c r="C23" t="n">
        <v>2019</v>
      </c>
      <c r="D23" s="19">
        <f>INDEX(PWT!$B$2:$B$35,MATCH($C23,PWT!$A$2:$A$35,0))</f>
        <v/>
      </c>
      <c r="E23">
        <f>INDEX(WEO_Data!$C$8:$C$51,MATCH($C23,WEO_Data!$B$8:$B$51,0))</f>
        <v/>
      </c>
      <c r="F23">
        <f>LN(D23)</f>
        <v/>
      </c>
      <c r="G23">
        <f>LN(E23)</f>
        <v/>
      </c>
      <c r="K23" s="4">
        <f>G23-$B$2*F23</f>
        <v/>
      </c>
      <c r="L23">
        <f>K23</f>
        <v/>
      </c>
      <c r="M23">
        <f>L23-2*L22+L21</f>
        <v/>
      </c>
      <c r="N23" s="5">
        <f>K23-L23</f>
        <v/>
      </c>
    </row>
    <row r="24">
      <c r="C24" t="n">
        <v>2020</v>
      </c>
      <c r="D24" s="19">
        <f>INDEX(PWT!$B$2:$B$35,MATCH($C24,PWT!$A$2:$A$35,0))</f>
        <v/>
      </c>
      <c r="E24">
        <f>INDEX(WEO_Data!$C$8:$C$51,MATCH($C24,WEO_Data!$B$8:$B$51,0))</f>
        <v/>
      </c>
      <c r="F24">
        <f>LN(D24)</f>
        <v/>
      </c>
      <c r="G24">
        <f>LN(E24)</f>
        <v/>
      </c>
      <c r="K24" s="4">
        <f>G24-$B$2*F24</f>
        <v/>
      </c>
      <c r="L24">
        <f>K24</f>
        <v/>
      </c>
      <c r="M24">
        <f>L24-2*L23+L22</f>
        <v/>
      </c>
      <c r="N24" s="5">
        <f>K24-L24</f>
        <v/>
      </c>
    </row>
    <row r="25">
      <c r="C25" t="n">
        <v>2021</v>
      </c>
      <c r="D25" s="19">
        <f>INDEX(PWT!$B$2:$B$35,MATCH($C25,PWT!$A$2:$A$35,0))</f>
        <v/>
      </c>
      <c r="E25">
        <f>INDEX(WEO_Data!$C$8:$C$51,MATCH($C25,WEO_Data!$B$8:$B$51,0))</f>
        <v/>
      </c>
      <c r="F25">
        <f>LN(D25)</f>
        <v/>
      </c>
      <c r="G25">
        <f>LN(E25)</f>
        <v/>
      </c>
      <c r="K25" s="4">
        <f>G25-$B$2*F25</f>
        <v/>
      </c>
      <c r="L25">
        <f>K25</f>
        <v/>
      </c>
      <c r="M25">
        <f>L25-2*L24+L23</f>
        <v/>
      </c>
      <c r="N25" s="5">
        <f>K25-L25</f>
        <v/>
      </c>
    </row>
    <row r="26">
      <c r="C26" t="n">
        <v>2022</v>
      </c>
      <c r="D26" s="19">
        <f>INDEX(PWT!$B$2:$B$35,MATCH($C26,PWT!$A$2:$A$35,0))</f>
        <v/>
      </c>
      <c r="E26">
        <f>INDEX(WEO_Data!$C$8:$C$51,MATCH($C26,WEO_Data!$B$8:$B$51,0))</f>
        <v/>
      </c>
      <c r="F26">
        <f>LN(D26)</f>
        <v/>
      </c>
      <c r="G26">
        <f>LN(E26)</f>
        <v/>
      </c>
      <c r="K26" s="4">
        <f>G26-$B$2*F26</f>
        <v/>
      </c>
      <c r="L26">
        <f>K26</f>
        <v/>
      </c>
      <c r="M26">
        <f>L26-2*L25+L24</f>
        <v/>
      </c>
      <c r="N26" s="5">
        <f>K26-L26</f>
        <v/>
      </c>
    </row>
    <row r="27">
      <c r="C27" t="n">
        <v>2023</v>
      </c>
      <c r="D27" s="19">
        <f>INDEX(PWT!$B$2:$B$35,MATCH($C27,PWT!$A$2:$A$35,0))</f>
        <v/>
      </c>
      <c r="E27">
        <f>INDEX(WEO_Data!$C$8:$C$51,MATCH($C27,WEO_Data!$B$8:$B$51,0))</f>
        <v/>
      </c>
      <c r="F27">
        <f>LN(D27)</f>
        <v/>
      </c>
      <c r="G27">
        <f>LN(E27)</f>
        <v/>
      </c>
      <c r="K27" s="6">
        <f>G27-$B$2*F27</f>
        <v/>
      </c>
      <c r="L27" s="7">
        <f>K27</f>
        <v/>
      </c>
      <c r="M27" s="7">
        <f>L27-2*L26+L25</f>
        <v/>
      </c>
      <c r="N27" s="8">
        <f>K27-L27</f>
        <v/>
      </c>
    </row>
    <row r="34">
      <c r="D34" t="inlineStr">
        <is>
          <t>Avg K/Y (2015-2023)</t>
        </is>
      </c>
      <c r="E34">
        <f>AVERAGE(D49:D57)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IF(F36=0,"",E36/F36)</f>
        <v/>
      </c>
      <c r="E36" s="19">
        <f>IF($C36&lt;=2023,INDEX(PWT!$B$2:$B$35,MATCH($C36,PWT!$A$2:$A$35,0)),$E$34*F36)</f>
        <v/>
      </c>
      <c r="F36">
        <f>INDEX(WEO_Data!$C$8:$C$51,MATCH($C36,WEO_Data!$B$8:$B$51,0))</f>
        <v/>
      </c>
      <c r="G36">
        <f>IF($C36&lt;=2023,INDEX($L$6:$L$27,MATCH($C36,$C$6:$C$27,0)),TREND($G$36:$G$57,$C$36:$C$57,$C36))</f>
        <v/>
      </c>
      <c r="H36">
        <f>EXP(G36+$B$2*LN(E36))</f>
        <v/>
      </c>
      <c r="I36">
        <f>IFERROR(VLOOKUP($C36,Investment!$B$2:$C$9,2,FALSE),0)</f>
        <v/>
      </c>
      <c r="J36" t="n">
        <v>0</v>
      </c>
      <c r="K36" s="19">
        <f>E36+J36</f>
        <v/>
      </c>
      <c r="L36">
        <f>EXP(G36+$B$2*LN(K36))</f>
        <v/>
      </c>
      <c r="M36">
        <f>IF(H36=0,"",L36/H36-1)</f>
        <v/>
      </c>
      <c r="N36">
        <f>IF(F36=0,"",F36*(1+M36))</f>
        <v/>
      </c>
      <c r="O36" t="inlineStr"/>
    </row>
    <row r="37">
      <c r="C37" t="n">
        <v>2003</v>
      </c>
      <c r="D37">
        <f>IF(F37=0,"",E37/F37)</f>
        <v/>
      </c>
      <c r="E37" s="19">
        <f>IF($C37&lt;=2023,INDEX(PWT!$B$2:$B$35,MATCH($C37,PWT!$A$2:$A$35,0)),$E$34*F37)</f>
        <v/>
      </c>
      <c r="F37">
        <f>INDEX(WEO_Data!$C$8:$C$51,MATCH($C37,WEO_Data!$B$8:$B$51,0))</f>
        <v/>
      </c>
      <c r="G37">
        <f>IF($C37&lt;=2023,INDEX($L$6:$L$27,MATCH($C37,$C$6:$C$27,0)),TREND($G$36:$G$57,$C$36:$C$57,$C37))</f>
        <v/>
      </c>
      <c r="H37">
        <f>EXP(G37+$B$2*LN(E37))</f>
        <v/>
      </c>
      <c r="I37">
        <f>IFERROR(VLOOKUP($C37,Investment!$B$2:$C$9,2,FALSE),0)</f>
        <v/>
      </c>
      <c r="J37">
        <f>(1-$B$3)*J36+I37</f>
        <v/>
      </c>
      <c r="K37" s="19">
        <f>E37+J37</f>
        <v/>
      </c>
      <c r="L37">
        <f>EXP(G37+$B$2*LN(K37))</f>
        <v/>
      </c>
      <c r="M37">
        <f>IF(H37=0,"",L37/H37-1)</f>
        <v/>
      </c>
      <c r="N37">
        <f>IF(F37=0,"",F37*(1+M37))</f>
        <v/>
      </c>
      <c r="O37">
        <f>IF(N36=0,"",N37/N36-1)</f>
        <v/>
      </c>
    </row>
    <row r="38">
      <c r="C38" t="n">
        <v>2004</v>
      </c>
      <c r="D38">
        <f>IF(F38=0,"",E38/F38)</f>
        <v/>
      </c>
      <c r="E38" s="19">
        <f>IF($C38&lt;=2023,INDEX(PWT!$B$2:$B$35,MATCH($C38,PWT!$A$2:$A$35,0)),$E$34*F38)</f>
        <v/>
      </c>
      <c r="F38">
        <f>INDEX(WEO_Data!$C$8:$C$51,MATCH($C38,WEO_Data!$B$8:$B$51,0))</f>
        <v/>
      </c>
      <c r="G38">
        <f>IF($C38&lt;=2023,INDEX($L$6:$L$27,MATCH($C38,$C$6:$C$27,0)),TREND($G$36:$G$57,$C$36:$C$57,$C38))</f>
        <v/>
      </c>
      <c r="H38">
        <f>EXP(G38+$B$2*LN(E38))</f>
        <v/>
      </c>
      <c r="I38">
        <f>IFERROR(VLOOKUP($C38,Investment!$B$2:$C$9,2,FALSE),0)</f>
        <v/>
      </c>
      <c r="J38">
        <f>(1-$B$3)*J37+I38</f>
        <v/>
      </c>
      <c r="K38" s="19">
        <f>E38+J38</f>
        <v/>
      </c>
      <c r="L38">
        <f>EXP(G38+$B$2*LN(K38))</f>
        <v/>
      </c>
      <c r="M38">
        <f>IF(H38=0,"",L38/H38-1)</f>
        <v/>
      </c>
      <c r="N38">
        <f>IF(F38=0,"",F38*(1+M38))</f>
        <v/>
      </c>
      <c r="O38">
        <f>IF(N37=0,"",N38/N37-1)</f>
        <v/>
      </c>
    </row>
    <row r="39">
      <c r="C39" t="n">
        <v>2005</v>
      </c>
      <c r="D39">
        <f>IF(F39=0,"",E39/F39)</f>
        <v/>
      </c>
      <c r="E39" s="19">
        <f>IF($C39&lt;=2023,INDEX(PWT!$B$2:$B$35,MATCH($C39,PWT!$A$2:$A$35,0)),$E$34*F39)</f>
        <v/>
      </c>
      <c r="F39">
        <f>INDEX(WEO_Data!$C$8:$C$51,MATCH($C39,WEO_Data!$B$8:$B$51,0))</f>
        <v/>
      </c>
      <c r="G39">
        <f>IF($C39&lt;=2023,INDEX($L$6:$L$27,MATCH($C39,$C$6:$C$27,0)),TREND($G$36:$G$57,$C$36:$C$57,$C39))</f>
        <v/>
      </c>
      <c r="H39">
        <f>EXP(G39+$B$2*LN(E39))</f>
        <v/>
      </c>
      <c r="I39">
        <f>IFERROR(VLOOKUP($C39,Investment!$B$2:$C$9,2,FALSE),0)</f>
        <v/>
      </c>
      <c r="J39">
        <f>(1-$B$3)*J38+I39</f>
        <v/>
      </c>
      <c r="K39" s="19">
        <f>E39+J39</f>
        <v/>
      </c>
      <c r="L39">
        <f>EXP(G39+$B$2*LN(K39))</f>
        <v/>
      </c>
      <c r="M39">
        <f>IF(H39=0,"",L39/H39-1)</f>
        <v/>
      </c>
      <c r="N39">
        <f>IF(F39=0,"",F39*(1+M39))</f>
        <v/>
      </c>
      <c r="O39">
        <f>IF(N38=0,"",N39/N38-1)</f>
        <v/>
      </c>
    </row>
    <row r="40">
      <c r="C40" t="n">
        <v>2006</v>
      </c>
      <c r="D40">
        <f>IF(F40=0,"",E40/F40)</f>
        <v/>
      </c>
      <c r="E40" s="19">
        <f>IF($C40&lt;=2023,INDEX(PWT!$B$2:$B$35,MATCH($C40,PWT!$A$2:$A$35,0)),$E$34*F40)</f>
        <v/>
      </c>
      <c r="F40">
        <f>INDEX(WEO_Data!$C$8:$C$51,MATCH($C40,WEO_Data!$B$8:$B$51,0))</f>
        <v/>
      </c>
      <c r="G40">
        <f>IF($C40&lt;=2023,INDEX($L$6:$L$27,MATCH($C40,$C$6:$C$27,0)),TREND($G$36:$G$57,$C$36:$C$57,$C40))</f>
        <v/>
      </c>
      <c r="H40">
        <f>EXP(G40+$B$2*LN(E40))</f>
        <v/>
      </c>
      <c r="I40">
        <f>IFERROR(VLOOKUP($C40,Investment!$B$2:$C$9,2,FALSE),0)</f>
        <v/>
      </c>
      <c r="J40">
        <f>(1-$B$3)*J39+I40</f>
        <v/>
      </c>
      <c r="K40" s="19">
        <f>E40+J40</f>
        <v/>
      </c>
      <c r="L40">
        <f>EXP(G40+$B$2*LN(K40))</f>
        <v/>
      </c>
      <c r="M40">
        <f>IF(H40=0,"",L40/H40-1)</f>
        <v/>
      </c>
      <c r="N40">
        <f>IF(F40=0,"",F40*(1+M40))</f>
        <v/>
      </c>
      <c r="O40">
        <f>IF(N39=0,"",N40/N39-1)</f>
        <v/>
      </c>
    </row>
    <row r="41">
      <c r="C41" t="n">
        <v>2007</v>
      </c>
      <c r="D41">
        <f>IF(F41=0,"",E41/F41)</f>
        <v/>
      </c>
      <c r="E41" s="19">
        <f>IF($C41&lt;=2023,INDEX(PWT!$B$2:$B$35,MATCH($C41,PWT!$A$2:$A$35,0)),$E$34*F41)</f>
        <v/>
      </c>
      <c r="F41">
        <f>INDEX(WEO_Data!$C$8:$C$51,MATCH($C41,WEO_Data!$B$8:$B$51,0))</f>
        <v/>
      </c>
      <c r="G41">
        <f>IF($C41&lt;=2023,INDEX($L$6:$L$27,MATCH($C41,$C$6:$C$27,0)),TREND($G$36:$G$57,$C$36:$C$57,$C41))</f>
        <v/>
      </c>
      <c r="H41">
        <f>EXP(G41+$B$2*LN(E41))</f>
        <v/>
      </c>
      <c r="I41">
        <f>IFERROR(VLOOKUP($C41,Investment!$B$2:$C$9,2,FALSE),0)</f>
        <v/>
      </c>
      <c r="J41">
        <f>(1-$B$3)*J40+I41</f>
        <v/>
      </c>
      <c r="K41" s="19">
        <f>E41+J41</f>
        <v/>
      </c>
      <c r="L41">
        <f>EXP(G41+$B$2*LN(K41))</f>
        <v/>
      </c>
      <c r="M41">
        <f>IF(H41=0,"",L41/H41-1)</f>
        <v/>
      </c>
      <c r="N41">
        <f>IF(F41=0,"",F41*(1+M41))</f>
        <v/>
      </c>
      <c r="O41">
        <f>IF(N40=0,"",N41/N40-1)</f>
        <v/>
      </c>
    </row>
    <row r="42">
      <c r="C42" t="n">
        <v>2008</v>
      </c>
      <c r="D42">
        <f>IF(F42=0,"",E42/F42)</f>
        <v/>
      </c>
      <c r="E42" s="19">
        <f>IF($C42&lt;=2023,INDEX(PWT!$B$2:$B$35,MATCH($C42,PWT!$A$2:$A$35,0)),$E$34*F42)</f>
        <v/>
      </c>
      <c r="F42">
        <f>INDEX(WEO_Data!$C$8:$C$51,MATCH($C42,WEO_Data!$B$8:$B$51,0))</f>
        <v/>
      </c>
      <c r="G42">
        <f>IF($C42&lt;=2023,INDEX($L$6:$L$27,MATCH($C42,$C$6:$C$27,0)),TREND($G$36:$G$57,$C$36:$C$57,$C42))</f>
        <v/>
      </c>
      <c r="H42">
        <f>EXP(G42+$B$2*LN(E42))</f>
        <v/>
      </c>
      <c r="I42">
        <f>IFERROR(VLOOKUP($C42,Investment!$B$2:$C$9,2,FALSE),0)</f>
        <v/>
      </c>
      <c r="J42">
        <f>(1-$B$3)*J41+I42</f>
        <v/>
      </c>
      <c r="K42" s="19">
        <f>E42+J42</f>
        <v/>
      </c>
      <c r="L42">
        <f>EXP(G42+$B$2*LN(K42))</f>
        <v/>
      </c>
      <c r="M42">
        <f>IF(H42=0,"",L42/H42-1)</f>
        <v/>
      </c>
      <c r="N42">
        <f>IF(F42=0,"",F42*(1+M42))</f>
        <v/>
      </c>
      <c r="O42">
        <f>IF(N41=0,"",N42/N41-1)</f>
        <v/>
      </c>
    </row>
    <row r="43">
      <c r="C43" t="n">
        <v>2009</v>
      </c>
      <c r="D43">
        <f>IF(F43=0,"",E43/F43)</f>
        <v/>
      </c>
      <c r="E43" s="19">
        <f>IF($C43&lt;=2023,INDEX(PWT!$B$2:$B$35,MATCH($C43,PWT!$A$2:$A$35,0)),$E$34*F43)</f>
        <v/>
      </c>
      <c r="F43">
        <f>INDEX(WEO_Data!$C$8:$C$51,MATCH($C43,WEO_Data!$B$8:$B$51,0))</f>
        <v/>
      </c>
      <c r="G43">
        <f>IF($C43&lt;=2023,INDEX($L$6:$L$27,MATCH($C43,$C$6:$C$27,0)),TREND($G$36:$G$57,$C$36:$C$57,$C43))</f>
        <v/>
      </c>
      <c r="H43">
        <f>EXP(G43+$B$2*LN(E43))</f>
        <v/>
      </c>
      <c r="I43">
        <f>IFERROR(VLOOKUP($C43,Investment!$B$2:$C$9,2,FALSE),0)</f>
        <v/>
      </c>
      <c r="J43">
        <f>(1-$B$3)*J42+I43</f>
        <v/>
      </c>
      <c r="K43" s="19">
        <f>E43+J43</f>
        <v/>
      </c>
      <c r="L43">
        <f>EXP(G43+$B$2*LN(K43))</f>
        <v/>
      </c>
      <c r="M43">
        <f>IF(H43=0,"",L43/H43-1)</f>
        <v/>
      </c>
      <c r="N43">
        <f>IF(F43=0,"",F43*(1+M43))</f>
        <v/>
      </c>
      <c r="O43">
        <f>IF(N42=0,"",N43/N42-1)</f>
        <v/>
      </c>
    </row>
    <row r="44">
      <c r="C44" t="n">
        <v>2010</v>
      </c>
      <c r="D44">
        <f>IF(F44=0,"",E44/F44)</f>
        <v/>
      </c>
      <c r="E44" s="19">
        <f>IF($C44&lt;=2023,INDEX(PWT!$B$2:$B$35,MATCH($C44,PWT!$A$2:$A$35,0)),$E$34*F44)</f>
        <v/>
      </c>
      <c r="F44">
        <f>INDEX(WEO_Data!$C$8:$C$51,MATCH($C44,WEO_Data!$B$8:$B$51,0))</f>
        <v/>
      </c>
      <c r="G44">
        <f>IF($C44&lt;=2023,INDEX($L$6:$L$27,MATCH($C44,$C$6:$C$27,0)),TREND($G$36:$G$57,$C$36:$C$57,$C44))</f>
        <v/>
      </c>
      <c r="H44">
        <f>EXP(G44+$B$2*LN(E44))</f>
        <v/>
      </c>
      <c r="I44">
        <f>IFERROR(VLOOKUP($C44,Investment!$B$2:$C$9,2,FALSE),0)</f>
        <v/>
      </c>
      <c r="J44">
        <f>(1-$B$3)*J43+I44</f>
        <v/>
      </c>
      <c r="K44" s="19">
        <f>E44+J44</f>
        <v/>
      </c>
      <c r="L44">
        <f>EXP(G44+$B$2*LN(K44))</f>
        <v/>
      </c>
      <c r="M44">
        <f>IF(H44=0,"",L44/H44-1)</f>
        <v/>
      </c>
      <c r="N44">
        <f>IF(F44=0,"",F44*(1+M44))</f>
        <v/>
      </c>
      <c r="O44">
        <f>IF(N43=0,"",N44/N43-1)</f>
        <v/>
      </c>
    </row>
    <row r="45">
      <c r="C45" t="n">
        <v>2011</v>
      </c>
      <c r="D45">
        <f>IF(F45=0,"",E45/F45)</f>
        <v/>
      </c>
      <c r="E45" s="19">
        <f>IF($C45&lt;=2023,INDEX(PWT!$B$2:$B$35,MATCH($C45,PWT!$A$2:$A$35,0)),$E$34*F45)</f>
        <v/>
      </c>
      <c r="F45">
        <f>INDEX(WEO_Data!$C$8:$C$51,MATCH($C45,WEO_Data!$B$8:$B$51,0))</f>
        <v/>
      </c>
      <c r="G45">
        <f>IF($C45&lt;=2023,INDEX($L$6:$L$27,MATCH($C45,$C$6:$C$27,0)),TREND($G$36:$G$57,$C$36:$C$57,$C45))</f>
        <v/>
      </c>
      <c r="H45">
        <f>EXP(G45+$B$2*LN(E45))</f>
        <v/>
      </c>
      <c r="I45">
        <f>IFERROR(VLOOKUP($C45,Investment!$B$2:$C$9,2,FALSE),0)</f>
        <v/>
      </c>
      <c r="J45">
        <f>(1-$B$3)*J44+I45</f>
        <v/>
      </c>
      <c r="K45" s="19">
        <f>E45+J45</f>
        <v/>
      </c>
      <c r="L45">
        <f>EXP(G45+$B$2*LN(K45))</f>
        <v/>
      </c>
      <c r="M45">
        <f>IF(H45=0,"",L45/H45-1)</f>
        <v/>
      </c>
      <c r="N45">
        <f>IF(F45=0,"",F45*(1+M45))</f>
        <v/>
      </c>
      <c r="O45">
        <f>IF(N44=0,"",N45/N44-1)</f>
        <v/>
      </c>
    </row>
    <row r="46">
      <c r="C46" t="n">
        <v>2012</v>
      </c>
      <c r="D46">
        <f>IF(F46=0,"",E46/F46)</f>
        <v/>
      </c>
      <c r="E46" s="19">
        <f>IF($C46&lt;=2023,INDEX(PWT!$B$2:$B$35,MATCH($C46,PWT!$A$2:$A$35,0)),$E$34*F46)</f>
        <v/>
      </c>
      <c r="F46">
        <f>INDEX(WEO_Data!$C$8:$C$51,MATCH($C46,WEO_Data!$B$8:$B$51,0))</f>
        <v/>
      </c>
      <c r="G46">
        <f>IF($C46&lt;=2023,INDEX($L$6:$L$27,MATCH($C46,$C$6:$C$27,0)),TREND($G$36:$G$57,$C$36:$C$57,$C46))</f>
        <v/>
      </c>
      <c r="H46">
        <f>EXP(G46+$B$2*LN(E46))</f>
        <v/>
      </c>
      <c r="I46">
        <f>IFERROR(VLOOKUP($C46,Investment!$B$2:$C$9,2,FALSE),0)</f>
        <v/>
      </c>
      <c r="J46">
        <f>(1-$B$3)*J45+I46</f>
        <v/>
      </c>
      <c r="K46" s="19">
        <f>E46+J46</f>
        <v/>
      </c>
      <c r="L46">
        <f>EXP(G46+$B$2*LN(K46))</f>
        <v/>
      </c>
      <c r="M46">
        <f>IF(H46=0,"",L46/H46-1)</f>
        <v/>
      </c>
      <c r="N46">
        <f>IF(F46=0,"",F46*(1+M46))</f>
        <v/>
      </c>
      <c r="O46">
        <f>IF(N45=0,"",N46/N45-1)</f>
        <v/>
      </c>
    </row>
    <row r="47">
      <c r="C47" t="n">
        <v>2013</v>
      </c>
      <c r="D47">
        <f>IF(F47=0,"",E47/F47)</f>
        <v/>
      </c>
      <c r="E47" s="19">
        <f>IF($C47&lt;=2023,INDEX(PWT!$B$2:$B$35,MATCH($C47,PWT!$A$2:$A$35,0)),$E$34*F47)</f>
        <v/>
      </c>
      <c r="F47">
        <f>INDEX(WEO_Data!$C$8:$C$51,MATCH($C47,WEO_Data!$B$8:$B$51,0))</f>
        <v/>
      </c>
      <c r="G47">
        <f>IF($C47&lt;=2023,INDEX($L$6:$L$27,MATCH($C47,$C$6:$C$27,0)),TREND($G$36:$G$57,$C$36:$C$57,$C47))</f>
        <v/>
      </c>
      <c r="H47">
        <f>EXP(G47+$B$2*LN(E47))</f>
        <v/>
      </c>
      <c r="I47">
        <f>IFERROR(VLOOKUP($C47,Investment!$B$2:$C$9,2,FALSE),0)</f>
        <v/>
      </c>
      <c r="J47">
        <f>(1-$B$3)*J46+I47</f>
        <v/>
      </c>
      <c r="K47" s="19">
        <f>E47+J47</f>
        <v/>
      </c>
      <c r="L47">
        <f>EXP(G47+$B$2*LN(K47))</f>
        <v/>
      </c>
      <c r="M47">
        <f>IF(H47=0,"",L47/H47-1)</f>
        <v/>
      </c>
      <c r="N47">
        <f>IF(F47=0,"",F47*(1+M47))</f>
        <v/>
      </c>
      <c r="O47">
        <f>IF(N46=0,"",N47/N46-1)</f>
        <v/>
      </c>
    </row>
    <row r="48">
      <c r="C48" t="n">
        <v>2014</v>
      </c>
      <c r="D48">
        <f>IF(F48=0,"",E48/F48)</f>
        <v/>
      </c>
      <c r="E48" s="19">
        <f>IF($C48&lt;=2023,INDEX(PWT!$B$2:$B$35,MATCH($C48,PWT!$A$2:$A$35,0)),$E$34*F48)</f>
        <v/>
      </c>
      <c r="F48">
        <f>INDEX(WEO_Data!$C$8:$C$51,MATCH($C48,WEO_Data!$B$8:$B$51,0))</f>
        <v/>
      </c>
      <c r="G48">
        <f>IF($C48&lt;=2023,INDEX($L$6:$L$27,MATCH($C48,$C$6:$C$27,0)),TREND($G$36:$G$57,$C$36:$C$57,$C48))</f>
        <v/>
      </c>
      <c r="H48">
        <f>EXP(G48+$B$2*LN(E48))</f>
        <v/>
      </c>
      <c r="I48">
        <f>IFERROR(VLOOKUP($C48,Investment!$B$2:$C$9,2,FALSE),0)</f>
        <v/>
      </c>
      <c r="J48">
        <f>(1-$B$3)*J47+I48</f>
        <v/>
      </c>
      <c r="K48" s="19">
        <f>E48+J48</f>
        <v/>
      </c>
      <c r="L48">
        <f>EXP(G48+$B$2*LN(K48))</f>
        <v/>
      </c>
      <c r="M48">
        <f>IF(H48=0,"",L48/H48-1)</f>
        <v/>
      </c>
      <c r="N48">
        <f>IF(F48=0,"",F48*(1+M48))</f>
        <v/>
      </c>
      <c r="O48">
        <f>IF(N47=0,"",N48/N47-1)</f>
        <v/>
      </c>
    </row>
    <row r="49">
      <c r="C49" t="n">
        <v>2015</v>
      </c>
      <c r="D49">
        <f>IF(F49=0,"",E49/F49)</f>
        <v/>
      </c>
      <c r="E49" s="19">
        <f>IF($C49&lt;=2023,INDEX(PWT!$B$2:$B$35,MATCH($C49,PWT!$A$2:$A$35,0)),$E$34*F49)</f>
        <v/>
      </c>
      <c r="F49">
        <f>INDEX(WEO_Data!$C$8:$C$51,MATCH($C49,WEO_Data!$B$8:$B$51,0))</f>
        <v/>
      </c>
      <c r="G49">
        <f>IF($C49&lt;=2023,INDEX($L$6:$L$27,MATCH($C49,$C$6:$C$27,0)),TREND($G$36:$G$57,$C$36:$C$57,$C49))</f>
        <v/>
      </c>
      <c r="H49">
        <f>EXP(G49+$B$2*LN(E49))</f>
        <v/>
      </c>
      <c r="I49">
        <f>IFERROR(VLOOKUP($C49,Investment!$B$2:$C$9,2,FALSE),0)</f>
        <v/>
      </c>
      <c r="J49">
        <f>(1-$B$3)*J48+I49</f>
        <v/>
      </c>
      <c r="K49" s="19">
        <f>E49+J49</f>
        <v/>
      </c>
      <c r="L49">
        <f>EXP(G49+$B$2*LN(K49))</f>
        <v/>
      </c>
      <c r="M49">
        <f>IF(H49=0,"",L49/H49-1)</f>
        <v/>
      </c>
      <c r="N49">
        <f>IF(F49=0,"",F49*(1+M49))</f>
        <v/>
      </c>
      <c r="O49">
        <f>IF(N48=0,"",N49/N48-1)</f>
        <v/>
      </c>
    </row>
    <row r="50">
      <c r="C50" t="n">
        <v>2016</v>
      </c>
      <c r="D50">
        <f>IF(F50=0,"",E50/F50)</f>
        <v/>
      </c>
      <c r="E50" s="19">
        <f>IF($C50&lt;=2023,INDEX(PWT!$B$2:$B$35,MATCH($C50,PWT!$A$2:$A$35,0)),$E$34*F50)</f>
        <v/>
      </c>
      <c r="F50">
        <f>INDEX(WEO_Data!$C$8:$C$51,MATCH($C50,WEO_Data!$B$8:$B$51,0))</f>
        <v/>
      </c>
      <c r="G50">
        <f>IF($C50&lt;=2023,INDEX($L$6:$L$27,MATCH($C50,$C$6:$C$27,0)),TREND($G$36:$G$57,$C$36:$C$57,$C50))</f>
        <v/>
      </c>
      <c r="H50">
        <f>EXP(G50+$B$2*LN(E50))</f>
        <v/>
      </c>
      <c r="I50">
        <f>IFERROR(VLOOKUP($C50,Investment!$B$2:$C$9,2,FALSE),0)</f>
        <v/>
      </c>
      <c r="J50">
        <f>(1-$B$3)*J49+I50</f>
        <v/>
      </c>
      <c r="K50" s="19">
        <f>E50+J50</f>
        <v/>
      </c>
      <c r="L50">
        <f>EXP(G50+$B$2*LN(K50))</f>
        <v/>
      </c>
      <c r="M50">
        <f>IF(H50=0,"",L50/H50-1)</f>
        <v/>
      </c>
      <c r="N50">
        <f>IF(F50=0,"",F50*(1+M50))</f>
        <v/>
      </c>
      <c r="O50">
        <f>IF(N49=0,"",N50/N49-1)</f>
        <v/>
      </c>
    </row>
    <row r="51">
      <c r="C51" t="n">
        <v>2017</v>
      </c>
      <c r="D51">
        <f>IF(F51=0,"",E51/F51)</f>
        <v/>
      </c>
      <c r="E51" s="19">
        <f>IF($C51&lt;=2023,INDEX(PWT!$B$2:$B$35,MATCH($C51,PWT!$A$2:$A$35,0)),$E$34*F51)</f>
        <v/>
      </c>
      <c r="F51">
        <f>INDEX(WEO_Data!$C$8:$C$51,MATCH($C51,WEO_Data!$B$8:$B$51,0))</f>
        <v/>
      </c>
      <c r="G51">
        <f>IF($C51&lt;=2023,INDEX($L$6:$L$27,MATCH($C51,$C$6:$C$27,0)),TREND($G$36:$G$57,$C$36:$C$57,$C51))</f>
        <v/>
      </c>
      <c r="H51">
        <f>EXP(G51+$B$2*LN(E51))</f>
        <v/>
      </c>
      <c r="I51">
        <f>IFERROR(VLOOKUP($C51,Investment!$B$2:$C$9,2,FALSE),0)</f>
        <v/>
      </c>
      <c r="J51">
        <f>(1-$B$3)*J50+I51</f>
        <v/>
      </c>
      <c r="K51" s="19">
        <f>E51+J51</f>
        <v/>
      </c>
      <c r="L51">
        <f>EXP(G51+$B$2*LN(K51))</f>
        <v/>
      </c>
      <c r="M51">
        <f>IF(H51=0,"",L51/H51-1)</f>
        <v/>
      </c>
      <c r="N51">
        <f>IF(F51=0,"",F51*(1+M51))</f>
        <v/>
      </c>
      <c r="O51">
        <f>IF(N50=0,"",N51/N50-1)</f>
        <v/>
      </c>
    </row>
    <row r="52">
      <c r="C52" t="n">
        <v>2018</v>
      </c>
      <c r="D52">
        <f>IF(F52=0,"",E52/F52)</f>
        <v/>
      </c>
      <c r="E52" s="19">
        <f>IF($C52&lt;=2023,INDEX(PWT!$B$2:$B$35,MATCH($C52,PWT!$A$2:$A$35,0)),$E$34*F52)</f>
        <v/>
      </c>
      <c r="F52">
        <f>INDEX(WEO_Data!$C$8:$C$51,MATCH($C52,WEO_Data!$B$8:$B$51,0))</f>
        <v/>
      </c>
      <c r="G52">
        <f>IF($C52&lt;=2023,INDEX($L$6:$L$27,MATCH($C52,$C$6:$C$27,0)),TREND($G$36:$G$57,$C$36:$C$57,$C52))</f>
        <v/>
      </c>
      <c r="H52">
        <f>EXP(G52+$B$2*LN(E52))</f>
        <v/>
      </c>
      <c r="I52">
        <f>IFERROR(VLOOKUP($C52,Investment!$B$2:$C$9,2,FALSE),0)</f>
        <v/>
      </c>
      <c r="J52">
        <f>(1-$B$3)*J51+I52</f>
        <v/>
      </c>
      <c r="K52" s="19">
        <f>E52+J52</f>
        <v/>
      </c>
      <c r="L52">
        <f>EXP(G52+$B$2*LN(K52))</f>
        <v/>
      </c>
      <c r="M52">
        <f>IF(H52=0,"",L52/H52-1)</f>
        <v/>
      </c>
      <c r="N52">
        <f>IF(F52=0,"",F52*(1+M52))</f>
        <v/>
      </c>
      <c r="O52">
        <f>IF(N51=0,"",N52/N51-1)</f>
        <v/>
      </c>
    </row>
    <row r="53">
      <c r="C53" t="n">
        <v>2019</v>
      </c>
      <c r="D53">
        <f>IF(F53=0,"",E53/F53)</f>
        <v/>
      </c>
      <c r="E53" s="19">
        <f>IF($C53&lt;=2023,INDEX(PWT!$B$2:$B$35,MATCH($C53,PWT!$A$2:$A$35,0)),$E$34*F53)</f>
        <v/>
      </c>
      <c r="F53">
        <f>INDEX(WEO_Data!$C$8:$C$51,MATCH($C53,WEO_Data!$B$8:$B$51,0))</f>
        <v/>
      </c>
      <c r="G53">
        <f>IF($C53&lt;=2023,INDEX($L$6:$L$27,MATCH($C53,$C$6:$C$27,0)),TREND($G$36:$G$57,$C$36:$C$57,$C53))</f>
        <v/>
      </c>
      <c r="H53">
        <f>EXP(G53+$B$2*LN(E53))</f>
        <v/>
      </c>
      <c r="I53">
        <f>IFERROR(VLOOKUP($C53,Investment!$B$2:$C$9,2,FALSE),0)</f>
        <v/>
      </c>
      <c r="J53">
        <f>(1-$B$3)*J52+I53</f>
        <v/>
      </c>
      <c r="K53" s="19">
        <f>E53+J53</f>
        <v/>
      </c>
      <c r="L53">
        <f>EXP(G53+$B$2*LN(K53))</f>
        <v/>
      </c>
      <c r="M53">
        <f>IF(H53=0,"",L53/H53-1)</f>
        <v/>
      </c>
      <c r="N53">
        <f>IF(F53=0,"",F53*(1+M53))</f>
        <v/>
      </c>
      <c r="O53">
        <f>IF(N52=0,"",N53/N52-1)</f>
        <v/>
      </c>
    </row>
    <row r="54">
      <c r="C54" t="n">
        <v>2020</v>
      </c>
      <c r="D54">
        <f>IF(F54=0,"",E54/F54)</f>
        <v/>
      </c>
      <c r="E54" s="19">
        <f>IF($C54&lt;=2023,INDEX(PWT!$B$2:$B$35,MATCH($C54,PWT!$A$2:$A$35,0)),$E$34*F54)</f>
        <v/>
      </c>
      <c r="F54">
        <f>INDEX(WEO_Data!$C$8:$C$51,MATCH($C54,WEO_Data!$B$8:$B$51,0))</f>
        <v/>
      </c>
      <c r="G54">
        <f>IF($C54&lt;=2023,INDEX($L$6:$L$27,MATCH($C54,$C$6:$C$27,0)),TREND($G$36:$G$57,$C$36:$C$57,$C54))</f>
        <v/>
      </c>
      <c r="H54">
        <f>EXP(G54+$B$2*LN(E54))</f>
        <v/>
      </c>
      <c r="I54">
        <f>IFERROR(VLOOKUP($C54,Investment!$B$2:$C$9,2,FALSE),0)</f>
        <v/>
      </c>
      <c r="J54">
        <f>(1-$B$3)*J53+I54</f>
        <v/>
      </c>
      <c r="K54" s="19">
        <f>E54+J54</f>
        <v/>
      </c>
      <c r="L54">
        <f>EXP(G54+$B$2*LN(K54))</f>
        <v/>
      </c>
      <c r="M54">
        <f>IF(H54=0,"",L54/H54-1)</f>
        <v/>
      </c>
      <c r="N54">
        <f>IF(F54=0,"",F54*(1+M54))</f>
        <v/>
      </c>
      <c r="O54">
        <f>IF(N53=0,"",N54/N53-1)</f>
        <v/>
      </c>
    </row>
    <row r="55">
      <c r="C55" t="n">
        <v>2021</v>
      </c>
      <c r="D55">
        <f>IF(F55=0,"",E55/F55)</f>
        <v/>
      </c>
      <c r="E55" s="19">
        <f>IF($C55&lt;=2023,INDEX(PWT!$B$2:$B$35,MATCH($C55,PWT!$A$2:$A$35,0)),$E$34*F55)</f>
        <v/>
      </c>
      <c r="F55">
        <f>INDEX(WEO_Data!$C$8:$C$51,MATCH($C55,WEO_Data!$B$8:$B$51,0))</f>
        <v/>
      </c>
      <c r="G55">
        <f>IF($C55&lt;=2023,INDEX($L$6:$L$27,MATCH($C55,$C$6:$C$27,0)),TREND($G$36:$G$57,$C$36:$C$57,$C55))</f>
        <v/>
      </c>
      <c r="H55">
        <f>EXP(G55+$B$2*LN(E55))</f>
        <v/>
      </c>
      <c r="I55">
        <f>IFERROR(VLOOKUP($C55,Investment!$B$2:$C$9,2,FALSE),0)</f>
        <v/>
      </c>
      <c r="J55">
        <f>(1-$B$3)*J54+I55</f>
        <v/>
      </c>
      <c r="K55" s="19">
        <f>E55+J55</f>
        <v/>
      </c>
      <c r="L55">
        <f>EXP(G55+$B$2*LN(K55))</f>
        <v/>
      </c>
      <c r="M55">
        <f>IF(H55=0,"",L55/H55-1)</f>
        <v/>
      </c>
      <c r="N55">
        <f>IF(F55=0,"",F55*(1+M55))</f>
        <v/>
      </c>
      <c r="O55">
        <f>IF(N54=0,"",N55/N54-1)</f>
        <v/>
      </c>
    </row>
    <row r="56">
      <c r="C56" t="n">
        <v>2022</v>
      </c>
      <c r="D56">
        <f>IF(F56=0,"",E56/F56)</f>
        <v/>
      </c>
      <c r="E56" s="19">
        <f>IF($C56&lt;=2023,INDEX(PWT!$B$2:$B$35,MATCH($C56,PWT!$A$2:$A$35,0)),$E$34*F56)</f>
        <v/>
      </c>
      <c r="F56">
        <f>INDEX(WEO_Data!$C$8:$C$51,MATCH($C56,WEO_Data!$B$8:$B$51,0))</f>
        <v/>
      </c>
      <c r="G56">
        <f>IF($C56&lt;=2023,INDEX($L$6:$L$27,MATCH($C56,$C$6:$C$27,0)),TREND($G$36:$G$57,$C$36:$C$57,$C56))</f>
        <v/>
      </c>
      <c r="H56">
        <f>EXP(G56+$B$2*LN(E56))</f>
        <v/>
      </c>
      <c r="I56">
        <f>IFERROR(VLOOKUP($C56,Investment!$B$2:$C$9,2,FALSE),0)</f>
        <v/>
      </c>
      <c r="J56">
        <f>(1-$B$3)*J55+I56</f>
        <v/>
      </c>
      <c r="K56" s="19">
        <f>E56+J56</f>
        <v/>
      </c>
      <c r="L56">
        <f>EXP(G56+$B$2*LN(K56))</f>
        <v/>
      </c>
      <c r="M56">
        <f>IF(H56=0,"",L56/H56-1)</f>
        <v/>
      </c>
      <c r="N56">
        <f>IF(F56=0,"",F56*(1+M56))</f>
        <v/>
      </c>
      <c r="O56">
        <f>IF(N55=0,"",N56/N55-1)</f>
        <v/>
      </c>
    </row>
    <row r="57">
      <c r="C57" t="n">
        <v>2023</v>
      </c>
      <c r="D57">
        <f>IF(F57=0,"",E57/F57)</f>
        <v/>
      </c>
      <c r="E57" s="19">
        <f>IF($C57&lt;=2023,INDEX(PWT!$B$2:$B$35,MATCH($C57,PWT!$A$2:$A$35,0)),$E$34*F57)</f>
        <v/>
      </c>
      <c r="F57">
        <f>INDEX(WEO_Data!$C$8:$C$51,MATCH($C57,WEO_Data!$B$8:$B$51,0))</f>
        <v/>
      </c>
      <c r="G57">
        <f>IF($C57&lt;=2023,INDEX($L$6:$L$27,MATCH($C57,$C$6:$C$27,0)),TREND($G$36:$G$57,$C$36:$C$57,$C57))</f>
        <v/>
      </c>
      <c r="H57">
        <f>EXP(G57+$B$2*LN(E57))</f>
        <v/>
      </c>
      <c r="I57">
        <f>IFERROR(VLOOKUP($C57,Investment!$B$2:$C$9,2,FALSE),0)</f>
        <v/>
      </c>
      <c r="J57">
        <f>(1-$B$3)*J56+I57</f>
        <v/>
      </c>
      <c r="K57" s="19">
        <f>E57+J57</f>
        <v/>
      </c>
      <c r="L57">
        <f>EXP(G57+$B$2*LN(K57))</f>
        <v/>
      </c>
      <c r="M57">
        <f>IF(H57=0,"",L57/H57-1)</f>
        <v/>
      </c>
      <c r="N57">
        <f>IF(F57=0,"",F57*(1+M57))</f>
        <v/>
      </c>
      <c r="O57">
        <f>IF(N56=0,"",N57/N56-1)</f>
        <v/>
      </c>
    </row>
    <row r="58">
      <c r="C58" t="n">
        <v>2024</v>
      </c>
      <c r="D58">
        <f>IF(F58=0,"",E58/F58)</f>
        <v/>
      </c>
      <c r="E58" s="21">
        <f>IF($C58&lt;=2023,INDEX(PWT!$B$2:$B$35,MATCH($C58,PWT!$A$2:$A$35,0)),$E$34*F58)</f>
        <v/>
      </c>
      <c r="F58">
        <f>INDEX(WEO_Data!$C$8:$C$51,MATCH($C58,WEO_Data!$B$8:$B$51,0))</f>
        <v/>
      </c>
      <c r="G58" s="20">
        <f>IF($C58&lt;=2023,INDEX($L$6:$L$27,MATCH($C58,$C$6:$C$27,0)),TREND($G$36:$G$57,$C$36:$C$57,$C58))</f>
        <v/>
      </c>
      <c r="H58">
        <f>EXP(G58+$B$2*LN(E58))</f>
        <v/>
      </c>
      <c r="I58">
        <f>IFERROR(VLOOKUP($C58,Investment!$B$2:$C$9,2,FALSE),0)</f>
        <v/>
      </c>
      <c r="J58">
        <f>(1-$B$3)*J57+I58</f>
        <v/>
      </c>
      <c r="K58" s="19">
        <f>E58+J58</f>
        <v/>
      </c>
      <c r="L58">
        <f>EXP(G58+$B$2*LN(K58))</f>
        <v/>
      </c>
      <c r="M58">
        <f>IF(H58=0,"",L58/H58-1)</f>
        <v/>
      </c>
      <c r="N58">
        <f>IF(F58=0,"",F58*(1+M58))</f>
        <v/>
      </c>
      <c r="O58">
        <f>IF(N57=0,"",N58/N57-1)</f>
        <v/>
      </c>
    </row>
    <row r="59">
      <c r="C59" t="n">
        <v>2025</v>
      </c>
      <c r="D59">
        <f>IF(F59=0,"",E59/F59)</f>
        <v/>
      </c>
      <c r="E59" s="21">
        <f>IF($C59&lt;=2023,INDEX(PWT!$B$2:$B$35,MATCH($C59,PWT!$A$2:$A$35,0)),$E$34*F59)</f>
        <v/>
      </c>
      <c r="F59">
        <f>INDEX(WEO_Data!$C$8:$C$51,MATCH($C59,WEO_Data!$B$8:$B$51,0))</f>
        <v/>
      </c>
      <c r="G59" s="20">
        <f>IF($C59&lt;=2023,INDEX($L$6:$L$27,MATCH($C59,$C$6:$C$27,0)),TREND($G$36:$G$57,$C$36:$C$57,$C59))</f>
        <v/>
      </c>
      <c r="H59">
        <f>EXP(G59+$B$2*LN(E59))</f>
        <v/>
      </c>
      <c r="I59">
        <f>IFERROR(VLOOKUP($C59,Investment!$B$2:$C$9,2,FALSE),0)</f>
        <v/>
      </c>
      <c r="J59">
        <f>(1-$B$3)*J58+I59</f>
        <v/>
      </c>
      <c r="K59" s="19">
        <f>E59+J59</f>
        <v/>
      </c>
      <c r="L59">
        <f>EXP(G59+$B$2*LN(K59))</f>
        <v/>
      </c>
      <c r="M59">
        <f>IF(H59=0,"",L59/H59-1)</f>
        <v/>
      </c>
      <c r="N59">
        <f>IF(F59=0,"",F59*(1+M59))</f>
        <v/>
      </c>
      <c r="O59">
        <f>IF(N58=0,"",N59/N58-1)</f>
        <v/>
      </c>
    </row>
    <row r="60">
      <c r="C60" t="n">
        <v>2026</v>
      </c>
      <c r="D60">
        <f>IF(F60=0,"",E60/F60)</f>
        <v/>
      </c>
      <c r="E60" s="21">
        <f>IF($C60&lt;=2023,INDEX(PWT!$B$2:$B$35,MATCH($C60,PWT!$A$2:$A$35,0)),$E$34*F60)</f>
        <v/>
      </c>
      <c r="F60" s="20">
        <f>INDEX(WEO_Data!$C$8:$C$51,MATCH($C60,WEO_Data!$B$8:$B$51,0))</f>
        <v/>
      </c>
      <c r="G60" s="20">
        <f>IF($C60&lt;=2023,INDEX($L$6:$L$27,MATCH($C60,$C$6:$C$27,0)),TREND($G$36:$G$57,$C$36:$C$57,$C60))</f>
        <v/>
      </c>
      <c r="H60">
        <f>EXP(G60+$B$2*LN(E60))</f>
        <v/>
      </c>
      <c r="I60" s="17">
        <f>IFERROR(VLOOKUP($C60,Investment!$B$2:$C$9,2,FALSE),0)</f>
        <v/>
      </c>
      <c r="J60">
        <f>(1-$B$3)*J59+I60</f>
        <v/>
      </c>
      <c r="K60" s="19">
        <f>E60+J60</f>
        <v/>
      </c>
      <c r="L60">
        <f>EXP(G60+$B$2*LN(K60))</f>
        <v/>
      </c>
      <c r="M60">
        <f>IF(H60=0,"",L60/H60-1)</f>
        <v/>
      </c>
      <c r="N60">
        <f>IF(F60=0,"",F60*(1+M60))</f>
        <v/>
      </c>
      <c r="O60">
        <f>IF(N59=0,"",N60/N59-1)</f>
        <v/>
      </c>
    </row>
    <row r="61">
      <c r="C61" t="n">
        <v>2027</v>
      </c>
      <c r="D61">
        <f>IF(F61=0,"",E61/F61)</f>
        <v/>
      </c>
      <c r="E61" s="21">
        <f>IF($C61&lt;=2023,INDEX(PWT!$B$2:$B$35,MATCH($C61,PWT!$A$2:$A$35,0)),$E$34*F61)</f>
        <v/>
      </c>
      <c r="F61" s="20">
        <f>INDEX(WEO_Data!$C$8:$C$51,MATCH($C61,WEO_Data!$B$8:$B$51,0))</f>
        <v/>
      </c>
      <c r="G61" s="20">
        <f>IF($C61&lt;=2023,INDEX($L$6:$L$27,MATCH($C61,$C$6:$C$27,0)),TREND($G$36:$G$57,$C$36:$C$57,$C61))</f>
        <v/>
      </c>
      <c r="H61">
        <f>EXP(G61+$B$2*LN(E61))</f>
        <v/>
      </c>
      <c r="I61" s="17">
        <f>IFERROR(VLOOKUP($C61,Investment!$B$2:$C$9,2,FALSE),0)</f>
        <v/>
      </c>
      <c r="J61">
        <f>(1-$B$3)*J60+I61</f>
        <v/>
      </c>
      <c r="K61" s="19">
        <f>E61+J61</f>
        <v/>
      </c>
      <c r="L61">
        <f>EXP(G61+$B$2*LN(K61))</f>
        <v/>
      </c>
      <c r="M61">
        <f>IF(H61=0,"",L61/H61-1)</f>
        <v/>
      </c>
      <c r="N61">
        <f>IF(F61=0,"",F61*(1+M61))</f>
        <v/>
      </c>
      <c r="O61">
        <f>IF(N60=0,"",N61/N60-1)</f>
        <v/>
      </c>
    </row>
    <row r="62">
      <c r="C62" t="n">
        <v>2028</v>
      </c>
      <c r="D62">
        <f>IF(F62=0,"",E62/F62)</f>
        <v/>
      </c>
      <c r="E62" s="21">
        <f>IF($C62&lt;=2023,INDEX(PWT!$B$2:$B$35,MATCH($C62,PWT!$A$2:$A$35,0)),$E$34*F62)</f>
        <v/>
      </c>
      <c r="F62" s="20">
        <f>INDEX(WEO_Data!$C$8:$C$51,MATCH($C62,WEO_Data!$B$8:$B$51,0))</f>
        <v/>
      </c>
      <c r="G62" s="20">
        <f>IF($C62&lt;=2023,INDEX($L$6:$L$27,MATCH($C62,$C$6:$C$27,0)),TREND($G$36:$G$57,$C$36:$C$57,$C62))</f>
        <v/>
      </c>
      <c r="H62">
        <f>EXP(G62+$B$2*LN(E62))</f>
        <v/>
      </c>
      <c r="I62" s="17">
        <f>IFERROR(VLOOKUP($C62,Investment!$B$2:$C$9,2,FALSE),0)</f>
        <v/>
      </c>
      <c r="J62">
        <f>(1-$B$3)*J61+I62</f>
        <v/>
      </c>
      <c r="K62" s="19">
        <f>E62+J62</f>
        <v/>
      </c>
      <c r="L62">
        <f>EXP(G62+$B$2*LN(K62))</f>
        <v/>
      </c>
      <c r="M62">
        <f>IF(H62=0,"",L62/H62-1)</f>
        <v/>
      </c>
      <c r="N62">
        <f>IF(F62=0,"",F62*(1+M62))</f>
        <v/>
      </c>
      <c r="O62">
        <f>IF(N61=0,"",N62/N61-1)</f>
        <v/>
      </c>
    </row>
    <row r="63">
      <c r="C63" t="n">
        <v>2029</v>
      </c>
      <c r="D63">
        <f>IF(F63=0,"",E63/F63)</f>
        <v/>
      </c>
      <c r="E63" s="21">
        <f>IF($C63&lt;=2023,INDEX(PWT!$B$2:$B$35,MATCH($C63,PWT!$A$2:$A$35,0)),$E$34*F63)</f>
        <v/>
      </c>
      <c r="F63" s="20">
        <f>INDEX(WEO_Data!$C$8:$C$51,MATCH($C63,WEO_Data!$B$8:$B$51,0))</f>
        <v/>
      </c>
      <c r="G63" s="20">
        <f>IF($C63&lt;=2023,INDEX($L$6:$L$27,MATCH($C63,$C$6:$C$27,0)),TREND($G$36:$G$57,$C$36:$C$57,$C63))</f>
        <v/>
      </c>
      <c r="H63">
        <f>EXP(G63+$B$2*LN(E63))</f>
        <v/>
      </c>
      <c r="I63" s="17">
        <f>IFERROR(VLOOKUP($C63,Investment!$B$2:$C$9,2,FALSE),0)</f>
        <v/>
      </c>
      <c r="J63">
        <f>(1-$B$3)*J62+I63</f>
        <v/>
      </c>
      <c r="K63" s="19">
        <f>E63+J63</f>
        <v/>
      </c>
      <c r="L63">
        <f>EXP(G63+$B$2*LN(K63))</f>
        <v/>
      </c>
      <c r="M63">
        <f>IF(H63=0,"",L63/H63-1)</f>
        <v/>
      </c>
      <c r="N63">
        <f>IF(F63=0,"",F63*(1+M63))</f>
        <v/>
      </c>
      <c r="O63">
        <f>IF(N62=0,"",N63/N62-1)</f>
        <v/>
      </c>
    </row>
    <row r="64">
      <c r="C64" t="n">
        <v>2030</v>
      </c>
      <c r="D64">
        <f>IF(F64=0,"",E64/F64)</f>
        <v/>
      </c>
      <c r="E64" s="21">
        <f>IF($C64&lt;=2023,INDEX(PWT!$B$2:$B$35,MATCH($C64,PWT!$A$2:$A$35,0)),$E$34*F64)</f>
        <v/>
      </c>
      <c r="F64" s="20">
        <f>INDEX(WEO_Data!$C$8:$C$51,MATCH($C64,WEO_Data!$B$8:$B$51,0))</f>
        <v/>
      </c>
      <c r="G64" s="20">
        <f>IF($C64&lt;=2023,INDEX($L$6:$L$27,MATCH($C64,$C$6:$C$27,0)),TREND($G$36:$G$57,$C$36:$C$57,$C64))</f>
        <v/>
      </c>
      <c r="H64">
        <f>EXP(G64+$B$2*LN(E64))</f>
        <v/>
      </c>
      <c r="I64" s="17">
        <f>IFERROR(VLOOKUP($C64,Investment!$B$2:$C$9,2,FALSE),0)</f>
        <v/>
      </c>
      <c r="J64">
        <f>(1-$B$3)*J63+I64</f>
        <v/>
      </c>
      <c r="K64" s="19">
        <f>E64+J64</f>
        <v/>
      </c>
      <c r="L64">
        <f>EXP(G64+$B$2*LN(K64))</f>
        <v/>
      </c>
      <c r="M64">
        <f>IF(H64=0,"",L64/H64-1)</f>
        <v/>
      </c>
      <c r="N64">
        <f>IF(F64=0,"",F64*(1+M64))</f>
        <v/>
      </c>
      <c r="O64">
        <f>IF(N63=0,"",N64/N63-1)</f>
        <v/>
      </c>
    </row>
    <row r="65">
      <c r="C65" t="n">
        <v>2031</v>
      </c>
      <c r="D65">
        <f>IF(F65=0,"",E65/F65)</f>
        <v/>
      </c>
      <c r="E65" s="21">
        <f>IF($C65&lt;=2023,INDEX(PWT!$B$2:$B$35,MATCH($C65,PWT!$A$2:$A$35,0)),$E$34*F65)</f>
        <v/>
      </c>
      <c r="F65" s="20">
        <f>INDEX(WEO_Data!$C$8:$C$51,MATCH($C65,WEO_Data!$B$8:$B$51,0))</f>
        <v/>
      </c>
      <c r="G65" s="20">
        <f>IF($C65&lt;=2023,INDEX($L$6:$L$27,MATCH($C65,$C$6:$C$27,0)),TREND($G$36:$G$57,$C$36:$C$57,$C65))</f>
        <v/>
      </c>
      <c r="H65">
        <f>EXP(G65+$B$2*LN(E65))</f>
        <v/>
      </c>
      <c r="I65" s="17">
        <f>IFERROR(VLOOKUP($C65,Investment!$B$2:$C$9,2,FALSE),0)</f>
        <v/>
      </c>
      <c r="J65">
        <f>(1-$B$3)*J64+I65</f>
        <v/>
      </c>
      <c r="K65" s="19">
        <f>E65+J65</f>
        <v/>
      </c>
      <c r="L65">
        <f>EXP(G65+$B$2*LN(K65))</f>
        <v/>
      </c>
      <c r="M65">
        <f>IF(H65=0,"",L65/H65-1)</f>
        <v/>
      </c>
      <c r="N65">
        <f>IF(F65=0,"",F65*(1+M65))</f>
        <v/>
      </c>
      <c r="O65">
        <f>IF(N64=0,"",N65/N64-1)</f>
        <v/>
      </c>
    </row>
    <row r="66">
      <c r="C66" t="n">
        <v>2032</v>
      </c>
      <c r="D66">
        <f>IF(F66=0,"",E66/F66)</f>
        <v/>
      </c>
      <c r="E66" s="21">
        <f>IF($C66&lt;=2023,INDEX(PWT!$B$2:$B$35,MATCH($C66,PWT!$A$2:$A$35,0)),$E$34*F66)</f>
        <v/>
      </c>
      <c r="F66" s="20">
        <f>INDEX(WEO_Data!$C$8:$C$51,MATCH($C66,WEO_Data!$B$8:$B$51,0))</f>
        <v/>
      </c>
      <c r="G66" s="20">
        <f>IF($C66&lt;=2023,INDEX($L$6:$L$27,MATCH($C66,$C$6:$C$27,0)),TREND($G$36:$G$57,$C$36:$C$57,$C66))</f>
        <v/>
      </c>
      <c r="H66">
        <f>EXP(G66+$B$2*LN(E66))</f>
        <v/>
      </c>
      <c r="I66" s="17">
        <f>IFERROR(VLOOKUP($C66,Investment!$B$2:$C$9,2,FALSE),0)</f>
        <v/>
      </c>
      <c r="J66">
        <f>(1-$B$3)*J65+I66</f>
        <v/>
      </c>
      <c r="K66" s="19">
        <f>E66+J66</f>
        <v/>
      </c>
      <c r="L66">
        <f>EXP(G66+$B$2*LN(K66))</f>
        <v/>
      </c>
      <c r="M66">
        <f>IF(H66=0,"",L66/H66-1)</f>
        <v/>
      </c>
      <c r="N66">
        <f>IF(F66=0,"",F66*(1+M66))</f>
        <v/>
      </c>
      <c r="O66">
        <f>IF(N65=0,"",N66/N65-1)</f>
        <v/>
      </c>
    </row>
    <row r="67">
      <c r="C67" t="n">
        <v>2033</v>
      </c>
      <c r="D67">
        <f>IF(F67=0,"",E67/F67)</f>
        <v/>
      </c>
      <c r="E67" s="21">
        <f>IF($C67&lt;=2023,INDEX(PWT!$B$2:$B$35,MATCH($C67,PWT!$A$2:$A$35,0)),$E$34*F67)</f>
        <v/>
      </c>
      <c r="F67" s="20">
        <f>INDEX(WEO_Data!$C$8:$C$51,MATCH($C67,WEO_Data!$B$8:$B$51,0))</f>
        <v/>
      </c>
      <c r="G67" s="20">
        <f>IF($C67&lt;=2023,INDEX($L$6:$L$27,MATCH($C67,$C$6:$C$27,0)),TREND($G$36:$G$57,$C$36:$C$57,$C67))</f>
        <v/>
      </c>
      <c r="H67">
        <f>EXP(G67+$B$2*LN(E67))</f>
        <v/>
      </c>
      <c r="I67" s="17">
        <f>IFERROR(VLOOKUP($C67,Investment!$B$2:$C$9,2,FALSE),0)</f>
        <v/>
      </c>
      <c r="J67">
        <f>(1-$B$3)*J66+I67</f>
        <v/>
      </c>
      <c r="K67" s="19">
        <f>E67+J67</f>
        <v/>
      </c>
      <c r="L67">
        <f>EXP(G67+$B$2*LN(K67))</f>
        <v/>
      </c>
      <c r="M67">
        <f>IF(H67=0,"",L67/H67-1)</f>
        <v/>
      </c>
      <c r="N67">
        <f>IF(F67=0,"",F67*(1+M67))</f>
        <v/>
      </c>
      <c r="O67">
        <f>IF(N66=0,"",N67/N66-1)</f>
        <v/>
      </c>
    </row>
    <row r="68">
      <c r="C68" t="n">
        <v>2034</v>
      </c>
      <c r="D68">
        <f>IF(F68=0,"",E68/F68)</f>
        <v/>
      </c>
      <c r="E68" s="21">
        <f>IF($C68&lt;=2023,INDEX(PWT!$B$2:$B$35,MATCH($C68,PWT!$A$2:$A$35,0)),$E$34*F68)</f>
        <v/>
      </c>
      <c r="F68" s="20">
        <f>INDEX(WEO_Data!$C$8:$C$51,MATCH($C68,WEO_Data!$B$8:$B$51,0))</f>
        <v/>
      </c>
      <c r="G68" s="20">
        <f>IF($C68&lt;=2023,INDEX($L$6:$L$27,MATCH($C68,$C$6:$C$27,0)),TREND($G$36:$G$57,$C$36:$C$57,$C68))</f>
        <v/>
      </c>
      <c r="H68">
        <f>EXP(G68+$B$2*LN(E68))</f>
        <v/>
      </c>
      <c r="I68">
        <f>IFERROR(VLOOKUP($C68,Investment!$B$2:$C$9,2,FALSE),0)</f>
        <v/>
      </c>
      <c r="J68">
        <f>(1-$B$3)*J67+I68</f>
        <v/>
      </c>
      <c r="K68" s="19">
        <f>E68+J68</f>
        <v/>
      </c>
      <c r="L68">
        <f>EXP(G68+$B$2*LN(K68))</f>
        <v/>
      </c>
      <c r="M68">
        <f>IF(H68=0,"",L68/H68-1)</f>
        <v/>
      </c>
      <c r="N68">
        <f>IF(F68=0,"",F68*(1+M68))</f>
        <v/>
      </c>
      <c r="O68">
        <f>IF(N67=0,"",N68/N67-1)</f>
        <v/>
      </c>
    </row>
    <row r="69">
      <c r="C69" t="n">
        <v>2035</v>
      </c>
      <c r="D69">
        <f>IF(F69=0,"",E69/F69)</f>
        <v/>
      </c>
      <c r="E69" s="21">
        <f>IF($C69&lt;=2023,INDEX(PWT!$B$2:$B$35,MATCH($C69,PWT!$A$2:$A$35,0)),$E$34*F69)</f>
        <v/>
      </c>
      <c r="F69" s="20">
        <f>INDEX(WEO_Data!$C$8:$C$51,MATCH($C69,WEO_Data!$B$8:$B$51,0))</f>
        <v/>
      </c>
      <c r="G69" s="20">
        <f>IF($C69&lt;=2023,INDEX($L$6:$L$27,MATCH($C69,$C$6:$C$27,0)),TREND($G$36:$G$57,$C$36:$C$57,$C69))</f>
        <v/>
      </c>
      <c r="H69">
        <f>EXP(G69+$B$2*LN(E69))</f>
        <v/>
      </c>
      <c r="I69">
        <f>IFERROR(VLOOKUP($C69,Investment!$B$2:$C$9,2,FALSE),0)</f>
        <v/>
      </c>
      <c r="J69">
        <f>(1-$B$3)*J68+I69</f>
        <v/>
      </c>
      <c r="K69" s="19">
        <f>E69+J69</f>
        <v/>
      </c>
      <c r="L69">
        <f>EXP(G69+$B$2*LN(K69))</f>
        <v/>
      </c>
      <c r="M69">
        <f>IF(H69=0,"",L69/H69-1)</f>
        <v/>
      </c>
      <c r="N69">
        <f>IF(F69=0,"",F69*(1+M69))</f>
        <v/>
      </c>
      <c r="O69">
        <f>IF(N68=0,"",N69/N68-1)</f>
        <v/>
      </c>
    </row>
    <row r="70">
      <c r="C70" t="n">
        <v>2036</v>
      </c>
      <c r="D70">
        <f>IF(F70=0,"",E70/F70)</f>
        <v/>
      </c>
      <c r="E70" s="21">
        <f>IF($C70&lt;=2023,INDEX(PWT!$B$2:$B$35,MATCH($C70,PWT!$A$2:$A$35,0)),$E$34*F70)</f>
        <v/>
      </c>
      <c r="F70" s="20">
        <f>INDEX(WEO_Data!$C$8:$C$51,MATCH($C70,WEO_Data!$B$8:$B$51,0))</f>
        <v/>
      </c>
      <c r="G70" s="20">
        <f>IF($C70&lt;=2023,INDEX($L$6:$L$27,MATCH($C70,$C$6:$C$27,0)),TREND($G$36:$G$57,$C$36:$C$57,$C70))</f>
        <v/>
      </c>
      <c r="H70">
        <f>EXP(G70+$B$2*LN(E70))</f>
        <v/>
      </c>
      <c r="I70">
        <f>IFERROR(VLOOKUP($C70,Investment!$B$2:$C$9,2,FALSE),0)</f>
        <v/>
      </c>
      <c r="J70">
        <f>(1-$B$3)*J69+I70</f>
        <v/>
      </c>
      <c r="K70" s="19">
        <f>E70+J70</f>
        <v/>
      </c>
      <c r="L70">
        <f>EXP(G70+$B$2*LN(K70))</f>
        <v/>
      </c>
      <c r="M70">
        <f>IF(H70=0,"",L70/H70-1)</f>
        <v/>
      </c>
      <c r="N70">
        <f>IF(F70=0,"",F70*(1+M70))</f>
        <v/>
      </c>
      <c r="O70">
        <f>IF(N69=0,"",N70/N69-1)</f>
        <v/>
      </c>
    </row>
    <row r="71">
      <c r="C71" t="n">
        <v>2037</v>
      </c>
      <c r="D71">
        <f>IF(F71=0,"",E71/F71)</f>
        <v/>
      </c>
      <c r="E71" s="21">
        <f>IF($C71&lt;=2023,INDEX(PWT!$B$2:$B$35,MATCH($C71,PWT!$A$2:$A$35,0)),$E$34*F71)</f>
        <v/>
      </c>
      <c r="F71" s="20">
        <f>INDEX(WEO_Data!$C$8:$C$51,MATCH($C71,WEO_Data!$B$8:$B$51,0))</f>
        <v/>
      </c>
      <c r="G71" s="20">
        <f>IF($C71&lt;=2023,INDEX($L$6:$L$27,MATCH($C71,$C$6:$C$27,0)),TREND($G$36:$G$57,$C$36:$C$57,$C71))</f>
        <v/>
      </c>
      <c r="H71">
        <f>EXP(G71+$B$2*LN(E71))</f>
        <v/>
      </c>
      <c r="I71">
        <f>IFERROR(VLOOKUP($C71,Investment!$B$2:$C$9,2,FALSE),0)</f>
        <v/>
      </c>
      <c r="J71">
        <f>(1-$B$3)*J70+I71</f>
        <v/>
      </c>
      <c r="K71" s="19">
        <f>E71+J71</f>
        <v/>
      </c>
      <c r="L71">
        <f>EXP(G71+$B$2*LN(K71))</f>
        <v/>
      </c>
      <c r="M71">
        <f>IF(H71=0,"",L71/H71-1)</f>
        <v/>
      </c>
      <c r="N71">
        <f>IF(F71=0,"",F71*(1+M71))</f>
        <v/>
      </c>
      <c r="O71">
        <f>IF(N70=0,"",N71/N70-1)</f>
        <v/>
      </c>
    </row>
    <row r="72">
      <c r="C72" t="n">
        <v>2038</v>
      </c>
      <c r="D72">
        <f>IF(F72=0,"",E72/F72)</f>
        <v/>
      </c>
      <c r="E72" s="21">
        <f>IF($C72&lt;=2023,INDEX(PWT!$B$2:$B$35,MATCH($C72,PWT!$A$2:$A$35,0)),$E$34*F72)</f>
        <v/>
      </c>
      <c r="F72" s="20">
        <f>INDEX(WEO_Data!$C$8:$C$51,MATCH($C72,WEO_Data!$B$8:$B$51,0))</f>
        <v/>
      </c>
      <c r="G72" s="20">
        <f>IF($C72&lt;=2023,INDEX($L$6:$L$27,MATCH($C72,$C$6:$C$27,0)),TREND($G$36:$G$57,$C$36:$C$57,$C72))</f>
        <v/>
      </c>
      <c r="H72">
        <f>EXP(G72+$B$2*LN(E72))</f>
        <v/>
      </c>
      <c r="I72">
        <f>IFERROR(VLOOKUP($C72,Investment!$B$2:$C$9,2,FALSE),0)</f>
        <v/>
      </c>
      <c r="J72">
        <f>(1-$B$3)*J71+I72</f>
        <v/>
      </c>
      <c r="K72" s="19">
        <f>E72+J72</f>
        <v/>
      </c>
      <c r="L72">
        <f>EXP(G72+$B$2*LN(K72))</f>
        <v/>
      </c>
      <c r="M72">
        <f>IF(H72=0,"",L72/H72-1)</f>
        <v/>
      </c>
      <c r="N72">
        <f>IF(F72=0,"",F72*(1+M72))</f>
        <v/>
      </c>
      <c r="O72">
        <f>IF(N71=0,"",N72/N71-1)</f>
        <v/>
      </c>
    </row>
    <row r="73">
      <c r="C73" t="n">
        <v>2039</v>
      </c>
      <c r="D73">
        <f>IF(F73=0,"",E73/F73)</f>
        <v/>
      </c>
      <c r="E73" s="21">
        <f>IF($C73&lt;=2023,INDEX(PWT!$B$2:$B$35,MATCH($C73,PWT!$A$2:$A$35,0)),$E$34*F73)</f>
        <v/>
      </c>
      <c r="F73" s="20">
        <f>INDEX(WEO_Data!$C$8:$C$51,MATCH($C73,WEO_Data!$B$8:$B$51,0))</f>
        <v/>
      </c>
      <c r="G73" s="20">
        <f>IF($C73&lt;=2023,INDEX($L$6:$L$27,MATCH($C73,$C$6:$C$27,0)),TREND($G$36:$G$57,$C$36:$C$57,$C73))</f>
        <v/>
      </c>
      <c r="H73">
        <f>EXP(G73+$B$2*LN(E73))</f>
        <v/>
      </c>
      <c r="I73">
        <f>IFERROR(VLOOKUP($C73,Investment!$B$2:$C$9,2,FALSE),0)</f>
        <v/>
      </c>
      <c r="J73">
        <f>(1-$B$3)*J72+I73</f>
        <v/>
      </c>
      <c r="K73" s="19">
        <f>E73+J73</f>
        <v/>
      </c>
      <c r="L73">
        <f>EXP(G73+$B$2*LN(K73))</f>
        <v/>
      </c>
      <c r="M73">
        <f>IF(H73=0,"",L73/H73-1)</f>
        <v/>
      </c>
      <c r="N73">
        <f>IF(F73=0,"",F73*(1+M73))</f>
        <v/>
      </c>
      <c r="O73">
        <f>IF(N72=0,"",N73/N72-1)</f>
        <v/>
      </c>
    </row>
    <row r="74">
      <c r="C74" t="n">
        <v>2040</v>
      </c>
      <c r="D74">
        <f>IF(F74=0,"",E74/F74)</f>
        <v/>
      </c>
      <c r="E74" s="21">
        <f>IF($C74&lt;=2023,INDEX(PWT!$B$2:$B$35,MATCH($C74,PWT!$A$2:$A$35,0)),$E$34*F74)</f>
        <v/>
      </c>
      <c r="F74" s="20">
        <f>INDEX(WEO_Data!$C$8:$C$51,MATCH($C74,WEO_Data!$B$8:$B$51,0))</f>
        <v/>
      </c>
      <c r="G74" s="20">
        <f>IF($C74&lt;=2023,INDEX($L$6:$L$27,MATCH($C74,$C$6:$C$27,0)),TREND($G$36:$G$57,$C$36:$C$57,$C74))</f>
        <v/>
      </c>
      <c r="H74">
        <f>EXP(G74+$B$2*LN(E74))</f>
        <v/>
      </c>
      <c r="I74">
        <f>IFERROR(VLOOKUP($C74,Investment!$B$2:$C$9,2,FALSE),0)</f>
        <v/>
      </c>
      <c r="J74">
        <f>(1-$B$3)*J73+I74</f>
        <v/>
      </c>
      <c r="K74" s="19">
        <f>E74+J74</f>
        <v/>
      </c>
      <c r="L74">
        <f>EXP(G74+$B$2*LN(K74))</f>
        <v/>
      </c>
      <c r="M74">
        <f>IF(H74=0,"",L74/H74-1)</f>
        <v/>
      </c>
      <c r="N74">
        <f>IF(F74=0,"",F74*(1+M74))</f>
        <v/>
      </c>
      <c r="O74">
        <f>IF(N73=0,"",N74/N73-1)</f>
        <v/>
      </c>
    </row>
    <row r="75">
      <c r="C75" t="n">
        <v>2041</v>
      </c>
      <c r="D75">
        <f>IF(F75=0,"",E75/F75)</f>
        <v/>
      </c>
      <c r="E75" s="21">
        <f>IF($C75&lt;=2023,INDEX(PWT!$B$2:$B$35,MATCH($C75,PWT!$A$2:$A$35,0)),$E$34*F75)</f>
        <v/>
      </c>
      <c r="F75" s="20">
        <f>INDEX(WEO_Data!$C$8:$C$51,MATCH($C75,WEO_Data!$B$8:$B$51,0))</f>
        <v/>
      </c>
      <c r="G75" s="20">
        <f>IF($C75&lt;=2023,INDEX($L$6:$L$27,MATCH($C75,$C$6:$C$27,0)),TREND($G$36:$G$57,$C$36:$C$57,$C75))</f>
        <v/>
      </c>
      <c r="H75">
        <f>EXP(G75+$B$2*LN(E75))</f>
        <v/>
      </c>
      <c r="I75">
        <f>IFERROR(VLOOKUP($C75,Investment!$B$2:$C$9,2,FALSE),0)</f>
        <v/>
      </c>
      <c r="J75">
        <f>(1-$B$3)*J74+I75</f>
        <v/>
      </c>
      <c r="K75" s="19">
        <f>E75+J75</f>
        <v/>
      </c>
      <c r="L75">
        <f>EXP(G75+$B$2*LN(K75))</f>
        <v/>
      </c>
      <c r="M75">
        <f>IF(H75=0,"",L75/H75-1)</f>
        <v/>
      </c>
      <c r="N75">
        <f>IF(F75=0,"",F75*(1+M75))</f>
        <v/>
      </c>
      <c r="O75">
        <f>IF(N74=0,"",N75/N74-1)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304515091.7602</v>
      </c>
      <c r="D2" s="19">
        <f>INDEX(PWT!$B$2:$B$35,MATCH(B2,PWT!$A$2:$A$35,0))</f>
        <v/>
      </c>
      <c r="E2">
        <f>IFERROR(C2/D2,"")</f>
        <v/>
      </c>
    </row>
    <row r="3">
      <c r="A3" s="18" t="n">
        <v>35795</v>
      </c>
      <c r="B3" t="n">
        <v>1997</v>
      </c>
      <c r="C3" t="n">
        <v>383641663.608596</v>
      </c>
      <c r="D3" s="19">
        <f>INDEX(PWT!$B$2:$B$35,MATCH(B3,PWT!$A$2:$A$35,0))</f>
        <v/>
      </c>
      <c r="E3">
        <f>IFERROR(C3/D3,"")</f>
        <v/>
      </c>
    </row>
    <row r="4">
      <c r="A4" s="18" t="n">
        <v>36160</v>
      </c>
      <c r="B4" t="n">
        <v>1998</v>
      </c>
      <c r="C4" t="n">
        <v>516397121.222809</v>
      </c>
      <c r="D4" s="19">
        <f>INDEX(PWT!$B$2:$B$35,MATCH(B4,PWT!$A$2:$A$35,0))</f>
        <v/>
      </c>
      <c r="E4">
        <f>IFERROR(C4/D4,"")</f>
        <v/>
      </c>
    </row>
    <row r="5">
      <c r="A5" s="18" t="n">
        <v>36525</v>
      </c>
      <c r="B5" t="n">
        <v>1999</v>
      </c>
      <c r="C5" t="n">
        <v>661603834.429231</v>
      </c>
      <c r="D5" s="19">
        <f>INDEX(PWT!$B$2:$B$35,MATCH(B5,PWT!$A$2:$A$35,0))</f>
        <v/>
      </c>
      <c r="E5">
        <f>IFERROR(C5/D5,"")</f>
        <v/>
      </c>
    </row>
    <row r="6">
      <c r="A6" s="18" t="n">
        <v>36891</v>
      </c>
      <c r="B6" t="n">
        <v>2000</v>
      </c>
      <c r="C6" t="n">
        <v>631701000.88782</v>
      </c>
      <c r="D6" s="19">
        <f>INDEX(PWT!$B$2:$B$35,MATCH(B6,PWT!$A$2:$A$35,0))</f>
        <v/>
      </c>
      <c r="E6">
        <f>IFERROR(C6/D6,"")</f>
        <v/>
      </c>
    </row>
    <row r="7">
      <c r="A7" s="18" t="n">
        <v>37256</v>
      </c>
      <c r="B7" t="n">
        <v>2001</v>
      </c>
      <c r="C7" t="n">
        <v>706983726.789065</v>
      </c>
      <c r="D7" s="19">
        <f>INDEX(PWT!$B$2:$B$35,MATCH(B7,PWT!$A$2:$A$35,0))</f>
        <v/>
      </c>
      <c r="E7">
        <f>IFERROR(C7/D7,"")</f>
        <v/>
      </c>
    </row>
    <row r="8">
      <c r="A8" s="18" t="n">
        <v>37621</v>
      </c>
      <c r="B8" t="n">
        <v>2002</v>
      </c>
      <c r="C8" t="n">
        <v>790112565.198609</v>
      </c>
      <c r="D8" s="19">
        <f>INDEX(PWT!$B$2:$B$35,MATCH(B8,PWT!$A$2:$A$35,0))</f>
        <v/>
      </c>
      <c r="E8">
        <f>IFERROR(C8/D8,"")</f>
        <v/>
      </c>
    </row>
    <row r="9">
      <c r="A9" s="18" t="n">
        <v>37986</v>
      </c>
      <c r="B9" t="n">
        <v>2003</v>
      </c>
      <c r="C9" t="n">
        <v>932916219.671159</v>
      </c>
      <c r="D9" s="19">
        <f>INDEX(PWT!$B$2:$B$35,MATCH(B9,PWT!$A$2:$A$35,0))</f>
        <v/>
      </c>
      <c r="E9">
        <f>IFERROR(C9/D9,"")</f>
        <v/>
      </c>
    </row>
    <row r="10">
      <c r="A10" s="18" t="n">
        <v>38352</v>
      </c>
      <c r="B10" t="n">
        <v>2004</v>
      </c>
      <c r="C10" t="n">
        <v>976818537.799271</v>
      </c>
      <c r="D10" s="19">
        <f>INDEX(PWT!$B$2:$B$35,MATCH(B10,PWT!$A$2:$A$35,0))</f>
        <v/>
      </c>
      <c r="E10">
        <f>IFERROR(C10/D10,"")</f>
        <v/>
      </c>
    </row>
    <row r="11">
      <c r="A11" s="18" t="n">
        <v>38717</v>
      </c>
      <c r="B11" t="n">
        <v>2005</v>
      </c>
      <c r="C11" t="n">
        <v>1113450058.59263</v>
      </c>
      <c r="D11" s="19">
        <f>INDEX(PWT!$B$2:$B$35,MATCH(B11,PWT!$A$2:$A$35,0))</f>
        <v/>
      </c>
      <c r="E11">
        <f>IFERROR(C11/D11,"")</f>
        <v/>
      </c>
    </row>
    <row r="12">
      <c r="A12" s="18" t="n">
        <v>39082</v>
      </c>
      <c r="B12" t="n">
        <v>2006</v>
      </c>
      <c r="C12" t="n">
        <v>1306373084.13224</v>
      </c>
      <c r="D12" s="19">
        <f>INDEX(PWT!$B$2:$B$35,MATCH(B12,PWT!$A$2:$A$35,0))</f>
        <v/>
      </c>
      <c r="E12">
        <f>IFERROR(C12/D12,"")</f>
        <v/>
      </c>
    </row>
    <row r="13">
      <c r="A13" s="18" t="n">
        <v>39447</v>
      </c>
      <c r="B13" t="n">
        <v>2007</v>
      </c>
      <c r="C13" t="n">
        <v>1617029966.25711</v>
      </c>
      <c r="D13" s="19">
        <f>INDEX(PWT!$B$2:$B$35,MATCH(B13,PWT!$A$2:$A$35,0))</f>
        <v/>
      </c>
      <c r="E13">
        <f>IFERROR(C13/D13,"")</f>
        <v/>
      </c>
    </row>
    <row r="14">
      <c r="A14" s="18" t="n">
        <v>39813</v>
      </c>
      <c r="B14" t="n">
        <v>2008</v>
      </c>
      <c r="C14" t="n">
        <v>1758049267.6717</v>
      </c>
      <c r="D14" s="19">
        <f>INDEX(PWT!$B$2:$B$35,MATCH(B14,PWT!$A$2:$A$35,0))</f>
        <v/>
      </c>
      <c r="E14">
        <f>IFERROR(C14/D14,"")</f>
        <v/>
      </c>
    </row>
    <row r="15">
      <c r="A15" s="18" t="n">
        <v>40178</v>
      </c>
      <c r="B15" t="n">
        <v>2009</v>
      </c>
      <c r="C15" t="n">
        <v>1751366684.88131</v>
      </c>
      <c r="D15" s="19">
        <f>INDEX(PWT!$B$2:$B$35,MATCH(B15,PWT!$A$2:$A$35,0))</f>
        <v/>
      </c>
      <c r="E15">
        <f>IFERROR(C15/D15,"")</f>
        <v/>
      </c>
    </row>
    <row r="16">
      <c r="A16" s="18" t="n">
        <v>40543</v>
      </c>
      <c r="B16" t="n">
        <v>2010</v>
      </c>
      <c r="C16" t="n">
        <v>2046413234.66733</v>
      </c>
      <c r="D16" s="19">
        <f>INDEX(PWT!$B$2:$B$35,MATCH(B16,PWT!$A$2:$A$35,0))</f>
        <v/>
      </c>
      <c r="E16">
        <f>IFERROR(C16/D16,"")</f>
        <v/>
      </c>
    </row>
    <row r="17">
      <c r="A17" s="18" t="n">
        <v>40908</v>
      </c>
      <c r="B17" t="n">
        <v>2011</v>
      </c>
      <c r="C17" t="n">
        <v>2350512405.90543</v>
      </c>
      <c r="D17" s="19">
        <f>INDEX(PWT!$B$2:$B$35,MATCH(B17,PWT!$A$2:$A$35,0))</f>
        <v/>
      </c>
      <c r="E17">
        <f>IFERROR(C17/D17,"")</f>
        <v/>
      </c>
    </row>
    <row r="18">
      <c r="A18" s="18" t="n">
        <v>41274</v>
      </c>
      <c r="B18" t="n">
        <v>2012</v>
      </c>
      <c r="C18" t="n">
        <v>2643602887.96874</v>
      </c>
      <c r="D18" s="19">
        <f>INDEX(PWT!$B$2:$B$35,MATCH(B18,PWT!$A$2:$A$35,0))</f>
        <v/>
      </c>
      <c r="E18">
        <f>IFERROR(C18/D18,"")</f>
        <v/>
      </c>
    </row>
    <row r="19">
      <c r="A19" s="18" t="n">
        <v>41639</v>
      </c>
      <c r="B19" t="n">
        <v>2013</v>
      </c>
      <c r="C19" t="n">
        <v>1555932152.31816</v>
      </c>
      <c r="D19" s="19">
        <f>INDEX(PWT!$B$2:$B$35,MATCH(B19,PWT!$A$2:$A$35,0))</f>
        <v/>
      </c>
      <c r="E19">
        <f>IFERROR(C19/D19,"")</f>
        <v/>
      </c>
    </row>
    <row r="20">
      <c r="A20" s="18" t="n">
        <v>42004</v>
      </c>
      <c r="B20" t="n">
        <v>2014</v>
      </c>
      <c r="C20" t="n">
        <v>2984890468.6878</v>
      </c>
      <c r="D20" s="19">
        <f>INDEX(PWT!$B$2:$B$35,MATCH(B20,PWT!$A$2:$A$35,0))</f>
        <v/>
      </c>
      <c r="E20">
        <f>IFERROR(C20/D20,"")</f>
        <v/>
      </c>
    </row>
    <row r="21">
      <c r="A21" s="18" t="n">
        <v>42369</v>
      </c>
      <c r="B21" t="n">
        <v>2015</v>
      </c>
      <c r="C21" t="n">
        <v>3657280672.54249</v>
      </c>
      <c r="D21" s="19">
        <f>INDEX(PWT!$B$2:$B$35,MATCH(B21,PWT!$A$2:$A$35,0))</f>
        <v/>
      </c>
      <c r="E21">
        <f>IFERROR(C21/D21,"")</f>
        <v/>
      </c>
    </row>
    <row r="22">
      <c r="A22" s="18" t="n">
        <v>42735</v>
      </c>
      <c r="B22" t="n">
        <v>2016</v>
      </c>
      <c r="C22" t="n">
        <v>4004828719.85304</v>
      </c>
      <c r="D22" s="19">
        <f>INDEX(PWT!$B$2:$B$35,MATCH(B22,PWT!$A$2:$A$35,0))</f>
        <v/>
      </c>
      <c r="E22">
        <f>IFERROR(C22/D22,"")</f>
        <v/>
      </c>
    </row>
    <row r="23">
      <c r="A23" s="18" t="n">
        <v>43100</v>
      </c>
      <c r="B23" t="n">
        <v>2017</v>
      </c>
      <c r="C23" t="n">
        <v>4492921334.90825</v>
      </c>
      <c r="D23" s="19">
        <f>INDEX(PWT!$B$2:$B$35,MATCH(B23,PWT!$A$2:$A$35,0))</f>
        <v/>
      </c>
      <c r="E23">
        <f>IFERROR(C23/D23,"")</f>
        <v/>
      </c>
    </row>
    <row r="24">
      <c r="A24" s="18" t="n">
        <v>43465</v>
      </c>
      <c r="B24" t="n">
        <v>2018</v>
      </c>
      <c r="C24" t="n">
        <v>4843616440.28627</v>
      </c>
      <c r="D24" s="19">
        <f>INDEX(PWT!$B$2:$B$35,MATCH(B24,PWT!$A$2:$A$35,0))</f>
        <v/>
      </c>
      <c r="E24">
        <f>IFERROR(C24/D24,"")</f>
        <v/>
      </c>
    </row>
    <row r="25">
      <c r="A25" s="18" t="n">
        <v>43830</v>
      </c>
      <c r="B25" t="n">
        <v>2019</v>
      </c>
      <c r="C25" t="n">
        <v>5452957379.35004</v>
      </c>
      <c r="D25" s="19">
        <f>INDEX(PWT!$B$2:$B$35,MATCH(B25,PWT!$A$2:$A$35,0))</f>
        <v/>
      </c>
      <c r="E25">
        <f>IFERROR(C25/D25,"")</f>
        <v/>
      </c>
    </row>
    <row r="26">
      <c r="A26" s="18" t="n">
        <v>44196</v>
      </c>
      <c r="B26" t="n">
        <v>2020</v>
      </c>
      <c r="C26" t="n">
        <v>6152769261.61805</v>
      </c>
      <c r="D26" s="19">
        <f>INDEX(PWT!$B$2:$B$35,MATCH(B26,PWT!$A$2:$A$35,0))</f>
        <v/>
      </c>
      <c r="E26">
        <f>IFERROR(C26/D26,"")</f>
        <v/>
      </c>
    </row>
    <row r="27">
      <c r="A27" s="18" t="n">
        <v>44561</v>
      </c>
      <c r="B27" t="n">
        <v>2021</v>
      </c>
      <c r="C27" t="n">
        <v>7072625348.89823</v>
      </c>
      <c r="D27" s="19">
        <f>INDEX(PWT!$B$2:$B$35,MATCH(B27,PWT!$A$2:$A$35,0))</f>
        <v/>
      </c>
      <c r="E27">
        <f>IFERROR(C27/D27,"")</f>
        <v/>
      </c>
    </row>
    <row r="28">
      <c r="A28" s="18" t="n">
        <v>44926</v>
      </c>
      <c r="B28" t="n">
        <v>2022</v>
      </c>
      <c r="C28" t="n">
        <v>7661448474.88107</v>
      </c>
      <c r="D28" s="19">
        <f>INDEX(PWT!$B$2:$B$35,MATCH(B28,PWT!$A$2:$A$35,0))</f>
        <v/>
      </c>
      <c r="E28">
        <f>IFERROR(C28/D28,"")</f>
        <v/>
      </c>
    </row>
    <row r="29">
      <c r="A29" s="18" t="n">
        <v>45291</v>
      </c>
      <c r="B29" t="n">
        <v>2023</v>
      </c>
      <c r="C29" t="n">
        <v>9410657843.71035</v>
      </c>
      <c r="D29" s="19">
        <f>INDEX(PWT!$B$2:$B$35,MATCH(B29,PWT!$A$2:$A$35,0))</f>
        <v/>
      </c>
      <c r="E29">
        <f>IFERROR(C29/D29,"")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  <c r="C1" t="inlineStr">
        <is>
          <t>rkna</t>
        </is>
      </c>
    </row>
    <row r="2">
      <c r="A2" s="19" t="n">
        <v>1990</v>
      </c>
      <c r="B2" s="19" t="n">
        <v>333953.90625</v>
      </c>
    </row>
    <row r="3">
      <c r="A3" s="19" t="n">
        <v>1991</v>
      </c>
      <c r="B3" s="19" t="n">
        <v>336800.125</v>
      </c>
    </row>
    <row r="4">
      <c r="A4" s="19" t="n">
        <v>1992</v>
      </c>
      <c r="B4" s="19" t="n">
        <v>331575.34375</v>
      </c>
    </row>
    <row r="5">
      <c r="A5" s="19" t="n">
        <v>1993</v>
      </c>
      <c r="B5" s="19" t="n">
        <v>318977.5625</v>
      </c>
    </row>
    <row r="6">
      <c r="A6" s="19" t="n">
        <v>1994</v>
      </c>
      <c r="B6" s="19" t="n">
        <v>310557.21875</v>
      </c>
      <c r="C6" t="n">
        <v>0.693819880485535</v>
      </c>
    </row>
    <row r="7">
      <c r="A7" s="19" t="n">
        <v>1995</v>
      </c>
      <c r="B7" s="19" t="n">
        <v>305633.28125</v>
      </c>
      <c r="C7" t="n">
        <v>0.663533091545105</v>
      </c>
    </row>
    <row r="8">
      <c r="A8" s="19" t="n">
        <v>1996</v>
      </c>
      <c r="B8" s="19" t="n">
        <v>301706.46875</v>
      </c>
      <c r="C8" t="n">
        <v>0.646936058998108</v>
      </c>
    </row>
    <row r="9">
      <c r="A9" s="19" t="n">
        <v>1997</v>
      </c>
      <c r="B9" s="19" t="n">
        <v>298764.625</v>
      </c>
      <c r="C9" t="n">
        <v>0.636244714260101</v>
      </c>
    </row>
    <row r="10">
      <c r="A10" s="19" t="n">
        <v>1998</v>
      </c>
      <c r="B10" s="19" t="n">
        <v>298990.5</v>
      </c>
      <c r="C10" t="n">
        <v>0.639280378818512</v>
      </c>
    </row>
    <row r="11">
      <c r="A11" s="19" t="n">
        <v>1999</v>
      </c>
      <c r="B11" s="19" t="n">
        <v>299754.78125</v>
      </c>
      <c r="C11" t="n">
        <v>0.643343687057495</v>
      </c>
    </row>
    <row r="12">
      <c r="A12" s="19" t="n">
        <v>2000</v>
      </c>
      <c r="B12" s="19" t="n">
        <v>300383.3125</v>
      </c>
      <c r="C12" t="n">
        <v>0.645317256450653</v>
      </c>
    </row>
    <row r="13">
      <c r="A13" s="19" t="n">
        <v>2001</v>
      </c>
      <c r="B13" s="19" t="n">
        <v>302284.0625</v>
      </c>
      <c r="C13" t="n">
        <v>0.650818169116974</v>
      </c>
    </row>
    <row r="14">
      <c r="A14" s="19" t="n">
        <v>2002</v>
      </c>
      <c r="B14" s="19" t="n">
        <v>303592.625</v>
      </c>
      <c r="C14" t="n">
        <v>0.651715517044067</v>
      </c>
    </row>
    <row r="15">
      <c r="A15" s="19" t="n">
        <v>2003</v>
      </c>
      <c r="B15" s="19" t="n">
        <v>307310.28125</v>
      </c>
      <c r="C15" t="n">
        <v>0.658994793891907</v>
      </c>
    </row>
    <row r="16">
      <c r="A16" s="19" t="n">
        <v>2004</v>
      </c>
      <c r="B16" s="19" t="n">
        <v>311984.28125</v>
      </c>
      <c r="C16" t="n">
        <v>0.676426887512207</v>
      </c>
    </row>
    <row r="17">
      <c r="A17" s="19" t="n">
        <v>2005</v>
      </c>
      <c r="B17" s="19" t="n">
        <v>317837.8125</v>
      </c>
      <c r="C17" t="n">
        <v>0.697964012622833</v>
      </c>
    </row>
    <row r="18">
      <c r="A18" s="19" t="n">
        <v>2006</v>
      </c>
      <c r="B18" s="19" t="n">
        <v>322943.65625</v>
      </c>
      <c r="C18" t="n">
        <v>0.720032036304474</v>
      </c>
    </row>
    <row r="19">
      <c r="A19" s="19" t="n">
        <v>2007</v>
      </c>
      <c r="B19" s="19" t="n">
        <v>329445.875</v>
      </c>
      <c r="C19" t="n">
        <v>0.74526309967041</v>
      </c>
    </row>
    <row r="20">
      <c r="A20" s="19" t="n">
        <v>2008</v>
      </c>
      <c r="B20" s="19" t="n">
        <v>332604.46875</v>
      </c>
      <c r="C20" t="n">
        <v>0.759231209754944</v>
      </c>
    </row>
    <row r="21">
      <c r="A21" s="19" t="n">
        <v>2009</v>
      </c>
      <c r="B21" s="19" t="n">
        <v>330608.28125</v>
      </c>
      <c r="C21" t="n">
        <v>0.752109229564667</v>
      </c>
    </row>
    <row r="22">
      <c r="A22" s="19" t="n">
        <v>2010</v>
      </c>
      <c r="B22" s="19" t="n">
        <v>332551.53125</v>
      </c>
      <c r="C22" t="n">
        <v>0.7580080628395079</v>
      </c>
    </row>
    <row r="23">
      <c r="A23" s="19" t="n">
        <v>2011</v>
      </c>
      <c r="B23" s="19" t="n">
        <v>336560.28125</v>
      </c>
      <c r="C23" t="n">
        <v>0.7690709233284</v>
      </c>
    </row>
    <row r="24">
      <c r="A24" s="19" t="n">
        <v>2012</v>
      </c>
      <c r="B24" s="19" t="n">
        <v>341471.1875</v>
      </c>
      <c r="C24" t="n">
        <v>0.782711386680603</v>
      </c>
    </row>
    <row r="25">
      <c r="A25" s="19" t="n">
        <v>2013</v>
      </c>
      <c r="B25" s="19" t="n">
        <v>344239.03125</v>
      </c>
      <c r="C25" t="n">
        <v>0.79158365726471</v>
      </c>
    </row>
    <row r="26">
      <c r="A26" s="19" t="n">
        <v>2014</v>
      </c>
      <c r="B26" s="19" t="n">
        <v>350962.15625</v>
      </c>
      <c r="C26" t="n">
        <v>0.812366306781769</v>
      </c>
    </row>
    <row r="27">
      <c r="A27" s="19" t="n">
        <v>2015</v>
      </c>
      <c r="B27" s="19" t="n">
        <v>360259.8125</v>
      </c>
      <c r="C27" t="n">
        <v>0.841849863529205</v>
      </c>
    </row>
    <row r="28">
      <c r="A28" s="19" t="n">
        <v>2016</v>
      </c>
      <c r="B28" s="19" t="n">
        <v>370547.65625</v>
      </c>
      <c r="C28" t="n">
        <v>0.875286102294922</v>
      </c>
    </row>
    <row r="29">
      <c r="A29" s="19" t="n">
        <v>2017</v>
      </c>
      <c r="B29" s="19" t="n">
        <v>380655.78125</v>
      </c>
      <c r="C29" t="n">
        <v>0.909835457801819</v>
      </c>
    </row>
    <row r="30">
      <c r="A30" s="19" t="n">
        <v>2018</v>
      </c>
      <c r="B30" s="19" t="n">
        <v>390625.1875</v>
      </c>
      <c r="C30" t="n">
        <v>0.938847839832306</v>
      </c>
    </row>
    <row r="31">
      <c r="A31" s="19" t="n">
        <v>2019</v>
      </c>
      <c r="B31" s="19" t="n">
        <v>399934.28125</v>
      </c>
      <c r="C31" t="n">
        <v>0.970234096050263</v>
      </c>
    </row>
    <row r="32">
      <c r="A32" s="19" t="n">
        <v>2020</v>
      </c>
      <c r="B32" s="19" t="n">
        <v>405156.15625</v>
      </c>
      <c r="C32" t="n">
        <v>0.9879248142242431</v>
      </c>
    </row>
    <row r="33">
      <c r="A33" s="19" t="n">
        <v>2021</v>
      </c>
      <c r="B33" s="19" t="n">
        <v>409189.75</v>
      </c>
      <c r="C33" t="n">
        <v>1</v>
      </c>
    </row>
    <row r="34">
      <c r="A34" s="19" t="n">
        <v>2022</v>
      </c>
      <c r="B34" s="19" t="n">
        <v>415085.84375</v>
      </c>
      <c r="C34" t="n">
        <v>1.01787507534027</v>
      </c>
    </row>
    <row r="35">
      <c r="A35" s="19" t="n">
        <v>2023</v>
      </c>
      <c r="B35" s="19" t="n">
        <v>426190.5</v>
      </c>
      <c r="C35" t="n">
        <v>1.05426597595215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16.963</v>
      </c>
      <c r="D8" t="n">
        <v>1.865</v>
      </c>
    </row>
    <row r="9">
      <c r="B9" t="n">
        <v>2001</v>
      </c>
      <c r="C9" t="n">
        <v>17.772</v>
      </c>
      <c r="D9" t="n">
        <v>4.769</v>
      </c>
    </row>
    <row r="10">
      <c r="B10" t="n">
        <v>2002</v>
      </c>
      <c r="C10" t="n">
        <v>18.747</v>
      </c>
      <c r="D10" t="n">
        <v>5.487</v>
      </c>
    </row>
    <row r="11">
      <c r="B11" t="n">
        <v>2003</v>
      </c>
      <c r="C11" t="n">
        <v>20.852</v>
      </c>
      <c r="D11" t="n">
        <v>11.228</v>
      </c>
    </row>
    <row r="12">
      <c r="B12" t="n">
        <v>2004</v>
      </c>
      <c r="C12" t="n">
        <v>22.061</v>
      </c>
      <c r="D12" t="n">
        <v>5.796</v>
      </c>
    </row>
    <row r="13">
      <c r="B13" t="n">
        <v>2005</v>
      </c>
      <c r="C13" t="n">
        <v>24.176</v>
      </c>
      <c r="D13" t="n">
        <v>9.587999999999999</v>
      </c>
    </row>
    <row r="14">
      <c r="B14" t="n">
        <v>2006</v>
      </c>
      <c r="C14" t="n">
        <v>26.454</v>
      </c>
      <c r="D14" t="n">
        <v>9.42</v>
      </c>
    </row>
    <row r="15">
      <c r="B15" t="n">
        <v>2007</v>
      </c>
      <c r="C15" t="n">
        <v>29.781</v>
      </c>
      <c r="D15" t="n">
        <v>12.579</v>
      </c>
    </row>
    <row r="16">
      <c r="B16" t="n">
        <v>2008</v>
      </c>
      <c r="C16" t="n">
        <v>30.502</v>
      </c>
      <c r="D16" t="n">
        <v>2.419</v>
      </c>
    </row>
    <row r="17">
      <c r="B17" t="n">
        <v>2009</v>
      </c>
      <c r="C17" t="n">
        <v>29.388</v>
      </c>
      <c r="D17" t="n">
        <v>-3.651</v>
      </c>
    </row>
    <row r="18">
      <c r="B18" t="n">
        <v>2010</v>
      </c>
      <c r="C18" t="n">
        <v>31.428</v>
      </c>
      <c r="D18" t="n">
        <v>6.942</v>
      </c>
    </row>
    <row r="19">
      <c r="B19" t="n">
        <v>2011</v>
      </c>
      <c r="C19" t="n">
        <v>33.927</v>
      </c>
      <c r="D19" t="n">
        <v>7.949</v>
      </c>
    </row>
    <row r="20">
      <c r="B20" t="n">
        <v>2012</v>
      </c>
      <c r="C20" t="n">
        <v>36.159</v>
      </c>
      <c r="D20" t="n">
        <v>6.579</v>
      </c>
    </row>
    <row r="21">
      <c r="B21" t="n">
        <v>2013</v>
      </c>
      <c r="C21" t="n">
        <v>38.015</v>
      </c>
      <c r="D21" t="n">
        <v>5.134</v>
      </c>
    </row>
    <row r="22">
      <c r="B22" t="n">
        <v>2014</v>
      </c>
      <c r="C22" t="n">
        <v>39.57</v>
      </c>
      <c r="D22" t="n">
        <v>4.091</v>
      </c>
    </row>
    <row r="23">
      <c r="B23" t="n">
        <v>2015</v>
      </c>
      <c r="C23" t="n">
        <v>40.896</v>
      </c>
      <c r="D23" t="n">
        <v>3.351</v>
      </c>
    </row>
    <row r="24">
      <c r="B24" t="n">
        <v>2016</v>
      </c>
      <c r="C24" t="n">
        <v>42.307</v>
      </c>
      <c r="D24" t="n">
        <v>3.45</v>
      </c>
    </row>
    <row r="25">
      <c r="B25" t="n">
        <v>2017</v>
      </c>
      <c r="C25" t="n">
        <v>44.49</v>
      </c>
      <c r="D25" t="n">
        <v>5.161</v>
      </c>
    </row>
    <row r="26">
      <c r="B26" t="n">
        <v>2018</v>
      </c>
      <c r="C26" t="n">
        <v>47.187</v>
      </c>
      <c r="D26" t="n">
        <v>6.062</v>
      </c>
    </row>
    <row r="27">
      <c r="B27" t="n">
        <v>2019</v>
      </c>
      <c r="C27" t="n">
        <v>49.726</v>
      </c>
      <c r="D27" t="n">
        <v>5.38</v>
      </c>
    </row>
    <row r="28">
      <c r="B28" t="n">
        <v>2020</v>
      </c>
      <c r="C28" t="n">
        <v>46.598</v>
      </c>
      <c r="D28" t="n">
        <v>-6.291</v>
      </c>
    </row>
    <row r="29">
      <c r="B29" t="n">
        <v>2021</v>
      </c>
      <c r="C29" t="n">
        <v>51.558</v>
      </c>
      <c r="D29" t="n">
        <v>10.644</v>
      </c>
    </row>
    <row r="30">
      <c r="B30" t="n">
        <v>2022</v>
      </c>
      <c r="C30" t="n">
        <v>57.208</v>
      </c>
      <c r="D30" t="n">
        <v>10.96</v>
      </c>
    </row>
    <row r="31">
      <c r="B31" t="n">
        <v>2023</v>
      </c>
      <c r="C31" t="n">
        <v>61.689</v>
      </c>
      <c r="D31" t="n">
        <v>7.832</v>
      </c>
    </row>
    <row r="32">
      <c r="B32" t="n">
        <v>2024</v>
      </c>
      <c r="C32" t="n">
        <v>67.505</v>
      </c>
      <c r="D32" t="n">
        <v>9.429</v>
      </c>
    </row>
    <row r="33">
      <c r="B33" t="n">
        <v>2025</v>
      </c>
      <c r="C33" t="n">
        <v>71.54000000000001</v>
      </c>
      <c r="D33" t="n">
        <v>5.977</v>
      </c>
    </row>
    <row r="34">
      <c r="B34" t="n">
        <v>2026</v>
      </c>
      <c r="C34" t="n">
        <v>75.117</v>
      </c>
      <c r="D34" t="n">
        <v>5</v>
      </c>
    </row>
    <row r="35">
      <c r="B35" t="n">
        <v>2027</v>
      </c>
      <c r="C35" t="n">
        <v>78.873</v>
      </c>
      <c r="D35" t="n">
        <v>5</v>
      </c>
    </row>
    <row r="36">
      <c r="B36" t="n">
        <v>2028</v>
      </c>
      <c r="C36">
        <f>C35*(1+D36/100)</f>
        <v/>
      </c>
      <c r="D36">
        <f>D35</f>
        <v/>
      </c>
    </row>
    <row r="37">
      <c r="B37" t="n">
        <v>2029</v>
      </c>
      <c r="C37">
        <f>C36*(1+D37/100)</f>
        <v/>
      </c>
      <c r="D37">
        <f>D35</f>
        <v/>
      </c>
    </row>
    <row r="38">
      <c r="B38" t="n">
        <v>2030</v>
      </c>
      <c r="C38">
        <f>C37*(1+D38/100)</f>
        <v/>
      </c>
      <c r="D38">
        <f>D35</f>
        <v/>
      </c>
    </row>
    <row r="39">
      <c r="B39" t="n">
        <v>2031</v>
      </c>
      <c r="C39">
        <f>C38*(1+D39/100)</f>
        <v/>
      </c>
      <c r="D39">
        <f>D35</f>
        <v/>
      </c>
    </row>
    <row r="40">
      <c r="B40" t="n">
        <v>2032</v>
      </c>
      <c r="C40">
        <f>C39*(1+D40/100)</f>
        <v/>
      </c>
      <c r="D40">
        <f>D35</f>
        <v/>
      </c>
    </row>
    <row r="41">
      <c r="B41" t="n">
        <v>2033</v>
      </c>
      <c r="C41">
        <f>C40*(1+D41/100)</f>
        <v/>
      </c>
      <c r="D41">
        <f>D35</f>
        <v/>
      </c>
    </row>
    <row r="42">
      <c r="B42" t="n">
        <v>2034</v>
      </c>
      <c r="C42">
        <f>C41*(1+D42/100)</f>
        <v/>
      </c>
      <c r="D42">
        <f>D35</f>
        <v/>
      </c>
    </row>
    <row r="43">
      <c r="B43" t="n">
        <v>2035</v>
      </c>
      <c r="C43">
        <f>C42*(1+D43/100)</f>
        <v/>
      </c>
      <c r="D43">
        <f>D35</f>
        <v/>
      </c>
    </row>
    <row r="44">
      <c r="B44" t="n">
        <v>2036</v>
      </c>
      <c r="C44">
        <f>C43*(1+D44/100)</f>
        <v/>
      </c>
      <c r="D44">
        <f>D35</f>
        <v/>
      </c>
    </row>
    <row r="45">
      <c r="B45" t="n">
        <v>2037</v>
      </c>
      <c r="C45">
        <f>C44*(1+D45/100)</f>
        <v/>
      </c>
      <c r="D45">
        <f>D35</f>
        <v/>
      </c>
    </row>
    <row r="46">
      <c r="B46" t="n">
        <v>2038</v>
      </c>
      <c r="C46">
        <f>C45*(1+D46/100)</f>
        <v/>
      </c>
      <c r="D46">
        <f>D35</f>
        <v/>
      </c>
    </row>
    <row r="47">
      <c r="B47" t="n">
        <v>2039</v>
      </c>
      <c r="C47">
        <f>C46*(1+D47/100)</f>
        <v/>
      </c>
      <c r="D47">
        <f>D35</f>
        <v/>
      </c>
    </row>
    <row r="48">
      <c r="B48" t="n">
        <v>2040</v>
      </c>
      <c r="C48">
        <f>C47*(1+D48/100)</f>
        <v/>
      </c>
      <c r="D48">
        <f>D35</f>
        <v/>
      </c>
    </row>
    <row r="49">
      <c r="B49" t="n">
        <v>2041</v>
      </c>
      <c r="C49">
        <f>C48*(1+D49/100)</f>
        <v/>
      </c>
      <c r="D49">
        <f>D35</f>
        <v/>
      </c>
    </row>
    <row r="50">
      <c r="B50" t="n">
        <v>2042</v>
      </c>
      <c r="C50">
        <f>C49*(1+D50/100)</f>
        <v/>
      </c>
      <c r="D50">
        <f>D35</f>
        <v/>
      </c>
    </row>
    <row r="51">
      <c r="B51" t="n">
        <v>2043</v>
      </c>
      <c r="C51">
        <f>C50*(1+D51/100)</f>
        <v/>
      </c>
      <c r="D51">
        <f>D35</f>
        <v/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2026-01-29T04:08:08Z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