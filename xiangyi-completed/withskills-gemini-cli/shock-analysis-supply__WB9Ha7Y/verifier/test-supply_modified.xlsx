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33120" windowHeight="18000" tabRatio="600" firstSheet="0" activeTab="0" autoFilterDateGrouping="1"/>
  </bookViews>
  <sheets>
    <sheet name="Production" sheetId="1" state="visible" r:id="rId1"/>
    <sheet name="Investment" sheetId="2" state="visible" r:id="rId2"/>
    <sheet name="CFC data" sheetId="3" state="visible" r:id="rId3"/>
    <sheet name="PWT" sheetId="4" state="visible" r:id="rId4"/>
    <sheet name="WEO_Data" sheetId="5" state="visible" r:id="rId5"/>
  </sheets>
  <definedNames>
    <definedName name="solver_adj" localSheetId="0" hidden="1">Production!$L$6:$L$27</definedName>
    <definedName name="solver_cvg" localSheetId="0" hidden="1">0.0001</definedName>
    <definedName name="solver_drv" localSheetId="0" hidden="1">2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Production!$P$5</definedName>
    <definedName name="solver_pre" localSheetId="0" hidden="1">0.000001</definedName>
    <definedName name="solver_rbv" localSheetId="0" hidden="1">2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Arial"/>
      <family val="2"/>
      <color theme="1"/>
      <sz val="10"/>
    </font>
    <font>
      <name val="Arial"/>
      <family val="2"/>
      <color rgb="FFFF0000"/>
      <sz val="10"/>
    </font>
    <font>
      <name val="Arial"/>
      <family val="2"/>
      <b val="1"/>
      <color theme="1"/>
      <sz val="10"/>
    </font>
    <font>
      <name val="Arial"/>
      <family val="2"/>
      <b val="1"/>
      <color theme="7"/>
      <sz val="10"/>
    </font>
    <font>
      <name val="Arial"/>
      <family val="2"/>
      <sz val="10"/>
    </font>
    <font>
      <name val="Aptos Narrow"/>
      <family val="2"/>
      <color theme="1"/>
      <sz val="11"/>
      <scheme val="minor"/>
    </font>
    <font>
      <name val="Calibri"/>
      <charset val="1"/>
      <family val="2"/>
      <color theme="1"/>
      <sz val="12"/>
    </font>
  </fonts>
  <fills count="4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0" fontId="5" fillId="0" borderId="0"/>
    <xf numFmtId="0" fontId="4" fillId="0" borderId="0"/>
    <xf numFmtId="43" fontId="5" fillId="0" borderId="0"/>
    <xf numFmtId="0" fontId="6" fillId="0" borderId="0"/>
  </cellStyleXfs>
  <cellXfs count="22">
    <xf numFmtId="0" fontId="0" fillId="0" borderId="0" pivotButton="0" quotePrefix="0" xfId="0"/>
    <xf numFmtId="0" fontId="3" fillId="2" borderId="1" pivotButton="0" quotePrefix="0" xfId="0"/>
    <xf numFmtId="0" fontId="0" fillId="2" borderId="2" pivotButton="0" quotePrefix="0" xfId="0"/>
    <xf numFmtId="0" fontId="0" fillId="2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3" borderId="9" pivotButton="0" quotePrefix="0" xfId="0"/>
    <xf numFmtId="0" fontId="0" fillId="3" borderId="10" pivotButton="0" quotePrefix="0" xfId="0"/>
    <xf numFmtId="0" fontId="0" fillId="3" borderId="11" pivotButton="0" quotePrefix="0" xfId="0"/>
    <xf numFmtId="0" fontId="2" fillId="2" borderId="2" pivotButton="0" quotePrefix="0" xfId="0"/>
    <xf numFmtId="0" fontId="1" fillId="0" borderId="3" pivotButton="0" quotePrefix="0" xfId="0"/>
    <xf numFmtId="0" fontId="0" fillId="0" borderId="1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2" borderId="0" pivotButton="0" quotePrefix="0" xfId="0"/>
    <xf numFmtId="14" fontId="0" fillId="0" borderId="0" pivotButton="0" quotePrefix="0" xfId="0"/>
    <xf numFmtId="1" fontId="0" fillId="0" borderId="0" pivotButton="0" quotePrefix="0" xfId="0"/>
    <xf numFmtId="0" fontId="0" fillId="3" borderId="0" pivotButton="0" quotePrefix="0" xfId="0"/>
    <xf numFmtId="1" fontId="0" fillId="3" borderId="0" pivotButton="0" quotePrefix="0" xfId="0"/>
  </cellXfs>
  <cellStyles count="5">
    <cellStyle name="Normal" xfId="0" builtinId="0"/>
    <cellStyle name="Normal 2" xfId="1"/>
    <cellStyle name="Style 1" xfId="2"/>
    <cellStyle name="Comma 2" xfId="3"/>
    <cellStyle name="Normal 2 2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5"/>
  <sheetViews>
    <sheetView tabSelected="1" zoomScale="80" zoomScaleNormal="80" workbookViewId="0">
      <selection activeCell="S26" sqref="S26"/>
    </sheetView>
  </sheetViews>
  <sheetFormatPr baseColWidth="8" defaultRowHeight="12.45"/>
  <cols>
    <col width="21.3828125" customWidth="1" min="1" max="1"/>
    <col width="12.69140625" customWidth="1" min="27" max="27"/>
  </cols>
  <sheetData>
    <row r="1">
      <c r="A1" s="1" t="inlineStr">
        <is>
          <t>Assumption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>
      <c r="A2" s="4" t="inlineStr">
        <is>
          <t>capital's share</t>
        </is>
      </c>
      <c r="B2" t="n">
        <v>0.35</v>
      </c>
      <c r="I2" s="5" t="n"/>
    </row>
    <row r="3">
      <c r="A3" s="6" t="inlineStr">
        <is>
          <t>annual depreciation rate</t>
        </is>
      </c>
      <c r="B3" s="7">
        <f>AVERAGE('CFC data'!E18:E25)</f>
        <v/>
      </c>
      <c r="C3" s="7" t="n"/>
      <c r="D3" s="7" t="n"/>
      <c r="E3" s="7" t="n"/>
      <c r="F3" s="7" t="n"/>
      <c r="G3" s="7" t="n"/>
      <c r="H3" s="7" t="n"/>
      <c r="I3" s="8" t="n"/>
    </row>
    <row r="4">
      <c r="B4" t="n">
        <v>7.011939180014434</v>
      </c>
      <c r="K4" s="9" t="inlineStr">
        <is>
          <t>HP Filter</t>
        </is>
      </c>
      <c r="L4" s="10" t="n"/>
      <c r="M4" s="10" t="n"/>
      <c r="N4" s="11" t="n"/>
    </row>
    <row r="5">
      <c r="D5" t="inlineStr">
        <is>
          <t>K</t>
        </is>
      </c>
      <c r="E5" t="inlineStr">
        <is>
          <t>Real GDP</t>
        </is>
      </c>
      <c r="F5" t="inlineStr">
        <is>
          <t>LnK</t>
        </is>
      </c>
      <c r="G5" t="inlineStr">
        <is>
          <t>LnY</t>
        </is>
      </c>
      <c r="K5" s="4" t="inlineStr">
        <is>
          <t>LnZ</t>
        </is>
      </c>
      <c r="L5" t="inlineStr">
        <is>
          <t>LnZ_HP</t>
        </is>
      </c>
      <c r="M5" t="inlineStr">
        <is>
          <t>Second-order difference</t>
        </is>
      </c>
      <c r="N5" s="5" t="inlineStr">
        <is>
          <t>LnA-Trend(Check)</t>
        </is>
      </c>
      <c r="O5" s="12" t="inlineStr">
        <is>
          <t>objective</t>
        </is>
      </c>
      <c r="P5" s="13">
        <f>SUMSQ(N6:N27) + 100*SUMSQ(M6:M27)</f>
        <v/>
      </c>
    </row>
    <row r="6">
      <c r="C6" t="n">
        <v>2002</v>
      </c>
      <c r="D6" s="19">
        <f>'CFC data'!D4</f>
        <v/>
      </c>
      <c r="E6">
        <f>'WEO_Data'!B4</f>
        <v/>
      </c>
      <c r="F6">
        <f>LN(D6)</f>
        <v/>
      </c>
      <c r="G6">
        <f>LN(E6)</f>
        <v/>
      </c>
      <c r="K6" s="4">
        <f>G6-$B$1*F6</f>
        <v/>
      </c>
      <c r="L6" t="n">
        <v>5.605443862452869</v>
      </c>
      <c r="M6" t="n">
        <v>0</v>
      </c>
      <c r="N6" s="5">
        <f>K6-L6</f>
        <v/>
      </c>
    </row>
    <row r="7">
      <c r="C7" t="n">
        <v>2003</v>
      </c>
      <c r="D7" s="19">
        <f>'CFC data'!D5</f>
        <v/>
      </c>
      <c r="E7">
        <f>'WEO_Data'!B5</f>
        <v/>
      </c>
      <c r="F7">
        <f>LN(D7)</f>
        <v/>
      </c>
      <c r="G7">
        <f>LN(E7)</f>
        <v/>
      </c>
      <c r="K7" s="4">
        <f>G7-$B$1*F7</f>
        <v/>
      </c>
      <c r="L7" t="n">
        <v>5.648985208428657</v>
      </c>
      <c r="M7" t="n">
        <v>0</v>
      </c>
      <c r="N7" s="5">
        <f>K7-L7</f>
        <v/>
      </c>
    </row>
    <row r="8">
      <c r="C8" t="n">
        <v>2004</v>
      </c>
      <c r="D8" s="19">
        <f>'CFC data'!D6</f>
        <v/>
      </c>
      <c r="E8">
        <f>'WEO_Data'!B6</f>
        <v/>
      </c>
      <c r="F8">
        <f>LN(D8)</f>
        <v/>
      </c>
      <c r="G8">
        <f>LN(E8)</f>
        <v/>
      </c>
      <c r="K8" s="4">
        <f>G8-$B$1*F8</f>
        <v/>
      </c>
      <c r="L8" t="n">
        <v>5.692161886142422</v>
      </c>
      <c r="M8">
        <f>L8-2*L7+L6</f>
        <v/>
      </c>
      <c r="N8" s="5">
        <f>K8-L8</f>
        <v/>
      </c>
    </row>
    <row r="9">
      <c r="C9" t="n">
        <v>2005</v>
      </c>
      <c r="D9" s="19">
        <f>'CFC data'!D7</f>
        <v/>
      </c>
      <c r="E9">
        <f>'WEO_Data'!B7</f>
        <v/>
      </c>
      <c r="F9">
        <f>LN(D9)</f>
        <v/>
      </c>
      <c r="G9">
        <f>LN(E9)</f>
        <v/>
      </c>
      <c r="K9" s="4">
        <f>G9-$B$1*F9</f>
        <v/>
      </c>
      <c r="L9" t="n">
        <v>5.734493338929632</v>
      </c>
      <c r="M9">
        <f>L9-2*L8+L7</f>
        <v/>
      </c>
      <c r="N9" s="5">
        <f>K9-L9</f>
        <v/>
      </c>
    </row>
    <row r="10">
      <c r="C10" t="n">
        <v>2006</v>
      </c>
      <c r="D10" s="19">
        <f>'CFC data'!D8</f>
        <v/>
      </c>
      <c r="E10">
        <f>'WEO_Data'!B8</f>
        <v/>
      </c>
      <c r="F10">
        <f>LN(D10)</f>
        <v/>
      </c>
      <c r="G10">
        <f>LN(E10)</f>
        <v/>
      </c>
      <c r="K10" s="4">
        <f>G10-$B$1*F10</f>
        <v/>
      </c>
      <c r="L10" t="n">
        <v>5.775342355444429</v>
      </c>
      <c r="M10">
        <f>L10-2*L9+L8</f>
        <v/>
      </c>
      <c r="N10" s="5">
        <f>K10-L10</f>
        <v/>
      </c>
    </row>
    <row r="11">
      <c r="C11" t="n">
        <v>2007</v>
      </c>
      <c r="D11" s="19">
        <f>'CFC data'!D9</f>
        <v/>
      </c>
      <c r="E11">
        <f>'WEO_Data'!B9</f>
        <v/>
      </c>
      <c r="F11">
        <f>LN(D11)</f>
        <v/>
      </c>
      <c r="G11">
        <f>LN(E11)</f>
        <v/>
      </c>
      <c r="K11" s="4">
        <f>G11-$B$1*F11</f>
        <v/>
      </c>
      <c r="L11" t="n">
        <v>5.814087591857181</v>
      </c>
      <c r="M11">
        <f>L11-2*L10+L9</f>
        <v/>
      </c>
      <c r="N11" s="5">
        <f>K11-L11</f>
        <v/>
      </c>
    </row>
    <row r="12">
      <c r="C12" t="n">
        <v>2008</v>
      </c>
      <c r="D12" s="19">
        <f>'CFC data'!D10</f>
        <v/>
      </c>
      <c r="E12">
        <f>'WEO_Data'!B10</f>
        <v/>
      </c>
      <c r="F12">
        <f>LN(D12)</f>
        <v/>
      </c>
      <c r="G12">
        <f>LN(E12)</f>
        <v/>
      </c>
      <c r="K12" s="4">
        <f>G12-$B$1*F12</f>
        <v/>
      </c>
      <c r="L12" t="n">
        <v>5.850299046265332</v>
      </c>
      <c r="M12">
        <f>L12-2*L11+L10</f>
        <v/>
      </c>
      <c r="N12" s="5">
        <f>K12-L12</f>
        <v/>
      </c>
    </row>
    <row r="13">
      <c r="C13" t="n">
        <v>2009</v>
      </c>
      <c r="D13" s="19">
        <f>'CFC data'!D11</f>
        <v/>
      </c>
      <c r="E13">
        <f>'WEO_Data'!B11</f>
        <v/>
      </c>
      <c r="F13">
        <f>LN(D13)</f>
        <v/>
      </c>
      <c r="G13">
        <f>LN(E13)</f>
        <v/>
      </c>
      <c r="K13" s="4">
        <f>G13-$B$1*F13</f>
        <v/>
      </c>
      <c r="L13" t="n">
        <v>5.884121971272437</v>
      </c>
      <c r="M13">
        <f>L13-2*L12+L11</f>
        <v/>
      </c>
      <c r="N13" s="5">
        <f>K13-L13</f>
        <v/>
      </c>
    </row>
    <row r="14">
      <c r="C14" t="n">
        <v>2010</v>
      </c>
      <c r="D14" s="19">
        <f>'CFC data'!D12</f>
        <v/>
      </c>
      <c r="E14">
        <f>'WEO_Data'!B12</f>
        <v/>
      </c>
      <c r="F14">
        <f>LN(D14)</f>
        <v/>
      </c>
      <c r="G14">
        <f>LN(E14)</f>
        <v/>
      </c>
      <c r="K14" s="4">
        <f>G14-$B$1*F14</f>
        <v/>
      </c>
      <c r="L14" t="n">
        <v>5.916062566109387</v>
      </c>
      <c r="M14">
        <f>L14-2*L13+L12</f>
        <v/>
      </c>
      <c r="N14" s="5">
        <f>K14-L14</f>
        <v/>
      </c>
    </row>
    <row r="15">
      <c r="C15" t="n">
        <v>2011</v>
      </c>
      <c r="D15" s="19">
        <f>'CFC data'!D13</f>
        <v/>
      </c>
      <c r="E15">
        <f>'WEO_Data'!B13</f>
        <v/>
      </c>
      <c r="F15">
        <f>LN(D15)</f>
        <v/>
      </c>
      <c r="G15">
        <f>LN(E15)</f>
        <v/>
      </c>
      <c r="K15" s="4">
        <f>G15-$B$1*F15</f>
        <v/>
      </c>
      <c r="L15" t="n">
        <v>5.94640468524763</v>
      </c>
      <c r="M15">
        <f>L15-2*L14+L13</f>
        <v/>
      </c>
      <c r="N15" s="5">
        <f>K15-L15</f>
        <v/>
      </c>
    </row>
    <row r="16">
      <c r="C16" t="n">
        <v>2012</v>
      </c>
      <c r="D16" s="19">
        <f>'CFC data'!D14</f>
        <v/>
      </c>
      <c r="E16">
        <f>'WEO_Data'!B14</f>
        <v/>
      </c>
      <c r="F16">
        <f>LN(D16)</f>
        <v/>
      </c>
      <c r="G16">
        <f>LN(E16)</f>
        <v/>
      </c>
      <c r="K16" s="4">
        <f>G16-$B$1*F16</f>
        <v/>
      </c>
      <c r="L16" t="n">
        <v>5.975287550596653</v>
      </c>
      <c r="M16">
        <f>L16-2*L15+L14</f>
        <v/>
      </c>
      <c r="N16" s="5">
        <f>K16-L16</f>
        <v/>
      </c>
    </row>
    <row r="17">
      <c r="C17" t="n">
        <v>2013</v>
      </c>
      <c r="D17" s="19">
        <f>'CFC data'!D15</f>
        <v/>
      </c>
      <c r="E17">
        <f>'WEO_Data'!B15</f>
        <v/>
      </c>
      <c r="F17">
        <f>LN(D17)</f>
        <v/>
      </c>
      <c r="G17">
        <f>LN(E17)</f>
        <v/>
      </c>
      <c r="K17" s="4">
        <f>G17-$B$1*F17</f>
        <v/>
      </c>
      <c r="L17" t="n">
        <v>6.002854249719805</v>
      </c>
      <c r="M17">
        <f>L17-2*L16+L15</f>
        <v/>
      </c>
      <c r="N17" s="5">
        <f>K17-L17</f>
        <v/>
      </c>
    </row>
    <row r="18">
      <c r="C18" t="n">
        <v>2014</v>
      </c>
      <c r="D18" s="19">
        <f>'CFC data'!D16</f>
        <v/>
      </c>
      <c r="E18">
        <f>'WEO_Data'!B16</f>
        <v/>
      </c>
      <c r="F18">
        <f>LN(D18)</f>
        <v/>
      </c>
      <c r="G18">
        <f>LN(E18)</f>
        <v/>
      </c>
      <c r="K18" s="4">
        <f>G18-$B$1*F18</f>
        <v/>
      </c>
      <c r="L18" t="n">
        <v>6.029353907679149</v>
      </c>
      <c r="M18">
        <f>L18-2*L17+L16</f>
        <v/>
      </c>
      <c r="N18" s="5">
        <f>K18-L18</f>
        <v/>
      </c>
    </row>
    <row r="19">
      <c r="C19" t="n">
        <v>2015</v>
      </c>
      <c r="D19" s="19">
        <f>'CFC data'!D17</f>
        <v/>
      </c>
      <c r="E19">
        <f>'WEO_Data'!B17</f>
        <v/>
      </c>
      <c r="F19">
        <f>LN(D19)</f>
        <v/>
      </c>
      <c r="G19">
        <f>LN(E19)</f>
        <v/>
      </c>
      <c r="K19" s="4">
        <f>G19-$B$1*F19</f>
        <v/>
      </c>
      <c r="L19" t="n">
        <v>6.055077056780112</v>
      </c>
      <c r="M19">
        <f>L19-2*L18+L17</f>
        <v/>
      </c>
      <c r="N19" s="5">
        <f>K19-L19</f>
        <v/>
      </c>
    </row>
    <row r="20">
      <c r="C20" t="n">
        <v>2016</v>
      </c>
      <c r="D20" s="19">
        <f>'CFC data'!D18</f>
        <v/>
      </c>
      <c r="E20">
        <f>'WEO_Data'!B18</f>
        <v/>
      </c>
      <c r="F20">
        <f>LN(D20)</f>
        <v/>
      </c>
      <c r="G20">
        <f>LN(E20)</f>
        <v/>
      </c>
      <c r="K20" s="4">
        <f>G20-$B$1*F20</f>
        <v/>
      </c>
      <c r="L20" t="n">
        <v>6.08038296686857</v>
      </c>
      <c r="M20">
        <f>L20-2*L19+L18</f>
        <v/>
      </c>
      <c r="N20" s="5">
        <f>K20-L20</f>
        <v/>
      </c>
    </row>
    <row r="21">
      <c r="C21" t="n">
        <v>2017</v>
      </c>
      <c r="D21" s="19">
        <f>'CFC data'!D19</f>
        <v/>
      </c>
      <c r="E21">
        <f>'WEO_Data'!B19</f>
        <v/>
      </c>
      <c r="F21">
        <f>LN(D21)</f>
        <v/>
      </c>
      <c r="G21">
        <f>LN(E21)</f>
        <v/>
      </c>
      <c r="K21" s="4">
        <f>G21-$B$1*F21</f>
        <v/>
      </c>
      <c r="L21" t="n">
        <v>6.105628232309383</v>
      </c>
      <c r="M21">
        <f>L21-2*L20+L19</f>
        <v/>
      </c>
      <c r="N21" s="5">
        <f>K21-L21</f>
        <v/>
      </c>
    </row>
    <row r="22">
      <c r="C22" t="n">
        <v>2018</v>
      </c>
      <c r="D22" s="19">
        <f>'CFC data'!D20</f>
        <v/>
      </c>
      <c r="E22">
        <f>'WEO_Data'!B20</f>
        <v/>
      </c>
      <c r="F22">
        <f>LN(D22)</f>
        <v/>
      </c>
      <c r="G22">
        <f>LN(E22)</f>
        <v/>
      </c>
      <c r="K22" s="4">
        <f>G22-$B$1*F22</f>
        <v/>
      </c>
      <c r="L22" t="n">
        <v>6.131093211471216</v>
      </c>
      <c r="M22">
        <f>L22-2*L21+L20</f>
        <v/>
      </c>
      <c r="N22" s="5">
        <f>K22-L22</f>
        <v/>
      </c>
    </row>
    <row r="23">
      <c r="C23" t="n">
        <v>2019</v>
      </c>
      <c r="D23" s="19">
        <f>'CFC data'!D21</f>
        <v/>
      </c>
      <c r="E23">
        <f>'WEO_Data'!B21</f>
        <v/>
      </c>
      <c r="F23">
        <f>LN(D23)</f>
        <v/>
      </c>
      <c r="G23">
        <f>LN(E23)</f>
        <v/>
      </c>
      <c r="K23" s="4">
        <f>G23-$B$1*F23</f>
        <v/>
      </c>
      <c r="L23" t="n">
        <v>6.157034317380477</v>
      </c>
      <c r="M23">
        <f>L23-2*L22+L21</f>
        <v/>
      </c>
      <c r="N23" s="5">
        <f>K23-L23</f>
        <v/>
      </c>
    </row>
    <row r="24">
      <c r="C24" t="n">
        <v>2020</v>
      </c>
      <c r="D24" s="19">
        <f>'CFC data'!D22</f>
        <v/>
      </c>
      <c r="E24">
        <f>'WEO_Data'!B22</f>
        <v/>
      </c>
      <c r="F24">
        <f>LN(D24)</f>
        <v/>
      </c>
      <c r="G24">
        <f>LN(E24)</f>
        <v/>
      </c>
      <c r="K24" s="4">
        <f>G24-$B$1*F24</f>
        <v/>
      </c>
      <c r="L24" t="n">
        <v>6.183727905986969</v>
      </c>
      <c r="M24">
        <f>L24-2*L23+L22</f>
        <v/>
      </c>
      <c r="N24" s="5">
        <f>K24-L24</f>
        <v/>
      </c>
    </row>
    <row r="25">
      <c r="C25" t="n">
        <v>2021</v>
      </c>
      <c r="D25" s="19">
        <f>'CFC data'!D23</f>
        <v/>
      </c>
      <c r="E25">
        <f>'WEO_Data'!B23</f>
        <v/>
      </c>
      <c r="F25">
        <f>LN(D25)</f>
        <v/>
      </c>
      <c r="G25">
        <f>LN(E25)</f>
        <v/>
      </c>
      <c r="K25" s="4">
        <f>G25-$B$1*F25</f>
        <v/>
      </c>
      <c r="L25" t="n">
        <v>6.211528001171907</v>
      </c>
      <c r="M25">
        <f>L25-2*L24+L23</f>
        <v/>
      </c>
      <c r="N25" s="5">
        <f>K25-L25</f>
        <v/>
      </c>
    </row>
    <row r="26">
      <c r="C26" t="n">
        <v>2022</v>
      </c>
      <c r="D26" s="19">
        <f>'CFC data'!D24</f>
        <v/>
      </c>
      <c r="E26">
        <f>'WEO_Data'!B24</f>
        <v/>
      </c>
      <c r="F26">
        <f>LN(D26)</f>
        <v/>
      </c>
      <c r="G26">
        <f>LN(E26)</f>
        <v/>
      </c>
      <c r="K26" s="4">
        <f>G26-$B$1*F26</f>
        <v/>
      </c>
      <c r="L26" t="n">
        <v>6.240176390883009</v>
      </c>
      <c r="M26">
        <f>L26-2*L25+L24</f>
        <v/>
      </c>
      <c r="N26" s="5">
        <f>K26-L26</f>
        <v/>
      </c>
    </row>
    <row r="27">
      <c r="C27" t="n">
        <v>2023</v>
      </c>
      <c r="D27" s="19">
        <f>'CFC data'!D25</f>
        <v/>
      </c>
      <c r="E27">
        <f>'WEO_Data'!B25</f>
        <v/>
      </c>
      <c r="F27">
        <f>LN(D27)</f>
        <v/>
      </c>
      <c r="G27">
        <f>LN(E27)</f>
        <v/>
      </c>
      <c r="K27" s="6">
        <f>G27-$B$1*F27</f>
        <v/>
      </c>
      <c r="L27" s="7" t="n">
        <v>6.269173620859966</v>
      </c>
      <c r="M27" s="7">
        <f>L27-2*L26+L25</f>
        <v/>
      </c>
      <c r="N27" s="8">
        <f>K27-L27</f>
        <v/>
      </c>
    </row>
    <row r="35">
      <c r="D35" t="inlineStr">
        <is>
          <t>K/Y</t>
        </is>
      </c>
      <c r="E35" t="inlineStr">
        <is>
          <t>K</t>
        </is>
      </c>
      <c r="F35" t="inlineStr">
        <is>
          <t>Y</t>
        </is>
      </c>
      <c r="G35" t="inlineStr">
        <is>
          <t>LnZ trend</t>
        </is>
      </c>
      <c r="H35" t="inlineStr">
        <is>
          <t>Ystar_base</t>
        </is>
      </c>
      <c r="I35" t="inlineStr">
        <is>
          <t>Investment</t>
        </is>
      </c>
      <c r="J35" t="inlineStr">
        <is>
          <t>ΔK</t>
        </is>
      </c>
      <c r="K35" t="inlineStr">
        <is>
          <t>K_With</t>
        </is>
      </c>
      <c r="L35" t="inlineStr">
        <is>
          <t>Ystar_with</t>
        </is>
      </c>
      <c r="M35" t="inlineStr">
        <is>
          <t>Uplift</t>
        </is>
      </c>
      <c r="N35" t="inlineStr">
        <is>
          <t>Projected GDP</t>
        </is>
      </c>
      <c r="O35" t="inlineStr">
        <is>
          <t>Projected GDP Growth</t>
        </is>
      </c>
      <c r="P35" t="inlineStr">
        <is>
          <t>Baseline GDP Growth</t>
        </is>
      </c>
    </row>
    <row r="36">
      <c r="C36" t="n">
        <v>2024</v>
      </c>
      <c r="E36" s="19" t="n"/>
      <c r="G36">
        <f>TREND($L$6:$L$27,$C$6:$C$27,C36)</f>
        <v/>
      </c>
      <c r="H36">
        <f>(EXP(G36)*$B$4^$B$1)^(1/(1-$B$1))</f>
        <v/>
      </c>
      <c r="I36">
        <f>SUMIF(Investment!B:B,C36,Investment!C:C)</f>
        <v/>
      </c>
      <c r="J36">
        <f>I36</f>
        <v/>
      </c>
      <c r="K36" s="19">
        <f>H36*$B$4 + J36</f>
        <v/>
      </c>
      <c r="L36">
        <f>EXP(G36)*K36^$B$1</f>
        <v/>
      </c>
    </row>
    <row r="37">
      <c r="C37" t="n">
        <v>2025</v>
      </c>
      <c r="E37" s="19" t="n"/>
      <c r="G37">
        <f>TREND($L$6:$L$27,$C$6:$C$27,C37)</f>
        <v/>
      </c>
      <c r="H37">
        <f>(EXP(G37)*$B$4^$B$1)^(1/(1-$B$1))</f>
        <v/>
      </c>
      <c r="I37">
        <f>SUMIF(Investment!B:B,C37,Investment!C:C)</f>
        <v/>
      </c>
      <c r="J37">
        <f>I37 + J36*(1-$B$3)</f>
        <v/>
      </c>
      <c r="K37" s="19">
        <f>H37*$B$4 + J37</f>
        <v/>
      </c>
      <c r="L37">
        <f>EXP(G37)*K37^$B$1</f>
        <v/>
      </c>
    </row>
    <row r="38">
      <c r="C38" t="n">
        <v>2026</v>
      </c>
      <c r="E38" s="19" t="n"/>
      <c r="G38">
        <f>TREND($L$6:$L$27,$C$6:$C$27,C38)</f>
        <v/>
      </c>
      <c r="H38">
        <f>(EXP(G38)*$B$4^$B$1)^(1/(1-$B$1))</f>
        <v/>
      </c>
      <c r="I38">
        <f>SUMIF(Investment!B:B,C38,Investment!C:C)</f>
        <v/>
      </c>
      <c r="J38">
        <f>I38 + J37*(1-$B$3)</f>
        <v/>
      </c>
      <c r="K38" s="19">
        <f>H38*$B$4 + J38</f>
        <v/>
      </c>
      <c r="L38">
        <f>EXP(G38)*K38^$B$1</f>
        <v/>
      </c>
    </row>
    <row r="39">
      <c r="C39" t="n">
        <v>2027</v>
      </c>
      <c r="E39" s="19" t="n"/>
      <c r="G39">
        <f>TREND($L$6:$L$27,$C$6:$C$27,C39)</f>
        <v/>
      </c>
      <c r="H39">
        <f>(EXP(G39)*$B$4^$B$1)^(1/(1-$B$1))</f>
        <v/>
      </c>
      <c r="I39">
        <f>SUMIF(Investment!B:B,C39,Investment!C:C)</f>
        <v/>
      </c>
      <c r="J39">
        <f>I39 + J38*(1-$B$3)</f>
        <v/>
      </c>
      <c r="K39" s="19">
        <f>H39*$B$4 + J39</f>
        <v/>
      </c>
      <c r="L39">
        <f>EXP(G39)*K39^$B$1</f>
        <v/>
      </c>
    </row>
    <row r="40">
      <c r="C40" t="n">
        <v>2028</v>
      </c>
      <c r="E40" s="19" t="n"/>
      <c r="G40">
        <f>TREND($L$6:$L$27,$C$6:$C$27,C40)</f>
        <v/>
      </c>
      <c r="H40">
        <f>(EXP(G40)*$B$4^$B$1)^(1/(1-$B$1))</f>
        <v/>
      </c>
      <c r="I40">
        <f>SUMIF(Investment!B:B,C40,Investment!C:C)</f>
        <v/>
      </c>
      <c r="J40">
        <f>I40 + J39*(1-$B$3)</f>
        <v/>
      </c>
      <c r="K40" s="19">
        <f>H40*$B$4 + J40</f>
        <v/>
      </c>
      <c r="L40">
        <f>EXP(G40)*K40^$B$1</f>
        <v/>
      </c>
    </row>
    <row r="41">
      <c r="C41" t="n">
        <v>2029</v>
      </c>
      <c r="E41" s="19" t="n"/>
      <c r="G41">
        <f>TREND($L$6:$L$27,$C$6:$C$27,C41)</f>
        <v/>
      </c>
      <c r="H41">
        <f>(EXP(G41)*$B$4^$B$1)^(1/(1-$B$1))</f>
        <v/>
      </c>
      <c r="I41">
        <f>SUMIF(Investment!B:B,C41,Investment!C:C)</f>
        <v/>
      </c>
      <c r="J41">
        <f>I41 + J40*(1-$B$3)</f>
        <v/>
      </c>
      <c r="K41" s="19">
        <f>H41*$B$4 + J41</f>
        <v/>
      </c>
      <c r="L41">
        <f>EXP(G41)*K41^$B$1</f>
        <v/>
      </c>
    </row>
    <row r="42">
      <c r="C42" t="n">
        <v>2030</v>
      </c>
      <c r="E42" s="19" t="n"/>
      <c r="G42">
        <f>TREND($L$6:$L$27,$C$6:$C$27,C42)</f>
        <v/>
      </c>
      <c r="H42">
        <f>(EXP(G42)*$B$4^$B$1)^(1/(1-$B$1))</f>
        <v/>
      </c>
      <c r="I42">
        <f>SUMIF(Investment!B:B,C42,Investment!C:C)</f>
        <v/>
      </c>
      <c r="J42">
        <f>I42 + J41*(1-$B$3)</f>
        <v/>
      </c>
      <c r="K42" s="19">
        <f>H42*$B$4 + J42</f>
        <v/>
      </c>
      <c r="L42">
        <f>EXP(G42)*K42^$B$1</f>
        <v/>
      </c>
    </row>
    <row r="43">
      <c r="C43" t="n">
        <v>2031</v>
      </c>
      <c r="E43" s="19" t="n"/>
      <c r="G43">
        <f>TREND($L$6:$L$27,$C$6:$C$27,C43)</f>
        <v/>
      </c>
      <c r="H43">
        <f>(EXP(G43)*$B$4^$B$1)^(1/(1-$B$1))</f>
        <v/>
      </c>
      <c r="I43">
        <f>SUMIF(Investment!B:B,C43,Investment!C:C)</f>
        <v/>
      </c>
      <c r="J43">
        <f>I43 + J42*(1-$B$3)</f>
        <v/>
      </c>
      <c r="K43" s="19">
        <f>H43*$B$4 + J43</f>
        <v/>
      </c>
      <c r="L43">
        <f>EXP(G43)*K43^$B$1</f>
        <v/>
      </c>
    </row>
    <row r="44">
      <c r="C44" t="n">
        <v>2032</v>
      </c>
      <c r="E44" s="19" t="n"/>
      <c r="G44">
        <f>TREND($L$6:$L$27,$C$6:$C$27,C44)</f>
        <v/>
      </c>
      <c r="H44">
        <f>(EXP(G44)*$B$4^$B$1)^(1/(1-$B$1))</f>
        <v/>
      </c>
      <c r="I44">
        <f>SUMIF(Investment!B:B,C44,Investment!C:C)</f>
        <v/>
      </c>
      <c r="J44">
        <f>I44 + J43*(1-$B$3)</f>
        <v/>
      </c>
      <c r="K44" s="19">
        <f>H44*$B$4 + J44</f>
        <v/>
      </c>
      <c r="L44">
        <f>EXP(G44)*K44^$B$1</f>
        <v/>
      </c>
    </row>
    <row r="45">
      <c r="C45" t="n">
        <v>2033</v>
      </c>
      <c r="E45" s="19" t="n"/>
      <c r="G45">
        <f>TREND($L$6:$L$27,$C$6:$C$27,C45)</f>
        <v/>
      </c>
      <c r="H45">
        <f>(EXP(G45)*$B$4^$B$1)^(1/(1-$B$1))</f>
        <v/>
      </c>
      <c r="I45">
        <f>SUMIF(Investment!B:B,C45,Investment!C:C)</f>
        <v/>
      </c>
      <c r="J45">
        <f>I45 + J44*(1-$B$3)</f>
        <v/>
      </c>
      <c r="K45" s="19">
        <f>H45*$B$4 + J45</f>
        <v/>
      </c>
      <c r="L45">
        <f>EXP(G45)*K45^$B$1</f>
        <v/>
      </c>
    </row>
    <row r="46">
      <c r="C46" t="n">
        <v>2034</v>
      </c>
      <c r="E46" s="19" t="n"/>
      <c r="G46">
        <f>TREND($L$6:$L$27,$C$6:$C$27,C46)</f>
        <v/>
      </c>
      <c r="H46">
        <f>(EXP(G46)*$B$4^$B$1)^(1/(1-$B$1))</f>
        <v/>
      </c>
      <c r="I46">
        <f>SUMIF(Investment!B:B,C46,Investment!C:C)</f>
        <v/>
      </c>
      <c r="J46">
        <f>I46 + J45*(1-$B$3)</f>
        <v/>
      </c>
      <c r="K46" s="19">
        <f>H46*$B$4 + J46</f>
        <v/>
      </c>
      <c r="L46">
        <f>EXP(G46)*K46^$B$1</f>
        <v/>
      </c>
    </row>
    <row r="47">
      <c r="C47" t="n">
        <v>2035</v>
      </c>
      <c r="E47" s="19" t="n"/>
      <c r="G47">
        <f>TREND($L$6:$L$27,$C$6:$C$27,C47)</f>
        <v/>
      </c>
      <c r="H47">
        <f>(EXP(G47)*$B$4^$B$1)^(1/(1-$B$1))</f>
        <v/>
      </c>
      <c r="I47">
        <f>SUMIF(Investment!B:B,C47,Investment!C:C)</f>
        <v/>
      </c>
      <c r="J47">
        <f>I47 + J46*(1-$B$3)</f>
        <v/>
      </c>
      <c r="K47" s="19">
        <f>H47*$B$4 + J47</f>
        <v/>
      </c>
      <c r="L47">
        <f>EXP(G47)*K47^$B$1</f>
        <v/>
      </c>
    </row>
    <row r="48">
      <c r="C48" t="n">
        <v>2036</v>
      </c>
      <c r="E48" s="19" t="n"/>
      <c r="G48">
        <f>TREND($L$6:$L$27,$C$6:$C$27,C48)</f>
        <v/>
      </c>
      <c r="H48">
        <f>(EXP(G48)*$B$4^$B$1)^(1/(1-$B$1))</f>
        <v/>
      </c>
      <c r="I48">
        <f>SUMIF(Investment!B:B,C48,Investment!C:C)</f>
        <v/>
      </c>
      <c r="J48">
        <f>I48 + J47*(1-$B$3)</f>
        <v/>
      </c>
      <c r="K48" s="19">
        <f>H48*$B$4 + J48</f>
        <v/>
      </c>
      <c r="L48">
        <f>EXP(G48)*K48^$B$1</f>
        <v/>
      </c>
    </row>
    <row r="49">
      <c r="C49" t="n">
        <v>2037</v>
      </c>
      <c r="E49" s="19" t="n"/>
      <c r="G49">
        <f>TREND($L$6:$L$27,$C$6:$C$27,C49)</f>
        <v/>
      </c>
      <c r="H49">
        <f>(EXP(G49)*$B$4^$B$1)^(1/(1-$B$1))</f>
        <v/>
      </c>
      <c r="I49">
        <f>SUMIF(Investment!B:B,C49,Investment!C:C)</f>
        <v/>
      </c>
      <c r="J49">
        <f>I49 + J48*(1-$B$3)</f>
        <v/>
      </c>
      <c r="K49" s="19">
        <f>H49*$B$4 + J49</f>
        <v/>
      </c>
      <c r="L49">
        <f>EXP(G49)*K49^$B$1</f>
        <v/>
      </c>
    </row>
    <row r="50">
      <c r="C50" t="n">
        <v>2038</v>
      </c>
      <c r="E50" s="19" t="n"/>
      <c r="G50">
        <f>TREND($L$6:$L$27,$C$6:$C$27,C50)</f>
        <v/>
      </c>
      <c r="H50">
        <f>(EXP(G50)*$B$4^$B$1)^(1/(1-$B$1))</f>
        <v/>
      </c>
      <c r="I50">
        <f>SUMIF(Investment!B:B,C50,Investment!C:C)</f>
        <v/>
      </c>
      <c r="J50">
        <f>I50 + J49*(1-$B$3)</f>
        <v/>
      </c>
      <c r="K50" s="19">
        <f>H50*$B$4 + J50</f>
        <v/>
      </c>
      <c r="L50">
        <f>EXP(G50)*K50^$B$1</f>
        <v/>
      </c>
    </row>
    <row r="51">
      <c r="C51" t="n">
        <v>2039</v>
      </c>
      <c r="E51" s="19" t="n"/>
      <c r="G51">
        <f>TREND($L$6:$L$27,$C$6:$C$27,C51)</f>
        <v/>
      </c>
      <c r="H51">
        <f>(EXP(G51)*$B$4^$B$1)^(1/(1-$B$1))</f>
        <v/>
      </c>
      <c r="I51">
        <f>SUMIF(Investment!B:B,C51,Investment!C:C)</f>
        <v/>
      </c>
      <c r="J51">
        <f>I51 + J50*(1-$B$3)</f>
        <v/>
      </c>
      <c r="K51" s="19">
        <f>H51*$B$4 + J51</f>
        <v/>
      </c>
      <c r="L51">
        <f>EXP(G51)*K51^$B$1</f>
        <v/>
      </c>
    </row>
    <row r="52">
      <c r="C52" t="n">
        <v>2040</v>
      </c>
      <c r="E52" s="19" t="n"/>
      <c r="G52">
        <f>TREND($L$6:$L$27,$C$6:$C$27,C52)</f>
        <v/>
      </c>
      <c r="H52">
        <f>(EXP(G52)*$B$4^$B$1)^(1/(1-$B$1))</f>
        <v/>
      </c>
      <c r="I52">
        <f>SUMIF(Investment!B:B,C52,Investment!C:C)</f>
        <v/>
      </c>
      <c r="J52">
        <f>I52 + J51*(1-$B$3)</f>
        <v/>
      </c>
      <c r="K52" s="19">
        <f>H52*$B$4 + J52</f>
        <v/>
      </c>
      <c r="L52">
        <f>EXP(G52)*K52^$B$1</f>
        <v/>
      </c>
    </row>
    <row r="53">
      <c r="C53" t="n">
        <v>2041</v>
      </c>
      <c r="E53" s="19" t="n"/>
      <c r="G53">
        <f>TREND($L$6:$L$27,$C$6:$C$27,C53)</f>
        <v/>
      </c>
      <c r="H53">
        <f>(EXP(G53)*$B$4^$B$1)^(1/(1-$B$1))</f>
        <v/>
      </c>
      <c r="I53">
        <f>SUMIF(Investment!B:B,C53,Investment!C:C)</f>
        <v/>
      </c>
      <c r="J53">
        <f>I53 + J52*(1-$B$3)</f>
        <v/>
      </c>
      <c r="K53" s="19">
        <f>H53*$B$4 + J53</f>
        <v/>
      </c>
      <c r="L53">
        <f>EXP(G53)*K53^$B$1</f>
        <v/>
      </c>
    </row>
    <row r="54">
      <c r="C54" t="n">
        <v>2042</v>
      </c>
      <c r="E54" s="19" t="n"/>
      <c r="G54">
        <f>TREND($L$6:$L$27,$C$6:$C$27,C54)</f>
        <v/>
      </c>
      <c r="H54">
        <f>(EXP(G54)*$B$4^$B$1)^(1/(1-$B$1))</f>
        <v/>
      </c>
      <c r="I54">
        <f>SUMIF(Investment!B:B,C54,Investment!C:C)</f>
        <v/>
      </c>
      <c r="J54">
        <f>I54 + J53*(1-$B$3)</f>
        <v/>
      </c>
      <c r="K54" s="19">
        <f>H54*$B$4 + J54</f>
        <v/>
      </c>
      <c r="L54">
        <f>EXP(G54)*K54^$B$1</f>
        <v/>
      </c>
    </row>
    <row r="55">
      <c r="C55" t="n">
        <v>2043</v>
      </c>
      <c r="E55" s="19" t="n"/>
      <c r="G55">
        <f>TREND($L$6:$L$27,$C$6:$C$27,C55)</f>
        <v/>
      </c>
      <c r="H55">
        <f>(EXP(G55)*$B$4^$B$1)^(1/(1-$B$1))</f>
        <v/>
      </c>
      <c r="I55">
        <f>SUMIF(Investment!B:B,C55,Investment!C:C)</f>
        <v/>
      </c>
      <c r="J55">
        <f>I55 + J54*(1-$B$3)</f>
        <v/>
      </c>
      <c r="K55" s="19">
        <f>H55*$B$4 + J55</f>
        <v/>
      </c>
      <c r="L55">
        <f>EXP(G55)*K55^$B$1</f>
        <v/>
      </c>
    </row>
    <row r="56">
      <c r="C56" t="n">
        <v>2044</v>
      </c>
      <c r="E56" s="19" t="n"/>
      <c r="G56">
        <f>TREND($L$6:$L$27,$C$6:$C$27,C56)</f>
        <v/>
      </c>
      <c r="H56">
        <f>(EXP(G56)*$B$4^$B$1)^(1/(1-$B$1))</f>
        <v/>
      </c>
      <c r="I56">
        <f>SUMIF(Investment!B:B,C56,Investment!C:C)</f>
        <v/>
      </c>
      <c r="J56">
        <f>I56 + J55*(1-$B$3)</f>
        <v/>
      </c>
      <c r="K56" s="19">
        <f>H56*$B$4 + J56</f>
        <v/>
      </c>
      <c r="L56">
        <f>EXP(G56)*K56^$B$1</f>
        <v/>
      </c>
    </row>
    <row r="57">
      <c r="C57" t="n">
        <v>2023</v>
      </c>
      <c r="E57" s="19" t="n"/>
      <c r="K57" s="19" t="n"/>
    </row>
    <row r="58">
      <c r="C58" t="n">
        <v>2024</v>
      </c>
      <c r="E58" s="21" t="n"/>
      <c r="G58" s="20" t="n"/>
      <c r="K58" s="19" t="n"/>
    </row>
    <row r="59">
      <c r="C59" t="n">
        <v>2025</v>
      </c>
      <c r="E59" s="21" t="n"/>
      <c r="G59" s="20" t="n"/>
      <c r="K59" s="19" t="n"/>
    </row>
    <row r="60">
      <c r="C60" t="n">
        <v>2026</v>
      </c>
      <c r="E60" s="21" t="n"/>
      <c r="F60" s="20" t="n"/>
      <c r="G60" s="20" t="n"/>
      <c r="I60" s="17" t="n"/>
      <c r="K60" s="19" t="n"/>
    </row>
    <row r="61">
      <c r="C61" t="n">
        <v>2027</v>
      </c>
      <c r="E61" s="21" t="n"/>
      <c r="F61" s="20" t="n"/>
      <c r="G61" s="20" t="n"/>
      <c r="I61" s="17" t="n"/>
      <c r="K61" s="19" t="n"/>
    </row>
    <row r="62">
      <c r="C62" t="n">
        <v>2028</v>
      </c>
      <c r="E62" s="21" t="n"/>
      <c r="F62" s="20" t="n"/>
      <c r="G62" s="20" t="n"/>
      <c r="I62" s="17" t="n"/>
      <c r="K62" s="19" t="n"/>
    </row>
    <row r="63">
      <c r="C63" t="n">
        <v>2029</v>
      </c>
      <c r="E63" s="21" t="n"/>
      <c r="F63" s="20" t="n"/>
      <c r="G63" s="20" t="n"/>
      <c r="I63" s="17" t="n"/>
      <c r="K63" s="19" t="n"/>
    </row>
    <row r="64">
      <c r="C64" t="n">
        <v>2030</v>
      </c>
      <c r="E64" s="21" t="n"/>
      <c r="F64" s="20" t="n"/>
      <c r="G64" s="20" t="n"/>
      <c r="I64" s="17" t="n"/>
      <c r="K64" s="19" t="n"/>
    </row>
    <row r="65">
      <c r="C65" t="n">
        <v>2031</v>
      </c>
      <c r="E65" s="21" t="n"/>
      <c r="F65" s="20" t="n"/>
      <c r="G65" s="20" t="n"/>
      <c r="I65" s="17" t="n"/>
      <c r="K65" s="19" t="n"/>
    </row>
    <row r="66">
      <c r="C66" t="n">
        <v>2032</v>
      </c>
      <c r="E66" s="21" t="n"/>
      <c r="F66" s="20" t="n"/>
      <c r="G66" s="20" t="n"/>
      <c r="I66" s="17" t="n"/>
      <c r="K66" s="19" t="n"/>
    </row>
    <row r="67">
      <c r="C67" t="n">
        <v>2033</v>
      </c>
      <c r="E67" s="21" t="n"/>
      <c r="F67" s="20" t="n"/>
      <c r="G67" s="20" t="n"/>
      <c r="I67" s="17" t="n"/>
      <c r="K67" s="19" t="n"/>
    </row>
    <row r="68">
      <c r="C68" t="n">
        <v>2034</v>
      </c>
      <c r="E68" s="21" t="n"/>
      <c r="F68" s="20" t="n"/>
      <c r="G68" s="20" t="n"/>
      <c r="K68" s="19" t="n"/>
    </row>
    <row r="69">
      <c r="C69" t="n">
        <v>2035</v>
      </c>
      <c r="E69" s="21" t="n"/>
      <c r="F69" s="20" t="n"/>
      <c r="G69" s="20" t="n"/>
      <c r="K69" s="19" t="n"/>
    </row>
    <row r="70">
      <c r="C70" t="n">
        <v>2036</v>
      </c>
      <c r="E70" s="21" t="n"/>
      <c r="F70" s="20" t="n"/>
      <c r="G70" s="20" t="n"/>
      <c r="K70" s="19" t="n"/>
    </row>
    <row r="71">
      <c r="C71" t="n">
        <v>2037</v>
      </c>
      <c r="E71" s="21" t="n"/>
      <c r="F71" s="20" t="n"/>
      <c r="G71" s="20" t="n"/>
      <c r="K71" s="19" t="n"/>
    </row>
    <row r="72">
      <c r="C72" t="n">
        <v>2038</v>
      </c>
      <c r="E72" s="21" t="n"/>
      <c r="F72" s="20" t="n"/>
      <c r="G72" s="20" t="n"/>
      <c r="K72" s="19" t="n"/>
    </row>
    <row r="73">
      <c r="C73" t="n">
        <v>2039</v>
      </c>
      <c r="E73" s="21" t="n"/>
      <c r="F73" s="20" t="n"/>
      <c r="G73" s="20" t="n"/>
      <c r="K73" s="19" t="n"/>
    </row>
    <row r="74">
      <c r="C74" t="n">
        <v>2040</v>
      </c>
      <c r="E74" s="21" t="n"/>
      <c r="F74" s="20" t="n"/>
      <c r="G74" s="20" t="n"/>
      <c r="K74" s="19" t="n"/>
    </row>
    <row r="75">
      <c r="C75" t="n">
        <v>2041</v>
      </c>
      <c r="E75" s="21" t="n"/>
      <c r="F75" s="20" t="n"/>
      <c r="G75" s="20" t="n"/>
      <c r="K75" s="19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9"/>
  <sheetViews>
    <sheetView workbookViewId="0">
      <selection activeCell="E8" sqref="E8"/>
    </sheetView>
  </sheetViews>
  <sheetFormatPr baseColWidth="8" defaultRowHeight="12.45"/>
  <cols>
    <col width="11" customWidth="1" min="3" max="3"/>
  </cols>
  <sheetData>
    <row r="1" ht="37.3" customFormat="1" customHeight="1" s="15">
      <c r="B1" s="14" t="inlineStr">
        <is>
          <t>Year</t>
        </is>
      </c>
      <c r="C1" s="14" t="inlineStr">
        <is>
          <t>Project Investment (Deflated)</t>
        </is>
      </c>
    </row>
    <row r="2">
      <c r="B2" s="16" t="n">
        <v>2026</v>
      </c>
      <c r="C2" t="n">
        <v>648.5893137564417</v>
      </c>
    </row>
    <row r="3">
      <c r="B3" s="16" t="n">
        <v>2027</v>
      </c>
      <c r="C3" t="n">
        <v>1220.080196896535</v>
      </c>
    </row>
    <row r="4">
      <c r="B4" s="16" t="n">
        <v>2028</v>
      </c>
      <c r="C4" t="n">
        <v>1756.17368014315</v>
      </c>
    </row>
    <row r="5">
      <c r="B5" s="16" t="n">
        <v>2029</v>
      </c>
      <c r="C5" t="n">
        <v>2221.194700985215</v>
      </c>
    </row>
    <row r="6">
      <c r="B6" s="16" t="n">
        <v>2030</v>
      </c>
      <c r="C6" t="n">
        <v>2122.467876455729</v>
      </c>
    </row>
    <row r="7">
      <c r="B7" s="16" t="n">
        <v>2031</v>
      </c>
      <c r="C7" t="n">
        <v>1524.524585276747</v>
      </c>
    </row>
    <row r="8">
      <c r="B8" s="16" t="n">
        <v>2032</v>
      </c>
      <c r="C8" t="n">
        <v>738.1763105598934</v>
      </c>
    </row>
    <row r="9">
      <c r="B9" s="16" t="n">
        <v>2033</v>
      </c>
      <c r="C9" t="n">
        <v>352.6059768970017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C2" sqref="C2:F37"/>
    </sheetView>
  </sheetViews>
  <sheetFormatPr baseColWidth="8" defaultRowHeight="12.45"/>
  <cols>
    <col width="12.3828125" customWidth="1" min="1" max="1"/>
    <col width="18.3046875" customWidth="1" min="3" max="3"/>
  </cols>
  <sheetData>
    <row r="1">
      <c r="A1" t="inlineStr">
        <is>
          <t>DATE</t>
        </is>
      </c>
      <c r="B1" t="inlineStr">
        <is>
          <t>TIME PERIOD</t>
        </is>
      </c>
      <c r="C1" t="inlineStr">
        <is>
          <t>Consumption of fixed capital (IDCM.A.N.GE.W2.S1.S1.D.P51C.N1G._T._Z.XDC.V.N)</t>
        </is>
      </c>
      <c r="D1" t="inlineStr">
        <is>
          <t>Capital Stock</t>
        </is>
      </c>
      <c r="E1" t="inlineStr">
        <is>
          <t>Depreciation rate</t>
        </is>
      </c>
    </row>
    <row r="2">
      <c r="A2" t="inlineStr">
        <is>
          <t>2000-12-31</t>
        </is>
      </c>
      <c r="B2" t="n">
        <v>2000</v>
      </c>
      <c r="C2" t="n">
        <v>3879.811124090972</v>
      </c>
      <c r="D2">
        <f>VLOOKUP(B2,PWT!A:B,2,FALSE)</f>
        <v/>
      </c>
      <c r="E2">
        <f>C2/D2</f>
        <v/>
      </c>
    </row>
    <row r="3">
      <c r="A3" t="inlineStr">
        <is>
          <t>2001-12-31</t>
        </is>
      </c>
      <c r="B3" t="n">
        <v>2001</v>
      </c>
      <c r="C3" t="n">
        <v>4054.402624675065</v>
      </c>
      <c r="D3">
        <f>VLOOKUP(B3,PWT!A:B,2,FALSE)</f>
        <v/>
      </c>
      <c r="E3">
        <f>C3/D3</f>
        <v/>
      </c>
    </row>
    <row r="4">
      <c r="A4" t="inlineStr">
        <is>
          <t>2002-12-31</t>
        </is>
      </c>
      <c r="B4" t="n">
        <v>2002</v>
      </c>
      <c r="C4" t="n">
        <v>4277.394769032194</v>
      </c>
      <c r="D4">
        <f>VLOOKUP(B4,PWT!A:B,2,FALSE)</f>
        <v/>
      </c>
      <c r="E4">
        <f>C4/D4</f>
        <v/>
      </c>
    </row>
    <row r="5">
      <c r="A5" t="inlineStr">
        <is>
          <t>2003-12-31</t>
        </is>
      </c>
      <c r="B5" t="n">
        <v>2003</v>
      </c>
      <c r="C5" t="n">
        <v>4752.185588394767</v>
      </c>
      <c r="D5">
        <f>VLOOKUP(B5,PWT!A:B,2,FALSE)</f>
        <v/>
      </c>
      <c r="E5">
        <f>C5/D5</f>
        <v/>
      </c>
    </row>
    <row r="6">
      <c r="A6" t="inlineStr">
        <is>
          <t>2004-12-31</t>
        </is>
      </c>
      <c r="B6" t="n">
        <v>2004</v>
      </c>
      <c r="C6" t="n">
        <v>5046.821094875243</v>
      </c>
      <c r="D6">
        <f>VLOOKUP(B6,PWT!A:B,2,FALSE)</f>
        <v/>
      </c>
      <c r="E6">
        <f>C6/D6</f>
        <v/>
      </c>
    </row>
    <row r="7">
      <c r="A7" t="inlineStr">
        <is>
          <t>2005-12-31</t>
        </is>
      </c>
      <c r="B7" t="n">
        <v>2005</v>
      </c>
      <c r="C7" t="n">
        <v>5531.315919983267</v>
      </c>
      <c r="D7">
        <f>VLOOKUP(B7,PWT!A:B,2,FALSE)</f>
        <v/>
      </c>
      <c r="E7">
        <f>C7/D7</f>
        <v/>
      </c>
    </row>
    <row r="8">
      <c r="A8" t="inlineStr">
        <is>
          <t>2006-12-31</t>
        </is>
      </c>
      <c r="B8" t="n">
        <v>2006</v>
      </c>
      <c r="C8" t="n">
        <v>6051.259616461694</v>
      </c>
      <c r="D8">
        <f>VLOOKUP(B8,PWT!A:B,2,FALSE)</f>
        <v/>
      </c>
      <c r="E8">
        <f>C8/D8</f>
        <v/>
      </c>
    </row>
    <row r="9">
      <c r="A9" t="inlineStr">
        <is>
          <t>2007-12-31</t>
        </is>
      </c>
      <c r="B9" t="n">
        <v>2007</v>
      </c>
      <c r="C9" t="n">
        <v>6813.718328135868</v>
      </c>
      <c r="D9">
        <f>VLOOKUP(B9,PWT!A:B,2,FALSE)</f>
        <v/>
      </c>
      <c r="E9">
        <f>C9/D9</f>
        <v/>
      </c>
    </row>
    <row r="10">
      <c r="A10" t="inlineStr">
        <is>
          <t>2008-12-31</t>
        </is>
      </c>
      <c r="B10" t="n">
        <v>2008</v>
      </c>
      <c r="C10" t="n">
        <v>6970.433849682991</v>
      </c>
      <c r="D10">
        <f>VLOOKUP(B10,PWT!A:B,2,FALSE)</f>
        <v/>
      </c>
      <c r="E10">
        <f>C10/D10</f>
        <v/>
      </c>
    </row>
    <row r="11">
      <c r="A11" t="inlineStr">
        <is>
          <t>2009-12-31</t>
        </is>
      </c>
      <c r="B11" t="n">
        <v>2009</v>
      </c>
      <c r="C11" t="n">
        <v>6712.52779724472</v>
      </c>
      <c r="D11">
        <f>VLOOKUP(B11,PWT!A:B,2,FALSE)</f>
        <v/>
      </c>
      <c r="E11">
        <f>C11/D11</f>
        <v/>
      </c>
    </row>
    <row r="12">
      <c r="A12" t="inlineStr">
        <is>
          <t>2010-12-31</t>
        </is>
      </c>
      <c r="B12" t="n">
        <v>2010</v>
      </c>
      <c r="C12" t="n">
        <v>7135.417048471138</v>
      </c>
      <c r="D12">
        <f>VLOOKUP(B12,PWT!A:B,2,FALSE)</f>
        <v/>
      </c>
      <c r="E12">
        <f>C12/D12</f>
        <v/>
      </c>
    </row>
    <row r="13">
      <c r="A13" t="inlineStr">
        <is>
          <t>2011-12-31</t>
        </is>
      </c>
      <c r="B13" t="n">
        <v>2011</v>
      </c>
      <c r="C13" t="n">
        <v>7649.16707596106</v>
      </c>
      <c r="D13">
        <f>VLOOKUP(B13,PWT!A:B,2,FALSE)</f>
        <v/>
      </c>
      <c r="E13">
        <f>C13/D13</f>
        <v/>
      </c>
    </row>
    <row r="14">
      <c r="A14" t="inlineStr">
        <is>
          <t>2012-12-31</t>
        </is>
      </c>
      <c r="B14" t="n">
        <v>2012</v>
      </c>
      <c r="C14" t="n">
        <v>8123.415434670645</v>
      </c>
      <c r="D14">
        <f>VLOOKUP(B14,PWT!A:B,2,FALSE)</f>
        <v/>
      </c>
      <c r="E14">
        <f>C14/D14</f>
        <v/>
      </c>
    </row>
    <row r="15">
      <c r="A15" t="inlineStr">
        <is>
          <t>2013-12-31</t>
        </is>
      </c>
      <c r="B15" t="n">
        <v>2013</v>
      </c>
      <c r="C15" t="n">
        <v>8391.488144014776</v>
      </c>
      <c r="D15">
        <f>VLOOKUP(B15,PWT!A:B,2,FALSE)</f>
        <v/>
      </c>
      <c r="E15">
        <f>C15/D15</f>
        <v/>
      </c>
    </row>
    <row r="16">
      <c r="A16" t="inlineStr">
        <is>
          <t>2014-12-31</t>
        </is>
      </c>
      <c r="B16" t="n">
        <v>2014</v>
      </c>
      <c r="C16" t="n">
        <v>8777.496598639456</v>
      </c>
      <c r="D16">
        <f>VLOOKUP(B16,PWT!A:B,2,FALSE)</f>
        <v/>
      </c>
      <c r="E16">
        <f>C16/D16</f>
        <v/>
      </c>
    </row>
    <row r="17">
      <c r="A17" t="inlineStr">
        <is>
          <t>2015-12-31</t>
        </is>
      </c>
      <c r="B17" t="n">
        <v>2015</v>
      </c>
      <c r="C17" t="n">
        <v>9032.044</v>
      </c>
      <c r="D17">
        <f>VLOOKUP(B17,PWT!A:B,2,FALSE)</f>
        <v/>
      </c>
      <c r="E17">
        <f>C17/D17</f>
        <v/>
      </c>
    </row>
    <row r="18">
      <c r="A18" t="inlineStr">
        <is>
          <t>2016-12-31</t>
        </is>
      </c>
      <c r="B18" t="n">
        <v>2016</v>
      </c>
      <c r="C18" t="n">
        <v>9079.370999999999</v>
      </c>
      <c r="D18">
        <f>VLOOKUP(B18,PWT!A:B,2,FALSE)</f>
        <v/>
      </c>
      <c r="E18">
        <f>C18/D18</f>
        <v/>
      </c>
    </row>
    <row r="19">
      <c r="A19" t="inlineStr">
        <is>
          <t>2017-12-31</t>
        </is>
      </c>
      <c r="B19" t="n">
        <v>2017</v>
      </c>
      <c r="C19" t="n">
        <v>9126.698</v>
      </c>
      <c r="D19">
        <f>VLOOKUP(B19,PWT!A:B,2,FALSE)</f>
        <v/>
      </c>
      <c r="E19">
        <f>C19/D19</f>
        <v/>
      </c>
    </row>
    <row r="20">
      <c r="A20" t="inlineStr">
        <is>
          <t>2018-12-31</t>
        </is>
      </c>
      <c r="B20" t="n">
        <v>2018</v>
      </c>
      <c r="C20" t="n">
        <v>9174.025</v>
      </c>
      <c r="D20">
        <f>VLOOKUP(B20,PWT!A:B,2,FALSE)</f>
        <v/>
      </c>
      <c r="E20">
        <f>C20/D20</f>
        <v/>
      </c>
    </row>
    <row r="21">
      <c r="A21" t="inlineStr">
        <is>
          <t>2019-12-31</t>
        </is>
      </c>
      <c r="B21" t="n">
        <v>2019</v>
      </c>
      <c r="C21" t="n">
        <v>9221.351999999999</v>
      </c>
      <c r="D21">
        <f>VLOOKUP(B21,PWT!A:B,2,FALSE)</f>
        <v/>
      </c>
      <c r="E21">
        <f>C21/D21</f>
        <v/>
      </c>
    </row>
    <row r="22">
      <c r="A22" t="inlineStr">
        <is>
          <t>2020-12-31</t>
        </is>
      </c>
      <c r="B22" t="n">
        <v>2020</v>
      </c>
      <c r="C22" t="n">
        <v>9268.679</v>
      </c>
      <c r="D22">
        <f>VLOOKUP(B22,PWT!A:B,2,FALSE)</f>
        <v/>
      </c>
      <c r="E22">
        <f>C22/D22</f>
        <v/>
      </c>
    </row>
    <row r="23">
      <c r="A23" t="inlineStr">
        <is>
          <t>2021-12-31</t>
        </is>
      </c>
      <c r="B23" t="n">
        <v>2021</v>
      </c>
      <c r="C23" t="n">
        <v>9316.005999999999</v>
      </c>
      <c r="D23">
        <f>VLOOKUP(B23,PWT!A:B,2,FALSE)</f>
        <v/>
      </c>
      <c r="E23">
        <f>C23/D23</f>
        <v/>
      </c>
    </row>
    <row r="24">
      <c r="A24" t="inlineStr">
        <is>
          <t>2022-12-31</t>
        </is>
      </c>
      <c r="B24" t="n">
        <v>2022</v>
      </c>
      <c r="C24" t="n">
        <v>9363.333000000001</v>
      </c>
      <c r="D24">
        <f>VLOOKUP(B24,PWT!A:B,2,FALSE)</f>
        <v/>
      </c>
      <c r="E24">
        <f>C24/D24</f>
        <v/>
      </c>
    </row>
    <row r="25">
      <c r="A25" t="inlineStr">
        <is>
          <t>2023-12-31</t>
        </is>
      </c>
      <c r="B25" t="n">
        <v>2023</v>
      </c>
      <c r="C25" t="n">
        <v>9410.66</v>
      </c>
      <c r="D25">
        <f>VLOOKUP(B25,PWT!A:B,2,FALSE)</f>
        <v/>
      </c>
      <c r="E25">
        <f>C25/D25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B2" sqref="B2:E42"/>
    </sheetView>
  </sheetViews>
  <sheetFormatPr baseColWidth="8" defaultRowHeight="12.45"/>
  <sheetData>
    <row r="1">
      <c r="A1" t="inlineStr">
        <is>
          <t>year</t>
        </is>
      </c>
      <c r="B1" t="inlineStr">
        <is>
          <t>rnna</t>
        </is>
      </c>
    </row>
    <row r="2">
      <c r="A2" s="19" t="n">
        <v>2000</v>
      </c>
      <c r="B2" s="19" t="n">
        <v>95456.79431363357</v>
      </c>
    </row>
    <row r="3">
      <c r="A3" s="19" t="n">
        <v>2001</v>
      </c>
      <c r="B3" s="19" t="n">
        <v>99752.35005774707</v>
      </c>
    </row>
    <row r="4">
      <c r="A4" s="19" t="n">
        <v>2002</v>
      </c>
      <c r="B4" s="19" t="n">
        <v>105238.7293109232</v>
      </c>
    </row>
    <row r="5">
      <c r="A5" s="19" t="n">
        <v>2003</v>
      </c>
      <c r="B5" s="19" t="n">
        <v>116920.2282644356</v>
      </c>
    </row>
    <row r="6">
      <c r="A6" s="19" t="n">
        <v>2004</v>
      </c>
      <c r="B6" s="19" t="n">
        <v>124169.2824168306</v>
      </c>
    </row>
    <row r="7">
      <c r="A7" s="19" t="n">
        <v>2005</v>
      </c>
      <c r="B7" s="19" t="n">
        <v>136089.5335288464</v>
      </c>
    </row>
    <row r="8">
      <c r="A8" s="19" t="n">
        <v>2006</v>
      </c>
      <c r="B8" s="19" t="n">
        <v>148881.9496805579</v>
      </c>
    </row>
    <row r="9">
      <c r="A9" s="19" t="n">
        <v>2007</v>
      </c>
      <c r="B9" s="19" t="n">
        <v>167641.0753403082</v>
      </c>
    </row>
    <row r="10">
      <c r="A10" s="19" t="n">
        <v>2008</v>
      </c>
      <c r="B10" s="19" t="n">
        <v>171496.8200731353</v>
      </c>
    </row>
    <row r="11">
      <c r="A11" s="19" t="n">
        <v>2009</v>
      </c>
      <c r="B11" s="19" t="n">
        <v>165151.4377304293</v>
      </c>
    </row>
    <row r="12">
      <c r="A12" s="19" t="n">
        <v>2010</v>
      </c>
      <c r="B12" s="19" t="n">
        <v>175555.9783074463</v>
      </c>
    </row>
    <row r="13">
      <c r="A13" s="19" t="n">
        <v>2011</v>
      </c>
      <c r="B13" s="19" t="n">
        <v>188196.0087455825</v>
      </c>
    </row>
    <row r="14">
      <c r="A14" s="19" t="n">
        <v>2012</v>
      </c>
      <c r="B14" s="19" t="n">
        <v>199864.1612878086</v>
      </c>
    </row>
    <row r="15">
      <c r="A15" s="19" t="n">
        <v>2013</v>
      </c>
      <c r="B15" s="19" t="n">
        <v>206459.6786103063</v>
      </c>
    </row>
    <row r="16">
      <c r="A16" s="19" t="n">
        <v>2014</v>
      </c>
      <c r="B16" s="19" t="n">
        <v>215956.8238263804</v>
      </c>
    </row>
    <row r="17">
      <c r="A17" s="19" t="n">
        <v>2015</v>
      </c>
      <c r="B17" s="19" t="n">
        <v>222219.5717173454</v>
      </c>
    </row>
    <row r="18">
      <c r="A18" s="19" t="n">
        <v>2016</v>
      </c>
      <c r="B18" s="19" t="n">
        <v>228441.7197254311</v>
      </c>
    </row>
    <row r="19">
      <c r="A19" s="19" t="n">
        <v>2017</v>
      </c>
      <c r="B19" s="19" t="n">
        <v>239406.9222722518</v>
      </c>
    </row>
    <row r="20">
      <c r="A20" s="19" t="n">
        <v>2018</v>
      </c>
      <c r="B20" s="19" t="n">
        <v>250659.0476190476</v>
      </c>
    </row>
    <row r="21">
      <c r="A21" s="19" t="n">
        <v>2019</v>
      </c>
      <c r="B21" s="19" t="n">
        <v>263192</v>
      </c>
    </row>
    <row r="22">
      <c r="A22" s="19" t="n">
        <v>2020</v>
      </c>
      <c r="B22" s="19" t="n">
        <v>246610.904</v>
      </c>
    </row>
    <row r="23">
      <c r="A23" s="19" t="n">
        <v>2021</v>
      </c>
      <c r="B23" s="19" t="n">
        <v>272505.04892</v>
      </c>
    </row>
    <row r="24">
      <c r="A24" s="19" t="n">
        <v>2022</v>
      </c>
      <c r="B24" s="19" t="n">
        <v>302480.6043012001</v>
      </c>
    </row>
    <row r="25">
      <c r="A25" s="19" t="n">
        <v>2023</v>
      </c>
      <c r="B25" s="19" t="n">
        <v>326074.0914366937</v>
      </c>
    </row>
    <row r="26">
      <c r="A26" s="19" t="n"/>
      <c r="B26" s="19" t="n"/>
    </row>
    <row r="27">
      <c r="A27" s="19" t="n"/>
      <c r="B27" s="19" t="n"/>
    </row>
    <row r="28">
      <c r="A28" s="19" t="n"/>
      <c r="B28" s="19" t="n"/>
    </row>
    <row r="29">
      <c r="A29" s="19" t="n"/>
      <c r="B29" s="19" t="n"/>
    </row>
    <row r="30">
      <c r="A30" s="19" t="n"/>
      <c r="B30" s="19" t="n"/>
    </row>
    <row r="31">
      <c r="A31" s="19" t="n"/>
      <c r="B31" s="19" t="n"/>
    </row>
    <row r="32">
      <c r="A32" s="19" t="n"/>
      <c r="B32" s="19" t="n"/>
    </row>
    <row r="33">
      <c r="A33" s="19" t="n"/>
      <c r="B33" s="19" t="n"/>
    </row>
    <row r="34">
      <c r="A34" s="19" t="n"/>
      <c r="B34" s="19" t="n"/>
    </row>
    <row r="35">
      <c r="A35" s="19" t="n"/>
      <c r="B35" s="19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H24" sqref="H24"/>
    </sheetView>
  </sheetViews>
  <sheetFormatPr baseColWidth="8" defaultRowHeight="12.45"/>
  <sheetData>
    <row r="1">
      <c r="A1" t="inlineStr">
        <is>
          <t>Year</t>
        </is>
      </c>
      <c r="B1" t="inlineStr">
        <is>
          <t>NGDP_R</t>
        </is>
      </c>
      <c r="C1" t="inlineStr">
        <is>
          <t>NGDP_RPCH</t>
        </is>
      </c>
      <c r="D1" t="n">
        <v>915</v>
      </c>
    </row>
    <row r="2">
      <c r="A2" t="n">
        <v>2000</v>
      </c>
      <c r="B2" t="n">
        <v>13613.46581352366</v>
      </c>
      <c r="C2" t="n">
        <v>1.6</v>
      </c>
    </row>
    <row r="3">
      <c r="A3" t="n">
        <v>2001</v>
      </c>
      <c r="B3" t="n">
        <v>14226.07177513222</v>
      </c>
      <c r="C3" t="n">
        <v>4.5</v>
      </c>
    </row>
    <row r="4">
      <c r="A4" t="n">
        <v>2002</v>
      </c>
      <c r="B4" t="n">
        <v>15008.50572276449</v>
      </c>
      <c r="C4" t="n">
        <v>5.5</v>
      </c>
    </row>
    <row r="5">
      <c r="A5" t="n">
        <v>2003</v>
      </c>
      <c r="B5" t="n">
        <v>16674.44985799135</v>
      </c>
      <c r="C5" t="n">
        <v>11.1</v>
      </c>
    </row>
    <row r="6">
      <c r="A6" t="n">
        <v>2004</v>
      </c>
      <c r="B6" t="n">
        <v>17708.26574918681</v>
      </c>
      <c r="C6" t="n">
        <v>6.2</v>
      </c>
    </row>
    <row r="7">
      <c r="A7" t="n">
        <v>2005</v>
      </c>
      <c r="B7" t="n">
        <v>19408.25926110875</v>
      </c>
      <c r="C7" t="n">
        <v>9.6</v>
      </c>
    </row>
    <row r="8">
      <c r="A8" t="n">
        <v>2006</v>
      </c>
      <c r="B8" t="n">
        <v>21232.63563165297</v>
      </c>
      <c r="C8" t="n">
        <v>9.4</v>
      </c>
    </row>
    <row r="9">
      <c r="A9" t="n">
        <v>2007</v>
      </c>
      <c r="B9" t="n">
        <v>23907.94772124124</v>
      </c>
      <c r="C9" t="n">
        <v>12.6</v>
      </c>
    </row>
    <row r="10">
      <c r="A10" t="n">
        <v>2008</v>
      </c>
      <c r="B10" t="n">
        <v>24457.83051882979</v>
      </c>
      <c r="C10" t="n">
        <v>2.3</v>
      </c>
    </row>
    <row r="11">
      <c r="A11" t="n">
        <v>2009</v>
      </c>
      <c r="B11" t="n">
        <v>23552.89078963309</v>
      </c>
      <c r="C11" t="n">
        <v>-3.7</v>
      </c>
    </row>
    <row r="12">
      <c r="A12" t="n">
        <v>2010</v>
      </c>
      <c r="B12" t="n">
        <v>25036.72290937997</v>
      </c>
      <c r="C12" t="n">
        <v>6.3</v>
      </c>
    </row>
    <row r="13">
      <c r="A13" t="n">
        <v>2011</v>
      </c>
      <c r="B13" t="n">
        <v>26839.36695885533</v>
      </c>
      <c r="C13" t="n">
        <v>7.2</v>
      </c>
    </row>
    <row r="14">
      <c r="A14" t="n">
        <v>2012</v>
      </c>
      <c r="B14" t="n">
        <v>28503.40771030436</v>
      </c>
      <c r="C14" t="n">
        <v>6.2</v>
      </c>
    </row>
    <row r="15">
      <c r="A15" t="n">
        <v>2013</v>
      </c>
      <c r="B15" t="n">
        <v>29444.0201647444</v>
      </c>
      <c r="C15" t="n">
        <v>3.3</v>
      </c>
    </row>
    <row r="16">
      <c r="A16" t="n">
        <v>2014</v>
      </c>
      <c r="B16" t="n">
        <v>30798.44509232264</v>
      </c>
      <c r="C16" t="n">
        <v>4.6</v>
      </c>
    </row>
    <row r="17">
      <c r="A17" t="n">
        <v>2015</v>
      </c>
      <c r="B17" t="n">
        <v>31691.6</v>
      </c>
      <c r="C17" t="n">
        <v>2.9</v>
      </c>
    </row>
    <row r="18">
      <c r="A18" t="n">
        <v>2016</v>
      </c>
      <c r="B18" t="n">
        <v>32578.9648</v>
      </c>
      <c r="C18" t="n">
        <v>2.8</v>
      </c>
    </row>
    <row r="19">
      <c r="A19" t="n">
        <v>2017</v>
      </c>
      <c r="B19" t="n">
        <v>34142.7551104</v>
      </c>
      <c r="C19" t="n">
        <v>4.8</v>
      </c>
    </row>
    <row r="20">
      <c r="A20" t="n">
        <v>2018</v>
      </c>
      <c r="B20" t="n">
        <v>35747.4646005888</v>
      </c>
      <c r="C20" t="n">
        <v>4.7</v>
      </c>
    </row>
    <row r="21">
      <c r="A21" t="n">
        <v>2019</v>
      </c>
      <c r="B21" t="n">
        <v>37534.83783061824</v>
      </c>
      <c r="C21" t="n">
        <v>5</v>
      </c>
    </row>
    <row r="22">
      <c r="A22" t="n">
        <v>2020</v>
      </c>
      <c r="B22" t="n">
        <v>35170.1430472893</v>
      </c>
      <c r="C22" t="n">
        <v>-6.3</v>
      </c>
    </row>
    <row r="23">
      <c r="A23" t="n">
        <v>2021</v>
      </c>
      <c r="B23" t="n">
        <v>38863.00806725468</v>
      </c>
      <c r="C23" t="n">
        <v>10.5</v>
      </c>
    </row>
    <row r="24">
      <c r="A24" t="n">
        <v>2022</v>
      </c>
      <c r="B24" t="n">
        <v>43137.93895465269</v>
      </c>
      <c r="C24" t="n">
        <v>11</v>
      </c>
    </row>
    <row r="25">
      <c r="A25" t="n">
        <v>2023</v>
      </c>
      <c r="B25" t="n">
        <v>46502.6981931156</v>
      </c>
      <c r="C25" t="n">
        <v>7.8</v>
      </c>
    </row>
    <row r="26">
      <c r="A26" t="n">
        <v>2024</v>
      </c>
      <c r="B26" t="n">
        <v>50687.94103049601</v>
      </c>
      <c r="C26" t="n">
        <v>9</v>
      </c>
    </row>
    <row r="27">
      <c r="A27" t="n">
        <v>2025</v>
      </c>
      <c r="B27" t="n">
        <v>54337.47278469173</v>
      </c>
      <c r="C27" t="n">
        <v>7.2</v>
      </c>
    </row>
    <row r="28">
      <c r="A28" t="n">
        <v>2026</v>
      </c>
      <c r="B28" t="n">
        <v>57217.35884228039</v>
      </c>
      <c r="C28" t="n">
        <v>5.3</v>
      </c>
    </row>
    <row r="29">
      <c r="A29" t="n">
        <v>2027</v>
      </c>
      <c r="B29" t="n">
        <v>60078.22678439441</v>
      </c>
      <c r="C29" t="n">
        <v>5</v>
      </c>
    </row>
    <row r="30">
      <c r="A30" t="n">
        <v>2028</v>
      </c>
      <c r="B30" t="n">
        <v>63082.13812361413</v>
      </c>
      <c r="C30" t="n">
        <v>5</v>
      </c>
    </row>
    <row r="31">
      <c r="A31" t="n">
        <v>2029</v>
      </c>
      <c r="B31" t="n">
        <v>66236.24502979484</v>
      </c>
      <c r="C31" t="n">
        <v>5</v>
      </c>
    </row>
    <row r="32">
      <c r="A32" t="n">
        <v>2030</v>
      </c>
      <c r="B32" t="n">
        <v>69548.05728128458</v>
      </c>
      <c r="C32" t="n">
        <v>5</v>
      </c>
    </row>
    <row r="33">
      <c r="A33" t="n">
        <v>2031</v>
      </c>
      <c r="B33" t="n">
        <v>73025.46014534881</v>
      </c>
      <c r="C33" t="n">
        <v>5</v>
      </c>
    </row>
    <row r="34">
      <c r="A34" t="n">
        <v>2032</v>
      </c>
      <c r="B34" t="n">
        <v>76676.73315261626</v>
      </c>
      <c r="C34" t="n">
        <v>5</v>
      </c>
    </row>
    <row r="35">
      <c r="A35" t="n">
        <v>2033</v>
      </c>
      <c r="B35" t="n">
        <v>80510.56981024708</v>
      </c>
      <c r="C35" t="n">
        <v>5</v>
      </c>
    </row>
    <row r="36">
      <c r="A36" t="n">
        <v>2034</v>
      </c>
      <c r="B36" t="n">
        <v>84536.09830075943</v>
      </c>
      <c r="C36" t="n">
        <v>5</v>
      </c>
    </row>
    <row r="37">
      <c r="A37" t="n">
        <v>2035</v>
      </c>
      <c r="B37" t="n">
        <v>88762.90321579741</v>
      </c>
      <c r="C37" t="n">
        <v>5</v>
      </c>
    </row>
    <row r="38">
      <c r="A38" t="n">
        <v>2036</v>
      </c>
      <c r="B38" t="n">
        <v>93201.04837658729</v>
      </c>
      <c r="C38" t="n">
        <v>5</v>
      </c>
    </row>
    <row r="39">
      <c r="A39" t="n">
        <v>2037</v>
      </c>
      <c r="B39" t="n">
        <v>97861.10079541666</v>
      </c>
      <c r="C39" t="n">
        <v>5</v>
      </c>
    </row>
    <row r="40">
      <c r="A40" t="n">
        <v>2038</v>
      </c>
      <c r="B40" t="n">
        <v>102754.1558351875</v>
      </c>
      <c r="C40" t="n">
        <v>5</v>
      </c>
    </row>
    <row r="41">
      <c r="A41" t="n">
        <v>2039</v>
      </c>
      <c r="B41" t="n">
        <v>107891.8636269469</v>
      </c>
      <c r="C41" t="n">
        <v>5</v>
      </c>
    </row>
    <row r="42">
      <c r="A42" t="n">
        <v>2040</v>
      </c>
      <c r="B42" t="n">
        <v>113286.4568082942</v>
      </c>
      <c r="C42" t="n">
        <v>5</v>
      </c>
    </row>
    <row r="43">
      <c r="A43" t="n">
        <v>2041</v>
      </c>
      <c r="B43" t="n">
        <v>118950.779648709</v>
      </c>
      <c r="C43" t="n">
        <v>5</v>
      </c>
    </row>
    <row r="44">
      <c r="A44" t="n">
        <v>2042</v>
      </c>
      <c r="B44" t="n">
        <v>124898.3186311444</v>
      </c>
      <c r="C44" t="n">
        <v>5</v>
      </c>
    </row>
    <row r="45">
      <c r="A45" t="n">
        <v>2043</v>
      </c>
      <c r="B45" t="n">
        <v>131143.2345627016</v>
      </c>
      <c r="C45" t="n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Shuyi</dc:creator>
  <dcterms:created xsi:type="dcterms:W3CDTF">2026-01-19T01:35:29Z</dcterms:created>
  <dcterms:modified xsi:type="dcterms:W3CDTF">2026-01-29T09:44:44Z</dcterms:modified>
  <cp:lastModifiedBy>Wang, Shuyi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0c07ed86-5dc5-4593-ad03-a8684b843815_Enabled" fmtid="{D5CDD505-2E9C-101B-9397-08002B2CF9AE}" pid="2">
    <vt:lpwstr>true</vt:lpwstr>
  </property>
  <property name="MSIP_Label_0c07ed86-5dc5-4593-ad03-a8684b843815_SetDate" fmtid="{D5CDD505-2E9C-101B-9397-08002B2CF9AE}" pid="3">
    <vt:lpwstr>2026-01-19T03:31:25Z</vt:lpwstr>
  </property>
  <property name="MSIP_Label_0c07ed86-5dc5-4593-ad03-a8684b843815_Method" fmtid="{D5CDD505-2E9C-101B-9397-08002B2CF9AE}" pid="4">
    <vt:lpwstr>Standard</vt:lpwstr>
  </property>
  <property name="MSIP_Label_0c07ed86-5dc5-4593-ad03-a8684b843815_Name" fmtid="{D5CDD505-2E9C-101B-9397-08002B2CF9AE}" pid="5">
    <vt:lpwstr>0c07ed86-5dc5-4593-ad03-a8684b843815</vt:lpwstr>
  </property>
  <property name="MSIP_Label_0c07ed86-5dc5-4593-ad03-a8684b843815_SiteId" fmtid="{D5CDD505-2E9C-101B-9397-08002B2CF9AE}" pid="6">
    <vt:lpwstr>8085fa43-302e-45bd-b171-a6648c3b6be7</vt:lpwstr>
  </property>
  <property name="MSIP_Label_0c07ed86-5dc5-4593-ad03-a8684b843815_ActionId" fmtid="{D5CDD505-2E9C-101B-9397-08002B2CF9AE}" pid="7">
    <vt:lpwstr>56772174-05a0-49ce-8b7c-60ea98bff72c</vt:lpwstr>
  </property>
  <property name="MSIP_Label_0c07ed86-5dc5-4593-ad03-a8684b843815_ContentBits" fmtid="{D5CDD505-2E9C-101B-9397-08002B2CF9AE}" pid="8">
    <vt:lpwstr>0</vt:lpwstr>
  </property>
  <property name="MSIP_Label_0c07ed86-5dc5-4593-ad03-a8684b843815_Tag" fmtid="{D5CDD505-2E9C-101B-9397-08002B2CF9AE}" pid="9">
    <vt:lpwstr>10, 3, 0, 1</vt:lpwstr>
  </property>
</Properties>
</file>