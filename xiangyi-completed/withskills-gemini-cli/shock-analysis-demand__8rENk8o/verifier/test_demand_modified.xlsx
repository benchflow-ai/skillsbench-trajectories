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 GDP Growth (%)</t>
        </is>
      </c>
      <c r="C1" s="1" t="inlineStr">
        <is>
          <t>Real GDP (Bn GEL, 2015 prices)</t>
        </is>
      </c>
      <c r="D1" s="1" t="inlineStr">
        <is>
          <t>Nominal GDP (Bn GEL)</t>
        </is>
      </c>
      <c r="E1" s="1" t="inlineStr">
        <is>
          <t>GDP Deflator (Index)</t>
        </is>
      </c>
      <c r="F1" s="1" t="inlineStr">
        <is>
          <t>Deflator Growth (%)</t>
        </is>
      </c>
      <c r="G1" s="1" t="n"/>
      <c r="H1" s="1" t="inlineStr">
        <is>
          <t>Avg Deflator Growth (2022-2025)</t>
        </is>
      </c>
    </row>
    <row r="2">
      <c r="A2" t="n">
        <v>2020</v>
      </c>
      <c r="B2" t="n">
        <v>-0.063</v>
      </c>
      <c r="C2" t="n">
        <v>37.52260397830018</v>
      </c>
      <c r="D2" t="n">
        <v>49.8</v>
      </c>
      <c r="E2">
        <f>D2/C2</f>
        <v/>
      </c>
      <c r="F2" t="n">
        <v>0</v>
      </c>
      <c r="H2">
        <f>AVERAGE(F4:F7)</f>
        <v/>
      </c>
    </row>
    <row r="3">
      <c r="A3" t="n">
        <v>2021</v>
      </c>
      <c r="B3">
        <f>(C3-C2)/C2</f>
        <v/>
      </c>
      <c r="C3" t="n">
        <v>41.5</v>
      </c>
      <c r="D3" t="n">
        <v>60.7</v>
      </c>
      <c r="E3">
        <f>D3/C3</f>
        <v/>
      </c>
      <c r="F3">
        <f>(E3-E2)/E2</f>
        <v/>
      </c>
    </row>
    <row r="4">
      <c r="A4" t="n">
        <v>2022</v>
      </c>
      <c r="B4">
        <f>(C4-C3)/C3</f>
        <v/>
      </c>
      <c r="C4" t="n">
        <v>45.98200000000001</v>
      </c>
      <c r="D4" t="n">
        <v>72.90000000000001</v>
      </c>
      <c r="E4">
        <f>D4/C4</f>
        <v/>
      </c>
      <c r="F4">
        <f>(E4-E3)/E3</f>
        <v/>
      </c>
    </row>
    <row r="5">
      <c r="A5" t="n">
        <v>2023</v>
      </c>
      <c r="B5">
        <f>(C5-C4)/C4</f>
        <v/>
      </c>
      <c r="C5" t="n">
        <v>49.56859600000001</v>
      </c>
      <c r="D5" t="n">
        <v>80.2</v>
      </c>
      <c r="E5">
        <f>D5/C5</f>
        <v/>
      </c>
      <c r="F5">
        <f>(E5-E4)/E4</f>
        <v/>
      </c>
    </row>
    <row r="6">
      <c r="A6" t="n">
        <v>2024</v>
      </c>
      <c r="B6">
        <f>(C6-C5)/C5</f>
        <v/>
      </c>
      <c r="C6" t="n">
        <v>53.33580929600001</v>
      </c>
      <c r="D6" t="n">
        <v>90.5</v>
      </c>
      <c r="E6">
        <f>D6/C6</f>
        <v/>
      </c>
      <c r="F6">
        <f>(E6-E5)/E5</f>
        <v/>
      </c>
    </row>
    <row r="7">
      <c r="A7" t="n">
        <v>2025</v>
      </c>
      <c r="B7">
        <f>(C7-C6)/C6</f>
        <v/>
      </c>
      <c r="C7" t="n">
        <v>56.53595785376002</v>
      </c>
      <c r="D7" t="n">
        <v>100.2</v>
      </c>
      <c r="E7">
        <f>D7/C7</f>
        <v/>
      </c>
      <c r="F7">
        <f>(E7-E6)/E6</f>
        <v/>
      </c>
    </row>
    <row r="8">
      <c r="A8" t="n">
        <v>2026</v>
      </c>
      <c r="B8" t="n">
        <v>0.05</v>
      </c>
      <c r="C8">
        <f>C7*(1+B8)</f>
        <v/>
      </c>
      <c r="D8">
        <f>C8*E8</f>
        <v/>
      </c>
      <c r="E8">
        <f>E7*(1+F8)</f>
        <v/>
      </c>
      <c r="F8">
        <f>$H$2</f>
        <v/>
      </c>
    </row>
    <row r="9">
      <c r="A9" t="n">
        <v>2027</v>
      </c>
      <c r="B9" t="n">
        <v>0.05</v>
      </c>
      <c r="C9">
        <f>C8*(1+B9)</f>
        <v/>
      </c>
      <c r="D9">
        <f>C9*E9</f>
        <v/>
      </c>
      <c r="E9">
        <f>E8*(1+F9)</f>
        <v/>
      </c>
      <c r="F9">
        <f>$H$2</f>
        <v/>
      </c>
    </row>
    <row r="10">
      <c r="A10" t="n">
        <v>2028</v>
      </c>
      <c r="B10" t="n">
        <v>0.05</v>
      </c>
      <c r="C10">
        <f>C9*(1+B10)</f>
        <v/>
      </c>
      <c r="D10">
        <f>C10*E10</f>
        <v/>
      </c>
      <c r="E10">
        <f>E9*(1+F10)</f>
        <v/>
      </c>
      <c r="F10">
        <f>$H$2</f>
        <v/>
      </c>
    </row>
    <row r="11">
      <c r="A11" t="n">
        <v>2029</v>
      </c>
      <c r="B11" t="n">
        <v>0.05</v>
      </c>
      <c r="C11">
        <f>C10*(1+B11)</f>
        <v/>
      </c>
      <c r="D11">
        <f>C11*E11</f>
        <v/>
      </c>
      <c r="E11">
        <f>E10*(1+F11)</f>
        <v/>
      </c>
      <c r="F11">
        <f>$H$2</f>
        <v/>
      </c>
    </row>
    <row r="12">
      <c r="A12" t="n">
        <v>2030</v>
      </c>
      <c r="B12" t="n">
        <v>0.05</v>
      </c>
      <c r="C12">
        <f>C11*(1+B12)</f>
        <v/>
      </c>
      <c r="D12">
        <f>C12*E12</f>
        <v/>
      </c>
      <c r="E12">
        <f>E11*(1+F12)</f>
        <v/>
      </c>
      <c r="F12">
        <f>$H$2</f>
        <v/>
      </c>
    </row>
    <row r="13">
      <c r="A13" t="n">
        <v>2031</v>
      </c>
      <c r="B13" t="n">
        <v>0.05</v>
      </c>
      <c r="C13">
        <f>C12*(1+B13)</f>
        <v/>
      </c>
      <c r="D13">
        <f>C13*E13</f>
        <v/>
      </c>
      <c r="E13">
        <f>E12*(1+F13)</f>
        <v/>
      </c>
      <c r="F13">
        <f>$H$2</f>
        <v/>
      </c>
    </row>
    <row r="14">
      <c r="A14" t="n">
        <v>2032</v>
      </c>
      <c r="B14" t="n">
        <v>0.05</v>
      </c>
      <c r="C14">
        <f>C13*(1+B14)</f>
        <v/>
      </c>
      <c r="D14">
        <f>C14*E14</f>
        <v/>
      </c>
      <c r="E14">
        <f>E13*(1+F14)</f>
        <v/>
      </c>
      <c r="F14">
        <f>$H$2</f>
        <v/>
      </c>
    </row>
    <row r="15">
      <c r="A15" t="n">
        <v>2033</v>
      </c>
      <c r="B15" t="n">
        <v>0.05</v>
      </c>
      <c r="C15">
        <f>C14*(1+B15)</f>
        <v/>
      </c>
      <c r="D15">
        <f>C15*E15</f>
        <v/>
      </c>
      <c r="E15">
        <f>E14*(1+F15)</f>
        <v/>
      </c>
      <c r="F15">
        <f>$H$2</f>
        <v/>
      </c>
    </row>
    <row r="16">
      <c r="A16" t="n">
        <v>2034</v>
      </c>
      <c r="B16" t="n">
        <v>0.05</v>
      </c>
      <c r="C16">
        <f>C15*(1+B16)</f>
        <v/>
      </c>
      <c r="D16">
        <f>C16*E16</f>
        <v/>
      </c>
      <c r="E16">
        <f>E15*(1+F16)</f>
        <v/>
      </c>
      <c r="F16">
        <f>$H$2</f>
        <v/>
      </c>
    </row>
    <row r="17">
      <c r="A17" t="n">
        <v>2035</v>
      </c>
      <c r="B17" t="n">
        <v>0.05</v>
      </c>
      <c r="C17">
        <f>C16*(1+B17)</f>
        <v/>
      </c>
      <c r="D17">
        <f>C17*E17</f>
        <v/>
      </c>
      <c r="E17">
        <f>E16*(1+F17)</f>
        <v/>
      </c>
      <c r="F17">
        <f>$H$2</f>
        <v/>
      </c>
    </row>
    <row r="18">
      <c r="A18" t="n">
        <v>2036</v>
      </c>
      <c r="B18" t="n">
        <v>0.05</v>
      </c>
      <c r="C18">
        <f>C17*(1+B18)</f>
        <v/>
      </c>
      <c r="D18">
        <f>C18*E18</f>
        <v/>
      </c>
      <c r="E18">
        <f>E17*(1+F18)</f>
        <v/>
      </c>
      <c r="F18">
        <f>$H$2</f>
        <v/>
      </c>
    </row>
    <row r="19">
      <c r="A19" t="n">
        <v>2037</v>
      </c>
      <c r="B19" t="n">
        <v>0.05</v>
      </c>
      <c r="C19">
        <f>C18*(1+B19)</f>
        <v/>
      </c>
      <c r="D19">
        <f>C19*E19</f>
        <v/>
      </c>
      <c r="E19">
        <f>E18*(1+F19)</f>
        <v/>
      </c>
      <c r="F19">
        <f>$H$2</f>
        <v/>
      </c>
    </row>
    <row r="20">
      <c r="A20" t="n">
        <v>2038</v>
      </c>
      <c r="B20" t="n">
        <v>0.05</v>
      </c>
      <c r="C20">
        <f>C19*(1+B20)</f>
        <v/>
      </c>
      <c r="D20">
        <f>C20*E20</f>
        <v/>
      </c>
      <c r="E20">
        <f>E19*(1+F20)</f>
        <v/>
      </c>
      <c r="F20">
        <f>$H$2</f>
        <v/>
      </c>
    </row>
    <row r="21">
      <c r="A21" t="n">
        <v>2039</v>
      </c>
      <c r="B21" t="n">
        <v>0.05</v>
      </c>
      <c r="C21">
        <f>C20*(1+B21)</f>
        <v/>
      </c>
      <c r="D21">
        <f>C21*E21</f>
        <v/>
      </c>
      <c r="E21">
        <f>E20*(1+F21)</f>
        <v/>
      </c>
      <c r="F21">
        <f>$H$2</f>
        <v/>
      </c>
    </row>
    <row r="22">
      <c r="A22" t="n">
        <v>2040</v>
      </c>
      <c r="B22" t="n">
        <v>0.05</v>
      </c>
      <c r="C22">
        <f>C21*(1+B22)</f>
        <v/>
      </c>
      <c r="D22">
        <f>C22*E22</f>
        <v/>
      </c>
      <c r="E22">
        <f>E21*(1+F22)</f>
        <v/>
      </c>
      <c r="F22">
        <f>$H$2</f>
        <v/>
      </c>
    </row>
    <row r="23">
      <c r="A23" t="n">
        <v>2041</v>
      </c>
      <c r="B23" t="n">
        <v>0.05</v>
      </c>
      <c r="C23">
        <f>C22*(1+B23)</f>
        <v/>
      </c>
      <c r="D23">
        <f>C23*E23</f>
        <v/>
      </c>
      <c r="E23">
        <f>E22*(1+F23)</f>
        <v/>
      </c>
      <c r="F23">
        <f>$H$2</f>
        <v/>
      </c>
    </row>
    <row r="24">
      <c r="A24" t="n">
        <v>2042</v>
      </c>
      <c r="B24" t="n">
        <v>0.05</v>
      </c>
      <c r="C24">
        <f>C23*(1+B24)</f>
        <v/>
      </c>
      <c r="D24">
        <f>C24*E24</f>
        <v/>
      </c>
      <c r="E24">
        <f>E23*(1+F24)</f>
        <v/>
      </c>
      <c r="F24">
        <f>$H$2</f>
        <v/>
      </c>
    </row>
    <row r="25">
      <c r="A25" t="n">
        <v>2043</v>
      </c>
      <c r="B25" t="n">
        <v>0.05</v>
      </c>
      <c r="C25">
        <f>C24*(1+B25)</f>
        <v/>
      </c>
      <c r="D25">
        <f>C25*E25</f>
        <v/>
      </c>
      <c r="E25">
        <f>E24*(1+F25)</f>
        <v/>
      </c>
      <c r="F25">
        <f>$H$2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for Supply Table not found. Placeholder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for Use Table not found. Placeholder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Content Share Calculation</t>
        </is>
      </c>
    </row>
    <row r="46">
      <c r="C46" t="n">
        <v>0.6</v>
      </c>
      <c r="D46" t="inlineStr">
        <is>
          <t>Assumed value due to missing SUT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 GDP (Base)</t>
        </is>
      </c>
      <c r="C1" s="1" t="inlineStr">
        <is>
          <t>Project Alloc (%)</t>
        </is>
      </c>
      <c r="D1" s="1" t="inlineStr">
        <is>
          <t>Proj Inv (Nom GEL)</t>
        </is>
      </c>
      <c r="E1" s="1" t="inlineStr">
        <is>
          <t>Deflator</t>
        </is>
      </c>
      <c r="F1" s="1" t="inlineStr">
        <is>
          <t>Proj Inv (Real GEL)</t>
        </is>
      </c>
      <c r="G1" s="1" t="inlineStr">
        <is>
          <t>Import Leakage</t>
        </is>
      </c>
      <c r="H1" s="1" t="inlineStr">
        <is>
          <t>Net Demand (Real)</t>
        </is>
      </c>
      <c r="I1" s="1" t="inlineStr">
        <is>
          <t>GDP Impact (Real)</t>
        </is>
      </c>
      <c r="J1" s="1" t="inlineStr">
        <is>
          <t>Proj GDP (Real)</t>
        </is>
      </c>
      <c r="K1" s="1" t="inlineStr">
        <is>
          <t>Proj Growth (%)</t>
        </is>
      </c>
    </row>
    <row r="2">
      <c r="A2" t="n">
        <v>2020</v>
      </c>
      <c r="B2">
        <f>WEO_Data!C2</f>
        <v/>
      </c>
      <c r="C2" t="n">
        <v>0</v>
      </c>
      <c r="D2">
        <f>(6.5*$D$30)*C2</f>
        <v/>
      </c>
      <c r="E2">
        <f>WEO_Data!E2</f>
        <v/>
      </c>
      <c r="F2">
        <f>D2/E2</f>
        <v/>
      </c>
      <c r="G2">
        <f>F2*'SUT Calc'!$C$46</f>
        <v/>
      </c>
      <c r="H2">
        <f>F2-G2</f>
        <v/>
      </c>
      <c r="I2">
        <f>H2*$D$31</f>
        <v/>
      </c>
      <c r="J2">
        <f>B2+I2</f>
        <v/>
      </c>
      <c r="K2" t="n">
        <v>0</v>
      </c>
    </row>
    <row r="3">
      <c r="A3" t="n">
        <v>2021</v>
      </c>
      <c r="B3">
        <f>WEO_Data!C3</f>
        <v/>
      </c>
      <c r="C3" t="n">
        <v>0</v>
      </c>
      <c r="D3">
        <f>(6.5*$D$30)*C3</f>
        <v/>
      </c>
      <c r="E3">
        <f>WEO_Data!E3</f>
        <v/>
      </c>
      <c r="F3">
        <f>D3/E3</f>
        <v/>
      </c>
      <c r="G3">
        <f>F3*'SUT Calc'!$C$46</f>
        <v/>
      </c>
      <c r="H3">
        <f>F3-G3</f>
        <v/>
      </c>
      <c r="I3">
        <f>H3*$D$31</f>
        <v/>
      </c>
      <c r="J3">
        <f>B3+I3</f>
        <v/>
      </c>
      <c r="K3">
        <f>(J3/J2)-1</f>
        <v/>
      </c>
    </row>
    <row r="4">
      <c r="A4" t="n">
        <v>2022</v>
      </c>
      <c r="B4">
        <f>WEO_Data!C4</f>
        <v/>
      </c>
      <c r="C4" t="n">
        <v>0</v>
      </c>
      <c r="D4">
        <f>(6.5*$D$30)*C4</f>
        <v/>
      </c>
      <c r="E4">
        <f>WEO_Data!E4</f>
        <v/>
      </c>
      <c r="F4">
        <f>D4/E4</f>
        <v/>
      </c>
      <c r="G4">
        <f>F4*'SUT Calc'!$C$46</f>
        <v/>
      </c>
      <c r="H4">
        <f>F4-G4</f>
        <v/>
      </c>
      <c r="I4">
        <f>H4*$D$31</f>
        <v/>
      </c>
      <c r="J4">
        <f>B4+I4</f>
        <v/>
      </c>
      <c r="K4">
        <f>(J4/J3)-1</f>
        <v/>
      </c>
    </row>
    <row r="5">
      <c r="A5" t="n">
        <v>2023</v>
      </c>
      <c r="B5">
        <f>WEO_Data!C5</f>
        <v/>
      </c>
      <c r="C5" t="n">
        <v>0</v>
      </c>
      <c r="D5">
        <f>(6.5*$D$30)*C5</f>
        <v/>
      </c>
      <c r="E5">
        <f>WEO_Data!E5</f>
        <v/>
      </c>
      <c r="F5">
        <f>D5/E5</f>
        <v/>
      </c>
      <c r="G5">
        <f>F5*'SUT Calc'!$C$46</f>
        <v/>
      </c>
      <c r="H5">
        <f>F5-G5</f>
        <v/>
      </c>
      <c r="I5">
        <f>H5*$D$31</f>
        <v/>
      </c>
      <c r="J5">
        <f>B5+I5</f>
        <v/>
      </c>
      <c r="K5">
        <f>(J5/J4)-1</f>
        <v/>
      </c>
    </row>
    <row r="6">
      <c r="A6" t="n">
        <v>2024</v>
      </c>
      <c r="B6">
        <f>WEO_Data!C6</f>
        <v/>
      </c>
      <c r="C6" t="n">
        <v>0</v>
      </c>
      <c r="D6">
        <f>(6.5*$D$30)*C6</f>
        <v/>
      </c>
      <c r="E6">
        <f>WEO_Data!E6</f>
        <v/>
      </c>
      <c r="F6">
        <f>D6/E6</f>
        <v/>
      </c>
      <c r="G6">
        <f>F6*'SUT Calc'!$C$46</f>
        <v/>
      </c>
      <c r="H6">
        <f>F6-G6</f>
        <v/>
      </c>
      <c r="I6">
        <f>H6*$D$31</f>
        <v/>
      </c>
      <c r="J6">
        <f>B6+I6</f>
        <v/>
      </c>
      <c r="K6">
        <f>(J6/J5)-1</f>
        <v/>
      </c>
    </row>
    <row r="7">
      <c r="A7" t="n">
        <v>2025</v>
      </c>
      <c r="B7">
        <f>WEO_Data!C7</f>
        <v/>
      </c>
      <c r="C7" t="n">
        <v>0</v>
      </c>
      <c r="D7">
        <f>(6.5*$D$30)*C7</f>
        <v/>
      </c>
      <c r="E7">
        <f>WEO_Data!E7</f>
        <v/>
      </c>
      <c r="F7">
        <f>D7/E7</f>
        <v/>
      </c>
      <c r="G7">
        <f>F7*'SUT Calc'!$C$46</f>
        <v/>
      </c>
      <c r="H7">
        <f>F7-G7</f>
        <v/>
      </c>
      <c r="I7">
        <f>H7*$D$31</f>
        <v/>
      </c>
      <c r="J7">
        <f>B7+I7</f>
        <v/>
      </c>
      <c r="K7">
        <f>(J7/J6)-1</f>
        <v/>
      </c>
    </row>
    <row r="8">
      <c r="A8" t="n">
        <v>2026</v>
      </c>
      <c r="B8">
        <f>WEO_Data!C8</f>
        <v/>
      </c>
      <c r="C8" t="n">
        <v>0.05</v>
      </c>
      <c r="D8">
        <f>(6.5*$D$30)*C8</f>
        <v/>
      </c>
      <c r="E8">
        <f>WEO_Data!E8</f>
        <v/>
      </c>
      <c r="F8">
        <f>D8/E8</f>
        <v/>
      </c>
      <c r="G8">
        <f>F8*'SUT Calc'!$C$46</f>
        <v/>
      </c>
      <c r="H8">
        <f>F8-G8</f>
        <v/>
      </c>
      <c r="I8">
        <f>H8*$D$31</f>
        <v/>
      </c>
      <c r="J8">
        <f>B8+I8</f>
        <v/>
      </c>
      <c r="K8">
        <f>(J8/J7)-1</f>
        <v/>
      </c>
    </row>
    <row r="9">
      <c r="A9" t="n">
        <v>2027</v>
      </c>
      <c r="B9">
        <f>WEO_Data!C9</f>
        <v/>
      </c>
      <c r="C9" t="n">
        <v>0.1</v>
      </c>
      <c r="D9">
        <f>(6.5*$D$30)*C9</f>
        <v/>
      </c>
      <c r="E9">
        <f>WEO_Data!E9</f>
        <v/>
      </c>
      <c r="F9">
        <f>D9/E9</f>
        <v/>
      </c>
      <c r="G9">
        <f>F9*'SUT Calc'!$C$46</f>
        <v/>
      </c>
      <c r="H9">
        <f>F9-G9</f>
        <v/>
      </c>
      <c r="I9">
        <f>H9*$D$31</f>
        <v/>
      </c>
      <c r="J9">
        <f>B9+I9</f>
        <v/>
      </c>
      <c r="K9">
        <f>(J9/J8)-1</f>
        <v/>
      </c>
    </row>
    <row r="10">
      <c r="A10" t="n">
        <v>2028</v>
      </c>
      <c r="B10">
        <f>WEO_Data!C10</f>
        <v/>
      </c>
      <c r="C10" t="n">
        <v>0.15</v>
      </c>
      <c r="D10">
        <f>(6.5*$D$30)*C10</f>
        <v/>
      </c>
      <c r="E10">
        <f>WEO_Data!E10</f>
        <v/>
      </c>
      <c r="F10">
        <f>D10/E10</f>
        <v/>
      </c>
      <c r="G10">
        <f>F10*'SUT Calc'!$C$46</f>
        <v/>
      </c>
      <c r="H10">
        <f>F10-G10</f>
        <v/>
      </c>
      <c r="I10">
        <f>H10*$D$31</f>
        <v/>
      </c>
      <c r="J10">
        <f>B10+I10</f>
        <v/>
      </c>
      <c r="K10">
        <f>(J10/J9)-1</f>
        <v/>
      </c>
    </row>
    <row r="11">
      <c r="A11" t="n">
        <v>2029</v>
      </c>
      <c r="B11">
        <f>WEO_Data!C11</f>
        <v/>
      </c>
      <c r="C11" t="n">
        <v>0.2</v>
      </c>
      <c r="D11">
        <f>(6.5*$D$30)*C11</f>
        <v/>
      </c>
      <c r="E11">
        <f>WEO_Data!E11</f>
        <v/>
      </c>
      <c r="F11">
        <f>D11/E11</f>
        <v/>
      </c>
      <c r="G11">
        <f>F11*'SUT Calc'!$C$46</f>
        <v/>
      </c>
      <c r="H11">
        <f>F11-G11</f>
        <v/>
      </c>
      <c r="I11">
        <f>H11*$D$31</f>
        <v/>
      </c>
      <c r="J11">
        <f>B11+I11</f>
        <v/>
      </c>
      <c r="K11">
        <f>(J11/J10)-1</f>
        <v/>
      </c>
    </row>
    <row r="12">
      <c r="A12" t="n">
        <v>2030</v>
      </c>
      <c r="B12">
        <f>WEO_Data!C12</f>
        <v/>
      </c>
      <c r="C12" t="n">
        <v>0.2</v>
      </c>
      <c r="D12">
        <f>(6.5*$D$30)*C12</f>
        <v/>
      </c>
      <c r="E12">
        <f>WEO_Data!E12</f>
        <v/>
      </c>
      <c r="F12">
        <f>D12/E12</f>
        <v/>
      </c>
      <c r="G12">
        <f>F12*'SUT Calc'!$C$46</f>
        <v/>
      </c>
      <c r="H12">
        <f>F12-G12</f>
        <v/>
      </c>
      <c r="I12">
        <f>H12*$D$31</f>
        <v/>
      </c>
      <c r="J12">
        <f>B12+I12</f>
        <v/>
      </c>
      <c r="K12">
        <f>(J12/J11)-1</f>
        <v/>
      </c>
    </row>
    <row r="13">
      <c r="A13" t="n">
        <v>2031</v>
      </c>
      <c r="B13">
        <f>WEO_Data!C13</f>
        <v/>
      </c>
      <c r="C13" t="n">
        <v>0.15</v>
      </c>
      <c r="D13">
        <f>(6.5*$D$30)*C13</f>
        <v/>
      </c>
      <c r="E13">
        <f>WEO_Data!E13</f>
        <v/>
      </c>
      <c r="F13">
        <f>D13/E13</f>
        <v/>
      </c>
      <c r="G13">
        <f>F13*'SUT Calc'!$C$46</f>
        <v/>
      </c>
      <c r="H13">
        <f>F13-G13</f>
        <v/>
      </c>
      <c r="I13">
        <f>H13*$D$31</f>
        <v/>
      </c>
      <c r="J13">
        <f>B13+I13</f>
        <v/>
      </c>
      <c r="K13">
        <f>(J13/J12)-1</f>
        <v/>
      </c>
    </row>
    <row r="14">
      <c r="A14" t="n">
        <v>2032</v>
      </c>
      <c r="B14">
        <f>WEO_Data!C14</f>
        <v/>
      </c>
      <c r="C14" t="n">
        <v>0.1</v>
      </c>
      <c r="D14">
        <f>(6.5*$D$30)*C14</f>
        <v/>
      </c>
      <c r="E14">
        <f>WEO_Data!E14</f>
        <v/>
      </c>
      <c r="F14">
        <f>D14/E14</f>
        <v/>
      </c>
      <c r="G14">
        <f>F14*'SUT Calc'!$C$46</f>
        <v/>
      </c>
      <c r="H14">
        <f>F14-G14</f>
        <v/>
      </c>
      <c r="I14">
        <f>H14*$D$31</f>
        <v/>
      </c>
      <c r="J14">
        <f>B14+I14</f>
        <v/>
      </c>
      <c r="K14">
        <f>(J14/J13)-1</f>
        <v/>
      </c>
    </row>
    <row r="15">
      <c r="A15" t="n">
        <v>2033</v>
      </c>
      <c r="B15">
        <f>WEO_Data!C15</f>
        <v/>
      </c>
      <c r="C15" t="n">
        <v>0.05</v>
      </c>
      <c r="D15">
        <f>(6.5*$D$30)*C15</f>
        <v/>
      </c>
      <c r="E15">
        <f>WEO_Data!E15</f>
        <v/>
      </c>
      <c r="F15">
        <f>D15/E15</f>
        <v/>
      </c>
      <c r="G15">
        <f>F15*'SUT Calc'!$C$46</f>
        <v/>
      </c>
      <c r="H15">
        <f>F15-G15</f>
        <v/>
      </c>
      <c r="I15">
        <f>H15*$D$31</f>
        <v/>
      </c>
      <c r="J15">
        <f>B15+I15</f>
        <v/>
      </c>
      <c r="K15">
        <f>(J15/J14)-1</f>
        <v/>
      </c>
    </row>
    <row r="16">
      <c r="A16" t="n">
        <v>2034</v>
      </c>
      <c r="B16">
        <f>WEO_Data!C16</f>
        <v/>
      </c>
      <c r="C16" t="n">
        <v>0</v>
      </c>
      <c r="D16">
        <f>(6.5*$D$30)*C16</f>
        <v/>
      </c>
      <c r="E16">
        <f>WEO_Data!E16</f>
        <v/>
      </c>
      <c r="F16">
        <f>D16/E16</f>
        <v/>
      </c>
      <c r="G16">
        <f>F16*'SUT Calc'!$C$46</f>
        <v/>
      </c>
      <c r="H16">
        <f>F16-G16</f>
        <v/>
      </c>
      <c r="I16">
        <f>H16*$D$31</f>
        <v/>
      </c>
      <c r="J16">
        <f>B16+I16</f>
        <v/>
      </c>
      <c r="K16">
        <f>(J16/J15)-1</f>
        <v/>
      </c>
    </row>
    <row r="17">
      <c r="A17" t="n">
        <v>2035</v>
      </c>
      <c r="B17">
        <f>WEO_Data!C17</f>
        <v/>
      </c>
      <c r="C17" t="n">
        <v>0</v>
      </c>
      <c r="D17">
        <f>(6.5*$D$30)*C17</f>
        <v/>
      </c>
      <c r="E17">
        <f>WEO_Data!E17</f>
        <v/>
      </c>
      <c r="F17">
        <f>D17/E17</f>
        <v/>
      </c>
      <c r="G17">
        <f>F17*'SUT Calc'!$C$46</f>
        <v/>
      </c>
      <c r="H17">
        <f>F17-G17</f>
        <v/>
      </c>
      <c r="I17">
        <f>H17*$D$31</f>
        <v/>
      </c>
      <c r="J17">
        <f>B17+I17</f>
        <v/>
      </c>
      <c r="K17">
        <f>(J17/J16)-1</f>
        <v/>
      </c>
    </row>
    <row r="18">
      <c r="A18" t="n">
        <v>2036</v>
      </c>
      <c r="B18">
        <f>WEO_Data!C18</f>
        <v/>
      </c>
      <c r="C18" t="n">
        <v>0</v>
      </c>
      <c r="D18">
        <f>(6.5*$D$30)*C18</f>
        <v/>
      </c>
      <c r="E18">
        <f>WEO_Data!E18</f>
        <v/>
      </c>
      <c r="F18">
        <f>D18/E18</f>
        <v/>
      </c>
      <c r="G18">
        <f>F18*'SUT Calc'!$C$46</f>
        <v/>
      </c>
      <c r="H18">
        <f>F18-G18</f>
        <v/>
      </c>
      <c r="I18">
        <f>H18*$D$31</f>
        <v/>
      </c>
      <c r="J18">
        <f>B18+I18</f>
        <v/>
      </c>
      <c r="K18">
        <f>(J18/J17)-1</f>
        <v/>
      </c>
    </row>
    <row r="19">
      <c r="A19" t="n">
        <v>2037</v>
      </c>
      <c r="B19">
        <f>WEO_Data!C19</f>
        <v/>
      </c>
      <c r="C19" t="n">
        <v>0</v>
      </c>
      <c r="D19">
        <f>(6.5*$D$30)*C19</f>
        <v/>
      </c>
      <c r="E19">
        <f>WEO_Data!E19</f>
        <v/>
      </c>
      <c r="F19">
        <f>D19/E19</f>
        <v/>
      </c>
      <c r="G19">
        <f>F19*'SUT Calc'!$C$46</f>
        <v/>
      </c>
      <c r="H19">
        <f>F19-G19</f>
        <v/>
      </c>
      <c r="I19">
        <f>H19*$D$31</f>
        <v/>
      </c>
      <c r="J19">
        <f>B19+I19</f>
        <v/>
      </c>
      <c r="K19">
        <f>(J19/J18)-1</f>
        <v/>
      </c>
    </row>
    <row r="20">
      <c r="A20" t="n">
        <v>2038</v>
      </c>
      <c r="B20">
        <f>WEO_Data!C20</f>
        <v/>
      </c>
      <c r="C20" t="n">
        <v>0</v>
      </c>
      <c r="D20">
        <f>(6.5*$D$30)*C20</f>
        <v/>
      </c>
      <c r="E20">
        <f>WEO_Data!E20</f>
        <v/>
      </c>
      <c r="F20">
        <f>D20/E20</f>
        <v/>
      </c>
      <c r="G20">
        <f>F20*'SUT Calc'!$C$46</f>
        <v/>
      </c>
      <c r="H20">
        <f>F20-G20</f>
        <v/>
      </c>
      <c r="I20">
        <f>H20*$D$31</f>
        <v/>
      </c>
      <c r="J20">
        <f>B20+I20</f>
        <v/>
      </c>
      <c r="K20">
        <f>(J20/J19)-1</f>
        <v/>
      </c>
    </row>
    <row r="21">
      <c r="A21" t="n">
        <v>2039</v>
      </c>
      <c r="B21">
        <f>WEO_Data!C21</f>
        <v/>
      </c>
      <c r="C21" t="n">
        <v>0</v>
      </c>
      <c r="D21">
        <f>(6.5*$D$30)*C21</f>
        <v/>
      </c>
      <c r="E21">
        <f>WEO_Data!E21</f>
        <v/>
      </c>
      <c r="F21">
        <f>D21/E21</f>
        <v/>
      </c>
      <c r="G21">
        <f>F21*'SUT Calc'!$C$46</f>
        <v/>
      </c>
      <c r="H21">
        <f>F21-G21</f>
        <v/>
      </c>
      <c r="I21">
        <f>H21*$D$31</f>
        <v/>
      </c>
      <c r="J21">
        <f>B21+I21</f>
        <v/>
      </c>
      <c r="K21">
        <f>(J21/J20)-1</f>
        <v/>
      </c>
    </row>
    <row r="22">
      <c r="A22" t="n">
        <v>2040</v>
      </c>
      <c r="B22">
        <f>WEO_Data!C22</f>
        <v/>
      </c>
      <c r="C22" t="n">
        <v>0</v>
      </c>
      <c r="D22">
        <f>(6.5*$D$30)*C22</f>
        <v/>
      </c>
      <c r="E22">
        <f>WEO_Data!E22</f>
        <v/>
      </c>
      <c r="F22">
        <f>D22/E22</f>
        <v/>
      </c>
      <c r="G22">
        <f>F22*'SUT Calc'!$C$46</f>
        <v/>
      </c>
      <c r="H22">
        <f>F22-G22</f>
        <v/>
      </c>
      <c r="I22">
        <f>H22*$D$31</f>
        <v/>
      </c>
      <c r="J22">
        <f>B22+I22</f>
        <v/>
      </c>
      <c r="K22">
        <f>(J22/J21)-1</f>
        <v/>
      </c>
    </row>
    <row r="23">
      <c r="A23" t="n">
        <v>2041</v>
      </c>
      <c r="B23">
        <f>WEO_Data!C23</f>
        <v/>
      </c>
      <c r="C23" t="n">
        <v>0</v>
      </c>
      <c r="D23">
        <f>(6.5*$D$30)*C23</f>
        <v/>
      </c>
      <c r="E23">
        <f>WEO_Data!E23</f>
        <v/>
      </c>
      <c r="F23">
        <f>D23/E23</f>
        <v/>
      </c>
      <c r="G23">
        <f>F23*'SUT Calc'!$C$46</f>
        <v/>
      </c>
      <c r="H23">
        <f>F23-G23</f>
        <v/>
      </c>
      <c r="I23">
        <f>H23*$D$31</f>
        <v/>
      </c>
      <c r="J23">
        <f>B23+I23</f>
        <v/>
      </c>
      <c r="K23">
        <f>(J23/J22)-1</f>
        <v/>
      </c>
    </row>
    <row r="24">
      <c r="A24" t="n">
        <v>2042</v>
      </c>
      <c r="B24">
        <f>WEO_Data!C24</f>
        <v/>
      </c>
      <c r="C24" t="n">
        <v>0</v>
      </c>
      <c r="D24">
        <f>(6.5*$D$30)*C24</f>
        <v/>
      </c>
      <c r="E24">
        <f>WEO_Data!E24</f>
        <v/>
      </c>
      <c r="F24">
        <f>D24/E24</f>
        <v/>
      </c>
      <c r="G24">
        <f>F24*'SUT Calc'!$C$46</f>
        <v/>
      </c>
      <c r="H24">
        <f>F24-G24</f>
        <v/>
      </c>
      <c r="I24">
        <f>H24*$D$31</f>
        <v/>
      </c>
      <c r="J24">
        <f>B24+I24</f>
        <v/>
      </c>
      <c r="K24">
        <f>(J24/J23)-1</f>
        <v/>
      </c>
    </row>
    <row r="25">
      <c r="A25" t="n">
        <v>2043</v>
      </c>
      <c r="B25">
        <f>WEO_Data!C25</f>
        <v/>
      </c>
      <c r="C25" t="n">
        <v>0</v>
      </c>
      <c r="D25">
        <f>(6.5*$D$30)*C25</f>
        <v/>
      </c>
      <c r="E25">
        <f>WEO_Data!E25</f>
        <v/>
      </c>
      <c r="F25">
        <f>D25/E25</f>
        <v/>
      </c>
      <c r="G25">
        <f>F25*'SUT Calc'!$C$46</f>
        <v/>
      </c>
      <c r="H25">
        <f>F25-G25</f>
        <v/>
      </c>
      <c r="I25">
        <f>H25*$D$31</f>
        <v/>
      </c>
      <c r="J25">
        <f>B25+I25</f>
        <v/>
      </c>
      <c r="K25">
        <f>(J25/J24)-1</f>
        <v/>
      </c>
    </row>
    <row r="30">
      <c r="C30" t="inlineStr">
        <is>
          <t>Exchange Rate (GEL/USD)</t>
        </is>
      </c>
      <c r="D30" t="n">
        <v>2.746</v>
      </c>
    </row>
    <row r="31">
      <c r="C31" t="inlineStr">
        <is>
          <t>Demand Multiplier</t>
        </is>
      </c>
      <c r="D31" t="n">
        <v>0.8</v>
      </c>
    </row>
    <row r="32">
      <c r="C32" t="inlineStr">
        <is>
          <t>Project Allocation</t>
        </is>
      </c>
      <c r="D32" t="inlineStr">
        <is>
          <t>Bell Shape</t>
        </is>
      </c>
    </row>
    <row r="35">
      <c r="A35" s="1" t="inlineStr">
        <is>
          <t>Scenario 2: Multiplier = 1</t>
        </is>
      </c>
    </row>
    <row r="36">
      <c r="A36" t="inlineStr">
        <is>
          <t>Year</t>
        </is>
      </c>
      <c r="B36" t="inlineStr">
        <is>
          <t>Real GDP (Base)</t>
        </is>
      </c>
      <c r="C36" t="inlineStr">
        <is>
          <t>Project Alloc (%)</t>
        </is>
      </c>
      <c r="D36" t="inlineStr">
        <is>
          <t>Proj Inv (Nom GEL)</t>
        </is>
      </c>
      <c r="E36" t="inlineStr">
        <is>
          <t>Deflator</t>
        </is>
      </c>
      <c r="F36" t="inlineStr">
        <is>
          <t>Proj Inv (Real GEL)</t>
        </is>
      </c>
      <c r="G36" t="inlineStr">
        <is>
          <t>Import Leakage</t>
        </is>
      </c>
      <c r="H36" t="inlineStr">
        <is>
          <t>Net Demand (Real)</t>
        </is>
      </c>
      <c r="I36" t="inlineStr">
        <is>
          <t>GDP Impact (Real)</t>
        </is>
      </c>
      <c r="J36" t="inlineStr">
        <is>
          <t>Proj GDP (Real)</t>
        </is>
      </c>
      <c r="K36" t="inlineStr">
        <is>
          <t>Proj Growth (%)</t>
        </is>
      </c>
    </row>
    <row r="37">
      <c r="A37" t="n">
        <v>2020</v>
      </c>
      <c r="B37">
        <f>WEO_Data!C2</f>
        <v/>
      </c>
      <c r="C37">
        <f>C2</f>
        <v/>
      </c>
      <c r="D37">
        <f>(6.5*$D$30)*C37</f>
        <v/>
      </c>
      <c r="E37">
        <f>WEO_Data!E2</f>
        <v/>
      </c>
      <c r="F37">
        <f>D37/E37</f>
        <v/>
      </c>
      <c r="G37">
        <f>F37*'SUT Calc'!$C$46</f>
        <v/>
      </c>
      <c r="H37">
        <f>F37-G37</f>
        <v/>
      </c>
      <c r="I37">
        <f>H37*1</f>
        <v/>
      </c>
      <c r="J37">
        <f>B37+I37</f>
        <v/>
      </c>
      <c r="K37" t="n">
        <v>0</v>
      </c>
    </row>
    <row r="38">
      <c r="A38" t="n">
        <v>2021</v>
      </c>
      <c r="B38">
        <f>WEO_Data!C3</f>
        <v/>
      </c>
      <c r="C38">
        <f>C3</f>
        <v/>
      </c>
      <c r="D38">
        <f>(6.5*$D$30)*C38</f>
        <v/>
      </c>
      <c r="E38">
        <f>WEO_Data!E3</f>
        <v/>
      </c>
      <c r="F38">
        <f>D38/E38</f>
        <v/>
      </c>
      <c r="G38">
        <f>F38*'SUT Calc'!$C$46</f>
        <v/>
      </c>
      <c r="H38">
        <f>F38-G38</f>
        <v/>
      </c>
      <c r="I38">
        <f>H38*1</f>
        <v/>
      </c>
      <c r="J38">
        <f>B38+I38</f>
        <v/>
      </c>
      <c r="K38">
        <f>(J38/J37)-1</f>
        <v/>
      </c>
    </row>
    <row r="39">
      <c r="A39" t="n">
        <v>2022</v>
      </c>
      <c r="B39">
        <f>WEO_Data!C4</f>
        <v/>
      </c>
      <c r="C39">
        <f>C4</f>
        <v/>
      </c>
      <c r="D39">
        <f>(6.5*$D$30)*C39</f>
        <v/>
      </c>
      <c r="E39">
        <f>WEO_Data!E4</f>
        <v/>
      </c>
      <c r="F39">
        <f>D39/E39</f>
        <v/>
      </c>
      <c r="G39">
        <f>F39*'SUT Calc'!$C$46</f>
        <v/>
      </c>
      <c r="H39">
        <f>F39-G39</f>
        <v/>
      </c>
      <c r="I39">
        <f>H39*1</f>
        <v/>
      </c>
      <c r="J39">
        <f>B39+I39</f>
        <v/>
      </c>
      <c r="K39">
        <f>(J39/J38)-1</f>
        <v/>
      </c>
    </row>
    <row r="40">
      <c r="A40" t="n">
        <v>2023</v>
      </c>
      <c r="B40">
        <f>WEO_Data!C5</f>
        <v/>
      </c>
      <c r="C40">
        <f>C5</f>
        <v/>
      </c>
      <c r="D40">
        <f>(6.5*$D$30)*C40</f>
        <v/>
      </c>
      <c r="E40">
        <f>WEO_Data!E5</f>
        <v/>
      </c>
      <c r="F40">
        <f>D40/E40</f>
        <v/>
      </c>
      <c r="G40">
        <f>F40*'SUT Calc'!$C$46</f>
        <v/>
      </c>
      <c r="H40">
        <f>F40-G40</f>
        <v/>
      </c>
      <c r="I40">
        <f>H40*1</f>
        <v/>
      </c>
      <c r="J40">
        <f>B40+I40</f>
        <v/>
      </c>
      <c r="K40">
        <f>(J40/J39)-1</f>
        <v/>
      </c>
    </row>
    <row r="41">
      <c r="A41" t="n">
        <v>2024</v>
      </c>
      <c r="B41">
        <f>WEO_Data!C6</f>
        <v/>
      </c>
      <c r="C41">
        <f>C6</f>
        <v/>
      </c>
      <c r="D41">
        <f>(6.5*$D$30)*C41</f>
        <v/>
      </c>
      <c r="E41">
        <f>WEO_Data!E6</f>
        <v/>
      </c>
      <c r="F41">
        <f>D41/E41</f>
        <v/>
      </c>
      <c r="G41">
        <f>F41*'SUT Calc'!$C$46</f>
        <v/>
      </c>
      <c r="H41">
        <f>F41-G41</f>
        <v/>
      </c>
      <c r="I41">
        <f>H41*1</f>
        <v/>
      </c>
      <c r="J41">
        <f>B41+I41</f>
        <v/>
      </c>
      <c r="K41">
        <f>(J41/J40)-1</f>
        <v/>
      </c>
    </row>
    <row r="42">
      <c r="A42" t="n">
        <v>2025</v>
      </c>
      <c r="B42">
        <f>WEO_Data!C7</f>
        <v/>
      </c>
      <c r="C42">
        <f>C7</f>
        <v/>
      </c>
      <c r="D42">
        <f>(6.5*$D$30)*C42</f>
        <v/>
      </c>
      <c r="E42">
        <f>WEO_Data!E7</f>
        <v/>
      </c>
      <c r="F42">
        <f>D42/E42</f>
        <v/>
      </c>
      <c r="G42">
        <f>F42*'SUT Calc'!$C$46</f>
        <v/>
      </c>
      <c r="H42">
        <f>F42-G42</f>
        <v/>
      </c>
      <c r="I42">
        <f>H42*1</f>
        <v/>
      </c>
      <c r="J42">
        <f>B42+I42</f>
        <v/>
      </c>
      <c r="K42">
        <f>(J42/J41)-1</f>
        <v/>
      </c>
    </row>
    <row r="43">
      <c r="A43" t="n">
        <v>2026</v>
      </c>
      <c r="B43">
        <f>WEO_Data!C8</f>
        <v/>
      </c>
      <c r="C43">
        <f>C8</f>
        <v/>
      </c>
      <c r="D43">
        <f>(6.5*$D$30)*C43</f>
        <v/>
      </c>
      <c r="E43">
        <f>WEO_Data!E8</f>
        <v/>
      </c>
      <c r="F43">
        <f>D43/E43</f>
        <v/>
      </c>
      <c r="G43">
        <f>F43*'SUT Calc'!$C$46</f>
        <v/>
      </c>
      <c r="H43">
        <f>F43-G43</f>
        <v/>
      </c>
      <c r="I43">
        <f>H43*1</f>
        <v/>
      </c>
      <c r="J43">
        <f>B43+I43</f>
        <v/>
      </c>
      <c r="K43">
        <f>(J43/J42)-1</f>
        <v/>
      </c>
    </row>
    <row r="44">
      <c r="A44" t="n">
        <v>2027</v>
      </c>
      <c r="B44">
        <f>WEO_Data!C9</f>
        <v/>
      </c>
      <c r="C44">
        <f>C9</f>
        <v/>
      </c>
      <c r="D44">
        <f>(6.5*$D$30)*C44</f>
        <v/>
      </c>
      <c r="E44">
        <f>WEO_Data!E9</f>
        <v/>
      </c>
      <c r="F44">
        <f>D44/E44</f>
        <v/>
      </c>
      <c r="G44">
        <f>F44*'SUT Calc'!$C$46</f>
        <v/>
      </c>
      <c r="H44">
        <f>F44-G44</f>
        <v/>
      </c>
      <c r="I44">
        <f>H44*1</f>
        <v/>
      </c>
      <c r="J44">
        <f>B44+I44</f>
        <v/>
      </c>
      <c r="K44">
        <f>(J44/J43)-1</f>
        <v/>
      </c>
    </row>
    <row r="45">
      <c r="A45" t="n">
        <v>2028</v>
      </c>
      <c r="B45">
        <f>WEO_Data!C10</f>
        <v/>
      </c>
      <c r="C45">
        <f>C10</f>
        <v/>
      </c>
      <c r="D45">
        <f>(6.5*$D$30)*C45</f>
        <v/>
      </c>
      <c r="E45">
        <f>WEO_Data!E10</f>
        <v/>
      </c>
      <c r="F45">
        <f>D45/E45</f>
        <v/>
      </c>
      <c r="G45">
        <f>F45*'SUT Calc'!$C$46</f>
        <v/>
      </c>
      <c r="H45">
        <f>F45-G45</f>
        <v/>
      </c>
      <c r="I45">
        <f>H45*1</f>
        <v/>
      </c>
      <c r="J45">
        <f>B45+I45</f>
        <v/>
      </c>
      <c r="K45">
        <f>(J45/J44)-1</f>
        <v/>
      </c>
    </row>
    <row r="46">
      <c r="A46" t="n">
        <v>2029</v>
      </c>
      <c r="B46">
        <f>WEO_Data!C11</f>
        <v/>
      </c>
      <c r="C46">
        <f>C11</f>
        <v/>
      </c>
      <c r="D46">
        <f>(6.5*$D$30)*C46</f>
        <v/>
      </c>
      <c r="E46">
        <f>WEO_Data!E11</f>
        <v/>
      </c>
      <c r="F46">
        <f>D46/E46</f>
        <v/>
      </c>
      <c r="G46">
        <f>F46*'SUT Calc'!$C$46</f>
        <v/>
      </c>
      <c r="H46">
        <f>F46-G46</f>
        <v/>
      </c>
      <c r="I46">
        <f>H46*1</f>
        <v/>
      </c>
      <c r="J46">
        <f>B46+I46</f>
        <v/>
      </c>
      <c r="K46">
        <f>(J46/J45)-1</f>
        <v/>
      </c>
    </row>
    <row r="47">
      <c r="A47" t="n">
        <v>2030</v>
      </c>
      <c r="B47">
        <f>WEO_Data!C12</f>
        <v/>
      </c>
      <c r="C47">
        <f>C12</f>
        <v/>
      </c>
      <c r="D47">
        <f>(6.5*$D$30)*C47</f>
        <v/>
      </c>
      <c r="E47">
        <f>WEO_Data!E12</f>
        <v/>
      </c>
      <c r="F47">
        <f>D47/E47</f>
        <v/>
      </c>
      <c r="G47">
        <f>F47*'SUT Calc'!$C$46</f>
        <v/>
      </c>
      <c r="H47">
        <f>F47-G47</f>
        <v/>
      </c>
      <c r="I47">
        <f>H47*1</f>
        <v/>
      </c>
      <c r="J47">
        <f>B47+I47</f>
        <v/>
      </c>
      <c r="K47">
        <f>(J47/J46)-1</f>
        <v/>
      </c>
    </row>
    <row r="48">
      <c r="A48" t="n">
        <v>2031</v>
      </c>
      <c r="B48">
        <f>WEO_Data!C13</f>
        <v/>
      </c>
      <c r="C48">
        <f>C13</f>
        <v/>
      </c>
      <c r="D48">
        <f>(6.5*$D$30)*C48</f>
        <v/>
      </c>
      <c r="E48">
        <f>WEO_Data!E13</f>
        <v/>
      </c>
      <c r="F48">
        <f>D48/E48</f>
        <v/>
      </c>
      <c r="G48">
        <f>F48*'SUT Calc'!$C$46</f>
        <v/>
      </c>
      <c r="H48">
        <f>F48-G48</f>
        <v/>
      </c>
      <c r="I48">
        <f>H48*1</f>
        <v/>
      </c>
      <c r="J48">
        <f>B48+I48</f>
        <v/>
      </c>
      <c r="K48">
        <f>(J48/J47)-1</f>
        <v/>
      </c>
    </row>
    <row r="49">
      <c r="A49" t="n">
        <v>2032</v>
      </c>
      <c r="B49">
        <f>WEO_Data!C14</f>
        <v/>
      </c>
      <c r="C49">
        <f>C14</f>
        <v/>
      </c>
      <c r="D49">
        <f>(6.5*$D$30)*C49</f>
        <v/>
      </c>
      <c r="E49">
        <f>WEO_Data!E14</f>
        <v/>
      </c>
      <c r="F49">
        <f>D49/E49</f>
        <v/>
      </c>
      <c r="G49">
        <f>F49*'SUT Calc'!$C$46</f>
        <v/>
      </c>
      <c r="H49">
        <f>F49-G49</f>
        <v/>
      </c>
      <c r="I49">
        <f>H49*1</f>
        <v/>
      </c>
      <c r="J49">
        <f>B49+I49</f>
        <v/>
      </c>
      <c r="K49">
        <f>(J49/J48)-1</f>
        <v/>
      </c>
    </row>
    <row r="50">
      <c r="A50" t="n">
        <v>2033</v>
      </c>
      <c r="B50">
        <f>WEO_Data!C15</f>
        <v/>
      </c>
      <c r="C50">
        <f>C15</f>
        <v/>
      </c>
      <c r="D50">
        <f>(6.5*$D$30)*C50</f>
        <v/>
      </c>
      <c r="E50">
        <f>WEO_Data!E15</f>
        <v/>
      </c>
      <c r="F50">
        <f>D50/E50</f>
        <v/>
      </c>
      <c r="G50">
        <f>F50*'SUT Calc'!$C$46</f>
        <v/>
      </c>
      <c r="H50">
        <f>F50-G50</f>
        <v/>
      </c>
      <c r="I50">
        <f>H50*1</f>
        <v/>
      </c>
      <c r="J50">
        <f>B50+I50</f>
        <v/>
      </c>
      <c r="K50">
        <f>(J50/J49)-1</f>
        <v/>
      </c>
    </row>
    <row r="51">
      <c r="A51" t="n">
        <v>2034</v>
      </c>
      <c r="B51">
        <f>WEO_Data!C16</f>
        <v/>
      </c>
      <c r="C51">
        <f>C16</f>
        <v/>
      </c>
      <c r="D51">
        <f>(6.5*$D$30)*C51</f>
        <v/>
      </c>
      <c r="E51">
        <f>WEO_Data!E16</f>
        <v/>
      </c>
      <c r="F51">
        <f>D51/E51</f>
        <v/>
      </c>
      <c r="G51">
        <f>F51*'SUT Calc'!$C$46</f>
        <v/>
      </c>
      <c r="H51">
        <f>F51-G51</f>
        <v/>
      </c>
      <c r="I51">
        <f>H51*1</f>
        <v/>
      </c>
      <c r="J51">
        <f>B51+I51</f>
        <v/>
      </c>
      <c r="K51">
        <f>(J51/J50)-1</f>
        <v/>
      </c>
    </row>
    <row r="52">
      <c r="A52" t="n">
        <v>2035</v>
      </c>
      <c r="B52">
        <f>WEO_Data!C17</f>
        <v/>
      </c>
      <c r="C52">
        <f>C17</f>
        <v/>
      </c>
      <c r="D52">
        <f>(6.5*$D$30)*C52</f>
        <v/>
      </c>
      <c r="E52">
        <f>WEO_Data!E17</f>
        <v/>
      </c>
      <c r="F52">
        <f>D52/E52</f>
        <v/>
      </c>
      <c r="G52">
        <f>F52*'SUT Calc'!$C$46</f>
        <v/>
      </c>
      <c r="H52">
        <f>F52-G52</f>
        <v/>
      </c>
      <c r="I52">
        <f>H52*1</f>
        <v/>
      </c>
      <c r="J52">
        <f>B52+I52</f>
        <v/>
      </c>
      <c r="K52">
        <f>(J52/J51)-1</f>
        <v/>
      </c>
    </row>
    <row r="53">
      <c r="A53" t="n">
        <v>2036</v>
      </c>
      <c r="B53">
        <f>WEO_Data!C18</f>
        <v/>
      </c>
      <c r="C53">
        <f>C18</f>
        <v/>
      </c>
      <c r="D53">
        <f>(6.5*$D$30)*C53</f>
        <v/>
      </c>
      <c r="E53">
        <f>WEO_Data!E18</f>
        <v/>
      </c>
      <c r="F53">
        <f>D53/E53</f>
        <v/>
      </c>
      <c r="G53">
        <f>F53*'SUT Calc'!$C$46</f>
        <v/>
      </c>
      <c r="H53">
        <f>F53-G53</f>
        <v/>
      </c>
      <c r="I53">
        <f>H53*1</f>
        <v/>
      </c>
      <c r="J53">
        <f>B53+I53</f>
        <v/>
      </c>
      <c r="K53">
        <f>(J53/J52)-1</f>
        <v/>
      </c>
    </row>
    <row r="54">
      <c r="A54" t="n">
        <v>2037</v>
      </c>
      <c r="B54">
        <f>WEO_Data!C19</f>
        <v/>
      </c>
      <c r="C54">
        <f>C19</f>
        <v/>
      </c>
      <c r="D54">
        <f>(6.5*$D$30)*C54</f>
        <v/>
      </c>
      <c r="E54">
        <f>WEO_Data!E19</f>
        <v/>
      </c>
      <c r="F54">
        <f>D54/E54</f>
        <v/>
      </c>
      <c r="G54">
        <f>F54*'SUT Calc'!$C$46</f>
        <v/>
      </c>
      <c r="H54">
        <f>F54-G54</f>
        <v/>
      </c>
      <c r="I54">
        <f>H54*1</f>
        <v/>
      </c>
      <c r="J54">
        <f>B54+I54</f>
        <v/>
      </c>
      <c r="K54">
        <f>(J54/J53)-1</f>
        <v/>
      </c>
    </row>
    <row r="55">
      <c r="A55" t="n">
        <v>2038</v>
      </c>
      <c r="B55">
        <f>WEO_Data!C20</f>
        <v/>
      </c>
      <c r="C55">
        <f>C20</f>
        <v/>
      </c>
      <c r="D55">
        <f>(6.5*$D$30)*C55</f>
        <v/>
      </c>
      <c r="E55">
        <f>WEO_Data!E20</f>
        <v/>
      </c>
      <c r="F55">
        <f>D55/E55</f>
        <v/>
      </c>
      <c r="G55">
        <f>F55*'SUT Calc'!$C$46</f>
        <v/>
      </c>
      <c r="H55">
        <f>F55-G55</f>
        <v/>
      </c>
      <c r="I55">
        <f>H55*1</f>
        <v/>
      </c>
      <c r="J55">
        <f>B55+I55</f>
        <v/>
      </c>
      <c r="K55">
        <f>(J55/J54)-1</f>
        <v/>
      </c>
    </row>
    <row r="56">
      <c r="A56" t="n">
        <v>2039</v>
      </c>
      <c r="B56">
        <f>WEO_Data!C21</f>
        <v/>
      </c>
      <c r="C56">
        <f>C21</f>
        <v/>
      </c>
      <c r="D56">
        <f>(6.5*$D$30)*C56</f>
        <v/>
      </c>
      <c r="E56">
        <f>WEO_Data!E21</f>
        <v/>
      </c>
      <c r="F56">
        <f>D56/E56</f>
        <v/>
      </c>
      <c r="G56">
        <f>F56*'SUT Calc'!$C$46</f>
        <v/>
      </c>
      <c r="H56">
        <f>F56-G56</f>
        <v/>
      </c>
      <c r="I56">
        <f>H56*1</f>
        <v/>
      </c>
      <c r="J56">
        <f>B56+I56</f>
        <v/>
      </c>
      <c r="K56">
        <f>(J56/J55)-1</f>
        <v/>
      </c>
    </row>
    <row r="57">
      <c r="A57" t="n">
        <v>2040</v>
      </c>
      <c r="B57">
        <f>WEO_Data!C22</f>
        <v/>
      </c>
      <c r="C57">
        <f>C22</f>
        <v/>
      </c>
      <c r="D57">
        <f>(6.5*$D$30)*C57</f>
        <v/>
      </c>
      <c r="E57">
        <f>WEO_Data!E22</f>
        <v/>
      </c>
      <c r="F57">
        <f>D57/E57</f>
        <v/>
      </c>
      <c r="G57">
        <f>F57*'SUT Calc'!$C$46</f>
        <v/>
      </c>
      <c r="H57">
        <f>F57-G57</f>
        <v/>
      </c>
      <c r="I57">
        <f>H57*1</f>
        <v/>
      </c>
      <c r="J57">
        <f>B57+I57</f>
        <v/>
      </c>
      <c r="K57">
        <f>(J57/J56)-1</f>
        <v/>
      </c>
    </row>
    <row r="58">
      <c r="A58" t="n">
        <v>2041</v>
      </c>
      <c r="B58">
        <f>WEO_Data!C23</f>
        <v/>
      </c>
      <c r="C58">
        <f>C23</f>
        <v/>
      </c>
      <c r="D58">
        <f>(6.5*$D$30)*C58</f>
        <v/>
      </c>
      <c r="E58">
        <f>WEO_Data!E23</f>
        <v/>
      </c>
      <c r="F58">
        <f>D58/E58</f>
        <v/>
      </c>
      <c r="G58">
        <f>F58*'SUT Calc'!$C$46</f>
        <v/>
      </c>
      <c r="H58">
        <f>F58-G58</f>
        <v/>
      </c>
      <c r="I58">
        <f>H58*1</f>
        <v/>
      </c>
      <c r="J58">
        <f>B58+I58</f>
        <v/>
      </c>
      <c r="K58">
        <f>(J58/J57)-1</f>
        <v/>
      </c>
    </row>
    <row r="59">
      <c r="A59" t="n">
        <v>2042</v>
      </c>
      <c r="B59">
        <f>WEO_Data!C24</f>
        <v/>
      </c>
      <c r="C59">
        <f>C24</f>
        <v/>
      </c>
      <c r="D59">
        <f>(6.5*$D$30)*C59</f>
        <v/>
      </c>
      <c r="E59">
        <f>WEO_Data!E24</f>
        <v/>
      </c>
      <c r="F59">
        <f>D59/E59</f>
        <v/>
      </c>
      <c r="G59">
        <f>F59*'SUT Calc'!$C$46</f>
        <v/>
      </c>
      <c r="H59">
        <f>F59-G59</f>
        <v/>
      </c>
      <c r="I59">
        <f>H59*1</f>
        <v/>
      </c>
      <c r="J59">
        <f>B59+I59</f>
        <v/>
      </c>
      <c r="K59">
        <f>(J59/J58)-1</f>
        <v/>
      </c>
    </row>
    <row r="60">
      <c r="A60" t="n">
        <v>2043</v>
      </c>
      <c r="B60">
        <f>WEO_Data!C25</f>
        <v/>
      </c>
      <c r="C60">
        <f>C25</f>
        <v/>
      </c>
      <c r="D60">
        <f>(6.5*$D$30)*C60</f>
        <v/>
      </c>
      <c r="E60">
        <f>WEO_Data!E25</f>
        <v/>
      </c>
      <c r="F60">
        <f>D60/E60</f>
        <v/>
      </c>
      <c r="G60">
        <f>F60*'SUT Calc'!$C$46</f>
        <v/>
      </c>
      <c r="H60">
        <f>F60-G60</f>
        <v/>
      </c>
      <c r="I60">
        <f>H60*1</f>
        <v/>
      </c>
      <c r="J60">
        <f>B60+I60</f>
        <v/>
      </c>
      <c r="K60">
        <f>(J60/J59)-1</f>
        <v/>
      </c>
    </row>
    <row r="64">
      <c r="A64" s="1" t="inlineStr">
        <is>
          <t>Scenario 3: Import Share = 0.5</t>
        </is>
      </c>
    </row>
    <row r="65">
      <c r="A65" t="inlineStr">
        <is>
          <t>Year</t>
        </is>
      </c>
      <c r="B65" t="inlineStr">
        <is>
          <t>Real GDP (Base)</t>
        </is>
      </c>
      <c r="C65" t="inlineStr">
        <is>
          <t>Project Alloc (%)</t>
        </is>
      </c>
      <c r="D65" t="inlineStr">
        <is>
          <t>Proj Inv (Nom GEL)</t>
        </is>
      </c>
      <c r="E65" t="inlineStr">
        <is>
          <t>Deflator</t>
        </is>
      </c>
      <c r="F65" t="inlineStr">
        <is>
          <t>Proj Inv (Real GEL)</t>
        </is>
      </c>
      <c r="G65" t="inlineStr">
        <is>
          <t>Import Leakage</t>
        </is>
      </c>
      <c r="H65" t="inlineStr">
        <is>
          <t>Net Demand (Real)</t>
        </is>
      </c>
      <c r="I65" t="inlineStr">
        <is>
          <t>GDP Impact (Real)</t>
        </is>
      </c>
      <c r="J65" t="inlineStr">
        <is>
          <t>Proj GDP (Real)</t>
        </is>
      </c>
      <c r="K65" t="inlineStr">
        <is>
          <t>Proj Growth (%)</t>
        </is>
      </c>
    </row>
    <row r="66">
      <c r="A66" t="n">
        <v>2020</v>
      </c>
      <c r="B66">
        <f>WEO_Data!C2</f>
        <v/>
      </c>
      <c r="C66">
        <f>C2</f>
        <v/>
      </c>
      <c r="D66">
        <f>(6.5*$D$30)*C66</f>
        <v/>
      </c>
      <c r="E66">
        <f>WEO_Data!E2</f>
        <v/>
      </c>
      <c r="F66">
        <f>D66/E66</f>
        <v/>
      </c>
      <c r="G66">
        <f>F66*0.5</f>
        <v/>
      </c>
      <c r="H66">
        <f>F66-G66</f>
        <v/>
      </c>
      <c r="I66">
        <f>H66*$D$31</f>
        <v/>
      </c>
      <c r="J66">
        <f>B66+I66</f>
        <v/>
      </c>
      <c r="K66" t="n">
        <v>0</v>
      </c>
    </row>
    <row r="67">
      <c r="A67" t="n">
        <v>2021</v>
      </c>
      <c r="B67">
        <f>WEO_Data!C3</f>
        <v/>
      </c>
      <c r="C67">
        <f>C3</f>
        <v/>
      </c>
      <c r="D67">
        <f>(6.5*$D$30)*C67</f>
        <v/>
      </c>
      <c r="E67">
        <f>WEO_Data!E3</f>
        <v/>
      </c>
      <c r="F67">
        <f>D67/E67</f>
        <v/>
      </c>
      <c r="G67">
        <f>F67*0.5</f>
        <v/>
      </c>
      <c r="H67">
        <f>F67-G67</f>
        <v/>
      </c>
      <c r="I67">
        <f>H67*$D$31</f>
        <v/>
      </c>
      <c r="J67">
        <f>B67+I67</f>
        <v/>
      </c>
      <c r="K67">
        <f>(J67/J66)-1</f>
        <v/>
      </c>
    </row>
    <row r="68">
      <c r="A68" t="n">
        <v>2022</v>
      </c>
      <c r="B68">
        <f>WEO_Data!C4</f>
        <v/>
      </c>
      <c r="C68">
        <f>C4</f>
        <v/>
      </c>
      <c r="D68">
        <f>(6.5*$D$30)*C68</f>
        <v/>
      </c>
      <c r="E68">
        <f>WEO_Data!E4</f>
        <v/>
      </c>
      <c r="F68">
        <f>D68/E68</f>
        <v/>
      </c>
      <c r="G68">
        <f>F68*0.5</f>
        <v/>
      </c>
      <c r="H68">
        <f>F68-G68</f>
        <v/>
      </c>
      <c r="I68">
        <f>H68*$D$31</f>
        <v/>
      </c>
      <c r="J68">
        <f>B68+I68</f>
        <v/>
      </c>
      <c r="K68">
        <f>(J68/J67)-1</f>
        <v/>
      </c>
    </row>
    <row r="69">
      <c r="A69" t="n">
        <v>2023</v>
      </c>
      <c r="B69">
        <f>WEO_Data!C5</f>
        <v/>
      </c>
      <c r="C69">
        <f>C5</f>
        <v/>
      </c>
      <c r="D69">
        <f>(6.5*$D$30)*C69</f>
        <v/>
      </c>
      <c r="E69">
        <f>WEO_Data!E5</f>
        <v/>
      </c>
      <c r="F69">
        <f>D69/E69</f>
        <v/>
      </c>
      <c r="G69">
        <f>F69*0.5</f>
        <v/>
      </c>
      <c r="H69">
        <f>F69-G69</f>
        <v/>
      </c>
      <c r="I69">
        <f>H69*$D$31</f>
        <v/>
      </c>
      <c r="J69">
        <f>B69+I69</f>
        <v/>
      </c>
      <c r="K69">
        <f>(J69/J68)-1</f>
        <v/>
      </c>
    </row>
    <row r="70">
      <c r="A70" t="n">
        <v>2024</v>
      </c>
      <c r="B70">
        <f>WEO_Data!C6</f>
        <v/>
      </c>
      <c r="C70">
        <f>C6</f>
        <v/>
      </c>
      <c r="D70">
        <f>(6.5*$D$30)*C70</f>
        <v/>
      </c>
      <c r="E70">
        <f>WEO_Data!E6</f>
        <v/>
      </c>
      <c r="F70">
        <f>D70/E70</f>
        <v/>
      </c>
      <c r="G70">
        <f>F70*0.5</f>
        <v/>
      </c>
      <c r="H70">
        <f>F70-G70</f>
        <v/>
      </c>
      <c r="I70">
        <f>H70*$D$31</f>
        <v/>
      </c>
      <c r="J70">
        <f>B70+I70</f>
        <v/>
      </c>
      <c r="K70">
        <f>(J70/J69)-1</f>
        <v/>
      </c>
    </row>
    <row r="71">
      <c r="A71" t="n">
        <v>2025</v>
      </c>
      <c r="B71">
        <f>WEO_Data!C7</f>
        <v/>
      </c>
      <c r="C71">
        <f>C7</f>
        <v/>
      </c>
      <c r="D71">
        <f>(6.5*$D$30)*C71</f>
        <v/>
      </c>
      <c r="E71">
        <f>WEO_Data!E7</f>
        <v/>
      </c>
      <c r="F71">
        <f>D71/E71</f>
        <v/>
      </c>
      <c r="G71">
        <f>F71*0.5</f>
        <v/>
      </c>
      <c r="H71">
        <f>F71-G71</f>
        <v/>
      </c>
      <c r="I71">
        <f>H71*$D$31</f>
        <v/>
      </c>
      <c r="J71">
        <f>B71+I71</f>
        <v/>
      </c>
      <c r="K71">
        <f>(J71/J70)-1</f>
        <v/>
      </c>
    </row>
    <row r="72">
      <c r="A72" t="n">
        <v>2026</v>
      </c>
      <c r="B72">
        <f>WEO_Data!C8</f>
        <v/>
      </c>
      <c r="C72">
        <f>C8</f>
        <v/>
      </c>
      <c r="D72">
        <f>(6.5*$D$30)*C72</f>
        <v/>
      </c>
      <c r="E72">
        <f>WEO_Data!E8</f>
        <v/>
      </c>
      <c r="F72">
        <f>D72/E72</f>
        <v/>
      </c>
      <c r="G72">
        <f>F72*0.5</f>
        <v/>
      </c>
      <c r="H72">
        <f>F72-G72</f>
        <v/>
      </c>
      <c r="I72">
        <f>H72*$D$31</f>
        <v/>
      </c>
      <c r="J72">
        <f>B72+I72</f>
        <v/>
      </c>
      <c r="K72">
        <f>(J72/J71)-1</f>
        <v/>
      </c>
    </row>
    <row r="73">
      <c r="A73" t="n">
        <v>2027</v>
      </c>
      <c r="B73">
        <f>WEO_Data!C9</f>
        <v/>
      </c>
      <c r="C73">
        <f>C9</f>
        <v/>
      </c>
      <c r="D73">
        <f>(6.5*$D$30)*C73</f>
        <v/>
      </c>
      <c r="E73">
        <f>WEO_Data!E9</f>
        <v/>
      </c>
      <c r="F73">
        <f>D73/E73</f>
        <v/>
      </c>
      <c r="G73">
        <f>F73*0.5</f>
        <v/>
      </c>
      <c r="H73">
        <f>F73-G73</f>
        <v/>
      </c>
      <c r="I73">
        <f>H73*$D$31</f>
        <v/>
      </c>
      <c r="J73">
        <f>B73+I73</f>
        <v/>
      </c>
      <c r="K73">
        <f>(J73/J72)-1</f>
        <v/>
      </c>
    </row>
    <row r="74">
      <c r="A74" t="n">
        <v>2028</v>
      </c>
      <c r="B74">
        <f>WEO_Data!C10</f>
        <v/>
      </c>
      <c r="C74">
        <f>C10</f>
        <v/>
      </c>
      <c r="D74">
        <f>(6.5*$D$30)*C74</f>
        <v/>
      </c>
      <c r="E74">
        <f>WEO_Data!E10</f>
        <v/>
      </c>
      <c r="F74">
        <f>D74/E74</f>
        <v/>
      </c>
      <c r="G74">
        <f>F74*0.5</f>
        <v/>
      </c>
      <c r="H74">
        <f>F74-G74</f>
        <v/>
      </c>
      <c r="I74">
        <f>H74*$D$31</f>
        <v/>
      </c>
      <c r="J74">
        <f>B74+I74</f>
        <v/>
      </c>
      <c r="K74">
        <f>(J74/J73)-1</f>
        <v/>
      </c>
    </row>
    <row r="75">
      <c r="A75" t="n">
        <v>2029</v>
      </c>
      <c r="B75">
        <f>WEO_Data!C11</f>
        <v/>
      </c>
      <c r="C75">
        <f>C11</f>
        <v/>
      </c>
      <c r="D75">
        <f>(6.5*$D$30)*C75</f>
        <v/>
      </c>
      <c r="E75">
        <f>WEO_Data!E11</f>
        <v/>
      </c>
      <c r="F75">
        <f>D75/E75</f>
        <v/>
      </c>
      <c r="G75">
        <f>F75*0.5</f>
        <v/>
      </c>
      <c r="H75">
        <f>F75-G75</f>
        <v/>
      </c>
      <c r="I75">
        <f>H75*$D$31</f>
        <v/>
      </c>
      <c r="J75">
        <f>B75+I75</f>
        <v/>
      </c>
      <c r="K75">
        <f>(J75/J74)-1</f>
        <v/>
      </c>
    </row>
    <row r="76">
      <c r="A76" t="n">
        <v>2030</v>
      </c>
      <c r="B76">
        <f>WEO_Data!C12</f>
        <v/>
      </c>
      <c r="C76">
        <f>C12</f>
        <v/>
      </c>
      <c r="D76">
        <f>(6.5*$D$30)*C76</f>
        <v/>
      </c>
      <c r="E76">
        <f>WEO_Data!E12</f>
        <v/>
      </c>
      <c r="F76">
        <f>D76/E76</f>
        <v/>
      </c>
      <c r="G76">
        <f>F76*0.5</f>
        <v/>
      </c>
      <c r="H76">
        <f>F76-G76</f>
        <v/>
      </c>
      <c r="I76">
        <f>H76*$D$31</f>
        <v/>
      </c>
      <c r="J76">
        <f>B76+I76</f>
        <v/>
      </c>
      <c r="K76">
        <f>(J76/J75)-1</f>
        <v/>
      </c>
    </row>
    <row r="77">
      <c r="A77" t="n">
        <v>2031</v>
      </c>
      <c r="B77">
        <f>WEO_Data!C13</f>
        <v/>
      </c>
      <c r="C77">
        <f>C13</f>
        <v/>
      </c>
      <c r="D77">
        <f>(6.5*$D$30)*C77</f>
        <v/>
      </c>
      <c r="E77">
        <f>WEO_Data!E13</f>
        <v/>
      </c>
      <c r="F77">
        <f>D77/E77</f>
        <v/>
      </c>
      <c r="G77">
        <f>F77*0.5</f>
        <v/>
      </c>
      <c r="H77">
        <f>F77-G77</f>
        <v/>
      </c>
      <c r="I77">
        <f>H77*$D$31</f>
        <v/>
      </c>
      <c r="J77">
        <f>B77+I77</f>
        <v/>
      </c>
      <c r="K77">
        <f>(J77/J76)-1</f>
        <v/>
      </c>
    </row>
    <row r="78">
      <c r="A78" t="n">
        <v>2032</v>
      </c>
      <c r="B78">
        <f>WEO_Data!C14</f>
        <v/>
      </c>
      <c r="C78">
        <f>C14</f>
        <v/>
      </c>
      <c r="D78">
        <f>(6.5*$D$30)*C78</f>
        <v/>
      </c>
      <c r="E78">
        <f>WEO_Data!E14</f>
        <v/>
      </c>
      <c r="F78">
        <f>D78/E78</f>
        <v/>
      </c>
      <c r="G78">
        <f>F78*0.5</f>
        <v/>
      </c>
      <c r="H78">
        <f>F78-G78</f>
        <v/>
      </c>
      <c r="I78">
        <f>H78*$D$31</f>
        <v/>
      </c>
      <c r="J78">
        <f>B78+I78</f>
        <v/>
      </c>
      <c r="K78">
        <f>(J78/J77)-1</f>
        <v/>
      </c>
    </row>
    <row r="79">
      <c r="A79" t="n">
        <v>2033</v>
      </c>
      <c r="B79">
        <f>WEO_Data!C15</f>
        <v/>
      </c>
      <c r="C79">
        <f>C15</f>
        <v/>
      </c>
      <c r="D79">
        <f>(6.5*$D$30)*C79</f>
        <v/>
      </c>
      <c r="E79">
        <f>WEO_Data!E15</f>
        <v/>
      </c>
      <c r="F79">
        <f>D79/E79</f>
        <v/>
      </c>
      <c r="G79">
        <f>F79*0.5</f>
        <v/>
      </c>
      <c r="H79">
        <f>F79-G79</f>
        <v/>
      </c>
      <c r="I79">
        <f>H79*$D$31</f>
        <v/>
      </c>
      <c r="J79">
        <f>B79+I79</f>
        <v/>
      </c>
      <c r="K79">
        <f>(J79/J78)-1</f>
        <v/>
      </c>
    </row>
    <row r="80">
      <c r="A80" t="n">
        <v>2034</v>
      </c>
      <c r="B80">
        <f>WEO_Data!C16</f>
        <v/>
      </c>
      <c r="C80">
        <f>C16</f>
        <v/>
      </c>
      <c r="D80">
        <f>(6.5*$D$30)*C80</f>
        <v/>
      </c>
      <c r="E80">
        <f>WEO_Data!E16</f>
        <v/>
      </c>
      <c r="F80">
        <f>D80/E80</f>
        <v/>
      </c>
      <c r="G80">
        <f>F80*0.5</f>
        <v/>
      </c>
      <c r="H80">
        <f>F80-G80</f>
        <v/>
      </c>
      <c r="I80">
        <f>H80*$D$31</f>
        <v/>
      </c>
      <c r="J80">
        <f>B80+I80</f>
        <v/>
      </c>
      <c r="K80">
        <f>(J80/J79)-1</f>
        <v/>
      </c>
    </row>
    <row r="81">
      <c r="A81" t="n">
        <v>2035</v>
      </c>
      <c r="B81">
        <f>WEO_Data!C17</f>
        <v/>
      </c>
      <c r="C81">
        <f>C17</f>
        <v/>
      </c>
      <c r="D81">
        <f>(6.5*$D$30)*C81</f>
        <v/>
      </c>
      <c r="E81">
        <f>WEO_Data!E17</f>
        <v/>
      </c>
      <c r="F81">
        <f>D81/E81</f>
        <v/>
      </c>
      <c r="G81">
        <f>F81*0.5</f>
        <v/>
      </c>
      <c r="H81">
        <f>F81-G81</f>
        <v/>
      </c>
      <c r="I81">
        <f>H81*$D$31</f>
        <v/>
      </c>
      <c r="J81">
        <f>B81+I81</f>
        <v/>
      </c>
      <c r="K81">
        <f>(J81/J80)-1</f>
        <v/>
      </c>
    </row>
    <row r="82">
      <c r="A82" t="n">
        <v>2036</v>
      </c>
      <c r="B82">
        <f>WEO_Data!C18</f>
        <v/>
      </c>
      <c r="C82">
        <f>C18</f>
        <v/>
      </c>
      <c r="D82">
        <f>(6.5*$D$30)*C82</f>
        <v/>
      </c>
      <c r="E82">
        <f>WEO_Data!E18</f>
        <v/>
      </c>
      <c r="F82">
        <f>D82/E82</f>
        <v/>
      </c>
      <c r="G82">
        <f>F82*0.5</f>
        <v/>
      </c>
      <c r="H82">
        <f>F82-G82</f>
        <v/>
      </c>
      <c r="I82">
        <f>H82*$D$31</f>
        <v/>
      </c>
      <c r="J82">
        <f>B82+I82</f>
        <v/>
      </c>
      <c r="K82">
        <f>(J82/J81)-1</f>
        <v/>
      </c>
    </row>
    <row r="83">
      <c r="A83" t="n">
        <v>2037</v>
      </c>
      <c r="B83">
        <f>WEO_Data!C19</f>
        <v/>
      </c>
      <c r="C83">
        <f>C19</f>
        <v/>
      </c>
      <c r="D83">
        <f>(6.5*$D$30)*C83</f>
        <v/>
      </c>
      <c r="E83">
        <f>WEO_Data!E19</f>
        <v/>
      </c>
      <c r="F83">
        <f>D83/E83</f>
        <v/>
      </c>
      <c r="G83">
        <f>F83*0.5</f>
        <v/>
      </c>
      <c r="H83">
        <f>F83-G83</f>
        <v/>
      </c>
      <c r="I83">
        <f>H83*$D$31</f>
        <v/>
      </c>
      <c r="J83">
        <f>B83+I83</f>
        <v/>
      </c>
      <c r="K83">
        <f>(J83/J82)-1</f>
        <v/>
      </c>
    </row>
    <row r="84">
      <c r="A84" t="n">
        <v>2038</v>
      </c>
      <c r="B84">
        <f>WEO_Data!C20</f>
        <v/>
      </c>
      <c r="C84">
        <f>C20</f>
        <v/>
      </c>
      <c r="D84">
        <f>(6.5*$D$30)*C84</f>
        <v/>
      </c>
      <c r="E84">
        <f>WEO_Data!E20</f>
        <v/>
      </c>
      <c r="F84">
        <f>D84/E84</f>
        <v/>
      </c>
      <c r="G84">
        <f>F84*0.5</f>
        <v/>
      </c>
      <c r="H84">
        <f>F84-G84</f>
        <v/>
      </c>
      <c r="I84">
        <f>H84*$D$31</f>
        <v/>
      </c>
      <c r="J84">
        <f>B84+I84</f>
        <v/>
      </c>
      <c r="K84">
        <f>(J84/J83)-1</f>
        <v/>
      </c>
    </row>
    <row r="85">
      <c r="A85" t="n">
        <v>2039</v>
      </c>
      <c r="B85">
        <f>WEO_Data!C21</f>
        <v/>
      </c>
      <c r="C85">
        <f>C21</f>
        <v/>
      </c>
      <c r="D85">
        <f>(6.5*$D$30)*C85</f>
        <v/>
      </c>
      <c r="E85">
        <f>WEO_Data!E21</f>
        <v/>
      </c>
      <c r="F85">
        <f>D85/E85</f>
        <v/>
      </c>
      <c r="G85">
        <f>F85*0.5</f>
        <v/>
      </c>
      <c r="H85">
        <f>F85-G85</f>
        <v/>
      </c>
      <c r="I85">
        <f>H85*$D$31</f>
        <v/>
      </c>
      <c r="J85">
        <f>B85+I85</f>
        <v/>
      </c>
      <c r="K85">
        <f>(J85/J84)-1</f>
        <v/>
      </c>
    </row>
    <row r="86">
      <c r="A86" t="n">
        <v>2040</v>
      </c>
      <c r="B86">
        <f>WEO_Data!C22</f>
        <v/>
      </c>
      <c r="C86">
        <f>C22</f>
        <v/>
      </c>
      <c r="D86">
        <f>(6.5*$D$30)*C86</f>
        <v/>
      </c>
      <c r="E86">
        <f>WEO_Data!E22</f>
        <v/>
      </c>
      <c r="F86">
        <f>D86/E86</f>
        <v/>
      </c>
      <c r="G86">
        <f>F86*0.5</f>
        <v/>
      </c>
      <c r="H86">
        <f>F86-G86</f>
        <v/>
      </c>
      <c r="I86">
        <f>H86*$D$31</f>
        <v/>
      </c>
      <c r="J86">
        <f>B86+I86</f>
        <v/>
      </c>
      <c r="K86">
        <f>(J86/J85)-1</f>
        <v/>
      </c>
    </row>
    <row r="87">
      <c r="A87" t="n">
        <v>2041</v>
      </c>
      <c r="B87">
        <f>WEO_Data!C23</f>
        <v/>
      </c>
      <c r="C87">
        <f>C23</f>
        <v/>
      </c>
      <c r="D87">
        <f>(6.5*$D$30)*C87</f>
        <v/>
      </c>
      <c r="E87">
        <f>WEO_Data!E23</f>
        <v/>
      </c>
      <c r="F87">
        <f>D87/E87</f>
        <v/>
      </c>
      <c r="G87">
        <f>F87*0.5</f>
        <v/>
      </c>
      <c r="H87">
        <f>F87-G87</f>
        <v/>
      </c>
      <c r="I87">
        <f>H87*$D$31</f>
        <v/>
      </c>
      <c r="J87">
        <f>B87+I87</f>
        <v/>
      </c>
      <c r="K87">
        <f>(J87/J86)-1</f>
        <v/>
      </c>
    </row>
    <row r="88">
      <c r="A88" t="n">
        <v>2042</v>
      </c>
      <c r="B88">
        <f>WEO_Data!C24</f>
        <v/>
      </c>
      <c r="C88">
        <f>C24</f>
        <v/>
      </c>
      <c r="D88">
        <f>(6.5*$D$30)*C88</f>
        <v/>
      </c>
      <c r="E88">
        <f>WEO_Data!E24</f>
        <v/>
      </c>
      <c r="F88">
        <f>D88/E88</f>
        <v/>
      </c>
      <c r="G88">
        <f>F88*0.5</f>
        <v/>
      </c>
      <c r="H88">
        <f>F88-G88</f>
        <v/>
      </c>
      <c r="I88">
        <f>H88*$D$31</f>
        <v/>
      </c>
      <c r="J88">
        <f>B88+I88</f>
        <v/>
      </c>
      <c r="K88">
        <f>(J88/J87)-1</f>
        <v/>
      </c>
    </row>
    <row r="89">
      <c r="A89" t="n">
        <v>2043</v>
      </c>
      <c r="B89">
        <f>WEO_Data!C25</f>
        <v/>
      </c>
      <c r="C89">
        <f>C25</f>
        <v/>
      </c>
      <c r="D89">
        <f>(6.5*$D$30)*C89</f>
        <v/>
      </c>
      <c r="E89">
        <f>WEO_Data!E25</f>
        <v/>
      </c>
      <c r="F89">
        <f>D89/E89</f>
        <v/>
      </c>
      <c r="G89">
        <f>F89*0.5</f>
        <v/>
      </c>
      <c r="H89">
        <f>F89-G89</f>
        <v/>
      </c>
      <c r="I89">
        <f>H89*$D$31</f>
        <v/>
      </c>
      <c r="J89">
        <f>B89+I89</f>
        <v/>
      </c>
      <c r="K89">
        <f>(J89/J88)-1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2026-01-29T09:18:06Z</dcterms:created>
  <dcterms:modified xsi:type="dcterms:W3CDTF">2026-01-29T09:18:06Z</dcterms:modified>
</cp:coreProperties>
</file>