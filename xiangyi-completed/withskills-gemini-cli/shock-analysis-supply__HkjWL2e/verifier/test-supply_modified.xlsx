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3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0" fontId="0" fillId="0" borderId="7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Q1">
        <f>AVERAGE(D19:D27/E19:E27)</f>
        <v/>
      </c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22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SUMSQ(N6:N27) + 100*SUM(M6:M27)</f>
        <v/>
      </c>
    </row>
    <row r="6">
      <c r="C6" t="n">
        <v>2002</v>
      </c>
      <c r="D6" s="19" t="n">
        <v>528110.4410021575</v>
      </c>
      <c r="E6" t="n">
        <v>19548.49964076271</v>
      </c>
      <c r="F6">
        <f>LN(D6)</f>
        <v/>
      </c>
      <c r="G6">
        <f>LN(E6)</f>
        <v/>
      </c>
      <c r="K6" s="4">
        <f>G6-$B$2*F6</f>
        <v/>
      </c>
      <c r="L6" t="n">
        <v>5.349892199548459</v>
      </c>
      <c r="M6" t="n">
        <v>0</v>
      </c>
      <c r="N6" s="5">
        <f>K6-L6</f>
        <v/>
      </c>
    </row>
    <row r="7">
      <c r="C7" t="n">
        <v>2003</v>
      </c>
      <c r="D7" s="19" t="n">
        <v>520782.00963464</v>
      </c>
      <c r="E7" t="n">
        <v>21710.19310176691</v>
      </c>
      <c r="F7">
        <f>LN(D7)</f>
        <v/>
      </c>
      <c r="G7">
        <f>LN(E7)</f>
        <v/>
      </c>
      <c r="K7" s="4">
        <f>G7-$B$2*F7</f>
        <v/>
      </c>
      <c r="L7" t="n">
        <v>5.426128296949984</v>
      </c>
      <c r="M7" t="n">
        <v>0</v>
      </c>
      <c r="N7" s="5">
        <f>K7-L7</f>
        <v/>
      </c>
    </row>
    <row r="8">
      <c r="C8" t="n">
        <v>2004</v>
      </c>
      <c r="D8" s="19" t="n">
        <v>470691.17648099</v>
      </c>
      <c r="E8" t="n">
        <v>22968.51168188842</v>
      </c>
      <c r="F8">
        <f>LN(D8)</f>
        <v/>
      </c>
      <c r="G8">
        <f>LN(E8)</f>
        <v/>
      </c>
      <c r="K8" s="4">
        <f>G8-$B$2*F8</f>
        <v/>
      </c>
      <c r="L8" t="n">
        <v>5.501552298050696</v>
      </c>
      <c r="M8">
        <f>(L8-2*L7+L6)^2</f>
        <v/>
      </c>
      <c r="N8" s="5">
        <f>K8-L8</f>
        <v/>
      </c>
    </row>
    <row r="9">
      <c r="C9" t="n">
        <v>2005</v>
      </c>
      <c r="D9" s="19" t="n">
        <v>451807.40279727</v>
      </c>
      <c r="E9" t="n">
        <v>25170.79905310613</v>
      </c>
      <c r="F9">
        <f>LN(D9)</f>
        <v/>
      </c>
      <c r="G9">
        <f>LN(E9)</f>
        <v/>
      </c>
      <c r="K9" s="4">
        <f>G9-$B$2*F9</f>
        <v/>
      </c>
      <c r="L9" t="n">
        <v>5.574875391265127</v>
      </c>
      <c r="M9">
        <f>(L9-2*L8+L7)^2</f>
        <v/>
      </c>
      <c r="N9" s="5">
        <f>K9-L9</f>
        <v/>
      </c>
    </row>
    <row r="10">
      <c r="C10" t="n">
        <v>2006</v>
      </c>
      <c r="D10" s="19" t="n">
        <v>449198.1276677443</v>
      </c>
      <c r="E10" t="n">
        <v>27542.07520207447</v>
      </c>
      <c r="F10">
        <f>LN(D10)</f>
        <v/>
      </c>
      <c r="G10">
        <f>LN(E10)</f>
        <v/>
      </c>
      <c r="K10" s="4">
        <f>G10-$B$2*F10</f>
        <v/>
      </c>
      <c r="L10" t="n">
        <v>5.644495185837265</v>
      </c>
      <c r="M10">
        <f>(L10-2*L9+L8)^2</f>
        <v/>
      </c>
      <c r="N10" s="5">
        <f>K10-L10</f>
        <v/>
      </c>
    </row>
    <row r="11">
      <c r="C11" t="n">
        <v>2007</v>
      </c>
      <c r="D11" s="19" t="n">
        <v>428036.9445538663</v>
      </c>
      <c r="E11" t="n">
        <v>31006.53152020284</v>
      </c>
      <c r="F11">
        <f>LN(D11)</f>
        <v/>
      </c>
      <c r="G11">
        <f>LN(E11)</f>
        <v/>
      </c>
      <c r="K11" s="4">
        <f>G11-$B$2*F11</f>
        <v/>
      </c>
      <c r="L11" t="n">
        <v>5.708821395999189</v>
      </c>
      <c r="M11">
        <f>(L11-2*L10+L9)^2</f>
        <v/>
      </c>
      <c r="N11" s="5">
        <f>K11-L11</f>
        <v/>
      </c>
    </row>
    <row r="12">
      <c r="C12" t="n">
        <v>2008</v>
      </c>
      <c r="D12" s="19" t="n">
        <v>384200.0266822593</v>
      </c>
      <c r="E12" t="n">
        <v>31756.30089666795</v>
      </c>
      <c r="F12">
        <f>LN(D12)</f>
        <v/>
      </c>
      <c r="G12">
        <f>LN(E12)</f>
        <v/>
      </c>
      <c r="K12" s="4">
        <f>G12-$B$2*F12</f>
        <v/>
      </c>
      <c r="L12" t="n">
        <v>5.766500217674037</v>
      </c>
      <c r="M12">
        <f>(L12-2*L11+L10)^2</f>
        <v/>
      </c>
      <c r="N12" s="5">
        <f>K12-L12</f>
        <v/>
      </c>
    </row>
    <row r="13">
      <c r="C13" t="n">
        <v>2009</v>
      </c>
      <c r="D13" s="19" t="n">
        <v>426969.9505098543</v>
      </c>
      <c r="E13" t="n">
        <v>30597.1662481076</v>
      </c>
      <c r="F13">
        <f>LN(D13)</f>
        <v/>
      </c>
      <c r="G13">
        <f>LN(E13)</f>
        <v/>
      </c>
      <c r="K13" s="4">
        <f>G13-$B$2*F13</f>
        <v/>
      </c>
      <c r="L13" t="n">
        <v>5.81712478761508</v>
      </c>
      <c r="M13">
        <f>(L13-2*L12+L11)^2</f>
        <v/>
      </c>
      <c r="N13" s="5">
        <f>K13-L13</f>
        <v/>
      </c>
    </row>
    <row r="14">
      <c r="C14" t="n">
        <v>2010</v>
      </c>
      <c r="D14" s="19" t="n">
        <v>456609.4505576334</v>
      </c>
      <c r="E14" t="n">
        <v>32509.31172847713</v>
      </c>
      <c r="F14">
        <f>LN(D14)</f>
        <v/>
      </c>
      <c r="G14">
        <f>LN(E14)</f>
        <v/>
      </c>
      <c r="K14" s="4">
        <f>G14-$B$2*F14</f>
        <v/>
      </c>
      <c r="L14" t="n">
        <v>5.861275489683874</v>
      </c>
      <c r="M14">
        <f>(L14-2*L13+L12)^2</f>
        <v/>
      </c>
      <c r="N14" s="5">
        <f>K14-L14</f>
        <v/>
      </c>
    </row>
    <row r="15">
      <c r="C15" t="n">
        <v>2011</v>
      </c>
      <c r="D15" s="19" t="n">
        <v>435448.7457628032</v>
      </c>
      <c r="E15" t="n">
        <v>34902.21018978061</v>
      </c>
      <c r="F15">
        <f>LN(D15)</f>
        <v/>
      </c>
      <c r="G15">
        <f>LN(E15)</f>
        <v/>
      </c>
      <c r="K15" s="4">
        <f>G15-$B$2*F15</f>
        <v/>
      </c>
      <c r="L15" t="n">
        <v>5.899272445432858</v>
      </c>
      <c r="M15">
        <f>(L15-2*L14+L13)^2</f>
        <v/>
      </c>
      <c r="N15" s="5">
        <f>K15-L15</f>
        <v/>
      </c>
    </row>
    <row r="16">
      <c r="C16" t="n">
        <v>2012</v>
      </c>
      <c r="D16" s="19" t="n">
        <v>430603.537752149</v>
      </c>
      <c r="E16" t="n">
        <v>37141.80608235947</v>
      </c>
      <c r="F16">
        <f>LN(D16)</f>
        <v/>
      </c>
      <c r="G16">
        <f>LN(E16)</f>
        <v/>
      </c>
      <c r="K16" s="4">
        <f>G16-$B$2*F16</f>
        <v/>
      </c>
      <c r="L16" t="n">
        <v>5.931105296950781</v>
      </c>
      <c r="M16">
        <f>(L16-2*L15+L14)^2</f>
        <v/>
      </c>
      <c r="N16" s="5">
        <f>K16-L16</f>
        <v/>
      </c>
    </row>
    <row r="17">
      <c r="C17" t="n">
        <v>2013</v>
      </c>
      <c r="D17" s="19" t="n">
        <v>435703.07102049</v>
      </c>
      <c r="E17" t="n">
        <v>38484.68872454931</v>
      </c>
      <c r="F17">
        <f>LN(D17)</f>
        <v/>
      </c>
      <c r="G17">
        <f>LN(E17)</f>
        <v/>
      </c>
      <c r="K17" s="4">
        <f>G17-$B$2*F17</f>
        <v/>
      </c>
      <c r="L17" t="n">
        <v>5.956929552903849</v>
      </c>
      <c r="M17">
        <f>(L17-2*L16+L15)^2</f>
        <v/>
      </c>
      <c r="N17" s="5">
        <f>K17-L17</f>
        <v/>
      </c>
    </row>
    <row r="18">
      <c r="C18" t="n">
        <v>2014</v>
      </c>
      <c r="D18" s="19" t="n">
        <v>469346.6994789728</v>
      </c>
      <c r="E18" t="n">
        <v>40194.00404676886</v>
      </c>
      <c r="F18">
        <f>LN(D18)</f>
        <v/>
      </c>
      <c r="G18">
        <f>LN(E18)</f>
        <v/>
      </c>
      <c r="K18" s="4">
        <f>G18-$B$2*F18</f>
        <v/>
      </c>
      <c r="L18" t="n">
        <v>5.977409352837244</v>
      </c>
      <c r="M18">
        <f>(L18-2*L17+L16)^2</f>
        <v/>
      </c>
      <c r="N18" s="5">
        <f>K18-L18</f>
        <v/>
      </c>
    </row>
    <row r="19">
      <c r="C19" t="n">
        <v>2015</v>
      </c>
      <c r="D19" s="19" t="n">
        <v>615957.1258328484</v>
      </c>
      <c r="E19" t="n">
        <v>41410.52454303196</v>
      </c>
      <c r="F19">
        <f>LN(D19)</f>
        <v/>
      </c>
      <c r="G19">
        <f>LN(E19)</f>
        <v/>
      </c>
      <c r="K19" s="4">
        <f>G19-$B$2*F19</f>
        <v/>
      </c>
      <c r="L19" t="n">
        <v>5.993773191312246</v>
      </c>
      <c r="M19">
        <f>(L19-2*L18+L17)^2</f>
        <v/>
      </c>
      <c r="N19" s="5">
        <f>K19-L19</f>
        <v/>
      </c>
    </row>
    <row r="20">
      <c r="C20" t="n">
        <v>2016</v>
      </c>
      <c r="D20" s="19" t="n">
        <v>656974.8292191175</v>
      </c>
      <c r="E20" t="n">
        <v>42613.84293087021</v>
      </c>
      <c r="F20">
        <f>LN(D20)</f>
        <v/>
      </c>
      <c r="G20">
        <f>LN(E20)</f>
        <v/>
      </c>
      <c r="K20" s="4">
        <f>G20-$B$2*F20</f>
        <v/>
      </c>
      <c r="L20" t="n">
        <v>6.007783360946235</v>
      </c>
      <c r="M20">
        <f>(L20-2*L19+L18)^2</f>
        <v/>
      </c>
      <c r="N20" s="5">
        <f>K20-L20</f>
        <v/>
      </c>
    </row>
    <row r="21">
      <c r="C21" t="n">
        <v>2017</v>
      </c>
      <c r="D21" s="19" t="n">
        <v>711912.1914192565</v>
      </c>
      <c r="E21" t="n">
        <v>44677.78839969425</v>
      </c>
      <c r="F21">
        <f>LN(D21)</f>
        <v/>
      </c>
      <c r="G21">
        <f>LN(E21)</f>
        <v/>
      </c>
      <c r="K21" s="4">
        <f>G21-$B$2*F21</f>
        <v/>
      </c>
      <c r="L21" t="n">
        <v>6.02091906164158</v>
      </c>
      <c r="M21">
        <f>(L21-2*L20+L19)^2</f>
        <v/>
      </c>
      <c r="N21" s="5">
        <f>K21-L21</f>
        <v/>
      </c>
    </row>
    <row r="22">
      <c r="C22" t="n">
        <v>2018</v>
      </c>
      <c r="D22" s="19" t="n">
        <v>733779.4294681279</v>
      </c>
      <c r="E22" t="n">
        <v>46841.41310482326</v>
      </c>
      <c r="F22">
        <f>LN(D22)</f>
        <v/>
      </c>
      <c r="G22">
        <f>LN(E22)</f>
        <v/>
      </c>
      <c r="K22" s="4">
        <f>G22-$B$2*F22</f>
        <v/>
      </c>
      <c r="L22" t="n">
        <v>6.034297100552551</v>
      </c>
      <c r="M22">
        <f>(L22-2*L21+L20)^2</f>
        <v/>
      </c>
      <c r="N22" s="5">
        <f>K22-L22</f>
        <v/>
      </c>
    </row>
    <row r="23">
      <c r="C23" t="n">
        <v>2019</v>
      </c>
      <c r="D23" s="19" t="n">
        <v>840413.2873090624</v>
      </c>
      <c r="E23" t="n">
        <v>49252.7</v>
      </c>
      <c r="F23">
        <f>LN(D23)</f>
        <v/>
      </c>
      <c r="G23">
        <f>LN(E23)</f>
        <v/>
      </c>
      <c r="K23" s="4">
        <f>G23-$B$2*F23</f>
        <v/>
      </c>
      <c r="L23" t="n">
        <v>6.048732427253485</v>
      </c>
      <c r="M23">
        <f>(L23-2*L22+L21)^2</f>
        <v/>
      </c>
      <c r="N23" s="5">
        <f>K23-L23</f>
        <v/>
      </c>
    </row>
    <row r="24">
      <c r="C24" t="n">
        <v>2020</v>
      </c>
      <c r="D24" s="19" t="n">
        <v>865625.6859283344</v>
      </c>
      <c r="E24" t="n">
        <v>45903.51639999999</v>
      </c>
      <c r="F24">
        <f>LN(D24)</f>
        <v/>
      </c>
      <c r="G24">
        <f>LN(E24)</f>
        <v/>
      </c>
      <c r="K24" s="4">
        <f>G24-$B$2*F24</f>
        <v/>
      </c>
      <c r="L24" t="n">
        <v>6.064971377021697</v>
      </c>
      <c r="M24">
        <f>(L24-2*L23+L22)^2</f>
        <v/>
      </c>
      <c r="N24" s="5">
        <f>K24-L24</f>
        <v/>
      </c>
    </row>
    <row r="25">
      <c r="C25" t="n">
        <v>2021</v>
      </c>
      <c r="D25" s="19" t="n">
        <v>891594.4565061843</v>
      </c>
      <c r="E25" t="n">
        <v>50769.2891384</v>
      </c>
      <c r="F25">
        <f>LN(D25)</f>
        <v/>
      </c>
      <c r="G25">
        <f>LN(E25)</f>
        <v/>
      </c>
      <c r="K25" s="4">
        <f>G25-$B$2*F25</f>
        <v/>
      </c>
      <c r="L25" t="n">
        <v>6.083574383831459</v>
      </c>
      <c r="M25">
        <f>(L25-2*L24+L23)^2</f>
        <v/>
      </c>
      <c r="N25" s="5">
        <f>K25-L25</f>
        <v/>
      </c>
    </row>
    <row r="26">
      <c r="C26" t="n">
        <v>2022</v>
      </c>
      <c r="D26" s="19" t="n">
        <v>918342.2902013699</v>
      </c>
      <c r="E26" t="n">
        <v>56353.910943624</v>
      </c>
      <c r="F26">
        <f>LN(D26)</f>
        <v/>
      </c>
      <c r="G26">
        <f>LN(E26)</f>
        <v/>
      </c>
      <c r="K26" s="4">
        <f>G26-$B$2*F26</f>
        <v/>
      </c>
      <c r="L26" t="n">
        <v>6.10394591040551</v>
      </c>
      <c r="M26">
        <f>(L26-2*L25+L24)^2</f>
        <v/>
      </c>
      <c r="N26" s="5">
        <f>K26-L26</f>
        <v/>
      </c>
    </row>
    <row r="27">
      <c r="C27" t="n">
        <v>2023</v>
      </c>
      <c r="D27" s="19" t="n">
        <v>945892.5589074111</v>
      </c>
      <c r="E27" t="n">
        <v>60749.51599722668</v>
      </c>
      <c r="F27">
        <f>LN(D27)</f>
        <v/>
      </c>
      <c r="G27">
        <f>LN(E27)</f>
        <v/>
      </c>
      <c r="K27" s="6">
        <f>G27-$B$2*F27</f>
        <v/>
      </c>
      <c r="L27" s="7" t="n">
        <v>6.125052461370116</v>
      </c>
      <c r="M27" s="7">
        <f>(L27-2*L26+L25)^2</f>
        <v/>
      </c>
      <c r="N27" s="8">
        <f>K27-L27</f>
        <v/>
      </c>
    </row>
    <row r="30">
      <c r="D30">
        <f>AVERAGE(D19:D27/E19:E27)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A36" t="n">
        <v>2024</v>
      </c>
      <c r="C36" t="n">
        <v>2024</v>
      </c>
      <c r="D36">
        <f>$Q$1*H36</f>
        <v/>
      </c>
      <c r="E36" s="19" t="n"/>
      <c r="G36">
        <f>TREND($L$6:$L$27, $C$6:$C$27, C36)</f>
        <v/>
      </c>
      <c r="H36">
        <f>EXP((G36+$B$2*LN($Q$1))/(1-$B$2))</f>
        <v/>
      </c>
      <c r="I36" t="n">
        <v>0</v>
      </c>
      <c r="J36">
        <f>I36</f>
        <v/>
      </c>
      <c r="K36" s="19">
        <f>D36+J36</f>
        <v/>
      </c>
      <c r="L36">
        <f>EXP(G36)*K36^$B$2</f>
        <v/>
      </c>
    </row>
    <row r="37">
      <c r="A37" t="n">
        <v>2025</v>
      </c>
      <c r="C37" t="n">
        <v>2025</v>
      </c>
      <c r="D37">
        <f>$Q$1*H37</f>
        <v/>
      </c>
      <c r="E37" s="19" t="n"/>
      <c r="G37">
        <f>TREND($L$6:$L$27, $C$6:$C$27, C37)</f>
        <v/>
      </c>
      <c r="H37">
        <f>EXP((G37+$B$2*LN($Q$1))/(1-$B$2))</f>
        <v/>
      </c>
      <c r="I37" t="n">
        <v>0</v>
      </c>
      <c r="J37">
        <f>J36*(1-$B$3)+I37</f>
        <v/>
      </c>
      <c r="K37" s="19">
        <f>D37+J37</f>
        <v/>
      </c>
      <c r="L37">
        <f>EXP(G37)*K37^$B$2</f>
        <v/>
      </c>
    </row>
    <row r="38">
      <c r="A38" t="n">
        <v>2026</v>
      </c>
      <c r="C38" t="n">
        <v>2026</v>
      </c>
      <c r="D38">
        <f>$Q$1*H38</f>
        <v/>
      </c>
      <c r="E38" s="19" t="n"/>
      <c r="G38">
        <f>TREND($L$6:$L$27, $C$6:$C$27, C38)</f>
        <v/>
      </c>
      <c r="H38">
        <f>EXP((G38+$B$2*LN($Q$1))/(1-$B$2))</f>
        <v/>
      </c>
      <c r="I38" t="n">
        <v>648.5893137564417</v>
      </c>
      <c r="J38">
        <f>J37*(1-$B$3)+I38</f>
        <v/>
      </c>
      <c r="K38" s="19">
        <f>D38+J38</f>
        <v/>
      </c>
      <c r="L38">
        <f>EXP(G38)*K38^$B$2</f>
        <v/>
      </c>
    </row>
    <row r="39">
      <c r="A39" t="n">
        <v>2027</v>
      </c>
      <c r="C39" t="n">
        <v>2027</v>
      </c>
      <c r="D39">
        <f>$Q$1*H39</f>
        <v/>
      </c>
      <c r="E39" s="19" t="n"/>
      <c r="G39">
        <f>TREND($L$6:$L$27, $C$6:$C$27, C39)</f>
        <v/>
      </c>
      <c r="H39">
        <f>EXP((G39+$B$2*LN($Q$1))/(1-$B$2))</f>
        <v/>
      </c>
      <c r="I39" t="n">
        <v>1220.080196896535</v>
      </c>
      <c r="J39">
        <f>J38*(1-$B$3)+I39</f>
        <v/>
      </c>
      <c r="K39" s="19">
        <f>D39+J39</f>
        <v/>
      </c>
      <c r="L39">
        <f>EXP(G39)*K39^$B$2</f>
        <v/>
      </c>
    </row>
    <row r="40">
      <c r="A40" t="n">
        <v>2028</v>
      </c>
      <c r="C40" t="n">
        <v>2028</v>
      </c>
      <c r="D40">
        <f>$Q$1*H40</f>
        <v/>
      </c>
      <c r="E40" s="19" t="n"/>
      <c r="G40">
        <f>TREND($L$6:$L$27, $C$6:$C$27, C40)</f>
        <v/>
      </c>
      <c r="H40">
        <f>EXP((G40+$B$2*LN($Q$1))/(1-$B$2))</f>
        <v/>
      </c>
      <c r="I40" t="n">
        <v>1756.17368014315</v>
      </c>
      <c r="J40">
        <f>J39*(1-$B$3)+I40</f>
        <v/>
      </c>
      <c r="K40" s="19">
        <f>D40+J40</f>
        <v/>
      </c>
      <c r="L40">
        <f>EXP(G40)*K40^$B$2</f>
        <v/>
      </c>
    </row>
    <row r="41">
      <c r="A41" t="n">
        <v>2029</v>
      </c>
      <c r="C41" t="n">
        <v>2029</v>
      </c>
      <c r="D41">
        <f>$Q$1*H41</f>
        <v/>
      </c>
      <c r="E41" s="19" t="n"/>
      <c r="G41">
        <f>TREND($L$6:$L$27, $C$6:$C$27, C41)</f>
        <v/>
      </c>
      <c r="H41">
        <f>EXP((G41+$B$2*LN($Q$1))/(1-$B$2))</f>
        <v/>
      </c>
      <c r="I41" t="n">
        <v>2221.194700985215</v>
      </c>
      <c r="J41">
        <f>J40*(1-$B$3)+I41</f>
        <v/>
      </c>
      <c r="K41" s="19">
        <f>D41+J41</f>
        <v/>
      </c>
      <c r="L41">
        <f>EXP(G41)*K41^$B$2</f>
        <v/>
      </c>
    </row>
    <row r="42">
      <c r="A42" t="n">
        <v>2030</v>
      </c>
      <c r="C42" t="n">
        <v>2030</v>
      </c>
      <c r="D42">
        <f>$Q$1*H42</f>
        <v/>
      </c>
      <c r="E42" s="19" t="n"/>
      <c r="G42">
        <f>TREND($L$6:$L$27, $C$6:$C$27, C42)</f>
        <v/>
      </c>
      <c r="H42">
        <f>EXP((G42+$B$2*LN($Q$1))/(1-$B$2))</f>
        <v/>
      </c>
      <c r="I42" t="n">
        <v>2122.467876455729</v>
      </c>
      <c r="J42">
        <f>J41*(1-$B$3)+I42</f>
        <v/>
      </c>
      <c r="K42" s="19">
        <f>D42+J42</f>
        <v/>
      </c>
      <c r="L42">
        <f>EXP(G42)*K42^$B$2</f>
        <v/>
      </c>
    </row>
    <row r="43">
      <c r="A43" t="n">
        <v>2031</v>
      </c>
      <c r="C43" t="n">
        <v>2031</v>
      </c>
      <c r="D43">
        <f>$Q$1*H43</f>
        <v/>
      </c>
      <c r="E43" s="19" t="n"/>
      <c r="G43">
        <f>TREND($L$6:$L$27, $C$6:$C$27, C43)</f>
        <v/>
      </c>
      <c r="H43">
        <f>EXP((G43+$B$2*LN($Q$1))/(1-$B$2))</f>
        <v/>
      </c>
      <c r="I43" t="n">
        <v>1524.524585276747</v>
      </c>
      <c r="J43">
        <f>J42*(1-$B$3)+I43</f>
        <v/>
      </c>
      <c r="K43" s="19">
        <f>D43+J43</f>
        <v/>
      </c>
      <c r="L43">
        <f>EXP(G43)*K43^$B$2</f>
        <v/>
      </c>
    </row>
    <row r="44">
      <c r="A44" t="n">
        <v>2032</v>
      </c>
      <c r="C44" t="n">
        <v>2032</v>
      </c>
      <c r="D44">
        <f>$Q$1*H44</f>
        <v/>
      </c>
      <c r="E44" s="19" t="n"/>
      <c r="G44">
        <f>TREND($L$6:$L$27, $C$6:$C$27, C44)</f>
        <v/>
      </c>
      <c r="H44">
        <f>EXP((G44+$B$2*LN($Q$1))/(1-$B$2))</f>
        <v/>
      </c>
      <c r="I44" t="n">
        <v>738.1763105598934</v>
      </c>
      <c r="J44">
        <f>J43*(1-$B$3)+I44</f>
        <v/>
      </c>
      <c r="K44" s="19">
        <f>D44+J44</f>
        <v/>
      </c>
      <c r="L44">
        <f>EXP(G44)*K44^$B$2</f>
        <v/>
      </c>
    </row>
    <row r="45">
      <c r="A45" t="n">
        <v>2033</v>
      </c>
      <c r="C45" t="n">
        <v>2033</v>
      </c>
      <c r="D45">
        <f>$Q$1*H45</f>
        <v/>
      </c>
      <c r="E45" s="19" t="n"/>
      <c r="G45">
        <f>TREND($L$6:$L$27, $C$6:$C$27, C45)</f>
        <v/>
      </c>
      <c r="H45">
        <f>EXP((G45+$B$2*LN($Q$1))/(1-$B$2))</f>
        <v/>
      </c>
      <c r="I45" t="n">
        <v>352.6059768970017</v>
      </c>
      <c r="J45">
        <f>J44*(1-$B$3)+I45</f>
        <v/>
      </c>
      <c r="K45" s="19">
        <f>D45+J45</f>
        <v/>
      </c>
      <c r="L45">
        <f>EXP(G45)*K45^$B$2</f>
        <v/>
      </c>
    </row>
    <row r="46">
      <c r="A46" t="n">
        <v>2034</v>
      </c>
      <c r="C46" t="n">
        <v>2034</v>
      </c>
      <c r="D46">
        <f>$Q$1*H46</f>
        <v/>
      </c>
      <c r="E46" s="19" t="n"/>
      <c r="G46">
        <f>TREND($L$6:$L$27, $C$6:$C$27, C46)</f>
        <v/>
      </c>
      <c r="H46">
        <f>EXP((G46+$B$2*LN($Q$1))/(1-$B$2))</f>
        <v/>
      </c>
      <c r="I46" t="n">
        <v>0</v>
      </c>
      <c r="J46">
        <f>J45*(1-$B$3)+I46</f>
        <v/>
      </c>
      <c r="K46" s="19">
        <f>D46+J46</f>
        <v/>
      </c>
      <c r="L46">
        <f>EXP(G46)*K46^$B$2</f>
        <v/>
      </c>
    </row>
    <row r="47">
      <c r="A47" t="n">
        <v>2035</v>
      </c>
      <c r="C47" t="n">
        <v>2035</v>
      </c>
      <c r="D47">
        <f>$Q$1*H47</f>
        <v/>
      </c>
      <c r="E47" s="19" t="n"/>
      <c r="G47">
        <f>TREND($L$6:$L$27, $C$6:$C$27, C47)</f>
        <v/>
      </c>
      <c r="H47">
        <f>EXP((G47+$B$2*LN($Q$1))/(1-$B$2))</f>
        <v/>
      </c>
      <c r="I47" t="n">
        <v>0</v>
      </c>
      <c r="J47">
        <f>J46*(1-$B$3)+I47</f>
        <v/>
      </c>
      <c r="K47" s="19">
        <f>D47+J47</f>
        <v/>
      </c>
      <c r="L47">
        <f>EXP(G47)*K47^$B$2</f>
        <v/>
      </c>
    </row>
    <row r="48">
      <c r="A48" t="n">
        <v>2036</v>
      </c>
      <c r="C48" t="n">
        <v>2036</v>
      </c>
      <c r="D48">
        <f>$Q$1*H48</f>
        <v/>
      </c>
      <c r="E48" s="19" t="n"/>
      <c r="G48">
        <f>TREND($L$6:$L$27, $C$6:$C$27, C48)</f>
        <v/>
      </c>
      <c r="H48">
        <f>EXP((G48+$B$2*LN($Q$1))/(1-$B$2))</f>
        <v/>
      </c>
      <c r="I48" t="n">
        <v>0</v>
      </c>
      <c r="J48">
        <f>J47*(1-$B$3)+I48</f>
        <v/>
      </c>
      <c r="K48" s="19">
        <f>D48+J48</f>
        <v/>
      </c>
      <c r="L48">
        <f>EXP(G48)*K48^$B$2</f>
        <v/>
      </c>
    </row>
    <row r="49">
      <c r="A49" t="n">
        <v>2037</v>
      </c>
      <c r="C49" t="n">
        <v>2037</v>
      </c>
      <c r="D49">
        <f>$Q$1*H49</f>
        <v/>
      </c>
      <c r="E49" s="19" t="n"/>
      <c r="G49">
        <f>TREND($L$6:$L$27, $C$6:$C$27, C49)</f>
        <v/>
      </c>
      <c r="H49">
        <f>EXP((G49+$B$2*LN($Q$1))/(1-$B$2))</f>
        <v/>
      </c>
      <c r="I49" t="n">
        <v>0</v>
      </c>
      <c r="J49">
        <f>J48*(1-$B$3)+I49</f>
        <v/>
      </c>
      <c r="K49" s="19">
        <f>D49+J49</f>
        <v/>
      </c>
      <c r="L49">
        <f>EXP(G49)*K49^$B$2</f>
        <v/>
      </c>
    </row>
    <row r="50">
      <c r="A50" t="n">
        <v>2038</v>
      </c>
      <c r="C50" t="n">
        <v>2038</v>
      </c>
      <c r="D50">
        <f>$Q$1*H50</f>
        <v/>
      </c>
      <c r="E50" s="19" t="n"/>
      <c r="G50">
        <f>TREND($L$6:$L$27, $C$6:$C$27, C50)</f>
        <v/>
      </c>
      <c r="H50">
        <f>EXP((G50+$B$2*LN($Q$1))/(1-$B$2))</f>
        <v/>
      </c>
      <c r="I50" t="n">
        <v>0</v>
      </c>
      <c r="J50">
        <f>J49*(1-$B$3)+I50</f>
        <v/>
      </c>
      <c r="K50" s="19">
        <f>D50+J50</f>
        <v/>
      </c>
      <c r="L50">
        <f>EXP(G50)*K50^$B$2</f>
        <v/>
      </c>
    </row>
    <row r="51">
      <c r="A51" t="n">
        <v>2039</v>
      </c>
      <c r="C51" t="n">
        <v>2039</v>
      </c>
      <c r="D51">
        <f>$Q$1*H51</f>
        <v/>
      </c>
      <c r="E51" s="19" t="n"/>
      <c r="G51">
        <f>TREND($L$6:$L$27, $C$6:$C$27, C51)</f>
        <v/>
      </c>
      <c r="H51">
        <f>EXP((G51+$B$2*LN($Q$1))/(1-$B$2))</f>
        <v/>
      </c>
      <c r="I51" t="n">
        <v>0</v>
      </c>
      <c r="J51">
        <f>J50*(1-$B$3)+I51</f>
        <v/>
      </c>
      <c r="K51" s="19">
        <f>D51+J51</f>
        <v/>
      </c>
      <c r="L51">
        <f>EXP(G51)*K51^$B$2</f>
        <v/>
      </c>
    </row>
    <row r="52">
      <c r="A52" t="n">
        <v>2040</v>
      </c>
      <c r="C52" t="n">
        <v>2040</v>
      </c>
      <c r="D52">
        <f>$Q$1*H52</f>
        <v/>
      </c>
      <c r="E52" s="19" t="n"/>
      <c r="G52">
        <f>TREND($L$6:$L$27, $C$6:$C$27, C52)</f>
        <v/>
      </c>
      <c r="H52">
        <f>EXP((G52+$B$2*LN($Q$1))/(1-$B$2))</f>
        <v/>
      </c>
      <c r="I52" t="n">
        <v>0</v>
      </c>
      <c r="J52">
        <f>J51*(1-$B$3)+I52</f>
        <v/>
      </c>
      <c r="K52" s="19">
        <f>D52+J52</f>
        <v/>
      </c>
      <c r="L52">
        <f>EXP(G52)*K52^$B$2</f>
        <v/>
      </c>
    </row>
    <row r="53">
      <c r="A53" t="n">
        <v>2041</v>
      </c>
      <c r="C53" t="n">
        <v>2041</v>
      </c>
      <c r="D53">
        <f>$Q$1*H53</f>
        <v/>
      </c>
      <c r="E53" s="19" t="n"/>
      <c r="G53">
        <f>TREND($L$6:$L$27, $C$6:$C$27, C53)</f>
        <v/>
      </c>
      <c r="H53">
        <f>EXP((G53+$B$2*LN($Q$1))/(1-$B$2))</f>
        <v/>
      </c>
      <c r="I53" t="n">
        <v>0</v>
      </c>
      <c r="J53">
        <f>J52*(1-$B$3)+I53</f>
        <v/>
      </c>
      <c r="K53" s="19">
        <f>D53+J53</f>
        <v/>
      </c>
      <c r="L53">
        <f>EXP(G53)*K53^$B$2</f>
        <v/>
      </c>
    </row>
    <row r="54">
      <c r="A54" t="n">
        <v>2042</v>
      </c>
      <c r="C54" t="n">
        <v>2042</v>
      </c>
      <c r="D54">
        <f>$Q$1*H54</f>
        <v/>
      </c>
      <c r="E54" s="19" t="n"/>
      <c r="G54">
        <f>TREND($L$6:$L$27, $C$6:$C$27, C54)</f>
        <v/>
      </c>
      <c r="H54">
        <f>EXP((G54+$B$2*LN($Q$1))/(1-$B$2))</f>
        <v/>
      </c>
      <c r="I54" t="n">
        <v>0</v>
      </c>
      <c r="J54">
        <f>J53*(1-$B$3)+I54</f>
        <v/>
      </c>
      <c r="K54" s="19">
        <f>D54+J54</f>
        <v/>
      </c>
      <c r="L54">
        <f>EXP(G54)*K54^$B$2</f>
        <v/>
      </c>
    </row>
    <row r="55">
      <c r="A55" t="n">
        <v>2043</v>
      </c>
      <c r="C55" t="n">
        <v>2043</v>
      </c>
      <c r="D55">
        <f>$Q$1*H55</f>
        <v/>
      </c>
      <c r="E55" s="19" t="n"/>
      <c r="G55">
        <f>TREND($L$6:$L$27, $C$6:$C$27, C55)</f>
        <v/>
      </c>
      <c r="H55">
        <f>EXP((G55+$B$2*LN($Q$1))/(1-$B$2))</f>
        <v/>
      </c>
      <c r="I55" t="n">
        <v>0</v>
      </c>
      <c r="J55">
        <f>J54*(1-$B$3)+I55</f>
        <v/>
      </c>
      <c r="K55" s="19">
        <f>D55+J55</f>
        <v/>
      </c>
      <c r="L55">
        <f>EXP(G55)*K55^$B$2</f>
        <v/>
      </c>
    </row>
    <row r="56">
      <c r="A56" t="n">
        <v>2044</v>
      </c>
      <c r="C56" t="n">
        <v>2044</v>
      </c>
      <c r="D56">
        <f>$Q$1*H56</f>
        <v/>
      </c>
      <c r="E56" s="19" t="n"/>
      <c r="G56">
        <f>TREND($L$6:$L$27, $C$6:$C$27, C56)</f>
        <v/>
      </c>
      <c r="H56">
        <f>EXP((G56+$B$2*LN($Q$1))/(1-$B$2))</f>
        <v/>
      </c>
      <c r="I56" t="n">
        <v>0</v>
      </c>
      <c r="J56">
        <f>J55*(1-$B$3)+I56</f>
        <v/>
      </c>
      <c r="K56" s="19">
        <f>D56+J56</f>
        <v/>
      </c>
      <c r="L56">
        <f>EXP(G56)*K56^$B$2</f>
        <v/>
      </c>
    </row>
    <row r="57">
      <c r="A57" t="n">
        <v>2045</v>
      </c>
      <c r="C57" t="n">
        <v>2045</v>
      </c>
      <c r="D57">
        <f>$Q$1*H57</f>
        <v/>
      </c>
      <c r="E57" s="19" t="n"/>
      <c r="G57">
        <f>TREND($L$6:$L$27, $C$6:$C$27, C57)</f>
        <v/>
      </c>
      <c r="H57">
        <f>EXP((G57+$B$2*LN($Q$1))/(1-$B$2))</f>
        <v/>
      </c>
      <c r="I57" t="n">
        <v>0</v>
      </c>
      <c r="J57">
        <f>J56*(1-$B$3)+I57</f>
        <v/>
      </c>
      <c r="K57" s="19">
        <f>D57+J57</f>
        <v/>
      </c>
      <c r="L57">
        <f>EXP(G57)*K57^$B$2</f>
        <v/>
      </c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t="n">
        <v>1996</v>
      </c>
      <c r="B2" t="n">
        <v>1996</v>
      </c>
      <c r="C2" t="n">
        <v>10126.1261509556</v>
      </c>
      <c r="D2" t="n">
        <v>305710.857375</v>
      </c>
      <c r="E2">
        <f>C2/D2</f>
        <v/>
      </c>
    </row>
    <row r="3">
      <c r="A3" t="n">
        <v>1997</v>
      </c>
      <c r="B3" t="n">
        <v>1997</v>
      </c>
      <c r="C3" t="n">
        <v>10019.61321809258</v>
      </c>
      <c r="D3" t="n">
        <v>310654.4038215</v>
      </c>
      <c r="E3">
        <f>C3/D3</f>
        <v/>
      </c>
    </row>
    <row r="4">
      <c r="A4" t="n">
        <v>1998</v>
      </c>
      <c r="B4" t="n">
        <v>1998</v>
      </c>
      <c r="C4" t="n">
        <v>10593.24874374061</v>
      </c>
      <c r="D4" t="n">
        <v>332335.5890004307</v>
      </c>
      <c r="E4">
        <f>C4/D4</f>
        <v/>
      </c>
    </row>
    <row r="5">
      <c r="A5" t="n">
        <v>1999</v>
      </c>
      <c r="B5" t="n">
        <v>1999</v>
      </c>
      <c r="C5" t="n">
        <v>15395.39216735545</v>
      </c>
      <c r="D5" t="n">
        <v>484262.8999413598</v>
      </c>
      <c r="E5">
        <f>C5/D5</f>
        <v/>
      </c>
    </row>
    <row r="6">
      <c r="A6" t="n">
        <v>2000</v>
      </c>
      <c r="B6" t="n">
        <v>2000</v>
      </c>
      <c r="C6" t="n">
        <v>14946.79770210876</v>
      </c>
      <c r="D6" t="n">
        <v>472642.9621890238</v>
      </c>
      <c r="E6">
        <f>C6/D6</f>
        <v/>
      </c>
    </row>
    <row r="7">
      <c r="A7" t="n">
        <v>2001</v>
      </c>
      <c r="B7" t="n">
        <v>2001</v>
      </c>
      <c r="C7" t="n">
        <v>15671.74670067351</v>
      </c>
      <c r="D7" t="n">
        <v>497661.3697732488</v>
      </c>
      <c r="E7">
        <f>C7/D7</f>
        <v/>
      </c>
    </row>
    <row r="8">
      <c r="A8" t="n">
        <v>2002</v>
      </c>
      <c r="B8" t="n">
        <v>2002</v>
      </c>
      <c r="C8" t="n">
        <v>16499.41229266464</v>
      </c>
      <c r="D8" t="n">
        <v>528110.4410021575</v>
      </c>
      <c r="E8">
        <f>C8/D8</f>
        <v/>
      </c>
    </row>
    <row r="9">
      <c r="A9" t="n">
        <v>2003</v>
      </c>
      <c r="B9" t="n">
        <v>2003</v>
      </c>
      <c r="C9" t="n">
        <v>16087.83379530026</v>
      </c>
      <c r="D9" t="n">
        <v>520782.00963464</v>
      </c>
      <c r="E9">
        <f>C9/D9</f>
        <v/>
      </c>
    </row>
    <row r="10">
      <c r="A10" t="n">
        <v>2004</v>
      </c>
      <c r="B10" t="n">
        <v>2004</v>
      </c>
      <c r="C10" t="n">
        <v>14714.54374986929</v>
      </c>
      <c r="D10" t="n">
        <v>470691.17648099</v>
      </c>
      <c r="E10">
        <f>C10/D10</f>
        <v/>
      </c>
    </row>
    <row r="11">
      <c r="A11" t="n">
        <v>2005</v>
      </c>
      <c r="B11" t="n">
        <v>2005</v>
      </c>
      <c r="C11" t="n">
        <v>14648.09163140836</v>
      </c>
      <c r="D11" t="n">
        <v>451807.40279727</v>
      </c>
      <c r="E11">
        <f>C11/D11</f>
        <v/>
      </c>
    </row>
    <row r="12">
      <c r="A12" t="n">
        <v>2006</v>
      </c>
      <c r="B12" t="n">
        <v>2006</v>
      </c>
      <c r="C12" t="n">
        <v>15201.70329318082</v>
      </c>
      <c r="D12" t="n">
        <v>449198.1276677443</v>
      </c>
      <c r="E12">
        <f>C12/D12</f>
        <v/>
      </c>
    </row>
    <row r="13">
      <c r="A13" t="n">
        <v>2007</v>
      </c>
      <c r="B13" t="n">
        <v>2007</v>
      </c>
      <c r="C13" t="n">
        <v>15150.69124841418</v>
      </c>
      <c r="D13" t="n">
        <v>428036.9445538663</v>
      </c>
      <c r="E13">
        <f>C13/D13</f>
        <v/>
      </c>
    </row>
    <row r="14">
      <c r="A14" t="n">
        <v>2008</v>
      </c>
      <c r="B14" t="n">
        <v>2008</v>
      </c>
      <c r="C14" t="n">
        <v>14066.14965027826</v>
      </c>
      <c r="D14" t="n">
        <v>384200.0266822593</v>
      </c>
      <c r="E14">
        <f>C14/D14</f>
        <v/>
      </c>
    </row>
    <row r="15">
      <c r="A15" t="n">
        <v>2009</v>
      </c>
      <c r="B15" t="n">
        <v>2009</v>
      </c>
      <c r="C15" t="n">
        <v>15688.76276194335</v>
      </c>
      <c r="D15" t="n">
        <v>426969.9505098543</v>
      </c>
      <c r="E15">
        <f>C15/D15</f>
        <v/>
      </c>
    </row>
    <row r="16">
      <c r="A16" t="n">
        <v>2010</v>
      </c>
      <c r="B16" t="n">
        <v>2010</v>
      </c>
      <c r="C16" t="n">
        <v>16628.38882563624</v>
      </c>
      <c r="D16" t="n">
        <v>456609.4505576334</v>
      </c>
      <c r="E16">
        <f>C16/D16</f>
        <v/>
      </c>
    </row>
    <row r="17">
      <c r="A17" t="n">
        <v>2011</v>
      </c>
      <c r="B17" t="n">
        <v>2011</v>
      </c>
      <c r="C17" t="n">
        <v>15841.70679976624</v>
      </c>
      <c r="D17" t="n">
        <v>435448.7457628032</v>
      </c>
      <c r="E17">
        <f>C17/D17</f>
        <v/>
      </c>
    </row>
    <row r="18">
      <c r="A18" t="n">
        <v>2012</v>
      </c>
      <c r="B18" t="n">
        <v>2012</v>
      </c>
      <c r="C18" t="n">
        <v>15664.12474670167</v>
      </c>
      <c r="D18" t="n">
        <v>430603.537752149</v>
      </c>
      <c r="E18">
        <f>C18/D18</f>
        <v/>
      </c>
    </row>
    <row r="19">
      <c r="A19" t="n">
        <v>2013</v>
      </c>
      <c r="B19" t="n">
        <v>2013</v>
      </c>
      <c r="C19" t="n">
        <v>15864.85289972841</v>
      </c>
      <c r="D19" t="n">
        <v>435703.07102049</v>
      </c>
      <c r="E19">
        <f>C19/D19</f>
        <v/>
      </c>
    </row>
    <row r="20">
      <c r="A20" t="n">
        <v>2014</v>
      </c>
      <c r="B20" t="n">
        <v>2014</v>
      </c>
      <c r="C20" t="n">
        <v>17245.17949554072</v>
      </c>
      <c r="D20" t="n">
        <v>469346.6994789728</v>
      </c>
      <c r="E20">
        <f>C20/D20</f>
        <v/>
      </c>
    </row>
    <row r="21">
      <c r="A21" t="n">
        <v>2015</v>
      </c>
      <c r="B21" t="n">
        <v>2015</v>
      </c>
      <c r="C21" t="n">
        <v>23121.56883750553</v>
      </c>
      <c r="D21" t="n">
        <v>615957.1258328484</v>
      </c>
      <c r="E21">
        <f>C21/D21</f>
        <v/>
      </c>
    </row>
    <row r="22">
      <c r="A22" t="n">
        <v>2016</v>
      </c>
      <c r="B22" t="n">
        <v>2016</v>
      </c>
      <c r="C22" t="n">
        <v>25316.73461892921</v>
      </c>
      <c r="D22" t="n">
        <v>656974.8292191175</v>
      </c>
      <c r="E22">
        <f>C22/D22</f>
        <v/>
      </c>
    </row>
    <row r="23">
      <c r="A23" t="n">
        <v>2017</v>
      </c>
      <c r="B23" t="n">
        <v>2017</v>
      </c>
      <c r="C23" t="n">
        <v>28230.21516048041</v>
      </c>
      <c r="D23" t="n">
        <v>711912.1914192565</v>
      </c>
      <c r="E23">
        <f>C23/D23</f>
        <v/>
      </c>
    </row>
    <row r="24">
      <c r="A24" t="n">
        <v>2018</v>
      </c>
      <c r="B24" t="n">
        <v>2018</v>
      </c>
      <c r="C24" t="n">
        <v>29711.26329058915</v>
      </c>
      <c r="D24" t="n">
        <v>733779.4294681279</v>
      </c>
      <c r="E24">
        <f>C24/D24</f>
        <v/>
      </c>
    </row>
    <row r="25">
      <c r="A25" t="n">
        <v>2019</v>
      </c>
      <c r="B25" t="n">
        <v>2019</v>
      </c>
      <c r="C25" t="n">
        <v>34791.54524505421</v>
      </c>
      <c r="D25" t="n">
        <v>840413.2873090624</v>
      </c>
      <c r="E25">
        <f>C25/D25</f>
        <v/>
      </c>
    </row>
    <row r="26">
      <c r="A26" t="n">
        <v>2020</v>
      </c>
      <c r="B26" t="n">
        <v>2020</v>
      </c>
      <c r="C26" t="n">
        <v>28446.32393379066</v>
      </c>
      <c r="D26" t="n">
        <v>865625.6859283344</v>
      </c>
      <c r="E26">
        <f>C26/D26</f>
        <v/>
      </c>
    </row>
    <row r="27">
      <c r="A27" t="n">
        <v>2021</v>
      </c>
      <c r="B27" t="n">
        <v>2021</v>
      </c>
      <c r="C27" t="n">
        <v>22101.10262252711</v>
      </c>
      <c r="D27" t="n">
        <v>891594.4565061843</v>
      </c>
      <c r="E27">
        <f>C27/D27</f>
        <v/>
      </c>
    </row>
    <row r="28">
      <c r="A28" t="n">
        <v>2022</v>
      </c>
      <c r="B28" t="n">
        <v>2022</v>
      </c>
      <c r="C28" t="n">
        <v>15755.88131126355</v>
      </c>
      <c r="D28" t="n">
        <v>918342.2902013699</v>
      </c>
      <c r="E28">
        <f>C28/D28</f>
        <v/>
      </c>
    </row>
    <row r="29">
      <c r="A29" t="n">
        <v>2023</v>
      </c>
      <c r="B29" t="n">
        <v>2023</v>
      </c>
      <c r="C29" t="n">
        <v>9410.66</v>
      </c>
      <c r="D29" t="n">
        <v>945892.5589074111</v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t="inlineStr">
        <is>
          <t>year</t>
        </is>
      </c>
      <c r="B2" t="inlineStr">
        <is>
          <t>rnna (mil 2017 USD)</t>
        </is>
      </c>
      <c r="C2" t="inlineStr">
        <is>
          <t>rgdpna (mil 2017 USD)</t>
        </is>
      </c>
      <c r="D2" t="inlineStr">
        <is>
          <t>xr</t>
        </is>
      </c>
      <c r="E2" t="inlineStr">
        <is>
          <t>rnna_GEL</t>
        </is>
      </c>
    </row>
    <row r="3">
      <c r="A3" t="n">
        <v>1990</v>
      </c>
      <c r="B3" t="n">
        <v>269494.4063</v>
      </c>
      <c r="C3" t="n">
        <v>60484.33594</v>
      </c>
      <c r="D3" t="n">
        <v>1.69e-06</v>
      </c>
      <c r="E3" t="n">
        <v>0.4554455466469999</v>
      </c>
    </row>
    <row r="4">
      <c r="A4" t="n">
        <v>1991</v>
      </c>
      <c r="B4" t="n">
        <v>271117.4375</v>
      </c>
      <c r="C4" t="n">
        <v>47581.01172</v>
      </c>
      <c r="D4" t="n">
        <v>2.65e-06</v>
      </c>
      <c r="E4" t="n">
        <v>0.718461209375</v>
      </c>
    </row>
    <row r="5">
      <c r="A5" t="n">
        <v>1992</v>
      </c>
      <c r="B5" t="n">
        <v>266614.8125</v>
      </c>
      <c r="C5" t="n">
        <v>26406.21484</v>
      </c>
      <c r="D5" t="n">
        <v>3.37e-05</v>
      </c>
      <c r="E5" t="n">
        <v>8.98491918125</v>
      </c>
    </row>
    <row r="6">
      <c r="A6" t="n">
        <v>1993</v>
      </c>
      <c r="B6" t="n">
        <v>256535.4688</v>
      </c>
      <c r="C6" t="n">
        <v>18671.65625</v>
      </c>
      <c r="D6" t="n">
        <v>0.009300035999999999</v>
      </c>
      <c r="E6" t="n">
        <v>2385.789095116877</v>
      </c>
    </row>
    <row r="7">
      <c r="A7" t="n">
        <v>1994</v>
      </c>
      <c r="B7" t="n">
        <v>249672.4688</v>
      </c>
      <c r="C7" t="n">
        <v>16733.32617</v>
      </c>
      <c r="D7" t="n">
        <v>0.665339005</v>
      </c>
      <c r="E7" t="n">
        <v>166116.8319672855</v>
      </c>
    </row>
    <row r="8">
      <c r="A8" t="n">
        <v>1995</v>
      </c>
      <c r="B8" t="n">
        <v>245497.8125</v>
      </c>
      <c r="C8" t="n">
        <v>17164.63867</v>
      </c>
      <c r="D8" t="n">
        <v>1.366322807</v>
      </c>
      <c r="E8" t="n">
        <v>335429.2602873597</v>
      </c>
    </row>
    <row r="9">
      <c r="A9" t="n">
        <v>1996</v>
      </c>
      <c r="B9" t="n">
        <v>242089.6875</v>
      </c>
      <c r="C9" t="n">
        <v>19101.85352</v>
      </c>
      <c r="D9" t="n">
        <v>1.2628</v>
      </c>
      <c r="E9" t="n">
        <v>305710.857375</v>
      </c>
    </row>
    <row r="10">
      <c r="A10" t="n">
        <v>1997</v>
      </c>
      <c r="B10" t="n">
        <v>239425.3594</v>
      </c>
      <c r="C10" t="n">
        <v>21111.17383</v>
      </c>
      <c r="D10" t="n">
        <v>1.2975</v>
      </c>
      <c r="E10" t="n">
        <v>310654.4038215</v>
      </c>
    </row>
    <row r="11">
      <c r="A11" t="n">
        <v>1998</v>
      </c>
      <c r="B11" t="n">
        <v>239121.8906</v>
      </c>
      <c r="C11" t="n">
        <v>21766.66992</v>
      </c>
      <c r="D11" t="n">
        <v>1.389816667</v>
      </c>
      <c r="E11" t="n">
        <v>332335.5890004307</v>
      </c>
    </row>
    <row r="12">
      <c r="A12" t="n">
        <v>1999</v>
      </c>
      <c r="B12" t="n">
        <v>239199.2656</v>
      </c>
      <c r="C12" t="n">
        <v>22391.20703</v>
      </c>
      <c r="D12" t="n">
        <v>2.024516667</v>
      </c>
      <c r="E12" t="n">
        <v>484262.8999413598</v>
      </c>
    </row>
    <row r="13">
      <c r="A13" t="n">
        <v>2000</v>
      </c>
      <c r="B13" t="n">
        <v>239171.6094</v>
      </c>
      <c r="C13" t="n">
        <v>22802.83594</v>
      </c>
      <c r="D13" t="n">
        <v>1.976166667</v>
      </c>
      <c r="E13" t="n">
        <v>472642.9621890238</v>
      </c>
    </row>
    <row r="14">
      <c r="A14" t="n">
        <v>2001</v>
      </c>
      <c r="B14" t="n">
        <v>240066.2656</v>
      </c>
      <c r="C14" t="n">
        <v>23898.61523</v>
      </c>
      <c r="D14" t="n">
        <v>2.073016667</v>
      </c>
      <c r="E14" t="n">
        <v>497661.3697732488</v>
      </c>
    </row>
    <row r="15">
      <c r="A15" t="n">
        <v>2002</v>
      </c>
      <c r="B15" t="n">
        <v>240523.0469</v>
      </c>
      <c r="C15" t="n">
        <v>25206.78516</v>
      </c>
      <c r="D15" t="n">
        <v>2.195675</v>
      </c>
      <c r="E15" t="n">
        <v>528110.4410021575</v>
      </c>
    </row>
    <row r="16">
      <c r="A16" t="n">
        <v>2003</v>
      </c>
      <c r="B16" t="n">
        <v>242715.2656</v>
      </c>
      <c r="C16" t="n">
        <v>27994.17773</v>
      </c>
      <c r="D16" t="n">
        <v>2.14565</v>
      </c>
      <c r="E16" t="n">
        <v>520782.00963464</v>
      </c>
    </row>
    <row r="17">
      <c r="A17" t="n">
        <v>2004</v>
      </c>
      <c r="B17" t="n">
        <v>245580.1406</v>
      </c>
      <c r="C17" t="n">
        <v>29616.71484</v>
      </c>
      <c r="D17" t="n">
        <v>1.91665</v>
      </c>
      <c r="E17" t="n">
        <v>470691.17648099</v>
      </c>
    </row>
    <row r="18">
      <c r="A18" t="n">
        <v>2005</v>
      </c>
      <c r="B18" t="n">
        <v>249248.9844</v>
      </c>
      <c r="C18" t="n">
        <v>32456.45117</v>
      </c>
      <c r="D18" t="n">
        <v>1.812675</v>
      </c>
      <c r="E18" t="n">
        <v>451807.40279727</v>
      </c>
    </row>
    <row r="19">
      <c r="A19" t="n">
        <v>2006</v>
      </c>
      <c r="B19" t="n">
        <v>252297.0781</v>
      </c>
      <c r="C19" t="n">
        <v>35514.08984</v>
      </c>
      <c r="D19" t="n">
        <v>1.780433333</v>
      </c>
      <c r="E19" t="n">
        <v>449198.1276677443</v>
      </c>
    </row>
    <row r="20">
      <c r="A20" t="n">
        <v>2007</v>
      </c>
      <c r="B20" t="n">
        <v>256234.1094</v>
      </c>
      <c r="C20" t="n">
        <v>39981.32813</v>
      </c>
      <c r="D20" t="n">
        <v>1.670491667</v>
      </c>
      <c r="E20" t="n">
        <v>428036.9445538663</v>
      </c>
    </row>
    <row r="21">
      <c r="A21" t="n">
        <v>2008</v>
      </c>
      <c r="B21" t="n">
        <v>257715.4375</v>
      </c>
      <c r="C21" t="n">
        <v>40948.11719</v>
      </c>
      <c r="D21" t="n">
        <v>1.490791667</v>
      </c>
      <c r="E21" t="n">
        <v>384200.0266822593</v>
      </c>
    </row>
    <row r="22">
      <c r="A22" t="n">
        <v>2009</v>
      </c>
      <c r="B22" t="n">
        <v>255596.0781</v>
      </c>
      <c r="C22" t="n">
        <v>39453.47266</v>
      </c>
      <c r="D22" t="n">
        <v>1.670487097</v>
      </c>
      <c r="E22" t="n">
        <v>426969.9505098543</v>
      </c>
    </row>
    <row r="23">
      <c r="A23" t="n">
        <v>2010</v>
      </c>
      <c r="B23" t="n">
        <v>256185.1406</v>
      </c>
      <c r="C23" t="n">
        <v>41919.08594</v>
      </c>
      <c r="D23" t="n">
        <v>1.782341667</v>
      </c>
      <c r="E23" t="n">
        <v>456609.4505576334</v>
      </c>
    </row>
    <row r="24">
      <c r="A24" t="n">
        <v>2011</v>
      </c>
      <c r="B24" t="n">
        <v>258197.4063</v>
      </c>
      <c r="C24" t="n">
        <v>45004.60547</v>
      </c>
      <c r="D24" t="n">
        <v>1.68649543</v>
      </c>
      <c r="E24" t="n">
        <v>435448.7457628032</v>
      </c>
    </row>
    <row r="25">
      <c r="A25" t="n">
        <v>2012</v>
      </c>
      <c r="B25" t="n">
        <v>260772.9688</v>
      </c>
      <c r="C25" t="n">
        <v>47892.44922</v>
      </c>
      <c r="D25" t="n">
        <v>1.651258333</v>
      </c>
      <c r="E25" t="n">
        <v>430603.537752149</v>
      </c>
    </row>
    <row r="26">
      <c r="A26" t="n">
        <v>2013</v>
      </c>
      <c r="B26" t="n">
        <v>261943.1094</v>
      </c>
      <c r="C26" t="n">
        <v>49624.02734</v>
      </c>
      <c r="D26" t="n">
        <v>1.66335</v>
      </c>
      <c r="E26" t="n">
        <v>435703.07102049</v>
      </c>
    </row>
    <row r="27">
      <c r="A27" t="n">
        <v>2014</v>
      </c>
      <c r="B27" t="n">
        <v>265818.4063</v>
      </c>
      <c r="C27" t="n">
        <v>51828.10156</v>
      </c>
      <c r="D27" t="n">
        <v>1.765666667</v>
      </c>
      <c r="E27" t="n">
        <v>469346.6994789728</v>
      </c>
    </row>
    <row r="28">
      <c r="A28" t="n">
        <v>2015</v>
      </c>
      <c r="B28" t="n">
        <v>271425.4688</v>
      </c>
      <c r="C28" t="n">
        <v>53396.74219</v>
      </c>
      <c r="D28" t="n">
        <v>2.269341667</v>
      </c>
      <c r="E28" t="n">
        <v>615957.1258328484</v>
      </c>
    </row>
    <row r="29">
      <c r="A29" t="n">
        <v>2016</v>
      </c>
      <c r="B29" t="n">
        <v>277588.1563</v>
      </c>
      <c r="C29" t="n">
        <v>54948.35938</v>
      </c>
      <c r="D29" t="n">
        <v>2.366725</v>
      </c>
      <c r="E29" t="n">
        <v>656974.8292191175</v>
      </c>
    </row>
    <row r="30">
      <c r="A30" t="n">
        <v>2017</v>
      </c>
      <c r="B30" t="n">
        <v>283682.1563</v>
      </c>
      <c r="C30" t="n">
        <v>57609.71094</v>
      </c>
      <c r="D30" t="n">
        <v>2.509541667</v>
      </c>
      <c r="E30" t="n">
        <v>711912.1914192565</v>
      </c>
    </row>
    <row r="31">
      <c r="A31" t="n">
        <v>2018</v>
      </c>
      <c r="B31" t="n">
        <v>289560.9063</v>
      </c>
      <c r="C31" t="n">
        <v>60399.59375</v>
      </c>
      <c r="D31" t="n">
        <v>2.534110833</v>
      </c>
      <c r="E31" t="n">
        <v>733779.4294681279</v>
      </c>
    </row>
    <row r="32">
      <c r="A32" t="n">
        <v>2019</v>
      </c>
      <c r="B32" t="n">
        <v>298215.0625</v>
      </c>
      <c r="C32" t="n">
        <v>63508.82422</v>
      </c>
      <c r="D32" t="n">
        <v>2.818145</v>
      </c>
      <c r="E32" t="n">
        <v>840413.2873090624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A5" t="inlineStr">
        <is>
          <t>Year</t>
        </is>
      </c>
      <c r="B5" t="inlineStr">
        <is>
          <t>NGDP_R (mil GEL)</t>
        </is>
      </c>
      <c r="C5" t="inlineStr">
        <is>
          <t>NGDP_RPCH (%)</t>
        </is>
      </c>
      <c r="D5" t="inlineStr">
        <is>
          <t>Percent change</t>
        </is>
      </c>
    </row>
    <row r="6">
      <c r="A6" t="n">
        <v>2000</v>
      </c>
      <c r="B6" t="n">
        <v>17684.17619906676</v>
      </c>
    </row>
    <row r="7">
      <c r="A7" t="n">
        <v>2001</v>
      </c>
      <c r="B7" t="n">
        <v>18533.98076243934</v>
      </c>
      <c r="C7" t="n">
        <v>4.80545179943086</v>
      </c>
    </row>
    <row r="8">
      <c r="A8" t="n">
        <v>2002</v>
      </c>
      <c r="B8" t="n">
        <v>19548.49964076271</v>
      </c>
      <c r="C8" t="n">
        <v>5.473831506178017</v>
      </c>
    </row>
    <row r="9">
      <c r="A9" t="n">
        <v>2003</v>
      </c>
      <c r="B9" t="n">
        <v>21710.19310176691</v>
      </c>
      <c r="C9" t="n">
        <v>11.05810420609781</v>
      </c>
    </row>
    <row r="10">
      <c r="A10" t="n">
        <v>2004</v>
      </c>
      <c r="B10" t="n">
        <v>22968.51168188842</v>
      </c>
      <c r="C10" t="n">
        <v>5.795980598712869</v>
      </c>
    </row>
    <row r="11">
      <c r="A11" t="n">
        <v>2005</v>
      </c>
      <c r="B11" t="n">
        <v>25170.79905310613</v>
      </c>
      <c r="C11" t="n">
        <v>9.588289401242722</v>
      </c>
    </row>
    <row r="12">
      <c r="A12" t="n">
        <v>2006</v>
      </c>
      <c r="B12" t="n">
        <v>27542.07520207447</v>
      </c>
      <c r="C12" t="n">
        <v>9.420742440338703</v>
      </c>
    </row>
    <row r="13">
      <c r="A13" t="n">
        <v>2007</v>
      </c>
      <c r="B13" t="n">
        <v>31006.53152020284</v>
      </c>
      <c r="C13" t="n">
        <v>12.57877735323092</v>
      </c>
    </row>
    <row r="14">
      <c r="A14" t="n">
        <v>2008</v>
      </c>
      <c r="B14" t="n">
        <v>31756.30089666795</v>
      </c>
      <c r="C14" t="n">
        <v>2.418101411880236</v>
      </c>
    </row>
    <row r="15">
      <c r="A15" t="n">
        <v>2009</v>
      </c>
      <c r="B15" t="n">
        <v>30597.1662481076</v>
      </c>
      <c r="C15" t="n">
        <v>-3.6500934171523</v>
      </c>
    </row>
    <row r="16">
      <c r="A16" t="n">
        <v>2010</v>
      </c>
      <c r="B16" t="n">
        <v>32509.31172847713</v>
      </c>
      <c r="C16" t="n">
        <v>6.249420174614362</v>
      </c>
    </row>
    <row r="17">
      <c r="A17" t="n">
        <v>2011</v>
      </c>
      <c r="B17" t="n">
        <v>34902.21018978061</v>
      </c>
      <c r="C17" t="n">
        <v>7.360655560134099</v>
      </c>
    </row>
    <row r="18">
      <c r="A18" t="n">
        <v>2012</v>
      </c>
      <c r="B18" t="n">
        <v>37141.80608235947</v>
      </c>
      <c r="C18" t="n">
        <v>6.416773838679757</v>
      </c>
    </row>
    <row r="19">
      <c r="A19" t="n">
        <v>2013</v>
      </c>
      <c r="B19" t="n">
        <v>38484.68872454931</v>
      </c>
      <c r="C19" t="n">
        <v>3.615555579640062</v>
      </c>
    </row>
    <row r="20">
      <c r="A20" t="n">
        <v>2014</v>
      </c>
      <c r="B20" t="n">
        <v>40194.00404676886</v>
      </c>
      <c r="C20" t="n">
        <v>4.441546440595689</v>
      </c>
    </row>
    <row r="21">
      <c r="A21" t="n">
        <v>2015</v>
      </c>
      <c r="B21" t="n">
        <v>41410.52454303196</v>
      </c>
      <c r="C21" t="n">
        <v>3.026621818636399</v>
      </c>
    </row>
    <row r="22">
      <c r="A22" t="n">
        <v>2016</v>
      </c>
      <c r="B22" t="n">
        <v>42613.84293087021</v>
      </c>
      <c r="C22" t="n">
        <v>2.905827446324216</v>
      </c>
    </row>
    <row r="23">
      <c r="A23" t="n">
        <v>2017</v>
      </c>
      <c r="B23" t="n">
        <v>44677.78839969425</v>
      </c>
      <c r="C23" t="n">
        <v>4.843368555547212</v>
      </c>
    </row>
    <row r="24">
      <c r="A24" t="n">
        <v>2018</v>
      </c>
      <c r="B24" t="n">
        <v>46841.41310482326</v>
      </c>
      <c r="C24" t="n">
        <v>4.842730096156256</v>
      </c>
    </row>
    <row r="25">
      <c r="A25" t="n">
        <v>2019</v>
      </c>
      <c r="B25" t="n">
        <v>49252.7</v>
      </c>
      <c r="C25" t="n">
        <v>5.147767190073194</v>
      </c>
    </row>
    <row r="26">
      <c r="A26" t="n">
        <v>2020</v>
      </c>
      <c r="B26" t="n">
        <v>45903.51639999999</v>
      </c>
      <c r="C26" t="n">
        <v>-6.800000000000006</v>
      </c>
    </row>
    <row r="27">
      <c r="A27" t="n">
        <v>2021</v>
      </c>
      <c r="B27" t="n">
        <v>50769.2891384</v>
      </c>
      <c r="C27" t="n">
        <v>10.60000000000001</v>
      </c>
    </row>
    <row r="28">
      <c r="A28" t="n">
        <v>2022</v>
      </c>
      <c r="B28" t="n">
        <v>56353.910943624</v>
      </c>
      <c r="C28" t="n">
        <v>11.00000000000001</v>
      </c>
    </row>
    <row r="29">
      <c r="A29" t="n">
        <v>2023</v>
      </c>
      <c r="B29" t="n">
        <v>60749.51599722668</v>
      </c>
      <c r="C29" t="n">
        <v>7.800000000000007</v>
      </c>
    </row>
    <row r="30">
      <c r="A30" t="n">
        <v>2024</v>
      </c>
      <c r="B30" t="n">
        <v>66459.970500966</v>
      </c>
      <c r="C30" t="n">
        <v>9.400000000000009</v>
      </c>
    </row>
    <row r="31">
      <c r="A31" t="n">
        <v>2025</v>
      </c>
      <c r="B31" t="n">
        <v>71311.5483475365</v>
      </c>
      <c r="C31" t="n">
        <v>7.299999999999995</v>
      </c>
    </row>
    <row r="32">
      <c r="A32" t="n">
        <v>2026</v>
      </c>
      <c r="B32" t="n">
        <v>75091.06040995593</v>
      </c>
      <c r="C32" t="n">
        <v>5.299999999999994</v>
      </c>
    </row>
    <row r="33">
      <c r="A33" t="n">
        <v>2027</v>
      </c>
      <c r="B33" t="n">
        <v>78845.61343045373</v>
      </c>
      <c r="C33" t="n">
        <v>5.000000000000004</v>
      </c>
    </row>
    <row r="34">
      <c r="A34" t="n">
        <v>2028</v>
      </c>
      <c r="B34" t="n">
        <v>82787.89410197642</v>
      </c>
      <c r="C34" t="n">
        <v>5.000000000000004</v>
      </c>
    </row>
    <row r="35">
      <c r="A35" t="n">
        <v>2029</v>
      </c>
      <c r="B35" t="n">
        <v>86927.28880707524</v>
      </c>
      <c r="C35" t="n">
        <v>5.000000000000004</v>
      </c>
    </row>
    <row r="36">
      <c r="A36" t="n">
        <v>2030</v>
      </c>
      <c r="B36" t="n">
        <v>91273.653247429</v>
      </c>
      <c r="C36" t="n">
        <v>5.000000000000004</v>
      </c>
    </row>
    <row r="37">
      <c r="A37" t="n">
        <v>2031</v>
      </c>
      <c r="B37" t="n">
        <v>95837.33590980046</v>
      </c>
      <c r="C37" t="n">
        <v>5.000000000000004</v>
      </c>
    </row>
    <row r="38">
      <c r="A38" t="n">
        <v>2032</v>
      </c>
      <c r="B38" t="n">
        <v>100629.2027052905</v>
      </c>
      <c r="C38" t="n">
        <v>5.000000000000004</v>
      </c>
    </row>
    <row r="39">
      <c r="A39" t="n">
        <v>2033</v>
      </c>
      <c r="B39" t="n">
        <v>105660.662840555</v>
      </c>
      <c r="C39" t="n">
        <v>5.000000000000004</v>
      </c>
    </row>
    <row r="40">
      <c r="A40" t="n">
        <v>2034</v>
      </c>
      <c r="B40" t="n">
        <v>110943.6959825828</v>
      </c>
      <c r="C40" t="n">
        <v>5.000000000000004</v>
      </c>
    </row>
    <row r="41">
      <c r="A41" t="n">
        <v>2035</v>
      </c>
      <c r="B41" t="n">
        <v>116490.8807817119</v>
      </c>
      <c r="C41" t="n">
        <v>5.000000000000004</v>
      </c>
    </row>
    <row r="42">
      <c r="A42" t="n">
        <v>2036</v>
      </c>
      <c r="B42" t="n">
        <v>122315.4248207975</v>
      </c>
      <c r="C42" t="n">
        <v>5.000000000000004</v>
      </c>
    </row>
    <row r="43">
      <c r="A43" t="n">
        <v>2037</v>
      </c>
      <c r="B43" t="n">
        <v>128431.1960618374</v>
      </c>
      <c r="C43" t="n">
        <v>5.000000000000004</v>
      </c>
    </row>
    <row r="44">
      <c r="A44" t="n">
        <v>2038</v>
      </c>
      <c r="B44" t="n">
        <v>134852.7558649293</v>
      </c>
      <c r="C44" t="n">
        <v>5.000000000000004</v>
      </c>
    </row>
    <row r="45">
      <c r="A45" t="n">
        <v>2039</v>
      </c>
      <c r="B45" t="n">
        <v>141595.3936581757</v>
      </c>
      <c r="C45" t="n">
        <v>5.000000000000004</v>
      </c>
    </row>
    <row r="46">
      <c r="A46" t="n">
        <v>2040</v>
      </c>
      <c r="B46" t="n">
        <v>148675.1633410845</v>
      </c>
      <c r="C46" t="n">
        <v>5.000000000000004</v>
      </c>
    </row>
    <row r="47">
      <c r="A47" t="n">
        <v>2041</v>
      </c>
      <c r="B47" t="n">
        <v>156108.9215081388</v>
      </c>
      <c r="C47" t="n">
        <v>5.000000000000004</v>
      </c>
    </row>
    <row r="48">
      <c r="A48" t="n">
        <v>2042</v>
      </c>
      <c r="B48" t="n">
        <v>163914.3675835457</v>
      </c>
      <c r="C48" t="n">
        <v>5.000000000000004</v>
      </c>
    </row>
    <row r="49">
      <c r="A49" t="n">
        <v>2043</v>
      </c>
      <c r="B49" t="n">
        <v>172110.085962723</v>
      </c>
      <c r="C49" t="n">
        <v>5.000000000000004</v>
      </c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2026-01-29T08:02:26Z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