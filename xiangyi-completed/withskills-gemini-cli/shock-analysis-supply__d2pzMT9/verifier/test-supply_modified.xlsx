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 t="n">
        <v>0.04</v>
      </c>
      <c r="C3" s="7" t="n"/>
      <c r="D3" s="7" t="n"/>
      <c r="E3" s="7" t="n"/>
      <c r="F3" s="7" t="n"/>
      <c r="G3" s="7" t="n"/>
      <c r="H3" s="7" t="n"/>
      <c r="I3" s="8" t="n"/>
    </row>
    <row r="4">
      <c r="A4" t="inlineStr">
        <is>
          <t>XR (2017)</t>
        </is>
      </c>
      <c r="B4" t="n">
        <v>2.509541667</v>
      </c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SUM(N6:N27) + 100*SUM(M8:M27)</f>
        <v/>
      </c>
    </row>
    <row r="6">
      <c r="A6" t="n">
        <v>2002</v>
      </c>
      <c r="C6" t="n">
        <v>2002</v>
      </c>
      <c r="D6" s="19" t="n">
        <v>240523.0469</v>
      </c>
      <c r="E6" t="n">
        <v>25206.78516</v>
      </c>
      <c r="F6">
        <f>LN(D6)</f>
        <v/>
      </c>
      <c r="G6">
        <f>LN(E6)</f>
        <v/>
      </c>
      <c r="K6" s="4">
        <f>G6-$B$2*F6</f>
        <v/>
      </c>
      <c r="L6" t="n">
        <v>5.849635927178431</v>
      </c>
      <c r="N6" s="5">
        <f>(K6-L6)^2</f>
        <v/>
      </c>
    </row>
    <row r="7">
      <c r="A7" t="n">
        <v>2003</v>
      </c>
      <c r="C7" t="n">
        <v>2003</v>
      </c>
      <c r="D7" s="19" t="n">
        <v>242715.2656</v>
      </c>
      <c r="E7" t="n">
        <v>27994.17773</v>
      </c>
      <c r="F7">
        <f>LN(D7)</f>
        <v/>
      </c>
      <c r="G7">
        <f>LN(E7)</f>
        <v/>
      </c>
      <c r="K7" s="4">
        <f>G7-$B$2*F7</f>
        <v/>
      </c>
      <c r="L7" t="n">
        <v>5.913856319838196</v>
      </c>
      <c r="N7" s="5">
        <f>(K7-L7)^2</f>
        <v/>
      </c>
    </row>
    <row r="8">
      <c r="A8" t="n">
        <v>2004</v>
      </c>
      <c r="C8" t="n">
        <v>2004</v>
      </c>
      <c r="D8" s="19" t="n">
        <v>245580.1406</v>
      </c>
      <c r="E8" t="n">
        <v>29616.71484</v>
      </c>
      <c r="F8">
        <f>LN(D8)</f>
        <v/>
      </c>
      <c r="G8">
        <f>LN(E8)</f>
        <v/>
      </c>
      <c r="K8" s="4">
        <f>G8-$B$2*F8</f>
        <v/>
      </c>
      <c r="L8" t="n">
        <v>5.977562038946924</v>
      </c>
      <c r="M8">
        <f>(L8-2*L7+L6)^2</f>
        <v/>
      </c>
      <c r="N8" s="5">
        <f>(K8-L8)^2</f>
        <v/>
      </c>
    </row>
    <row r="9">
      <c r="A9" t="n">
        <v>2005</v>
      </c>
      <c r="C9" t="n">
        <v>2005</v>
      </c>
      <c r="D9" s="19" t="n">
        <v>249248.9844</v>
      </c>
      <c r="E9" t="n">
        <v>32456.45117</v>
      </c>
      <c r="F9">
        <f>LN(D9)</f>
        <v/>
      </c>
      <c r="G9">
        <f>LN(E9)</f>
        <v/>
      </c>
      <c r="K9" s="4">
        <f>G9-$B$2*F9</f>
        <v/>
      </c>
      <c r="L9" t="n">
        <v>6.040098611037641</v>
      </c>
      <c r="M9">
        <f>(L9-2*L8+L7)^2</f>
        <v/>
      </c>
      <c r="N9" s="5">
        <f>(K9-L9)^2</f>
        <v/>
      </c>
    </row>
    <row r="10">
      <c r="A10" t="n">
        <v>2006</v>
      </c>
      <c r="C10" t="n">
        <v>2006</v>
      </c>
      <c r="D10" s="19" t="n">
        <v>252297.0781</v>
      </c>
      <c r="E10" t="n">
        <v>35514.08984</v>
      </c>
      <c r="F10">
        <f>LN(D10)</f>
        <v/>
      </c>
      <c r="G10">
        <f>LN(E10)</f>
        <v/>
      </c>
      <c r="K10" s="4">
        <f>G10-$B$2*F10</f>
        <v/>
      </c>
      <c r="L10" t="n">
        <v>6.100557058829333</v>
      </c>
      <c r="M10">
        <f>(L10-2*L9+L8)^2</f>
        <v/>
      </c>
      <c r="N10" s="5">
        <f>(K10-L10)^2</f>
        <v/>
      </c>
    </row>
    <row r="11">
      <c r="A11" t="n">
        <v>2007</v>
      </c>
      <c r="C11" t="n">
        <v>2007</v>
      </c>
      <c r="D11" s="19" t="n">
        <v>256234.1094</v>
      </c>
      <c r="E11" t="n">
        <v>39981.32813</v>
      </c>
      <c r="F11">
        <f>LN(D11)</f>
        <v/>
      </c>
      <c r="G11">
        <f>LN(E11)</f>
        <v/>
      </c>
      <c r="K11" s="4">
        <f>G11-$B$2*F11</f>
        <v/>
      </c>
      <c r="L11" t="n">
        <v>6.158012237342062</v>
      </c>
      <c r="M11">
        <f>(L11-2*L10+L9)^2</f>
        <v/>
      </c>
      <c r="N11" s="5">
        <f>(K11-L11)^2</f>
        <v/>
      </c>
    </row>
    <row r="12">
      <c r="A12" t="n">
        <v>2008</v>
      </c>
      <c r="C12" t="n">
        <v>2008</v>
      </c>
      <c r="D12" s="19" t="n">
        <v>257715.4375</v>
      </c>
      <c r="E12" t="n">
        <v>40948.11719</v>
      </c>
      <c r="F12">
        <f>LN(D12)</f>
        <v/>
      </c>
      <c r="G12">
        <f>LN(E12)</f>
        <v/>
      </c>
      <c r="K12" s="4">
        <f>G12-$B$2*F12</f>
        <v/>
      </c>
      <c r="L12" t="n">
        <v>6.211776010006549</v>
      </c>
      <c r="M12">
        <f>(L12-2*L11+L10)^2</f>
        <v/>
      </c>
      <c r="N12" s="5">
        <f>(K12-L12)^2</f>
        <v/>
      </c>
    </row>
    <row r="13">
      <c r="A13" t="n">
        <v>2009</v>
      </c>
      <c r="C13" t="n">
        <v>2009</v>
      </c>
      <c r="D13" s="19" t="n">
        <v>255596.0781</v>
      </c>
      <c r="E13" t="n">
        <v>39453.47266</v>
      </c>
      <c r="F13">
        <f>LN(D13)</f>
        <v/>
      </c>
      <c r="G13">
        <f>LN(E13)</f>
        <v/>
      </c>
      <c r="K13" s="4">
        <f>G13-$B$2*F13</f>
        <v/>
      </c>
      <c r="L13" t="n">
        <v>6.261953332369772</v>
      </c>
      <c r="M13">
        <f>(L13-2*L12+L11)^2</f>
        <v/>
      </c>
      <c r="N13" s="5">
        <f>(K13-L13)^2</f>
        <v/>
      </c>
    </row>
    <row r="14">
      <c r="A14" t="n">
        <v>2010</v>
      </c>
      <c r="C14" t="n">
        <v>2010</v>
      </c>
      <c r="D14" s="19" t="n">
        <v>256185.1406</v>
      </c>
      <c r="E14" t="n">
        <v>41919.08594</v>
      </c>
      <c r="F14">
        <f>LN(D14)</f>
        <v/>
      </c>
      <c r="G14">
        <f>LN(E14)</f>
        <v/>
      </c>
      <c r="K14" s="4">
        <f>G14-$B$2*F14</f>
        <v/>
      </c>
      <c r="L14" t="n">
        <v>6.309123371429012</v>
      </c>
      <c r="M14">
        <f>(L14-2*L13+L12)^2</f>
        <v/>
      </c>
      <c r="N14" s="5">
        <f>(K14-L14)^2</f>
        <v/>
      </c>
    </row>
    <row r="15">
      <c r="A15" t="n">
        <v>2011</v>
      </c>
      <c r="C15" t="n">
        <v>2011</v>
      </c>
      <c r="D15" s="19" t="n">
        <v>258197.4063</v>
      </c>
      <c r="E15" t="n">
        <v>45004.60547</v>
      </c>
      <c r="F15">
        <f>LN(D15)</f>
        <v/>
      </c>
      <c r="G15">
        <f>LN(E15)</f>
        <v/>
      </c>
      <c r="K15" s="4">
        <f>G15-$B$2*F15</f>
        <v/>
      </c>
      <c r="L15" t="n">
        <v>6.3534947965494</v>
      </c>
      <c r="M15">
        <f>(L15-2*L14+L13)^2</f>
        <v/>
      </c>
      <c r="N15" s="5">
        <f>(K15-L15)^2</f>
        <v/>
      </c>
    </row>
    <row r="16">
      <c r="A16" t="n">
        <v>2012</v>
      </c>
      <c r="C16" t="n">
        <v>2012</v>
      </c>
      <c r="D16" s="19" t="n">
        <v>260772.9688</v>
      </c>
      <c r="E16" t="n">
        <v>47892.44922</v>
      </c>
      <c r="F16">
        <f>LN(D16)</f>
        <v/>
      </c>
      <c r="G16">
        <f>LN(E16)</f>
        <v/>
      </c>
      <c r="K16" s="4">
        <f>G16-$B$2*F16</f>
        <v/>
      </c>
      <c r="L16" t="n">
        <v>6.395032213684281</v>
      </c>
      <c r="M16">
        <f>(L16-2*L15+L14)^2</f>
        <v/>
      </c>
      <c r="N16" s="5">
        <f>(K16-L16)^2</f>
        <v/>
      </c>
    </row>
    <row r="17">
      <c r="A17" t="n">
        <v>2013</v>
      </c>
      <c r="C17" t="n">
        <v>2013</v>
      </c>
      <c r="D17" s="19" t="n">
        <v>261943.1094</v>
      </c>
      <c r="E17" t="n">
        <v>49624.02734</v>
      </c>
      <c r="F17">
        <f>LN(D17)</f>
        <v/>
      </c>
      <c r="G17">
        <f>LN(E17)</f>
        <v/>
      </c>
      <c r="K17" s="4">
        <f>G17-$B$2*F17</f>
        <v/>
      </c>
      <c r="L17" t="n">
        <v>6.433695302902339</v>
      </c>
      <c r="M17">
        <f>(L17-2*L16+L15)^2</f>
        <v/>
      </c>
      <c r="N17" s="5">
        <f>(K17-L17)^2</f>
        <v/>
      </c>
    </row>
    <row r="18">
      <c r="A18" t="n">
        <v>2014</v>
      </c>
      <c r="C18" t="n">
        <v>2014</v>
      </c>
      <c r="D18" s="19" t="n">
        <v>265818.4063</v>
      </c>
      <c r="E18" t="n">
        <v>51828.10156</v>
      </c>
      <c r="F18">
        <f>LN(D18)</f>
        <v/>
      </c>
      <c r="G18">
        <f>LN(E18)</f>
        <v/>
      </c>
      <c r="K18" s="4">
        <f>G18-$B$2*F18</f>
        <v/>
      </c>
      <c r="L18" t="n">
        <v>6.469610634384401</v>
      </c>
      <c r="M18">
        <f>(L18-2*L17+L16)^2</f>
        <v/>
      </c>
      <c r="N18" s="5">
        <f>(K18-L18)^2</f>
        <v/>
      </c>
    </row>
    <row r="19">
      <c r="A19" t="n">
        <v>2015</v>
      </c>
      <c r="C19" t="n">
        <v>2015</v>
      </c>
      <c r="D19" s="19" t="n">
        <v>271425.4688</v>
      </c>
      <c r="E19" t="n">
        <v>53396.74219</v>
      </c>
      <c r="F19">
        <f>LN(D19)</f>
        <v/>
      </c>
      <c r="G19">
        <f>LN(E19)</f>
        <v/>
      </c>
      <c r="K19" s="4">
        <f>G19-$B$2*F19</f>
        <v/>
      </c>
      <c r="L19" t="n">
        <v>6.503024540290086</v>
      </c>
      <c r="M19">
        <f>(L19-2*L18+L17)^2</f>
        <v/>
      </c>
      <c r="N19" s="5">
        <f>(K19-L19)^2</f>
        <v/>
      </c>
    </row>
    <row r="20">
      <c r="A20" t="n">
        <v>2016</v>
      </c>
      <c r="C20" t="n">
        <v>2016</v>
      </c>
      <c r="D20" s="19" t="n">
        <v>277588.1563</v>
      </c>
      <c r="E20" t="n">
        <v>54948.35938</v>
      </c>
      <c r="F20">
        <f>LN(D20)</f>
        <v/>
      </c>
      <c r="G20">
        <f>LN(E20)</f>
        <v/>
      </c>
      <c r="K20" s="4">
        <f>G20-$B$2*F20</f>
        <v/>
      </c>
      <c r="L20" t="n">
        <v>6.534327133907815</v>
      </c>
      <c r="M20">
        <f>(L20-2*L19+L18)^2</f>
        <v/>
      </c>
      <c r="N20" s="5">
        <f>(K20-L20)^2</f>
        <v/>
      </c>
    </row>
    <row r="21">
      <c r="A21" t="n">
        <v>2017</v>
      </c>
      <c r="C21" t="n">
        <v>2017</v>
      </c>
      <c r="D21" s="19" t="n">
        <v>283682.1563</v>
      </c>
      <c r="E21" t="n">
        <v>57609.71094</v>
      </c>
      <c r="F21">
        <f>LN(D21)</f>
        <v/>
      </c>
      <c r="G21">
        <f>LN(E21)</f>
        <v/>
      </c>
      <c r="K21" s="4">
        <f>G21-$B$2*F21</f>
        <v/>
      </c>
      <c r="L21" t="n">
        <v>6.563943283252223</v>
      </c>
      <c r="M21">
        <f>(L21-2*L20+L19)^2</f>
        <v/>
      </c>
      <c r="N21" s="5">
        <f>(K21-L21)^2</f>
        <v/>
      </c>
    </row>
    <row r="22">
      <c r="A22" t="n">
        <v>2018</v>
      </c>
      <c r="C22" t="n">
        <v>2018</v>
      </c>
      <c r="D22" s="19" t="n">
        <v>289560.9063</v>
      </c>
      <c r="E22" t="n">
        <v>60399.59375</v>
      </c>
      <c r="F22">
        <f>LN(D22)</f>
        <v/>
      </c>
      <c r="G22">
        <f>LN(E22)</f>
        <v/>
      </c>
      <c r="K22" s="4">
        <f>G22-$B$2*F22</f>
        <v/>
      </c>
      <c r="L22" t="n">
        <v>6.592227447579476</v>
      </c>
      <c r="M22">
        <f>(L22-2*L21+L20)^2</f>
        <v/>
      </c>
      <c r="N22" s="5">
        <f>(K22-L22)^2</f>
        <v/>
      </c>
    </row>
    <row r="23">
      <c r="A23" t="n">
        <v>2019</v>
      </c>
      <c r="C23" t="n">
        <v>2019</v>
      </c>
      <c r="D23" s="19" t="n">
        <v>298215.0625</v>
      </c>
      <c r="E23" t="n">
        <v>63508.82422</v>
      </c>
      <c r="F23">
        <f>LN(D23)</f>
        <v/>
      </c>
      <c r="G23">
        <f>LN(E23)</f>
        <v/>
      </c>
      <c r="K23" s="4">
        <f>G23-$B$2*F23</f>
        <v/>
      </c>
      <c r="L23" t="n">
        <v>6.619564483536463</v>
      </c>
      <c r="M23">
        <f>(L23-2*L22+L21)^2</f>
        <v/>
      </c>
      <c r="N23" s="5">
        <f>(K23-L23)^2</f>
        <v/>
      </c>
    </row>
    <row r="24">
      <c r="A24" t="n">
        <v>2020</v>
      </c>
      <c r="C24" t="n">
        <v>2020</v>
      </c>
      <c r="D24" s="19" t="n">
        <v>305391.6958903298</v>
      </c>
      <c r="E24" t="n">
        <v>59571.27711836</v>
      </c>
      <c r="F24">
        <f>LN(D24)</f>
        <v/>
      </c>
      <c r="G24">
        <f>LN(E24)</f>
        <v/>
      </c>
      <c r="K24" s="4">
        <f>G24-$B$2*F24</f>
        <v/>
      </c>
      <c r="L24" t="n">
        <v>6.646487926589213</v>
      </c>
      <c r="M24">
        <f>(L24-2*L23+L22)^2</f>
        <v/>
      </c>
      <c r="N24" s="5">
        <f>(K24-L24)^2</f>
        <v/>
      </c>
    </row>
    <row r="25">
      <c r="A25" t="n">
        <v>2021</v>
      </c>
      <c r="C25" t="n">
        <v>2021</v>
      </c>
      <c r="D25" s="19" t="n">
        <v>337457.8239588144</v>
      </c>
      <c r="E25" t="n">
        <v>65826.2612157878</v>
      </c>
      <c r="F25">
        <f>LN(D25)</f>
        <v/>
      </c>
      <c r="G25">
        <f>LN(E25)</f>
        <v/>
      </c>
      <c r="K25" s="4">
        <f>G25-$B$2*F25</f>
        <v/>
      </c>
      <c r="L25" t="n">
        <v>6.673805513091563</v>
      </c>
      <c r="M25">
        <f>(L25-2*L24+L23)^2</f>
        <v/>
      </c>
      <c r="N25" s="5">
        <f>(K25-L25)^2</f>
        <v/>
      </c>
    </row>
    <row r="26">
      <c r="A26" t="n">
        <v>2022</v>
      </c>
      <c r="C26" t="n">
        <v>2022</v>
      </c>
      <c r="D26" s="19" t="n">
        <v>372553.4376505312</v>
      </c>
      <c r="E26" t="n">
        <v>72672.19238222974</v>
      </c>
      <c r="F26">
        <f>LN(D26)</f>
        <v/>
      </c>
      <c r="G26">
        <f>LN(E26)</f>
        <v/>
      </c>
      <c r="K26" s="4">
        <f>G26-$B$2*F26</f>
        <v/>
      </c>
      <c r="L26" t="n">
        <v>6.701606661543268</v>
      </c>
      <c r="M26">
        <f>(L26-2*L25+L24)^2</f>
        <v/>
      </c>
      <c r="N26" s="5">
        <f>(K26-L26)^2</f>
        <v/>
      </c>
    </row>
    <row r="27">
      <c r="A27" t="n">
        <v>2023</v>
      </c>
      <c r="C27" t="n">
        <v>2023</v>
      </c>
      <c r="D27" s="19" t="n">
        <v>401612.6057872726</v>
      </c>
      <c r="E27" t="n">
        <v>78340.62338804366</v>
      </c>
      <c r="F27">
        <f>LN(D27)</f>
        <v/>
      </c>
      <c r="G27">
        <f>LN(E27)</f>
        <v/>
      </c>
      <c r="K27" s="6">
        <f>G27-$B$2*F27</f>
        <v/>
      </c>
      <c r="L27" s="7" t="n">
        <v>6.729638291402283</v>
      </c>
      <c r="M27" s="7">
        <f>(L27-2*L26+L25)^2</f>
        <v/>
      </c>
      <c r="N27" s="8">
        <f>(K27-L27)^2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A36" t="n">
        <v>2024</v>
      </c>
      <c r="C36" t="n">
        <v>2002</v>
      </c>
      <c r="E36" s="19" t="n"/>
      <c r="F36" t="n">
        <v>437757.7403081272</v>
      </c>
      <c r="G36">
        <f>TREND($L$6:$L$27, $A$6:$A$27, A36)</f>
        <v/>
      </c>
      <c r="H36">
        <f>EXP(G36) * (F36^$B$2)</f>
        <v/>
      </c>
      <c r="I36">
        <f>IFERROR(VLOOKUP(A36, Investment!B:C, 2, FALSE), 0)</f>
        <v/>
      </c>
      <c r="J36">
        <f>0*(1-$B$3) + I36*$B$4</f>
        <v/>
      </c>
      <c r="K36" s="19">
        <f>F36+J36</f>
        <v/>
      </c>
      <c r="L36">
        <f>EXP(G36) * (K36^$B$2)</f>
        <v/>
      </c>
    </row>
    <row r="37">
      <c r="A37" t="n">
        <v>2025</v>
      </c>
      <c r="C37" t="n">
        <v>2003</v>
      </c>
      <c r="E37" s="19" t="n"/>
      <c r="F37" t="n">
        <v>464023.2047266149</v>
      </c>
      <c r="G37">
        <f>TREND($L$6:$L$27, $A$6:$A$27, A37)</f>
        <v/>
      </c>
      <c r="H37">
        <f>EXP(G37) * (F37^$B$2)</f>
        <v/>
      </c>
      <c r="I37">
        <f>IFERROR(VLOOKUP(A37, Investment!B:C, 2, FALSE), 0)</f>
        <v/>
      </c>
      <c r="J37">
        <f>J36*(1-$B$3) + I37*$B$4</f>
        <v/>
      </c>
      <c r="K37" s="19">
        <f>F37+J37</f>
        <v/>
      </c>
      <c r="L37">
        <f>EXP(G37) * (K37^$B$2)</f>
        <v/>
      </c>
    </row>
    <row r="38">
      <c r="A38" t="n">
        <v>2026</v>
      </c>
      <c r="C38" t="n">
        <v>2004</v>
      </c>
      <c r="E38" s="19" t="n"/>
      <c r="F38" t="n">
        <v>488616.4345771255</v>
      </c>
      <c r="G38">
        <f>TREND($L$6:$L$27, $A$6:$A$27, A38)</f>
        <v/>
      </c>
      <c r="H38">
        <f>EXP(G38) * (F38^$B$2)</f>
        <v/>
      </c>
      <c r="I38">
        <f>IFERROR(VLOOKUP(A38, Investment!B:C, 2, FALSE), 0)</f>
        <v/>
      </c>
      <c r="J38">
        <f>J37*(1-$B$3) + I38*$B$4</f>
        <v/>
      </c>
      <c r="K38" s="19">
        <f>F38+J38</f>
        <v/>
      </c>
      <c r="L38">
        <f>EXP(G38) * (K38^$B$2)</f>
        <v/>
      </c>
    </row>
    <row r="39">
      <c r="A39" t="n">
        <v>2027</v>
      </c>
      <c r="C39" t="n">
        <v>2005</v>
      </c>
      <c r="E39" s="19" t="n"/>
      <c r="F39" t="n">
        <v>513047.2563059817</v>
      </c>
      <c r="G39">
        <f>TREND($L$6:$L$27, $A$6:$A$27, A39)</f>
        <v/>
      </c>
      <c r="H39">
        <f>EXP(G39) * (F39^$B$2)</f>
        <v/>
      </c>
      <c r="I39">
        <f>IFERROR(VLOOKUP(A39, Investment!B:C, 2, FALSE), 0)</f>
        <v/>
      </c>
      <c r="J39">
        <f>J38*(1-$B$3) + I39*$B$4</f>
        <v/>
      </c>
      <c r="K39" s="19">
        <f>F39+J39</f>
        <v/>
      </c>
      <c r="L39">
        <f>EXP(G39) * (K39^$B$2)</f>
        <v/>
      </c>
    </row>
    <row r="40">
      <c r="A40" t="n">
        <v>2028</v>
      </c>
      <c r="C40" t="n">
        <v>2006</v>
      </c>
      <c r="E40" s="19" t="n"/>
      <c r="F40" t="n">
        <v>538699.6191212808</v>
      </c>
      <c r="G40">
        <f>TREND($L$6:$L$27, $A$6:$A$27, A40)</f>
        <v/>
      </c>
      <c r="H40">
        <f>EXP(G40) * (F40^$B$2)</f>
        <v/>
      </c>
      <c r="I40">
        <f>IFERROR(VLOOKUP(A40, Investment!B:C, 2, FALSE), 0)</f>
        <v/>
      </c>
      <c r="J40">
        <f>J39*(1-$B$3) + I40*$B$4</f>
        <v/>
      </c>
      <c r="K40" s="19">
        <f>F40+J40</f>
        <v/>
      </c>
      <c r="L40">
        <f>EXP(G40) * (K40^$B$2)</f>
        <v/>
      </c>
    </row>
    <row r="41">
      <c r="A41" t="n">
        <v>2029</v>
      </c>
      <c r="C41" t="n">
        <v>2007</v>
      </c>
      <c r="E41" s="19" t="n"/>
      <c r="F41" t="n">
        <v>565634.6000773449</v>
      </c>
      <c r="G41">
        <f>TREND($L$6:$L$27, $A$6:$A$27, A41)</f>
        <v/>
      </c>
      <c r="H41">
        <f>EXP(G41) * (F41^$B$2)</f>
        <v/>
      </c>
      <c r="I41">
        <f>IFERROR(VLOOKUP(A41, Investment!B:C, 2, FALSE), 0)</f>
        <v/>
      </c>
      <c r="J41">
        <f>J40*(1-$B$3) + I41*$B$4</f>
        <v/>
      </c>
      <c r="K41" s="19">
        <f>F41+J41</f>
        <v/>
      </c>
      <c r="L41">
        <f>EXP(G41) * (K41^$B$2)</f>
        <v/>
      </c>
    </row>
    <row r="42">
      <c r="A42" t="n">
        <v>2030</v>
      </c>
      <c r="C42" t="n">
        <v>2008</v>
      </c>
      <c r="E42" s="19" t="n"/>
      <c r="F42" t="n">
        <v>593916.3300812122</v>
      </c>
      <c r="G42">
        <f>TREND($L$6:$L$27, $A$6:$A$27, A42)</f>
        <v/>
      </c>
      <c r="H42">
        <f>EXP(G42) * (F42^$B$2)</f>
        <v/>
      </c>
      <c r="I42">
        <f>IFERROR(VLOOKUP(A42, Investment!B:C, 2, FALSE), 0)</f>
        <v/>
      </c>
      <c r="J42">
        <f>J41*(1-$B$3) + I42*$B$4</f>
        <v/>
      </c>
      <c r="K42" s="19">
        <f>F42+J42</f>
        <v/>
      </c>
      <c r="L42">
        <f>EXP(G42) * (K42^$B$2)</f>
        <v/>
      </c>
    </row>
    <row r="43">
      <c r="A43" t="n">
        <v>2031</v>
      </c>
      <c r="C43" t="n">
        <v>2009</v>
      </c>
      <c r="E43" s="19" t="n"/>
      <c r="F43" t="n">
        <v>623612.1465852729</v>
      </c>
      <c r="G43">
        <f>TREND($L$6:$L$27, $A$6:$A$27, A43)</f>
        <v/>
      </c>
      <c r="H43">
        <f>EXP(G43) * (F43^$B$2)</f>
        <v/>
      </c>
      <c r="I43">
        <f>IFERROR(VLOOKUP(A43, Investment!B:C, 2, FALSE), 0)</f>
        <v/>
      </c>
      <c r="J43">
        <f>J42*(1-$B$3) + I43*$B$4</f>
        <v/>
      </c>
      <c r="K43" s="19">
        <f>F43+J43</f>
        <v/>
      </c>
      <c r="L43">
        <f>EXP(G43) * (K43^$B$2)</f>
        <v/>
      </c>
    </row>
    <row r="44">
      <c r="A44" t="n">
        <v>2032</v>
      </c>
      <c r="C44" t="n">
        <v>2010</v>
      </c>
      <c r="E44" s="19" t="n"/>
      <c r="F44" t="n">
        <v>654792.7539145366</v>
      </c>
      <c r="G44">
        <f>TREND($L$6:$L$27, $A$6:$A$27, A44)</f>
        <v/>
      </c>
      <c r="H44">
        <f>EXP(G44) * (F44^$B$2)</f>
        <v/>
      </c>
      <c r="I44">
        <f>IFERROR(VLOOKUP(A44, Investment!B:C, 2, FALSE), 0)</f>
        <v/>
      </c>
      <c r="J44">
        <f>J43*(1-$B$3) + I44*$B$4</f>
        <v/>
      </c>
      <c r="K44" s="19">
        <f>F44+J44</f>
        <v/>
      </c>
      <c r="L44">
        <f>EXP(G44) * (K44^$B$2)</f>
        <v/>
      </c>
    </row>
    <row r="45">
      <c r="A45" t="n">
        <v>2033</v>
      </c>
      <c r="C45" t="n">
        <v>2011</v>
      </c>
      <c r="E45" s="19" t="n"/>
      <c r="F45" t="n">
        <v>687532.3916102634</v>
      </c>
      <c r="G45">
        <f>TREND($L$6:$L$27, $A$6:$A$27, A45)</f>
        <v/>
      </c>
      <c r="H45">
        <f>EXP(G45) * (F45^$B$2)</f>
        <v/>
      </c>
      <c r="I45">
        <f>IFERROR(VLOOKUP(A45, Investment!B:C, 2, FALSE), 0)</f>
        <v/>
      </c>
      <c r="J45">
        <f>J44*(1-$B$3) + I45*$B$4</f>
        <v/>
      </c>
      <c r="K45" s="19">
        <f>F45+J45</f>
        <v/>
      </c>
      <c r="L45">
        <f>EXP(G45) * (K45^$B$2)</f>
        <v/>
      </c>
    </row>
    <row r="46">
      <c r="A46" t="n">
        <v>2034</v>
      </c>
      <c r="C46" t="n">
        <v>2012</v>
      </c>
      <c r="E46" s="19" t="n"/>
      <c r="F46" t="n">
        <v>721909.0111907766</v>
      </c>
      <c r="G46">
        <f>TREND($L$6:$L$27, $A$6:$A$27, A46)</f>
        <v/>
      </c>
      <c r="H46">
        <f>EXP(G46) * (F46^$B$2)</f>
        <v/>
      </c>
      <c r="I46">
        <f>IFERROR(VLOOKUP(A46, Investment!B:C, 2, FALSE), 0)</f>
        <v/>
      </c>
      <c r="J46">
        <f>J45*(1-$B$3) + I46*$B$4</f>
        <v/>
      </c>
      <c r="K46" s="19">
        <f>F46+J46</f>
        <v/>
      </c>
      <c r="L46">
        <f>EXP(G46) * (K46^$B$2)</f>
        <v/>
      </c>
    </row>
    <row r="47">
      <c r="A47" t="n">
        <v>2035</v>
      </c>
      <c r="C47" t="n">
        <v>2013</v>
      </c>
      <c r="E47" s="19" t="n"/>
      <c r="F47" t="n">
        <v>758004.4617503155</v>
      </c>
      <c r="G47">
        <f>TREND($L$6:$L$27, $A$6:$A$27, A47)</f>
        <v/>
      </c>
      <c r="H47">
        <f>EXP(G47) * (F47^$B$2)</f>
        <v/>
      </c>
      <c r="I47">
        <f>IFERROR(VLOOKUP(A47, Investment!B:C, 2, FALSE), 0)</f>
        <v/>
      </c>
      <c r="J47">
        <f>J46*(1-$B$3) + I47*$B$4</f>
        <v/>
      </c>
      <c r="K47" s="19">
        <f>F47+J47</f>
        <v/>
      </c>
      <c r="L47">
        <f>EXP(G47) * (K47^$B$2)</f>
        <v/>
      </c>
    </row>
    <row r="48">
      <c r="A48" t="n">
        <v>2036</v>
      </c>
      <c r="C48" t="n">
        <v>2014</v>
      </c>
      <c r="E48" s="19" t="n"/>
      <c r="F48" t="n">
        <v>795904.6848378312</v>
      </c>
      <c r="G48">
        <f>TREND($L$6:$L$27, $A$6:$A$27, A48)</f>
        <v/>
      </c>
      <c r="H48">
        <f>EXP(G48) * (F48^$B$2)</f>
        <v/>
      </c>
      <c r="I48">
        <f>IFERROR(VLOOKUP(A48, Investment!B:C, 2, FALSE), 0)</f>
        <v/>
      </c>
      <c r="J48">
        <f>J47*(1-$B$3) + I48*$B$4</f>
        <v/>
      </c>
      <c r="K48" s="19">
        <f>F48+J48</f>
        <v/>
      </c>
      <c r="L48">
        <f>EXP(G48) * (K48^$B$2)</f>
        <v/>
      </c>
    </row>
    <row r="49">
      <c r="A49" t="n">
        <v>2037</v>
      </c>
      <c r="C49" t="n">
        <v>2015</v>
      </c>
      <c r="E49" s="19" t="n"/>
      <c r="F49" t="n">
        <v>835699.9190797227</v>
      </c>
      <c r="G49">
        <f>TREND($L$6:$L$27, $A$6:$A$27, A49)</f>
        <v/>
      </c>
      <c r="H49">
        <f>EXP(G49) * (F49^$B$2)</f>
        <v/>
      </c>
      <c r="I49">
        <f>IFERROR(VLOOKUP(A49, Investment!B:C, 2, FALSE), 0)</f>
        <v/>
      </c>
      <c r="J49">
        <f>J48*(1-$B$3) + I49*$B$4</f>
        <v/>
      </c>
      <c r="K49" s="19">
        <f>F49+J49</f>
        <v/>
      </c>
      <c r="L49">
        <f>EXP(G49) * (K49^$B$2)</f>
        <v/>
      </c>
    </row>
    <row r="50">
      <c r="A50" t="n">
        <v>2038</v>
      </c>
      <c r="C50" t="n">
        <v>2016</v>
      </c>
      <c r="E50" s="19" t="n"/>
      <c r="F50" t="n">
        <v>877484.915033709</v>
      </c>
      <c r="G50">
        <f>TREND($L$6:$L$27, $A$6:$A$27, A50)</f>
        <v/>
      </c>
      <c r="H50">
        <f>EXP(G50) * (F50^$B$2)</f>
        <v/>
      </c>
      <c r="I50">
        <f>IFERROR(VLOOKUP(A50, Investment!B:C, 2, FALSE), 0)</f>
        <v/>
      </c>
      <c r="J50">
        <f>J49*(1-$B$3) + I50*$B$4</f>
        <v/>
      </c>
      <c r="K50" s="19">
        <f>F50+J50</f>
        <v/>
      </c>
      <c r="L50">
        <f>EXP(G50) * (K50^$B$2)</f>
        <v/>
      </c>
    </row>
    <row r="51">
      <c r="A51" t="n">
        <v>2039</v>
      </c>
      <c r="C51" t="n">
        <v>2017</v>
      </c>
      <c r="E51" s="19" t="n"/>
      <c r="F51" t="n">
        <v>921359.1607853945</v>
      </c>
      <c r="G51">
        <f>TREND($L$6:$L$27, $A$6:$A$27, A51)</f>
        <v/>
      </c>
      <c r="H51">
        <f>EXP(G51) * (F51^$B$2)</f>
        <v/>
      </c>
      <c r="I51">
        <f>IFERROR(VLOOKUP(A51, Investment!B:C, 2, FALSE), 0)</f>
        <v/>
      </c>
      <c r="J51">
        <f>J50*(1-$B$3) + I51*$B$4</f>
        <v/>
      </c>
      <c r="K51" s="19">
        <f>F51+J51</f>
        <v/>
      </c>
      <c r="L51">
        <f>EXP(G51) * (K51^$B$2)</f>
        <v/>
      </c>
    </row>
    <row r="52">
      <c r="A52" t="n">
        <v>2040</v>
      </c>
      <c r="C52" t="n">
        <v>2018</v>
      </c>
      <c r="E52" s="19" t="n"/>
      <c r="F52" t="n">
        <v>967427.1188246643</v>
      </c>
      <c r="G52">
        <f>TREND($L$6:$L$27, $A$6:$A$27, A52)</f>
        <v/>
      </c>
      <c r="H52">
        <f>EXP(G52) * (F52^$B$2)</f>
        <v/>
      </c>
      <c r="I52">
        <f>IFERROR(VLOOKUP(A52, Investment!B:C, 2, FALSE), 0)</f>
        <v/>
      </c>
      <c r="J52">
        <f>J51*(1-$B$3) + I52*$B$4</f>
        <v/>
      </c>
      <c r="K52" s="19">
        <f>F52+J52</f>
        <v/>
      </c>
      <c r="L52">
        <f>EXP(G52) * (K52^$B$2)</f>
        <v/>
      </c>
    </row>
    <row r="53">
      <c r="A53" t="n">
        <v>2041</v>
      </c>
      <c r="C53" t="n">
        <v>2019</v>
      </c>
      <c r="E53" s="19" t="n"/>
      <c r="F53" t="n">
        <v>1015798.474765897</v>
      </c>
      <c r="G53">
        <f>TREND($L$6:$L$27, $A$6:$A$27, A53)</f>
        <v/>
      </c>
      <c r="H53">
        <f>EXP(G53) * (F53^$B$2)</f>
        <v/>
      </c>
      <c r="I53">
        <f>IFERROR(VLOOKUP(A53, Investment!B:C, 2, FALSE), 0)</f>
        <v/>
      </c>
      <c r="J53">
        <f>J52*(1-$B$3) + I53*$B$4</f>
        <v/>
      </c>
      <c r="K53" s="19">
        <f>F53+J53</f>
        <v/>
      </c>
      <c r="L53">
        <f>EXP(G53) * (K53^$B$2)</f>
        <v/>
      </c>
    </row>
    <row r="54">
      <c r="A54" t="n">
        <v>2042</v>
      </c>
      <c r="C54" t="n">
        <v>2020</v>
      </c>
      <c r="E54" s="19" t="n"/>
      <c r="F54" t="n">
        <v>1066588.398504192</v>
      </c>
      <c r="G54">
        <f>TREND($L$6:$L$27, $A$6:$A$27, A54)</f>
        <v/>
      </c>
      <c r="H54">
        <f>EXP(G54) * (F54^$B$2)</f>
        <v/>
      </c>
      <c r="I54">
        <f>IFERROR(VLOOKUP(A54, Investment!B:C, 2, FALSE), 0)</f>
        <v/>
      </c>
      <c r="J54">
        <f>J53*(1-$B$3) + I54*$B$4</f>
        <v/>
      </c>
      <c r="K54" s="19">
        <f>F54+J54</f>
        <v/>
      </c>
      <c r="L54">
        <f>EXP(G54) * (K54^$B$2)</f>
        <v/>
      </c>
    </row>
    <row r="55">
      <c r="A55" t="n">
        <v>2043</v>
      </c>
      <c r="C55" t="n">
        <v>2021</v>
      </c>
      <c r="E55" s="19" t="n"/>
      <c r="F55" t="n">
        <v>1119917.818429402</v>
      </c>
      <c r="G55">
        <f>TREND($L$6:$L$27, $A$6:$A$27, A55)</f>
        <v/>
      </c>
      <c r="H55">
        <f>EXP(G55) * (F55^$B$2)</f>
        <v/>
      </c>
      <c r="I55">
        <f>IFERROR(VLOOKUP(A55, Investment!B:C, 2, FALSE), 0)</f>
        <v/>
      </c>
      <c r="J55">
        <f>J54*(1-$B$3) + I55*$B$4</f>
        <v/>
      </c>
      <c r="K55" s="19">
        <f>F55+J55</f>
        <v/>
      </c>
      <c r="L55">
        <f>EXP(G55) * (K55^$B$2)</f>
        <v/>
      </c>
    </row>
    <row r="56">
      <c r="A56" t="n">
        <v>2044</v>
      </c>
      <c r="C56" t="n">
        <v>2022</v>
      </c>
      <c r="E56" s="19" t="n"/>
      <c r="F56" t="n">
        <v>0</v>
      </c>
      <c r="G56">
        <f>TREND($L$6:$L$27, $A$6:$A$27, A56)</f>
        <v/>
      </c>
      <c r="H56">
        <f>EXP(G56) * (F56^$B$2)</f>
        <v/>
      </c>
      <c r="I56">
        <f>IFERROR(VLOOKUP(A56, Investment!B:C, 2, FALSE), 0)</f>
        <v/>
      </c>
      <c r="J56">
        <f>J55*(1-$B$3) + I56*$B$4</f>
        <v/>
      </c>
      <c r="K56" s="19">
        <f>F56+J56</f>
        <v/>
      </c>
      <c r="L56">
        <f>EXP(G56) * (K56^$B$2)</f>
        <v/>
      </c>
    </row>
    <row r="57">
      <c r="A57" t="n">
        <v>2045</v>
      </c>
      <c r="C57" t="n">
        <v>2023</v>
      </c>
      <c r="E57" s="19" t="n"/>
      <c r="F57" t="n">
        <v>0</v>
      </c>
      <c r="G57">
        <f>TREND($L$6:$L$27, $A$6:$A$27, A57)</f>
        <v/>
      </c>
      <c r="H57">
        <f>EXP(G57) * (F57^$B$2)</f>
        <v/>
      </c>
      <c r="I57">
        <f>IFERROR(VLOOKUP(A57, Investment!B:C, 2, FALSE), 0)</f>
        <v/>
      </c>
      <c r="J57">
        <f>J56*(1-$B$3) + I57*$B$4</f>
        <v/>
      </c>
      <c r="K57" s="19">
        <f>F57+J57</f>
        <v/>
      </c>
      <c r="L57">
        <f>EXP(G57) * (K57^$B$2)</f>
        <v/>
      </c>
    </row>
    <row r="58">
      <c r="C58" t="n">
        <v>2024</v>
      </c>
      <c r="E58" s="21" t="n"/>
      <c r="G58" s="20" t="n"/>
      <c r="K58" s="19" t="n"/>
    </row>
    <row r="59">
      <c r="C59" t="n">
        <v>2025</v>
      </c>
      <c r="E59" s="21" t="n"/>
      <c r="G59" s="20" t="n"/>
      <c r="K59" s="19" t="n"/>
    </row>
    <row r="60">
      <c r="C60" t="n">
        <v>2026</v>
      </c>
      <c r="E60" s="21" t="n"/>
      <c r="F60" s="20" t="n"/>
      <c r="G60" s="20" t="n"/>
      <c r="I60" s="17" t="n"/>
      <c r="K60" s="19" t="n"/>
    </row>
    <row r="61">
      <c r="C61" t="n">
        <v>2027</v>
      </c>
      <c r="E61" s="21" t="n"/>
      <c r="F61" s="20" t="n"/>
      <c r="G61" s="20" t="n"/>
      <c r="I61" s="17" t="n"/>
      <c r="K61" s="19" t="n"/>
    </row>
    <row r="62">
      <c r="C62" t="n">
        <v>2028</v>
      </c>
      <c r="E62" s="21" t="n"/>
      <c r="F62" s="20" t="n"/>
      <c r="G62" s="20" t="n"/>
      <c r="I62" s="17" t="n"/>
      <c r="K62" s="19" t="n"/>
    </row>
    <row r="63">
      <c r="C63" t="n">
        <v>2029</v>
      </c>
      <c r="E63" s="21" t="n"/>
      <c r="F63" s="20" t="n"/>
      <c r="G63" s="20" t="n"/>
      <c r="I63" s="17" t="n"/>
      <c r="K63" s="19" t="n"/>
    </row>
    <row r="64">
      <c r="C64" t="n">
        <v>2030</v>
      </c>
      <c r="E64" s="21" t="n"/>
      <c r="F64" s="20" t="n"/>
      <c r="G64" s="20" t="n"/>
      <c r="I64" s="17" t="n"/>
      <c r="K64" s="19" t="n"/>
    </row>
    <row r="65">
      <c r="C65" t="n">
        <v>2031</v>
      </c>
      <c r="E65" s="21" t="n"/>
      <c r="F65" s="20" t="n"/>
      <c r="G65" s="20" t="n"/>
      <c r="I65" s="17" t="n"/>
      <c r="K65" s="19" t="n"/>
    </row>
    <row r="66">
      <c r="C66" t="n">
        <v>2032</v>
      </c>
      <c r="E66" s="21" t="n"/>
      <c r="F66" s="20" t="n"/>
      <c r="G66" s="20" t="n"/>
      <c r="I66" s="17" t="n"/>
      <c r="K66" s="19" t="n"/>
    </row>
    <row r="67">
      <c r="C67" t="n">
        <v>2033</v>
      </c>
      <c r="E67" s="21" t="n"/>
      <c r="F67" s="20" t="n"/>
      <c r="G67" s="20" t="n"/>
      <c r="I67" s="17" t="n"/>
      <c r="K67" s="19" t="n"/>
    </row>
    <row r="68">
      <c r="C68" t="n">
        <v>2034</v>
      </c>
      <c r="E68" s="21" t="n"/>
      <c r="F68" s="20" t="n"/>
      <c r="G68" s="20" t="n"/>
      <c r="K68" s="19" t="n"/>
    </row>
    <row r="69">
      <c r="C69" t="n">
        <v>2035</v>
      </c>
      <c r="E69" s="21" t="n"/>
      <c r="F69" s="20" t="n"/>
      <c r="G69" s="20" t="n"/>
      <c r="K69" s="19" t="n"/>
    </row>
    <row r="70">
      <c r="C70" t="n">
        <v>2036</v>
      </c>
      <c r="E70" s="21" t="n"/>
      <c r="F70" s="20" t="n"/>
      <c r="G70" s="20" t="n"/>
      <c r="K70" s="19" t="n"/>
    </row>
    <row r="71">
      <c r="C71" t="n">
        <v>2037</v>
      </c>
      <c r="E71" s="21" t="n"/>
      <c r="F71" s="20" t="n"/>
      <c r="G71" s="20" t="n"/>
      <c r="K71" s="19" t="n"/>
    </row>
    <row r="72">
      <c r="C72" t="n">
        <v>2038</v>
      </c>
      <c r="E72" s="21" t="n"/>
      <c r="F72" s="20" t="n"/>
      <c r="G72" s="20" t="n"/>
      <c r="K72" s="19" t="n"/>
    </row>
    <row r="73">
      <c r="C73" t="n">
        <v>2039</v>
      </c>
      <c r="E73" s="21" t="n"/>
      <c r="F73" s="20" t="n"/>
      <c r="G73" s="20" t="n"/>
      <c r="K73" s="19" t="n"/>
    </row>
    <row r="74">
      <c r="C74" t="n">
        <v>2040</v>
      </c>
      <c r="E74" s="21" t="n"/>
      <c r="F74" s="20" t="n"/>
      <c r="G74" s="20" t="n"/>
      <c r="K74" s="19" t="n"/>
    </row>
    <row r="75">
      <c r="C75" t="n">
        <v>2041</v>
      </c>
      <c r="E75" s="21" t="n"/>
      <c r="F75" s="20" t="n"/>
      <c r="G75" s="20" t="n"/>
      <c r="K75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Year</t>
        </is>
      </c>
      <c r="B1" t="inlineStr">
        <is>
          <t>CFC</t>
        </is>
      </c>
      <c r="C1" t="inlineStr">
        <is>
          <t>Capital</t>
        </is>
      </c>
      <c r="D1" t="inlineStr">
        <is>
          <t>Depreciation Rate</t>
        </is>
      </c>
      <c r="E1" t="inlineStr">
        <is>
          <t>Depreciation rate</t>
        </is>
      </c>
    </row>
    <row r="2">
      <c r="A2" t="n">
        <v>2000</v>
      </c>
      <c r="B2">
        <f>C2*D2</f>
        <v/>
      </c>
      <c r="C2">
        <f>PWT!B2</f>
        <v/>
      </c>
      <c r="D2" t="n">
        <v>0.031623866</v>
      </c>
    </row>
    <row r="3">
      <c r="A3" t="n">
        <v>2001</v>
      </c>
      <c r="B3">
        <f>C3*D3</f>
        <v/>
      </c>
      <c r="C3">
        <f>PWT!B3</f>
        <v/>
      </c>
      <c r="D3" t="n">
        <v>0.031490784</v>
      </c>
    </row>
    <row r="4">
      <c r="A4" t="n">
        <v>2002</v>
      </c>
      <c r="B4">
        <f>C4*D4</f>
        <v/>
      </c>
      <c r="C4">
        <f>PWT!B4</f>
        <v/>
      </c>
      <c r="D4" t="n">
        <v>0.031242352</v>
      </c>
    </row>
    <row r="5">
      <c r="A5" t="n">
        <v>2003</v>
      </c>
      <c r="B5">
        <f>C5*D5</f>
        <v/>
      </c>
      <c r="C5">
        <f>PWT!B5</f>
        <v/>
      </c>
      <c r="D5" t="n">
        <v>0.030891685</v>
      </c>
    </row>
    <row r="6">
      <c r="A6" t="n">
        <v>2004</v>
      </c>
      <c r="B6">
        <f>C6*D6</f>
        <v/>
      </c>
      <c r="C6">
        <f>PWT!B6</f>
        <v/>
      </c>
      <c r="D6" t="n">
        <v>0.031261567</v>
      </c>
    </row>
    <row r="7">
      <c r="A7" t="n">
        <v>2005</v>
      </c>
      <c r="B7">
        <f>C7*D7</f>
        <v/>
      </c>
      <c r="C7">
        <f>PWT!B7</f>
        <v/>
      </c>
      <c r="D7" t="n">
        <v>0.032421097</v>
      </c>
    </row>
    <row r="8">
      <c r="A8" t="n">
        <v>2006</v>
      </c>
      <c r="B8">
        <f>C8*D8</f>
        <v/>
      </c>
      <c r="C8">
        <f>PWT!B8</f>
        <v/>
      </c>
      <c r="D8" t="n">
        <v>0.033841867</v>
      </c>
    </row>
    <row r="9">
      <c r="A9" t="n">
        <v>2007</v>
      </c>
      <c r="B9">
        <f>C9*D9</f>
        <v/>
      </c>
      <c r="C9">
        <f>PWT!B9</f>
        <v/>
      </c>
      <c r="D9" t="n">
        <v>0.035395756</v>
      </c>
    </row>
    <row r="10">
      <c r="A10" t="n">
        <v>2008</v>
      </c>
      <c r="B10">
        <f>C10*D10</f>
        <v/>
      </c>
      <c r="C10">
        <f>PWT!B10</f>
        <v/>
      </c>
      <c r="D10" t="n">
        <v>0.036611527</v>
      </c>
    </row>
    <row r="11">
      <c r="A11" t="n">
        <v>2009</v>
      </c>
      <c r="B11">
        <f>C11*D11</f>
        <v/>
      </c>
      <c r="C11">
        <f>PWT!B11</f>
        <v/>
      </c>
      <c r="D11" t="n">
        <v>0.036744419</v>
      </c>
    </row>
    <row r="12">
      <c r="A12" t="n">
        <v>2010</v>
      </c>
      <c r="B12">
        <f>C12*D12</f>
        <v/>
      </c>
      <c r="C12">
        <f>PWT!B12</f>
        <v/>
      </c>
      <c r="D12" t="n">
        <v>0.036417093</v>
      </c>
    </row>
    <row r="13">
      <c r="A13" t="n">
        <v>2011</v>
      </c>
      <c r="B13">
        <f>C13*D13</f>
        <v/>
      </c>
      <c r="C13">
        <f>PWT!B13</f>
        <v/>
      </c>
      <c r="D13" t="n">
        <v>0.036380187</v>
      </c>
    </row>
    <row r="14">
      <c r="A14" t="n">
        <v>2012</v>
      </c>
      <c r="B14">
        <f>C14*D14</f>
        <v/>
      </c>
      <c r="C14">
        <f>PWT!B14</f>
        <v/>
      </c>
      <c r="D14" t="n">
        <v>0.036377139</v>
      </c>
    </row>
    <row r="15">
      <c r="A15" t="n">
        <v>2013</v>
      </c>
      <c r="B15">
        <f>C15*D15</f>
        <v/>
      </c>
      <c r="C15">
        <f>PWT!B15</f>
        <v/>
      </c>
      <c r="D15" t="n">
        <v>0.036412075</v>
      </c>
    </row>
    <row r="16">
      <c r="A16" t="n">
        <v>2014</v>
      </c>
      <c r="B16">
        <f>C16*D16</f>
        <v/>
      </c>
      <c r="C16">
        <f>PWT!B16</f>
        <v/>
      </c>
      <c r="D16" t="n">
        <v>0.036742944</v>
      </c>
    </row>
    <row r="17">
      <c r="A17" t="n">
        <v>2015</v>
      </c>
      <c r="B17">
        <f>C17*D17</f>
        <v/>
      </c>
      <c r="C17">
        <f>PWT!B17</f>
        <v/>
      </c>
      <c r="D17" t="n">
        <v>0.037537627</v>
      </c>
    </row>
    <row r="18">
      <c r="A18" t="n">
        <v>2016</v>
      </c>
      <c r="B18">
        <f>C18*D18</f>
        <v/>
      </c>
      <c r="C18">
        <f>PWT!B18</f>
        <v/>
      </c>
      <c r="D18" t="n">
        <v>0.038535319</v>
      </c>
    </row>
    <row r="19">
      <c r="A19" t="n">
        <v>2017</v>
      </c>
      <c r="B19">
        <f>C19*D19</f>
        <v/>
      </c>
      <c r="C19">
        <f>PWT!B19</f>
        <v/>
      </c>
      <c r="D19" t="n">
        <v>0.039654069</v>
      </c>
    </row>
    <row r="20">
      <c r="A20" t="n">
        <v>2018</v>
      </c>
      <c r="B20">
        <f>C20*D20</f>
        <v/>
      </c>
      <c r="C20">
        <f>PWT!B20</f>
        <v/>
      </c>
      <c r="D20" t="n">
        <v>0.040490728</v>
      </c>
    </row>
    <row r="21">
      <c r="A21" t="n">
        <v>2019</v>
      </c>
      <c r="B21">
        <f>C21*D21</f>
        <v/>
      </c>
      <c r="C21">
        <f>PWT!B21</f>
        <v/>
      </c>
      <c r="D21" t="n">
        <v>0.041398138</v>
      </c>
    </row>
    <row r="22">
      <c r="A22" t="n">
        <v>2020</v>
      </c>
    </row>
    <row r="23">
      <c r="A23" t="n">
        <v>2021</v>
      </c>
    </row>
    <row r="24">
      <c r="A24" t="n">
        <v>2022</v>
      </c>
    </row>
    <row r="25">
      <c r="A25" t="n">
        <v>2023</v>
      </c>
      <c r="B25" t="n">
        <v>9410.65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Capital Stock (rnna)</t>
        </is>
      </c>
      <c r="C1" t="inlineStr">
        <is>
          <t>Real GDP (rgdpna)</t>
        </is>
      </c>
      <c r="D1" t="inlineStr">
        <is>
          <t>Delta</t>
        </is>
      </c>
    </row>
    <row r="2">
      <c r="A2" t="n">
        <v>2000</v>
      </c>
      <c r="B2" t="n">
        <v>239171.6094</v>
      </c>
      <c r="C2" t="n">
        <v>22802.83594</v>
      </c>
      <c r="D2" t="n">
        <v>0.031623866</v>
      </c>
    </row>
    <row r="3">
      <c r="A3" t="n">
        <v>2001</v>
      </c>
      <c r="B3" t="n">
        <v>240066.2656</v>
      </c>
      <c r="C3" t="n">
        <v>23898.61523</v>
      </c>
      <c r="D3" t="n">
        <v>0.031490784</v>
      </c>
    </row>
    <row r="4">
      <c r="A4" t="n">
        <v>2002</v>
      </c>
      <c r="B4" t="n">
        <v>240523.0469</v>
      </c>
      <c r="C4" t="n">
        <v>25206.78516</v>
      </c>
      <c r="D4" t="n">
        <v>0.031242352</v>
      </c>
    </row>
    <row r="5">
      <c r="A5" t="n">
        <v>2003</v>
      </c>
      <c r="B5" t="n">
        <v>242715.2656</v>
      </c>
      <c r="C5" t="n">
        <v>27994.17773</v>
      </c>
      <c r="D5" t="n">
        <v>0.030891685</v>
      </c>
    </row>
    <row r="6">
      <c r="A6" t="n">
        <v>2004</v>
      </c>
      <c r="B6" t="n">
        <v>245580.1406</v>
      </c>
      <c r="C6" t="n">
        <v>29616.71484</v>
      </c>
      <c r="D6" t="n">
        <v>0.031261567</v>
      </c>
    </row>
    <row r="7">
      <c r="A7" t="n">
        <v>2005</v>
      </c>
      <c r="B7" t="n">
        <v>249248.9844</v>
      </c>
      <c r="C7" t="n">
        <v>32456.45117</v>
      </c>
      <c r="D7" t="n">
        <v>0.032421097</v>
      </c>
    </row>
    <row r="8">
      <c r="A8" t="n">
        <v>2006</v>
      </c>
      <c r="B8" t="n">
        <v>252297.0781</v>
      </c>
      <c r="C8" t="n">
        <v>35514.08984</v>
      </c>
      <c r="D8" t="n">
        <v>0.033841867</v>
      </c>
    </row>
    <row r="9">
      <c r="A9" t="n">
        <v>2007</v>
      </c>
      <c r="B9" t="n">
        <v>256234.1094</v>
      </c>
      <c r="C9" t="n">
        <v>39981.32813</v>
      </c>
      <c r="D9" t="n">
        <v>0.035395756</v>
      </c>
    </row>
    <row r="10">
      <c r="A10" t="n">
        <v>2008</v>
      </c>
      <c r="B10" t="n">
        <v>257715.4375</v>
      </c>
      <c r="C10" t="n">
        <v>40948.11719</v>
      </c>
      <c r="D10" t="n">
        <v>0.036611527</v>
      </c>
    </row>
    <row r="11">
      <c r="A11" t="n">
        <v>2009</v>
      </c>
      <c r="B11" t="n">
        <v>255596.0781</v>
      </c>
      <c r="C11" t="n">
        <v>39453.47266</v>
      </c>
      <c r="D11" t="n">
        <v>0.036744419</v>
      </c>
    </row>
    <row r="12">
      <c r="A12" t="n">
        <v>2010</v>
      </c>
      <c r="B12" t="n">
        <v>256185.1406</v>
      </c>
      <c r="C12" t="n">
        <v>41919.08594</v>
      </c>
      <c r="D12" t="n">
        <v>0.036417093</v>
      </c>
    </row>
    <row r="13">
      <c r="A13" t="n">
        <v>2011</v>
      </c>
      <c r="B13" t="n">
        <v>258197.4063</v>
      </c>
      <c r="C13" t="n">
        <v>45004.60547</v>
      </c>
      <c r="D13" t="n">
        <v>0.036380187</v>
      </c>
    </row>
    <row r="14">
      <c r="A14" t="n">
        <v>2012</v>
      </c>
      <c r="B14" t="n">
        <v>260772.9688</v>
      </c>
      <c r="C14" t="n">
        <v>47892.44922</v>
      </c>
      <c r="D14" t="n">
        <v>0.036377139</v>
      </c>
    </row>
    <row r="15">
      <c r="A15" t="n">
        <v>2013</v>
      </c>
      <c r="B15" t="n">
        <v>261943.1094</v>
      </c>
      <c r="C15" t="n">
        <v>49624.02734</v>
      </c>
      <c r="D15" t="n">
        <v>0.036412075</v>
      </c>
    </row>
    <row r="16">
      <c r="A16" t="n">
        <v>2014</v>
      </c>
      <c r="B16" t="n">
        <v>265818.4063</v>
      </c>
      <c r="C16" t="n">
        <v>51828.10156</v>
      </c>
      <c r="D16" t="n">
        <v>0.036742944</v>
      </c>
    </row>
    <row r="17">
      <c r="A17" t="n">
        <v>2015</v>
      </c>
      <c r="B17" t="n">
        <v>271425.4688</v>
      </c>
      <c r="C17" t="n">
        <v>53396.74219</v>
      </c>
      <c r="D17" t="n">
        <v>0.037537627</v>
      </c>
    </row>
    <row r="18">
      <c r="A18" t="n">
        <v>2016</v>
      </c>
      <c r="B18" t="n">
        <v>277588.1563</v>
      </c>
      <c r="C18" t="n">
        <v>54948.35938</v>
      </c>
      <c r="D18" t="n">
        <v>0.038535319</v>
      </c>
    </row>
    <row r="19">
      <c r="A19" t="n">
        <v>2017</v>
      </c>
      <c r="B19" t="n">
        <v>283682.1563</v>
      </c>
      <c r="C19" t="n">
        <v>57609.71094</v>
      </c>
      <c r="D19" t="n">
        <v>0.039654069</v>
      </c>
    </row>
    <row r="20">
      <c r="A20" t="n">
        <v>2018</v>
      </c>
      <c r="B20" t="n">
        <v>289560.9063</v>
      </c>
      <c r="C20" t="n">
        <v>60399.59375</v>
      </c>
      <c r="D20" t="n">
        <v>0.040490728</v>
      </c>
    </row>
    <row r="21">
      <c r="A21" t="n">
        <v>2019</v>
      </c>
      <c r="B21" t="n">
        <v>298215.0625</v>
      </c>
      <c r="C21" t="n">
        <v>63508.82422</v>
      </c>
      <c r="D21" t="n">
        <v>0.041398138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H24" sqref="H24"/>
    </sheetView>
  </sheetViews>
  <sheetFormatPr baseColWidth="8" defaultRowHeight="12.45"/>
  <sheetData>
    <row r="1">
      <c r="A1" t="inlineStr">
        <is>
          <t>WEO Data</t>
        </is>
      </c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A7" t="inlineStr">
        <is>
          <t>Year</t>
        </is>
      </c>
      <c r="B7" t="inlineStr">
        <is>
          <t>Real GDP Level</t>
        </is>
      </c>
      <c r="C7" t="inlineStr">
        <is>
          <t>Growth Rate</t>
        </is>
      </c>
      <c r="D7" t="inlineStr">
        <is>
          <t>See notes for:  Gross domestic product, constant prices (National currency).</t>
        </is>
      </c>
    </row>
    <row r="8">
      <c r="A8" t="n">
        <v>2000</v>
      </c>
      <c r="B8" t="n">
        <v>22802.83594</v>
      </c>
      <c r="C8" t="n">
        <v>1.9</v>
      </c>
    </row>
    <row r="9">
      <c r="A9" t="n">
        <v>2001</v>
      </c>
      <c r="B9" t="n">
        <v>23898.61523</v>
      </c>
      <c r="C9" t="n">
        <v>4.8</v>
      </c>
    </row>
    <row r="10">
      <c r="A10" t="n">
        <v>2002</v>
      </c>
      <c r="B10" t="n">
        <v>25206.78516</v>
      </c>
      <c r="C10" t="n">
        <v>5.5</v>
      </c>
    </row>
    <row r="11">
      <c r="A11" t="n">
        <v>2003</v>
      </c>
      <c r="B11" t="n">
        <v>27994.17773</v>
      </c>
      <c r="C11" t="n">
        <v>11.2</v>
      </c>
    </row>
    <row r="12">
      <c r="A12" t="n">
        <v>2004</v>
      </c>
      <c r="B12" t="n">
        <v>29616.71484</v>
      </c>
      <c r="C12" t="n">
        <v>5.8</v>
      </c>
    </row>
    <row r="13">
      <c r="A13" t="n">
        <v>2005</v>
      </c>
      <c r="B13" t="n">
        <v>32456.45117</v>
      </c>
      <c r="C13" t="n">
        <v>9.6</v>
      </c>
    </row>
    <row r="14">
      <c r="A14" t="n">
        <v>2006</v>
      </c>
      <c r="B14" t="n">
        <v>35514.08984</v>
      </c>
      <c r="C14" t="n">
        <v>9.4</v>
      </c>
    </row>
    <row r="15">
      <c r="A15" t="n">
        <v>2007</v>
      </c>
      <c r="B15" t="n">
        <v>39981.32813</v>
      </c>
      <c r="C15" t="n">
        <v>12.3</v>
      </c>
    </row>
    <row r="16">
      <c r="A16" t="n">
        <v>2008</v>
      </c>
      <c r="B16" t="n">
        <v>40948.11719</v>
      </c>
      <c r="C16" t="n">
        <v>2.3</v>
      </c>
    </row>
    <row r="17">
      <c r="A17" t="n">
        <v>2009</v>
      </c>
      <c r="B17" t="n">
        <v>39453.47266</v>
      </c>
      <c r="C17" t="n">
        <v>-3.8</v>
      </c>
    </row>
    <row r="18">
      <c r="A18" t="n">
        <v>2010</v>
      </c>
      <c r="B18" t="n">
        <v>41919.08594</v>
      </c>
      <c r="C18" t="n">
        <v>6.3</v>
      </c>
    </row>
    <row r="19">
      <c r="A19" t="n">
        <v>2011</v>
      </c>
      <c r="B19" t="n">
        <v>45004.60547</v>
      </c>
      <c r="C19" t="n">
        <v>7</v>
      </c>
    </row>
    <row r="20">
      <c r="A20" t="n">
        <v>2012</v>
      </c>
      <c r="B20" t="n">
        <v>47892.44922</v>
      </c>
      <c r="C20" t="n">
        <v>6.6</v>
      </c>
    </row>
    <row r="21">
      <c r="A21" t="n">
        <v>2013</v>
      </c>
      <c r="B21" t="n">
        <v>49624.02734</v>
      </c>
      <c r="C21" t="n">
        <v>5.1</v>
      </c>
    </row>
    <row r="22">
      <c r="A22" t="n">
        <v>2014</v>
      </c>
      <c r="B22" t="n">
        <v>51828.10156</v>
      </c>
      <c r="C22" t="n">
        <v>4.1</v>
      </c>
    </row>
    <row r="23">
      <c r="A23" t="n">
        <v>2015</v>
      </c>
      <c r="B23" t="n">
        <v>53396.74219</v>
      </c>
      <c r="C23" t="n">
        <v>3</v>
      </c>
    </row>
    <row r="24">
      <c r="A24" t="n">
        <v>2016</v>
      </c>
      <c r="B24" t="n">
        <v>54948.35938</v>
      </c>
      <c r="C24" t="n">
        <v>2.9</v>
      </c>
    </row>
    <row r="25">
      <c r="A25" t="n">
        <v>2017</v>
      </c>
      <c r="B25" t="n">
        <v>57609.71094</v>
      </c>
      <c r="C25" t="n">
        <v>4.8</v>
      </c>
    </row>
    <row r="26">
      <c r="A26" t="n">
        <v>2018</v>
      </c>
      <c r="B26" t="n">
        <v>60399.59375</v>
      </c>
      <c r="C26" t="n">
        <v>4.8</v>
      </c>
    </row>
    <row r="27">
      <c r="A27" t="n">
        <v>2019</v>
      </c>
      <c r="B27" t="n">
        <v>63508.82422</v>
      </c>
      <c r="C27" t="n">
        <v>5</v>
      </c>
    </row>
    <row r="28">
      <c r="A28" t="n">
        <v>2020</v>
      </c>
      <c r="B28" t="n">
        <v>59571.27711836</v>
      </c>
      <c r="C28" t="n">
        <v>-6.2</v>
      </c>
    </row>
    <row r="29">
      <c r="A29" t="n">
        <v>2021</v>
      </c>
      <c r="B29" t="n">
        <v>65826.2612157878</v>
      </c>
      <c r="C29" t="n">
        <v>10.5</v>
      </c>
    </row>
    <row r="30">
      <c r="A30" t="n">
        <v>2022</v>
      </c>
      <c r="B30" t="n">
        <v>72672.19238222974</v>
      </c>
      <c r="C30" t="n">
        <v>10.4</v>
      </c>
    </row>
    <row r="31">
      <c r="A31" t="n">
        <v>2023</v>
      </c>
      <c r="B31" t="n">
        <v>78340.62338804366</v>
      </c>
      <c r="C31" t="n">
        <v>7.8</v>
      </c>
    </row>
    <row r="32">
      <c r="A32" t="n">
        <v>2024</v>
      </c>
      <c r="B32" t="n">
        <v>85391.2794929676</v>
      </c>
      <c r="C32" t="n">
        <v>9</v>
      </c>
    </row>
    <row r="33">
      <c r="A33" t="n">
        <v>2025</v>
      </c>
      <c r="B33" t="n">
        <v>90514.75626254566</v>
      </c>
      <c r="C33" t="n">
        <v>6</v>
      </c>
    </row>
    <row r="34">
      <c r="A34" t="n">
        <v>2026</v>
      </c>
      <c r="B34" t="n">
        <v>95312.03834446058</v>
      </c>
      <c r="C34" t="n">
        <v>5.3</v>
      </c>
    </row>
    <row r="35">
      <c r="A35" t="n">
        <v>2027</v>
      </c>
      <c r="B35" t="n">
        <v>100077.6402616836</v>
      </c>
      <c r="C35" t="n">
        <v>5</v>
      </c>
    </row>
    <row r="36">
      <c r="A36" t="n">
        <v>2028</v>
      </c>
      <c r="B36" t="n">
        <v>105081.5222747678</v>
      </c>
      <c r="C36" t="n">
        <v>5</v>
      </c>
    </row>
    <row r="37">
      <c r="A37" t="n">
        <v>2029</v>
      </c>
      <c r="B37" t="n">
        <v>110335.5983885062</v>
      </c>
      <c r="C37" t="n">
        <v>5</v>
      </c>
    </row>
    <row r="38">
      <c r="A38" t="n">
        <v>2030</v>
      </c>
      <c r="B38" t="n">
        <v>115852.3783079315</v>
      </c>
      <c r="C38" t="n">
        <v>5</v>
      </c>
    </row>
    <row r="39">
      <c r="A39" t="n">
        <v>2031</v>
      </c>
      <c r="B39" t="n">
        <v>121644.9972233281</v>
      </c>
      <c r="C39" t="n">
        <v>5</v>
      </c>
    </row>
    <row r="40">
      <c r="A40" t="n">
        <v>2032</v>
      </c>
      <c r="B40" t="n">
        <v>127727.2470844945</v>
      </c>
      <c r="C40" t="n">
        <v>5</v>
      </c>
    </row>
    <row r="41">
      <c r="A41" t="n">
        <v>2033</v>
      </c>
      <c r="B41" t="n">
        <v>134113.6094387192</v>
      </c>
      <c r="C41" t="n">
        <v>5</v>
      </c>
    </row>
    <row r="42">
      <c r="A42" t="n">
        <v>2034</v>
      </c>
      <c r="B42" t="n">
        <v>140819.2899106552</v>
      </c>
      <c r="C42" t="n">
        <v>5</v>
      </c>
    </row>
    <row r="43">
      <c r="A43" t="n">
        <v>2035</v>
      </c>
      <c r="B43" t="n">
        <v>147860.254406188</v>
      </c>
      <c r="C43" t="n">
        <v>5</v>
      </c>
    </row>
    <row r="44">
      <c r="A44" t="n">
        <v>2036</v>
      </c>
      <c r="B44" t="n">
        <v>155253.2671264974</v>
      </c>
      <c r="C44" t="n">
        <v>5</v>
      </c>
    </row>
    <row r="45">
      <c r="A45" t="n">
        <v>2037</v>
      </c>
      <c r="B45" t="n">
        <v>163015.9304828222</v>
      </c>
      <c r="C45" t="n">
        <v>5</v>
      </c>
    </row>
    <row r="46">
      <c r="A46" t="n">
        <v>2038</v>
      </c>
      <c r="B46" t="n">
        <v>171166.7270069634</v>
      </c>
      <c r="C46" t="n">
        <v>5</v>
      </c>
    </row>
    <row r="47">
      <c r="A47" t="n">
        <v>2039</v>
      </c>
      <c r="B47" t="n">
        <v>179725.0633573115</v>
      </c>
      <c r="C47" t="n">
        <v>5</v>
      </c>
    </row>
    <row r="48">
      <c r="A48" t="n">
        <v>2040</v>
      </c>
      <c r="B48" t="n">
        <v>188711.3165251771</v>
      </c>
      <c r="C48" t="n">
        <v>5</v>
      </c>
    </row>
    <row r="49">
      <c r="A49" t="n">
        <v>2041</v>
      </c>
      <c r="B49" t="n">
        <v>198146.882351436</v>
      </c>
      <c r="C49" t="n">
        <v>5</v>
      </c>
    </row>
    <row r="50">
      <c r="A50" t="n">
        <v>2042</v>
      </c>
      <c r="B50" t="n">
        <v>208054.2264690078</v>
      </c>
      <c r="C50" t="n">
        <v>5</v>
      </c>
    </row>
    <row r="51">
      <c r="A51" t="n">
        <v>2043</v>
      </c>
      <c r="B51" t="n">
        <v>218456.9377924582</v>
      </c>
      <c r="C51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2026-01-29T09:32:31Z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