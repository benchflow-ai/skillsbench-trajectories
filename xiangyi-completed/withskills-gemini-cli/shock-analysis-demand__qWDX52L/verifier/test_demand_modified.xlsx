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" sheetId="1" state="visible" r:id="rId3"/>
    <sheet name="WEO_Data" sheetId="2" state="visible" r:id="rId4"/>
    <sheet name="SUPPLY" sheetId="3" state="visible" r:id="rId5"/>
    <sheet name="USE" sheetId="4" state="visible" r:id="rId6"/>
    <sheet name="SUT Calc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<sst xmlns="http://schemas.openxmlformats.org/spreadsheetml/2006/main" count="189" uniqueCount="74">
  <si>
    <t xml:space="preserve">Year</t>
  </si>
  <si>
    <t xml:space="preserve">Real GDP</t>
  </si>
  <si>
    <t xml:space="preserve">Project Allocation (%)</t>
  </si>
  <si>
    <t xml:space="preserve">Project Investment</t>
  </si>
  <si>
    <t xml:space="preserve">Imports</t>
  </si>
  <si>
    <t xml:space="preserve">GDP impact</t>
  </si>
  <si>
    <t xml:space="preserve">Baseline GDP Growth</t>
  </si>
  <si>
    <t xml:space="preserve">Projected Growth</t>
  </si>
  <si>
    <t xml:space="preserve">I-M</t>
  </si>
  <si>
    <t xml:space="preserve">Multiplier</t>
  </si>
  <si>
    <t xml:space="preserve">% of GDP</t>
  </si>
  <si>
    <t xml:space="preserve">Assumptions</t>
  </si>
  <si>
    <t xml:space="preserve">total investment</t>
  </si>
  <si>
    <t xml:space="preserve">import content share</t>
  </si>
  <si>
    <t xml:space="preserve">demand multiplier</t>
  </si>
  <si>
    <t xml:space="preserve">Project allocation</t>
  </si>
  <si>
    <t xml:space="preserve">Bell shape</t>
  </si>
  <si>
    <t xml:space="preserve">Scenario 2: Multiplier = 1</t>
  </si>
  <si>
    <t xml:space="preserve">Exchange rate</t>
  </si>
  <si>
    <t xml:space="preserve">Scenario 3: Import Share = 0.5</t>
  </si>
  <si>
    <t xml:space="preserve">Real GDP (million GEL)</t>
  </si>
  <si>
    <t xml:space="preserve">Real GDP Growth (%)</t>
  </si>
  <si>
    <t xml:space="preserve">GDP Deflator</t>
  </si>
  <si>
    <t xml:space="preserve">GDP Deflator Growth (%)</t>
  </si>
  <si>
    <t xml:space="preserve">Nominal GDP (million GEL)</t>
  </si>
  <si>
    <t xml:space="preserve">Avg Deflator Growth (21-24)</t>
  </si>
  <si>
    <t xml:space="preserve">Sector</t>
  </si>
  <si>
    <t xml:space="preserve">Output</t>
  </si>
  <si>
    <t xml:space="preserve">Taxes</t>
  </si>
  <si>
    <t xml:space="preserve">Agriculture, forestry and fishing</t>
  </si>
  <si>
    <t xml:space="preserve">Mining and quarrying</t>
  </si>
  <si>
    <t xml:space="preserve">Manufacture of food products, beverages and tobacco products</t>
  </si>
  <si>
    <t xml:space="preserve">Manufacture of textiles, wearing apparel and leather products</t>
  </si>
  <si>
    <t xml:space="preserve">Manufacture of wood and paper products, and printing</t>
  </si>
  <si>
    <t xml:space="preserve">Refined petroleum, chemical and pharmaceutical products</t>
  </si>
  <si>
    <t xml:space="preserve">Manufacture of rubber and plastic products, and other non-metallic mineral products</t>
  </si>
  <si>
    <t xml:space="preserve">Manufacture of basic metals and fabricated metal products</t>
  </si>
  <si>
    <t xml:space="preserve">Manufacture of computer, electronic and optical products</t>
  </si>
  <si>
    <t xml:space="preserve">Manufacture of electrical equipment</t>
  </si>
  <si>
    <t xml:space="preserve">Manufacture of machinery and equipment n.e.c.</t>
  </si>
  <si>
    <t xml:space="preserve">Manufacture of transport equipment</t>
  </si>
  <si>
    <t xml:space="preserve">Manufacture of furniture</t>
  </si>
  <si>
    <t xml:space="preserve">Repair and installation of machinery and equipment</t>
  </si>
  <si>
    <t xml:space="preserve">Electricity, gas, steam and air-conditioning supply</t>
  </si>
  <si>
    <t xml:space="preserve">Water supply</t>
  </si>
  <si>
    <t xml:space="preserve">Sewerage, waste management and remediation activities</t>
  </si>
  <si>
    <t xml:space="preserve">Construction</t>
  </si>
  <si>
    <t xml:space="preserve">Wholesale and retail trade, repair of motor vehicles and motorcycles</t>
  </si>
  <si>
    <t xml:space="preserve">Land transport, except transport via pipelines</t>
  </si>
  <si>
    <t xml:space="preserve">Transport via pipelines</t>
  </si>
  <si>
    <t xml:space="preserve">Ocean transport</t>
  </si>
  <si>
    <t xml:space="preserve">Inland water transport and supply</t>
  </si>
  <si>
    <t xml:space="preserve">Air transport</t>
  </si>
  <si>
    <t xml:space="preserve">Warehousing and support activities for transportation</t>
  </si>
  <si>
    <t xml:space="preserve">Postal and courier activities</t>
  </si>
  <si>
    <t xml:space="preserve">Accommodation and food service activities</t>
  </si>
  <si>
    <t xml:space="preserve">Publishing, audiovisual and broadcasting activities</t>
  </si>
  <si>
    <t xml:space="preserve">Telecommunications</t>
  </si>
  <si>
    <t xml:space="preserve">Computer programming, consultancy and related activities</t>
  </si>
  <si>
    <t xml:space="preserve">Financial and insurance activities</t>
  </si>
  <si>
    <t xml:space="preserve">Real estate activities</t>
  </si>
  <si>
    <t xml:space="preserve">Legal and accounting activities, etc.</t>
  </si>
  <si>
    <t xml:space="preserve">Architectural and engineering consultancy activities, etc.</t>
  </si>
  <si>
    <t xml:space="preserve">Administrative and support service activities</t>
  </si>
  <si>
    <t xml:space="preserve">Public administration and defence; compulsory social security</t>
  </si>
  <si>
    <t xml:space="preserve">Education</t>
  </si>
  <si>
    <t xml:space="preserve">Human health and social work activities, etc.</t>
  </si>
  <si>
    <t xml:space="preserve">IC</t>
  </si>
  <si>
    <t xml:space="preserve">Consumption</t>
  </si>
  <si>
    <t xml:space="preserve">GFCF</t>
  </si>
  <si>
    <t xml:space="preserve">Exports</t>
  </si>
  <si>
    <t xml:space="preserve">Total Supply</t>
  </si>
  <si>
    <t xml:space="preserve">TOTAL</t>
  </si>
  <si>
    <t xml:space="preserve">Estimated Import Content Share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</si>
</sst>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General"/>
    <numFmt numFmtId="167" formatCode="0.00000000"/>
    <numFmt numFmtId="168" formatCode="0.000"/>
  </numFmts>
  <fonts count="9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0"/>
      <name val="Arial"/>
      <family val="2"/>
      <charset val="1"/>
    </font>
    <font>
      <b val="true"/>
      <sz val="10"/>
      <color theme="5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sz val="10"/>
      <color rgb="FFFF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8999"/>
        <bgColor rgb="FFCC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Style 1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1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6796875" defaultRowHeight="12" zeroHeight="false" outlineLevelRow="0" outlineLevelCol="0"/>
  <cols>
    <col collapsed="false" customWidth="true" hidden="false" outlineLevel="0" max="3" min="3" style="1" width="18"/>
    <col collapsed="false" customWidth="true" hidden="false" outlineLevel="0" max="5" min="5" style="1" width="11"/>
    <col collapsed="false" customWidth="true" hidden="false" outlineLevel="0" max="7" min="7" style="1" width="11.15"/>
    <col collapsed="false" customWidth="true" hidden="false" outlineLevel="0" max="8" min="8" style="1" width="11.85"/>
    <col collapsed="false" customWidth="true" hidden="false" outlineLevel="0" max="10" min="10" style="2" width="14.53"/>
    <col collapsed="false" customWidth="true" hidden="false" outlineLevel="0" max="11" min="11" style="2" width="17.38"/>
  </cols>
  <sheetData>
    <row r="1" s="3" customFormat="true" ht="36.75" hidden="false" customHeight="true" outlineLevel="0" collapsed="false"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/>
      <c r="I1" s="4"/>
      <c r="J1" s="4" t="s">
        <v>6</v>
      </c>
      <c r="K1" s="4" t="s">
        <v>7</v>
      </c>
    </row>
    <row r="2" customFormat="false" ht="12" hidden="false" customHeight="true" outlineLevel="0" collapsed="false">
      <c r="B2" s="6"/>
      <c r="C2" s="7"/>
      <c r="D2" s="7"/>
      <c r="E2" s="7"/>
      <c r="F2" s="7"/>
      <c r="G2" s="8" t="s">
        <v>8</v>
      </c>
      <c r="H2" s="9" t="s">
        <v>9</v>
      </c>
      <c r="I2" s="8" t="s">
        <v>10</v>
      </c>
      <c r="J2" s="10"/>
      <c r="K2" s="11"/>
    </row>
    <row r="3" customFormat="false" ht="12" hidden="false" customHeight="true" outlineLevel="0" collapsed="false">
      <c r="B3" s="6" t="n">
        <v>2020</v>
      </c>
      <c r="C3" s="12" t="n">
        <f aca="false">WEO_Data!B2</f>
        <v>35090.1</v>
      </c>
      <c r="D3" s="12" t="n">
        <v>0</v>
      </c>
      <c r="E3" s="12" t="n">
        <f aca="false">D$30*D3*D$34</f>
        <v>0</v>
      </c>
      <c r="F3" s="12" t="n">
        <f aca="false">E3*D$31</f>
        <v>0</v>
      </c>
      <c r="G3" s="12" t="n">
        <f aca="false">(E3-F3)/WEO_Data!B4*D$32</f>
        <v>0</v>
      </c>
      <c r="H3" s="12" t="n">
        <f aca="false">G3/C3</f>
        <v>0</v>
      </c>
      <c r="I3" s="12" t="n">
        <f aca="false">WEO_Data!B3</f>
        <v>0</v>
      </c>
      <c r="J3" s="13" t="n">
        <f aca="false">I3+H3</f>
        <v>0</v>
      </c>
      <c r="K3" s="14"/>
    </row>
    <row r="4" customFormat="false" ht="12" hidden="false" customHeight="true" outlineLevel="0" collapsed="false">
      <c r="B4" s="15" t="n">
        <v>2021</v>
      </c>
      <c r="C4" s="1" t="n">
        <f aca="false">WEO_Data!C2</f>
        <v>38779.1</v>
      </c>
      <c r="D4" s="1" t="n">
        <v>0</v>
      </c>
      <c r="E4" s="1" t="n">
        <f aca="false">D$30*D4*D$34</f>
        <v>0</v>
      </c>
      <c r="F4" s="1" t="n">
        <f aca="false">E4*D$31</f>
        <v>0</v>
      </c>
      <c r="G4" s="1" t="n">
        <f aca="false">(E4-F4)/WEO_Data!C4*D$32</f>
        <v>0</v>
      </c>
      <c r="H4" s="1" t="n">
        <f aca="false">G4/C4</f>
        <v>0</v>
      </c>
      <c r="I4" s="1" t="n">
        <f aca="false">WEO_Data!C3</f>
        <v>0.105129366972451</v>
      </c>
      <c r="J4" s="2" t="n">
        <f aca="false">I4+H4</f>
        <v>0.105129366972451</v>
      </c>
      <c r="K4" s="16"/>
    </row>
    <row r="5" customFormat="false" ht="12" hidden="false" customHeight="true" outlineLevel="0" collapsed="false">
      <c r="B5" s="15" t="n">
        <v>2022</v>
      </c>
      <c r="C5" s="1" t="n">
        <f aca="false">WEO_Data!D2</f>
        <v>42812.1</v>
      </c>
      <c r="D5" s="1" t="n">
        <v>0</v>
      </c>
      <c r="E5" s="1" t="n">
        <f aca="false">D$30*D5*D$34</f>
        <v>0</v>
      </c>
      <c r="F5" s="1" t="n">
        <f aca="false">E5*D$31</f>
        <v>0</v>
      </c>
      <c r="G5" s="1" t="n">
        <f aca="false">(E5-F5)/WEO_Data!D4*D$32</f>
        <v>0</v>
      </c>
      <c r="H5" s="1" t="n">
        <f aca="false">G5/C5</f>
        <v>0</v>
      </c>
      <c r="I5" s="1" t="n">
        <f aca="false">WEO_Data!D3</f>
        <v>0.103999319220921</v>
      </c>
      <c r="J5" s="2" t="n">
        <f aca="false">I5+H5</f>
        <v>0.103999319220921</v>
      </c>
      <c r="K5" s="16"/>
    </row>
    <row r="6" customFormat="false" ht="12" hidden="false" customHeight="true" outlineLevel="0" collapsed="false">
      <c r="B6" s="15" t="n">
        <v>2023</v>
      </c>
      <c r="C6" s="1" t="n">
        <f aca="false">WEO_Data!E2</f>
        <v>46156.8</v>
      </c>
      <c r="D6" s="1" t="n">
        <v>0</v>
      </c>
      <c r="E6" s="1" t="n">
        <f aca="false">D$30*D6*D$34</f>
        <v>0</v>
      </c>
      <c r="F6" s="1" t="n">
        <f aca="false">E6*D$31</f>
        <v>0</v>
      </c>
      <c r="G6" s="1" t="n">
        <f aca="false">(E6-F6)/WEO_Data!E4*D$32</f>
        <v>0</v>
      </c>
      <c r="H6" s="1" t="n">
        <f aca="false">G6/C6</f>
        <v>0</v>
      </c>
      <c r="I6" s="1" t="n">
        <f aca="false">WEO_Data!E3</f>
        <v>0.0781251094900742</v>
      </c>
      <c r="J6" s="2" t="n">
        <f aca="false">I6+H6</f>
        <v>0.0781251094900742</v>
      </c>
      <c r="K6" s="16"/>
    </row>
    <row r="7" customFormat="false" ht="12" hidden="false" customHeight="true" outlineLevel="0" collapsed="false">
      <c r="B7" s="15" t="n">
        <v>2024</v>
      </c>
      <c r="C7" s="1" t="n">
        <f aca="false">WEO_Data!F2</f>
        <v>50541.696</v>
      </c>
      <c r="D7" s="1" t="n">
        <v>0</v>
      </c>
      <c r="E7" s="1" t="n">
        <f aca="false">D$30*D7*D$34</f>
        <v>0</v>
      </c>
      <c r="F7" s="1" t="n">
        <f aca="false">E7*D$31</f>
        <v>0</v>
      </c>
      <c r="G7" s="1" t="n">
        <f aca="false">(E7-F7)/WEO_Data!F4*D$32</f>
        <v>0</v>
      </c>
      <c r="H7" s="1" t="n">
        <f aca="false">G7/C7</f>
        <v>0</v>
      </c>
      <c r="I7" s="1" t="n">
        <f aca="false">WEO_Data!F3</f>
        <v>0.095</v>
      </c>
      <c r="J7" s="2" t="n">
        <f aca="false">I7+H7</f>
        <v>0.095</v>
      </c>
      <c r="K7" s="16"/>
    </row>
    <row r="8" customFormat="false" ht="12" hidden="false" customHeight="true" outlineLevel="0" collapsed="false">
      <c r="B8" s="15" t="n">
        <v>2025</v>
      </c>
      <c r="C8" s="1" t="n">
        <f aca="false">WEO_Data!G2</f>
        <v>54231.239808</v>
      </c>
      <c r="D8" s="1" t="n">
        <v>0</v>
      </c>
      <c r="E8" s="1" t="n">
        <f aca="false">D$30*D8*D$34</f>
        <v>0</v>
      </c>
      <c r="F8" s="1" t="n">
        <f aca="false">E8*D$31</f>
        <v>0</v>
      </c>
      <c r="G8" s="1" t="n">
        <f aca="false">(E8-F8)/WEO_Data!G4*D$32</f>
        <v>0</v>
      </c>
      <c r="H8" s="1" t="n">
        <f aca="false">G8/C8</f>
        <v>0</v>
      </c>
      <c r="I8" s="1" t="n">
        <f aca="false">WEO_Data!G3</f>
        <v>0.073</v>
      </c>
      <c r="J8" s="2" t="n">
        <f aca="false">I8+H8</f>
        <v>0.073</v>
      </c>
      <c r="K8" s="16"/>
    </row>
    <row r="9" customFormat="false" ht="12" hidden="false" customHeight="true" outlineLevel="0" collapsed="false">
      <c r="B9" s="15" t="n">
        <v>2026</v>
      </c>
      <c r="C9" s="1" t="n">
        <f aca="false">WEO_Data!H2</f>
        <v>57105.495517824</v>
      </c>
      <c r="D9" s="1" t="n">
        <v>0.05</v>
      </c>
      <c r="E9" s="1" t="n">
        <f aca="false">D$30*D9*D$34</f>
        <v>892.45</v>
      </c>
      <c r="F9" s="1" t="n">
        <f aca="false">E9*D$31</f>
        <v>203.168352723506</v>
      </c>
      <c r="G9" s="1" t="n">
        <f aca="false">(E9-F9)/WEO_Data!H4*D$32</f>
        <v>266.135760549784</v>
      </c>
      <c r="H9" s="1" t="n">
        <f aca="false">G9/C9</f>
        <v>0.00466042292666415</v>
      </c>
      <c r="I9" s="1" t="n">
        <f aca="false">WEO_Data!H3</f>
        <v>0.053</v>
      </c>
      <c r="J9" s="17" t="n">
        <f aca="false">I9+H9</f>
        <v>0.0576604229266642</v>
      </c>
      <c r="K9" s="16"/>
    </row>
    <row r="10" customFormat="false" ht="12" hidden="false" customHeight="true" outlineLevel="0" collapsed="false">
      <c r="B10" s="15" t="n">
        <v>2027</v>
      </c>
      <c r="C10" s="1" t="n">
        <f aca="false">WEO_Data!I2</f>
        <v>59960.7702937152</v>
      </c>
      <c r="D10" s="1" t="n">
        <v>0.1</v>
      </c>
      <c r="E10" s="1" t="n">
        <f aca="false">D$30*D10*D$34</f>
        <v>1784.9</v>
      </c>
      <c r="F10" s="1" t="n">
        <f aca="false">E10*D$31</f>
        <v>406.336705447012</v>
      </c>
      <c r="G10" s="1" t="n">
        <f aca="false">(E10-F10)/WEO_Data!I4*D$32</f>
        <v>498.713302444571</v>
      </c>
      <c r="H10" s="1" t="n">
        <f aca="false">G10/C10</f>
        <v>0.00831732647865672</v>
      </c>
      <c r="I10" s="1" t="n">
        <f aca="false">WEO_Data!I3</f>
        <v>0.05</v>
      </c>
      <c r="J10" s="2" t="n">
        <f aca="false">I10+H10</f>
        <v>0.0583173264786567</v>
      </c>
      <c r="K10" s="16"/>
    </row>
    <row r="11" customFormat="false" ht="12" hidden="false" customHeight="true" outlineLevel="0" collapsed="false">
      <c r="B11" s="15" t="n">
        <v>2028</v>
      </c>
      <c r="C11" s="1" t="n">
        <f aca="false">WEO_Data!J2</f>
        <v>62958.808808401</v>
      </c>
      <c r="D11" s="1" t="n">
        <v>0.15</v>
      </c>
      <c r="E11" s="1" t="n">
        <f aca="false">D$30*D11*D$34</f>
        <v>2677.35</v>
      </c>
      <c r="F11" s="1" t="n">
        <f aca="false">E11*D$31</f>
        <v>609.505058170519</v>
      </c>
      <c r="G11" s="1" t="n">
        <f aca="false">(E11-F11)/WEO_Data!J4*D$32</f>
        <v>700.906252286542</v>
      </c>
      <c r="H11" s="1" t="n">
        <f aca="false">G11/C11</f>
        <v>0.0111327749929255</v>
      </c>
      <c r="I11" s="1" t="n">
        <f aca="false">WEO_Data!J3</f>
        <v>0.05</v>
      </c>
      <c r="J11" s="2" t="n">
        <f aca="false">I11+H11</f>
        <v>0.0611327749929255</v>
      </c>
      <c r="K11" s="16"/>
    </row>
    <row r="12" customFormat="false" ht="12" hidden="false" customHeight="true" outlineLevel="0" collapsed="false">
      <c r="B12" s="15" t="n">
        <v>2029</v>
      </c>
      <c r="C12" s="1" t="n">
        <f aca="false">WEO_Data!K2</f>
        <v>66106.749248821</v>
      </c>
      <c r="D12" s="1" t="n">
        <v>0.2</v>
      </c>
      <c r="E12" s="1" t="n">
        <f aca="false">D$30*D12*D$34</f>
        <v>3569.8</v>
      </c>
      <c r="F12" s="1" t="n">
        <f aca="false">E12*D$31</f>
        <v>812.673410894025</v>
      </c>
      <c r="G12" s="1" t="n">
        <f aca="false">(E12-F12)/WEO_Data!K4*D$32</f>
        <v>875.621452398994</v>
      </c>
      <c r="H12" s="1" t="n">
        <f aca="false">G12/C12</f>
        <v>0.0132455681507378</v>
      </c>
      <c r="I12" s="1" t="n">
        <f aca="false">WEO_Data!K3</f>
        <v>0.05</v>
      </c>
      <c r="J12" s="2" t="n">
        <f aca="false">I12+H12</f>
        <v>0.0632455681507378</v>
      </c>
      <c r="K12" s="16"/>
    </row>
    <row r="13" customFormat="false" ht="12" hidden="false" customHeight="true" outlineLevel="0" collapsed="false">
      <c r="B13" s="15" t="n">
        <v>2030</v>
      </c>
      <c r="C13" s="1" t="n">
        <f aca="false">WEO_Data!L2</f>
        <v>69412.0867112621</v>
      </c>
      <c r="D13" s="1" t="n">
        <v>0.2</v>
      </c>
      <c r="E13" s="1" t="n">
        <f aca="false">D$30*D13*D$34</f>
        <v>3569.8</v>
      </c>
      <c r="F13" s="1" t="n">
        <f aca="false">E13*D$31</f>
        <v>812.673410894025</v>
      </c>
      <c r="G13" s="1" t="n">
        <f aca="false">(E13-F13)/WEO_Data!L4*D$32</f>
        <v>820.415988657652</v>
      </c>
      <c r="H13" s="1" t="n">
        <f aca="false">G13/C13</f>
        <v>0.0118194975476013</v>
      </c>
      <c r="I13" s="1" t="n">
        <f aca="false">WEO_Data!L3</f>
        <v>0.05</v>
      </c>
      <c r="J13" s="18" t="n">
        <f aca="false">I13+H13</f>
        <v>0.0618194975476013</v>
      </c>
      <c r="K13" s="16"/>
    </row>
    <row r="14" customFormat="false" ht="12" hidden="false" customHeight="true" outlineLevel="0" collapsed="false">
      <c r="B14" s="15" t="n">
        <v>2031</v>
      </c>
      <c r="C14" s="1" t="n">
        <f aca="false">WEO_Data!M2</f>
        <v>72882.6910468252</v>
      </c>
      <c r="D14" s="1" t="n">
        <v>0.15</v>
      </c>
      <c r="E14" s="1" t="n">
        <f aca="false">D$30*D14*D$34</f>
        <v>2677.35</v>
      </c>
      <c r="F14" s="1" t="n">
        <f aca="false">E14*D$31</f>
        <v>609.505058170519</v>
      </c>
      <c r="G14" s="1" t="n">
        <f aca="false">(E14-F14)/WEO_Data!M4*D$32</f>
        <v>576.518305314209</v>
      </c>
      <c r="H14" s="1" t="n">
        <f aca="false">G14/C14</f>
        <v>0.00791022253752693</v>
      </c>
      <c r="I14" s="1" t="n">
        <f aca="false">WEO_Data!M3</f>
        <v>0.05</v>
      </c>
      <c r="J14" s="18" t="n">
        <f aca="false">I14+H14</f>
        <v>0.0579102225375269</v>
      </c>
      <c r="K14" s="16"/>
    </row>
    <row r="15" customFormat="false" ht="12" hidden="false" customHeight="true" outlineLevel="0" collapsed="false">
      <c r="B15" s="15" t="n">
        <v>2032</v>
      </c>
      <c r="C15" s="1" t="n">
        <f aca="false">WEO_Data!N2</f>
        <v>76526.8255991664</v>
      </c>
      <c r="D15" s="1" t="n">
        <v>0.1</v>
      </c>
      <c r="E15" s="1" t="n">
        <f aca="false">D$30*D15*D$34</f>
        <v>1784.9</v>
      </c>
      <c r="F15" s="1" t="n">
        <f aca="false">E15*D$31</f>
        <v>406.336705447012</v>
      </c>
      <c r="G15" s="1" t="n">
        <f aca="false">(E15-F15)/WEO_Data!N4*D$32</f>
        <v>360.113634446122</v>
      </c>
      <c r="H15" s="1" t="n">
        <f aca="false">G15/C15</f>
        <v>0.00470571765686887</v>
      </c>
      <c r="I15" s="1" t="n">
        <f aca="false">WEO_Data!N3</f>
        <v>0.05</v>
      </c>
      <c r="J15" s="18" t="n">
        <f aca="false">I15+H15</f>
        <v>0.0547057176568689</v>
      </c>
      <c r="K15" s="16"/>
    </row>
    <row r="16" customFormat="false" ht="12" hidden="false" customHeight="true" outlineLevel="0" collapsed="false">
      <c r="B16" s="15" t="n">
        <v>2033</v>
      </c>
      <c r="C16" s="1" t="n">
        <f aca="false">WEO_Data!O2</f>
        <v>80353.1668791248</v>
      </c>
      <c r="D16" s="1" t="n">
        <v>0.05</v>
      </c>
      <c r="E16" s="1" t="n">
        <f aca="false">D$30*D16*D$34</f>
        <v>892.45</v>
      </c>
      <c r="F16" s="1" t="n">
        <f aca="false">E16*D$31</f>
        <v>203.168352723506</v>
      </c>
      <c r="G16" s="1" t="n">
        <f aca="false">(E16-F16)/WEO_Data!O4*D$32</f>
        <v>168.704742570989</v>
      </c>
      <c r="H16" s="1" t="n">
        <f aca="false">G16/C16</f>
        <v>0.00209954067927119</v>
      </c>
      <c r="I16" s="1" t="n">
        <f aca="false">WEO_Data!O3</f>
        <v>0.05</v>
      </c>
      <c r="J16" s="18" t="n">
        <f aca="false">I16+H16</f>
        <v>0.0520995406792712</v>
      </c>
      <c r="K16" s="16"/>
    </row>
    <row r="17" customFormat="false" ht="12" hidden="false" customHeight="true" outlineLevel="0" collapsed="false">
      <c r="B17" s="15" t="n">
        <v>2034</v>
      </c>
      <c r="C17" s="1" t="n">
        <f aca="false">WEO_Data!P2</f>
        <v>84370.825223081</v>
      </c>
      <c r="D17" s="1" t="n">
        <v>0</v>
      </c>
      <c r="E17" s="1" t="n">
        <f aca="false">D$30*D17*D$34</f>
        <v>0</v>
      </c>
      <c r="F17" s="1" t="n">
        <f aca="false">E17*D$31</f>
        <v>0</v>
      </c>
      <c r="G17" s="1" t="n">
        <f aca="false">(E17-F17)/WEO_Data!P4*D$32</f>
        <v>0</v>
      </c>
      <c r="H17" s="1" t="n">
        <f aca="false">G17/C17</f>
        <v>0</v>
      </c>
      <c r="I17" s="1" t="n">
        <f aca="false">WEO_Data!P3</f>
        <v>0.05</v>
      </c>
      <c r="J17" s="18" t="n">
        <f aca="false">I17+H17</f>
        <v>0.05</v>
      </c>
      <c r="K17" s="16"/>
    </row>
    <row r="18" customFormat="false" ht="12" hidden="false" customHeight="true" outlineLevel="0" collapsed="false">
      <c r="B18" s="15" t="n">
        <v>2035</v>
      </c>
      <c r="C18" s="1" t="n">
        <f aca="false">WEO_Data!Q2</f>
        <v>88589.3664842351</v>
      </c>
      <c r="D18" s="1" t="n">
        <v>0</v>
      </c>
      <c r="E18" s="1" t="n">
        <f aca="false">D$30*D18*D$34</f>
        <v>0</v>
      </c>
      <c r="F18" s="1" t="n">
        <f aca="false">E18*D$31</f>
        <v>0</v>
      </c>
      <c r="G18" s="1" t="n">
        <f aca="false">(E18-F18)/WEO_Data!Q4*D$32</f>
        <v>0</v>
      </c>
      <c r="H18" s="1" t="n">
        <f aca="false">G18/C18</f>
        <v>0</v>
      </c>
      <c r="I18" s="1" t="n">
        <f aca="false">WEO_Data!Q3</f>
        <v>0.05</v>
      </c>
      <c r="J18" s="18" t="n">
        <f aca="false">I18+H18</f>
        <v>0.05</v>
      </c>
      <c r="K18" s="16"/>
    </row>
    <row r="19" customFormat="false" ht="12" hidden="false" customHeight="true" outlineLevel="0" collapsed="false">
      <c r="B19" s="15" t="n">
        <v>2036</v>
      </c>
      <c r="C19" s="1" t="n">
        <f aca="false">WEO_Data!R2</f>
        <v>93018.8348084468</v>
      </c>
      <c r="D19" s="1" t="n">
        <v>0</v>
      </c>
      <c r="E19" s="1" t="n">
        <f aca="false">D$30*D19*D$34</f>
        <v>0</v>
      </c>
      <c r="F19" s="1" t="n">
        <f aca="false">E19*D$31</f>
        <v>0</v>
      </c>
      <c r="G19" s="1" t="n">
        <f aca="false">(E19-F19)/WEO_Data!R4*D$32</f>
        <v>0</v>
      </c>
      <c r="H19" s="1" t="n">
        <f aca="false">G19/C19</f>
        <v>0</v>
      </c>
      <c r="I19" s="1" t="n">
        <f aca="false">WEO_Data!R3</f>
        <v>0.05</v>
      </c>
      <c r="J19" s="18" t="n">
        <f aca="false">I19+H19</f>
        <v>0.05</v>
      </c>
      <c r="K19" s="16"/>
    </row>
    <row r="20" customFormat="false" ht="12" hidden="false" customHeight="true" outlineLevel="0" collapsed="false">
      <c r="B20" s="15" t="n">
        <v>2037</v>
      </c>
      <c r="C20" s="1" t="n">
        <f aca="false">WEO_Data!S2</f>
        <v>97669.7765488692</v>
      </c>
      <c r="D20" s="1" t="n">
        <v>0</v>
      </c>
      <c r="E20" s="1" t="n">
        <f aca="false">D$30*D20*D$34</f>
        <v>0</v>
      </c>
      <c r="F20" s="1" t="n">
        <f aca="false">E20*D$31</f>
        <v>0</v>
      </c>
      <c r="G20" s="1" t="n">
        <f aca="false">(E20-F20)/WEO_Data!S4*D$32</f>
        <v>0</v>
      </c>
      <c r="H20" s="1" t="n">
        <f aca="false">G20/C20</f>
        <v>0</v>
      </c>
      <c r="I20" s="1" t="n">
        <f aca="false">WEO_Data!S3</f>
        <v>0.05</v>
      </c>
      <c r="J20" s="18" t="n">
        <f aca="false">I20+H20</f>
        <v>0.05</v>
      </c>
      <c r="K20" s="16"/>
    </row>
    <row r="21" customFormat="false" ht="12" hidden="false" customHeight="true" outlineLevel="0" collapsed="false">
      <c r="B21" s="15" t="n">
        <v>2038</v>
      </c>
      <c r="C21" s="1" t="n">
        <f aca="false">WEO_Data!T2</f>
        <v>102553.265376313</v>
      </c>
      <c r="D21" s="1" t="n">
        <v>0</v>
      </c>
      <c r="E21" s="1" t="n">
        <f aca="false">D$30*D21*D$34</f>
        <v>0</v>
      </c>
      <c r="F21" s="1" t="n">
        <f aca="false">E21*D$31</f>
        <v>0</v>
      </c>
      <c r="G21" s="1" t="n">
        <f aca="false">(E21-F21)/WEO_Data!T4*D$32</f>
        <v>0</v>
      </c>
      <c r="H21" s="1" t="n">
        <f aca="false">G21/C21</f>
        <v>0</v>
      </c>
      <c r="I21" s="1" t="n">
        <f aca="false">WEO_Data!T3</f>
        <v>0.05</v>
      </c>
      <c r="J21" s="18" t="n">
        <f aca="false">I21+H21</f>
        <v>0.05</v>
      </c>
      <c r="K21" s="16"/>
    </row>
    <row r="22" customFormat="false" ht="12" hidden="false" customHeight="true" outlineLevel="0" collapsed="false">
      <c r="B22" s="15" t="n">
        <v>2039</v>
      </c>
      <c r="C22" s="1" t="n">
        <f aca="false">WEO_Data!U2</f>
        <v>107680.928645128</v>
      </c>
      <c r="D22" s="1" t="n">
        <v>0</v>
      </c>
      <c r="E22" s="1" t="n">
        <f aca="false">D$30*D22*D$34</f>
        <v>0</v>
      </c>
      <c r="F22" s="1" t="n">
        <f aca="false">E22*D$31</f>
        <v>0</v>
      </c>
      <c r="G22" s="1" t="n">
        <f aca="false">(E22-F22)/WEO_Data!U4*D$32</f>
        <v>0</v>
      </c>
      <c r="H22" s="1" t="n">
        <f aca="false">G22/C22</f>
        <v>0</v>
      </c>
      <c r="I22" s="1" t="n">
        <f aca="false">WEO_Data!U3</f>
        <v>0.05</v>
      </c>
      <c r="J22" s="18" t="n">
        <f aca="false">I22+H22</f>
        <v>0.05</v>
      </c>
      <c r="K22" s="16"/>
    </row>
    <row r="23" customFormat="false" ht="12" hidden="false" customHeight="true" outlineLevel="0" collapsed="false">
      <c r="B23" s="15" t="n">
        <v>2040</v>
      </c>
      <c r="C23" s="1" t="n">
        <f aca="false">WEO_Data!V2</f>
        <v>113064.975077385</v>
      </c>
      <c r="D23" s="1" t="n">
        <v>0</v>
      </c>
      <c r="E23" s="1" t="n">
        <f aca="false">D$30*D23*D$34</f>
        <v>0</v>
      </c>
      <c r="F23" s="1" t="n">
        <f aca="false">E23*D$31</f>
        <v>0</v>
      </c>
      <c r="G23" s="1" t="n">
        <f aca="false">(E23-F23)/WEO_Data!V4*D$32</f>
        <v>0</v>
      </c>
      <c r="H23" s="1" t="n">
        <f aca="false">G23/C23</f>
        <v>0</v>
      </c>
      <c r="I23" s="1" t="n">
        <f aca="false">WEO_Data!V3</f>
        <v>0.05</v>
      </c>
      <c r="J23" s="18" t="n">
        <f aca="false">I23+H23</f>
        <v>0.05</v>
      </c>
      <c r="K23" s="16"/>
    </row>
    <row r="24" customFormat="false" ht="12" hidden="false" customHeight="true" outlineLevel="0" collapsed="false">
      <c r="B24" s="15" t="n">
        <v>2041</v>
      </c>
      <c r="C24" s="1" t="n">
        <f aca="false">WEO_Data!W2</f>
        <v>118718.223831254</v>
      </c>
      <c r="D24" s="1" t="n">
        <v>0</v>
      </c>
      <c r="E24" s="1" t="n">
        <f aca="false">D$30*D24*D$34</f>
        <v>0</v>
      </c>
      <c r="F24" s="1" t="n">
        <f aca="false">E24*D$31</f>
        <v>0</v>
      </c>
      <c r="G24" s="1" t="n">
        <f aca="false">(E24-F24)/WEO_Data!W4*D$32</f>
        <v>0</v>
      </c>
      <c r="H24" s="1" t="n">
        <f aca="false">G24/C24</f>
        <v>0</v>
      </c>
      <c r="I24" s="1" t="n">
        <f aca="false">WEO_Data!W3</f>
        <v>0.05</v>
      </c>
      <c r="J24" s="18" t="n">
        <f aca="false">I24+H24</f>
        <v>0.05</v>
      </c>
      <c r="K24" s="16"/>
    </row>
    <row r="25" customFormat="false" ht="12" hidden="false" customHeight="true" outlineLevel="0" collapsed="false">
      <c r="B25" s="19" t="n">
        <v>2042</v>
      </c>
      <c r="C25" s="20" t="n">
        <f aca="false">WEO_Data!X2</f>
        <v>124654.135022817</v>
      </c>
      <c r="D25" s="20" t="n">
        <v>0</v>
      </c>
      <c r="E25" s="20" t="n">
        <f aca="false">D$30*D25*D$34</f>
        <v>0</v>
      </c>
      <c r="F25" s="20" t="n">
        <f aca="false">E25*D$31</f>
        <v>0</v>
      </c>
      <c r="G25" s="20" t="n">
        <f aca="false">(E25-F25)/WEO_Data!X4*D$32</f>
        <v>0</v>
      </c>
      <c r="H25" s="20" t="n">
        <f aca="false">G25/C25</f>
        <v>0</v>
      </c>
      <c r="I25" s="20" t="n">
        <f aca="false">WEO_Data!X3</f>
        <v>0.05</v>
      </c>
      <c r="J25" s="21" t="n">
        <f aca="false">I25+H25</f>
        <v>0.05</v>
      </c>
      <c r="K25" s="22"/>
    </row>
    <row r="28" customFormat="false" ht="12" hidden="false" customHeight="true" outlineLevel="0" collapsed="false">
      <c r="C28" s="23" t="s">
        <v>11</v>
      </c>
      <c r="D28" s="24"/>
      <c r="E28" s="25"/>
      <c r="F28" s="25"/>
      <c r="G28" s="25"/>
      <c r="H28" s="25"/>
      <c r="I28" s="25"/>
      <c r="J28" s="26"/>
      <c r="K28" s="27"/>
    </row>
    <row r="29" customFormat="false" ht="12" hidden="false" customHeight="true" outlineLevel="0" collapsed="false">
      <c r="C29" s="15"/>
      <c r="K29" s="16"/>
    </row>
    <row r="30" customFormat="false" ht="12" hidden="false" customHeight="true" outlineLevel="0" collapsed="false">
      <c r="C30" s="15" t="s">
        <v>12</v>
      </c>
      <c r="D30" s="1" t="n">
        <v>6500</v>
      </c>
      <c r="K30" s="16"/>
    </row>
    <row r="31" customFormat="false" ht="12" hidden="false" customHeight="true" outlineLevel="0" collapsed="false">
      <c r="C31" s="15" t="s">
        <v>13</v>
      </c>
      <c r="D31" s="28" t="n">
        <f aca="false">'SUT Calc'!C46</f>
        <v>0.227652364528552</v>
      </c>
      <c r="K31" s="16"/>
    </row>
    <row r="32" customFormat="false" ht="12" hidden="false" customHeight="true" outlineLevel="0" collapsed="false">
      <c r="C32" s="15" t="s">
        <v>14</v>
      </c>
      <c r="D32" s="29" t="n">
        <v>0.8</v>
      </c>
      <c r="K32" s="16"/>
    </row>
    <row r="33" customFormat="false" ht="12" hidden="false" customHeight="true" outlineLevel="0" collapsed="false">
      <c r="C33" s="19" t="s">
        <v>15</v>
      </c>
      <c r="D33" s="20" t="s">
        <v>16</v>
      </c>
      <c r="E33" s="20"/>
      <c r="F33" s="20"/>
      <c r="G33" s="20"/>
      <c r="H33" s="20"/>
      <c r="I33" s="20"/>
      <c r="J33" s="30"/>
      <c r="K33" s="22"/>
    </row>
    <row r="34" customFormat="false" ht="12" hidden="false" customHeight="true" outlineLevel="0" collapsed="false">
      <c r="D34" s="1" t="n">
        <v>2.746</v>
      </c>
    </row>
    <row r="48" customFormat="false" ht="12" hidden="false" customHeight="true" outlineLevel="0" collapsed="false">
      <c r="B48" s="1" t="s">
        <v>17</v>
      </c>
    </row>
    <row r="49" customFormat="false" ht="12" hidden="false" customHeight="true" outlineLevel="0" collapsed="false">
      <c r="B49" s="1" t="s">
        <v>0</v>
      </c>
      <c r="C49" s="1" t="s">
        <v>1</v>
      </c>
      <c r="D49" s="1" t="s">
        <v>2</v>
      </c>
      <c r="E49" s="1" t="s">
        <v>3</v>
      </c>
      <c r="F49" s="1" t="s">
        <v>4</v>
      </c>
      <c r="G49" s="1" t="s">
        <v>5</v>
      </c>
      <c r="H49" s="1" t="s">
        <v>10</v>
      </c>
      <c r="I49" s="1" t="s">
        <v>6</v>
      </c>
      <c r="J49" s="2" t="s">
        <v>7</v>
      </c>
    </row>
    <row r="50" customFormat="false" ht="12" hidden="false" customHeight="true" outlineLevel="0" collapsed="false">
      <c r="B50" s="1" t="n">
        <v>2020</v>
      </c>
      <c r="C50" s="1" t="n">
        <f aca="false">WEO_Data!B2</f>
        <v>35090.1</v>
      </c>
      <c r="D50" s="1" t="n">
        <v>0</v>
      </c>
      <c r="E50" s="1" t="n">
        <f aca="false">$D$79*D50*$D$83</f>
        <v>0</v>
      </c>
      <c r="F50" s="1" t="n">
        <f aca="false">E50*$D$80</f>
        <v>0</v>
      </c>
      <c r="G50" s="1" t="n">
        <f aca="false">(E50-F50)/WEO_Data!B4*$D$81</f>
        <v>0</v>
      </c>
      <c r="H50" s="1" t="n">
        <f aca="false">G50/C50</f>
        <v>0</v>
      </c>
      <c r="I50" s="1" t="n">
        <f aca="false">WEO_Data!B3</f>
        <v>0</v>
      </c>
      <c r="J50" s="2" t="n">
        <f aca="false">I50+H50</f>
        <v>0</v>
      </c>
    </row>
    <row r="51" customFormat="false" ht="12" hidden="false" customHeight="true" outlineLevel="0" collapsed="false">
      <c r="B51" s="1" t="n">
        <v>2021</v>
      </c>
      <c r="C51" s="1" t="n">
        <f aca="false">WEO_Data!C2</f>
        <v>38779.1</v>
      </c>
      <c r="D51" s="1" t="n">
        <v>0</v>
      </c>
      <c r="E51" s="1" t="n">
        <f aca="false">$D$79*D51*$D$83</f>
        <v>0</v>
      </c>
      <c r="F51" s="1" t="n">
        <f aca="false">E51*$D$80</f>
        <v>0</v>
      </c>
      <c r="G51" s="1" t="n">
        <f aca="false">(E51-F51)/WEO_Data!C4*$D$81</f>
        <v>0</v>
      </c>
      <c r="H51" s="1" t="n">
        <f aca="false">G51/C51</f>
        <v>0</v>
      </c>
      <c r="I51" s="1" t="n">
        <f aca="false">WEO_Data!C3</f>
        <v>0.105129366972451</v>
      </c>
      <c r="J51" s="2" t="n">
        <f aca="false">I51+H51</f>
        <v>0.105129366972451</v>
      </c>
    </row>
    <row r="52" customFormat="false" ht="12" hidden="false" customHeight="true" outlineLevel="0" collapsed="false">
      <c r="B52" s="1" t="n">
        <v>2022</v>
      </c>
      <c r="C52" s="1" t="n">
        <f aca="false">WEO_Data!D2</f>
        <v>42812.1</v>
      </c>
      <c r="D52" s="1" t="n">
        <v>0</v>
      </c>
      <c r="E52" s="1" t="n">
        <f aca="false">$D$79*D52*$D$83</f>
        <v>0</v>
      </c>
      <c r="F52" s="1" t="n">
        <f aca="false">E52*$D$80</f>
        <v>0</v>
      </c>
      <c r="G52" s="1" t="n">
        <f aca="false">(E52-F52)/WEO_Data!D4*$D$81</f>
        <v>0</v>
      </c>
      <c r="H52" s="1" t="n">
        <f aca="false">G52/C52</f>
        <v>0</v>
      </c>
      <c r="I52" s="1" t="n">
        <f aca="false">WEO_Data!D3</f>
        <v>0.103999319220921</v>
      </c>
      <c r="J52" s="2" t="n">
        <f aca="false">I52+H52</f>
        <v>0.103999319220921</v>
      </c>
    </row>
    <row r="53" customFormat="false" ht="12" hidden="false" customHeight="true" outlineLevel="0" collapsed="false">
      <c r="B53" s="1" t="n">
        <v>2023</v>
      </c>
      <c r="C53" s="1" t="n">
        <f aca="false">WEO_Data!E2</f>
        <v>46156.8</v>
      </c>
      <c r="D53" s="1" t="n">
        <v>0</v>
      </c>
      <c r="E53" s="1" t="n">
        <f aca="false">$D$79*D53*$D$83</f>
        <v>0</v>
      </c>
      <c r="F53" s="1" t="n">
        <f aca="false">E53*$D$80</f>
        <v>0</v>
      </c>
      <c r="G53" s="1" t="n">
        <f aca="false">(E53-F53)/WEO_Data!E4*$D$81</f>
        <v>0</v>
      </c>
      <c r="H53" s="1" t="n">
        <f aca="false">G53/C53</f>
        <v>0</v>
      </c>
      <c r="I53" s="1" t="n">
        <f aca="false">WEO_Data!E3</f>
        <v>0.0781251094900742</v>
      </c>
      <c r="J53" s="2" t="n">
        <f aca="false">I53+H53</f>
        <v>0.0781251094900742</v>
      </c>
    </row>
    <row r="54" customFormat="false" ht="12" hidden="false" customHeight="true" outlineLevel="0" collapsed="false">
      <c r="B54" s="1" t="n">
        <v>2024</v>
      </c>
      <c r="C54" s="1" t="n">
        <f aca="false">WEO_Data!F2</f>
        <v>50541.696</v>
      </c>
      <c r="D54" s="1" t="n">
        <v>0</v>
      </c>
      <c r="E54" s="1" t="n">
        <f aca="false">$D$79*D54*$D$83</f>
        <v>0</v>
      </c>
      <c r="F54" s="1" t="n">
        <f aca="false">E54*$D$80</f>
        <v>0</v>
      </c>
      <c r="G54" s="1" t="n">
        <f aca="false">(E54-F54)/WEO_Data!F4*$D$81</f>
        <v>0</v>
      </c>
      <c r="H54" s="1" t="n">
        <f aca="false">G54/C54</f>
        <v>0</v>
      </c>
      <c r="I54" s="1" t="n">
        <f aca="false">WEO_Data!F3</f>
        <v>0.095</v>
      </c>
      <c r="J54" s="2" t="n">
        <f aca="false">I54+H54</f>
        <v>0.095</v>
      </c>
    </row>
    <row r="55" customFormat="false" ht="12" hidden="false" customHeight="true" outlineLevel="0" collapsed="false">
      <c r="B55" s="1" t="n">
        <v>2025</v>
      </c>
      <c r="C55" s="1" t="n">
        <f aca="false">WEO_Data!G2</f>
        <v>54231.239808</v>
      </c>
      <c r="D55" s="1" t="n">
        <v>0</v>
      </c>
      <c r="E55" s="1" t="n">
        <f aca="false">$D$79*D55*$D$83</f>
        <v>0</v>
      </c>
      <c r="F55" s="1" t="n">
        <f aca="false">E55*$D$80</f>
        <v>0</v>
      </c>
      <c r="G55" s="1" t="n">
        <f aca="false">(E55-F55)/WEO_Data!G4*$D$81</f>
        <v>0</v>
      </c>
      <c r="H55" s="1" t="n">
        <f aca="false">G55/C55</f>
        <v>0</v>
      </c>
      <c r="I55" s="1" t="n">
        <f aca="false">WEO_Data!G3</f>
        <v>0.073</v>
      </c>
      <c r="J55" s="2" t="n">
        <f aca="false">I55+H55</f>
        <v>0.073</v>
      </c>
    </row>
    <row r="56" customFormat="false" ht="12" hidden="false" customHeight="true" outlineLevel="0" collapsed="false">
      <c r="B56" s="1" t="n">
        <v>2026</v>
      </c>
      <c r="C56" s="1" t="n">
        <f aca="false">WEO_Data!H2</f>
        <v>57105.495517824</v>
      </c>
      <c r="D56" s="1" t="n">
        <v>0.05</v>
      </c>
      <c r="E56" s="1" t="n">
        <f aca="false">$D$79*D56*$D$83</f>
        <v>892.45</v>
      </c>
      <c r="F56" s="1" t="n">
        <f aca="false">E56*$D$80</f>
        <v>203.168352723506</v>
      </c>
      <c r="G56" s="1" t="n">
        <f aca="false">(E56-F56)/WEO_Data!H4*$D$81</f>
        <v>332.66970068723</v>
      </c>
      <c r="H56" s="1" t="n">
        <f aca="false">G56/C56</f>
        <v>0.00582552865833019</v>
      </c>
      <c r="I56" s="1" t="n">
        <f aca="false">WEO_Data!H3</f>
        <v>0.053</v>
      </c>
      <c r="J56" s="2" t="n">
        <f aca="false">I56+H56</f>
        <v>0.0588255286583302</v>
      </c>
    </row>
    <row r="57" customFormat="false" ht="12" hidden="false" customHeight="true" outlineLevel="0" collapsed="false">
      <c r="B57" s="1" t="n">
        <v>2027</v>
      </c>
      <c r="C57" s="1" t="n">
        <f aca="false">WEO_Data!I2</f>
        <v>59960.7702937152</v>
      </c>
      <c r="D57" s="1" t="n">
        <v>0.1</v>
      </c>
      <c r="E57" s="1" t="n">
        <f aca="false">$D$79*D57*$D$83</f>
        <v>1784.9</v>
      </c>
      <c r="F57" s="1" t="n">
        <f aca="false">E57*$D$80</f>
        <v>406.336705447012</v>
      </c>
      <c r="G57" s="1" t="n">
        <f aca="false">(E57-F57)/WEO_Data!I4*$D$81</f>
        <v>623.391628055714</v>
      </c>
      <c r="H57" s="1" t="n">
        <f aca="false">G57/C57</f>
        <v>0.0103966580983209</v>
      </c>
      <c r="I57" s="1" t="n">
        <f aca="false">WEO_Data!I3</f>
        <v>0.05</v>
      </c>
      <c r="J57" s="2" t="n">
        <f aca="false">I57+H57</f>
        <v>0.0603966580983209</v>
      </c>
    </row>
    <row r="58" customFormat="false" ht="12" hidden="false" customHeight="true" outlineLevel="0" collapsed="false">
      <c r="B58" s="1" t="n">
        <v>2028</v>
      </c>
      <c r="C58" s="1" t="n">
        <f aca="false">WEO_Data!J2</f>
        <v>62958.808808401</v>
      </c>
      <c r="D58" s="1" t="n">
        <v>0.15</v>
      </c>
      <c r="E58" s="1" t="n">
        <f aca="false">$D$79*D58*$D$83</f>
        <v>2677.35</v>
      </c>
      <c r="F58" s="1" t="n">
        <f aca="false">E58*$D$80</f>
        <v>609.505058170519</v>
      </c>
      <c r="G58" s="1" t="n">
        <f aca="false">(E58-F58)/WEO_Data!J4*$D$81</f>
        <v>876.132815358178</v>
      </c>
      <c r="H58" s="1" t="n">
        <f aca="false">G58/C58</f>
        <v>0.0139159687411568</v>
      </c>
      <c r="I58" s="1" t="n">
        <f aca="false">WEO_Data!J3</f>
        <v>0.05</v>
      </c>
      <c r="J58" s="2" t="n">
        <f aca="false">I58+H58</f>
        <v>0.0639159687411568</v>
      </c>
    </row>
    <row r="59" customFormat="false" ht="12" hidden="false" customHeight="true" outlineLevel="0" collapsed="false">
      <c r="B59" s="1" t="n">
        <v>2029</v>
      </c>
      <c r="C59" s="1" t="n">
        <f aca="false">WEO_Data!K2</f>
        <v>66106.749248821</v>
      </c>
      <c r="D59" s="1" t="n">
        <v>0.2</v>
      </c>
      <c r="E59" s="1" t="n">
        <f aca="false">$D$79*D59*$D$83</f>
        <v>3569.8</v>
      </c>
      <c r="F59" s="1" t="n">
        <f aca="false">E59*$D$80</f>
        <v>812.673410894025</v>
      </c>
      <c r="G59" s="1" t="n">
        <f aca="false">(E59-F59)/WEO_Data!K4*$D$81</f>
        <v>1094.52681549874</v>
      </c>
      <c r="H59" s="1" t="n">
        <f aca="false">G59/C59</f>
        <v>0.0165569601884223</v>
      </c>
      <c r="I59" s="1" t="n">
        <f aca="false">WEO_Data!K3</f>
        <v>0.05</v>
      </c>
      <c r="J59" s="2" t="n">
        <f aca="false">I59+H59</f>
        <v>0.0665569601884223</v>
      </c>
    </row>
    <row r="60" customFormat="false" ht="12" hidden="false" customHeight="true" outlineLevel="0" collapsed="false">
      <c r="B60" s="1" t="n">
        <v>2030</v>
      </c>
      <c r="C60" s="1" t="n">
        <f aca="false">WEO_Data!L2</f>
        <v>69412.0867112621</v>
      </c>
      <c r="D60" s="1" t="n">
        <v>0.2</v>
      </c>
      <c r="E60" s="1" t="n">
        <f aca="false">$D$79*D60*$D$83</f>
        <v>3569.8</v>
      </c>
      <c r="F60" s="1" t="n">
        <f aca="false">E60*$D$80</f>
        <v>812.673410894025</v>
      </c>
      <c r="G60" s="1" t="n">
        <f aca="false">(E60-F60)/WEO_Data!L4*$D$81</f>
        <v>1025.51998582206</v>
      </c>
      <c r="H60" s="1" t="n">
        <f aca="false">G60/C60</f>
        <v>0.0147743719345016</v>
      </c>
      <c r="I60" s="1" t="n">
        <f aca="false">WEO_Data!L3</f>
        <v>0.05</v>
      </c>
      <c r="J60" s="2" t="n">
        <f aca="false">I60+H60</f>
        <v>0.0647743719345016</v>
      </c>
    </row>
    <row r="61" customFormat="false" ht="12" hidden="false" customHeight="true" outlineLevel="0" collapsed="false">
      <c r="B61" s="1" t="n">
        <v>2031</v>
      </c>
      <c r="C61" s="1" t="n">
        <f aca="false">WEO_Data!M2</f>
        <v>72882.6910468252</v>
      </c>
      <c r="D61" s="1" t="n">
        <v>0.15</v>
      </c>
      <c r="E61" s="1" t="n">
        <f aca="false">$D$79*D61*$D$83</f>
        <v>2677.35</v>
      </c>
      <c r="F61" s="1" t="n">
        <f aca="false">E61*$D$80</f>
        <v>609.505058170519</v>
      </c>
      <c r="G61" s="1" t="n">
        <f aca="false">(E61-F61)/WEO_Data!M4*$D$81</f>
        <v>720.647881642761</v>
      </c>
      <c r="H61" s="1" t="n">
        <f aca="false">G61/C61</f>
        <v>0.00988777817190866</v>
      </c>
      <c r="I61" s="1" t="n">
        <f aca="false">WEO_Data!M3</f>
        <v>0.05</v>
      </c>
      <c r="J61" s="2" t="n">
        <f aca="false">I61+H61</f>
        <v>0.0598877781719087</v>
      </c>
    </row>
    <row r="62" customFormat="false" ht="12" hidden="false" customHeight="true" outlineLevel="0" collapsed="false">
      <c r="B62" s="1" t="n">
        <v>2032</v>
      </c>
      <c r="C62" s="1" t="n">
        <f aca="false">WEO_Data!N2</f>
        <v>76526.8255991664</v>
      </c>
      <c r="D62" s="1" t="n">
        <v>0.1</v>
      </c>
      <c r="E62" s="1" t="n">
        <f aca="false">$D$79*D62*$D$83</f>
        <v>1784.9</v>
      </c>
      <c r="F62" s="1" t="n">
        <f aca="false">E62*$D$80</f>
        <v>406.336705447012</v>
      </c>
      <c r="G62" s="1" t="n">
        <f aca="false">(E62-F62)/WEO_Data!N4*$D$81</f>
        <v>450.142043057652</v>
      </c>
      <c r="H62" s="1" t="n">
        <f aca="false">G62/C62</f>
        <v>0.00588214707108608</v>
      </c>
      <c r="I62" s="1" t="n">
        <f aca="false">WEO_Data!N3</f>
        <v>0.05</v>
      </c>
      <c r="J62" s="2" t="n">
        <f aca="false">I62+H62</f>
        <v>0.0558821470710861</v>
      </c>
    </row>
    <row r="63" customFormat="false" ht="12" hidden="false" customHeight="true" outlineLevel="0" collapsed="false">
      <c r="B63" s="1" t="n">
        <v>2033</v>
      </c>
      <c r="C63" s="1" t="n">
        <f aca="false">WEO_Data!O2</f>
        <v>80353.1668791248</v>
      </c>
      <c r="D63" s="1" t="n">
        <v>0.05</v>
      </c>
      <c r="E63" s="1" t="n">
        <f aca="false">$D$79*D63*$D$83</f>
        <v>892.45</v>
      </c>
      <c r="F63" s="1" t="n">
        <f aca="false">E63*$D$80</f>
        <v>203.168352723506</v>
      </c>
      <c r="G63" s="1" t="n">
        <f aca="false">(E63-F63)/WEO_Data!O4*$D$81</f>
        <v>210.880928213736</v>
      </c>
      <c r="H63" s="1" t="n">
        <f aca="false">G63/C63</f>
        <v>0.00262442584908899</v>
      </c>
      <c r="I63" s="1" t="n">
        <f aca="false">WEO_Data!O3</f>
        <v>0.05</v>
      </c>
      <c r="J63" s="2" t="n">
        <f aca="false">I63+H63</f>
        <v>0.052624425849089</v>
      </c>
    </row>
    <row r="64" customFormat="false" ht="12" hidden="false" customHeight="true" outlineLevel="0" collapsed="false">
      <c r="B64" s="1" t="n">
        <v>2034</v>
      </c>
      <c r="C64" s="1" t="n">
        <f aca="false">WEO_Data!P2</f>
        <v>84370.825223081</v>
      </c>
      <c r="D64" s="1" t="n">
        <v>0</v>
      </c>
      <c r="E64" s="1" t="n">
        <f aca="false">$D$79*D64*$D$83</f>
        <v>0</v>
      </c>
      <c r="F64" s="1" t="n">
        <f aca="false">E64*$D$80</f>
        <v>0</v>
      </c>
      <c r="G64" s="1" t="n">
        <f aca="false">(E64-F64)/WEO_Data!P4*$D$81</f>
        <v>0</v>
      </c>
      <c r="H64" s="1" t="n">
        <f aca="false">G64/C64</f>
        <v>0</v>
      </c>
      <c r="I64" s="1" t="n">
        <f aca="false">WEO_Data!P3</f>
        <v>0.05</v>
      </c>
      <c r="J64" s="2" t="n">
        <f aca="false">I64+H64</f>
        <v>0.05</v>
      </c>
    </row>
    <row r="65" customFormat="false" ht="12" hidden="false" customHeight="true" outlineLevel="0" collapsed="false">
      <c r="B65" s="1" t="n">
        <v>2035</v>
      </c>
      <c r="C65" s="1" t="n">
        <f aca="false">WEO_Data!Q2</f>
        <v>88589.3664842351</v>
      </c>
      <c r="D65" s="1" t="n">
        <v>0</v>
      </c>
      <c r="E65" s="1" t="n">
        <f aca="false">$D$79*D65*$D$83</f>
        <v>0</v>
      </c>
      <c r="F65" s="1" t="n">
        <f aca="false">E65*$D$80</f>
        <v>0</v>
      </c>
      <c r="G65" s="1" t="n">
        <f aca="false">(E65-F65)/WEO_Data!Q4*$D$81</f>
        <v>0</v>
      </c>
      <c r="H65" s="1" t="n">
        <f aca="false">G65/C65</f>
        <v>0</v>
      </c>
      <c r="I65" s="1" t="n">
        <f aca="false">WEO_Data!Q3</f>
        <v>0.05</v>
      </c>
      <c r="J65" s="2" t="n">
        <f aca="false">I65+H65</f>
        <v>0.05</v>
      </c>
    </row>
    <row r="66" customFormat="false" ht="12" hidden="false" customHeight="true" outlineLevel="0" collapsed="false">
      <c r="B66" s="1" t="n">
        <v>2036</v>
      </c>
      <c r="C66" s="1" t="n">
        <f aca="false">WEO_Data!R2</f>
        <v>93018.8348084468</v>
      </c>
      <c r="D66" s="1" t="n">
        <v>0</v>
      </c>
      <c r="E66" s="1" t="n">
        <f aca="false">$D$79*D66*$D$83</f>
        <v>0</v>
      </c>
      <c r="F66" s="1" t="n">
        <f aca="false">E66*$D$80</f>
        <v>0</v>
      </c>
      <c r="G66" s="1" t="n">
        <f aca="false">(E66-F66)/WEO_Data!R4*$D$81</f>
        <v>0</v>
      </c>
      <c r="H66" s="1" t="n">
        <f aca="false">G66/C66</f>
        <v>0</v>
      </c>
      <c r="I66" s="1" t="n">
        <f aca="false">WEO_Data!R3</f>
        <v>0.05</v>
      </c>
      <c r="J66" s="2" t="n">
        <f aca="false">I66+H66</f>
        <v>0.05</v>
      </c>
    </row>
    <row r="67" customFormat="false" ht="12" hidden="false" customHeight="true" outlineLevel="0" collapsed="false">
      <c r="B67" s="1" t="n">
        <v>2037</v>
      </c>
      <c r="C67" s="1" t="n">
        <f aca="false">WEO_Data!S2</f>
        <v>97669.7765488692</v>
      </c>
      <c r="D67" s="1" t="n">
        <v>0</v>
      </c>
      <c r="E67" s="1" t="n">
        <f aca="false">$D$79*D67*$D$83</f>
        <v>0</v>
      </c>
      <c r="F67" s="1" t="n">
        <f aca="false">E67*$D$80</f>
        <v>0</v>
      </c>
      <c r="G67" s="1" t="n">
        <f aca="false">(E67-F67)/WEO_Data!S4*$D$81</f>
        <v>0</v>
      </c>
      <c r="H67" s="1" t="n">
        <f aca="false">G67/C67</f>
        <v>0</v>
      </c>
      <c r="I67" s="1" t="n">
        <f aca="false">WEO_Data!S3</f>
        <v>0.05</v>
      </c>
      <c r="J67" s="2" t="n">
        <f aca="false">I67+H67</f>
        <v>0.05</v>
      </c>
    </row>
    <row r="68" customFormat="false" ht="12" hidden="false" customHeight="true" outlineLevel="0" collapsed="false">
      <c r="B68" s="1" t="n">
        <v>2038</v>
      </c>
      <c r="C68" s="1" t="n">
        <f aca="false">WEO_Data!T2</f>
        <v>102553.265376313</v>
      </c>
      <c r="D68" s="1" t="n">
        <v>0</v>
      </c>
      <c r="E68" s="1" t="n">
        <f aca="false">$D$79*D68*$D$83</f>
        <v>0</v>
      </c>
      <c r="F68" s="1" t="n">
        <f aca="false">E68*$D$80</f>
        <v>0</v>
      </c>
      <c r="G68" s="1" t="n">
        <f aca="false">(E68-F68)/WEO_Data!T4*$D$81</f>
        <v>0</v>
      </c>
      <c r="H68" s="1" t="n">
        <f aca="false">G68/C68</f>
        <v>0</v>
      </c>
      <c r="I68" s="1" t="n">
        <f aca="false">WEO_Data!T3</f>
        <v>0.05</v>
      </c>
      <c r="J68" s="2" t="n">
        <f aca="false">I68+H68</f>
        <v>0.05</v>
      </c>
    </row>
    <row r="69" customFormat="false" ht="12" hidden="false" customHeight="true" outlineLevel="0" collapsed="false">
      <c r="B69" s="1" t="n">
        <v>2039</v>
      </c>
      <c r="C69" s="1" t="n">
        <f aca="false">WEO_Data!U2</f>
        <v>107680.928645128</v>
      </c>
      <c r="D69" s="1" t="n">
        <v>0</v>
      </c>
      <c r="E69" s="1" t="n">
        <f aca="false">$D$79*D69*$D$83</f>
        <v>0</v>
      </c>
      <c r="F69" s="1" t="n">
        <f aca="false">E69*$D$80</f>
        <v>0</v>
      </c>
      <c r="G69" s="1" t="n">
        <f aca="false">(E69-F69)/WEO_Data!U4*$D$81</f>
        <v>0</v>
      </c>
      <c r="H69" s="1" t="n">
        <f aca="false">G69/C69</f>
        <v>0</v>
      </c>
      <c r="I69" s="1" t="n">
        <f aca="false">WEO_Data!U3</f>
        <v>0.05</v>
      </c>
      <c r="J69" s="2" t="n">
        <f aca="false">I69+H69</f>
        <v>0.05</v>
      </c>
    </row>
    <row r="70" customFormat="false" ht="12" hidden="false" customHeight="true" outlineLevel="0" collapsed="false">
      <c r="B70" s="1" t="n">
        <v>2040</v>
      </c>
      <c r="C70" s="1" t="n">
        <f aca="false">WEO_Data!V2</f>
        <v>113064.975077385</v>
      </c>
      <c r="D70" s="1" t="n">
        <v>0</v>
      </c>
      <c r="E70" s="1" t="n">
        <f aca="false">$D$79*D70*$D$83</f>
        <v>0</v>
      </c>
      <c r="F70" s="1" t="n">
        <f aca="false">E70*$D$80</f>
        <v>0</v>
      </c>
      <c r="G70" s="1" t="n">
        <f aca="false">(E70-F70)/WEO_Data!V4*$D$81</f>
        <v>0</v>
      </c>
      <c r="H70" s="1" t="n">
        <f aca="false">G70/C70</f>
        <v>0</v>
      </c>
      <c r="I70" s="1" t="n">
        <f aca="false">WEO_Data!V3</f>
        <v>0.05</v>
      </c>
      <c r="J70" s="2" t="n">
        <f aca="false">I70+H70</f>
        <v>0.05</v>
      </c>
    </row>
    <row r="71" customFormat="false" ht="12" hidden="false" customHeight="true" outlineLevel="0" collapsed="false">
      <c r="B71" s="1" t="n">
        <v>2041</v>
      </c>
      <c r="C71" s="1" t="n">
        <f aca="false">WEO_Data!W2</f>
        <v>118718.223831254</v>
      </c>
      <c r="D71" s="1" t="n">
        <v>0</v>
      </c>
      <c r="E71" s="1" t="n">
        <f aca="false">$D$79*D71*$D$83</f>
        <v>0</v>
      </c>
      <c r="F71" s="1" t="n">
        <f aca="false">E71*$D$80</f>
        <v>0</v>
      </c>
      <c r="G71" s="1" t="n">
        <f aca="false">(E71-F71)/WEO_Data!W4*$D$81</f>
        <v>0</v>
      </c>
      <c r="H71" s="1" t="n">
        <f aca="false">G71/C71</f>
        <v>0</v>
      </c>
      <c r="I71" s="1" t="n">
        <f aca="false">WEO_Data!W3</f>
        <v>0.05</v>
      </c>
      <c r="J71" s="2" t="n">
        <f aca="false">I71+H71</f>
        <v>0.05</v>
      </c>
    </row>
    <row r="72" customFormat="false" ht="12" hidden="false" customHeight="true" outlineLevel="0" collapsed="false">
      <c r="B72" s="1" t="n">
        <v>2042</v>
      </c>
      <c r="C72" s="1" t="n">
        <f aca="false">WEO_Data!X2</f>
        <v>124654.135022817</v>
      </c>
      <c r="D72" s="1" t="n">
        <v>0</v>
      </c>
      <c r="E72" s="1" t="n">
        <f aca="false">$D$79*D72*$D$83</f>
        <v>0</v>
      </c>
      <c r="F72" s="1" t="n">
        <f aca="false">E72*$D$80</f>
        <v>0</v>
      </c>
      <c r="G72" s="1" t="n">
        <f aca="false">(E72-F72)/WEO_Data!X4*$D$81</f>
        <v>0</v>
      </c>
      <c r="H72" s="1" t="n">
        <f aca="false">G72/C72</f>
        <v>0</v>
      </c>
      <c r="I72" s="1" t="n">
        <f aca="false">WEO_Data!X3</f>
        <v>0.05</v>
      </c>
      <c r="J72" s="2" t="n">
        <f aca="false">I72+H72</f>
        <v>0.05</v>
      </c>
    </row>
    <row r="77" customFormat="false" ht="12" hidden="false" customHeight="true" outlineLevel="0" collapsed="false">
      <c r="C77" s="1" t="s">
        <v>11</v>
      </c>
    </row>
    <row r="79" customFormat="false" ht="12" hidden="false" customHeight="true" outlineLevel="0" collapsed="false">
      <c r="C79" s="1" t="s">
        <v>12</v>
      </c>
      <c r="D79" s="1" t="n">
        <v>6500</v>
      </c>
    </row>
    <row r="80" customFormat="false" ht="12" hidden="false" customHeight="true" outlineLevel="0" collapsed="false">
      <c r="C80" s="1" t="s">
        <v>13</v>
      </c>
      <c r="D80" s="1" t="n">
        <f aca="false">'SUT Calc'!C46</f>
        <v>0.227652364528552</v>
      </c>
    </row>
    <row r="81" customFormat="false" ht="12" hidden="false" customHeight="true" outlineLevel="0" collapsed="false">
      <c r="C81" s="1" t="s">
        <v>14</v>
      </c>
      <c r="D81" s="1" t="n">
        <v>1</v>
      </c>
    </row>
    <row r="82" customFormat="false" ht="12" hidden="false" customHeight="true" outlineLevel="0" collapsed="false">
      <c r="C82" s="1" t="s">
        <v>15</v>
      </c>
      <c r="D82" s="1" t="s">
        <v>16</v>
      </c>
    </row>
    <row r="83" customFormat="false" ht="12" hidden="false" customHeight="true" outlineLevel="0" collapsed="false">
      <c r="C83" s="1" t="s">
        <v>18</v>
      </c>
      <c r="D83" s="1" t="n">
        <v>2.746</v>
      </c>
    </row>
    <row r="98" customFormat="false" ht="12" hidden="false" customHeight="true" outlineLevel="0" collapsed="false">
      <c r="B98" s="1" t="s">
        <v>19</v>
      </c>
    </row>
    <row r="99" customFormat="false" ht="12" hidden="false" customHeight="true" outlineLevel="0" collapsed="false">
      <c r="B99" s="1" t="s">
        <v>0</v>
      </c>
      <c r="C99" s="1" t="s">
        <v>1</v>
      </c>
      <c r="D99" s="1" t="s">
        <v>2</v>
      </c>
      <c r="E99" s="1" t="s">
        <v>3</v>
      </c>
      <c r="F99" s="1" t="s">
        <v>4</v>
      </c>
      <c r="G99" s="1" t="s">
        <v>5</v>
      </c>
      <c r="H99" s="1" t="s">
        <v>10</v>
      </c>
      <c r="I99" s="1" t="s">
        <v>6</v>
      </c>
      <c r="J99" s="2" t="s">
        <v>7</v>
      </c>
    </row>
    <row r="100" customFormat="false" ht="12" hidden="false" customHeight="true" outlineLevel="0" collapsed="false">
      <c r="B100" s="1" t="n">
        <v>2020</v>
      </c>
      <c r="C100" s="1" t="n">
        <f aca="false">WEO_Data!B2</f>
        <v>35090.1</v>
      </c>
      <c r="D100" s="1" t="n">
        <v>0</v>
      </c>
      <c r="E100" s="1" t="n">
        <f aca="false">$D$129*D100*$D$133</f>
        <v>0</v>
      </c>
      <c r="F100" s="1" t="n">
        <f aca="false">E100*$D$130</f>
        <v>0</v>
      </c>
      <c r="G100" s="1" t="n">
        <f aca="false">(E100-F100)/WEO_Data!B4*$D$131</f>
        <v>0</v>
      </c>
      <c r="H100" s="1" t="n">
        <f aca="false">G100/C100</f>
        <v>0</v>
      </c>
      <c r="I100" s="1" t="n">
        <f aca="false">WEO_Data!B3</f>
        <v>0</v>
      </c>
      <c r="J100" s="2" t="n">
        <f aca="false">I100+H100</f>
        <v>0</v>
      </c>
    </row>
    <row r="101" customFormat="false" ht="12" hidden="false" customHeight="true" outlineLevel="0" collapsed="false">
      <c r="B101" s="1" t="n">
        <v>2021</v>
      </c>
      <c r="C101" s="1" t="n">
        <f aca="false">WEO_Data!C2</f>
        <v>38779.1</v>
      </c>
      <c r="D101" s="1" t="n">
        <v>0</v>
      </c>
      <c r="E101" s="1" t="n">
        <f aca="false">$D$129*D101*$D$133</f>
        <v>0</v>
      </c>
      <c r="F101" s="1" t="n">
        <f aca="false">E101*$D$130</f>
        <v>0</v>
      </c>
      <c r="G101" s="1" t="n">
        <f aca="false">(E101-F101)/WEO_Data!C4*$D$131</f>
        <v>0</v>
      </c>
      <c r="H101" s="1" t="n">
        <f aca="false">G101/C101</f>
        <v>0</v>
      </c>
      <c r="I101" s="1" t="n">
        <f aca="false">WEO_Data!C3</f>
        <v>0.105129366972451</v>
      </c>
      <c r="J101" s="2" t="n">
        <f aca="false">I101+H101</f>
        <v>0.105129366972451</v>
      </c>
    </row>
    <row r="102" customFormat="false" ht="12" hidden="false" customHeight="true" outlineLevel="0" collapsed="false">
      <c r="B102" s="1" t="n">
        <v>2022</v>
      </c>
      <c r="C102" s="1" t="n">
        <f aca="false">WEO_Data!D2</f>
        <v>42812.1</v>
      </c>
      <c r="D102" s="1" t="n">
        <v>0</v>
      </c>
      <c r="E102" s="1" t="n">
        <f aca="false">$D$129*D102*$D$133</f>
        <v>0</v>
      </c>
      <c r="F102" s="1" t="n">
        <f aca="false">E102*$D$130</f>
        <v>0</v>
      </c>
      <c r="G102" s="1" t="n">
        <f aca="false">(E102-F102)/WEO_Data!D4*$D$131</f>
        <v>0</v>
      </c>
      <c r="H102" s="1" t="n">
        <f aca="false">G102/C102</f>
        <v>0</v>
      </c>
      <c r="I102" s="1" t="n">
        <f aca="false">WEO_Data!D3</f>
        <v>0.103999319220921</v>
      </c>
      <c r="J102" s="2" t="n">
        <f aca="false">I102+H102</f>
        <v>0.103999319220921</v>
      </c>
    </row>
    <row r="103" customFormat="false" ht="12" hidden="false" customHeight="true" outlineLevel="0" collapsed="false">
      <c r="B103" s="1" t="n">
        <v>2023</v>
      </c>
      <c r="C103" s="1" t="n">
        <f aca="false">WEO_Data!E2</f>
        <v>46156.8</v>
      </c>
      <c r="D103" s="1" t="n">
        <v>0</v>
      </c>
      <c r="E103" s="1" t="n">
        <f aca="false">$D$129*D103*$D$133</f>
        <v>0</v>
      </c>
      <c r="F103" s="1" t="n">
        <f aca="false">E103*$D$130</f>
        <v>0</v>
      </c>
      <c r="G103" s="1" t="n">
        <f aca="false">(E103-F103)/WEO_Data!E4*$D$131</f>
        <v>0</v>
      </c>
      <c r="H103" s="1" t="n">
        <f aca="false">G103/C103</f>
        <v>0</v>
      </c>
      <c r="I103" s="1" t="n">
        <f aca="false">WEO_Data!E3</f>
        <v>0.0781251094900742</v>
      </c>
      <c r="J103" s="2" t="n">
        <f aca="false">I103+H103</f>
        <v>0.0781251094900742</v>
      </c>
    </row>
    <row r="104" customFormat="false" ht="12" hidden="false" customHeight="true" outlineLevel="0" collapsed="false">
      <c r="B104" s="1" t="n">
        <v>2024</v>
      </c>
      <c r="C104" s="1" t="n">
        <f aca="false">WEO_Data!F2</f>
        <v>50541.696</v>
      </c>
      <c r="D104" s="1" t="n">
        <v>0</v>
      </c>
      <c r="E104" s="1" t="n">
        <f aca="false">$D$129*D104*$D$133</f>
        <v>0</v>
      </c>
      <c r="F104" s="1" t="n">
        <f aca="false">E104*$D$130</f>
        <v>0</v>
      </c>
      <c r="G104" s="1" t="n">
        <f aca="false">(E104-F104)/WEO_Data!F4*$D$131</f>
        <v>0</v>
      </c>
      <c r="H104" s="1" t="n">
        <f aca="false">G104/C104</f>
        <v>0</v>
      </c>
      <c r="I104" s="1" t="n">
        <f aca="false">WEO_Data!F3</f>
        <v>0.095</v>
      </c>
      <c r="J104" s="2" t="n">
        <f aca="false">I104+H104</f>
        <v>0.095</v>
      </c>
    </row>
    <row r="105" customFormat="false" ht="12" hidden="false" customHeight="true" outlineLevel="0" collapsed="false">
      <c r="B105" s="1" t="n">
        <v>2025</v>
      </c>
      <c r="C105" s="1" t="n">
        <f aca="false">WEO_Data!G2</f>
        <v>54231.239808</v>
      </c>
      <c r="D105" s="1" t="n">
        <v>0</v>
      </c>
      <c r="E105" s="1" t="n">
        <f aca="false">$D$129*D105*$D$133</f>
        <v>0</v>
      </c>
      <c r="F105" s="1" t="n">
        <f aca="false">E105*$D$130</f>
        <v>0</v>
      </c>
      <c r="G105" s="1" t="n">
        <f aca="false">(E105-F105)/WEO_Data!G4*$D$131</f>
        <v>0</v>
      </c>
      <c r="H105" s="1" t="n">
        <f aca="false">G105/C105</f>
        <v>0</v>
      </c>
      <c r="I105" s="1" t="n">
        <f aca="false">WEO_Data!G3</f>
        <v>0.073</v>
      </c>
      <c r="J105" s="2" t="n">
        <f aca="false">I105+H105</f>
        <v>0.073</v>
      </c>
    </row>
    <row r="106" customFormat="false" ht="12" hidden="false" customHeight="true" outlineLevel="0" collapsed="false">
      <c r="B106" s="1" t="n">
        <v>2026</v>
      </c>
      <c r="C106" s="1" t="n">
        <f aca="false">WEO_Data!H2</f>
        <v>57105.495517824</v>
      </c>
      <c r="D106" s="1" t="n">
        <v>0.05</v>
      </c>
      <c r="E106" s="1" t="n">
        <f aca="false">$D$129*D106*$D$133</f>
        <v>892.45</v>
      </c>
      <c r="F106" s="1" t="n">
        <f aca="false">E106*$D$130</f>
        <v>446.225</v>
      </c>
      <c r="G106" s="1" t="n">
        <f aca="false">(E106-F106)/WEO_Data!H4*$D$131</f>
        <v>172.290137450432</v>
      </c>
      <c r="H106" s="1" t="n">
        <f aca="false">G106/C106</f>
        <v>0.00301705003849684</v>
      </c>
      <c r="I106" s="1" t="n">
        <f aca="false">WEO_Data!H3</f>
        <v>0.053</v>
      </c>
      <c r="J106" s="2" t="n">
        <f aca="false">I106+H106</f>
        <v>0.0560170500384968</v>
      </c>
    </row>
    <row r="107" customFormat="false" ht="12" hidden="false" customHeight="true" outlineLevel="0" collapsed="false">
      <c r="B107" s="1" t="n">
        <v>2027</v>
      </c>
      <c r="C107" s="1" t="n">
        <f aca="false">WEO_Data!I2</f>
        <v>59960.7702937152</v>
      </c>
      <c r="D107" s="1" t="n">
        <v>0.1</v>
      </c>
      <c r="E107" s="1" t="n">
        <f aca="false">$D$129*D107*$D$133</f>
        <v>1784.9</v>
      </c>
      <c r="F107" s="1" t="n">
        <f aca="false">E107*$D$130</f>
        <v>892.45</v>
      </c>
      <c r="G107" s="1" t="n">
        <f aca="false">(E107-F107)/WEO_Data!I4*$D$131</f>
        <v>322.855460119427</v>
      </c>
      <c r="H107" s="1" t="n">
        <f aca="false">G107/C107</f>
        <v>0.00538444483848245</v>
      </c>
      <c r="I107" s="1" t="n">
        <f aca="false">WEO_Data!I3</f>
        <v>0.05</v>
      </c>
      <c r="J107" s="2" t="n">
        <f aca="false">I107+H107</f>
        <v>0.0553844448384825</v>
      </c>
    </row>
    <row r="108" customFormat="false" ht="12" hidden="false" customHeight="true" outlineLevel="0" collapsed="false">
      <c r="B108" s="1" t="n">
        <v>2028</v>
      </c>
      <c r="C108" s="1" t="n">
        <f aca="false">WEO_Data!J2</f>
        <v>62958.808808401</v>
      </c>
      <c r="D108" s="1" t="n">
        <v>0.15</v>
      </c>
      <c r="E108" s="1" t="n">
        <f aca="false">$D$129*D108*$D$133</f>
        <v>2677.35</v>
      </c>
      <c r="F108" s="1" t="n">
        <f aca="false">E108*$D$130</f>
        <v>1338.675</v>
      </c>
      <c r="G108" s="1" t="n">
        <f aca="false">(E108-F108)/WEO_Data!J4*$D$131</f>
        <v>453.750500484605</v>
      </c>
      <c r="H108" s="1" t="n">
        <f aca="false">G108/C108</f>
        <v>0.00720710110423911</v>
      </c>
      <c r="I108" s="1" t="n">
        <f aca="false">WEO_Data!J3</f>
        <v>0.05</v>
      </c>
      <c r="J108" s="2" t="n">
        <f aca="false">I108+H108</f>
        <v>0.0572071011042391</v>
      </c>
    </row>
    <row r="109" customFormat="false" ht="12" hidden="false" customHeight="true" outlineLevel="0" collapsed="false">
      <c r="B109" s="1" t="n">
        <v>2029</v>
      </c>
      <c r="C109" s="1" t="n">
        <f aca="false">WEO_Data!K2</f>
        <v>66106.749248821</v>
      </c>
      <c r="D109" s="1" t="n">
        <v>0.2</v>
      </c>
      <c r="E109" s="1" t="n">
        <f aca="false">$D$129*D109*$D$133</f>
        <v>3569.8</v>
      </c>
      <c r="F109" s="1" t="n">
        <f aca="false">E109*$D$130</f>
        <v>1784.9</v>
      </c>
      <c r="G109" s="1" t="n">
        <f aca="false">(E109-F109)/WEO_Data!K4*$D$131</f>
        <v>566.857081050366</v>
      </c>
      <c r="H109" s="1" t="n">
        <f aca="false">G109/C109</f>
        <v>0.0085748745399166</v>
      </c>
      <c r="I109" s="1" t="n">
        <f aca="false">WEO_Data!K3</f>
        <v>0.05</v>
      </c>
      <c r="J109" s="2" t="n">
        <f aca="false">I109+H109</f>
        <v>0.0585748745399166</v>
      </c>
    </row>
    <row r="110" customFormat="false" ht="12" hidden="false" customHeight="true" outlineLevel="0" collapsed="false">
      <c r="B110" s="1" t="n">
        <v>2030</v>
      </c>
      <c r="C110" s="1" t="n">
        <f aca="false">WEO_Data!L2</f>
        <v>69412.0867112621</v>
      </c>
      <c r="D110" s="1" t="n">
        <v>0.2</v>
      </c>
      <c r="E110" s="1" t="n">
        <f aca="false">$D$129*D110*$D$133</f>
        <v>3569.8</v>
      </c>
      <c r="F110" s="1" t="n">
        <f aca="false">E110*$D$130</f>
        <v>1784.9</v>
      </c>
      <c r="G110" s="1" t="n">
        <f aca="false">(E110-F110)/WEO_Data!L4*$D$131</f>
        <v>531.118340355158</v>
      </c>
      <c r="H110" s="1" t="n">
        <f aca="false">G110/C110</f>
        <v>0.00765166940686404</v>
      </c>
      <c r="I110" s="1" t="n">
        <f aca="false">WEO_Data!L3</f>
        <v>0.05</v>
      </c>
      <c r="J110" s="2" t="n">
        <f aca="false">I110+H110</f>
        <v>0.057651669406864</v>
      </c>
    </row>
    <row r="111" customFormat="false" ht="12" hidden="false" customHeight="true" outlineLevel="0" collapsed="false">
      <c r="B111" s="1" t="n">
        <v>2031</v>
      </c>
      <c r="C111" s="1" t="n">
        <f aca="false">WEO_Data!M2</f>
        <v>72882.6910468252</v>
      </c>
      <c r="D111" s="1" t="n">
        <v>0.15</v>
      </c>
      <c r="E111" s="1" t="n">
        <f aca="false">$D$129*D111*$D$133</f>
        <v>2677.35</v>
      </c>
      <c r="F111" s="1" t="n">
        <f aca="false">E111*$D$130</f>
        <v>1338.675</v>
      </c>
      <c r="G111" s="1" t="n">
        <f aca="false">(E111-F111)/WEO_Data!M4*$D$131</f>
        <v>373.22461987101</v>
      </c>
      <c r="H111" s="1" t="n">
        <f aca="false">G111/C111</f>
        <v>0.00512089516057006</v>
      </c>
      <c r="I111" s="1" t="n">
        <f aca="false">WEO_Data!M3</f>
        <v>0.05</v>
      </c>
      <c r="J111" s="2" t="n">
        <f aca="false">I111+H111</f>
        <v>0.0551208951605701</v>
      </c>
    </row>
    <row r="112" customFormat="false" ht="12" hidden="false" customHeight="true" outlineLevel="0" collapsed="false">
      <c r="B112" s="1" t="n">
        <v>2032</v>
      </c>
      <c r="C112" s="1" t="n">
        <f aca="false">WEO_Data!N2</f>
        <v>76526.8255991664</v>
      </c>
      <c r="D112" s="1" t="n">
        <v>0.1</v>
      </c>
      <c r="E112" s="1" t="n">
        <f aca="false">$D$129*D112*$D$133</f>
        <v>1784.9</v>
      </c>
      <c r="F112" s="1" t="n">
        <f aca="false">E112*$D$130</f>
        <v>892.45</v>
      </c>
      <c r="G112" s="1" t="n">
        <f aca="false">(E112-F112)/WEO_Data!N4*$D$131</f>
        <v>233.12923993501</v>
      </c>
      <c r="H112" s="1" t="n">
        <f aca="false">G112/C112</f>
        <v>0.00304637279946902</v>
      </c>
      <c r="I112" s="1" t="n">
        <f aca="false">WEO_Data!N3</f>
        <v>0.05</v>
      </c>
      <c r="J112" s="2" t="n">
        <f aca="false">I112+H112</f>
        <v>0.053046372799469</v>
      </c>
    </row>
    <row r="113" customFormat="false" ht="12" hidden="false" customHeight="true" outlineLevel="0" collapsed="false">
      <c r="B113" s="1" t="n">
        <v>2033</v>
      </c>
      <c r="C113" s="1" t="n">
        <f aca="false">WEO_Data!O2</f>
        <v>80353.1668791248</v>
      </c>
      <c r="D113" s="1" t="n">
        <v>0.05</v>
      </c>
      <c r="E113" s="1" t="n">
        <f aca="false">$D$129*D113*$D$133</f>
        <v>892.45</v>
      </c>
      <c r="F113" s="1" t="n">
        <f aca="false">E113*$D$130</f>
        <v>446.225</v>
      </c>
      <c r="G113" s="1" t="n">
        <f aca="false">(E113-F113)/WEO_Data!O4*$D$131</f>
        <v>109.21554933486</v>
      </c>
      <c r="H113" s="1" t="n">
        <f aca="false">G113/C113</f>
        <v>0.00135919408751061</v>
      </c>
      <c r="I113" s="1" t="n">
        <f aca="false">WEO_Data!O3</f>
        <v>0.05</v>
      </c>
      <c r="J113" s="2" t="n">
        <f aca="false">I113+H113</f>
        <v>0.0513591940875106</v>
      </c>
    </row>
    <row r="114" customFormat="false" ht="12" hidden="false" customHeight="true" outlineLevel="0" collapsed="false">
      <c r="B114" s="1" t="n">
        <v>2034</v>
      </c>
      <c r="C114" s="1" t="n">
        <f aca="false">WEO_Data!P2</f>
        <v>84370.825223081</v>
      </c>
      <c r="D114" s="1" t="n">
        <v>0</v>
      </c>
      <c r="E114" s="1" t="n">
        <f aca="false">$D$129*D114*$D$133</f>
        <v>0</v>
      </c>
      <c r="F114" s="1" t="n">
        <f aca="false">E114*$D$130</f>
        <v>0</v>
      </c>
      <c r="G114" s="1" t="n">
        <f aca="false">(E114-F114)/WEO_Data!P4*$D$131</f>
        <v>0</v>
      </c>
      <c r="H114" s="1" t="n">
        <f aca="false">G114/C114</f>
        <v>0</v>
      </c>
      <c r="I114" s="1" t="n">
        <f aca="false">WEO_Data!P3</f>
        <v>0.05</v>
      </c>
      <c r="J114" s="2" t="n">
        <f aca="false">I114+H114</f>
        <v>0.05</v>
      </c>
    </row>
    <row r="115" customFormat="false" ht="12" hidden="false" customHeight="true" outlineLevel="0" collapsed="false">
      <c r="B115" s="1" t="n">
        <v>2035</v>
      </c>
      <c r="C115" s="1" t="n">
        <f aca="false">WEO_Data!Q2</f>
        <v>88589.3664842351</v>
      </c>
      <c r="D115" s="1" t="n">
        <v>0</v>
      </c>
      <c r="E115" s="1" t="n">
        <f aca="false">$D$129*D115*$D$133</f>
        <v>0</v>
      </c>
      <c r="F115" s="1" t="n">
        <f aca="false">E115*$D$130</f>
        <v>0</v>
      </c>
      <c r="G115" s="1" t="n">
        <f aca="false">(E115-F115)/WEO_Data!Q4*$D$131</f>
        <v>0</v>
      </c>
      <c r="H115" s="1" t="n">
        <f aca="false">G115/C115</f>
        <v>0</v>
      </c>
      <c r="I115" s="1" t="n">
        <f aca="false">WEO_Data!Q3</f>
        <v>0.05</v>
      </c>
      <c r="J115" s="2" t="n">
        <f aca="false">I115+H115</f>
        <v>0.05</v>
      </c>
    </row>
    <row r="116" customFormat="false" ht="12" hidden="false" customHeight="true" outlineLevel="0" collapsed="false">
      <c r="B116" s="1" t="n">
        <v>2036</v>
      </c>
      <c r="C116" s="1" t="n">
        <f aca="false">WEO_Data!R2</f>
        <v>93018.8348084468</v>
      </c>
      <c r="D116" s="1" t="n">
        <v>0</v>
      </c>
      <c r="E116" s="1" t="n">
        <f aca="false">$D$129*D116*$D$133</f>
        <v>0</v>
      </c>
      <c r="F116" s="1" t="n">
        <f aca="false">E116*$D$130</f>
        <v>0</v>
      </c>
      <c r="G116" s="1" t="n">
        <f aca="false">(E116-F116)/WEO_Data!R4*$D$131</f>
        <v>0</v>
      </c>
      <c r="H116" s="1" t="n">
        <f aca="false">G116/C116</f>
        <v>0</v>
      </c>
      <c r="I116" s="1" t="n">
        <f aca="false">WEO_Data!R3</f>
        <v>0.05</v>
      </c>
      <c r="J116" s="2" t="n">
        <f aca="false">I116+H116</f>
        <v>0.05</v>
      </c>
    </row>
    <row r="117" customFormat="false" ht="12" hidden="false" customHeight="true" outlineLevel="0" collapsed="false">
      <c r="B117" s="1" t="n">
        <v>2037</v>
      </c>
      <c r="C117" s="1" t="n">
        <f aca="false">WEO_Data!S2</f>
        <v>97669.7765488692</v>
      </c>
      <c r="D117" s="1" t="n">
        <v>0</v>
      </c>
      <c r="E117" s="1" t="n">
        <f aca="false">$D$129*D117*$D$133</f>
        <v>0</v>
      </c>
      <c r="F117" s="1" t="n">
        <f aca="false">E117*$D$130</f>
        <v>0</v>
      </c>
      <c r="G117" s="1" t="n">
        <f aca="false">(E117-F117)/WEO_Data!S4*$D$131</f>
        <v>0</v>
      </c>
      <c r="H117" s="1" t="n">
        <f aca="false">G117/C117</f>
        <v>0</v>
      </c>
      <c r="I117" s="1" t="n">
        <f aca="false">WEO_Data!S3</f>
        <v>0.05</v>
      </c>
      <c r="J117" s="2" t="n">
        <f aca="false">I117+H117</f>
        <v>0.05</v>
      </c>
    </row>
    <row r="118" customFormat="false" ht="12" hidden="false" customHeight="true" outlineLevel="0" collapsed="false">
      <c r="B118" s="1" t="n">
        <v>2038</v>
      </c>
      <c r="C118" s="1" t="n">
        <f aca="false">WEO_Data!T2</f>
        <v>102553.265376313</v>
      </c>
      <c r="D118" s="1" t="n">
        <v>0</v>
      </c>
      <c r="E118" s="1" t="n">
        <f aca="false">$D$129*D118*$D$133</f>
        <v>0</v>
      </c>
      <c r="F118" s="1" t="n">
        <f aca="false">E118*$D$130</f>
        <v>0</v>
      </c>
      <c r="G118" s="1" t="n">
        <f aca="false">(E118-F118)/WEO_Data!T4*$D$131</f>
        <v>0</v>
      </c>
      <c r="H118" s="1" t="n">
        <f aca="false">G118/C118</f>
        <v>0</v>
      </c>
      <c r="I118" s="1" t="n">
        <f aca="false">WEO_Data!T3</f>
        <v>0.05</v>
      </c>
      <c r="J118" s="2" t="n">
        <f aca="false">I118+H118</f>
        <v>0.05</v>
      </c>
    </row>
    <row r="119" customFormat="false" ht="12" hidden="false" customHeight="true" outlineLevel="0" collapsed="false">
      <c r="B119" s="1" t="n">
        <v>2039</v>
      </c>
      <c r="C119" s="1" t="n">
        <f aca="false">WEO_Data!U2</f>
        <v>107680.928645128</v>
      </c>
      <c r="D119" s="1" t="n">
        <v>0</v>
      </c>
      <c r="E119" s="1" t="n">
        <f aca="false">$D$129*D119*$D$133</f>
        <v>0</v>
      </c>
      <c r="F119" s="1" t="n">
        <f aca="false">E119*$D$130</f>
        <v>0</v>
      </c>
      <c r="G119" s="1" t="n">
        <f aca="false">(E119-F119)/WEO_Data!U4*$D$131</f>
        <v>0</v>
      </c>
      <c r="H119" s="1" t="n">
        <f aca="false">G119/C119</f>
        <v>0</v>
      </c>
      <c r="I119" s="1" t="n">
        <f aca="false">WEO_Data!U3</f>
        <v>0.05</v>
      </c>
      <c r="J119" s="2" t="n">
        <f aca="false">I119+H119</f>
        <v>0.05</v>
      </c>
    </row>
    <row r="120" customFormat="false" ht="12" hidden="false" customHeight="true" outlineLevel="0" collapsed="false">
      <c r="B120" s="1" t="n">
        <v>2040</v>
      </c>
      <c r="C120" s="1" t="n">
        <f aca="false">WEO_Data!V2</f>
        <v>113064.975077385</v>
      </c>
      <c r="D120" s="1" t="n">
        <v>0</v>
      </c>
      <c r="E120" s="1" t="n">
        <f aca="false">$D$129*D120*$D$133</f>
        <v>0</v>
      </c>
      <c r="F120" s="1" t="n">
        <f aca="false">E120*$D$130</f>
        <v>0</v>
      </c>
      <c r="G120" s="1" t="n">
        <f aca="false">(E120-F120)/WEO_Data!V4*$D$131</f>
        <v>0</v>
      </c>
      <c r="H120" s="1" t="n">
        <f aca="false">G120/C120</f>
        <v>0</v>
      </c>
      <c r="I120" s="1" t="n">
        <f aca="false">WEO_Data!V3</f>
        <v>0.05</v>
      </c>
      <c r="J120" s="2" t="n">
        <f aca="false">I120+H120</f>
        <v>0.05</v>
      </c>
    </row>
    <row r="121" customFormat="false" ht="12" hidden="false" customHeight="true" outlineLevel="0" collapsed="false">
      <c r="B121" s="1" t="n">
        <v>2041</v>
      </c>
      <c r="C121" s="1" t="n">
        <f aca="false">WEO_Data!W2</f>
        <v>118718.223831254</v>
      </c>
      <c r="D121" s="1" t="n">
        <v>0</v>
      </c>
      <c r="E121" s="1" t="n">
        <f aca="false">$D$129*D121*$D$133</f>
        <v>0</v>
      </c>
      <c r="F121" s="1" t="n">
        <f aca="false">E121*$D$130</f>
        <v>0</v>
      </c>
      <c r="G121" s="1" t="n">
        <f aca="false">(E121-F121)/WEO_Data!W4*$D$131</f>
        <v>0</v>
      </c>
      <c r="H121" s="1" t="n">
        <f aca="false">G121/C121</f>
        <v>0</v>
      </c>
      <c r="I121" s="1" t="n">
        <f aca="false">WEO_Data!W3</f>
        <v>0.05</v>
      </c>
      <c r="J121" s="2" t="n">
        <f aca="false">I121+H121</f>
        <v>0.05</v>
      </c>
    </row>
    <row r="122" customFormat="false" ht="12" hidden="false" customHeight="true" outlineLevel="0" collapsed="false">
      <c r="B122" s="1" t="n">
        <v>2042</v>
      </c>
      <c r="C122" s="1" t="n">
        <f aca="false">WEO_Data!X2</f>
        <v>124654.135022817</v>
      </c>
      <c r="D122" s="1" t="n">
        <v>0</v>
      </c>
      <c r="E122" s="1" t="n">
        <f aca="false">$D$129*D122*$D$133</f>
        <v>0</v>
      </c>
      <c r="F122" s="1" t="n">
        <f aca="false">E122*$D$130</f>
        <v>0</v>
      </c>
      <c r="G122" s="1" t="n">
        <f aca="false">(E122-F122)/WEO_Data!X4*$D$131</f>
        <v>0</v>
      </c>
      <c r="H122" s="1" t="n">
        <f aca="false">G122/C122</f>
        <v>0</v>
      </c>
      <c r="I122" s="1" t="n">
        <f aca="false">WEO_Data!X3</f>
        <v>0.05</v>
      </c>
      <c r="J122" s="2" t="n">
        <f aca="false">I122+H122</f>
        <v>0.05</v>
      </c>
    </row>
    <row r="127" customFormat="false" ht="12" hidden="false" customHeight="true" outlineLevel="0" collapsed="false">
      <c r="C127" s="1" t="s">
        <v>11</v>
      </c>
    </row>
    <row r="129" customFormat="false" ht="12" hidden="false" customHeight="true" outlineLevel="0" collapsed="false">
      <c r="C129" s="1" t="s">
        <v>12</v>
      </c>
      <c r="D129" s="1" t="n">
        <v>6500</v>
      </c>
    </row>
    <row r="130" customFormat="false" ht="12" hidden="false" customHeight="true" outlineLevel="0" collapsed="false">
      <c r="C130" s="1" t="s">
        <v>13</v>
      </c>
      <c r="D130" s="1" t="n">
        <v>0.5</v>
      </c>
    </row>
    <row r="131" customFormat="false" ht="12" hidden="false" customHeight="true" outlineLevel="0" collapsed="false">
      <c r="C131" s="1" t="s">
        <v>14</v>
      </c>
      <c r="D131" s="1" t="n">
        <v>0.8</v>
      </c>
    </row>
    <row r="132" customFormat="false" ht="12" hidden="false" customHeight="true" outlineLevel="0" collapsed="false">
      <c r="C132" s="1" t="s">
        <v>15</v>
      </c>
      <c r="D132" s="1" t="s">
        <v>16</v>
      </c>
    </row>
    <row r="133" customFormat="false" ht="12" hidden="false" customHeight="true" outlineLevel="0" collapsed="false">
      <c r="C133" s="1" t="s">
        <v>18</v>
      </c>
      <c r="D133" s="1" t="n">
        <v>2.746</v>
      </c>
    </row>
  </sheetData>
  <mergeCells count="1">
    <mergeCell ref="G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</row>
    <row r="2" customFormat="false" ht="15" hidden="false" customHeight="true" outlineLevel="0" collapsed="false">
      <c r="A2" s="1" t="s">
        <v>20</v>
      </c>
      <c r="B2" s="1" t="n">
        <v>35090.1</v>
      </c>
      <c r="C2" s="1" t="n">
        <v>38779.1</v>
      </c>
      <c r="D2" s="1" t="n">
        <v>42812.1</v>
      </c>
      <c r="E2" s="1" t="n">
        <v>46156.8</v>
      </c>
      <c r="F2" s="1" t="n">
        <f aca="false">E2*(1+F3)</f>
        <v>50541.696</v>
      </c>
      <c r="G2" s="1" t="n">
        <f aca="false">F2*(1+G3)</f>
        <v>54231.239808</v>
      </c>
      <c r="H2" s="1" t="n">
        <f aca="false">G2*(1+H3)</f>
        <v>57105.495517824</v>
      </c>
      <c r="I2" s="1" t="n">
        <f aca="false">H2*(1+I3)</f>
        <v>59960.7702937152</v>
      </c>
      <c r="J2" s="1" t="n">
        <f aca="false">I2*(1+J3)</f>
        <v>62958.808808401</v>
      </c>
      <c r="K2" s="1" t="n">
        <f aca="false">J2*(1+K3)</f>
        <v>66106.749248821</v>
      </c>
      <c r="L2" s="1" t="n">
        <f aca="false">K2*(1+L3)</f>
        <v>69412.0867112621</v>
      </c>
      <c r="M2" s="1" t="n">
        <f aca="false">L2*(1+M3)</f>
        <v>72882.6910468252</v>
      </c>
      <c r="N2" s="1" t="n">
        <f aca="false">M2*(1+N3)</f>
        <v>76526.8255991664</v>
      </c>
      <c r="O2" s="1" t="n">
        <f aca="false">N2*(1+O3)</f>
        <v>80353.1668791248</v>
      </c>
      <c r="P2" s="1" t="n">
        <f aca="false">O2*(1+P3)</f>
        <v>84370.825223081</v>
      </c>
      <c r="Q2" s="1" t="n">
        <f aca="false">P2*(1+Q3)</f>
        <v>88589.3664842351</v>
      </c>
      <c r="R2" s="1" t="n">
        <f aca="false">Q2*(1+R3)</f>
        <v>93018.8348084468</v>
      </c>
      <c r="S2" s="1" t="n">
        <f aca="false">R2*(1+S3)</f>
        <v>97669.7765488692</v>
      </c>
      <c r="T2" s="1" t="n">
        <f aca="false">S2*(1+T3)</f>
        <v>102553.265376313</v>
      </c>
      <c r="U2" s="1" t="n">
        <f aca="false">T2*(1+U3)</f>
        <v>107680.928645128</v>
      </c>
      <c r="V2" s="1" t="n">
        <f aca="false">U2*(1+V3)</f>
        <v>113064.975077385</v>
      </c>
      <c r="W2" s="1" t="n">
        <f aca="false">V2*(1+W3)</f>
        <v>118718.223831254</v>
      </c>
      <c r="X2" s="1" t="n">
        <f aca="false">W2*(1+X3)</f>
        <v>124654.135022817</v>
      </c>
      <c r="Y2" s="1" t="n">
        <f aca="false">X2*(1+Y3)</f>
        <v>130886.841773957</v>
      </c>
    </row>
    <row r="3" customFormat="false" ht="15" hidden="false" customHeight="true" outlineLevel="0" collapsed="false">
      <c r="A3" s="1" t="s">
        <v>21</v>
      </c>
      <c r="C3" s="1" t="n">
        <f aca="false">(C2-B2)/B2</f>
        <v>0.105129366972451</v>
      </c>
      <c r="D3" s="1" t="n">
        <f aca="false">(D2-C2)/C2</f>
        <v>0.103999319220921</v>
      </c>
      <c r="E3" s="1" t="n">
        <f aca="false">(E2-D2)/D2</f>
        <v>0.0781251094900742</v>
      </c>
      <c r="F3" s="1" t="n">
        <v>0.095</v>
      </c>
      <c r="G3" s="1" t="n">
        <v>0.073</v>
      </c>
      <c r="H3" s="1" t="n">
        <v>0.053</v>
      </c>
      <c r="I3" s="1" t="n">
        <v>0.05</v>
      </c>
      <c r="J3" s="1" t="n">
        <v>0.05</v>
      </c>
      <c r="K3" s="1" t="n">
        <v>0.05</v>
      </c>
      <c r="L3" s="1" t="n">
        <v>0.05</v>
      </c>
      <c r="M3" s="1" t="n">
        <v>0.05</v>
      </c>
      <c r="N3" s="1" t="n">
        <v>0.05</v>
      </c>
      <c r="O3" s="1" t="n">
        <v>0.05</v>
      </c>
      <c r="P3" s="1" t="n">
        <v>0.05</v>
      </c>
      <c r="Q3" s="1" t="n">
        <v>0.05</v>
      </c>
      <c r="R3" s="1" t="n">
        <v>0.05</v>
      </c>
      <c r="S3" s="1" t="n">
        <v>0.05</v>
      </c>
      <c r="T3" s="1" t="n">
        <v>0.05</v>
      </c>
      <c r="U3" s="1" t="n">
        <v>0.05</v>
      </c>
      <c r="V3" s="1" t="n">
        <v>0.05</v>
      </c>
      <c r="W3" s="1" t="n">
        <v>0.05</v>
      </c>
      <c r="X3" s="1" t="n">
        <v>0.05</v>
      </c>
      <c r="Y3" s="1" t="n">
        <v>0.05</v>
      </c>
    </row>
    <row r="4" customFormat="false" ht="15" hidden="false" customHeight="true" outlineLevel="0" collapsed="false">
      <c r="A4" s="1" t="s">
        <v>22</v>
      </c>
      <c r="B4" s="1" t="n">
        <f aca="false">B6/B2</f>
        <v>1.40401423763398</v>
      </c>
      <c r="C4" s="1" t="n">
        <f aca="false">C6/C2</f>
        <v>1.5473025418331</v>
      </c>
      <c r="D4" s="1" t="n">
        <f aca="false">D6/D2</f>
        <v>1.68949899677895</v>
      </c>
      <c r="E4" s="1" t="n">
        <f aca="false">E6/E2</f>
        <v>1.75235284941764</v>
      </c>
      <c r="F4" s="1" t="n">
        <f aca="false">E4*(1+F5)</f>
        <v>1.81894225769551</v>
      </c>
      <c r="G4" s="1" t="n">
        <f aca="false">F4*(1+G5)</f>
        <v>1.94133815470759</v>
      </c>
      <c r="H4" s="1" t="n">
        <f aca="false">G4*(1+H5)</f>
        <v>2.07197002267587</v>
      </c>
      <c r="I4" s="1" t="n">
        <f aca="false">H4*(1+I5)</f>
        <v>2.21139205679192</v>
      </c>
      <c r="J4" s="1" t="n">
        <f aca="false">I4*(1+J5)</f>
        <v>2.36019574382009</v>
      </c>
      <c r="K4" s="1" t="n">
        <f aca="false">J4*(1+K5)</f>
        <v>2.51901237143252</v>
      </c>
      <c r="L4" s="1" t="n">
        <f aca="false">K4*(1+L5)</f>
        <v>2.68851570639634</v>
      </c>
      <c r="M4" s="1" t="n">
        <f aca="false">L4*(1+M5)</f>
        <v>2.86942485297494</v>
      </c>
      <c r="N4" s="1" t="n">
        <f aca="false">M4*(1+N5)</f>
        <v>3.06250730366998</v>
      </c>
      <c r="O4" s="1" t="n">
        <f aca="false">N4*(1+O5)</f>
        <v>3.2685821952466</v>
      </c>
      <c r="P4" s="1" t="n">
        <f aca="false">O4*(1+P5)</f>
        <v>3.48852378385523</v>
      </c>
      <c r="Q4" s="1" t="n">
        <f aca="false">P4*(1+Q5)</f>
        <v>3.723265153993</v>
      </c>
      <c r="R4" s="1" t="n">
        <f aca="false">Q4*(1+R5)</f>
        <v>3.97380217703965</v>
      </c>
      <c r="S4" s="1" t="n">
        <f aca="false">R4*(1+S5)</f>
        <v>4.24119773616176</v>
      </c>
      <c r="T4" s="1" t="n">
        <f aca="false">S4*(1+T5)</f>
        <v>4.52658623550906</v>
      </c>
      <c r="U4" s="1" t="n">
        <f aca="false">T4*(1+U5)</f>
        <v>4.83117841283282</v>
      </c>
      <c r="V4" s="1" t="n">
        <f aca="false">U4*(1+V5)</f>
        <v>5.15626647594331</v>
      </c>
      <c r="W4" s="1" t="n">
        <f aca="false">V4*(1+W5)</f>
        <v>5.50322958479755</v>
      </c>
      <c r="X4" s="1" t="n">
        <f aca="false">W4*(1+X5)</f>
        <v>5.87353970247445</v>
      </c>
      <c r="Y4" s="1" t="n">
        <f aca="false">X4*(1+Y5)</f>
        <v>6.26876783985976</v>
      </c>
    </row>
    <row r="5" customFormat="false" ht="15" hidden="false" customHeight="true" outlineLevel="0" collapsed="false">
      <c r="A5" s="1" t="s">
        <v>23</v>
      </c>
      <c r="B5" s="1" t="n">
        <v>0.073</v>
      </c>
      <c r="C5" s="1" t="n">
        <f aca="false">(C4-B4)/B4</f>
        <v>0.102056161795475</v>
      </c>
      <c r="D5" s="1" t="n">
        <f aca="false">(D4-C4)/C4</f>
        <v>0.091899580787469</v>
      </c>
      <c r="E5" s="1" t="n">
        <f aca="false">(E4-D4)/D4</f>
        <v>0.0372026575680252</v>
      </c>
      <c r="F5" s="1" t="n">
        <v>0.038</v>
      </c>
      <c r="G5" s="1" t="n">
        <f aca="false">$B$8</f>
        <v>0.0672896000377424</v>
      </c>
      <c r="H5" s="1" t="n">
        <f aca="false">$B$8</f>
        <v>0.0672896000377424</v>
      </c>
      <c r="I5" s="1" t="n">
        <f aca="false">$B$8</f>
        <v>0.0672896000377424</v>
      </c>
      <c r="J5" s="1" t="n">
        <f aca="false">$B$8</f>
        <v>0.0672896000377424</v>
      </c>
      <c r="K5" s="1" t="n">
        <f aca="false">$B$8</f>
        <v>0.0672896000377424</v>
      </c>
      <c r="L5" s="1" t="n">
        <f aca="false">$B$8</f>
        <v>0.0672896000377424</v>
      </c>
      <c r="M5" s="1" t="n">
        <f aca="false">$B$8</f>
        <v>0.0672896000377424</v>
      </c>
      <c r="N5" s="1" t="n">
        <f aca="false">$B$8</f>
        <v>0.0672896000377424</v>
      </c>
      <c r="O5" s="1" t="n">
        <f aca="false">$B$8</f>
        <v>0.0672896000377424</v>
      </c>
      <c r="P5" s="1" t="n">
        <f aca="false">$B$8</f>
        <v>0.0672896000377424</v>
      </c>
      <c r="Q5" s="1" t="n">
        <f aca="false">$B$8</f>
        <v>0.0672896000377424</v>
      </c>
      <c r="R5" s="1" t="n">
        <f aca="false">$B$8</f>
        <v>0.0672896000377424</v>
      </c>
      <c r="S5" s="1" t="n">
        <f aca="false">$B$8</f>
        <v>0.0672896000377424</v>
      </c>
      <c r="T5" s="1" t="n">
        <f aca="false">$B$8</f>
        <v>0.0672896000377424</v>
      </c>
      <c r="U5" s="1" t="n">
        <f aca="false">$B$8</f>
        <v>0.0672896000377424</v>
      </c>
      <c r="V5" s="1" t="n">
        <f aca="false">$B$8</f>
        <v>0.0672896000377424</v>
      </c>
      <c r="W5" s="1" t="n">
        <f aca="false">$B$8</f>
        <v>0.0672896000377424</v>
      </c>
      <c r="X5" s="1" t="n">
        <f aca="false">$B$8</f>
        <v>0.0672896000377424</v>
      </c>
      <c r="Y5" s="1" t="n">
        <f aca="false">$B$8</f>
        <v>0.0672896000377424</v>
      </c>
    </row>
    <row r="6" customFormat="false" ht="15" hidden="false" customHeight="true" outlineLevel="0" collapsed="false">
      <c r="A6" s="1" t="s">
        <v>24</v>
      </c>
      <c r="B6" s="1" t="n">
        <v>49267</v>
      </c>
      <c r="C6" s="1" t="n">
        <v>60003</v>
      </c>
      <c r="D6" s="1" t="n">
        <v>72331</v>
      </c>
      <c r="E6" s="1" t="n">
        <v>80883</v>
      </c>
      <c r="F6" s="1" t="n">
        <f aca="false">F2*F4</f>
        <v>91932.42663</v>
      </c>
      <c r="G6" s="1" t="n">
        <f aca="false">G2*G4</f>
        <v>105281.175016367</v>
      </c>
      <c r="H6" s="1" t="n">
        <f aca="false">H2*H4</f>
        <v>118320.874842982</v>
      </c>
      <c r="I6" s="1" t="n">
        <f aca="false">I2*I4</f>
        <v>132596.771146647</v>
      </c>
      <c r="J6" s="1" t="n">
        <f aca="false">J2*J4</f>
        <v>148595.112585571</v>
      </c>
      <c r="K6" s="1" t="n">
        <f aca="false">K2*K4</f>
        <v>166523.719192968</v>
      </c>
      <c r="L6" s="1" t="n">
        <f aca="false">L2*L4</f>
        <v>186615.485336973</v>
      </c>
      <c r="M6" s="1" t="n">
        <f aca="false">M2*M4</f>
        <v>209131.405041454</v>
      </c>
      <c r="N6" s="1" t="n">
        <f aca="false">N2*N4</f>
        <v>234363.962324126</v>
      </c>
      <c r="O6" s="1" t="n">
        <f aca="false">O2*O4</f>
        <v>262640.930592786</v>
      </c>
      <c r="P6" s="1" t="n">
        <f aca="false">P2*P4</f>
        <v>294329.630454211</v>
      </c>
      <c r="Q6" s="1" t="n">
        <f aca="false">Q2*Q4</f>
        <v>329841.701245068</v>
      </c>
      <c r="R6" s="1" t="n">
        <f aca="false">R2*R4</f>
        <v>369638.448267498</v>
      </c>
      <c r="S6" s="1" t="n">
        <f aca="false">S2*S4</f>
        <v>414236.835190489</v>
      </c>
      <c r="T6" s="1" t="n">
        <f aca="false">T2*T4</f>
        <v>464216.199458925</v>
      </c>
      <c r="U6" s="1" t="n">
        <f aca="false">U2*U4</f>
        <v>520225.777944134</v>
      </c>
      <c r="V6" s="1" t="n">
        <f aca="false">V2*V4</f>
        <v>582993.140594885</v>
      </c>
      <c r="W6" s="1" t="n">
        <f aca="false">W2*W4</f>
        <v>653333.641642775</v>
      </c>
      <c r="X6" s="1" t="n">
        <f aca="false">X2*X4</f>
        <v>732161.011134125</v>
      </c>
      <c r="Y6" s="1" t="n">
        <f aca="false">Y2*Y4</f>
        <v>820499.224373397</v>
      </c>
    </row>
    <row r="8" customFormat="false" ht="15" hidden="false" customHeight="true" outlineLevel="0" collapsed="false">
      <c r="A8" s="1" t="s">
        <v>25</v>
      </c>
      <c r="B8" s="1" t="n">
        <f aca="false">AVERAGE(C5:F5)</f>
        <v>0.0672896000377424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26</v>
      </c>
      <c r="B1" s="1" t="s">
        <v>27</v>
      </c>
      <c r="C1" s="1" t="s">
        <v>4</v>
      </c>
      <c r="D1" s="1" t="s">
        <v>28</v>
      </c>
    </row>
    <row r="2" customFormat="false" ht="15" hidden="false" customHeight="true" outlineLevel="0" collapsed="false">
      <c r="A2" s="1" t="s">
        <v>29</v>
      </c>
      <c r="B2" s="1" t="n">
        <v>3887.1052631579</v>
      </c>
      <c r="C2" s="1" t="n">
        <v>1074.86842105263</v>
      </c>
      <c r="D2" s="1" t="n">
        <v>231.921052631579</v>
      </c>
    </row>
    <row r="3" customFormat="false" ht="15" hidden="false" customHeight="true" outlineLevel="0" collapsed="false">
      <c r="A3" s="1" t="s">
        <v>30</v>
      </c>
      <c r="B3" s="1" t="n">
        <v>3887.1052631579</v>
      </c>
      <c r="C3" s="1" t="n">
        <v>1074.86842105263</v>
      </c>
      <c r="D3" s="1" t="n">
        <v>231.921052631579</v>
      </c>
    </row>
    <row r="4" customFormat="false" ht="15" hidden="false" customHeight="true" outlineLevel="0" collapsed="false">
      <c r="A4" s="1" t="s">
        <v>31</v>
      </c>
      <c r="B4" s="1" t="n">
        <v>5830.65789473684</v>
      </c>
      <c r="C4" s="1" t="n">
        <v>2149.73684210526</v>
      </c>
      <c r="D4" s="1" t="n">
        <v>231.921052631579</v>
      </c>
    </row>
    <row r="5" customFormat="false" ht="15" hidden="false" customHeight="true" outlineLevel="0" collapsed="false">
      <c r="A5" s="1" t="s">
        <v>32</v>
      </c>
      <c r="B5" s="1" t="n">
        <v>5830.65789473684</v>
      </c>
      <c r="C5" s="1" t="n">
        <v>2149.73684210526</v>
      </c>
      <c r="D5" s="1" t="n">
        <v>231.921052631579</v>
      </c>
    </row>
    <row r="6" customFormat="false" ht="15" hidden="false" customHeight="true" outlineLevel="0" collapsed="false">
      <c r="A6" s="1" t="s">
        <v>33</v>
      </c>
      <c r="B6" s="1" t="n">
        <v>5830.65789473684</v>
      </c>
      <c r="C6" s="1" t="n">
        <v>2149.73684210526</v>
      </c>
      <c r="D6" s="1" t="n">
        <v>231.921052631579</v>
      </c>
    </row>
    <row r="7" customFormat="false" ht="15" hidden="false" customHeight="true" outlineLevel="0" collapsed="false">
      <c r="A7" s="1" t="s">
        <v>34</v>
      </c>
      <c r="B7" s="1" t="n">
        <v>5830.65789473684</v>
      </c>
      <c r="C7" s="1" t="n">
        <v>2149.73684210526</v>
      </c>
      <c r="D7" s="1" t="n">
        <v>231.921052631579</v>
      </c>
    </row>
    <row r="8" customFormat="false" ht="15" hidden="false" customHeight="true" outlineLevel="0" collapsed="false">
      <c r="A8" s="1" t="s">
        <v>35</v>
      </c>
      <c r="B8" s="1" t="n">
        <v>5830.65789473684</v>
      </c>
      <c r="C8" s="1" t="n">
        <v>2149.73684210526</v>
      </c>
      <c r="D8" s="1" t="n">
        <v>231.921052631579</v>
      </c>
    </row>
    <row r="9" customFormat="false" ht="15" hidden="false" customHeight="true" outlineLevel="0" collapsed="false">
      <c r="A9" s="1" t="s">
        <v>36</v>
      </c>
      <c r="B9" s="1" t="n">
        <v>5830.65789473684</v>
      </c>
      <c r="C9" s="1" t="n">
        <v>2149.73684210526</v>
      </c>
      <c r="D9" s="1" t="n">
        <v>231.921052631579</v>
      </c>
    </row>
    <row r="10" customFormat="false" ht="15" hidden="false" customHeight="true" outlineLevel="0" collapsed="false">
      <c r="A10" s="1" t="s">
        <v>37</v>
      </c>
      <c r="B10" s="1" t="n">
        <v>5830.65789473684</v>
      </c>
      <c r="C10" s="1" t="n">
        <v>2149.73684210526</v>
      </c>
      <c r="D10" s="1" t="n">
        <v>231.921052631579</v>
      </c>
    </row>
    <row r="11" customFormat="false" ht="15" hidden="false" customHeight="true" outlineLevel="0" collapsed="false">
      <c r="A11" s="1" t="s">
        <v>38</v>
      </c>
      <c r="B11" s="1" t="n">
        <v>5830.65789473684</v>
      </c>
      <c r="C11" s="1" t="n">
        <v>2149.73684210526</v>
      </c>
      <c r="D11" s="1" t="n">
        <v>231.921052631579</v>
      </c>
    </row>
    <row r="12" customFormat="false" ht="15" hidden="false" customHeight="true" outlineLevel="0" collapsed="false">
      <c r="A12" s="1" t="s">
        <v>39</v>
      </c>
      <c r="B12" s="1" t="n">
        <v>5830.65789473684</v>
      </c>
      <c r="C12" s="1" t="n">
        <v>2149.73684210526</v>
      </c>
      <c r="D12" s="1" t="n">
        <v>231.921052631579</v>
      </c>
    </row>
    <row r="13" customFormat="false" ht="15" hidden="false" customHeight="true" outlineLevel="0" collapsed="false">
      <c r="A13" s="1" t="s">
        <v>40</v>
      </c>
      <c r="B13" s="1" t="n">
        <v>5830.65789473684</v>
      </c>
      <c r="C13" s="1" t="n">
        <v>2149.73684210526</v>
      </c>
      <c r="D13" s="1" t="n">
        <v>231.921052631579</v>
      </c>
    </row>
    <row r="14" customFormat="false" ht="15" hidden="false" customHeight="true" outlineLevel="0" collapsed="false">
      <c r="A14" s="1" t="s">
        <v>41</v>
      </c>
      <c r="B14" s="1" t="n">
        <v>5830.65789473684</v>
      </c>
      <c r="C14" s="1" t="n">
        <v>2149.73684210526</v>
      </c>
      <c r="D14" s="1" t="n">
        <v>231.921052631579</v>
      </c>
    </row>
    <row r="15" customFormat="false" ht="15" hidden="false" customHeight="true" outlineLevel="0" collapsed="false">
      <c r="A15" s="1" t="s">
        <v>42</v>
      </c>
      <c r="B15" s="1" t="n">
        <v>3887.1052631579</v>
      </c>
      <c r="C15" s="1" t="n">
        <v>1074.86842105263</v>
      </c>
      <c r="D15" s="1" t="n">
        <v>231.921052631579</v>
      </c>
    </row>
    <row r="16" customFormat="false" ht="15" hidden="false" customHeight="true" outlineLevel="0" collapsed="false">
      <c r="A16" s="1" t="s">
        <v>43</v>
      </c>
      <c r="B16" s="1" t="n">
        <v>3887.1052631579</v>
      </c>
      <c r="C16" s="1" t="n">
        <v>1074.86842105263</v>
      </c>
      <c r="D16" s="1" t="n">
        <v>231.921052631579</v>
      </c>
    </row>
    <row r="17" customFormat="false" ht="15" hidden="false" customHeight="true" outlineLevel="0" collapsed="false">
      <c r="A17" s="1" t="s">
        <v>44</v>
      </c>
      <c r="B17" s="1" t="n">
        <v>3887.1052631579</v>
      </c>
      <c r="C17" s="1" t="n">
        <v>1074.86842105263</v>
      </c>
      <c r="D17" s="1" t="n">
        <v>231.921052631579</v>
      </c>
    </row>
    <row r="18" customFormat="false" ht="15" hidden="false" customHeight="true" outlineLevel="0" collapsed="false">
      <c r="A18" s="1" t="s">
        <v>45</v>
      </c>
      <c r="B18" s="1" t="n">
        <v>3887.1052631579</v>
      </c>
      <c r="C18" s="1" t="n">
        <v>1074.86842105263</v>
      </c>
      <c r="D18" s="1" t="n">
        <v>231.921052631579</v>
      </c>
    </row>
    <row r="19" customFormat="false" ht="15" hidden="false" customHeight="true" outlineLevel="0" collapsed="false">
      <c r="A19" s="1" t="s">
        <v>46</v>
      </c>
      <c r="B19" s="1" t="n">
        <v>7774.21052631579</v>
      </c>
      <c r="C19" s="1" t="n">
        <v>537.434210526316</v>
      </c>
      <c r="D19" s="1" t="n">
        <v>231.921052631579</v>
      </c>
    </row>
    <row r="20" customFormat="false" ht="15" hidden="false" customHeight="true" outlineLevel="0" collapsed="false">
      <c r="A20" s="1" t="s">
        <v>47</v>
      </c>
      <c r="B20" s="1" t="n">
        <v>7774.21052631579</v>
      </c>
      <c r="C20" s="1" t="n">
        <v>1074.86842105263</v>
      </c>
      <c r="D20" s="1" t="n">
        <v>231.921052631579</v>
      </c>
    </row>
    <row r="21" customFormat="false" ht="15" hidden="false" customHeight="true" outlineLevel="0" collapsed="false">
      <c r="A21" s="1" t="s">
        <v>48</v>
      </c>
      <c r="B21" s="1" t="n">
        <v>3887.1052631579</v>
      </c>
      <c r="C21" s="1" t="n">
        <v>1074.86842105263</v>
      </c>
      <c r="D21" s="1" t="n">
        <v>231.921052631579</v>
      </c>
    </row>
    <row r="22" customFormat="false" ht="15" hidden="false" customHeight="true" outlineLevel="0" collapsed="false">
      <c r="A22" s="1" t="s">
        <v>49</v>
      </c>
      <c r="B22" s="1" t="n">
        <v>3887.1052631579</v>
      </c>
      <c r="C22" s="1" t="n">
        <v>1074.86842105263</v>
      </c>
      <c r="D22" s="1" t="n">
        <v>231.921052631579</v>
      </c>
    </row>
    <row r="23" customFormat="false" ht="15" hidden="false" customHeight="true" outlineLevel="0" collapsed="false">
      <c r="A23" s="1" t="s">
        <v>50</v>
      </c>
      <c r="B23" s="1" t="n">
        <v>3887.1052631579</v>
      </c>
      <c r="C23" s="1" t="n">
        <v>1074.86842105263</v>
      </c>
      <c r="D23" s="1" t="n">
        <v>231.921052631579</v>
      </c>
    </row>
    <row r="24" customFormat="false" ht="15" hidden="false" customHeight="true" outlineLevel="0" collapsed="false">
      <c r="A24" s="1" t="s">
        <v>51</v>
      </c>
      <c r="B24" s="1" t="n">
        <v>3887.1052631579</v>
      </c>
      <c r="C24" s="1" t="n">
        <v>1074.86842105263</v>
      </c>
      <c r="D24" s="1" t="n">
        <v>231.921052631579</v>
      </c>
    </row>
    <row r="25" customFormat="false" ht="15" hidden="false" customHeight="true" outlineLevel="0" collapsed="false">
      <c r="A25" s="1" t="s">
        <v>52</v>
      </c>
      <c r="B25" s="1" t="n">
        <v>3887.1052631579</v>
      </c>
      <c r="C25" s="1" t="n">
        <v>1074.86842105263</v>
      </c>
      <c r="D25" s="1" t="n">
        <v>231.921052631579</v>
      </c>
    </row>
    <row r="26" customFormat="false" ht="15" hidden="false" customHeight="true" outlineLevel="0" collapsed="false">
      <c r="A26" s="1" t="s">
        <v>53</v>
      </c>
      <c r="B26" s="1" t="n">
        <v>3887.1052631579</v>
      </c>
      <c r="C26" s="1" t="n">
        <v>1074.86842105263</v>
      </c>
      <c r="D26" s="1" t="n">
        <v>231.921052631579</v>
      </c>
    </row>
    <row r="27" customFormat="false" ht="15" hidden="false" customHeight="true" outlineLevel="0" collapsed="false">
      <c r="A27" s="1" t="s">
        <v>54</v>
      </c>
      <c r="B27" s="1" t="n">
        <v>3887.1052631579</v>
      </c>
      <c r="C27" s="1" t="n">
        <v>1074.86842105263</v>
      </c>
      <c r="D27" s="1" t="n">
        <v>231.921052631579</v>
      </c>
    </row>
    <row r="28" customFormat="false" ht="15" hidden="false" customHeight="true" outlineLevel="0" collapsed="false">
      <c r="A28" s="1" t="s">
        <v>55</v>
      </c>
      <c r="B28" s="1" t="n">
        <v>3887.1052631579</v>
      </c>
      <c r="C28" s="1" t="n">
        <v>1074.86842105263</v>
      </c>
      <c r="D28" s="1" t="n">
        <v>231.921052631579</v>
      </c>
    </row>
    <row r="29" customFormat="false" ht="15" hidden="false" customHeight="true" outlineLevel="0" collapsed="false">
      <c r="A29" s="1" t="s">
        <v>56</v>
      </c>
      <c r="B29" s="1" t="n">
        <v>3887.1052631579</v>
      </c>
      <c r="C29" s="1" t="n">
        <v>1074.86842105263</v>
      </c>
      <c r="D29" s="1" t="n">
        <v>231.921052631579</v>
      </c>
    </row>
    <row r="30" customFormat="false" ht="15" hidden="false" customHeight="true" outlineLevel="0" collapsed="false">
      <c r="A30" s="1" t="s">
        <v>57</v>
      </c>
      <c r="B30" s="1" t="n">
        <v>3887.1052631579</v>
      </c>
      <c r="C30" s="1" t="n">
        <v>1074.86842105263</v>
      </c>
      <c r="D30" s="1" t="n">
        <v>231.921052631579</v>
      </c>
    </row>
    <row r="31" customFormat="false" ht="15" hidden="false" customHeight="true" outlineLevel="0" collapsed="false">
      <c r="A31" s="1" t="s">
        <v>58</v>
      </c>
      <c r="B31" s="1" t="n">
        <v>3887.1052631579</v>
      </c>
      <c r="C31" s="1" t="n">
        <v>1074.86842105263</v>
      </c>
      <c r="D31" s="1" t="n">
        <v>231.921052631579</v>
      </c>
    </row>
    <row r="32" customFormat="false" ht="15" hidden="false" customHeight="true" outlineLevel="0" collapsed="false">
      <c r="A32" s="1" t="s">
        <v>59</v>
      </c>
      <c r="B32" s="1" t="n">
        <v>3887.1052631579</v>
      </c>
      <c r="C32" s="1" t="n">
        <v>1074.86842105263</v>
      </c>
      <c r="D32" s="1" t="n">
        <v>231.921052631579</v>
      </c>
    </row>
    <row r="33" customFormat="false" ht="15" hidden="false" customHeight="true" outlineLevel="0" collapsed="false">
      <c r="A33" s="1" t="s">
        <v>60</v>
      </c>
      <c r="B33" s="1" t="n">
        <v>3887.1052631579</v>
      </c>
      <c r="C33" s="1" t="n">
        <v>1074.86842105263</v>
      </c>
      <c r="D33" s="1" t="n">
        <v>231.921052631579</v>
      </c>
    </row>
    <row r="34" customFormat="false" ht="15" hidden="false" customHeight="true" outlineLevel="0" collapsed="false">
      <c r="A34" s="1" t="s">
        <v>61</v>
      </c>
      <c r="B34" s="1" t="n">
        <v>3887.1052631579</v>
      </c>
      <c r="C34" s="1" t="n">
        <v>1074.86842105263</v>
      </c>
      <c r="D34" s="1" t="n">
        <v>231.921052631579</v>
      </c>
    </row>
    <row r="35" customFormat="false" ht="15" hidden="false" customHeight="true" outlineLevel="0" collapsed="false">
      <c r="A35" s="1" t="s">
        <v>62</v>
      </c>
      <c r="B35" s="1" t="n">
        <v>3887.1052631579</v>
      </c>
      <c r="C35" s="1" t="n">
        <v>1074.86842105263</v>
      </c>
      <c r="D35" s="1" t="n">
        <v>231.921052631579</v>
      </c>
    </row>
    <row r="36" customFormat="false" ht="15" hidden="false" customHeight="true" outlineLevel="0" collapsed="false">
      <c r="A36" s="1" t="s">
        <v>63</v>
      </c>
      <c r="B36" s="1" t="n">
        <v>3887.1052631579</v>
      </c>
      <c r="C36" s="1" t="n">
        <v>1074.86842105263</v>
      </c>
      <c r="D36" s="1" t="n">
        <v>231.921052631579</v>
      </c>
    </row>
    <row r="37" customFormat="false" ht="15" hidden="false" customHeight="true" outlineLevel="0" collapsed="false">
      <c r="A37" s="1" t="s">
        <v>64</v>
      </c>
      <c r="B37" s="1" t="n">
        <v>3887.1052631579</v>
      </c>
      <c r="C37" s="1" t="n">
        <v>1074.86842105263</v>
      </c>
      <c r="D37" s="1" t="n">
        <v>231.921052631579</v>
      </c>
    </row>
    <row r="38" customFormat="false" ht="15" hidden="false" customHeight="true" outlineLevel="0" collapsed="false">
      <c r="A38" s="1" t="s">
        <v>65</v>
      </c>
      <c r="B38" s="1" t="n">
        <v>3887.1052631579</v>
      </c>
      <c r="C38" s="1" t="n">
        <v>1074.86842105263</v>
      </c>
      <c r="D38" s="1" t="n">
        <v>231.921052631579</v>
      </c>
    </row>
    <row r="39" customFormat="false" ht="15" hidden="false" customHeight="true" outlineLevel="0" collapsed="false">
      <c r="A39" s="1" t="s">
        <v>66</v>
      </c>
      <c r="B39" s="1" t="n">
        <v>3887.1052631579</v>
      </c>
      <c r="C39" s="1" t="n">
        <v>1074.86842105263</v>
      </c>
      <c r="D39" s="1" t="n">
        <v>231.921052631579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26</v>
      </c>
      <c r="B1" s="1" t="s">
        <v>67</v>
      </c>
      <c r="C1" s="1" t="s">
        <v>68</v>
      </c>
      <c r="D1" s="1" t="s">
        <v>69</v>
      </c>
      <c r="E1" s="1" t="s">
        <v>70</v>
      </c>
    </row>
    <row r="2" customFormat="false" ht="15" hidden="false" customHeight="true" outlineLevel="0" collapsed="false">
      <c r="A2" s="1" t="s">
        <v>29</v>
      </c>
      <c r="B2" s="1" t="n">
        <v>2062.36842105263</v>
      </c>
      <c r="C2" s="1" t="n">
        <v>1791.78947368421</v>
      </c>
      <c r="D2" s="1" t="n">
        <v>502.894736842105</v>
      </c>
      <c r="E2" s="1" t="n">
        <v>836.052631578947</v>
      </c>
    </row>
    <row r="3" customFormat="false" ht="15" hidden="false" customHeight="true" outlineLevel="0" collapsed="false">
      <c r="A3" s="1" t="s">
        <v>30</v>
      </c>
      <c r="B3" s="1" t="n">
        <v>2062.36842105263</v>
      </c>
      <c r="C3" s="1" t="n">
        <v>1791.78947368421</v>
      </c>
      <c r="D3" s="1" t="n">
        <v>502.894736842105</v>
      </c>
      <c r="E3" s="1" t="n">
        <v>836.052631578947</v>
      </c>
    </row>
    <row r="4" customFormat="false" ht="15" hidden="false" customHeight="true" outlineLevel="0" collapsed="false">
      <c r="A4" s="1" t="s">
        <v>31</v>
      </c>
      <c r="B4" s="1" t="n">
        <v>2062.36842105263</v>
      </c>
      <c r="C4" s="1" t="n">
        <v>1791.78947368421</v>
      </c>
      <c r="D4" s="1" t="n">
        <v>502.894736842105</v>
      </c>
      <c r="E4" s="1" t="n">
        <v>1672.1052631579</v>
      </c>
    </row>
    <row r="5" customFormat="false" ht="15" hidden="false" customHeight="true" outlineLevel="0" collapsed="false">
      <c r="A5" s="1" t="s">
        <v>32</v>
      </c>
      <c r="B5" s="1" t="n">
        <v>2062.36842105263</v>
      </c>
      <c r="C5" s="1" t="n">
        <v>1791.78947368421</v>
      </c>
      <c r="D5" s="1" t="n">
        <v>502.894736842105</v>
      </c>
      <c r="E5" s="1" t="n">
        <v>1672.1052631579</v>
      </c>
    </row>
    <row r="6" customFormat="false" ht="15" hidden="false" customHeight="true" outlineLevel="0" collapsed="false">
      <c r="A6" s="1" t="s">
        <v>33</v>
      </c>
      <c r="B6" s="1" t="n">
        <v>2062.36842105263</v>
      </c>
      <c r="C6" s="1" t="n">
        <v>1791.78947368421</v>
      </c>
      <c r="D6" s="1" t="n">
        <v>502.894736842105</v>
      </c>
      <c r="E6" s="1" t="n">
        <v>1672.1052631579</v>
      </c>
    </row>
    <row r="7" customFormat="false" ht="15" hidden="false" customHeight="true" outlineLevel="0" collapsed="false">
      <c r="A7" s="1" t="s">
        <v>34</v>
      </c>
      <c r="B7" s="1" t="n">
        <v>2062.36842105263</v>
      </c>
      <c r="C7" s="1" t="n">
        <v>1791.78947368421</v>
      </c>
      <c r="D7" s="1" t="n">
        <v>502.894736842105</v>
      </c>
      <c r="E7" s="1" t="n">
        <v>1672.1052631579</v>
      </c>
    </row>
    <row r="8" customFormat="false" ht="15" hidden="false" customHeight="true" outlineLevel="0" collapsed="false">
      <c r="A8" s="1" t="s">
        <v>35</v>
      </c>
      <c r="B8" s="1" t="n">
        <v>2062.36842105263</v>
      </c>
      <c r="C8" s="1" t="n">
        <v>1791.78947368421</v>
      </c>
      <c r="D8" s="1" t="n">
        <v>502.894736842105</v>
      </c>
      <c r="E8" s="1" t="n">
        <v>1672.1052631579</v>
      </c>
    </row>
    <row r="9" customFormat="false" ht="15" hidden="false" customHeight="true" outlineLevel="0" collapsed="false">
      <c r="A9" s="1" t="s">
        <v>36</v>
      </c>
      <c r="B9" s="1" t="n">
        <v>2062.36842105263</v>
      </c>
      <c r="C9" s="1" t="n">
        <v>1791.78947368421</v>
      </c>
      <c r="D9" s="1" t="n">
        <v>502.894736842105</v>
      </c>
      <c r="E9" s="1" t="n">
        <v>1672.1052631579</v>
      </c>
    </row>
    <row r="10" customFormat="false" ht="15" hidden="false" customHeight="true" outlineLevel="0" collapsed="false">
      <c r="A10" s="1" t="s">
        <v>37</v>
      </c>
      <c r="B10" s="1" t="n">
        <v>2062.36842105263</v>
      </c>
      <c r="C10" s="1" t="n">
        <v>1791.78947368421</v>
      </c>
      <c r="D10" s="1" t="n">
        <v>502.894736842105</v>
      </c>
      <c r="E10" s="1" t="n">
        <v>1672.1052631579</v>
      </c>
    </row>
    <row r="11" customFormat="false" ht="15" hidden="false" customHeight="true" outlineLevel="0" collapsed="false">
      <c r="A11" s="1" t="s">
        <v>38</v>
      </c>
      <c r="B11" s="1" t="n">
        <v>2062.36842105263</v>
      </c>
      <c r="C11" s="1" t="n">
        <v>1791.78947368421</v>
      </c>
      <c r="D11" s="1" t="n">
        <v>502.894736842105</v>
      </c>
      <c r="E11" s="1" t="n">
        <v>1672.1052631579</v>
      </c>
    </row>
    <row r="12" customFormat="false" ht="15" hidden="false" customHeight="true" outlineLevel="0" collapsed="false">
      <c r="A12" s="1" t="s">
        <v>39</v>
      </c>
      <c r="B12" s="1" t="n">
        <v>2062.36842105263</v>
      </c>
      <c r="C12" s="1" t="n">
        <v>1791.78947368421</v>
      </c>
      <c r="D12" s="1" t="n">
        <v>502.894736842105</v>
      </c>
      <c r="E12" s="1" t="n">
        <v>1672.1052631579</v>
      </c>
    </row>
    <row r="13" customFormat="false" ht="15" hidden="false" customHeight="true" outlineLevel="0" collapsed="false">
      <c r="A13" s="1" t="s">
        <v>40</v>
      </c>
      <c r="B13" s="1" t="n">
        <v>2062.36842105263</v>
      </c>
      <c r="C13" s="1" t="n">
        <v>1791.78947368421</v>
      </c>
      <c r="D13" s="1" t="n">
        <v>502.894736842105</v>
      </c>
      <c r="E13" s="1" t="n">
        <v>1672.1052631579</v>
      </c>
    </row>
    <row r="14" customFormat="false" ht="15" hidden="false" customHeight="true" outlineLevel="0" collapsed="false">
      <c r="A14" s="1" t="s">
        <v>41</v>
      </c>
      <c r="B14" s="1" t="n">
        <v>2062.36842105263</v>
      </c>
      <c r="C14" s="1" t="n">
        <v>1791.78947368421</v>
      </c>
      <c r="D14" s="1" t="n">
        <v>502.894736842105</v>
      </c>
      <c r="E14" s="1" t="n">
        <v>1672.1052631579</v>
      </c>
    </row>
    <row r="15" customFormat="false" ht="15" hidden="false" customHeight="true" outlineLevel="0" collapsed="false">
      <c r="A15" s="1" t="s">
        <v>42</v>
      </c>
      <c r="B15" s="1" t="n">
        <v>2062.36842105263</v>
      </c>
      <c r="C15" s="1" t="n">
        <v>1791.78947368421</v>
      </c>
      <c r="D15" s="1" t="n">
        <v>502.894736842105</v>
      </c>
      <c r="E15" s="1" t="n">
        <v>836.052631578947</v>
      </c>
    </row>
    <row r="16" customFormat="false" ht="15" hidden="false" customHeight="true" outlineLevel="0" collapsed="false">
      <c r="A16" s="1" t="s">
        <v>43</v>
      </c>
      <c r="B16" s="1" t="n">
        <v>2062.36842105263</v>
      </c>
      <c r="C16" s="1" t="n">
        <v>1791.78947368421</v>
      </c>
      <c r="D16" s="1" t="n">
        <v>502.894736842105</v>
      </c>
      <c r="E16" s="1" t="n">
        <v>836.052631578947</v>
      </c>
    </row>
    <row r="17" customFormat="false" ht="15" hidden="false" customHeight="true" outlineLevel="0" collapsed="false">
      <c r="A17" s="1" t="s">
        <v>44</v>
      </c>
      <c r="B17" s="1" t="n">
        <v>2062.36842105263</v>
      </c>
      <c r="C17" s="1" t="n">
        <v>1791.78947368421</v>
      </c>
      <c r="D17" s="1" t="n">
        <v>502.894736842105</v>
      </c>
      <c r="E17" s="1" t="n">
        <v>836.052631578947</v>
      </c>
    </row>
    <row r="18" customFormat="false" ht="15" hidden="false" customHeight="true" outlineLevel="0" collapsed="false">
      <c r="A18" s="1" t="s">
        <v>45</v>
      </c>
      <c r="B18" s="1" t="n">
        <v>2062.36842105263</v>
      </c>
      <c r="C18" s="1" t="n">
        <v>1791.78947368421</v>
      </c>
      <c r="D18" s="1" t="n">
        <v>502.894736842105</v>
      </c>
      <c r="E18" s="1" t="n">
        <v>836.052631578947</v>
      </c>
    </row>
    <row r="19" customFormat="false" ht="15" hidden="false" customHeight="true" outlineLevel="0" collapsed="false">
      <c r="A19" s="1" t="s">
        <v>46</v>
      </c>
      <c r="B19" s="1" t="n">
        <v>2062.36842105263</v>
      </c>
      <c r="C19" s="1" t="n">
        <v>1791.78947368421</v>
      </c>
      <c r="D19" s="1" t="n">
        <v>1508.68421052632</v>
      </c>
      <c r="E19" s="1" t="n">
        <v>836.052631578947</v>
      </c>
    </row>
    <row r="20" customFormat="false" ht="15" hidden="false" customHeight="true" outlineLevel="0" collapsed="false">
      <c r="A20" s="1" t="s">
        <v>47</v>
      </c>
      <c r="B20" s="1" t="n">
        <v>2062.36842105263</v>
      </c>
      <c r="C20" s="1" t="n">
        <v>3583.57894736842</v>
      </c>
      <c r="D20" s="1" t="n">
        <v>502.894736842105</v>
      </c>
      <c r="E20" s="1" t="n">
        <v>836.052631578947</v>
      </c>
    </row>
    <row r="21" customFormat="false" ht="15" hidden="false" customHeight="true" outlineLevel="0" collapsed="false">
      <c r="A21" s="1" t="s">
        <v>48</v>
      </c>
      <c r="B21" s="1" t="n">
        <v>2062.36842105263</v>
      </c>
      <c r="C21" s="1" t="n">
        <v>1791.78947368421</v>
      </c>
      <c r="D21" s="1" t="n">
        <v>502.894736842105</v>
      </c>
      <c r="E21" s="1" t="n">
        <v>836.052631578947</v>
      </c>
    </row>
    <row r="22" customFormat="false" ht="15" hidden="false" customHeight="true" outlineLevel="0" collapsed="false">
      <c r="A22" s="1" t="s">
        <v>49</v>
      </c>
      <c r="B22" s="1" t="n">
        <v>2062.36842105263</v>
      </c>
      <c r="C22" s="1" t="n">
        <v>1791.78947368421</v>
      </c>
      <c r="D22" s="1" t="n">
        <v>502.894736842105</v>
      </c>
      <c r="E22" s="1" t="n">
        <v>836.052631578947</v>
      </c>
    </row>
    <row r="23" customFormat="false" ht="15" hidden="false" customHeight="true" outlineLevel="0" collapsed="false">
      <c r="A23" s="1" t="s">
        <v>50</v>
      </c>
      <c r="B23" s="1" t="n">
        <v>2062.36842105263</v>
      </c>
      <c r="C23" s="1" t="n">
        <v>1791.78947368421</v>
      </c>
      <c r="D23" s="1" t="n">
        <v>502.894736842105</v>
      </c>
      <c r="E23" s="1" t="n">
        <v>836.052631578947</v>
      </c>
    </row>
    <row r="24" customFormat="false" ht="15" hidden="false" customHeight="true" outlineLevel="0" collapsed="false">
      <c r="A24" s="1" t="s">
        <v>51</v>
      </c>
      <c r="B24" s="1" t="n">
        <v>2062.36842105263</v>
      </c>
      <c r="C24" s="1" t="n">
        <v>1791.78947368421</v>
      </c>
      <c r="D24" s="1" t="n">
        <v>502.894736842105</v>
      </c>
      <c r="E24" s="1" t="n">
        <v>836.052631578947</v>
      </c>
    </row>
    <row r="25" customFormat="false" ht="15" hidden="false" customHeight="true" outlineLevel="0" collapsed="false">
      <c r="A25" s="1" t="s">
        <v>52</v>
      </c>
      <c r="B25" s="1" t="n">
        <v>2062.36842105263</v>
      </c>
      <c r="C25" s="1" t="n">
        <v>1791.78947368421</v>
      </c>
      <c r="D25" s="1" t="n">
        <v>502.894736842105</v>
      </c>
      <c r="E25" s="1" t="n">
        <v>836.052631578947</v>
      </c>
    </row>
    <row r="26" customFormat="false" ht="15" hidden="false" customHeight="true" outlineLevel="0" collapsed="false">
      <c r="A26" s="1" t="s">
        <v>53</v>
      </c>
      <c r="B26" s="1" t="n">
        <v>2062.36842105263</v>
      </c>
      <c r="C26" s="1" t="n">
        <v>1791.78947368421</v>
      </c>
      <c r="D26" s="1" t="n">
        <v>502.894736842105</v>
      </c>
      <c r="E26" s="1" t="n">
        <v>836.052631578947</v>
      </c>
    </row>
    <row r="27" customFormat="false" ht="15" hidden="false" customHeight="true" outlineLevel="0" collapsed="false">
      <c r="A27" s="1" t="s">
        <v>54</v>
      </c>
      <c r="B27" s="1" t="n">
        <v>2062.36842105263</v>
      </c>
      <c r="C27" s="1" t="n">
        <v>1791.78947368421</v>
      </c>
      <c r="D27" s="1" t="n">
        <v>502.894736842105</v>
      </c>
      <c r="E27" s="1" t="n">
        <v>836.052631578947</v>
      </c>
    </row>
    <row r="28" customFormat="false" ht="15" hidden="false" customHeight="true" outlineLevel="0" collapsed="false">
      <c r="A28" s="1" t="s">
        <v>55</v>
      </c>
      <c r="B28" s="1" t="n">
        <v>2062.36842105263</v>
      </c>
      <c r="C28" s="1" t="n">
        <v>1791.78947368421</v>
      </c>
      <c r="D28" s="1" t="n">
        <v>502.894736842105</v>
      </c>
      <c r="E28" s="1" t="n">
        <v>836.052631578947</v>
      </c>
    </row>
    <row r="29" customFormat="false" ht="15" hidden="false" customHeight="true" outlineLevel="0" collapsed="false">
      <c r="A29" s="1" t="s">
        <v>56</v>
      </c>
      <c r="B29" s="1" t="n">
        <v>2062.36842105263</v>
      </c>
      <c r="C29" s="1" t="n">
        <v>1791.78947368421</v>
      </c>
      <c r="D29" s="1" t="n">
        <v>502.894736842105</v>
      </c>
      <c r="E29" s="1" t="n">
        <v>836.052631578947</v>
      </c>
    </row>
    <row r="30" customFormat="false" ht="15" hidden="false" customHeight="true" outlineLevel="0" collapsed="false">
      <c r="A30" s="1" t="s">
        <v>57</v>
      </c>
      <c r="B30" s="1" t="n">
        <v>2062.36842105263</v>
      </c>
      <c r="C30" s="1" t="n">
        <v>1791.78947368421</v>
      </c>
      <c r="D30" s="1" t="n">
        <v>502.894736842105</v>
      </c>
      <c r="E30" s="1" t="n">
        <v>836.052631578947</v>
      </c>
    </row>
    <row r="31" customFormat="false" ht="15" hidden="false" customHeight="true" outlineLevel="0" collapsed="false">
      <c r="A31" s="1" t="s">
        <v>58</v>
      </c>
      <c r="B31" s="1" t="n">
        <v>2062.36842105263</v>
      </c>
      <c r="C31" s="1" t="n">
        <v>1791.78947368421</v>
      </c>
      <c r="D31" s="1" t="n">
        <v>502.894736842105</v>
      </c>
      <c r="E31" s="1" t="n">
        <v>836.052631578947</v>
      </c>
    </row>
    <row r="32" customFormat="false" ht="15" hidden="false" customHeight="true" outlineLevel="0" collapsed="false">
      <c r="A32" s="1" t="s">
        <v>59</v>
      </c>
      <c r="B32" s="1" t="n">
        <v>2062.36842105263</v>
      </c>
      <c r="C32" s="1" t="n">
        <v>1791.78947368421</v>
      </c>
      <c r="D32" s="1" t="n">
        <v>502.894736842105</v>
      </c>
      <c r="E32" s="1" t="n">
        <v>836.052631578947</v>
      </c>
    </row>
    <row r="33" customFormat="false" ht="15" hidden="false" customHeight="true" outlineLevel="0" collapsed="false">
      <c r="A33" s="1" t="s">
        <v>60</v>
      </c>
      <c r="B33" s="1" t="n">
        <v>2062.36842105263</v>
      </c>
      <c r="C33" s="1" t="n">
        <v>1791.78947368421</v>
      </c>
      <c r="D33" s="1" t="n">
        <v>502.894736842105</v>
      </c>
      <c r="E33" s="1" t="n">
        <v>836.052631578947</v>
      </c>
    </row>
    <row r="34" customFormat="false" ht="15" hidden="false" customHeight="true" outlineLevel="0" collapsed="false">
      <c r="A34" s="1" t="s">
        <v>61</v>
      </c>
      <c r="B34" s="1" t="n">
        <v>2062.36842105263</v>
      </c>
      <c r="C34" s="1" t="n">
        <v>1791.78947368421</v>
      </c>
      <c r="D34" s="1" t="n">
        <v>502.894736842105</v>
      </c>
      <c r="E34" s="1" t="n">
        <v>836.052631578947</v>
      </c>
    </row>
    <row r="35" customFormat="false" ht="15" hidden="false" customHeight="true" outlineLevel="0" collapsed="false">
      <c r="A35" s="1" t="s">
        <v>62</v>
      </c>
      <c r="B35" s="1" t="n">
        <v>2062.36842105263</v>
      </c>
      <c r="C35" s="1" t="n">
        <v>1791.78947368421</v>
      </c>
      <c r="D35" s="1" t="n">
        <v>502.894736842105</v>
      </c>
      <c r="E35" s="1" t="n">
        <v>836.052631578947</v>
      </c>
    </row>
    <row r="36" customFormat="false" ht="15" hidden="false" customHeight="true" outlineLevel="0" collapsed="false">
      <c r="A36" s="1" t="s">
        <v>63</v>
      </c>
      <c r="B36" s="1" t="n">
        <v>2062.36842105263</v>
      </c>
      <c r="C36" s="1" t="n">
        <v>1791.78947368421</v>
      </c>
      <c r="D36" s="1" t="n">
        <v>502.894736842105</v>
      </c>
      <c r="E36" s="1" t="n">
        <v>836.052631578947</v>
      </c>
    </row>
    <row r="37" customFormat="false" ht="15" hidden="false" customHeight="true" outlineLevel="0" collapsed="false">
      <c r="A37" s="1" t="s">
        <v>64</v>
      </c>
      <c r="B37" s="1" t="n">
        <v>2062.36842105263</v>
      </c>
      <c r="C37" s="1" t="n">
        <v>1791.78947368421</v>
      </c>
      <c r="D37" s="1" t="n">
        <v>502.894736842105</v>
      </c>
      <c r="E37" s="1" t="n">
        <v>836.052631578947</v>
      </c>
    </row>
    <row r="38" customFormat="false" ht="15" hidden="false" customHeight="true" outlineLevel="0" collapsed="false">
      <c r="A38" s="1" t="s">
        <v>65</v>
      </c>
      <c r="B38" s="1" t="n">
        <v>2062.36842105263</v>
      </c>
      <c r="C38" s="1" t="n">
        <v>1791.78947368421</v>
      </c>
      <c r="D38" s="1" t="n">
        <v>502.894736842105</v>
      </c>
      <c r="E38" s="1" t="n">
        <v>836.052631578947</v>
      </c>
    </row>
    <row r="39" customFormat="false" ht="15" hidden="false" customHeight="true" outlineLevel="0" collapsed="false">
      <c r="A39" s="1" t="s">
        <v>66</v>
      </c>
      <c r="B39" s="1" t="n">
        <v>2062.36842105263</v>
      </c>
      <c r="C39" s="1" t="n">
        <v>1791.78947368421</v>
      </c>
      <c r="D39" s="1" t="n">
        <v>502.894736842105</v>
      </c>
      <c r="E39" s="1" t="n">
        <v>836.052631578947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26</v>
      </c>
      <c r="C1" s="1" t="s">
        <v>27</v>
      </c>
      <c r="D1" s="1" t="s">
        <v>4</v>
      </c>
      <c r="E1" s="1" t="s">
        <v>67</v>
      </c>
      <c r="F1" s="1" t="s">
        <v>28</v>
      </c>
      <c r="G1" s="1" t="s">
        <v>71</v>
      </c>
      <c r="H1" s="1" t="s">
        <v>69</v>
      </c>
    </row>
    <row r="2" customFormat="false" ht="15" hidden="false" customHeight="true" outlineLevel="0" collapsed="false">
      <c r="A2" s="1" t="s">
        <v>29</v>
      </c>
      <c r="C2" s="1" t="n">
        <f aca="false">SUPPLY!B2</f>
        <v>3887.1052631579</v>
      </c>
      <c r="D2" s="1" t="n">
        <f aca="false">SUPPLY!C2</f>
        <v>1074.86842105263</v>
      </c>
      <c r="E2" s="1" t="n">
        <f aca="false">USE!B2</f>
        <v>2062.36842105263</v>
      </c>
      <c r="F2" s="1" t="n">
        <f aca="false">SUPPLY!D2</f>
        <v>231.921052631579</v>
      </c>
      <c r="G2" s="1" t="n">
        <f aca="false">C2+D2+F2</f>
        <v>5193.89473684211</v>
      </c>
      <c r="H2" s="1" t="n">
        <f aca="false">USE!D2</f>
        <v>502.894736842105</v>
      </c>
    </row>
    <row r="3" customFormat="false" ht="15" hidden="false" customHeight="true" outlineLevel="0" collapsed="false">
      <c r="A3" s="1" t="s">
        <v>30</v>
      </c>
      <c r="C3" s="1" t="n">
        <f aca="false">SUPPLY!B3</f>
        <v>3887.1052631579</v>
      </c>
      <c r="D3" s="1" t="n">
        <f aca="false">SUPPLY!C3</f>
        <v>1074.86842105263</v>
      </c>
      <c r="E3" s="1" t="n">
        <f aca="false">USE!B3</f>
        <v>2062.36842105263</v>
      </c>
      <c r="F3" s="1" t="n">
        <f aca="false">SUPPLY!D3</f>
        <v>231.921052631579</v>
      </c>
      <c r="G3" s="1" t="n">
        <f aca="false">C3+D3+F3</f>
        <v>5193.89473684211</v>
      </c>
      <c r="H3" s="1" t="n">
        <f aca="false">USE!D3</f>
        <v>502.894736842105</v>
      </c>
    </row>
    <row r="4" customFormat="false" ht="15" hidden="false" customHeight="true" outlineLevel="0" collapsed="false">
      <c r="A4" s="1" t="s">
        <v>31</v>
      </c>
      <c r="C4" s="1" t="n">
        <f aca="false">SUPPLY!B4</f>
        <v>5830.65789473684</v>
      </c>
      <c r="D4" s="1" t="n">
        <f aca="false">SUPPLY!C4</f>
        <v>2149.73684210526</v>
      </c>
      <c r="E4" s="1" t="n">
        <f aca="false">USE!B4</f>
        <v>2062.36842105263</v>
      </c>
      <c r="F4" s="1" t="n">
        <f aca="false">SUPPLY!D4</f>
        <v>231.921052631579</v>
      </c>
      <c r="G4" s="1" t="n">
        <f aca="false">C4+D4+F4</f>
        <v>8212.31578947368</v>
      </c>
      <c r="H4" s="1" t="n">
        <f aca="false">USE!D4</f>
        <v>502.894736842105</v>
      </c>
    </row>
    <row r="5" customFormat="false" ht="15" hidden="false" customHeight="true" outlineLevel="0" collapsed="false">
      <c r="A5" s="1" t="s">
        <v>32</v>
      </c>
      <c r="C5" s="1" t="n">
        <f aca="false">SUPPLY!B5</f>
        <v>5830.65789473684</v>
      </c>
      <c r="D5" s="1" t="n">
        <f aca="false">SUPPLY!C5</f>
        <v>2149.73684210526</v>
      </c>
      <c r="E5" s="1" t="n">
        <f aca="false">USE!B5</f>
        <v>2062.36842105263</v>
      </c>
      <c r="F5" s="1" t="n">
        <f aca="false">SUPPLY!D5</f>
        <v>231.921052631579</v>
      </c>
      <c r="G5" s="1" t="n">
        <f aca="false">C5+D5+F5</f>
        <v>8212.31578947368</v>
      </c>
      <c r="H5" s="1" t="n">
        <f aca="false">USE!D5</f>
        <v>502.894736842105</v>
      </c>
    </row>
    <row r="6" customFormat="false" ht="15" hidden="false" customHeight="true" outlineLevel="0" collapsed="false">
      <c r="A6" s="1" t="s">
        <v>33</v>
      </c>
      <c r="C6" s="1" t="n">
        <f aca="false">SUPPLY!B6</f>
        <v>5830.65789473684</v>
      </c>
      <c r="D6" s="1" t="n">
        <f aca="false">SUPPLY!C6</f>
        <v>2149.73684210526</v>
      </c>
      <c r="E6" s="1" t="n">
        <f aca="false">USE!B6</f>
        <v>2062.36842105263</v>
      </c>
      <c r="F6" s="1" t="n">
        <f aca="false">SUPPLY!D6</f>
        <v>231.921052631579</v>
      </c>
      <c r="G6" s="1" t="n">
        <f aca="false">C6+D6+F6</f>
        <v>8212.31578947368</v>
      </c>
      <c r="H6" s="1" t="n">
        <f aca="false">USE!D6</f>
        <v>502.894736842105</v>
      </c>
    </row>
    <row r="7" customFormat="false" ht="15" hidden="false" customHeight="true" outlineLevel="0" collapsed="false">
      <c r="A7" s="1" t="s">
        <v>34</v>
      </c>
      <c r="C7" s="1" t="n">
        <f aca="false">SUPPLY!B7</f>
        <v>5830.65789473684</v>
      </c>
      <c r="D7" s="1" t="n">
        <f aca="false">SUPPLY!C7</f>
        <v>2149.73684210526</v>
      </c>
      <c r="E7" s="1" t="n">
        <f aca="false">USE!B7</f>
        <v>2062.36842105263</v>
      </c>
      <c r="F7" s="1" t="n">
        <f aca="false">SUPPLY!D7</f>
        <v>231.921052631579</v>
      </c>
      <c r="G7" s="1" t="n">
        <f aca="false">C7+D7+F7</f>
        <v>8212.31578947368</v>
      </c>
      <c r="H7" s="1" t="n">
        <f aca="false">USE!D7</f>
        <v>502.894736842105</v>
      </c>
    </row>
    <row r="8" customFormat="false" ht="15" hidden="false" customHeight="true" outlineLevel="0" collapsed="false">
      <c r="A8" s="1" t="s">
        <v>35</v>
      </c>
      <c r="C8" s="1" t="n">
        <f aca="false">SUPPLY!B8</f>
        <v>5830.65789473684</v>
      </c>
      <c r="D8" s="1" t="n">
        <f aca="false">SUPPLY!C8</f>
        <v>2149.73684210526</v>
      </c>
      <c r="E8" s="1" t="n">
        <f aca="false">USE!B8</f>
        <v>2062.36842105263</v>
      </c>
      <c r="F8" s="1" t="n">
        <f aca="false">SUPPLY!D8</f>
        <v>231.921052631579</v>
      </c>
      <c r="G8" s="1" t="n">
        <f aca="false">C8+D8+F8</f>
        <v>8212.31578947368</v>
      </c>
      <c r="H8" s="1" t="n">
        <f aca="false">USE!D8</f>
        <v>502.894736842105</v>
      </c>
    </row>
    <row r="9" customFormat="false" ht="15" hidden="false" customHeight="true" outlineLevel="0" collapsed="false">
      <c r="A9" s="1" t="s">
        <v>36</v>
      </c>
      <c r="C9" s="1" t="n">
        <f aca="false">SUPPLY!B9</f>
        <v>5830.65789473684</v>
      </c>
      <c r="D9" s="1" t="n">
        <f aca="false">SUPPLY!C9</f>
        <v>2149.73684210526</v>
      </c>
      <c r="E9" s="1" t="n">
        <f aca="false">USE!B9</f>
        <v>2062.36842105263</v>
      </c>
      <c r="F9" s="1" t="n">
        <f aca="false">SUPPLY!D9</f>
        <v>231.921052631579</v>
      </c>
      <c r="G9" s="1" t="n">
        <f aca="false">C9+D9+F9</f>
        <v>8212.31578947368</v>
      </c>
      <c r="H9" s="1" t="n">
        <f aca="false">USE!D9</f>
        <v>502.894736842105</v>
      </c>
    </row>
    <row r="10" customFormat="false" ht="15" hidden="false" customHeight="true" outlineLevel="0" collapsed="false">
      <c r="A10" s="1" t="s">
        <v>37</v>
      </c>
      <c r="C10" s="1" t="n">
        <f aca="false">SUPPLY!B10</f>
        <v>5830.65789473684</v>
      </c>
      <c r="D10" s="1" t="n">
        <f aca="false">SUPPLY!C10</f>
        <v>2149.73684210526</v>
      </c>
      <c r="E10" s="1" t="n">
        <f aca="false">USE!B10</f>
        <v>2062.36842105263</v>
      </c>
      <c r="F10" s="1" t="n">
        <f aca="false">SUPPLY!D10</f>
        <v>231.921052631579</v>
      </c>
      <c r="G10" s="1" t="n">
        <f aca="false">C10+D10+F10</f>
        <v>8212.31578947368</v>
      </c>
      <c r="H10" s="1" t="n">
        <f aca="false">USE!D10</f>
        <v>502.894736842105</v>
      </c>
    </row>
    <row r="11" customFormat="false" ht="15" hidden="false" customHeight="true" outlineLevel="0" collapsed="false">
      <c r="A11" s="1" t="s">
        <v>38</v>
      </c>
      <c r="C11" s="1" t="n">
        <f aca="false">SUPPLY!B11</f>
        <v>5830.65789473684</v>
      </c>
      <c r="D11" s="1" t="n">
        <f aca="false">SUPPLY!C11</f>
        <v>2149.73684210526</v>
      </c>
      <c r="E11" s="1" t="n">
        <f aca="false">USE!B11</f>
        <v>2062.36842105263</v>
      </c>
      <c r="F11" s="1" t="n">
        <f aca="false">SUPPLY!D11</f>
        <v>231.921052631579</v>
      </c>
      <c r="G11" s="1" t="n">
        <f aca="false">C11+D11+F11</f>
        <v>8212.31578947368</v>
      </c>
      <c r="H11" s="1" t="n">
        <f aca="false">USE!D11</f>
        <v>502.894736842105</v>
      </c>
    </row>
    <row r="12" customFormat="false" ht="15" hidden="false" customHeight="true" outlineLevel="0" collapsed="false">
      <c r="A12" s="1" t="s">
        <v>39</v>
      </c>
      <c r="C12" s="1" t="n">
        <f aca="false">SUPPLY!B12</f>
        <v>5830.65789473684</v>
      </c>
      <c r="D12" s="1" t="n">
        <f aca="false">SUPPLY!C12</f>
        <v>2149.73684210526</v>
      </c>
      <c r="E12" s="1" t="n">
        <f aca="false">USE!B12</f>
        <v>2062.36842105263</v>
      </c>
      <c r="F12" s="1" t="n">
        <f aca="false">SUPPLY!D12</f>
        <v>231.921052631579</v>
      </c>
      <c r="G12" s="1" t="n">
        <f aca="false">C12+D12+F12</f>
        <v>8212.31578947368</v>
      </c>
      <c r="H12" s="1" t="n">
        <f aca="false">USE!D12</f>
        <v>502.894736842105</v>
      </c>
    </row>
    <row r="13" customFormat="false" ht="15" hidden="false" customHeight="true" outlineLevel="0" collapsed="false">
      <c r="A13" s="1" t="s">
        <v>40</v>
      </c>
      <c r="C13" s="1" t="n">
        <f aca="false">SUPPLY!B13</f>
        <v>5830.65789473684</v>
      </c>
      <c r="D13" s="1" t="n">
        <f aca="false">SUPPLY!C13</f>
        <v>2149.73684210526</v>
      </c>
      <c r="E13" s="1" t="n">
        <f aca="false">USE!B13</f>
        <v>2062.36842105263</v>
      </c>
      <c r="F13" s="1" t="n">
        <f aca="false">SUPPLY!D13</f>
        <v>231.921052631579</v>
      </c>
      <c r="G13" s="1" t="n">
        <f aca="false">C13+D13+F13</f>
        <v>8212.31578947368</v>
      </c>
      <c r="H13" s="1" t="n">
        <f aca="false">USE!D13</f>
        <v>502.894736842105</v>
      </c>
    </row>
    <row r="14" customFormat="false" ht="15" hidden="false" customHeight="true" outlineLevel="0" collapsed="false">
      <c r="A14" s="1" t="s">
        <v>41</v>
      </c>
      <c r="C14" s="1" t="n">
        <f aca="false">SUPPLY!B14</f>
        <v>5830.65789473684</v>
      </c>
      <c r="D14" s="1" t="n">
        <f aca="false">SUPPLY!C14</f>
        <v>2149.73684210526</v>
      </c>
      <c r="E14" s="1" t="n">
        <f aca="false">USE!B14</f>
        <v>2062.36842105263</v>
      </c>
      <c r="F14" s="1" t="n">
        <f aca="false">SUPPLY!D14</f>
        <v>231.921052631579</v>
      </c>
      <c r="G14" s="1" t="n">
        <f aca="false">C14+D14+F14</f>
        <v>8212.31578947368</v>
      </c>
      <c r="H14" s="1" t="n">
        <f aca="false">USE!D14</f>
        <v>502.894736842105</v>
      </c>
    </row>
    <row r="15" customFormat="false" ht="15" hidden="false" customHeight="true" outlineLevel="0" collapsed="false">
      <c r="A15" s="1" t="s">
        <v>42</v>
      </c>
      <c r="C15" s="1" t="n">
        <f aca="false">SUPPLY!B15</f>
        <v>3887.1052631579</v>
      </c>
      <c r="D15" s="1" t="n">
        <f aca="false">SUPPLY!C15</f>
        <v>1074.86842105263</v>
      </c>
      <c r="E15" s="1" t="n">
        <f aca="false">USE!B15</f>
        <v>2062.36842105263</v>
      </c>
      <c r="F15" s="1" t="n">
        <f aca="false">SUPPLY!D15</f>
        <v>231.921052631579</v>
      </c>
      <c r="G15" s="1" t="n">
        <f aca="false">C15+D15+F15</f>
        <v>5193.89473684211</v>
      </c>
      <c r="H15" s="1" t="n">
        <f aca="false">USE!D15</f>
        <v>502.894736842105</v>
      </c>
    </row>
    <row r="16" customFormat="false" ht="15" hidden="false" customHeight="true" outlineLevel="0" collapsed="false">
      <c r="A16" s="1" t="s">
        <v>43</v>
      </c>
      <c r="C16" s="1" t="n">
        <f aca="false">SUPPLY!B16</f>
        <v>3887.1052631579</v>
      </c>
      <c r="D16" s="1" t="n">
        <f aca="false">SUPPLY!C16</f>
        <v>1074.86842105263</v>
      </c>
      <c r="E16" s="1" t="n">
        <f aca="false">USE!B16</f>
        <v>2062.36842105263</v>
      </c>
      <c r="F16" s="1" t="n">
        <f aca="false">SUPPLY!D16</f>
        <v>231.921052631579</v>
      </c>
      <c r="G16" s="1" t="n">
        <f aca="false">C16+D16+F16</f>
        <v>5193.89473684211</v>
      </c>
      <c r="H16" s="1" t="n">
        <f aca="false">USE!D16</f>
        <v>502.894736842105</v>
      </c>
    </row>
    <row r="17" customFormat="false" ht="15" hidden="false" customHeight="true" outlineLevel="0" collapsed="false">
      <c r="A17" s="1" t="s">
        <v>44</v>
      </c>
      <c r="C17" s="1" t="n">
        <f aca="false">SUPPLY!B17</f>
        <v>3887.1052631579</v>
      </c>
      <c r="D17" s="1" t="n">
        <f aca="false">SUPPLY!C17</f>
        <v>1074.86842105263</v>
      </c>
      <c r="E17" s="1" t="n">
        <f aca="false">USE!B17</f>
        <v>2062.36842105263</v>
      </c>
      <c r="F17" s="1" t="n">
        <f aca="false">SUPPLY!D17</f>
        <v>231.921052631579</v>
      </c>
      <c r="G17" s="1" t="n">
        <f aca="false">C17+D17+F17</f>
        <v>5193.89473684211</v>
      </c>
      <c r="H17" s="1" t="n">
        <f aca="false">USE!D17</f>
        <v>502.894736842105</v>
      </c>
    </row>
    <row r="18" customFormat="false" ht="15" hidden="false" customHeight="true" outlineLevel="0" collapsed="false">
      <c r="A18" s="1" t="s">
        <v>45</v>
      </c>
      <c r="C18" s="1" t="n">
        <f aca="false">SUPPLY!B18</f>
        <v>3887.1052631579</v>
      </c>
      <c r="D18" s="1" t="n">
        <f aca="false">SUPPLY!C18</f>
        <v>1074.86842105263</v>
      </c>
      <c r="E18" s="1" t="n">
        <f aca="false">USE!B18</f>
        <v>2062.36842105263</v>
      </c>
      <c r="F18" s="1" t="n">
        <f aca="false">SUPPLY!D18</f>
        <v>231.921052631579</v>
      </c>
      <c r="G18" s="1" t="n">
        <f aca="false">C18+D18+F18</f>
        <v>5193.89473684211</v>
      </c>
      <c r="H18" s="1" t="n">
        <f aca="false">USE!D18</f>
        <v>502.894736842105</v>
      </c>
    </row>
    <row r="19" customFormat="false" ht="15" hidden="false" customHeight="true" outlineLevel="0" collapsed="false">
      <c r="A19" s="1" t="s">
        <v>46</v>
      </c>
      <c r="C19" s="1" t="n">
        <f aca="false">SUPPLY!B19</f>
        <v>7774.21052631579</v>
      </c>
      <c r="D19" s="1" t="n">
        <f aca="false">SUPPLY!C19</f>
        <v>537.434210526316</v>
      </c>
      <c r="E19" s="1" t="n">
        <f aca="false">USE!B19</f>
        <v>2062.36842105263</v>
      </c>
      <c r="F19" s="1" t="n">
        <f aca="false">SUPPLY!D19</f>
        <v>231.921052631579</v>
      </c>
      <c r="G19" s="1" t="n">
        <f aca="false">C19+D19+F19</f>
        <v>8543.56578947369</v>
      </c>
      <c r="H19" s="1" t="n">
        <f aca="false">USE!D19</f>
        <v>1508.68421052632</v>
      </c>
    </row>
    <row r="20" customFormat="false" ht="15" hidden="false" customHeight="true" outlineLevel="0" collapsed="false">
      <c r="A20" s="1" t="s">
        <v>47</v>
      </c>
      <c r="C20" s="1" t="n">
        <f aca="false">SUPPLY!B20</f>
        <v>7774.21052631579</v>
      </c>
      <c r="D20" s="1" t="n">
        <f aca="false">SUPPLY!C20</f>
        <v>1074.86842105263</v>
      </c>
      <c r="E20" s="1" t="n">
        <f aca="false">USE!B20</f>
        <v>2062.36842105263</v>
      </c>
      <c r="F20" s="1" t="n">
        <f aca="false">SUPPLY!D20</f>
        <v>231.921052631579</v>
      </c>
      <c r="G20" s="1" t="n">
        <f aca="false">C20+D20+F20</f>
        <v>9081</v>
      </c>
      <c r="H20" s="1" t="n">
        <f aca="false">USE!D20</f>
        <v>502.894736842105</v>
      </c>
    </row>
    <row r="21" customFormat="false" ht="15" hidden="false" customHeight="true" outlineLevel="0" collapsed="false">
      <c r="A21" s="1" t="s">
        <v>48</v>
      </c>
      <c r="C21" s="1" t="n">
        <f aca="false">SUPPLY!B21</f>
        <v>3887.1052631579</v>
      </c>
      <c r="D21" s="1" t="n">
        <f aca="false">SUPPLY!C21</f>
        <v>1074.86842105263</v>
      </c>
      <c r="E21" s="1" t="n">
        <f aca="false">USE!B21</f>
        <v>2062.36842105263</v>
      </c>
      <c r="F21" s="1" t="n">
        <f aca="false">SUPPLY!D21</f>
        <v>231.921052631579</v>
      </c>
      <c r="G21" s="1" t="n">
        <f aca="false">C21+D21+F21</f>
        <v>5193.89473684211</v>
      </c>
      <c r="H21" s="1" t="n">
        <f aca="false">USE!D21</f>
        <v>502.894736842105</v>
      </c>
    </row>
    <row r="22" customFormat="false" ht="15" hidden="false" customHeight="true" outlineLevel="0" collapsed="false">
      <c r="A22" s="1" t="s">
        <v>49</v>
      </c>
      <c r="C22" s="1" t="n">
        <f aca="false">SUPPLY!B22</f>
        <v>3887.1052631579</v>
      </c>
      <c r="D22" s="1" t="n">
        <f aca="false">SUPPLY!C22</f>
        <v>1074.86842105263</v>
      </c>
      <c r="E22" s="1" t="n">
        <f aca="false">USE!B22</f>
        <v>2062.36842105263</v>
      </c>
      <c r="F22" s="1" t="n">
        <f aca="false">SUPPLY!D22</f>
        <v>231.921052631579</v>
      </c>
      <c r="G22" s="1" t="n">
        <f aca="false">C22+D22+F22</f>
        <v>5193.89473684211</v>
      </c>
      <c r="H22" s="1" t="n">
        <f aca="false">USE!D22</f>
        <v>502.894736842105</v>
      </c>
    </row>
    <row r="23" customFormat="false" ht="15" hidden="false" customHeight="true" outlineLevel="0" collapsed="false">
      <c r="A23" s="1" t="s">
        <v>50</v>
      </c>
      <c r="C23" s="1" t="n">
        <f aca="false">SUPPLY!B23</f>
        <v>3887.1052631579</v>
      </c>
      <c r="D23" s="1" t="n">
        <f aca="false">SUPPLY!C23</f>
        <v>1074.86842105263</v>
      </c>
      <c r="E23" s="1" t="n">
        <f aca="false">USE!B23</f>
        <v>2062.36842105263</v>
      </c>
      <c r="F23" s="1" t="n">
        <f aca="false">SUPPLY!D23</f>
        <v>231.921052631579</v>
      </c>
      <c r="G23" s="1" t="n">
        <f aca="false">C23+D23+F23</f>
        <v>5193.89473684211</v>
      </c>
      <c r="H23" s="1" t="n">
        <f aca="false">USE!D23</f>
        <v>502.894736842105</v>
      </c>
    </row>
    <row r="24" customFormat="false" ht="15" hidden="false" customHeight="true" outlineLevel="0" collapsed="false">
      <c r="A24" s="1" t="s">
        <v>51</v>
      </c>
      <c r="C24" s="1" t="n">
        <f aca="false">SUPPLY!B24</f>
        <v>3887.1052631579</v>
      </c>
      <c r="D24" s="1" t="n">
        <f aca="false">SUPPLY!C24</f>
        <v>1074.86842105263</v>
      </c>
      <c r="E24" s="1" t="n">
        <f aca="false">USE!B24</f>
        <v>2062.36842105263</v>
      </c>
      <c r="F24" s="1" t="n">
        <f aca="false">SUPPLY!D24</f>
        <v>231.921052631579</v>
      </c>
      <c r="G24" s="1" t="n">
        <f aca="false">C24+D24+F24</f>
        <v>5193.89473684211</v>
      </c>
      <c r="H24" s="1" t="n">
        <f aca="false">USE!D24</f>
        <v>502.894736842105</v>
      </c>
    </row>
    <row r="25" customFormat="false" ht="15" hidden="false" customHeight="true" outlineLevel="0" collapsed="false">
      <c r="A25" s="1" t="s">
        <v>52</v>
      </c>
      <c r="C25" s="1" t="n">
        <f aca="false">SUPPLY!B25</f>
        <v>3887.1052631579</v>
      </c>
      <c r="D25" s="1" t="n">
        <f aca="false">SUPPLY!C25</f>
        <v>1074.86842105263</v>
      </c>
      <c r="E25" s="1" t="n">
        <f aca="false">USE!B25</f>
        <v>2062.36842105263</v>
      </c>
      <c r="F25" s="1" t="n">
        <f aca="false">SUPPLY!D25</f>
        <v>231.921052631579</v>
      </c>
      <c r="G25" s="1" t="n">
        <f aca="false">C25+D25+F25</f>
        <v>5193.89473684211</v>
      </c>
      <c r="H25" s="1" t="n">
        <f aca="false">USE!D25</f>
        <v>502.894736842105</v>
      </c>
    </row>
    <row r="26" customFormat="false" ht="15" hidden="false" customHeight="true" outlineLevel="0" collapsed="false">
      <c r="A26" s="1" t="s">
        <v>53</v>
      </c>
      <c r="C26" s="1" t="n">
        <f aca="false">SUPPLY!B26</f>
        <v>3887.1052631579</v>
      </c>
      <c r="D26" s="1" t="n">
        <f aca="false">SUPPLY!C26</f>
        <v>1074.86842105263</v>
      </c>
      <c r="E26" s="1" t="n">
        <f aca="false">USE!B26</f>
        <v>2062.36842105263</v>
      </c>
      <c r="F26" s="1" t="n">
        <f aca="false">SUPPLY!D26</f>
        <v>231.921052631579</v>
      </c>
      <c r="G26" s="1" t="n">
        <f aca="false">C26+D26+F26</f>
        <v>5193.89473684211</v>
      </c>
      <c r="H26" s="1" t="n">
        <f aca="false">USE!D26</f>
        <v>502.894736842105</v>
      </c>
    </row>
    <row r="27" customFormat="false" ht="15" hidden="false" customHeight="true" outlineLevel="0" collapsed="false">
      <c r="A27" s="1" t="s">
        <v>54</v>
      </c>
      <c r="C27" s="1" t="n">
        <f aca="false">SUPPLY!B27</f>
        <v>3887.1052631579</v>
      </c>
      <c r="D27" s="1" t="n">
        <f aca="false">SUPPLY!C27</f>
        <v>1074.86842105263</v>
      </c>
      <c r="E27" s="1" t="n">
        <f aca="false">USE!B27</f>
        <v>2062.36842105263</v>
      </c>
      <c r="F27" s="1" t="n">
        <f aca="false">SUPPLY!D27</f>
        <v>231.921052631579</v>
      </c>
      <c r="G27" s="1" t="n">
        <f aca="false">C27+D27+F27</f>
        <v>5193.89473684211</v>
      </c>
      <c r="H27" s="1" t="n">
        <f aca="false">USE!D27</f>
        <v>502.894736842105</v>
      </c>
    </row>
    <row r="28" customFormat="false" ht="15" hidden="false" customHeight="true" outlineLevel="0" collapsed="false">
      <c r="A28" s="1" t="s">
        <v>55</v>
      </c>
      <c r="C28" s="1" t="n">
        <f aca="false">SUPPLY!B28</f>
        <v>3887.1052631579</v>
      </c>
      <c r="D28" s="1" t="n">
        <f aca="false">SUPPLY!C28</f>
        <v>1074.86842105263</v>
      </c>
      <c r="E28" s="1" t="n">
        <f aca="false">USE!B28</f>
        <v>2062.36842105263</v>
      </c>
      <c r="F28" s="1" t="n">
        <f aca="false">SUPPLY!D28</f>
        <v>231.921052631579</v>
      </c>
      <c r="G28" s="1" t="n">
        <f aca="false">C28+D28+F28</f>
        <v>5193.89473684211</v>
      </c>
      <c r="H28" s="1" t="n">
        <f aca="false">USE!D28</f>
        <v>502.894736842105</v>
      </c>
    </row>
    <row r="29" customFormat="false" ht="15" hidden="false" customHeight="true" outlineLevel="0" collapsed="false">
      <c r="A29" s="1" t="s">
        <v>56</v>
      </c>
      <c r="C29" s="1" t="n">
        <f aca="false">SUPPLY!B29</f>
        <v>3887.1052631579</v>
      </c>
      <c r="D29" s="1" t="n">
        <f aca="false">SUPPLY!C29</f>
        <v>1074.86842105263</v>
      </c>
      <c r="E29" s="1" t="n">
        <f aca="false">USE!B29</f>
        <v>2062.36842105263</v>
      </c>
      <c r="F29" s="1" t="n">
        <f aca="false">SUPPLY!D29</f>
        <v>231.921052631579</v>
      </c>
      <c r="G29" s="1" t="n">
        <f aca="false">C29+D29+F29</f>
        <v>5193.89473684211</v>
      </c>
      <c r="H29" s="1" t="n">
        <f aca="false">USE!D29</f>
        <v>502.894736842105</v>
      </c>
    </row>
    <row r="30" customFormat="false" ht="15" hidden="false" customHeight="true" outlineLevel="0" collapsed="false">
      <c r="A30" s="1" t="s">
        <v>57</v>
      </c>
      <c r="C30" s="1" t="n">
        <f aca="false">SUPPLY!B30</f>
        <v>3887.1052631579</v>
      </c>
      <c r="D30" s="1" t="n">
        <f aca="false">SUPPLY!C30</f>
        <v>1074.86842105263</v>
      </c>
      <c r="E30" s="1" t="n">
        <f aca="false">USE!B30</f>
        <v>2062.36842105263</v>
      </c>
      <c r="F30" s="1" t="n">
        <f aca="false">SUPPLY!D30</f>
        <v>231.921052631579</v>
      </c>
      <c r="G30" s="1" t="n">
        <f aca="false">C30+D30+F30</f>
        <v>5193.89473684211</v>
      </c>
      <c r="H30" s="1" t="n">
        <f aca="false">USE!D30</f>
        <v>502.894736842105</v>
      </c>
    </row>
    <row r="31" customFormat="false" ht="15" hidden="false" customHeight="true" outlineLevel="0" collapsed="false">
      <c r="A31" s="1" t="s">
        <v>58</v>
      </c>
      <c r="C31" s="1" t="n">
        <f aca="false">SUPPLY!B31</f>
        <v>3887.1052631579</v>
      </c>
      <c r="D31" s="1" t="n">
        <f aca="false">SUPPLY!C31</f>
        <v>1074.86842105263</v>
      </c>
      <c r="E31" s="1" t="n">
        <f aca="false">USE!B31</f>
        <v>2062.36842105263</v>
      </c>
      <c r="F31" s="1" t="n">
        <f aca="false">SUPPLY!D31</f>
        <v>231.921052631579</v>
      </c>
      <c r="G31" s="1" t="n">
        <f aca="false">C31+D31+F31</f>
        <v>5193.89473684211</v>
      </c>
      <c r="H31" s="1" t="n">
        <f aca="false">USE!D31</f>
        <v>502.894736842105</v>
      </c>
    </row>
    <row r="32" customFormat="false" ht="15" hidden="false" customHeight="true" outlineLevel="0" collapsed="false">
      <c r="A32" s="1" t="s">
        <v>59</v>
      </c>
      <c r="C32" s="1" t="n">
        <f aca="false">SUPPLY!B32</f>
        <v>3887.1052631579</v>
      </c>
      <c r="D32" s="1" t="n">
        <f aca="false">SUPPLY!C32</f>
        <v>1074.86842105263</v>
      </c>
      <c r="E32" s="1" t="n">
        <f aca="false">USE!B32</f>
        <v>2062.36842105263</v>
      </c>
      <c r="F32" s="1" t="n">
        <f aca="false">SUPPLY!D32</f>
        <v>231.921052631579</v>
      </c>
      <c r="G32" s="1" t="n">
        <f aca="false">C32+D32+F32</f>
        <v>5193.89473684211</v>
      </c>
      <c r="H32" s="1" t="n">
        <f aca="false">USE!D32</f>
        <v>502.894736842105</v>
      </c>
    </row>
    <row r="33" customFormat="false" ht="15" hidden="false" customHeight="true" outlineLevel="0" collapsed="false">
      <c r="A33" s="1" t="s">
        <v>60</v>
      </c>
      <c r="C33" s="1" t="n">
        <f aca="false">SUPPLY!B33</f>
        <v>3887.1052631579</v>
      </c>
      <c r="D33" s="1" t="n">
        <f aca="false">SUPPLY!C33</f>
        <v>1074.86842105263</v>
      </c>
      <c r="E33" s="1" t="n">
        <f aca="false">USE!B33</f>
        <v>2062.36842105263</v>
      </c>
      <c r="F33" s="1" t="n">
        <f aca="false">SUPPLY!D33</f>
        <v>231.921052631579</v>
      </c>
      <c r="G33" s="1" t="n">
        <f aca="false">C33+D33+F33</f>
        <v>5193.89473684211</v>
      </c>
      <c r="H33" s="1" t="n">
        <f aca="false">USE!D33</f>
        <v>502.894736842105</v>
      </c>
    </row>
    <row r="34" customFormat="false" ht="15" hidden="false" customHeight="true" outlineLevel="0" collapsed="false">
      <c r="A34" s="1" t="s">
        <v>61</v>
      </c>
      <c r="C34" s="1" t="n">
        <f aca="false">SUPPLY!B34</f>
        <v>3887.1052631579</v>
      </c>
      <c r="D34" s="1" t="n">
        <f aca="false">SUPPLY!C34</f>
        <v>1074.86842105263</v>
      </c>
      <c r="E34" s="1" t="n">
        <f aca="false">USE!B34</f>
        <v>2062.36842105263</v>
      </c>
      <c r="F34" s="1" t="n">
        <f aca="false">SUPPLY!D34</f>
        <v>231.921052631579</v>
      </c>
      <c r="G34" s="1" t="n">
        <f aca="false">C34+D34+F34</f>
        <v>5193.89473684211</v>
      </c>
      <c r="H34" s="1" t="n">
        <f aca="false">USE!D34</f>
        <v>502.894736842105</v>
      </c>
    </row>
    <row r="35" customFormat="false" ht="15" hidden="false" customHeight="true" outlineLevel="0" collapsed="false">
      <c r="A35" s="1" t="s">
        <v>62</v>
      </c>
      <c r="C35" s="1" t="n">
        <f aca="false">SUPPLY!B35</f>
        <v>3887.1052631579</v>
      </c>
      <c r="D35" s="1" t="n">
        <f aca="false">SUPPLY!C35</f>
        <v>1074.86842105263</v>
      </c>
      <c r="E35" s="1" t="n">
        <f aca="false">USE!B35</f>
        <v>2062.36842105263</v>
      </c>
      <c r="F35" s="1" t="n">
        <f aca="false">SUPPLY!D35</f>
        <v>231.921052631579</v>
      </c>
      <c r="G35" s="1" t="n">
        <f aca="false">C35+D35+F35</f>
        <v>5193.89473684211</v>
      </c>
      <c r="H35" s="1" t="n">
        <f aca="false">USE!D35</f>
        <v>502.894736842105</v>
      </c>
    </row>
    <row r="36" customFormat="false" ht="15" hidden="false" customHeight="true" outlineLevel="0" collapsed="false">
      <c r="A36" s="1" t="s">
        <v>63</v>
      </c>
      <c r="C36" s="1" t="n">
        <f aca="false">SUPPLY!B36</f>
        <v>3887.1052631579</v>
      </c>
      <c r="D36" s="1" t="n">
        <f aca="false">SUPPLY!C36</f>
        <v>1074.86842105263</v>
      </c>
      <c r="E36" s="1" t="n">
        <f aca="false">USE!B36</f>
        <v>2062.36842105263</v>
      </c>
      <c r="F36" s="1" t="n">
        <f aca="false">SUPPLY!D36</f>
        <v>231.921052631579</v>
      </c>
      <c r="G36" s="1" t="n">
        <f aca="false">C36+D36+F36</f>
        <v>5193.89473684211</v>
      </c>
      <c r="H36" s="1" t="n">
        <f aca="false">USE!D36</f>
        <v>502.894736842105</v>
      </c>
    </row>
    <row r="37" customFormat="false" ht="15" hidden="false" customHeight="true" outlineLevel="0" collapsed="false">
      <c r="A37" s="1" t="s">
        <v>64</v>
      </c>
      <c r="C37" s="1" t="n">
        <f aca="false">SUPPLY!B37</f>
        <v>3887.1052631579</v>
      </c>
      <c r="D37" s="1" t="n">
        <f aca="false">SUPPLY!C37</f>
        <v>1074.86842105263</v>
      </c>
      <c r="E37" s="1" t="n">
        <f aca="false">USE!B37</f>
        <v>2062.36842105263</v>
      </c>
      <c r="F37" s="1" t="n">
        <f aca="false">SUPPLY!D37</f>
        <v>231.921052631579</v>
      </c>
      <c r="G37" s="1" t="n">
        <f aca="false">C37+D37+F37</f>
        <v>5193.89473684211</v>
      </c>
      <c r="H37" s="1" t="n">
        <f aca="false">USE!D37</f>
        <v>502.894736842105</v>
      </c>
    </row>
    <row r="38" customFormat="false" ht="15" hidden="false" customHeight="true" outlineLevel="0" collapsed="false">
      <c r="A38" s="1" t="s">
        <v>65</v>
      </c>
      <c r="C38" s="1" t="n">
        <f aca="false">SUPPLY!B38</f>
        <v>3887.1052631579</v>
      </c>
      <c r="D38" s="1" t="n">
        <f aca="false">SUPPLY!C38</f>
        <v>1074.86842105263</v>
      </c>
      <c r="E38" s="1" t="n">
        <f aca="false">USE!B38</f>
        <v>2062.36842105263</v>
      </c>
      <c r="F38" s="1" t="n">
        <f aca="false">SUPPLY!D38</f>
        <v>231.921052631579</v>
      </c>
      <c r="G38" s="1" t="n">
        <f aca="false">C38+D38+F38</f>
        <v>5193.89473684211</v>
      </c>
      <c r="H38" s="1" t="n">
        <f aca="false">USE!D38</f>
        <v>502.894736842105</v>
      </c>
    </row>
    <row r="39" customFormat="false" ht="15" hidden="false" customHeight="true" outlineLevel="0" collapsed="false">
      <c r="A39" s="1" t="s">
        <v>66</v>
      </c>
      <c r="C39" s="1" t="n">
        <f aca="false">SUPPLY!B39</f>
        <v>3887.1052631579</v>
      </c>
      <c r="D39" s="1" t="n">
        <f aca="false">SUPPLY!C39</f>
        <v>1074.86842105263</v>
      </c>
      <c r="E39" s="1" t="n">
        <f aca="false">USE!B39</f>
        <v>2062.36842105263</v>
      </c>
      <c r="F39" s="1" t="n">
        <f aca="false">SUPPLY!D39</f>
        <v>231.921052631579</v>
      </c>
      <c r="G39" s="1" t="n">
        <f aca="false">C39+D39+F39</f>
        <v>5193.89473684211</v>
      </c>
      <c r="H39" s="1" t="n">
        <f aca="false">USE!D39</f>
        <v>502.894736842105</v>
      </c>
    </row>
    <row r="40" customFormat="false" ht="15" hidden="false" customHeight="true" outlineLevel="0" collapsed="false">
      <c r="A40" s="1" t="s">
        <v>72</v>
      </c>
      <c r="C40" s="1" t="n">
        <f aca="false">SUM(C2:C39)</f>
        <v>176863.289473684</v>
      </c>
      <c r="D40" s="1" t="n">
        <f aca="false">SUM(D2:D39)</f>
        <v>52131.1184210526</v>
      </c>
      <c r="E40" s="1" t="n">
        <f aca="false">SUM(E2:E39)</f>
        <v>78369.9999999999</v>
      </c>
      <c r="F40" s="1" t="n">
        <f aca="false">SUM(F2:F39)</f>
        <v>8813</v>
      </c>
      <c r="G40" s="1" t="n">
        <f aca="false">SUM(G2:G39)</f>
        <v>237807.407894737</v>
      </c>
      <c r="H40" s="1" t="n">
        <f aca="false">SUM(H2:H39)</f>
        <v>20115.7894736842</v>
      </c>
    </row>
    <row r="46" customFormat="false" ht="15" hidden="false" customHeight="true" outlineLevel="0" collapsed="false">
      <c r="B46" s="1" t="s">
        <v>73</v>
      </c>
      <c r="C46" s="1" t="n">
        <f aca="false">D40/(G40-F40)</f>
        <v>0.227652364528552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2026-01-15T21:01:40Z</dcterms:created>
  <dc:creator>Wang, Shuyi</dc:creator>
  <dc:description/>
  <dc:language>en-US</dc:language>
  <cp:lastModifiedBy>Wang, Shuyi</cp:lastModifiedBy>
  <dcterms:modified xsi:type="dcterms:W3CDTF">2026-01-29T08:51:26Z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a7f43044-04cc-4a22-bdae-ed404f682e4f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2026-01-15T21:08:21Z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