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<sst xmlns="http://schemas.openxmlformats.org/spreadsheetml/2006/main" count="362" uniqueCount="110">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</sst>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e">
        <f aca="false">VLOOKUP(D12, Data!1:2, 8, 0)</f>
        <v>#N/A</v>
      </c>
      <c r="I12" s="9" t="e">
        <f aca="false">INDEX(Data!1:2, MATCH(12, Data!1:2, 0), MATCH(i, data!:, 0))</f>
        <v>#VALUE!</v>
      </c>
      <c r="J12" s="9" t="e">
        <f aca="false">INDEX(Data!1:2, MATCH(12, Data!1:2, 0), MATCH(j, data!:, 0))</f>
        <v>#VALUE!</v>
      </c>
      <c r="K12" s="9" t="e">
        <f aca="false">INDEX(Data!1:2, MATCH(12, Data!1:2, 0), MATCH(k, data!:, 0))</f>
        <v>#VALUE!</v>
      </c>
      <c r="L12" s="10" t="e">
        <f aca="false">INDEX(Data!1:2, MATCH(12, Data!1:2, 0), MATCH(l, data!:, 0))</f>
        <v>#VALUE!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e">
        <f aca="false">VLOOKUP(D13, Data!1:2, 8, 0)</f>
        <v>#N/A</v>
      </c>
      <c r="I13" s="14" t="e">
        <f aca="false">INDEX(Data!1:2, MATCH(13, Data!1:2, 0), MATCH(i, data!:, 0))</f>
        <v>#VALUE!</v>
      </c>
      <c r="J13" s="14" t="e">
        <f aca="false">INDEX(Data!1:2, MATCH(13, Data!1:2, 0), MATCH(j, data!:, 0))</f>
        <v>#VALUE!</v>
      </c>
      <c r="K13" s="14" t="e">
        <f aca="false">INDEX(Data!1:2, MATCH(13, Data!1:2, 0), MATCH(k, data!:, 0))</f>
        <v>#VALUE!</v>
      </c>
      <c r="L13" s="15" t="e">
        <f aca="false">INDEX(Data!1:2, MATCH(13, Data!1:2, 0), MATCH(l, data!:, 0))</f>
        <v>#VALUE!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e">
        <f aca="false">INDEX(Data!1:2, MATCH(14, Data!1:2, 0), MATCH(h, data!:, 0))</f>
        <v>#VALUE!</v>
      </c>
      <c r="I14" s="14" t="e">
        <f aca="false">INDEX(Data!1:2, MATCH(14, Data!1:2, 0), MATCH(i, data!:, 0))</f>
        <v>#VALUE!</v>
      </c>
      <c r="J14" s="14" t="e">
        <f aca="false">INDEX(Data!1:2, MATCH(14, Data!1:2, 0), MATCH(j, data!:, 0))</f>
        <v>#VALUE!</v>
      </c>
      <c r="K14" s="14" t="e">
        <f aca="false">INDEX(Data!1:2, MATCH(14, Data!1:2, 0), MATCH(k, data!:, 0))</f>
        <v>#VALUE!</v>
      </c>
      <c r="L14" s="15" t="e">
        <f aca="false">INDEX(Data!1:2, MATCH(14, Data!1:2, 0), MATCH(l, data!:, 0))</f>
        <v>#VALUE!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e">
        <f aca="false">INDEX(Data!1:2, MATCH(15, Data!1:2, 0), MATCH(h, data!:, 0))</f>
        <v>#VALUE!</v>
      </c>
      <c r="I15" s="14" t="e">
        <f aca="false">INDEX(Data!1:2, MATCH(15, Data!1:2, 0), MATCH(i, data!:, 0))</f>
        <v>#VALUE!</v>
      </c>
      <c r="J15" s="14" t="e">
        <f aca="false">INDEX(Data!1:2, MATCH(15, Data!1:2, 0), MATCH(j, data!:, 0))</f>
        <v>#VALUE!</v>
      </c>
      <c r="K15" s="14" t="e">
        <f aca="false">INDEX(Data!1:2, MATCH(15, Data!1:2, 0), MATCH(k, data!:, 0))</f>
        <v>#VALUE!</v>
      </c>
      <c r="L15" s="15" t="e">
        <f aca="false">INDEX(Data!1:2, MATCH(15, Data!1:2, 0), MATCH(l, data!:, 0))</f>
        <v>#VALUE!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e">
        <f aca="false">INDEX(Data!1:2, MATCH(16, Data!1:2, 0), MATCH(h, data!:, 0))</f>
        <v>#VALUE!</v>
      </c>
      <c r="I16" s="14" t="e">
        <f aca="false">INDEX(Data!1:2, MATCH(16, Data!1:2, 0), MATCH(i, data!:, 0))</f>
        <v>#VALUE!</v>
      </c>
      <c r="J16" s="14" t="e">
        <f aca="false">INDEX(Data!1:2, MATCH(16, Data!1:2, 0), MATCH(j, data!:, 0))</f>
        <v>#VALUE!</v>
      </c>
      <c r="K16" s="14" t="e">
        <f aca="false">INDEX(Data!1:2, MATCH(16, Data!1:2, 0), MATCH(k, data!:, 0))</f>
        <v>#VALUE!</v>
      </c>
      <c r="L16" s="15" t="e">
        <f aca="false">INDEX(Data!1:2, MATCH(16, Data!1:2, 0), MATCH(l, data!:, 0))</f>
        <v>#VALUE!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e">
        <f aca="false">INDEX(Data!1:2, MATCH(17, Data!1:2, 0), MATCH(h, data!:, 0))</f>
        <v>#VALUE!</v>
      </c>
      <c r="I17" s="17" t="e">
        <f aca="false">INDEX(Data!1:2, MATCH(17, Data!1:2, 0), MATCH(i, data!:, 0))</f>
        <v>#VALUE!</v>
      </c>
      <c r="J17" s="17" t="e">
        <f aca="false">INDEX(Data!1:2, MATCH(17, Data!1:2, 0), MATCH(j, data!:, 0))</f>
        <v>#VALUE!</v>
      </c>
      <c r="K17" s="17" t="e">
        <f aca="false">INDEX(Data!1:2, MATCH(17, Data!1:2, 0), MATCH(k, data!:, 0))</f>
        <v>#VALUE!</v>
      </c>
      <c r="L17" s="18" t="e">
        <f aca="false">INDEX(Data!1:2, MATCH(17, Data!1:2, 0), MATCH(l, data!:, 0))</f>
        <v>#VALUE!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e">
        <f aca="false">INDEX(Data!1:2, MATCH(19, Data!1:2, 0), MATCH(h, data!:, 0))</f>
        <v>#VALUE!</v>
      </c>
      <c r="I19" s="9" t="e">
        <f aca="false">INDEX(Data!1:2, MATCH(19, Data!1:2, 0), MATCH(i, data!:, 0))</f>
        <v>#VALUE!</v>
      </c>
      <c r="J19" s="9" t="e">
        <f aca="false">INDEX(Data!1:2, MATCH(19, Data!1:2, 0), MATCH(j, data!:, 0))</f>
        <v>#VALUE!</v>
      </c>
      <c r="K19" s="9" t="e">
        <f aca="false">INDEX(Data!1:2, MATCH(19, Data!1:2, 0), MATCH(k, data!:, 0))</f>
        <v>#VALUE!</v>
      </c>
      <c r="L19" s="10" t="e">
        <f aca="false">INDEX(Data!1:2, MATCH(19, Data!1:2, 0), MATCH(l, data!:, 0))</f>
        <v>#VALUE!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e">
        <f aca="false">INDEX(Data!1:2, MATCH(20, Data!1:2, 0), MATCH(h, data!:, 0))</f>
        <v>#VALUE!</v>
      </c>
      <c r="I20" s="14" t="e">
        <f aca="false">INDEX(Data!1:2, MATCH(20, Data!1:2, 0), MATCH(i, data!:, 0))</f>
        <v>#VALUE!</v>
      </c>
      <c r="J20" s="14" t="e">
        <f aca="false">INDEX(Data!1:2, MATCH(20, Data!1:2, 0), MATCH(j, data!:, 0))</f>
        <v>#VALUE!</v>
      </c>
      <c r="K20" s="14" t="e">
        <f aca="false">INDEX(Data!1:2, MATCH(20, Data!1:2, 0), MATCH(k, data!:, 0))</f>
        <v>#VALUE!</v>
      </c>
      <c r="L20" s="15" t="e">
        <f aca="false">INDEX(Data!1:2, MATCH(20, Data!1:2, 0), MATCH(l, data!:, 0))</f>
        <v>#VALUE!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e">
        <f aca="false">INDEX(Data!1:2, MATCH(21, Data!1:2, 0), MATCH(h, data!:, 0))</f>
        <v>#VALUE!</v>
      </c>
      <c r="I21" s="14" t="e">
        <f aca="false">INDEX(Data!1:2, MATCH(21, Data!1:2, 0), MATCH(i, data!:, 0))</f>
        <v>#VALUE!</v>
      </c>
      <c r="J21" s="14" t="e">
        <f aca="false">INDEX(Data!1:2, MATCH(21, Data!1:2, 0), MATCH(j, data!:, 0))</f>
        <v>#VALUE!</v>
      </c>
      <c r="K21" s="14" t="e">
        <f aca="false">INDEX(Data!1:2, MATCH(21, Data!1:2, 0), MATCH(k, data!:, 0))</f>
        <v>#VALUE!</v>
      </c>
      <c r="L21" s="15" t="e">
        <f aca="false">INDEX(Data!1:2, MATCH(21, Data!1:2, 0), MATCH(l, data!:, 0))</f>
        <v>#VALUE!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e">
        <f aca="false">INDEX(Data!1:2, MATCH(22, Data!1:2, 0), MATCH(h, data!:, 0))</f>
        <v>#VALUE!</v>
      </c>
      <c r="I22" s="14" t="e">
        <f aca="false">INDEX(Data!1:2, MATCH(22, Data!1:2, 0), MATCH(i, data!:, 0))</f>
        <v>#VALUE!</v>
      </c>
      <c r="J22" s="14" t="e">
        <f aca="false">INDEX(Data!1:2, MATCH(22, Data!1:2, 0), MATCH(j, data!:, 0))</f>
        <v>#VALUE!</v>
      </c>
      <c r="K22" s="14" t="e">
        <f aca="false">INDEX(Data!1:2, MATCH(22, Data!1:2, 0), MATCH(k, data!:, 0))</f>
        <v>#VALUE!</v>
      </c>
      <c r="L22" s="15" t="e">
        <f aca="false">INDEX(Data!1:2, MATCH(22, Data!1:2, 0), MATCH(l, data!:, 0))</f>
        <v>#VALUE!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e">
        <f aca="false">INDEX(Data!1:2, MATCH(23, Data!1:2, 0), MATCH(h, data!:, 0))</f>
        <v>#VALUE!</v>
      </c>
      <c r="I23" s="14" t="e">
        <f aca="false">INDEX(Data!1:2, MATCH(23, Data!1:2, 0), MATCH(i, data!:, 0))</f>
        <v>#VALUE!</v>
      </c>
      <c r="J23" s="14" t="e">
        <f aca="false">INDEX(Data!1:2, MATCH(23, Data!1:2, 0), MATCH(j, data!:, 0))</f>
        <v>#VALUE!</v>
      </c>
      <c r="K23" s="14" t="e">
        <f aca="false">INDEX(Data!1:2, MATCH(23, Data!1:2, 0), MATCH(k, data!:, 0))</f>
        <v>#VALUE!</v>
      </c>
      <c r="L23" s="15" t="e">
        <f aca="false">INDEX(Data!1:2, MATCH(23, Data!1:2, 0), MATCH(l, data!:, 0))</f>
        <v>#VALUE!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e">
        <f aca="false">INDEX(Data!1:2, MATCH(24, Data!1:2, 0), MATCH(h, data!:, 0))</f>
        <v>#VALUE!</v>
      </c>
      <c r="I24" s="17" t="e">
        <f aca="false">INDEX(Data!1:2, MATCH(24, Data!1:2, 0), MATCH(i, data!:, 0))</f>
        <v>#VALUE!</v>
      </c>
      <c r="J24" s="17" t="e">
        <f aca="false">INDEX(Data!1:2, MATCH(24, Data!1:2, 0), MATCH(j, data!:, 0))</f>
        <v>#VALUE!</v>
      </c>
      <c r="K24" s="17" t="e">
        <f aca="false">INDEX(Data!1:2, MATCH(24, Data!1:2, 0), MATCH(k, data!:, 0))</f>
        <v>#VALUE!</v>
      </c>
      <c r="L24" s="18" t="e">
        <f aca="false">INDEX(Data!1:2, MATCH(24, Data!1:2, 0), MATCH(l, data!:, 0))</f>
        <v>#VALUE!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e">
        <f aca="false">INDEX(Data!1:2, MATCH(26, Data!1:2, 0), MATCH(h, data!:, 0))</f>
        <v>#VALUE!</v>
      </c>
      <c r="I26" s="9" t="e">
        <f aca="false">INDEX(Data!1:2, MATCH(26, Data!1:2, 0), MATCH(i, data!:, 0))</f>
        <v>#VALUE!</v>
      </c>
      <c r="J26" s="9" t="e">
        <f aca="false">INDEX(Data!1:2, MATCH(26, Data!1:2, 0), MATCH(j, data!:, 0))</f>
        <v>#VALUE!</v>
      </c>
      <c r="K26" s="9" t="e">
        <f aca="false">INDEX(Data!1:2, MATCH(26, Data!1:2, 0), MATCH(k, data!:, 0))</f>
        <v>#VALUE!</v>
      </c>
      <c r="L26" s="10" t="e">
        <f aca="false">INDEX(Data!1:2, MATCH(26, Data!1:2, 0), MATCH(l, data!:, 0))</f>
        <v>#VALUE!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e">
        <f aca="false">INDEX(Data!1:2, MATCH(27, Data!1:2, 0), MATCH(h, data!:, 0))</f>
        <v>#VALUE!</v>
      </c>
      <c r="I27" s="14" t="e">
        <f aca="false">INDEX(Data!1:2, MATCH(27, Data!1:2, 0), MATCH(i, data!:, 0))</f>
        <v>#VALUE!</v>
      </c>
      <c r="J27" s="14" t="e">
        <f aca="false">INDEX(Data!1:2, MATCH(27, Data!1:2, 0), MATCH(j, data!:, 0))</f>
        <v>#VALUE!</v>
      </c>
      <c r="K27" s="14" t="e">
        <f aca="false">INDEX(Data!1:2, MATCH(27, Data!1:2, 0), MATCH(k, data!:, 0))</f>
        <v>#VALUE!</v>
      </c>
      <c r="L27" s="15" t="e">
        <f aca="false">INDEX(Data!1:2, MATCH(27, Data!1:2, 0), MATCH(l, data!:, 0))</f>
        <v>#VALUE!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e">
        <f aca="false">INDEX(Data!1:2, MATCH(28, Data!1:2, 0), MATCH(h, data!:, 0))</f>
        <v>#VALUE!</v>
      </c>
      <c r="I28" s="14" t="e">
        <f aca="false">INDEX(Data!1:2, MATCH(28, Data!1:2, 0), MATCH(i, data!:, 0))</f>
        <v>#VALUE!</v>
      </c>
      <c r="J28" s="14" t="e">
        <f aca="false">INDEX(Data!1:2, MATCH(28, Data!1:2, 0), MATCH(j, data!:, 0))</f>
        <v>#VALUE!</v>
      </c>
      <c r="K28" s="14" t="e">
        <f aca="false">INDEX(Data!1:2, MATCH(28, Data!1:2, 0), MATCH(k, data!:, 0))</f>
        <v>#VALUE!</v>
      </c>
      <c r="L28" s="15" t="e">
        <f aca="false">INDEX(Data!1:2, MATCH(28, Data!1:2, 0), MATCH(l, data!:, 0))</f>
        <v>#VALUE!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e">
        <f aca="false">INDEX(Data!1:2, MATCH(29, Data!1:2, 0), MATCH(h, data!:, 0))</f>
        <v>#VALUE!</v>
      </c>
      <c r="I29" s="14" t="e">
        <f aca="false">INDEX(Data!1:2, MATCH(29, Data!1:2, 0), MATCH(i, data!:, 0))</f>
        <v>#VALUE!</v>
      </c>
      <c r="J29" s="14" t="e">
        <f aca="false">INDEX(Data!1:2, MATCH(29, Data!1:2, 0), MATCH(j, data!:, 0))</f>
        <v>#VALUE!</v>
      </c>
      <c r="K29" s="14" t="e">
        <f aca="false">INDEX(Data!1:2, MATCH(29, Data!1:2, 0), MATCH(k, data!:, 0))</f>
        <v>#VALUE!</v>
      </c>
      <c r="L29" s="15" t="e">
        <f aca="false">INDEX(Data!1:2, MATCH(29, Data!1:2, 0), MATCH(l, data!:, 0))</f>
        <v>#VALUE!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e">
        <f aca="false">INDEX(Data!1:2, MATCH(30, Data!1:2, 0), MATCH(h, data!:, 0))</f>
        <v>#VALUE!</v>
      </c>
      <c r="I30" s="14" t="e">
        <f aca="false">INDEX(Data!1:2, MATCH(30, Data!1:2, 0), MATCH(i, data!:, 0))</f>
        <v>#VALUE!</v>
      </c>
      <c r="J30" s="14" t="e">
        <f aca="false">INDEX(Data!1:2, MATCH(30, Data!1:2, 0), MATCH(j, data!:, 0))</f>
        <v>#VALUE!</v>
      </c>
      <c r="K30" s="14" t="e">
        <f aca="false">INDEX(Data!1:2, MATCH(30, Data!1:2, 0), MATCH(k, data!:, 0))</f>
        <v>#VALUE!</v>
      </c>
      <c r="L30" s="15" t="e">
        <f aca="false">INDEX(Data!1:2, MATCH(30, Data!1:2, 0), MATCH(l, data!:, 0))</f>
        <v>#VALUE!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e">
        <f aca="false">INDEX(Data!1:2, MATCH(31, Data!1:2, 0), MATCH(h, data!:, 0))</f>
        <v>#VALUE!</v>
      </c>
      <c r="I31" s="17" t="e">
        <f aca="false">INDEX(Data!1:2, MATCH(31, Data!1:2, 0), MATCH(i, data!:, 0))</f>
        <v>#VALUE!</v>
      </c>
      <c r="J31" s="17" t="e">
        <f aca="false">INDEX(Data!1:2, MATCH(31, Data!1:2, 0), MATCH(j, data!:, 0))</f>
        <v>#VALUE!</v>
      </c>
      <c r="K31" s="17" t="e">
        <f aca="false">INDEX(Data!1:2, MATCH(31, Data!1:2, 0), MATCH(k, data!:, 0))</f>
        <v>#VALUE!</v>
      </c>
      <c r="L31" s="18" t="e">
        <f aca="false">INDEX(Data!1:2, MATCH(31, Data!1:2, 0), MATCH(l, data!:, 0))</f>
        <v>#VALUE!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e">
        <f aca="false">(H12-H19)/H26*100</f>
        <v>#VALUE!</v>
      </c>
      <c r="I35" s="9" t="e">
        <f aca="false">(I12-I19)/I26*100</f>
        <v>#VALUE!</v>
      </c>
      <c r="J35" s="9" t="e">
        <f aca="false">(J12-J19)/J26*100</f>
        <v>#VALUE!</v>
      </c>
      <c r="K35" s="9" t="e">
        <f aca="false">(K12-K19)/K26*100</f>
        <v>#VALUE!</v>
      </c>
      <c r="L35" s="10" t="e">
        <f aca="false">(L12-L19)/L26*100</f>
        <v>#VALUE!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e">
        <f aca="false">(H13-H20)/H27*100</f>
        <v>#VALUE!</v>
      </c>
      <c r="I36" s="14" t="e">
        <f aca="false">(I13-I20)/I27*100</f>
        <v>#VALUE!</v>
      </c>
      <c r="J36" s="14" t="e">
        <f aca="false">(J13-J20)/J27*100</f>
        <v>#VALUE!</v>
      </c>
      <c r="K36" s="14" t="e">
        <f aca="false">(K13-K20)/K27*100</f>
        <v>#VALUE!</v>
      </c>
      <c r="L36" s="15" t="e">
        <f aca="false">(L13-L20)/L27*100</f>
        <v>#VALUE!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e">
        <f aca="false">(H14-H21)/H28*100</f>
        <v>#VALUE!</v>
      </c>
      <c r="I37" s="14" t="e">
        <f aca="false">(I14-I21)/I28*100</f>
        <v>#VALUE!</v>
      </c>
      <c r="J37" s="14" t="e">
        <f aca="false">(J14-J21)/J28*100</f>
        <v>#VALUE!</v>
      </c>
      <c r="K37" s="14" t="e">
        <f aca="false">(K14-K21)/K28*100</f>
        <v>#VALUE!</v>
      </c>
      <c r="L37" s="15" t="e">
        <f aca="false">(L14-L21)/L28*100</f>
        <v>#VALUE!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e">
        <f aca="false">(H15-H22)/H29*100</f>
        <v>#VALUE!</v>
      </c>
      <c r="I38" s="14" t="e">
        <f aca="false">(I15-I22)/I29*100</f>
        <v>#VALUE!</v>
      </c>
      <c r="J38" s="14" t="e">
        <f aca="false">(J15-J22)/J29*100</f>
        <v>#VALUE!</v>
      </c>
      <c r="K38" s="14" t="e">
        <f aca="false">(K15-K22)/K29*100</f>
        <v>#VALUE!</v>
      </c>
      <c r="L38" s="15" t="e">
        <f aca="false">(L15-L22)/L29*100</f>
        <v>#VALUE!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e">
        <f aca="false">(H16-H23)/H30*100</f>
        <v>#VALUE!</v>
      </c>
      <c r="I39" s="14" t="e">
        <f aca="false">(I16-I23)/I30*100</f>
        <v>#VALUE!</v>
      </c>
      <c r="J39" s="14" t="e">
        <f aca="false">(J16-J23)/J30*100</f>
        <v>#VALUE!</v>
      </c>
      <c r="K39" s="14" t="e">
        <f aca="false">(K16-K23)/K30*100</f>
        <v>#VALUE!</v>
      </c>
      <c r="L39" s="15" t="e">
        <f aca="false">(L16-L23)/L30*100</f>
        <v>#VALUE!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e">
        <f aca="false">(H17-H24)/H31*100</f>
        <v>#VALUE!</v>
      </c>
      <c r="I40" s="17" t="e">
        <f aca="false">(I17-I24)/I31*100</f>
        <v>#VALUE!</v>
      </c>
      <c r="J40" s="17" t="e">
        <f aca="false">(J17-J24)/J31*100</f>
        <v>#VALUE!</v>
      </c>
      <c r="K40" s="17" t="e">
        <f aca="false">(K17-K24)/K31*100</f>
        <v>#VALUE!</v>
      </c>
      <c r="L40" s="18" t="e">
        <f aca="false">(L17-L24)/L31*100</f>
        <v>#VALUE!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e">
        <f aca="false">MIN(H35:H40)</f>
        <v>#VALUE!</v>
      </c>
      <c r="I42" s="9" t="e">
        <f aca="false">MIN(I35:I40)</f>
        <v>#VALUE!</v>
      </c>
      <c r="J42" s="9" t="e">
        <f aca="false">MIN(J35:J40)</f>
        <v>#VALUE!</v>
      </c>
      <c r="K42" s="9" t="e">
        <f aca="false">MIN(K35:K40)</f>
        <v>#VALUE!</v>
      </c>
      <c r="L42" s="10" t="e">
        <f aca="false">MIN(L35:L40)</f>
        <v>#VALUE!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e">
        <f aca="false">MAX(H35:H40)</f>
        <v>#VALUE!</v>
      </c>
      <c r="I43" s="14" t="e">
        <f aca="false">MAX(I35:I40)</f>
        <v>#VALUE!</v>
      </c>
      <c r="J43" s="14" t="e">
        <f aca="false">MAX(J35:J40)</f>
        <v>#VALUE!</v>
      </c>
      <c r="K43" s="14" t="e">
        <f aca="false">MAX(K35:K40)</f>
        <v>#VALUE!</v>
      </c>
      <c r="L43" s="15" t="e">
        <f aca="false">MAX(L35:L40)</f>
        <v>#VALUE!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e">
        <f aca="false">MEDIAN(H35:H40)</f>
        <v>#VALUE!</v>
      </c>
      <c r="I44" s="14" t="e">
        <f aca="false">MEDIAN(I35:I40)</f>
        <v>#VALUE!</v>
      </c>
      <c r="J44" s="14" t="e">
        <f aca="false">MEDIAN(J35:J40)</f>
        <v>#VALUE!</v>
      </c>
      <c r="K44" s="14" t="e">
        <f aca="false">MEDIAN(K35:K40)</f>
        <v>#VALUE!</v>
      </c>
      <c r="L44" s="15" t="e">
        <f aca="false">MEDIAN(L35:L40)</f>
        <v>#VALUE!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e">
        <f aca="false">AVERAGE(H35:H40)</f>
        <v>#VALUE!</v>
      </c>
      <c r="I45" s="14" t="e">
        <f aca="false">AVERAGE(I35:I40)</f>
        <v>#VALUE!</v>
      </c>
      <c r="J45" s="14" t="e">
        <f aca="false">AVERAGE(J35:J40)</f>
        <v>#VALUE!</v>
      </c>
      <c r="K45" s="14" t="e">
        <f aca="false">AVERAGE(K35:K40)</f>
        <v>#VALUE!</v>
      </c>
      <c r="L45" s="15" t="e">
        <f aca="false">AVERAGE(L35:L40)</f>
        <v>#VALUE!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e">
        <f aca="false">PERCENTILE(H35:H40, 1/4)</f>
        <v>#VALUE!</v>
      </c>
      <c r="I46" s="14" t="e">
        <f aca="false">PERCENTILE(I35:I40, 1/4)</f>
        <v>#VALUE!</v>
      </c>
      <c r="J46" s="14" t="e">
        <f aca="false">PERCENTILE(J35:J40, 1/4)</f>
        <v>#VALUE!</v>
      </c>
      <c r="K46" s="14" t="e">
        <f aca="false">PERCENTILE(K35:K40, 1/4)</f>
        <v>#VALUE!</v>
      </c>
      <c r="L46" s="15" t="e">
        <f aca="false">PERCENTILE(L35:L40, 1/4)</f>
        <v>#VALUE!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e">
        <f aca="false">PERCENTILE(H35:H40, 3/4)</f>
        <v>#VALUE!</v>
      </c>
      <c r="I47" s="17" t="e">
        <f aca="false">PERCENTILE(I35:I40, 3/4)</f>
        <v>#VALUE!</v>
      </c>
      <c r="J47" s="17" t="e">
        <f aca="false">PERCENTILE(J35:J40, 3/4)</f>
        <v>#VALUE!</v>
      </c>
      <c r="K47" s="17" t="e">
        <f aca="false">PERCENTILE(K35:K40, 3/4)</f>
        <v>#VALUE!</v>
      </c>
      <c r="L47" s="18" t="e">
        <f aca="false">PERCENTILE(L35:L40, 3/4)</f>
        <v>#VALUE!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e">
        <f aca="false">SUMPRODUCT(H35:H40, H26:H31) / SUM(H26:H31)</f>
        <v>#VALUE!</v>
      </c>
      <c r="I50" s="23" t="e">
        <f aca="false">SUMPRODUCT(I35:I40, I26:I31) / SUM(I26:I31)</f>
        <v>#VALUE!</v>
      </c>
      <c r="J50" s="23" t="e">
        <f aca="false">SUMPRODUCT(J35:J40, J26:J31) / SUM(J26:J31)</f>
        <v>#VALUE!</v>
      </c>
      <c r="K50" s="23" t="e">
        <f aca="false">SUMPRODUCT(K35:K40, K26:K31) / SUM(K26:K31)</f>
        <v>#VALUE!</v>
      </c>
      <c r="L50" s="24" t="e">
        <f aca="false">SUMPRODUCT(L35:L40, L26:L31) / SUM(L26:L31)</f>
        <v>#VALUE!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2026-01-29T09:13:46Z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