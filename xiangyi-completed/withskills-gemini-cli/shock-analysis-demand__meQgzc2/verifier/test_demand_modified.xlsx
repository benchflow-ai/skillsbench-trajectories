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  <sheet name="Scenario 2" sheetId="6" state="visible" r:id="rId6"/>
    <sheet name="Scenario 3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"/>
    <numFmt numFmtId="166" formatCode="0.0%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9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3" pivotButton="0" quotePrefix="0" xfId="0"/>
    <xf numFmtId="166" fontId="0" fillId="0" borderId="5" pivotButton="0" quotePrefix="0" xfId="0"/>
    <xf numFmtId="166" fontId="0" fillId="0" borderId="6" applyAlignment="1" pivotButton="0" quotePrefix="0" xfId="0">
      <alignment horizontal="right"/>
    </xf>
    <xf numFmtId="166" fontId="0" fillId="0" borderId="0" pivotButton="0" quotePrefix="0" xfId="0"/>
    <xf numFmtId="166" fontId="0" fillId="0" borderId="8" applyAlignment="1" pivotButton="0" quotePrefix="0" xfId="0">
      <alignment horizontal="right"/>
    </xf>
    <xf numFmtId="166" fontId="0" fillId="0" borderId="10" pivotButton="0" quotePrefix="0" xfId="0"/>
    <xf numFmtId="166" fontId="0" fillId="0" borderId="11" applyAlignment="1" pivotButton="0" quotePrefix="0" xfId="0">
      <alignment horizontal="right"/>
    </xf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>
        <v>2020</v>
      </c>
      <c r="C2" s="5">
        <f>WEO_Data!B2</f>
        <v/>
      </c>
      <c r="D2" s="32" t="n">
        <v>0</v>
      </c>
      <c r="E2" s="5">
        <f>$D$30*D2*$D$33</f>
        <v/>
      </c>
      <c r="F2" s="5">
        <f>E2*$D$31</f>
        <v/>
      </c>
      <c r="G2" s="4">
        <f>(E2-F2)*$D$32/(WEO_Data!B3/100)</f>
        <v/>
      </c>
      <c r="H2" s="6" t="inlineStr">
        <is>
          <t>Multiplier</t>
        </is>
      </c>
      <c r="I2" s="4" t="inlineStr">
        <is>
          <t>% of GDP</t>
        </is>
      </c>
      <c r="J2" s="7">
        <f>WEO_Data!B4</f>
        <v/>
      </c>
      <c r="K2" s="8" t="n"/>
    </row>
    <row r="3">
      <c r="B3" s="9" t="n">
        <v>2021</v>
      </c>
      <c r="C3" s="10">
        <f>WEO_Data!C2</f>
        <v/>
      </c>
      <c r="D3" s="33" t="n">
        <v>0</v>
      </c>
      <c r="E3" s="10">
        <f>$D$30*D3*$D$33</f>
        <v/>
      </c>
      <c r="F3" s="10">
        <f>E3*$D$31</f>
        <v/>
      </c>
      <c r="G3" s="10">
        <f>(E3-F3)*$D$32/(WEO_Data!C3/100)</f>
        <v/>
      </c>
      <c r="H3" s="10" t="n"/>
      <c r="I3" s="10" t="n"/>
      <c r="J3" s="11">
        <f>WEO_Data!C4</f>
        <v/>
      </c>
      <c r="K3" s="34">
        <f>((C3+G3)/(C2+G2))-1</f>
        <v/>
      </c>
    </row>
    <row r="4">
      <c r="B4" s="13" t="n">
        <v>2022</v>
      </c>
      <c r="C4">
        <f>WEO_Data!D2</f>
        <v/>
      </c>
      <c r="D4" s="35" t="n">
        <v>0</v>
      </c>
      <c r="E4">
        <f>$D$30*D4*$D$33</f>
        <v/>
      </c>
      <c r="F4">
        <f>E4*$D$31</f>
        <v/>
      </c>
      <c r="G4">
        <f>(E4-F4)*$D$32/(WEO_Data!D3/100)</f>
        <v/>
      </c>
      <c r="J4">
        <f>WEO_Data!D4</f>
        <v/>
      </c>
      <c r="K4" s="36">
        <f>((C4+G4)/(C3+G3))-1</f>
        <v/>
      </c>
    </row>
    <row r="5">
      <c r="B5" s="13" t="n">
        <v>2023</v>
      </c>
      <c r="C5">
        <f>WEO_Data!E2</f>
        <v/>
      </c>
      <c r="D5" s="35" t="n">
        <v>0</v>
      </c>
      <c r="E5">
        <f>$D$30*D5*$D$33</f>
        <v/>
      </c>
      <c r="F5">
        <f>E5*$D$31</f>
        <v/>
      </c>
      <c r="G5">
        <f>(E5-F5)*$D$32/(WEO_Data!E3/100)</f>
        <v/>
      </c>
      <c r="J5">
        <f>WEO_Data!E4</f>
        <v/>
      </c>
      <c r="K5" s="36">
        <f>((C5+G5)/(C4+G4))-1</f>
        <v/>
      </c>
    </row>
    <row r="6">
      <c r="B6" s="13" t="n">
        <v>2024</v>
      </c>
      <c r="C6">
        <f>WEO_Data!F2</f>
        <v/>
      </c>
      <c r="D6" s="35" t="n">
        <v>0</v>
      </c>
      <c r="E6">
        <f>$D$30*D6*$D$33</f>
        <v/>
      </c>
      <c r="F6">
        <f>E6*$D$31</f>
        <v/>
      </c>
      <c r="G6">
        <f>(E6-F6)*$D$32/(WEO_Data!F3/100)</f>
        <v/>
      </c>
      <c r="J6">
        <f>WEO_Data!F4</f>
        <v/>
      </c>
      <c r="K6" s="36">
        <f>((C6+G6)/(C5+G5))-1</f>
        <v/>
      </c>
    </row>
    <row r="7">
      <c r="B7" s="13" t="n">
        <v>2025</v>
      </c>
      <c r="C7">
        <f>WEO_Data!G2</f>
        <v/>
      </c>
      <c r="D7" s="35" t="n">
        <v>0</v>
      </c>
      <c r="E7">
        <f>$D$30*D7*$D$33</f>
        <v/>
      </c>
      <c r="F7">
        <f>E7*$D$31</f>
        <v/>
      </c>
      <c r="G7">
        <f>(E7-F7)*$D$32/(WEO_Data!G3/100)</f>
        <v/>
      </c>
      <c r="J7">
        <f>WEO_Data!G4</f>
        <v/>
      </c>
      <c r="K7" s="36">
        <f>((C7+G7)/(C6+G6))-1</f>
        <v/>
      </c>
    </row>
    <row r="8">
      <c r="B8" s="13" t="n">
        <v>2026</v>
      </c>
      <c r="C8">
        <f>WEO_Data!H2</f>
        <v/>
      </c>
      <c r="D8" s="35" t="n">
        <v>0.05</v>
      </c>
      <c r="E8">
        <f>$D$30*D8*$D$33</f>
        <v/>
      </c>
      <c r="F8">
        <f>E8*$D$31</f>
        <v/>
      </c>
      <c r="G8">
        <f>(E8-F8)*$D$32/(WEO_Data!H3/100)</f>
        <v/>
      </c>
      <c r="J8">
        <f>WEO_Data!H4</f>
        <v/>
      </c>
      <c r="K8" s="36">
        <f>((C8+G8)/(C7+G7))-1</f>
        <v/>
      </c>
    </row>
    <row r="9">
      <c r="B9" s="13" t="n">
        <v>2027</v>
      </c>
      <c r="C9">
        <f>WEO_Data!I2</f>
        <v/>
      </c>
      <c r="D9" s="35" t="n">
        <v>0.1</v>
      </c>
      <c r="E9">
        <f>$D$30*D9*$D$33</f>
        <v/>
      </c>
      <c r="F9">
        <f>E9*$D$31</f>
        <v/>
      </c>
      <c r="G9">
        <f>(E9-F9)*$D$32/(WEO_Data!I3/100)</f>
        <v/>
      </c>
      <c r="J9" s="16">
        <f>WEO_Data!I4</f>
        <v/>
      </c>
      <c r="K9" s="36">
        <f>((C9+G9)/(C8+G8))-1</f>
        <v/>
      </c>
    </row>
    <row r="10">
      <c r="B10" s="13" t="n">
        <v>2028</v>
      </c>
      <c r="C10">
        <f>WEO_Data!J2</f>
        <v/>
      </c>
      <c r="D10" s="35" t="n">
        <v>0.15</v>
      </c>
      <c r="E10">
        <f>$D$30*D10*$D$33</f>
        <v/>
      </c>
      <c r="F10">
        <f>E10*$D$31</f>
        <v/>
      </c>
      <c r="G10">
        <f>(E10-F10)*$D$32/(WEO_Data!J3/100)</f>
        <v/>
      </c>
      <c r="J10">
        <f>WEO_Data!J4</f>
        <v/>
      </c>
      <c r="K10" s="36">
        <f>((C10+G10)/(C9+G9))-1</f>
        <v/>
      </c>
    </row>
    <row r="11">
      <c r="B11" s="13" t="n">
        <v>2029</v>
      </c>
      <c r="C11">
        <f>WEO_Data!K2</f>
        <v/>
      </c>
      <c r="D11" s="35" t="n">
        <v>0.2</v>
      </c>
      <c r="E11">
        <f>$D$30*D11*$D$33</f>
        <v/>
      </c>
      <c r="F11">
        <f>E11*$D$31</f>
        <v/>
      </c>
      <c r="G11">
        <f>(E11-F11)*$D$32/(WEO_Data!K3/100)</f>
        <v/>
      </c>
      <c r="J11">
        <f>WEO_Data!K4</f>
        <v/>
      </c>
      <c r="K11" s="36">
        <f>((C11+G11)/(C10+G10))-1</f>
        <v/>
      </c>
    </row>
    <row r="12">
      <c r="B12" s="13" t="n">
        <v>2030</v>
      </c>
      <c r="C12">
        <f>WEO_Data!L2</f>
        <v/>
      </c>
      <c r="D12" s="35" t="n">
        <v>0.2</v>
      </c>
      <c r="E12">
        <f>$D$30*D12*$D$33</f>
        <v/>
      </c>
      <c r="F12">
        <f>E12*$D$31</f>
        <v/>
      </c>
      <c r="G12">
        <f>(E12-F12)*$D$32/(WEO_Data!L3/100)</f>
        <v/>
      </c>
      <c r="J12">
        <f>WEO_Data!L4</f>
        <v/>
      </c>
      <c r="K12" s="36">
        <f>((C12+G12)/(C11+G11))-1</f>
        <v/>
      </c>
    </row>
    <row r="13">
      <c r="B13" s="13" t="n">
        <v>2031</v>
      </c>
      <c r="C13">
        <f>WEO_Data!M2</f>
        <v/>
      </c>
      <c r="D13" s="35" t="n">
        <v>0.15</v>
      </c>
      <c r="E13">
        <f>$D$30*D13*$D$33</f>
        <v/>
      </c>
      <c r="F13">
        <f>E13*$D$31</f>
        <v/>
      </c>
      <c r="G13">
        <f>(E13-F13)*$D$32/(WEO_Data!M3/100)</f>
        <v/>
      </c>
      <c r="J13" s="17">
        <f>WEO_Data!M4</f>
        <v/>
      </c>
      <c r="K13" s="36">
        <f>((C13+G13)/(C12+G12))-1</f>
        <v/>
      </c>
    </row>
    <row r="14">
      <c r="B14" s="13" t="n">
        <v>2032</v>
      </c>
      <c r="C14">
        <f>WEO_Data!N2</f>
        <v/>
      </c>
      <c r="D14" s="35" t="n">
        <v>0.1</v>
      </c>
      <c r="E14">
        <f>$D$30*D14*$D$33</f>
        <v/>
      </c>
      <c r="F14">
        <f>E14*$D$31</f>
        <v/>
      </c>
      <c r="G14">
        <f>(E14-F14)*$D$32/(WEO_Data!N3/100)</f>
        <v/>
      </c>
      <c r="J14" s="17">
        <f>WEO_Data!N4</f>
        <v/>
      </c>
      <c r="K14" s="36">
        <f>((C14+G14)/(C13+G13))-1</f>
        <v/>
      </c>
    </row>
    <row r="15">
      <c r="B15" s="13" t="n">
        <v>2033</v>
      </c>
      <c r="C15">
        <f>WEO_Data!O2</f>
        <v/>
      </c>
      <c r="D15" s="35" t="n">
        <v>0.05</v>
      </c>
      <c r="E15">
        <f>$D$30*D15*$D$33</f>
        <v/>
      </c>
      <c r="F15">
        <f>E15*$D$31</f>
        <v/>
      </c>
      <c r="G15">
        <f>(E15-F15)*$D$32/(WEO_Data!O3/100)</f>
        <v/>
      </c>
      <c r="J15" s="17">
        <f>WEO_Data!O4</f>
        <v/>
      </c>
      <c r="K15" s="36">
        <f>((C15+G15)/(C14+G14))-1</f>
        <v/>
      </c>
    </row>
    <row r="16">
      <c r="B16" s="13" t="n">
        <v>2034</v>
      </c>
      <c r="C16">
        <f>WEO_Data!P2</f>
        <v/>
      </c>
      <c r="D16" s="35" t="n">
        <v>0</v>
      </c>
      <c r="E16">
        <f>$D$30*D16*$D$33</f>
        <v/>
      </c>
      <c r="F16">
        <f>E16*$D$31</f>
        <v/>
      </c>
      <c r="G16">
        <f>(E16-F16)*$D$32/(WEO_Data!P3/100)</f>
        <v/>
      </c>
      <c r="J16" s="17">
        <f>WEO_Data!P4</f>
        <v/>
      </c>
      <c r="K16" s="36">
        <f>((C16+G16)/(C15+G15))-1</f>
        <v/>
      </c>
    </row>
    <row r="17">
      <c r="B17" s="13" t="n">
        <v>2035</v>
      </c>
      <c r="C17">
        <f>WEO_Data!Q2</f>
        <v/>
      </c>
      <c r="D17" s="35" t="n">
        <v>0</v>
      </c>
      <c r="E17">
        <f>$D$30*D17*$D$33</f>
        <v/>
      </c>
      <c r="F17">
        <f>E17*$D$31</f>
        <v/>
      </c>
      <c r="G17">
        <f>(E17-F17)*$D$32/(WEO_Data!Q3/100)</f>
        <v/>
      </c>
      <c r="J17" s="17">
        <f>WEO_Data!Q4</f>
        <v/>
      </c>
      <c r="K17" s="36">
        <f>((C17+G17)/(C16+G16))-1</f>
        <v/>
      </c>
    </row>
    <row r="18">
      <c r="B18" s="13" t="n">
        <v>2036</v>
      </c>
      <c r="C18">
        <f>WEO_Data!R2</f>
        <v/>
      </c>
      <c r="D18" s="35" t="n">
        <v>0</v>
      </c>
      <c r="E18">
        <f>$D$30*D18*$D$33</f>
        <v/>
      </c>
      <c r="F18">
        <f>E18*$D$31</f>
        <v/>
      </c>
      <c r="G18">
        <f>(E18-F18)*$D$32/(WEO_Data!R3/100)</f>
        <v/>
      </c>
      <c r="J18" s="17">
        <f>WEO_Data!R4</f>
        <v/>
      </c>
      <c r="K18" s="36">
        <f>((C18+G18)/(C17+G17))-1</f>
        <v/>
      </c>
    </row>
    <row r="19">
      <c r="B19" s="13" t="n">
        <v>2037</v>
      </c>
      <c r="C19">
        <f>WEO_Data!S2</f>
        <v/>
      </c>
      <c r="D19" s="35" t="n">
        <v>0</v>
      </c>
      <c r="E19">
        <f>$D$30*D19*$D$33</f>
        <v/>
      </c>
      <c r="F19">
        <f>E19*$D$31</f>
        <v/>
      </c>
      <c r="G19">
        <f>(E19-F19)*$D$32/(WEO_Data!S3/100)</f>
        <v/>
      </c>
      <c r="J19" s="17">
        <f>WEO_Data!S4</f>
        <v/>
      </c>
      <c r="K19" s="36">
        <f>((C19+G19)/(C18+G18))-1</f>
        <v/>
      </c>
    </row>
    <row r="20">
      <c r="B20" s="13" t="n">
        <v>2038</v>
      </c>
      <c r="C20">
        <f>WEO_Data!T2</f>
        <v/>
      </c>
      <c r="D20" s="35" t="n">
        <v>0</v>
      </c>
      <c r="E20">
        <f>$D$30*D20*$D$33</f>
        <v/>
      </c>
      <c r="F20">
        <f>E20*$D$31</f>
        <v/>
      </c>
      <c r="G20">
        <f>(E20-F20)*$D$32/(WEO_Data!T3/100)</f>
        <v/>
      </c>
      <c r="J20" s="17">
        <f>WEO_Data!T4</f>
        <v/>
      </c>
      <c r="K20" s="36">
        <f>((C20+G20)/(C19+G19))-1</f>
        <v/>
      </c>
    </row>
    <row r="21">
      <c r="B21" s="13" t="n">
        <v>2039</v>
      </c>
      <c r="C21">
        <f>WEO_Data!U2</f>
        <v/>
      </c>
      <c r="D21" s="35" t="n">
        <v>0</v>
      </c>
      <c r="E21">
        <f>$D$30*D21*$D$33</f>
        <v/>
      </c>
      <c r="F21">
        <f>E21*$D$31</f>
        <v/>
      </c>
      <c r="G21">
        <f>(E21-F21)*$D$32/(WEO_Data!U3/100)</f>
        <v/>
      </c>
      <c r="J21" s="17">
        <f>WEO_Data!U4</f>
        <v/>
      </c>
      <c r="K21" s="36">
        <f>((C21+G21)/(C20+G20))-1</f>
        <v/>
      </c>
    </row>
    <row r="22">
      <c r="B22" s="13" t="n">
        <v>2040</v>
      </c>
      <c r="C22">
        <f>WEO_Data!V2</f>
        <v/>
      </c>
      <c r="D22" s="35" t="n">
        <v>0</v>
      </c>
      <c r="E22">
        <f>$D$30*D22*$D$33</f>
        <v/>
      </c>
      <c r="F22">
        <f>E22*$D$31</f>
        <v/>
      </c>
      <c r="G22">
        <f>(E22-F22)*$D$32/(WEO_Data!V3/100)</f>
        <v/>
      </c>
      <c r="J22" s="17">
        <f>WEO_Data!V4</f>
        <v/>
      </c>
      <c r="K22" s="36">
        <f>((C22+G22)/(C21+G21))-1</f>
        <v/>
      </c>
    </row>
    <row r="23">
      <c r="B23" s="13" t="n">
        <v>2041</v>
      </c>
      <c r="C23">
        <f>WEO_Data!W2</f>
        <v/>
      </c>
      <c r="D23" s="35" t="n">
        <v>0</v>
      </c>
      <c r="E23">
        <f>$D$30*D23*$D$33</f>
        <v/>
      </c>
      <c r="F23">
        <f>E23*$D$31</f>
        <v/>
      </c>
      <c r="G23">
        <f>(E23-F23)*$D$32/(WEO_Data!W3/100)</f>
        <v/>
      </c>
      <c r="J23" s="17">
        <f>WEO_Data!W4</f>
        <v/>
      </c>
      <c r="K23" s="36">
        <f>((C23+G23)/(C22+G22))-1</f>
        <v/>
      </c>
    </row>
    <row r="24">
      <c r="B24" s="13" t="n">
        <v>2042</v>
      </c>
      <c r="C24">
        <f>WEO_Data!X2</f>
        <v/>
      </c>
      <c r="D24" s="35" t="n">
        <v>0</v>
      </c>
      <c r="E24">
        <f>$D$30*D24*$D$33</f>
        <v/>
      </c>
      <c r="F24">
        <f>E24*$D$31</f>
        <v/>
      </c>
      <c r="G24">
        <f>(E24-F24)*$D$32/(WEO_Data!X3/100)</f>
        <v/>
      </c>
      <c r="J24" s="17">
        <f>WEO_Data!X4</f>
        <v/>
      </c>
      <c r="K24" s="36">
        <f>((C24+G24)/(C23+G23))-1</f>
        <v/>
      </c>
    </row>
    <row r="25">
      <c r="B25" s="18" t="n">
        <v>2043</v>
      </c>
      <c r="C25" s="19">
        <f>WEO_Data!Y2</f>
        <v/>
      </c>
      <c r="D25" s="37" t="n">
        <v>0</v>
      </c>
      <c r="E25" s="19">
        <f>$D$30*D25*$D$33</f>
        <v/>
      </c>
      <c r="F25" s="19">
        <f>E25*$D$31</f>
        <v/>
      </c>
      <c r="G25" s="19">
        <f>(E25-F25)*$D$32/(WEO_Data!Y3/100)</f>
        <v/>
      </c>
      <c r="H25" s="19" t="n"/>
      <c r="I25" s="19" t="n"/>
      <c r="J25" s="20">
        <f>WEO_Data!Y4</f>
        <v/>
      </c>
      <c r="K25" s="38">
        <f>((C25+G25)/(C24+G24))-1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bn)</t>
        </is>
      </c>
      <c r="D30" t="n">
        <v>6.5</v>
      </c>
      <c r="K30" s="15" t="n"/>
    </row>
    <row r="31">
      <c r="C31" s="13" t="inlineStr">
        <is>
          <t>Import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Exchange Rate</t>
        </is>
      </c>
      <c r="D33" s="19" t="n">
        <v>2.746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</row>
    <row r="2">
      <c r="A2" t="inlineStr">
        <is>
          <t>NGDP_R</t>
        </is>
      </c>
      <c r="B2" t="n">
        <v>37.28</v>
      </c>
      <c r="C2" t="n">
        <v>41.1944</v>
      </c>
      <c r="D2" t="n">
        <v>45.725784</v>
      </c>
      <c r="E2" t="n">
        <v>49.1552178</v>
      </c>
      <c r="F2" t="n">
        <v>52.89101435280001</v>
      </c>
      <c r="G2" t="n">
        <v>56.06447521396801</v>
      </c>
      <c r="H2" t="n">
        <v>58.86769897466641</v>
      </c>
      <c r="I2" t="n">
        <v>61.81108392339974</v>
      </c>
      <c r="J2" t="n">
        <v>64.90163811956972</v>
      </c>
      <c r="K2" t="n">
        <v>68.14672002554822</v>
      </c>
      <c r="L2" t="n">
        <v>71.55405602682563</v>
      </c>
      <c r="M2" t="n">
        <v>75.13175882816692</v>
      </c>
      <c r="N2" t="n">
        <v>78.88834676957528</v>
      </c>
      <c r="O2" t="n">
        <v>82.83276410805405</v>
      </c>
      <c r="P2" t="n">
        <v>86.97440231345675</v>
      </c>
      <c r="Q2" t="n">
        <v>91.3231224291296</v>
      </c>
      <c r="R2" t="n">
        <v>95.88927855058608</v>
      </c>
      <c r="S2" t="n">
        <v>100.6837424781154</v>
      </c>
      <c r="T2" t="n">
        <v>105.7179296020212</v>
      </c>
      <c r="U2" t="n">
        <v>111.0038260821222</v>
      </c>
      <c r="V2" t="n">
        <v>116.5540173862284</v>
      </c>
      <c r="W2" t="n">
        <v>122.3817182555398</v>
      </c>
      <c r="X2" t="n">
        <v>128.5008041683168</v>
      </c>
      <c r="Y2" t="n">
        <v>134.9258443767326</v>
      </c>
    </row>
    <row r="3">
      <c r="A3" t="inlineStr">
        <is>
          <t>NGDP_D</t>
        </is>
      </c>
      <c r="B3" t="n">
        <v>106</v>
      </c>
      <c r="C3" t="n">
        <v>116.07</v>
      </c>
      <c r="D3" t="n">
        <v>126.05202</v>
      </c>
      <c r="E3" t="n">
        <v>129.70752858</v>
      </c>
      <c r="F3" t="n">
        <v>136.06319748042</v>
      </c>
      <c r="G3" t="n">
        <v>141.6417885771172</v>
      </c>
      <c r="H3" t="n">
        <v>148.9009302416945</v>
      </c>
      <c r="I3" t="n">
        <v>156.5321029165813</v>
      </c>
      <c r="J3" t="n">
        <v>164.5543731910561</v>
      </c>
      <c r="K3" t="n">
        <v>172.9877848170977</v>
      </c>
      <c r="L3" t="n">
        <v>181.853408788974</v>
      </c>
      <c r="M3" t="n">
        <v>191.1733959894089</v>
      </c>
      <c r="N3" t="n">
        <v>200.9710325338662</v>
      </c>
      <c r="O3" t="n">
        <v>211.2707979512268</v>
      </c>
      <c r="P3" t="n">
        <v>222.0984263462272</v>
      </c>
      <c r="Q3" t="n">
        <v>233.4809706964713</v>
      </c>
      <c r="R3" t="n">
        <v>245.4468704446655</v>
      </c>
      <c r="S3" t="n">
        <v>258.0260225549546</v>
      </c>
      <c r="T3" t="n">
        <v>271.249856210896</v>
      </c>
      <c r="U3" t="n">
        <v>285.1514113417044</v>
      </c>
      <c r="V3" t="n">
        <v>299.7654211729668</v>
      </c>
      <c r="W3" t="n">
        <v>315.1283990080814</v>
      </c>
      <c r="X3" t="n">
        <v>331.2787294572456</v>
      </c>
      <c r="Y3" t="n">
        <v>348.2567643419294</v>
      </c>
    </row>
    <row r="4">
      <c r="A4" t="inlineStr">
        <is>
          <t>NGDP_RPCH</t>
        </is>
      </c>
      <c r="B4" t="n">
        <v>-6.8</v>
      </c>
      <c r="C4" t="n">
        <v>10.5</v>
      </c>
      <c r="D4" t="n">
        <v>11</v>
      </c>
      <c r="E4" t="n">
        <v>7.5</v>
      </c>
      <c r="F4" t="n">
        <v>7.6</v>
      </c>
      <c r="G4" t="n">
        <v>6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</row>
    <row r="5">
      <c r="A5" t="inlineStr">
        <is>
          <t>NGDP_D_PCH</t>
        </is>
      </c>
      <c r="B5" t="n">
        <v>6</v>
      </c>
      <c r="C5" t="n">
        <v>9.5</v>
      </c>
      <c r="D5" t="n">
        <v>8.6</v>
      </c>
      <c r="E5" t="n">
        <v>2.9</v>
      </c>
      <c r="F5" t="n">
        <v>4.9</v>
      </c>
      <c r="G5" t="n">
        <v>4.1</v>
      </c>
      <c r="H5" t="n">
        <v>5.125</v>
      </c>
      <c r="I5" t="n">
        <v>5.125</v>
      </c>
      <c r="J5" t="n">
        <v>5.125</v>
      </c>
      <c r="K5" t="n">
        <v>5.125</v>
      </c>
      <c r="L5" t="n">
        <v>5.125</v>
      </c>
      <c r="M5" t="n">
        <v>5.125</v>
      </c>
      <c r="N5" t="n">
        <v>5.125</v>
      </c>
      <c r="O5" t="n">
        <v>5.125</v>
      </c>
      <c r="P5" t="n">
        <v>5.125</v>
      </c>
      <c r="Q5" t="n">
        <v>5.125</v>
      </c>
      <c r="R5" t="n">
        <v>5.125</v>
      </c>
      <c r="S5" t="n">
        <v>5.125</v>
      </c>
      <c r="T5" t="n">
        <v>5.125</v>
      </c>
      <c r="U5" t="n">
        <v>5.125</v>
      </c>
      <c r="V5" t="n">
        <v>5.125</v>
      </c>
      <c r="W5" t="n">
        <v>5.125</v>
      </c>
      <c r="X5" t="n">
        <v>5.125</v>
      </c>
      <c r="Y5" t="n">
        <v>5.125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Supply</t>
        </is>
      </c>
    </row>
    <row r="2">
      <c r="A2" t="inlineStr">
        <is>
          <t>Total Economy</t>
        </is>
      </c>
      <c r="B2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Use</t>
        </is>
      </c>
      <c r="C1" t="inlineStr">
        <is>
          <t>Imports</t>
        </is>
      </c>
    </row>
    <row r="2">
      <c r="A2" t="inlineStr">
        <is>
          <t>Total Economy</t>
        </is>
      </c>
      <c r="B2" t="n">
        <v>10000</v>
      </c>
      <c r="C2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of Import Share</t>
        </is>
      </c>
    </row>
    <row r="46">
      <c r="C46" s="35">
        <f>USE!C2/SUPPLY!B2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>
        <v>2020</v>
      </c>
      <c r="C2" s="5">
        <f>WEO_Data!B2</f>
        <v/>
      </c>
      <c r="D2" s="32" t="n">
        <v>0</v>
      </c>
      <c r="E2" s="5">
        <f>$D$30*D2*$D$33</f>
        <v/>
      </c>
      <c r="F2" s="5">
        <f>E2*$D$31</f>
        <v/>
      </c>
      <c r="G2" s="4">
        <f>(E2-F2)*$D$32/(WEO_Data!B3/100)</f>
        <v/>
      </c>
      <c r="H2" s="6" t="inlineStr">
        <is>
          <t>Multiplier</t>
        </is>
      </c>
      <c r="I2" s="4" t="inlineStr">
        <is>
          <t>% of GDP</t>
        </is>
      </c>
      <c r="J2" s="7">
        <f>WEO_Data!B4</f>
        <v/>
      </c>
      <c r="K2" s="8" t="n"/>
    </row>
    <row r="3">
      <c r="B3" s="9" t="n">
        <v>2021</v>
      </c>
      <c r="C3" s="10">
        <f>WEO_Data!C2</f>
        <v/>
      </c>
      <c r="D3" s="33" t="n">
        <v>0</v>
      </c>
      <c r="E3" s="10">
        <f>$D$30*D3*$D$33</f>
        <v/>
      </c>
      <c r="F3" s="10">
        <f>E3*$D$31</f>
        <v/>
      </c>
      <c r="G3" s="10">
        <f>(E3-F3)*$D$32/(WEO_Data!C3/100)</f>
        <v/>
      </c>
      <c r="H3" s="10" t="n"/>
      <c r="I3" s="10" t="n"/>
      <c r="J3" s="11">
        <f>WEO_Data!C4</f>
        <v/>
      </c>
      <c r="K3" s="34">
        <f>((C3+G3)/(C2+G2))-1</f>
        <v/>
      </c>
    </row>
    <row r="4">
      <c r="B4" s="13" t="n">
        <v>2022</v>
      </c>
      <c r="C4">
        <f>WEO_Data!D2</f>
        <v/>
      </c>
      <c r="D4" s="35" t="n">
        <v>0</v>
      </c>
      <c r="E4">
        <f>$D$30*D4*$D$33</f>
        <v/>
      </c>
      <c r="F4">
        <f>E4*$D$31</f>
        <v/>
      </c>
      <c r="G4">
        <f>(E4-F4)*$D$32/(WEO_Data!D3/100)</f>
        <v/>
      </c>
      <c r="J4">
        <f>WEO_Data!D4</f>
        <v/>
      </c>
      <c r="K4" s="36">
        <f>((C4+G4)/(C3+G3))-1</f>
        <v/>
      </c>
    </row>
    <row r="5">
      <c r="B5" s="13" t="n">
        <v>2023</v>
      </c>
      <c r="C5">
        <f>WEO_Data!E2</f>
        <v/>
      </c>
      <c r="D5" s="35" t="n">
        <v>0</v>
      </c>
      <c r="E5">
        <f>$D$30*D5*$D$33</f>
        <v/>
      </c>
      <c r="F5">
        <f>E5*$D$31</f>
        <v/>
      </c>
      <c r="G5">
        <f>(E5-F5)*$D$32/(WEO_Data!E3/100)</f>
        <v/>
      </c>
      <c r="J5">
        <f>WEO_Data!E4</f>
        <v/>
      </c>
      <c r="K5" s="36">
        <f>((C5+G5)/(C4+G4))-1</f>
        <v/>
      </c>
    </row>
    <row r="6">
      <c r="B6" s="13" t="n">
        <v>2024</v>
      </c>
      <c r="C6">
        <f>WEO_Data!F2</f>
        <v/>
      </c>
      <c r="D6" s="35" t="n">
        <v>0</v>
      </c>
      <c r="E6">
        <f>$D$30*D6*$D$33</f>
        <v/>
      </c>
      <c r="F6">
        <f>E6*$D$31</f>
        <v/>
      </c>
      <c r="G6">
        <f>(E6-F6)*$D$32/(WEO_Data!F3/100)</f>
        <v/>
      </c>
      <c r="J6">
        <f>WEO_Data!F4</f>
        <v/>
      </c>
      <c r="K6" s="36">
        <f>((C6+G6)/(C5+G5))-1</f>
        <v/>
      </c>
    </row>
    <row r="7">
      <c r="B7" s="13" t="n">
        <v>2025</v>
      </c>
      <c r="C7">
        <f>WEO_Data!G2</f>
        <v/>
      </c>
      <c r="D7" s="35" t="n">
        <v>0</v>
      </c>
      <c r="E7">
        <f>$D$30*D7*$D$33</f>
        <v/>
      </c>
      <c r="F7">
        <f>E7*$D$31</f>
        <v/>
      </c>
      <c r="G7">
        <f>(E7-F7)*$D$32/(WEO_Data!G3/100)</f>
        <v/>
      </c>
      <c r="J7">
        <f>WEO_Data!G4</f>
        <v/>
      </c>
      <c r="K7" s="36">
        <f>((C7+G7)/(C6+G6))-1</f>
        <v/>
      </c>
    </row>
    <row r="8">
      <c r="B8" s="13" t="n">
        <v>2026</v>
      </c>
      <c r="C8">
        <f>WEO_Data!H2</f>
        <v/>
      </c>
      <c r="D8" s="35" t="n">
        <v>0.05</v>
      </c>
      <c r="E8">
        <f>$D$30*D8*$D$33</f>
        <v/>
      </c>
      <c r="F8">
        <f>E8*$D$31</f>
        <v/>
      </c>
      <c r="G8">
        <f>(E8-F8)*$D$32/(WEO_Data!H3/100)</f>
        <v/>
      </c>
      <c r="J8">
        <f>WEO_Data!H4</f>
        <v/>
      </c>
      <c r="K8" s="36">
        <f>((C8+G8)/(C7+G7))-1</f>
        <v/>
      </c>
    </row>
    <row r="9">
      <c r="B9" s="13" t="n">
        <v>2027</v>
      </c>
      <c r="C9">
        <f>WEO_Data!I2</f>
        <v/>
      </c>
      <c r="D9" s="35" t="n">
        <v>0.1</v>
      </c>
      <c r="E9">
        <f>$D$30*D9*$D$33</f>
        <v/>
      </c>
      <c r="F9">
        <f>E9*$D$31</f>
        <v/>
      </c>
      <c r="G9">
        <f>(E9-F9)*$D$32/(WEO_Data!I3/100)</f>
        <v/>
      </c>
      <c r="J9" s="16">
        <f>WEO_Data!I4</f>
        <v/>
      </c>
      <c r="K9" s="36">
        <f>((C9+G9)/(C8+G8))-1</f>
        <v/>
      </c>
    </row>
    <row r="10">
      <c r="B10" s="13" t="n">
        <v>2028</v>
      </c>
      <c r="C10">
        <f>WEO_Data!J2</f>
        <v/>
      </c>
      <c r="D10" s="35" t="n">
        <v>0.15</v>
      </c>
      <c r="E10">
        <f>$D$30*D10*$D$33</f>
        <v/>
      </c>
      <c r="F10">
        <f>E10*$D$31</f>
        <v/>
      </c>
      <c r="G10">
        <f>(E10-F10)*$D$32/(WEO_Data!J3/100)</f>
        <v/>
      </c>
      <c r="J10">
        <f>WEO_Data!J4</f>
        <v/>
      </c>
      <c r="K10" s="36">
        <f>((C10+G10)/(C9+G9))-1</f>
        <v/>
      </c>
    </row>
    <row r="11">
      <c r="B11" s="13" t="n">
        <v>2029</v>
      </c>
      <c r="C11">
        <f>WEO_Data!K2</f>
        <v/>
      </c>
      <c r="D11" s="35" t="n">
        <v>0.2</v>
      </c>
      <c r="E11">
        <f>$D$30*D11*$D$33</f>
        <v/>
      </c>
      <c r="F11">
        <f>E11*$D$31</f>
        <v/>
      </c>
      <c r="G11">
        <f>(E11-F11)*$D$32/(WEO_Data!K3/100)</f>
        <v/>
      </c>
      <c r="J11">
        <f>WEO_Data!K4</f>
        <v/>
      </c>
      <c r="K11" s="36">
        <f>((C11+G11)/(C10+G10))-1</f>
        <v/>
      </c>
    </row>
    <row r="12">
      <c r="B12" s="13" t="n">
        <v>2030</v>
      </c>
      <c r="C12">
        <f>WEO_Data!L2</f>
        <v/>
      </c>
      <c r="D12" s="35" t="n">
        <v>0.2</v>
      </c>
      <c r="E12">
        <f>$D$30*D12*$D$33</f>
        <v/>
      </c>
      <c r="F12">
        <f>E12*$D$31</f>
        <v/>
      </c>
      <c r="G12">
        <f>(E12-F12)*$D$32/(WEO_Data!L3/100)</f>
        <v/>
      </c>
      <c r="J12">
        <f>WEO_Data!L4</f>
        <v/>
      </c>
      <c r="K12" s="36">
        <f>((C12+G12)/(C11+G11))-1</f>
        <v/>
      </c>
    </row>
    <row r="13">
      <c r="B13" s="13" t="n">
        <v>2031</v>
      </c>
      <c r="C13">
        <f>WEO_Data!M2</f>
        <v/>
      </c>
      <c r="D13" s="35" t="n">
        <v>0.15</v>
      </c>
      <c r="E13">
        <f>$D$30*D13*$D$33</f>
        <v/>
      </c>
      <c r="F13">
        <f>E13*$D$31</f>
        <v/>
      </c>
      <c r="G13">
        <f>(E13-F13)*$D$32/(WEO_Data!M3/100)</f>
        <v/>
      </c>
      <c r="J13" s="17">
        <f>WEO_Data!M4</f>
        <v/>
      </c>
      <c r="K13" s="36">
        <f>((C13+G13)/(C12+G12))-1</f>
        <v/>
      </c>
    </row>
    <row r="14">
      <c r="B14" s="13" t="n">
        <v>2032</v>
      </c>
      <c r="C14">
        <f>WEO_Data!N2</f>
        <v/>
      </c>
      <c r="D14" s="35" t="n">
        <v>0.1</v>
      </c>
      <c r="E14">
        <f>$D$30*D14*$D$33</f>
        <v/>
      </c>
      <c r="F14">
        <f>E14*$D$31</f>
        <v/>
      </c>
      <c r="G14">
        <f>(E14-F14)*$D$32/(WEO_Data!N3/100)</f>
        <v/>
      </c>
      <c r="J14" s="17">
        <f>WEO_Data!N4</f>
        <v/>
      </c>
      <c r="K14" s="36">
        <f>((C14+G14)/(C13+G13))-1</f>
        <v/>
      </c>
    </row>
    <row r="15">
      <c r="B15" s="13" t="n">
        <v>2033</v>
      </c>
      <c r="C15">
        <f>WEO_Data!O2</f>
        <v/>
      </c>
      <c r="D15" s="35" t="n">
        <v>0.05</v>
      </c>
      <c r="E15">
        <f>$D$30*D15*$D$33</f>
        <v/>
      </c>
      <c r="F15">
        <f>E15*$D$31</f>
        <v/>
      </c>
      <c r="G15">
        <f>(E15-F15)*$D$32/(WEO_Data!O3/100)</f>
        <v/>
      </c>
      <c r="J15" s="17">
        <f>WEO_Data!O4</f>
        <v/>
      </c>
      <c r="K15" s="36">
        <f>((C15+G15)/(C14+G14))-1</f>
        <v/>
      </c>
    </row>
    <row r="16">
      <c r="B16" s="13" t="n">
        <v>2034</v>
      </c>
      <c r="C16">
        <f>WEO_Data!P2</f>
        <v/>
      </c>
      <c r="D16" s="35" t="n">
        <v>0</v>
      </c>
      <c r="E16">
        <f>$D$30*D16*$D$33</f>
        <v/>
      </c>
      <c r="F16">
        <f>E16*$D$31</f>
        <v/>
      </c>
      <c r="G16">
        <f>(E16-F16)*$D$32/(WEO_Data!P3/100)</f>
        <v/>
      </c>
      <c r="J16" s="17">
        <f>WEO_Data!P4</f>
        <v/>
      </c>
      <c r="K16" s="36">
        <f>((C16+G16)/(C15+G15))-1</f>
        <v/>
      </c>
    </row>
    <row r="17">
      <c r="B17" s="13" t="n">
        <v>2035</v>
      </c>
      <c r="C17">
        <f>WEO_Data!Q2</f>
        <v/>
      </c>
      <c r="D17" s="35" t="n">
        <v>0</v>
      </c>
      <c r="E17">
        <f>$D$30*D17*$D$33</f>
        <v/>
      </c>
      <c r="F17">
        <f>E17*$D$31</f>
        <v/>
      </c>
      <c r="G17">
        <f>(E17-F17)*$D$32/(WEO_Data!Q3/100)</f>
        <v/>
      </c>
      <c r="J17" s="17">
        <f>WEO_Data!Q4</f>
        <v/>
      </c>
      <c r="K17" s="36">
        <f>((C17+G17)/(C16+G16))-1</f>
        <v/>
      </c>
    </row>
    <row r="18">
      <c r="B18" s="13" t="n">
        <v>2036</v>
      </c>
      <c r="C18">
        <f>WEO_Data!R2</f>
        <v/>
      </c>
      <c r="D18" s="35" t="n">
        <v>0</v>
      </c>
      <c r="E18">
        <f>$D$30*D18*$D$33</f>
        <v/>
      </c>
      <c r="F18">
        <f>E18*$D$31</f>
        <v/>
      </c>
      <c r="G18">
        <f>(E18-F18)*$D$32/(WEO_Data!R3/100)</f>
        <v/>
      </c>
      <c r="J18" s="17">
        <f>WEO_Data!R4</f>
        <v/>
      </c>
      <c r="K18" s="36">
        <f>((C18+G18)/(C17+G17))-1</f>
        <v/>
      </c>
    </row>
    <row r="19">
      <c r="B19" s="13" t="n">
        <v>2037</v>
      </c>
      <c r="C19">
        <f>WEO_Data!S2</f>
        <v/>
      </c>
      <c r="D19" s="35" t="n">
        <v>0</v>
      </c>
      <c r="E19">
        <f>$D$30*D19*$D$33</f>
        <v/>
      </c>
      <c r="F19">
        <f>E19*$D$31</f>
        <v/>
      </c>
      <c r="G19">
        <f>(E19-F19)*$D$32/(WEO_Data!S3/100)</f>
        <v/>
      </c>
      <c r="J19" s="17">
        <f>WEO_Data!S4</f>
        <v/>
      </c>
      <c r="K19" s="36">
        <f>((C19+G19)/(C18+G18))-1</f>
        <v/>
      </c>
    </row>
    <row r="20">
      <c r="B20" s="13" t="n">
        <v>2038</v>
      </c>
      <c r="C20">
        <f>WEO_Data!T2</f>
        <v/>
      </c>
      <c r="D20" s="35" t="n">
        <v>0</v>
      </c>
      <c r="E20">
        <f>$D$30*D20*$D$33</f>
        <v/>
      </c>
      <c r="F20">
        <f>E20*$D$31</f>
        <v/>
      </c>
      <c r="G20">
        <f>(E20-F20)*$D$32/(WEO_Data!T3/100)</f>
        <v/>
      </c>
      <c r="J20" s="17">
        <f>WEO_Data!T4</f>
        <v/>
      </c>
      <c r="K20" s="36">
        <f>((C20+G20)/(C19+G19))-1</f>
        <v/>
      </c>
    </row>
    <row r="21">
      <c r="B21" s="13" t="n">
        <v>2039</v>
      </c>
      <c r="C21">
        <f>WEO_Data!U2</f>
        <v/>
      </c>
      <c r="D21" s="35" t="n">
        <v>0</v>
      </c>
      <c r="E21">
        <f>$D$30*D21*$D$33</f>
        <v/>
      </c>
      <c r="F21">
        <f>E21*$D$31</f>
        <v/>
      </c>
      <c r="G21">
        <f>(E21-F21)*$D$32/(WEO_Data!U3/100)</f>
        <v/>
      </c>
      <c r="J21" s="17">
        <f>WEO_Data!U4</f>
        <v/>
      </c>
      <c r="K21" s="36">
        <f>((C21+G21)/(C20+G20))-1</f>
        <v/>
      </c>
    </row>
    <row r="22">
      <c r="B22" s="13" t="n">
        <v>2040</v>
      </c>
      <c r="C22">
        <f>WEO_Data!V2</f>
        <v/>
      </c>
      <c r="D22" s="35" t="n">
        <v>0</v>
      </c>
      <c r="E22">
        <f>$D$30*D22*$D$33</f>
        <v/>
      </c>
      <c r="F22">
        <f>E22*$D$31</f>
        <v/>
      </c>
      <c r="G22">
        <f>(E22-F22)*$D$32/(WEO_Data!V3/100)</f>
        <v/>
      </c>
      <c r="J22" s="17">
        <f>WEO_Data!V4</f>
        <v/>
      </c>
      <c r="K22" s="36">
        <f>((C22+G22)/(C21+G21))-1</f>
        <v/>
      </c>
    </row>
    <row r="23">
      <c r="B23" s="13" t="n">
        <v>2041</v>
      </c>
      <c r="C23">
        <f>WEO_Data!W2</f>
        <v/>
      </c>
      <c r="D23" s="35" t="n">
        <v>0</v>
      </c>
      <c r="E23">
        <f>$D$30*D23*$D$33</f>
        <v/>
      </c>
      <c r="F23">
        <f>E23*$D$31</f>
        <v/>
      </c>
      <c r="G23">
        <f>(E23-F23)*$D$32/(WEO_Data!W3/100)</f>
        <v/>
      </c>
      <c r="J23" s="17">
        <f>WEO_Data!W4</f>
        <v/>
      </c>
      <c r="K23" s="36">
        <f>((C23+G23)/(C22+G22))-1</f>
        <v/>
      </c>
    </row>
    <row r="24">
      <c r="B24" s="13" t="n">
        <v>2042</v>
      </c>
      <c r="C24">
        <f>WEO_Data!X2</f>
        <v/>
      </c>
      <c r="D24" s="35" t="n">
        <v>0</v>
      </c>
      <c r="E24">
        <f>$D$30*D24*$D$33</f>
        <v/>
      </c>
      <c r="F24">
        <f>E24*$D$31</f>
        <v/>
      </c>
      <c r="G24">
        <f>(E24-F24)*$D$32/(WEO_Data!X3/100)</f>
        <v/>
      </c>
      <c r="J24" s="17">
        <f>WEO_Data!X4</f>
        <v/>
      </c>
      <c r="K24" s="36">
        <f>((C24+G24)/(C23+G23))-1</f>
        <v/>
      </c>
    </row>
    <row r="25">
      <c r="B25" s="18" t="n">
        <v>2043</v>
      </c>
      <c r="C25" s="19">
        <f>WEO_Data!Y2</f>
        <v/>
      </c>
      <c r="D25" s="37" t="n">
        <v>0</v>
      </c>
      <c r="E25" s="19">
        <f>$D$30*D25*$D$33</f>
        <v/>
      </c>
      <c r="F25" s="19">
        <f>E25*$D$31</f>
        <v/>
      </c>
      <c r="G25" s="19">
        <f>(E25-F25)*$D$32/(WEO_Data!Y3/100)</f>
        <v/>
      </c>
      <c r="H25" s="19" t="n"/>
      <c r="I25" s="19" t="n"/>
      <c r="J25" s="20">
        <f>WEO_Data!Y4</f>
        <v/>
      </c>
      <c r="K25" s="38">
        <f>((C25+G25)/(C24+G24))-1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bn)</t>
        </is>
      </c>
      <c r="D30" t="n">
        <v>6.5</v>
      </c>
      <c r="K30" s="15" t="n"/>
    </row>
    <row r="31">
      <c r="C31" s="13" t="inlineStr">
        <is>
          <t>Import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1</v>
      </c>
      <c r="K32" s="15" t="n"/>
    </row>
    <row r="33">
      <c r="C33" s="18" t="inlineStr">
        <is>
          <t>Exchange Rate</t>
        </is>
      </c>
      <c r="D33" s="19" t="n">
        <v>2.746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>
        <v>2020</v>
      </c>
      <c r="C2" s="5">
        <f>WEO_Data!B2</f>
        <v/>
      </c>
      <c r="D2" s="32" t="n">
        <v>0</v>
      </c>
      <c r="E2" s="5">
        <f>$D$30*D2*$D$33</f>
        <v/>
      </c>
      <c r="F2" s="5">
        <f>E2*$D$31</f>
        <v/>
      </c>
      <c r="G2" s="4">
        <f>(E2-F2)*$D$32/(WEO_Data!B3/100)</f>
        <v/>
      </c>
      <c r="H2" s="6" t="inlineStr">
        <is>
          <t>Multiplier</t>
        </is>
      </c>
      <c r="I2" s="4" t="inlineStr">
        <is>
          <t>% of GDP</t>
        </is>
      </c>
      <c r="J2" s="7">
        <f>WEO_Data!B4</f>
        <v/>
      </c>
      <c r="K2" s="8" t="n"/>
    </row>
    <row r="3">
      <c r="B3" s="9" t="n">
        <v>2021</v>
      </c>
      <c r="C3" s="10">
        <f>WEO_Data!C2</f>
        <v/>
      </c>
      <c r="D3" s="33" t="n">
        <v>0</v>
      </c>
      <c r="E3" s="10">
        <f>$D$30*D3*$D$33</f>
        <v/>
      </c>
      <c r="F3" s="10">
        <f>E3*$D$31</f>
        <v/>
      </c>
      <c r="G3" s="10">
        <f>(E3-F3)*$D$32/(WEO_Data!C3/100)</f>
        <v/>
      </c>
      <c r="H3" s="10" t="n"/>
      <c r="I3" s="10" t="n"/>
      <c r="J3" s="11">
        <f>WEO_Data!C4</f>
        <v/>
      </c>
      <c r="K3" s="34">
        <f>((C3+G3)/(C2+G2))-1</f>
        <v/>
      </c>
    </row>
    <row r="4">
      <c r="B4" s="13" t="n">
        <v>2022</v>
      </c>
      <c r="C4">
        <f>WEO_Data!D2</f>
        <v/>
      </c>
      <c r="D4" s="35" t="n">
        <v>0</v>
      </c>
      <c r="E4">
        <f>$D$30*D4*$D$33</f>
        <v/>
      </c>
      <c r="F4">
        <f>E4*$D$31</f>
        <v/>
      </c>
      <c r="G4">
        <f>(E4-F4)*$D$32/(WEO_Data!D3/100)</f>
        <v/>
      </c>
      <c r="J4">
        <f>WEO_Data!D4</f>
        <v/>
      </c>
      <c r="K4" s="36">
        <f>((C4+G4)/(C3+G3))-1</f>
        <v/>
      </c>
    </row>
    <row r="5">
      <c r="B5" s="13" t="n">
        <v>2023</v>
      </c>
      <c r="C5">
        <f>WEO_Data!E2</f>
        <v/>
      </c>
      <c r="D5" s="35" t="n">
        <v>0</v>
      </c>
      <c r="E5">
        <f>$D$30*D5*$D$33</f>
        <v/>
      </c>
      <c r="F5">
        <f>E5*$D$31</f>
        <v/>
      </c>
      <c r="G5">
        <f>(E5-F5)*$D$32/(WEO_Data!E3/100)</f>
        <v/>
      </c>
      <c r="J5">
        <f>WEO_Data!E4</f>
        <v/>
      </c>
      <c r="K5" s="36">
        <f>((C5+G5)/(C4+G4))-1</f>
        <v/>
      </c>
    </row>
    <row r="6">
      <c r="B6" s="13" t="n">
        <v>2024</v>
      </c>
      <c r="C6">
        <f>WEO_Data!F2</f>
        <v/>
      </c>
      <c r="D6" s="35" t="n">
        <v>0</v>
      </c>
      <c r="E6">
        <f>$D$30*D6*$D$33</f>
        <v/>
      </c>
      <c r="F6">
        <f>E6*$D$31</f>
        <v/>
      </c>
      <c r="G6">
        <f>(E6-F6)*$D$32/(WEO_Data!F3/100)</f>
        <v/>
      </c>
      <c r="J6">
        <f>WEO_Data!F4</f>
        <v/>
      </c>
      <c r="K6" s="36">
        <f>((C6+G6)/(C5+G5))-1</f>
        <v/>
      </c>
    </row>
    <row r="7">
      <c r="B7" s="13" t="n">
        <v>2025</v>
      </c>
      <c r="C7">
        <f>WEO_Data!G2</f>
        <v/>
      </c>
      <c r="D7" s="35" t="n">
        <v>0</v>
      </c>
      <c r="E7">
        <f>$D$30*D7*$D$33</f>
        <v/>
      </c>
      <c r="F7">
        <f>E7*$D$31</f>
        <v/>
      </c>
      <c r="G7">
        <f>(E7-F7)*$D$32/(WEO_Data!G3/100)</f>
        <v/>
      </c>
      <c r="J7">
        <f>WEO_Data!G4</f>
        <v/>
      </c>
      <c r="K7" s="36">
        <f>((C7+G7)/(C6+G6))-1</f>
        <v/>
      </c>
    </row>
    <row r="8">
      <c r="B8" s="13" t="n">
        <v>2026</v>
      </c>
      <c r="C8">
        <f>WEO_Data!H2</f>
        <v/>
      </c>
      <c r="D8" s="35" t="n">
        <v>0.05</v>
      </c>
      <c r="E8">
        <f>$D$30*D8*$D$33</f>
        <v/>
      </c>
      <c r="F8">
        <f>E8*$D$31</f>
        <v/>
      </c>
      <c r="G8">
        <f>(E8-F8)*$D$32/(WEO_Data!H3/100)</f>
        <v/>
      </c>
      <c r="J8">
        <f>WEO_Data!H4</f>
        <v/>
      </c>
      <c r="K8" s="36">
        <f>((C8+G8)/(C7+G7))-1</f>
        <v/>
      </c>
    </row>
    <row r="9">
      <c r="B9" s="13" t="n">
        <v>2027</v>
      </c>
      <c r="C9">
        <f>WEO_Data!I2</f>
        <v/>
      </c>
      <c r="D9" s="35" t="n">
        <v>0.1</v>
      </c>
      <c r="E9">
        <f>$D$30*D9*$D$33</f>
        <v/>
      </c>
      <c r="F9">
        <f>E9*$D$31</f>
        <v/>
      </c>
      <c r="G9">
        <f>(E9-F9)*$D$32/(WEO_Data!I3/100)</f>
        <v/>
      </c>
      <c r="J9" s="16">
        <f>WEO_Data!I4</f>
        <v/>
      </c>
      <c r="K9" s="36">
        <f>((C9+G9)/(C8+G8))-1</f>
        <v/>
      </c>
    </row>
    <row r="10">
      <c r="B10" s="13" t="n">
        <v>2028</v>
      </c>
      <c r="C10">
        <f>WEO_Data!J2</f>
        <v/>
      </c>
      <c r="D10" s="35" t="n">
        <v>0.15</v>
      </c>
      <c r="E10">
        <f>$D$30*D10*$D$33</f>
        <v/>
      </c>
      <c r="F10">
        <f>E10*$D$31</f>
        <v/>
      </c>
      <c r="G10">
        <f>(E10-F10)*$D$32/(WEO_Data!J3/100)</f>
        <v/>
      </c>
      <c r="J10">
        <f>WEO_Data!J4</f>
        <v/>
      </c>
      <c r="K10" s="36">
        <f>((C10+G10)/(C9+G9))-1</f>
        <v/>
      </c>
    </row>
    <row r="11">
      <c r="B11" s="13" t="n">
        <v>2029</v>
      </c>
      <c r="C11">
        <f>WEO_Data!K2</f>
        <v/>
      </c>
      <c r="D11" s="35" t="n">
        <v>0.2</v>
      </c>
      <c r="E11">
        <f>$D$30*D11*$D$33</f>
        <v/>
      </c>
      <c r="F11">
        <f>E11*$D$31</f>
        <v/>
      </c>
      <c r="G11">
        <f>(E11-F11)*$D$32/(WEO_Data!K3/100)</f>
        <v/>
      </c>
      <c r="J11">
        <f>WEO_Data!K4</f>
        <v/>
      </c>
      <c r="K11" s="36">
        <f>((C11+G11)/(C10+G10))-1</f>
        <v/>
      </c>
    </row>
    <row r="12">
      <c r="B12" s="13" t="n">
        <v>2030</v>
      </c>
      <c r="C12">
        <f>WEO_Data!L2</f>
        <v/>
      </c>
      <c r="D12" s="35" t="n">
        <v>0.2</v>
      </c>
      <c r="E12">
        <f>$D$30*D12*$D$33</f>
        <v/>
      </c>
      <c r="F12">
        <f>E12*$D$31</f>
        <v/>
      </c>
      <c r="G12">
        <f>(E12-F12)*$D$32/(WEO_Data!L3/100)</f>
        <v/>
      </c>
      <c r="J12">
        <f>WEO_Data!L4</f>
        <v/>
      </c>
      <c r="K12" s="36">
        <f>((C12+G12)/(C11+G11))-1</f>
        <v/>
      </c>
    </row>
    <row r="13">
      <c r="B13" s="13" t="n">
        <v>2031</v>
      </c>
      <c r="C13">
        <f>WEO_Data!M2</f>
        <v/>
      </c>
      <c r="D13" s="35" t="n">
        <v>0.15</v>
      </c>
      <c r="E13">
        <f>$D$30*D13*$D$33</f>
        <v/>
      </c>
      <c r="F13">
        <f>E13*$D$31</f>
        <v/>
      </c>
      <c r="G13">
        <f>(E13-F13)*$D$32/(WEO_Data!M3/100)</f>
        <v/>
      </c>
      <c r="J13" s="17">
        <f>WEO_Data!M4</f>
        <v/>
      </c>
      <c r="K13" s="36">
        <f>((C13+G13)/(C12+G12))-1</f>
        <v/>
      </c>
    </row>
    <row r="14">
      <c r="B14" s="13" t="n">
        <v>2032</v>
      </c>
      <c r="C14">
        <f>WEO_Data!N2</f>
        <v/>
      </c>
      <c r="D14" s="35" t="n">
        <v>0.1</v>
      </c>
      <c r="E14">
        <f>$D$30*D14*$D$33</f>
        <v/>
      </c>
      <c r="F14">
        <f>E14*$D$31</f>
        <v/>
      </c>
      <c r="G14">
        <f>(E14-F14)*$D$32/(WEO_Data!N3/100)</f>
        <v/>
      </c>
      <c r="J14" s="17">
        <f>WEO_Data!N4</f>
        <v/>
      </c>
      <c r="K14" s="36">
        <f>((C14+G14)/(C13+G13))-1</f>
        <v/>
      </c>
    </row>
    <row r="15">
      <c r="B15" s="13" t="n">
        <v>2033</v>
      </c>
      <c r="C15">
        <f>WEO_Data!O2</f>
        <v/>
      </c>
      <c r="D15" s="35" t="n">
        <v>0.05</v>
      </c>
      <c r="E15">
        <f>$D$30*D15*$D$33</f>
        <v/>
      </c>
      <c r="F15">
        <f>E15*$D$31</f>
        <v/>
      </c>
      <c r="G15">
        <f>(E15-F15)*$D$32/(WEO_Data!O3/100)</f>
        <v/>
      </c>
      <c r="J15" s="17">
        <f>WEO_Data!O4</f>
        <v/>
      </c>
      <c r="K15" s="36">
        <f>((C15+G15)/(C14+G14))-1</f>
        <v/>
      </c>
    </row>
    <row r="16">
      <c r="B16" s="13" t="n">
        <v>2034</v>
      </c>
      <c r="C16">
        <f>WEO_Data!P2</f>
        <v/>
      </c>
      <c r="D16" s="35" t="n">
        <v>0</v>
      </c>
      <c r="E16">
        <f>$D$30*D16*$D$33</f>
        <v/>
      </c>
      <c r="F16">
        <f>E16*$D$31</f>
        <v/>
      </c>
      <c r="G16">
        <f>(E16-F16)*$D$32/(WEO_Data!P3/100)</f>
        <v/>
      </c>
      <c r="J16" s="17">
        <f>WEO_Data!P4</f>
        <v/>
      </c>
      <c r="K16" s="36">
        <f>((C16+G16)/(C15+G15))-1</f>
        <v/>
      </c>
    </row>
    <row r="17">
      <c r="B17" s="13" t="n">
        <v>2035</v>
      </c>
      <c r="C17">
        <f>WEO_Data!Q2</f>
        <v/>
      </c>
      <c r="D17" s="35" t="n">
        <v>0</v>
      </c>
      <c r="E17">
        <f>$D$30*D17*$D$33</f>
        <v/>
      </c>
      <c r="F17">
        <f>E17*$D$31</f>
        <v/>
      </c>
      <c r="G17">
        <f>(E17-F17)*$D$32/(WEO_Data!Q3/100)</f>
        <v/>
      </c>
      <c r="J17" s="17">
        <f>WEO_Data!Q4</f>
        <v/>
      </c>
      <c r="K17" s="36">
        <f>((C17+G17)/(C16+G16))-1</f>
        <v/>
      </c>
    </row>
    <row r="18">
      <c r="B18" s="13" t="n">
        <v>2036</v>
      </c>
      <c r="C18">
        <f>WEO_Data!R2</f>
        <v/>
      </c>
      <c r="D18" s="35" t="n">
        <v>0</v>
      </c>
      <c r="E18">
        <f>$D$30*D18*$D$33</f>
        <v/>
      </c>
      <c r="F18">
        <f>E18*$D$31</f>
        <v/>
      </c>
      <c r="G18">
        <f>(E18-F18)*$D$32/(WEO_Data!R3/100)</f>
        <v/>
      </c>
      <c r="J18" s="17">
        <f>WEO_Data!R4</f>
        <v/>
      </c>
      <c r="K18" s="36">
        <f>((C18+G18)/(C17+G17))-1</f>
        <v/>
      </c>
    </row>
    <row r="19">
      <c r="B19" s="13" t="n">
        <v>2037</v>
      </c>
      <c r="C19">
        <f>WEO_Data!S2</f>
        <v/>
      </c>
      <c r="D19" s="35" t="n">
        <v>0</v>
      </c>
      <c r="E19">
        <f>$D$30*D19*$D$33</f>
        <v/>
      </c>
      <c r="F19">
        <f>E19*$D$31</f>
        <v/>
      </c>
      <c r="G19">
        <f>(E19-F19)*$D$32/(WEO_Data!S3/100)</f>
        <v/>
      </c>
      <c r="J19" s="17">
        <f>WEO_Data!S4</f>
        <v/>
      </c>
      <c r="K19" s="36">
        <f>((C19+G19)/(C18+G18))-1</f>
        <v/>
      </c>
    </row>
    <row r="20">
      <c r="B20" s="13" t="n">
        <v>2038</v>
      </c>
      <c r="C20">
        <f>WEO_Data!T2</f>
        <v/>
      </c>
      <c r="D20" s="35" t="n">
        <v>0</v>
      </c>
      <c r="E20">
        <f>$D$30*D20*$D$33</f>
        <v/>
      </c>
      <c r="F20">
        <f>E20*$D$31</f>
        <v/>
      </c>
      <c r="G20">
        <f>(E20-F20)*$D$32/(WEO_Data!T3/100)</f>
        <v/>
      </c>
      <c r="J20" s="17">
        <f>WEO_Data!T4</f>
        <v/>
      </c>
      <c r="K20" s="36">
        <f>((C20+G20)/(C19+G19))-1</f>
        <v/>
      </c>
    </row>
    <row r="21">
      <c r="B21" s="13" t="n">
        <v>2039</v>
      </c>
      <c r="C21">
        <f>WEO_Data!U2</f>
        <v/>
      </c>
      <c r="D21" s="35" t="n">
        <v>0</v>
      </c>
      <c r="E21">
        <f>$D$30*D21*$D$33</f>
        <v/>
      </c>
      <c r="F21">
        <f>E21*$D$31</f>
        <v/>
      </c>
      <c r="G21">
        <f>(E21-F21)*$D$32/(WEO_Data!U3/100)</f>
        <v/>
      </c>
      <c r="J21" s="17">
        <f>WEO_Data!U4</f>
        <v/>
      </c>
      <c r="K21" s="36">
        <f>((C21+G21)/(C20+G20))-1</f>
        <v/>
      </c>
    </row>
    <row r="22">
      <c r="B22" s="13" t="n">
        <v>2040</v>
      </c>
      <c r="C22">
        <f>WEO_Data!V2</f>
        <v/>
      </c>
      <c r="D22" s="35" t="n">
        <v>0</v>
      </c>
      <c r="E22">
        <f>$D$30*D22*$D$33</f>
        <v/>
      </c>
      <c r="F22">
        <f>E22*$D$31</f>
        <v/>
      </c>
      <c r="G22">
        <f>(E22-F22)*$D$32/(WEO_Data!V3/100)</f>
        <v/>
      </c>
      <c r="J22" s="17">
        <f>WEO_Data!V4</f>
        <v/>
      </c>
      <c r="K22" s="36">
        <f>((C22+G22)/(C21+G21))-1</f>
        <v/>
      </c>
    </row>
    <row r="23">
      <c r="B23" s="13" t="n">
        <v>2041</v>
      </c>
      <c r="C23">
        <f>WEO_Data!W2</f>
        <v/>
      </c>
      <c r="D23" s="35" t="n">
        <v>0</v>
      </c>
      <c r="E23">
        <f>$D$30*D23*$D$33</f>
        <v/>
      </c>
      <c r="F23">
        <f>E23*$D$31</f>
        <v/>
      </c>
      <c r="G23">
        <f>(E23-F23)*$D$32/(WEO_Data!W3/100)</f>
        <v/>
      </c>
      <c r="J23" s="17">
        <f>WEO_Data!W4</f>
        <v/>
      </c>
      <c r="K23" s="36">
        <f>((C23+G23)/(C22+G22))-1</f>
        <v/>
      </c>
    </row>
    <row r="24">
      <c r="B24" s="13" t="n">
        <v>2042</v>
      </c>
      <c r="C24">
        <f>WEO_Data!X2</f>
        <v/>
      </c>
      <c r="D24" s="35" t="n">
        <v>0</v>
      </c>
      <c r="E24">
        <f>$D$30*D24*$D$33</f>
        <v/>
      </c>
      <c r="F24">
        <f>E24*$D$31</f>
        <v/>
      </c>
      <c r="G24">
        <f>(E24-F24)*$D$32/(WEO_Data!X3/100)</f>
        <v/>
      </c>
      <c r="J24" s="17">
        <f>WEO_Data!X4</f>
        <v/>
      </c>
      <c r="K24" s="36">
        <f>((C24+G24)/(C23+G23))-1</f>
        <v/>
      </c>
    </row>
    <row r="25">
      <c r="B25" s="18" t="n">
        <v>2043</v>
      </c>
      <c r="C25" s="19">
        <f>WEO_Data!Y2</f>
        <v/>
      </c>
      <c r="D25" s="37" t="n">
        <v>0</v>
      </c>
      <c r="E25" s="19">
        <f>$D$30*D25*$D$33</f>
        <v/>
      </c>
      <c r="F25" s="19">
        <f>E25*$D$31</f>
        <v/>
      </c>
      <c r="G25" s="19">
        <f>(E25-F25)*$D$32/(WEO_Data!Y3/100)</f>
        <v/>
      </c>
      <c r="H25" s="19" t="n"/>
      <c r="I25" s="19" t="n"/>
      <c r="J25" s="20">
        <f>WEO_Data!Y4</f>
        <v/>
      </c>
      <c r="K25" s="38">
        <f>((C25+G25)/(C24+G24))-1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 (USD bn)</t>
        </is>
      </c>
      <c r="D30" t="n">
        <v>6.5</v>
      </c>
      <c r="K30" s="15" t="n"/>
    </row>
    <row r="31">
      <c r="C31" s="13" t="inlineStr">
        <is>
          <t>Import Share</t>
        </is>
      </c>
      <c r="D31" s="28" t="n">
        <v>0.5</v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Exchange Rate</t>
        </is>
      </c>
      <c r="D33" s="19" t="n">
        <v>2.746</v>
      </c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2026-01-29T08:50:14Z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