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T Calc" sheetId="3" state="visible" r:id="rId3"/>
    <sheet name="SUPPLY" sheetId="4" state="visible" r:id="rId4"/>
    <sheet name="USE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05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 t="n">
        <v>10000</v>
      </c>
      <c r="D3" s="10" t="n">
        <v>0</v>
      </c>
      <c r="E3" s="10">
        <f>$D$33*D3*$D$30/(WEO_Data!C2/100)</f>
        <v/>
      </c>
      <c r="F3" s="10">
        <f>E3*'SUT Calc'!$C$46</f>
        <v/>
      </c>
      <c r="G3" s="10">
        <f>$D$31*(E3-F3)</f>
        <v/>
      </c>
      <c r="H3" s="10" t="n"/>
      <c r="I3" s="10" t="n"/>
      <c r="J3" s="11">
        <f>WEO_Data!B2</f>
        <v/>
      </c>
      <c r="K3" s="12">
        <f>C3+G3</f>
        <v/>
      </c>
    </row>
    <row r="4">
      <c r="B4" s="13" t="n">
        <v>2021</v>
      </c>
      <c r="C4">
        <f>C3*(1+J4/100)</f>
        <v/>
      </c>
      <c r="D4" t="n">
        <v>0</v>
      </c>
      <c r="E4">
        <f>$D$33*D4*$D$30/(WEO_Data!C3/100)</f>
        <v/>
      </c>
      <c r="F4">
        <f>E4*'SUT Calc'!$C$46</f>
        <v/>
      </c>
      <c r="G4">
        <f>$D$31*(E4-F4)</f>
        <v/>
      </c>
      <c r="J4">
        <f>WEO_Data!B3</f>
        <v/>
      </c>
      <c r="K4" s="15">
        <f>C4+G4</f>
        <v/>
      </c>
      <c r="L4">
        <f>(K4/K3-1)*100</f>
        <v/>
      </c>
    </row>
    <row r="5">
      <c r="B5" s="13" t="n">
        <v>2022</v>
      </c>
      <c r="C5">
        <f>C4*(1+J5/100)</f>
        <v/>
      </c>
      <c r="D5" t="n">
        <v>0</v>
      </c>
      <c r="E5">
        <f>$D$33*D5*$D$30/(WEO_Data!C4/100)</f>
        <v/>
      </c>
      <c r="F5">
        <f>E5*'SUT Calc'!$C$46</f>
        <v/>
      </c>
      <c r="G5">
        <f>$D$31*(E5-F5)</f>
        <v/>
      </c>
      <c r="J5">
        <f>WEO_Data!B4</f>
        <v/>
      </c>
      <c r="K5" s="15">
        <f>C5+G5</f>
        <v/>
      </c>
      <c r="L5">
        <f>(K5/K4-1)*100</f>
        <v/>
      </c>
    </row>
    <row r="6">
      <c r="B6" s="13" t="n">
        <v>2023</v>
      </c>
      <c r="C6">
        <f>C5*(1+J6/100)</f>
        <v/>
      </c>
      <c r="D6" t="n">
        <v>0</v>
      </c>
      <c r="E6">
        <f>$D$33*D6*$D$30/(WEO_Data!C5/100)</f>
        <v/>
      </c>
      <c r="F6">
        <f>E6*'SUT Calc'!$C$46</f>
        <v/>
      </c>
      <c r="G6">
        <f>$D$31*(E6-F6)</f>
        <v/>
      </c>
      <c r="J6">
        <f>WEO_Data!B5</f>
        <v/>
      </c>
      <c r="K6" s="15">
        <f>C6+G6</f>
        <v/>
      </c>
      <c r="L6">
        <f>(K6/K5-1)*100</f>
        <v/>
      </c>
    </row>
    <row r="7">
      <c r="B7" s="13" t="n">
        <v>2024</v>
      </c>
      <c r="C7">
        <f>C6*(1+J7/100)</f>
        <v/>
      </c>
      <c r="D7" t="n">
        <v>0</v>
      </c>
      <c r="E7">
        <f>$D$33*D7*$D$30/(WEO_Data!C6/100)</f>
        <v/>
      </c>
      <c r="F7">
        <f>E7*'SUT Calc'!$C$46</f>
        <v/>
      </c>
      <c r="G7">
        <f>$D$31*(E7-F7)</f>
        <v/>
      </c>
      <c r="J7">
        <f>WEO_Data!B6</f>
        <v/>
      </c>
      <c r="K7" s="15">
        <f>C7+G7</f>
        <v/>
      </c>
      <c r="L7">
        <f>(K7/K6-1)*100</f>
        <v/>
      </c>
    </row>
    <row r="8">
      <c r="B8" s="13" t="n">
        <v>2025</v>
      </c>
      <c r="C8">
        <f>C7*(1+J8/100)</f>
        <v/>
      </c>
      <c r="D8" t="n">
        <v>0</v>
      </c>
      <c r="E8">
        <f>$D$33*D8*$D$30/(WEO_Data!C7/100)</f>
        <v/>
      </c>
      <c r="F8">
        <f>E8*'SUT Calc'!$C$46</f>
        <v/>
      </c>
      <c r="G8">
        <f>$D$31*(E8-F8)</f>
        <v/>
      </c>
      <c r="J8">
        <f>WEO_Data!B7</f>
        <v/>
      </c>
      <c r="K8" s="15">
        <f>C8+G8</f>
        <v/>
      </c>
      <c r="L8">
        <f>(K8/K7-1)*100</f>
        <v/>
      </c>
    </row>
    <row r="9">
      <c r="B9" s="13" t="n">
        <v>2026</v>
      </c>
      <c r="C9">
        <f>C8*(1+J9/100)</f>
        <v/>
      </c>
      <c r="D9" t="n">
        <v>0.05</v>
      </c>
      <c r="E9">
        <f>$D$33*D9*$D$30/(WEO_Data!C8/100)</f>
        <v/>
      </c>
      <c r="F9">
        <f>E9*'SUT Calc'!$C$46</f>
        <v/>
      </c>
      <c r="G9">
        <f>$D$31*(E9-F9)</f>
        <v/>
      </c>
      <c r="J9" s="16">
        <f>WEO_Data!B8</f>
        <v/>
      </c>
      <c r="K9" s="15">
        <f>C9+G9</f>
        <v/>
      </c>
      <c r="L9">
        <f>(K9/K8-1)*100</f>
        <v/>
      </c>
    </row>
    <row r="10">
      <c r="B10" s="13" t="n">
        <v>2027</v>
      </c>
      <c r="C10">
        <f>C9*(1+J10/100)</f>
        <v/>
      </c>
      <c r="D10" t="n">
        <v>0.1</v>
      </c>
      <c r="E10">
        <f>$D$33*D10*$D$30/(WEO_Data!C9/100)</f>
        <v/>
      </c>
      <c r="F10">
        <f>E10*'SUT Calc'!$C$46</f>
        <v/>
      </c>
      <c r="G10">
        <f>$D$31*(E10-F10)</f>
        <v/>
      </c>
      <c r="J10">
        <f>WEO_Data!B9</f>
        <v/>
      </c>
      <c r="K10" s="15">
        <f>C10+G10</f>
        <v/>
      </c>
      <c r="L10">
        <f>(K10/K9-1)*100</f>
        <v/>
      </c>
    </row>
    <row r="11">
      <c r="B11" s="13" t="n">
        <v>2028</v>
      </c>
      <c r="C11">
        <f>C10*(1+J11/100)</f>
        <v/>
      </c>
      <c r="D11" t="n">
        <v>0.15</v>
      </c>
      <c r="E11">
        <f>$D$33*D11*$D$30/(WEO_Data!C10/100)</f>
        <v/>
      </c>
      <c r="F11">
        <f>E11*'SUT Calc'!$C$46</f>
        <v/>
      </c>
      <c r="G11">
        <f>$D$31*(E11-F11)</f>
        <v/>
      </c>
      <c r="J11">
        <f>WEO_Data!B10</f>
        <v/>
      </c>
      <c r="K11" s="15">
        <f>C11+G11</f>
        <v/>
      </c>
      <c r="L11">
        <f>(K11/K10-1)*100</f>
        <v/>
      </c>
    </row>
    <row r="12">
      <c r="B12" s="13" t="n">
        <v>2029</v>
      </c>
      <c r="C12">
        <f>C11*(1+J12/100)</f>
        <v/>
      </c>
      <c r="D12" t="n">
        <v>0.2</v>
      </c>
      <c r="E12">
        <f>$D$33*D12*$D$30/(WEO_Data!C11/100)</f>
        <v/>
      </c>
      <c r="F12">
        <f>E12*'SUT Calc'!$C$46</f>
        <v/>
      </c>
      <c r="G12">
        <f>$D$31*(E12-F12)</f>
        <v/>
      </c>
      <c r="J12">
        <f>WEO_Data!B11</f>
        <v/>
      </c>
      <c r="K12" s="15">
        <f>C12+G12</f>
        <v/>
      </c>
      <c r="L12">
        <f>(K12/K11-1)*100</f>
        <v/>
      </c>
    </row>
    <row r="13">
      <c r="B13" s="13" t="n">
        <v>2030</v>
      </c>
      <c r="C13">
        <f>C12*(1+J13/100)</f>
        <v/>
      </c>
      <c r="D13" t="n">
        <v>0.2</v>
      </c>
      <c r="E13">
        <f>$D$33*D13*$D$30/(WEO_Data!C12/100)</f>
        <v/>
      </c>
      <c r="F13">
        <f>E13*'SUT Calc'!$C$46</f>
        <v/>
      </c>
      <c r="G13">
        <f>$D$31*(E13-F13)</f>
        <v/>
      </c>
      <c r="J13" s="17">
        <f>WEO_Data!B12</f>
        <v/>
      </c>
      <c r="K13" s="15">
        <f>C13+G13</f>
        <v/>
      </c>
      <c r="L13">
        <f>(K13/K12-1)*100</f>
        <v/>
      </c>
    </row>
    <row r="14">
      <c r="B14" s="13" t="n">
        <v>2031</v>
      </c>
      <c r="C14">
        <f>C13*(1+J14/100)</f>
        <v/>
      </c>
      <c r="D14" t="n">
        <v>0.15</v>
      </c>
      <c r="E14">
        <f>$D$33*D14*$D$30/(WEO_Data!C13/100)</f>
        <v/>
      </c>
      <c r="F14">
        <f>E14*'SUT Calc'!$C$46</f>
        <v/>
      </c>
      <c r="G14">
        <f>$D$31*(E14-F14)</f>
        <v/>
      </c>
      <c r="J14" s="17">
        <f>WEO_Data!B13</f>
        <v/>
      </c>
      <c r="K14" s="15">
        <f>C14+G14</f>
        <v/>
      </c>
      <c r="L14">
        <f>(K14/K13-1)*100</f>
        <v/>
      </c>
    </row>
    <row r="15">
      <c r="B15" s="13" t="n">
        <v>2032</v>
      </c>
      <c r="C15">
        <f>C14*(1+J15/100)</f>
        <v/>
      </c>
      <c r="D15" t="n">
        <v>0.1</v>
      </c>
      <c r="E15">
        <f>$D$33*D15*$D$30/(WEO_Data!C14/100)</f>
        <v/>
      </c>
      <c r="F15">
        <f>E15*'SUT Calc'!$C$46</f>
        <v/>
      </c>
      <c r="G15">
        <f>$D$31*(E15-F15)</f>
        <v/>
      </c>
      <c r="J15" s="17">
        <f>WEO_Data!B14</f>
        <v/>
      </c>
      <c r="K15" s="15">
        <f>C15+G15</f>
        <v/>
      </c>
      <c r="L15">
        <f>(K15/K14-1)*100</f>
        <v/>
      </c>
    </row>
    <row r="16">
      <c r="B16" s="13" t="n">
        <v>2033</v>
      </c>
      <c r="C16">
        <f>C15*(1+J16/100)</f>
        <v/>
      </c>
      <c r="D16" t="n">
        <v>0.05</v>
      </c>
      <c r="E16">
        <f>$D$33*D16*$D$30/(WEO_Data!C15/100)</f>
        <v/>
      </c>
      <c r="F16">
        <f>E16*'SUT Calc'!$C$46</f>
        <v/>
      </c>
      <c r="G16">
        <f>$D$31*(E16-F16)</f>
        <v/>
      </c>
      <c r="J16" s="17">
        <f>WEO_Data!B15</f>
        <v/>
      </c>
      <c r="K16" s="15">
        <f>C16+G16</f>
        <v/>
      </c>
      <c r="L16">
        <f>(K16/K15-1)*100</f>
        <v/>
      </c>
    </row>
    <row r="17">
      <c r="B17" s="13" t="n">
        <v>2034</v>
      </c>
      <c r="C17">
        <f>C16*(1+J17/100)</f>
        <v/>
      </c>
      <c r="D17" t="n">
        <v>0</v>
      </c>
      <c r="E17">
        <f>$D$33*D17*$D$30/(WEO_Data!C16/100)</f>
        <v/>
      </c>
      <c r="F17">
        <f>E17*'SUT Calc'!$C$46</f>
        <v/>
      </c>
      <c r="G17">
        <f>$D$31*(E17-F17)</f>
        <v/>
      </c>
      <c r="J17" s="17">
        <f>WEO_Data!B16</f>
        <v/>
      </c>
      <c r="K17" s="15">
        <f>C17+G17</f>
        <v/>
      </c>
      <c r="L17">
        <f>(K17/K16-1)*100</f>
        <v/>
      </c>
    </row>
    <row r="18">
      <c r="B18" s="13" t="n">
        <v>2035</v>
      </c>
      <c r="C18">
        <f>C17*(1+J18/100)</f>
        <v/>
      </c>
      <c r="D18" t="n">
        <v>0</v>
      </c>
      <c r="E18">
        <f>$D$33*D18*$D$30/(WEO_Data!C17/100)</f>
        <v/>
      </c>
      <c r="F18">
        <f>E18*'SUT Calc'!$C$46</f>
        <v/>
      </c>
      <c r="G18">
        <f>$D$31*(E18-F18)</f>
        <v/>
      </c>
      <c r="J18" s="17">
        <f>WEO_Data!B17</f>
        <v/>
      </c>
      <c r="K18" s="15">
        <f>C18+G18</f>
        <v/>
      </c>
      <c r="L18">
        <f>(K18/K17-1)*100</f>
        <v/>
      </c>
    </row>
    <row r="19">
      <c r="B19" s="13" t="n">
        <v>2036</v>
      </c>
      <c r="C19">
        <f>C18*(1+J19/100)</f>
        <v/>
      </c>
      <c r="D19" t="n">
        <v>0</v>
      </c>
      <c r="E19">
        <f>$D$33*D19*$D$30/(WEO_Data!C18/100)</f>
        <v/>
      </c>
      <c r="F19">
        <f>E19*'SUT Calc'!$C$46</f>
        <v/>
      </c>
      <c r="G19">
        <f>$D$31*(E19-F19)</f>
        <v/>
      </c>
      <c r="J19" s="17">
        <f>WEO_Data!B18</f>
        <v/>
      </c>
      <c r="K19" s="15">
        <f>C19+G19</f>
        <v/>
      </c>
      <c r="L19">
        <f>(K19/K18-1)*100</f>
        <v/>
      </c>
    </row>
    <row r="20">
      <c r="B20" s="13" t="n">
        <v>2037</v>
      </c>
      <c r="C20">
        <f>C19*(1+J20/100)</f>
        <v/>
      </c>
      <c r="D20" t="n">
        <v>0</v>
      </c>
      <c r="E20">
        <f>$D$33*D20*$D$30/(WEO_Data!C19/100)</f>
        <v/>
      </c>
      <c r="F20">
        <f>E20*'SUT Calc'!$C$46</f>
        <v/>
      </c>
      <c r="G20">
        <f>$D$31*(E20-F20)</f>
        <v/>
      </c>
      <c r="J20" s="17">
        <f>WEO_Data!B19</f>
        <v/>
      </c>
      <c r="K20" s="15">
        <f>C20+G20</f>
        <v/>
      </c>
      <c r="L20">
        <f>(K20/K19-1)*100</f>
        <v/>
      </c>
    </row>
    <row r="21">
      <c r="B21" s="13" t="n">
        <v>2038</v>
      </c>
      <c r="C21">
        <f>C20*(1+J21/100)</f>
        <v/>
      </c>
      <c r="D21" t="n">
        <v>0</v>
      </c>
      <c r="E21">
        <f>$D$33*D21*$D$30/(WEO_Data!C20/100)</f>
        <v/>
      </c>
      <c r="F21">
        <f>E21*'SUT Calc'!$C$46</f>
        <v/>
      </c>
      <c r="G21">
        <f>$D$31*(E21-F21)</f>
        <v/>
      </c>
      <c r="J21" s="17">
        <f>WEO_Data!B20</f>
        <v/>
      </c>
      <c r="K21" s="15">
        <f>C21+G21</f>
        <v/>
      </c>
      <c r="L21">
        <f>(K21/K20-1)*100</f>
        <v/>
      </c>
    </row>
    <row r="22">
      <c r="B22" s="13" t="n">
        <v>2039</v>
      </c>
      <c r="C22">
        <f>C21*(1+J22/100)</f>
        <v/>
      </c>
      <c r="D22" t="n">
        <v>0</v>
      </c>
      <c r="E22">
        <f>$D$33*D22*$D$30/(WEO_Data!C21/100)</f>
        <v/>
      </c>
      <c r="F22">
        <f>E22*'SUT Calc'!$C$46</f>
        <v/>
      </c>
      <c r="G22">
        <f>$D$31*(E22-F22)</f>
        <v/>
      </c>
      <c r="J22" s="17">
        <f>WEO_Data!B21</f>
        <v/>
      </c>
      <c r="K22" s="15">
        <f>C22+G22</f>
        <v/>
      </c>
      <c r="L22">
        <f>(K22/K21-1)*100</f>
        <v/>
      </c>
    </row>
    <row r="23">
      <c r="B23" s="13" t="n">
        <v>2040</v>
      </c>
      <c r="C23">
        <f>C22*(1+J23/100)</f>
        <v/>
      </c>
      <c r="D23" t="n">
        <v>0</v>
      </c>
      <c r="E23">
        <f>$D$33*D23*$D$30/(WEO_Data!C22/100)</f>
        <v/>
      </c>
      <c r="F23">
        <f>E23*'SUT Calc'!$C$46</f>
        <v/>
      </c>
      <c r="G23">
        <f>$D$31*(E23-F23)</f>
        <v/>
      </c>
      <c r="J23" s="17">
        <f>WEO_Data!B22</f>
        <v/>
      </c>
      <c r="K23" s="15">
        <f>C23+G23</f>
        <v/>
      </c>
      <c r="L23">
        <f>(K23/K22-1)*100</f>
        <v/>
      </c>
    </row>
    <row r="24">
      <c r="B24" s="13" t="n">
        <v>2041</v>
      </c>
      <c r="C24">
        <f>C23*(1+J24/100)</f>
        <v/>
      </c>
      <c r="D24" t="n">
        <v>0</v>
      </c>
      <c r="E24">
        <f>$D$33*D24*$D$30/(WEO_Data!C23/100)</f>
        <v/>
      </c>
      <c r="F24">
        <f>E24*'SUT Calc'!$C$46</f>
        <v/>
      </c>
      <c r="G24">
        <f>$D$31*(E24-F24)</f>
        <v/>
      </c>
      <c r="J24" s="17">
        <f>WEO_Data!B23</f>
        <v/>
      </c>
      <c r="K24" s="15">
        <f>C24+G24</f>
        <v/>
      </c>
      <c r="L24">
        <f>(K24/K23-1)*100</f>
        <v/>
      </c>
    </row>
    <row r="25">
      <c r="B25" s="18" t="n">
        <v>2042</v>
      </c>
      <c r="C25" s="19">
        <f>C24*(1+J25/100)</f>
        <v/>
      </c>
      <c r="D25" s="19" t="n">
        <v>0</v>
      </c>
      <c r="E25" s="19">
        <f>$D$33*D25*$D$30/(WEO_Data!C24/100)</f>
        <v/>
      </c>
      <c r="F25" s="19">
        <f>E25*'SUT Calc'!$C$46</f>
        <v/>
      </c>
      <c r="G25" s="19">
        <f>$D$31*(E25-F25)</f>
        <v/>
      </c>
      <c r="H25" s="19" t="n"/>
      <c r="I25" s="19" t="n"/>
      <c r="J25" s="20">
        <f>WEO_Data!B24</f>
        <v/>
      </c>
      <c r="K25" s="21">
        <f>C25+G25</f>
        <v/>
      </c>
      <c r="L25">
        <f>(K25/K24-1)*100</f>
        <v/>
      </c>
    </row>
    <row r="26">
      <c r="B26" t="n">
        <v>2043</v>
      </c>
      <c r="C26">
        <f>C25*(1+J26/100)</f>
        <v/>
      </c>
      <c r="D26" t="n">
        <v>0</v>
      </c>
      <c r="E26">
        <f>$D$33*D26*$D$30/(WEO_Data!C25/100)</f>
        <v/>
      </c>
      <c r="F26">
        <f>E26*'SUT Calc'!$C$46</f>
        <v/>
      </c>
      <c r="G26">
        <f>$D$31*(E26-F26)</f>
        <v/>
      </c>
      <c r="J26">
        <f>WEO_Data!B25</f>
        <v/>
      </c>
      <c r="K26">
        <f>C26+G26</f>
        <v/>
      </c>
      <c r="L26">
        <f>(K26/K25-1)*100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 t="n">
        <v>2.746</v>
      </c>
      <c r="K30" s="15" t="n"/>
    </row>
    <row r="31">
      <c r="C31" s="13" t="inlineStr">
        <is>
          <t>import content share</t>
        </is>
      </c>
      <c r="D31" s="28" t="n">
        <v>0.8</v>
      </c>
      <c r="K31" s="15" t="n"/>
    </row>
    <row r="32">
      <c r="C32" s="13" t="inlineStr">
        <is>
          <t>demand multiplier</t>
        </is>
      </c>
      <c r="D32" s="29" t="inlineStr">
        <is>
          <t>Bell Shape</t>
        </is>
      </c>
      <c r="K32" s="15" t="n"/>
    </row>
    <row r="33">
      <c r="C33" s="18" t="inlineStr">
        <is>
          <t>Project allocation</t>
        </is>
      </c>
      <c r="D33" s="19" t="n">
        <v>6500</v>
      </c>
      <c r="E33" s="19" t="n"/>
      <c r="F33" s="19" t="n"/>
      <c r="G33" s="19" t="n"/>
      <c r="H33" s="19" t="n"/>
      <c r="I33" s="19" t="n"/>
      <c r="J33" s="27" t="n"/>
      <c r="K33" s="21" t="n"/>
    </row>
    <row r="50">
      <c r="B50" t="inlineStr">
        <is>
          <t>Scenario (Mult=1.0)</t>
        </is>
      </c>
    </row>
    <row r="51">
      <c r="B51" t="inlineStr">
        <is>
          <t>Year</t>
        </is>
      </c>
      <c r="C51" t="inlineStr">
        <is>
          <t>Real GDP (Base)</t>
        </is>
      </c>
      <c r="D51" t="inlineStr">
        <is>
          <t>Alloc (%)</t>
        </is>
      </c>
      <c r="E51" t="inlineStr">
        <is>
          <t>Inv (Real)</t>
        </is>
      </c>
      <c r="F51" t="inlineStr">
        <is>
          <t>Imports</t>
        </is>
      </c>
      <c r="G51" t="inlineStr">
        <is>
          <t>Impact</t>
        </is>
      </c>
      <c r="H51" t="inlineStr">
        <is>
          <t>Proj GDP</t>
        </is>
      </c>
      <c r="I51" t="inlineStr">
        <is>
          <t>Proj Growth</t>
        </is>
      </c>
    </row>
    <row r="52">
      <c r="B52" t="n">
        <v>2020</v>
      </c>
      <c r="C52">
        <f>C3</f>
        <v/>
      </c>
      <c r="D52">
        <f>D3</f>
        <v/>
      </c>
      <c r="E52">
        <f>E3</f>
        <v/>
      </c>
      <c r="F52">
        <f>E52*'SUT Calc'!$C$46</f>
        <v/>
      </c>
      <c r="G52">
        <f>1.0*(E52-F52)</f>
        <v/>
      </c>
      <c r="H52">
        <f>C52+G52</f>
        <v/>
      </c>
    </row>
    <row r="53">
      <c r="B53" t="n">
        <v>2021</v>
      </c>
      <c r="C53">
        <f>C4</f>
        <v/>
      </c>
      <c r="D53">
        <f>D4</f>
        <v/>
      </c>
      <c r="E53">
        <f>E4</f>
        <v/>
      </c>
      <c r="F53">
        <f>E53*'SUT Calc'!$C$46</f>
        <v/>
      </c>
      <c r="G53">
        <f>1.0*(E53-F53)</f>
        <v/>
      </c>
      <c r="H53">
        <f>C53+G53</f>
        <v/>
      </c>
      <c r="I53">
        <f>(H53/H52-1)*100</f>
        <v/>
      </c>
    </row>
    <row r="54">
      <c r="B54" t="n">
        <v>2022</v>
      </c>
      <c r="C54">
        <f>C5</f>
        <v/>
      </c>
      <c r="D54">
        <f>D5</f>
        <v/>
      </c>
      <c r="E54">
        <f>E5</f>
        <v/>
      </c>
      <c r="F54">
        <f>E54*'SUT Calc'!$C$46</f>
        <v/>
      </c>
      <c r="G54">
        <f>1.0*(E54-F54)</f>
        <v/>
      </c>
      <c r="H54">
        <f>C54+G54</f>
        <v/>
      </c>
      <c r="I54">
        <f>(H54/H53-1)*100</f>
        <v/>
      </c>
    </row>
    <row r="55">
      <c r="B55" t="n">
        <v>2023</v>
      </c>
      <c r="C55">
        <f>C6</f>
        <v/>
      </c>
      <c r="D55">
        <f>D6</f>
        <v/>
      </c>
      <c r="E55">
        <f>E6</f>
        <v/>
      </c>
      <c r="F55">
        <f>E55*'SUT Calc'!$C$46</f>
        <v/>
      </c>
      <c r="G55">
        <f>1.0*(E55-F55)</f>
        <v/>
      </c>
      <c r="H55">
        <f>C55+G55</f>
        <v/>
      </c>
      <c r="I55">
        <f>(H55/H54-1)*100</f>
        <v/>
      </c>
    </row>
    <row r="56">
      <c r="B56" t="n">
        <v>2024</v>
      </c>
      <c r="C56">
        <f>C7</f>
        <v/>
      </c>
      <c r="D56">
        <f>D7</f>
        <v/>
      </c>
      <c r="E56">
        <f>E7</f>
        <v/>
      </c>
      <c r="F56">
        <f>E56*'SUT Calc'!$C$46</f>
        <v/>
      </c>
      <c r="G56">
        <f>1.0*(E56-F56)</f>
        <v/>
      </c>
      <c r="H56">
        <f>C56+G56</f>
        <v/>
      </c>
      <c r="I56">
        <f>(H56/H55-1)*100</f>
        <v/>
      </c>
    </row>
    <row r="57">
      <c r="B57" t="n">
        <v>2025</v>
      </c>
      <c r="C57">
        <f>C8</f>
        <v/>
      </c>
      <c r="D57">
        <f>D8</f>
        <v/>
      </c>
      <c r="E57">
        <f>E8</f>
        <v/>
      </c>
      <c r="F57">
        <f>E57*'SUT Calc'!$C$46</f>
        <v/>
      </c>
      <c r="G57">
        <f>1.0*(E57-F57)</f>
        <v/>
      </c>
      <c r="H57">
        <f>C57+G57</f>
        <v/>
      </c>
      <c r="I57">
        <f>(H57/H56-1)*100</f>
        <v/>
      </c>
    </row>
    <row r="58">
      <c r="B58" t="n">
        <v>2026</v>
      </c>
      <c r="C58">
        <f>C9</f>
        <v/>
      </c>
      <c r="D58">
        <f>D9</f>
        <v/>
      </c>
      <c r="E58">
        <f>E9</f>
        <v/>
      </c>
      <c r="F58">
        <f>E58*'SUT Calc'!$C$46</f>
        <v/>
      </c>
      <c r="G58">
        <f>1.0*(E58-F58)</f>
        <v/>
      </c>
      <c r="H58">
        <f>C58+G58</f>
        <v/>
      </c>
      <c r="I58">
        <f>(H58/H57-1)*100</f>
        <v/>
      </c>
    </row>
    <row r="59">
      <c r="B59" t="n">
        <v>2027</v>
      </c>
      <c r="C59">
        <f>C10</f>
        <v/>
      </c>
      <c r="D59">
        <f>D10</f>
        <v/>
      </c>
      <c r="E59">
        <f>E10</f>
        <v/>
      </c>
      <c r="F59">
        <f>E59*'SUT Calc'!$C$46</f>
        <v/>
      </c>
      <c r="G59">
        <f>1.0*(E59-F59)</f>
        <v/>
      </c>
      <c r="H59">
        <f>C59+G59</f>
        <v/>
      </c>
      <c r="I59">
        <f>(H59/H58-1)*100</f>
        <v/>
      </c>
    </row>
    <row r="60">
      <c r="B60" t="n">
        <v>2028</v>
      </c>
      <c r="C60">
        <f>C11</f>
        <v/>
      </c>
      <c r="D60">
        <f>D11</f>
        <v/>
      </c>
      <c r="E60">
        <f>E11</f>
        <v/>
      </c>
      <c r="F60">
        <f>E60*'SUT Calc'!$C$46</f>
        <v/>
      </c>
      <c r="G60">
        <f>1.0*(E60-F60)</f>
        <v/>
      </c>
      <c r="H60">
        <f>C60+G60</f>
        <v/>
      </c>
      <c r="I60">
        <f>(H60/H59-1)*100</f>
        <v/>
      </c>
    </row>
    <row r="61">
      <c r="B61" t="n">
        <v>2029</v>
      </c>
      <c r="C61">
        <f>C12</f>
        <v/>
      </c>
      <c r="D61">
        <f>D12</f>
        <v/>
      </c>
      <c r="E61">
        <f>E12</f>
        <v/>
      </c>
      <c r="F61">
        <f>E61*'SUT Calc'!$C$46</f>
        <v/>
      </c>
      <c r="G61">
        <f>1.0*(E61-F61)</f>
        <v/>
      </c>
      <c r="H61">
        <f>C61+G61</f>
        <v/>
      </c>
      <c r="I61">
        <f>(H61/H60-1)*100</f>
        <v/>
      </c>
    </row>
    <row r="62">
      <c r="B62" t="n">
        <v>2030</v>
      </c>
      <c r="C62">
        <f>C13</f>
        <v/>
      </c>
      <c r="D62">
        <f>D13</f>
        <v/>
      </c>
      <c r="E62">
        <f>E13</f>
        <v/>
      </c>
      <c r="F62">
        <f>E62*'SUT Calc'!$C$46</f>
        <v/>
      </c>
      <c r="G62">
        <f>1.0*(E62-F62)</f>
        <v/>
      </c>
      <c r="H62">
        <f>C62+G62</f>
        <v/>
      </c>
      <c r="I62">
        <f>(H62/H61-1)*100</f>
        <v/>
      </c>
    </row>
    <row r="63">
      <c r="B63" t="n">
        <v>2031</v>
      </c>
      <c r="C63">
        <f>C14</f>
        <v/>
      </c>
      <c r="D63">
        <f>D14</f>
        <v/>
      </c>
      <c r="E63">
        <f>E14</f>
        <v/>
      </c>
      <c r="F63">
        <f>E63*'SUT Calc'!$C$46</f>
        <v/>
      </c>
      <c r="G63">
        <f>1.0*(E63-F63)</f>
        <v/>
      </c>
      <c r="H63">
        <f>C63+G63</f>
        <v/>
      </c>
      <c r="I63">
        <f>(H63/H62-1)*100</f>
        <v/>
      </c>
    </row>
    <row r="64">
      <c r="B64" t="n">
        <v>2032</v>
      </c>
      <c r="C64">
        <f>C15</f>
        <v/>
      </c>
      <c r="D64">
        <f>D15</f>
        <v/>
      </c>
      <c r="E64">
        <f>E15</f>
        <v/>
      </c>
      <c r="F64">
        <f>E64*'SUT Calc'!$C$46</f>
        <v/>
      </c>
      <c r="G64">
        <f>1.0*(E64-F64)</f>
        <v/>
      </c>
      <c r="H64">
        <f>C64+G64</f>
        <v/>
      </c>
      <c r="I64">
        <f>(H64/H63-1)*100</f>
        <v/>
      </c>
    </row>
    <row r="65">
      <c r="B65" t="n">
        <v>2033</v>
      </c>
      <c r="C65">
        <f>C16</f>
        <v/>
      </c>
      <c r="D65">
        <f>D16</f>
        <v/>
      </c>
      <c r="E65">
        <f>E16</f>
        <v/>
      </c>
      <c r="F65">
        <f>E65*'SUT Calc'!$C$46</f>
        <v/>
      </c>
      <c r="G65">
        <f>1.0*(E65-F65)</f>
        <v/>
      </c>
      <c r="H65">
        <f>C65+G65</f>
        <v/>
      </c>
      <c r="I65">
        <f>(H65/H64-1)*100</f>
        <v/>
      </c>
    </row>
    <row r="66">
      <c r="B66" t="n">
        <v>2034</v>
      </c>
      <c r="C66">
        <f>C17</f>
        <v/>
      </c>
      <c r="D66">
        <f>D17</f>
        <v/>
      </c>
      <c r="E66">
        <f>E17</f>
        <v/>
      </c>
      <c r="F66">
        <f>E66*'SUT Calc'!$C$46</f>
        <v/>
      </c>
      <c r="G66">
        <f>1.0*(E66-F66)</f>
        <v/>
      </c>
      <c r="H66">
        <f>C66+G66</f>
        <v/>
      </c>
      <c r="I66">
        <f>(H66/H65-1)*100</f>
        <v/>
      </c>
    </row>
    <row r="67">
      <c r="B67" t="n">
        <v>2035</v>
      </c>
      <c r="C67">
        <f>C18</f>
        <v/>
      </c>
      <c r="D67">
        <f>D18</f>
        <v/>
      </c>
      <c r="E67">
        <f>E18</f>
        <v/>
      </c>
      <c r="F67">
        <f>E67*'SUT Calc'!$C$46</f>
        <v/>
      </c>
      <c r="G67">
        <f>1.0*(E67-F67)</f>
        <v/>
      </c>
      <c r="H67">
        <f>C67+G67</f>
        <v/>
      </c>
      <c r="I67">
        <f>(H67/H66-1)*100</f>
        <v/>
      </c>
    </row>
    <row r="68">
      <c r="B68" t="n">
        <v>2036</v>
      </c>
      <c r="C68">
        <f>C19</f>
        <v/>
      </c>
      <c r="D68">
        <f>D19</f>
        <v/>
      </c>
      <c r="E68">
        <f>E19</f>
        <v/>
      </c>
      <c r="F68">
        <f>E68*'SUT Calc'!$C$46</f>
        <v/>
      </c>
      <c r="G68">
        <f>1.0*(E68-F68)</f>
        <v/>
      </c>
      <c r="H68">
        <f>C68+G68</f>
        <v/>
      </c>
      <c r="I68">
        <f>(H68/H67-1)*100</f>
        <v/>
      </c>
    </row>
    <row r="69">
      <c r="B69" t="n">
        <v>2037</v>
      </c>
      <c r="C69">
        <f>C20</f>
        <v/>
      </c>
      <c r="D69">
        <f>D20</f>
        <v/>
      </c>
      <c r="E69">
        <f>E20</f>
        <v/>
      </c>
      <c r="F69">
        <f>E69*'SUT Calc'!$C$46</f>
        <v/>
      </c>
      <c r="G69">
        <f>1.0*(E69-F69)</f>
        <v/>
      </c>
      <c r="H69">
        <f>C69+G69</f>
        <v/>
      </c>
      <c r="I69">
        <f>(H69/H68-1)*100</f>
        <v/>
      </c>
    </row>
    <row r="70">
      <c r="B70" t="n">
        <v>2038</v>
      </c>
      <c r="C70">
        <f>C21</f>
        <v/>
      </c>
      <c r="D70">
        <f>D21</f>
        <v/>
      </c>
      <c r="E70">
        <f>E21</f>
        <v/>
      </c>
      <c r="F70">
        <f>E70*'SUT Calc'!$C$46</f>
        <v/>
      </c>
      <c r="G70">
        <f>1.0*(E70-F70)</f>
        <v/>
      </c>
      <c r="H70">
        <f>C70+G70</f>
        <v/>
      </c>
      <c r="I70">
        <f>(H70/H69-1)*100</f>
        <v/>
      </c>
    </row>
    <row r="71">
      <c r="B71" t="n">
        <v>2039</v>
      </c>
      <c r="C71">
        <f>C22</f>
        <v/>
      </c>
      <c r="D71">
        <f>D22</f>
        <v/>
      </c>
      <c r="E71">
        <f>E22</f>
        <v/>
      </c>
      <c r="F71">
        <f>E71*'SUT Calc'!$C$46</f>
        <v/>
      </c>
      <c r="G71">
        <f>1.0*(E71-F71)</f>
        <v/>
      </c>
      <c r="H71">
        <f>C71+G71</f>
        <v/>
      </c>
      <c r="I71">
        <f>(H71/H70-1)*100</f>
        <v/>
      </c>
    </row>
    <row r="72">
      <c r="B72" t="n">
        <v>2040</v>
      </c>
      <c r="C72">
        <f>C23</f>
        <v/>
      </c>
      <c r="D72">
        <f>D23</f>
        <v/>
      </c>
      <c r="E72">
        <f>E23</f>
        <v/>
      </c>
      <c r="F72">
        <f>E72*'SUT Calc'!$C$46</f>
        <v/>
      </c>
      <c r="G72">
        <f>1.0*(E72-F72)</f>
        <v/>
      </c>
      <c r="H72">
        <f>C72+G72</f>
        <v/>
      </c>
      <c r="I72">
        <f>(H72/H71-1)*100</f>
        <v/>
      </c>
    </row>
    <row r="73">
      <c r="B73" t="n">
        <v>2041</v>
      </c>
      <c r="C73">
        <f>C24</f>
        <v/>
      </c>
      <c r="D73">
        <f>D24</f>
        <v/>
      </c>
      <c r="E73">
        <f>E24</f>
        <v/>
      </c>
      <c r="F73">
        <f>E73*'SUT Calc'!$C$46</f>
        <v/>
      </c>
      <c r="G73">
        <f>1.0*(E73-F73)</f>
        <v/>
      </c>
      <c r="H73">
        <f>C73+G73</f>
        <v/>
      </c>
      <c r="I73">
        <f>(H73/H72-1)*100</f>
        <v/>
      </c>
    </row>
    <row r="74">
      <c r="B74" t="n">
        <v>2042</v>
      </c>
      <c r="C74">
        <f>C25</f>
        <v/>
      </c>
      <c r="D74">
        <f>D25</f>
        <v/>
      </c>
      <c r="E74">
        <f>E25</f>
        <v/>
      </c>
      <c r="F74">
        <f>E74*'SUT Calc'!$C$46</f>
        <v/>
      </c>
      <c r="G74">
        <f>1.0*(E74-F74)</f>
        <v/>
      </c>
      <c r="H74">
        <f>C74+G74</f>
        <v/>
      </c>
      <c r="I74">
        <f>(H74/H73-1)*100</f>
        <v/>
      </c>
    </row>
    <row r="75">
      <c r="B75" t="n">
        <v>2043</v>
      </c>
      <c r="C75">
        <f>C26</f>
        <v/>
      </c>
      <c r="D75">
        <f>D26</f>
        <v/>
      </c>
      <c r="E75">
        <f>E26</f>
        <v/>
      </c>
      <c r="F75">
        <f>E75*'SUT Calc'!$C$46</f>
        <v/>
      </c>
      <c r="G75">
        <f>1.0*(E75-F75)</f>
        <v/>
      </c>
      <c r="H75">
        <f>C75+G75</f>
        <v/>
      </c>
      <c r="I75">
        <f>(H75/H74-1)*100</f>
        <v/>
      </c>
    </row>
    <row r="80">
      <c r="B80" t="inlineStr">
        <is>
          <t>Scenario (Mult=0.8)</t>
        </is>
      </c>
    </row>
    <row r="81">
      <c r="B81" t="inlineStr">
        <is>
          <t>Year</t>
        </is>
      </c>
      <c r="C81" t="inlineStr">
        <is>
          <t>Real GDP (Base)</t>
        </is>
      </c>
      <c r="D81" t="inlineStr">
        <is>
          <t>Alloc (%)</t>
        </is>
      </c>
      <c r="E81" t="inlineStr">
        <is>
          <t>Inv (Real)</t>
        </is>
      </c>
      <c r="F81" t="inlineStr">
        <is>
          <t>Imports</t>
        </is>
      </c>
      <c r="G81" t="inlineStr">
        <is>
          <t>Impact</t>
        </is>
      </c>
      <c r="H81" t="inlineStr">
        <is>
          <t>Proj GDP</t>
        </is>
      </c>
      <c r="I81" t="inlineStr">
        <is>
          <t>Proj Growth</t>
        </is>
      </c>
    </row>
    <row r="82">
      <c r="B82" t="n">
        <v>2020</v>
      </c>
      <c r="C82">
        <f>C3</f>
        <v/>
      </c>
      <c r="D82">
        <f>D3</f>
        <v/>
      </c>
      <c r="E82">
        <f>E3</f>
        <v/>
      </c>
      <c r="F82">
        <f>E82*0.5</f>
        <v/>
      </c>
      <c r="G82">
        <f>0.8*(E82-F82)</f>
        <v/>
      </c>
      <c r="H82">
        <f>C82+G82</f>
        <v/>
      </c>
    </row>
    <row r="83">
      <c r="B83" t="n">
        <v>2021</v>
      </c>
      <c r="C83">
        <f>C4</f>
        <v/>
      </c>
      <c r="D83">
        <f>D4</f>
        <v/>
      </c>
      <c r="E83">
        <f>E4</f>
        <v/>
      </c>
      <c r="F83">
        <f>E83*0.5</f>
        <v/>
      </c>
      <c r="G83">
        <f>0.8*(E83-F83)</f>
        <v/>
      </c>
      <c r="H83">
        <f>C83+G83</f>
        <v/>
      </c>
      <c r="I83">
        <f>(H83/H82-1)*100</f>
        <v/>
      </c>
    </row>
    <row r="84">
      <c r="B84" t="n">
        <v>2022</v>
      </c>
      <c r="C84">
        <f>C5</f>
        <v/>
      </c>
      <c r="D84">
        <f>D5</f>
        <v/>
      </c>
      <c r="E84">
        <f>E5</f>
        <v/>
      </c>
      <c r="F84">
        <f>E84*0.5</f>
        <v/>
      </c>
      <c r="G84">
        <f>0.8*(E84-F84)</f>
        <v/>
      </c>
      <c r="H84">
        <f>C84+G84</f>
        <v/>
      </c>
      <c r="I84">
        <f>(H84/H83-1)*100</f>
        <v/>
      </c>
    </row>
    <row r="85">
      <c r="B85" t="n">
        <v>2023</v>
      </c>
      <c r="C85">
        <f>C6</f>
        <v/>
      </c>
      <c r="D85">
        <f>D6</f>
        <v/>
      </c>
      <c r="E85">
        <f>E6</f>
        <v/>
      </c>
      <c r="F85">
        <f>E85*0.5</f>
        <v/>
      </c>
      <c r="G85">
        <f>0.8*(E85-F85)</f>
        <v/>
      </c>
      <c r="H85">
        <f>C85+G85</f>
        <v/>
      </c>
      <c r="I85">
        <f>(H85/H84-1)*100</f>
        <v/>
      </c>
    </row>
    <row r="86">
      <c r="B86" t="n">
        <v>2024</v>
      </c>
      <c r="C86">
        <f>C7</f>
        <v/>
      </c>
      <c r="D86">
        <f>D7</f>
        <v/>
      </c>
      <c r="E86">
        <f>E7</f>
        <v/>
      </c>
      <c r="F86">
        <f>E86*0.5</f>
        <v/>
      </c>
      <c r="G86">
        <f>0.8*(E86-F86)</f>
        <v/>
      </c>
      <c r="H86">
        <f>C86+G86</f>
        <v/>
      </c>
      <c r="I86">
        <f>(H86/H85-1)*100</f>
        <v/>
      </c>
    </row>
    <row r="87">
      <c r="B87" t="n">
        <v>2025</v>
      </c>
      <c r="C87">
        <f>C8</f>
        <v/>
      </c>
      <c r="D87">
        <f>D8</f>
        <v/>
      </c>
      <c r="E87">
        <f>E8</f>
        <v/>
      </c>
      <c r="F87">
        <f>E87*0.5</f>
        <v/>
      </c>
      <c r="G87">
        <f>0.8*(E87-F87)</f>
        <v/>
      </c>
      <c r="H87">
        <f>C87+G87</f>
        <v/>
      </c>
      <c r="I87">
        <f>(H87/H86-1)*100</f>
        <v/>
      </c>
    </row>
    <row r="88">
      <c r="B88" t="n">
        <v>2026</v>
      </c>
      <c r="C88">
        <f>C9</f>
        <v/>
      </c>
      <c r="D88">
        <f>D9</f>
        <v/>
      </c>
      <c r="E88">
        <f>E9</f>
        <v/>
      </c>
      <c r="F88">
        <f>E88*0.5</f>
        <v/>
      </c>
      <c r="G88">
        <f>0.8*(E88-F88)</f>
        <v/>
      </c>
      <c r="H88">
        <f>C88+G88</f>
        <v/>
      </c>
      <c r="I88">
        <f>(H88/H87-1)*100</f>
        <v/>
      </c>
    </row>
    <row r="89">
      <c r="B89" t="n">
        <v>2027</v>
      </c>
      <c r="C89">
        <f>C10</f>
        <v/>
      </c>
      <c r="D89">
        <f>D10</f>
        <v/>
      </c>
      <c r="E89">
        <f>E10</f>
        <v/>
      </c>
      <c r="F89">
        <f>E89*0.5</f>
        <v/>
      </c>
      <c r="G89">
        <f>0.8*(E89-F89)</f>
        <v/>
      </c>
      <c r="H89">
        <f>C89+G89</f>
        <v/>
      </c>
      <c r="I89">
        <f>(H89/H88-1)*100</f>
        <v/>
      </c>
    </row>
    <row r="90">
      <c r="B90" t="n">
        <v>2028</v>
      </c>
      <c r="C90">
        <f>C11</f>
        <v/>
      </c>
      <c r="D90">
        <f>D11</f>
        <v/>
      </c>
      <c r="E90">
        <f>E11</f>
        <v/>
      </c>
      <c r="F90">
        <f>E90*0.5</f>
        <v/>
      </c>
      <c r="G90">
        <f>0.8*(E90-F90)</f>
        <v/>
      </c>
      <c r="H90">
        <f>C90+G90</f>
        <v/>
      </c>
      <c r="I90">
        <f>(H90/H89-1)*100</f>
        <v/>
      </c>
    </row>
    <row r="91">
      <c r="B91" t="n">
        <v>2029</v>
      </c>
      <c r="C91">
        <f>C12</f>
        <v/>
      </c>
      <c r="D91">
        <f>D12</f>
        <v/>
      </c>
      <c r="E91">
        <f>E12</f>
        <v/>
      </c>
      <c r="F91">
        <f>E91*0.5</f>
        <v/>
      </c>
      <c r="G91">
        <f>0.8*(E91-F91)</f>
        <v/>
      </c>
      <c r="H91">
        <f>C91+G91</f>
        <v/>
      </c>
      <c r="I91">
        <f>(H91/H90-1)*100</f>
        <v/>
      </c>
    </row>
    <row r="92">
      <c r="B92" t="n">
        <v>2030</v>
      </c>
      <c r="C92">
        <f>C13</f>
        <v/>
      </c>
      <c r="D92">
        <f>D13</f>
        <v/>
      </c>
      <c r="E92">
        <f>E13</f>
        <v/>
      </c>
      <c r="F92">
        <f>E92*0.5</f>
        <v/>
      </c>
      <c r="G92">
        <f>0.8*(E92-F92)</f>
        <v/>
      </c>
      <c r="H92">
        <f>C92+G92</f>
        <v/>
      </c>
      <c r="I92">
        <f>(H92/H91-1)*100</f>
        <v/>
      </c>
    </row>
    <row r="93">
      <c r="B93" t="n">
        <v>2031</v>
      </c>
      <c r="C93">
        <f>C14</f>
        <v/>
      </c>
      <c r="D93">
        <f>D14</f>
        <v/>
      </c>
      <c r="E93">
        <f>E14</f>
        <v/>
      </c>
      <c r="F93">
        <f>E93*0.5</f>
        <v/>
      </c>
      <c r="G93">
        <f>0.8*(E93-F93)</f>
        <v/>
      </c>
      <c r="H93">
        <f>C93+G93</f>
        <v/>
      </c>
      <c r="I93">
        <f>(H93/H92-1)*100</f>
        <v/>
      </c>
    </row>
    <row r="94">
      <c r="B94" t="n">
        <v>2032</v>
      </c>
      <c r="C94">
        <f>C15</f>
        <v/>
      </c>
      <c r="D94">
        <f>D15</f>
        <v/>
      </c>
      <c r="E94">
        <f>E15</f>
        <v/>
      </c>
      <c r="F94">
        <f>E94*0.5</f>
        <v/>
      </c>
      <c r="G94">
        <f>0.8*(E94-F94)</f>
        <v/>
      </c>
      <c r="H94">
        <f>C94+G94</f>
        <v/>
      </c>
      <c r="I94">
        <f>(H94/H93-1)*100</f>
        <v/>
      </c>
    </row>
    <row r="95">
      <c r="B95" t="n">
        <v>2033</v>
      </c>
      <c r="C95">
        <f>C16</f>
        <v/>
      </c>
      <c r="D95">
        <f>D16</f>
        <v/>
      </c>
      <c r="E95">
        <f>E16</f>
        <v/>
      </c>
      <c r="F95">
        <f>E95*0.5</f>
        <v/>
      </c>
      <c r="G95">
        <f>0.8*(E95-F95)</f>
        <v/>
      </c>
      <c r="H95">
        <f>C95+G95</f>
        <v/>
      </c>
      <c r="I95">
        <f>(H95/H94-1)*100</f>
        <v/>
      </c>
    </row>
    <row r="96">
      <c r="B96" t="n">
        <v>2034</v>
      </c>
      <c r="C96">
        <f>C17</f>
        <v/>
      </c>
      <c r="D96">
        <f>D17</f>
        <v/>
      </c>
      <c r="E96">
        <f>E17</f>
        <v/>
      </c>
      <c r="F96">
        <f>E96*0.5</f>
        <v/>
      </c>
      <c r="G96">
        <f>0.8*(E96-F96)</f>
        <v/>
      </c>
      <c r="H96">
        <f>C96+G96</f>
        <v/>
      </c>
      <c r="I96">
        <f>(H96/H95-1)*100</f>
        <v/>
      </c>
    </row>
    <row r="97">
      <c r="B97" t="n">
        <v>2035</v>
      </c>
      <c r="C97">
        <f>C18</f>
        <v/>
      </c>
      <c r="D97">
        <f>D18</f>
        <v/>
      </c>
      <c r="E97">
        <f>E18</f>
        <v/>
      </c>
      <c r="F97">
        <f>E97*0.5</f>
        <v/>
      </c>
      <c r="G97">
        <f>0.8*(E97-F97)</f>
        <v/>
      </c>
      <c r="H97">
        <f>C97+G97</f>
        <v/>
      </c>
      <c r="I97">
        <f>(H97/H96-1)*100</f>
        <v/>
      </c>
    </row>
    <row r="98">
      <c r="B98" t="n">
        <v>2036</v>
      </c>
      <c r="C98">
        <f>C19</f>
        <v/>
      </c>
      <c r="D98">
        <f>D19</f>
        <v/>
      </c>
      <c r="E98">
        <f>E19</f>
        <v/>
      </c>
      <c r="F98">
        <f>E98*0.5</f>
        <v/>
      </c>
      <c r="G98">
        <f>0.8*(E98-F98)</f>
        <v/>
      </c>
      <c r="H98">
        <f>C98+G98</f>
        <v/>
      </c>
      <c r="I98">
        <f>(H98/H97-1)*100</f>
        <v/>
      </c>
    </row>
    <row r="99">
      <c r="B99" t="n">
        <v>2037</v>
      </c>
      <c r="C99">
        <f>C20</f>
        <v/>
      </c>
      <c r="D99">
        <f>D20</f>
        <v/>
      </c>
      <c r="E99">
        <f>E20</f>
        <v/>
      </c>
      <c r="F99">
        <f>E99*0.5</f>
        <v/>
      </c>
      <c r="G99">
        <f>0.8*(E99-F99)</f>
        <v/>
      </c>
      <c r="H99">
        <f>C99+G99</f>
        <v/>
      </c>
      <c r="I99">
        <f>(H99/H98-1)*100</f>
        <v/>
      </c>
    </row>
    <row r="100">
      <c r="B100" t="n">
        <v>2038</v>
      </c>
      <c r="C100">
        <f>C21</f>
        <v/>
      </c>
      <c r="D100">
        <f>D21</f>
        <v/>
      </c>
      <c r="E100">
        <f>E21</f>
        <v/>
      </c>
      <c r="F100">
        <f>E100*0.5</f>
        <v/>
      </c>
      <c r="G100">
        <f>0.8*(E100-F100)</f>
        <v/>
      </c>
      <c r="H100">
        <f>C100+G100</f>
        <v/>
      </c>
      <c r="I100">
        <f>(H100/H99-1)*100</f>
        <v/>
      </c>
    </row>
    <row r="101">
      <c r="B101" t="n">
        <v>2039</v>
      </c>
      <c r="C101">
        <f>C22</f>
        <v/>
      </c>
      <c r="D101">
        <f>D22</f>
        <v/>
      </c>
      <c r="E101">
        <f>E22</f>
        <v/>
      </c>
      <c r="F101">
        <f>E101*0.5</f>
        <v/>
      </c>
      <c r="G101">
        <f>0.8*(E101-F101)</f>
        <v/>
      </c>
      <c r="H101">
        <f>C101+G101</f>
        <v/>
      </c>
      <c r="I101">
        <f>(H101/H100-1)*100</f>
        <v/>
      </c>
    </row>
    <row r="102">
      <c r="B102" t="n">
        <v>2040</v>
      </c>
      <c r="C102">
        <f>C23</f>
        <v/>
      </c>
      <c r="D102">
        <f>D23</f>
        <v/>
      </c>
      <c r="E102">
        <f>E23</f>
        <v/>
      </c>
      <c r="F102">
        <f>E102*0.5</f>
        <v/>
      </c>
      <c r="G102">
        <f>0.8*(E102-F102)</f>
        <v/>
      </c>
      <c r="H102">
        <f>C102+G102</f>
        <v/>
      </c>
      <c r="I102">
        <f>(H102/H101-1)*100</f>
        <v/>
      </c>
    </row>
    <row r="103">
      <c r="B103" t="n">
        <v>2041</v>
      </c>
      <c r="C103">
        <f>C24</f>
        <v/>
      </c>
      <c r="D103">
        <f>D24</f>
        <v/>
      </c>
      <c r="E103">
        <f>E24</f>
        <v/>
      </c>
      <c r="F103">
        <f>E103*0.5</f>
        <v/>
      </c>
      <c r="G103">
        <f>0.8*(E103-F103)</f>
        <v/>
      </c>
      <c r="H103">
        <f>C103+G103</f>
        <v/>
      </c>
      <c r="I103">
        <f>(H103/H102-1)*100</f>
        <v/>
      </c>
    </row>
    <row r="104">
      <c r="B104" t="n">
        <v>2042</v>
      </c>
      <c r="C104">
        <f>C25</f>
        <v/>
      </c>
      <c r="D104">
        <f>D25</f>
        <v/>
      </c>
      <c r="E104">
        <f>E25</f>
        <v/>
      </c>
      <c r="F104">
        <f>E104*0.5</f>
        <v/>
      </c>
      <c r="G104">
        <f>0.8*(E104-F104)</f>
        <v/>
      </c>
      <c r="H104">
        <f>C104+G104</f>
        <v/>
      </c>
      <c r="I104">
        <f>(H104/H103-1)*100</f>
        <v/>
      </c>
    </row>
    <row r="105">
      <c r="B105" t="n">
        <v>2043</v>
      </c>
      <c r="C105">
        <f>C26</f>
        <v/>
      </c>
      <c r="D105">
        <f>D26</f>
        <v/>
      </c>
      <c r="E105">
        <f>E26</f>
        <v/>
      </c>
      <c r="F105">
        <f>E105*0.5</f>
        <v/>
      </c>
      <c r="G105">
        <f>0.8*(E105-F105)</f>
        <v/>
      </c>
      <c r="H105">
        <f>C105+G105</f>
        <v/>
      </c>
      <c r="I105">
        <f>(H105/H104-1)*100</f>
        <v/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</t>
        </is>
      </c>
      <c r="C1" t="inlineStr">
        <is>
          <t>GDP Deflator</t>
        </is>
      </c>
    </row>
    <row r="2">
      <c r="A2" t="n">
        <v>2020</v>
      </c>
      <c r="B2" t="n">
        <v>-6.8</v>
      </c>
      <c r="C2" t="n">
        <v>133.1801767473021</v>
      </c>
    </row>
    <row r="3">
      <c r="A3" t="n">
        <v>2021</v>
      </c>
      <c r="B3" t="n">
        <v>10.5</v>
      </c>
      <c r="C3" t="n">
        <v>139.42</v>
      </c>
    </row>
    <row r="4">
      <c r="A4" t="n">
        <v>2022</v>
      </c>
      <c r="B4" t="n">
        <v>10.4</v>
      </c>
      <c r="C4" t="n">
        <v>150.76</v>
      </c>
    </row>
    <row r="5">
      <c r="A5" t="n">
        <v>2023</v>
      </c>
      <c r="B5" t="n">
        <v>7.8</v>
      </c>
      <c r="C5" t="n">
        <v>153.98</v>
      </c>
    </row>
    <row r="6">
      <c r="A6" t="n">
        <v>2024</v>
      </c>
      <c r="B6" t="n">
        <v>9.5</v>
      </c>
      <c r="C6" t="n">
        <v>159.81</v>
      </c>
    </row>
    <row r="7">
      <c r="A7" t="n">
        <v>2025</v>
      </c>
      <c r="B7" t="n">
        <v>7.3</v>
      </c>
      <c r="C7" t="n">
        <v/>
      </c>
    </row>
    <row r="8">
      <c r="A8" t="n">
        <v>2026</v>
      </c>
      <c r="B8" t="n">
        <v>5.3</v>
      </c>
      <c r="C8" t="n">
        <v/>
      </c>
    </row>
    <row r="9">
      <c r="A9" t="n">
        <v>2027</v>
      </c>
      <c r="B9" t="n">
        <v>5</v>
      </c>
      <c r="C9" t="n">
        <v/>
      </c>
    </row>
    <row r="10">
      <c r="A10" t="n">
        <v>2028</v>
      </c>
      <c r="B10" t="n">
        <v>5</v>
      </c>
      <c r="C10" t="n">
        <v/>
      </c>
    </row>
    <row r="11">
      <c r="A11" t="n">
        <v>2029</v>
      </c>
      <c r="B11" t="n">
        <v>5</v>
      </c>
      <c r="C11" t="n">
        <v/>
      </c>
    </row>
    <row r="12">
      <c r="A12" t="n">
        <v>2030</v>
      </c>
      <c r="B12" t="n">
        <v>5</v>
      </c>
      <c r="C12" t="n">
        <v/>
      </c>
    </row>
    <row r="13">
      <c r="A13" t="n">
        <v>2031</v>
      </c>
      <c r="B13" t="n">
        <v>5</v>
      </c>
      <c r="C13" t="n">
        <v/>
      </c>
    </row>
    <row r="14">
      <c r="A14" t="n">
        <v>2032</v>
      </c>
      <c r="B14" t="n">
        <v>5</v>
      </c>
      <c r="C14" t="n">
        <v/>
      </c>
    </row>
    <row r="15">
      <c r="A15" t="n">
        <v>2033</v>
      </c>
      <c r="B15" t="n">
        <v>5</v>
      </c>
      <c r="C15" t="n">
        <v/>
      </c>
    </row>
    <row r="16">
      <c r="A16" t="n">
        <v>2034</v>
      </c>
      <c r="B16" t="n">
        <v>5</v>
      </c>
      <c r="C16" t="n">
        <v/>
      </c>
    </row>
    <row r="17">
      <c r="A17" t="n">
        <v>2035</v>
      </c>
      <c r="B17" t="n">
        <v>5</v>
      </c>
      <c r="C17" t="n">
        <v/>
      </c>
    </row>
    <row r="18">
      <c r="A18" t="n">
        <v>2036</v>
      </c>
      <c r="B18" t="n">
        <v>5</v>
      </c>
      <c r="C18" t="n">
        <v/>
      </c>
    </row>
    <row r="19">
      <c r="A19" t="n">
        <v>2037</v>
      </c>
      <c r="B19" t="n">
        <v>5</v>
      </c>
      <c r="C19" t="n">
        <v/>
      </c>
    </row>
    <row r="20">
      <c r="A20" t="n">
        <v>2038</v>
      </c>
      <c r="B20" t="n">
        <v>5</v>
      </c>
      <c r="C20" t="n">
        <v/>
      </c>
    </row>
    <row r="21">
      <c r="A21" t="n">
        <v>2039</v>
      </c>
      <c r="B21" t="n">
        <v>5</v>
      </c>
      <c r="C21" t="n">
        <v/>
      </c>
    </row>
    <row r="22">
      <c r="A22" t="n">
        <v>2040</v>
      </c>
      <c r="B22" t="n">
        <v>5</v>
      </c>
      <c r="C22" t="n">
        <v/>
      </c>
    </row>
    <row r="23">
      <c r="A23" t="n">
        <v>2041</v>
      </c>
      <c r="B23" t="n">
        <v>5</v>
      </c>
      <c r="C23" t="n">
        <v/>
      </c>
    </row>
    <row r="24">
      <c r="A24" t="n">
        <v>2042</v>
      </c>
      <c r="B24" t="n">
        <v>5</v>
      </c>
      <c r="C24" t="n">
        <v/>
      </c>
    </row>
    <row r="25">
      <c r="A25" t="n">
        <v>2043</v>
      </c>
      <c r="B25" t="n">
        <v>5</v>
      </c>
      <c r="C2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from SUT</t>
        </is>
      </c>
    </row>
    <row r="2">
      <c r="A2" t="inlineStr">
        <is>
          <t>Product</t>
        </is>
      </c>
      <c r="B2" t="inlineStr">
        <is>
          <t>Code</t>
        </is>
      </c>
      <c r="C2" t="inlineStr">
        <is>
          <t>Total Supply</t>
        </is>
      </c>
      <c r="D2" t="inlineStr">
        <is>
          <t>Imports</t>
        </is>
      </c>
      <c r="E2" t="inlineStr">
        <is>
          <t>Gross Cap. Form.</t>
        </is>
      </c>
      <c r="F2" t="inlineStr">
        <is>
          <t>Import Share (Prod)</t>
        </is>
      </c>
      <c r="G2" t="inlineStr">
        <is>
          <t>Weighted Share</t>
        </is>
      </c>
    </row>
    <row r="3">
      <c r="A3" t="inlineStr">
        <is>
          <t>Agri</t>
        </is>
      </c>
      <c r="C3">
        <f>SUPPLY!G2</f>
        <v/>
      </c>
      <c r="D3">
        <f>SUPPLY!C2</f>
        <v/>
      </c>
      <c r="E3">
        <f>USE!D2</f>
        <v/>
      </c>
      <c r="F3">
        <f>D3/C3</f>
        <v/>
      </c>
      <c r="G3">
        <f>F3*(E3/SUM($E$3:$E$12))</f>
        <v/>
      </c>
    </row>
    <row r="4">
      <c r="A4" t="inlineStr">
        <is>
          <t>Mining</t>
        </is>
      </c>
      <c r="C4">
        <f>SUPPLY!G3</f>
        <v/>
      </c>
      <c r="D4">
        <f>SUPPLY!C3</f>
        <v/>
      </c>
      <c r="E4">
        <f>USE!D3</f>
        <v/>
      </c>
      <c r="F4">
        <f>D4/C4</f>
        <v/>
      </c>
      <c r="G4">
        <f>F4*(E4/SUM($E$3:$E$12))</f>
        <v/>
      </c>
    </row>
    <row r="5">
      <c r="A5" t="inlineStr">
        <is>
          <t>Manufacturing</t>
        </is>
      </c>
      <c r="C5">
        <f>SUPPLY!G4</f>
        <v/>
      </c>
      <c r="D5">
        <f>SUPPLY!C4</f>
        <v/>
      </c>
      <c r="E5">
        <f>USE!D4</f>
        <v/>
      </c>
      <c r="F5">
        <f>D5/C5</f>
        <v/>
      </c>
      <c r="G5">
        <f>F5*(E5/SUM($E$3:$E$12))</f>
        <v/>
      </c>
    </row>
    <row r="6">
      <c r="A6" t="inlineStr">
        <is>
          <t>Energy</t>
        </is>
      </c>
      <c r="C6">
        <f>SUPPLY!G5</f>
        <v/>
      </c>
      <c r="D6">
        <f>SUPPLY!C5</f>
        <v/>
      </c>
      <c r="E6">
        <f>USE!D5</f>
        <v/>
      </c>
      <c r="F6">
        <f>D6/C6</f>
        <v/>
      </c>
      <c r="G6">
        <f>F6*(E6/SUM($E$3:$E$12))</f>
        <v/>
      </c>
    </row>
    <row r="7">
      <c r="A7" t="inlineStr">
        <is>
          <t>Water</t>
        </is>
      </c>
      <c r="C7">
        <f>SUPPLY!G6</f>
        <v/>
      </c>
      <c r="D7">
        <f>SUPPLY!C6</f>
        <v/>
      </c>
      <c r="E7">
        <f>USE!D6</f>
        <v/>
      </c>
      <c r="F7">
        <f>D7/C7</f>
        <v/>
      </c>
      <c r="G7">
        <f>F7*(E7/SUM($E$3:$E$12))</f>
        <v/>
      </c>
    </row>
    <row r="8">
      <c r="A8" t="inlineStr">
        <is>
          <t>Construction</t>
        </is>
      </c>
      <c r="C8">
        <f>SUPPLY!G7</f>
        <v/>
      </c>
      <c r="D8">
        <f>SUPPLY!C7</f>
        <v/>
      </c>
      <c r="E8">
        <f>USE!D7</f>
        <v/>
      </c>
      <c r="F8">
        <f>D8/C8</f>
        <v/>
      </c>
      <c r="G8">
        <f>F8*(E8/SUM($E$3:$E$12))</f>
        <v/>
      </c>
    </row>
    <row r="9">
      <c r="A9" t="inlineStr">
        <is>
          <t>Trade</t>
        </is>
      </c>
      <c r="C9">
        <f>SUPPLY!G8</f>
        <v/>
      </c>
      <c r="D9">
        <f>SUPPLY!C8</f>
        <v/>
      </c>
      <c r="E9">
        <f>USE!D8</f>
        <v/>
      </c>
      <c r="F9">
        <f>D9/C9</f>
        <v/>
      </c>
      <c r="G9">
        <f>F9*(E9/SUM($E$3:$E$12))</f>
        <v/>
      </c>
    </row>
    <row r="10">
      <c r="A10" t="inlineStr">
        <is>
          <t>Transport</t>
        </is>
      </c>
      <c r="C10">
        <f>SUPPLY!G9</f>
        <v/>
      </c>
      <c r="D10">
        <f>SUPPLY!C9</f>
        <v/>
      </c>
      <c r="E10">
        <f>USE!D9</f>
        <v/>
      </c>
      <c r="F10">
        <f>D10/C10</f>
        <v/>
      </c>
      <c r="G10">
        <f>F10*(E10/SUM($E$3:$E$12))</f>
        <v/>
      </c>
    </row>
    <row r="11">
      <c r="A11" t="inlineStr">
        <is>
          <t>Machinery</t>
        </is>
      </c>
      <c r="C11">
        <f>SUPPLY!G10</f>
        <v/>
      </c>
      <c r="D11">
        <f>SUPPLY!C10</f>
        <v/>
      </c>
      <c r="E11">
        <f>USE!D10</f>
        <v/>
      </c>
      <c r="F11">
        <f>D11/C11</f>
        <v/>
      </c>
      <c r="G11">
        <f>F11*(E11/SUM($E$3:$E$12))</f>
        <v/>
      </c>
    </row>
    <row r="12">
      <c r="A12" t="inlineStr">
        <is>
          <t>Services</t>
        </is>
      </c>
      <c r="C12">
        <f>SUPPLY!G11</f>
        <v/>
      </c>
      <c r="D12">
        <f>SUPPLY!C11</f>
        <v/>
      </c>
      <c r="E12">
        <f>USE!D11</f>
        <v/>
      </c>
      <c r="F12">
        <f>D12/C12</f>
        <v/>
      </c>
      <c r="G12">
        <f>F12*(E12/SUM($E$3:$E$12))</f>
        <v/>
      </c>
    </row>
    <row r="45">
      <c r="C45" t="inlineStr">
        <is>
          <t>Estimated Import Content Share</t>
        </is>
      </c>
    </row>
    <row r="46">
      <c r="C46">
        <f>SUM(G3:G12)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Output</t>
        </is>
      </c>
      <c r="C1" t="inlineStr">
        <is>
          <t>Imports</t>
        </is>
      </c>
      <c r="D1" t="inlineStr">
        <is>
          <t>Trade Margins</t>
        </is>
      </c>
      <c r="E1" t="inlineStr">
        <is>
          <t>Taxes</t>
        </is>
      </c>
      <c r="F1" t="inlineStr">
        <is>
          <t>Subsidies</t>
        </is>
      </c>
      <c r="G1" t="inlineStr">
        <is>
          <t>Total Supply</t>
        </is>
      </c>
    </row>
    <row r="2">
      <c r="A2" t="inlineStr">
        <is>
          <t>Agri</t>
        </is>
      </c>
      <c r="B2" t="n">
        <v>800</v>
      </c>
      <c r="C2" t="n">
        <v>200</v>
      </c>
      <c r="D2" t="n">
        <v>0</v>
      </c>
      <c r="E2" t="n">
        <v>0</v>
      </c>
      <c r="F2" t="n">
        <v>0</v>
      </c>
      <c r="G2" t="n">
        <v>1000</v>
      </c>
    </row>
    <row r="3">
      <c r="A3" t="inlineStr">
        <is>
          <t>Mining</t>
        </is>
      </c>
      <c r="B3" t="n">
        <v>400</v>
      </c>
      <c r="C3" t="n">
        <v>100</v>
      </c>
      <c r="D3" t="n">
        <v>0</v>
      </c>
      <c r="E3" t="n">
        <v>0</v>
      </c>
      <c r="F3" t="n">
        <v>0</v>
      </c>
      <c r="G3" t="n">
        <v>500</v>
      </c>
    </row>
    <row r="4">
      <c r="A4" t="inlineStr">
        <is>
          <t>Manufacturing</t>
        </is>
      </c>
      <c r="B4" t="n">
        <v>800</v>
      </c>
      <c r="C4" t="n">
        <v>1200</v>
      </c>
      <c r="D4" t="n">
        <v>0</v>
      </c>
      <c r="E4" t="n">
        <v>0</v>
      </c>
      <c r="F4" t="n">
        <v>0</v>
      </c>
      <c r="G4" t="n">
        <v>2000</v>
      </c>
    </row>
    <row r="5">
      <c r="A5" t="inlineStr">
        <is>
          <t>Energy</t>
        </is>
      </c>
      <c r="B5" t="n">
        <v>500</v>
      </c>
      <c r="C5" t="n">
        <v>300</v>
      </c>
      <c r="D5" t="n">
        <v>0</v>
      </c>
      <c r="E5" t="n">
        <v>0</v>
      </c>
      <c r="F5" t="n">
        <v>0</v>
      </c>
      <c r="G5" t="n">
        <v>800</v>
      </c>
    </row>
    <row r="6">
      <c r="A6" t="inlineStr">
        <is>
          <t>Water</t>
        </is>
      </c>
      <c r="B6" t="n">
        <v>200</v>
      </c>
      <c r="C6" t="n">
        <v>0</v>
      </c>
      <c r="D6" t="n">
        <v>0</v>
      </c>
      <c r="E6" t="n">
        <v>0</v>
      </c>
      <c r="F6" t="n">
        <v>0</v>
      </c>
      <c r="G6" t="n">
        <v>200</v>
      </c>
    </row>
    <row r="7">
      <c r="A7" t="inlineStr">
        <is>
          <t>Construction</t>
        </is>
      </c>
      <c r="B7" t="n">
        <v>1400</v>
      </c>
      <c r="C7" t="n">
        <v>100</v>
      </c>
      <c r="D7" t="n">
        <v>0</v>
      </c>
      <c r="E7" t="n">
        <v>0</v>
      </c>
      <c r="F7" t="n">
        <v>0</v>
      </c>
      <c r="G7" t="n">
        <v>1500</v>
      </c>
    </row>
    <row r="8">
      <c r="A8" t="inlineStr">
        <is>
          <t>Trade</t>
        </is>
      </c>
      <c r="B8" t="n">
        <v>1200</v>
      </c>
      <c r="C8" t="n">
        <v>0</v>
      </c>
      <c r="D8" t="n">
        <v>0</v>
      </c>
      <c r="E8" t="n">
        <v>0</v>
      </c>
      <c r="F8" t="n">
        <v>0</v>
      </c>
      <c r="G8" t="n">
        <v>1200</v>
      </c>
    </row>
    <row r="9">
      <c r="A9" t="inlineStr">
        <is>
          <t>Transport</t>
        </is>
      </c>
      <c r="B9" t="n">
        <v>700</v>
      </c>
      <c r="C9" t="n">
        <v>200</v>
      </c>
      <c r="D9" t="n">
        <v>0</v>
      </c>
      <c r="E9" t="n">
        <v>0</v>
      </c>
      <c r="F9" t="n">
        <v>0</v>
      </c>
      <c r="G9" t="n">
        <v>900</v>
      </c>
    </row>
    <row r="10">
      <c r="A10" t="inlineStr">
        <is>
          <t>Machinery</t>
        </is>
      </c>
      <c r="B10" t="n">
        <v>100</v>
      </c>
      <c r="C10" t="n">
        <v>900</v>
      </c>
      <c r="D10" t="n">
        <v>0</v>
      </c>
      <c r="E10" t="n">
        <v>0</v>
      </c>
      <c r="F10" t="n">
        <v>0</v>
      </c>
      <c r="G10" t="n">
        <v>1000</v>
      </c>
    </row>
    <row r="11">
      <c r="A11" t="inlineStr">
        <is>
          <t>Services</t>
        </is>
      </c>
      <c r="B11" t="n">
        <v>2700</v>
      </c>
      <c r="C11" t="n">
        <v>300</v>
      </c>
      <c r="D11" t="n">
        <v>0</v>
      </c>
      <c r="E11" t="n">
        <v>0</v>
      </c>
      <c r="F11" t="n">
        <v>0</v>
      </c>
      <c r="G11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Intermediate Consumption</t>
        </is>
      </c>
      <c r="C1" t="inlineStr">
        <is>
          <t>Final Consumption</t>
        </is>
      </c>
      <c r="D1" t="inlineStr">
        <is>
          <t>Gross Capital Formation</t>
        </is>
      </c>
      <c r="E1" t="inlineStr">
        <is>
          <t>Exports</t>
        </is>
      </c>
      <c r="F1" t="inlineStr">
        <is>
          <t>Total Use</t>
        </is>
      </c>
    </row>
    <row r="2">
      <c r="A2" t="inlineStr">
        <is>
          <t>Agri</t>
        </is>
      </c>
      <c r="B2" t="n">
        <v>0</v>
      </c>
      <c r="C2" t="n">
        <v>0</v>
      </c>
      <c r="D2" t="n">
        <v>50</v>
      </c>
      <c r="E2" t="n">
        <v>0</v>
      </c>
      <c r="F2" t="n">
        <v>0</v>
      </c>
    </row>
    <row r="3">
      <c r="A3" t="inlineStr">
        <is>
          <t>Mining</t>
        </is>
      </c>
      <c r="B3" t="n">
        <v>0</v>
      </c>
      <c r="C3" t="n">
        <v>0</v>
      </c>
      <c r="D3" t="n">
        <v>20</v>
      </c>
      <c r="E3" t="n">
        <v>0</v>
      </c>
      <c r="F3" t="n">
        <v>0</v>
      </c>
    </row>
    <row r="4">
      <c r="A4" t="inlineStr">
        <is>
          <t>Manufacturing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</row>
    <row r="5">
      <c r="A5" t="inlineStr">
        <is>
          <t>Energy</t>
        </is>
      </c>
      <c r="B5" t="n">
        <v>0</v>
      </c>
      <c r="C5" t="n">
        <v>0</v>
      </c>
      <c r="D5" t="n">
        <v>50</v>
      </c>
      <c r="E5" t="n">
        <v>0</v>
      </c>
      <c r="F5" t="n">
        <v>0</v>
      </c>
    </row>
    <row r="6">
      <c r="A6" t="inlineStr">
        <is>
          <t>Water</t>
        </is>
      </c>
      <c r="B6" t="n">
        <v>0</v>
      </c>
      <c r="C6" t="n">
        <v>0</v>
      </c>
      <c r="D6" t="n">
        <v>10</v>
      </c>
      <c r="E6" t="n">
        <v>0</v>
      </c>
      <c r="F6" t="n">
        <v>0</v>
      </c>
    </row>
    <row r="7">
      <c r="A7" t="inlineStr">
        <is>
          <t>Construction</t>
        </is>
      </c>
      <c r="B7" t="n">
        <v>0</v>
      </c>
      <c r="C7" t="n">
        <v>0</v>
      </c>
      <c r="D7" t="n">
        <v>1000</v>
      </c>
      <c r="E7" t="n">
        <v>0</v>
      </c>
      <c r="F7" t="n">
        <v>0</v>
      </c>
    </row>
    <row r="8">
      <c r="A8" t="inlineStr">
        <is>
          <t>Trade</t>
        </is>
      </c>
      <c r="B8" t="n">
        <v>0</v>
      </c>
      <c r="C8" t="n">
        <v>0</v>
      </c>
      <c r="D8" t="n">
        <v>50</v>
      </c>
      <c r="E8" t="n">
        <v>0</v>
      </c>
      <c r="F8" t="n">
        <v>0</v>
      </c>
    </row>
    <row r="9">
      <c r="A9" t="inlineStr">
        <is>
          <t>Transport</t>
        </is>
      </c>
      <c r="B9" t="n">
        <v>0</v>
      </c>
      <c r="C9" t="n">
        <v>0</v>
      </c>
      <c r="D9" t="n">
        <v>100</v>
      </c>
      <c r="E9" t="n">
        <v>0</v>
      </c>
      <c r="F9" t="n">
        <v>0</v>
      </c>
    </row>
    <row r="10">
      <c r="A10" t="inlineStr">
        <is>
          <t>Machinery</t>
        </is>
      </c>
      <c r="B10" t="n">
        <v>0</v>
      </c>
      <c r="C10" t="n">
        <v>0</v>
      </c>
      <c r="D10" t="n">
        <v>800</v>
      </c>
      <c r="E10" t="n">
        <v>0</v>
      </c>
      <c r="F10" t="n">
        <v>0</v>
      </c>
    </row>
    <row r="11">
      <c r="A11" t="inlineStr">
        <is>
          <t>Services</t>
        </is>
      </c>
      <c r="B11" t="n">
        <v>0</v>
      </c>
      <c r="C11" t="n">
        <v>0</v>
      </c>
      <c r="D11" t="n">
        <v>50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2026-01-29T08:22:43Z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