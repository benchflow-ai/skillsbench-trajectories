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" sheetId="1" state="visible" r:id="rId3"/>
    <sheet name="WEO_Data" sheetId="2" state="visible" r:id="rId4"/>
    <sheet name="SUPPLY" sheetId="3" state="visible" r:id="rId5"/>
    <sheet name="USE" sheetId="4" state="visible" r:id="rId6"/>
    <sheet name="SUT Calc" sheetId="5" state="visible" r:id="rId7"/>
    <sheet name="Scenario 2" sheetId="6" state="visible" r:id="rId8"/>
    <sheet name="Scenario 3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<sst xmlns="http://schemas.openxmlformats.org/spreadsheetml/2006/main" count="270" uniqueCount="148">
  <si>
    <t xml:space="preserve">Economic Impact Analysis</t>
  </si>
  <si>
    <t xml:space="preserve">Year</t>
  </si>
  <si>
    <t xml:space="preserve">Real GDP Growth (WEO)</t>
  </si>
  <si>
    <t xml:space="preserve">Project Allocation (%)</t>
  </si>
  <si>
    <t xml:space="preserve">Project Investment</t>
  </si>
  <si>
    <t xml:space="preserve">Investment (USD Billion)</t>
  </si>
  <si>
    <t xml:space="preserve">Investment (GEL Nominal)</t>
  </si>
  <si>
    <t xml:space="preserve">Real Investment Shock</t>
  </si>
  <si>
    <t xml:space="preserve">GDP Deflator Index (WEO)</t>
  </si>
  <si>
    <t xml:space="preserve">Projected Growth</t>
  </si>
  <si>
    <t xml:space="preserve">I-M</t>
  </si>
  <si>
    <t xml:space="preserve">Multiplier</t>
  </si>
  <si>
    <t xml:space="preserve">% of GDP</t>
  </si>
  <si>
    <t xml:space="preserve">Assumptions</t>
  </si>
  <si>
    <t xml:space="preserve">Exchange Rate</t>
  </si>
  <si>
    <t xml:space="preserve">Demand Multiplier</t>
  </si>
  <si>
    <t xml:space="preserve">Import Content Share</t>
  </si>
  <si>
    <t xml:space="preserve">Real GDP Growth (%)</t>
  </si>
  <si>
    <t xml:space="preserve">GDP Deflator (% change)</t>
  </si>
  <si>
    <t xml:space="preserve">GDP Deflator Index</t>
  </si>
  <si>
    <t xml:space="preserve">Product Code</t>
  </si>
  <si>
    <t xml:space="preserve">Product Name</t>
  </si>
  <si>
    <t xml:space="preserve">Total Output</t>
  </si>
  <si>
    <t xml:space="preserve">Imports</t>
  </si>
  <si>
    <t xml:space="preserve">Trade/Transport Margins</t>
  </si>
  <si>
    <t xml:space="preserve">Taxes</t>
  </si>
  <si>
    <t xml:space="preserve">Subsidies</t>
  </si>
  <si>
    <t xml:space="preserve">Total Supply</t>
  </si>
  <si>
    <t xml:space="preserve">P01</t>
  </si>
  <si>
    <t xml:space="preserve">Product 1</t>
  </si>
  <si>
    <t xml:space="preserve">P02</t>
  </si>
  <si>
    <t xml:space="preserve">Product 2</t>
  </si>
  <si>
    <t xml:space="preserve">P03</t>
  </si>
  <si>
    <t xml:space="preserve">Product 3</t>
  </si>
  <si>
    <t xml:space="preserve">P04</t>
  </si>
  <si>
    <t xml:space="preserve">Product 4</t>
  </si>
  <si>
    <t xml:space="preserve">P05</t>
  </si>
  <si>
    <t xml:space="preserve">Product 5</t>
  </si>
  <si>
    <t xml:space="preserve">P06</t>
  </si>
  <si>
    <t xml:space="preserve">Product 6</t>
  </si>
  <si>
    <t xml:space="preserve">P07</t>
  </si>
  <si>
    <t xml:space="preserve">Product 7</t>
  </si>
  <si>
    <t xml:space="preserve">P08</t>
  </si>
  <si>
    <t xml:space="preserve">Product 8</t>
  </si>
  <si>
    <t xml:space="preserve">P09</t>
  </si>
  <si>
    <t xml:space="preserve">Product 9</t>
  </si>
  <si>
    <t xml:space="preserve">P10</t>
  </si>
  <si>
    <t xml:space="preserve">Product 10</t>
  </si>
  <si>
    <t xml:space="preserve">P11</t>
  </si>
  <si>
    <t xml:space="preserve">Product 11</t>
  </si>
  <si>
    <t xml:space="preserve">P12</t>
  </si>
  <si>
    <t xml:space="preserve">Product 12</t>
  </si>
  <si>
    <t xml:space="preserve">P13</t>
  </si>
  <si>
    <t xml:space="preserve">Product 13</t>
  </si>
  <si>
    <t xml:space="preserve">P14</t>
  </si>
  <si>
    <t xml:space="preserve">Product 14</t>
  </si>
  <si>
    <t xml:space="preserve">P15</t>
  </si>
  <si>
    <t xml:space="preserve">Product 15</t>
  </si>
  <si>
    <t xml:space="preserve">P16</t>
  </si>
  <si>
    <t xml:space="preserve">Product 16</t>
  </si>
  <si>
    <t xml:space="preserve">P17</t>
  </si>
  <si>
    <t xml:space="preserve">Product 17</t>
  </si>
  <si>
    <t xml:space="preserve">P18</t>
  </si>
  <si>
    <t xml:space="preserve">Product 18</t>
  </si>
  <si>
    <t xml:space="preserve">P19</t>
  </si>
  <si>
    <t xml:space="preserve">Product 19</t>
  </si>
  <si>
    <t xml:space="preserve">P20</t>
  </si>
  <si>
    <t xml:space="preserve">Product 20</t>
  </si>
  <si>
    <t xml:space="preserve">P21</t>
  </si>
  <si>
    <t xml:space="preserve">Product 21</t>
  </si>
  <si>
    <t xml:space="preserve">P22</t>
  </si>
  <si>
    <t xml:space="preserve">Product 22</t>
  </si>
  <si>
    <t xml:space="preserve">P23</t>
  </si>
  <si>
    <t xml:space="preserve">Product 23</t>
  </si>
  <si>
    <t xml:space="preserve">P24</t>
  </si>
  <si>
    <t xml:space="preserve">Product 24</t>
  </si>
  <si>
    <t xml:space="preserve">P25</t>
  </si>
  <si>
    <t xml:space="preserve">Product 25</t>
  </si>
  <si>
    <t xml:space="preserve">P26</t>
  </si>
  <si>
    <t xml:space="preserve">Product 26</t>
  </si>
  <si>
    <t xml:space="preserve">P27</t>
  </si>
  <si>
    <t xml:space="preserve">Product 27</t>
  </si>
  <si>
    <t xml:space="preserve">P28</t>
  </si>
  <si>
    <t xml:space="preserve">Product 28</t>
  </si>
  <si>
    <t xml:space="preserve">P29</t>
  </si>
  <si>
    <t xml:space="preserve">Product 29</t>
  </si>
  <si>
    <t xml:space="preserve">P30</t>
  </si>
  <si>
    <t xml:space="preserve">Product 30</t>
  </si>
  <si>
    <t xml:space="preserve">P31</t>
  </si>
  <si>
    <t xml:space="preserve">Product 31</t>
  </si>
  <si>
    <t xml:space="preserve">P32</t>
  </si>
  <si>
    <t xml:space="preserve">Product 32</t>
  </si>
  <si>
    <t xml:space="preserve">P33</t>
  </si>
  <si>
    <t xml:space="preserve">Product 33</t>
  </si>
  <si>
    <t xml:space="preserve">P34</t>
  </si>
  <si>
    <t xml:space="preserve">Product 34</t>
  </si>
  <si>
    <t xml:space="preserve">P35</t>
  </si>
  <si>
    <t xml:space="preserve">Product 35</t>
  </si>
  <si>
    <t xml:space="preserve">P36</t>
  </si>
  <si>
    <t xml:space="preserve">Product 36</t>
  </si>
  <si>
    <t xml:space="preserve">P37</t>
  </si>
  <si>
    <t xml:space="preserve">Product 37</t>
  </si>
  <si>
    <t xml:space="preserve">P38</t>
  </si>
  <si>
    <t xml:space="preserve">Product 38</t>
  </si>
  <si>
    <t xml:space="preserve">Ind_1</t>
  </si>
  <si>
    <t xml:space="preserve">Ind_2</t>
  </si>
  <si>
    <t xml:space="preserve">Ind_3</t>
  </si>
  <si>
    <t xml:space="preserve">Ind_4</t>
  </si>
  <si>
    <t xml:space="preserve">Ind_5</t>
  </si>
  <si>
    <t xml:space="preserve">Ind_6</t>
  </si>
  <si>
    <t xml:space="preserve">Ind_7</t>
  </si>
  <si>
    <t xml:space="preserve">Ind_8</t>
  </si>
  <si>
    <t xml:space="preserve">Ind_9</t>
  </si>
  <si>
    <t xml:space="preserve">Ind_10</t>
  </si>
  <si>
    <t xml:space="preserve">Ind_11</t>
  </si>
  <si>
    <t xml:space="preserve">Ind_12</t>
  </si>
  <si>
    <t xml:space="preserve">Ind_13</t>
  </si>
  <si>
    <t xml:space="preserve">Ind_14</t>
  </si>
  <si>
    <t xml:space="preserve">Ind_15</t>
  </si>
  <si>
    <t xml:space="preserve">Ind_16</t>
  </si>
  <si>
    <t xml:space="preserve">Ind_17</t>
  </si>
  <si>
    <t xml:space="preserve">Ind_18</t>
  </si>
  <si>
    <t xml:space="preserve">Ind_19</t>
  </si>
  <si>
    <t xml:space="preserve">Ind_20</t>
  </si>
  <si>
    <t xml:space="preserve">Ind_21</t>
  </si>
  <si>
    <t xml:space="preserve">Ind_22</t>
  </si>
  <si>
    <t xml:space="preserve">Ind_23</t>
  </si>
  <si>
    <t xml:space="preserve">Ind_24</t>
  </si>
  <si>
    <t xml:space="preserve">Ind_25</t>
  </si>
  <si>
    <t xml:space="preserve">Ind_26</t>
  </si>
  <si>
    <t xml:space="preserve">Ind_27</t>
  </si>
  <si>
    <t xml:space="preserve">Ind_28</t>
  </si>
  <si>
    <t xml:space="preserve">Ind_29</t>
  </si>
  <si>
    <t xml:space="preserve">Ind_30</t>
  </si>
  <si>
    <t xml:space="preserve">Ind_31</t>
  </si>
  <si>
    <t xml:space="preserve">Ind_32</t>
  </si>
  <si>
    <t xml:space="preserve">Ind_33</t>
  </si>
  <si>
    <t xml:space="preserve">Ind_34</t>
  </si>
  <si>
    <t xml:space="preserve">Ind_35</t>
  </si>
  <si>
    <t xml:space="preserve">Ind_36</t>
  </si>
  <si>
    <t xml:space="preserve">Ind_37</t>
  </si>
  <si>
    <t xml:space="preserve">Ind_38</t>
  </si>
  <si>
    <t xml:space="preserve">Final Cons.</t>
  </si>
  <si>
    <t xml:space="preserve">Gross Cap. Form.</t>
  </si>
  <si>
    <t xml:space="preserve">Exports</t>
  </si>
  <si>
    <t xml:space="preserve">Total Use</t>
  </si>
  <si>
    <t xml:space="preserve">SUT Calculation</t>
  </si>
  <si>
    <t xml:space="preserve">Estimated Import Content Share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</si>
</sst>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.00000000"/>
    <numFmt numFmtId="168" formatCode="0.000"/>
  </numFmts>
  <fonts count="9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0"/>
      <name val="Arial"/>
      <family val="2"/>
      <charset val="1"/>
    </font>
    <font>
      <b val="true"/>
      <sz val="10"/>
      <color theme="5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FF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8999"/>
        <bgColor rgb="FFCC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Style 1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796875" defaultRowHeight="12" zeroHeight="false" outlineLevelRow="0" outlineLevelCol="0"/>
  <cols>
    <col collapsed="false" customWidth="true" hidden="false" outlineLevel="0" max="3" min="3" style="0" width="18"/>
    <col collapsed="false" customWidth="true" hidden="false" outlineLevel="0" max="5" min="5" style="0" width="11"/>
    <col collapsed="false" customWidth="true" hidden="false" outlineLevel="0" max="7" min="7" style="0" width="11.15"/>
    <col collapsed="false" customWidth="true" hidden="false" outlineLevel="0" max="8" min="8" style="0" width="11.85"/>
    <col collapsed="false" customWidth="true" hidden="false" outlineLevel="0" max="10" min="10" style="1" width="14.53"/>
    <col collapsed="false" customWidth="true" hidden="false" outlineLevel="0" max="11" min="11" style="1" width="17.38"/>
  </cols>
  <sheetData>
    <row r="1" s="2" customFormat="true" ht="36.75" hidden="false" customHeight="true" outlineLevel="0" collapsed="false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J1" s="3" t="s">
        <v>8</v>
      </c>
      <c r="K1" s="3" t="s">
        <v>9</v>
      </c>
    </row>
    <row r="2" customFormat="false" ht="12" hidden="false" customHeight="false" outlineLevel="0" collapsed="false">
      <c r="A2" s="0" t="s">
        <v>1</v>
      </c>
      <c r="B2" s="5"/>
      <c r="C2" s="6"/>
      <c r="D2" s="6"/>
      <c r="E2" s="6"/>
      <c r="F2" s="6"/>
      <c r="G2" s="7" t="s">
        <v>10</v>
      </c>
      <c r="H2" s="8" t="s">
        <v>11</v>
      </c>
      <c r="I2" s="7" t="s">
        <v>12</v>
      </c>
      <c r="J2" s="9"/>
      <c r="K2" s="10"/>
    </row>
    <row r="3" customFormat="false" ht="12" hidden="false" customHeight="false" outlineLevel="0" collapsed="false">
      <c r="A3" s="0" t="n">
        <v>2020</v>
      </c>
      <c r="B3" s="5" t="n">
        <v>2020</v>
      </c>
      <c r="C3" s="11" t="n">
        <f aca="false">WEO_Data!B2</f>
        <v>-6.3</v>
      </c>
      <c r="D3" s="11"/>
      <c r="E3" s="11"/>
      <c r="F3" s="11" t="n">
        <v>0</v>
      </c>
      <c r="G3" s="11" t="n">
        <f aca="false">F3*$D$30</f>
        <v>0</v>
      </c>
      <c r="H3" s="11" t="n">
        <f aca="false">G3/(J3/100)</f>
        <v>0</v>
      </c>
      <c r="I3" s="11"/>
      <c r="J3" s="12" t="n">
        <f aca="false">WEO_Data!D2</f>
        <v>107.3</v>
      </c>
      <c r="K3" s="13"/>
    </row>
    <row r="4" customFormat="false" ht="12" hidden="false" customHeight="false" outlineLevel="0" collapsed="false">
      <c r="A4" s="0" t="n">
        <v>2021</v>
      </c>
      <c r="B4" s="14" t="n">
        <v>2021</v>
      </c>
      <c r="C4" s="15" t="n">
        <f aca="false">WEO_Data!B3</f>
        <v>10.5</v>
      </c>
      <c r="F4" s="0" t="n">
        <v>0</v>
      </c>
      <c r="G4" s="15" t="n">
        <f aca="false">F4*$D$30</f>
        <v>0</v>
      </c>
      <c r="H4" s="15" t="n">
        <f aca="false">G4/(J4/100)</f>
        <v>0</v>
      </c>
      <c r="J4" s="1" t="n">
        <f aca="false">WEO_Data!D3</f>
        <v>118.3519</v>
      </c>
      <c r="K4" s="16"/>
    </row>
    <row r="5" customFormat="false" ht="12" hidden="false" customHeight="false" outlineLevel="0" collapsed="false">
      <c r="A5" s="0" t="n">
        <v>2022</v>
      </c>
      <c r="B5" s="14" t="n">
        <v>2022</v>
      </c>
      <c r="C5" s="15" t="n">
        <f aca="false">WEO_Data!B4</f>
        <v>10.1</v>
      </c>
      <c r="F5" s="0" t="n">
        <v>0</v>
      </c>
      <c r="G5" s="15" t="n">
        <f aca="false">F5*$D$30</f>
        <v>0</v>
      </c>
      <c r="H5" s="15" t="n">
        <f aca="false">G5/(J5/100)</f>
        <v>0</v>
      </c>
      <c r="J5" s="1" t="n">
        <f aca="false">WEO_Data!D4</f>
        <v>128.5301634</v>
      </c>
      <c r="K5" s="16"/>
    </row>
    <row r="6" customFormat="false" ht="12" hidden="false" customHeight="false" outlineLevel="0" collapsed="false">
      <c r="A6" s="0" t="n">
        <v>2023</v>
      </c>
      <c r="B6" s="14" t="n">
        <v>2023</v>
      </c>
      <c r="C6" s="15" t="n">
        <f aca="false">WEO_Data!B5</f>
        <v>7.5</v>
      </c>
      <c r="F6" s="0" t="n">
        <v>0</v>
      </c>
      <c r="G6" s="15" t="n">
        <f aca="false">F6*$D$30</f>
        <v>0</v>
      </c>
      <c r="H6" s="15" t="n">
        <f aca="false">G6/(J6/100)</f>
        <v>0</v>
      </c>
      <c r="J6" s="1" t="n">
        <f aca="false">WEO_Data!D5</f>
        <v>132.2575381386</v>
      </c>
      <c r="K6" s="16"/>
    </row>
    <row r="7" customFormat="false" ht="12" hidden="false" customHeight="false" outlineLevel="0" collapsed="false">
      <c r="A7" s="0" t="n">
        <v>2024</v>
      </c>
      <c r="B7" s="14" t="n">
        <v>2024</v>
      </c>
      <c r="C7" s="15" t="n">
        <f aca="false">WEO_Data!B6</f>
        <v>7.5</v>
      </c>
      <c r="F7" s="0" t="n">
        <v>0</v>
      </c>
      <c r="G7" s="15" t="n">
        <f aca="false">F7*$D$30</f>
        <v>0</v>
      </c>
      <c r="H7" s="15" t="n">
        <f aca="false">G7/(J7/100)</f>
        <v>0</v>
      </c>
      <c r="J7" s="1" t="n">
        <f aca="false">WEO_Data!D6</f>
        <v>141.879274038183</v>
      </c>
      <c r="K7" s="16"/>
    </row>
    <row r="8" customFormat="false" ht="12" hidden="false" customHeight="false" outlineLevel="0" collapsed="false">
      <c r="A8" s="0" t="n">
        <v>2025</v>
      </c>
      <c r="B8" s="14" t="n">
        <v>2025</v>
      </c>
      <c r="C8" s="15" t="n">
        <f aca="false">WEO_Data!B7</f>
        <v>6</v>
      </c>
      <c r="F8" s="0" t="n">
        <v>0</v>
      </c>
      <c r="G8" s="15" t="n">
        <f aca="false">F8*$D$30</f>
        <v>0</v>
      </c>
      <c r="H8" s="15" t="n">
        <f aca="false">G8/(J8/100)</f>
        <v>0</v>
      </c>
      <c r="J8" s="1" t="n">
        <f aca="false">WEO_Data!D7</f>
        <v>152.200991224461</v>
      </c>
      <c r="K8" s="16"/>
    </row>
    <row r="9" customFormat="false" ht="12" hidden="false" customHeight="false" outlineLevel="0" collapsed="false">
      <c r="A9" s="0" t="n">
        <v>2026</v>
      </c>
      <c r="B9" s="14" t="n">
        <v>2026</v>
      </c>
      <c r="C9" s="15" t="n">
        <f aca="false">WEO_Data!B8</f>
        <v>5</v>
      </c>
      <c r="F9" s="0" t="n">
        <v>0.195</v>
      </c>
      <c r="G9" s="15" t="n">
        <f aca="false">F9*$D$30</f>
        <v>0.53547</v>
      </c>
      <c r="H9" s="15" t="n">
        <f aca="false">G9/(J9/100)</f>
        <v>0.327958687909923</v>
      </c>
      <c r="J9" s="17" t="n">
        <f aca="false">WEO_Data!D8</f>
        <v>163.273613336041</v>
      </c>
      <c r="K9" s="16"/>
    </row>
    <row r="10" customFormat="false" ht="12" hidden="false" customHeight="false" outlineLevel="0" collapsed="false">
      <c r="A10" s="0" t="n">
        <v>2027</v>
      </c>
      <c r="B10" s="14" t="n">
        <v>2027</v>
      </c>
      <c r="C10" s="15" t="n">
        <f aca="false">WEO_Data!B9</f>
        <v>5</v>
      </c>
      <c r="F10" s="0" t="n">
        <v>0.52</v>
      </c>
      <c r="G10" s="15" t="n">
        <f aca="false">F10*$D$30</f>
        <v>1.42792</v>
      </c>
      <c r="H10" s="15" t="n">
        <f aca="false">G10/(J10/100)</f>
        <v>0.815247262729553</v>
      </c>
      <c r="J10" s="1" t="n">
        <f aca="false">WEO_Data!D9</f>
        <v>175.151768706238</v>
      </c>
      <c r="K10" s="16"/>
    </row>
    <row r="11" customFormat="false" ht="12" hidden="false" customHeight="false" outlineLevel="0" collapsed="false">
      <c r="A11" s="0" t="n">
        <v>2028</v>
      </c>
      <c r="B11" s="14" t="n">
        <v>2028</v>
      </c>
      <c r="C11" s="15" t="n">
        <f aca="false">WEO_Data!B10</f>
        <v>5</v>
      </c>
      <c r="F11" s="0" t="n">
        <v>0.91</v>
      </c>
      <c r="G11" s="15" t="n">
        <f aca="false">F11*$D$30</f>
        <v>2.49886</v>
      </c>
      <c r="H11" s="15" t="n">
        <f aca="false">G11/(J11/100)</f>
        <v>1.32993028177741</v>
      </c>
      <c r="J11" s="1" t="n">
        <f aca="false">WEO_Data!D10</f>
        <v>187.894059879616</v>
      </c>
      <c r="K11" s="16"/>
    </row>
    <row r="12" customFormat="false" ht="12" hidden="false" customHeight="false" outlineLevel="0" collapsed="false">
      <c r="A12" s="0" t="n">
        <v>2029</v>
      </c>
      <c r="B12" s="14" t="n">
        <v>2029</v>
      </c>
      <c r="C12" s="15" t="n">
        <f aca="false">WEO_Data!B11</f>
        <v>5</v>
      </c>
      <c r="F12" s="0" t="n">
        <v>1.625</v>
      </c>
      <c r="G12" s="15" t="n">
        <f aca="false">F12*$D$30</f>
        <v>4.46225</v>
      </c>
      <c r="H12" s="15" t="n">
        <f aca="false">G12/(J12/100)</f>
        <v>2.21382009151615</v>
      </c>
      <c r="J12" s="1" t="n">
        <f aca="false">WEO_Data!D11</f>
        <v>201.563352735858</v>
      </c>
      <c r="K12" s="16"/>
    </row>
    <row r="13" customFormat="false" ht="12" hidden="false" customHeight="false" outlineLevel="0" collapsed="false">
      <c r="A13" s="0" t="n">
        <v>2030</v>
      </c>
      <c r="B13" s="14" t="n">
        <v>2030</v>
      </c>
      <c r="C13" s="15" t="n">
        <f aca="false">WEO_Data!B12</f>
        <v>5</v>
      </c>
      <c r="F13" s="0" t="n">
        <v>1.625</v>
      </c>
      <c r="G13" s="15" t="n">
        <f aca="false">F13*$D$30</f>
        <v>4.46225</v>
      </c>
      <c r="H13" s="15" t="n">
        <f aca="false">G13/(J13/100)</f>
        <v>2.06368687160676</v>
      </c>
      <c r="J13" s="18" t="n">
        <f aca="false">WEO_Data!D12</f>
        <v>216.227086647392</v>
      </c>
      <c r="K13" s="16"/>
    </row>
    <row r="14" customFormat="false" ht="12" hidden="false" customHeight="false" outlineLevel="0" collapsed="false">
      <c r="A14" s="0" t="n">
        <v>2031</v>
      </c>
      <c r="B14" s="14" t="n">
        <v>2031</v>
      </c>
      <c r="C14" s="15" t="n">
        <f aca="false">WEO_Data!B13</f>
        <v>5</v>
      </c>
      <c r="F14" s="0" t="n">
        <v>0.91</v>
      </c>
      <c r="G14" s="15" t="n">
        <f aca="false">F14*$D$30</f>
        <v>2.49886</v>
      </c>
      <c r="H14" s="15" t="n">
        <f aca="false">G14/(J14/100)</f>
        <v>1.07729167848966</v>
      </c>
      <c r="J14" s="18" t="n">
        <f aca="false">WEO_Data!D13</f>
        <v>231.95760720099</v>
      </c>
      <c r="K14" s="16"/>
    </row>
    <row r="15" customFormat="false" ht="12" hidden="false" customHeight="false" outlineLevel="0" collapsed="false">
      <c r="A15" s="0" t="n">
        <v>2032</v>
      </c>
      <c r="B15" s="14" t="n">
        <v>2032</v>
      </c>
      <c r="C15" s="15" t="n">
        <f aca="false">WEO_Data!B14</f>
        <v>5</v>
      </c>
      <c r="F15" s="0" t="n">
        <v>0.52</v>
      </c>
      <c r="G15" s="15" t="n">
        <f aca="false">F15*$D$30</f>
        <v>1.42792</v>
      </c>
      <c r="H15" s="15" t="n">
        <f aca="false">G15/(J15/100)</f>
        <v>0.573847816221147</v>
      </c>
      <c r="J15" s="18" t="n">
        <f aca="false">WEO_Data!D14</f>
        <v>248.832523124862</v>
      </c>
      <c r="K15" s="16"/>
    </row>
    <row r="16" customFormat="false" ht="12" hidden="false" customHeight="false" outlineLevel="0" collapsed="false">
      <c r="A16" s="0" t="n">
        <v>2033</v>
      </c>
      <c r="B16" s="14" t="n">
        <v>2033</v>
      </c>
      <c r="C16" s="15" t="n">
        <f aca="false">WEO_Data!B15</f>
        <v>5</v>
      </c>
      <c r="F16" s="0" t="n">
        <v>0.195</v>
      </c>
      <c r="G16" s="15" t="n">
        <f aca="false">F16*$D$30</f>
        <v>0.53547</v>
      </c>
      <c r="H16" s="15" t="n">
        <f aca="false">G16/(J16/100)</f>
        <v>0.200599329837269</v>
      </c>
      <c r="J16" s="18" t="n">
        <f aca="false">WEO_Data!D15</f>
        <v>266.935089182196</v>
      </c>
      <c r="K16" s="16"/>
    </row>
    <row r="17" customFormat="false" ht="12" hidden="false" customHeight="false" outlineLevel="0" collapsed="false">
      <c r="A17" s="0" t="n">
        <v>2034</v>
      </c>
      <c r="B17" s="14" t="n">
        <v>2034</v>
      </c>
      <c r="C17" s="15" t="n">
        <f aca="false">WEO_Data!B16</f>
        <v>5</v>
      </c>
      <c r="F17" s="0" t="n">
        <v>0</v>
      </c>
      <c r="G17" s="15" t="n">
        <f aca="false">F17*$D$30</f>
        <v>0</v>
      </c>
      <c r="H17" s="15" t="n">
        <f aca="false">G17/(J17/100)</f>
        <v>0</v>
      </c>
      <c r="J17" s="18" t="n">
        <f aca="false">WEO_Data!D16</f>
        <v>286.354616920201</v>
      </c>
      <c r="K17" s="16"/>
    </row>
    <row r="18" customFormat="false" ht="12" hidden="false" customHeight="false" outlineLevel="0" collapsed="false">
      <c r="A18" s="0" t="n">
        <v>2035</v>
      </c>
      <c r="B18" s="14" t="n">
        <v>2035</v>
      </c>
      <c r="C18" s="15" t="n">
        <f aca="false">WEO_Data!B17</f>
        <v>5</v>
      </c>
      <c r="F18" s="0" t="n">
        <v>0</v>
      </c>
      <c r="G18" s="15" t="n">
        <f aca="false">F18*$D$30</f>
        <v>0</v>
      </c>
      <c r="H18" s="15" t="n">
        <f aca="false">G18/(J18/100)</f>
        <v>0</v>
      </c>
      <c r="J18" s="18" t="n">
        <f aca="false">WEO_Data!D17</f>
        <v>307.186915301145</v>
      </c>
      <c r="K18" s="16"/>
    </row>
    <row r="19" customFormat="false" ht="12" hidden="false" customHeight="false" outlineLevel="0" collapsed="false">
      <c r="A19" s="0" t="n">
        <v>2036</v>
      </c>
      <c r="B19" s="14" t="n">
        <v>2036</v>
      </c>
      <c r="C19" s="15" t="n">
        <f aca="false">WEO_Data!B18</f>
        <v>5</v>
      </c>
      <c r="F19" s="0" t="n">
        <v>0</v>
      </c>
      <c r="G19" s="15" t="n">
        <f aca="false">F19*$D$30</f>
        <v>0</v>
      </c>
      <c r="H19" s="15" t="n">
        <f aca="false">G19/(J19/100)</f>
        <v>0</v>
      </c>
      <c r="J19" s="18" t="n">
        <f aca="false">WEO_Data!D18</f>
        <v>329.534763389304</v>
      </c>
      <c r="K19" s="16"/>
    </row>
    <row r="20" customFormat="false" ht="12" hidden="false" customHeight="false" outlineLevel="0" collapsed="false">
      <c r="A20" s="0" t="n">
        <v>2037</v>
      </c>
      <c r="B20" s="14" t="n">
        <v>2037</v>
      </c>
      <c r="C20" s="15" t="n">
        <f aca="false">WEO_Data!B19</f>
        <v>5</v>
      </c>
      <c r="F20" s="0" t="n">
        <v>0</v>
      </c>
      <c r="G20" s="15" t="n">
        <f aca="false">F20*$D$30</f>
        <v>0</v>
      </c>
      <c r="H20" s="15" t="n">
        <f aca="false">G20/(J20/100)</f>
        <v>0</v>
      </c>
      <c r="J20" s="18" t="n">
        <f aca="false">WEO_Data!D19</f>
        <v>353.508417425875</v>
      </c>
      <c r="K20" s="16"/>
    </row>
    <row r="21" customFormat="false" ht="12" hidden="false" customHeight="false" outlineLevel="0" collapsed="false">
      <c r="A21" s="0" t="n">
        <v>2038</v>
      </c>
      <c r="B21" s="14" t="n">
        <v>2038</v>
      </c>
      <c r="C21" s="15" t="n">
        <f aca="false">WEO_Data!B20</f>
        <v>5</v>
      </c>
      <c r="F21" s="0" t="n">
        <v>0</v>
      </c>
      <c r="G21" s="15" t="n">
        <f aca="false">F21*$D$30</f>
        <v>0</v>
      </c>
      <c r="H21" s="15" t="n">
        <f aca="false">G21/(J21/100)</f>
        <v>0</v>
      </c>
      <c r="J21" s="18" t="n">
        <f aca="false">WEO_Data!D20</f>
        <v>379.226154793608</v>
      </c>
      <c r="K21" s="16"/>
    </row>
    <row r="22" customFormat="false" ht="12" hidden="false" customHeight="false" outlineLevel="0" collapsed="false">
      <c r="A22" s="0" t="n">
        <v>2039</v>
      </c>
      <c r="B22" s="14" t="n">
        <v>2039</v>
      </c>
      <c r="C22" s="15" t="n">
        <f aca="false">WEO_Data!B21</f>
        <v>5</v>
      </c>
      <c r="F22" s="0" t="n">
        <v>0</v>
      </c>
      <c r="G22" s="15" t="n">
        <f aca="false">F22*$D$30</f>
        <v>0</v>
      </c>
      <c r="H22" s="15" t="n">
        <f aca="false">G22/(J22/100)</f>
        <v>0</v>
      </c>
      <c r="J22" s="18" t="n">
        <f aca="false">WEO_Data!D21</f>
        <v>406.814857554843</v>
      </c>
      <c r="K22" s="16"/>
    </row>
    <row r="23" customFormat="false" ht="12" hidden="false" customHeight="false" outlineLevel="0" collapsed="false">
      <c r="A23" s="0" t="n">
        <v>2040</v>
      </c>
      <c r="B23" s="14" t="n">
        <v>2040</v>
      </c>
      <c r="C23" s="15" t="n">
        <f aca="false">WEO_Data!B22</f>
        <v>5</v>
      </c>
      <c r="F23" s="0" t="n">
        <v>0</v>
      </c>
      <c r="G23" s="15" t="n">
        <f aca="false">F23*$D$30</f>
        <v>0</v>
      </c>
      <c r="H23" s="15" t="n">
        <f aca="false">G23/(J23/100)</f>
        <v>0</v>
      </c>
      <c r="J23" s="18" t="n">
        <f aca="false">WEO_Data!D22</f>
        <v>436.410638441958</v>
      </c>
      <c r="K23" s="16"/>
    </row>
    <row r="24" customFormat="false" ht="12" hidden="false" customHeight="false" outlineLevel="0" collapsed="false">
      <c r="A24" s="0" t="n">
        <v>2041</v>
      </c>
      <c r="B24" s="14" t="n">
        <v>2041</v>
      </c>
      <c r="C24" s="15" t="n">
        <f aca="false">WEO_Data!B23</f>
        <v>5</v>
      </c>
      <c r="F24" s="0" t="n">
        <v>0</v>
      </c>
      <c r="G24" s="15" t="n">
        <f aca="false">F24*$D$30</f>
        <v>0</v>
      </c>
      <c r="H24" s="15" t="n">
        <f aca="false">G24/(J24/100)</f>
        <v>0</v>
      </c>
      <c r="J24" s="18" t="n">
        <f aca="false">WEO_Data!D23</f>
        <v>468.15951238861</v>
      </c>
      <c r="K24" s="16"/>
    </row>
    <row r="25" customFormat="false" ht="12" hidden="false" customHeight="false" outlineLevel="0" collapsed="false">
      <c r="A25" s="0" t="n">
        <v>2042</v>
      </c>
      <c r="B25" s="19" t="n">
        <v>2042</v>
      </c>
      <c r="C25" s="20" t="n">
        <f aca="false">WEO_Data!B24</f>
        <v>5</v>
      </c>
      <c r="D25" s="20"/>
      <c r="E25" s="20"/>
      <c r="F25" s="20" t="n">
        <v>0</v>
      </c>
      <c r="G25" s="20" t="n">
        <f aca="false">F25*$D$30</f>
        <v>0</v>
      </c>
      <c r="H25" s="20" t="n">
        <f aca="false">G25/(J25/100)</f>
        <v>0</v>
      </c>
      <c r="I25" s="20"/>
      <c r="J25" s="21" t="n">
        <f aca="false">WEO_Data!D24</f>
        <v>502.218116914882</v>
      </c>
      <c r="K25" s="22"/>
    </row>
    <row r="26" customFormat="false" ht="12" hidden="false" customHeight="false" outlineLevel="0" collapsed="false">
      <c r="A26" s="0" t="n">
        <v>2043</v>
      </c>
      <c r="C26" s="0" t="n">
        <f aca="false">WEO_Data!B25</f>
        <v>5</v>
      </c>
      <c r="F26" s="0" t="n">
        <v>0</v>
      </c>
      <c r="G26" s="0" t="n">
        <f aca="false">F26*$D$30</f>
        <v>0</v>
      </c>
      <c r="H26" s="0" t="n">
        <f aca="false">G26/(J26/100)</f>
        <v>0</v>
      </c>
      <c r="J26" s="1" t="n">
        <f aca="false">WEO_Data!D25</f>
        <v>538.754484920439</v>
      </c>
    </row>
    <row r="28" customFormat="false" ht="12" hidden="false" customHeight="false" outlineLevel="0" collapsed="false">
      <c r="C28" s="23" t="s">
        <v>13</v>
      </c>
      <c r="D28" s="24"/>
      <c r="E28" s="25"/>
      <c r="F28" s="25"/>
      <c r="G28" s="25"/>
      <c r="H28" s="25"/>
      <c r="I28" s="25"/>
      <c r="J28" s="26"/>
      <c r="K28" s="27"/>
    </row>
    <row r="29" customFormat="false" ht="12" hidden="false" customHeight="false" outlineLevel="0" collapsed="false">
      <c r="C29" s="14"/>
      <c r="K29" s="16"/>
    </row>
    <row r="30" customFormat="false" ht="12" hidden="false" customHeight="false" outlineLevel="0" collapsed="false">
      <c r="C30" s="14" t="s">
        <v>13</v>
      </c>
      <c r="D30" s="0" t="n">
        <v>2.746</v>
      </c>
      <c r="K30" s="16"/>
    </row>
    <row r="31" customFormat="false" ht="12" hidden="false" customHeight="false" outlineLevel="0" collapsed="false">
      <c r="C31" s="14" t="s">
        <v>14</v>
      </c>
      <c r="D31" s="28" t="n">
        <v>0.8</v>
      </c>
      <c r="K31" s="16"/>
    </row>
    <row r="32" customFormat="false" ht="12" hidden="false" customHeight="false" outlineLevel="0" collapsed="false">
      <c r="C32" s="14" t="s">
        <v>15</v>
      </c>
      <c r="D32" s="29" t="n">
        <f aca="false">'SUT Calc'!C46</f>
        <v>0.206896551724138</v>
      </c>
      <c r="K32" s="16"/>
    </row>
    <row r="33" customFormat="false" ht="12" hidden="false" customHeight="false" outlineLevel="0" collapsed="false">
      <c r="C33" s="19" t="s">
        <v>16</v>
      </c>
      <c r="D33" s="20"/>
      <c r="E33" s="20"/>
      <c r="F33" s="20"/>
      <c r="G33" s="20"/>
      <c r="H33" s="20"/>
      <c r="I33" s="20"/>
      <c r="J33" s="30"/>
      <c r="K33" s="2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17</v>
      </c>
      <c r="C1" s="0" t="s">
        <v>18</v>
      </c>
      <c r="D1" s="0" t="s">
        <v>19</v>
      </c>
    </row>
    <row r="2" customFormat="false" ht="15" hidden="false" customHeight="false" outlineLevel="0" collapsed="false">
      <c r="A2" s="0" t="n">
        <v>2020</v>
      </c>
      <c r="B2" s="0" t="n">
        <v>-6.3</v>
      </c>
      <c r="C2" s="0" t="n">
        <v>7.3</v>
      </c>
      <c r="D2" s="0" t="n">
        <v>107.3</v>
      </c>
    </row>
    <row r="3" customFormat="false" ht="15" hidden="false" customHeight="false" outlineLevel="0" collapsed="false">
      <c r="A3" s="0" t="n">
        <v>2021</v>
      </c>
      <c r="B3" s="0" t="n">
        <v>10.5</v>
      </c>
      <c r="C3" s="0" t="n">
        <v>10.3</v>
      </c>
      <c r="D3" s="0" t="n">
        <v>118.3519</v>
      </c>
    </row>
    <row r="4" customFormat="false" ht="15" hidden="false" customHeight="false" outlineLevel="0" collapsed="false">
      <c r="A4" s="0" t="n">
        <v>2022</v>
      </c>
      <c r="B4" s="0" t="n">
        <v>10.1</v>
      </c>
      <c r="C4" s="0" t="n">
        <v>8.6</v>
      </c>
      <c r="D4" s="0" t="n">
        <v>128.5301634</v>
      </c>
    </row>
    <row r="5" customFormat="false" ht="15" hidden="false" customHeight="false" outlineLevel="0" collapsed="false">
      <c r="A5" s="0" t="n">
        <v>2023</v>
      </c>
      <c r="B5" s="0" t="n">
        <v>7.5</v>
      </c>
      <c r="C5" s="0" t="n">
        <v>2.9</v>
      </c>
      <c r="D5" s="0" t="n">
        <v>132.2575381386</v>
      </c>
    </row>
    <row r="6" customFormat="false" ht="15" hidden="false" customHeight="false" outlineLevel="0" collapsed="false">
      <c r="A6" s="0" t="n">
        <v>2024</v>
      </c>
      <c r="B6" s="0" t="n">
        <v>7.5</v>
      </c>
      <c r="C6" s="0" t="n">
        <v>7.275</v>
      </c>
      <c r="D6" s="0" t="n">
        <v>141.879274038183</v>
      </c>
    </row>
    <row r="7" customFormat="false" ht="15" hidden="false" customHeight="false" outlineLevel="0" collapsed="false">
      <c r="A7" s="0" t="n">
        <v>2025</v>
      </c>
      <c r="B7" s="0" t="n">
        <v>6</v>
      </c>
      <c r="C7" s="0" t="n">
        <v>7.275</v>
      </c>
      <c r="D7" s="0" t="n">
        <v>152.200991224461</v>
      </c>
    </row>
    <row r="8" customFormat="false" ht="15" hidden="false" customHeight="false" outlineLevel="0" collapsed="false">
      <c r="A8" s="0" t="n">
        <v>2026</v>
      </c>
      <c r="B8" s="0" t="n">
        <v>5</v>
      </c>
      <c r="C8" s="0" t="n">
        <v>7.275</v>
      </c>
      <c r="D8" s="0" t="n">
        <v>163.273613336041</v>
      </c>
    </row>
    <row r="9" customFormat="false" ht="15" hidden="false" customHeight="false" outlineLevel="0" collapsed="false">
      <c r="A9" s="0" t="n">
        <v>2027</v>
      </c>
      <c r="B9" s="0" t="n">
        <v>5</v>
      </c>
      <c r="C9" s="0" t="n">
        <v>7.275</v>
      </c>
      <c r="D9" s="0" t="n">
        <v>175.151768706238</v>
      </c>
    </row>
    <row r="10" customFormat="false" ht="15" hidden="false" customHeight="false" outlineLevel="0" collapsed="false">
      <c r="A10" s="0" t="n">
        <v>2028</v>
      </c>
      <c r="B10" s="0" t="n">
        <v>5</v>
      </c>
      <c r="C10" s="0" t="n">
        <v>7.275</v>
      </c>
      <c r="D10" s="0" t="n">
        <v>187.894059879616</v>
      </c>
    </row>
    <row r="11" customFormat="false" ht="15" hidden="false" customHeight="false" outlineLevel="0" collapsed="false">
      <c r="A11" s="0" t="n">
        <v>2029</v>
      </c>
      <c r="B11" s="0" t="n">
        <v>5</v>
      </c>
      <c r="C11" s="0" t="n">
        <v>7.275</v>
      </c>
      <c r="D11" s="0" t="n">
        <v>201.563352735858</v>
      </c>
    </row>
    <row r="12" customFormat="false" ht="15" hidden="false" customHeight="false" outlineLevel="0" collapsed="false">
      <c r="A12" s="0" t="n">
        <v>2030</v>
      </c>
      <c r="B12" s="0" t="n">
        <v>5</v>
      </c>
      <c r="C12" s="0" t="n">
        <v>7.275</v>
      </c>
      <c r="D12" s="0" t="n">
        <v>216.227086647392</v>
      </c>
    </row>
    <row r="13" customFormat="false" ht="15" hidden="false" customHeight="false" outlineLevel="0" collapsed="false">
      <c r="A13" s="0" t="n">
        <v>2031</v>
      </c>
      <c r="B13" s="0" t="n">
        <v>5</v>
      </c>
      <c r="C13" s="0" t="n">
        <v>7.275</v>
      </c>
      <c r="D13" s="0" t="n">
        <v>231.95760720099</v>
      </c>
    </row>
    <row r="14" customFormat="false" ht="15" hidden="false" customHeight="false" outlineLevel="0" collapsed="false">
      <c r="A14" s="0" t="n">
        <v>2032</v>
      </c>
      <c r="B14" s="0" t="n">
        <v>5</v>
      </c>
      <c r="C14" s="0" t="n">
        <v>7.275</v>
      </c>
      <c r="D14" s="0" t="n">
        <v>248.832523124862</v>
      </c>
    </row>
    <row r="15" customFormat="false" ht="15" hidden="false" customHeight="false" outlineLevel="0" collapsed="false">
      <c r="A15" s="0" t="n">
        <v>2033</v>
      </c>
      <c r="B15" s="0" t="n">
        <v>5</v>
      </c>
      <c r="C15" s="0" t="n">
        <v>7.275</v>
      </c>
      <c r="D15" s="0" t="n">
        <v>266.935089182196</v>
      </c>
    </row>
    <row r="16" customFormat="false" ht="15" hidden="false" customHeight="false" outlineLevel="0" collapsed="false">
      <c r="A16" s="0" t="n">
        <v>2034</v>
      </c>
      <c r="B16" s="0" t="n">
        <v>5</v>
      </c>
      <c r="C16" s="0" t="n">
        <v>7.275</v>
      </c>
      <c r="D16" s="0" t="n">
        <v>286.354616920201</v>
      </c>
    </row>
    <row r="17" customFormat="false" ht="15" hidden="false" customHeight="false" outlineLevel="0" collapsed="false">
      <c r="A17" s="0" t="n">
        <v>2035</v>
      </c>
      <c r="B17" s="0" t="n">
        <v>5</v>
      </c>
      <c r="C17" s="0" t="n">
        <v>7.275</v>
      </c>
      <c r="D17" s="0" t="n">
        <v>307.186915301145</v>
      </c>
    </row>
    <row r="18" customFormat="false" ht="15" hidden="false" customHeight="false" outlineLevel="0" collapsed="false">
      <c r="A18" s="0" t="n">
        <v>2036</v>
      </c>
      <c r="B18" s="0" t="n">
        <v>5</v>
      </c>
      <c r="C18" s="0" t="n">
        <v>7.275</v>
      </c>
      <c r="D18" s="0" t="n">
        <v>329.534763389304</v>
      </c>
    </row>
    <row r="19" customFormat="false" ht="15" hidden="false" customHeight="false" outlineLevel="0" collapsed="false">
      <c r="A19" s="0" t="n">
        <v>2037</v>
      </c>
      <c r="B19" s="0" t="n">
        <v>5</v>
      </c>
      <c r="C19" s="0" t="n">
        <v>7.275</v>
      </c>
      <c r="D19" s="0" t="n">
        <v>353.508417425875</v>
      </c>
    </row>
    <row r="20" customFormat="false" ht="15" hidden="false" customHeight="false" outlineLevel="0" collapsed="false">
      <c r="A20" s="0" t="n">
        <v>2038</v>
      </c>
      <c r="B20" s="0" t="n">
        <v>5</v>
      </c>
      <c r="C20" s="0" t="n">
        <v>7.275</v>
      </c>
      <c r="D20" s="0" t="n">
        <v>379.226154793608</v>
      </c>
    </row>
    <row r="21" customFormat="false" ht="15" hidden="false" customHeight="false" outlineLevel="0" collapsed="false">
      <c r="A21" s="0" t="n">
        <v>2039</v>
      </c>
      <c r="B21" s="0" t="n">
        <v>5</v>
      </c>
      <c r="C21" s="0" t="n">
        <v>7.275</v>
      </c>
      <c r="D21" s="0" t="n">
        <v>406.814857554843</v>
      </c>
    </row>
    <row r="22" customFormat="false" ht="15" hidden="false" customHeight="false" outlineLevel="0" collapsed="false">
      <c r="A22" s="0" t="n">
        <v>2040</v>
      </c>
      <c r="B22" s="0" t="n">
        <v>5</v>
      </c>
      <c r="C22" s="0" t="n">
        <v>7.275</v>
      </c>
      <c r="D22" s="0" t="n">
        <v>436.410638441958</v>
      </c>
    </row>
    <row r="23" customFormat="false" ht="15" hidden="false" customHeight="false" outlineLevel="0" collapsed="false">
      <c r="A23" s="0" t="n">
        <v>2041</v>
      </c>
      <c r="B23" s="0" t="n">
        <v>5</v>
      </c>
      <c r="C23" s="0" t="n">
        <v>7.275</v>
      </c>
      <c r="D23" s="0" t="n">
        <v>468.15951238861</v>
      </c>
    </row>
    <row r="24" customFormat="false" ht="15" hidden="false" customHeight="false" outlineLevel="0" collapsed="false">
      <c r="A24" s="0" t="n">
        <v>2042</v>
      </c>
      <c r="B24" s="0" t="n">
        <v>5</v>
      </c>
      <c r="C24" s="0" t="n">
        <v>7.275</v>
      </c>
      <c r="D24" s="0" t="n">
        <v>502.218116914882</v>
      </c>
    </row>
    <row r="25" customFormat="false" ht="15" hidden="false" customHeight="false" outlineLevel="0" collapsed="false">
      <c r="A25" s="0" t="n">
        <v>2043</v>
      </c>
      <c r="B25" s="0" t="n">
        <v>5</v>
      </c>
      <c r="C25" s="0" t="n">
        <v>7.275</v>
      </c>
      <c r="D25" s="0" t="n">
        <v>538.754484920439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</row>
    <row r="2" customFormat="false" ht="15" hidden="false" customHeight="false" outlineLevel="0" collapsed="false">
      <c r="A2" s="0" t="s">
        <v>28</v>
      </c>
      <c r="B2" s="0" t="s">
        <v>29</v>
      </c>
      <c r="C2" s="0" t="n">
        <v>100</v>
      </c>
      <c r="D2" s="0" t="n">
        <v>30</v>
      </c>
      <c r="E2" s="0" t="n">
        <v>10</v>
      </c>
      <c r="F2" s="0" t="n">
        <v>5</v>
      </c>
      <c r="G2" s="0" t="n">
        <v>0</v>
      </c>
      <c r="H2" s="0" t="n">
        <v>145</v>
      </c>
    </row>
    <row r="3" customFormat="false" ht="15" hidden="false" customHeight="false" outlineLevel="0" collapsed="false">
      <c r="A3" s="0" t="s">
        <v>30</v>
      </c>
      <c r="B3" s="0" t="s">
        <v>31</v>
      </c>
      <c r="C3" s="0" t="n">
        <v>100</v>
      </c>
      <c r="D3" s="0" t="n">
        <v>30</v>
      </c>
      <c r="E3" s="0" t="n">
        <v>10</v>
      </c>
      <c r="F3" s="0" t="n">
        <v>5</v>
      </c>
      <c r="G3" s="0" t="n">
        <v>0</v>
      </c>
      <c r="H3" s="0" t="n">
        <v>145</v>
      </c>
    </row>
    <row r="4" customFormat="false" ht="15" hidden="false" customHeight="false" outlineLevel="0" collapsed="false">
      <c r="A4" s="0" t="s">
        <v>32</v>
      </c>
      <c r="B4" s="0" t="s">
        <v>33</v>
      </c>
      <c r="C4" s="0" t="n">
        <v>100</v>
      </c>
      <c r="D4" s="0" t="n">
        <v>30</v>
      </c>
      <c r="E4" s="0" t="n">
        <v>10</v>
      </c>
      <c r="F4" s="0" t="n">
        <v>5</v>
      </c>
      <c r="G4" s="0" t="n">
        <v>0</v>
      </c>
      <c r="H4" s="0" t="n">
        <v>145</v>
      </c>
    </row>
    <row r="5" customFormat="false" ht="15" hidden="false" customHeight="false" outlineLevel="0" collapsed="false">
      <c r="A5" s="0" t="s">
        <v>34</v>
      </c>
      <c r="B5" s="0" t="s">
        <v>35</v>
      </c>
      <c r="C5" s="0" t="n">
        <v>100</v>
      </c>
      <c r="D5" s="0" t="n">
        <v>30</v>
      </c>
      <c r="E5" s="0" t="n">
        <v>10</v>
      </c>
      <c r="F5" s="0" t="n">
        <v>5</v>
      </c>
      <c r="G5" s="0" t="n">
        <v>0</v>
      </c>
      <c r="H5" s="0" t="n">
        <v>145</v>
      </c>
    </row>
    <row r="6" customFormat="false" ht="15" hidden="false" customHeight="false" outlineLevel="0" collapsed="false">
      <c r="A6" s="0" t="s">
        <v>36</v>
      </c>
      <c r="B6" s="0" t="s">
        <v>37</v>
      </c>
      <c r="C6" s="0" t="n">
        <v>100</v>
      </c>
      <c r="D6" s="0" t="n">
        <v>30</v>
      </c>
      <c r="E6" s="0" t="n">
        <v>10</v>
      </c>
      <c r="F6" s="0" t="n">
        <v>5</v>
      </c>
      <c r="G6" s="0" t="n">
        <v>0</v>
      </c>
      <c r="H6" s="0" t="n">
        <v>145</v>
      </c>
    </row>
    <row r="7" customFormat="false" ht="15" hidden="false" customHeight="false" outlineLevel="0" collapsed="false">
      <c r="A7" s="0" t="s">
        <v>38</v>
      </c>
      <c r="B7" s="0" t="s">
        <v>39</v>
      </c>
      <c r="C7" s="0" t="n">
        <v>100</v>
      </c>
      <c r="D7" s="0" t="n">
        <v>30</v>
      </c>
      <c r="E7" s="0" t="n">
        <v>10</v>
      </c>
      <c r="F7" s="0" t="n">
        <v>5</v>
      </c>
      <c r="G7" s="0" t="n">
        <v>0</v>
      </c>
      <c r="H7" s="0" t="n">
        <v>145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n">
        <v>100</v>
      </c>
      <c r="D8" s="0" t="n">
        <v>30</v>
      </c>
      <c r="E8" s="0" t="n">
        <v>10</v>
      </c>
      <c r="F8" s="0" t="n">
        <v>5</v>
      </c>
      <c r="G8" s="0" t="n">
        <v>0</v>
      </c>
      <c r="H8" s="0" t="n">
        <v>145</v>
      </c>
    </row>
    <row r="9" customFormat="false" ht="15" hidden="false" customHeight="false" outlineLevel="0" collapsed="false">
      <c r="A9" s="0" t="s">
        <v>42</v>
      </c>
      <c r="B9" s="0" t="s">
        <v>43</v>
      </c>
      <c r="C9" s="0" t="n">
        <v>100</v>
      </c>
      <c r="D9" s="0" t="n">
        <v>30</v>
      </c>
      <c r="E9" s="0" t="n">
        <v>10</v>
      </c>
      <c r="F9" s="0" t="n">
        <v>5</v>
      </c>
      <c r="G9" s="0" t="n">
        <v>0</v>
      </c>
      <c r="H9" s="0" t="n">
        <v>145</v>
      </c>
    </row>
    <row r="10" customFormat="false" ht="15" hidden="false" customHeight="false" outlineLevel="0" collapsed="false">
      <c r="A10" s="0" t="s">
        <v>44</v>
      </c>
      <c r="B10" s="0" t="s">
        <v>45</v>
      </c>
      <c r="C10" s="0" t="n">
        <v>100</v>
      </c>
      <c r="D10" s="0" t="n">
        <v>30</v>
      </c>
      <c r="E10" s="0" t="n">
        <v>10</v>
      </c>
      <c r="F10" s="0" t="n">
        <v>5</v>
      </c>
      <c r="G10" s="0" t="n">
        <v>0</v>
      </c>
      <c r="H10" s="0" t="n">
        <v>145</v>
      </c>
    </row>
    <row r="11" customFormat="false" ht="15" hidden="false" customHeight="false" outlineLevel="0" collapsed="false">
      <c r="A11" s="0" t="s">
        <v>46</v>
      </c>
      <c r="B11" s="0" t="s">
        <v>47</v>
      </c>
      <c r="C11" s="0" t="n">
        <v>100</v>
      </c>
      <c r="D11" s="0" t="n">
        <v>30</v>
      </c>
      <c r="E11" s="0" t="n">
        <v>10</v>
      </c>
      <c r="F11" s="0" t="n">
        <v>5</v>
      </c>
      <c r="G11" s="0" t="n">
        <v>0</v>
      </c>
      <c r="H11" s="0" t="n">
        <v>145</v>
      </c>
    </row>
    <row r="12" customFormat="false" ht="15" hidden="false" customHeight="false" outlineLevel="0" collapsed="false">
      <c r="A12" s="0" t="s">
        <v>48</v>
      </c>
      <c r="B12" s="0" t="s">
        <v>49</v>
      </c>
      <c r="C12" s="0" t="n">
        <v>100</v>
      </c>
      <c r="D12" s="0" t="n">
        <v>30</v>
      </c>
      <c r="E12" s="0" t="n">
        <v>10</v>
      </c>
      <c r="F12" s="0" t="n">
        <v>5</v>
      </c>
      <c r="G12" s="0" t="n">
        <v>0</v>
      </c>
      <c r="H12" s="0" t="n">
        <v>145</v>
      </c>
    </row>
    <row r="13" customFormat="false" ht="15" hidden="false" customHeight="false" outlineLevel="0" collapsed="false">
      <c r="A13" s="0" t="s">
        <v>50</v>
      </c>
      <c r="B13" s="0" t="s">
        <v>51</v>
      </c>
      <c r="C13" s="0" t="n">
        <v>100</v>
      </c>
      <c r="D13" s="0" t="n">
        <v>30</v>
      </c>
      <c r="E13" s="0" t="n">
        <v>10</v>
      </c>
      <c r="F13" s="0" t="n">
        <v>5</v>
      </c>
      <c r="G13" s="0" t="n">
        <v>0</v>
      </c>
      <c r="H13" s="0" t="n">
        <v>145</v>
      </c>
    </row>
    <row r="14" customFormat="false" ht="15" hidden="false" customHeight="false" outlineLevel="0" collapsed="false">
      <c r="A14" s="0" t="s">
        <v>52</v>
      </c>
      <c r="B14" s="0" t="s">
        <v>53</v>
      </c>
      <c r="C14" s="0" t="n">
        <v>100</v>
      </c>
      <c r="D14" s="0" t="n">
        <v>30</v>
      </c>
      <c r="E14" s="0" t="n">
        <v>10</v>
      </c>
      <c r="F14" s="0" t="n">
        <v>5</v>
      </c>
      <c r="G14" s="0" t="n">
        <v>0</v>
      </c>
      <c r="H14" s="0" t="n">
        <v>145</v>
      </c>
    </row>
    <row r="15" customFormat="false" ht="15" hidden="false" customHeight="false" outlineLevel="0" collapsed="false">
      <c r="A15" s="0" t="s">
        <v>54</v>
      </c>
      <c r="B15" s="0" t="s">
        <v>55</v>
      </c>
      <c r="C15" s="0" t="n">
        <v>100</v>
      </c>
      <c r="D15" s="0" t="n">
        <v>30</v>
      </c>
      <c r="E15" s="0" t="n">
        <v>10</v>
      </c>
      <c r="F15" s="0" t="n">
        <v>5</v>
      </c>
      <c r="G15" s="0" t="n">
        <v>0</v>
      </c>
      <c r="H15" s="0" t="n">
        <v>145</v>
      </c>
    </row>
    <row r="16" customFormat="false" ht="15" hidden="false" customHeight="false" outlineLevel="0" collapsed="false">
      <c r="A16" s="0" t="s">
        <v>56</v>
      </c>
      <c r="B16" s="0" t="s">
        <v>57</v>
      </c>
      <c r="C16" s="0" t="n">
        <v>100</v>
      </c>
      <c r="D16" s="0" t="n">
        <v>30</v>
      </c>
      <c r="E16" s="0" t="n">
        <v>10</v>
      </c>
      <c r="F16" s="0" t="n">
        <v>5</v>
      </c>
      <c r="G16" s="0" t="n">
        <v>0</v>
      </c>
      <c r="H16" s="0" t="n">
        <v>145</v>
      </c>
    </row>
    <row r="17" customFormat="false" ht="15" hidden="false" customHeight="false" outlineLevel="0" collapsed="false">
      <c r="A17" s="0" t="s">
        <v>58</v>
      </c>
      <c r="B17" s="0" t="s">
        <v>59</v>
      </c>
      <c r="C17" s="0" t="n">
        <v>100</v>
      </c>
      <c r="D17" s="0" t="n">
        <v>30</v>
      </c>
      <c r="E17" s="0" t="n">
        <v>10</v>
      </c>
      <c r="F17" s="0" t="n">
        <v>5</v>
      </c>
      <c r="G17" s="0" t="n">
        <v>0</v>
      </c>
      <c r="H17" s="0" t="n">
        <v>145</v>
      </c>
    </row>
    <row r="18" customFormat="false" ht="15" hidden="false" customHeight="false" outlineLevel="0" collapsed="false">
      <c r="A18" s="0" t="s">
        <v>60</v>
      </c>
      <c r="B18" s="0" t="s">
        <v>61</v>
      </c>
      <c r="C18" s="0" t="n">
        <v>100</v>
      </c>
      <c r="D18" s="0" t="n">
        <v>30</v>
      </c>
      <c r="E18" s="0" t="n">
        <v>10</v>
      </c>
      <c r="F18" s="0" t="n">
        <v>5</v>
      </c>
      <c r="G18" s="0" t="n">
        <v>0</v>
      </c>
      <c r="H18" s="0" t="n">
        <v>145</v>
      </c>
    </row>
    <row r="19" customFormat="false" ht="15" hidden="false" customHeight="false" outlineLevel="0" collapsed="false">
      <c r="A19" s="0" t="s">
        <v>62</v>
      </c>
      <c r="B19" s="0" t="s">
        <v>63</v>
      </c>
      <c r="C19" s="0" t="n">
        <v>100</v>
      </c>
      <c r="D19" s="0" t="n">
        <v>30</v>
      </c>
      <c r="E19" s="0" t="n">
        <v>10</v>
      </c>
      <c r="F19" s="0" t="n">
        <v>5</v>
      </c>
      <c r="G19" s="0" t="n">
        <v>0</v>
      </c>
      <c r="H19" s="0" t="n">
        <v>145</v>
      </c>
    </row>
    <row r="20" customFormat="false" ht="15" hidden="false" customHeight="false" outlineLevel="0" collapsed="false">
      <c r="A20" s="0" t="s">
        <v>64</v>
      </c>
      <c r="B20" s="0" t="s">
        <v>65</v>
      </c>
      <c r="C20" s="0" t="n">
        <v>100</v>
      </c>
      <c r="D20" s="0" t="n">
        <v>30</v>
      </c>
      <c r="E20" s="0" t="n">
        <v>10</v>
      </c>
      <c r="F20" s="0" t="n">
        <v>5</v>
      </c>
      <c r="G20" s="0" t="n">
        <v>0</v>
      </c>
      <c r="H20" s="0" t="n">
        <v>145</v>
      </c>
    </row>
    <row r="21" customFormat="false" ht="15" hidden="false" customHeight="false" outlineLevel="0" collapsed="false">
      <c r="A21" s="0" t="s">
        <v>66</v>
      </c>
      <c r="B21" s="0" t="s">
        <v>67</v>
      </c>
      <c r="C21" s="0" t="n">
        <v>100</v>
      </c>
      <c r="D21" s="0" t="n">
        <v>30</v>
      </c>
      <c r="E21" s="0" t="n">
        <v>10</v>
      </c>
      <c r="F21" s="0" t="n">
        <v>5</v>
      </c>
      <c r="G21" s="0" t="n">
        <v>0</v>
      </c>
      <c r="H21" s="0" t="n">
        <v>145</v>
      </c>
    </row>
    <row r="22" customFormat="false" ht="15" hidden="false" customHeight="false" outlineLevel="0" collapsed="false">
      <c r="A22" s="0" t="s">
        <v>68</v>
      </c>
      <c r="B22" s="0" t="s">
        <v>69</v>
      </c>
      <c r="C22" s="0" t="n">
        <v>100</v>
      </c>
      <c r="D22" s="0" t="n">
        <v>30</v>
      </c>
      <c r="E22" s="0" t="n">
        <v>10</v>
      </c>
      <c r="F22" s="0" t="n">
        <v>5</v>
      </c>
      <c r="G22" s="0" t="n">
        <v>0</v>
      </c>
      <c r="H22" s="0" t="n">
        <v>145</v>
      </c>
    </row>
    <row r="23" customFormat="false" ht="15" hidden="false" customHeight="false" outlineLevel="0" collapsed="false">
      <c r="A23" s="0" t="s">
        <v>70</v>
      </c>
      <c r="B23" s="0" t="s">
        <v>71</v>
      </c>
      <c r="C23" s="0" t="n">
        <v>100</v>
      </c>
      <c r="D23" s="0" t="n">
        <v>30</v>
      </c>
      <c r="E23" s="0" t="n">
        <v>10</v>
      </c>
      <c r="F23" s="0" t="n">
        <v>5</v>
      </c>
      <c r="G23" s="0" t="n">
        <v>0</v>
      </c>
      <c r="H23" s="0" t="n">
        <v>145</v>
      </c>
    </row>
    <row r="24" customFormat="false" ht="15" hidden="false" customHeight="false" outlineLevel="0" collapsed="false">
      <c r="A24" s="0" t="s">
        <v>72</v>
      </c>
      <c r="B24" s="0" t="s">
        <v>73</v>
      </c>
      <c r="C24" s="0" t="n">
        <v>100</v>
      </c>
      <c r="D24" s="0" t="n">
        <v>30</v>
      </c>
      <c r="E24" s="0" t="n">
        <v>10</v>
      </c>
      <c r="F24" s="0" t="n">
        <v>5</v>
      </c>
      <c r="G24" s="0" t="n">
        <v>0</v>
      </c>
      <c r="H24" s="0" t="n">
        <v>145</v>
      </c>
    </row>
    <row r="25" customFormat="false" ht="15" hidden="false" customHeight="false" outlineLevel="0" collapsed="false">
      <c r="A25" s="0" t="s">
        <v>74</v>
      </c>
      <c r="B25" s="0" t="s">
        <v>75</v>
      </c>
      <c r="C25" s="0" t="n">
        <v>100</v>
      </c>
      <c r="D25" s="0" t="n">
        <v>30</v>
      </c>
      <c r="E25" s="0" t="n">
        <v>10</v>
      </c>
      <c r="F25" s="0" t="n">
        <v>5</v>
      </c>
      <c r="G25" s="0" t="n">
        <v>0</v>
      </c>
      <c r="H25" s="0" t="n">
        <v>145</v>
      </c>
    </row>
    <row r="26" customFormat="false" ht="15" hidden="false" customHeight="false" outlineLevel="0" collapsed="false">
      <c r="A26" s="0" t="s">
        <v>76</v>
      </c>
      <c r="B26" s="0" t="s">
        <v>77</v>
      </c>
      <c r="C26" s="0" t="n">
        <v>100</v>
      </c>
      <c r="D26" s="0" t="n">
        <v>30</v>
      </c>
      <c r="E26" s="0" t="n">
        <v>10</v>
      </c>
      <c r="F26" s="0" t="n">
        <v>5</v>
      </c>
      <c r="G26" s="0" t="n">
        <v>0</v>
      </c>
      <c r="H26" s="0" t="n">
        <v>145</v>
      </c>
    </row>
    <row r="27" customFormat="false" ht="15" hidden="false" customHeight="false" outlineLevel="0" collapsed="false">
      <c r="A27" s="0" t="s">
        <v>78</v>
      </c>
      <c r="B27" s="0" t="s">
        <v>79</v>
      </c>
      <c r="C27" s="0" t="n">
        <v>100</v>
      </c>
      <c r="D27" s="0" t="n">
        <v>30</v>
      </c>
      <c r="E27" s="0" t="n">
        <v>10</v>
      </c>
      <c r="F27" s="0" t="n">
        <v>5</v>
      </c>
      <c r="G27" s="0" t="n">
        <v>0</v>
      </c>
      <c r="H27" s="0" t="n">
        <v>145</v>
      </c>
    </row>
    <row r="28" customFormat="false" ht="15" hidden="false" customHeight="false" outlineLevel="0" collapsed="false">
      <c r="A28" s="0" t="s">
        <v>80</v>
      </c>
      <c r="B28" s="0" t="s">
        <v>81</v>
      </c>
      <c r="C28" s="0" t="n">
        <v>100</v>
      </c>
      <c r="D28" s="0" t="n">
        <v>30</v>
      </c>
      <c r="E28" s="0" t="n">
        <v>10</v>
      </c>
      <c r="F28" s="0" t="n">
        <v>5</v>
      </c>
      <c r="G28" s="0" t="n">
        <v>0</v>
      </c>
      <c r="H28" s="0" t="n">
        <v>145</v>
      </c>
    </row>
    <row r="29" customFormat="false" ht="15" hidden="false" customHeight="false" outlineLevel="0" collapsed="false">
      <c r="A29" s="0" t="s">
        <v>82</v>
      </c>
      <c r="B29" s="0" t="s">
        <v>83</v>
      </c>
      <c r="C29" s="0" t="n">
        <v>100</v>
      </c>
      <c r="D29" s="0" t="n">
        <v>30</v>
      </c>
      <c r="E29" s="0" t="n">
        <v>10</v>
      </c>
      <c r="F29" s="0" t="n">
        <v>5</v>
      </c>
      <c r="G29" s="0" t="n">
        <v>0</v>
      </c>
      <c r="H29" s="0" t="n">
        <v>145</v>
      </c>
    </row>
    <row r="30" customFormat="false" ht="15" hidden="false" customHeight="false" outlineLevel="0" collapsed="false">
      <c r="A30" s="0" t="s">
        <v>84</v>
      </c>
      <c r="B30" s="0" t="s">
        <v>85</v>
      </c>
      <c r="C30" s="0" t="n">
        <v>100</v>
      </c>
      <c r="D30" s="0" t="n">
        <v>30</v>
      </c>
      <c r="E30" s="0" t="n">
        <v>10</v>
      </c>
      <c r="F30" s="0" t="n">
        <v>5</v>
      </c>
      <c r="G30" s="0" t="n">
        <v>0</v>
      </c>
      <c r="H30" s="0" t="n">
        <v>145</v>
      </c>
    </row>
    <row r="31" customFormat="false" ht="15" hidden="false" customHeight="false" outlineLevel="0" collapsed="false">
      <c r="A31" s="0" t="s">
        <v>86</v>
      </c>
      <c r="B31" s="0" t="s">
        <v>87</v>
      </c>
      <c r="C31" s="0" t="n">
        <v>100</v>
      </c>
      <c r="D31" s="0" t="n">
        <v>30</v>
      </c>
      <c r="E31" s="0" t="n">
        <v>10</v>
      </c>
      <c r="F31" s="0" t="n">
        <v>5</v>
      </c>
      <c r="G31" s="0" t="n">
        <v>0</v>
      </c>
      <c r="H31" s="0" t="n">
        <v>145</v>
      </c>
    </row>
    <row r="32" customFormat="false" ht="15" hidden="false" customHeight="false" outlineLevel="0" collapsed="false">
      <c r="A32" s="0" t="s">
        <v>88</v>
      </c>
      <c r="B32" s="0" t="s">
        <v>89</v>
      </c>
      <c r="C32" s="0" t="n">
        <v>100</v>
      </c>
      <c r="D32" s="0" t="n">
        <v>30</v>
      </c>
      <c r="E32" s="0" t="n">
        <v>10</v>
      </c>
      <c r="F32" s="0" t="n">
        <v>5</v>
      </c>
      <c r="G32" s="0" t="n">
        <v>0</v>
      </c>
      <c r="H32" s="0" t="n">
        <v>145</v>
      </c>
    </row>
    <row r="33" customFormat="false" ht="15" hidden="false" customHeight="false" outlineLevel="0" collapsed="false">
      <c r="A33" s="0" t="s">
        <v>90</v>
      </c>
      <c r="B33" s="0" t="s">
        <v>91</v>
      </c>
      <c r="C33" s="0" t="n">
        <v>100</v>
      </c>
      <c r="D33" s="0" t="n">
        <v>30</v>
      </c>
      <c r="E33" s="0" t="n">
        <v>10</v>
      </c>
      <c r="F33" s="0" t="n">
        <v>5</v>
      </c>
      <c r="G33" s="0" t="n">
        <v>0</v>
      </c>
      <c r="H33" s="0" t="n">
        <v>145</v>
      </c>
    </row>
    <row r="34" customFormat="false" ht="15" hidden="false" customHeight="false" outlineLevel="0" collapsed="false">
      <c r="A34" s="0" t="s">
        <v>92</v>
      </c>
      <c r="B34" s="0" t="s">
        <v>93</v>
      </c>
      <c r="C34" s="0" t="n">
        <v>100</v>
      </c>
      <c r="D34" s="0" t="n">
        <v>30</v>
      </c>
      <c r="E34" s="0" t="n">
        <v>10</v>
      </c>
      <c r="F34" s="0" t="n">
        <v>5</v>
      </c>
      <c r="G34" s="0" t="n">
        <v>0</v>
      </c>
      <c r="H34" s="0" t="n">
        <v>145</v>
      </c>
    </row>
    <row r="35" customFormat="false" ht="15" hidden="false" customHeight="false" outlineLevel="0" collapsed="false">
      <c r="A35" s="0" t="s">
        <v>94</v>
      </c>
      <c r="B35" s="0" t="s">
        <v>95</v>
      </c>
      <c r="C35" s="0" t="n">
        <v>100</v>
      </c>
      <c r="D35" s="0" t="n">
        <v>30</v>
      </c>
      <c r="E35" s="0" t="n">
        <v>10</v>
      </c>
      <c r="F35" s="0" t="n">
        <v>5</v>
      </c>
      <c r="G35" s="0" t="n">
        <v>0</v>
      </c>
      <c r="H35" s="0" t="n">
        <v>145</v>
      </c>
    </row>
    <row r="36" customFormat="false" ht="15" hidden="false" customHeight="false" outlineLevel="0" collapsed="false">
      <c r="A36" s="0" t="s">
        <v>96</v>
      </c>
      <c r="B36" s="0" t="s">
        <v>97</v>
      </c>
      <c r="C36" s="0" t="n">
        <v>100</v>
      </c>
      <c r="D36" s="0" t="n">
        <v>30</v>
      </c>
      <c r="E36" s="0" t="n">
        <v>10</v>
      </c>
      <c r="F36" s="0" t="n">
        <v>5</v>
      </c>
      <c r="G36" s="0" t="n">
        <v>0</v>
      </c>
      <c r="H36" s="0" t="n">
        <v>145</v>
      </c>
    </row>
    <row r="37" customFormat="false" ht="15" hidden="false" customHeight="false" outlineLevel="0" collapsed="false">
      <c r="A37" s="0" t="s">
        <v>98</v>
      </c>
      <c r="B37" s="0" t="s">
        <v>99</v>
      </c>
      <c r="C37" s="0" t="n">
        <v>100</v>
      </c>
      <c r="D37" s="0" t="n">
        <v>30</v>
      </c>
      <c r="E37" s="0" t="n">
        <v>10</v>
      </c>
      <c r="F37" s="0" t="n">
        <v>5</v>
      </c>
      <c r="G37" s="0" t="n">
        <v>0</v>
      </c>
      <c r="H37" s="0" t="n">
        <v>145</v>
      </c>
    </row>
    <row r="38" customFormat="false" ht="15" hidden="false" customHeight="false" outlineLevel="0" collapsed="false">
      <c r="A38" s="0" t="s">
        <v>100</v>
      </c>
      <c r="B38" s="0" t="s">
        <v>101</v>
      </c>
      <c r="C38" s="0" t="n">
        <v>100</v>
      </c>
      <c r="D38" s="0" t="n">
        <v>30</v>
      </c>
      <c r="E38" s="0" t="n">
        <v>10</v>
      </c>
      <c r="F38" s="0" t="n">
        <v>5</v>
      </c>
      <c r="G38" s="0" t="n">
        <v>0</v>
      </c>
      <c r="H38" s="0" t="n">
        <v>145</v>
      </c>
    </row>
    <row r="39" customFormat="false" ht="15" hidden="false" customHeight="false" outlineLevel="0" collapsed="false">
      <c r="A39" s="0" t="s">
        <v>102</v>
      </c>
      <c r="B39" s="0" t="s">
        <v>103</v>
      </c>
      <c r="C39" s="0" t="n">
        <v>100</v>
      </c>
      <c r="D39" s="0" t="n">
        <v>30</v>
      </c>
      <c r="E39" s="0" t="n">
        <v>10</v>
      </c>
      <c r="F39" s="0" t="n">
        <v>5</v>
      </c>
      <c r="G39" s="0" t="n">
        <v>0</v>
      </c>
      <c r="H39" s="0" t="n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20</v>
      </c>
      <c r="B1" s="0" t="s">
        <v>21</v>
      </c>
      <c r="C1" s="0" t="s">
        <v>104</v>
      </c>
      <c r="D1" s="0" t="s">
        <v>105</v>
      </c>
      <c r="E1" s="0" t="s">
        <v>106</v>
      </c>
      <c r="F1" s="0" t="s">
        <v>107</v>
      </c>
      <c r="G1" s="0" t="s">
        <v>108</v>
      </c>
      <c r="H1" s="0" t="s">
        <v>109</v>
      </c>
      <c r="I1" s="0" t="s">
        <v>110</v>
      </c>
      <c r="J1" s="0" t="s">
        <v>111</v>
      </c>
      <c r="K1" s="0" t="s">
        <v>112</v>
      </c>
      <c r="L1" s="0" t="s">
        <v>113</v>
      </c>
      <c r="M1" s="0" t="s">
        <v>114</v>
      </c>
      <c r="N1" s="0" t="s">
        <v>115</v>
      </c>
      <c r="O1" s="0" t="s">
        <v>116</v>
      </c>
      <c r="P1" s="0" t="s">
        <v>117</v>
      </c>
      <c r="Q1" s="0" t="s">
        <v>118</v>
      </c>
      <c r="R1" s="0" t="s">
        <v>119</v>
      </c>
      <c r="S1" s="0" t="s">
        <v>120</v>
      </c>
      <c r="T1" s="0" t="s">
        <v>121</v>
      </c>
      <c r="U1" s="0" t="s">
        <v>122</v>
      </c>
      <c r="V1" s="0" t="s">
        <v>123</v>
      </c>
      <c r="W1" s="0" t="s">
        <v>124</v>
      </c>
      <c r="X1" s="0" t="s">
        <v>125</v>
      </c>
      <c r="Y1" s="0" t="s">
        <v>126</v>
      </c>
      <c r="Z1" s="0" t="s">
        <v>127</v>
      </c>
      <c r="AA1" s="0" t="s">
        <v>128</v>
      </c>
      <c r="AB1" s="0" t="s">
        <v>129</v>
      </c>
      <c r="AC1" s="0" t="s">
        <v>130</v>
      </c>
      <c r="AD1" s="0" t="s">
        <v>131</v>
      </c>
      <c r="AE1" s="0" t="s">
        <v>132</v>
      </c>
      <c r="AF1" s="0" t="s">
        <v>133</v>
      </c>
      <c r="AG1" s="0" t="s">
        <v>134</v>
      </c>
      <c r="AH1" s="0" t="s">
        <v>135</v>
      </c>
      <c r="AI1" s="0" t="s">
        <v>136</v>
      </c>
      <c r="AJ1" s="0" t="s">
        <v>137</v>
      </c>
      <c r="AK1" s="0" t="s">
        <v>138</v>
      </c>
      <c r="AL1" s="0" t="s">
        <v>139</v>
      </c>
      <c r="AM1" s="0" t="s">
        <v>140</v>
      </c>
      <c r="AN1" s="0" t="s">
        <v>141</v>
      </c>
      <c r="AO1" s="0" t="s">
        <v>142</v>
      </c>
      <c r="AP1" s="0" t="s">
        <v>143</v>
      </c>
      <c r="AQ1" s="0" t="s">
        <v>144</v>
      </c>
      <c r="AR1" s="0" t="s">
        <v>145</v>
      </c>
    </row>
    <row r="2" customFormat="false" ht="15" hidden="false" customHeight="false" outlineLevel="0" collapsed="false">
      <c r="A2" s="0" t="s">
        <v>28</v>
      </c>
      <c r="B2" s="0" t="s">
        <v>29</v>
      </c>
      <c r="C2" s="0" t="n">
        <v>2</v>
      </c>
      <c r="D2" s="0" t="n">
        <v>2</v>
      </c>
      <c r="E2" s="0" t="n">
        <v>2</v>
      </c>
      <c r="F2" s="0" t="n">
        <v>2</v>
      </c>
      <c r="G2" s="0" t="n">
        <v>2</v>
      </c>
      <c r="H2" s="0" t="n">
        <v>2</v>
      </c>
      <c r="I2" s="0" t="n">
        <v>2</v>
      </c>
      <c r="J2" s="0" t="n">
        <v>2</v>
      </c>
      <c r="K2" s="0" t="n">
        <v>2</v>
      </c>
      <c r="L2" s="0" t="n">
        <v>2</v>
      </c>
      <c r="M2" s="0" t="n">
        <v>2</v>
      </c>
      <c r="N2" s="0" t="n">
        <v>2</v>
      </c>
      <c r="O2" s="0" t="n">
        <v>2</v>
      </c>
      <c r="P2" s="0" t="n">
        <v>2</v>
      </c>
      <c r="Q2" s="0" t="n">
        <v>2</v>
      </c>
      <c r="R2" s="0" t="n">
        <v>2</v>
      </c>
      <c r="S2" s="0" t="n">
        <v>2</v>
      </c>
      <c r="T2" s="0" t="n">
        <v>2</v>
      </c>
      <c r="U2" s="0" t="n">
        <v>2</v>
      </c>
      <c r="V2" s="0" t="n">
        <v>2</v>
      </c>
      <c r="W2" s="0" t="n">
        <v>2</v>
      </c>
      <c r="X2" s="0" t="n">
        <v>2</v>
      </c>
      <c r="Y2" s="0" t="n">
        <v>2</v>
      </c>
      <c r="Z2" s="0" t="n">
        <v>2</v>
      </c>
      <c r="AA2" s="0" t="n">
        <v>2</v>
      </c>
      <c r="AB2" s="0" t="n">
        <v>2</v>
      </c>
      <c r="AC2" s="0" t="n">
        <v>2</v>
      </c>
      <c r="AD2" s="0" t="n">
        <v>2</v>
      </c>
      <c r="AE2" s="0" t="n">
        <v>2</v>
      </c>
      <c r="AF2" s="0" t="n">
        <v>2</v>
      </c>
      <c r="AG2" s="0" t="n">
        <v>2</v>
      </c>
      <c r="AH2" s="0" t="n">
        <v>2</v>
      </c>
      <c r="AI2" s="0" t="n">
        <v>2</v>
      </c>
      <c r="AJ2" s="0" t="n">
        <v>2</v>
      </c>
      <c r="AK2" s="0" t="n">
        <v>2</v>
      </c>
      <c r="AL2" s="0" t="n">
        <v>2</v>
      </c>
      <c r="AM2" s="0" t="n">
        <v>2</v>
      </c>
      <c r="AN2" s="0" t="n">
        <v>2</v>
      </c>
      <c r="AO2" s="0" t="n">
        <v>40</v>
      </c>
      <c r="AP2" s="0" t="n">
        <v>19</v>
      </c>
      <c r="AQ2" s="0" t="n">
        <v>10</v>
      </c>
      <c r="AR2" s="0" t="n">
        <v>145</v>
      </c>
    </row>
    <row r="3" customFormat="false" ht="15" hidden="false" customHeight="false" outlineLevel="0" collapsed="false">
      <c r="A3" s="0" t="s">
        <v>30</v>
      </c>
      <c r="B3" s="0" t="s">
        <v>31</v>
      </c>
      <c r="C3" s="0" t="n">
        <v>2</v>
      </c>
      <c r="D3" s="0" t="n">
        <v>2</v>
      </c>
      <c r="E3" s="0" t="n">
        <v>2</v>
      </c>
      <c r="F3" s="0" t="n">
        <v>2</v>
      </c>
      <c r="G3" s="0" t="n">
        <v>2</v>
      </c>
      <c r="H3" s="0" t="n">
        <v>2</v>
      </c>
      <c r="I3" s="0" t="n">
        <v>2</v>
      </c>
      <c r="J3" s="0" t="n">
        <v>2</v>
      </c>
      <c r="K3" s="0" t="n">
        <v>2</v>
      </c>
      <c r="L3" s="0" t="n">
        <v>2</v>
      </c>
      <c r="M3" s="0" t="n">
        <v>2</v>
      </c>
      <c r="N3" s="0" t="n">
        <v>2</v>
      </c>
      <c r="O3" s="0" t="n">
        <v>2</v>
      </c>
      <c r="P3" s="0" t="n">
        <v>2</v>
      </c>
      <c r="Q3" s="0" t="n">
        <v>2</v>
      </c>
      <c r="R3" s="0" t="n">
        <v>2</v>
      </c>
      <c r="S3" s="0" t="n">
        <v>2</v>
      </c>
      <c r="T3" s="0" t="n">
        <v>2</v>
      </c>
      <c r="U3" s="0" t="n">
        <v>2</v>
      </c>
      <c r="V3" s="0" t="n">
        <v>2</v>
      </c>
      <c r="W3" s="0" t="n">
        <v>2</v>
      </c>
      <c r="X3" s="0" t="n">
        <v>2</v>
      </c>
      <c r="Y3" s="0" t="n">
        <v>2</v>
      </c>
      <c r="Z3" s="0" t="n">
        <v>2</v>
      </c>
      <c r="AA3" s="0" t="n">
        <v>2</v>
      </c>
      <c r="AB3" s="0" t="n">
        <v>2</v>
      </c>
      <c r="AC3" s="0" t="n">
        <v>2</v>
      </c>
      <c r="AD3" s="0" t="n">
        <v>2</v>
      </c>
      <c r="AE3" s="0" t="n">
        <v>2</v>
      </c>
      <c r="AF3" s="0" t="n">
        <v>2</v>
      </c>
      <c r="AG3" s="0" t="n">
        <v>2</v>
      </c>
      <c r="AH3" s="0" t="n">
        <v>2</v>
      </c>
      <c r="AI3" s="0" t="n">
        <v>2</v>
      </c>
      <c r="AJ3" s="0" t="n">
        <v>2</v>
      </c>
      <c r="AK3" s="0" t="n">
        <v>2</v>
      </c>
      <c r="AL3" s="0" t="n">
        <v>2</v>
      </c>
      <c r="AM3" s="0" t="n">
        <v>2</v>
      </c>
      <c r="AN3" s="0" t="n">
        <v>2</v>
      </c>
      <c r="AO3" s="0" t="n">
        <v>40</v>
      </c>
      <c r="AP3" s="0" t="n">
        <v>19</v>
      </c>
      <c r="AQ3" s="0" t="n">
        <v>10</v>
      </c>
      <c r="AR3" s="0" t="n">
        <v>145</v>
      </c>
    </row>
    <row r="4" customFormat="false" ht="15" hidden="false" customHeight="false" outlineLevel="0" collapsed="false">
      <c r="A4" s="0" t="s">
        <v>32</v>
      </c>
      <c r="B4" s="0" t="s">
        <v>33</v>
      </c>
      <c r="C4" s="0" t="n">
        <v>2</v>
      </c>
      <c r="D4" s="0" t="n">
        <v>2</v>
      </c>
      <c r="E4" s="0" t="n">
        <v>2</v>
      </c>
      <c r="F4" s="0" t="n">
        <v>2</v>
      </c>
      <c r="G4" s="0" t="n">
        <v>2</v>
      </c>
      <c r="H4" s="0" t="n">
        <v>2</v>
      </c>
      <c r="I4" s="0" t="n">
        <v>2</v>
      </c>
      <c r="J4" s="0" t="n">
        <v>2</v>
      </c>
      <c r="K4" s="0" t="n">
        <v>2</v>
      </c>
      <c r="L4" s="0" t="n">
        <v>2</v>
      </c>
      <c r="M4" s="0" t="n">
        <v>2</v>
      </c>
      <c r="N4" s="0" t="n">
        <v>2</v>
      </c>
      <c r="O4" s="0" t="n">
        <v>2</v>
      </c>
      <c r="P4" s="0" t="n">
        <v>2</v>
      </c>
      <c r="Q4" s="0" t="n">
        <v>2</v>
      </c>
      <c r="R4" s="0" t="n">
        <v>2</v>
      </c>
      <c r="S4" s="0" t="n">
        <v>2</v>
      </c>
      <c r="T4" s="0" t="n">
        <v>2</v>
      </c>
      <c r="U4" s="0" t="n">
        <v>2</v>
      </c>
      <c r="V4" s="0" t="n">
        <v>2</v>
      </c>
      <c r="W4" s="0" t="n">
        <v>2</v>
      </c>
      <c r="X4" s="0" t="n">
        <v>2</v>
      </c>
      <c r="Y4" s="0" t="n">
        <v>2</v>
      </c>
      <c r="Z4" s="0" t="n">
        <v>2</v>
      </c>
      <c r="AA4" s="0" t="n">
        <v>2</v>
      </c>
      <c r="AB4" s="0" t="n">
        <v>2</v>
      </c>
      <c r="AC4" s="0" t="n">
        <v>2</v>
      </c>
      <c r="AD4" s="0" t="n">
        <v>2</v>
      </c>
      <c r="AE4" s="0" t="n">
        <v>2</v>
      </c>
      <c r="AF4" s="0" t="n">
        <v>2</v>
      </c>
      <c r="AG4" s="0" t="n">
        <v>2</v>
      </c>
      <c r="AH4" s="0" t="n">
        <v>2</v>
      </c>
      <c r="AI4" s="0" t="n">
        <v>2</v>
      </c>
      <c r="AJ4" s="0" t="n">
        <v>2</v>
      </c>
      <c r="AK4" s="0" t="n">
        <v>2</v>
      </c>
      <c r="AL4" s="0" t="n">
        <v>2</v>
      </c>
      <c r="AM4" s="0" t="n">
        <v>2</v>
      </c>
      <c r="AN4" s="0" t="n">
        <v>2</v>
      </c>
      <c r="AO4" s="0" t="n">
        <v>40</v>
      </c>
      <c r="AP4" s="0" t="n">
        <v>19</v>
      </c>
      <c r="AQ4" s="0" t="n">
        <v>10</v>
      </c>
      <c r="AR4" s="0" t="n">
        <v>145</v>
      </c>
    </row>
    <row r="5" customFormat="false" ht="15" hidden="false" customHeight="false" outlineLevel="0" collapsed="false">
      <c r="A5" s="0" t="s">
        <v>34</v>
      </c>
      <c r="B5" s="0" t="s">
        <v>35</v>
      </c>
      <c r="C5" s="0" t="n">
        <v>2</v>
      </c>
      <c r="D5" s="0" t="n">
        <v>2</v>
      </c>
      <c r="E5" s="0" t="n">
        <v>2</v>
      </c>
      <c r="F5" s="0" t="n">
        <v>2</v>
      </c>
      <c r="G5" s="0" t="n">
        <v>2</v>
      </c>
      <c r="H5" s="0" t="n">
        <v>2</v>
      </c>
      <c r="I5" s="0" t="n">
        <v>2</v>
      </c>
      <c r="J5" s="0" t="n">
        <v>2</v>
      </c>
      <c r="K5" s="0" t="n">
        <v>2</v>
      </c>
      <c r="L5" s="0" t="n">
        <v>2</v>
      </c>
      <c r="M5" s="0" t="n">
        <v>2</v>
      </c>
      <c r="N5" s="0" t="n">
        <v>2</v>
      </c>
      <c r="O5" s="0" t="n">
        <v>2</v>
      </c>
      <c r="P5" s="0" t="n">
        <v>2</v>
      </c>
      <c r="Q5" s="0" t="n">
        <v>2</v>
      </c>
      <c r="R5" s="0" t="n">
        <v>2</v>
      </c>
      <c r="S5" s="0" t="n">
        <v>2</v>
      </c>
      <c r="T5" s="0" t="n">
        <v>2</v>
      </c>
      <c r="U5" s="0" t="n">
        <v>2</v>
      </c>
      <c r="V5" s="0" t="n">
        <v>2</v>
      </c>
      <c r="W5" s="0" t="n">
        <v>2</v>
      </c>
      <c r="X5" s="0" t="n">
        <v>2</v>
      </c>
      <c r="Y5" s="0" t="n">
        <v>2</v>
      </c>
      <c r="Z5" s="0" t="n">
        <v>2</v>
      </c>
      <c r="AA5" s="0" t="n">
        <v>2</v>
      </c>
      <c r="AB5" s="0" t="n">
        <v>2</v>
      </c>
      <c r="AC5" s="0" t="n">
        <v>2</v>
      </c>
      <c r="AD5" s="0" t="n">
        <v>2</v>
      </c>
      <c r="AE5" s="0" t="n">
        <v>2</v>
      </c>
      <c r="AF5" s="0" t="n">
        <v>2</v>
      </c>
      <c r="AG5" s="0" t="n">
        <v>2</v>
      </c>
      <c r="AH5" s="0" t="n">
        <v>2</v>
      </c>
      <c r="AI5" s="0" t="n">
        <v>2</v>
      </c>
      <c r="AJ5" s="0" t="n">
        <v>2</v>
      </c>
      <c r="AK5" s="0" t="n">
        <v>2</v>
      </c>
      <c r="AL5" s="0" t="n">
        <v>2</v>
      </c>
      <c r="AM5" s="0" t="n">
        <v>2</v>
      </c>
      <c r="AN5" s="0" t="n">
        <v>2</v>
      </c>
      <c r="AO5" s="0" t="n">
        <v>40</v>
      </c>
      <c r="AP5" s="0" t="n">
        <v>19</v>
      </c>
      <c r="AQ5" s="0" t="n">
        <v>10</v>
      </c>
      <c r="AR5" s="0" t="n">
        <v>145</v>
      </c>
    </row>
    <row r="6" customFormat="false" ht="15" hidden="false" customHeight="false" outlineLevel="0" collapsed="false">
      <c r="A6" s="0" t="s">
        <v>36</v>
      </c>
      <c r="B6" s="0" t="s">
        <v>37</v>
      </c>
      <c r="C6" s="0" t="n">
        <v>2</v>
      </c>
      <c r="D6" s="0" t="n">
        <v>2</v>
      </c>
      <c r="E6" s="0" t="n">
        <v>2</v>
      </c>
      <c r="F6" s="0" t="n">
        <v>2</v>
      </c>
      <c r="G6" s="0" t="n">
        <v>2</v>
      </c>
      <c r="H6" s="0" t="n">
        <v>2</v>
      </c>
      <c r="I6" s="0" t="n">
        <v>2</v>
      </c>
      <c r="J6" s="0" t="n">
        <v>2</v>
      </c>
      <c r="K6" s="0" t="n">
        <v>2</v>
      </c>
      <c r="L6" s="0" t="n">
        <v>2</v>
      </c>
      <c r="M6" s="0" t="n">
        <v>2</v>
      </c>
      <c r="N6" s="0" t="n">
        <v>2</v>
      </c>
      <c r="O6" s="0" t="n">
        <v>2</v>
      </c>
      <c r="P6" s="0" t="n">
        <v>2</v>
      </c>
      <c r="Q6" s="0" t="n">
        <v>2</v>
      </c>
      <c r="R6" s="0" t="n">
        <v>2</v>
      </c>
      <c r="S6" s="0" t="n">
        <v>2</v>
      </c>
      <c r="T6" s="0" t="n">
        <v>2</v>
      </c>
      <c r="U6" s="0" t="n">
        <v>2</v>
      </c>
      <c r="V6" s="0" t="n">
        <v>2</v>
      </c>
      <c r="W6" s="0" t="n">
        <v>2</v>
      </c>
      <c r="X6" s="0" t="n">
        <v>2</v>
      </c>
      <c r="Y6" s="0" t="n">
        <v>2</v>
      </c>
      <c r="Z6" s="0" t="n">
        <v>2</v>
      </c>
      <c r="AA6" s="0" t="n">
        <v>2</v>
      </c>
      <c r="AB6" s="0" t="n">
        <v>2</v>
      </c>
      <c r="AC6" s="0" t="n">
        <v>2</v>
      </c>
      <c r="AD6" s="0" t="n">
        <v>2</v>
      </c>
      <c r="AE6" s="0" t="n">
        <v>2</v>
      </c>
      <c r="AF6" s="0" t="n">
        <v>2</v>
      </c>
      <c r="AG6" s="0" t="n">
        <v>2</v>
      </c>
      <c r="AH6" s="0" t="n">
        <v>2</v>
      </c>
      <c r="AI6" s="0" t="n">
        <v>2</v>
      </c>
      <c r="AJ6" s="0" t="n">
        <v>2</v>
      </c>
      <c r="AK6" s="0" t="n">
        <v>2</v>
      </c>
      <c r="AL6" s="0" t="n">
        <v>2</v>
      </c>
      <c r="AM6" s="0" t="n">
        <v>2</v>
      </c>
      <c r="AN6" s="0" t="n">
        <v>2</v>
      </c>
      <c r="AO6" s="0" t="n">
        <v>40</v>
      </c>
      <c r="AP6" s="0" t="n">
        <v>19</v>
      </c>
      <c r="AQ6" s="0" t="n">
        <v>10</v>
      </c>
      <c r="AR6" s="0" t="n">
        <v>145</v>
      </c>
    </row>
    <row r="7" customFormat="false" ht="15" hidden="false" customHeight="false" outlineLevel="0" collapsed="false">
      <c r="A7" s="0" t="s">
        <v>38</v>
      </c>
      <c r="B7" s="0" t="s">
        <v>39</v>
      </c>
      <c r="C7" s="0" t="n">
        <v>2</v>
      </c>
      <c r="D7" s="0" t="n">
        <v>2</v>
      </c>
      <c r="E7" s="0" t="n">
        <v>2</v>
      </c>
      <c r="F7" s="0" t="n">
        <v>2</v>
      </c>
      <c r="G7" s="0" t="n">
        <v>2</v>
      </c>
      <c r="H7" s="0" t="n">
        <v>2</v>
      </c>
      <c r="I7" s="0" t="n">
        <v>2</v>
      </c>
      <c r="J7" s="0" t="n">
        <v>2</v>
      </c>
      <c r="K7" s="0" t="n">
        <v>2</v>
      </c>
      <c r="L7" s="0" t="n">
        <v>2</v>
      </c>
      <c r="M7" s="0" t="n">
        <v>2</v>
      </c>
      <c r="N7" s="0" t="n">
        <v>2</v>
      </c>
      <c r="O7" s="0" t="n">
        <v>2</v>
      </c>
      <c r="P7" s="0" t="n">
        <v>2</v>
      </c>
      <c r="Q7" s="0" t="n">
        <v>2</v>
      </c>
      <c r="R7" s="0" t="n">
        <v>2</v>
      </c>
      <c r="S7" s="0" t="n">
        <v>2</v>
      </c>
      <c r="T7" s="0" t="n">
        <v>2</v>
      </c>
      <c r="U7" s="0" t="n">
        <v>2</v>
      </c>
      <c r="V7" s="0" t="n">
        <v>2</v>
      </c>
      <c r="W7" s="0" t="n">
        <v>2</v>
      </c>
      <c r="X7" s="0" t="n">
        <v>2</v>
      </c>
      <c r="Y7" s="0" t="n">
        <v>2</v>
      </c>
      <c r="Z7" s="0" t="n">
        <v>2</v>
      </c>
      <c r="AA7" s="0" t="n">
        <v>2</v>
      </c>
      <c r="AB7" s="0" t="n">
        <v>2</v>
      </c>
      <c r="AC7" s="0" t="n">
        <v>2</v>
      </c>
      <c r="AD7" s="0" t="n">
        <v>2</v>
      </c>
      <c r="AE7" s="0" t="n">
        <v>2</v>
      </c>
      <c r="AF7" s="0" t="n">
        <v>2</v>
      </c>
      <c r="AG7" s="0" t="n">
        <v>2</v>
      </c>
      <c r="AH7" s="0" t="n">
        <v>2</v>
      </c>
      <c r="AI7" s="0" t="n">
        <v>2</v>
      </c>
      <c r="AJ7" s="0" t="n">
        <v>2</v>
      </c>
      <c r="AK7" s="0" t="n">
        <v>2</v>
      </c>
      <c r="AL7" s="0" t="n">
        <v>2</v>
      </c>
      <c r="AM7" s="0" t="n">
        <v>2</v>
      </c>
      <c r="AN7" s="0" t="n">
        <v>2</v>
      </c>
      <c r="AO7" s="0" t="n">
        <v>40</v>
      </c>
      <c r="AP7" s="0" t="n">
        <v>19</v>
      </c>
      <c r="AQ7" s="0" t="n">
        <v>10</v>
      </c>
      <c r="AR7" s="0" t="n">
        <v>145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n">
        <v>2</v>
      </c>
      <c r="D8" s="0" t="n">
        <v>2</v>
      </c>
      <c r="E8" s="0" t="n">
        <v>2</v>
      </c>
      <c r="F8" s="0" t="n">
        <v>2</v>
      </c>
      <c r="G8" s="0" t="n">
        <v>2</v>
      </c>
      <c r="H8" s="0" t="n">
        <v>2</v>
      </c>
      <c r="I8" s="0" t="n">
        <v>2</v>
      </c>
      <c r="J8" s="0" t="n">
        <v>2</v>
      </c>
      <c r="K8" s="0" t="n">
        <v>2</v>
      </c>
      <c r="L8" s="0" t="n">
        <v>2</v>
      </c>
      <c r="M8" s="0" t="n">
        <v>2</v>
      </c>
      <c r="N8" s="0" t="n">
        <v>2</v>
      </c>
      <c r="O8" s="0" t="n">
        <v>2</v>
      </c>
      <c r="P8" s="0" t="n">
        <v>2</v>
      </c>
      <c r="Q8" s="0" t="n">
        <v>2</v>
      </c>
      <c r="R8" s="0" t="n">
        <v>2</v>
      </c>
      <c r="S8" s="0" t="n">
        <v>2</v>
      </c>
      <c r="T8" s="0" t="n">
        <v>2</v>
      </c>
      <c r="U8" s="0" t="n">
        <v>2</v>
      </c>
      <c r="V8" s="0" t="n">
        <v>2</v>
      </c>
      <c r="W8" s="0" t="n">
        <v>2</v>
      </c>
      <c r="X8" s="0" t="n">
        <v>2</v>
      </c>
      <c r="Y8" s="0" t="n">
        <v>2</v>
      </c>
      <c r="Z8" s="0" t="n">
        <v>2</v>
      </c>
      <c r="AA8" s="0" t="n">
        <v>2</v>
      </c>
      <c r="AB8" s="0" t="n">
        <v>2</v>
      </c>
      <c r="AC8" s="0" t="n">
        <v>2</v>
      </c>
      <c r="AD8" s="0" t="n">
        <v>2</v>
      </c>
      <c r="AE8" s="0" t="n">
        <v>2</v>
      </c>
      <c r="AF8" s="0" t="n">
        <v>2</v>
      </c>
      <c r="AG8" s="0" t="n">
        <v>2</v>
      </c>
      <c r="AH8" s="0" t="n">
        <v>2</v>
      </c>
      <c r="AI8" s="0" t="n">
        <v>2</v>
      </c>
      <c r="AJ8" s="0" t="n">
        <v>2</v>
      </c>
      <c r="AK8" s="0" t="n">
        <v>2</v>
      </c>
      <c r="AL8" s="0" t="n">
        <v>2</v>
      </c>
      <c r="AM8" s="0" t="n">
        <v>2</v>
      </c>
      <c r="AN8" s="0" t="n">
        <v>2</v>
      </c>
      <c r="AO8" s="0" t="n">
        <v>40</v>
      </c>
      <c r="AP8" s="0" t="n">
        <v>19</v>
      </c>
      <c r="AQ8" s="0" t="n">
        <v>10</v>
      </c>
      <c r="AR8" s="0" t="n">
        <v>145</v>
      </c>
    </row>
    <row r="9" customFormat="false" ht="15" hidden="false" customHeight="false" outlineLevel="0" collapsed="false">
      <c r="A9" s="0" t="s">
        <v>42</v>
      </c>
      <c r="B9" s="0" t="s">
        <v>43</v>
      </c>
      <c r="C9" s="0" t="n">
        <v>2</v>
      </c>
      <c r="D9" s="0" t="n">
        <v>2</v>
      </c>
      <c r="E9" s="0" t="n">
        <v>2</v>
      </c>
      <c r="F9" s="0" t="n">
        <v>2</v>
      </c>
      <c r="G9" s="0" t="n">
        <v>2</v>
      </c>
      <c r="H9" s="0" t="n">
        <v>2</v>
      </c>
      <c r="I9" s="0" t="n">
        <v>2</v>
      </c>
      <c r="J9" s="0" t="n">
        <v>2</v>
      </c>
      <c r="K9" s="0" t="n">
        <v>2</v>
      </c>
      <c r="L9" s="0" t="n">
        <v>2</v>
      </c>
      <c r="M9" s="0" t="n">
        <v>2</v>
      </c>
      <c r="N9" s="0" t="n">
        <v>2</v>
      </c>
      <c r="O9" s="0" t="n">
        <v>2</v>
      </c>
      <c r="P9" s="0" t="n">
        <v>2</v>
      </c>
      <c r="Q9" s="0" t="n">
        <v>2</v>
      </c>
      <c r="R9" s="0" t="n">
        <v>2</v>
      </c>
      <c r="S9" s="0" t="n">
        <v>2</v>
      </c>
      <c r="T9" s="0" t="n">
        <v>2</v>
      </c>
      <c r="U9" s="0" t="n">
        <v>2</v>
      </c>
      <c r="V9" s="0" t="n">
        <v>2</v>
      </c>
      <c r="W9" s="0" t="n">
        <v>2</v>
      </c>
      <c r="X9" s="0" t="n">
        <v>2</v>
      </c>
      <c r="Y9" s="0" t="n">
        <v>2</v>
      </c>
      <c r="Z9" s="0" t="n">
        <v>2</v>
      </c>
      <c r="AA9" s="0" t="n">
        <v>2</v>
      </c>
      <c r="AB9" s="0" t="n">
        <v>2</v>
      </c>
      <c r="AC9" s="0" t="n">
        <v>2</v>
      </c>
      <c r="AD9" s="0" t="n">
        <v>2</v>
      </c>
      <c r="AE9" s="0" t="n">
        <v>2</v>
      </c>
      <c r="AF9" s="0" t="n">
        <v>2</v>
      </c>
      <c r="AG9" s="0" t="n">
        <v>2</v>
      </c>
      <c r="AH9" s="0" t="n">
        <v>2</v>
      </c>
      <c r="AI9" s="0" t="n">
        <v>2</v>
      </c>
      <c r="AJ9" s="0" t="n">
        <v>2</v>
      </c>
      <c r="AK9" s="0" t="n">
        <v>2</v>
      </c>
      <c r="AL9" s="0" t="n">
        <v>2</v>
      </c>
      <c r="AM9" s="0" t="n">
        <v>2</v>
      </c>
      <c r="AN9" s="0" t="n">
        <v>2</v>
      </c>
      <c r="AO9" s="0" t="n">
        <v>40</v>
      </c>
      <c r="AP9" s="0" t="n">
        <v>19</v>
      </c>
      <c r="AQ9" s="0" t="n">
        <v>10</v>
      </c>
      <c r="AR9" s="0" t="n">
        <v>145</v>
      </c>
    </row>
    <row r="10" customFormat="false" ht="15" hidden="false" customHeight="false" outlineLevel="0" collapsed="false">
      <c r="A10" s="0" t="s">
        <v>44</v>
      </c>
      <c r="B10" s="0" t="s">
        <v>45</v>
      </c>
      <c r="C10" s="0" t="n">
        <v>2</v>
      </c>
      <c r="D10" s="0" t="n">
        <v>2</v>
      </c>
      <c r="E10" s="0" t="n">
        <v>2</v>
      </c>
      <c r="F10" s="0" t="n">
        <v>2</v>
      </c>
      <c r="G10" s="0" t="n">
        <v>2</v>
      </c>
      <c r="H10" s="0" t="n">
        <v>2</v>
      </c>
      <c r="I10" s="0" t="n">
        <v>2</v>
      </c>
      <c r="J10" s="0" t="n">
        <v>2</v>
      </c>
      <c r="K10" s="0" t="n">
        <v>2</v>
      </c>
      <c r="L10" s="0" t="n">
        <v>2</v>
      </c>
      <c r="M10" s="0" t="n">
        <v>2</v>
      </c>
      <c r="N10" s="0" t="n">
        <v>2</v>
      </c>
      <c r="O10" s="0" t="n">
        <v>2</v>
      </c>
      <c r="P10" s="0" t="n">
        <v>2</v>
      </c>
      <c r="Q10" s="0" t="n">
        <v>2</v>
      </c>
      <c r="R10" s="0" t="n">
        <v>2</v>
      </c>
      <c r="S10" s="0" t="n">
        <v>2</v>
      </c>
      <c r="T10" s="0" t="n">
        <v>2</v>
      </c>
      <c r="U10" s="0" t="n">
        <v>2</v>
      </c>
      <c r="V10" s="0" t="n">
        <v>2</v>
      </c>
      <c r="W10" s="0" t="n">
        <v>2</v>
      </c>
      <c r="X10" s="0" t="n">
        <v>2</v>
      </c>
      <c r="Y10" s="0" t="n">
        <v>2</v>
      </c>
      <c r="Z10" s="0" t="n">
        <v>2</v>
      </c>
      <c r="AA10" s="0" t="n">
        <v>2</v>
      </c>
      <c r="AB10" s="0" t="n">
        <v>2</v>
      </c>
      <c r="AC10" s="0" t="n">
        <v>2</v>
      </c>
      <c r="AD10" s="0" t="n">
        <v>2</v>
      </c>
      <c r="AE10" s="0" t="n">
        <v>2</v>
      </c>
      <c r="AF10" s="0" t="n">
        <v>2</v>
      </c>
      <c r="AG10" s="0" t="n">
        <v>2</v>
      </c>
      <c r="AH10" s="0" t="n">
        <v>2</v>
      </c>
      <c r="AI10" s="0" t="n">
        <v>2</v>
      </c>
      <c r="AJ10" s="0" t="n">
        <v>2</v>
      </c>
      <c r="AK10" s="0" t="n">
        <v>2</v>
      </c>
      <c r="AL10" s="0" t="n">
        <v>2</v>
      </c>
      <c r="AM10" s="0" t="n">
        <v>2</v>
      </c>
      <c r="AN10" s="0" t="n">
        <v>2</v>
      </c>
      <c r="AO10" s="0" t="n">
        <v>40</v>
      </c>
      <c r="AP10" s="0" t="n">
        <v>19</v>
      </c>
      <c r="AQ10" s="0" t="n">
        <v>10</v>
      </c>
      <c r="AR10" s="0" t="n">
        <v>145</v>
      </c>
    </row>
    <row r="11" customFormat="false" ht="15" hidden="false" customHeight="false" outlineLevel="0" collapsed="false">
      <c r="A11" s="0" t="s">
        <v>46</v>
      </c>
      <c r="B11" s="0" t="s">
        <v>47</v>
      </c>
      <c r="C11" s="0" t="n">
        <v>2</v>
      </c>
      <c r="D11" s="0" t="n">
        <v>2</v>
      </c>
      <c r="E11" s="0" t="n">
        <v>2</v>
      </c>
      <c r="F11" s="0" t="n">
        <v>2</v>
      </c>
      <c r="G11" s="0" t="n">
        <v>2</v>
      </c>
      <c r="H11" s="0" t="n">
        <v>2</v>
      </c>
      <c r="I11" s="0" t="n">
        <v>2</v>
      </c>
      <c r="J11" s="0" t="n">
        <v>2</v>
      </c>
      <c r="K11" s="0" t="n">
        <v>2</v>
      </c>
      <c r="L11" s="0" t="n">
        <v>2</v>
      </c>
      <c r="M11" s="0" t="n">
        <v>2</v>
      </c>
      <c r="N11" s="0" t="n">
        <v>2</v>
      </c>
      <c r="O11" s="0" t="n">
        <v>2</v>
      </c>
      <c r="P11" s="0" t="n">
        <v>2</v>
      </c>
      <c r="Q11" s="0" t="n">
        <v>2</v>
      </c>
      <c r="R11" s="0" t="n">
        <v>2</v>
      </c>
      <c r="S11" s="0" t="n">
        <v>2</v>
      </c>
      <c r="T11" s="0" t="n">
        <v>2</v>
      </c>
      <c r="U11" s="0" t="n">
        <v>2</v>
      </c>
      <c r="V11" s="0" t="n">
        <v>2</v>
      </c>
      <c r="W11" s="0" t="n">
        <v>2</v>
      </c>
      <c r="X11" s="0" t="n">
        <v>2</v>
      </c>
      <c r="Y11" s="0" t="n">
        <v>2</v>
      </c>
      <c r="Z11" s="0" t="n">
        <v>2</v>
      </c>
      <c r="AA11" s="0" t="n">
        <v>2</v>
      </c>
      <c r="AB11" s="0" t="n">
        <v>2</v>
      </c>
      <c r="AC11" s="0" t="n">
        <v>2</v>
      </c>
      <c r="AD11" s="0" t="n">
        <v>2</v>
      </c>
      <c r="AE11" s="0" t="n">
        <v>2</v>
      </c>
      <c r="AF11" s="0" t="n">
        <v>2</v>
      </c>
      <c r="AG11" s="0" t="n">
        <v>2</v>
      </c>
      <c r="AH11" s="0" t="n">
        <v>2</v>
      </c>
      <c r="AI11" s="0" t="n">
        <v>2</v>
      </c>
      <c r="AJ11" s="0" t="n">
        <v>2</v>
      </c>
      <c r="AK11" s="0" t="n">
        <v>2</v>
      </c>
      <c r="AL11" s="0" t="n">
        <v>2</v>
      </c>
      <c r="AM11" s="0" t="n">
        <v>2</v>
      </c>
      <c r="AN11" s="0" t="n">
        <v>2</v>
      </c>
      <c r="AO11" s="0" t="n">
        <v>40</v>
      </c>
      <c r="AP11" s="0" t="n">
        <v>19</v>
      </c>
      <c r="AQ11" s="0" t="n">
        <v>10</v>
      </c>
      <c r="AR11" s="0" t="n">
        <v>145</v>
      </c>
    </row>
    <row r="12" customFormat="false" ht="15" hidden="false" customHeight="false" outlineLevel="0" collapsed="false">
      <c r="A12" s="0" t="s">
        <v>48</v>
      </c>
      <c r="B12" s="0" t="s">
        <v>49</v>
      </c>
      <c r="C12" s="0" t="n">
        <v>2</v>
      </c>
      <c r="D12" s="0" t="n">
        <v>2</v>
      </c>
      <c r="E12" s="0" t="n">
        <v>2</v>
      </c>
      <c r="F12" s="0" t="n">
        <v>2</v>
      </c>
      <c r="G12" s="0" t="n">
        <v>2</v>
      </c>
      <c r="H12" s="0" t="n">
        <v>2</v>
      </c>
      <c r="I12" s="0" t="n">
        <v>2</v>
      </c>
      <c r="J12" s="0" t="n">
        <v>2</v>
      </c>
      <c r="K12" s="0" t="n">
        <v>2</v>
      </c>
      <c r="L12" s="0" t="n">
        <v>2</v>
      </c>
      <c r="M12" s="0" t="n">
        <v>2</v>
      </c>
      <c r="N12" s="0" t="n">
        <v>2</v>
      </c>
      <c r="O12" s="0" t="n">
        <v>2</v>
      </c>
      <c r="P12" s="0" t="n">
        <v>2</v>
      </c>
      <c r="Q12" s="0" t="n">
        <v>2</v>
      </c>
      <c r="R12" s="0" t="n">
        <v>2</v>
      </c>
      <c r="S12" s="0" t="n">
        <v>2</v>
      </c>
      <c r="T12" s="0" t="n">
        <v>2</v>
      </c>
      <c r="U12" s="0" t="n">
        <v>2</v>
      </c>
      <c r="V12" s="0" t="n">
        <v>2</v>
      </c>
      <c r="W12" s="0" t="n">
        <v>2</v>
      </c>
      <c r="X12" s="0" t="n">
        <v>2</v>
      </c>
      <c r="Y12" s="0" t="n">
        <v>2</v>
      </c>
      <c r="Z12" s="0" t="n">
        <v>2</v>
      </c>
      <c r="AA12" s="0" t="n">
        <v>2</v>
      </c>
      <c r="AB12" s="0" t="n">
        <v>2</v>
      </c>
      <c r="AC12" s="0" t="n">
        <v>2</v>
      </c>
      <c r="AD12" s="0" t="n">
        <v>2</v>
      </c>
      <c r="AE12" s="0" t="n">
        <v>2</v>
      </c>
      <c r="AF12" s="0" t="n">
        <v>2</v>
      </c>
      <c r="AG12" s="0" t="n">
        <v>2</v>
      </c>
      <c r="AH12" s="0" t="n">
        <v>2</v>
      </c>
      <c r="AI12" s="0" t="n">
        <v>2</v>
      </c>
      <c r="AJ12" s="0" t="n">
        <v>2</v>
      </c>
      <c r="AK12" s="0" t="n">
        <v>2</v>
      </c>
      <c r="AL12" s="0" t="n">
        <v>2</v>
      </c>
      <c r="AM12" s="0" t="n">
        <v>2</v>
      </c>
      <c r="AN12" s="0" t="n">
        <v>2</v>
      </c>
      <c r="AO12" s="0" t="n">
        <v>40</v>
      </c>
      <c r="AP12" s="0" t="n">
        <v>19</v>
      </c>
      <c r="AQ12" s="0" t="n">
        <v>10</v>
      </c>
      <c r="AR12" s="0" t="n">
        <v>145</v>
      </c>
    </row>
    <row r="13" customFormat="false" ht="15" hidden="false" customHeight="false" outlineLevel="0" collapsed="false">
      <c r="A13" s="0" t="s">
        <v>50</v>
      </c>
      <c r="B13" s="0" t="s">
        <v>51</v>
      </c>
      <c r="C13" s="0" t="n">
        <v>2</v>
      </c>
      <c r="D13" s="0" t="n">
        <v>2</v>
      </c>
      <c r="E13" s="0" t="n">
        <v>2</v>
      </c>
      <c r="F13" s="0" t="n">
        <v>2</v>
      </c>
      <c r="G13" s="0" t="n">
        <v>2</v>
      </c>
      <c r="H13" s="0" t="n">
        <v>2</v>
      </c>
      <c r="I13" s="0" t="n">
        <v>2</v>
      </c>
      <c r="J13" s="0" t="n">
        <v>2</v>
      </c>
      <c r="K13" s="0" t="n">
        <v>2</v>
      </c>
      <c r="L13" s="0" t="n">
        <v>2</v>
      </c>
      <c r="M13" s="0" t="n">
        <v>2</v>
      </c>
      <c r="N13" s="0" t="n">
        <v>2</v>
      </c>
      <c r="O13" s="0" t="n">
        <v>2</v>
      </c>
      <c r="P13" s="0" t="n">
        <v>2</v>
      </c>
      <c r="Q13" s="0" t="n">
        <v>2</v>
      </c>
      <c r="R13" s="0" t="n">
        <v>2</v>
      </c>
      <c r="S13" s="0" t="n">
        <v>2</v>
      </c>
      <c r="T13" s="0" t="n">
        <v>2</v>
      </c>
      <c r="U13" s="0" t="n">
        <v>2</v>
      </c>
      <c r="V13" s="0" t="n">
        <v>2</v>
      </c>
      <c r="W13" s="0" t="n">
        <v>2</v>
      </c>
      <c r="X13" s="0" t="n">
        <v>2</v>
      </c>
      <c r="Y13" s="0" t="n">
        <v>2</v>
      </c>
      <c r="Z13" s="0" t="n">
        <v>2</v>
      </c>
      <c r="AA13" s="0" t="n">
        <v>2</v>
      </c>
      <c r="AB13" s="0" t="n">
        <v>2</v>
      </c>
      <c r="AC13" s="0" t="n">
        <v>2</v>
      </c>
      <c r="AD13" s="0" t="n">
        <v>2</v>
      </c>
      <c r="AE13" s="0" t="n">
        <v>2</v>
      </c>
      <c r="AF13" s="0" t="n">
        <v>2</v>
      </c>
      <c r="AG13" s="0" t="n">
        <v>2</v>
      </c>
      <c r="AH13" s="0" t="n">
        <v>2</v>
      </c>
      <c r="AI13" s="0" t="n">
        <v>2</v>
      </c>
      <c r="AJ13" s="0" t="n">
        <v>2</v>
      </c>
      <c r="AK13" s="0" t="n">
        <v>2</v>
      </c>
      <c r="AL13" s="0" t="n">
        <v>2</v>
      </c>
      <c r="AM13" s="0" t="n">
        <v>2</v>
      </c>
      <c r="AN13" s="0" t="n">
        <v>2</v>
      </c>
      <c r="AO13" s="0" t="n">
        <v>40</v>
      </c>
      <c r="AP13" s="0" t="n">
        <v>19</v>
      </c>
      <c r="AQ13" s="0" t="n">
        <v>10</v>
      </c>
      <c r="AR13" s="0" t="n">
        <v>145</v>
      </c>
    </row>
    <row r="14" customFormat="false" ht="15" hidden="false" customHeight="false" outlineLevel="0" collapsed="false">
      <c r="A14" s="0" t="s">
        <v>52</v>
      </c>
      <c r="B14" s="0" t="s">
        <v>53</v>
      </c>
      <c r="C14" s="0" t="n">
        <v>2</v>
      </c>
      <c r="D14" s="0" t="n">
        <v>2</v>
      </c>
      <c r="E14" s="0" t="n">
        <v>2</v>
      </c>
      <c r="F14" s="0" t="n">
        <v>2</v>
      </c>
      <c r="G14" s="0" t="n">
        <v>2</v>
      </c>
      <c r="H14" s="0" t="n">
        <v>2</v>
      </c>
      <c r="I14" s="0" t="n">
        <v>2</v>
      </c>
      <c r="J14" s="0" t="n">
        <v>2</v>
      </c>
      <c r="K14" s="0" t="n">
        <v>2</v>
      </c>
      <c r="L14" s="0" t="n">
        <v>2</v>
      </c>
      <c r="M14" s="0" t="n">
        <v>2</v>
      </c>
      <c r="N14" s="0" t="n">
        <v>2</v>
      </c>
      <c r="O14" s="0" t="n">
        <v>2</v>
      </c>
      <c r="P14" s="0" t="n">
        <v>2</v>
      </c>
      <c r="Q14" s="0" t="n">
        <v>2</v>
      </c>
      <c r="R14" s="0" t="n">
        <v>2</v>
      </c>
      <c r="S14" s="0" t="n">
        <v>2</v>
      </c>
      <c r="T14" s="0" t="n">
        <v>2</v>
      </c>
      <c r="U14" s="0" t="n">
        <v>2</v>
      </c>
      <c r="V14" s="0" t="n">
        <v>2</v>
      </c>
      <c r="W14" s="0" t="n">
        <v>2</v>
      </c>
      <c r="X14" s="0" t="n">
        <v>2</v>
      </c>
      <c r="Y14" s="0" t="n">
        <v>2</v>
      </c>
      <c r="Z14" s="0" t="n">
        <v>2</v>
      </c>
      <c r="AA14" s="0" t="n">
        <v>2</v>
      </c>
      <c r="AB14" s="0" t="n">
        <v>2</v>
      </c>
      <c r="AC14" s="0" t="n">
        <v>2</v>
      </c>
      <c r="AD14" s="0" t="n">
        <v>2</v>
      </c>
      <c r="AE14" s="0" t="n">
        <v>2</v>
      </c>
      <c r="AF14" s="0" t="n">
        <v>2</v>
      </c>
      <c r="AG14" s="0" t="n">
        <v>2</v>
      </c>
      <c r="AH14" s="0" t="n">
        <v>2</v>
      </c>
      <c r="AI14" s="0" t="n">
        <v>2</v>
      </c>
      <c r="AJ14" s="0" t="n">
        <v>2</v>
      </c>
      <c r="AK14" s="0" t="n">
        <v>2</v>
      </c>
      <c r="AL14" s="0" t="n">
        <v>2</v>
      </c>
      <c r="AM14" s="0" t="n">
        <v>2</v>
      </c>
      <c r="AN14" s="0" t="n">
        <v>2</v>
      </c>
      <c r="AO14" s="0" t="n">
        <v>40</v>
      </c>
      <c r="AP14" s="0" t="n">
        <v>19</v>
      </c>
      <c r="AQ14" s="0" t="n">
        <v>10</v>
      </c>
      <c r="AR14" s="0" t="n">
        <v>145</v>
      </c>
    </row>
    <row r="15" customFormat="false" ht="15" hidden="false" customHeight="false" outlineLevel="0" collapsed="false">
      <c r="A15" s="0" t="s">
        <v>54</v>
      </c>
      <c r="B15" s="0" t="s">
        <v>55</v>
      </c>
      <c r="C15" s="0" t="n">
        <v>2</v>
      </c>
      <c r="D15" s="0" t="n">
        <v>2</v>
      </c>
      <c r="E15" s="0" t="n">
        <v>2</v>
      </c>
      <c r="F15" s="0" t="n">
        <v>2</v>
      </c>
      <c r="G15" s="0" t="n">
        <v>2</v>
      </c>
      <c r="H15" s="0" t="n">
        <v>2</v>
      </c>
      <c r="I15" s="0" t="n">
        <v>2</v>
      </c>
      <c r="J15" s="0" t="n">
        <v>2</v>
      </c>
      <c r="K15" s="0" t="n">
        <v>2</v>
      </c>
      <c r="L15" s="0" t="n">
        <v>2</v>
      </c>
      <c r="M15" s="0" t="n">
        <v>2</v>
      </c>
      <c r="N15" s="0" t="n">
        <v>2</v>
      </c>
      <c r="O15" s="0" t="n">
        <v>2</v>
      </c>
      <c r="P15" s="0" t="n">
        <v>2</v>
      </c>
      <c r="Q15" s="0" t="n">
        <v>2</v>
      </c>
      <c r="R15" s="0" t="n">
        <v>2</v>
      </c>
      <c r="S15" s="0" t="n">
        <v>2</v>
      </c>
      <c r="T15" s="0" t="n">
        <v>2</v>
      </c>
      <c r="U15" s="0" t="n">
        <v>2</v>
      </c>
      <c r="V15" s="0" t="n">
        <v>2</v>
      </c>
      <c r="W15" s="0" t="n">
        <v>2</v>
      </c>
      <c r="X15" s="0" t="n">
        <v>2</v>
      </c>
      <c r="Y15" s="0" t="n">
        <v>2</v>
      </c>
      <c r="Z15" s="0" t="n">
        <v>2</v>
      </c>
      <c r="AA15" s="0" t="n">
        <v>2</v>
      </c>
      <c r="AB15" s="0" t="n">
        <v>2</v>
      </c>
      <c r="AC15" s="0" t="n">
        <v>2</v>
      </c>
      <c r="AD15" s="0" t="n">
        <v>2</v>
      </c>
      <c r="AE15" s="0" t="n">
        <v>2</v>
      </c>
      <c r="AF15" s="0" t="n">
        <v>2</v>
      </c>
      <c r="AG15" s="0" t="n">
        <v>2</v>
      </c>
      <c r="AH15" s="0" t="n">
        <v>2</v>
      </c>
      <c r="AI15" s="0" t="n">
        <v>2</v>
      </c>
      <c r="AJ15" s="0" t="n">
        <v>2</v>
      </c>
      <c r="AK15" s="0" t="n">
        <v>2</v>
      </c>
      <c r="AL15" s="0" t="n">
        <v>2</v>
      </c>
      <c r="AM15" s="0" t="n">
        <v>2</v>
      </c>
      <c r="AN15" s="0" t="n">
        <v>2</v>
      </c>
      <c r="AO15" s="0" t="n">
        <v>40</v>
      </c>
      <c r="AP15" s="0" t="n">
        <v>19</v>
      </c>
      <c r="AQ15" s="0" t="n">
        <v>10</v>
      </c>
      <c r="AR15" s="0" t="n">
        <v>145</v>
      </c>
    </row>
    <row r="16" customFormat="false" ht="15" hidden="false" customHeight="false" outlineLevel="0" collapsed="false">
      <c r="A16" s="0" t="s">
        <v>56</v>
      </c>
      <c r="B16" s="0" t="s">
        <v>57</v>
      </c>
      <c r="C16" s="0" t="n">
        <v>2</v>
      </c>
      <c r="D16" s="0" t="n">
        <v>2</v>
      </c>
      <c r="E16" s="0" t="n">
        <v>2</v>
      </c>
      <c r="F16" s="0" t="n">
        <v>2</v>
      </c>
      <c r="G16" s="0" t="n">
        <v>2</v>
      </c>
      <c r="H16" s="0" t="n">
        <v>2</v>
      </c>
      <c r="I16" s="0" t="n">
        <v>2</v>
      </c>
      <c r="J16" s="0" t="n">
        <v>2</v>
      </c>
      <c r="K16" s="0" t="n">
        <v>2</v>
      </c>
      <c r="L16" s="0" t="n">
        <v>2</v>
      </c>
      <c r="M16" s="0" t="n">
        <v>2</v>
      </c>
      <c r="N16" s="0" t="n">
        <v>2</v>
      </c>
      <c r="O16" s="0" t="n">
        <v>2</v>
      </c>
      <c r="P16" s="0" t="n">
        <v>2</v>
      </c>
      <c r="Q16" s="0" t="n">
        <v>2</v>
      </c>
      <c r="R16" s="0" t="n">
        <v>2</v>
      </c>
      <c r="S16" s="0" t="n">
        <v>2</v>
      </c>
      <c r="T16" s="0" t="n">
        <v>2</v>
      </c>
      <c r="U16" s="0" t="n">
        <v>2</v>
      </c>
      <c r="V16" s="0" t="n">
        <v>2</v>
      </c>
      <c r="W16" s="0" t="n">
        <v>2</v>
      </c>
      <c r="X16" s="0" t="n">
        <v>2</v>
      </c>
      <c r="Y16" s="0" t="n">
        <v>2</v>
      </c>
      <c r="Z16" s="0" t="n">
        <v>2</v>
      </c>
      <c r="AA16" s="0" t="n">
        <v>2</v>
      </c>
      <c r="AB16" s="0" t="n">
        <v>2</v>
      </c>
      <c r="AC16" s="0" t="n">
        <v>2</v>
      </c>
      <c r="AD16" s="0" t="n">
        <v>2</v>
      </c>
      <c r="AE16" s="0" t="n">
        <v>2</v>
      </c>
      <c r="AF16" s="0" t="n">
        <v>2</v>
      </c>
      <c r="AG16" s="0" t="n">
        <v>2</v>
      </c>
      <c r="AH16" s="0" t="n">
        <v>2</v>
      </c>
      <c r="AI16" s="0" t="n">
        <v>2</v>
      </c>
      <c r="AJ16" s="0" t="n">
        <v>2</v>
      </c>
      <c r="AK16" s="0" t="n">
        <v>2</v>
      </c>
      <c r="AL16" s="0" t="n">
        <v>2</v>
      </c>
      <c r="AM16" s="0" t="n">
        <v>2</v>
      </c>
      <c r="AN16" s="0" t="n">
        <v>2</v>
      </c>
      <c r="AO16" s="0" t="n">
        <v>40</v>
      </c>
      <c r="AP16" s="0" t="n">
        <v>19</v>
      </c>
      <c r="AQ16" s="0" t="n">
        <v>10</v>
      </c>
      <c r="AR16" s="0" t="n">
        <v>145</v>
      </c>
    </row>
    <row r="17" customFormat="false" ht="15" hidden="false" customHeight="false" outlineLevel="0" collapsed="false">
      <c r="A17" s="0" t="s">
        <v>58</v>
      </c>
      <c r="B17" s="0" t="s">
        <v>59</v>
      </c>
      <c r="C17" s="0" t="n">
        <v>2</v>
      </c>
      <c r="D17" s="0" t="n">
        <v>2</v>
      </c>
      <c r="E17" s="0" t="n">
        <v>2</v>
      </c>
      <c r="F17" s="0" t="n">
        <v>2</v>
      </c>
      <c r="G17" s="0" t="n">
        <v>2</v>
      </c>
      <c r="H17" s="0" t="n">
        <v>2</v>
      </c>
      <c r="I17" s="0" t="n">
        <v>2</v>
      </c>
      <c r="J17" s="0" t="n">
        <v>2</v>
      </c>
      <c r="K17" s="0" t="n">
        <v>2</v>
      </c>
      <c r="L17" s="0" t="n">
        <v>2</v>
      </c>
      <c r="M17" s="0" t="n">
        <v>2</v>
      </c>
      <c r="N17" s="0" t="n">
        <v>2</v>
      </c>
      <c r="O17" s="0" t="n">
        <v>2</v>
      </c>
      <c r="P17" s="0" t="n">
        <v>2</v>
      </c>
      <c r="Q17" s="0" t="n">
        <v>2</v>
      </c>
      <c r="R17" s="0" t="n">
        <v>2</v>
      </c>
      <c r="S17" s="0" t="n">
        <v>2</v>
      </c>
      <c r="T17" s="0" t="n">
        <v>2</v>
      </c>
      <c r="U17" s="0" t="n">
        <v>2</v>
      </c>
      <c r="V17" s="0" t="n">
        <v>2</v>
      </c>
      <c r="W17" s="0" t="n">
        <v>2</v>
      </c>
      <c r="X17" s="0" t="n">
        <v>2</v>
      </c>
      <c r="Y17" s="0" t="n">
        <v>2</v>
      </c>
      <c r="Z17" s="0" t="n">
        <v>2</v>
      </c>
      <c r="AA17" s="0" t="n">
        <v>2</v>
      </c>
      <c r="AB17" s="0" t="n">
        <v>2</v>
      </c>
      <c r="AC17" s="0" t="n">
        <v>2</v>
      </c>
      <c r="AD17" s="0" t="n">
        <v>2</v>
      </c>
      <c r="AE17" s="0" t="n">
        <v>2</v>
      </c>
      <c r="AF17" s="0" t="n">
        <v>2</v>
      </c>
      <c r="AG17" s="0" t="n">
        <v>2</v>
      </c>
      <c r="AH17" s="0" t="n">
        <v>2</v>
      </c>
      <c r="AI17" s="0" t="n">
        <v>2</v>
      </c>
      <c r="AJ17" s="0" t="n">
        <v>2</v>
      </c>
      <c r="AK17" s="0" t="n">
        <v>2</v>
      </c>
      <c r="AL17" s="0" t="n">
        <v>2</v>
      </c>
      <c r="AM17" s="0" t="n">
        <v>2</v>
      </c>
      <c r="AN17" s="0" t="n">
        <v>2</v>
      </c>
      <c r="AO17" s="0" t="n">
        <v>40</v>
      </c>
      <c r="AP17" s="0" t="n">
        <v>19</v>
      </c>
      <c r="AQ17" s="0" t="n">
        <v>10</v>
      </c>
      <c r="AR17" s="0" t="n">
        <v>145</v>
      </c>
    </row>
    <row r="18" customFormat="false" ht="15" hidden="false" customHeight="false" outlineLevel="0" collapsed="false">
      <c r="A18" s="0" t="s">
        <v>60</v>
      </c>
      <c r="B18" s="0" t="s">
        <v>61</v>
      </c>
      <c r="C18" s="0" t="n">
        <v>2</v>
      </c>
      <c r="D18" s="0" t="n">
        <v>2</v>
      </c>
      <c r="E18" s="0" t="n">
        <v>2</v>
      </c>
      <c r="F18" s="0" t="n">
        <v>2</v>
      </c>
      <c r="G18" s="0" t="n">
        <v>2</v>
      </c>
      <c r="H18" s="0" t="n">
        <v>2</v>
      </c>
      <c r="I18" s="0" t="n">
        <v>2</v>
      </c>
      <c r="J18" s="0" t="n">
        <v>2</v>
      </c>
      <c r="K18" s="0" t="n">
        <v>2</v>
      </c>
      <c r="L18" s="0" t="n">
        <v>2</v>
      </c>
      <c r="M18" s="0" t="n">
        <v>2</v>
      </c>
      <c r="N18" s="0" t="n">
        <v>2</v>
      </c>
      <c r="O18" s="0" t="n">
        <v>2</v>
      </c>
      <c r="P18" s="0" t="n">
        <v>2</v>
      </c>
      <c r="Q18" s="0" t="n">
        <v>2</v>
      </c>
      <c r="R18" s="0" t="n">
        <v>2</v>
      </c>
      <c r="S18" s="0" t="n">
        <v>2</v>
      </c>
      <c r="T18" s="0" t="n">
        <v>2</v>
      </c>
      <c r="U18" s="0" t="n">
        <v>2</v>
      </c>
      <c r="V18" s="0" t="n">
        <v>2</v>
      </c>
      <c r="W18" s="0" t="n">
        <v>2</v>
      </c>
      <c r="X18" s="0" t="n">
        <v>2</v>
      </c>
      <c r="Y18" s="0" t="n">
        <v>2</v>
      </c>
      <c r="Z18" s="0" t="n">
        <v>2</v>
      </c>
      <c r="AA18" s="0" t="n">
        <v>2</v>
      </c>
      <c r="AB18" s="0" t="n">
        <v>2</v>
      </c>
      <c r="AC18" s="0" t="n">
        <v>2</v>
      </c>
      <c r="AD18" s="0" t="n">
        <v>2</v>
      </c>
      <c r="AE18" s="0" t="n">
        <v>2</v>
      </c>
      <c r="AF18" s="0" t="n">
        <v>2</v>
      </c>
      <c r="AG18" s="0" t="n">
        <v>2</v>
      </c>
      <c r="AH18" s="0" t="n">
        <v>2</v>
      </c>
      <c r="AI18" s="0" t="n">
        <v>2</v>
      </c>
      <c r="AJ18" s="0" t="n">
        <v>2</v>
      </c>
      <c r="AK18" s="0" t="n">
        <v>2</v>
      </c>
      <c r="AL18" s="0" t="n">
        <v>2</v>
      </c>
      <c r="AM18" s="0" t="n">
        <v>2</v>
      </c>
      <c r="AN18" s="0" t="n">
        <v>2</v>
      </c>
      <c r="AO18" s="0" t="n">
        <v>40</v>
      </c>
      <c r="AP18" s="0" t="n">
        <v>19</v>
      </c>
      <c r="AQ18" s="0" t="n">
        <v>10</v>
      </c>
      <c r="AR18" s="0" t="n">
        <v>145</v>
      </c>
    </row>
    <row r="19" customFormat="false" ht="15" hidden="false" customHeight="false" outlineLevel="0" collapsed="false">
      <c r="A19" s="0" t="s">
        <v>62</v>
      </c>
      <c r="B19" s="0" t="s">
        <v>63</v>
      </c>
      <c r="C19" s="0" t="n">
        <v>2</v>
      </c>
      <c r="D19" s="0" t="n">
        <v>2</v>
      </c>
      <c r="E19" s="0" t="n">
        <v>2</v>
      </c>
      <c r="F19" s="0" t="n">
        <v>2</v>
      </c>
      <c r="G19" s="0" t="n">
        <v>2</v>
      </c>
      <c r="H19" s="0" t="n">
        <v>2</v>
      </c>
      <c r="I19" s="0" t="n">
        <v>2</v>
      </c>
      <c r="J19" s="0" t="n">
        <v>2</v>
      </c>
      <c r="K19" s="0" t="n">
        <v>2</v>
      </c>
      <c r="L19" s="0" t="n">
        <v>2</v>
      </c>
      <c r="M19" s="0" t="n">
        <v>2</v>
      </c>
      <c r="N19" s="0" t="n">
        <v>2</v>
      </c>
      <c r="O19" s="0" t="n">
        <v>2</v>
      </c>
      <c r="P19" s="0" t="n">
        <v>2</v>
      </c>
      <c r="Q19" s="0" t="n">
        <v>2</v>
      </c>
      <c r="R19" s="0" t="n">
        <v>2</v>
      </c>
      <c r="S19" s="0" t="n">
        <v>2</v>
      </c>
      <c r="T19" s="0" t="n">
        <v>2</v>
      </c>
      <c r="U19" s="0" t="n">
        <v>2</v>
      </c>
      <c r="V19" s="0" t="n">
        <v>2</v>
      </c>
      <c r="W19" s="0" t="n">
        <v>2</v>
      </c>
      <c r="X19" s="0" t="n">
        <v>2</v>
      </c>
      <c r="Y19" s="0" t="n">
        <v>2</v>
      </c>
      <c r="Z19" s="0" t="n">
        <v>2</v>
      </c>
      <c r="AA19" s="0" t="n">
        <v>2</v>
      </c>
      <c r="AB19" s="0" t="n">
        <v>2</v>
      </c>
      <c r="AC19" s="0" t="n">
        <v>2</v>
      </c>
      <c r="AD19" s="0" t="n">
        <v>2</v>
      </c>
      <c r="AE19" s="0" t="n">
        <v>2</v>
      </c>
      <c r="AF19" s="0" t="n">
        <v>2</v>
      </c>
      <c r="AG19" s="0" t="n">
        <v>2</v>
      </c>
      <c r="AH19" s="0" t="n">
        <v>2</v>
      </c>
      <c r="AI19" s="0" t="n">
        <v>2</v>
      </c>
      <c r="AJ19" s="0" t="n">
        <v>2</v>
      </c>
      <c r="AK19" s="0" t="n">
        <v>2</v>
      </c>
      <c r="AL19" s="0" t="n">
        <v>2</v>
      </c>
      <c r="AM19" s="0" t="n">
        <v>2</v>
      </c>
      <c r="AN19" s="0" t="n">
        <v>2</v>
      </c>
      <c r="AO19" s="0" t="n">
        <v>40</v>
      </c>
      <c r="AP19" s="0" t="n">
        <v>19</v>
      </c>
      <c r="AQ19" s="0" t="n">
        <v>10</v>
      </c>
      <c r="AR19" s="0" t="n">
        <v>145</v>
      </c>
    </row>
    <row r="20" customFormat="false" ht="15" hidden="false" customHeight="false" outlineLevel="0" collapsed="false">
      <c r="A20" s="0" t="s">
        <v>64</v>
      </c>
      <c r="B20" s="0" t="s">
        <v>65</v>
      </c>
      <c r="C20" s="0" t="n">
        <v>2</v>
      </c>
      <c r="D20" s="0" t="n">
        <v>2</v>
      </c>
      <c r="E20" s="0" t="n">
        <v>2</v>
      </c>
      <c r="F20" s="0" t="n">
        <v>2</v>
      </c>
      <c r="G20" s="0" t="n">
        <v>2</v>
      </c>
      <c r="H20" s="0" t="n">
        <v>2</v>
      </c>
      <c r="I20" s="0" t="n">
        <v>2</v>
      </c>
      <c r="J20" s="0" t="n">
        <v>2</v>
      </c>
      <c r="K20" s="0" t="n">
        <v>2</v>
      </c>
      <c r="L20" s="0" t="n">
        <v>2</v>
      </c>
      <c r="M20" s="0" t="n">
        <v>2</v>
      </c>
      <c r="N20" s="0" t="n">
        <v>2</v>
      </c>
      <c r="O20" s="0" t="n">
        <v>2</v>
      </c>
      <c r="P20" s="0" t="n">
        <v>2</v>
      </c>
      <c r="Q20" s="0" t="n">
        <v>2</v>
      </c>
      <c r="R20" s="0" t="n">
        <v>2</v>
      </c>
      <c r="S20" s="0" t="n">
        <v>2</v>
      </c>
      <c r="T20" s="0" t="n">
        <v>2</v>
      </c>
      <c r="U20" s="0" t="n">
        <v>2</v>
      </c>
      <c r="V20" s="0" t="n">
        <v>2</v>
      </c>
      <c r="W20" s="0" t="n">
        <v>2</v>
      </c>
      <c r="X20" s="0" t="n">
        <v>2</v>
      </c>
      <c r="Y20" s="0" t="n">
        <v>2</v>
      </c>
      <c r="Z20" s="0" t="n">
        <v>2</v>
      </c>
      <c r="AA20" s="0" t="n">
        <v>2</v>
      </c>
      <c r="AB20" s="0" t="n">
        <v>2</v>
      </c>
      <c r="AC20" s="0" t="n">
        <v>2</v>
      </c>
      <c r="AD20" s="0" t="n">
        <v>2</v>
      </c>
      <c r="AE20" s="0" t="n">
        <v>2</v>
      </c>
      <c r="AF20" s="0" t="n">
        <v>2</v>
      </c>
      <c r="AG20" s="0" t="n">
        <v>2</v>
      </c>
      <c r="AH20" s="0" t="n">
        <v>2</v>
      </c>
      <c r="AI20" s="0" t="n">
        <v>2</v>
      </c>
      <c r="AJ20" s="0" t="n">
        <v>2</v>
      </c>
      <c r="AK20" s="0" t="n">
        <v>2</v>
      </c>
      <c r="AL20" s="0" t="n">
        <v>2</v>
      </c>
      <c r="AM20" s="0" t="n">
        <v>2</v>
      </c>
      <c r="AN20" s="0" t="n">
        <v>2</v>
      </c>
      <c r="AO20" s="0" t="n">
        <v>40</v>
      </c>
      <c r="AP20" s="0" t="n">
        <v>19</v>
      </c>
      <c r="AQ20" s="0" t="n">
        <v>10</v>
      </c>
      <c r="AR20" s="0" t="n">
        <v>145</v>
      </c>
    </row>
    <row r="21" customFormat="false" ht="15" hidden="false" customHeight="false" outlineLevel="0" collapsed="false">
      <c r="A21" s="0" t="s">
        <v>66</v>
      </c>
      <c r="B21" s="0" t="s">
        <v>67</v>
      </c>
      <c r="C21" s="0" t="n">
        <v>2</v>
      </c>
      <c r="D21" s="0" t="n">
        <v>2</v>
      </c>
      <c r="E21" s="0" t="n">
        <v>2</v>
      </c>
      <c r="F21" s="0" t="n">
        <v>2</v>
      </c>
      <c r="G21" s="0" t="n">
        <v>2</v>
      </c>
      <c r="H21" s="0" t="n">
        <v>2</v>
      </c>
      <c r="I21" s="0" t="n">
        <v>2</v>
      </c>
      <c r="J21" s="0" t="n">
        <v>2</v>
      </c>
      <c r="K21" s="0" t="n">
        <v>2</v>
      </c>
      <c r="L21" s="0" t="n">
        <v>2</v>
      </c>
      <c r="M21" s="0" t="n">
        <v>2</v>
      </c>
      <c r="N21" s="0" t="n">
        <v>2</v>
      </c>
      <c r="O21" s="0" t="n">
        <v>2</v>
      </c>
      <c r="P21" s="0" t="n">
        <v>2</v>
      </c>
      <c r="Q21" s="0" t="n">
        <v>2</v>
      </c>
      <c r="R21" s="0" t="n">
        <v>2</v>
      </c>
      <c r="S21" s="0" t="n">
        <v>2</v>
      </c>
      <c r="T21" s="0" t="n">
        <v>2</v>
      </c>
      <c r="U21" s="0" t="n">
        <v>2</v>
      </c>
      <c r="V21" s="0" t="n">
        <v>2</v>
      </c>
      <c r="W21" s="0" t="n">
        <v>2</v>
      </c>
      <c r="X21" s="0" t="n">
        <v>2</v>
      </c>
      <c r="Y21" s="0" t="n">
        <v>2</v>
      </c>
      <c r="Z21" s="0" t="n">
        <v>2</v>
      </c>
      <c r="AA21" s="0" t="n">
        <v>2</v>
      </c>
      <c r="AB21" s="0" t="n">
        <v>2</v>
      </c>
      <c r="AC21" s="0" t="n">
        <v>2</v>
      </c>
      <c r="AD21" s="0" t="n">
        <v>2</v>
      </c>
      <c r="AE21" s="0" t="n">
        <v>2</v>
      </c>
      <c r="AF21" s="0" t="n">
        <v>2</v>
      </c>
      <c r="AG21" s="0" t="n">
        <v>2</v>
      </c>
      <c r="AH21" s="0" t="n">
        <v>2</v>
      </c>
      <c r="AI21" s="0" t="n">
        <v>2</v>
      </c>
      <c r="AJ21" s="0" t="n">
        <v>2</v>
      </c>
      <c r="AK21" s="0" t="n">
        <v>2</v>
      </c>
      <c r="AL21" s="0" t="n">
        <v>2</v>
      </c>
      <c r="AM21" s="0" t="n">
        <v>2</v>
      </c>
      <c r="AN21" s="0" t="n">
        <v>2</v>
      </c>
      <c r="AO21" s="0" t="n">
        <v>40</v>
      </c>
      <c r="AP21" s="0" t="n">
        <v>19</v>
      </c>
      <c r="AQ21" s="0" t="n">
        <v>10</v>
      </c>
      <c r="AR21" s="0" t="n">
        <v>145</v>
      </c>
    </row>
    <row r="22" customFormat="false" ht="15" hidden="false" customHeight="false" outlineLevel="0" collapsed="false">
      <c r="A22" s="0" t="s">
        <v>68</v>
      </c>
      <c r="B22" s="0" t="s">
        <v>69</v>
      </c>
      <c r="C22" s="0" t="n">
        <v>2</v>
      </c>
      <c r="D22" s="0" t="n">
        <v>2</v>
      </c>
      <c r="E22" s="0" t="n">
        <v>2</v>
      </c>
      <c r="F22" s="0" t="n">
        <v>2</v>
      </c>
      <c r="G22" s="0" t="n">
        <v>2</v>
      </c>
      <c r="H22" s="0" t="n">
        <v>2</v>
      </c>
      <c r="I22" s="0" t="n">
        <v>2</v>
      </c>
      <c r="J22" s="0" t="n">
        <v>2</v>
      </c>
      <c r="K22" s="0" t="n">
        <v>2</v>
      </c>
      <c r="L22" s="0" t="n">
        <v>2</v>
      </c>
      <c r="M22" s="0" t="n">
        <v>2</v>
      </c>
      <c r="N22" s="0" t="n">
        <v>2</v>
      </c>
      <c r="O22" s="0" t="n">
        <v>2</v>
      </c>
      <c r="P22" s="0" t="n">
        <v>2</v>
      </c>
      <c r="Q22" s="0" t="n">
        <v>2</v>
      </c>
      <c r="R22" s="0" t="n">
        <v>2</v>
      </c>
      <c r="S22" s="0" t="n">
        <v>2</v>
      </c>
      <c r="T22" s="0" t="n">
        <v>2</v>
      </c>
      <c r="U22" s="0" t="n">
        <v>2</v>
      </c>
      <c r="V22" s="0" t="n">
        <v>2</v>
      </c>
      <c r="W22" s="0" t="n">
        <v>2</v>
      </c>
      <c r="X22" s="0" t="n">
        <v>2</v>
      </c>
      <c r="Y22" s="0" t="n">
        <v>2</v>
      </c>
      <c r="Z22" s="0" t="n">
        <v>2</v>
      </c>
      <c r="AA22" s="0" t="n">
        <v>2</v>
      </c>
      <c r="AB22" s="0" t="n">
        <v>2</v>
      </c>
      <c r="AC22" s="0" t="n">
        <v>2</v>
      </c>
      <c r="AD22" s="0" t="n">
        <v>2</v>
      </c>
      <c r="AE22" s="0" t="n">
        <v>2</v>
      </c>
      <c r="AF22" s="0" t="n">
        <v>2</v>
      </c>
      <c r="AG22" s="0" t="n">
        <v>2</v>
      </c>
      <c r="AH22" s="0" t="n">
        <v>2</v>
      </c>
      <c r="AI22" s="0" t="n">
        <v>2</v>
      </c>
      <c r="AJ22" s="0" t="n">
        <v>2</v>
      </c>
      <c r="AK22" s="0" t="n">
        <v>2</v>
      </c>
      <c r="AL22" s="0" t="n">
        <v>2</v>
      </c>
      <c r="AM22" s="0" t="n">
        <v>2</v>
      </c>
      <c r="AN22" s="0" t="n">
        <v>2</v>
      </c>
      <c r="AO22" s="0" t="n">
        <v>40</v>
      </c>
      <c r="AP22" s="0" t="n">
        <v>19</v>
      </c>
      <c r="AQ22" s="0" t="n">
        <v>10</v>
      </c>
      <c r="AR22" s="0" t="n">
        <v>145</v>
      </c>
    </row>
    <row r="23" customFormat="false" ht="15" hidden="false" customHeight="false" outlineLevel="0" collapsed="false">
      <c r="A23" s="0" t="s">
        <v>70</v>
      </c>
      <c r="B23" s="0" t="s">
        <v>71</v>
      </c>
      <c r="C23" s="0" t="n">
        <v>2</v>
      </c>
      <c r="D23" s="0" t="n">
        <v>2</v>
      </c>
      <c r="E23" s="0" t="n">
        <v>2</v>
      </c>
      <c r="F23" s="0" t="n">
        <v>2</v>
      </c>
      <c r="G23" s="0" t="n">
        <v>2</v>
      </c>
      <c r="H23" s="0" t="n">
        <v>2</v>
      </c>
      <c r="I23" s="0" t="n">
        <v>2</v>
      </c>
      <c r="J23" s="0" t="n">
        <v>2</v>
      </c>
      <c r="K23" s="0" t="n">
        <v>2</v>
      </c>
      <c r="L23" s="0" t="n">
        <v>2</v>
      </c>
      <c r="M23" s="0" t="n">
        <v>2</v>
      </c>
      <c r="N23" s="0" t="n">
        <v>2</v>
      </c>
      <c r="O23" s="0" t="n">
        <v>2</v>
      </c>
      <c r="P23" s="0" t="n">
        <v>2</v>
      </c>
      <c r="Q23" s="0" t="n">
        <v>2</v>
      </c>
      <c r="R23" s="0" t="n">
        <v>2</v>
      </c>
      <c r="S23" s="0" t="n">
        <v>2</v>
      </c>
      <c r="T23" s="0" t="n">
        <v>2</v>
      </c>
      <c r="U23" s="0" t="n">
        <v>2</v>
      </c>
      <c r="V23" s="0" t="n">
        <v>2</v>
      </c>
      <c r="W23" s="0" t="n">
        <v>2</v>
      </c>
      <c r="X23" s="0" t="n">
        <v>2</v>
      </c>
      <c r="Y23" s="0" t="n">
        <v>2</v>
      </c>
      <c r="Z23" s="0" t="n">
        <v>2</v>
      </c>
      <c r="AA23" s="0" t="n">
        <v>2</v>
      </c>
      <c r="AB23" s="0" t="n">
        <v>2</v>
      </c>
      <c r="AC23" s="0" t="n">
        <v>2</v>
      </c>
      <c r="AD23" s="0" t="n">
        <v>2</v>
      </c>
      <c r="AE23" s="0" t="n">
        <v>2</v>
      </c>
      <c r="AF23" s="0" t="n">
        <v>2</v>
      </c>
      <c r="AG23" s="0" t="n">
        <v>2</v>
      </c>
      <c r="AH23" s="0" t="n">
        <v>2</v>
      </c>
      <c r="AI23" s="0" t="n">
        <v>2</v>
      </c>
      <c r="AJ23" s="0" t="n">
        <v>2</v>
      </c>
      <c r="AK23" s="0" t="n">
        <v>2</v>
      </c>
      <c r="AL23" s="0" t="n">
        <v>2</v>
      </c>
      <c r="AM23" s="0" t="n">
        <v>2</v>
      </c>
      <c r="AN23" s="0" t="n">
        <v>2</v>
      </c>
      <c r="AO23" s="0" t="n">
        <v>40</v>
      </c>
      <c r="AP23" s="0" t="n">
        <v>19</v>
      </c>
      <c r="AQ23" s="0" t="n">
        <v>10</v>
      </c>
      <c r="AR23" s="0" t="n">
        <v>145</v>
      </c>
    </row>
    <row r="24" customFormat="false" ht="15" hidden="false" customHeight="false" outlineLevel="0" collapsed="false">
      <c r="A24" s="0" t="s">
        <v>72</v>
      </c>
      <c r="B24" s="0" t="s">
        <v>73</v>
      </c>
      <c r="C24" s="0" t="n">
        <v>2</v>
      </c>
      <c r="D24" s="0" t="n">
        <v>2</v>
      </c>
      <c r="E24" s="0" t="n">
        <v>2</v>
      </c>
      <c r="F24" s="0" t="n">
        <v>2</v>
      </c>
      <c r="G24" s="0" t="n">
        <v>2</v>
      </c>
      <c r="H24" s="0" t="n">
        <v>2</v>
      </c>
      <c r="I24" s="0" t="n">
        <v>2</v>
      </c>
      <c r="J24" s="0" t="n">
        <v>2</v>
      </c>
      <c r="K24" s="0" t="n">
        <v>2</v>
      </c>
      <c r="L24" s="0" t="n">
        <v>2</v>
      </c>
      <c r="M24" s="0" t="n">
        <v>2</v>
      </c>
      <c r="N24" s="0" t="n">
        <v>2</v>
      </c>
      <c r="O24" s="0" t="n">
        <v>2</v>
      </c>
      <c r="P24" s="0" t="n">
        <v>2</v>
      </c>
      <c r="Q24" s="0" t="n">
        <v>2</v>
      </c>
      <c r="R24" s="0" t="n">
        <v>2</v>
      </c>
      <c r="S24" s="0" t="n">
        <v>2</v>
      </c>
      <c r="T24" s="0" t="n">
        <v>2</v>
      </c>
      <c r="U24" s="0" t="n">
        <v>2</v>
      </c>
      <c r="V24" s="0" t="n">
        <v>2</v>
      </c>
      <c r="W24" s="0" t="n">
        <v>2</v>
      </c>
      <c r="X24" s="0" t="n">
        <v>2</v>
      </c>
      <c r="Y24" s="0" t="n">
        <v>2</v>
      </c>
      <c r="Z24" s="0" t="n">
        <v>2</v>
      </c>
      <c r="AA24" s="0" t="n">
        <v>2</v>
      </c>
      <c r="AB24" s="0" t="n">
        <v>2</v>
      </c>
      <c r="AC24" s="0" t="n">
        <v>2</v>
      </c>
      <c r="AD24" s="0" t="n">
        <v>2</v>
      </c>
      <c r="AE24" s="0" t="n">
        <v>2</v>
      </c>
      <c r="AF24" s="0" t="n">
        <v>2</v>
      </c>
      <c r="AG24" s="0" t="n">
        <v>2</v>
      </c>
      <c r="AH24" s="0" t="n">
        <v>2</v>
      </c>
      <c r="AI24" s="0" t="n">
        <v>2</v>
      </c>
      <c r="AJ24" s="0" t="n">
        <v>2</v>
      </c>
      <c r="AK24" s="0" t="n">
        <v>2</v>
      </c>
      <c r="AL24" s="0" t="n">
        <v>2</v>
      </c>
      <c r="AM24" s="0" t="n">
        <v>2</v>
      </c>
      <c r="AN24" s="0" t="n">
        <v>2</v>
      </c>
      <c r="AO24" s="0" t="n">
        <v>40</v>
      </c>
      <c r="AP24" s="0" t="n">
        <v>19</v>
      </c>
      <c r="AQ24" s="0" t="n">
        <v>10</v>
      </c>
      <c r="AR24" s="0" t="n">
        <v>145</v>
      </c>
    </row>
    <row r="25" customFormat="false" ht="15" hidden="false" customHeight="false" outlineLevel="0" collapsed="false">
      <c r="A25" s="0" t="s">
        <v>74</v>
      </c>
      <c r="B25" s="0" t="s">
        <v>75</v>
      </c>
      <c r="C25" s="0" t="n">
        <v>2</v>
      </c>
      <c r="D25" s="0" t="n">
        <v>2</v>
      </c>
      <c r="E25" s="0" t="n">
        <v>2</v>
      </c>
      <c r="F25" s="0" t="n">
        <v>2</v>
      </c>
      <c r="G25" s="0" t="n">
        <v>2</v>
      </c>
      <c r="H25" s="0" t="n">
        <v>2</v>
      </c>
      <c r="I25" s="0" t="n">
        <v>2</v>
      </c>
      <c r="J25" s="0" t="n">
        <v>2</v>
      </c>
      <c r="K25" s="0" t="n">
        <v>2</v>
      </c>
      <c r="L25" s="0" t="n">
        <v>2</v>
      </c>
      <c r="M25" s="0" t="n">
        <v>2</v>
      </c>
      <c r="N25" s="0" t="n">
        <v>2</v>
      </c>
      <c r="O25" s="0" t="n">
        <v>2</v>
      </c>
      <c r="P25" s="0" t="n">
        <v>2</v>
      </c>
      <c r="Q25" s="0" t="n">
        <v>2</v>
      </c>
      <c r="R25" s="0" t="n">
        <v>2</v>
      </c>
      <c r="S25" s="0" t="n">
        <v>2</v>
      </c>
      <c r="T25" s="0" t="n">
        <v>2</v>
      </c>
      <c r="U25" s="0" t="n">
        <v>2</v>
      </c>
      <c r="V25" s="0" t="n">
        <v>2</v>
      </c>
      <c r="W25" s="0" t="n">
        <v>2</v>
      </c>
      <c r="X25" s="0" t="n">
        <v>2</v>
      </c>
      <c r="Y25" s="0" t="n">
        <v>2</v>
      </c>
      <c r="Z25" s="0" t="n">
        <v>2</v>
      </c>
      <c r="AA25" s="0" t="n">
        <v>2</v>
      </c>
      <c r="AB25" s="0" t="n">
        <v>2</v>
      </c>
      <c r="AC25" s="0" t="n">
        <v>2</v>
      </c>
      <c r="AD25" s="0" t="n">
        <v>2</v>
      </c>
      <c r="AE25" s="0" t="n">
        <v>2</v>
      </c>
      <c r="AF25" s="0" t="n">
        <v>2</v>
      </c>
      <c r="AG25" s="0" t="n">
        <v>2</v>
      </c>
      <c r="AH25" s="0" t="n">
        <v>2</v>
      </c>
      <c r="AI25" s="0" t="n">
        <v>2</v>
      </c>
      <c r="AJ25" s="0" t="n">
        <v>2</v>
      </c>
      <c r="AK25" s="0" t="n">
        <v>2</v>
      </c>
      <c r="AL25" s="0" t="n">
        <v>2</v>
      </c>
      <c r="AM25" s="0" t="n">
        <v>2</v>
      </c>
      <c r="AN25" s="0" t="n">
        <v>2</v>
      </c>
      <c r="AO25" s="0" t="n">
        <v>40</v>
      </c>
      <c r="AP25" s="0" t="n">
        <v>19</v>
      </c>
      <c r="AQ25" s="0" t="n">
        <v>10</v>
      </c>
      <c r="AR25" s="0" t="n">
        <v>145</v>
      </c>
    </row>
    <row r="26" customFormat="false" ht="15" hidden="false" customHeight="false" outlineLevel="0" collapsed="false">
      <c r="A26" s="0" t="s">
        <v>76</v>
      </c>
      <c r="B26" s="0" t="s">
        <v>77</v>
      </c>
      <c r="C26" s="0" t="n">
        <v>2</v>
      </c>
      <c r="D26" s="0" t="n">
        <v>2</v>
      </c>
      <c r="E26" s="0" t="n">
        <v>2</v>
      </c>
      <c r="F26" s="0" t="n">
        <v>2</v>
      </c>
      <c r="G26" s="0" t="n">
        <v>2</v>
      </c>
      <c r="H26" s="0" t="n">
        <v>2</v>
      </c>
      <c r="I26" s="0" t="n">
        <v>2</v>
      </c>
      <c r="J26" s="0" t="n">
        <v>2</v>
      </c>
      <c r="K26" s="0" t="n">
        <v>2</v>
      </c>
      <c r="L26" s="0" t="n">
        <v>2</v>
      </c>
      <c r="M26" s="0" t="n">
        <v>2</v>
      </c>
      <c r="N26" s="0" t="n">
        <v>2</v>
      </c>
      <c r="O26" s="0" t="n">
        <v>2</v>
      </c>
      <c r="P26" s="0" t="n">
        <v>2</v>
      </c>
      <c r="Q26" s="0" t="n">
        <v>2</v>
      </c>
      <c r="R26" s="0" t="n">
        <v>2</v>
      </c>
      <c r="S26" s="0" t="n">
        <v>2</v>
      </c>
      <c r="T26" s="0" t="n">
        <v>2</v>
      </c>
      <c r="U26" s="0" t="n">
        <v>2</v>
      </c>
      <c r="V26" s="0" t="n">
        <v>2</v>
      </c>
      <c r="W26" s="0" t="n">
        <v>2</v>
      </c>
      <c r="X26" s="0" t="n">
        <v>2</v>
      </c>
      <c r="Y26" s="0" t="n">
        <v>2</v>
      </c>
      <c r="Z26" s="0" t="n">
        <v>2</v>
      </c>
      <c r="AA26" s="0" t="n">
        <v>2</v>
      </c>
      <c r="AB26" s="0" t="n">
        <v>2</v>
      </c>
      <c r="AC26" s="0" t="n">
        <v>2</v>
      </c>
      <c r="AD26" s="0" t="n">
        <v>2</v>
      </c>
      <c r="AE26" s="0" t="n">
        <v>2</v>
      </c>
      <c r="AF26" s="0" t="n">
        <v>2</v>
      </c>
      <c r="AG26" s="0" t="n">
        <v>2</v>
      </c>
      <c r="AH26" s="0" t="n">
        <v>2</v>
      </c>
      <c r="AI26" s="0" t="n">
        <v>2</v>
      </c>
      <c r="AJ26" s="0" t="n">
        <v>2</v>
      </c>
      <c r="AK26" s="0" t="n">
        <v>2</v>
      </c>
      <c r="AL26" s="0" t="n">
        <v>2</v>
      </c>
      <c r="AM26" s="0" t="n">
        <v>2</v>
      </c>
      <c r="AN26" s="0" t="n">
        <v>2</v>
      </c>
      <c r="AO26" s="0" t="n">
        <v>40</v>
      </c>
      <c r="AP26" s="0" t="n">
        <v>19</v>
      </c>
      <c r="AQ26" s="0" t="n">
        <v>10</v>
      </c>
      <c r="AR26" s="0" t="n">
        <v>145</v>
      </c>
    </row>
    <row r="27" customFormat="false" ht="15" hidden="false" customHeight="false" outlineLevel="0" collapsed="false">
      <c r="A27" s="0" t="s">
        <v>78</v>
      </c>
      <c r="B27" s="0" t="s">
        <v>79</v>
      </c>
      <c r="C27" s="0" t="n">
        <v>2</v>
      </c>
      <c r="D27" s="0" t="n">
        <v>2</v>
      </c>
      <c r="E27" s="0" t="n">
        <v>2</v>
      </c>
      <c r="F27" s="0" t="n">
        <v>2</v>
      </c>
      <c r="G27" s="0" t="n">
        <v>2</v>
      </c>
      <c r="H27" s="0" t="n">
        <v>2</v>
      </c>
      <c r="I27" s="0" t="n">
        <v>2</v>
      </c>
      <c r="J27" s="0" t="n">
        <v>2</v>
      </c>
      <c r="K27" s="0" t="n">
        <v>2</v>
      </c>
      <c r="L27" s="0" t="n">
        <v>2</v>
      </c>
      <c r="M27" s="0" t="n">
        <v>2</v>
      </c>
      <c r="N27" s="0" t="n">
        <v>2</v>
      </c>
      <c r="O27" s="0" t="n">
        <v>2</v>
      </c>
      <c r="P27" s="0" t="n">
        <v>2</v>
      </c>
      <c r="Q27" s="0" t="n">
        <v>2</v>
      </c>
      <c r="R27" s="0" t="n">
        <v>2</v>
      </c>
      <c r="S27" s="0" t="n">
        <v>2</v>
      </c>
      <c r="T27" s="0" t="n">
        <v>2</v>
      </c>
      <c r="U27" s="0" t="n">
        <v>2</v>
      </c>
      <c r="V27" s="0" t="n">
        <v>2</v>
      </c>
      <c r="W27" s="0" t="n">
        <v>2</v>
      </c>
      <c r="X27" s="0" t="n">
        <v>2</v>
      </c>
      <c r="Y27" s="0" t="n">
        <v>2</v>
      </c>
      <c r="Z27" s="0" t="n">
        <v>2</v>
      </c>
      <c r="AA27" s="0" t="n">
        <v>2</v>
      </c>
      <c r="AB27" s="0" t="n">
        <v>2</v>
      </c>
      <c r="AC27" s="0" t="n">
        <v>2</v>
      </c>
      <c r="AD27" s="0" t="n">
        <v>2</v>
      </c>
      <c r="AE27" s="0" t="n">
        <v>2</v>
      </c>
      <c r="AF27" s="0" t="n">
        <v>2</v>
      </c>
      <c r="AG27" s="0" t="n">
        <v>2</v>
      </c>
      <c r="AH27" s="0" t="n">
        <v>2</v>
      </c>
      <c r="AI27" s="0" t="n">
        <v>2</v>
      </c>
      <c r="AJ27" s="0" t="n">
        <v>2</v>
      </c>
      <c r="AK27" s="0" t="n">
        <v>2</v>
      </c>
      <c r="AL27" s="0" t="n">
        <v>2</v>
      </c>
      <c r="AM27" s="0" t="n">
        <v>2</v>
      </c>
      <c r="AN27" s="0" t="n">
        <v>2</v>
      </c>
      <c r="AO27" s="0" t="n">
        <v>40</v>
      </c>
      <c r="AP27" s="0" t="n">
        <v>19</v>
      </c>
      <c r="AQ27" s="0" t="n">
        <v>10</v>
      </c>
      <c r="AR27" s="0" t="n">
        <v>145</v>
      </c>
    </row>
    <row r="28" customFormat="false" ht="15" hidden="false" customHeight="false" outlineLevel="0" collapsed="false">
      <c r="A28" s="0" t="s">
        <v>80</v>
      </c>
      <c r="B28" s="0" t="s">
        <v>81</v>
      </c>
      <c r="C28" s="0" t="n">
        <v>2</v>
      </c>
      <c r="D28" s="0" t="n">
        <v>2</v>
      </c>
      <c r="E28" s="0" t="n">
        <v>2</v>
      </c>
      <c r="F28" s="0" t="n">
        <v>2</v>
      </c>
      <c r="G28" s="0" t="n">
        <v>2</v>
      </c>
      <c r="H28" s="0" t="n">
        <v>2</v>
      </c>
      <c r="I28" s="0" t="n">
        <v>2</v>
      </c>
      <c r="J28" s="0" t="n">
        <v>2</v>
      </c>
      <c r="K28" s="0" t="n">
        <v>2</v>
      </c>
      <c r="L28" s="0" t="n">
        <v>2</v>
      </c>
      <c r="M28" s="0" t="n">
        <v>2</v>
      </c>
      <c r="N28" s="0" t="n">
        <v>2</v>
      </c>
      <c r="O28" s="0" t="n">
        <v>2</v>
      </c>
      <c r="P28" s="0" t="n">
        <v>2</v>
      </c>
      <c r="Q28" s="0" t="n">
        <v>2</v>
      </c>
      <c r="R28" s="0" t="n">
        <v>2</v>
      </c>
      <c r="S28" s="0" t="n">
        <v>2</v>
      </c>
      <c r="T28" s="0" t="n">
        <v>2</v>
      </c>
      <c r="U28" s="0" t="n">
        <v>2</v>
      </c>
      <c r="V28" s="0" t="n">
        <v>2</v>
      </c>
      <c r="W28" s="0" t="n">
        <v>2</v>
      </c>
      <c r="X28" s="0" t="n">
        <v>2</v>
      </c>
      <c r="Y28" s="0" t="n">
        <v>2</v>
      </c>
      <c r="Z28" s="0" t="n">
        <v>2</v>
      </c>
      <c r="AA28" s="0" t="n">
        <v>2</v>
      </c>
      <c r="AB28" s="0" t="n">
        <v>2</v>
      </c>
      <c r="AC28" s="0" t="n">
        <v>2</v>
      </c>
      <c r="AD28" s="0" t="n">
        <v>2</v>
      </c>
      <c r="AE28" s="0" t="n">
        <v>2</v>
      </c>
      <c r="AF28" s="0" t="n">
        <v>2</v>
      </c>
      <c r="AG28" s="0" t="n">
        <v>2</v>
      </c>
      <c r="AH28" s="0" t="n">
        <v>2</v>
      </c>
      <c r="AI28" s="0" t="n">
        <v>2</v>
      </c>
      <c r="AJ28" s="0" t="n">
        <v>2</v>
      </c>
      <c r="AK28" s="0" t="n">
        <v>2</v>
      </c>
      <c r="AL28" s="0" t="n">
        <v>2</v>
      </c>
      <c r="AM28" s="0" t="n">
        <v>2</v>
      </c>
      <c r="AN28" s="0" t="n">
        <v>2</v>
      </c>
      <c r="AO28" s="0" t="n">
        <v>40</v>
      </c>
      <c r="AP28" s="0" t="n">
        <v>19</v>
      </c>
      <c r="AQ28" s="0" t="n">
        <v>10</v>
      </c>
      <c r="AR28" s="0" t="n">
        <v>145</v>
      </c>
    </row>
    <row r="29" customFormat="false" ht="15" hidden="false" customHeight="false" outlineLevel="0" collapsed="false">
      <c r="A29" s="0" t="s">
        <v>82</v>
      </c>
      <c r="B29" s="0" t="s">
        <v>83</v>
      </c>
      <c r="C29" s="0" t="n">
        <v>2</v>
      </c>
      <c r="D29" s="0" t="n">
        <v>2</v>
      </c>
      <c r="E29" s="0" t="n">
        <v>2</v>
      </c>
      <c r="F29" s="0" t="n">
        <v>2</v>
      </c>
      <c r="G29" s="0" t="n">
        <v>2</v>
      </c>
      <c r="H29" s="0" t="n">
        <v>2</v>
      </c>
      <c r="I29" s="0" t="n">
        <v>2</v>
      </c>
      <c r="J29" s="0" t="n">
        <v>2</v>
      </c>
      <c r="K29" s="0" t="n">
        <v>2</v>
      </c>
      <c r="L29" s="0" t="n">
        <v>2</v>
      </c>
      <c r="M29" s="0" t="n">
        <v>2</v>
      </c>
      <c r="N29" s="0" t="n">
        <v>2</v>
      </c>
      <c r="O29" s="0" t="n">
        <v>2</v>
      </c>
      <c r="P29" s="0" t="n">
        <v>2</v>
      </c>
      <c r="Q29" s="0" t="n">
        <v>2</v>
      </c>
      <c r="R29" s="0" t="n">
        <v>2</v>
      </c>
      <c r="S29" s="0" t="n">
        <v>2</v>
      </c>
      <c r="T29" s="0" t="n">
        <v>2</v>
      </c>
      <c r="U29" s="0" t="n">
        <v>2</v>
      </c>
      <c r="V29" s="0" t="n">
        <v>2</v>
      </c>
      <c r="W29" s="0" t="n">
        <v>2</v>
      </c>
      <c r="X29" s="0" t="n">
        <v>2</v>
      </c>
      <c r="Y29" s="0" t="n">
        <v>2</v>
      </c>
      <c r="Z29" s="0" t="n">
        <v>2</v>
      </c>
      <c r="AA29" s="0" t="n">
        <v>2</v>
      </c>
      <c r="AB29" s="0" t="n">
        <v>2</v>
      </c>
      <c r="AC29" s="0" t="n">
        <v>2</v>
      </c>
      <c r="AD29" s="0" t="n">
        <v>2</v>
      </c>
      <c r="AE29" s="0" t="n">
        <v>2</v>
      </c>
      <c r="AF29" s="0" t="n">
        <v>2</v>
      </c>
      <c r="AG29" s="0" t="n">
        <v>2</v>
      </c>
      <c r="AH29" s="0" t="n">
        <v>2</v>
      </c>
      <c r="AI29" s="0" t="n">
        <v>2</v>
      </c>
      <c r="AJ29" s="0" t="n">
        <v>2</v>
      </c>
      <c r="AK29" s="0" t="n">
        <v>2</v>
      </c>
      <c r="AL29" s="0" t="n">
        <v>2</v>
      </c>
      <c r="AM29" s="0" t="n">
        <v>2</v>
      </c>
      <c r="AN29" s="0" t="n">
        <v>2</v>
      </c>
      <c r="AO29" s="0" t="n">
        <v>40</v>
      </c>
      <c r="AP29" s="0" t="n">
        <v>19</v>
      </c>
      <c r="AQ29" s="0" t="n">
        <v>10</v>
      </c>
      <c r="AR29" s="0" t="n">
        <v>145</v>
      </c>
    </row>
    <row r="30" customFormat="false" ht="15" hidden="false" customHeight="false" outlineLevel="0" collapsed="false">
      <c r="A30" s="0" t="s">
        <v>84</v>
      </c>
      <c r="B30" s="0" t="s">
        <v>85</v>
      </c>
      <c r="C30" s="0" t="n">
        <v>2</v>
      </c>
      <c r="D30" s="0" t="n">
        <v>2</v>
      </c>
      <c r="E30" s="0" t="n">
        <v>2</v>
      </c>
      <c r="F30" s="0" t="n">
        <v>2</v>
      </c>
      <c r="G30" s="0" t="n">
        <v>2</v>
      </c>
      <c r="H30" s="0" t="n">
        <v>2</v>
      </c>
      <c r="I30" s="0" t="n">
        <v>2</v>
      </c>
      <c r="J30" s="0" t="n">
        <v>2</v>
      </c>
      <c r="K30" s="0" t="n">
        <v>2</v>
      </c>
      <c r="L30" s="0" t="n">
        <v>2</v>
      </c>
      <c r="M30" s="0" t="n">
        <v>2</v>
      </c>
      <c r="N30" s="0" t="n">
        <v>2</v>
      </c>
      <c r="O30" s="0" t="n">
        <v>2</v>
      </c>
      <c r="P30" s="0" t="n">
        <v>2</v>
      </c>
      <c r="Q30" s="0" t="n">
        <v>2</v>
      </c>
      <c r="R30" s="0" t="n">
        <v>2</v>
      </c>
      <c r="S30" s="0" t="n">
        <v>2</v>
      </c>
      <c r="T30" s="0" t="n">
        <v>2</v>
      </c>
      <c r="U30" s="0" t="n">
        <v>2</v>
      </c>
      <c r="V30" s="0" t="n">
        <v>2</v>
      </c>
      <c r="W30" s="0" t="n">
        <v>2</v>
      </c>
      <c r="X30" s="0" t="n">
        <v>2</v>
      </c>
      <c r="Y30" s="0" t="n">
        <v>2</v>
      </c>
      <c r="Z30" s="0" t="n">
        <v>2</v>
      </c>
      <c r="AA30" s="0" t="n">
        <v>2</v>
      </c>
      <c r="AB30" s="0" t="n">
        <v>2</v>
      </c>
      <c r="AC30" s="0" t="n">
        <v>2</v>
      </c>
      <c r="AD30" s="0" t="n">
        <v>2</v>
      </c>
      <c r="AE30" s="0" t="n">
        <v>2</v>
      </c>
      <c r="AF30" s="0" t="n">
        <v>2</v>
      </c>
      <c r="AG30" s="0" t="n">
        <v>2</v>
      </c>
      <c r="AH30" s="0" t="n">
        <v>2</v>
      </c>
      <c r="AI30" s="0" t="n">
        <v>2</v>
      </c>
      <c r="AJ30" s="0" t="n">
        <v>2</v>
      </c>
      <c r="AK30" s="0" t="n">
        <v>2</v>
      </c>
      <c r="AL30" s="0" t="n">
        <v>2</v>
      </c>
      <c r="AM30" s="0" t="n">
        <v>2</v>
      </c>
      <c r="AN30" s="0" t="n">
        <v>2</v>
      </c>
      <c r="AO30" s="0" t="n">
        <v>40</v>
      </c>
      <c r="AP30" s="0" t="n">
        <v>19</v>
      </c>
      <c r="AQ30" s="0" t="n">
        <v>10</v>
      </c>
      <c r="AR30" s="0" t="n">
        <v>145</v>
      </c>
    </row>
    <row r="31" customFormat="false" ht="15" hidden="false" customHeight="false" outlineLevel="0" collapsed="false">
      <c r="A31" s="0" t="s">
        <v>86</v>
      </c>
      <c r="B31" s="0" t="s">
        <v>87</v>
      </c>
      <c r="C31" s="0" t="n">
        <v>2</v>
      </c>
      <c r="D31" s="0" t="n">
        <v>2</v>
      </c>
      <c r="E31" s="0" t="n">
        <v>2</v>
      </c>
      <c r="F31" s="0" t="n">
        <v>2</v>
      </c>
      <c r="G31" s="0" t="n">
        <v>2</v>
      </c>
      <c r="H31" s="0" t="n">
        <v>2</v>
      </c>
      <c r="I31" s="0" t="n">
        <v>2</v>
      </c>
      <c r="J31" s="0" t="n">
        <v>2</v>
      </c>
      <c r="K31" s="0" t="n">
        <v>2</v>
      </c>
      <c r="L31" s="0" t="n">
        <v>2</v>
      </c>
      <c r="M31" s="0" t="n">
        <v>2</v>
      </c>
      <c r="N31" s="0" t="n">
        <v>2</v>
      </c>
      <c r="O31" s="0" t="n">
        <v>2</v>
      </c>
      <c r="P31" s="0" t="n">
        <v>2</v>
      </c>
      <c r="Q31" s="0" t="n">
        <v>2</v>
      </c>
      <c r="R31" s="0" t="n">
        <v>2</v>
      </c>
      <c r="S31" s="0" t="n">
        <v>2</v>
      </c>
      <c r="T31" s="0" t="n">
        <v>2</v>
      </c>
      <c r="U31" s="0" t="n">
        <v>2</v>
      </c>
      <c r="V31" s="0" t="n">
        <v>2</v>
      </c>
      <c r="W31" s="0" t="n">
        <v>2</v>
      </c>
      <c r="X31" s="0" t="n">
        <v>2</v>
      </c>
      <c r="Y31" s="0" t="n">
        <v>2</v>
      </c>
      <c r="Z31" s="0" t="n">
        <v>2</v>
      </c>
      <c r="AA31" s="0" t="n">
        <v>2</v>
      </c>
      <c r="AB31" s="0" t="n">
        <v>2</v>
      </c>
      <c r="AC31" s="0" t="n">
        <v>2</v>
      </c>
      <c r="AD31" s="0" t="n">
        <v>2</v>
      </c>
      <c r="AE31" s="0" t="n">
        <v>2</v>
      </c>
      <c r="AF31" s="0" t="n">
        <v>2</v>
      </c>
      <c r="AG31" s="0" t="n">
        <v>2</v>
      </c>
      <c r="AH31" s="0" t="n">
        <v>2</v>
      </c>
      <c r="AI31" s="0" t="n">
        <v>2</v>
      </c>
      <c r="AJ31" s="0" t="n">
        <v>2</v>
      </c>
      <c r="AK31" s="0" t="n">
        <v>2</v>
      </c>
      <c r="AL31" s="0" t="n">
        <v>2</v>
      </c>
      <c r="AM31" s="0" t="n">
        <v>2</v>
      </c>
      <c r="AN31" s="0" t="n">
        <v>2</v>
      </c>
      <c r="AO31" s="0" t="n">
        <v>40</v>
      </c>
      <c r="AP31" s="0" t="n">
        <v>19</v>
      </c>
      <c r="AQ31" s="0" t="n">
        <v>10</v>
      </c>
      <c r="AR31" s="0" t="n">
        <v>145</v>
      </c>
    </row>
    <row r="32" customFormat="false" ht="15" hidden="false" customHeight="false" outlineLevel="0" collapsed="false">
      <c r="A32" s="0" t="s">
        <v>88</v>
      </c>
      <c r="B32" s="0" t="s">
        <v>89</v>
      </c>
      <c r="C32" s="0" t="n">
        <v>2</v>
      </c>
      <c r="D32" s="0" t="n">
        <v>2</v>
      </c>
      <c r="E32" s="0" t="n">
        <v>2</v>
      </c>
      <c r="F32" s="0" t="n">
        <v>2</v>
      </c>
      <c r="G32" s="0" t="n">
        <v>2</v>
      </c>
      <c r="H32" s="0" t="n">
        <v>2</v>
      </c>
      <c r="I32" s="0" t="n">
        <v>2</v>
      </c>
      <c r="J32" s="0" t="n">
        <v>2</v>
      </c>
      <c r="K32" s="0" t="n">
        <v>2</v>
      </c>
      <c r="L32" s="0" t="n">
        <v>2</v>
      </c>
      <c r="M32" s="0" t="n">
        <v>2</v>
      </c>
      <c r="N32" s="0" t="n">
        <v>2</v>
      </c>
      <c r="O32" s="0" t="n">
        <v>2</v>
      </c>
      <c r="P32" s="0" t="n">
        <v>2</v>
      </c>
      <c r="Q32" s="0" t="n">
        <v>2</v>
      </c>
      <c r="R32" s="0" t="n">
        <v>2</v>
      </c>
      <c r="S32" s="0" t="n">
        <v>2</v>
      </c>
      <c r="T32" s="0" t="n">
        <v>2</v>
      </c>
      <c r="U32" s="0" t="n">
        <v>2</v>
      </c>
      <c r="V32" s="0" t="n">
        <v>2</v>
      </c>
      <c r="W32" s="0" t="n">
        <v>2</v>
      </c>
      <c r="X32" s="0" t="n">
        <v>2</v>
      </c>
      <c r="Y32" s="0" t="n">
        <v>2</v>
      </c>
      <c r="Z32" s="0" t="n">
        <v>2</v>
      </c>
      <c r="AA32" s="0" t="n">
        <v>2</v>
      </c>
      <c r="AB32" s="0" t="n">
        <v>2</v>
      </c>
      <c r="AC32" s="0" t="n">
        <v>2</v>
      </c>
      <c r="AD32" s="0" t="n">
        <v>2</v>
      </c>
      <c r="AE32" s="0" t="n">
        <v>2</v>
      </c>
      <c r="AF32" s="0" t="n">
        <v>2</v>
      </c>
      <c r="AG32" s="0" t="n">
        <v>2</v>
      </c>
      <c r="AH32" s="0" t="n">
        <v>2</v>
      </c>
      <c r="AI32" s="0" t="n">
        <v>2</v>
      </c>
      <c r="AJ32" s="0" t="n">
        <v>2</v>
      </c>
      <c r="AK32" s="0" t="n">
        <v>2</v>
      </c>
      <c r="AL32" s="0" t="n">
        <v>2</v>
      </c>
      <c r="AM32" s="0" t="n">
        <v>2</v>
      </c>
      <c r="AN32" s="0" t="n">
        <v>2</v>
      </c>
      <c r="AO32" s="0" t="n">
        <v>40</v>
      </c>
      <c r="AP32" s="0" t="n">
        <v>19</v>
      </c>
      <c r="AQ32" s="0" t="n">
        <v>10</v>
      </c>
      <c r="AR32" s="0" t="n">
        <v>145</v>
      </c>
    </row>
    <row r="33" customFormat="false" ht="15" hidden="false" customHeight="false" outlineLevel="0" collapsed="false">
      <c r="A33" s="0" t="s">
        <v>90</v>
      </c>
      <c r="B33" s="0" t="s">
        <v>91</v>
      </c>
      <c r="C33" s="0" t="n">
        <v>2</v>
      </c>
      <c r="D33" s="0" t="n">
        <v>2</v>
      </c>
      <c r="E33" s="0" t="n">
        <v>2</v>
      </c>
      <c r="F33" s="0" t="n">
        <v>2</v>
      </c>
      <c r="G33" s="0" t="n">
        <v>2</v>
      </c>
      <c r="H33" s="0" t="n">
        <v>2</v>
      </c>
      <c r="I33" s="0" t="n">
        <v>2</v>
      </c>
      <c r="J33" s="0" t="n">
        <v>2</v>
      </c>
      <c r="K33" s="0" t="n">
        <v>2</v>
      </c>
      <c r="L33" s="0" t="n">
        <v>2</v>
      </c>
      <c r="M33" s="0" t="n">
        <v>2</v>
      </c>
      <c r="N33" s="0" t="n">
        <v>2</v>
      </c>
      <c r="O33" s="0" t="n">
        <v>2</v>
      </c>
      <c r="P33" s="0" t="n">
        <v>2</v>
      </c>
      <c r="Q33" s="0" t="n">
        <v>2</v>
      </c>
      <c r="R33" s="0" t="n">
        <v>2</v>
      </c>
      <c r="S33" s="0" t="n">
        <v>2</v>
      </c>
      <c r="T33" s="0" t="n">
        <v>2</v>
      </c>
      <c r="U33" s="0" t="n">
        <v>2</v>
      </c>
      <c r="V33" s="0" t="n">
        <v>2</v>
      </c>
      <c r="W33" s="0" t="n">
        <v>2</v>
      </c>
      <c r="X33" s="0" t="n">
        <v>2</v>
      </c>
      <c r="Y33" s="0" t="n">
        <v>2</v>
      </c>
      <c r="Z33" s="0" t="n">
        <v>2</v>
      </c>
      <c r="AA33" s="0" t="n">
        <v>2</v>
      </c>
      <c r="AB33" s="0" t="n">
        <v>2</v>
      </c>
      <c r="AC33" s="0" t="n">
        <v>2</v>
      </c>
      <c r="AD33" s="0" t="n">
        <v>2</v>
      </c>
      <c r="AE33" s="0" t="n">
        <v>2</v>
      </c>
      <c r="AF33" s="0" t="n">
        <v>2</v>
      </c>
      <c r="AG33" s="0" t="n">
        <v>2</v>
      </c>
      <c r="AH33" s="0" t="n">
        <v>2</v>
      </c>
      <c r="AI33" s="0" t="n">
        <v>2</v>
      </c>
      <c r="AJ33" s="0" t="n">
        <v>2</v>
      </c>
      <c r="AK33" s="0" t="n">
        <v>2</v>
      </c>
      <c r="AL33" s="0" t="n">
        <v>2</v>
      </c>
      <c r="AM33" s="0" t="n">
        <v>2</v>
      </c>
      <c r="AN33" s="0" t="n">
        <v>2</v>
      </c>
      <c r="AO33" s="0" t="n">
        <v>40</v>
      </c>
      <c r="AP33" s="0" t="n">
        <v>19</v>
      </c>
      <c r="AQ33" s="0" t="n">
        <v>10</v>
      </c>
      <c r="AR33" s="0" t="n">
        <v>145</v>
      </c>
    </row>
    <row r="34" customFormat="false" ht="15" hidden="false" customHeight="false" outlineLevel="0" collapsed="false">
      <c r="A34" s="0" t="s">
        <v>92</v>
      </c>
      <c r="B34" s="0" t="s">
        <v>93</v>
      </c>
      <c r="C34" s="0" t="n">
        <v>2</v>
      </c>
      <c r="D34" s="0" t="n">
        <v>2</v>
      </c>
      <c r="E34" s="0" t="n">
        <v>2</v>
      </c>
      <c r="F34" s="0" t="n">
        <v>2</v>
      </c>
      <c r="G34" s="0" t="n">
        <v>2</v>
      </c>
      <c r="H34" s="0" t="n">
        <v>2</v>
      </c>
      <c r="I34" s="0" t="n">
        <v>2</v>
      </c>
      <c r="J34" s="0" t="n">
        <v>2</v>
      </c>
      <c r="K34" s="0" t="n">
        <v>2</v>
      </c>
      <c r="L34" s="0" t="n">
        <v>2</v>
      </c>
      <c r="M34" s="0" t="n">
        <v>2</v>
      </c>
      <c r="N34" s="0" t="n">
        <v>2</v>
      </c>
      <c r="O34" s="0" t="n">
        <v>2</v>
      </c>
      <c r="P34" s="0" t="n">
        <v>2</v>
      </c>
      <c r="Q34" s="0" t="n">
        <v>2</v>
      </c>
      <c r="R34" s="0" t="n">
        <v>2</v>
      </c>
      <c r="S34" s="0" t="n">
        <v>2</v>
      </c>
      <c r="T34" s="0" t="n">
        <v>2</v>
      </c>
      <c r="U34" s="0" t="n">
        <v>2</v>
      </c>
      <c r="V34" s="0" t="n">
        <v>2</v>
      </c>
      <c r="W34" s="0" t="n">
        <v>2</v>
      </c>
      <c r="X34" s="0" t="n">
        <v>2</v>
      </c>
      <c r="Y34" s="0" t="n">
        <v>2</v>
      </c>
      <c r="Z34" s="0" t="n">
        <v>2</v>
      </c>
      <c r="AA34" s="0" t="n">
        <v>2</v>
      </c>
      <c r="AB34" s="0" t="n">
        <v>2</v>
      </c>
      <c r="AC34" s="0" t="n">
        <v>2</v>
      </c>
      <c r="AD34" s="0" t="n">
        <v>2</v>
      </c>
      <c r="AE34" s="0" t="n">
        <v>2</v>
      </c>
      <c r="AF34" s="0" t="n">
        <v>2</v>
      </c>
      <c r="AG34" s="0" t="n">
        <v>2</v>
      </c>
      <c r="AH34" s="0" t="n">
        <v>2</v>
      </c>
      <c r="AI34" s="0" t="n">
        <v>2</v>
      </c>
      <c r="AJ34" s="0" t="n">
        <v>2</v>
      </c>
      <c r="AK34" s="0" t="n">
        <v>2</v>
      </c>
      <c r="AL34" s="0" t="n">
        <v>2</v>
      </c>
      <c r="AM34" s="0" t="n">
        <v>2</v>
      </c>
      <c r="AN34" s="0" t="n">
        <v>2</v>
      </c>
      <c r="AO34" s="0" t="n">
        <v>40</v>
      </c>
      <c r="AP34" s="0" t="n">
        <v>19</v>
      </c>
      <c r="AQ34" s="0" t="n">
        <v>10</v>
      </c>
      <c r="AR34" s="0" t="n">
        <v>145</v>
      </c>
    </row>
    <row r="35" customFormat="false" ht="15" hidden="false" customHeight="false" outlineLevel="0" collapsed="false">
      <c r="A35" s="0" t="s">
        <v>94</v>
      </c>
      <c r="B35" s="0" t="s">
        <v>95</v>
      </c>
      <c r="C35" s="0" t="n">
        <v>2</v>
      </c>
      <c r="D35" s="0" t="n">
        <v>2</v>
      </c>
      <c r="E35" s="0" t="n">
        <v>2</v>
      </c>
      <c r="F35" s="0" t="n">
        <v>2</v>
      </c>
      <c r="G35" s="0" t="n">
        <v>2</v>
      </c>
      <c r="H35" s="0" t="n">
        <v>2</v>
      </c>
      <c r="I35" s="0" t="n">
        <v>2</v>
      </c>
      <c r="J35" s="0" t="n">
        <v>2</v>
      </c>
      <c r="K35" s="0" t="n">
        <v>2</v>
      </c>
      <c r="L35" s="0" t="n">
        <v>2</v>
      </c>
      <c r="M35" s="0" t="n">
        <v>2</v>
      </c>
      <c r="N35" s="0" t="n">
        <v>2</v>
      </c>
      <c r="O35" s="0" t="n">
        <v>2</v>
      </c>
      <c r="P35" s="0" t="n">
        <v>2</v>
      </c>
      <c r="Q35" s="0" t="n">
        <v>2</v>
      </c>
      <c r="R35" s="0" t="n">
        <v>2</v>
      </c>
      <c r="S35" s="0" t="n">
        <v>2</v>
      </c>
      <c r="T35" s="0" t="n">
        <v>2</v>
      </c>
      <c r="U35" s="0" t="n">
        <v>2</v>
      </c>
      <c r="V35" s="0" t="n">
        <v>2</v>
      </c>
      <c r="W35" s="0" t="n">
        <v>2</v>
      </c>
      <c r="X35" s="0" t="n">
        <v>2</v>
      </c>
      <c r="Y35" s="0" t="n">
        <v>2</v>
      </c>
      <c r="Z35" s="0" t="n">
        <v>2</v>
      </c>
      <c r="AA35" s="0" t="n">
        <v>2</v>
      </c>
      <c r="AB35" s="0" t="n">
        <v>2</v>
      </c>
      <c r="AC35" s="0" t="n">
        <v>2</v>
      </c>
      <c r="AD35" s="0" t="n">
        <v>2</v>
      </c>
      <c r="AE35" s="0" t="n">
        <v>2</v>
      </c>
      <c r="AF35" s="0" t="n">
        <v>2</v>
      </c>
      <c r="AG35" s="0" t="n">
        <v>2</v>
      </c>
      <c r="AH35" s="0" t="n">
        <v>2</v>
      </c>
      <c r="AI35" s="0" t="n">
        <v>2</v>
      </c>
      <c r="AJ35" s="0" t="n">
        <v>2</v>
      </c>
      <c r="AK35" s="0" t="n">
        <v>2</v>
      </c>
      <c r="AL35" s="0" t="n">
        <v>2</v>
      </c>
      <c r="AM35" s="0" t="n">
        <v>2</v>
      </c>
      <c r="AN35" s="0" t="n">
        <v>2</v>
      </c>
      <c r="AO35" s="0" t="n">
        <v>40</v>
      </c>
      <c r="AP35" s="0" t="n">
        <v>19</v>
      </c>
      <c r="AQ35" s="0" t="n">
        <v>10</v>
      </c>
      <c r="AR35" s="0" t="n">
        <v>145</v>
      </c>
    </row>
    <row r="36" customFormat="false" ht="15" hidden="false" customHeight="false" outlineLevel="0" collapsed="false">
      <c r="A36" s="0" t="s">
        <v>96</v>
      </c>
      <c r="B36" s="0" t="s">
        <v>97</v>
      </c>
      <c r="C36" s="0" t="n">
        <v>2</v>
      </c>
      <c r="D36" s="0" t="n">
        <v>2</v>
      </c>
      <c r="E36" s="0" t="n">
        <v>2</v>
      </c>
      <c r="F36" s="0" t="n">
        <v>2</v>
      </c>
      <c r="G36" s="0" t="n">
        <v>2</v>
      </c>
      <c r="H36" s="0" t="n">
        <v>2</v>
      </c>
      <c r="I36" s="0" t="n">
        <v>2</v>
      </c>
      <c r="J36" s="0" t="n">
        <v>2</v>
      </c>
      <c r="K36" s="0" t="n">
        <v>2</v>
      </c>
      <c r="L36" s="0" t="n">
        <v>2</v>
      </c>
      <c r="M36" s="0" t="n">
        <v>2</v>
      </c>
      <c r="N36" s="0" t="n">
        <v>2</v>
      </c>
      <c r="O36" s="0" t="n">
        <v>2</v>
      </c>
      <c r="P36" s="0" t="n">
        <v>2</v>
      </c>
      <c r="Q36" s="0" t="n">
        <v>2</v>
      </c>
      <c r="R36" s="0" t="n">
        <v>2</v>
      </c>
      <c r="S36" s="0" t="n">
        <v>2</v>
      </c>
      <c r="T36" s="0" t="n">
        <v>2</v>
      </c>
      <c r="U36" s="0" t="n">
        <v>2</v>
      </c>
      <c r="V36" s="0" t="n">
        <v>2</v>
      </c>
      <c r="W36" s="0" t="n">
        <v>2</v>
      </c>
      <c r="X36" s="0" t="n">
        <v>2</v>
      </c>
      <c r="Y36" s="0" t="n">
        <v>2</v>
      </c>
      <c r="Z36" s="0" t="n">
        <v>2</v>
      </c>
      <c r="AA36" s="0" t="n">
        <v>2</v>
      </c>
      <c r="AB36" s="0" t="n">
        <v>2</v>
      </c>
      <c r="AC36" s="0" t="n">
        <v>2</v>
      </c>
      <c r="AD36" s="0" t="n">
        <v>2</v>
      </c>
      <c r="AE36" s="0" t="n">
        <v>2</v>
      </c>
      <c r="AF36" s="0" t="n">
        <v>2</v>
      </c>
      <c r="AG36" s="0" t="n">
        <v>2</v>
      </c>
      <c r="AH36" s="0" t="n">
        <v>2</v>
      </c>
      <c r="AI36" s="0" t="n">
        <v>2</v>
      </c>
      <c r="AJ36" s="0" t="n">
        <v>2</v>
      </c>
      <c r="AK36" s="0" t="n">
        <v>2</v>
      </c>
      <c r="AL36" s="0" t="n">
        <v>2</v>
      </c>
      <c r="AM36" s="0" t="n">
        <v>2</v>
      </c>
      <c r="AN36" s="0" t="n">
        <v>2</v>
      </c>
      <c r="AO36" s="0" t="n">
        <v>40</v>
      </c>
      <c r="AP36" s="0" t="n">
        <v>19</v>
      </c>
      <c r="AQ36" s="0" t="n">
        <v>10</v>
      </c>
      <c r="AR36" s="0" t="n">
        <v>145</v>
      </c>
    </row>
    <row r="37" customFormat="false" ht="15" hidden="false" customHeight="false" outlineLevel="0" collapsed="false">
      <c r="A37" s="0" t="s">
        <v>98</v>
      </c>
      <c r="B37" s="0" t="s">
        <v>99</v>
      </c>
      <c r="C37" s="0" t="n">
        <v>2</v>
      </c>
      <c r="D37" s="0" t="n">
        <v>2</v>
      </c>
      <c r="E37" s="0" t="n">
        <v>2</v>
      </c>
      <c r="F37" s="0" t="n">
        <v>2</v>
      </c>
      <c r="G37" s="0" t="n">
        <v>2</v>
      </c>
      <c r="H37" s="0" t="n">
        <v>2</v>
      </c>
      <c r="I37" s="0" t="n">
        <v>2</v>
      </c>
      <c r="J37" s="0" t="n">
        <v>2</v>
      </c>
      <c r="K37" s="0" t="n">
        <v>2</v>
      </c>
      <c r="L37" s="0" t="n">
        <v>2</v>
      </c>
      <c r="M37" s="0" t="n">
        <v>2</v>
      </c>
      <c r="N37" s="0" t="n">
        <v>2</v>
      </c>
      <c r="O37" s="0" t="n">
        <v>2</v>
      </c>
      <c r="P37" s="0" t="n">
        <v>2</v>
      </c>
      <c r="Q37" s="0" t="n">
        <v>2</v>
      </c>
      <c r="R37" s="0" t="n">
        <v>2</v>
      </c>
      <c r="S37" s="0" t="n">
        <v>2</v>
      </c>
      <c r="T37" s="0" t="n">
        <v>2</v>
      </c>
      <c r="U37" s="0" t="n">
        <v>2</v>
      </c>
      <c r="V37" s="0" t="n">
        <v>2</v>
      </c>
      <c r="W37" s="0" t="n">
        <v>2</v>
      </c>
      <c r="X37" s="0" t="n">
        <v>2</v>
      </c>
      <c r="Y37" s="0" t="n">
        <v>2</v>
      </c>
      <c r="Z37" s="0" t="n">
        <v>2</v>
      </c>
      <c r="AA37" s="0" t="n">
        <v>2</v>
      </c>
      <c r="AB37" s="0" t="n">
        <v>2</v>
      </c>
      <c r="AC37" s="0" t="n">
        <v>2</v>
      </c>
      <c r="AD37" s="0" t="n">
        <v>2</v>
      </c>
      <c r="AE37" s="0" t="n">
        <v>2</v>
      </c>
      <c r="AF37" s="0" t="n">
        <v>2</v>
      </c>
      <c r="AG37" s="0" t="n">
        <v>2</v>
      </c>
      <c r="AH37" s="0" t="n">
        <v>2</v>
      </c>
      <c r="AI37" s="0" t="n">
        <v>2</v>
      </c>
      <c r="AJ37" s="0" t="n">
        <v>2</v>
      </c>
      <c r="AK37" s="0" t="n">
        <v>2</v>
      </c>
      <c r="AL37" s="0" t="n">
        <v>2</v>
      </c>
      <c r="AM37" s="0" t="n">
        <v>2</v>
      </c>
      <c r="AN37" s="0" t="n">
        <v>2</v>
      </c>
      <c r="AO37" s="0" t="n">
        <v>40</v>
      </c>
      <c r="AP37" s="0" t="n">
        <v>19</v>
      </c>
      <c r="AQ37" s="0" t="n">
        <v>10</v>
      </c>
      <c r="AR37" s="0" t="n">
        <v>145</v>
      </c>
    </row>
    <row r="38" customFormat="false" ht="15" hidden="false" customHeight="false" outlineLevel="0" collapsed="false">
      <c r="A38" s="0" t="s">
        <v>100</v>
      </c>
      <c r="B38" s="0" t="s">
        <v>101</v>
      </c>
      <c r="C38" s="0" t="n">
        <v>2</v>
      </c>
      <c r="D38" s="0" t="n">
        <v>2</v>
      </c>
      <c r="E38" s="0" t="n">
        <v>2</v>
      </c>
      <c r="F38" s="0" t="n">
        <v>2</v>
      </c>
      <c r="G38" s="0" t="n">
        <v>2</v>
      </c>
      <c r="H38" s="0" t="n">
        <v>2</v>
      </c>
      <c r="I38" s="0" t="n">
        <v>2</v>
      </c>
      <c r="J38" s="0" t="n">
        <v>2</v>
      </c>
      <c r="K38" s="0" t="n">
        <v>2</v>
      </c>
      <c r="L38" s="0" t="n">
        <v>2</v>
      </c>
      <c r="M38" s="0" t="n">
        <v>2</v>
      </c>
      <c r="N38" s="0" t="n">
        <v>2</v>
      </c>
      <c r="O38" s="0" t="n">
        <v>2</v>
      </c>
      <c r="P38" s="0" t="n">
        <v>2</v>
      </c>
      <c r="Q38" s="0" t="n">
        <v>2</v>
      </c>
      <c r="R38" s="0" t="n">
        <v>2</v>
      </c>
      <c r="S38" s="0" t="n">
        <v>2</v>
      </c>
      <c r="T38" s="0" t="n">
        <v>2</v>
      </c>
      <c r="U38" s="0" t="n">
        <v>2</v>
      </c>
      <c r="V38" s="0" t="n">
        <v>2</v>
      </c>
      <c r="W38" s="0" t="n">
        <v>2</v>
      </c>
      <c r="X38" s="0" t="n">
        <v>2</v>
      </c>
      <c r="Y38" s="0" t="n">
        <v>2</v>
      </c>
      <c r="Z38" s="0" t="n">
        <v>2</v>
      </c>
      <c r="AA38" s="0" t="n">
        <v>2</v>
      </c>
      <c r="AB38" s="0" t="n">
        <v>2</v>
      </c>
      <c r="AC38" s="0" t="n">
        <v>2</v>
      </c>
      <c r="AD38" s="0" t="n">
        <v>2</v>
      </c>
      <c r="AE38" s="0" t="n">
        <v>2</v>
      </c>
      <c r="AF38" s="0" t="n">
        <v>2</v>
      </c>
      <c r="AG38" s="0" t="n">
        <v>2</v>
      </c>
      <c r="AH38" s="0" t="n">
        <v>2</v>
      </c>
      <c r="AI38" s="0" t="n">
        <v>2</v>
      </c>
      <c r="AJ38" s="0" t="n">
        <v>2</v>
      </c>
      <c r="AK38" s="0" t="n">
        <v>2</v>
      </c>
      <c r="AL38" s="0" t="n">
        <v>2</v>
      </c>
      <c r="AM38" s="0" t="n">
        <v>2</v>
      </c>
      <c r="AN38" s="0" t="n">
        <v>2</v>
      </c>
      <c r="AO38" s="0" t="n">
        <v>40</v>
      </c>
      <c r="AP38" s="0" t="n">
        <v>19</v>
      </c>
      <c r="AQ38" s="0" t="n">
        <v>10</v>
      </c>
      <c r="AR38" s="0" t="n">
        <v>145</v>
      </c>
    </row>
    <row r="39" customFormat="false" ht="15" hidden="false" customHeight="false" outlineLevel="0" collapsed="false">
      <c r="A39" s="0" t="s">
        <v>102</v>
      </c>
      <c r="B39" s="0" t="s">
        <v>103</v>
      </c>
      <c r="C39" s="0" t="n">
        <v>2</v>
      </c>
      <c r="D39" s="0" t="n">
        <v>2</v>
      </c>
      <c r="E39" s="0" t="n">
        <v>2</v>
      </c>
      <c r="F39" s="0" t="n">
        <v>2</v>
      </c>
      <c r="G39" s="0" t="n">
        <v>2</v>
      </c>
      <c r="H39" s="0" t="n">
        <v>2</v>
      </c>
      <c r="I39" s="0" t="n">
        <v>2</v>
      </c>
      <c r="J39" s="0" t="n">
        <v>2</v>
      </c>
      <c r="K39" s="0" t="n">
        <v>2</v>
      </c>
      <c r="L39" s="0" t="n">
        <v>2</v>
      </c>
      <c r="M39" s="0" t="n">
        <v>2</v>
      </c>
      <c r="N39" s="0" t="n">
        <v>2</v>
      </c>
      <c r="O39" s="0" t="n">
        <v>2</v>
      </c>
      <c r="P39" s="0" t="n">
        <v>2</v>
      </c>
      <c r="Q39" s="0" t="n">
        <v>2</v>
      </c>
      <c r="R39" s="0" t="n">
        <v>2</v>
      </c>
      <c r="S39" s="0" t="n">
        <v>2</v>
      </c>
      <c r="T39" s="0" t="n">
        <v>2</v>
      </c>
      <c r="U39" s="0" t="n">
        <v>2</v>
      </c>
      <c r="V39" s="0" t="n">
        <v>2</v>
      </c>
      <c r="W39" s="0" t="n">
        <v>2</v>
      </c>
      <c r="X39" s="0" t="n">
        <v>2</v>
      </c>
      <c r="Y39" s="0" t="n">
        <v>2</v>
      </c>
      <c r="Z39" s="0" t="n">
        <v>2</v>
      </c>
      <c r="AA39" s="0" t="n">
        <v>2</v>
      </c>
      <c r="AB39" s="0" t="n">
        <v>2</v>
      </c>
      <c r="AC39" s="0" t="n">
        <v>2</v>
      </c>
      <c r="AD39" s="0" t="n">
        <v>2</v>
      </c>
      <c r="AE39" s="0" t="n">
        <v>2</v>
      </c>
      <c r="AF39" s="0" t="n">
        <v>2</v>
      </c>
      <c r="AG39" s="0" t="n">
        <v>2</v>
      </c>
      <c r="AH39" s="0" t="n">
        <v>2</v>
      </c>
      <c r="AI39" s="0" t="n">
        <v>2</v>
      </c>
      <c r="AJ39" s="0" t="n">
        <v>2</v>
      </c>
      <c r="AK39" s="0" t="n">
        <v>2</v>
      </c>
      <c r="AL39" s="0" t="n">
        <v>2</v>
      </c>
      <c r="AM39" s="0" t="n">
        <v>2</v>
      </c>
      <c r="AN39" s="0" t="n">
        <v>2</v>
      </c>
      <c r="AO39" s="0" t="n">
        <v>40</v>
      </c>
      <c r="AP39" s="0" t="n">
        <v>19</v>
      </c>
      <c r="AQ39" s="0" t="n">
        <v>10</v>
      </c>
      <c r="AR39" s="0" t="n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146</v>
      </c>
      <c r="C1" s="0" t="s">
        <v>23</v>
      </c>
      <c r="D1" s="0" t="s">
        <v>27</v>
      </c>
      <c r="E1" s="0" t="s">
        <v>145</v>
      </c>
    </row>
    <row r="2" customFormat="false" ht="15" hidden="false" customHeight="false" outlineLevel="0" collapsed="false">
      <c r="A2" s="0" t="str">
        <f aca="false">SUPPLY!B2</f>
        <v>Product 1</v>
      </c>
      <c r="C2" s="0" t="n">
        <f aca="false">SUPPLY!D2</f>
        <v>30</v>
      </c>
      <c r="D2" s="0" t="n">
        <f aca="false">SUPPLY!H2</f>
        <v>145</v>
      </c>
      <c r="E2" s="0" t="n">
        <f aca="false">USE!AR2</f>
        <v>145</v>
      </c>
    </row>
    <row r="3" customFormat="false" ht="15" hidden="false" customHeight="false" outlineLevel="0" collapsed="false">
      <c r="A3" s="0" t="str">
        <f aca="false">SUPPLY!B3</f>
        <v>Product 2</v>
      </c>
      <c r="C3" s="0" t="n">
        <f aca="false">SUPPLY!D3</f>
        <v>30</v>
      </c>
      <c r="D3" s="0" t="n">
        <f aca="false">SUPPLY!H3</f>
        <v>145</v>
      </c>
      <c r="E3" s="0" t="n">
        <f aca="false">USE!AR3</f>
        <v>145</v>
      </c>
    </row>
    <row r="4" customFormat="false" ht="15" hidden="false" customHeight="false" outlineLevel="0" collapsed="false">
      <c r="A4" s="0" t="str">
        <f aca="false">SUPPLY!B4</f>
        <v>Product 3</v>
      </c>
      <c r="C4" s="0" t="n">
        <f aca="false">SUPPLY!D4</f>
        <v>30</v>
      </c>
      <c r="D4" s="0" t="n">
        <f aca="false">SUPPLY!H4</f>
        <v>145</v>
      </c>
      <c r="E4" s="0" t="n">
        <f aca="false">USE!AR4</f>
        <v>145</v>
      </c>
    </row>
    <row r="5" customFormat="false" ht="15" hidden="false" customHeight="false" outlineLevel="0" collapsed="false">
      <c r="A5" s="0" t="str">
        <f aca="false">SUPPLY!B5</f>
        <v>Product 4</v>
      </c>
      <c r="C5" s="0" t="n">
        <f aca="false">SUPPLY!D5</f>
        <v>30</v>
      </c>
      <c r="D5" s="0" t="n">
        <f aca="false">SUPPLY!H5</f>
        <v>145</v>
      </c>
      <c r="E5" s="0" t="n">
        <f aca="false">USE!AR5</f>
        <v>145</v>
      </c>
    </row>
    <row r="6" customFormat="false" ht="15" hidden="false" customHeight="false" outlineLevel="0" collapsed="false">
      <c r="A6" s="0" t="str">
        <f aca="false">SUPPLY!B6</f>
        <v>Product 5</v>
      </c>
      <c r="C6" s="0" t="n">
        <f aca="false">SUPPLY!D6</f>
        <v>30</v>
      </c>
      <c r="D6" s="0" t="n">
        <f aca="false">SUPPLY!H6</f>
        <v>145</v>
      </c>
      <c r="E6" s="0" t="n">
        <f aca="false">USE!AR6</f>
        <v>145</v>
      </c>
    </row>
    <row r="7" customFormat="false" ht="15" hidden="false" customHeight="false" outlineLevel="0" collapsed="false">
      <c r="A7" s="0" t="str">
        <f aca="false">SUPPLY!B7</f>
        <v>Product 6</v>
      </c>
      <c r="C7" s="0" t="n">
        <f aca="false">SUPPLY!D7</f>
        <v>30</v>
      </c>
      <c r="D7" s="0" t="n">
        <f aca="false">SUPPLY!H7</f>
        <v>145</v>
      </c>
      <c r="E7" s="0" t="n">
        <f aca="false">USE!AR7</f>
        <v>145</v>
      </c>
    </row>
    <row r="8" customFormat="false" ht="15" hidden="false" customHeight="false" outlineLevel="0" collapsed="false">
      <c r="A8" s="0" t="str">
        <f aca="false">SUPPLY!B8</f>
        <v>Product 7</v>
      </c>
      <c r="C8" s="0" t="n">
        <f aca="false">SUPPLY!D8</f>
        <v>30</v>
      </c>
      <c r="D8" s="0" t="n">
        <f aca="false">SUPPLY!H8</f>
        <v>145</v>
      </c>
      <c r="E8" s="0" t="n">
        <f aca="false">USE!AR8</f>
        <v>145</v>
      </c>
    </row>
    <row r="9" customFormat="false" ht="15" hidden="false" customHeight="false" outlineLevel="0" collapsed="false">
      <c r="A9" s="0" t="str">
        <f aca="false">SUPPLY!B9</f>
        <v>Product 8</v>
      </c>
      <c r="C9" s="0" t="n">
        <f aca="false">SUPPLY!D9</f>
        <v>30</v>
      </c>
      <c r="D9" s="0" t="n">
        <f aca="false">SUPPLY!H9</f>
        <v>145</v>
      </c>
      <c r="E9" s="0" t="n">
        <f aca="false">USE!AR9</f>
        <v>145</v>
      </c>
    </row>
    <row r="10" customFormat="false" ht="15" hidden="false" customHeight="false" outlineLevel="0" collapsed="false">
      <c r="A10" s="0" t="str">
        <f aca="false">SUPPLY!B10</f>
        <v>Product 9</v>
      </c>
      <c r="C10" s="0" t="n">
        <f aca="false">SUPPLY!D10</f>
        <v>30</v>
      </c>
      <c r="D10" s="0" t="n">
        <f aca="false">SUPPLY!H10</f>
        <v>145</v>
      </c>
      <c r="E10" s="0" t="n">
        <f aca="false">USE!AR10</f>
        <v>145</v>
      </c>
    </row>
    <row r="11" customFormat="false" ht="15" hidden="false" customHeight="false" outlineLevel="0" collapsed="false">
      <c r="A11" s="0" t="str">
        <f aca="false">SUPPLY!B11</f>
        <v>Product 10</v>
      </c>
      <c r="C11" s="0" t="n">
        <f aca="false">SUPPLY!D11</f>
        <v>30</v>
      </c>
      <c r="D11" s="0" t="n">
        <f aca="false">SUPPLY!H11</f>
        <v>145</v>
      </c>
      <c r="E11" s="0" t="n">
        <f aca="false">USE!AR11</f>
        <v>145</v>
      </c>
    </row>
    <row r="12" customFormat="false" ht="15" hidden="false" customHeight="false" outlineLevel="0" collapsed="false">
      <c r="A12" s="0" t="str">
        <f aca="false">SUPPLY!B12</f>
        <v>Product 11</v>
      </c>
      <c r="C12" s="0" t="n">
        <f aca="false">SUPPLY!D12</f>
        <v>30</v>
      </c>
      <c r="D12" s="0" t="n">
        <f aca="false">SUPPLY!H12</f>
        <v>145</v>
      </c>
      <c r="E12" s="0" t="n">
        <f aca="false">USE!AR12</f>
        <v>145</v>
      </c>
    </row>
    <row r="13" customFormat="false" ht="15" hidden="false" customHeight="false" outlineLevel="0" collapsed="false">
      <c r="A13" s="0" t="str">
        <f aca="false">SUPPLY!B13</f>
        <v>Product 12</v>
      </c>
      <c r="C13" s="0" t="n">
        <f aca="false">SUPPLY!D13</f>
        <v>30</v>
      </c>
      <c r="D13" s="0" t="n">
        <f aca="false">SUPPLY!H13</f>
        <v>145</v>
      </c>
      <c r="E13" s="0" t="n">
        <f aca="false">USE!AR13</f>
        <v>145</v>
      </c>
    </row>
    <row r="14" customFormat="false" ht="15" hidden="false" customHeight="false" outlineLevel="0" collapsed="false">
      <c r="A14" s="0" t="str">
        <f aca="false">SUPPLY!B14</f>
        <v>Product 13</v>
      </c>
      <c r="C14" s="0" t="n">
        <f aca="false">SUPPLY!D14</f>
        <v>30</v>
      </c>
      <c r="D14" s="0" t="n">
        <f aca="false">SUPPLY!H14</f>
        <v>145</v>
      </c>
      <c r="E14" s="0" t="n">
        <f aca="false">USE!AR14</f>
        <v>145</v>
      </c>
    </row>
    <row r="15" customFormat="false" ht="15" hidden="false" customHeight="false" outlineLevel="0" collapsed="false">
      <c r="A15" s="0" t="str">
        <f aca="false">SUPPLY!B15</f>
        <v>Product 14</v>
      </c>
      <c r="C15" s="0" t="n">
        <f aca="false">SUPPLY!D15</f>
        <v>30</v>
      </c>
      <c r="D15" s="0" t="n">
        <f aca="false">SUPPLY!H15</f>
        <v>145</v>
      </c>
      <c r="E15" s="0" t="n">
        <f aca="false">USE!AR15</f>
        <v>145</v>
      </c>
    </row>
    <row r="16" customFormat="false" ht="15" hidden="false" customHeight="false" outlineLevel="0" collapsed="false">
      <c r="A16" s="0" t="str">
        <f aca="false">SUPPLY!B16</f>
        <v>Product 15</v>
      </c>
      <c r="C16" s="0" t="n">
        <f aca="false">SUPPLY!D16</f>
        <v>30</v>
      </c>
      <c r="D16" s="0" t="n">
        <f aca="false">SUPPLY!H16</f>
        <v>145</v>
      </c>
      <c r="E16" s="0" t="n">
        <f aca="false">USE!AR16</f>
        <v>145</v>
      </c>
    </row>
    <row r="17" customFormat="false" ht="15" hidden="false" customHeight="false" outlineLevel="0" collapsed="false">
      <c r="A17" s="0" t="str">
        <f aca="false">SUPPLY!B17</f>
        <v>Product 16</v>
      </c>
      <c r="C17" s="0" t="n">
        <f aca="false">SUPPLY!D17</f>
        <v>30</v>
      </c>
      <c r="D17" s="0" t="n">
        <f aca="false">SUPPLY!H17</f>
        <v>145</v>
      </c>
      <c r="E17" s="0" t="n">
        <f aca="false">USE!AR17</f>
        <v>145</v>
      </c>
    </row>
    <row r="18" customFormat="false" ht="15" hidden="false" customHeight="false" outlineLevel="0" collapsed="false">
      <c r="A18" s="0" t="str">
        <f aca="false">SUPPLY!B18</f>
        <v>Product 17</v>
      </c>
      <c r="C18" s="0" t="n">
        <f aca="false">SUPPLY!D18</f>
        <v>30</v>
      </c>
      <c r="D18" s="0" t="n">
        <f aca="false">SUPPLY!H18</f>
        <v>145</v>
      </c>
      <c r="E18" s="0" t="n">
        <f aca="false">USE!AR18</f>
        <v>145</v>
      </c>
    </row>
    <row r="19" customFormat="false" ht="15" hidden="false" customHeight="false" outlineLevel="0" collapsed="false">
      <c r="A19" s="0" t="str">
        <f aca="false">SUPPLY!B19</f>
        <v>Product 18</v>
      </c>
      <c r="C19" s="0" t="n">
        <f aca="false">SUPPLY!D19</f>
        <v>30</v>
      </c>
      <c r="D19" s="0" t="n">
        <f aca="false">SUPPLY!H19</f>
        <v>145</v>
      </c>
      <c r="E19" s="0" t="n">
        <f aca="false">USE!AR19</f>
        <v>145</v>
      </c>
    </row>
    <row r="20" customFormat="false" ht="15" hidden="false" customHeight="false" outlineLevel="0" collapsed="false">
      <c r="A20" s="0" t="str">
        <f aca="false">SUPPLY!B20</f>
        <v>Product 19</v>
      </c>
      <c r="C20" s="0" t="n">
        <f aca="false">SUPPLY!D20</f>
        <v>30</v>
      </c>
      <c r="D20" s="0" t="n">
        <f aca="false">SUPPLY!H20</f>
        <v>145</v>
      </c>
      <c r="E20" s="0" t="n">
        <f aca="false">USE!AR20</f>
        <v>145</v>
      </c>
    </row>
    <row r="21" customFormat="false" ht="15" hidden="false" customHeight="false" outlineLevel="0" collapsed="false">
      <c r="A21" s="0" t="str">
        <f aca="false">SUPPLY!B21</f>
        <v>Product 20</v>
      </c>
      <c r="C21" s="0" t="n">
        <f aca="false">SUPPLY!D21</f>
        <v>30</v>
      </c>
      <c r="D21" s="0" t="n">
        <f aca="false">SUPPLY!H21</f>
        <v>145</v>
      </c>
      <c r="E21" s="0" t="n">
        <f aca="false">USE!AR21</f>
        <v>145</v>
      </c>
    </row>
    <row r="22" customFormat="false" ht="15" hidden="false" customHeight="false" outlineLevel="0" collapsed="false">
      <c r="A22" s="0" t="str">
        <f aca="false">SUPPLY!B22</f>
        <v>Product 21</v>
      </c>
      <c r="C22" s="0" t="n">
        <f aca="false">SUPPLY!D22</f>
        <v>30</v>
      </c>
      <c r="D22" s="0" t="n">
        <f aca="false">SUPPLY!H22</f>
        <v>145</v>
      </c>
      <c r="E22" s="0" t="n">
        <f aca="false">USE!AR22</f>
        <v>145</v>
      </c>
    </row>
    <row r="23" customFormat="false" ht="15" hidden="false" customHeight="false" outlineLevel="0" collapsed="false">
      <c r="A23" s="0" t="str">
        <f aca="false">SUPPLY!B23</f>
        <v>Product 22</v>
      </c>
      <c r="C23" s="0" t="n">
        <f aca="false">SUPPLY!D23</f>
        <v>30</v>
      </c>
      <c r="D23" s="0" t="n">
        <f aca="false">SUPPLY!H23</f>
        <v>145</v>
      </c>
      <c r="E23" s="0" t="n">
        <f aca="false">USE!AR23</f>
        <v>145</v>
      </c>
    </row>
    <row r="24" customFormat="false" ht="15" hidden="false" customHeight="false" outlineLevel="0" collapsed="false">
      <c r="A24" s="0" t="str">
        <f aca="false">SUPPLY!B24</f>
        <v>Product 23</v>
      </c>
      <c r="C24" s="0" t="n">
        <f aca="false">SUPPLY!D24</f>
        <v>30</v>
      </c>
      <c r="D24" s="0" t="n">
        <f aca="false">SUPPLY!H24</f>
        <v>145</v>
      </c>
      <c r="E24" s="0" t="n">
        <f aca="false">USE!AR24</f>
        <v>145</v>
      </c>
    </row>
    <row r="25" customFormat="false" ht="15" hidden="false" customHeight="false" outlineLevel="0" collapsed="false">
      <c r="A25" s="0" t="str">
        <f aca="false">SUPPLY!B25</f>
        <v>Product 24</v>
      </c>
      <c r="C25" s="0" t="n">
        <f aca="false">SUPPLY!D25</f>
        <v>30</v>
      </c>
      <c r="D25" s="0" t="n">
        <f aca="false">SUPPLY!H25</f>
        <v>145</v>
      </c>
      <c r="E25" s="0" t="n">
        <f aca="false">USE!AR25</f>
        <v>145</v>
      </c>
    </row>
    <row r="26" customFormat="false" ht="15" hidden="false" customHeight="false" outlineLevel="0" collapsed="false">
      <c r="A26" s="0" t="str">
        <f aca="false">SUPPLY!B26</f>
        <v>Product 25</v>
      </c>
      <c r="C26" s="0" t="n">
        <f aca="false">SUPPLY!D26</f>
        <v>30</v>
      </c>
      <c r="D26" s="0" t="n">
        <f aca="false">SUPPLY!H26</f>
        <v>145</v>
      </c>
      <c r="E26" s="0" t="n">
        <f aca="false">USE!AR26</f>
        <v>145</v>
      </c>
    </row>
    <row r="27" customFormat="false" ht="15" hidden="false" customHeight="false" outlineLevel="0" collapsed="false">
      <c r="A27" s="0" t="str">
        <f aca="false">SUPPLY!B27</f>
        <v>Product 26</v>
      </c>
      <c r="C27" s="0" t="n">
        <f aca="false">SUPPLY!D27</f>
        <v>30</v>
      </c>
      <c r="D27" s="0" t="n">
        <f aca="false">SUPPLY!H27</f>
        <v>145</v>
      </c>
      <c r="E27" s="0" t="n">
        <f aca="false">USE!AR27</f>
        <v>145</v>
      </c>
    </row>
    <row r="28" customFormat="false" ht="15" hidden="false" customHeight="false" outlineLevel="0" collapsed="false">
      <c r="A28" s="0" t="str">
        <f aca="false">SUPPLY!B28</f>
        <v>Product 27</v>
      </c>
      <c r="C28" s="0" t="n">
        <f aca="false">SUPPLY!D28</f>
        <v>30</v>
      </c>
      <c r="D28" s="0" t="n">
        <f aca="false">SUPPLY!H28</f>
        <v>145</v>
      </c>
      <c r="E28" s="0" t="n">
        <f aca="false">USE!AR28</f>
        <v>145</v>
      </c>
    </row>
    <row r="29" customFormat="false" ht="15" hidden="false" customHeight="false" outlineLevel="0" collapsed="false">
      <c r="A29" s="0" t="str">
        <f aca="false">SUPPLY!B29</f>
        <v>Product 28</v>
      </c>
      <c r="C29" s="0" t="n">
        <f aca="false">SUPPLY!D29</f>
        <v>30</v>
      </c>
      <c r="D29" s="0" t="n">
        <f aca="false">SUPPLY!H29</f>
        <v>145</v>
      </c>
      <c r="E29" s="0" t="n">
        <f aca="false">USE!AR29</f>
        <v>145</v>
      </c>
    </row>
    <row r="30" customFormat="false" ht="15" hidden="false" customHeight="false" outlineLevel="0" collapsed="false">
      <c r="A30" s="0" t="str">
        <f aca="false">SUPPLY!B30</f>
        <v>Product 29</v>
      </c>
      <c r="C30" s="0" t="n">
        <f aca="false">SUPPLY!D30</f>
        <v>30</v>
      </c>
      <c r="D30" s="0" t="n">
        <f aca="false">SUPPLY!H30</f>
        <v>145</v>
      </c>
      <c r="E30" s="0" t="n">
        <f aca="false">USE!AR30</f>
        <v>145</v>
      </c>
    </row>
    <row r="31" customFormat="false" ht="15" hidden="false" customHeight="false" outlineLevel="0" collapsed="false">
      <c r="A31" s="0" t="str">
        <f aca="false">SUPPLY!B31</f>
        <v>Product 30</v>
      </c>
      <c r="C31" s="0" t="n">
        <f aca="false">SUPPLY!D31</f>
        <v>30</v>
      </c>
      <c r="D31" s="0" t="n">
        <f aca="false">SUPPLY!H31</f>
        <v>145</v>
      </c>
      <c r="E31" s="0" t="n">
        <f aca="false">USE!AR31</f>
        <v>145</v>
      </c>
    </row>
    <row r="32" customFormat="false" ht="15" hidden="false" customHeight="false" outlineLevel="0" collapsed="false">
      <c r="A32" s="0" t="str">
        <f aca="false">SUPPLY!B32</f>
        <v>Product 31</v>
      </c>
      <c r="C32" s="0" t="n">
        <f aca="false">SUPPLY!D32</f>
        <v>30</v>
      </c>
      <c r="D32" s="0" t="n">
        <f aca="false">SUPPLY!H32</f>
        <v>145</v>
      </c>
      <c r="E32" s="0" t="n">
        <f aca="false">USE!AR32</f>
        <v>145</v>
      </c>
    </row>
    <row r="33" customFormat="false" ht="15" hidden="false" customHeight="false" outlineLevel="0" collapsed="false">
      <c r="A33" s="0" t="str">
        <f aca="false">SUPPLY!B33</f>
        <v>Product 32</v>
      </c>
      <c r="C33" s="0" t="n">
        <f aca="false">SUPPLY!D33</f>
        <v>30</v>
      </c>
      <c r="D33" s="0" t="n">
        <f aca="false">SUPPLY!H33</f>
        <v>145</v>
      </c>
      <c r="E33" s="0" t="n">
        <f aca="false">USE!AR33</f>
        <v>145</v>
      </c>
    </row>
    <row r="34" customFormat="false" ht="15" hidden="false" customHeight="false" outlineLevel="0" collapsed="false">
      <c r="A34" s="0" t="str">
        <f aca="false">SUPPLY!B34</f>
        <v>Product 33</v>
      </c>
      <c r="C34" s="0" t="n">
        <f aca="false">SUPPLY!D34</f>
        <v>30</v>
      </c>
      <c r="D34" s="0" t="n">
        <f aca="false">SUPPLY!H34</f>
        <v>145</v>
      </c>
      <c r="E34" s="0" t="n">
        <f aca="false">USE!AR34</f>
        <v>145</v>
      </c>
    </row>
    <row r="35" customFormat="false" ht="15" hidden="false" customHeight="false" outlineLevel="0" collapsed="false">
      <c r="A35" s="0" t="str">
        <f aca="false">SUPPLY!B35</f>
        <v>Product 34</v>
      </c>
      <c r="C35" s="0" t="n">
        <f aca="false">SUPPLY!D35</f>
        <v>30</v>
      </c>
      <c r="D35" s="0" t="n">
        <f aca="false">SUPPLY!H35</f>
        <v>145</v>
      </c>
      <c r="E35" s="0" t="n">
        <f aca="false">USE!AR35</f>
        <v>145</v>
      </c>
    </row>
    <row r="36" customFormat="false" ht="15" hidden="false" customHeight="false" outlineLevel="0" collapsed="false">
      <c r="A36" s="0" t="str">
        <f aca="false">SUPPLY!B36</f>
        <v>Product 35</v>
      </c>
      <c r="C36" s="0" t="n">
        <f aca="false">SUPPLY!D36</f>
        <v>30</v>
      </c>
      <c r="D36" s="0" t="n">
        <f aca="false">SUPPLY!H36</f>
        <v>145</v>
      </c>
      <c r="E36" s="0" t="n">
        <f aca="false">USE!AR36</f>
        <v>145</v>
      </c>
    </row>
    <row r="37" customFormat="false" ht="15" hidden="false" customHeight="false" outlineLevel="0" collapsed="false">
      <c r="A37" s="0" t="str">
        <f aca="false">SUPPLY!B37</f>
        <v>Product 36</v>
      </c>
      <c r="C37" s="0" t="n">
        <f aca="false">SUPPLY!D37</f>
        <v>30</v>
      </c>
      <c r="D37" s="0" t="n">
        <f aca="false">SUPPLY!H37</f>
        <v>145</v>
      </c>
      <c r="E37" s="0" t="n">
        <f aca="false">USE!AR37</f>
        <v>145</v>
      </c>
    </row>
    <row r="38" customFormat="false" ht="15" hidden="false" customHeight="false" outlineLevel="0" collapsed="false">
      <c r="A38" s="0" t="str">
        <f aca="false">SUPPLY!B38</f>
        <v>Product 37</v>
      </c>
      <c r="C38" s="0" t="n">
        <f aca="false">SUPPLY!D38</f>
        <v>30</v>
      </c>
      <c r="D38" s="0" t="n">
        <f aca="false">SUPPLY!H38</f>
        <v>145</v>
      </c>
      <c r="E38" s="0" t="n">
        <f aca="false">USE!AR38</f>
        <v>145</v>
      </c>
    </row>
    <row r="39" customFormat="false" ht="15" hidden="false" customHeight="false" outlineLevel="0" collapsed="false">
      <c r="A39" s="0" t="str">
        <f aca="false">SUPPLY!B39</f>
        <v>Product 38</v>
      </c>
      <c r="C39" s="0" t="n">
        <f aca="false">SUPPLY!D39</f>
        <v>30</v>
      </c>
      <c r="D39" s="0" t="n">
        <f aca="false">SUPPLY!H39</f>
        <v>145</v>
      </c>
      <c r="E39" s="0" t="n">
        <f aca="false">USE!AR39</f>
        <v>145</v>
      </c>
    </row>
    <row r="46" customFormat="false" ht="15" hidden="false" customHeight="false" outlineLevel="0" collapsed="false">
      <c r="B46" s="0" t="s">
        <v>147</v>
      </c>
      <c r="C46" s="0" t="n">
        <f aca="false">SUM(C2:C39)/SUM(D2:D39)</f>
        <v>0.206896551724138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" zeroHeight="false" outlineLevelRow="0" outlineLevelCol="0"/>
  <cols>
    <col collapsed="false" customWidth="true" hidden="false" outlineLevel="0" max="3" min="3" style="0" width="18"/>
    <col collapsed="false" customWidth="true" hidden="false" outlineLevel="0" max="5" min="5" style="0" width="11"/>
    <col collapsed="false" customWidth="true" hidden="false" outlineLevel="0" max="7" min="7" style="0" width="11.15"/>
    <col collapsed="false" customWidth="true" hidden="false" outlineLevel="0" max="8" min="8" style="0" width="11.85"/>
    <col collapsed="false" customWidth="true" hidden="false" outlineLevel="0" max="10" min="10" style="1" width="14.53"/>
    <col collapsed="false" customWidth="true" hidden="false" outlineLevel="0" max="11" min="11" style="1" width="17.38"/>
  </cols>
  <sheetData>
    <row r="1" s="2" customFormat="true" ht="36.75" hidden="false" customHeight="true" outlineLevel="0" collapsed="false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J1" s="3" t="s">
        <v>8</v>
      </c>
      <c r="K1" s="3" t="s">
        <v>9</v>
      </c>
    </row>
    <row r="2" customFormat="false" ht="12" hidden="false" customHeight="false" outlineLevel="0" collapsed="false">
      <c r="A2" s="0" t="s">
        <v>1</v>
      </c>
      <c r="B2" s="5"/>
      <c r="C2" s="6"/>
      <c r="D2" s="6"/>
      <c r="E2" s="6"/>
      <c r="F2" s="6"/>
      <c r="G2" s="7" t="s">
        <v>10</v>
      </c>
      <c r="H2" s="8" t="s">
        <v>11</v>
      </c>
      <c r="I2" s="7" t="s">
        <v>12</v>
      </c>
      <c r="J2" s="9"/>
      <c r="K2" s="10"/>
    </row>
    <row r="3" customFormat="false" ht="12" hidden="false" customHeight="false" outlineLevel="0" collapsed="false">
      <c r="A3" s="0" t="n">
        <v>2020</v>
      </c>
      <c r="B3" s="5" t="n">
        <v>2020</v>
      </c>
      <c r="C3" s="11" t="n">
        <f aca="false">WEO_Data!B2</f>
        <v>-6.3</v>
      </c>
      <c r="D3" s="11"/>
      <c r="E3" s="11"/>
      <c r="F3" s="11" t="n">
        <v>0</v>
      </c>
      <c r="G3" s="11" t="n">
        <f aca="false">F3*$D$30</f>
        <v>0</v>
      </c>
      <c r="H3" s="11" t="n">
        <f aca="false">G3/(J3/100)</f>
        <v>0</v>
      </c>
      <c r="I3" s="11"/>
      <c r="J3" s="12" t="n">
        <f aca="false">WEO_Data!D2</f>
        <v>107.3</v>
      </c>
      <c r="K3" s="13"/>
    </row>
    <row r="4" customFormat="false" ht="12" hidden="false" customHeight="false" outlineLevel="0" collapsed="false">
      <c r="A4" s="0" t="n">
        <v>2021</v>
      </c>
      <c r="B4" s="14" t="n">
        <v>2021</v>
      </c>
      <c r="C4" s="15" t="n">
        <f aca="false">WEO_Data!B3</f>
        <v>10.5</v>
      </c>
      <c r="F4" s="0" t="n">
        <v>0</v>
      </c>
      <c r="G4" s="15" t="n">
        <f aca="false">F4*$D$30</f>
        <v>0</v>
      </c>
      <c r="H4" s="15" t="n">
        <f aca="false">G4/(J4/100)</f>
        <v>0</v>
      </c>
      <c r="J4" s="1" t="n">
        <f aca="false">WEO_Data!D3</f>
        <v>118.3519</v>
      </c>
      <c r="K4" s="16"/>
    </row>
    <row r="5" customFormat="false" ht="12" hidden="false" customHeight="false" outlineLevel="0" collapsed="false">
      <c r="A5" s="0" t="n">
        <v>2022</v>
      </c>
      <c r="B5" s="14" t="n">
        <v>2022</v>
      </c>
      <c r="C5" s="15" t="n">
        <f aca="false">WEO_Data!B4</f>
        <v>10.1</v>
      </c>
      <c r="F5" s="0" t="n">
        <v>0</v>
      </c>
      <c r="G5" s="15" t="n">
        <f aca="false">F5*$D$30</f>
        <v>0</v>
      </c>
      <c r="H5" s="15" t="n">
        <f aca="false">G5/(J5/100)</f>
        <v>0</v>
      </c>
      <c r="J5" s="1" t="n">
        <f aca="false">WEO_Data!D4</f>
        <v>128.5301634</v>
      </c>
      <c r="K5" s="16"/>
    </row>
    <row r="6" customFormat="false" ht="12" hidden="false" customHeight="false" outlineLevel="0" collapsed="false">
      <c r="A6" s="0" t="n">
        <v>2023</v>
      </c>
      <c r="B6" s="14" t="n">
        <v>2023</v>
      </c>
      <c r="C6" s="15" t="n">
        <f aca="false">WEO_Data!B5</f>
        <v>7.5</v>
      </c>
      <c r="F6" s="0" t="n">
        <v>0</v>
      </c>
      <c r="G6" s="15" t="n">
        <f aca="false">F6*$D$30</f>
        <v>0</v>
      </c>
      <c r="H6" s="15" t="n">
        <f aca="false">G6/(J6/100)</f>
        <v>0</v>
      </c>
      <c r="J6" s="1" t="n">
        <f aca="false">WEO_Data!D5</f>
        <v>132.2575381386</v>
      </c>
      <c r="K6" s="16"/>
    </row>
    <row r="7" customFormat="false" ht="12" hidden="false" customHeight="false" outlineLevel="0" collapsed="false">
      <c r="A7" s="0" t="n">
        <v>2024</v>
      </c>
      <c r="B7" s="14" t="n">
        <v>2024</v>
      </c>
      <c r="C7" s="15" t="n">
        <f aca="false">WEO_Data!B6</f>
        <v>7.5</v>
      </c>
      <c r="F7" s="0" t="n">
        <v>0</v>
      </c>
      <c r="G7" s="15" t="n">
        <f aca="false">F7*$D$30</f>
        <v>0</v>
      </c>
      <c r="H7" s="15" t="n">
        <f aca="false">G7/(J7/100)</f>
        <v>0</v>
      </c>
      <c r="J7" s="1" t="n">
        <f aca="false">WEO_Data!D6</f>
        <v>141.879274038183</v>
      </c>
      <c r="K7" s="16"/>
    </row>
    <row r="8" customFormat="false" ht="12" hidden="false" customHeight="false" outlineLevel="0" collapsed="false">
      <c r="A8" s="0" t="n">
        <v>2025</v>
      </c>
      <c r="B8" s="14" t="n">
        <v>2025</v>
      </c>
      <c r="C8" s="15" t="n">
        <f aca="false">WEO_Data!B7</f>
        <v>6</v>
      </c>
      <c r="F8" s="0" t="n">
        <v>0</v>
      </c>
      <c r="G8" s="15" t="n">
        <f aca="false">F8*$D$30</f>
        <v>0</v>
      </c>
      <c r="H8" s="15" t="n">
        <f aca="false">G8/(J8/100)</f>
        <v>0</v>
      </c>
      <c r="J8" s="1" t="n">
        <f aca="false">WEO_Data!D7</f>
        <v>152.200991224461</v>
      </c>
      <c r="K8" s="16"/>
    </row>
    <row r="9" customFormat="false" ht="12" hidden="false" customHeight="false" outlineLevel="0" collapsed="false">
      <c r="A9" s="0" t="n">
        <v>2026</v>
      </c>
      <c r="B9" s="14" t="n">
        <v>2026</v>
      </c>
      <c r="C9" s="15" t="n">
        <f aca="false">WEO_Data!B8</f>
        <v>5</v>
      </c>
      <c r="F9" s="0" t="n">
        <v>0.195</v>
      </c>
      <c r="G9" s="15" t="n">
        <f aca="false">F9*$D$30</f>
        <v>0.53547</v>
      </c>
      <c r="H9" s="15" t="n">
        <f aca="false">G9/(J9/100)</f>
        <v>0.327958687909923</v>
      </c>
      <c r="J9" s="17" t="n">
        <f aca="false">WEO_Data!D8</f>
        <v>163.273613336041</v>
      </c>
      <c r="K9" s="16"/>
    </row>
    <row r="10" customFormat="false" ht="12" hidden="false" customHeight="false" outlineLevel="0" collapsed="false">
      <c r="A10" s="0" t="n">
        <v>2027</v>
      </c>
      <c r="B10" s="14" t="n">
        <v>2027</v>
      </c>
      <c r="C10" s="15" t="n">
        <f aca="false">WEO_Data!B9</f>
        <v>5</v>
      </c>
      <c r="F10" s="0" t="n">
        <v>0.52</v>
      </c>
      <c r="G10" s="15" t="n">
        <f aca="false">F10*$D$30</f>
        <v>1.42792</v>
      </c>
      <c r="H10" s="15" t="n">
        <f aca="false">G10/(J10/100)</f>
        <v>0.815247262729553</v>
      </c>
      <c r="J10" s="1" t="n">
        <f aca="false">WEO_Data!D9</f>
        <v>175.151768706238</v>
      </c>
      <c r="K10" s="16"/>
    </row>
    <row r="11" customFormat="false" ht="12" hidden="false" customHeight="false" outlineLevel="0" collapsed="false">
      <c r="A11" s="0" t="n">
        <v>2028</v>
      </c>
      <c r="B11" s="14" t="n">
        <v>2028</v>
      </c>
      <c r="C11" s="15" t="n">
        <f aca="false">WEO_Data!B10</f>
        <v>5</v>
      </c>
      <c r="F11" s="0" t="n">
        <v>0.91</v>
      </c>
      <c r="G11" s="15" t="n">
        <f aca="false">F11*$D$30</f>
        <v>2.49886</v>
      </c>
      <c r="H11" s="15" t="n">
        <f aca="false">G11/(J11/100)</f>
        <v>1.32993028177741</v>
      </c>
      <c r="J11" s="1" t="n">
        <f aca="false">WEO_Data!D10</f>
        <v>187.894059879616</v>
      </c>
      <c r="K11" s="16"/>
    </row>
    <row r="12" customFormat="false" ht="12" hidden="false" customHeight="false" outlineLevel="0" collapsed="false">
      <c r="A12" s="0" t="n">
        <v>2029</v>
      </c>
      <c r="B12" s="14" t="n">
        <v>2029</v>
      </c>
      <c r="C12" s="15" t="n">
        <f aca="false">WEO_Data!B11</f>
        <v>5</v>
      </c>
      <c r="F12" s="0" t="n">
        <v>1.625</v>
      </c>
      <c r="G12" s="15" t="n">
        <f aca="false">F12*$D$30</f>
        <v>4.46225</v>
      </c>
      <c r="H12" s="15" t="n">
        <f aca="false">G12/(J12/100)</f>
        <v>2.21382009151615</v>
      </c>
      <c r="J12" s="1" t="n">
        <f aca="false">WEO_Data!D11</f>
        <v>201.563352735858</v>
      </c>
      <c r="K12" s="16"/>
    </row>
    <row r="13" customFormat="false" ht="12" hidden="false" customHeight="false" outlineLevel="0" collapsed="false">
      <c r="A13" s="0" t="n">
        <v>2030</v>
      </c>
      <c r="B13" s="14" t="n">
        <v>2030</v>
      </c>
      <c r="C13" s="15" t="n">
        <f aca="false">WEO_Data!B12</f>
        <v>5</v>
      </c>
      <c r="F13" s="0" t="n">
        <v>1.625</v>
      </c>
      <c r="G13" s="15" t="n">
        <f aca="false">F13*$D$30</f>
        <v>4.46225</v>
      </c>
      <c r="H13" s="15" t="n">
        <f aca="false">G13/(J13/100)</f>
        <v>2.06368687160676</v>
      </c>
      <c r="J13" s="18" t="n">
        <f aca="false">WEO_Data!D12</f>
        <v>216.227086647392</v>
      </c>
      <c r="K13" s="16"/>
    </row>
    <row r="14" customFormat="false" ht="12" hidden="false" customHeight="false" outlineLevel="0" collapsed="false">
      <c r="A14" s="0" t="n">
        <v>2031</v>
      </c>
      <c r="B14" s="14" t="n">
        <v>2031</v>
      </c>
      <c r="C14" s="15" t="n">
        <f aca="false">WEO_Data!B13</f>
        <v>5</v>
      </c>
      <c r="F14" s="0" t="n">
        <v>0.91</v>
      </c>
      <c r="G14" s="15" t="n">
        <f aca="false">F14*$D$30</f>
        <v>2.49886</v>
      </c>
      <c r="H14" s="15" t="n">
        <f aca="false">G14/(J14/100)</f>
        <v>1.07729167848966</v>
      </c>
      <c r="J14" s="18" t="n">
        <f aca="false">WEO_Data!D13</f>
        <v>231.95760720099</v>
      </c>
      <c r="K14" s="16"/>
    </row>
    <row r="15" customFormat="false" ht="12" hidden="false" customHeight="false" outlineLevel="0" collapsed="false">
      <c r="A15" s="0" t="n">
        <v>2032</v>
      </c>
      <c r="B15" s="14" t="n">
        <v>2032</v>
      </c>
      <c r="C15" s="15" t="n">
        <f aca="false">WEO_Data!B14</f>
        <v>5</v>
      </c>
      <c r="F15" s="0" t="n">
        <v>0.52</v>
      </c>
      <c r="G15" s="15" t="n">
        <f aca="false">F15*$D$30</f>
        <v>1.42792</v>
      </c>
      <c r="H15" s="15" t="n">
        <f aca="false">G15/(J15/100)</f>
        <v>0.573847816221147</v>
      </c>
      <c r="J15" s="18" t="n">
        <f aca="false">WEO_Data!D14</f>
        <v>248.832523124862</v>
      </c>
      <c r="K15" s="16"/>
    </row>
    <row r="16" customFormat="false" ht="12" hidden="false" customHeight="false" outlineLevel="0" collapsed="false">
      <c r="A16" s="0" t="n">
        <v>2033</v>
      </c>
      <c r="B16" s="14" t="n">
        <v>2033</v>
      </c>
      <c r="C16" s="15" t="n">
        <f aca="false">WEO_Data!B15</f>
        <v>5</v>
      </c>
      <c r="F16" s="0" t="n">
        <v>0.195</v>
      </c>
      <c r="G16" s="15" t="n">
        <f aca="false">F16*$D$30</f>
        <v>0.53547</v>
      </c>
      <c r="H16" s="15" t="n">
        <f aca="false">G16/(J16/100)</f>
        <v>0.200599329837269</v>
      </c>
      <c r="J16" s="18" t="n">
        <f aca="false">WEO_Data!D15</f>
        <v>266.935089182196</v>
      </c>
      <c r="K16" s="16"/>
    </row>
    <row r="17" customFormat="false" ht="12" hidden="false" customHeight="false" outlineLevel="0" collapsed="false">
      <c r="A17" s="0" t="n">
        <v>2034</v>
      </c>
      <c r="B17" s="14" t="n">
        <v>2034</v>
      </c>
      <c r="C17" s="15" t="n">
        <f aca="false">WEO_Data!B16</f>
        <v>5</v>
      </c>
      <c r="F17" s="0" t="n">
        <v>0</v>
      </c>
      <c r="G17" s="15" t="n">
        <f aca="false">F17*$D$30</f>
        <v>0</v>
      </c>
      <c r="H17" s="15" t="n">
        <f aca="false">G17/(J17/100)</f>
        <v>0</v>
      </c>
      <c r="J17" s="18" t="n">
        <f aca="false">WEO_Data!D16</f>
        <v>286.354616920201</v>
      </c>
      <c r="K17" s="16"/>
    </row>
    <row r="18" customFormat="false" ht="12" hidden="false" customHeight="false" outlineLevel="0" collapsed="false">
      <c r="A18" s="0" t="n">
        <v>2035</v>
      </c>
      <c r="B18" s="14" t="n">
        <v>2035</v>
      </c>
      <c r="C18" s="15" t="n">
        <f aca="false">WEO_Data!B17</f>
        <v>5</v>
      </c>
      <c r="F18" s="0" t="n">
        <v>0</v>
      </c>
      <c r="G18" s="15" t="n">
        <f aca="false">F18*$D$30</f>
        <v>0</v>
      </c>
      <c r="H18" s="15" t="n">
        <f aca="false">G18/(J18/100)</f>
        <v>0</v>
      </c>
      <c r="J18" s="18" t="n">
        <f aca="false">WEO_Data!D17</f>
        <v>307.186915301145</v>
      </c>
      <c r="K18" s="16"/>
    </row>
    <row r="19" customFormat="false" ht="12" hidden="false" customHeight="false" outlineLevel="0" collapsed="false">
      <c r="A19" s="0" t="n">
        <v>2036</v>
      </c>
      <c r="B19" s="14" t="n">
        <v>2036</v>
      </c>
      <c r="C19" s="15" t="n">
        <f aca="false">WEO_Data!B18</f>
        <v>5</v>
      </c>
      <c r="F19" s="0" t="n">
        <v>0</v>
      </c>
      <c r="G19" s="15" t="n">
        <f aca="false">F19*$D$30</f>
        <v>0</v>
      </c>
      <c r="H19" s="15" t="n">
        <f aca="false">G19/(J19/100)</f>
        <v>0</v>
      </c>
      <c r="J19" s="18" t="n">
        <f aca="false">WEO_Data!D18</f>
        <v>329.534763389304</v>
      </c>
      <c r="K19" s="16"/>
    </row>
    <row r="20" customFormat="false" ht="12" hidden="false" customHeight="false" outlineLevel="0" collapsed="false">
      <c r="A20" s="0" t="n">
        <v>2037</v>
      </c>
      <c r="B20" s="14" t="n">
        <v>2037</v>
      </c>
      <c r="C20" s="15" t="n">
        <f aca="false">WEO_Data!B19</f>
        <v>5</v>
      </c>
      <c r="F20" s="0" t="n">
        <v>0</v>
      </c>
      <c r="G20" s="15" t="n">
        <f aca="false">F20*$D$30</f>
        <v>0</v>
      </c>
      <c r="H20" s="15" t="n">
        <f aca="false">G20/(J20/100)</f>
        <v>0</v>
      </c>
      <c r="J20" s="18" t="n">
        <f aca="false">WEO_Data!D19</f>
        <v>353.508417425875</v>
      </c>
      <c r="K20" s="16"/>
    </row>
    <row r="21" customFormat="false" ht="12" hidden="false" customHeight="false" outlineLevel="0" collapsed="false">
      <c r="A21" s="0" t="n">
        <v>2038</v>
      </c>
      <c r="B21" s="14" t="n">
        <v>2038</v>
      </c>
      <c r="C21" s="15" t="n">
        <f aca="false">WEO_Data!B20</f>
        <v>5</v>
      </c>
      <c r="F21" s="0" t="n">
        <v>0</v>
      </c>
      <c r="G21" s="15" t="n">
        <f aca="false">F21*$D$30</f>
        <v>0</v>
      </c>
      <c r="H21" s="15" t="n">
        <f aca="false">G21/(J21/100)</f>
        <v>0</v>
      </c>
      <c r="J21" s="18" t="n">
        <f aca="false">WEO_Data!D20</f>
        <v>379.226154793608</v>
      </c>
      <c r="K21" s="16"/>
    </row>
    <row r="22" customFormat="false" ht="12" hidden="false" customHeight="false" outlineLevel="0" collapsed="false">
      <c r="A22" s="0" t="n">
        <v>2039</v>
      </c>
      <c r="B22" s="14" t="n">
        <v>2039</v>
      </c>
      <c r="C22" s="15" t="n">
        <f aca="false">WEO_Data!B21</f>
        <v>5</v>
      </c>
      <c r="F22" s="0" t="n">
        <v>0</v>
      </c>
      <c r="G22" s="15" t="n">
        <f aca="false">F22*$D$30</f>
        <v>0</v>
      </c>
      <c r="H22" s="15" t="n">
        <f aca="false">G22/(J22/100)</f>
        <v>0</v>
      </c>
      <c r="J22" s="18" t="n">
        <f aca="false">WEO_Data!D21</f>
        <v>406.814857554843</v>
      </c>
      <c r="K22" s="16"/>
    </row>
    <row r="23" customFormat="false" ht="12" hidden="false" customHeight="false" outlineLevel="0" collapsed="false">
      <c r="A23" s="0" t="n">
        <v>2040</v>
      </c>
      <c r="B23" s="14" t="n">
        <v>2040</v>
      </c>
      <c r="C23" s="15" t="n">
        <f aca="false">WEO_Data!B22</f>
        <v>5</v>
      </c>
      <c r="F23" s="0" t="n">
        <v>0</v>
      </c>
      <c r="G23" s="15" t="n">
        <f aca="false">F23*$D$30</f>
        <v>0</v>
      </c>
      <c r="H23" s="15" t="n">
        <f aca="false">G23/(J23/100)</f>
        <v>0</v>
      </c>
      <c r="J23" s="18" t="n">
        <f aca="false">WEO_Data!D22</f>
        <v>436.410638441958</v>
      </c>
      <c r="K23" s="16"/>
    </row>
    <row r="24" customFormat="false" ht="12" hidden="false" customHeight="false" outlineLevel="0" collapsed="false">
      <c r="A24" s="0" t="n">
        <v>2041</v>
      </c>
      <c r="B24" s="14" t="n">
        <v>2041</v>
      </c>
      <c r="C24" s="15" t="n">
        <f aca="false">WEO_Data!B23</f>
        <v>5</v>
      </c>
      <c r="F24" s="0" t="n">
        <v>0</v>
      </c>
      <c r="G24" s="15" t="n">
        <f aca="false">F24*$D$30</f>
        <v>0</v>
      </c>
      <c r="H24" s="15" t="n">
        <f aca="false">G24/(J24/100)</f>
        <v>0</v>
      </c>
      <c r="J24" s="18" t="n">
        <f aca="false">WEO_Data!D23</f>
        <v>468.15951238861</v>
      </c>
      <c r="K24" s="16"/>
    </row>
    <row r="25" customFormat="false" ht="12" hidden="false" customHeight="false" outlineLevel="0" collapsed="false">
      <c r="A25" s="0" t="n">
        <v>2042</v>
      </c>
      <c r="B25" s="19" t="n">
        <v>2042</v>
      </c>
      <c r="C25" s="20" t="n">
        <f aca="false">WEO_Data!B24</f>
        <v>5</v>
      </c>
      <c r="D25" s="20"/>
      <c r="E25" s="20"/>
      <c r="F25" s="20" t="n">
        <v>0</v>
      </c>
      <c r="G25" s="20" t="n">
        <f aca="false">F25*$D$30</f>
        <v>0</v>
      </c>
      <c r="H25" s="20" t="n">
        <f aca="false">G25/(J25/100)</f>
        <v>0</v>
      </c>
      <c r="I25" s="20"/>
      <c r="J25" s="21" t="n">
        <f aca="false">WEO_Data!D24</f>
        <v>502.218116914882</v>
      </c>
      <c r="K25" s="22"/>
    </row>
    <row r="26" customFormat="false" ht="12" hidden="false" customHeight="false" outlineLevel="0" collapsed="false">
      <c r="A26" s="0" t="n">
        <v>2043</v>
      </c>
      <c r="C26" s="0" t="n">
        <f aca="false">WEO_Data!B25</f>
        <v>5</v>
      </c>
      <c r="F26" s="0" t="n">
        <v>0</v>
      </c>
      <c r="G26" s="0" t="n">
        <f aca="false">F26*$D$30</f>
        <v>0</v>
      </c>
      <c r="H26" s="0" t="n">
        <f aca="false">G26/(J26/100)</f>
        <v>0</v>
      </c>
      <c r="J26" s="1" t="n">
        <f aca="false">WEO_Data!D25</f>
        <v>538.754484920439</v>
      </c>
    </row>
    <row r="28" customFormat="false" ht="12" hidden="false" customHeight="false" outlineLevel="0" collapsed="false">
      <c r="C28" s="23" t="s">
        <v>13</v>
      </c>
      <c r="D28" s="24"/>
      <c r="E28" s="25"/>
      <c r="F28" s="25"/>
      <c r="G28" s="25"/>
      <c r="H28" s="25"/>
      <c r="I28" s="25"/>
      <c r="J28" s="26"/>
      <c r="K28" s="27"/>
    </row>
    <row r="29" customFormat="false" ht="12" hidden="false" customHeight="false" outlineLevel="0" collapsed="false">
      <c r="C29" s="14"/>
      <c r="K29" s="16"/>
    </row>
    <row r="30" customFormat="false" ht="12" hidden="false" customHeight="false" outlineLevel="0" collapsed="false">
      <c r="C30" s="14" t="s">
        <v>13</v>
      </c>
      <c r="D30" s="0" t="n">
        <v>2.746</v>
      </c>
      <c r="K30" s="16"/>
    </row>
    <row r="31" customFormat="false" ht="12" hidden="false" customHeight="false" outlineLevel="0" collapsed="false">
      <c r="C31" s="14" t="s">
        <v>14</v>
      </c>
      <c r="D31" s="28" t="n">
        <v>1</v>
      </c>
      <c r="K31" s="16"/>
    </row>
    <row r="32" customFormat="false" ht="12" hidden="false" customHeight="false" outlineLevel="0" collapsed="false">
      <c r="C32" s="14" t="s">
        <v>15</v>
      </c>
      <c r="D32" s="29" t="n">
        <f aca="false">'SUT Calc'!C46</f>
        <v>0.206896551724138</v>
      </c>
      <c r="K32" s="16"/>
    </row>
    <row r="33" customFormat="false" ht="12" hidden="false" customHeight="false" outlineLevel="0" collapsed="false">
      <c r="C33" s="19" t="s">
        <v>16</v>
      </c>
      <c r="D33" s="20"/>
      <c r="E33" s="20"/>
      <c r="F33" s="20"/>
      <c r="G33" s="20"/>
      <c r="H33" s="20"/>
      <c r="I33" s="20"/>
      <c r="J33" s="30"/>
      <c r="K33" s="2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" zeroHeight="false" outlineLevelRow="0" outlineLevelCol="0"/>
  <cols>
    <col collapsed="false" customWidth="true" hidden="false" outlineLevel="0" max="3" min="3" style="0" width="18"/>
    <col collapsed="false" customWidth="true" hidden="false" outlineLevel="0" max="5" min="5" style="0" width="11"/>
    <col collapsed="false" customWidth="true" hidden="false" outlineLevel="0" max="7" min="7" style="0" width="11.15"/>
    <col collapsed="false" customWidth="true" hidden="false" outlineLevel="0" max="8" min="8" style="0" width="11.85"/>
    <col collapsed="false" customWidth="true" hidden="false" outlineLevel="0" max="10" min="10" style="1" width="14.53"/>
    <col collapsed="false" customWidth="true" hidden="false" outlineLevel="0" max="11" min="11" style="1" width="17.38"/>
  </cols>
  <sheetData>
    <row r="1" s="2" customFormat="true" ht="36.75" hidden="false" customHeight="true" outlineLevel="0" collapsed="false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J1" s="3" t="s">
        <v>8</v>
      </c>
      <c r="K1" s="3" t="s">
        <v>9</v>
      </c>
    </row>
    <row r="2" customFormat="false" ht="12" hidden="false" customHeight="false" outlineLevel="0" collapsed="false">
      <c r="A2" s="0" t="s">
        <v>1</v>
      </c>
      <c r="B2" s="5"/>
      <c r="C2" s="6"/>
      <c r="D2" s="6"/>
      <c r="E2" s="6"/>
      <c r="F2" s="6"/>
      <c r="G2" s="7" t="s">
        <v>10</v>
      </c>
      <c r="H2" s="8" t="s">
        <v>11</v>
      </c>
      <c r="I2" s="7" t="s">
        <v>12</v>
      </c>
      <c r="J2" s="9"/>
      <c r="K2" s="10"/>
    </row>
    <row r="3" customFormat="false" ht="12" hidden="false" customHeight="false" outlineLevel="0" collapsed="false">
      <c r="A3" s="0" t="n">
        <v>2020</v>
      </c>
      <c r="B3" s="5" t="n">
        <v>2020</v>
      </c>
      <c r="C3" s="11" t="n">
        <f aca="false">WEO_Data!B2</f>
        <v>-6.3</v>
      </c>
      <c r="D3" s="11"/>
      <c r="E3" s="11"/>
      <c r="F3" s="11" t="n">
        <v>0</v>
      </c>
      <c r="G3" s="11" t="n">
        <f aca="false">F3*$D$30</f>
        <v>0</v>
      </c>
      <c r="H3" s="11" t="n">
        <f aca="false">G3/(J3/100)</f>
        <v>0</v>
      </c>
      <c r="I3" s="11"/>
      <c r="J3" s="12" t="n">
        <f aca="false">WEO_Data!D2</f>
        <v>107.3</v>
      </c>
      <c r="K3" s="13"/>
    </row>
    <row r="4" customFormat="false" ht="12" hidden="false" customHeight="false" outlineLevel="0" collapsed="false">
      <c r="A4" s="0" t="n">
        <v>2021</v>
      </c>
      <c r="B4" s="14" t="n">
        <v>2021</v>
      </c>
      <c r="C4" s="15" t="n">
        <f aca="false">WEO_Data!B3</f>
        <v>10.5</v>
      </c>
      <c r="F4" s="0" t="n">
        <v>0</v>
      </c>
      <c r="G4" s="15" t="n">
        <f aca="false">F4*$D$30</f>
        <v>0</v>
      </c>
      <c r="H4" s="15" t="n">
        <f aca="false">G4/(J4/100)</f>
        <v>0</v>
      </c>
      <c r="J4" s="1" t="n">
        <f aca="false">WEO_Data!D3</f>
        <v>118.3519</v>
      </c>
      <c r="K4" s="16"/>
    </row>
    <row r="5" customFormat="false" ht="12" hidden="false" customHeight="false" outlineLevel="0" collapsed="false">
      <c r="A5" s="0" t="n">
        <v>2022</v>
      </c>
      <c r="B5" s="14" t="n">
        <v>2022</v>
      </c>
      <c r="C5" s="15" t="n">
        <f aca="false">WEO_Data!B4</f>
        <v>10.1</v>
      </c>
      <c r="F5" s="0" t="n">
        <v>0</v>
      </c>
      <c r="G5" s="15" t="n">
        <f aca="false">F5*$D$30</f>
        <v>0</v>
      </c>
      <c r="H5" s="15" t="n">
        <f aca="false">G5/(J5/100)</f>
        <v>0</v>
      </c>
      <c r="J5" s="1" t="n">
        <f aca="false">WEO_Data!D4</f>
        <v>128.5301634</v>
      </c>
      <c r="K5" s="16"/>
    </row>
    <row r="6" customFormat="false" ht="12" hidden="false" customHeight="false" outlineLevel="0" collapsed="false">
      <c r="A6" s="0" t="n">
        <v>2023</v>
      </c>
      <c r="B6" s="14" t="n">
        <v>2023</v>
      </c>
      <c r="C6" s="15" t="n">
        <f aca="false">WEO_Data!B5</f>
        <v>7.5</v>
      </c>
      <c r="F6" s="0" t="n">
        <v>0</v>
      </c>
      <c r="G6" s="15" t="n">
        <f aca="false">F6*$D$30</f>
        <v>0</v>
      </c>
      <c r="H6" s="15" t="n">
        <f aca="false">G6/(J6/100)</f>
        <v>0</v>
      </c>
      <c r="J6" s="1" t="n">
        <f aca="false">WEO_Data!D5</f>
        <v>132.2575381386</v>
      </c>
      <c r="K6" s="16"/>
    </row>
    <row r="7" customFormat="false" ht="12" hidden="false" customHeight="false" outlineLevel="0" collapsed="false">
      <c r="A7" s="0" t="n">
        <v>2024</v>
      </c>
      <c r="B7" s="14" t="n">
        <v>2024</v>
      </c>
      <c r="C7" s="15" t="n">
        <f aca="false">WEO_Data!B6</f>
        <v>7.5</v>
      </c>
      <c r="F7" s="0" t="n">
        <v>0</v>
      </c>
      <c r="G7" s="15" t="n">
        <f aca="false">F7*$D$30</f>
        <v>0</v>
      </c>
      <c r="H7" s="15" t="n">
        <f aca="false">G7/(J7/100)</f>
        <v>0</v>
      </c>
      <c r="J7" s="1" t="n">
        <f aca="false">WEO_Data!D6</f>
        <v>141.879274038183</v>
      </c>
      <c r="K7" s="16"/>
    </row>
    <row r="8" customFormat="false" ht="12" hidden="false" customHeight="false" outlineLevel="0" collapsed="false">
      <c r="A8" s="0" t="n">
        <v>2025</v>
      </c>
      <c r="B8" s="14" t="n">
        <v>2025</v>
      </c>
      <c r="C8" s="15" t="n">
        <f aca="false">WEO_Data!B7</f>
        <v>6</v>
      </c>
      <c r="F8" s="0" t="n">
        <v>0</v>
      </c>
      <c r="G8" s="15" t="n">
        <f aca="false">F8*$D$30</f>
        <v>0</v>
      </c>
      <c r="H8" s="15" t="n">
        <f aca="false">G8/(J8/100)</f>
        <v>0</v>
      </c>
      <c r="J8" s="1" t="n">
        <f aca="false">WEO_Data!D7</f>
        <v>152.200991224461</v>
      </c>
      <c r="K8" s="16"/>
    </row>
    <row r="9" customFormat="false" ht="12" hidden="false" customHeight="false" outlineLevel="0" collapsed="false">
      <c r="A9" s="0" t="n">
        <v>2026</v>
      </c>
      <c r="B9" s="14" t="n">
        <v>2026</v>
      </c>
      <c r="C9" s="15" t="n">
        <f aca="false">WEO_Data!B8</f>
        <v>5</v>
      </c>
      <c r="F9" s="0" t="n">
        <v>0.195</v>
      </c>
      <c r="G9" s="15" t="n">
        <f aca="false">F9*$D$30</f>
        <v>0.53547</v>
      </c>
      <c r="H9" s="15" t="n">
        <f aca="false">G9/(J9/100)</f>
        <v>0.327958687909923</v>
      </c>
      <c r="J9" s="17" t="n">
        <f aca="false">WEO_Data!D8</f>
        <v>163.273613336041</v>
      </c>
      <c r="K9" s="16"/>
    </row>
    <row r="10" customFormat="false" ht="12" hidden="false" customHeight="false" outlineLevel="0" collapsed="false">
      <c r="A10" s="0" t="n">
        <v>2027</v>
      </c>
      <c r="B10" s="14" t="n">
        <v>2027</v>
      </c>
      <c r="C10" s="15" t="n">
        <f aca="false">WEO_Data!B9</f>
        <v>5</v>
      </c>
      <c r="F10" s="0" t="n">
        <v>0.52</v>
      </c>
      <c r="G10" s="15" t="n">
        <f aca="false">F10*$D$30</f>
        <v>1.42792</v>
      </c>
      <c r="H10" s="15" t="n">
        <f aca="false">G10/(J10/100)</f>
        <v>0.815247262729553</v>
      </c>
      <c r="J10" s="1" t="n">
        <f aca="false">WEO_Data!D9</f>
        <v>175.151768706238</v>
      </c>
      <c r="K10" s="16"/>
    </row>
    <row r="11" customFormat="false" ht="12" hidden="false" customHeight="false" outlineLevel="0" collapsed="false">
      <c r="A11" s="0" t="n">
        <v>2028</v>
      </c>
      <c r="B11" s="14" t="n">
        <v>2028</v>
      </c>
      <c r="C11" s="15" t="n">
        <f aca="false">WEO_Data!B10</f>
        <v>5</v>
      </c>
      <c r="F11" s="0" t="n">
        <v>0.91</v>
      </c>
      <c r="G11" s="15" t="n">
        <f aca="false">F11*$D$30</f>
        <v>2.49886</v>
      </c>
      <c r="H11" s="15" t="n">
        <f aca="false">G11/(J11/100)</f>
        <v>1.32993028177741</v>
      </c>
      <c r="J11" s="1" t="n">
        <f aca="false">WEO_Data!D10</f>
        <v>187.894059879616</v>
      </c>
      <c r="K11" s="16"/>
    </row>
    <row r="12" customFormat="false" ht="12" hidden="false" customHeight="false" outlineLevel="0" collapsed="false">
      <c r="A12" s="0" t="n">
        <v>2029</v>
      </c>
      <c r="B12" s="14" t="n">
        <v>2029</v>
      </c>
      <c r="C12" s="15" t="n">
        <f aca="false">WEO_Data!B11</f>
        <v>5</v>
      </c>
      <c r="F12" s="0" t="n">
        <v>1.625</v>
      </c>
      <c r="G12" s="15" t="n">
        <f aca="false">F12*$D$30</f>
        <v>4.46225</v>
      </c>
      <c r="H12" s="15" t="n">
        <f aca="false">G12/(J12/100)</f>
        <v>2.21382009151615</v>
      </c>
      <c r="J12" s="1" t="n">
        <f aca="false">WEO_Data!D11</f>
        <v>201.563352735858</v>
      </c>
      <c r="K12" s="16"/>
    </row>
    <row r="13" customFormat="false" ht="12" hidden="false" customHeight="false" outlineLevel="0" collapsed="false">
      <c r="A13" s="0" t="n">
        <v>2030</v>
      </c>
      <c r="B13" s="14" t="n">
        <v>2030</v>
      </c>
      <c r="C13" s="15" t="n">
        <f aca="false">WEO_Data!B12</f>
        <v>5</v>
      </c>
      <c r="F13" s="0" t="n">
        <v>1.625</v>
      </c>
      <c r="G13" s="15" t="n">
        <f aca="false">F13*$D$30</f>
        <v>4.46225</v>
      </c>
      <c r="H13" s="15" t="n">
        <f aca="false">G13/(J13/100)</f>
        <v>2.06368687160676</v>
      </c>
      <c r="J13" s="18" t="n">
        <f aca="false">WEO_Data!D12</f>
        <v>216.227086647392</v>
      </c>
      <c r="K13" s="16"/>
    </row>
    <row r="14" customFormat="false" ht="12" hidden="false" customHeight="false" outlineLevel="0" collapsed="false">
      <c r="A14" s="0" t="n">
        <v>2031</v>
      </c>
      <c r="B14" s="14" t="n">
        <v>2031</v>
      </c>
      <c r="C14" s="15" t="n">
        <f aca="false">WEO_Data!B13</f>
        <v>5</v>
      </c>
      <c r="F14" s="0" t="n">
        <v>0.91</v>
      </c>
      <c r="G14" s="15" t="n">
        <f aca="false">F14*$D$30</f>
        <v>2.49886</v>
      </c>
      <c r="H14" s="15" t="n">
        <f aca="false">G14/(J14/100)</f>
        <v>1.07729167848966</v>
      </c>
      <c r="J14" s="18" t="n">
        <f aca="false">WEO_Data!D13</f>
        <v>231.95760720099</v>
      </c>
      <c r="K14" s="16"/>
    </row>
    <row r="15" customFormat="false" ht="12" hidden="false" customHeight="false" outlineLevel="0" collapsed="false">
      <c r="A15" s="0" t="n">
        <v>2032</v>
      </c>
      <c r="B15" s="14" t="n">
        <v>2032</v>
      </c>
      <c r="C15" s="15" t="n">
        <f aca="false">WEO_Data!B14</f>
        <v>5</v>
      </c>
      <c r="F15" s="0" t="n">
        <v>0.52</v>
      </c>
      <c r="G15" s="15" t="n">
        <f aca="false">F15*$D$30</f>
        <v>1.42792</v>
      </c>
      <c r="H15" s="15" t="n">
        <f aca="false">G15/(J15/100)</f>
        <v>0.573847816221147</v>
      </c>
      <c r="J15" s="18" t="n">
        <f aca="false">WEO_Data!D14</f>
        <v>248.832523124862</v>
      </c>
      <c r="K15" s="16"/>
    </row>
    <row r="16" customFormat="false" ht="12" hidden="false" customHeight="false" outlineLevel="0" collapsed="false">
      <c r="A16" s="0" t="n">
        <v>2033</v>
      </c>
      <c r="B16" s="14" t="n">
        <v>2033</v>
      </c>
      <c r="C16" s="15" t="n">
        <f aca="false">WEO_Data!B15</f>
        <v>5</v>
      </c>
      <c r="F16" s="0" t="n">
        <v>0.195</v>
      </c>
      <c r="G16" s="15" t="n">
        <f aca="false">F16*$D$30</f>
        <v>0.53547</v>
      </c>
      <c r="H16" s="15" t="n">
        <f aca="false">G16/(J16/100)</f>
        <v>0.200599329837269</v>
      </c>
      <c r="J16" s="18" t="n">
        <f aca="false">WEO_Data!D15</f>
        <v>266.935089182196</v>
      </c>
      <c r="K16" s="16"/>
    </row>
    <row r="17" customFormat="false" ht="12" hidden="false" customHeight="false" outlineLevel="0" collapsed="false">
      <c r="A17" s="0" t="n">
        <v>2034</v>
      </c>
      <c r="B17" s="14" t="n">
        <v>2034</v>
      </c>
      <c r="C17" s="15" t="n">
        <f aca="false">WEO_Data!B16</f>
        <v>5</v>
      </c>
      <c r="F17" s="0" t="n">
        <v>0</v>
      </c>
      <c r="G17" s="15" t="n">
        <f aca="false">F17*$D$30</f>
        <v>0</v>
      </c>
      <c r="H17" s="15" t="n">
        <f aca="false">G17/(J17/100)</f>
        <v>0</v>
      </c>
      <c r="J17" s="18" t="n">
        <f aca="false">WEO_Data!D16</f>
        <v>286.354616920201</v>
      </c>
      <c r="K17" s="16"/>
    </row>
    <row r="18" customFormat="false" ht="12" hidden="false" customHeight="false" outlineLevel="0" collapsed="false">
      <c r="A18" s="0" t="n">
        <v>2035</v>
      </c>
      <c r="B18" s="14" t="n">
        <v>2035</v>
      </c>
      <c r="C18" s="15" t="n">
        <f aca="false">WEO_Data!B17</f>
        <v>5</v>
      </c>
      <c r="F18" s="0" t="n">
        <v>0</v>
      </c>
      <c r="G18" s="15" t="n">
        <f aca="false">F18*$D$30</f>
        <v>0</v>
      </c>
      <c r="H18" s="15" t="n">
        <f aca="false">G18/(J18/100)</f>
        <v>0</v>
      </c>
      <c r="J18" s="18" t="n">
        <f aca="false">WEO_Data!D17</f>
        <v>307.186915301145</v>
      </c>
      <c r="K18" s="16"/>
    </row>
    <row r="19" customFormat="false" ht="12" hidden="false" customHeight="false" outlineLevel="0" collapsed="false">
      <c r="A19" s="0" t="n">
        <v>2036</v>
      </c>
      <c r="B19" s="14" t="n">
        <v>2036</v>
      </c>
      <c r="C19" s="15" t="n">
        <f aca="false">WEO_Data!B18</f>
        <v>5</v>
      </c>
      <c r="F19" s="0" t="n">
        <v>0</v>
      </c>
      <c r="G19" s="15" t="n">
        <f aca="false">F19*$D$30</f>
        <v>0</v>
      </c>
      <c r="H19" s="15" t="n">
        <f aca="false">G19/(J19/100)</f>
        <v>0</v>
      </c>
      <c r="J19" s="18" t="n">
        <f aca="false">WEO_Data!D18</f>
        <v>329.534763389304</v>
      </c>
      <c r="K19" s="16"/>
    </row>
    <row r="20" customFormat="false" ht="12" hidden="false" customHeight="false" outlineLevel="0" collapsed="false">
      <c r="A20" s="0" t="n">
        <v>2037</v>
      </c>
      <c r="B20" s="14" t="n">
        <v>2037</v>
      </c>
      <c r="C20" s="15" t="n">
        <f aca="false">WEO_Data!B19</f>
        <v>5</v>
      </c>
      <c r="F20" s="0" t="n">
        <v>0</v>
      </c>
      <c r="G20" s="15" t="n">
        <f aca="false">F20*$D$30</f>
        <v>0</v>
      </c>
      <c r="H20" s="15" t="n">
        <f aca="false">G20/(J20/100)</f>
        <v>0</v>
      </c>
      <c r="J20" s="18" t="n">
        <f aca="false">WEO_Data!D19</f>
        <v>353.508417425875</v>
      </c>
      <c r="K20" s="16"/>
    </row>
    <row r="21" customFormat="false" ht="12" hidden="false" customHeight="false" outlineLevel="0" collapsed="false">
      <c r="A21" s="0" t="n">
        <v>2038</v>
      </c>
      <c r="B21" s="14" t="n">
        <v>2038</v>
      </c>
      <c r="C21" s="15" t="n">
        <f aca="false">WEO_Data!B20</f>
        <v>5</v>
      </c>
      <c r="F21" s="0" t="n">
        <v>0</v>
      </c>
      <c r="G21" s="15" t="n">
        <f aca="false">F21*$D$30</f>
        <v>0</v>
      </c>
      <c r="H21" s="15" t="n">
        <f aca="false">G21/(J21/100)</f>
        <v>0</v>
      </c>
      <c r="J21" s="18" t="n">
        <f aca="false">WEO_Data!D20</f>
        <v>379.226154793608</v>
      </c>
      <c r="K21" s="16"/>
    </row>
    <row r="22" customFormat="false" ht="12" hidden="false" customHeight="false" outlineLevel="0" collapsed="false">
      <c r="A22" s="0" t="n">
        <v>2039</v>
      </c>
      <c r="B22" s="14" t="n">
        <v>2039</v>
      </c>
      <c r="C22" s="15" t="n">
        <f aca="false">WEO_Data!B21</f>
        <v>5</v>
      </c>
      <c r="F22" s="0" t="n">
        <v>0</v>
      </c>
      <c r="G22" s="15" t="n">
        <f aca="false">F22*$D$30</f>
        <v>0</v>
      </c>
      <c r="H22" s="15" t="n">
        <f aca="false">G22/(J22/100)</f>
        <v>0</v>
      </c>
      <c r="J22" s="18" t="n">
        <f aca="false">WEO_Data!D21</f>
        <v>406.814857554843</v>
      </c>
      <c r="K22" s="16"/>
    </row>
    <row r="23" customFormat="false" ht="12" hidden="false" customHeight="false" outlineLevel="0" collapsed="false">
      <c r="A23" s="0" t="n">
        <v>2040</v>
      </c>
      <c r="B23" s="14" t="n">
        <v>2040</v>
      </c>
      <c r="C23" s="15" t="n">
        <f aca="false">WEO_Data!B22</f>
        <v>5</v>
      </c>
      <c r="F23" s="0" t="n">
        <v>0</v>
      </c>
      <c r="G23" s="15" t="n">
        <f aca="false">F23*$D$30</f>
        <v>0</v>
      </c>
      <c r="H23" s="15" t="n">
        <f aca="false">G23/(J23/100)</f>
        <v>0</v>
      </c>
      <c r="J23" s="18" t="n">
        <f aca="false">WEO_Data!D22</f>
        <v>436.410638441958</v>
      </c>
      <c r="K23" s="16"/>
    </row>
    <row r="24" customFormat="false" ht="12" hidden="false" customHeight="false" outlineLevel="0" collapsed="false">
      <c r="A24" s="0" t="n">
        <v>2041</v>
      </c>
      <c r="B24" s="14" t="n">
        <v>2041</v>
      </c>
      <c r="C24" s="15" t="n">
        <f aca="false">WEO_Data!B23</f>
        <v>5</v>
      </c>
      <c r="F24" s="0" t="n">
        <v>0</v>
      </c>
      <c r="G24" s="15" t="n">
        <f aca="false">F24*$D$30</f>
        <v>0</v>
      </c>
      <c r="H24" s="15" t="n">
        <f aca="false">G24/(J24/100)</f>
        <v>0</v>
      </c>
      <c r="J24" s="18" t="n">
        <f aca="false">WEO_Data!D23</f>
        <v>468.15951238861</v>
      </c>
      <c r="K24" s="16"/>
    </row>
    <row r="25" customFormat="false" ht="12" hidden="false" customHeight="false" outlineLevel="0" collapsed="false">
      <c r="A25" s="0" t="n">
        <v>2042</v>
      </c>
      <c r="B25" s="19" t="n">
        <v>2042</v>
      </c>
      <c r="C25" s="20" t="n">
        <f aca="false">WEO_Data!B24</f>
        <v>5</v>
      </c>
      <c r="D25" s="20"/>
      <c r="E25" s="20"/>
      <c r="F25" s="20" t="n">
        <v>0</v>
      </c>
      <c r="G25" s="20" t="n">
        <f aca="false">F25*$D$30</f>
        <v>0</v>
      </c>
      <c r="H25" s="20" t="n">
        <f aca="false">G25/(J25/100)</f>
        <v>0</v>
      </c>
      <c r="I25" s="20"/>
      <c r="J25" s="21" t="n">
        <f aca="false">WEO_Data!D24</f>
        <v>502.218116914882</v>
      </c>
      <c r="K25" s="22"/>
    </row>
    <row r="26" customFormat="false" ht="12" hidden="false" customHeight="false" outlineLevel="0" collapsed="false">
      <c r="A26" s="0" t="n">
        <v>2043</v>
      </c>
      <c r="C26" s="0" t="n">
        <f aca="false">WEO_Data!B25</f>
        <v>5</v>
      </c>
      <c r="F26" s="0" t="n">
        <v>0</v>
      </c>
      <c r="G26" s="0" t="n">
        <f aca="false">F26*$D$30</f>
        <v>0</v>
      </c>
      <c r="H26" s="0" t="n">
        <f aca="false">G26/(J26/100)</f>
        <v>0</v>
      </c>
      <c r="J26" s="1" t="n">
        <f aca="false">WEO_Data!D25</f>
        <v>538.754484920439</v>
      </c>
    </row>
    <row r="28" customFormat="false" ht="12" hidden="false" customHeight="false" outlineLevel="0" collapsed="false">
      <c r="C28" s="23" t="s">
        <v>13</v>
      </c>
      <c r="D28" s="24"/>
      <c r="E28" s="25"/>
      <c r="F28" s="25"/>
      <c r="G28" s="25"/>
      <c r="H28" s="25"/>
      <c r="I28" s="25"/>
      <c r="J28" s="26"/>
      <c r="K28" s="27"/>
    </row>
    <row r="29" customFormat="false" ht="12" hidden="false" customHeight="false" outlineLevel="0" collapsed="false">
      <c r="C29" s="14"/>
      <c r="K29" s="16"/>
    </row>
    <row r="30" customFormat="false" ht="12" hidden="false" customHeight="false" outlineLevel="0" collapsed="false">
      <c r="C30" s="14" t="s">
        <v>13</v>
      </c>
      <c r="D30" s="0" t="n">
        <v>2.746</v>
      </c>
      <c r="K30" s="16"/>
    </row>
    <row r="31" customFormat="false" ht="12" hidden="false" customHeight="false" outlineLevel="0" collapsed="false">
      <c r="C31" s="14" t="s">
        <v>14</v>
      </c>
      <c r="D31" s="28" t="n">
        <v>0.8</v>
      </c>
      <c r="K31" s="16"/>
    </row>
    <row r="32" customFormat="false" ht="12" hidden="false" customHeight="false" outlineLevel="0" collapsed="false">
      <c r="C32" s="14" t="s">
        <v>15</v>
      </c>
      <c r="D32" s="29" t="n">
        <v>0.5</v>
      </c>
      <c r="K32" s="16"/>
    </row>
    <row r="33" customFormat="false" ht="12" hidden="false" customHeight="false" outlineLevel="0" collapsed="false">
      <c r="C33" s="19" t="s">
        <v>16</v>
      </c>
      <c r="D33" s="20"/>
      <c r="E33" s="20"/>
      <c r="F33" s="20"/>
      <c r="G33" s="20"/>
      <c r="H33" s="20"/>
      <c r="I33" s="20"/>
      <c r="J33" s="30"/>
      <c r="K33" s="2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2026-01-15T21:01:40Z</dcterms:created>
  <dc:creator>Wang, Shuyi</dc:creator>
  <dc:description/>
  <dc:language>en-US</dc:language>
  <cp:lastModifiedBy>Wang, Shuyi</cp:lastModifiedBy>
  <dcterms:modified xsi:type="dcterms:W3CDTF">2026-01-29T09:39:19Z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a7f43044-04cc-4a22-bdae-ed404f682e4f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2026-01-15T21:08:21Z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