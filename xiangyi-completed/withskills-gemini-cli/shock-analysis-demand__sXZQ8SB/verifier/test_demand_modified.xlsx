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</sheets>
  <externalReferences>
    <externalReference r:id="rId3"/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/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13" t="n">
        <v>2021</v>
      </c>
      <c r="K4" s="15" t="n"/>
    </row>
    <row r="5">
      <c r="B5" s="13" t="n">
        <v>2022</v>
      </c>
      <c r="K5" s="15" t="n"/>
    </row>
    <row r="6">
      <c r="B6" s="13" t="n">
        <v>2023</v>
      </c>
      <c r="K6" s="15" t="n"/>
    </row>
    <row r="7">
      <c r="B7" s="13" t="n">
        <v>2024</v>
      </c>
      <c r="K7" s="15" t="n"/>
    </row>
    <row r="8">
      <c r="B8" s="13" t="n">
        <v>2025</v>
      </c>
      <c r="K8" s="15" t="n"/>
    </row>
    <row r="9">
      <c r="B9" s="13" t="n">
        <v>2026</v>
      </c>
      <c r="J9" s="16" t="n"/>
      <c r="K9" s="15" t="n"/>
    </row>
    <row r="10">
      <c r="B10" s="13" t="n">
        <v>2027</v>
      </c>
      <c r="K10" s="15" t="n"/>
    </row>
    <row r="11">
      <c r="B11" s="13" t="n">
        <v>2028</v>
      </c>
      <c r="K11" s="15" t="n"/>
    </row>
    <row r="12">
      <c r="B12" s="13" t="n">
        <v>2029</v>
      </c>
      <c r="K12" s="15" t="n"/>
    </row>
    <row r="13">
      <c r="B13" s="13" t="n">
        <v>2030</v>
      </c>
      <c r="J13" s="17" t="n"/>
      <c r="K13" s="15" t="n"/>
    </row>
    <row r="14">
      <c r="B14" s="13" t="n">
        <v>2031</v>
      </c>
      <c r="J14" s="17" t="n"/>
      <c r="K14" s="15" t="n"/>
    </row>
    <row r="15">
      <c r="B15" s="13" t="n">
        <v>2032</v>
      </c>
      <c r="J15" s="17" t="n"/>
      <c r="K15" s="15" t="n"/>
    </row>
    <row r="16">
      <c r="B16" s="13" t="n">
        <v>2033</v>
      </c>
      <c r="J16" s="17" t="n"/>
      <c r="K16" s="15" t="n"/>
    </row>
    <row r="17">
      <c r="B17" s="13" t="n">
        <v>2034</v>
      </c>
      <c r="J17" s="17" t="n"/>
      <c r="K17" s="15" t="n"/>
    </row>
    <row r="18">
      <c r="B18" s="13" t="n">
        <v>2035</v>
      </c>
      <c r="J18" s="17" t="n"/>
      <c r="K18" s="15" t="n"/>
    </row>
    <row r="19">
      <c r="B19" s="13" t="n">
        <v>2036</v>
      </c>
      <c r="J19" s="17" t="n"/>
      <c r="K19" s="15" t="n"/>
    </row>
    <row r="20">
      <c r="B20" s="13" t="n">
        <v>2037</v>
      </c>
      <c r="J20" s="17" t="n"/>
      <c r="K20" s="15" t="n"/>
    </row>
    <row r="21">
      <c r="B21" s="13" t="n">
        <v>2038</v>
      </c>
      <c r="J21" s="17" t="n"/>
      <c r="K21" s="15" t="n"/>
    </row>
    <row r="22">
      <c r="B22" s="13" t="n">
        <v>2039</v>
      </c>
      <c r="J22" s="17" t="n"/>
      <c r="K22" s="15" t="n"/>
    </row>
    <row r="23">
      <c r="B23" s="13" t="n">
        <v>2040</v>
      </c>
      <c r="J23" s="17" t="n"/>
      <c r="K23" s="15" t="n"/>
    </row>
    <row r="24">
      <c r="B24" s="13" t="n">
        <v>2041</v>
      </c>
      <c r="J24" s="17" t="n"/>
      <c r="K24" s="15" t="n"/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K30" s="15" t="n"/>
    </row>
    <row r="31">
      <c r="C31" s="13" t="inlineStr">
        <is>
          <t>import content share</t>
        </is>
      </c>
      <c r="D31" s="28" t="n"/>
      <c r="K31" s="15" t="n"/>
    </row>
    <row r="32">
      <c r="C32" s="13" t="inlineStr">
        <is>
          <t>demand multiplier</t>
        </is>
      </c>
      <c r="D32" s="29" t="n"/>
      <c r="K32" s="15" t="n"/>
    </row>
    <row r="33">
      <c r="C33" s="18" t="inlineStr">
        <is>
          <t>Project allocation</t>
        </is>
      </c>
      <c r="D33" s="19" t="n"/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Year</t>
        </is>
      </c>
      <c r="B1" s="32" t="inlineStr">
        <is>
          <t>Real GDP Growth (%)</t>
        </is>
      </c>
      <c r="C1" s="32" t="inlineStr">
        <is>
          <t>Nominal GDP (mil GEL)</t>
        </is>
      </c>
      <c r="D1" s="32" t="inlineStr">
        <is>
          <t>Real GDP (mil GEL)</t>
        </is>
      </c>
      <c r="E1" s="32" t="inlineStr">
        <is>
          <t>GDP Deflator</t>
        </is>
      </c>
    </row>
    <row r="2">
      <c r="A2" t="n">
        <v>2019</v>
      </c>
      <c r="B2" t="n">
        <v>5.1</v>
      </c>
      <c r="C2" t="n">
        <v>50000</v>
      </c>
      <c r="D2" t="n">
        <v>40400</v>
      </c>
      <c r="E2" t="n">
        <v>123.76</v>
      </c>
    </row>
    <row r="3">
      <c r="A3" t="n">
        <v>2020</v>
      </c>
      <c r="B3" t="n">
        <v>-6.2</v>
      </c>
      <c r="C3" t="n">
        <v>49400</v>
      </c>
      <c r="D3" t="n">
        <v>37800</v>
      </c>
      <c r="E3" t="n">
        <v>130.69</v>
      </c>
    </row>
    <row r="4">
      <c r="A4" t="n">
        <v>2021</v>
      </c>
      <c r="B4" t="n">
        <v>10.5</v>
      </c>
      <c r="C4" t="n">
        <v>60000</v>
      </c>
      <c r="D4" t="n">
        <v>41500</v>
      </c>
      <c r="E4" t="n">
        <v>144.58</v>
      </c>
    </row>
    <row r="5">
      <c r="A5" t="n">
        <v>2022</v>
      </c>
      <c r="B5" t="n">
        <v>11</v>
      </c>
      <c r="C5" t="n">
        <v>72860.10000000001</v>
      </c>
      <c r="D5" t="n">
        <v>46065</v>
      </c>
      <c r="E5" t="n">
        <v>158.17</v>
      </c>
    </row>
    <row r="6">
      <c r="A6" t="n">
        <v>2023</v>
      </c>
      <c r="B6" t="n">
        <v>7.5</v>
      </c>
      <c r="C6" t="n">
        <v>80246.10000000001</v>
      </c>
      <c r="D6" t="n">
        <v>49519.9</v>
      </c>
      <c r="E6" t="n">
        <v>162.05</v>
      </c>
    </row>
    <row r="7">
      <c r="A7" t="n">
        <v>2024</v>
      </c>
      <c r="B7" t="n">
        <v>0.076</v>
      </c>
      <c r="C7">
        <f>D7*E7/100</f>
        <v/>
      </c>
      <c r="D7">
        <f>D6*(1+B7)</f>
        <v/>
      </c>
      <c r="E7">
        <f>E6*(1+)</f>
        <v/>
      </c>
      <c r="F7" t="inlineStr">
        <is>
          <t>Avg Defl Growth</t>
        </is>
      </c>
      <c r="G7">
        <f>AVERAGE(E3/E2-1, E4/E3-1, E5/E4-1, E6/E5-1)</f>
        <v/>
      </c>
    </row>
    <row r="8">
      <c r="A8" t="n">
        <v>2025</v>
      </c>
      <c r="B8" t="n">
        <v>0.06</v>
      </c>
      <c r="C8">
        <f>D8*E8/100</f>
        <v/>
      </c>
      <c r="D8">
        <f>D7*(1+B8)</f>
        <v/>
      </c>
      <c r="E8">
        <f>E7*(1+)</f>
        <v/>
      </c>
    </row>
    <row r="9">
      <c r="A9" t="n">
        <v>2026</v>
      </c>
      <c r="B9" t="n">
        <v>0.05</v>
      </c>
      <c r="C9">
        <f>D9*E9/100</f>
        <v/>
      </c>
      <c r="D9">
        <f>D8*(1+B9)</f>
        <v/>
      </c>
      <c r="E9">
        <f>E8*(1+)</f>
        <v/>
      </c>
    </row>
    <row r="10">
      <c r="A10" t="n">
        <v>2027</v>
      </c>
      <c r="B10" t="n">
        <v>0.05</v>
      </c>
      <c r="C10">
        <f>D10*E10/100</f>
        <v/>
      </c>
      <c r="D10">
        <f>D9*(1+B10)</f>
        <v/>
      </c>
      <c r="E10">
        <f>E9*(1+)</f>
        <v/>
      </c>
    </row>
    <row r="11">
      <c r="A11" t="n">
        <v>2028</v>
      </c>
      <c r="B11">
        <f>B10</f>
        <v/>
      </c>
      <c r="C11">
        <f>D11*E11/100</f>
        <v/>
      </c>
      <c r="D11">
        <f>D10*(1+B11)</f>
        <v/>
      </c>
      <c r="E11">
        <f>E10*(1+)</f>
        <v/>
      </c>
    </row>
    <row r="12">
      <c r="A12" t="n">
        <v>2029</v>
      </c>
      <c r="B12">
        <f>B10</f>
        <v/>
      </c>
      <c r="C12">
        <f>D12*E12/100</f>
        <v/>
      </c>
      <c r="D12">
        <f>D11*(1+B12)</f>
        <v/>
      </c>
      <c r="E12">
        <f>E11*(1+)</f>
        <v/>
      </c>
    </row>
    <row r="13">
      <c r="A13" t="n">
        <v>2030</v>
      </c>
      <c r="B13">
        <f>B10</f>
        <v/>
      </c>
      <c r="C13">
        <f>D13*E13/100</f>
        <v/>
      </c>
      <c r="D13">
        <f>D12*(1+B13)</f>
        <v/>
      </c>
      <c r="E13">
        <f>E12*(1+)</f>
        <v/>
      </c>
    </row>
    <row r="14">
      <c r="A14" t="n">
        <v>2031</v>
      </c>
      <c r="B14">
        <f>B10</f>
        <v/>
      </c>
      <c r="C14">
        <f>D14*E14/100</f>
        <v/>
      </c>
      <c r="D14">
        <f>D13*(1+B14)</f>
        <v/>
      </c>
      <c r="E14">
        <f>E13*(1+)</f>
        <v/>
      </c>
    </row>
    <row r="15">
      <c r="A15" t="n">
        <v>2032</v>
      </c>
      <c r="B15">
        <f>B10</f>
        <v/>
      </c>
      <c r="C15">
        <f>D15*E15/100</f>
        <v/>
      </c>
      <c r="D15">
        <f>D14*(1+B15)</f>
        <v/>
      </c>
      <c r="E15">
        <f>E14*(1+)</f>
        <v/>
      </c>
    </row>
    <row r="16">
      <c r="A16" t="n">
        <v>2033</v>
      </c>
      <c r="B16">
        <f>B10</f>
        <v/>
      </c>
      <c r="C16">
        <f>D16*E16/100</f>
        <v/>
      </c>
      <c r="D16">
        <f>D15*(1+B16)</f>
        <v/>
      </c>
      <c r="E16">
        <f>E15*(1+)</f>
        <v/>
      </c>
    </row>
    <row r="17">
      <c r="A17" t="n">
        <v>2034</v>
      </c>
      <c r="B17">
        <f>B10</f>
        <v/>
      </c>
      <c r="C17">
        <f>D17*E17/100</f>
        <v/>
      </c>
      <c r="D17">
        <f>D16*(1+B17)</f>
        <v/>
      </c>
      <c r="E17">
        <f>E16*(1+)</f>
        <v/>
      </c>
    </row>
    <row r="18">
      <c r="A18" t="n">
        <v>2035</v>
      </c>
      <c r="B18">
        <f>B10</f>
        <v/>
      </c>
      <c r="C18">
        <f>D18*E18/100</f>
        <v/>
      </c>
      <c r="D18">
        <f>D17*(1+B18)</f>
        <v/>
      </c>
      <c r="E18">
        <f>E17*(1+)</f>
        <v/>
      </c>
    </row>
    <row r="19">
      <c r="A19" t="n">
        <v>2036</v>
      </c>
      <c r="B19">
        <f>B10</f>
        <v/>
      </c>
      <c r="C19">
        <f>D19*E19/100</f>
        <v/>
      </c>
      <c r="D19">
        <f>D18*(1+B19)</f>
        <v/>
      </c>
      <c r="E19">
        <f>E18*(1+)</f>
        <v/>
      </c>
    </row>
    <row r="20">
      <c r="A20" t="n">
        <v>2037</v>
      </c>
      <c r="B20">
        <f>B10</f>
        <v/>
      </c>
      <c r="C20">
        <f>D20*E20/100</f>
        <v/>
      </c>
      <c r="D20">
        <f>D19*(1+B20)</f>
        <v/>
      </c>
      <c r="E20">
        <f>E19*(1+)</f>
        <v/>
      </c>
    </row>
    <row r="21">
      <c r="A21" t="n">
        <v>2038</v>
      </c>
      <c r="B21">
        <f>B10</f>
        <v/>
      </c>
      <c r="C21">
        <f>D21*E21/100</f>
        <v/>
      </c>
      <c r="D21">
        <f>D20*(1+B21)</f>
        <v/>
      </c>
      <c r="E21">
        <f>E20*(1+)</f>
        <v/>
      </c>
    </row>
    <row r="22">
      <c r="A22" t="n">
        <v>2039</v>
      </c>
      <c r="B22">
        <f>B10</f>
        <v/>
      </c>
      <c r="C22">
        <f>D22*E22/100</f>
        <v/>
      </c>
      <c r="D22">
        <f>D21*(1+B22)</f>
        <v/>
      </c>
      <c r="E22">
        <f>E21*(1+)</f>
        <v/>
      </c>
    </row>
    <row r="23">
      <c r="A23" t="n">
        <v>2040</v>
      </c>
      <c r="B23">
        <f>B10</f>
        <v/>
      </c>
      <c r="C23">
        <f>D23*E23/100</f>
        <v/>
      </c>
      <c r="D23">
        <f>D22*(1+B23)</f>
        <v/>
      </c>
      <c r="E23">
        <f>E22*(1+)</f>
        <v/>
      </c>
    </row>
    <row r="24">
      <c r="A24" t="n">
        <v>2041</v>
      </c>
      <c r="B24">
        <f>B10</f>
        <v/>
      </c>
      <c r="C24">
        <f>D24*E24/100</f>
        <v/>
      </c>
      <c r="D24">
        <f>D23*(1+B24)</f>
        <v/>
      </c>
      <c r="E24">
        <f>E23*(1+)</f>
        <v/>
      </c>
    </row>
    <row r="25">
      <c r="A25" t="n">
        <v>2042</v>
      </c>
      <c r="B25">
        <f>B10</f>
        <v/>
      </c>
      <c r="C25">
        <f>D25*E25/100</f>
        <v/>
      </c>
      <c r="D25">
        <f>D24*(1+B25)</f>
        <v/>
      </c>
      <c r="E25">
        <f>E24*(1+)</f>
        <v/>
      </c>
    </row>
    <row r="26">
      <c r="A26" t="n">
        <v>2043</v>
      </c>
      <c r="B26">
        <f>B10</f>
        <v/>
      </c>
      <c r="C26">
        <f>D26*E26/100</f>
        <v/>
      </c>
      <c r="D26">
        <f>D25*(1+B26)</f>
        <v/>
      </c>
      <c r="E26">
        <f>E25*(1+)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2026-01-29T09:18:44Z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