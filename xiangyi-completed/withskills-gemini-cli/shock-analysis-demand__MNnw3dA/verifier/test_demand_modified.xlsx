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" sheetId="1" state="visible" r:id="rId3"/>
    <sheet name="WEO_Data" sheetId="2" state="visible" r:id="rId4"/>
    <sheet name="SUT Calc" sheetId="3" state="visible" r:id="rId5"/>
    <sheet name="SUPPLY" sheetId="4" state="visible" r:id="rId6"/>
    <sheet name="US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<sst xmlns="http://schemas.openxmlformats.org/spreadsheetml/2006/main" count="52" uniqueCount="28">
  <si>
    <t xml:space="preserve">Year</t>
  </si>
  <si>
    <t xml:space="preserve">Real GDP</t>
  </si>
  <si>
    <t xml:space="preserve">Project Allocation (%)</t>
  </si>
  <si>
    <t xml:space="preserve">Project Investment</t>
  </si>
  <si>
    <t xml:space="preserve">Imports</t>
  </si>
  <si>
    <t xml:space="preserve">GDP impact</t>
  </si>
  <si>
    <t xml:space="preserve">Baseline GDP Growth</t>
  </si>
  <si>
    <t xml:space="preserve">Projected Growth</t>
  </si>
  <si>
    <t xml:space="preserve">I-M</t>
  </si>
  <si>
    <t xml:space="preserve">Multiplier</t>
  </si>
  <si>
    <t xml:space="preserve">% of GDP</t>
  </si>
  <si>
    <t xml:space="preserve">Assumptions</t>
  </si>
  <si>
    <t xml:space="preserve">total investment</t>
  </si>
  <si>
    <t xml:space="preserve">import content share</t>
  </si>
  <si>
    <t xml:space="preserve">demand multiplier</t>
  </si>
  <si>
    <t xml:space="preserve">Project allocation</t>
  </si>
  <si>
    <t xml:space="preserve">Bell-shape</t>
  </si>
  <si>
    <t xml:space="preserve">Exchange Rate</t>
  </si>
  <si>
    <t xml:space="preserve">Scenario 2: Multiplier = 1</t>
  </si>
  <si>
    <t xml:space="preserve">Scenario 3: Import Content Share = 0.5</t>
  </si>
  <si>
    <t xml:space="preserve">Real GDP growth (%)</t>
  </si>
  <si>
    <t xml:space="preserve">GDP Deflator (annual % change)</t>
  </si>
  <si>
    <t xml:space="preserve">GDP Deflator (Index, 2020=100)</t>
  </si>
  <si>
    <t xml:space="preserve">Value (mil GEL)</t>
  </si>
  <si>
    <t xml:space="preserve">Total Supply</t>
  </si>
  <si>
    <t xml:space="preserve">Taxes less subsidies</t>
  </si>
  <si>
    <t xml:space="preserve">Gross Output</t>
  </si>
  <si>
    <t xml:space="preserve">Import Content Share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</si>
</sst>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* #,##0.00_);_(* \(#,##0.00\);_(* \-??_);_(@_)"/>
    <numFmt numFmtId="166" formatCode="0.0%"/>
    <numFmt numFmtId="167" formatCode="General"/>
  </numFmts>
  <fonts count="10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0"/>
      <name val="Arial"/>
      <family val="2"/>
      <charset val="1"/>
    </font>
    <font>
      <b val="true"/>
      <sz val="10"/>
      <color theme="5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8999"/>
        <bgColor rgb="FFCC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Style 1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6796875" defaultRowHeight="12" zeroHeight="false" outlineLevelRow="0" outlineLevelCol="0"/>
  <cols>
    <col collapsed="false" customWidth="true" hidden="false" outlineLevel="0" max="3" min="3" style="0" width="18"/>
    <col collapsed="false" customWidth="true" hidden="false" outlineLevel="0" max="5" min="5" style="0" width="11"/>
    <col collapsed="false" customWidth="true" hidden="false" outlineLevel="0" max="7" min="7" style="0" width="11.15"/>
    <col collapsed="false" customWidth="true" hidden="false" outlineLevel="0" max="8" min="8" style="0" width="11.85"/>
    <col collapsed="false" customWidth="true" hidden="false" outlineLevel="0" max="10" min="10" style="1" width="14.53"/>
    <col collapsed="false" customWidth="true" hidden="false" outlineLevel="0" max="11" min="11" style="1" width="17.38"/>
  </cols>
  <sheetData>
    <row r="1" s="2" customFormat="true" ht="36.75" hidden="false" customHeight="true" outlineLevel="0" collapsed="false">
      <c r="B1" s="3" t="s">
        <v>0</v>
      </c>
      <c r="C1" s="4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 t="s">
        <v>6</v>
      </c>
      <c r="K1" s="3" t="s">
        <v>7</v>
      </c>
    </row>
    <row r="2" customFormat="false" ht="12" hidden="false" customHeight="false" outlineLevel="0" collapsed="false">
      <c r="B2" s="5"/>
      <c r="C2" s="6"/>
      <c r="D2" s="6"/>
      <c r="E2" s="6"/>
      <c r="F2" s="6"/>
      <c r="G2" s="7" t="s">
        <v>8</v>
      </c>
      <c r="H2" s="8" t="s">
        <v>9</v>
      </c>
      <c r="I2" s="7" t="s">
        <v>10</v>
      </c>
      <c r="J2" s="9"/>
      <c r="K2" s="10"/>
    </row>
    <row r="3" customFormat="false" ht="12" hidden="false" customHeight="false" outlineLevel="0" collapsed="false">
      <c r="B3" s="5" t="n">
        <v>2020</v>
      </c>
      <c r="C3" s="11" t="n">
        <v>100</v>
      </c>
      <c r="D3" s="11"/>
      <c r="E3" s="11" t="n">
        <f aca="false">D3*0*4</f>
        <v>0</v>
      </c>
      <c r="F3" s="11" t="n">
        <f aca="false">E3*1</f>
        <v>0</v>
      </c>
      <c r="G3" s="11" t="n">
        <f aca="false">E3-F3</f>
        <v>0</v>
      </c>
      <c r="H3" s="11" t="n">
        <f aca="false">2</f>
        <v>2</v>
      </c>
      <c r="I3" s="11" t="n">
        <f aca="false">G3*H3</f>
        <v>0</v>
      </c>
      <c r="J3" s="12" t="n">
        <f aca="false">WEO_Data!B2</f>
        <v>-0.063</v>
      </c>
      <c r="K3" s="13" t="n">
        <f aca="false">J3</f>
        <v>-0.063</v>
      </c>
    </row>
    <row r="4" customFormat="false" ht="12" hidden="false" customHeight="false" outlineLevel="0" collapsed="false">
      <c r="B4" s="14" t="n">
        <v>2021</v>
      </c>
      <c r="C4" s="15" t="n">
        <f aca="false">C3*(1+J4)</f>
        <v>110.6</v>
      </c>
      <c r="E4" s="15" t="n">
        <f aca="false">D4*0*4</f>
        <v>0</v>
      </c>
      <c r="F4" s="15" t="n">
        <f aca="false">E4*1</f>
        <v>0</v>
      </c>
      <c r="G4" s="15" t="n">
        <f aca="false">E4-F4</f>
        <v>0</v>
      </c>
      <c r="H4" s="15" t="n">
        <f aca="false">2</f>
        <v>2</v>
      </c>
      <c r="I4" s="15" t="n">
        <f aca="false">G4*H4</f>
        <v>0</v>
      </c>
      <c r="J4" s="16" t="n">
        <f aca="false">WEO_Data!B3</f>
        <v>0.106</v>
      </c>
      <c r="K4" s="17" t="n">
        <f aca="false">(C4+I4)/(C3+I3)-1</f>
        <v>0.106</v>
      </c>
    </row>
    <row r="5" customFormat="false" ht="12" hidden="false" customHeight="false" outlineLevel="0" collapsed="false">
      <c r="B5" s="14" t="n">
        <v>2022</v>
      </c>
      <c r="C5" s="15" t="n">
        <f aca="false">C4*(1+J5)</f>
        <v>122.766</v>
      </c>
      <c r="E5" s="15" t="n">
        <f aca="false">D5*0*4</f>
        <v>0</v>
      </c>
      <c r="F5" s="15" t="n">
        <f aca="false">E5*1</f>
        <v>0</v>
      </c>
      <c r="G5" s="15" t="n">
        <f aca="false">E5-F5</f>
        <v>0</v>
      </c>
      <c r="H5" s="15" t="n">
        <f aca="false">2</f>
        <v>2</v>
      </c>
      <c r="I5" s="15" t="n">
        <f aca="false">G5*H5</f>
        <v>0</v>
      </c>
      <c r="J5" s="16" t="n">
        <f aca="false">WEO_Data!B4</f>
        <v>0.11</v>
      </c>
      <c r="K5" s="17" t="n">
        <f aca="false">(C5+I5)/(C4+I4)-1</f>
        <v>0.11</v>
      </c>
    </row>
    <row r="6" customFormat="false" ht="12" hidden="false" customHeight="false" outlineLevel="0" collapsed="false">
      <c r="B6" s="14" t="n">
        <v>2023</v>
      </c>
      <c r="C6" s="15" t="n">
        <f aca="false">C5*(1+J6)</f>
        <v>132.341748</v>
      </c>
      <c r="E6" s="15" t="n">
        <f aca="false">D6*0*4</f>
        <v>0</v>
      </c>
      <c r="F6" s="15" t="n">
        <f aca="false">E6*1</f>
        <v>0</v>
      </c>
      <c r="G6" s="15" t="n">
        <f aca="false">E6-F6</f>
        <v>0</v>
      </c>
      <c r="H6" s="15" t="n">
        <f aca="false">2</f>
        <v>2</v>
      </c>
      <c r="I6" s="15" t="n">
        <f aca="false">G6*H6</f>
        <v>0</v>
      </c>
      <c r="J6" s="16" t="n">
        <f aca="false">WEO_Data!B5</f>
        <v>0.078</v>
      </c>
      <c r="K6" s="17" t="n">
        <f aca="false">(C6+I6)/(C5+I5)-1</f>
        <v>0.0780000000000001</v>
      </c>
    </row>
    <row r="7" customFormat="false" ht="12" hidden="false" customHeight="false" outlineLevel="0" collapsed="false">
      <c r="B7" s="14" t="n">
        <v>2024</v>
      </c>
      <c r="C7" s="15" t="n">
        <f aca="false">C6*(1+J7)</f>
        <v>142.2673791</v>
      </c>
      <c r="E7" s="15" t="n">
        <f aca="false">D7*0*4</f>
        <v>0</v>
      </c>
      <c r="F7" s="15" t="n">
        <f aca="false">E7*1</f>
        <v>0</v>
      </c>
      <c r="G7" s="15" t="n">
        <f aca="false">E7-F7</f>
        <v>0</v>
      </c>
      <c r="H7" s="15" t="n">
        <f aca="false">2</f>
        <v>2</v>
      </c>
      <c r="I7" s="15" t="n">
        <f aca="false">G7*H7</f>
        <v>0</v>
      </c>
      <c r="J7" s="16" t="n">
        <f aca="false">WEO_Data!B6</f>
        <v>0.075</v>
      </c>
      <c r="K7" s="17" t="n">
        <f aca="false">(C7+I7)/(C6+I6)-1</f>
        <v>0.075</v>
      </c>
    </row>
    <row r="8" customFormat="false" ht="12" hidden="false" customHeight="false" outlineLevel="0" collapsed="false">
      <c r="B8" s="14" t="n">
        <v>2025</v>
      </c>
      <c r="C8" s="15" t="n">
        <f aca="false">C7*(1+J8)</f>
        <v>150.803421846</v>
      </c>
      <c r="E8" s="15" t="n">
        <f aca="false">D8*0*4</f>
        <v>0</v>
      </c>
      <c r="F8" s="15" t="n">
        <f aca="false">E8*1</f>
        <v>0</v>
      </c>
      <c r="G8" s="15" t="n">
        <f aca="false">E8-F8</f>
        <v>0</v>
      </c>
      <c r="H8" s="15" t="n">
        <f aca="false">2</f>
        <v>2</v>
      </c>
      <c r="I8" s="15" t="n">
        <f aca="false">G8*H8</f>
        <v>0</v>
      </c>
      <c r="J8" s="16" t="n">
        <f aca="false">WEO_Data!B7</f>
        <v>0.06</v>
      </c>
      <c r="K8" s="17" t="n">
        <f aca="false">(C8+I8)/(C7+I7)-1</f>
        <v>0.0600000000000001</v>
      </c>
    </row>
    <row r="9" customFormat="false" ht="12" hidden="false" customHeight="false" outlineLevel="0" collapsed="false">
      <c r="B9" s="14" t="n">
        <v>2026</v>
      </c>
      <c r="C9" s="15" t="n">
        <f aca="false">C8*(1+J9)</f>
        <v>158.3435929383</v>
      </c>
      <c r="D9" s="16" t="n">
        <v>0.05</v>
      </c>
      <c r="E9" s="15" t="n">
        <f aca="false">D9*0*4</f>
        <v>0</v>
      </c>
      <c r="F9" s="15" t="n">
        <f aca="false">E9*1</f>
        <v>0</v>
      </c>
      <c r="G9" s="15" t="n">
        <f aca="false">E9-F9</f>
        <v>0</v>
      </c>
      <c r="H9" s="15" t="n">
        <f aca="false">2</f>
        <v>2</v>
      </c>
      <c r="I9" s="15" t="n">
        <f aca="false">G9*H9</f>
        <v>0</v>
      </c>
      <c r="J9" s="18" t="n">
        <f aca="false">WEO_Data!B8</f>
        <v>0.05</v>
      </c>
      <c r="K9" s="17" t="n">
        <f aca="false">(C9+I9)/(C8+I8)-1</f>
        <v>0.05</v>
      </c>
    </row>
    <row r="10" customFormat="false" ht="12" hidden="false" customHeight="false" outlineLevel="0" collapsed="false">
      <c r="B10" s="14" t="n">
        <v>2027</v>
      </c>
      <c r="C10" s="15" t="n">
        <f aca="false">C9*(1+J10)</f>
        <v>166.260772585215</v>
      </c>
      <c r="D10" s="16" t="n">
        <v>0.1</v>
      </c>
      <c r="E10" s="15" t="n">
        <f aca="false">D10*0*4</f>
        <v>0</v>
      </c>
      <c r="F10" s="15" t="n">
        <f aca="false">E10*1</f>
        <v>0</v>
      </c>
      <c r="G10" s="15" t="n">
        <f aca="false">E10-F10</f>
        <v>0</v>
      </c>
      <c r="H10" s="15" t="n">
        <f aca="false">2</f>
        <v>2</v>
      </c>
      <c r="I10" s="15" t="n">
        <f aca="false">G10*H10</f>
        <v>0</v>
      </c>
      <c r="J10" s="16" t="n">
        <f aca="false">WEO_Data!B9</f>
        <v>0.05</v>
      </c>
      <c r="K10" s="17" t="n">
        <f aca="false">(C10+I10)/(C9+I9)-1</f>
        <v>0.05</v>
      </c>
    </row>
    <row r="11" customFormat="false" ht="12" hidden="false" customHeight="false" outlineLevel="0" collapsed="false">
      <c r="B11" s="14" t="n">
        <v>2028</v>
      </c>
      <c r="C11" s="15" t="n">
        <f aca="false">C10*(1+J11)</f>
        <v>174.573811214476</v>
      </c>
      <c r="D11" s="16" t="n">
        <v>0.15</v>
      </c>
      <c r="E11" s="15" t="n">
        <f aca="false">D11*0*4</f>
        <v>0</v>
      </c>
      <c r="F11" s="15" t="n">
        <f aca="false">E11*1</f>
        <v>0</v>
      </c>
      <c r="G11" s="15" t="n">
        <f aca="false">E11-F11</f>
        <v>0</v>
      </c>
      <c r="H11" s="15" t="n">
        <f aca="false">2</f>
        <v>2</v>
      </c>
      <c r="I11" s="15" t="n">
        <f aca="false">G11*H11</f>
        <v>0</v>
      </c>
      <c r="J11" s="16" t="n">
        <f aca="false">WEO_Data!B10</f>
        <v>0.05</v>
      </c>
      <c r="K11" s="17" t="n">
        <f aca="false">(C11+I11)/(C10+I10)-1</f>
        <v>0.05</v>
      </c>
    </row>
    <row r="12" customFormat="false" ht="12" hidden="false" customHeight="false" outlineLevel="0" collapsed="false">
      <c r="B12" s="14" t="n">
        <v>2029</v>
      </c>
      <c r="C12" s="15" t="n">
        <f aca="false">C11*(1+J12)</f>
        <v>183.3025017752</v>
      </c>
      <c r="D12" s="16" t="n">
        <v>0.2</v>
      </c>
      <c r="E12" s="15" t="n">
        <f aca="false">D12*0*4</f>
        <v>0</v>
      </c>
      <c r="F12" s="15" t="n">
        <f aca="false">E12*1</f>
        <v>0</v>
      </c>
      <c r="G12" s="15" t="n">
        <f aca="false">E12-F12</f>
        <v>0</v>
      </c>
      <c r="H12" s="15" t="n">
        <f aca="false">2</f>
        <v>2</v>
      </c>
      <c r="I12" s="15" t="n">
        <f aca="false">G12*H12</f>
        <v>0</v>
      </c>
      <c r="J12" s="16" t="n">
        <f aca="false">WEO_Data!B11</f>
        <v>0.05</v>
      </c>
      <c r="K12" s="17" t="n">
        <f aca="false">(C12+I12)/(C11+I11)-1</f>
        <v>0.05</v>
      </c>
    </row>
    <row r="13" customFormat="false" ht="12" hidden="false" customHeight="false" outlineLevel="0" collapsed="false">
      <c r="B13" s="14" t="n">
        <v>2030</v>
      </c>
      <c r="C13" s="15" t="n">
        <f aca="false">C12*(1+J13)</f>
        <v>192.46762686396</v>
      </c>
      <c r="D13" s="16" t="n">
        <v>0.2</v>
      </c>
      <c r="E13" s="15" t="n">
        <f aca="false">D13*0*4</f>
        <v>0</v>
      </c>
      <c r="F13" s="15" t="n">
        <f aca="false">E13*1</f>
        <v>0</v>
      </c>
      <c r="G13" s="15" t="n">
        <f aca="false">E13-F13</f>
        <v>0</v>
      </c>
      <c r="H13" s="15" t="n">
        <f aca="false">2</f>
        <v>2</v>
      </c>
      <c r="I13" s="15" t="n">
        <f aca="false">G13*H13</f>
        <v>0</v>
      </c>
      <c r="J13" s="18" t="n">
        <f aca="false">WEO_Data!B12</f>
        <v>0.05</v>
      </c>
      <c r="K13" s="17" t="n">
        <f aca="false">(C13+I13)/(C12+I12)-1</f>
        <v>0.05</v>
      </c>
    </row>
    <row r="14" customFormat="false" ht="12" hidden="false" customHeight="false" outlineLevel="0" collapsed="false">
      <c r="B14" s="14" t="n">
        <v>2031</v>
      </c>
      <c r="C14" s="15" t="n">
        <f aca="false">C13*(1+J14)</f>
        <v>202.091008207158</v>
      </c>
      <c r="D14" s="16" t="n">
        <v>0.15</v>
      </c>
      <c r="E14" s="15" t="n">
        <f aca="false">D14*0*4</f>
        <v>0</v>
      </c>
      <c r="F14" s="15" t="n">
        <f aca="false">E14*1</f>
        <v>0</v>
      </c>
      <c r="G14" s="15" t="n">
        <f aca="false">E14-F14</f>
        <v>0</v>
      </c>
      <c r="H14" s="15" t="n">
        <f aca="false">2</f>
        <v>2</v>
      </c>
      <c r="I14" s="15" t="n">
        <f aca="false">G14*H14</f>
        <v>0</v>
      </c>
      <c r="J14" s="18" t="n">
        <f aca="false">WEO_Data!B13</f>
        <v>0.05</v>
      </c>
      <c r="K14" s="17" t="n">
        <f aca="false">(C14+I14)/(C13+I13)-1</f>
        <v>0.05</v>
      </c>
    </row>
    <row r="15" customFormat="false" ht="12" hidden="false" customHeight="false" outlineLevel="0" collapsed="false">
      <c r="B15" s="14" t="n">
        <v>2032</v>
      </c>
      <c r="C15" s="15" t="n">
        <f aca="false">C14*(1+J15)</f>
        <v>212.195558617516</v>
      </c>
      <c r="D15" s="16" t="n">
        <v>0.1</v>
      </c>
      <c r="E15" s="15" t="n">
        <f aca="false">D15*0*4</f>
        <v>0</v>
      </c>
      <c r="F15" s="15" t="n">
        <f aca="false">E15*1</f>
        <v>0</v>
      </c>
      <c r="G15" s="15" t="n">
        <f aca="false">E15-F15</f>
        <v>0</v>
      </c>
      <c r="H15" s="15" t="n">
        <f aca="false">2</f>
        <v>2</v>
      </c>
      <c r="I15" s="15" t="n">
        <f aca="false">G15*H15</f>
        <v>0</v>
      </c>
      <c r="J15" s="18" t="n">
        <f aca="false">WEO_Data!B14</f>
        <v>0.05</v>
      </c>
      <c r="K15" s="17" t="n">
        <f aca="false">(C15+I15)/(C14+I14)-1</f>
        <v>0.05</v>
      </c>
    </row>
    <row r="16" customFormat="false" ht="12" hidden="false" customHeight="false" outlineLevel="0" collapsed="false">
      <c r="B16" s="14" t="n">
        <v>2033</v>
      </c>
      <c r="C16" s="15" t="n">
        <f aca="false">C15*(1+J16)</f>
        <v>222.805336548391</v>
      </c>
      <c r="D16" s="16" t="n">
        <v>0.05</v>
      </c>
      <c r="E16" s="15" t="n">
        <f aca="false">D16*0*4</f>
        <v>0</v>
      </c>
      <c r="F16" s="15" t="n">
        <f aca="false">E16*1</f>
        <v>0</v>
      </c>
      <c r="G16" s="15" t="n">
        <f aca="false">E16-F16</f>
        <v>0</v>
      </c>
      <c r="H16" s="15" t="n">
        <f aca="false">2</f>
        <v>2</v>
      </c>
      <c r="I16" s="15" t="n">
        <f aca="false">G16*H16</f>
        <v>0</v>
      </c>
      <c r="J16" s="18" t="n">
        <f aca="false">WEO_Data!B15</f>
        <v>0.05</v>
      </c>
      <c r="K16" s="17" t="n">
        <f aca="false">(C16+I16)/(C15+I15)-1</f>
        <v>0.05</v>
      </c>
    </row>
    <row r="17" customFormat="false" ht="12" hidden="false" customHeight="false" outlineLevel="0" collapsed="false">
      <c r="B17" s="14" t="n">
        <v>2034</v>
      </c>
      <c r="C17" s="15" t="n">
        <f aca="false">C16*(1+J17)</f>
        <v>233.945603375811</v>
      </c>
      <c r="E17" s="15" t="n">
        <f aca="false">D17*0*4</f>
        <v>0</v>
      </c>
      <c r="F17" s="15" t="n">
        <f aca="false">E17*1</f>
        <v>0</v>
      </c>
      <c r="G17" s="15" t="n">
        <f aca="false">E17-F17</f>
        <v>0</v>
      </c>
      <c r="H17" s="15" t="n">
        <f aca="false">2</f>
        <v>2</v>
      </c>
      <c r="I17" s="15" t="n">
        <f aca="false">G17*H17</f>
        <v>0</v>
      </c>
      <c r="J17" s="18" t="n">
        <f aca="false">WEO_Data!B16</f>
        <v>0.05</v>
      </c>
      <c r="K17" s="17" t="n">
        <f aca="false">(C17+I17)/(C16+I16)-1</f>
        <v>0.05</v>
      </c>
    </row>
    <row r="18" customFormat="false" ht="12" hidden="false" customHeight="false" outlineLevel="0" collapsed="false">
      <c r="B18" s="14" t="n">
        <v>2035</v>
      </c>
      <c r="C18" s="15" t="n">
        <f aca="false">C17*(1+J18)</f>
        <v>245.642883544601</v>
      </c>
      <c r="E18" s="15" t="n">
        <f aca="false">D18*0*4</f>
        <v>0</v>
      </c>
      <c r="F18" s="15" t="n">
        <f aca="false">E18*1</f>
        <v>0</v>
      </c>
      <c r="G18" s="15" t="n">
        <f aca="false">E18-F18</f>
        <v>0</v>
      </c>
      <c r="H18" s="15" t="n">
        <f aca="false">2</f>
        <v>2</v>
      </c>
      <c r="I18" s="15" t="n">
        <f aca="false">G18*H18</f>
        <v>0</v>
      </c>
      <c r="J18" s="18" t="n">
        <f aca="false">WEO_Data!B17</f>
        <v>0.05</v>
      </c>
      <c r="K18" s="17" t="n">
        <f aca="false">(C18+I18)/(C17+I17)-1</f>
        <v>0.05</v>
      </c>
    </row>
    <row r="19" customFormat="false" ht="12" hidden="false" customHeight="false" outlineLevel="0" collapsed="false">
      <c r="B19" s="14" t="n">
        <v>2036</v>
      </c>
      <c r="C19" s="15" t="n">
        <f aca="false">C18*(1+J19)</f>
        <v>257.925027721832</v>
      </c>
      <c r="E19" s="15" t="n">
        <f aca="false">D19*0*4</f>
        <v>0</v>
      </c>
      <c r="F19" s="15" t="n">
        <f aca="false">E19*1</f>
        <v>0</v>
      </c>
      <c r="G19" s="15" t="n">
        <f aca="false">E19-F19</f>
        <v>0</v>
      </c>
      <c r="H19" s="15" t="n">
        <f aca="false">2</f>
        <v>2</v>
      </c>
      <c r="I19" s="15" t="n">
        <f aca="false">G19*H19</f>
        <v>0</v>
      </c>
      <c r="J19" s="18" t="n">
        <f aca="false">WEO_Data!B18</f>
        <v>0.05</v>
      </c>
      <c r="K19" s="17" t="n">
        <f aca="false">(C19+I19)/(C18+I18)-1</f>
        <v>0.05</v>
      </c>
    </row>
    <row r="20" customFormat="false" ht="12" hidden="false" customHeight="false" outlineLevel="0" collapsed="false">
      <c r="B20" s="14" t="n">
        <v>2037</v>
      </c>
      <c r="C20" s="15" t="n">
        <f aca="false">C19*(1+J20)</f>
        <v>270.821279107923</v>
      </c>
      <c r="E20" s="15" t="n">
        <f aca="false">D20*0*4</f>
        <v>0</v>
      </c>
      <c r="F20" s="15" t="n">
        <f aca="false">E20*1</f>
        <v>0</v>
      </c>
      <c r="G20" s="15" t="n">
        <f aca="false">E20-F20</f>
        <v>0</v>
      </c>
      <c r="H20" s="15" t="n">
        <f aca="false">2</f>
        <v>2</v>
      </c>
      <c r="I20" s="15" t="n">
        <f aca="false">G20*H20</f>
        <v>0</v>
      </c>
      <c r="J20" s="18" t="n">
        <f aca="false">WEO_Data!B19</f>
        <v>0.05</v>
      </c>
      <c r="K20" s="17" t="n">
        <f aca="false">(C20+I20)/(C19+I19)-1</f>
        <v>0.05</v>
      </c>
    </row>
    <row r="21" customFormat="false" ht="12" hidden="false" customHeight="false" outlineLevel="0" collapsed="false">
      <c r="B21" s="14" t="n">
        <v>2038</v>
      </c>
      <c r="C21" s="15" t="n">
        <f aca="false">C20*(1+J21)</f>
        <v>284.362343063319</v>
      </c>
      <c r="E21" s="15" t="n">
        <f aca="false">D21*0*4</f>
        <v>0</v>
      </c>
      <c r="F21" s="15" t="n">
        <f aca="false">E21*1</f>
        <v>0</v>
      </c>
      <c r="G21" s="15" t="n">
        <f aca="false">E21-F21</f>
        <v>0</v>
      </c>
      <c r="H21" s="15" t="n">
        <f aca="false">2</f>
        <v>2</v>
      </c>
      <c r="I21" s="15" t="n">
        <f aca="false">G21*H21</f>
        <v>0</v>
      </c>
      <c r="J21" s="18" t="n">
        <f aca="false">WEO_Data!B20</f>
        <v>0.05</v>
      </c>
      <c r="K21" s="17" t="n">
        <f aca="false">(C21+I21)/(C20+I20)-1</f>
        <v>0.05</v>
      </c>
    </row>
    <row r="22" customFormat="false" ht="12" hidden="false" customHeight="false" outlineLevel="0" collapsed="false">
      <c r="B22" s="14" t="n">
        <v>2039</v>
      </c>
      <c r="C22" s="15" t="n">
        <f aca="false">C21*(1+J22)</f>
        <v>298.580460216485</v>
      </c>
      <c r="E22" s="15" t="n">
        <f aca="false">D22*0*4</f>
        <v>0</v>
      </c>
      <c r="F22" s="15" t="n">
        <f aca="false">E22*1</f>
        <v>0</v>
      </c>
      <c r="G22" s="15" t="n">
        <f aca="false">E22-F22</f>
        <v>0</v>
      </c>
      <c r="H22" s="15" t="n">
        <f aca="false">2</f>
        <v>2</v>
      </c>
      <c r="I22" s="15" t="n">
        <f aca="false">G22*H22</f>
        <v>0</v>
      </c>
      <c r="J22" s="18" t="n">
        <f aca="false">WEO_Data!B21</f>
        <v>0.05</v>
      </c>
      <c r="K22" s="17" t="n">
        <f aca="false">(C22+I22)/(C21+I21)-1</f>
        <v>0.05</v>
      </c>
    </row>
    <row r="23" customFormat="false" ht="12" hidden="false" customHeight="false" outlineLevel="0" collapsed="false">
      <c r="B23" s="14" t="n">
        <v>2040</v>
      </c>
      <c r="C23" s="15" t="n">
        <f aca="false">C22*(1+J23)</f>
        <v>313.50948322731</v>
      </c>
      <c r="E23" s="15" t="n">
        <f aca="false">D23*0*4</f>
        <v>0</v>
      </c>
      <c r="F23" s="15" t="n">
        <f aca="false">E23*1</f>
        <v>0</v>
      </c>
      <c r="G23" s="15" t="n">
        <f aca="false">E23-F23</f>
        <v>0</v>
      </c>
      <c r="H23" s="15" t="n">
        <f aca="false">2</f>
        <v>2</v>
      </c>
      <c r="I23" s="15" t="n">
        <f aca="false">G23*H23</f>
        <v>0</v>
      </c>
      <c r="J23" s="18" t="n">
        <f aca="false">WEO_Data!B22</f>
        <v>0.05</v>
      </c>
      <c r="K23" s="17" t="n">
        <f aca="false">(C23+I23)/(C22+I22)-1</f>
        <v>0.05</v>
      </c>
    </row>
    <row r="24" customFormat="false" ht="12" hidden="false" customHeight="false" outlineLevel="0" collapsed="false">
      <c r="B24" s="14" t="n">
        <v>2041</v>
      </c>
      <c r="C24" s="15" t="n">
        <f aca="false">C23*(1+J24)</f>
        <v>329.184957388675</v>
      </c>
      <c r="E24" s="15" t="n">
        <f aca="false">D24*0*4</f>
        <v>0</v>
      </c>
      <c r="F24" s="15" t="n">
        <f aca="false">E24*1</f>
        <v>0</v>
      </c>
      <c r="G24" s="15" t="n">
        <f aca="false">E24-F24</f>
        <v>0</v>
      </c>
      <c r="H24" s="15" t="n">
        <f aca="false">2</f>
        <v>2</v>
      </c>
      <c r="I24" s="15" t="n">
        <f aca="false">G24*H24</f>
        <v>0</v>
      </c>
      <c r="J24" s="18" t="n">
        <f aca="false">WEO_Data!B23</f>
        <v>0.05</v>
      </c>
      <c r="K24" s="17" t="n">
        <f aca="false">(C24+I24)/(C23+I23)-1</f>
        <v>0.05</v>
      </c>
    </row>
    <row r="25" customFormat="false" ht="12" hidden="false" customHeight="false" outlineLevel="0" collapsed="false">
      <c r="B25" s="19" t="n">
        <v>2042</v>
      </c>
      <c r="C25" s="20" t="n">
        <f aca="false">C24*(1+J25)</f>
        <v>345.644205258109</v>
      </c>
      <c r="D25" s="20"/>
      <c r="E25" s="20" t="n">
        <f aca="false">D25*0*4</f>
        <v>0</v>
      </c>
      <c r="F25" s="20" t="n">
        <f aca="false">E25*1</f>
        <v>0</v>
      </c>
      <c r="G25" s="20" t="n">
        <f aca="false">E25-F25</f>
        <v>0</v>
      </c>
      <c r="H25" s="20" t="n">
        <f aca="false">2</f>
        <v>2</v>
      </c>
      <c r="I25" s="20" t="n">
        <f aca="false">G25*H25</f>
        <v>0</v>
      </c>
      <c r="J25" s="21" t="n">
        <f aca="false">WEO_Data!B24</f>
        <v>0.05</v>
      </c>
      <c r="K25" s="22" t="n">
        <f aca="false">(C25+I25)/(C24+I24)-1</f>
        <v>0.05</v>
      </c>
    </row>
    <row r="28" customFormat="false" ht="12" hidden="false" customHeight="false" outlineLevel="0" collapsed="false">
      <c r="C28" s="23" t="s">
        <v>11</v>
      </c>
      <c r="D28" s="24"/>
      <c r="E28" s="25"/>
      <c r="F28" s="25"/>
      <c r="G28" s="25"/>
      <c r="H28" s="25"/>
      <c r="I28" s="25"/>
      <c r="J28" s="26"/>
      <c r="K28" s="27"/>
    </row>
    <row r="29" customFormat="false" ht="12" hidden="false" customHeight="false" outlineLevel="0" collapsed="false">
      <c r="C29" s="14"/>
      <c r="K29" s="28"/>
    </row>
    <row r="30" customFormat="false" ht="12" hidden="false" customHeight="false" outlineLevel="0" collapsed="false">
      <c r="C30" s="14" t="s">
        <v>12</v>
      </c>
      <c r="D30" s="0" t="n">
        <v>6500</v>
      </c>
      <c r="K30" s="28"/>
    </row>
    <row r="31" customFormat="false" ht="12" hidden="false" customHeight="false" outlineLevel="0" collapsed="false">
      <c r="C31" s="14" t="s">
        <v>13</v>
      </c>
      <c r="D31" s="29" t="n">
        <f aca="false">'SUT Calc'!C46</f>
        <v>0.270179353692877</v>
      </c>
      <c r="K31" s="28"/>
    </row>
    <row r="32" customFormat="false" ht="12" hidden="false" customHeight="false" outlineLevel="0" collapsed="false">
      <c r="C32" s="14" t="s">
        <v>14</v>
      </c>
      <c r="D32" s="30" t="n">
        <v>0.8</v>
      </c>
      <c r="K32" s="28"/>
    </row>
    <row r="33" customFormat="false" ht="12" hidden="false" customHeight="false" outlineLevel="0" collapsed="false">
      <c r="C33" s="19" t="s">
        <v>15</v>
      </c>
      <c r="D33" s="20" t="s">
        <v>16</v>
      </c>
      <c r="E33" s="20"/>
      <c r="F33" s="20"/>
      <c r="G33" s="20"/>
      <c r="H33" s="20"/>
      <c r="I33" s="20"/>
      <c r="J33" s="31"/>
      <c r="K33" s="32"/>
    </row>
    <row r="34" customFormat="false" ht="12" hidden="false" customHeight="false" outlineLevel="0" collapsed="false">
      <c r="D34" s="0" t="s">
        <v>17</v>
      </c>
      <c r="E34" s="0" t="n">
        <v>2.746</v>
      </c>
    </row>
    <row r="38" customFormat="false" ht="12" hidden="false" customHeight="false" outlineLevel="0" collapsed="false">
      <c r="B38" s="0" t="s">
        <v>18</v>
      </c>
    </row>
    <row r="40" customFormat="false" ht="13.8" hidden="false" customHeight="false" outlineLevel="0" collapsed="false">
      <c r="B40" s="33" t="s">
        <v>0</v>
      </c>
      <c r="C40" s="33" t="s">
        <v>1</v>
      </c>
      <c r="D40" s="33" t="s">
        <v>2</v>
      </c>
      <c r="E40" s="33" t="s">
        <v>3</v>
      </c>
      <c r="F40" s="33" t="s">
        <v>4</v>
      </c>
      <c r="G40" s="33" t="s">
        <v>5</v>
      </c>
      <c r="H40" s="33"/>
      <c r="I40" s="33"/>
      <c r="J40" s="33" t="s">
        <v>6</v>
      </c>
      <c r="K40" s="33" t="s">
        <v>7</v>
      </c>
    </row>
    <row r="41" customFormat="false" ht="13.8" hidden="false" customHeight="false" outlineLevel="0" collapsed="false">
      <c r="B41" s="33"/>
      <c r="C41" s="33"/>
      <c r="D41" s="33"/>
      <c r="E41" s="33"/>
      <c r="F41" s="33"/>
      <c r="G41" s="33" t="s">
        <v>8</v>
      </c>
      <c r="H41" s="33" t="s">
        <v>9</v>
      </c>
      <c r="I41" s="33" t="s">
        <v>10</v>
      </c>
      <c r="J41" s="33"/>
      <c r="K41" s="33"/>
    </row>
    <row r="42" customFormat="false" ht="12" hidden="false" customHeight="false" outlineLevel="0" collapsed="false">
      <c r="B42" s="0" t="n">
        <v>2020</v>
      </c>
      <c r="C42" s="0" t="n">
        <f aca="false">C3</f>
        <v>100</v>
      </c>
      <c r="E42" s="0" t="n">
        <f aca="false">D42*0*4</f>
        <v>0</v>
      </c>
      <c r="F42" s="0" t="n">
        <f aca="false">E42*1</f>
        <v>0</v>
      </c>
      <c r="G42" s="0" t="n">
        <f aca="false">E42-F42</f>
        <v>0</v>
      </c>
      <c r="H42" s="0" t="n">
        <v>1</v>
      </c>
      <c r="I42" s="0" t="n">
        <f aca="false">G42*H42</f>
        <v>0</v>
      </c>
      <c r="J42" s="18" t="n">
        <f aca="false">J3</f>
        <v>-0.063</v>
      </c>
      <c r="K42" s="16" t="n">
        <f aca="false">J42</f>
        <v>-0.063</v>
      </c>
    </row>
    <row r="43" customFormat="false" ht="12" hidden="false" customHeight="false" outlineLevel="0" collapsed="false">
      <c r="B43" s="0" t="n">
        <v>2021</v>
      </c>
      <c r="C43" s="0" t="n">
        <f aca="false">C4</f>
        <v>110.6</v>
      </c>
      <c r="E43" s="0" t="n">
        <f aca="false">D43*0*4</f>
        <v>0</v>
      </c>
      <c r="F43" s="0" t="n">
        <f aca="false">E43*1</f>
        <v>0</v>
      </c>
      <c r="G43" s="0" t="n">
        <f aca="false">E43-F43</f>
        <v>0</v>
      </c>
      <c r="H43" s="0" t="n">
        <v>1</v>
      </c>
      <c r="I43" s="0" t="n">
        <f aca="false">G43*H43</f>
        <v>0</v>
      </c>
      <c r="J43" s="18" t="n">
        <f aca="false">J4</f>
        <v>0.106</v>
      </c>
      <c r="K43" s="16" t="n">
        <f aca="false">(C43+I43)/(C42+I42)-1</f>
        <v>0.106</v>
      </c>
    </row>
    <row r="44" customFormat="false" ht="12" hidden="false" customHeight="false" outlineLevel="0" collapsed="false">
      <c r="B44" s="0" t="n">
        <v>2022</v>
      </c>
      <c r="C44" s="0" t="n">
        <f aca="false">C5</f>
        <v>122.766</v>
      </c>
      <c r="E44" s="0" t="n">
        <f aca="false">D44*0*4</f>
        <v>0</v>
      </c>
      <c r="F44" s="0" t="n">
        <f aca="false">E44*1</f>
        <v>0</v>
      </c>
      <c r="G44" s="0" t="n">
        <f aca="false">E44-F44</f>
        <v>0</v>
      </c>
      <c r="H44" s="0" t="n">
        <v>1</v>
      </c>
      <c r="I44" s="0" t="n">
        <f aca="false">G44*H44</f>
        <v>0</v>
      </c>
      <c r="J44" s="18" t="n">
        <f aca="false">J5</f>
        <v>0.11</v>
      </c>
      <c r="K44" s="16" t="n">
        <f aca="false">(C44+I44)/(C43+I43)-1</f>
        <v>0.11</v>
      </c>
    </row>
    <row r="45" customFormat="false" ht="12" hidden="false" customHeight="false" outlineLevel="0" collapsed="false">
      <c r="B45" s="0" t="n">
        <v>2023</v>
      </c>
      <c r="C45" s="0" t="n">
        <f aca="false">C6</f>
        <v>132.341748</v>
      </c>
      <c r="E45" s="0" t="n">
        <f aca="false">D45*0*4</f>
        <v>0</v>
      </c>
      <c r="F45" s="0" t="n">
        <f aca="false">E45*1</f>
        <v>0</v>
      </c>
      <c r="G45" s="0" t="n">
        <f aca="false">E45-F45</f>
        <v>0</v>
      </c>
      <c r="H45" s="0" t="n">
        <v>1</v>
      </c>
      <c r="I45" s="0" t="n">
        <f aca="false">G45*H45</f>
        <v>0</v>
      </c>
      <c r="J45" s="18" t="n">
        <f aca="false">J6</f>
        <v>0.078</v>
      </c>
      <c r="K45" s="16" t="n">
        <f aca="false">(C45+I45)/(C44+I44)-1</f>
        <v>0.0780000000000001</v>
      </c>
    </row>
    <row r="46" customFormat="false" ht="12" hidden="false" customHeight="false" outlineLevel="0" collapsed="false">
      <c r="B46" s="0" t="n">
        <v>2024</v>
      </c>
      <c r="C46" s="0" t="n">
        <f aca="false">C7</f>
        <v>142.2673791</v>
      </c>
      <c r="E46" s="0" t="n">
        <f aca="false">D46*0*4</f>
        <v>0</v>
      </c>
      <c r="F46" s="0" t="n">
        <f aca="false">E46*1</f>
        <v>0</v>
      </c>
      <c r="G46" s="0" t="n">
        <f aca="false">E46-F46</f>
        <v>0</v>
      </c>
      <c r="H46" s="0" t="n">
        <v>1</v>
      </c>
      <c r="I46" s="0" t="n">
        <f aca="false">G46*H46</f>
        <v>0</v>
      </c>
      <c r="J46" s="18" t="n">
        <f aca="false">J7</f>
        <v>0.075</v>
      </c>
      <c r="K46" s="16" t="n">
        <f aca="false">(C46+I46)/(C45+I45)-1</f>
        <v>0.075</v>
      </c>
    </row>
    <row r="47" customFormat="false" ht="12" hidden="false" customHeight="false" outlineLevel="0" collapsed="false">
      <c r="B47" s="0" t="n">
        <v>2025</v>
      </c>
      <c r="C47" s="0" t="n">
        <f aca="false">C8</f>
        <v>150.803421846</v>
      </c>
      <c r="E47" s="0" t="n">
        <f aca="false">D47*0*4</f>
        <v>0</v>
      </c>
      <c r="F47" s="0" t="n">
        <f aca="false">E47*1</f>
        <v>0</v>
      </c>
      <c r="G47" s="0" t="n">
        <f aca="false">E47-F47</f>
        <v>0</v>
      </c>
      <c r="H47" s="0" t="n">
        <v>1</v>
      </c>
      <c r="I47" s="0" t="n">
        <f aca="false">G47*H47</f>
        <v>0</v>
      </c>
      <c r="J47" s="18" t="n">
        <f aca="false">J8</f>
        <v>0.06</v>
      </c>
      <c r="K47" s="16" t="n">
        <f aca="false">(C47+I47)/(C46+I46)-1</f>
        <v>0.0600000000000001</v>
      </c>
    </row>
    <row r="48" customFormat="false" ht="12" hidden="false" customHeight="false" outlineLevel="0" collapsed="false">
      <c r="B48" s="0" t="n">
        <v>2026</v>
      </c>
      <c r="C48" s="0" t="n">
        <f aca="false">C9</f>
        <v>158.3435929383</v>
      </c>
      <c r="D48" s="0" t="n">
        <v>0.05</v>
      </c>
      <c r="E48" s="0" t="n">
        <f aca="false">D48*0*4</f>
        <v>0</v>
      </c>
      <c r="F48" s="0" t="n">
        <f aca="false">E48*1</f>
        <v>0</v>
      </c>
      <c r="G48" s="0" t="n">
        <f aca="false">E48-F48</f>
        <v>0</v>
      </c>
      <c r="H48" s="0" t="n">
        <v>1</v>
      </c>
      <c r="I48" s="0" t="n">
        <f aca="false">G48*H48</f>
        <v>0</v>
      </c>
      <c r="J48" s="18" t="n">
        <f aca="false">J9</f>
        <v>0.05</v>
      </c>
      <c r="K48" s="16" t="n">
        <f aca="false">(C48+I48)/(C47+I47)-1</f>
        <v>0.05</v>
      </c>
    </row>
    <row r="49" customFormat="false" ht="12" hidden="false" customHeight="false" outlineLevel="0" collapsed="false">
      <c r="B49" s="0" t="n">
        <v>2027</v>
      </c>
      <c r="C49" s="0" t="n">
        <f aca="false">C10</f>
        <v>166.260772585215</v>
      </c>
      <c r="D49" s="0" t="n">
        <v>0.1</v>
      </c>
      <c r="E49" s="0" t="n">
        <f aca="false">D49*0*4</f>
        <v>0</v>
      </c>
      <c r="F49" s="0" t="n">
        <f aca="false">E49*1</f>
        <v>0</v>
      </c>
      <c r="G49" s="0" t="n">
        <f aca="false">E49-F49</f>
        <v>0</v>
      </c>
      <c r="H49" s="0" t="n">
        <v>1</v>
      </c>
      <c r="I49" s="0" t="n">
        <f aca="false">G49*H49</f>
        <v>0</v>
      </c>
      <c r="J49" s="18" t="n">
        <f aca="false">J10</f>
        <v>0.05</v>
      </c>
      <c r="K49" s="16" t="n">
        <f aca="false">(C49+I49)/(C48+I48)-1</f>
        <v>0.05</v>
      </c>
    </row>
    <row r="50" customFormat="false" ht="12" hidden="false" customHeight="false" outlineLevel="0" collapsed="false">
      <c r="B50" s="0" t="n">
        <v>2028</v>
      </c>
      <c r="C50" s="0" t="n">
        <f aca="false">C11</f>
        <v>174.573811214476</v>
      </c>
      <c r="D50" s="0" t="n">
        <v>0.15</v>
      </c>
      <c r="E50" s="0" t="n">
        <f aca="false">D50*0*4</f>
        <v>0</v>
      </c>
      <c r="F50" s="0" t="n">
        <f aca="false">E50*1</f>
        <v>0</v>
      </c>
      <c r="G50" s="0" t="n">
        <f aca="false">E50-F50</f>
        <v>0</v>
      </c>
      <c r="H50" s="0" t="n">
        <v>1</v>
      </c>
      <c r="I50" s="0" t="n">
        <f aca="false">G50*H50</f>
        <v>0</v>
      </c>
      <c r="J50" s="18" t="n">
        <f aca="false">J11</f>
        <v>0.05</v>
      </c>
      <c r="K50" s="16" t="n">
        <f aca="false">(C50+I50)/(C49+I49)-1</f>
        <v>0.05</v>
      </c>
    </row>
    <row r="51" customFormat="false" ht="12" hidden="false" customHeight="false" outlineLevel="0" collapsed="false">
      <c r="B51" s="0" t="n">
        <v>2029</v>
      </c>
      <c r="C51" s="0" t="n">
        <f aca="false">C12</f>
        <v>183.3025017752</v>
      </c>
      <c r="D51" s="0" t="n">
        <v>0.2</v>
      </c>
      <c r="E51" s="0" t="n">
        <f aca="false">D51*0*4</f>
        <v>0</v>
      </c>
      <c r="F51" s="0" t="n">
        <f aca="false">E51*1</f>
        <v>0</v>
      </c>
      <c r="G51" s="0" t="n">
        <f aca="false">E51-F51</f>
        <v>0</v>
      </c>
      <c r="H51" s="0" t="n">
        <v>1</v>
      </c>
      <c r="I51" s="0" t="n">
        <f aca="false">G51*H51</f>
        <v>0</v>
      </c>
      <c r="J51" s="18" t="n">
        <f aca="false">J12</f>
        <v>0.05</v>
      </c>
      <c r="K51" s="16" t="n">
        <f aca="false">(C51+I51)/(C50+I50)-1</f>
        <v>0.05</v>
      </c>
    </row>
    <row r="52" customFormat="false" ht="12" hidden="false" customHeight="false" outlineLevel="0" collapsed="false">
      <c r="B52" s="0" t="n">
        <v>2030</v>
      </c>
      <c r="C52" s="0" t="n">
        <f aca="false">C13</f>
        <v>192.46762686396</v>
      </c>
      <c r="D52" s="0" t="n">
        <v>0.2</v>
      </c>
      <c r="E52" s="0" t="n">
        <f aca="false">D52*0*4</f>
        <v>0</v>
      </c>
      <c r="F52" s="0" t="n">
        <f aca="false">E52*1</f>
        <v>0</v>
      </c>
      <c r="G52" s="0" t="n">
        <f aca="false">E52-F52</f>
        <v>0</v>
      </c>
      <c r="H52" s="0" t="n">
        <v>1</v>
      </c>
      <c r="I52" s="0" t="n">
        <f aca="false">G52*H52</f>
        <v>0</v>
      </c>
      <c r="J52" s="18" t="n">
        <f aca="false">J13</f>
        <v>0.05</v>
      </c>
      <c r="K52" s="16" t="n">
        <f aca="false">(C52+I52)/(C51+I51)-1</f>
        <v>0.05</v>
      </c>
    </row>
    <row r="53" customFormat="false" ht="12" hidden="false" customHeight="false" outlineLevel="0" collapsed="false">
      <c r="B53" s="0" t="n">
        <v>2031</v>
      </c>
      <c r="C53" s="0" t="n">
        <f aca="false">C14</f>
        <v>202.091008207158</v>
      </c>
      <c r="D53" s="0" t="n">
        <v>0.15</v>
      </c>
      <c r="E53" s="0" t="n">
        <f aca="false">D53*0*4</f>
        <v>0</v>
      </c>
      <c r="F53" s="0" t="n">
        <f aca="false">E53*1</f>
        <v>0</v>
      </c>
      <c r="G53" s="0" t="n">
        <f aca="false">E53-F53</f>
        <v>0</v>
      </c>
      <c r="H53" s="0" t="n">
        <v>1</v>
      </c>
      <c r="I53" s="0" t="n">
        <f aca="false">G53*H53</f>
        <v>0</v>
      </c>
      <c r="J53" s="18" t="n">
        <f aca="false">J14</f>
        <v>0.05</v>
      </c>
      <c r="K53" s="16" t="n">
        <f aca="false">(C53+I53)/(C52+I52)-1</f>
        <v>0.05</v>
      </c>
    </row>
    <row r="54" customFormat="false" ht="12" hidden="false" customHeight="false" outlineLevel="0" collapsed="false">
      <c r="B54" s="0" t="n">
        <v>2032</v>
      </c>
      <c r="C54" s="0" t="n">
        <f aca="false">C15</f>
        <v>212.195558617516</v>
      </c>
      <c r="D54" s="0" t="n">
        <v>0.1</v>
      </c>
      <c r="E54" s="0" t="n">
        <f aca="false">D54*0*4</f>
        <v>0</v>
      </c>
      <c r="F54" s="0" t="n">
        <f aca="false">E54*1</f>
        <v>0</v>
      </c>
      <c r="G54" s="0" t="n">
        <f aca="false">E54-F54</f>
        <v>0</v>
      </c>
      <c r="H54" s="0" t="n">
        <v>1</v>
      </c>
      <c r="I54" s="0" t="n">
        <f aca="false">G54*H54</f>
        <v>0</v>
      </c>
      <c r="J54" s="18" t="n">
        <f aca="false">J15</f>
        <v>0.05</v>
      </c>
      <c r="K54" s="16" t="n">
        <f aca="false">(C54+I54)/(C53+I53)-1</f>
        <v>0.05</v>
      </c>
    </row>
    <row r="55" customFormat="false" ht="12" hidden="false" customHeight="false" outlineLevel="0" collapsed="false">
      <c r="B55" s="0" t="n">
        <v>2033</v>
      </c>
      <c r="C55" s="0" t="n">
        <f aca="false">C16</f>
        <v>222.805336548391</v>
      </c>
      <c r="D55" s="0" t="n">
        <v>0.05</v>
      </c>
      <c r="E55" s="0" t="n">
        <f aca="false">D55*0*4</f>
        <v>0</v>
      </c>
      <c r="F55" s="0" t="n">
        <f aca="false">E55*1</f>
        <v>0</v>
      </c>
      <c r="G55" s="0" t="n">
        <f aca="false">E55-F55</f>
        <v>0</v>
      </c>
      <c r="H55" s="0" t="n">
        <v>1</v>
      </c>
      <c r="I55" s="0" t="n">
        <f aca="false">G55*H55</f>
        <v>0</v>
      </c>
      <c r="J55" s="18" t="n">
        <f aca="false">J16</f>
        <v>0.05</v>
      </c>
      <c r="K55" s="16" t="n">
        <f aca="false">(C55+I55)/(C54+I54)-1</f>
        <v>0.05</v>
      </c>
    </row>
    <row r="56" customFormat="false" ht="12" hidden="false" customHeight="false" outlineLevel="0" collapsed="false">
      <c r="B56" s="0" t="n">
        <v>2034</v>
      </c>
      <c r="C56" s="0" t="n">
        <f aca="false">C17</f>
        <v>233.945603375811</v>
      </c>
      <c r="E56" s="0" t="n">
        <f aca="false">D56*0*4</f>
        <v>0</v>
      </c>
      <c r="F56" s="0" t="n">
        <f aca="false">E56*1</f>
        <v>0</v>
      </c>
      <c r="G56" s="0" t="n">
        <f aca="false">E56-F56</f>
        <v>0</v>
      </c>
      <c r="H56" s="0" t="n">
        <v>1</v>
      </c>
      <c r="I56" s="0" t="n">
        <f aca="false">G56*H56</f>
        <v>0</v>
      </c>
      <c r="J56" s="18" t="n">
        <f aca="false">J17</f>
        <v>0.05</v>
      </c>
      <c r="K56" s="16" t="n">
        <f aca="false">(C56+I56)/(C55+I55)-1</f>
        <v>0.05</v>
      </c>
    </row>
    <row r="57" customFormat="false" ht="12" hidden="false" customHeight="false" outlineLevel="0" collapsed="false">
      <c r="B57" s="0" t="n">
        <v>2035</v>
      </c>
      <c r="C57" s="0" t="n">
        <f aca="false">C18</f>
        <v>245.642883544601</v>
      </c>
      <c r="E57" s="0" t="n">
        <f aca="false">D57*0*4</f>
        <v>0</v>
      </c>
      <c r="F57" s="0" t="n">
        <f aca="false">E57*1</f>
        <v>0</v>
      </c>
      <c r="G57" s="0" t="n">
        <f aca="false">E57-F57</f>
        <v>0</v>
      </c>
      <c r="H57" s="0" t="n">
        <v>1</v>
      </c>
      <c r="I57" s="0" t="n">
        <f aca="false">G57*H57</f>
        <v>0</v>
      </c>
      <c r="J57" s="18" t="n">
        <f aca="false">J18</f>
        <v>0.05</v>
      </c>
      <c r="K57" s="16" t="n">
        <f aca="false">(C57+I57)/(C56+I56)-1</f>
        <v>0.05</v>
      </c>
    </row>
    <row r="58" customFormat="false" ht="12" hidden="false" customHeight="false" outlineLevel="0" collapsed="false">
      <c r="B58" s="0" t="n">
        <v>2036</v>
      </c>
      <c r="C58" s="0" t="n">
        <f aca="false">C19</f>
        <v>257.925027721832</v>
      </c>
      <c r="E58" s="0" t="n">
        <f aca="false">D58*0*4</f>
        <v>0</v>
      </c>
      <c r="F58" s="0" t="n">
        <f aca="false">E58*1</f>
        <v>0</v>
      </c>
      <c r="G58" s="0" t="n">
        <f aca="false">E58-F58</f>
        <v>0</v>
      </c>
      <c r="H58" s="0" t="n">
        <v>1</v>
      </c>
      <c r="I58" s="0" t="n">
        <f aca="false">G58*H58</f>
        <v>0</v>
      </c>
      <c r="J58" s="18" t="n">
        <f aca="false">J19</f>
        <v>0.05</v>
      </c>
      <c r="K58" s="16" t="n">
        <f aca="false">(C58+I58)/(C57+I57)-1</f>
        <v>0.05</v>
      </c>
    </row>
    <row r="59" customFormat="false" ht="12" hidden="false" customHeight="false" outlineLevel="0" collapsed="false">
      <c r="B59" s="0" t="n">
        <v>2037</v>
      </c>
      <c r="C59" s="0" t="n">
        <f aca="false">C20</f>
        <v>270.821279107923</v>
      </c>
      <c r="E59" s="0" t="n">
        <f aca="false">D59*0*4</f>
        <v>0</v>
      </c>
      <c r="F59" s="0" t="n">
        <f aca="false">E59*1</f>
        <v>0</v>
      </c>
      <c r="G59" s="0" t="n">
        <f aca="false">E59-F59</f>
        <v>0</v>
      </c>
      <c r="H59" s="0" t="n">
        <v>1</v>
      </c>
      <c r="I59" s="0" t="n">
        <f aca="false">G59*H59</f>
        <v>0</v>
      </c>
      <c r="J59" s="18" t="n">
        <f aca="false">J20</f>
        <v>0.05</v>
      </c>
      <c r="K59" s="16" t="n">
        <f aca="false">(C59+I59)/(C58+I58)-1</f>
        <v>0.05</v>
      </c>
    </row>
    <row r="60" customFormat="false" ht="12" hidden="false" customHeight="false" outlineLevel="0" collapsed="false">
      <c r="B60" s="0" t="n">
        <v>2038</v>
      </c>
      <c r="C60" s="0" t="n">
        <f aca="false">C21</f>
        <v>284.362343063319</v>
      </c>
      <c r="E60" s="0" t="n">
        <f aca="false">D60*0*4</f>
        <v>0</v>
      </c>
      <c r="F60" s="0" t="n">
        <f aca="false">E60*1</f>
        <v>0</v>
      </c>
      <c r="G60" s="0" t="n">
        <f aca="false">E60-F60</f>
        <v>0</v>
      </c>
      <c r="H60" s="0" t="n">
        <v>1</v>
      </c>
      <c r="I60" s="0" t="n">
        <f aca="false">G60*H60</f>
        <v>0</v>
      </c>
      <c r="J60" s="18" t="n">
        <f aca="false">J21</f>
        <v>0.05</v>
      </c>
      <c r="K60" s="16" t="n">
        <f aca="false">(C60+I60)/(C59+I59)-1</f>
        <v>0.05</v>
      </c>
    </row>
    <row r="61" customFormat="false" ht="12" hidden="false" customHeight="false" outlineLevel="0" collapsed="false">
      <c r="B61" s="0" t="n">
        <v>2039</v>
      </c>
      <c r="C61" s="0" t="n">
        <f aca="false">C22</f>
        <v>298.580460216485</v>
      </c>
      <c r="E61" s="0" t="n">
        <f aca="false">D61*0*4</f>
        <v>0</v>
      </c>
      <c r="F61" s="0" t="n">
        <f aca="false">E61*1</f>
        <v>0</v>
      </c>
      <c r="G61" s="0" t="n">
        <f aca="false">E61-F61</f>
        <v>0</v>
      </c>
      <c r="H61" s="0" t="n">
        <v>1</v>
      </c>
      <c r="I61" s="0" t="n">
        <f aca="false">G61*H61</f>
        <v>0</v>
      </c>
      <c r="J61" s="18" t="n">
        <f aca="false">J22</f>
        <v>0.05</v>
      </c>
      <c r="K61" s="16" t="n">
        <f aca="false">(C61+I61)/(C60+I60)-1</f>
        <v>0.05</v>
      </c>
    </row>
    <row r="62" customFormat="false" ht="12" hidden="false" customHeight="false" outlineLevel="0" collapsed="false">
      <c r="B62" s="0" t="n">
        <v>2040</v>
      </c>
      <c r="C62" s="0" t="n">
        <f aca="false">C23</f>
        <v>313.50948322731</v>
      </c>
      <c r="E62" s="0" t="n">
        <f aca="false">D62*0*4</f>
        <v>0</v>
      </c>
      <c r="F62" s="0" t="n">
        <f aca="false">E62*1</f>
        <v>0</v>
      </c>
      <c r="G62" s="0" t="n">
        <f aca="false">E62-F62</f>
        <v>0</v>
      </c>
      <c r="H62" s="0" t="n">
        <v>1</v>
      </c>
      <c r="I62" s="0" t="n">
        <f aca="false">G62*H62</f>
        <v>0</v>
      </c>
      <c r="J62" s="18" t="n">
        <f aca="false">J23</f>
        <v>0.05</v>
      </c>
      <c r="K62" s="16" t="n">
        <f aca="false">(C62+I62)/(C61+I61)-1</f>
        <v>0.05</v>
      </c>
    </row>
    <row r="63" customFormat="false" ht="12" hidden="false" customHeight="false" outlineLevel="0" collapsed="false">
      <c r="B63" s="0" t="n">
        <v>2041</v>
      </c>
      <c r="C63" s="0" t="n">
        <f aca="false">C24</f>
        <v>329.184957388675</v>
      </c>
      <c r="E63" s="0" t="n">
        <f aca="false">D63*0*4</f>
        <v>0</v>
      </c>
      <c r="F63" s="0" t="n">
        <f aca="false">E63*1</f>
        <v>0</v>
      </c>
      <c r="G63" s="0" t="n">
        <f aca="false">E63-F63</f>
        <v>0</v>
      </c>
      <c r="H63" s="0" t="n">
        <v>1</v>
      </c>
      <c r="I63" s="0" t="n">
        <f aca="false">G63*H63</f>
        <v>0</v>
      </c>
      <c r="J63" s="18" t="n">
        <f aca="false">J24</f>
        <v>0.05</v>
      </c>
      <c r="K63" s="16" t="n">
        <f aca="false">(C63+I63)/(C62+I62)-1</f>
        <v>0.05</v>
      </c>
    </row>
    <row r="64" customFormat="false" ht="12" hidden="false" customHeight="false" outlineLevel="0" collapsed="false">
      <c r="B64" s="0" t="n">
        <v>2042</v>
      </c>
      <c r="C64" s="0" t="n">
        <f aca="false">C25</f>
        <v>345.644205258109</v>
      </c>
      <c r="E64" s="0" t="n">
        <f aca="false">D64*0*4</f>
        <v>0</v>
      </c>
      <c r="F64" s="0" t="n">
        <f aca="false">E64*1</f>
        <v>0</v>
      </c>
      <c r="G64" s="0" t="n">
        <f aca="false">E64-F64</f>
        <v>0</v>
      </c>
      <c r="H64" s="0" t="n">
        <v>1</v>
      </c>
      <c r="I64" s="0" t="n">
        <f aca="false">G64*H64</f>
        <v>0</v>
      </c>
      <c r="J64" s="18" t="n">
        <f aca="false">J25</f>
        <v>0.05</v>
      </c>
      <c r="K64" s="16" t="n">
        <f aca="false">(C64+I64)/(C63+I63)-1</f>
        <v>0.05</v>
      </c>
    </row>
    <row r="68" customFormat="false" ht="12" hidden="false" customHeight="false" outlineLevel="0" collapsed="false">
      <c r="B68" s="0" t="s">
        <v>19</v>
      </c>
    </row>
    <row r="70" customFormat="false" ht="13.8" hidden="false" customHeight="false" outlineLevel="0" collapsed="false">
      <c r="B70" s="33" t="s">
        <v>0</v>
      </c>
      <c r="C70" s="33" t="s">
        <v>1</v>
      </c>
      <c r="D70" s="33" t="s">
        <v>2</v>
      </c>
      <c r="E70" s="33" t="s">
        <v>3</v>
      </c>
      <c r="F70" s="33" t="s">
        <v>4</v>
      </c>
      <c r="G70" s="33" t="s">
        <v>5</v>
      </c>
      <c r="H70" s="33"/>
      <c r="I70" s="33"/>
      <c r="J70" s="33" t="s">
        <v>6</v>
      </c>
      <c r="K70" s="33" t="s">
        <v>7</v>
      </c>
    </row>
    <row r="71" customFormat="false" ht="13.8" hidden="false" customHeight="false" outlineLevel="0" collapsed="false">
      <c r="B71" s="33"/>
      <c r="C71" s="33"/>
      <c r="D71" s="33"/>
      <c r="E71" s="33"/>
      <c r="F71" s="33"/>
      <c r="G71" s="33" t="s">
        <v>8</v>
      </c>
      <c r="H71" s="33" t="s">
        <v>9</v>
      </c>
      <c r="I71" s="33" t="s">
        <v>10</v>
      </c>
      <c r="J71" s="33"/>
      <c r="K71" s="33"/>
    </row>
    <row r="72" customFormat="false" ht="12" hidden="false" customHeight="false" outlineLevel="0" collapsed="false">
      <c r="B72" s="0" t="n">
        <v>2020</v>
      </c>
      <c r="C72" s="0" t="n">
        <f aca="false">C3</f>
        <v>100</v>
      </c>
      <c r="E72" s="0" t="n">
        <f aca="false">D72*0*4</f>
        <v>0</v>
      </c>
      <c r="F72" s="0" t="n">
        <f aca="false">E72*0.5</f>
        <v>0</v>
      </c>
      <c r="G72" s="0" t="n">
        <f aca="false">E72-F72</f>
        <v>0</v>
      </c>
      <c r="H72" s="0" t="n">
        <f aca="false">2</f>
        <v>2</v>
      </c>
      <c r="I72" s="0" t="n">
        <f aca="false">G72*H72</f>
        <v>0</v>
      </c>
      <c r="J72" s="18" t="n">
        <f aca="false">J3</f>
        <v>-0.063</v>
      </c>
      <c r="K72" s="16" t="n">
        <f aca="false">J72</f>
        <v>-0.063</v>
      </c>
    </row>
    <row r="73" customFormat="false" ht="12" hidden="false" customHeight="false" outlineLevel="0" collapsed="false">
      <c r="B73" s="0" t="n">
        <v>2021</v>
      </c>
      <c r="C73" s="0" t="n">
        <f aca="false">C4</f>
        <v>110.6</v>
      </c>
      <c r="E73" s="0" t="n">
        <f aca="false">D73*0*4</f>
        <v>0</v>
      </c>
      <c r="F73" s="0" t="n">
        <f aca="false">E73*0.5</f>
        <v>0</v>
      </c>
      <c r="G73" s="0" t="n">
        <f aca="false">E73-F73</f>
        <v>0</v>
      </c>
      <c r="H73" s="0" t="n">
        <f aca="false">2</f>
        <v>2</v>
      </c>
      <c r="I73" s="0" t="n">
        <f aca="false">G73*H73</f>
        <v>0</v>
      </c>
      <c r="J73" s="18" t="n">
        <f aca="false">J4</f>
        <v>0.106</v>
      </c>
      <c r="K73" s="16" t="n">
        <f aca="false">(C73+I73)/(C72+I72)-1</f>
        <v>0.106</v>
      </c>
    </row>
    <row r="74" customFormat="false" ht="12" hidden="false" customHeight="false" outlineLevel="0" collapsed="false">
      <c r="B74" s="0" t="n">
        <v>2022</v>
      </c>
      <c r="C74" s="0" t="n">
        <f aca="false">C5</f>
        <v>122.766</v>
      </c>
      <c r="E74" s="0" t="n">
        <f aca="false">D74*0*4</f>
        <v>0</v>
      </c>
      <c r="F74" s="0" t="n">
        <f aca="false">E74*0.5</f>
        <v>0</v>
      </c>
      <c r="G74" s="0" t="n">
        <f aca="false">E74-F74</f>
        <v>0</v>
      </c>
      <c r="H74" s="0" t="n">
        <f aca="false">2</f>
        <v>2</v>
      </c>
      <c r="I74" s="0" t="n">
        <f aca="false">G74*H74</f>
        <v>0</v>
      </c>
      <c r="J74" s="18" t="n">
        <f aca="false">J5</f>
        <v>0.11</v>
      </c>
      <c r="K74" s="16" t="n">
        <f aca="false">(C74+I74)/(C73+I73)-1</f>
        <v>0.11</v>
      </c>
    </row>
    <row r="75" customFormat="false" ht="12" hidden="false" customHeight="false" outlineLevel="0" collapsed="false">
      <c r="B75" s="0" t="n">
        <v>2023</v>
      </c>
      <c r="C75" s="0" t="n">
        <f aca="false">C6</f>
        <v>132.341748</v>
      </c>
      <c r="E75" s="0" t="n">
        <f aca="false">D75*0*4</f>
        <v>0</v>
      </c>
      <c r="F75" s="0" t="n">
        <f aca="false">E75*0.5</f>
        <v>0</v>
      </c>
      <c r="G75" s="0" t="n">
        <f aca="false">E75-F75</f>
        <v>0</v>
      </c>
      <c r="H75" s="0" t="n">
        <f aca="false">2</f>
        <v>2</v>
      </c>
      <c r="I75" s="0" t="n">
        <f aca="false">G75*H75</f>
        <v>0</v>
      </c>
      <c r="J75" s="18" t="n">
        <f aca="false">J6</f>
        <v>0.078</v>
      </c>
      <c r="K75" s="16" t="n">
        <f aca="false">(C75+I75)/(C74+I74)-1</f>
        <v>0.0780000000000001</v>
      </c>
    </row>
    <row r="76" customFormat="false" ht="12" hidden="false" customHeight="false" outlineLevel="0" collapsed="false">
      <c r="B76" s="0" t="n">
        <v>2024</v>
      </c>
      <c r="C76" s="0" t="n">
        <f aca="false">C7</f>
        <v>142.2673791</v>
      </c>
      <c r="E76" s="0" t="n">
        <f aca="false">D76*0*4</f>
        <v>0</v>
      </c>
      <c r="F76" s="0" t="n">
        <f aca="false">E76*0.5</f>
        <v>0</v>
      </c>
      <c r="G76" s="0" t="n">
        <f aca="false">E76-F76</f>
        <v>0</v>
      </c>
      <c r="H76" s="0" t="n">
        <f aca="false">2</f>
        <v>2</v>
      </c>
      <c r="I76" s="0" t="n">
        <f aca="false">G76*H76</f>
        <v>0</v>
      </c>
      <c r="J76" s="18" t="n">
        <f aca="false">J7</f>
        <v>0.075</v>
      </c>
      <c r="K76" s="16" t="n">
        <f aca="false">(C76+I76)/(C75+I75)-1</f>
        <v>0.075</v>
      </c>
    </row>
    <row r="77" customFormat="false" ht="12" hidden="false" customHeight="false" outlineLevel="0" collapsed="false">
      <c r="B77" s="0" t="n">
        <v>2025</v>
      </c>
      <c r="C77" s="0" t="n">
        <f aca="false">C8</f>
        <v>150.803421846</v>
      </c>
      <c r="E77" s="0" t="n">
        <f aca="false">D77*0*4</f>
        <v>0</v>
      </c>
      <c r="F77" s="0" t="n">
        <f aca="false">E77*0.5</f>
        <v>0</v>
      </c>
      <c r="G77" s="0" t="n">
        <f aca="false">E77-F77</f>
        <v>0</v>
      </c>
      <c r="H77" s="0" t="n">
        <f aca="false">2</f>
        <v>2</v>
      </c>
      <c r="I77" s="0" t="n">
        <f aca="false">G77*H77</f>
        <v>0</v>
      </c>
      <c r="J77" s="18" t="n">
        <f aca="false">J8</f>
        <v>0.06</v>
      </c>
      <c r="K77" s="16" t="n">
        <f aca="false">(C77+I77)/(C76+I76)-1</f>
        <v>0.0600000000000001</v>
      </c>
    </row>
    <row r="78" customFormat="false" ht="12" hidden="false" customHeight="false" outlineLevel="0" collapsed="false">
      <c r="B78" s="0" t="n">
        <v>2026</v>
      </c>
      <c r="C78" s="0" t="n">
        <f aca="false">C9</f>
        <v>158.3435929383</v>
      </c>
      <c r="D78" s="0" t="n">
        <v>0.05</v>
      </c>
      <c r="E78" s="0" t="n">
        <f aca="false">D78*0*4</f>
        <v>0</v>
      </c>
      <c r="F78" s="0" t="n">
        <f aca="false">E78*0.5</f>
        <v>0</v>
      </c>
      <c r="G78" s="0" t="n">
        <f aca="false">E78-F78</f>
        <v>0</v>
      </c>
      <c r="H78" s="0" t="n">
        <f aca="false">2</f>
        <v>2</v>
      </c>
      <c r="I78" s="0" t="n">
        <f aca="false">G78*H78</f>
        <v>0</v>
      </c>
      <c r="J78" s="18" t="n">
        <f aca="false">J9</f>
        <v>0.05</v>
      </c>
      <c r="K78" s="16" t="n">
        <f aca="false">(C78+I78)/(C77+I77)-1</f>
        <v>0.05</v>
      </c>
    </row>
    <row r="79" customFormat="false" ht="12" hidden="false" customHeight="false" outlineLevel="0" collapsed="false">
      <c r="B79" s="0" t="n">
        <v>2027</v>
      </c>
      <c r="C79" s="0" t="n">
        <f aca="false">C10</f>
        <v>166.260772585215</v>
      </c>
      <c r="D79" s="0" t="n">
        <v>0.1</v>
      </c>
      <c r="E79" s="0" t="n">
        <f aca="false">D79*0*4</f>
        <v>0</v>
      </c>
      <c r="F79" s="0" t="n">
        <f aca="false">E79*0.5</f>
        <v>0</v>
      </c>
      <c r="G79" s="0" t="n">
        <f aca="false">E79-F79</f>
        <v>0</v>
      </c>
      <c r="H79" s="0" t="n">
        <f aca="false">2</f>
        <v>2</v>
      </c>
      <c r="I79" s="0" t="n">
        <f aca="false">G79*H79</f>
        <v>0</v>
      </c>
      <c r="J79" s="18" t="n">
        <f aca="false">J10</f>
        <v>0.05</v>
      </c>
      <c r="K79" s="16" t="n">
        <f aca="false">(C79+I79)/(C78+I78)-1</f>
        <v>0.05</v>
      </c>
    </row>
    <row r="80" customFormat="false" ht="12" hidden="false" customHeight="false" outlineLevel="0" collapsed="false">
      <c r="B80" s="0" t="n">
        <v>2028</v>
      </c>
      <c r="C80" s="0" t="n">
        <f aca="false">C11</f>
        <v>174.573811214476</v>
      </c>
      <c r="D80" s="0" t="n">
        <v>0.15</v>
      </c>
      <c r="E80" s="0" t="n">
        <f aca="false">D80*0*4</f>
        <v>0</v>
      </c>
      <c r="F80" s="0" t="n">
        <f aca="false">E80*0.5</f>
        <v>0</v>
      </c>
      <c r="G80" s="0" t="n">
        <f aca="false">E80-F80</f>
        <v>0</v>
      </c>
      <c r="H80" s="0" t="n">
        <f aca="false">2</f>
        <v>2</v>
      </c>
      <c r="I80" s="0" t="n">
        <f aca="false">G80*H80</f>
        <v>0</v>
      </c>
      <c r="J80" s="18" t="n">
        <f aca="false">J11</f>
        <v>0.05</v>
      </c>
      <c r="K80" s="16" t="n">
        <f aca="false">(C80+I80)/(C79+I79)-1</f>
        <v>0.05</v>
      </c>
    </row>
    <row r="81" customFormat="false" ht="12" hidden="false" customHeight="false" outlineLevel="0" collapsed="false">
      <c r="B81" s="0" t="n">
        <v>2029</v>
      </c>
      <c r="C81" s="0" t="n">
        <f aca="false">C12</f>
        <v>183.3025017752</v>
      </c>
      <c r="D81" s="0" t="n">
        <v>0.2</v>
      </c>
      <c r="E81" s="0" t="n">
        <f aca="false">D81*0*4</f>
        <v>0</v>
      </c>
      <c r="F81" s="0" t="n">
        <f aca="false">E81*0.5</f>
        <v>0</v>
      </c>
      <c r="G81" s="0" t="n">
        <f aca="false">E81-F81</f>
        <v>0</v>
      </c>
      <c r="H81" s="0" t="n">
        <f aca="false">2</f>
        <v>2</v>
      </c>
      <c r="I81" s="0" t="n">
        <f aca="false">G81*H81</f>
        <v>0</v>
      </c>
      <c r="J81" s="18" t="n">
        <f aca="false">J12</f>
        <v>0.05</v>
      </c>
      <c r="K81" s="16" t="n">
        <f aca="false">(C81+I81)/(C80+I80)-1</f>
        <v>0.05</v>
      </c>
    </row>
    <row r="82" customFormat="false" ht="12" hidden="false" customHeight="false" outlineLevel="0" collapsed="false">
      <c r="B82" s="0" t="n">
        <v>2030</v>
      </c>
      <c r="C82" s="0" t="n">
        <f aca="false">C13</f>
        <v>192.46762686396</v>
      </c>
      <c r="D82" s="0" t="n">
        <v>0.2</v>
      </c>
      <c r="E82" s="0" t="n">
        <f aca="false">D82*0*4</f>
        <v>0</v>
      </c>
      <c r="F82" s="0" t="n">
        <f aca="false">E82*0.5</f>
        <v>0</v>
      </c>
      <c r="G82" s="0" t="n">
        <f aca="false">E82-F82</f>
        <v>0</v>
      </c>
      <c r="H82" s="0" t="n">
        <f aca="false">2</f>
        <v>2</v>
      </c>
      <c r="I82" s="0" t="n">
        <f aca="false">G82*H82</f>
        <v>0</v>
      </c>
      <c r="J82" s="18" t="n">
        <f aca="false">J13</f>
        <v>0.05</v>
      </c>
      <c r="K82" s="16" t="n">
        <f aca="false">(C82+I82)/(C81+I81)-1</f>
        <v>0.05</v>
      </c>
    </row>
    <row r="83" customFormat="false" ht="12" hidden="false" customHeight="false" outlineLevel="0" collapsed="false">
      <c r="B83" s="0" t="n">
        <v>2031</v>
      </c>
      <c r="C83" s="0" t="n">
        <f aca="false">C14</f>
        <v>202.091008207158</v>
      </c>
      <c r="D83" s="0" t="n">
        <v>0.15</v>
      </c>
      <c r="E83" s="0" t="n">
        <f aca="false">D83*0*4</f>
        <v>0</v>
      </c>
      <c r="F83" s="0" t="n">
        <f aca="false">E83*0.5</f>
        <v>0</v>
      </c>
      <c r="G83" s="0" t="n">
        <f aca="false">E83-F83</f>
        <v>0</v>
      </c>
      <c r="H83" s="0" t="n">
        <f aca="false">2</f>
        <v>2</v>
      </c>
      <c r="I83" s="0" t="n">
        <f aca="false">G83*H83</f>
        <v>0</v>
      </c>
      <c r="J83" s="18" t="n">
        <f aca="false">J14</f>
        <v>0.05</v>
      </c>
      <c r="K83" s="16" t="n">
        <f aca="false">(C83+I83)/(C82+I82)-1</f>
        <v>0.05</v>
      </c>
    </row>
    <row r="84" customFormat="false" ht="12" hidden="false" customHeight="false" outlineLevel="0" collapsed="false">
      <c r="B84" s="0" t="n">
        <v>2032</v>
      </c>
      <c r="C84" s="0" t="n">
        <f aca="false">C15</f>
        <v>212.195558617516</v>
      </c>
      <c r="D84" s="0" t="n">
        <v>0.1</v>
      </c>
      <c r="E84" s="0" t="n">
        <f aca="false">D84*0*4</f>
        <v>0</v>
      </c>
      <c r="F84" s="0" t="n">
        <f aca="false">E84*0.5</f>
        <v>0</v>
      </c>
      <c r="G84" s="0" t="n">
        <f aca="false">E84-F84</f>
        <v>0</v>
      </c>
      <c r="H84" s="0" t="n">
        <f aca="false">2</f>
        <v>2</v>
      </c>
      <c r="I84" s="0" t="n">
        <f aca="false">G84*H84</f>
        <v>0</v>
      </c>
      <c r="J84" s="18" t="n">
        <f aca="false">J15</f>
        <v>0.05</v>
      </c>
      <c r="K84" s="16" t="n">
        <f aca="false">(C84+I84)/(C83+I83)-1</f>
        <v>0.05</v>
      </c>
    </row>
    <row r="85" customFormat="false" ht="12" hidden="false" customHeight="false" outlineLevel="0" collapsed="false">
      <c r="B85" s="0" t="n">
        <v>2033</v>
      </c>
      <c r="C85" s="0" t="n">
        <f aca="false">C16</f>
        <v>222.805336548391</v>
      </c>
      <c r="D85" s="0" t="n">
        <v>0.05</v>
      </c>
      <c r="E85" s="0" t="n">
        <f aca="false">D85*0*4</f>
        <v>0</v>
      </c>
      <c r="F85" s="0" t="n">
        <f aca="false">E85*0.5</f>
        <v>0</v>
      </c>
      <c r="G85" s="0" t="n">
        <f aca="false">E85-F85</f>
        <v>0</v>
      </c>
      <c r="H85" s="0" t="n">
        <f aca="false">2</f>
        <v>2</v>
      </c>
      <c r="I85" s="0" t="n">
        <f aca="false">G85*H85</f>
        <v>0</v>
      </c>
      <c r="J85" s="18" t="n">
        <f aca="false">J16</f>
        <v>0.05</v>
      </c>
      <c r="K85" s="16" t="n">
        <f aca="false">(C85+I85)/(C84+I84)-1</f>
        <v>0.05</v>
      </c>
    </row>
    <row r="86" customFormat="false" ht="12" hidden="false" customHeight="false" outlineLevel="0" collapsed="false">
      <c r="B86" s="0" t="n">
        <v>2034</v>
      </c>
      <c r="C86" s="0" t="n">
        <f aca="false">C17</f>
        <v>233.945603375811</v>
      </c>
      <c r="E86" s="0" t="n">
        <f aca="false">D86*0*4</f>
        <v>0</v>
      </c>
      <c r="F86" s="0" t="n">
        <f aca="false">E86*0.5</f>
        <v>0</v>
      </c>
      <c r="G86" s="0" t="n">
        <f aca="false">E86-F86</f>
        <v>0</v>
      </c>
      <c r="H86" s="0" t="n">
        <f aca="false">2</f>
        <v>2</v>
      </c>
      <c r="I86" s="0" t="n">
        <f aca="false">G86*H86</f>
        <v>0</v>
      </c>
      <c r="J86" s="18" t="n">
        <f aca="false">J17</f>
        <v>0.05</v>
      </c>
      <c r="K86" s="16" t="n">
        <f aca="false">(C86+I86)/(C85+I85)-1</f>
        <v>0.05</v>
      </c>
    </row>
    <row r="87" customFormat="false" ht="12" hidden="false" customHeight="false" outlineLevel="0" collapsed="false">
      <c r="B87" s="0" t="n">
        <v>2035</v>
      </c>
      <c r="C87" s="0" t="n">
        <f aca="false">C18</f>
        <v>245.642883544601</v>
      </c>
      <c r="E87" s="0" t="n">
        <f aca="false">D87*0*4</f>
        <v>0</v>
      </c>
      <c r="F87" s="0" t="n">
        <f aca="false">E87*0.5</f>
        <v>0</v>
      </c>
      <c r="G87" s="0" t="n">
        <f aca="false">E87-F87</f>
        <v>0</v>
      </c>
      <c r="H87" s="0" t="n">
        <f aca="false">2</f>
        <v>2</v>
      </c>
      <c r="I87" s="0" t="n">
        <f aca="false">G87*H87</f>
        <v>0</v>
      </c>
      <c r="J87" s="18" t="n">
        <f aca="false">J18</f>
        <v>0.05</v>
      </c>
      <c r="K87" s="16" t="n">
        <f aca="false">(C87+I87)/(C86+I86)-1</f>
        <v>0.05</v>
      </c>
    </row>
    <row r="88" customFormat="false" ht="12" hidden="false" customHeight="false" outlineLevel="0" collapsed="false">
      <c r="B88" s="0" t="n">
        <v>2036</v>
      </c>
      <c r="C88" s="0" t="n">
        <f aca="false">C19</f>
        <v>257.925027721832</v>
      </c>
      <c r="E88" s="0" t="n">
        <f aca="false">D88*0*4</f>
        <v>0</v>
      </c>
      <c r="F88" s="0" t="n">
        <f aca="false">E88*0.5</f>
        <v>0</v>
      </c>
      <c r="G88" s="0" t="n">
        <f aca="false">E88-F88</f>
        <v>0</v>
      </c>
      <c r="H88" s="0" t="n">
        <f aca="false">2</f>
        <v>2</v>
      </c>
      <c r="I88" s="0" t="n">
        <f aca="false">G88*H88</f>
        <v>0</v>
      </c>
      <c r="J88" s="18" t="n">
        <f aca="false">J19</f>
        <v>0.05</v>
      </c>
      <c r="K88" s="16" t="n">
        <f aca="false">(C88+I88)/(C87+I87)-1</f>
        <v>0.05</v>
      </c>
    </row>
    <row r="89" customFormat="false" ht="12" hidden="false" customHeight="false" outlineLevel="0" collapsed="false">
      <c r="B89" s="0" t="n">
        <v>2037</v>
      </c>
      <c r="C89" s="0" t="n">
        <f aca="false">C20</f>
        <v>270.821279107923</v>
      </c>
      <c r="E89" s="0" t="n">
        <f aca="false">D89*0*4</f>
        <v>0</v>
      </c>
      <c r="F89" s="0" t="n">
        <f aca="false">E89*0.5</f>
        <v>0</v>
      </c>
      <c r="G89" s="0" t="n">
        <f aca="false">E89-F89</f>
        <v>0</v>
      </c>
      <c r="H89" s="0" t="n">
        <f aca="false">2</f>
        <v>2</v>
      </c>
      <c r="I89" s="0" t="n">
        <f aca="false">G89*H89</f>
        <v>0</v>
      </c>
      <c r="J89" s="18" t="n">
        <f aca="false">J20</f>
        <v>0.05</v>
      </c>
      <c r="K89" s="16" t="n">
        <f aca="false">(C89+I89)/(C88+I88)-1</f>
        <v>0.05</v>
      </c>
    </row>
    <row r="90" customFormat="false" ht="12" hidden="false" customHeight="false" outlineLevel="0" collapsed="false">
      <c r="B90" s="0" t="n">
        <v>2038</v>
      </c>
      <c r="C90" s="0" t="n">
        <f aca="false">C21</f>
        <v>284.362343063319</v>
      </c>
      <c r="E90" s="0" t="n">
        <f aca="false">D90*0*4</f>
        <v>0</v>
      </c>
      <c r="F90" s="0" t="n">
        <f aca="false">E90*0.5</f>
        <v>0</v>
      </c>
      <c r="G90" s="0" t="n">
        <f aca="false">E90-F90</f>
        <v>0</v>
      </c>
      <c r="H90" s="0" t="n">
        <f aca="false">2</f>
        <v>2</v>
      </c>
      <c r="I90" s="0" t="n">
        <f aca="false">G90*H90</f>
        <v>0</v>
      </c>
      <c r="J90" s="18" t="n">
        <f aca="false">J21</f>
        <v>0.05</v>
      </c>
      <c r="K90" s="16" t="n">
        <f aca="false">(C90+I90)/(C89+I89)-1</f>
        <v>0.05</v>
      </c>
    </row>
    <row r="91" customFormat="false" ht="12" hidden="false" customHeight="false" outlineLevel="0" collapsed="false">
      <c r="B91" s="0" t="n">
        <v>2039</v>
      </c>
      <c r="C91" s="0" t="n">
        <f aca="false">C22</f>
        <v>298.580460216485</v>
      </c>
      <c r="E91" s="0" t="n">
        <f aca="false">D91*0*4</f>
        <v>0</v>
      </c>
      <c r="F91" s="0" t="n">
        <f aca="false">E91*0.5</f>
        <v>0</v>
      </c>
      <c r="G91" s="0" t="n">
        <f aca="false">E91-F91</f>
        <v>0</v>
      </c>
      <c r="H91" s="0" t="n">
        <f aca="false">2</f>
        <v>2</v>
      </c>
      <c r="I91" s="0" t="n">
        <f aca="false">G91*H91</f>
        <v>0</v>
      </c>
      <c r="J91" s="18" t="n">
        <f aca="false">J22</f>
        <v>0.05</v>
      </c>
      <c r="K91" s="16" t="n">
        <f aca="false">(C91+I91)/(C90+I90)-1</f>
        <v>0.05</v>
      </c>
    </row>
    <row r="92" customFormat="false" ht="12" hidden="false" customHeight="false" outlineLevel="0" collapsed="false">
      <c r="B92" s="0" t="n">
        <v>2040</v>
      </c>
      <c r="C92" s="0" t="n">
        <f aca="false">C23</f>
        <v>313.50948322731</v>
      </c>
      <c r="E92" s="0" t="n">
        <f aca="false">D92*0*4</f>
        <v>0</v>
      </c>
      <c r="F92" s="0" t="n">
        <f aca="false">E92*0.5</f>
        <v>0</v>
      </c>
      <c r="G92" s="0" t="n">
        <f aca="false">E92-F92</f>
        <v>0</v>
      </c>
      <c r="H92" s="0" t="n">
        <f aca="false">2</f>
        <v>2</v>
      </c>
      <c r="I92" s="0" t="n">
        <f aca="false">G92*H92</f>
        <v>0</v>
      </c>
      <c r="J92" s="18" t="n">
        <f aca="false">J23</f>
        <v>0.05</v>
      </c>
      <c r="K92" s="16" t="n">
        <f aca="false">(C92+I92)/(C91+I91)-1</f>
        <v>0.05</v>
      </c>
    </row>
    <row r="93" customFormat="false" ht="12" hidden="false" customHeight="false" outlineLevel="0" collapsed="false">
      <c r="B93" s="0" t="n">
        <v>2041</v>
      </c>
      <c r="C93" s="0" t="n">
        <f aca="false">C24</f>
        <v>329.184957388675</v>
      </c>
      <c r="E93" s="0" t="n">
        <f aca="false">D93*0*4</f>
        <v>0</v>
      </c>
      <c r="F93" s="0" t="n">
        <f aca="false">E93*0.5</f>
        <v>0</v>
      </c>
      <c r="G93" s="0" t="n">
        <f aca="false">E93-F93</f>
        <v>0</v>
      </c>
      <c r="H93" s="0" t="n">
        <f aca="false">2</f>
        <v>2</v>
      </c>
      <c r="I93" s="0" t="n">
        <f aca="false">G93*H93</f>
        <v>0</v>
      </c>
      <c r="J93" s="18" t="n">
        <f aca="false">J24</f>
        <v>0.05</v>
      </c>
      <c r="K93" s="16" t="n">
        <f aca="false">(C93+I93)/(C92+I92)-1</f>
        <v>0.05</v>
      </c>
    </row>
    <row r="94" customFormat="false" ht="12" hidden="false" customHeight="false" outlineLevel="0" collapsed="false">
      <c r="B94" s="0" t="n">
        <v>2042</v>
      </c>
      <c r="C94" s="0" t="n">
        <f aca="false">C25</f>
        <v>345.644205258109</v>
      </c>
      <c r="E94" s="0" t="n">
        <f aca="false">D94*0*4</f>
        <v>0</v>
      </c>
      <c r="F94" s="0" t="n">
        <f aca="false">E94*0.5</f>
        <v>0</v>
      </c>
      <c r="G94" s="0" t="n">
        <f aca="false">E94-F94</f>
        <v>0</v>
      </c>
      <c r="H94" s="0" t="n">
        <f aca="false">2</f>
        <v>2</v>
      </c>
      <c r="I94" s="0" t="n">
        <f aca="false">G94*H94</f>
        <v>0</v>
      </c>
      <c r="J94" s="18" t="n">
        <f aca="false">J25</f>
        <v>0.05</v>
      </c>
      <c r="K94" s="16" t="n">
        <f aca="false">(C94+I94)/(C93+I93)-1</f>
        <v>0.05</v>
      </c>
    </row>
  </sheetData>
  <mergeCells count="1">
    <mergeCell ref="G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20</v>
      </c>
      <c r="C1" s="0" t="s">
        <v>21</v>
      </c>
      <c r="D1" s="0" t="s">
        <v>22</v>
      </c>
    </row>
    <row r="2" customFormat="false" ht="15" hidden="false" customHeight="false" outlineLevel="0" collapsed="false">
      <c r="A2" s="0" t="n">
        <v>2020</v>
      </c>
      <c r="B2" s="16" t="n">
        <v>-0.063</v>
      </c>
      <c r="C2" s="16" t="n">
        <v>0.073</v>
      </c>
      <c r="D2" s="0" t="n">
        <v>100</v>
      </c>
    </row>
    <row r="3" customFormat="false" ht="15" hidden="false" customHeight="false" outlineLevel="0" collapsed="false">
      <c r="A3" s="0" t="n">
        <v>2021</v>
      </c>
      <c r="B3" s="16" t="n">
        <v>0.106</v>
      </c>
      <c r="C3" s="16" t="n">
        <v>0.108</v>
      </c>
      <c r="D3" s="15" t="n">
        <f aca="false">D2*(1+C3)</f>
        <v>110.8</v>
      </c>
    </row>
    <row r="4" customFormat="false" ht="15" hidden="false" customHeight="false" outlineLevel="0" collapsed="false">
      <c r="A4" s="0" t="n">
        <v>2022</v>
      </c>
      <c r="B4" s="16" t="n">
        <v>0.11</v>
      </c>
      <c r="C4" s="16" t="n">
        <v>0.086</v>
      </c>
      <c r="D4" s="15" t="n">
        <f aca="false">D3*(1+C4)</f>
        <v>120.3288</v>
      </c>
    </row>
    <row r="5" customFormat="false" ht="15" hidden="false" customHeight="false" outlineLevel="0" collapsed="false">
      <c r="A5" s="0" t="n">
        <v>2023</v>
      </c>
      <c r="B5" s="16" t="n">
        <v>0.078</v>
      </c>
      <c r="C5" s="16" t="n">
        <v>0.025</v>
      </c>
      <c r="D5" s="15" t="n">
        <f aca="false">D4*(1+C5)</f>
        <v>123.33702</v>
      </c>
    </row>
    <row r="6" customFormat="false" ht="15" hidden="false" customHeight="false" outlineLevel="0" collapsed="false">
      <c r="A6" s="0" t="n">
        <v>2024</v>
      </c>
      <c r="B6" s="16" t="n">
        <v>0.075</v>
      </c>
      <c r="C6" s="16" t="n">
        <v>0.03</v>
      </c>
      <c r="D6" s="15" t="n">
        <f aca="false">D5*(1+C6)</f>
        <v>127.0371306</v>
      </c>
    </row>
    <row r="7" customFormat="false" ht="15" hidden="false" customHeight="false" outlineLevel="0" collapsed="false">
      <c r="A7" s="0" t="n">
        <v>2025</v>
      </c>
      <c r="B7" s="16" t="n">
        <v>0.06</v>
      </c>
      <c r="C7" s="16" t="n">
        <v>0.03</v>
      </c>
      <c r="D7" s="15" t="n">
        <f aca="false">D6*(1+C7)</f>
        <v>130.848244518</v>
      </c>
    </row>
    <row r="8" customFormat="false" ht="15" hidden="false" customHeight="false" outlineLevel="0" collapsed="false">
      <c r="A8" s="0" t="n">
        <v>2026</v>
      </c>
      <c r="B8" s="16" t="n">
        <v>0.05</v>
      </c>
      <c r="C8" s="16" t="n">
        <v>0.03</v>
      </c>
      <c r="D8" s="15" t="n">
        <f aca="false">D7*(1+C8)</f>
        <v>134.77369185354</v>
      </c>
    </row>
    <row r="9" customFormat="false" ht="15" hidden="false" customHeight="false" outlineLevel="0" collapsed="false">
      <c r="A9" s="0" t="n">
        <v>2027</v>
      </c>
      <c r="B9" s="16" t="n">
        <v>0.05</v>
      </c>
      <c r="C9" s="16" t="n">
        <v>0.03</v>
      </c>
      <c r="D9" s="15" t="n">
        <f aca="false">D8*(1+C9)</f>
        <v>138.816902609146</v>
      </c>
    </row>
    <row r="10" customFormat="false" ht="15" hidden="false" customHeight="false" outlineLevel="0" collapsed="false">
      <c r="A10" s="0" t="n">
        <v>2028</v>
      </c>
      <c r="B10" s="16" t="n">
        <f aca="false">B9</f>
        <v>0.05</v>
      </c>
      <c r="C10" s="16" t="n">
        <f aca="false">AVERAGE(C2:C5)</f>
        <v>0.073</v>
      </c>
      <c r="D10" s="15" t="n">
        <f aca="false">D9*(1+C10)</f>
        <v>148.950536499614</v>
      </c>
    </row>
    <row r="11" customFormat="false" ht="15" hidden="false" customHeight="false" outlineLevel="0" collapsed="false">
      <c r="A11" s="0" t="n">
        <v>2029</v>
      </c>
      <c r="B11" s="16" t="n">
        <f aca="false">B9</f>
        <v>0.05</v>
      </c>
      <c r="C11" s="16" t="n">
        <f aca="false">AVERAGE(C2:C5)</f>
        <v>0.073</v>
      </c>
      <c r="D11" s="15" t="n">
        <f aca="false">D10*(1+C11)</f>
        <v>159.823925664086</v>
      </c>
    </row>
    <row r="12" customFormat="false" ht="15" hidden="false" customHeight="false" outlineLevel="0" collapsed="false">
      <c r="A12" s="0" t="n">
        <v>2030</v>
      </c>
      <c r="B12" s="16" t="n">
        <f aca="false">B9</f>
        <v>0.05</v>
      </c>
      <c r="C12" s="16" t="n">
        <f aca="false">AVERAGE(C2:C5)</f>
        <v>0.073</v>
      </c>
      <c r="D12" s="15" t="n">
        <f aca="false">D11*(1+C12)</f>
        <v>171.491072237564</v>
      </c>
    </row>
    <row r="13" customFormat="false" ht="15" hidden="false" customHeight="false" outlineLevel="0" collapsed="false">
      <c r="A13" s="0" t="n">
        <v>2031</v>
      </c>
      <c r="B13" s="16" t="n">
        <f aca="false">B9</f>
        <v>0.05</v>
      </c>
      <c r="C13" s="16" t="n">
        <f aca="false">AVERAGE(C2:C5)</f>
        <v>0.073</v>
      </c>
      <c r="D13" s="15" t="n">
        <f aca="false">D12*(1+C13)</f>
        <v>184.009920510906</v>
      </c>
    </row>
    <row r="14" customFormat="false" ht="15" hidden="false" customHeight="false" outlineLevel="0" collapsed="false">
      <c r="A14" s="0" t="n">
        <v>2032</v>
      </c>
      <c r="B14" s="16" t="n">
        <f aca="false">B9</f>
        <v>0.05</v>
      </c>
      <c r="C14" s="16" t="n">
        <f aca="false">AVERAGE(C2:C5)</f>
        <v>0.073</v>
      </c>
      <c r="D14" s="15" t="n">
        <f aca="false">D13*(1+C14)</f>
        <v>197.442644708202</v>
      </c>
    </row>
    <row r="15" customFormat="false" ht="15" hidden="false" customHeight="false" outlineLevel="0" collapsed="false">
      <c r="A15" s="0" t="n">
        <v>2033</v>
      </c>
      <c r="B15" s="16" t="n">
        <f aca="false">B9</f>
        <v>0.05</v>
      </c>
      <c r="C15" s="16" t="n">
        <f aca="false">AVERAGE(C2:C5)</f>
        <v>0.073</v>
      </c>
      <c r="D15" s="15" t="n">
        <f aca="false">D14*(1+C15)</f>
        <v>211.855957771901</v>
      </c>
    </row>
    <row r="16" customFormat="false" ht="15" hidden="false" customHeight="false" outlineLevel="0" collapsed="false">
      <c r="A16" s="0" t="n">
        <v>2034</v>
      </c>
      <c r="B16" s="16" t="n">
        <f aca="false">B9</f>
        <v>0.05</v>
      </c>
      <c r="C16" s="16" t="n">
        <f aca="false">AVERAGE(C2:C5)</f>
        <v>0.073</v>
      </c>
      <c r="D16" s="15" t="n">
        <f aca="false">D15*(1+C16)</f>
        <v>227.32144268925</v>
      </c>
    </row>
    <row r="17" customFormat="false" ht="15" hidden="false" customHeight="false" outlineLevel="0" collapsed="false">
      <c r="A17" s="0" t="n">
        <v>2035</v>
      </c>
      <c r="B17" s="16" t="n">
        <f aca="false">B9</f>
        <v>0.05</v>
      </c>
      <c r="C17" s="16" t="n">
        <f aca="false">AVERAGE(C2:C5)</f>
        <v>0.073</v>
      </c>
      <c r="D17" s="15" t="n">
        <f aca="false">D16*(1+C17)</f>
        <v>243.915908005565</v>
      </c>
    </row>
    <row r="18" customFormat="false" ht="15" hidden="false" customHeight="false" outlineLevel="0" collapsed="false">
      <c r="A18" s="0" t="n">
        <v>2036</v>
      </c>
      <c r="B18" s="16" t="n">
        <f aca="false">B9</f>
        <v>0.05</v>
      </c>
      <c r="C18" s="16" t="n">
        <f aca="false">AVERAGE(C2:C5)</f>
        <v>0.073</v>
      </c>
      <c r="D18" s="15" t="n">
        <f aca="false">D17*(1+C18)</f>
        <v>261.721769289971</v>
      </c>
    </row>
    <row r="19" customFormat="false" ht="15" hidden="false" customHeight="false" outlineLevel="0" collapsed="false">
      <c r="A19" s="0" t="n">
        <v>2037</v>
      </c>
      <c r="B19" s="16" t="n">
        <f aca="false">B9</f>
        <v>0.05</v>
      </c>
      <c r="C19" s="16" t="n">
        <f aca="false">AVERAGE(C2:C5)</f>
        <v>0.073</v>
      </c>
      <c r="D19" s="15" t="n">
        <f aca="false">D18*(1+C19)</f>
        <v>280.827458448139</v>
      </c>
    </row>
    <row r="20" customFormat="false" ht="15" hidden="false" customHeight="false" outlineLevel="0" collapsed="false">
      <c r="A20" s="0" t="n">
        <v>2038</v>
      </c>
      <c r="B20" s="16" t="n">
        <f aca="false">B9</f>
        <v>0.05</v>
      </c>
      <c r="C20" s="16" t="n">
        <f aca="false">AVERAGE(C2:C5)</f>
        <v>0.073</v>
      </c>
      <c r="D20" s="15" t="n">
        <f aca="false">D19*(1+C20)</f>
        <v>301.327862914853</v>
      </c>
    </row>
    <row r="21" customFormat="false" ht="15" hidden="false" customHeight="false" outlineLevel="0" collapsed="false">
      <c r="A21" s="0" t="n">
        <v>2039</v>
      </c>
      <c r="B21" s="16" t="n">
        <f aca="false">B9</f>
        <v>0.05</v>
      </c>
      <c r="C21" s="16" t="n">
        <f aca="false">AVERAGE(C2:C5)</f>
        <v>0.073</v>
      </c>
      <c r="D21" s="15" t="n">
        <f aca="false">D20*(1+C21)</f>
        <v>323.324796907637</v>
      </c>
    </row>
    <row r="22" customFormat="false" ht="15" hidden="false" customHeight="false" outlineLevel="0" collapsed="false">
      <c r="A22" s="0" t="n">
        <v>2040</v>
      </c>
      <c r="B22" s="16" t="n">
        <f aca="false">B9</f>
        <v>0.05</v>
      </c>
      <c r="C22" s="16" t="n">
        <f aca="false">AVERAGE(C2:C5)</f>
        <v>0.073</v>
      </c>
      <c r="D22" s="15" t="n">
        <f aca="false">D21*(1+C22)</f>
        <v>346.927507081895</v>
      </c>
    </row>
    <row r="23" customFormat="false" ht="15" hidden="false" customHeight="false" outlineLevel="0" collapsed="false">
      <c r="A23" s="0" t="n">
        <v>2041</v>
      </c>
      <c r="B23" s="16" t="n">
        <f aca="false">B9</f>
        <v>0.05</v>
      </c>
      <c r="C23" s="16" t="n">
        <f aca="false">AVERAGE(C2:C5)</f>
        <v>0.073</v>
      </c>
      <c r="D23" s="15" t="n">
        <f aca="false">D22*(1+C23)</f>
        <v>372.253215098873</v>
      </c>
    </row>
    <row r="24" customFormat="false" ht="15" hidden="false" customHeight="false" outlineLevel="0" collapsed="false">
      <c r="A24" s="0" t="n">
        <v>2042</v>
      </c>
      <c r="B24" s="16" t="n">
        <f aca="false">B9</f>
        <v>0.05</v>
      </c>
      <c r="C24" s="16" t="n">
        <f aca="false">AVERAGE(C2:C5)</f>
        <v>0.073</v>
      </c>
      <c r="D24" s="15" t="n">
        <f aca="false">D23*(1+C24)</f>
        <v>399.427699801091</v>
      </c>
    </row>
    <row r="25" customFormat="false" ht="15" hidden="false" customHeight="false" outlineLevel="0" collapsed="false">
      <c r="A25" s="0" t="n">
        <v>2043</v>
      </c>
      <c r="B25" s="16" t="n">
        <f aca="false">B9</f>
        <v>0.05</v>
      </c>
      <c r="C25" s="16" t="n">
        <f aca="false">AVERAGE(C2:C5)</f>
        <v>0.073</v>
      </c>
      <c r="D25" s="15" t="n">
        <f aca="false">D24*(1+C25)</f>
        <v>428.585921886571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C1" s="0" t="s">
        <v>23</v>
      </c>
    </row>
    <row r="3" customFormat="false" ht="15" hidden="false" customHeight="false" outlineLevel="0" collapsed="false">
      <c r="C3" s="0" t="s">
        <v>24</v>
      </c>
      <c r="D3" s="0" t="n">
        <v>64801.3</v>
      </c>
    </row>
    <row r="4" customFormat="false" ht="15" hidden="false" customHeight="false" outlineLevel="0" collapsed="false">
      <c r="C4" s="0" t="s">
        <v>4</v>
      </c>
      <c r="D4" s="0" t="n">
        <v>16368.6</v>
      </c>
    </row>
    <row r="5" customFormat="false" ht="15" hidden="false" customHeight="false" outlineLevel="0" collapsed="false">
      <c r="C5" s="0" t="s">
        <v>25</v>
      </c>
      <c r="D5" s="0" t="n">
        <v>4217.1</v>
      </c>
    </row>
    <row r="6" customFormat="false" ht="15" hidden="false" customHeight="false" outlineLevel="0" collapsed="false">
      <c r="C6" s="0" t="s">
        <v>26</v>
      </c>
      <c r="D6" s="0" t="n">
        <f aca="false">D3-D4-D5</f>
        <v>44215.6</v>
      </c>
    </row>
    <row r="46" customFormat="false" ht="15" hidden="false" customHeight="false" outlineLevel="0" collapsed="false">
      <c r="A46" s="0" t="s">
        <v>27</v>
      </c>
      <c r="C46" s="0" t="n">
        <f aca="false">D4/(D3-D5)</f>
        <v>0.270179353692877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2026-01-15T21:01:40Z</dcterms:created>
  <dc:creator>Wang, Shuyi</dc:creator>
  <dc:description/>
  <dc:language>en-US</dc:language>
  <cp:lastModifiedBy>Wang, Shuyi</cp:lastModifiedBy>
  <dcterms:modified xsi:type="dcterms:W3CDTF">2026-01-29T08:20:50Z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a7f43044-04cc-4a22-bdae-ed404f682e4f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2026-01-15T21:08:21Z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