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000"/>
  </numFmts>
  <fonts count="17">
    <font>
      <name val="Calibri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color rgb="00FF0000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/>
    </xf>
    <xf numFmtId="0" fontId="12" fillId="0" borderId="0" pivotButton="0" quotePrefix="0" xfId="0"/>
    <xf numFmtId="167" fontId="4" fillId="0" borderId="0" pivotButton="0" quotePrefix="0" xfId="0"/>
    <xf numFmtId="167" fontId="7" fillId="0" borderId="0" pivotButton="0" quotePrefix="0" xfId="0"/>
    <xf numFmtId="167" fontId="0" fillId="0" borderId="0" pivotButton="0" quotePrefix="0" xfId="0"/>
    <xf numFmtId="167" fontId="9" fillId="0" borderId="0" pivotButton="0" quotePrefix="0" xfId="0"/>
    <xf numFmtId="0" fontId="13" fillId="0" borderId="0" pivotButton="0" quotePrefix="0" xfId="0"/>
    <xf numFmtId="168" fontId="0" fillId="0" borderId="0" pivotButton="0" quotePrefix="0" xfId="0"/>
    <xf numFmtId="168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</cols>
  <sheetData>
    <row r="1">
      <c r="A1" s="1" t="inlineStr">
        <is>
          <t>Indicator</t>
        </is>
      </c>
      <c r="B1" s="1" t="inlineStr">
        <is>
          <t>Units</t>
        </is>
      </c>
      <c r="C1" s="1" t="inlineStr">
        <is>
          <t>Scale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2027</t>
        </is>
      </c>
      <c r="L1" s="1" t="inlineStr">
        <is>
          <t>2028</t>
        </is>
      </c>
      <c r="M1" s="1" t="inlineStr">
        <is>
          <t>2029</t>
        </is>
      </c>
      <c r="N1" s="1" t="inlineStr">
        <is>
          <t>2030</t>
        </is>
      </c>
      <c r="O1" s="1" t="inlineStr">
        <is>
          <t>2031</t>
        </is>
      </c>
      <c r="P1" s="1" t="inlineStr">
        <is>
          <t>2032</t>
        </is>
      </c>
      <c r="Q1" s="1" t="inlineStr">
        <is>
          <t>2033</t>
        </is>
      </c>
      <c r="R1" s="1" t="inlineStr">
        <is>
          <t>2034</t>
        </is>
      </c>
      <c r="S1" s="1" t="inlineStr">
        <is>
          <t>2035</t>
        </is>
      </c>
      <c r="T1" s="1" t="inlineStr">
        <is>
          <t>2036</t>
        </is>
      </c>
      <c r="U1" s="1" t="inlineStr">
        <is>
          <t>2037</t>
        </is>
      </c>
      <c r="V1" s="1" t="inlineStr">
        <is>
          <t>2038</t>
        </is>
      </c>
      <c r="W1" s="1" t="inlineStr">
        <is>
          <t>2039</t>
        </is>
      </c>
      <c r="X1" s="1" t="inlineStr">
        <is>
          <t>2040</t>
        </is>
      </c>
      <c r="Y1" s="1" t="inlineStr">
        <is>
          <t>2041</t>
        </is>
      </c>
      <c r="Z1" s="1" t="inlineStr">
        <is>
          <t>2042</t>
        </is>
      </c>
      <c r="AA1" s="1" t="inlineStr">
        <is>
          <t>2043</t>
        </is>
      </c>
    </row>
    <row r="2">
      <c r="A2" t="inlineStr">
        <is>
          <t>GDP, constant prices</t>
        </is>
      </c>
      <c r="B2" t="inlineStr">
        <is>
          <t>National currency</t>
        </is>
      </c>
      <c r="C2" t="inlineStr">
        <is>
          <t>Billions</t>
        </is>
      </c>
      <c r="D2" t="n">
        <v>46.598</v>
      </c>
      <c r="E2" t="n">
        <v>51.558</v>
      </c>
      <c r="F2" t="n">
        <v>57.208</v>
      </c>
      <c r="G2" t="n">
        <v>61.484</v>
      </c>
      <c r="H2" t="n">
        <v>66.128</v>
      </c>
      <c r="I2" t="n">
        <v>70.08</v>
      </c>
      <c r="J2" t="n">
        <v>73.584</v>
      </c>
      <c r="K2" t="n">
        <v>77.26300000000001</v>
      </c>
      <c r="L2" t="n">
        <v>81.126</v>
      </c>
      <c r="M2" t="n">
        <v>85.18300000000001</v>
      </c>
      <c r="N2">
        <f>M2*(1+N3/100)</f>
        <v/>
      </c>
      <c r="O2">
        <f>N2*(1+O3/100)</f>
        <v/>
      </c>
      <c r="P2">
        <f>O2*(1+P3/100)</f>
        <v/>
      </c>
      <c r="Q2">
        <f>P2*(1+Q3/100)</f>
        <v/>
      </c>
      <c r="R2">
        <f>Q2*(1+R3/100)</f>
        <v/>
      </c>
      <c r="S2">
        <f>R2*(1+S3/100)</f>
        <v/>
      </c>
      <c r="T2">
        <f>S2*(1+T3/100)</f>
        <v/>
      </c>
      <c r="U2">
        <f>T2*(1+U3/100)</f>
        <v/>
      </c>
      <c r="V2">
        <f>U2*(1+V3/100)</f>
        <v/>
      </c>
      <c r="W2">
        <f>V2*(1+W3/100)</f>
        <v/>
      </c>
      <c r="X2">
        <f>W2*(1+X3/100)</f>
        <v/>
      </c>
      <c r="Y2">
        <f>X2*(1+Y3/100)</f>
        <v/>
      </c>
      <c r="Z2">
        <f>Y2*(1+Z3/100)</f>
        <v/>
      </c>
      <c r="AA2">
        <f>Z2*(1+AA3/100)</f>
        <v/>
      </c>
    </row>
    <row r="3">
      <c r="A3" t="inlineStr">
        <is>
          <t>GDP, constant prices (% change)</t>
        </is>
      </c>
      <c r="B3" t="inlineStr">
        <is>
          <t>Percent change</t>
        </is>
      </c>
      <c r="D3" t="n">
        <v>-6.291</v>
      </c>
      <c r="E3" t="n">
        <v>10.644</v>
      </c>
      <c r="F3" t="n">
        <v>10.96</v>
      </c>
      <c r="G3" t="n">
        <v>7.474</v>
      </c>
      <c r="H3" t="n">
        <v>7.554</v>
      </c>
      <c r="I3" t="n">
        <v>5.976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</row>
    <row r="4">
      <c r="A4" t="inlineStr">
        <is>
          <t>GDP, current prices</t>
        </is>
      </c>
      <c r="B4" t="inlineStr">
        <is>
          <t>National currency</t>
        </is>
      </c>
      <c r="C4" t="inlineStr">
        <is>
          <t>Billions</t>
        </is>
      </c>
      <c r="D4" t="n">
        <v>49.789</v>
      </c>
      <c r="E4" t="n">
        <v>60.724</v>
      </c>
      <c r="F4" t="n">
        <v>72.86</v>
      </c>
      <c r="G4" t="n">
        <v>80.246</v>
      </c>
      <c r="H4" t="n">
        <v>89.8</v>
      </c>
      <c r="I4" t="n">
        <v>98.569</v>
      </c>
      <c r="J4" t="n">
        <v>107.12</v>
      </c>
      <c r="K4" t="n">
        <v>116.412</v>
      </c>
      <c r="L4" t="n">
        <v>126.511</v>
      </c>
      <c r="M4" t="n">
        <v>137.486</v>
      </c>
      <c r="N4">
        <f>N2*N6/100</f>
        <v/>
      </c>
      <c r="O4">
        <f>O2*O6/100</f>
        <v/>
      </c>
      <c r="P4">
        <f>P2*P6/100</f>
        <v/>
      </c>
      <c r="Q4">
        <f>Q2*Q6/100</f>
        <v/>
      </c>
      <c r="R4">
        <f>R2*R6/100</f>
        <v/>
      </c>
      <c r="S4">
        <f>S2*S6/100</f>
        <v/>
      </c>
      <c r="T4">
        <f>T2*T6/100</f>
        <v/>
      </c>
      <c r="U4">
        <f>U2*U6/100</f>
        <v/>
      </c>
      <c r="V4">
        <f>V2*V6/100</f>
        <v/>
      </c>
      <c r="W4">
        <f>W2*W6/100</f>
        <v/>
      </c>
      <c r="X4">
        <f>X2*X6/100</f>
        <v/>
      </c>
      <c r="Y4">
        <f>Y2*Y6/100</f>
        <v/>
      </c>
      <c r="Z4">
        <f>Z2*Z6/100</f>
        <v/>
      </c>
      <c r="AA4">
        <f>AA2*AA6/100</f>
        <v/>
      </c>
    </row>
    <row r="5">
      <c r="A5" t="inlineStr">
        <is>
          <t>GDP, current prices</t>
        </is>
      </c>
      <c r="B5" t="inlineStr">
        <is>
          <t>U.S. dollars</t>
        </is>
      </c>
      <c r="C5" t="inlineStr">
        <is>
          <t>Billions</t>
        </is>
      </c>
      <c r="D5" t="n">
        <v>16.013</v>
      </c>
      <c r="E5" t="n">
        <v>18.849</v>
      </c>
      <c r="F5" t="n">
        <v>24.985</v>
      </c>
      <c r="G5" t="n">
        <v>30.536</v>
      </c>
      <c r="H5" t="n">
        <v>33.191</v>
      </c>
      <c r="I5" t="n">
        <v>35.908</v>
      </c>
      <c r="J5" t="n">
        <v>38.602</v>
      </c>
      <c r="K5" t="n">
        <v>41.502</v>
      </c>
      <c r="L5" t="n">
        <v>44.235</v>
      </c>
      <c r="M5" t="n">
        <v>47.409</v>
      </c>
    </row>
    <row r="6">
      <c r="A6" t="inlineStr">
        <is>
          <t>GDP deflator</t>
        </is>
      </c>
      <c r="B6" t="inlineStr">
        <is>
          <t>Index</t>
        </is>
      </c>
      <c r="D6" t="n">
        <v>106.847</v>
      </c>
      <c r="E6" t="n">
        <v>117.779</v>
      </c>
      <c r="F6" t="n">
        <v>127.359</v>
      </c>
      <c r="G6" t="n">
        <v>130.515</v>
      </c>
      <c r="H6" t="n">
        <v>135.797</v>
      </c>
      <c r="I6" t="n">
        <v>140.652</v>
      </c>
      <c r="J6" t="n">
        <v>145.575</v>
      </c>
      <c r="K6" t="n">
        <v>150.67</v>
      </c>
      <c r="L6" t="n">
        <v>155.943</v>
      </c>
      <c r="M6" t="n">
        <v>161.401</v>
      </c>
      <c r="N6">
        <f>M6*(1+$D$10/100)</f>
        <v/>
      </c>
      <c r="O6">
        <f>N6*(1+$D$10/100)</f>
        <v/>
      </c>
      <c r="P6">
        <f>O6*(1+$D$10/100)</f>
        <v/>
      </c>
      <c r="Q6">
        <f>P6*(1+$D$10/100)</f>
        <v/>
      </c>
      <c r="R6">
        <f>Q6*(1+$D$10/100)</f>
        <v/>
      </c>
      <c r="S6">
        <f>R6*(1+$D$10/100)</f>
        <v/>
      </c>
      <c r="T6">
        <f>S6*(1+$D$10/100)</f>
        <v/>
      </c>
      <c r="U6">
        <f>T6*(1+$D$10/100)</f>
        <v/>
      </c>
      <c r="V6">
        <f>U6*(1+$D$10/100)</f>
        <v/>
      </c>
      <c r="W6">
        <f>V6*(1+$D$10/100)</f>
        <v/>
      </c>
      <c r="X6">
        <f>W6*(1+$D$10/100)</f>
        <v/>
      </c>
      <c r="Y6">
        <f>X6*(1+$D$10/100)</f>
        <v/>
      </c>
      <c r="Z6">
        <f>Y6*(1+$D$10/100)</f>
        <v/>
      </c>
      <c r="AA6">
        <f>Z6*(1+$D$10/100)</f>
        <v/>
      </c>
    </row>
    <row r="7">
      <c r="A7" t="inlineStr">
        <is>
          <t>Implied PPP conversion rate</t>
        </is>
      </c>
      <c r="B7" t="inlineStr">
        <is>
          <t>National currency per intl dollar</t>
        </is>
      </c>
      <c r="D7" t="n">
        <v>0.797</v>
      </c>
      <c r="E7" t="n">
        <v>0.866</v>
      </c>
      <c r="F7" t="n">
        <v>0.874</v>
      </c>
      <c r="G7" t="n">
        <v>0.864</v>
      </c>
      <c r="H7" t="n">
        <v>0.878</v>
      </c>
      <c r="I7" t="n">
        <v>0.893</v>
      </c>
      <c r="J7" t="n">
        <v>0.908</v>
      </c>
      <c r="K7" t="n">
        <v>0.923</v>
      </c>
      <c r="L7" t="n">
        <v>0.9379999999999999</v>
      </c>
      <c r="M7" t="n">
        <v>0.953</v>
      </c>
    </row>
    <row r="8">
      <c r="A8" t="inlineStr">
        <is>
          <t>Population</t>
        </is>
      </c>
      <c r="B8" t="inlineStr">
        <is>
          <t>Persons</t>
        </is>
      </c>
      <c r="C8" t="inlineStr">
        <is>
          <t>Millions</t>
        </is>
      </c>
      <c r="D8" t="n">
        <v>3.717</v>
      </c>
      <c r="E8" t="n">
        <v>3.729</v>
      </c>
      <c r="F8" t="n">
        <v>3.689</v>
      </c>
      <c r="G8" t="n">
        <v>3.736</v>
      </c>
      <c r="H8" t="n">
        <v>3.737</v>
      </c>
      <c r="I8" t="n">
        <v>3.736</v>
      </c>
      <c r="J8" t="n">
        <v>3.732</v>
      </c>
      <c r="K8" t="n">
        <v>3.729</v>
      </c>
      <c r="L8" t="n">
        <v>3.726</v>
      </c>
      <c r="M8" t="n">
        <v>3.723</v>
      </c>
    </row>
    <row r="9">
      <c r="A9" t="inlineStr">
        <is>
          <t>GDP deflator (% change)</t>
        </is>
      </c>
      <c r="B9" t="inlineStr">
        <is>
          <t>Percent change</t>
        </is>
      </c>
      <c r="E9">
        <f>(E6/D6-1)*100</f>
        <v/>
      </c>
      <c r="F9">
        <f>(F6/E6-1)*100</f>
        <v/>
      </c>
      <c r="G9">
        <f>(G6/F6-1)*100</f>
        <v/>
      </c>
      <c r="H9">
        <f>(H6/G6-1)*100</f>
        <v/>
      </c>
      <c r="I9">
        <f>(I6/H6-1)*100</f>
        <v/>
      </c>
      <c r="J9">
        <f>(J6/I6-1)*100</f>
        <v/>
      </c>
      <c r="K9">
        <f>(K6/J6-1)*100</f>
        <v/>
      </c>
      <c r="L9">
        <f>(L6/K6-1)*100</f>
        <v/>
      </c>
      <c r="M9">
        <f>(M6/L6-1)*100</f>
        <v/>
      </c>
      <c r="N9">
        <f>(N6/M6-1)*100</f>
        <v/>
      </c>
      <c r="O9">
        <f>(O6/N6-1)*100</f>
        <v/>
      </c>
      <c r="P9">
        <f>(P6/O6-1)*100</f>
        <v/>
      </c>
      <c r="Q9">
        <f>(Q6/P6-1)*100</f>
        <v/>
      </c>
      <c r="R9">
        <f>(R6/Q6-1)*100</f>
        <v/>
      </c>
      <c r="S9">
        <f>(S6/R6-1)*100</f>
        <v/>
      </c>
      <c r="T9">
        <f>(T6/S6-1)*100</f>
        <v/>
      </c>
      <c r="U9">
        <f>(U6/T6-1)*100</f>
        <v/>
      </c>
      <c r="V9">
        <f>(V6/U6-1)*100</f>
        <v/>
      </c>
      <c r="W9">
        <f>(W6/V6-1)*100</f>
        <v/>
      </c>
      <c r="X9">
        <f>(X6/W6-1)*100</f>
        <v/>
      </c>
      <c r="Y9">
        <f>(Y6/X6-1)*100</f>
        <v/>
      </c>
      <c r="Z9">
        <f>(Z6/Y6-1)*100</f>
        <v/>
      </c>
      <c r="AA9">
        <f>(AA6/Z6-1)*100</f>
        <v/>
      </c>
    </row>
    <row r="10">
      <c r="A10" t="inlineStr">
        <is>
          <t>Avg deflator growth (2026-2029)</t>
        </is>
      </c>
      <c r="B10" t="inlineStr">
        <is>
          <t>Percent</t>
        </is>
      </c>
      <c r="D10">
        <f>AVERAGE(J9:M9)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2" t="inlineStr">
        <is>
          <t xml:space="preserve">Supply, 2024 (Current prices, mil. GEL) </t>
        </is>
      </c>
    </row>
    <row r="2">
      <c r="A2" s="3" t="inlineStr">
        <is>
          <t xml:space="preserve">        NACE rev.2
CPA 2008</t>
        </is>
      </c>
      <c r="C2" s="4" t="inlineStr">
        <is>
          <t>1-3</t>
        </is>
      </c>
      <c r="D2" s="4" t="inlineStr">
        <is>
          <t>5-9</t>
        </is>
      </c>
      <c r="E2" s="4" t="inlineStr">
        <is>
          <t>10-12</t>
        </is>
      </c>
      <c r="F2" s="4" t="inlineStr">
        <is>
          <t>13-15</t>
        </is>
      </c>
      <c r="G2" s="4" t="inlineStr">
        <is>
          <t>16-18</t>
        </is>
      </c>
      <c r="H2" s="4" t="n">
        <v>19</v>
      </c>
      <c r="I2" s="4" t="n">
        <v>20</v>
      </c>
      <c r="J2" s="4" t="n">
        <v>21</v>
      </c>
      <c r="K2" s="4" t="inlineStr">
        <is>
          <t>22-23</t>
        </is>
      </c>
      <c r="L2" s="4" t="inlineStr">
        <is>
          <t>24-25</t>
        </is>
      </c>
      <c r="M2" s="4" t="n">
        <v>26</v>
      </c>
      <c r="N2" s="4" t="n">
        <v>27</v>
      </c>
      <c r="O2" s="4" t="n">
        <v>28</v>
      </c>
      <c r="P2" s="4" t="inlineStr">
        <is>
          <t>29-30</t>
        </is>
      </c>
      <c r="Q2" s="4" t="inlineStr">
        <is>
          <t>31-33</t>
        </is>
      </c>
      <c r="R2" s="4" t="inlineStr">
        <is>
          <t>35</t>
        </is>
      </c>
      <c r="S2" s="4" t="inlineStr">
        <is>
          <t>36-39</t>
        </is>
      </c>
      <c r="T2" s="4" t="inlineStr">
        <is>
          <t>41-43</t>
        </is>
      </c>
      <c r="U2" s="4" t="inlineStr">
        <is>
          <t>45-47</t>
        </is>
      </c>
      <c r="V2" s="4" t="inlineStr">
        <is>
          <t>49-53</t>
        </is>
      </c>
      <c r="W2" s="4" t="inlineStr">
        <is>
          <t>55-56</t>
        </is>
      </c>
      <c r="X2" s="4" t="inlineStr">
        <is>
          <t>58-60</t>
        </is>
      </c>
      <c r="Y2" s="4" t="inlineStr">
        <is>
          <t>61</t>
        </is>
      </c>
      <c r="Z2" s="4" t="inlineStr">
        <is>
          <t>62-63</t>
        </is>
      </c>
      <c r="AA2" s="4" t="inlineStr">
        <is>
          <t>64-66</t>
        </is>
      </c>
      <c r="AB2" s="4" t="inlineStr">
        <is>
          <t>68</t>
        </is>
      </c>
      <c r="AC2" s="4" t="inlineStr">
        <is>
          <t>69-71</t>
        </is>
      </c>
      <c r="AD2" s="4" t="n">
        <v>72</v>
      </c>
      <c r="AE2" s="4" t="inlineStr">
        <is>
          <t>73-75</t>
        </is>
      </c>
      <c r="AF2" s="4" t="inlineStr">
        <is>
          <t>77-82</t>
        </is>
      </c>
      <c r="AG2" s="4" t="n">
        <v>84</v>
      </c>
      <c r="AH2" s="4" t="n">
        <v>85</v>
      </c>
      <c r="AI2" s="4" t="n">
        <v>86</v>
      </c>
      <c r="AJ2" s="4" t="inlineStr">
        <is>
          <t>87-88</t>
        </is>
      </c>
      <c r="AK2" s="4" t="inlineStr">
        <is>
          <t>90-93</t>
        </is>
      </c>
      <c r="AL2" s="4" t="inlineStr">
        <is>
          <t>94-96</t>
        </is>
      </c>
      <c r="AM2" s="4" t="inlineStr">
        <is>
          <t>97-98</t>
        </is>
      </c>
      <c r="AN2" s="4" t="inlineStr">
        <is>
          <t>99</t>
        </is>
      </c>
      <c r="AO2" s="5" t="inlineStr">
        <is>
          <t>TotBP</t>
        </is>
      </c>
      <c r="AP2" s="5" t="inlineStr">
        <is>
          <t>TTM</t>
        </is>
      </c>
      <c r="AQ2" s="5" t="inlineStr">
        <is>
          <t>D21</t>
        </is>
      </c>
      <c r="AR2" s="5" t="inlineStr">
        <is>
          <t>P7</t>
        </is>
      </c>
      <c r="AS2" s="5" t="inlineStr">
        <is>
          <t>TotPP</t>
        </is>
      </c>
    </row>
    <row r="3">
      <c r="A3" s="6" t="n"/>
      <c r="B3" s="7" t="inlineStr">
        <is>
          <t xml:space="preserve">                            
                                             Industry, NACE rev.2
Product, CPA 2008</t>
        </is>
      </c>
      <c r="C3" s="8" t="inlineStr">
        <is>
          <t xml:space="preserve">Agriculture, forestry and fishing </t>
        </is>
      </c>
      <c r="D3" s="8" t="inlineStr">
        <is>
          <t xml:space="preserve">Mining and quarrying </t>
        </is>
      </c>
      <c r="E3" s="8" t="inlineStr">
        <is>
          <t xml:space="preserve">Manufacture of food products, beverages and tobacco products </t>
        </is>
      </c>
      <c r="F3" s="8" t="inlineStr">
        <is>
          <t xml:space="preserve">Manufacture of textiles, wearing apparel and leather products </t>
        </is>
      </c>
      <c r="G3" s="8" t="inlineStr">
        <is>
          <t>Manufacture of wood and paper products, and printing</t>
        </is>
      </c>
      <c r="H3" s="8" t="inlineStr">
        <is>
          <t xml:space="preserve">Manufacture of coke and refined petroleum products </t>
        </is>
      </c>
      <c r="I3" s="8" t="inlineStr">
        <is>
          <t xml:space="preserve">Manufacture of chemicals and chemical products </t>
        </is>
      </c>
      <c r="J3" s="8" t="inlineStr">
        <is>
          <t xml:space="preserve">Manufacture of basic pharmaceutical products and pharmaceutical preparations </t>
        </is>
      </c>
      <c r="K3" s="8" t="inlineStr">
        <is>
          <t xml:space="preserve">Manufacture of rubber and plastics products, and other non-metallic mineral products </t>
        </is>
      </c>
      <c r="L3" s="8" t="inlineStr">
        <is>
          <t xml:space="preserve">Manufacture of basic metals and fabricated metal products, except machinery and equipment </t>
        </is>
      </c>
      <c r="M3" s="8" t="inlineStr">
        <is>
          <t xml:space="preserve">Manufacture of computer, electronic and optical products </t>
        </is>
      </c>
      <c r="N3" s="8" t="inlineStr">
        <is>
          <t xml:space="preserve">Manufacture of electrical equipment </t>
        </is>
      </c>
      <c r="O3" s="8" t="inlineStr">
        <is>
          <t xml:space="preserve">Manufacture of machinery and equipment n.e.c. </t>
        </is>
      </c>
      <c r="P3" s="8" t="inlineStr">
        <is>
          <t xml:space="preserve">Manufacture of transport equipment </t>
        </is>
      </c>
      <c r="Q3" s="8" t="inlineStr">
        <is>
          <t xml:space="preserve">Manufacture of furniture; other manufacturing; repair and installation of machinery and equipment </t>
        </is>
      </c>
      <c r="R3" s="8" t="inlineStr">
        <is>
          <t xml:space="preserve">Electricity, gas, steam and air conditioning supply </t>
        </is>
      </c>
      <c r="S3" s="8" t="inlineStr">
        <is>
          <t xml:space="preserve">Water supply; sewerage, waste management and remediation activities </t>
        </is>
      </c>
      <c r="T3" s="8" t="inlineStr">
        <is>
          <t>Construction</t>
        </is>
      </c>
      <c r="U3" s="8" t="inlineStr">
        <is>
          <t xml:space="preserve">Wholesale and retail trade, repair of motor vehicles and motorcycles </t>
        </is>
      </c>
      <c r="V3" s="8" t="inlineStr">
        <is>
          <t xml:space="preserve">Transportation and storage </t>
        </is>
      </c>
      <c r="W3" s="8" t="inlineStr">
        <is>
          <t>Accommodation and food service activities</t>
        </is>
      </c>
      <c r="X3" s="8" t="inlineStr">
        <is>
          <t xml:space="preserve">Publishing, audiovisual and broadcasting activities </t>
        </is>
      </c>
      <c r="Y3" s="8" t="inlineStr">
        <is>
          <t>Telecommunications</t>
        </is>
      </c>
      <c r="Z3" s="8" t="inlineStr">
        <is>
          <t xml:space="preserve">Computer programming, consultancy and related activities; information service activities </t>
        </is>
      </c>
      <c r="AA3" s="8" t="inlineStr">
        <is>
          <t xml:space="preserve">Financial and insurance activities </t>
        </is>
      </c>
      <c r="AB3" s="8" t="inlineStr">
        <is>
          <t xml:space="preserve">Real estate activities </t>
        </is>
      </c>
      <c r="AC3" s="8" t="inlineStr">
        <is>
          <t>Legal and accounting activities; activities of head offices; management consultancy activities; architecture and engineering activities; technical testing and analysis</t>
        </is>
      </c>
      <c r="AD3" s="8" t="inlineStr">
        <is>
          <t xml:space="preserve">Scientific research and development </t>
        </is>
      </c>
      <c r="AE3" s="8" t="inlineStr">
        <is>
          <t xml:space="preserve">Advertising and market research; other professional, scientific and technical activities; veterinary activities </t>
        </is>
      </c>
      <c r="AF3" s="8" t="inlineStr">
        <is>
          <t xml:space="preserve">Administrative and support service activities </t>
        </is>
      </c>
      <c r="AG3" s="8" t="inlineStr">
        <is>
          <t xml:space="preserve">Public administration and defence; compulsory social security </t>
        </is>
      </c>
      <c r="AH3" s="8" t="inlineStr">
        <is>
          <t>Education</t>
        </is>
      </c>
      <c r="AI3" s="8" t="inlineStr">
        <is>
          <t xml:space="preserve">Human health activities </t>
        </is>
      </c>
      <c r="AJ3" s="8" t="inlineStr">
        <is>
          <t xml:space="preserve">Social work activities </t>
        </is>
      </c>
      <c r="AK3" s="8" t="inlineStr">
        <is>
          <t xml:space="preserve">Arts, entertainment and recreation </t>
        </is>
      </c>
      <c r="AL3" s="8" t="inlineStr">
        <is>
          <t xml:space="preserve">Other service activities </t>
        </is>
      </c>
      <c r="AM3" s="8" t="inlineStr">
        <is>
          <t xml:space="preserve">Activities of households as employers of domestic personnel and undifferentiated goods and services production of households for own use </t>
        </is>
      </c>
      <c r="AN3" s="8" t="inlineStr">
        <is>
          <t>Activities of extra-territorial organisations and bodies</t>
        </is>
      </c>
      <c r="AO3" s="9" t="inlineStr">
        <is>
          <t>Output, total</t>
        </is>
      </c>
      <c r="AP3" s="9" t="inlineStr">
        <is>
          <t>Trade and transport margins</t>
        </is>
      </c>
      <c r="AQ3" s="9" t="inlineStr">
        <is>
          <t>Taxes on products</t>
        </is>
      </c>
      <c r="AR3" s="9" t="inlineStr">
        <is>
          <t>Import, total</t>
        </is>
      </c>
      <c r="AS3" s="9" t="inlineStr">
        <is>
          <t>Resources, total</t>
        </is>
      </c>
    </row>
    <row r="4">
      <c r="A4" s="8" t="inlineStr">
        <is>
          <t>1-3</t>
        </is>
      </c>
      <c r="B4" s="10" t="inlineStr">
        <is>
          <t xml:space="preserve">Products of agriculture, forestry and fishing </t>
        </is>
      </c>
      <c r="C4" s="11" t="n">
        <v>8082.228198157528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0.007102930447114145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2" t="n">
        <v>8082.235301087975</v>
      </c>
      <c r="AP4" s="12" t="n">
        <v>2638.07495226093</v>
      </c>
      <c r="AQ4" s="12" t="n">
        <v>-78.9171089010984</v>
      </c>
      <c r="AR4" s="12" t="n">
        <v>908.3535899886971</v>
      </c>
      <c r="AS4" s="12" t="n">
        <v>11549.7467344365</v>
      </c>
      <c r="AT4" s="13" t="n"/>
      <c r="AU4" s="13" t="n"/>
    </row>
    <row r="5">
      <c r="A5" s="8" t="inlineStr">
        <is>
          <t>5-9</t>
        </is>
      </c>
      <c r="B5" s="10" t="inlineStr">
        <is>
          <t xml:space="preserve">Mining and quarrying </t>
        </is>
      </c>
      <c r="C5" s="11" t="n">
        <v>0</v>
      </c>
      <c r="D5" s="11" t="n">
        <v>2204.834849444662</v>
      </c>
      <c r="E5" s="11" t="n">
        <v>0.01586666823949915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31.5985535694618</v>
      </c>
      <c r="L5" s="11" t="n">
        <v>0.008073722889646648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11.76933933677088</v>
      </c>
      <c r="U5" s="11" t="n">
        <v>6.28138780556308</v>
      </c>
      <c r="V5" s="11" t="n">
        <v>0.009861215970148825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1.391501984666738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2" t="n">
        <v>2255.909433748224</v>
      </c>
      <c r="AP5" s="12" t="n">
        <v>717.6877546541873</v>
      </c>
      <c r="AQ5" s="12" t="n">
        <v>16.96232551376263</v>
      </c>
      <c r="AR5" s="12" t="n">
        <v>212.0629483701967</v>
      </c>
      <c r="AS5" s="12" t="n">
        <v>3202.622462286371</v>
      </c>
      <c r="AT5" s="13" t="n"/>
      <c r="AU5" s="14" t="n"/>
    </row>
    <row r="6">
      <c r="A6" s="8" t="inlineStr">
        <is>
          <t>10-12</t>
        </is>
      </c>
      <c r="B6" s="10" t="inlineStr">
        <is>
          <t xml:space="preserve">Food products, beverages and tobacco products </t>
        </is>
      </c>
      <c r="C6" s="11" t="n">
        <v>0</v>
      </c>
      <c r="D6" s="11" t="n">
        <v>0</v>
      </c>
      <c r="E6" s="11" t="n">
        <v>13806.60168626744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0.01105857650854726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10.85347741939435</v>
      </c>
      <c r="V6" s="11" t="n">
        <v>0.05641724506447947</v>
      </c>
      <c r="W6" s="11" t="n">
        <v>11.8638623755143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7.432320160403838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2" t="n">
        <v>13836.81882204433</v>
      </c>
      <c r="AP6" s="12" t="n">
        <v>6498.37183648715</v>
      </c>
      <c r="AQ6" s="12" t="n">
        <v>3942.809570050592</v>
      </c>
      <c r="AR6" s="12" t="n">
        <v>3804.310065260382</v>
      </c>
      <c r="AS6" s="12" t="n">
        <v>28082.31029384245</v>
      </c>
      <c r="AT6" s="13" t="n"/>
      <c r="AU6" s="13" t="n"/>
    </row>
    <row r="7">
      <c r="A7" s="8" t="inlineStr">
        <is>
          <t>13-15</t>
        </is>
      </c>
      <c r="B7" s="10" t="inlineStr">
        <is>
          <t xml:space="preserve">Textiles, wearing apparel and leather products </t>
        </is>
      </c>
      <c r="C7" s="11" t="n">
        <v>0</v>
      </c>
      <c r="D7" s="11" t="n">
        <v>0</v>
      </c>
      <c r="E7" s="11" t="n">
        <v>0</v>
      </c>
      <c r="F7" s="11" t="n">
        <v>668.3059364865447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0.342461661762355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0.07174067310257595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2" t="n">
        <v>668.7201388214097</v>
      </c>
      <c r="AP7" s="12" t="n">
        <v>1376.281484724254</v>
      </c>
      <c r="AQ7" s="12" t="n">
        <v>371.253990055975</v>
      </c>
      <c r="AR7" s="12" t="n">
        <v>2216.401580042962</v>
      </c>
      <c r="AS7" s="12" t="n">
        <v>4632.657193644601</v>
      </c>
      <c r="AT7" s="13" t="n"/>
      <c r="AU7" s="13" t="n"/>
    </row>
    <row r="8">
      <c r="A8" s="8" t="inlineStr">
        <is>
          <t>16-18</t>
        </is>
      </c>
      <c r="B8" s="10" t="inlineStr">
        <is>
          <t xml:space="preserve">Wood and paper products, and printing services 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720.9099499319484</v>
      </c>
      <c r="H8" s="11" t="n">
        <v>0</v>
      </c>
      <c r="I8" s="11" t="n">
        <v>0</v>
      </c>
      <c r="J8" s="11" t="n">
        <v>0</v>
      </c>
      <c r="K8" s="11" t="n">
        <v>2.979723429645619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1.284832170936812</v>
      </c>
      <c r="R8" s="11" t="n">
        <v>0</v>
      </c>
      <c r="S8" s="11" t="n">
        <v>0</v>
      </c>
      <c r="T8" s="11" t="n">
        <v>0</v>
      </c>
      <c r="U8" s="11" t="n">
        <v>3.900165190095197</v>
      </c>
      <c r="V8" s="11" t="n">
        <v>0</v>
      </c>
      <c r="W8" s="11" t="n">
        <v>0</v>
      </c>
      <c r="X8" s="11" t="n">
        <v>0.007822954442979424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2" t="n">
        <v>729.0824936770691</v>
      </c>
      <c r="AP8" s="12" t="n">
        <v>629.6227882672874</v>
      </c>
      <c r="AQ8" s="12" t="n">
        <v>117.9120447850046</v>
      </c>
      <c r="AR8" s="12" t="n">
        <v>1118.744675960943</v>
      </c>
      <c r="AS8" s="12" t="n">
        <v>2595.362002690304</v>
      </c>
      <c r="AT8" s="13" t="n"/>
      <c r="AU8" s="13" t="n"/>
    </row>
    <row r="9">
      <c r="A9" s="8" t="n">
        <v>19</v>
      </c>
      <c r="B9" s="15" t="inlineStr">
        <is>
          <t>Coke and refined petroleum products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256.4941382680373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2" t="n">
        <v>256.4941382680373</v>
      </c>
      <c r="AP9" s="12" t="n">
        <v>1442.85382172327</v>
      </c>
      <c r="AQ9" s="12" t="n">
        <v>1158.389282916394</v>
      </c>
      <c r="AR9" s="12" t="n">
        <v>2370.844562868239</v>
      </c>
      <c r="AS9" s="12" t="n">
        <v>5228.581805775941</v>
      </c>
      <c r="AT9" s="13" t="n"/>
      <c r="AU9" s="13" t="n"/>
    </row>
    <row r="10">
      <c r="A10" s="8" t="n">
        <v>20</v>
      </c>
      <c r="B10" s="15" t="inlineStr">
        <is>
          <t xml:space="preserve">Chemicals and chemical products </t>
        </is>
      </c>
      <c r="C10" s="11" t="n">
        <v>0</v>
      </c>
      <c r="D10" s="11" t="n">
        <v>0</v>
      </c>
      <c r="E10" s="11" t="n">
        <v>0.4079558127976033</v>
      </c>
      <c r="F10" s="11" t="n">
        <v>0</v>
      </c>
      <c r="G10" s="11" t="n">
        <v>3.940900110212801</v>
      </c>
      <c r="H10" s="11" t="n">
        <v>0</v>
      </c>
      <c r="I10" s="11" t="n">
        <v>740.0748800761587</v>
      </c>
      <c r="J10" s="11" t="n">
        <v>1.04180150140899</v>
      </c>
      <c r="K10" s="11" t="n">
        <v>1.328491222161418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1.852037149722344</v>
      </c>
      <c r="R10" s="11" t="n">
        <v>0</v>
      </c>
      <c r="S10" s="11" t="n">
        <v>0</v>
      </c>
      <c r="T10" s="11" t="n">
        <v>0</v>
      </c>
      <c r="U10" s="11" t="n">
        <v>2.785028693679114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0.005406939330712532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2" t="n">
        <v>751.4365015054717</v>
      </c>
      <c r="AP10" s="12" t="n">
        <v>1244.632994733545</v>
      </c>
      <c r="AQ10" s="12" t="n">
        <v>324.5782692706935</v>
      </c>
      <c r="AR10" s="12" t="n">
        <v>2402.242847094113</v>
      </c>
      <c r="AS10" s="12" t="n">
        <v>4722.890612603824</v>
      </c>
      <c r="AT10" s="13" t="n"/>
      <c r="AU10" s="13" t="n"/>
    </row>
    <row r="11">
      <c r="A11" s="8" t="n">
        <v>21</v>
      </c>
      <c r="B11" s="15" t="inlineStr">
        <is>
          <t xml:space="preserve">Basic pharmaceutical products and pharmaceutical preparations 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437.7654524551122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0.05516518293229383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2" t="n">
        <v>437.8206176380444</v>
      </c>
      <c r="AP11" s="12" t="n">
        <v>757.1382030919822</v>
      </c>
      <c r="AQ11" s="12" t="n">
        <v>277.297927795272</v>
      </c>
      <c r="AR11" s="12" t="n">
        <v>1579.008207115072</v>
      </c>
      <c r="AS11" s="12" t="n">
        <v>3051.26495564037</v>
      </c>
      <c r="AT11" s="13" t="n"/>
      <c r="AU11" s="13" t="n"/>
    </row>
    <row r="12">
      <c r="A12" s="8" t="inlineStr">
        <is>
          <t>22-23</t>
        </is>
      </c>
      <c r="B12" s="15" t="inlineStr">
        <is>
          <t xml:space="preserve">Rubber and plastics products, and other non-metallic mineral products </t>
        </is>
      </c>
      <c r="C12" s="11" t="n">
        <v>0</v>
      </c>
      <c r="D12" s="11" t="n">
        <v>24.15346300750711</v>
      </c>
      <c r="E12" s="11" t="n">
        <v>2.458289313242882</v>
      </c>
      <c r="F12" s="11" t="n">
        <v>0.8586573474177699</v>
      </c>
      <c r="G12" s="11" t="n">
        <v>0</v>
      </c>
      <c r="H12" s="11" t="n">
        <v>0</v>
      </c>
      <c r="I12" s="11" t="n">
        <v>5.819782496938266</v>
      </c>
      <c r="J12" s="11" t="n">
        <v>0</v>
      </c>
      <c r="K12" s="11" t="n">
        <v>3553.760619592585</v>
      </c>
      <c r="L12" s="11" t="n">
        <v>9.256531456777413</v>
      </c>
      <c r="M12" s="11" t="n">
        <v>0</v>
      </c>
      <c r="N12" s="11" t="n">
        <v>1.359549862084096</v>
      </c>
      <c r="O12" s="11" t="n">
        <v>0.4113766230500644</v>
      </c>
      <c r="P12" s="11" t="n">
        <v>0</v>
      </c>
      <c r="Q12" s="11" t="n">
        <v>1.386341037616971</v>
      </c>
      <c r="R12" s="11" t="n">
        <v>0</v>
      </c>
      <c r="S12" s="11" t="n">
        <v>0</v>
      </c>
      <c r="T12" s="11" t="n">
        <v>18.97817324209235</v>
      </c>
      <c r="U12" s="11" t="n">
        <v>5.500757902045316</v>
      </c>
      <c r="V12" s="11" t="n">
        <v>6.064181820794411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2" t="n">
        <v>3630.007723702152</v>
      </c>
      <c r="AP12" s="12" t="n">
        <v>1520.793516658848</v>
      </c>
      <c r="AQ12" s="12" t="n">
        <v>355.0506408960455</v>
      </c>
      <c r="AR12" s="12" t="n">
        <v>2469.13461091629</v>
      </c>
      <c r="AS12" s="12" t="n">
        <v>7974.986492173335</v>
      </c>
      <c r="AT12" s="13" t="n"/>
      <c r="AU12" s="13" t="n"/>
    </row>
    <row r="13">
      <c r="A13" s="8" t="inlineStr">
        <is>
          <t>24-25</t>
        </is>
      </c>
      <c r="B13" s="15" t="inlineStr">
        <is>
          <t xml:space="preserve">Basic metals and fabricated metal products, except machinery and equipment </t>
        </is>
      </c>
      <c r="C13" s="11" t="n">
        <v>0</v>
      </c>
      <c r="D13" s="11" t="n">
        <v>0</v>
      </c>
      <c r="E13" s="11" t="n">
        <v>2.358279310375297</v>
      </c>
      <c r="F13" s="11" t="n">
        <v>10.09399048520081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27.77715729479565</v>
      </c>
      <c r="L13" s="11" t="n">
        <v>2072.041847513132</v>
      </c>
      <c r="M13" s="11" t="n">
        <v>0</v>
      </c>
      <c r="N13" s="11" t="n">
        <v>0.7136908864098808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3.56409818947911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2" t="n">
        <v>2116.549063679393</v>
      </c>
      <c r="AP13" s="12" t="n">
        <v>1086.750348603707</v>
      </c>
      <c r="AQ13" s="12" t="n">
        <v>219.5628604634387</v>
      </c>
      <c r="AR13" s="12" t="n">
        <v>3550.844767625723</v>
      </c>
      <c r="AS13" s="12" t="n">
        <v>6973.707040372261</v>
      </c>
      <c r="AT13" s="13" t="n"/>
      <c r="AU13" s="13" t="n"/>
    </row>
    <row r="14">
      <c r="A14" s="8" t="n">
        <v>26</v>
      </c>
      <c r="B14" s="15" t="inlineStr">
        <is>
          <t xml:space="preserve">Computer, electronic and optical products 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3.238195833941651</v>
      </c>
      <c r="N14" s="11" t="n">
        <v>0</v>
      </c>
      <c r="O14" s="11" t="n">
        <v>0</v>
      </c>
      <c r="P14" s="11" t="n">
        <v>0</v>
      </c>
      <c r="Q14" s="11" t="n">
        <v>0.05982215526385092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0</v>
      </c>
      <c r="AK14" s="11" t="n">
        <v>0</v>
      </c>
      <c r="AL14" s="11" t="n">
        <v>0</v>
      </c>
      <c r="AM14" s="11" t="n">
        <v>0</v>
      </c>
      <c r="AN14" s="11" t="n">
        <v>0</v>
      </c>
      <c r="AO14" s="12" t="n">
        <v>3.298017989205501</v>
      </c>
      <c r="AP14" s="12" t="n">
        <v>869.340048582534</v>
      </c>
      <c r="AQ14" s="12" t="n">
        <v>303.3825414004058</v>
      </c>
      <c r="AR14" s="12" t="n">
        <v>2508.200224462939</v>
      </c>
      <c r="AS14" s="12" t="n">
        <v>3684.220832435084</v>
      </c>
      <c r="AT14" s="13" t="n"/>
      <c r="AU14" s="13" t="n"/>
    </row>
    <row r="15">
      <c r="A15" s="8" t="n">
        <v>27</v>
      </c>
      <c r="B15" s="15" t="inlineStr">
        <is>
          <t xml:space="preserve">Electrical equipment 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248.1051044765455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2" t="n">
        <v>248.1051044765455</v>
      </c>
      <c r="AP15" s="12" t="n">
        <v>938.8277993568823</v>
      </c>
      <c r="AQ15" s="12" t="n">
        <v>266.1190282653046</v>
      </c>
      <c r="AR15" s="12" t="n">
        <v>1682.877815335708</v>
      </c>
      <c r="AS15" s="12" t="n">
        <v>3135.929747434441</v>
      </c>
      <c r="AT15" s="13" t="n"/>
      <c r="AU15" s="13" t="n"/>
    </row>
    <row r="16">
      <c r="A16" s="8" t="n">
        <v>28</v>
      </c>
      <c r="B16" s="15" t="inlineStr">
        <is>
          <t xml:space="preserve">Machinery and equipment n.e.c. 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59.45748783675487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0</v>
      </c>
      <c r="AL16" s="11" t="n">
        <v>0</v>
      </c>
      <c r="AM16" s="11" t="n">
        <v>0</v>
      </c>
      <c r="AN16" s="11" t="n">
        <v>0</v>
      </c>
      <c r="AO16" s="12" t="n">
        <v>59.45748783675487</v>
      </c>
      <c r="AP16" s="12" t="n">
        <v>837.2694338789661</v>
      </c>
      <c r="AQ16" s="12" t="n">
        <v>151.096739948184</v>
      </c>
      <c r="AR16" s="12" t="n">
        <v>2705.082041184129</v>
      </c>
      <c r="AS16" s="12" t="n">
        <v>3752.905702848034</v>
      </c>
      <c r="AT16" s="13" t="n"/>
      <c r="AU16" s="13" t="n"/>
    </row>
    <row r="17">
      <c r="A17" s="8" t="inlineStr">
        <is>
          <t>29-30</t>
        </is>
      </c>
      <c r="B17" s="15" t="inlineStr">
        <is>
          <t xml:space="preserve">Transport equipment 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79.74922327674599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2" t="n">
        <v>79.74922327674599</v>
      </c>
      <c r="AP17" s="12" t="n">
        <v>2407.081008505372</v>
      </c>
      <c r="AQ17" s="12" t="n">
        <v>568.4687338854035</v>
      </c>
      <c r="AR17" s="12" t="n">
        <v>11519.16810928433</v>
      </c>
      <c r="AS17" s="12" t="n">
        <v>14574.46707495185</v>
      </c>
      <c r="AT17" s="13" t="n"/>
      <c r="AU17" s="13" t="n"/>
    </row>
    <row r="18">
      <c r="A18" s="8" t="inlineStr">
        <is>
          <t>31-33</t>
        </is>
      </c>
      <c r="B18" s="10" t="inlineStr">
        <is>
          <t xml:space="preserve">Furniture; other manufactured goods; repair and installation services of machinery and equipment </t>
        </is>
      </c>
      <c r="C18" s="11" t="n">
        <v>0</v>
      </c>
      <c r="D18" s="11" t="n">
        <v>0</v>
      </c>
      <c r="E18" s="11" t="n">
        <v>0.1052192938000999</v>
      </c>
      <c r="F18" s="11" t="n">
        <v>0.1661695328871947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0.3297192442208587</v>
      </c>
      <c r="L18" s="11" t="n">
        <v>4.736312242587109</v>
      </c>
      <c r="M18" s="11" t="n">
        <v>0</v>
      </c>
      <c r="N18" s="11" t="n">
        <v>0.6607524111171208</v>
      </c>
      <c r="O18" s="11" t="n">
        <v>0.2618419915581844</v>
      </c>
      <c r="P18" s="11" t="n">
        <v>0</v>
      </c>
      <c r="Q18" s="11" t="n">
        <v>678.5340864477425</v>
      </c>
      <c r="R18" s="11" t="n">
        <v>0.04963022505856316</v>
      </c>
      <c r="S18" s="11" t="n">
        <v>0</v>
      </c>
      <c r="T18" s="11" t="n">
        <v>0</v>
      </c>
      <c r="U18" s="11" t="n">
        <v>6.972415704960991</v>
      </c>
      <c r="V18" s="11" t="n">
        <v>0.7266567533619651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6.247571168798518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2" t="n">
        <v>698.7903750160932</v>
      </c>
      <c r="AP18" s="12" t="n">
        <v>625.5259457843522</v>
      </c>
      <c r="AQ18" s="12" t="n">
        <v>251.4195147047562</v>
      </c>
      <c r="AR18" s="12" t="n">
        <v>1553.135096996957</v>
      </c>
      <c r="AS18" s="12" t="n">
        <v>3128.870932502158</v>
      </c>
      <c r="AT18" s="13" t="n"/>
      <c r="AU18" s="13" t="n"/>
    </row>
    <row r="19">
      <c r="A19" s="8" t="inlineStr">
        <is>
          <t>35</t>
        </is>
      </c>
      <c r="B19" s="15" t="inlineStr">
        <is>
          <t xml:space="preserve">Electricity, gas, steam and air conditioning </t>
        </is>
      </c>
      <c r="C19" s="11" t="n">
        <v>0</v>
      </c>
      <c r="D19" s="11" t="n">
        <v>0</v>
      </c>
      <c r="E19" s="11" t="n">
        <v>1.046344975577724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1.282631108430078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2844.475849589051</v>
      </c>
      <c r="S19" s="11" t="n">
        <v>160.4104696967279</v>
      </c>
      <c r="T19" s="11" t="n">
        <v>0.7808273932246715</v>
      </c>
      <c r="U19" s="11" t="n">
        <v>109.3182680885928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1.354039525906951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2" t="n">
        <v>3118.668430377511</v>
      </c>
      <c r="AP19" s="12" t="n">
        <v>317.8049179957742</v>
      </c>
      <c r="AQ19" s="12" t="n">
        <v>385.2665795659985</v>
      </c>
      <c r="AR19" s="12" t="n">
        <v>1138.341198084702</v>
      </c>
      <c r="AS19" s="12" t="n">
        <v>4960.081126023986</v>
      </c>
      <c r="AT19" s="13" t="n"/>
      <c r="AU19" s="13" t="n"/>
    </row>
    <row r="20">
      <c r="A20" s="8" t="inlineStr">
        <is>
          <t>36-39</t>
        </is>
      </c>
      <c r="B20" s="15" t="inlineStr">
        <is>
          <t xml:space="preserve">Water supply; sewerage, waste management and remediation services </t>
        </is>
      </c>
      <c r="C20" s="11" t="n">
        <v>0</v>
      </c>
      <c r="D20" s="11" t="n">
        <v>0.09008696093841553</v>
      </c>
      <c r="E20" s="11" t="n">
        <v>0.759193354390177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928.227789366093</v>
      </c>
      <c r="T20" s="11" t="n">
        <v>0</v>
      </c>
      <c r="U20" s="11" t="n">
        <v>0.6791548993179288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2" t="n">
        <v>929.7562245807395</v>
      </c>
      <c r="AP20" s="12" t="n">
        <v>0</v>
      </c>
      <c r="AQ20" s="12" t="n">
        <v>13.14610467099634</v>
      </c>
      <c r="AR20" s="12" t="n">
        <v>59.79917133872991</v>
      </c>
      <c r="AS20" s="12" t="n">
        <v>1002.701500590466</v>
      </c>
      <c r="AT20" s="13" t="n"/>
      <c r="AU20" s="13" t="n"/>
    </row>
    <row r="21">
      <c r="A21" s="8" t="inlineStr">
        <is>
          <t>41-43</t>
        </is>
      </c>
      <c r="B21" s="10" t="inlineStr">
        <is>
          <t xml:space="preserve">Constructions and construction works </t>
        </is>
      </c>
      <c r="C21" s="11" t="n">
        <v>0</v>
      </c>
      <c r="D21" s="11" t="n">
        <v>1.746013075081609</v>
      </c>
      <c r="E21" s="11" t="n">
        <v>0</v>
      </c>
      <c r="F21" s="11" t="n">
        <v>0</v>
      </c>
      <c r="G21" s="11" t="n">
        <v>0</v>
      </c>
      <c r="H21" s="11" t="n">
        <v>1.669949280910173</v>
      </c>
      <c r="I21" s="11" t="n">
        <v>0.03642134812335534</v>
      </c>
      <c r="J21" s="11" t="n">
        <v>0</v>
      </c>
      <c r="K21" s="11" t="n">
        <v>132.299092780822</v>
      </c>
      <c r="L21" s="11" t="n">
        <v>5.849002413352975</v>
      </c>
      <c r="M21" s="11" t="n">
        <v>0</v>
      </c>
      <c r="N21" s="11" t="n">
        <v>0.2857453462266662</v>
      </c>
      <c r="O21" s="11" t="n">
        <v>0</v>
      </c>
      <c r="P21" s="11" t="n">
        <v>0</v>
      </c>
      <c r="Q21" s="11" t="n">
        <v>16.52644605057242</v>
      </c>
      <c r="R21" s="11" t="n">
        <v>81.27402040766341</v>
      </c>
      <c r="S21" s="11" t="n">
        <v>43.84481663245041</v>
      </c>
      <c r="T21" s="11" t="n">
        <v>18803.34052485623</v>
      </c>
      <c r="U21" s="11" t="n">
        <v>28.69941010750422</v>
      </c>
      <c r="V21" s="11" t="n">
        <v>2.440522773894718</v>
      </c>
      <c r="W21" s="11" t="n">
        <v>13.75948860354656</v>
      </c>
      <c r="X21" s="11" t="n">
        <v>0</v>
      </c>
      <c r="Y21" s="11" t="n">
        <v>8.000993111114658</v>
      </c>
      <c r="Z21" s="11" t="n">
        <v>0</v>
      </c>
      <c r="AA21" s="11" t="n">
        <v>0</v>
      </c>
      <c r="AB21" s="11" t="n">
        <v>3.937902063482869</v>
      </c>
      <c r="AC21" s="11" t="n">
        <v>6.342068220491825</v>
      </c>
      <c r="AD21" s="11" t="n">
        <v>0</v>
      </c>
      <c r="AE21" s="11" t="n">
        <v>0</v>
      </c>
      <c r="AF21" s="11" t="n">
        <v>0.9351169917073602</v>
      </c>
      <c r="AG21" s="11" t="n">
        <v>0</v>
      </c>
      <c r="AH21" s="11" t="n">
        <v>0</v>
      </c>
      <c r="AI21" s="11" t="n">
        <v>4.499493399937222</v>
      </c>
      <c r="AJ21" s="11" t="n">
        <v>0</v>
      </c>
      <c r="AK21" s="11" t="n">
        <v>0</v>
      </c>
      <c r="AL21" s="11" t="n">
        <v>1.124138076810251</v>
      </c>
      <c r="AM21" s="11" t="n">
        <v>0</v>
      </c>
      <c r="AN21" s="11" t="n">
        <v>0</v>
      </c>
      <c r="AO21" s="12" t="n">
        <v>19156.61116553992</v>
      </c>
      <c r="AP21" s="12" t="n">
        <v>0</v>
      </c>
      <c r="AQ21" s="12" t="n">
        <v>2066.49969536025</v>
      </c>
      <c r="AR21" s="12" t="n">
        <v>56.49508455973325</v>
      </c>
      <c r="AS21" s="12" t="n">
        <v>21279.6059454599</v>
      </c>
      <c r="AT21" s="13" t="n"/>
      <c r="AU21" s="13" t="n"/>
    </row>
    <row r="22">
      <c r="A22" s="8" t="inlineStr">
        <is>
          <t>45-47</t>
        </is>
      </c>
      <c r="B22" s="10" t="inlineStr">
        <is>
          <t xml:space="preserve">Wholesale and retail trade services; repair services of motor vehicles and motorcycles </t>
        </is>
      </c>
      <c r="C22" s="11" t="n">
        <v>0</v>
      </c>
      <c r="D22" s="11" t="n">
        <v>63.66347046800468</v>
      </c>
      <c r="E22" s="11" t="n">
        <v>522.371639660974</v>
      </c>
      <c r="F22" s="11" t="n">
        <v>5.591467922505848</v>
      </c>
      <c r="G22" s="11" t="n">
        <v>26.64790461690643</v>
      </c>
      <c r="H22" s="11" t="n">
        <v>7.777249735566858</v>
      </c>
      <c r="I22" s="11" t="n">
        <v>46.21507979674809</v>
      </c>
      <c r="J22" s="11" t="n">
        <v>2.152654774481096</v>
      </c>
      <c r="K22" s="11" t="n">
        <v>95.48015859274341</v>
      </c>
      <c r="L22" s="11" t="n">
        <v>873.2974558397538</v>
      </c>
      <c r="M22" s="11" t="n">
        <v>0</v>
      </c>
      <c r="N22" s="11" t="n">
        <v>0.7567108146347716</v>
      </c>
      <c r="O22" s="11" t="n">
        <v>5.435298853354682</v>
      </c>
      <c r="P22" s="11" t="n">
        <v>0.04545623873583241</v>
      </c>
      <c r="Q22" s="11" t="n">
        <v>19.86122960850172</v>
      </c>
      <c r="R22" s="11" t="n">
        <v>0</v>
      </c>
      <c r="S22" s="11" t="n">
        <v>0</v>
      </c>
      <c r="T22" s="11" t="n">
        <v>44.89743433684582</v>
      </c>
      <c r="U22" s="11" t="n">
        <v>19077.28921032985</v>
      </c>
      <c r="V22" s="11" t="n">
        <v>107.1546647040525</v>
      </c>
      <c r="W22" s="11" t="n">
        <v>0.562017994507966</v>
      </c>
      <c r="X22" s="11" t="n">
        <v>0</v>
      </c>
      <c r="Y22" s="11" t="n">
        <v>0.1010833783973768</v>
      </c>
      <c r="Z22" s="11" t="n">
        <v>0.04417615843431065</v>
      </c>
      <c r="AA22" s="11" t="n">
        <v>0</v>
      </c>
      <c r="AB22" s="11" t="n">
        <v>12.48702495620945</v>
      </c>
      <c r="AC22" s="11" t="n">
        <v>0</v>
      </c>
      <c r="AD22" s="11" t="n">
        <v>0</v>
      </c>
      <c r="AE22" s="11" t="n">
        <v>267.4722954702968</v>
      </c>
      <c r="AF22" s="11" t="n">
        <v>30.09823693744359</v>
      </c>
      <c r="AG22" s="11" t="n">
        <v>0</v>
      </c>
      <c r="AH22" s="11" t="n">
        <v>1.462622894825716</v>
      </c>
      <c r="AI22" s="11" t="n">
        <v>4.283895666686573</v>
      </c>
      <c r="AJ22" s="11" t="n">
        <v>0</v>
      </c>
      <c r="AK22" s="11" t="n">
        <v>2.594875878218637</v>
      </c>
      <c r="AL22" s="11" t="n">
        <v>31.79453191177235</v>
      </c>
      <c r="AM22" s="11" t="n">
        <v>0</v>
      </c>
      <c r="AN22" s="11" t="n">
        <v>0</v>
      </c>
      <c r="AO22" s="12" t="n">
        <v>21249.53784754045</v>
      </c>
      <c r="AP22" s="12" t="n">
        <v>-20734.25871663247</v>
      </c>
      <c r="AQ22" s="12" t="n">
        <v>8.737310702318872</v>
      </c>
      <c r="AR22" s="12" t="n">
        <v>0</v>
      </c>
      <c r="AS22" s="12" t="n">
        <v>524.0164416103024</v>
      </c>
      <c r="AT22" s="13" t="n"/>
      <c r="AU22" s="13" t="n"/>
    </row>
    <row r="23">
      <c r="A23" s="8" t="inlineStr">
        <is>
          <t>49-53</t>
        </is>
      </c>
      <c r="B23" s="15" t="inlineStr">
        <is>
          <t>Transportation and storage services</t>
        </is>
      </c>
      <c r="C23" s="11" t="n">
        <v>0</v>
      </c>
      <c r="D23" s="11" t="n">
        <v>4.355219226197265</v>
      </c>
      <c r="E23" s="11" t="n">
        <v>3.79201955481783</v>
      </c>
      <c r="F23" s="11" t="n">
        <v>0</v>
      </c>
      <c r="G23" s="11" t="n">
        <v>1.627640793670041</v>
      </c>
      <c r="H23" s="11" t="n">
        <v>0</v>
      </c>
      <c r="I23" s="11" t="n">
        <v>0.1815761583005294</v>
      </c>
      <c r="J23" s="11" t="n">
        <v>0</v>
      </c>
      <c r="K23" s="11" t="n">
        <v>12.07868788583381</v>
      </c>
      <c r="L23" s="11" t="n">
        <v>0.09887641184684932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1.988410339136925</v>
      </c>
      <c r="U23" s="11" t="n">
        <v>20.24022827473772</v>
      </c>
      <c r="V23" s="11" t="n">
        <v>9562.996869456954</v>
      </c>
      <c r="W23" s="11" t="n">
        <v>0</v>
      </c>
      <c r="X23" s="11" t="n">
        <v>0</v>
      </c>
      <c r="Y23" s="11" t="n">
        <v>0</v>
      </c>
      <c r="Z23" s="11" t="n">
        <v>36.52318173314988</v>
      </c>
      <c r="AA23" s="11" t="n">
        <v>0</v>
      </c>
      <c r="AB23" s="11" t="n">
        <v>12.10233588373</v>
      </c>
      <c r="AC23" s="11" t="n">
        <v>0</v>
      </c>
      <c r="AD23" s="11" t="n">
        <v>0</v>
      </c>
      <c r="AE23" s="11" t="n">
        <v>0</v>
      </c>
      <c r="AF23" s="11" t="n">
        <v>0.6538499702809644</v>
      </c>
      <c r="AG23" s="11" t="n">
        <v>0</v>
      </c>
      <c r="AH23" s="11" t="n">
        <v>0.4124903113023539</v>
      </c>
      <c r="AI23" s="11" t="n">
        <v>1.072107399054927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2" t="n">
        <v>9658.123493399013</v>
      </c>
      <c r="AP23" s="12" t="n">
        <v>-3173.79813867657</v>
      </c>
      <c r="AQ23" s="12" t="n">
        <v>266.5734206005911</v>
      </c>
      <c r="AR23" s="12" t="n">
        <v>6221.679985258301</v>
      </c>
      <c r="AS23" s="12" t="n">
        <v>12972.57876058134</v>
      </c>
      <c r="AT23" s="13" t="n"/>
      <c r="AU23" s="13" t="n"/>
    </row>
    <row r="24">
      <c r="A24" s="8" t="inlineStr">
        <is>
          <t>55-56</t>
        </is>
      </c>
      <c r="B24" s="10" t="inlineStr">
        <is>
          <t xml:space="preserve">Accommodation and food services </t>
        </is>
      </c>
      <c r="C24" s="11" t="n">
        <v>0</v>
      </c>
      <c r="D24" s="11" t="n">
        <v>0</v>
      </c>
      <c r="E24" s="11" t="n">
        <v>25.94328732868422</v>
      </c>
      <c r="F24" s="11" t="n">
        <v>0</v>
      </c>
      <c r="G24" s="11" t="n">
        <v>1.130944018766098</v>
      </c>
      <c r="H24" s="11" t="n">
        <v>0</v>
      </c>
      <c r="I24" s="11" t="n">
        <v>0</v>
      </c>
      <c r="J24" s="11" t="n">
        <v>0</v>
      </c>
      <c r="K24" s="11" t="n">
        <v>0.01732704944390964</v>
      </c>
      <c r="L24" s="11" t="n">
        <v>0.3378237251707968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35.60361298517209</v>
      </c>
      <c r="U24" s="11" t="n">
        <v>3.821573829522841</v>
      </c>
      <c r="V24" s="11" t="n">
        <v>0</v>
      </c>
      <c r="W24" s="11" t="n">
        <v>6567.998850552123</v>
      </c>
      <c r="X24" s="11" t="n">
        <v>6.573332053721217</v>
      </c>
      <c r="Y24" s="11" t="n">
        <v>0</v>
      </c>
      <c r="Z24" s="11" t="n">
        <v>0</v>
      </c>
      <c r="AA24" s="11" t="n">
        <v>0</v>
      </c>
      <c r="AB24" s="11" t="n">
        <v>9.950130541903402</v>
      </c>
      <c r="AC24" s="11" t="n">
        <v>0.3614841281987742</v>
      </c>
      <c r="AD24" s="11" t="n">
        <v>0</v>
      </c>
      <c r="AE24" s="11" t="n">
        <v>0</v>
      </c>
      <c r="AF24" s="11" t="n">
        <v>5.840530730376144</v>
      </c>
      <c r="AG24" s="11" t="n">
        <v>0</v>
      </c>
      <c r="AH24" s="11" t="n">
        <v>3.384075447773238</v>
      </c>
      <c r="AI24" s="11" t="n">
        <v>0.3493318621465691</v>
      </c>
      <c r="AJ24" s="11" t="n">
        <v>0.4633140585126726</v>
      </c>
      <c r="AK24" s="11" t="n">
        <v>1.424268681522842</v>
      </c>
      <c r="AL24" s="11" t="n">
        <v>1.099729092741804</v>
      </c>
      <c r="AM24" s="11" t="n">
        <v>0</v>
      </c>
      <c r="AN24" s="11" t="n">
        <v>0</v>
      </c>
      <c r="AO24" s="12" t="n">
        <v>6664.299616085781</v>
      </c>
      <c r="AP24" s="12" t="n">
        <v>0</v>
      </c>
      <c r="AQ24" s="12" t="n">
        <v>182.3198945650358</v>
      </c>
      <c r="AR24" s="12" t="n">
        <v>592.7193771796726</v>
      </c>
      <c r="AS24" s="12" t="n">
        <v>7439.338887830489</v>
      </c>
      <c r="AT24" s="13" t="n"/>
      <c r="AU24" s="13" t="n"/>
    </row>
    <row r="25">
      <c r="A25" s="8" t="inlineStr">
        <is>
          <t>58-60</t>
        </is>
      </c>
      <c r="B25" s="10" t="inlineStr">
        <is>
          <t xml:space="preserve">Publishing, audiovisual and broadcasting services 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0.00378822202194041</v>
      </c>
      <c r="X25" s="11" t="n">
        <v>1340.583532621483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0.008115320627317884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2" t="n">
        <v>1340.595436164132</v>
      </c>
      <c r="AP25" s="12" t="n">
        <v>0</v>
      </c>
      <c r="AQ25" s="12" t="n">
        <v>36.94346401436825</v>
      </c>
      <c r="AR25" s="12" t="n">
        <v>51.70759982257739</v>
      </c>
      <c r="AS25" s="12" t="n">
        <v>1429.246500001078</v>
      </c>
      <c r="AT25" s="13" t="n"/>
      <c r="AU25" s="13" t="n"/>
    </row>
    <row r="26">
      <c r="A26" s="8" t="inlineStr">
        <is>
          <t>61</t>
        </is>
      </c>
      <c r="B26" s="15" t="inlineStr">
        <is>
          <t xml:space="preserve">Telecommunications services 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1.979448546981264</v>
      </c>
      <c r="W26" s="11" t="n">
        <v>0</v>
      </c>
      <c r="X26" s="11" t="n">
        <v>1.146113004412743</v>
      </c>
      <c r="Y26" s="11" t="n">
        <v>2104.008433107967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2" t="n">
        <v>2107.133994659362</v>
      </c>
      <c r="AP26" s="12" t="n">
        <v>0</v>
      </c>
      <c r="AQ26" s="12" t="n">
        <v>233.5700442649984</v>
      </c>
      <c r="AR26" s="12" t="n">
        <v>176.6935896808185</v>
      </c>
      <c r="AS26" s="12" t="n">
        <v>2517.397628605178</v>
      </c>
      <c r="AT26" s="13" t="n"/>
      <c r="AU26" s="13" t="n"/>
    </row>
    <row r="27">
      <c r="A27" s="8" t="inlineStr">
        <is>
          <t>62-63</t>
        </is>
      </c>
      <c r="B27" s="10" t="inlineStr">
        <is>
          <t xml:space="preserve">Computer programming, consultancy and related services; information services </t>
        </is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4.518258644590237</v>
      </c>
      <c r="V27" s="11" t="n">
        <v>0</v>
      </c>
      <c r="W27" s="11" t="n">
        <v>0</v>
      </c>
      <c r="X27" s="11" t="n">
        <v>1.24435266064792</v>
      </c>
      <c r="Y27" s="11" t="n">
        <v>0</v>
      </c>
      <c r="Z27" s="11" t="n">
        <v>3900.909157466455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0.4524022678731008</v>
      </c>
      <c r="AF27" s="11" t="n">
        <v>19.14749931611088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2" t="n">
        <v>3926.271670355677</v>
      </c>
      <c r="AP27" s="12" t="n">
        <v>0</v>
      </c>
      <c r="AQ27" s="12" t="n">
        <v>78.52193984347338</v>
      </c>
      <c r="AR27" s="12" t="n">
        <v>444.0257188723212</v>
      </c>
      <c r="AS27" s="12" t="n">
        <v>4448.819329071471</v>
      </c>
      <c r="AT27" s="13" t="n"/>
      <c r="AU27" s="13" t="n"/>
    </row>
    <row r="28">
      <c r="A28" s="8" t="inlineStr">
        <is>
          <t>64-66</t>
        </is>
      </c>
      <c r="B28" s="10" t="inlineStr">
        <is>
          <t xml:space="preserve">Financial and insurance services </t>
        </is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5666.369705464847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0</v>
      </c>
      <c r="AI28" s="11" t="n">
        <v>0</v>
      </c>
      <c r="AJ28" s="11" t="n">
        <v>0</v>
      </c>
      <c r="AK28" s="11" t="n">
        <v>0</v>
      </c>
      <c r="AL28" s="11" t="n">
        <v>0</v>
      </c>
      <c r="AM28" s="11" t="n">
        <v>0</v>
      </c>
      <c r="AN28" s="11" t="n">
        <v>0</v>
      </c>
      <c r="AO28" s="12" t="n">
        <v>5666.369705464847</v>
      </c>
      <c r="AP28" s="12" t="n">
        <v>0</v>
      </c>
      <c r="AQ28" s="12" t="n">
        <v>0</v>
      </c>
      <c r="AR28" s="12" t="n">
        <v>766.1972271274142</v>
      </c>
      <c r="AS28" s="12" t="n">
        <v>6432.566932592262</v>
      </c>
      <c r="AT28" s="13" t="n"/>
      <c r="AU28" s="13" t="n"/>
    </row>
    <row r="29">
      <c r="A29" s="8" t="inlineStr">
        <is>
          <t>68</t>
        </is>
      </c>
      <c r="B29" s="15" t="inlineStr">
        <is>
          <t xml:space="preserve">Real estate services </t>
        </is>
      </c>
      <c r="C29" s="11" t="n">
        <v>0</v>
      </c>
      <c r="D29" s="11" t="n">
        <v>2.910222181165586</v>
      </c>
      <c r="E29" s="11" t="n">
        <v>14.56365142623678</v>
      </c>
      <c r="F29" s="11" t="n">
        <v>0.6592804504310328</v>
      </c>
      <c r="G29" s="11" t="n">
        <v>0.8731987946075158</v>
      </c>
      <c r="H29" s="11" t="n">
        <v>0.0008948112663786729</v>
      </c>
      <c r="I29" s="11" t="n">
        <v>2.109185188656744</v>
      </c>
      <c r="J29" s="11" t="n">
        <v>0.01278557001727999</v>
      </c>
      <c r="K29" s="11" t="n">
        <v>5.44057009835336</v>
      </c>
      <c r="L29" s="11" t="n">
        <v>10.89081818966951</v>
      </c>
      <c r="M29" s="11" t="n">
        <v>0</v>
      </c>
      <c r="N29" s="11" t="n">
        <v>0</v>
      </c>
      <c r="O29" s="11" t="n">
        <v>2.051556562696535</v>
      </c>
      <c r="P29" s="11" t="n">
        <v>0.2528475922440747</v>
      </c>
      <c r="Q29" s="11" t="n">
        <v>0.8643576875859094</v>
      </c>
      <c r="R29" s="11" t="n">
        <v>0.9993523881628947</v>
      </c>
      <c r="S29" s="11" t="n">
        <v>2.97032298454569</v>
      </c>
      <c r="T29" s="11" t="n">
        <v>102.159232308984</v>
      </c>
      <c r="U29" s="11" t="n">
        <v>38.90648991881149</v>
      </c>
      <c r="V29" s="11" t="n">
        <v>136.9584216756154</v>
      </c>
      <c r="W29" s="11" t="n">
        <v>76.24525911036736</v>
      </c>
      <c r="X29" s="11" t="n">
        <v>1.802165360076103</v>
      </c>
      <c r="Y29" s="11" t="n">
        <v>3.738450600153166</v>
      </c>
      <c r="Z29" s="11" t="n">
        <v>0.1951729438168816</v>
      </c>
      <c r="AA29" s="11" t="n">
        <v>0</v>
      </c>
      <c r="AB29" s="11" t="n">
        <v>9767.469610598215</v>
      </c>
      <c r="AC29" s="11" t="n">
        <v>3.043603606731641</v>
      </c>
      <c r="AD29" s="11" t="n">
        <v>0</v>
      </c>
      <c r="AE29" s="11" t="n">
        <v>1.299493345934369</v>
      </c>
      <c r="AF29" s="11" t="n">
        <v>0</v>
      </c>
      <c r="AG29" s="11" t="n">
        <v>0</v>
      </c>
      <c r="AH29" s="11" t="n">
        <v>2.092437935827411</v>
      </c>
      <c r="AI29" s="11" t="n">
        <v>6.648212494053855</v>
      </c>
      <c r="AJ29" s="11" t="n">
        <v>0</v>
      </c>
      <c r="AK29" s="11" t="n">
        <v>5.051667166418971</v>
      </c>
      <c r="AL29" s="11" t="n">
        <v>7.711168318236653</v>
      </c>
      <c r="AM29" s="11" t="n">
        <v>0</v>
      </c>
      <c r="AN29" s="11" t="n">
        <v>0</v>
      </c>
      <c r="AO29" s="12" t="n">
        <v>10197.92042930888</v>
      </c>
      <c r="AP29" s="12" t="n">
        <v>0</v>
      </c>
      <c r="AQ29" s="12" t="n">
        <v>16.06358353470079</v>
      </c>
      <c r="AR29" s="12" t="n">
        <v>0</v>
      </c>
      <c r="AS29" s="12" t="n">
        <v>10213.98401284358</v>
      </c>
      <c r="AT29" s="13" t="n"/>
      <c r="AU29" s="13" t="n"/>
    </row>
    <row r="30">
      <c r="A30" s="8" t="inlineStr">
        <is>
          <t>69-71</t>
        </is>
      </c>
      <c r="B30" s="15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0.7571595009115691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0.3346660169236088</v>
      </c>
      <c r="S30" s="11" t="n">
        <v>0</v>
      </c>
      <c r="T30" s="11" t="n">
        <v>1.020411427190297</v>
      </c>
      <c r="U30" s="11" t="n">
        <v>2.684864799767889</v>
      </c>
      <c r="V30" s="11" t="n">
        <v>1.549499732414964</v>
      </c>
      <c r="W30" s="11" t="n">
        <v>0</v>
      </c>
      <c r="X30" s="11" t="n">
        <v>0</v>
      </c>
      <c r="Y30" s="11" t="n">
        <v>0</v>
      </c>
      <c r="Z30" s="11" t="n">
        <v>2.396395997261578</v>
      </c>
      <c r="AA30" s="11" t="n">
        <v>0</v>
      </c>
      <c r="AB30" s="11" t="n">
        <v>0</v>
      </c>
      <c r="AC30" s="11" t="n">
        <v>1459.904935275899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0.06116830327195357</v>
      </c>
      <c r="AI30" s="11" t="n">
        <v>0.1155470459843492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0</v>
      </c>
      <c r="AO30" s="12" t="n">
        <v>1468.824648099625</v>
      </c>
      <c r="AP30" s="12" t="n">
        <v>0</v>
      </c>
      <c r="AQ30" s="12" t="n">
        <v>75.43848147701874</v>
      </c>
      <c r="AR30" s="12" t="n">
        <v>269.2019315343844</v>
      </c>
      <c r="AS30" s="12" t="n">
        <v>1813.465061111028</v>
      </c>
      <c r="AT30" s="13" t="n"/>
      <c r="AU30" s="13" t="n"/>
    </row>
    <row r="31">
      <c r="A31" s="8" t="inlineStr">
        <is>
          <t>72</t>
        </is>
      </c>
      <c r="B31" s="15" t="inlineStr">
        <is>
          <t xml:space="preserve">Scientific research and development services </t>
        </is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0.01220111234555979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299.5285899380318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2" t="n">
        <v>299.5407910503774</v>
      </c>
      <c r="AP31" s="12" t="n">
        <v>0</v>
      </c>
      <c r="AQ31" s="12" t="n">
        <v>-12.22910740846466</v>
      </c>
      <c r="AR31" s="12" t="n">
        <v>15.62741482288791</v>
      </c>
      <c r="AS31" s="12" t="n">
        <v>302.9390984648006</v>
      </c>
      <c r="AT31" s="13" t="n"/>
      <c r="AU31" s="13" t="n"/>
    </row>
    <row r="32">
      <c r="A32" s="8" t="inlineStr">
        <is>
          <t>73-75</t>
        </is>
      </c>
      <c r="B32" s="10" t="inlineStr">
        <is>
          <t xml:space="preserve">Advertising and market research services; other professional, scientific and technical services; veterinary services </t>
        </is>
      </c>
      <c r="C32" s="11" t="n">
        <v>0</v>
      </c>
      <c r="D32" s="11" t="n">
        <v>0</v>
      </c>
      <c r="E32" s="11" t="n">
        <v>0</v>
      </c>
      <c r="F32" s="11" t="n">
        <v>0.0723452800972376</v>
      </c>
      <c r="G32" s="11" t="n">
        <v>0.2668820379940146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17.96609667621886</v>
      </c>
      <c r="V32" s="11" t="n">
        <v>0.03085745951698909</v>
      </c>
      <c r="W32" s="11" t="n">
        <v>0.08176841157234997</v>
      </c>
      <c r="X32" s="11" t="n">
        <v>3.33443244494647</v>
      </c>
      <c r="Y32" s="11" t="n">
        <v>0</v>
      </c>
      <c r="Z32" s="11" t="n">
        <v>0.3847295326419163</v>
      </c>
      <c r="AA32" s="11" t="n">
        <v>0</v>
      </c>
      <c r="AB32" s="11" t="n">
        <v>0</v>
      </c>
      <c r="AC32" s="11" t="n">
        <v>0.6488448712334911</v>
      </c>
      <c r="AD32" s="11" t="n">
        <v>0</v>
      </c>
      <c r="AE32" s="11" t="n">
        <v>791.0461173658318</v>
      </c>
      <c r="AF32" s="11" t="n">
        <v>0.003518513493637812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2.025941055992606</v>
      </c>
      <c r="AL32" s="11" t="n">
        <v>0</v>
      </c>
      <c r="AM32" s="11" t="n">
        <v>0</v>
      </c>
      <c r="AN32" s="11" t="n">
        <v>0</v>
      </c>
      <c r="AO32" s="12" t="n">
        <v>815.8615336495394</v>
      </c>
      <c r="AP32" s="12" t="n">
        <v>0</v>
      </c>
      <c r="AQ32" s="12" t="n">
        <v>20.50869543827442</v>
      </c>
      <c r="AR32" s="12" t="n">
        <v>57.47591639144057</v>
      </c>
      <c r="AS32" s="12" t="n">
        <v>893.8461454792545</v>
      </c>
      <c r="AT32" s="13" t="n"/>
      <c r="AU32" s="13" t="n"/>
    </row>
    <row r="33">
      <c r="A33" s="8" t="inlineStr">
        <is>
          <t>77-82</t>
        </is>
      </c>
      <c r="B33" s="10" t="inlineStr">
        <is>
          <t>Administrative and support services</t>
        </is>
      </c>
      <c r="C33" s="11" t="n">
        <v>0</v>
      </c>
      <c r="D33" s="11" t="n">
        <v>12.70072485028118</v>
      </c>
      <c r="E33" s="11" t="n">
        <v>15.39357983449026</v>
      </c>
      <c r="F33" s="11" t="n">
        <v>0</v>
      </c>
      <c r="G33" s="11" t="n">
        <v>1.439558006928979</v>
      </c>
      <c r="H33" s="11" t="n">
        <v>0</v>
      </c>
      <c r="I33" s="11" t="n">
        <v>1.791579540932489</v>
      </c>
      <c r="J33" s="11" t="n">
        <v>0.005637183670138221</v>
      </c>
      <c r="K33" s="11" t="n">
        <v>2.740408678682922</v>
      </c>
      <c r="L33" s="11" t="n">
        <v>0.6113373674869176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0.09312791190243579</v>
      </c>
      <c r="R33" s="11" t="n">
        <v>0.3511079444046075</v>
      </c>
      <c r="S33" s="11" t="n">
        <v>5.866588482677588</v>
      </c>
      <c r="T33" s="11" t="n">
        <v>2.73649394081392</v>
      </c>
      <c r="U33" s="11" t="n">
        <v>4.587553106074503</v>
      </c>
      <c r="V33" s="11" t="n">
        <v>19.75195187264352</v>
      </c>
      <c r="W33" s="11" t="n">
        <v>0</v>
      </c>
      <c r="X33" s="11" t="n">
        <v>0.2874407801718334</v>
      </c>
      <c r="Y33" s="11" t="n">
        <v>0.9102286152369337</v>
      </c>
      <c r="Z33" s="11" t="n">
        <v>0</v>
      </c>
      <c r="AA33" s="11" t="n">
        <v>0</v>
      </c>
      <c r="AB33" s="11" t="n">
        <v>6.857631708989556</v>
      </c>
      <c r="AC33" s="11" t="n">
        <v>0</v>
      </c>
      <c r="AD33" s="11" t="n">
        <v>0</v>
      </c>
      <c r="AE33" s="11" t="n">
        <v>0</v>
      </c>
      <c r="AF33" s="11" t="n">
        <v>1557.516771492504</v>
      </c>
      <c r="AG33" s="11" t="n">
        <v>0</v>
      </c>
      <c r="AH33" s="11" t="n">
        <v>0.001501854415822453</v>
      </c>
      <c r="AI33" s="11" t="n">
        <v>0.0002963352636036859</v>
      </c>
      <c r="AJ33" s="11" t="n">
        <v>0</v>
      </c>
      <c r="AK33" s="11" t="n">
        <v>0</v>
      </c>
      <c r="AL33" s="11" t="n">
        <v>2.279236871575876</v>
      </c>
      <c r="AM33" s="11" t="n">
        <v>0</v>
      </c>
      <c r="AN33" s="11" t="n">
        <v>0</v>
      </c>
      <c r="AO33" s="12" t="n">
        <v>1635.922756379147</v>
      </c>
      <c r="AP33" s="12" t="n">
        <v>0</v>
      </c>
      <c r="AQ33" s="12" t="n">
        <v>90.9893106146079</v>
      </c>
      <c r="AR33" s="12" t="n">
        <v>652.0532710237143</v>
      </c>
      <c r="AS33" s="12" t="n">
        <v>2378.965338017469</v>
      </c>
      <c r="AT33" s="13" t="n"/>
      <c r="AU33" s="13" t="n"/>
    </row>
    <row r="34">
      <c r="A34" s="8" t="n">
        <v>84</v>
      </c>
      <c r="B34" s="15" t="inlineStr">
        <is>
          <t xml:space="preserve">Public administration and defence services; compulsory social security services </t>
        </is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7892.642310358171</v>
      </c>
      <c r="AH34" s="11" t="n">
        <v>0</v>
      </c>
      <c r="AI34" s="11" t="n">
        <v>0</v>
      </c>
      <c r="AJ34" s="11" t="n">
        <v>0</v>
      </c>
      <c r="AK34" s="11" t="n">
        <v>0</v>
      </c>
      <c r="AL34" s="11" t="n">
        <v>0</v>
      </c>
      <c r="AM34" s="11" t="n">
        <v>0</v>
      </c>
      <c r="AN34" s="11" t="n">
        <v>0</v>
      </c>
      <c r="AO34" s="12" t="n">
        <v>7892.642310358171</v>
      </c>
      <c r="AP34" s="12" t="n">
        <v>0</v>
      </c>
      <c r="AQ34" s="12" t="n">
        <v>0</v>
      </c>
      <c r="AR34" s="12" t="n">
        <v>0</v>
      </c>
      <c r="AS34" s="12" t="n">
        <v>7892.642310358171</v>
      </c>
      <c r="AT34" s="13" t="n"/>
      <c r="AU34" s="13" t="n"/>
    </row>
    <row r="35">
      <c r="A35" s="8" t="n">
        <v>85</v>
      </c>
      <c r="B35" s="15" t="inlineStr">
        <is>
          <t xml:space="preserve">Education services </t>
        </is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0.008217540956725666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0.06068856790504103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0.1409992586216349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5417.764936149584</v>
      </c>
      <c r="AI35" s="11" t="n">
        <v>1.939111284327623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2" t="n">
        <v>5419.913952801396</v>
      </c>
      <c r="AP35" s="12" t="n">
        <v>0</v>
      </c>
      <c r="AQ35" s="12" t="n">
        <v>0</v>
      </c>
      <c r="AR35" s="12" t="n">
        <v>293.6327294545163</v>
      </c>
      <c r="AS35" s="12" t="n">
        <v>5713.546682255912</v>
      </c>
      <c r="AT35" s="13" t="n"/>
      <c r="AU35" s="13" t="n"/>
    </row>
    <row r="36">
      <c r="A36" s="8" t="n">
        <v>86</v>
      </c>
      <c r="B36" s="15" t="inlineStr">
        <is>
          <t xml:space="preserve">Human health services </t>
        </is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0.04260045769907286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0.2218361102251539</v>
      </c>
      <c r="U36" s="11" t="n">
        <v>0.1271604301631847</v>
      </c>
      <c r="V36" s="11" t="n">
        <v>0</v>
      </c>
      <c r="W36" s="11" t="n">
        <v>13.55769097782029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1.401505414764032</v>
      </c>
      <c r="AI36" s="11" t="n">
        <v>4157.326910538764</v>
      </c>
      <c r="AJ36" s="11" t="n">
        <v>0</v>
      </c>
      <c r="AK36" s="11" t="n">
        <v>0</v>
      </c>
      <c r="AL36" s="11" t="n">
        <v>4.684378395630516</v>
      </c>
      <c r="AM36" s="11" t="n">
        <v>0</v>
      </c>
      <c r="AN36" s="11" t="n">
        <v>0</v>
      </c>
      <c r="AO36" s="12" t="n">
        <v>4177.362082325067</v>
      </c>
      <c r="AP36" s="12" t="n">
        <v>0</v>
      </c>
      <c r="AQ36" s="12" t="n">
        <v>0</v>
      </c>
      <c r="AR36" s="12" t="n">
        <v>91.26322848873994</v>
      </c>
      <c r="AS36" s="12" t="n">
        <v>4268.625310813806</v>
      </c>
      <c r="AT36" s="13" t="n"/>
      <c r="AU36" s="13" t="n"/>
    </row>
    <row r="37">
      <c r="A37" s="8" t="inlineStr">
        <is>
          <t>87-88</t>
        </is>
      </c>
      <c r="B37" s="10" t="inlineStr">
        <is>
          <t xml:space="preserve">Social work services </t>
        </is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0.209679949997176</v>
      </c>
      <c r="AH37" s="11" t="n">
        <v>0</v>
      </c>
      <c r="AI37" s="11" t="n">
        <v>0</v>
      </c>
      <c r="AJ37" s="11" t="n">
        <v>378.9121961282839</v>
      </c>
      <c r="AK37" s="11" t="n">
        <v>0</v>
      </c>
      <c r="AL37" s="11" t="n">
        <v>0</v>
      </c>
      <c r="AM37" s="11" t="n">
        <v>0</v>
      </c>
      <c r="AN37" s="11" t="n">
        <v>0</v>
      </c>
      <c r="AO37" s="12" t="n">
        <v>379.121876078281</v>
      </c>
      <c r="AP37" s="12" t="n">
        <v>0</v>
      </c>
      <c r="AQ37" s="12" t="n">
        <v>0</v>
      </c>
      <c r="AR37" s="12" t="n">
        <v>0</v>
      </c>
      <c r="AS37" s="12" t="n">
        <v>379.121876078281</v>
      </c>
      <c r="AT37" s="13" t="n"/>
      <c r="AU37" s="13" t="n"/>
    </row>
    <row r="38">
      <c r="A38" s="8" t="inlineStr">
        <is>
          <t>90-93</t>
        </is>
      </c>
      <c r="B38" s="10" t="inlineStr">
        <is>
          <t xml:space="preserve">Arts, entertainment and recreation services </t>
        </is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0.2488837781015436</v>
      </c>
      <c r="V38" s="11" t="n">
        <v>0</v>
      </c>
      <c r="W38" s="11" t="n">
        <v>8.527911541163103</v>
      </c>
      <c r="X38" s="11" t="n">
        <v>0.5137378682080423</v>
      </c>
      <c r="Y38" s="11" t="n">
        <v>0</v>
      </c>
      <c r="Z38" s="11" t="n">
        <v>0</v>
      </c>
      <c r="AA38" s="11" t="n">
        <v>0</v>
      </c>
      <c r="AB38" s="11" t="n">
        <v>6.919982750586085</v>
      </c>
      <c r="AC38" s="11" t="n">
        <v>0</v>
      </c>
      <c r="AD38" s="11" t="n">
        <v>0</v>
      </c>
      <c r="AE38" s="11" t="n">
        <v>1.508222720944936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5545.277665441299</v>
      </c>
      <c r="AL38" s="11" t="n">
        <v>0</v>
      </c>
      <c r="AM38" s="11" t="n">
        <v>0</v>
      </c>
      <c r="AN38" s="11" t="n">
        <v>0</v>
      </c>
      <c r="AO38" s="12" t="n">
        <v>5562.996404100303</v>
      </c>
      <c r="AP38" s="12" t="n">
        <v>0</v>
      </c>
      <c r="AQ38" s="12" t="n">
        <v>246.8930274772086</v>
      </c>
      <c r="AR38" s="12" t="n">
        <v>172.9325229434309</v>
      </c>
      <c r="AS38" s="12" t="n">
        <v>5982.821954520943</v>
      </c>
      <c r="AT38" s="13" t="n"/>
      <c r="AU38" s="13" t="n"/>
    </row>
    <row r="39">
      <c r="A39" s="8" t="inlineStr">
        <is>
          <t>94-96</t>
        </is>
      </c>
      <c r="B39" s="10" t="inlineStr">
        <is>
          <t>Other services</t>
        </is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0.2276571356611981</v>
      </c>
      <c r="T39" s="11" t="n">
        <v>0</v>
      </c>
      <c r="U39" s="11" t="n">
        <v>0.4812108670695696</v>
      </c>
      <c r="V39" s="11" t="n">
        <v>0</v>
      </c>
      <c r="W39" s="11" t="n">
        <v>0.06101967713586617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0.0294435142232354</v>
      </c>
      <c r="AG39" s="11" t="n">
        <v>0</v>
      </c>
      <c r="AH39" s="11" t="n">
        <v>0</v>
      </c>
      <c r="AI39" s="11" t="n">
        <v>0.3560112589881962</v>
      </c>
      <c r="AJ39" s="11" t="n">
        <v>0</v>
      </c>
      <c r="AK39" s="11" t="n">
        <v>0</v>
      </c>
      <c r="AL39" s="11" t="n">
        <v>1263.791494824699</v>
      </c>
      <c r="AM39" s="11" t="n">
        <v>0</v>
      </c>
      <c r="AN39" s="11" t="n">
        <v>0</v>
      </c>
      <c r="AO39" s="12" t="n">
        <v>1264.946837277777</v>
      </c>
      <c r="AP39" s="12" t="n">
        <v>0</v>
      </c>
      <c r="AQ39" s="12" t="n">
        <v>88.2212828324793</v>
      </c>
      <c r="AR39" s="12" t="n">
        <v>98.64415271310311</v>
      </c>
      <c r="AS39" s="12" t="n">
        <v>1451.81227282336</v>
      </c>
      <c r="AT39" s="13" t="n"/>
      <c r="AU39" s="13" t="n"/>
    </row>
    <row r="40">
      <c r="A40" s="8" t="inlineStr">
        <is>
          <t>97-98</t>
        </is>
      </c>
      <c r="B40" s="1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  <c r="AL40" s="11" t="n">
        <v>0</v>
      </c>
      <c r="AM40" s="11" t="n">
        <v>95.18079988198781</v>
      </c>
      <c r="AN40" s="11" t="n">
        <v>0</v>
      </c>
      <c r="AO40" s="12" t="n">
        <v>95.18079988198781</v>
      </c>
      <c r="AP40" s="12" t="n">
        <v>0</v>
      </c>
      <c r="AQ40" s="12" t="n">
        <v>0</v>
      </c>
      <c r="AR40" s="12" t="n">
        <v>0</v>
      </c>
      <c r="AS40" s="12" t="n">
        <v>95.18079988198781</v>
      </c>
      <c r="AT40" s="13" t="n"/>
      <c r="AU40" s="13" t="n"/>
    </row>
    <row r="41">
      <c r="A41" s="8" t="inlineStr">
        <is>
          <t>99</t>
        </is>
      </c>
      <c r="B41" s="15" t="inlineStr">
        <is>
          <t>Services provided by extraterritorial organisations and bodies</t>
        </is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3" t="n"/>
      <c r="AU41" s="13" t="n"/>
    </row>
    <row r="42">
      <c r="A42" s="16" t="n"/>
      <c r="B42" s="17" t="inlineStr">
        <is>
          <t>Total</t>
        </is>
      </c>
      <c r="C42" s="12" t="n">
        <v>8082.228198157528</v>
      </c>
      <c r="D42" s="12" t="n">
        <v>2314.454049213838</v>
      </c>
      <c r="E42" s="12" t="n">
        <v>14395.81701280107</v>
      </c>
      <c r="F42" s="12" t="n">
        <v>685.7478475050848</v>
      </c>
      <c r="G42" s="12" t="n">
        <v>756.8451958519911</v>
      </c>
      <c r="H42" s="12" t="n">
        <v>265.9422320957807</v>
      </c>
      <c r="I42" s="12" t="n">
        <v>796.9856641067698</v>
      </c>
      <c r="J42" s="12" t="n">
        <v>440.9783314846897</v>
      </c>
      <c r="K42" s="12" t="n">
        <v>3865.841568015258</v>
      </c>
      <c r="L42" s="12" t="n">
        <v>2978.453310448796</v>
      </c>
      <c r="M42" s="12" t="n">
        <v>3.238195833941651</v>
      </c>
      <c r="N42" s="12" t="n">
        <v>251.881553797018</v>
      </c>
      <c r="O42" s="12" t="n">
        <v>67.61756186741434</v>
      </c>
      <c r="P42" s="12" t="n">
        <v>80.04752710772591</v>
      </c>
      <c r="Q42" s="12" t="n">
        <v>720.52296878775</v>
      </c>
      <c r="R42" s="12" t="n">
        <v>2927.484626571264</v>
      </c>
      <c r="S42" s="12" t="n">
        <v>1141.547644298156</v>
      </c>
      <c r="T42" s="12" t="n">
        <v>19023.49629627668</v>
      </c>
      <c r="U42" s="12" t="n">
        <v>19349.84262554303</v>
      </c>
      <c r="V42" s="12" t="n">
        <v>9839.860352515887</v>
      </c>
      <c r="W42" s="12" t="n">
        <v>6692.661657465774</v>
      </c>
      <c r="X42" s="12" t="n">
        <v>1355.49292974811</v>
      </c>
      <c r="Y42" s="12" t="n">
        <v>2116.75918881287</v>
      </c>
      <c r="Z42" s="12" t="n">
        <v>3940.45281383176</v>
      </c>
      <c r="AA42" s="12" t="n">
        <v>5666.369705464847</v>
      </c>
      <c r="AB42" s="12" t="n">
        <v>9828.516385128758</v>
      </c>
      <c r="AC42" s="12" t="n">
        <v>1470.300936102554</v>
      </c>
      <c r="AD42" s="12" t="n">
        <v>299.5285899380318</v>
      </c>
      <c r="AE42" s="12" t="n">
        <v>1061.778531170881</v>
      </c>
      <c r="AF42" s="12" t="n">
        <v>1615.624584771434</v>
      </c>
      <c r="AG42" s="12" t="n">
        <v>7892.851990308168</v>
      </c>
      <c r="AH42" s="12" t="n">
        <v>5426.652478984867</v>
      </c>
      <c r="AI42" s="12" t="n">
        <v>4182.838488454006</v>
      </c>
      <c r="AJ42" s="12" t="n">
        <v>379.3755101867965</v>
      </c>
      <c r="AK42" s="12" t="n">
        <v>5556.374418223452</v>
      </c>
      <c r="AL42" s="12" t="n">
        <v>1312.484677491467</v>
      </c>
      <c r="AM42" s="12" t="n">
        <v>95.18079988198781</v>
      </c>
      <c r="AN42" s="12" t="n">
        <v>0</v>
      </c>
      <c r="AO42" s="12" t="n">
        <v>146882.0764482454</v>
      </c>
      <c r="AP42" s="12" t="n">
        <v>0</v>
      </c>
      <c r="AQ42" s="12" t="n">
        <v>12042.85008860399</v>
      </c>
      <c r="AR42" s="12" t="n">
        <v>51758.90126180318</v>
      </c>
      <c r="AS42" s="12" t="n">
        <v>210683.8277986525</v>
      </c>
      <c r="AT42" s="13" t="n"/>
      <c r="AU42" s="13" t="n"/>
      <c r="AV42" s="18" t="n"/>
      <c r="AW42" s="18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2" t="inlineStr">
        <is>
          <t xml:space="preserve">Use, 2024 (Current prices, mil. GEL) </t>
        </is>
      </c>
      <c r="C1" s="19" t="n"/>
      <c r="D1" s="19" t="n"/>
    </row>
    <row r="2">
      <c r="A2" s="3" t="inlineStr">
        <is>
          <t xml:space="preserve">       NACE rev.2
CPA 2008</t>
        </is>
      </c>
      <c r="C2" s="4" t="inlineStr">
        <is>
          <t>1-3</t>
        </is>
      </c>
      <c r="D2" s="4" t="inlineStr">
        <is>
          <t>5-9</t>
        </is>
      </c>
      <c r="E2" s="4" t="inlineStr">
        <is>
          <t>10-12</t>
        </is>
      </c>
      <c r="F2" s="4" t="inlineStr">
        <is>
          <t>13-15</t>
        </is>
      </c>
      <c r="G2" s="4" t="inlineStr">
        <is>
          <t>16-18</t>
        </is>
      </c>
      <c r="H2" s="4" t="n">
        <v>19</v>
      </c>
      <c r="I2" s="4" t="n">
        <v>20</v>
      </c>
      <c r="J2" s="4" t="n">
        <v>21</v>
      </c>
      <c r="K2" s="4" t="inlineStr">
        <is>
          <t>22-23</t>
        </is>
      </c>
      <c r="L2" s="4" t="inlineStr">
        <is>
          <t>24-25</t>
        </is>
      </c>
      <c r="M2" s="4" t="n">
        <v>26</v>
      </c>
      <c r="N2" s="4" t="n">
        <v>27</v>
      </c>
      <c r="O2" s="4" t="n">
        <v>28</v>
      </c>
      <c r="P2" s="4" t="inlineStr">
        <is>
          <t>29-30</t>
        </is>
      </c>
      <c r="Q2" s="4" t="inlineStr">
        <is>
          <t>31-33</t>
        </is>
      </c>
      <c r="R2" s="4" t="inlineStr">
        <is>
          <t>35</t>
        </is>
      </c>
      <c r="S2" s="4" t="inlineStr">
        <is>
          <t>36-39</t>
        </is>
      </c>
      <c r="T2" s="4" t="inlineStr">
        <is>
          <t>41-43</t>
        </is>
      </c>
      <c r="U2" s="4" t="inlineStr">
        <is>
          <t>45-47</t>
        </is>
      </c>
      <c r="V2" s="4" t="inlineStr">
        <is>
          <t>49-53</t>
        </is>
      </c>
      <c r="W2" s="4" t="inlineStr">
        <is>
          <t>55-56</t>
        </is>
      </c>
      <c r="X2" s="4" t="inlineStr">
        <is>
          <t>58-60</t>
        </is>
      </c>
      <c r="Y2" s="4" t="inlineStr">
        <is>
          <t>61</t>
        </is>
      </c>
      <c r="Z2" s="4" t="inlineStr">
        <is>
          <t>62-63</t>
        </is>
      </c>
      <c r="AA2" s="4" t="inlineStr">
        <is>
          <t>64-66</t>
        </is>
      </c>
      <c r="AB2" s="4" t="inlineStr">
        <is>
          <t>68</t>
        </is>
      </c>
      <c r="AC2" s="4" t="inlineStr">
        <is>
          <t>69-71</t>
        </is>
      </c>
      <c r="AD2" s="4" t="n">
        <v>72</v>
      </c>
      <c r="AE2" s="4" t="inlineStr">
        <is>
          <t>73-75</t>
        </is>
      </c>
      <c r="AF2" s="4" t="inlineStr">
        <is>
          <t>77-82</t>
        </is>
      </c>
      <c r="AG2" s="4" t="n">
        <v>84</v>
      </c>
      <c r="AH2" s="4" t="n">
        <v>85</v>
      </c>
      <c r="AI2" s="4" t="n">
        <v>86</v>
      </c>
      <c r="AJ2" s="4" t="inlineStr">
        <is>
          <t>87-88</t>
        </is>
      </c>
      <c r="AK2" s="4" t="inlineStr">
        <is>
          <t>90-93</t>
        </is>
      </c>
      <c r="AL2" s="4" t="inlineStr">
        <is>
          <t>94-96</t>
        </is>
      </c>
      <c r="AM2" s="4" t="inlineStr">
        <is>
          <t>97-98</t>
        </is>
      </c>
      <c r="AN2" s="4" t="inlineStr">
        <is>
          <t>99</t>
        </is>
      </c>
      <c r="AO2" s="5" t="inlineStr">
        <is>
          <t>Tot1</t>
        </is>
      </c>
      <c r="AP2" s="5" t="inlineStr">
        <is>
          <t>P31</t>
        </is>
      </c>
      <c r="AQ2" s="5" t="inlineStr">
        <is>
          <t>P32</t>
        </is>
      </c>
      <c r="AR2" s="5" t="inlineStr">
        <is>
          <t>P3</t>
        </is>
      </c>
      <c r="AS2" s="5" t="inlineStr">
        <is>
          <t>P6</t>
        </is>
      </c>
      <c r="AT2" s="5" t="inlineStr">
        <is>
          <t>P51</t>
        </is>
      </c>
      <c r="AU2" s="5" t="inlineStr">
        <is>
          <t>P52</t>
        </is>
      </c>
      <c r="AV2" s="5" t="inlineStr">
        <is>
          <t>P5</t>
        </is>
      </c>
      <c r="AW2" s="5" t="inlineStr">
        <is>
          <t>FD</t>
        </is>
      </c>
      <c r="AX2" s="5" t="inlineStr">
        <is>
          <t>Tot2</t>
        </is>
      </c>
    </row>
    <row r="3">
      <c r="A3" s="6" t="n"/>
      <c r="B3" s="7" t="inlineStr">
        <is>
          <t xml:space="preserve">                            
                                             Industry, NACE rev.2
Product, CPA 2008</t>
        </is>
      </c>
      <c r="C3" s="8" t="inlineStr">
        <is>
          <t xml:space="preserve">Agriculture, forestry and fishing </t>
        </is>
      </c>
      <c r="D3" s="8" t="inlineStr">
        <is>
          <t xml:space="preserve">Mining and quarrying </t>
        </is>
      </c>
      <c r="E3" s="8" t="inlineStr">
        <is>
          <t xml:space="preserve">Manufacture of food products, beverages and tobacco products </t>
        </is>
      </c>
      <c r="F3" s="8" t="inlineStr">
        <is>
          <t xml:space="preserve">Manufacture of textiles, wearing apparel and leather products </t>
        </is>
      </c>
      <c r="G3" s="8" t="inlineStr">
        <is>
          <t>Manufacture of wood and paper products, and printing</t>
        </is>
      </c>
      <c r="H3" s="8" t="inlineStr">
        <is>
          <t xml:space="preserve">Manufacture of coke and refined petroleum products </t>
        </is>
      </c>
      <c r="I3" s="8" t="inlineStr">
        <is>
          <t xml:space="preserve">Manufacture of chemicals and chemical products </t>
        </is>
      </c>
      <c r="J3" s="8" t="inlineStr">
        <is>
          <t xml:space="preserve">Manufacture of basic pharmaceutical products and pharmaceutical preparations </t>
        </is>
      </c>
      <c r="K3" s="8" t="inlineStr">
        <is>
          <t xml:space="preserve">Manufacture of rubber and plastics products, and other non-metallic mineral products </t>
        </is>
      </c>
      <c r="L3" s="8" t="inlineStr">
        <is>
          <t xml:space="preserve">Manufacture of basic metals and fabricated metal products, except machinery and equipment </t>
        </is>
      </c>
      <c r="M3" s="8" t="inlineStr">
        <is>
          <t xml:space="preserve">Manufacture of computer, electronic and optical products </t>
        </is>
      </c>
      <c r="N3" s="8" t="inlineStr">
        <is>
          <t xml:space="preserve">Manufacture of electrical equipment </t>
        </is>
      </c>
      <c r="O3" s="8" t="inlineStr">
        <is>
          <t xml:space="preserve">Manufacture of machinery and equipment n.e.c. </t>
        </is>
      </c>
      <c r="P3" s="8" t="inlineStr">
        <is>
          <t xml:space="preserve">Manufacture of transport equipment </t>
        </is>
      </c>
      <c r="Q3" s="8" t="inlineStr">
        <is>
          <t xml:space="preserve">Manufacture of furniture; other manufacturing; repair and installation of machinery and equipment </t>
        </is>
      </c>
      <c r="R3" s="8" t="inlineStr">
        <is>
          <t xml:space="preserve">Electricity, gas, steam and air conditioning supply </t>
        </is>
      </c>
      <c r="S3" s="8" t="inlineStr">
        <is>
          <t xml:space="preserve">Water supply; sewerage, waste management and remediation activities </t>
        </is>
      </c>
      <c r="T3" s="8" t="inlineStr">
        <is>
          <t>Construction</t>
        </is>
      </c>
      <c r="U3" s="8" t="inlineStr">
        <is>
          <t xml:space="preserve">Wholesale and retail trade, repair of motor vehicles and motorcycles </t>
        </is>
      </c>
      <c r="V3" s="8" t="inlineStr">
        <is>
          <t xml:space="preserve">Transportation and storage </t>
        </is>
      </c>
      <c r="W3" s="8" t="inlineStr">
        <is>
          <t>Accommodation and food service activities</t>
        </is>
      </c>
      <c r="X3" s="8" t="inlineStr">
        <is>
          <t xml:space="preserve">Publishing, audiovisual and broadcasting activities </t>
        </is>
      </c>
      <c r="Y3" s="8" t="inlineStr">
        <is>
          <t>Telecommunications</t>
        </is>
      </c>
      <c r="Z3" s="8" t="inlineStr">
        <is>
          <t xml:space="preserve">Computer programming, consultancy and related activities; information service activities </t>
        </is>
      </c>
      <c r="AA3" s="8" t="inlineStr">
        <is>
          <t xml:space="preserve">Financial and insurance activities </t>
        </is>
      </c>
      <c r="AB3" s="8" t="inlineStr">
        <is>
          <t xml:space="preserve">Real estate activities </t>
        </is>
      </c>
      <c r="AC3" s="8" t="inlineStr">
        <is>
          <t>Legal and accounting activities; activities of head offices; management consultancy activities; architecture and engineering activities; technical testing and analysis</t>
        </is>
      </c>
      <c r="AD3" s="8" t="inlineStr">
        <is>
          <t xml:space="preserve">Scientific research and development </t>
        </is>
      </c>
      <c r="AE3" s="8" t="inlineStr">
        <is>
          <t xml:space="preserve">Advertising and market research; other professional, scientific and technical activities; veterinary activities </t>
        </is>
      </c>
      <c r="AF3" s="8" t="inlineStr">
        <is>
          <t xml:space="preserve">Administrative and support service activities </t>
        </is>
      </c>
      <c r="AG3" s="8" t="inlineStr">
        <is>
          <t xml:space="preserve">Public administration and defence; compulsory social security </t>
        </is>
      </c>
      <c r="AH3" s="8" t="inlineStr">
        <is>
          <t>Education</t>
        </is>
      </c>
      <c r="AI3" s="8" t="inlineStr">
        <is>
          <t xml:space="preserve">Human health activities </t>
        </is>
      </c>
      <c r="AJ3" s="8" t="inlineStr">
        <is>
          <t xml:space="preserve">Social work activities </t>
        </is>
      </c>
      <c r="AK3" s="8" t="inlineStr">
        <is>
          <t xml:space="preserve">Arts, entertainment and recreation </t>
        </is>
      </c>
      <c r="AL3" s="8" t="inlineStr">
        <is>
          <t xml:space="preserve">Other service activities </t>
        </is>
      </c>
      <c r="AM3" s="8" t="inlineStr">
        <is>
          <t xml:space="preserve">Activities of households as employers of domestic personnel and undifferentiated goods and services production of households for own use </t>
        </is>
      </c>
      <c r="AN3" s="8" t="inlineStr">
        <is>
          <t>Activities of extra-territorial organisations and bodies</t>
        </is>
      </c>
      <c r="AO3" s="9" t="inlineStr">
        <is>
          <t>Intermediate consumption, total</t>
        </is>
      </c>
      <c r="AP3" s="20" t="inlineStr">
        <is>
          <t>Final consumption expenditure by households and non-profit organisations serving households (NPISH)</t>
        </is>
      </c>
      <c r="AQ3" s="20" t="inlineStr">
        <is>
          <t>Final consumption expenditure by government</t>
        </is>
      </c>
      <c r="AR3" s="21" t="inlineStr">
        <is>
          <t>Final consumption expenditure</t>
        </is>
      </c>
      <c r="AS3" s="21" t="inlineStr">
        <is>
          <t>Export, total</t>
        </is>
      </c>
      <c r="AT3" s="20" t="inlineStr">
        <is>
          <t>Gross fixed capital formation</t>
        </is>
      </c>
      <c r="AU3" s="20" t="inlineStr">
        <is>
          <t>Changes in inventories</t>
        </is>
      </c>
      <c r="AV3" s="9" t="inlineStr">
        <is>
          <t>Gross capital formation</t>
        </is>
      </c>
      <c r="AW3" s="9" t="inlineStr">
        <is>
          <t>Final uses</t>
        </is>
      </c>
      <c r="AX3" s="9" t="inlineStr">
        <is>
          <t>Use, total</t>
        </is>
      </c>
    </row>
    <row r="4">
      <c r="A4" s="8" t="inlineStr">
        <is>
          <t>1-3</t>
        </is>
      </c>
      <c r="B4" s="10" t="inlineStr">
        <is>
          <t xml:space="preserve">Products of agriculture, forestry and fishing </t>
        </is>
      </c>
      <c r="C4" s="22" t="n">
        <v>1350.808301686068</v>
      </c>
      <c r="D4" s="22" t="n">
        <v>0</v>
      </c>
      <c r="E4" s="22" t="n">
        <v>5397.621180390005</v>
      </c>
      <c r="F4" s="22" t="n">
        <v>4.575032726914197</v>
      </c>
      <c r="G4" s="22" t="n">
        <v>17.75248995469379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0.03060952410863577</v>
      </c>
      <c r="S4" s="22" t="n">
        <v>0</v>
      </c>
      <c r="T4" s="22" t="n">
        <v>0.649473143928035</v>
      </c>
      <c r="U4" s="22" t="n">
        <v>63.32829526893227</v>
      </c>
      <c r="V4" s="22" t="n">
        <v>0.02907114639937584</v>
      </c>
      <c r="W4" s="22" t="n">
        <v>332.5600826424687</v>
      </c>
      <c r="X4" s="22" t="n">
        <v>0</v>
      </c>
      <c r="Y4" s="22" t="n">
        <v>0</v>
      </c>
      <c r="Z4" s="22" t="n">
        <v>0</v>
      </c>
      <c r="AA4" s="22" t="n">
        <v>0.003630230885835118</v>
      </c>
      <c r="AB4" s="22" t="n">
        <v>0</v>
      </c>
      <c r="AC4" s="22" t="n">
        <v>0.02379204577699581</v>
      </c>
      <c r="AD4" s="22" t="n">
        <v>0</v>
      </c>
      <c r="AE4" s="22" t="n">
        <v>0</v>
      </c>
      <c r="AF4" s="22" t="n">
        <v>0</v>
      </c>
      <c r="AG4" s="22" t="n">
        <v>0</v>
      </c>
      <c r="AH4" s="22" t="n">
        <v>10.18425521503851</v>
      </c>
      <c r="AI4" s="22" t="n">
        <v>0.06569156251087498</v>
      </c>
      <c r="AJ4" s="22" t="n">
        <v>15.05878892491154</v>
      </c>
      <c r="AK4" s="22" t="n">
        <v>48.09580038265711</v>
      </c>
      <c r="AL4" s="22" t="n">
        <v>0</v>
      </c>
      <c r="AM4" s="22" t="n">
        <v>0</v>
      </c>
      <c r="AN4" s="22" t="n">
        <v>0</v>
      </c>
      <c r="AO4" s="23" t="n">
        <v>7240.786494845298</v>
      </c>
      <c r="AP4" s="22" t="n">
        <v>2692.293210401659</v>
      </c>
      <c r="AQ4" s="22" t="n">
        <v>0</v>
      </c>
      <c r="AR4" s="23" t="n">
        <v>2692.293210401659</v>
      </c>
      <c r="AS4" s="23" t="n">
        <v>946.9301041773881</v>
      </c>
      <c r="AT4" s="22" t="n">
        <v>625.7817119477198</v>
      </c>
      <c r="AU4" s="22" t="n">
        <v>43.95521306443662</v>
      </c>
      <c r="AV4" s="23" t="n">
        <v>669.7369250121565</v>
      </c>
      <c r="AW4" s="23" t="n">
        <v>4308.960239591203</v>
      </c>
      <c r="AX4" s="23" t="n">
        <v>11549.7467344365</v>
      </c>
    </row>
    <row r="5">
      <c r="A5" s="8" t="inlineStr">
        <is>
          <t>5-9</t>
        </is>
      </c>
      <c r="B5" s="10" t="inlineStr">
        <is>
          <t xml:space="preserve">Mining and quarrying </t>
        </is>
      </c>
      <c r="C5" s="22" t="n">
        <v>2.120180690308506</v>
      </c>
      <c r="D5" s="22" t="n">
        <v>275.0498215221299</v>
      </c>
      <c r="E5" s="22" t="n">
        <v>0.8944264705910602</v>
      </c>
      <c r="F5" s="22" t="n">
        <v>0</v>
      </c>
      <c r="G5" s="22" t="n">
        <v>0</v>
      </c>
      <c r="H5" s="22" t="n">
        <v>60.82159141106074</v>
      </c>
      <c r="I5" s="22" t="n">
        <v>0</v>
      </c>
      <c r="J5" s="22" t="n">
        <v>0.05523314677848128</v>
      </c>
      <c r="K5" s="22" t="n">
        <v>273.5541561012056</v>
      </c>
      <c r="L5" s="22" t="n">
        <v>44.79304423711438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0.03554770335856963</v>
      </c>
      <c r="R5" s="22" t="n">
        <v>1.960579529531671</v>
      </c>
      <c r="S5" s="22" t="n">
        <v>0</v>
      </c>
      <c r="T5" s="22" t="n">
        <v>199.8313593234075</v>
      </c>
      <c r="U5" s="22" t="n">
        <v>2.129167516293065</v>
      </c>
      <c r="V5" s="22" t="n">
        <v>3.821775771902715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0.005826104478816763</v>
      </c>
      <c r="AB5" s="22" t="n">
        <v>9.743716479269882</v>
      </c>
      <c r="AC5" s="22" t="n">
        <v>0</v>
      </c>
      <c r="AD5" s="22" t="n">
        <v>0</v>
      </c>
      <c r="AE5" s="22" t="n">
        <v>0</v>
      </c>
      <c r="AF5" s="22" t="n">
        <v>0</v>
      </c>
      <c r="AG5" s="22" t="n">
        <v>0</v>
      </c>
      <c r="AH5" s="22" t="n">
        <v>0.05112240423825458</v>
      </c>
      <c r="AI5" s="22" t="n">
        <v>0.119880186029411</v>
      </c>
      <c r="AJ5" s="22" t="n">
        <v>0</v>
      </c>
      <c r="AK5" s="22" t="n">
        <v>0</v>
      </c>
      <c r="AL5" s="22" t="n">
        <v>1.290492416091943</v>
      </c>
      <c r="AM5" s="22" t="n">
        <v>0</v>
      </c>
      <c r="AN5" s="22" t="n">
        <v>0</v>
      </c>
      <c r="AO5" s="23" t="n">
        <v>876.2779210137907</v>
      </c>
      <c r="AP5" s="22" t="n">
        <v>0.6551675381294243</v>
      </c>
      <c r="AQ5" s="22" t="n">
        <v>0</v>
      </c>
      <c r="AR5" s="23" t="n">
        <v>0.6551675381294243</v>
      </c>
      <c r="AS5" s="23" t="n">
        <v>2289.426223203566</v>
      </c>
      <c r="AT5" s="22" t="n">
        <v>0</v>
      </c>
      <c r="AU5" s="22" t="n">
        <v>36.26315053088514</v>
      </c>
      <c r="AV5" s="23" t="n">
        <v>36.26315053088514</v>
      </c>
      <c r="AW5" s="23" t="n">
        <v>2326.34454127258</v>
      </c>
      <c r="AX5" s="23" t="n">
        <v>3202.622462286371</v>
      </c>
    </row>
    <row r="6">
      <c r="A6" s="8" t="inlineStr">
        <is>
          <t>10-12</t>
        </is>
      </c>
      <c r="B6" s="10" t="inlineStr">
        <is>
          <t xml:space="preserve">Food products, beverages and tobacco products </t>
        </is>
      </c>
      <c r="C6" s="22" t="n">
        <v>537.7777242194899</v>
      </c>
      <c r="D6" s="22" t="n">
        <v>0</v>
      </c>
      <c r="E6" s="22" t="n">
        <v>2613.613098181487</v>
      </c>
      <c r="F6" s="22" t="n">
        <v>0</v>
      </c>
      <c r="G6" s="22" t="n">
        <v>0</v>
      </c>
      <c r="H6" s="22" t="n">
        <v>0</v>
      </c>
      <c r="I6" s="22" t="n">
        <v>1.353394384159873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0.3207762247271789</v>
      </c>
      <c r="S6" s="22" t="n">
        <v>39.50978705282469</v>
      </c>
      <c r="T6" s="22" t="n">
        <v>0</v>
      </c>
      <c r="U6" s="22" t="n">
        <v>415.6026615711031</v>
      </c>
      <c r="V6" s="22" t="n">
        <v>0.1649820882708116</v>
      </c>
      <c r="W6" s="22" t="n">
        <v>1637.687894778736</v>
      </c>
      <c r="X6" s="22" t="n">
        <v>1.281316973671824</v>
      </c>
      <c r="Y6" s="22" t="n">
        <v>0</v>
      </c>
      <c r="Z6" s="22" t="n">
        <v>0.1733824179218488</v>
      </c>
      <c r="AA6" s="22" t="n">
        <v>0.2005589289336992</v>
      </c>
      <c r="AB6" s="22" t="n">
        <v>0</v>
      </c>
      <c r="AC6" s="22" t="n">
        <v>1.700151814587776</v>
      </c>
      <c r="AD6" s="22" t="n">
        <v>0</v>
      </c>
      <c r="AE6" s="22" t="n">
        <v>0.1127871726182437</v>
      </c>
      <c r="AF6" s="22" t="n">
        <v>0</v>
      </c>
      <c r="AG6" s="22" t="n">
        <v>0</v>
      </c>
      <c r="AH6" s="22" t="n">
        <v>82.96304537842525</v>
      </c>
      <c r="AI6" s="22" t="n">
        <v>1.297123308829306</v>
      </c>
      <c r="AJ6" s="22" t="n">
        <v>55.15454773282525</v>
      </c>
      <c r="AK6" s="22" t="n">
        <v>42.69736007710547</v>
      </c>
      <c r="AL6" s="22" t="n">
        <v>0.316894853828582</v>
      </c>
      <c r="AM6" s="22" t="n">
        <v>0</v>
      </c>
      <c r="AN6" s="22" t="n">
        <v>0</v>
      </c>
      <c r="AO6" s="23" t="n">
        <v>5431.927487159546</v>
      </c>
      <c r="AP6" s="22" t="n">
        <v>16861.63566238267</v>
      </c>
      <c r="AQ6" s="22" t="n">
        <v>0</v>
      </c>
      <c r="AR6" s="23" t="n">
        <v>16861.63566238267</v>
      </c>
      <c r="AS6" s="23" t="n">
        <v>5607.810528052353</v>
      </c>
      <c r="AT6" s="22" t="n">
        <v>0</v>
      </c>
      <c r="AU6" s="22" t="n">
        <v>180.9366162478852</v>
      </c>
      <c r="AV6" s="23" t="n">
        <v>180.9366162478852</v>
      </c>
      <c r="AW6" s="23" t="n">
        <v>22650.3828066829</v>
      </c>
      <c r="AX6" s="23" t="n">
        <v>28082.31029384245</v>
      </c>
    </row>
    <row r="7">
      <c r="A7" s="8" t="inlineStr">
        <is>
          <t>13-15</t>
        </is>
      </c>
      <c r="B7" s="10" t="inlineStr">
        <is>
          <t xml:space="preserve">Textiles, wearing apparel and leather products </t>
        </is>
      </c>
      <c r="C7" s="22" t="n">
        <v>10.27601961618363</v>
      </c>
      <c r="D7" s="22" t="n">
        <v>1.022871305212179</v>
      </c>
      <c r="E7" s="22" t="n">
        <v>0.7719620334468921</v>
      </c>
      <c r="F7" s="22" t="n">
        <v>346.7046579482154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10.54395716446024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4.865079702523555</v>
      </c>
      <c r="R7" s="22" t="n">
        <v>0.222588596910836</v>
      </c>
      <c r="S7" s="22" t="n">
        <v>0.8562342367219034</v>
      </c>
      <c r="T7" s="22" t="n">
        <v>18.02213962420442</v>
      </c>
      <c r="U7" s="22" t="n">
        <v>168.3433087329991</v>
      </c>
      <c r="V7" s="22" t="n">
        <v>1.783674297498418</v>
      </c>
      <c r="W7" s="22" t="n">
        <v>5.331948103071136</v>
      </c>
      <c r="X7" s="22" t="n">
        <v>0.4582662462094584</v>
      </c>
      <c r="Y7" s="22" t="n">
        <v>0</v>
      </c>
      <c r="Z7" s="22" t="n">
        <v>0</v>
      </c>
      <c r="AA7" s="22" t="n">
        <v>0.1724238482040472</v>
      </c>
      <c r="AB7" s="22" t="n">
        <v>0.008646744378041768</v>
      </c>
      <c r="AC7" s="22" t="n">
        <v>0.1392654749954244</v>
      </c>
      <c r="AD7" s="22" t="n">
        <v>0.06834713786407413</v>
      </c>
      <c r="AE7" s="22" t="n">
        <v>3.704459782463286</v>
      </c>
      <c r="AF7" s="22" t="n">
        <v>0.3433293844349078</v>
      </c>
      <c r="AG7" s="22" t="n">
        <v>108.0547883390412</v>
      </c>
      <c r="AH7" s="22" t="n">
        <v>9.878777701414435</v>
      </c>
      <c r="AI7" s="22" t="n">
        <v>5.499010701892622</v>
      </c>
      <c r="AJ7" s="22" t="n">
        <v>18.2096484317314</v>
      </c>
      <c r="AK7" s="22" t="n">
        <v>11.13812381801809</v>
      </c>
      <c r="AL7" s="22" t="n">
        <v>18.64879258838833</v>
      </c>
      <c r="AM7" s="22" t="n">
        <v>0</v>
      </c>
      <c r="AN7" s="22" t="n">
        <v>0</v>
      </c>
      <c r="AO7" s="23" t="n">
        <v>745.068321560483</v>
      </c>
      <c r="AP7" s="22" t="n">
        <v>2364.814164791695</v>
      </c>
      <c r="AQ7" s="22" t="n">
        <v>0</v>
      </c>
      <c r="AR7" s="23" t="n">
        <v>2364.814164791695</v>
      </c>
      <c r="AS7" s="23" t="n">
        <v>1515.799689918364</v>
      </c>
      <c r="AT7" s="22" t="n">
        <v>0</v>
      </c>
      <c r="AU7" s="22" t="n">
        <v>6.975017374058321</v>
      </c>
      <c r="AV7" s="23" t="n">
        <v>6.975017374058321</v>
      </c>
      <c r="AW7" s="23" t="n">
        <v>3887.588872084118</v>
      </c>
      <c r="AX7" s="23" t="n">
        <v>4632.657193644601</v>
      </c>
    </row>
    <row r="8">
      <c r="A8" s="8" t="inlineStr">
        <is>
          <t>16-18</t>
        </is>
      </c>
      <c r="B8" s="10" t="inlineStr">
        <is>
          <t xml:space="preserve">Wood and paper products, and printing services </t>
        </is>
      </c>
      <c r="C8" s="22" t="n">
        <v>44.53769049470304</v>
      </c>
      <c r="D8" s="22" t="n">
        <v>29.1192177653171</v>
      </c>
      <c r="E8" s="22" t="n">
        <v>80.18665506187419</v>
      </c>
      <c r="F8" s="22" t="n">
        <v>5.650504582873186</v>
      </c>
      <c r="G8" s="22" t="n">
        <v>295.9456090417991</v>
      </c>
      <c r="H8" s="22" t="n">
        <v>0.06996485649191356</v>
      </c>
      <c r="I8" s="22" t="n">
        <v>0.07053741255024815</v>
      </c>
      <c r="J8" s="22" t="n">
        <v>5.143381945825796</v>
      </c>
      <c r="K8" s="22" t="n">
        <v>43.9471855054107</v>
      </c>
      <c r="L8" s="22" t="n">
        <v>3.452922116287555</v>
      </c>
      <c r="M8" s="22" t="n">
        <v>0</v>
      </c>
      <c r="N8" s="22" t="n">
        <v>0.1088043018404141</v>
      </c>
      <c r="O8" s="22" t="n">
        <v>0.01106691283847935</v>
      </c>
      <c r="P8" s="22" t="n">
        <v>0.2670879628047331</v>
      </c>
      <c r="Q8" s="22" t="n">
        <v>127.8168429190283</v>
      </c>
      <c r="R8" s="22" t="n">
        <v>1.562154703418597</v>
      </c>
      <c r="S8" s="22" t="n">
        <v>10.59509297819228</v>
      </c>
      <c r="T8" s="22" t="n">
        <v>298.4852756678376</v>
      </c>
      <c r="U8" s="22" t="n">
        <v>278.2115571169332</v>
      </c>
      <c r="V8" s="22" t="n">
        <v>38.00031903175853</v>
      </c>
      <c r="W8" s="22" t="n">
        <v>41.66757846013743</v>
      </c>
      <c r="X8" s="22" t="n">
        <v>79.89796158534928</v>
      </c>
      <c r="Y8" s="22" t="n">
        <v>2.016417884886947</v>
      </c>
      <c r="Z8" s="22" t="n">
        <v>5.144276233958498</v>
      </c>
      <c r="AA8" s="22" t="n">
        <v>26.42904652407811</v>
      </c>
      <c r="AB8" s="22" t="n">
        <v>63.93139634687438</v>
      </c>
      <c r="AC8" s="22" t="n">
        <v>14.64376321806631</v>
      </c>
      <c r="AD8" s="22" t="n">
        <v>0.1612653497296897</v>
      </c>
      <c r="AE8" s="22" t="n">
        <v>15.94334708444072</v>
      </c>
      <c r="AF8" s="22" t="n">
        <v>12.26598438238507</v>
      </c>
      <c r="AG8" s="22" t="n">
        <v>12.80466955605255</v>
      </c>
      <c r="AH8" s="22" t="n">
        <v>55.8531405473329</v>
      </c>
      <c r="AI8" s="22" t="n">
        <v>21.71585604569108</v>
      </c>
      <c r="AJ8" s="22" t="n">
        <v>7.073946419315263</v>
      </c>
      <c r="AK8" s="22" t="n">
        <v>50.86791997684296</v>
      </c>
      <c r="AL8" s="22" t="n">
        <v>29.98557323461327</v>
      </c>
      <c r="AM8" s="22" t="n">
        <v>0</v>
      </c>
      <c r="AN8" s="22" t="n">
        <v>0</v>
      </c>
      <c r="AO8" s="23" t="n">
        <v>1703.58401322754</v>
      </c>
      <c r="AP8" s="22" t="n">
        <v>567.5840846726784</v>
      </c>
      <c r="AQ8" s="22" t="n">
        <v>0</v>
      </c>
      <c r="AR8" s="23" t="n">
        <v>567.5840846726784</v>
      </c>
      <c r="AS8" s="23" t="n">
        <v>298.084202924707</v>
      </c>
      <c r="AT8" s="22" t="n">
        <v>0</v>
      </c>
      <c r="AU8" s="22" t="n">
        <v>26.10970186537892</v>
      </c>
      <c r="AV8" s="23" t="n">
        <v>26.10970186537892</v>
      </c>
      <c r="AW8" s="23" t="n">
        <v>891.7779894627644</v>
      </c>
      <c r="AX8" s="23" t="n">
        <v>2595.362002690304</v>
      </c>
    </row>
    <row r="9">
      <c r="A9" s="8" t="n">
        <v>19</v>
      </c>
      <c r="B9" s="15" t="inlineStr">
        <is>
          <t>Coke and refined petroleum products</t>
        </is>
      </c>
      <c r="C9" s="22" t="n">
        <v>121.4636234065447</v>
      </c>
      <c r="D9" s="22" t="n">
        <v>186.23523421103</v>
      </c>
      <c r="E9" s="22" t="n">
        <v>59.78890673204683</v>
      </c>
      <c r="F9" s="22" t="n">
        <v>0.6113977494115497</v>
      </c>
      <c r="G9" s="22" t="n">
        <v>5.181005655411686</v>
      </c>
      <c r="H9" s="22" t="n">
        <v>164.3559549387888</v>
      </c>
      <c r="I9" s="22" t="n">
        <v>10.42436472309243</v>
      </c>
      <c r="J9" s="22" t="n">
        <v>0.03478657836007248</v>
      </c>
      <c r="K9" s="22" t="n">
        <v>183.4680013707335</v>
      </c>
      <c r="L9" s="22" t="n">
        <v>165.093371199252</v>
      </c>
      <c r="M9" s="22" t="n">
        <v>0</v>
      </c>
      <c r="N9" s="22" t="n">
        <v>0.7077891620748629</v>
      </c>
      <c r="O9" s="22" t="n">
        <v>0.05251367718359294</v>
      </c>
      <c r="P9" s="22" t="n">
        <v>0.5940113206204913</v>
      </c>
      <c r="Q9" s="22" t="n">
        <v>1.689123985195509</v>
      </c>
      <c r="R9" s="22" t="n">
        <v>10.95545430085432</v>
      </c>
      <c r="S9" s="22" t="n">
        <v>63.23238090313721</v>
      </c>
      <c r="T9" s="22" t="n">
        <v>151.3321100979302</v>
      </c>
      <c r="U9" s="22" t="n">
        <v>126.4765262926379</v>
      </c>
      <c r="V9" s="22" t="n">
        <v>1089.397511043226</v>
      </c>
      <c r="W9" s="22" t="n">
        <v>23.62415343311277</v>
      </c>
      <c r="X9" s="22" t="n">
        <v>5.919603629246998</v>
      </c>
      <c r="Y9" s="22" t="n">
        <v>0.8449858334161766</v>
      </c>
      <c r="Z9" s="22" t="n">
        <v>3.330360143343987</v>
      </c>
      <c r="AA9" s="22" t="n">
        <v>3.390500780563956</v>
      </c>
      <c r="AB9" s="22" t="n">
        <v>3.094434984588488</v>
      </c>
      <c r="AC9" s="22" t="n">
        <v>8.239907542730723</v>
      </c>
      <c r="AD9" s="22" t="n">
        <v>1.083097566565729</v>
      </c>
      <c r="AE9" s="22" t="n">
        <v>1.971540911954563</v>
      </c>
      <c r="AF9" s="22" t="n">
        <v>28.124755555631</v>
      </c>
      <c r="AG9" s="22" t="n">
        <v>279.7767299396525</v>
      </c>
      <c r="AH9" s="22" t="n">
        <v>13.3506080754287</v>
      </c>
      <c r="AI9" s="22" t="n">
        <v>16.37750253772867</v>
      </c>
      <c r="AJ9" s="22" t="n">
        <v>12.48708047616202</v>
      </c>
      <c r="AK9" s="22" t="n">
        <v>28.0777799091161</v>
      </c>
      <c r="AL9" s="22" t="n">
        <v>6.601308105557335</v>
      </c>
      <c r="AM9" s="22" t="n">
        <v>0</v>
      </c>
      <c r="AN9" s="22" t="n">
        <v>0</v>
      </c>
      <c r="AO9" s="23" t="n">
        <v>2777.388416772332</v>
      </c>
      <c r="AP9" s="22" t="n">
        <v>2226.518450684482</v>
      </c>
      <c r="AQ9" s="22" t="n">
        <v>0</v>
      </c>
      <c r="AR9" s="23" t="n">
        <v>2226.518450684482</v>
      </c>
      <c r="AS9" s="23" t="n">
        <v>219.1869663672279</v>
      </c>
      <c r="AT9" s="22" t="n">
        <v>0</v>
      </c>
      <c r="AU9" s="22" t="n">
        <v>5.487971951896764</v>
      </c>
      <c r="AV9" s="23" t="n">
        <v>5.487971951896764</v>
      </c>
      <c r="AW9" s="23" t="n">
        <v>2451.193389003606</v>
      </c>
      <c r="AX9" s="23" t="n">
        <v>5228.581805775939</v>
      </c>
    </row>
    <row r="10">
      <c r="A10" s="8" t="n">
        <v>20</v>
      </c>
      <c r="B10" s="15" t="inlineStr">
        <is>
          <t xml:space="preserve">Chemicals and chemical products </t>
        </is>
      </c>
      <c r="C10" s="22" t="n">
        <v>293.9534326640685</v>
      </c>
      <c r="D10" s="22" t="n">
        <v>13.26546356062479</v>
      </c>
      <c r="E10" s="22" t="n">
        <v>25.67259778223734</v>
      </c>
      <c r="F10" s="22" t="n">
        <v>4.207291629514906</v>
      </c>
      <c r="G10" s="22" t="n">
        <v>27.37107426667676</v>
      </c>
      <c r="H10" s="22" t="n">
        <v>0</v>
      </c>
      <c r="I10" s="22" t="n">
        <v>245.4066236724697</v>
      </c>
      <c r="J10" s="22" t="n">
        <v>22.90323520358672</v>
      </c>
      <c r="K10" s="22" t="n">
        <v>344.5463587856665</v>
      </c>
      <c r="L10" s="22" t="n">
        <v>9.86279216093441</v>
      </c>
      <c r="M10" s="22" t="n">
        <v>0</v>
      </c>
      <c r="N10" s="22" t="n">
        <v>0.2189011820127638</v>
      </c>
      <c r="O10" s="22" t="n">
        <v>0.6597398376285957</v>
      </c>
      <c r="P10" s="22" t="n">
        <v>0.2828235606320265</v>
      </c>
      <c r="Q10" s="22" t="n">
        <v>6.227663484194781</v>
      </c>
      <c r="R10" s="22" t="n">
        <v>0.04881971703017191</v>
      </c>
      <c r="S10" s="22" t="n">
        <v>2.302086510096026</v>
      </c>
      <c r="T10" s="22" t="n">
        <v>129.6506839436117</v>
      </c>
      <c r="U10" s="22" t="n">
        <v>164.6753633125089</v>
      </c>
      <c r="V10" s="22" t="n">
        <v>11.56511256716244</v>
      </c>
      <c r="W10" s="22" t="n">
        <v>82.64552090150775</v>
      </c>
      <c r="X10" s="22" t="n">
        <v>1.636820981655519</v>
      </c>
      <c r="Y10" s="22" t="n">
        <v>0.02092839367875984</v>
      </c>
      <c r="Z10" s="22" t="n">
        <v>0.1083157059047882</v>
      </c>
      <c r="AA10" s="22" t="n">
        <v>0.07602609260554842</v>
      </c>
      <c r="AB10" s="22" t="n">
        <v>30.01753317343576</v>
      </c>
      <c r="AC10" s="22" t="n">
        <v>2.521337882781531</v>
      </c>
      <c r="AD10" s="22" t="n">
        <v>0.5840534585566511</v>
      </c>
      <c r="AE10" s="22" t="n">
        <v>5.808048199468809</v>
      </c>
      <c r="AF10" s="22" t="n">
        <v>2.271979227589112</v>
      </c>
      <c r="AG10" s="22" t="n">
        <v>39.16027534961459</v>
      </c>
      <c r="AH10" s="22" t="n">
        <v>9.793521131647648</v>
      </c>
      <c r="AI10" s="22" t="n">
        <v>5.560243268144177</v>
      </c>
      <c r="AJ10" s="22" t="n">
        <v>2.785188667595815</v>
      </c>
      <c r="AK10" s="22" t="n">
        <v>22.95467846234973</v>
      </c>
      <c r="AL10" s="22" t="n">
        <v>29.13809732905223</v>
      </c>
      <c r="AM10" s="22" t="n">
        <v>0</v>
      </c>
      <c r="AN10" s="22" t="n">
        <v>0</v>
      </c>
      <c r="AO10" s="23" t="n">
        <v>1537.902632066246</v>
      </c>
      <c r="AP10" s="22" t="n">
        <v>1805.985391808943</v>
      </c>
      <c r="AQ10" s="22" t="n">
        <v>0</v>
      </c>
      <c r="AR10" s="23" t="n">
        <v>1805.985391808943</v>
      </c>
      <c r="AS10" s="23" t="n">
        <v>1391.7642523993</v>
      </c>
      <c r="AT10" s="22" t="n">
        <v>0</v>
      </c>
      <c r="AU10" s="22" t="n">
        <v>-12.76166367066521</v>
      </c>
      <c r="AV10" s="23" t="n">
        <v>-12.76166367066521</v>
      </c>
      <c r="AW10" s="23" t="n">
        <v>3184.987980537578</v>
      </c>
      <c r="AX10" s="23" t="n">
        <v>4722.890612603823</v>
      </c>
    </row>
    <row r="11">
      <c r="A11" s="8" t="n">
        <v>21</v>
      </c>
      <c r="B11" s="15" t="inlineStr">
        <is>
          <t xml:space="preserve">Basic pharmaceutical products and pharmaceutical preparations </t>
        </is>
      </c>
      <c r="C11" s="22" t="n">
        <v>11.5967305164354</v>
      </c>
      <c r="D11" s="22" t="n">
        <v>0</v>
      </c>
      <c r="E11" s="22" t="n">
        <v>0.002451368398097464</v>
      </c>
      <c r="F11" s="22" t="n">
        <v>0</v>
      </c>
      <c r="G11" s="22" t="n">
        <v>0</v>
      </c>
      <c r="H11" s="22" t="n">
        <v>0</v>
      </c>
      <c r="I11" s="22" t="n">
        <v>0.3239119870807239</v>
      </c>
      <c r="J11" s="22" t="n">
        <v>165.1140413070176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2.952252284260798</v>
      </c>
      <c r="R11" s="22" t="n">
        <v>0.05656268283702477</v>
      </c>
      <c r="S11" s="22" t="n">
        <v>0.03088245096995209</v>
      </c>
      <c r="T11" s="22" t="n">
        <v>0</v>
      </c>
      <c r="U11" s="22" t="n">
        <v>40.78954953339999</v>
      </c>
      <c r="V11" s="22" t="n">
        <v>0.04195818931907216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0.003444135327667404</v>
      </c>
      <c r="AB11" s="22" t="n">
        <v>0</v>
      </c>
      <c r="AC11" s="22" t="n">
        <v>17.97217007398492</v>
      </c>
      <c r="AD11" s="22" t="n">
        <v>0.1163070846816296</v>
      </c>
      <c r="AE11" s="22" t="n">
        <v>9.251991873122</v>
      </c>
      <c r="AF11" s="22" t="n">
        <v>0.01763710887193164</v>
      </c>
      <c r="AG11" s="22" t="n">
        <v>97.88853051246308</v>
      </c>
      <c r="AH11" s="22" t="n">
        <v>0.9658269840830602</v>
      </c>
      <c r="AI11" s="22" t="n">
        <v>579.8259856711254</v>
      </c>
      <c r="AJ11" s="22" t="n">
        <v>18.25757086185105</v>
      </c>
      <c r="AK11" s="22" t="n">
        <v>0.4447992472005888</v>
      </c>
      <c r="AL11" s="22" t="n">
        <v>39.45364345528031</v>
      </c>
      <c r="AM11" s="22" t="n">
        <v>0</v>
      </c>
      <c r="AN11" s="22" t="n">
        <v>0</v>
      </c>
      <c r="AO11" s="23" t="n">
        <v>985.1062473277102</v>
      </c>
      <c r="AP11" s="22" t="n">
        <v>1638.1096944449</v>
      </c>
      <c r="AQ11" s="22" t="n">
        <v>0</v>
      </c>
      <c r="AR11" s="23" t="n">
        <v>1638.1096944449</v>
      </c>
      <c r="AS11" s="23" t="n">
        <v>410.3897978330415</v>
      </c>
      <c r="AT11" s="22" t="n">
        <v>0</v>
      </c>
      <c r="AU11" s="22" t="n">
        <v>17.65921603471921</v>
      </c>
      <c r="AV11" s="23" t="n">
        <v>17.65921603471921</v>
      </c>
      <c r="AW11" s="23" t="n">
        <v>2066.15870831266</v>
      </c>
      <c r="AX11" s="23" t="n">
        <v>3051.26495564037</v>
      </c>
    </row>
    <row r="12">
      <c r="A12" s="8" t="inlineStr">
        <is>
          <t>22-23</t>
        </is>
      </c>
      <c r="B12" s="15" t="inlineStr">
        <is>
          <t xml:space="preserve">Rubber and plastics products, and other non-metallic mineral products </t>
        </is>
      </c>
      <c r="C12" s="22" t="n">
        <v>33.05857425430047</v>
      </c>
      <c r="D12" s="22" t="n">
        <v>100.6662275830477</v>
      </c>
      <c r="E12" s="22" t="n">
        <v>433.9332871455824</v>
      </c>
      <c r="F12" s="22" t="n">
        <v>1.073370970226031</v>
      </c>
      <c r="G12" s="22" t="n">
        <v>5.006952144439971</v>
      </c>
      <c r="H12" s="22" t="n">
        <v>0</v>
      </c>
      <c r="I12" s="22" t="n">
        <v>47.27863963957454</v>
      </c>
      <c r="J12" s="22" t="n">
        <v>0</v>
      </c>
      <c r="K12" s="22" t="n">
        <v>964.945642688666</v>
      </c>
      <c r="L12" s="22" t="n">
        <v>3.36884341064089</v>
      </c>
      <c r="M12" s="22" t="n">
        <v>0</v>
      </c>
      <c r="N12" s="22" t="n">
        <v>3.576814113435607</v>
      </c>
      <c r="O12" s="22" t="n">
        <v>0</v>
      </c>
      <c r="P12" s="22" t="n">
        <v>0.3438346390739027</v>
      </c>
      <c r="Q12" s="22" t="n">
        <v>1.281226385460741</v>
      </c>
      <c r="R12" s="22" t="n">
        <v>0.4620840761531925</v>
      </c>
      <c r="S12" s="22" t="n">
        <v>1.084809812581862</v>
      </c>
      <c r="T12" s="22" t="n">
        <v>3232.976600739466</v>
      </c>
      <c r="U12" s="22" t="n">
        <v>529.1281620157392</v>
      </c>
      <c r="V12" s="22" t="n">
        <v>66.43115225450715</v>
      </c>
      <c r="W12" s="22" t="n">
        <v>4.483041515830842</v>
      </c>
      <c r="X12" s="22" t="n">
        <v>0.09260961502342337</v>
      </c>
      <c r="Y12" s="22" t="n">
        <v>0</v>
      </c>
      <c r="Z12" s="22" t="n">
        <v>0.6309456106016433</v>
      </c>
      <c r="AA12" s="22" t="n">
        <v>4.04282281076299</v>
      </c>
      <c r="AB12" s="22" t="n">
        <v>435.826087894001</v>
      </c>
      <c r="AC12" s="22" t="n">
        <v>0.9391148899132571</v>
      </c>
      <c r="AD12" s="22" t="n">
        <v>0</v>
      </c>
      <c r="AE12" s="22" t="n">
        <v>7.863248823339302</v>
      </c>
      <c r="AF12" s="22" t="n">
        <v>8.275226031813412</v>
      </c>
      <c r="AG12" s="22" t="n">
        <v>116.5705587822496</v>
      </c>
      <c r="AH12" s="22" t="n">
        <v>30.73955457380379</v>
      </c>
      <c r="AI12" s="22" t="n">
        <v>0.8774885624553211</v>
      </c>
      <c r="AJ12" s="22" t="n">
        <v>1.097568691918329</v>
      </c>
      <c r="AK12" s="22" t="n">
        <v>35.59766611544764</v>
      </c>
      <c r="AL12" s="22" t="n">
        <v>4.569491741183136</v>
      </c>
      <c r="AM12" s="22" t="n">
        <v>0</v>
      </c>
      <c r="AN12" s="22" t="n">
        <v>0</v>
      </c>
      <c r="AO12" s="23" t="n">
        <v>6076.221647531238</v>
      </c>
      <c r="AP12" s="22" t="n">
        <v>1419.89674477139</v>
      </c>
      <c r="AQ12" s="22" t="n">
        <v>0</v>
      </c>
      <c r="AR12" s="23" t="n">
        <v>1419.89674477139</v>
      </c>
      <c r="AS12" s="23" t="n">
        <v>332.9625773497877</v>
      </c>
      <c r="AT12" s="22" t="n">
        <v>0</v>
      </c>
      <c r="AU12" s="22" t="n">
        <v>145.9055225209161</v>
      </c>
      <c r="AV12" s="23" t="n">
        <v>145.9055225209161</v>
      </c>
      <c r="AW12" s="23" t="n">
        <v>1898.764844642094</v>
      </c>
      <c r="AX12" s="23" t="n">
        <v>7974.986492173333</v>
      </c>
    </row>
    <row r="13">
      <c r="A13" s="8" t="inlineStr">
        <is>
          <t>24-25</t>
        </is>
      </c>
      <c r="B13" s="15" t="inlineStr">
        <is>
          <t xml:space="preserve">Basic metals and fabricated metal products, except machinery and equipment </t>
        </is>
      </c>
      <c r="C13" s="22" t="n">
        <v>54.24102978677593</v>
      </c>
      <c r="D13" s="22" t="n">
        <v>22.53313520278168</v>
      </c>
      <c r="E13" s="22" t="n">
        <v>337.2743565881181</v>
      </c>
      <c r="F13" s="22" t="n">
        <v>1.694065459051483</v>
      </c>
      <c r="G13" s="22" t="n">
        <v>1.265484927847041</v>
      </c>
      <c r="H13" s="22" t="n">
        <v>0</v>
      </c>
      <c r="I13" s="22" t="n">
        <v>0</v>
      </c>
      <c r="J13" s="22" t="n">
        <v>0</v>
      </c>
      <c r="K13" s="22" t="n">
        <v>102.093973687076</v>
      </c>
      <c r="L13" s="22" t="n">
        <v>1336.974840252213</v>
      </c>
      <c r="M13" s="22" t="n">
        <v>0</v>
      </c>
      <c r="N13" s="22" t="n">
        <v>56.36389884452874</v>
      </c>
      <c r="O13" s="22" t="n">
        <v>34.55675871324961</v>
      </c>
      <c r="P13" s="22" t="n">
        <v>6.478264971121895</v>
      </c>
      <c r="Q13" s="22" t="n">
        <v>36.01298742776284</v>
      </c>
      <c r="R13" s="22" t="n">
        <v>0.5731917563562492</v>
      </c>
      <c r="S13" s="22" t="n">
        <v>0.1984101148090894</v>
      </c>
      <c r="T13" s="22" t="n">
        <v>1379.15472001431</v>
      </c>
      <c r="U13" s="22" t="n">
        <v>118.6207434588391</v>
      </c>
      <c r="V13" s="22" t="n">
        <v>13.23562634186118</v>
      </c>
      <c r="W13" s="22" t="n">
        <v>19.08454876941552</v>
      </c>
      <c r="X13" s="22" t="n">
        <v>0</v>
      </c>
      <c r="Y13" s="22" t="n">
        <v>0</v>
      </c>
      <c r="Z13" s="22" t="n">
        <v>0</v>
      </c>
      <c r="AA13" s="22" t="n">
        <v>4.934445334859739</v>
      </c>
      <c r="AB13" s="22" t="n">
        <v>179.369041904322</v>
      </c>
      <c r="AC13" s="22" t="n">
        <v>4.21617986205976</v>
      </c>
      <c r="AD13" s="22" t="n">
        <v>0</v>
      </c>
      <c r="AE13" s="22" t="n">
        <v>60.60025851824658</v>
      </c>
      <c r="AF13" s="22" t="n">
        <v>15.03785838830809</v>
      </c>
      <c r="AG13" s="22" t="n">
        <v>32.31632919250038</v>
      </c>
      <c r="AH13" s="22" t="n">
        <v>0.612268470014053</v>
      </c>
      <c r="AI13" s="22" t="n">
        <v>0.0003750447937653934</v>
      </c>
      <c r="AJ13" s="22" t="n">
        <v>0.1157374285475344</v>
      </c>
      <c r="AK13" s="22" t="n">
        <v>4.260505214447495</v>
      </c>
      <c r="AL13" s="22" t="n">
        <v>1.164080383429433</v>
      </c>
      <c r="AM13" s="22" t="n">
        <v>0</v>
      </c>
      <c r="AN13" s="22" t="n">
        <v>0</v>
      </c>
      <c r="AO13" s="23" t="n">
        <v>3822.983116057646</v>
      </c>
      <c r="AP13" s="22" t="n">
        <v>870.7911311734802</v>
      </c>
      <c r="AQ13" s="22" t="n">
        <v>0</v>
      </c>
      <c r="AR13" s="23" t="n">
        <v>870.7911311734802</v>
      </c>
      <c r="AS13" s="23" t="n">
        <v>2150.339056834907</v>
      </c>
      <c r="AT13" s="22" t="n">
        <v>145.1114042543617</v>
      </c>
      <c r="AU13" s="22" t="n">
        <v>-15.51766794813611</v>
      </c>
      <c r="AV13" s="23" t="n">
        <v>129.5937363062256</v>
      </c>
      <c r="AW13" s="23" t="n">
        <v>3150.723924314612</v>
      </c>
      <c r="AX13" s="23" t="n">
        <v>6973.70704037226</v>
      </c>
    </row>
    <row r="14">
      <c r="A14" s="8" t="n">
        <v>26</v>
      </c>
      <c r="B14" s="15" t="inlineStr">
        <is>
          <t xml:space="preserve">Computer, electronic and optical products </t>
        </is>
      </c>
      <c r="C14" s="22" t="n">
        <v>0.030290027438384</v>
      </c>
      <c r="D14" s="22" t="n">
        <v>0</v>
      </c>
      <c r="E14" s="22" t="n">
        <v>0.00846743246233247</v>
      </c>
      <c r="F14" s="22" t="n">
        <v>0</v>
      </c>
      <c r="G14" s="22" t="n">
        <v>0</v>
      </c>
      <c r="H14" s="22" t="n">
        <v>0</v>
      </c>
      <c r="I14" s="22" t="n">
        <v>0.04814930775652127</v>
      </c>
      <c r="J14" s="22" t="n">
        <v>0.5758843448318344</v>
      </c>
      <c r="K14" s="22" t="n">
        <v>0.007481802715369181</v>
      </c>
      <c r="L14" s="22" t="n">
        <v>2.089594191766385</v>
      </c>
      <c r="M14" s="22" t="n">
        <v>0</v>
      </c>
      <c r="N14" s="22" t="n">
        <v>60.71773530424804</v>
      </c>
      <c r="O14" s="22" t="n">
        <v>0</v>
      </c>
      <c r="P14" s="22" t="n">
        <v>0.1667515781718071</v>
      </c>
      <c r="Q14" s="22" t="n">
        <v>15.59018048612403</v>
      </c>
      <c r="R14" s="22" t="n">
        <v>6.055694412302361</v>
      </c>
      <c r="S14" s="22" t="n">
        <v>0.03388779225085056</v>
      </c>
      <c r="T14" s="22" t="n">
        <v>15.68295493280868</v>
      </c>
      <c r="U14" s="22" t="n">
        <v>150.4091011318646</v>
      </c>
      <c r="V14" s="22" t="n">
        <v>36.04781811477055</v>
      </c>
      <c r="W14" s="22" t="n">
        <v>4.945649930425093</v>
      </c>
      <c r="X14" s="22" t="n">
        <v>0.4605589705024687</v>
      </c>
      <c r="Y14" s="22" t="n">
        <v>73.08062643342397</v>
      </c>
      <c r="Z14" s="22" t="n">
        <v>72.60769627942761</v>
      </c>
      <c r="AA14" s="22" t="n">
        <v>23.27058238731277</v>
      </c>
      <c r="AB14" s="22" t="n">
        <v>0.01973676524789647</v>
      </c>
      <c r="AC14" s="22" t="n">
        <v>14.97004755261258</v>
      </c>
      <c r="AD14" s="22" t="n">
        <v>0.2219851692440745</v>
      </c>
      <c r="AE14" s="22" t="n">
        <v>5.156105359857567</v>
      </c>
      <c r="AF14" s="22" t="n">
        <v>1.181476914997798</v>
      </c>
      <c r="AG14" s="22" t="n">
        <v>12.57750515924102</v>
      </c>
      <c r="AH14" s="22" t="n">
        <v>31.58883167653489</v>
      </c>
      <c r="AI14" s="22" t="n">
        <v>13.38338017898658</v>
      </c>
      <c r="AJ14" s="22" t="n">
        <v>6.343640379819478</v>
      </c>
      <c r="AK14" s="22" t="n">
        <v>3.033672468198303</v>
      </c>
      <c r="AL14" s="22" t="n">
        <v>72.48783407157254</v>
      </c>
      <c r="AM14" s="22" t="n">
        <v>0</v>
      </c>
      <c r="AN14" s="22" t="n">
        <v>0</v>
      </c>
      <c r="AO14" s="23" t="n">
        <v>622.7933205569163</v>
      </c>
      <c r="AP14" s="22" t="n">
        <v>1431.312842126244</v>
      </c>
      <c r="AQ14" s="22" t="n">
        <v>0</v>
      </c>
      <c r="AR14" s="23" t="n">
        <v>1431.312842126244</v>
      </c>
      <c r="AS14" s="23" t="n">
        <v>125.5143575024514</v>
      </c>
      <c r="AT14" s="22" t="n">
        <v>1503.892174531079</v>
      </c>
      <c r="AU14" s="22" t="n">
        <v>0.7081377183940984</v>
      </c>
      <c r="AV14" s="23" t="n">
        <v>1504.600312249473</v>
      </c>
      <c r="AW14" s="23" t="n">
        <v>3061.427511878167</v>
      </c>
      <c r="AX14" s="23" t="n">
        <v>3684.220832435084</v>
      </c>
    </row>
    <row r="15">
      <c r="A15" s="8" t="n">
        <v>27</v>
      </c>
      <c r="B15" s="15" t="inlineStr">
        <is>
          <t xml:space="preserve">Electrical equipment </t>
        </is>
      </c>
      <c r="C15" s="22" t="n">
        <v>0.09475563056740086</v>
      </c>
      <c r="D15" s="22" t="n">
        <v>4.205362925167804</v>
      </c>
      <c r="E15" s="22" t="n">
        <v>3.535553180430658</v>
      </c>
      <c r="F15" s="22" t="n">
        <v>0</v>
      </c>
      <c r="G15" s="22" t="n">
        <v>0</v>
      </c>
      <c r="H15" s="22" t="n">
        <v>0</v>
      </c>
      <c r="I15" s="22" t="n">
        <v>1.502000052425087</v>
      </c>
      <c r="J15" s="22" t="n">
        <v>0</v>
      </c>
      <c r="K15" s="22" t="n">
        <v>0.01048158817521708</v>
      </c>
      <c r="L15" s="22" t="n">
        <v>85.39933522823651</v>
      </c>
      <c r="M15" s="22" t="n">
        <v>0</v>
      </c>
      <c r="N15" s="22" t="n">
        <v>37.84741049384071</v>
      </c>
      <c r="O15" s="22" t="n">
        <v>0</v>
      </c>
      <c r="P15" s="22" t="n">
        <v>2.993297048194337</v>
      </c>
      <c r="Q15" s="22" t="n">
        <v>0.06522317375296124</v>
      </c>
      <c r="R15" s="22" t="n">
        <v>27.25094061980505</v>
      </c>
      <c r="S15" s="22" t="n">
        <v>3.39299345083331</v>
      </c>
      <c r="T15" s="22" t="n">
        <v>380.2808490873135</v>
      </c>
      <c r="U15" s="22" t="n">
        <v>100.8803586572404</v>
      </c>
      <c r="V15" s="22" t="n">
        <v>75.81791292621597</v>
      </c>
      <c r="W15" s="22" t="n">
        <v>6.267029355885269</v>
      </c>
      <c r="X15" s="22" t="n">
        <v>5.820996581262534</v>
      </c>
      <c r="Y15" s="22" t="n">
        <v>0.9544923846364409</v>
      </c>
      <c r="Z15" s="22" t="n">
        <v>0.9579651221117902</v>
      </c>
      <c r="AA15" s="22" t="n">
        <v>2.331739417915193</v>
      </c>
      <c r="AB15" s="22" t="n">
        <v>0.5804513382857623</v>
      </c>
      <c r="AC15" s="22" t="n">
        <v>4.702343672147052</v>
      </c>
      <c r="AD15" s="22" t="n">
        <v>0.1088013089451165</v>
      </c>
      <c r="AE15" s="22" t="n">
        <v>0.06128566230437034</v>
      </c>
      <c r="AF15" s="22" t="n">
        <v>52.56731580138727</v>
      </c>
      <c r="AG15" s="22" t="n">
        <v>11.6095705955369</v>
      </c>
      <c r="AH15" s="22" t="n">
        <v>2.480379019878269</v>
      </c>
      <c r="AI15" s="22" t="n">
        <v>7.37598722080432</v>
      </c>
      <c r="AJ15" s="22" t="n">
        <v>4.964881699145801</v>
      </c>
      <c r="AK15" s="22" t="n">
        <v>10.8205968954646</v>
      </c>
      <c r="AL15" s="22" t="n">
        <v>2.314769699562571</v>
      </c>
      <c r="AM15" s="22" t="n">
        <v>0</v>
      </c>
      <c r="AN15" s="22" t="n">
        <v>0</v>
      </c>
      <c r="AO15" s="23" t="n">
        <v>837.1950798374721</v>
      </c>
      <c r="AP15" s="22" t="n">
        <v>1595.797276940917</v>
      </c>
      <c r="AQ15" s="22" t="n">
        <v>0</v>
      </c>
      <c r="AR15" s="23" t="n">
        <v>1595.797276940917</v>
      </c>
      <c r="AS15" s="23" t="n">
        <v>231.7225813626459</v>
      </c>
      <c r="AT15" s="22" t="n">
        <v>466.3112958527659</v>
      </c>
      <c r="AU15" s="22" t="n">
        <v>4.903513440640372</v>
      </c>
      <c r="AV15" s="23" t="n">
        <v>471.2148092934062</v>
      </c>
      <c r="AW15" s="23" t="n">
        <v>2298.734667596969</v>
      </c>
      <c r="AX15" s="23" t="n">
        <v>3135.929747434441</v>
      </c>
    </row>
    <row r="16">
      <c r="A16" s="8" t="n">
        <v>28</v>
      </c>
      <c r="B16" s="15" t="inlineStr">
        <is>
          <t xml:space="preserve">Machinery and equipment n.e.c. </t>
        </is>
      </c>
      <c r="C16" s="22" t="n">
        <v>16.83553223001807</v>
      </c>
      <c r="D16" s="22" t="n">
        <v>362.3268857232536</v>
      </c>
      <c r="E16" s="22" t="n">
        <v>22.98986617137668</v>
      </c>
      <c r="F16" s="22" t="n">
        <v>0.03958562657144397</v>
      </c>
      <c r="G16" s="22" t="n">
        <v>0.12863516615511</v>
      </c>
      <c r="H16" s="22" t="n">
        <v>0</v>
      </c>
      <c r="I16" s="22" t="n">
        <v>0.2083583988963172</v>
      </c>
      <c r="J16" s="22" t="n">
        <v>0</v>
      </c>
      <c r="K16" s="22" t="n">
        <v>63.37233162687928</v>
      </c>
      <c r="L16" s="22" t="n">
        <v>316.5524600256688</v>
      </c>
      <c r="M16" s="22" t="n">
        <v>0</v>
      </c>
      <c r="N16" s="22" t="n">
        <v>0</v>
      </c>
      <c r="O16" s="22" t="n">
        <v>0</v>
      </c>
      <c r="P16" s="22" t="n">
        <v>11.41543985408411</v>
      </c>
      <c r="Q16" s="22" t="n">
        <v>3.886478802673052</v>
      </c>
      <c r="R16" s="22" t="n">
        <v>20.74938776941152</v>
      </c>
      <c r="S16" s="22" t="n">
        <v>26.87110684876667</v>
      </c>
      <c r="T16" s="22" t="n">
        <v>175.5464453126858</v>
      </c>
      <c r="U16" s="22" t="n">
        <v>83.44930139059009</v>
      </c>
      <c r="V16" s="22" t="n">
        <v>10.07487776425227</v>
      </c>
      <c r="W16" s="22" t="n">
        <v>7.204202193121068</v>
      </c>
      <c r="X16" s="22" t="n">
        <v>0.1577707941414987</v>
      </c>
      <c r="Y16" s="22" t="n">
        <v>0</v>
      </c>
      <c r="Z16" s="22" t="n">
        <v>0</v>
      </c>
      <c r="AA16" s="22" t="n">
        <v>1.559207997500589</v>
      </c>
      <c r="AB16" s="22" t="n">
        <v>0.02174770506488043</v>
      </c>
      <c r="AC16" s="22" t="n">
        <v>0.04357199153011615</v>
      </c>
      <c r="AD16" s="22" t="n">
        <v>0.2359628848320089</v>
      </c>
      <c r="AE16" s="22" t="n">
        <v>0</v>
      </c>
      <c r="AF16" s="22" t="n">
        <v>0.6810849585790998</v>
      </c>
      <c r="AG16" s="22" t="n">
        <v>30.12635039334545</v>
      </c>
      <c r="AH16" s="22" t="n">
        <v>7.03292215370131</v>
      </c>
      <c r="AI16" s="22" t="n">
        <v>14.79318549552457</v>
      </c>
      <c r="AJ16" s="22" t="n">
        <v>0.2687392349127494</v>
      </c>
      <c r="AK16" s="22" t="n">
        <v>6.860493907460739</v>
      </c>
      <c r="AL16" s="22" t="n">
        <v>3.756080077961029</v>
      </c>
      <c r="AM16" s="22" t="n">
        <v>0</v>
      </c>
      <c r="AN16" s="22" t="n">
        <v>0</v>
      </c>
      <c r="AO16" s="23" t="n">
        <v>1187.188012498958</v>
      </c>
      <c r="AP16" s="22" t="n">
        <v>233.0315745411863</v>
      </c>
      <c r="AQ16" s="22" t="n">
        <v>0</v>
      </c>
      <c r="AR16" s="23" t="n">
        <v>233.0315745411863</v>
      </c>
      <c r="AS16" s="23" t="n">
        <v>438.9196526935566</v>
      </c>
      <c r="AT16" s="22" t="n">
        <v>1902.49437440522</v>
      </c>
      <c r="AU16" s="22" t="n">
        <v>-8.727911290886983</v>
      </c>
      <c r="AV16" s="23" t="n">
        <v>1893.766463114333</v>
      </c>
      <c r="AW16" s="23" t="n">
        <v>2565.717690349076</v>
      </c>
      <c r="AX16" s="23" t="n">
        <v>3752.905702848034</v>
      </c>
    </row>
    <row r="17">
      <c r="A17" s="8" t="inlineStr">
        <is>
          <t>29-30</t>
        </is>
      </c>
      <c r="B17" s="15" t="inlineStr">
        <is>
          <t xml:space="preserve">Transport equipment </t>
        </is>
      </c>
      <c r="C17" s="22" t="n">
        <v>0.9031570576687746</v>
      </c>
      <c r="D17" s="22" t="n">
        <v>0.1053682240969457</v>
      </c>
      <c r="E17" s="22" t="n">
        <v>2.023239368969792</v>
      </c>
      <c r="F17" s="22" t="n">
        <v>0</v>
      </c>
      <c r="G17" s="22" t="n">
        <v>0</v>
      </c>
      <c r="H17" s="22" t="n">
        <v>0</v>
      </c>
      <c r="I17" s="22" t="n">
        <v>0.7278377915410164</v>
      </c>
      <c r="J17" s="22" t="n">
        <v>0.03259306243164152</v>
      </c>
      <c r="K17" s="22" t="n">
        <v>19.06087355148239</v>
      </c>
      <c r="L17" s="22" t="n">
        <v>6.028279490777535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23.66746830269825</v>
      </c>
      <c r="R17" s="22" t="n">
        <v>0.04526393361133697</v>
      </c>
      <c r="S17" s="22" t="n">
        <v>16.01011992897478</v>
      </c>
      <c r="T17" s="22" t="n">
        <v>20.46594787231797</v>
      </c>
      <c r="U17" s="22" t="n">
        <v>167.2349257570232</v>
      </c>
      <c r="V17" s="22" t="n">
        <v>57.31654503649662</v>
      </c>
      <c r="W17" s="22" t="n">
        <v>0.5564909209549547</v>
      </c>
      <c r="X17" s="22" t="n">
        <v>0.2025745853852045</v>
      </c>
      <c r="Y17" s="22" t="n">
        <v>0</v>
      </c>
      <c r="Z17" s="22" t="n">
        <v>0</v>
      </c>
      <c r="AA17" s="22" t="n">
        <v>0.2141497608170933</v>
      </c>
      <c r="AB17" s="22" t="n">
        <v>0.002099524960866656</v>
      </c>
      <c r="AC17" s="22" t="n">
        <v>0.006677257365627539</v>
      </c>
      <c r="AD17" s="22" t="n">
        <v>0.4898829578330773</v>
      </c>
      <c r="AE17" s="22" t="n">
        <v>0</v>
      </c>
      <c r="AF17" s="22" t="n">
        <v>29.27427625189918</v>
      </c>
      <c r="AG17" s="22" t="n">
        <v>40.03579160282473</v>
      </c>
      <c r="AH17" s="22" t="n">
        <v>0.6649849882260516</v>
      </c>
      <c r="AI17" s="22" t="n">
        <v>2.002986732971855</v>
      </c>
      <c r="AJ17" s="22" t="n">
        <v>0.3862518132997653</v>
      </c>
      <c r="AK17" s="22" t="n">
        <v>4.746496950302872</v>
      </c>
      <c r="AL17" s="22" t="n">
        <v>0.04829244229657313</v>
      </c>
      <c r="AM17" s="22" t="n">
        <v>0</v>
      </c>
      <c r="AN17" s="22" t="n">
        <v>0</v>
      </c>
      <c r="AO17" s="23" t="n">
        <v>392.252575167228</v>
      </c>
      <c r="AP17" s="22" t="n">
        <v>1259.757341595035</v>
      </c>
      <c r="AQ17" s="22" t="n">
        <v>0</v>
      </c>
      <c r="AR17" s="23" t="n">
        <v>1259.757341595035</v>
      </c>
      <c r="AS17" s="23" t="n">
        <v>10409.57293926551</v>
      </c>
      <c r="AT17" s="22" t="n">
        <v>2186.33697390337</v>
      </c>
      <c r="AU17" s="22" t="n">
        <v>326.5472450207089</v>
      </c>
      <c r="AV17" s="23" t="n">
        <v>2512.884218924079</v>
      </c>
      <c r="AW17" s="23" t="n">
        <v>14182.21449978462</v>
      </c>
      <c r="AX17" s="23" t="n">
        <v>14574.46707495185</v>
      </c>
    </row>
    <row r="18">
      <c r="A18" s="8" t="inlineStr">
        <is>
          <t>31-33</t>
        </is>
      </c>
      <c r="B18" s="10" t="inlineStr">
        <is>
          <t xml:space="preserve">Furniture; other manufactured goods; repair and installation services of machinery and equipment </t>
        </is>
      </c>
      <c r="C18" s="22" t="n">
        <v>8.111702758459002</v>
      </c>
      <c r="D18" s="22" t="n">
        <v>1.479697541684847</v>
      </c>
      <c r="E18" s="22" t="n">
        <v>32.35766760669522</v>
      </c>
      <c r="F18" s="22" t="n">
        <v>0</v>
      </c>
      <c r="G18" s="22" t="n">
        <v>35.17937452038298</v>
      </c>
      <c r="H18" s="22" t="n">
        <v>0</v>
      </c>
      <c r="I18" s="22" t="n">
        <v>2.006096931523524</v>
      </c>
      <c r="J18" s="22" t="n">
        <v>0</v>
      </c>
      <c r="K18" s="22" t="n">
        <v>61.9373357369825</v>
      </c>
      <c r="L18" s="22" t="n">
        <v>0.7214318033721989</v>
      </c>
      <c r="M18" s="22" t="n">
        <v>0</v>
      </c>
      <c r="N18" s="22" t="n">
        <v>0.0005943059234673836</v>
      </c>
      <c r="O18" s="22" t="n">
        <v>3.093844948815972</v>
      </c>
      <c r="P18" s="22" t="n">
        <v>1.175082476100345</v>
      </c>
      <c r="Q18" s="22" t="n">
        <v>78.52104138582736</v>
      </c>
      <c r="R18" s="22" t="n">
        <v>6.660901629151939</v>
      </c>
      <c r="S18" s="22" t="n">
        <v>57.81236795346931</v>
      </c>
      <c r="T18" s="22" t="n">
        <v>130.6216764693251</v>
      </c>
      <c r="U18" s="22" t="n">
        <v>174.4831492906468</v>
      </c>
      <c r="V18" s="22" t="n">
        <v>57.01156681066191</v>
      </c>
      <c r="W18" s="22" t="n">
        <v>114.3422999390982</v>
      </c>
      <c r="X18" s="22" t="n">
        <v>38.37700611791013</v>
      </c>
      <c r="Y18" s="22" t="n">
        <v>17.00856781499369</v>
      </c>
      <c r="Z18" s="22" t="n">
        <v>7.335235750274407</v>
      </c>
      <c r="AA18" s="22" t="n">
        <v>5.213563157228672</v>
      </c>
      <c r="AB18" s="22" t="n">
        <v>0.6006874238732598</v>
      </c>
      <c r="AC18" s="22" t="n">
        <v>0.3571472340183715</v>
      </c>
      <c r="AD18" s="22" t="n">
        <v>3.648615454723345</v>
      </c>
      <c r="AE18" s="22" t="n">
        <v>20.02952605070496</v>
      </c>
      <c r="AF18" s="22" t="n">
        <v>1.226506483846831</v>
      </c>
      <c r="AG18" s="22" t="n">
        <v>220.340672032178</v>
      </c>
      <c r="AH18" s="22" t="n">
        <v>105.0816142620879</v>
      </c>
      <c r="AI18" s="22" t="n">
        <v>78.59274140771926</v>
      </c>
      <c r="AJ18" s="22" t="n">
        <v>2.821604404581688</v>
      </c>
      <c r="AK18" s="22" t="n">
        <v>71.24160852747019</v>
      </c>
      <c r="AL18" s="22" t="n">
        <v>12.59301112670403</v>
      </c>
      <c r="AM18" s="22" t="n">
        <v>0</v>
      </c>
      <c r="AN18" s="22" t="n">
        <v>0</v>
      </c>
      <c r="AO18" s="23" t="n">
        <v>1349.983939356435</v>
      </c>
      <c r="AP18" s="22" t="n">
        <v>1389.736959566962</v>
      </c>
      <c r="AQ18" s="22" t="n">
        <v>0</v>
      </c>
      <c r="AR18" s="23" t="n">
        <v>1389.736959566962</v>
      </c>
      <c r="AS18" s="23" t="n">
        <v>297.0792457288571</v>
      </c>
      <c r="AT18" s="22" t="n">
        <v>51.76079420380812</v>
      </c>
      <c r="AU18" s="22" t="n">
        <v>40.30999364609522</v>
      </c>
      <c r="AV18" s="23" t="n">
        <v>92.07078784990334</v>
      </c>
      <c r="AW18" s="23" t="n">
        <v>1778.886993145723</v>
      </c>
      <c r="AX18" s="23" t="n">
        <v>3128.870932502158</v>
      </c>
    </row>
    <row r="19">
      <c r="A19" s="8" t="inlineStr">
        <is>
          <t>35</t>
        </is>
      </c>
      <c r="B19" s="15" t="inlineStr">
        <is>
          <t xml:space="preserve">Electricity, gas, steam and air conditioning </t>
        </is>
      </c>
      <c r="C19" s="22" t="n">
        <v>11.65485481595141</v>
      </c>
      <c r="D19" s="22" t="n">
        <v>31.85076026297969</v>
      </c>
      <c r="E19" s="22" t="n">
        <v>140.3990751999209</v>
      </c>
      <c r="F19" s="22" t="n">
        <v>8.393137424857267</v>
      </c>
      <c r="G19" s="22" t="n">
        <v>21.96317842545024</v>
      </c>
      <c r="H19" s="22" t="n">
        <v>0.9056589586060881</v>
      </c>
      <c r="I19" s="22" t="n">
        <v>103.1496835248453</v>
      </c>
      <c r="J19" s="22" t="n">
        <v>2.742427182277627</v>
      </c>
      <c r="K19" s="22" t="n">
        <v>156.6365903872155</v>
      </c>
      <c r="L19" s="22" t="n">
        <v>177.6455069982629</v>
      </c>
      <c r="M19" s="22" t="n">
        <v>1.201588067328388</v>
      </c>
      <c r="N19" s="22" t="n">
        <v>4.799599953882995</v>
      </c>
      <c r="O19" s="22" t="n">
        <v>0.2995404605454692</v>
      </c>
      <c r="P19" s="22" t="n">
        <v>0.1019739170235889</v>
      </c>
      <c r="Q19" s="22" t="n">
        <v>3.302013168595889</v>
      </c>
      <c r="R19" s="22" t="n">
        <v>557.6618115794578</v>
      </c>
      <c r="S19" s="22" t="n">
        <v>27.80156504569376</v>
      </c>
      <c r="T19" s="22" t="n">
        <v>37.26205078010581</v>
      </c>
      <c r="U19" s="22" t="n">
        <v>539.5815497930731</v>
      </c>
      <c r="V19" s="22" t="n">
        <v>262.1080823996602</v>
      </c>
      <c r="W19" s="22" t="n">
        <v>237.2434650226598</v>
      </c>
      <c r="X19" s="22" t="n">
        <v>9.443814833016805</v>
      </c>
      <c r="Y19" s="22" t="n">
        <v>25.99703175128599</v>
      </c>
      <c r="Z19" s="22" t="n">
        <v>66.28420136267569</v>
      </c>
      <c r="AA19" s="22" t="n">
        <v>48.67271022982359</v>
      </c>
      <c r="AB19" s="22" t="n">
        <v>113.8417340236831</v>
      </c>
      <c r="AC19" s="22" t="n">
        <v>9.969746447332472</v>
      </c>
      <c r="AD19" s="22" t="n">
        <v>1.944781980114699</v>
      </c>
      <c r="AE19" s="22" t="n">
        <v>9.866655867285376</v>
      </c>
      <c r="AF19" s="22" t="n">
        <v>7.694430036610949</v>
      </c>
      <c r="AG19" s="22" t="n">
        <v>355.1515829943339</v>
      </c>
      <c r="AH19" s="22" t="n">
        <v>107.901043563877</v>
      </c>
      <c r="AI19" s="22" t="n">
        <v>69.08193033960843</v>
      </c>
      <c r="AJ19" s="22" t="n">
        <v>28.40029704499178</v>
      </c>
      <c r="AK19" s="22" t="n">
        <v>83.88845849559011</v>
      </c>
      <c r="AL19" s="22" t="n">
        <v>24.34709641343524</v>
      </c>
      <c r="AM19" s="22" t="n">
        <v>0</v>
      </c>
      <c r="AN19" s="22" t="n">
        <v>0</v>
      </c>
      <c r="AO19" s="23" t="n">
        <v>3289.189628752058</v>
      </c>
      <c r="AP19" s="22" t="n">
        <v>1515.762629042933</v>
      </c>
      <c r="AQ19" s="22" t="n">
        <v>0</v>
      </c>
      <c r="AR19" s="23" t="n">
        <v>1515.762629042933</v>
      </c>
      <c r="AS19" s="23" t="n">
        <v>136.5989625066643</v>
      </c>
      <c r="AT19" s="22" t="n">
        <v>0</v>
      </c>
      <c r="AU19" s="22" t="n">
        <v>18.52990572233065</v>
      </c>
      <c r="AV19" s="23" t="n">
        <v>18.52990572233065</v>
      </c>
      <c r="AW19" s="23" t="n">
        <v>1670.891497271928</v>
      </c>
      <c r="AX19" s="23" t="n">
        <v>4960.081126023988</v>
      </c>
    </row>
    <row r="20">
      <c r="A20" s="8" t="inlineStr">
        <is>
          <t>36-39</t>
        </is>
      </c>
      <c r="B20" s="15" t="inlineStr">
        <is>
          <t xml:space="preserve">Water supply; sewerage, waste management and remediation services </t>
        </is>
      </c>
      <c r="C20" s="22" t="n">
        <v>14.79121065413513</v>
      </c>
      <c r="D20" s="22" t="n">
        <v>23.48008720445889</v>
      </c>
      <c r="E20" s="22" t="n">
        <v>25.91991199756023</v>
      </c>
      <c r="F20" s="22" t="n">
        <v>0.5469711556183947</v>
      </c>
      <c r="G20" s="22" t="n">
        <v>1.398481759058537</v>
      </c>
      <c r="H20" s="22" t="n">
        <v>0</v>
      </c>
      <c r="I20" s="22" t="n">
        <v>0.1782930493447963</v>
      </c>
      <c r="J20" s="22" t="n">
        <v>0.1883926870343522</v>
      </c>
      <c r="K20" s="22" t="n">
        <v>8.308961544692661</v>
      </c>
      <c r="L20" s="22" t="n">
        <v>1.21947128237865</v>
      </c>
      <c r="M20" s="22" t="n">
        <v>0</v>
      </c>
      <c r="N20" s="22" t="n">
        <v>8.455013949141696</v>
      </c>
      <c r="O20" s="22" t="n">
        <v>0.1581816473946678</v>
      </c>
      <c r="P20" s="22" t="n">
        <v>3.950484311115123</v>
      </c>
      <c r="Q20" s="22" t="n">
        <v>0.2931262722549179</v>
      </c>
      <c r="R20" s="22" t="n">
        <v>0.1672884685831997</v>
      </c>
      <c r="S20" s="22" t="n">
        <v>29.41929204888257</v>
      </c>
      <c r="T20" s="22" t="n">
        <v>2.041775615987314</v>
      </c>
      <c r="U20" s="22" t="n">
        <v>23.72419018738711</v>
      </c>
      <c r="V20" s="22" t="n">
        <v>14.28546023756168</v>
      </c>
      <c r="W20" s="22" t="n">
        <v>47.31169578368399</v>
      </c>
      <c r="X20" s="22" t="n">
        <v>1.351243382086648</v>
      </c>
      <c r="Y20" s="22" t="n">
        <v>0.9422285159053323</v>
      </c>
      <c r="Z20" s="22" t="n">
        <v>2.136242976712596</v>
      </c>
      <c r="AA20" s="22" t="n">
        <v>2.275365126147689</v>
      </c>
      <c r="AB20" s="22" t="n">
        <v>7.11548168512005</v>
      </c>
      <c r="AC20" s="22" t="n">
        <v>1.700528678530421</v>
      </c>
      <c r="AD20" s="22" t="n">
        <v>0.2064299207896915</v>
      </c>
      <c r="AE20" s="22" t="n">
        <v>0.05783571090896762</v>
      </c>
      <c r="AF20" s="22" t="n">
        <v>34.76849748417337</v>
      </c>
      <c r="AG20" s="22" t="n">
        <v>49.73063810000002</v>
      </c>
      <c r="AH20" s="22" t="n">
        <v>16.21517803351744</v>
      </c>
      <c r="AI20" s="22" t="n">
        <v>27.83575846012233</v>
      </c>
      <c r="AJ20" s="22" t="n">
        <v>2.475841368587265</v>
      </c>
      <c r="AK20" s="22" t="n">
        <v>6.399654701550684</v>
      </c>
      <c r="AL20" s="22" t="n">
        <v>5.126281850145093</v>
      </c>
      <c r="AM20" s="22" t="n">
        <v>0</v>
      </c>
      <c r="AN20" s="22" t="n">
        <v>0</v>
      </c>
      <c r="AO20" s="23" t="n">
        <v>364.1754958505716</v>
      </c>
      <c r="AP20" s="22" t="n">
        <v>309.8626619047909</v>
      </c>
      <c r="AQ20" s="22" t="n">
        <v>129.8349057604554</v>
      </c>
      <c r="AR20" s="23" t="n">
        <v>439.6975676652463</v>
      </c>
      <c r="AS20" s="23" t="n">
        <v>195.0516675949958</v>
      </c>
      <c r="AT20" s="22" t="n">
        <v>0</v>
      </c>
      <c r="AU20" s="22" t="n">
        <v>3.776769479652028</v>
      </c>
      <c r="AV20" s="23" t="n">
        <v>3.776769479652028</v>
      </c>
      <c r="AW20" s="23" t="n">
        <v>638.5260047398941</v>
      </c>
      <c r="AX20" s="23" t="n">
        <v>1002.701500590466</v>
      </c>
    </row>
    <row r="21">
      <c r="A21" s="8" t="inlineStr">
        <is>
          <t>41-43</t>
        </is>
      </c>
      <c r="B21" s="10" t="inlineStr">
        <is>
          <t xml:space="preserve">Constructions and construction works </t>
        </is>
      </c>
      <c r="C21" s="22" t="n">
        <v>44.22312816324312</v>
      </c>
      <c r="D21" s="22" t="n">
        <v>115.5228476197668</v>
      </c>
      <c r="E21" s="22" t="n">
        <v>0.7445046222547277</v>
      </c>
      <c r="F21" s="22" t="n">
        <v>1.073113414335058</v>
      </c>
      <c r="G21" s="22" t="n">
        <v>0.161308303994836</v>
      </c>
      <c r="H21" s="22" t="n">
        <v>0</v>
      </c>
      <c r="I21" s="22" t="n">
        <v>0</v>
      </c>
      <c r="J21" s="22" t="n">
        <v>0</v>
      </c>
      <c r="K21" s="22" t="n">
        <v>50.8988442538929</v>
      </c>
      <c r="L21" s="22" t="n">
        <v>0</v>
      </c>
      <c r="M21" s="22" t="n">
        <v>0</v>
      </c>
      <c r="N21" s="22" t="n">
        <v>0</v>
      </c>
      <c r="O21" s="22" t="n">
        <v>2.860866263830591</v>
      </c>
      <c r="P21" s="22" t="n">
        <v>18.71383245672325</v>
      </c>
      <c r="Q21" s="22" t="n">
        <v>0.2335461309431108</v>
      </c>
      <c r="R21" s="22" t="n">
        <v>0.03003389319605181</v>
      </c>
      <c r="S21" s="22" t="n">
        <v>0.1105316998980467</v>
      </c>
      <c r="T21" s="22" t="n">
        <v>4664.726824006604</v>
      </c>
      <c r="U21" s="22" t="n">
        <v>65.59197716368415</v>
      </c>
      <c r="V21" s="22" t="n">
        <v>13.9590320792085</v>
      </c>
      <c r="W21" s="22" t="n">
        <v>27.40147572653569</v>
      </c>
      <c r="X21" s="22" t="n">
        <v>4.067599203670332</v>
      </c>
      <c r="Y21" s="22" t="n">
        <v>4.461759815504652</v>
      </c>
      <c r="Z21" s="22" t="n">
        <v>8.270348590065099</v>
      </c>
      <c r="AA21" s="22" t="n">
        <v>76.76791000358705</v>
      </c>
      <c r="AB21" s="22" t="n">
        <v>454.9969307218656</v>
      </c>
      <c r="AC21" s="22" t="n">
        <v>1.122482241452421</v>
      </c>
      <c r="AD21" s="22" t="n">
        <v>37.65090375665454</v>
      </c>
      <c r="AE21" s="22" t="n">
        <v>0.008728683296072246</v>
      </c>
      <c r="AF21" s="22" t="n">
        <v>38.49307324536377</v>
      </c>
      <c r="AG21" s="22" t="n">
        <v>39.53062814993933</v>
      </c>
      <c r="AH21" s="22" t="n">
        <v>59.00297648916664</v>
      </c>
      <c r="AI21" s="22" t="n">
        <v>39.60562725716349</v>
      </c>
      <c r="AJ21" s="22" t="n">
        <v>3.627885922002991</v>
      </c>
      <c r="AK21" s="22" t="n">
        <v>10.91895012159974</v>
      </c>
      <c r="AL21" s="22" t="n">
        <v>57.34265581641471</v>
      </c>
      <c r="AM21" s="22" t="n">
        <v>0</v>
      </c>
      <c r="AN21" s="22" t="n">
        <v>0</v>
      </c>
      <c r="AO21" s="23" t="n">
        <v>5842.120325815858</v>
      </c>
      <c r="AP21" s="22" t="n">
        <v>1181.207194103195</v>
      </c>
      <c r="AQ21" s="22" t="n">
        <v>15.95086102470076</v>
      </c>
      <c r="AR21" s="23" t="n">
        <v>1197.158055127896</v>
      </c>
      <c r="AS21" s="23" t="n">
        <v>23.1790073607532</v>
      </c>
      <c r="AT21" s="22" t="n">
        <v>12593.01248727866</v>
      </c>
      <c r="AU21" s="22" t="n">
        <v>1624.136069876734</v>
      </c>
      <c r="AV21" s="23" t="n">
        <v>14217.14855715539</v>
      </c>
      <c r="AW21" s="23" t="n">
        <v>15437.48561964405</v>
      </c>
      <c r="AX21" s="23" t="n">
        <v>21279.6059454599</v>
      </c>
    </row>
    <row r="22">
      <c r="A22" s="8" t="inlineStr">
        <is>
          <t>45-47</t>
        </is>
      </c>
      <c r="B22" s="10" t="inlineStr">
        <is>
          <t xml:space="preserve">Wholesale and retail trade services; repair services of motor vehicles and motorcycles </t>
        </is>
      </c>
      <c r="C22" s="22" t="n">
        <v>3.166897574355033</v>
      </c>
      <c r="D22" s="22" t="n">
        <v>36.98395735561883</v>
      </c>
      <c r="E22" s="22" t="n">
        <v>16.98670166369839</v>
      </c>
      <c r="F22" s="22" t="n">
        <v>0.2759124372474432</v>
      </c>
      <c r="G22" s="22" t="n">
        <v>2.944358427045934</v>
      </c>
      <c r="H22" s="22" t="n">
        <v>0</v>
      </c>
      <c r="I22" s="22" t="n">
        <v>3.150327294382157</v>
      </c>
      <c r="J22" s="22" t="n">
        <v>0.01617273754978087</v>
      </c>
      <c r="K22" s="22" t="n">
        <v>3.520752171422541</v>
      </c>
      <c r="L22" s="22" t="n">
        <v>4.258863982292239</v>
      </c>
      <c r="M22" s="22" t="n">
        <v>0</v>
      </c>
      <c r="N22" s="22" t="n">
        <v>0</v>
      </c>
      <c r="O22" s="22" t="n">
        <v>0</v>
      </c>
      <c r="P22" s="22" t="n">
        <v>0.06889955222075501</v>
      </c>
      <c r="Q22" s="22" t="n">
        <v>59.3628834409005</v>
      </c>
      <c r="R22" s="22" t="n">
        <v>12.59577606811546</v>
      </c>
      <c r="S22" s="22" t="n">
        <v>18.71493224273653</v>
      </c>
      <c r="T22" s="22" t="n">
        <v>9.233443435232237</v>
      </c>
      <c r="U22" s="22" t="n">
        <v>126.3169195477307</v>
      </c>
      <c r="V22" s="22" t="n">
        <v>109.7128440668817</v>
      </c>
      <c r="W22" s="22" t="n">
        <v>6.838843618279792</v>
      </c>
      <c r="X22" s="22" t="n">
        <v>1.085214918038259</v>
      </c>
      <c r="Y22" s="22" t="n">
        <v>0.2599416395480887</v>
      </c>
      <c r="Z22" s="22" t="n">
        <v>1.224725537268848</v>
      </c>
      <c r="AA22" s="22" t="n">
        <v>0.7782770903048042</v>
      </c>
      <c r="AB22" s="22" t="n">
        <v>1.856521056247125</v>
      </c>
      <c r="AC22" s="22" t="n">
        <v>2.914070653257606</v>
      </c>
      <c r="AD22" s="22" t="n">
        <v>0.369944938869328</v>
      </c>
      <c r="AE22" s="22" t="n">
        <v>1.025987855300025</v>
      </c>
      <c r="AF22" s="22" t="n">
        <v>24.12794520321319</v>
      </c>
      <c r="AG22" s="22" t="n">
        <v>7.512606247198391</v>
      </c>
      <c r="AH22" s="22" t="n">
        <v>4.802504857123902</v>
      </c>
      <c r="AI22" s="22" t="n">
        <v>9.96212887614441</v>
      </c>
      <c r="AJ22" s="22" t="n">
        <v>0.001810383734123265</v>
      </c>
      <c r="AK22" s="22" t="n">
        <v>3.618367259584179</v>
      </c>
      <c r="AL22" s="22" t="n">
        <v>0.2041880342820865</v>
      </c>
      <c r="AM22" s="22" t="n">
        <v>0</v>
      </c>
      <c r="AN22" s="22" t="n">
        <v>0</v>
      </c>
      <c r="AO22" s="23" t="n">
        <v>473.8927201658244</v>
      </c>
      <c r="AP22" s="22" t="n">
        <v>50.12372144446996</v>
      </c>
      <c r="AQ22" s="22" t="n">
        <v>0</v>
      </c>
      <c r="AR22" s="23" t="n">
        <v>50.12372144446996</v>
      </c>
      <c r="AS22" s="23" t="n">
        <v>0</v>
      </c>
      <c r="AT22" s="22" t="n">
        <v>0</v>
      </c>
      <c r="AU22" s="22" t="n">
        <v>0</v>
      </c>
      <c r="AV22" s="23" t="n">
        <v>0</v>
      </c>
      <c r="AW22" s="23" t="n">
        <v>50.12372144446996</v>
      </c>
      <c r="AX22" s="23" t="n">
        <v>524.0164416102944</v>
      </c>
    </row>
    <row r="23">
      <c r="A23" s="8" t="inlineStr">
        <is>
          <t>49-53</t>
        </is>
      </c>
      <c r="B23" s="15" t="inlineStr">
        <is>
          <t>Transportation and storage services</t>
        </is>
      </c>
      <c r="C23" s="22" t="n">
        <v>184.4745993147743</v>
      </c>
      <c r="D23" s="22" t="n">
        <v>182.5598098487527</v>
      </c>
      <c r="E23" s="22" t="n">
        <v>432.7653313395322</v>
      </c>
      <c r="F23" s="22" t="n">
        <v>13.76095616834176</v>
      </c>
      <c r="G23" s="22" t="n">
        <v>21.91901660580626</v>
      </c>
      <c r="H23" s="22" t="n">
        <v>15.79022573081657</v>
      </c>
      <c r="I23" s="22" t="n">
        <v>14.21091830566334</v>
      </c>
      <c r="J23" s="22" t="n">
        <v>5.861607177296117</v>
      </c>
      <c r="K23" s="22" t="n">
        <v>122.3452730395871</v>
      </c>
      <c r="L23" s="22" t="n">
        <v>6.371030002573614</v>
      </c>
      <c r="M23" s="22" t="n">
        <v>0</v>
      </c>
      <c r="N23" s="22" t="n">
        <v>18.49880947063101</v>
      </c>
      <c r="O23" s="22" t="n">
        <v>0.7605424266553138</v>
      </c>
      <c r="P23" s="22" t="n">
        <v>0.463696551135853</v>
      </c>
      <c r="Q23" s="22" t="n">
        <v>1.366598095851525</v>
      </c>
      <c r="R23" s="22" t="n">
        <v>1.423960640522335</v>
      </c>
      <c r="S23" s="22" t="n">
        <v>52.49586463547304</v>
      </c>
      <c r="T23" s="22" t="n">
        <v>370.2536391384972</v>
      </c>
      <c r="U23" s="22" t="n">
        <v>1322.030121372108</v>
      </c>
      <c r="V23" s="22" t="n">
        <v>2108.448803578493</v>
      </c>
      <c r="W23" s="22" t="n">
        <v>136.6022569553261</v>
      </c>
      <c r="X23" s="22" t="n">
        <v>0.8432241967321528</v>
      </c>
      <c r="Y23" s="22" t="n">
        <v>20.33951891307545</v>
      </c>
      <c r="Z23" s="22" t="n">
        <v>23.54542869350874</v>
      </c>
      <c r="AA23" s="22" t="n">
        <v>103.9711359472983</v>
      </c>
      <c r="AB23" s="22" t="n">
        <v>13.50450286757612</v>
      </c>
      <c r="AC23" s="22" t="n">
        <v>17.22977111989368</v>
      </c>
      <c r="AD23" s="22" t="n">
        <v>0.6453009284570468</v>
      </c>
      <c r="AE23" s="22" t="n">
        <v>17.71904075950082</v>
      </c>
      <c r="AF23" s="22" t="n">
        <v>28.86281150717254</v>
      </c>
      <c r="AG23" s="22" t="n">
        <v>33.84906385342693</v>
      </c>
      <c r="AH23" s="22" t="n">
        <v>64.47898209768319</v>
      </c>
      <c r="AI23" s="22" t="n">
        <v>9.370154684619635</v>
      </c>
      <c r="AJ23" s="22" t="n">
        <v>8.464098086440028</v>
      </c>
      <c r="AK23" s="22" t="n">
        <v>105.3080658574155</v>
      </c>
      <c r="AL23" s="22" t="n">
        <v>41.13656061897984</v>
      </c>
      <c r="AM23" s="22" t="n">
        <v>0</v>
      </c>
      <c r="AN23" s="22" t="n">
        <v>0</v>
      </c>
      <c r="AO23" s="23" t="n">
        <v>5501.670720529616</v>
      </c>
      <c r="AP23" s="22" t="n">
        <v>1424.627873633257</v>
      </c>
      <c r="AQ23" s="22" t="n">
        <v>0</v>
      </c>
      <c r="AR23" s="23" t="n">
        <v>1424.627873633257</v>
      </c>
      <c r="AS23" s="23" t="n">
        <v>6046.28016641846</v>
      </c>
      <c r="AT23" s="22" t="n">
        <v>0</v>
      </c>
      <c r="AU23" s="22" t="n">
        <v>0</v>
      </c>
      <c r="AV23" s="23" t="n">
        <v>0</v>
      </c>
      <c r="AW23" s="23" t="n">
        <v>7470.908040051718</v>
      </c>
      <c r="AX23" s="23" t="n">
        <v>12972.57876058133</v>
      </c>
    </row>
    <row r="24">
      <c r="A24" s="8" t="inlineStr">
        <is>
          <t>55-56</t>
        </is>
      </c>
      <c r="B24" s="10" t="inlineStr">
        <is>
          <t xml:space="preserve">Accommodation and food services </t>
        </is>
      </c>
      <c r="C24" s="22" t="n">
        <v>0.3474890365365755</v>
      </c>
      <c r="D24" s="22" t="n">
        <v>0.007084863236920981</v>
      </c>
      <c r="E24" s="22" t="n">
        <v>4.816850418143743</v>
      </c>
      <c r="F24" s="22" t="n">
        <v>0.098932285117311</v>
      </c>
      <c r="G24" s="22" t="n">
        <v>0.3732084300034973</v>
      </c>
      <c r="H24" s="22" t="n">
        <v>0.07619224184179432</v>
      </c>
      <c r="I24" s="22" t="n">
        <v>0.3113141975489226</v>
      </c>
      <c r="J24" s="22" t="n">
        <v>0.142317489846242</v>
      </c>
      <c r="K24" s="22" t="n">
        <v>9.790117165055001</v>
      </c>
      <c r="L24" s="22" t="n">
        <v>0.9779445802574855</v>
      </c>
      <c r="M24" s="22" t="n">
        <v>0</v>
      </c>
      <c r="N24" s="22" t="n">
        <v>0</v>
      </c>
      <c r="O24" s="22" t="n">
        <v>0.06517749771579055</v>
      </c>
      <c r="P24" s="22" t="n">
        <v>0.009809761205151913</v>
      </c>
      <c r="Q24" s="22" t="n">
        <v>2.474986567110039</v>
      </c>
      <c r="R24" s="22" t="n">
        <v>1.580544019845832</v>
      </c>
      <c r="S24" s="22" t="n">
        <v>1.710950603982549</v>
      </c>
      <c r="T24" s="22" t="n">
        <v>62.41902139159449</v>
      </c>
      <c r="U24" s="22" t="n">
        <v>69.4542530161616</v>
      </c>
      <c r="V24" s="22" t="n">
        <v>100.089867254881</v>
      </c>
      <c r="W24" s="22" t="n">
        <v>75.82846289269328</v>
      </c>
      <c r="X24" s="22" t="n">
        <v>1.622586719829034</v>
      </c>
      <c r="Y24" s="22" t="n">
        <v>2.549779923652427</v>
      </c>
      <c r="Z24" s="22" t="n">
        <v>28.54928447643655</v>
      </c>
      <c r="AA24" s="22" t="n">
        <v>24.09146230999668</v>
      </c>
      <c r="AB24" s="22" t="n">
        <v>3.965802945616883</v>
      </c>
      <c r="AC24" s="22" t="n">
        <v>25.17839524656246</v>
      </c>
      <c r="AD24" s="22" t="n">
        <v>0.5120409334685274</v>
      </c>
      <c r="AE24" s="22" t="n">
        <v>4.318431072815666</v>
      </c>
      <c r="AF24" s="22" t="n">
        <v>42.4046188382892</v>
      </c>
      <c r="AG24" s="22" t="n">
        <v>201.9876577586315</v>
      </c>
      <c r="AH24" s="22" t="n">
        <v>79.19713688436417</v>
      </c>
      <c r="AI24" s="22" t="n">
        <v>10.86339807936716</v>
      </c>
      <c r="AJ24" s="22" t="n">
        <v>4.638121573156076</v>
      </c>
      <c r="AK24" s="22" t="n">
        <v>227.2451215193747</v>
      </c>
      <c r="AL24" s="22" t="n">
        <v>51.93071639657479</v>
      </c>
      <c r="AM24" s="22" t="n">
        <v>0</v>
      </c>
      <c r="AN24" s="22" t="n">
        <v>0</v>
      </c>
      <c r="AO24" s="23" t="n">
        <v>1039.629078390913</v>
      </c>
      <c r="AP24" s="22" t="n">
        <v>1854.305544540464</v>
      </c>
      <c r="AQ24" s="22" t="n">
        <v>0</v>
      </c>
      <c r="AR24" s="23" t="n">
        <v>1854.305544540464</v>
      </c>
      <c r="AS24" s="23" t="n">
        <v>4545.404264899112</v>
      </c>
      <c r="AT24" s="22" t="n">
        <v>0</v>
      </c>
      <c r="AU24" s="22" t="n">
        <v>0</v>
      </c>
      <c r="AV24" s="23" t="n">
        <v>0</v>
      </c>
      <c r="AW24" s="23" t="n">
        <v>6399.709809439575</v>
      </c>
      <c r="AX24" s="23" t="n">
        <v>7439.338887830489</v>
      </c>
    </row>
    <row r="25">
      <c r="A25" s="8" t="inlineStr">
        <is>
          <t>58-60</t>
        </is>
      </c>
      <c r="B25" s="10" t="inlineStr">
        <is>
          <t xml:space="preserve">Publishing, audiovisual and broadcasting services </t>
        </is>
      </c>
      <c r="C25" s="22" t="n">
        <v>0.238596871711459</v>
      </c>
      <c r="D25" s="22" t="n">
        <v>0</v>
      </c>
      <c r="E25" s="22" t="n">
        <v>0.1562711349033288</v>
      </c>
      <c r="F25" s="22" t="n">
        <v>0.02625123943353869</v>
      </c>
      <c r="G25" s="22" t="n">
        <v>0.06632438776872289</v>
      </c>
      <c r="H25" s="22" t="n">
        <v>0</v>
      </c>
      <c r="I25" s="22" t="n">
        <v>0.07057411987268021</v>
      </c>
      <c r="J25" s="22" t="n">
        <v>0.001435183772821721</v>
      </c>
      <c r="K25" s="22" t="n">
        <v>2.795188754363802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0.08686782828554908</v>
      </c>
      <c r="Q25" s="22" t="n">
        <v>0.1402560938249492</v>
      </c>
      <c r="R25" s="22" t="n">
        <v>1.734831942260718</v>
      </c>
      <c r="S25" s="22" t="n">
        <v>0.2309469517686009</v>
      </c>
      <c r="T25" s="22" t="n">
        <v>1.607714397138104</v>
      </c>
      <c r="U25" s="22" t="n">
        <v>71.47809285287337</v>
      </c>
      <c r="V25" s="22" t="n">
        <v>4.573841579214143</v>
      </c>
      <c r="W25" s="22" t="n">
        <v>5.893129633448946</v>
      </c>
      <c r="X25" s="22" t="n">
        <v>257.3171115973907</v>
      </c>
      <c r="Y25" s="22" t="n">
        <v>20.45624264072369</v>
      </c>
      <c r="Z25" s="22" t="n">
        <v>44.70543977090161</v>
      </c>
      <c r="AA25" s="22" t="n">
        <v>74.83604484880716</v>
      </c>
      <c r="AB25" s="22" t="n">
        <v>1.203747541645889</v>
      </c>
      <c r="AC25" s="22" t="n">
        <v>3.139042366292806</v>
      </c>
      <c r="AD25" s="22" t="n">
        <v>0.2539913789460316</v>
      </c>
      <c r="AE25" s="22" t="n">
        <v>46.97159775912953</v>
      </c>
      <c r="AF25" s="22" t="n">
        <v>2.024519277413183</v>
      </c>
      <c r="AG25" s="22" t="n">
        <v>34.84928211490344</v>
      </c>
      <c r="AH25" s="22" t="n">
        <v>5.170257778885837</v>
      </c>
      <c r="AI25" s="22" t="n">
        <v>3.275656775392394</v>
      </c>
      <c r="AJ25" s="22" t="n">
        <v>1.139657398685398</v>
      </c>
      <c r="AK25" s="22" t="n">
        <v>7.107307963131022</v>
      </c>
      <c r="AL25" s="22" t="n">
        <v>2.818975224356278</v>
      </c>
      <c r="AM25" s="22" t="n">
        <v>0</v>
      </c>
      <c r="AN25" s="22" t="n">
        <v>0</v>
      </c>
      <c r="AO25" s="23" t="n">
        <v>594.3691974072456</v>
      </c>
      <c r="AP25" s="22" t="n">
        <v>173.5358166582259</v>
      </c>
      <c r="AQ25" s="22" t="n">
        <v>70.80720055859852</v>
      </c>
      <c r="AR25" s="23" t="n">
        <v>244.3430172168244</v>
      </c>
      <c r="AS25" s="23" t="n">
        <v>138.9437475668836</v>
      </c>
      <c r="AT25" s="22" t="n">
        <v>0</v>
      </c>
      <c r="AU25" s="22" t="n">
        <v>451.590537810124</v>
      </c>
      <c r="AV25" s="23" t="n">
        <v>451.590537810124</v>
      </c>
      <c r="AW25" s="23" t="n">
        <v>834.877302593832</v>
      </c>
      <c r="AX25" s="23" t="n">
        <v>1429.246500001078</v>
      </c>
    </row>
    <row r="26">
      <c r="A26" s="8" t="inlineStr">
        <is>
          <t>61</t>
        </is>
      </c>
      <c r="B26" s="15" t="inlineStr">
        <is>
          <t xml:space="preserve">Telecommunications services </t>
        </is>
      </c>
      <c r="C26" s="22" t="n">
        <v>0.2017502268253473</v>
      </c>
      <c r="D26" s="22" t="n">
        <v>0.03283707360540857</v>
      </c>
      <c r="E26" s="22" t="n">
        <v>6.680829963456564</v>
      </c>
      <c r="F26" s="22" t="n">
        <v>0.2435367559191409</v>
      </c>
      <c r="G26" s="22" t="n">
        <v>1.351735120771217</v>
      </c>
      <c r="H26" s="22" t="n">
        <v>0</v>
      </c>
      <c r="I26" s="22" t="n">
        <v>0.02173695918235915</v>
      </c>
      <c r="J26" s="22" t="n">
        <v>0</v>
      </c>
      <c r="K26" s="22" t="n">
        <v>0.3897536846757416</v>
      </c>
      <c r="L26" s="22" t="n">
        <v>0.05519891442969144</v>
      </c>
      <c r="M26" s="22" t="n">
        <v>0</v>
      </c>
      <c r="N26" s="22" t="n">
        <v>0.0134566016682206</v>
      </c>
      <c r="O26" s="22" t="n">
        <v>0.01594333244312327</v>
      </c>
      <c r="P26" s="22" t="n">
        <v>0.002399605532010159</v>
      </c>
      <c r="Q26" s="22" t="n">
        <v>1.007394252698283</v>
      </c>
      <c r="R26" s="22" t="n">
        <v>0.3345087510597312</v>
      </c>
      <c r="S26" s="22" t="n">
        <v>0.1176714076408894</v>
      </c>
      <c r="T26" s="22" t="n">
        <v>2.727118063728566</v>
      </c>
      <c r="U26" s="22" t="n">
        <v>27.96030832103406</v>
      </c>
      <c r="V26" s="22" t="n">
        <v>3.505141182258463</v>
      </c>
      <c r="W26" s="22" t="n">
        <v>4.902155563022105</v>
      </c>
      <c r="X26" s="22" t="n">
        <v>7.727876198441351</v>
      </c>
      <c r="Y26" s="22" t="n">
        <v>173.8234149372547</v>
      </c>
      <c r="Z26" s="22" t="n">
        <v>9.43797163343471</v>
      </c>
      <c r="AA26" s="22" t="n">
        <v>16.80622375990488</v>
      </c>
      <c r="AB26" s="22" t="n">
        <v>1.730373489988567</v>
      </c>
      <c r="AC26" s="22" t="n">
        <v>4.468049382853567</v>
      </c>
      <c r="AD26" s="22" t="n">
        <v>0.339912269915752</v>
      </c>
      <c r="AE26" s="22" t="n">
        <v>5.786088870131794</v>
      </c>
      <c r="AF26" s="22" t="n">
        <v>1.798455207656735</v>
      </c>
      <c r="AG26" s="22" t="n">
        <v>35.77527282517994</v>
      </c>
      <c r="AH26" s="22" t="n">
        <v>9.168623664341359</v>
      </c>
      <c r="AI26" s="22" t="n">
        <v>5.159768543245705</v>
      </c>
      <c r="AJ26" s="22" t="n">
        <v>0.03030801672246387</v>
      </c>
      <c r="AK26" s="22" t="n">
        <v>101.4177774077368</v>
      </c>
      <c r="AL26" s="22" t="n">
        <v>5.849483089546577</v>
      </c>
      <c r="AM26" s="22" t="n">
        <v>0</v>
      </c>
      <c r="AN26" s="22" t="n">
        <v>0</v>
      </c>
      <c r="AO26" s="23" t="n">
        <v>428.8830750763058</v>
      </c>
      <c r="AP26" s="22" t="n">
        <v>1523.27768783592</v>
      </c>
      <c r="AQ26" s="22" t="n">
        <v>0</v>
      </c>
      <c r="AR26" s="23" t="n">
        <v>1523.27768783592</v>
      </c>
      <c r="AS26" s="23" t="n">
        <v>565.2368656929519</v>
      </c>
      <c r="AT26" s="22" t="n">
        <v>0</v>
      </c>
      <c r="AU26" s="22" t="n">
        <v>0</v>
      </c>
      <c r="AV26" s="23" t="n">
        <v>0</v>
      </c>
      <c r="AW26" s="23" t="n">
        <v>2088.514553528873</v>
      </c>
      <c r="AX26" s="23" t="n">
        <v>2517.397628605178</v>
      </c>
    </row>
    <row r="27">
      <c r="A27" s="8" t="inlineStr">
        <is>
          <t>62-63</t>
        </is>
      </c>
      <c r="B27" s="10" t="inlineStr">
        <is>
          <t xml:space="preserve">Computer programming, consultancy and related services; information services </t>
        </is>
      </c>
      <c r="C27" s="22" t="n">
        <v>0.4367587734313785</v>
      </c>
      <c r="D27" s="22" t="n">
        <v>0.04323664345361643</v>
      </c>
      <c r="E27" s="22" t="n">
        <v>1.614019918072247</v>
      </c>
      <c r="F27" s="22" t="n">
        <v>0.03297755486363673</v>
      </c>
      <c r="G27" s="22" t="n">
        <v>1.860473199267661</v>
      </c>
      <c r="H27" s="22" t="n">
        <v>0</v>
      </c>
      <c r="I27" s="22" t="n">
        <v>0.08461004099891252</v>
      </c>
      <c r="J27" s="22" t="n">
        <v>0.09369721886739284</v>
      </c>
      <c r="K27" s="22" t="n">
        <v>3.144760634805703</v>
      </c>
      <c r="L27" s="22" t="n">
        <v>0</v>
      </c>
      <c r="M27" s="22" t="n">
        <v>0</v>
      </c>
      <c r="N27" s="22" t="n">
        <v>0</v>
      </c>
      <c r="O27" s="22" t="n">
        <v>0.006730000640212831</v>
      </c>
      <c r="P27" s="22" t="n">
        <v>0.02492628448366397</v>
      </c>
      <c r="Q27" s="22" t="n">
        <v>0.3675295318557043</v>
      </c>
      <c r="R27" s="22" t="n">
        <v>12.32508250709675</v>
      </c>
      <c r="S27" s="22" t="n">
        <v>0.5895609795379223</v>
      </c>
      <c r="T27" s="22" t="n">
        <v>29.55664616537124</v>
      </c>
      <c r="U27" s="22" t="n">
        <v>41.98299054155535</v>
      </c>
      <c r="V27" s="22" t="n">
        <v>8.905578585817699</v>
      </c>
      <c r="W27" s="22" t="n">
        <v>9.241487920951849</v>
      </c>
      <c r="X27" s="22" t="n">
        <v>2.97064887727314</v>
      </c>
      <c r="Y27" s="22" t="n">
        <v>34.16592532243147</v>
      </c>
      <c r="Z27" s="22" t="n">
        <v>445.4100946565041</v>
      </c>
      <c r="AA27" s="22" t="n">
        <v>192.164784273007</v>
      </c>
      <c r="AB27" s="22" t="n">
        <v>0.3702114843483115</v>
      </c>
      <c r="AC27" s="22" t="n">
        <v>9.406113726455702</v>
      </c>
      <c r="AD27" s="22" t="n">
        <v>0.0005113163954437558</v>
      </c>
      <c r="AE27" s="22" t="n">
        <v>0.3272084603319227</v>
      </c>
      <c r="AF27" s="22" t="n">
        <v>33.91588336294758</v>
      </c>
      <c r="AG27" s="22" t="n">
        <v>0</v>
      </c>
      <c r="AH27" s="22" t="n">
        <v>2.077359496713366</v>
      </c>
      <c r="AI27" s="22" t="n">
        <v>6.586213622622927</v>
      </c>
      <c r="AJ27" s="22" t="n">
        <v>1.447106045978162</v>
      </c>
      <c r="AK27" s="22" t="n">
        <v>251.3270602334558</v>
      </c>
      <c r="AL27" s="22" t="n">
        <v>1.500023316776459</v>
      </c>
      <c r="AM27" s="22" t="n">
        <v>0</v>
      </c>
      <c r="AN27" s="22" t="n">
        <v>0</v>
      </c>
      <c r="AO27" s="23" t="n">
        <v>1091.980210696312</v>
      </c>
      <c r="AP27" s="22" t="n">
        <v>298.9884349535658</v>
      </c>
      <c r="AQ27" s="22" t="n">
        <v>0</v>
      </c>
      <c r="AR27" s="23" t="n">
        <v>298.9884349535658</v>
      </c>
      <c r="AS27" s="23" t="n">
        <v>2922.383758162216</v>
      </c>
      <c r="AT27" s="22" t="n">
        <v>140.7069874584637</v>
      </c>
      <c r="AU27" s="22" t="n">
        <v>-5.24006219908607</v>
      </c>
      <c r="AV27" s="23" t="n">
        <v>135.4669252593777</v>
      </c>
      <c r="AW27" s="23" t="n">
        <v>3356.839118375159</v>
      </c>
      <c r="AX27" s="23" t="n">
        <v>4448.819329071472</v>
      </c>
    </row>
    <row r="28">
      <c r="A28" s="8" t="inlineStr">
        <is>
          <t>64-66</t>
        </is>
      </c>
      <c r="B28" s="10" t="inlineStr">
        <is>
          <t xml:space="preserve">Financial and insurance services </t>
        </is>
      </c>
      <c r="C28" s="22" t="n">
        <v>152.2079618862084</v>
      </c>
      <c r="D28" s="22" t="n">
        <v>46.05218863236438</v>
      </c>
      <c r="E28" s="22" t="n">
        <v>196.7387153300636</v>
      </c>
      <c r="F28" s="22" t="n">
        <v>14.22954960546703</v>
      </c>
      <c r="G28" s="22" t="n">
        <v>15.614173291578</v>
      </c>
      <c r="H28" s="22" t="n">
        <v>5.10133676316056</v>
      </c>
      <c r="I28" s="22" t="n">
        <v>17.77908780368908</v>
      </c>
      <c r="J28" s="22" t="n">
        <v>8.711198813157363</v>
      </c>
      <c r="K28" s="22" t="n">
        <v>81.80763381422531</v>
      </c>
      <c r="L28" s="22" t="n">
        <v>80.06933057161658</v>
      </c>
      <c r="M28" s="22" t="n">
        <v>0.468395813238263</v>
      </c>
      <c r="N28" s="22" t="n">
        <v>5.449868076267118</v>
      </c>
      <c r="O28" s="22" t="n">
        <v>1.428419954947415</v>
      </c>
      <c r="P28" s="22" t="n">
        <v>1.675216271196605</v>
      </c>
      <c r="Q28" s="22" t="n">
        <v>17.12057857026699</v>
      </c>
      <c r="R28" s="22" t="n">
        <v>105.0711435313423</v>
      </c>
      <c r="S28" s="22" t="n">
        <v>24.87872304837542</v>
      </c>
      <c r="T28" s="22" t="n">
        <v>403.6425830963123</v>
      </c>
      <c r="U28" s="22" t="n">
        <v>477.1463696080129</v>
      </c>
      <c r="V28" s="22" t="n">
        <v>227.6294388684652</v>
      </c>
      <c r="W28" s="22" t="n">
        <v>106.0398520051545</v>
      </c>
      <c r="X28" s="22" t="n">
        <v>27.09265098370539</v>
      </c>
      <c r="Y28" s="22" t="n">
        <v>49.25996552965381</v>
      </c>
      <c r="Z28" s="22" t="n">
        <v>94.84448322241528</v>
      </c>
      <c r="AA28" s="22" t="n">
        <v>508.5573118118147</v>
      </c>
      <c r="AB28" s="22" t="n">
        <v>446.5484700175942</v>
      </c>
      <c r="AC28" s="22" t="n">
        <v>45.4020055853284</v>
      </c>
      <c r="AD28" s="22" t="n">
        <v>1.791925223561026</v>
      </c>
      <c r="AE28" s="22" t="n">
        <v>23.77903481750975</v>
      </c>
      <c r="AF28" s="22" t="n">
        <v>41.56683592849546</v>
      </c>
      <c r="AG28" s="22" t="n">
        <v>205.4515512052033</v>
      </c>
      <c r="AH28" s="22" t="n">
        <v>31.19269501065851</v>
      </c>
      <c r="AI28" s="22" t="n">
        <v>78.37494015983469</v>
      </c>
      <c r="AJ28" s="22" t="n">
        <v>3.687532810626843</v>
      </c>
      <c r="AK28" s="22" t="n">
        <v>102.7852117586152</v>
      </c>
      <c r="AL28" s="22" t="n">
        <v>7.976103243204401</v>
      </c>
      <c r="AM28" s="22" t="n">
        <v>0</v>
      </c>
      <c r="AN28" s="22" t="n">
        <v>0</v>
      </c>
      <c r="AO28" s="23" t="n">
        <v>3657.172482663331</v>
      </c>
      <c r="AP28" s="22" t="n">
        <v>2030.925635023969</v>
      </c>
      <c r="AQ28" s="22" t="n">
        <v>0</v>
      </c>
      <c r="AR28" s="23" t="n">
        <v>2030.925635023969</v>
      </c>
      <c r="AS28" s="23" t="n">
        <v>744.4688149049612</v>
      </c>
      <c r="AT28" s="22" t="n">
        <v>0</v>
      </c>
      <c r="AU28" s="22" t="n">
        <v>0</v>
      </c>
      <c r="AV28" s="23" t="n">
        <v>0</v>
      </c>
      <c r="AW28" s="23" t="n">
        <v>2775.39444992893</v>
      </c>
      <c r="AX28" s="23" t="n">
        <v>6432.566932592259</v>
      </c>
    </row>
    <row r="29">
      <c r="A29" s="8" t="inlineStr">
        <is>
          <t>68</t>
        </is>
      </c>
      <c r="B29" s="15" t="inlineStr">
        <is>
          <t xml:space="preserve">Real estate services </t>
        </is>
      </c>
      <c r="C29" s="22" t="n">
        <v>23.67050917168744</v>
      </c>
      <c r="D29" s="22" t="n">
        <v>53.95456166721023</v>
      </c>
      <c r="E29" s="22" t="n">
        <v>86.80097575170112</v>
      </c>
      <c r="F29" s="22" t="n">
        <v>18.65197852533029</v>
      </c>
      <c r="G29" s="22" t="n">
        <v>11.73932665646043</v>
      </c>
      <c r="H29" s="22" t="n">
        <v>1.56301561239412</v>
      </c>
      <c r="I29" s="22" t="n">
        <v>0.9820851164866806</v>
      </c>
      <c r="J29" s="22" t="n">
        <v>0</v>
      </c>
      <c r="K29" s="22" t="n">
        <v>15.94925599375961</v>
      </c>
      <c r="L29" s="22" t="n">
        <v>7.423217265562414</v>
      </c>
      <c r="M29" s="22" t="n">
        <v>0</v>
      </c>
      <c r="N29" s="22" t="n">
        <v>0.1861324823072995</v>
      </c>
      <c r="O29" s="22" t="n">
        <v>0.08943660420340149</v>
      </c>
      <c r="P29" s="22" t="n">
        <v>3.118547502522182</v>
      </c>
      <c r="Q29" s="22" t="n">
        <v>16.70557378263664</v>
      </c>
      <c r="R29" s="22" t="n">
        <v>34.43466966111003</v>
      </c>
      <c r="S29" s="22" t="n">
        <v>2.31869871581049</v>
      </c>
      <c r="T29" s="22" t="n">
        <v>71.14966866822253</v>
      </c>
      <c r="U29" s="22" t="n">
        <v>934.2985625955461</v>
      </c>
      <c r="V29" s="22" t="n">
        <v>256.2751716399443</v>
      </c>
      <c r="W29" s="22" t="n">
        <v>382.6675621315981</v>
      </c>
      <c r="X29" s="22" t="n">
        <v>31.58701740971462</v>
      </c>
      <c r="Y29" s="22" t="n">
        <v>63.23473705149953</v>
      </c>
      <c r="Z29" s="22" t="n">
        <v>95.30409586584896</v>
      </c>
      <c r="AA29" s="22" t="n">
        <v>106.5700226935597</v>
      </c>
      <c r="AB29" s="22" t="n">
        <v>90.38976649119776</v>
      </c>
      <c r="AC29" s="22" t="n">
        <v>95.51302335405512</v>
      </c>
      <c r="AD29" s="22" t="n">
        <v>1.321248654677392</v>
      </c>
      <c r="AE29" s="22" t="n">
        <v>38.07438639605978</v>
      </c>
      <c r="AF29" s="22" t="n">
        <v>71.93655528296513</v>
      </c>
      <c r="AG29" s="22" t="n">
        <v>37.89085579725963</v>
      </c>
      <c r="AH29" s="22" t="n">
        <v>38.76765266287836</v>
      </c>
      <c r="AI29" s="22" t="n">
        <v>47.32661018511307</v>
      </c>
      <c r="AJ29" s="22" t="n">
        <v>36.3254700785958</v>
      </c>
      <c r="AK29" s="22" t="n">
        <v>152.0460458057851</v>
      </c>
      <c r="AL29" s="22" t="n">
        <v>61.41083635378962</v>
      </c>
      <c r="AM29" s="22" t="n">
        <v>0</v>
      </c>
      <c r="AN29" s="22" t="n">
        <v>0</v>
      </c>
      <c r="AO29" s="23" t="n">
        <v>2889.677273627493</v>
      </c>
      <c r="AP29" s="22" t="n">
        <v>7315.511112220413</v>
      </c>
      <c r="AQ29" s="22" t="n">
        <v>3.989784995675968</v>
      </c>
      <c r="AR29" s="23" t="n">
        <v>7319.500897216089</v>
      </c>
      <c r="AS29" s="23" t="n">
        <v>4.805842</v>
      </c>
      <c r="AT29" s="22" t="n">
        <v>0</v>
      </c>
      <c r="AU29" s="22" t="n">
        <v>0</v>
      </c>
      <c r="AV29" s="23" t="n">
        <v>0</v>
      </c>
      <c r="AW29" s="23" t="n">
        <v>7324.306739216089</v>
      </c>
      <c r="AX29" s="23" t="n">
        <v>10213.98401284358</v>
      </c>
    </row>
    <row r="30">
      <c r="A30" s="8" t="inlineStr">
        <is>
          <t>69-71</t>
        </is>
      </c>
      <c r="B30" s="15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2" t="n">
        <v>1.043495924258774</v>
      </c>
      <c r="D30" s="22" t="n">
        <v>4.671659363986288</v>
      </c>
      <c r="E30" s="22" t="n">
        <v>12.86496832060172</v>
      </c>
      <c r="F30" s="22" t="n">
        <v>0.4504839961457849</v>
      </c>
      <c r="G30" s="22" t="n">
        <v>0.5021321822474063</v>
      </c>
      <c r="H30" s="22" t="n">
        <v>0</v>
      </c>
      <c r="I30" s="22" t="n">
        <v>0.08226096655106413</v>
      </c>
      <c r="J30" s="22" t="n">
        <v>0.1089361509713363</v>
      </c>
      <c r="K30" s="22" t="n">
        <v>42.90187396183723</v>
      </c>
      <c r="L30" s="22" t="n">
        <v>0.1715699728436369</v>
      </c>
      <c r="M30" s="22" t="n">
        <v>0</v>
      </c>
      <c r="N30" s="22" t="n">
        <v>2.073541715837952</v>
      </c>
      <c r="O30" s="22" t="n">
        <v>0.01172059452756427</v>
      </c>
      <c r="P30" s="22" t="n">
        <v>0.0247042289764816</v>
      </c>
      <c r="Q30" s="22" t="n">
        <v>6.650845657715474</v>
      </c>
      <c r="R30" s="22" t="n">
        <v>160.7350785979638</v>
      </c>
      <c r="S30" s="22" t="n">
        <v>3.392452234137391</v>
      </c>
      <c r="T30" s="22" t="n">
        <v>129.8460202836507</v>
      </c>
      <c r="U30" s="22" t="n">
        <v>54.21209719512915</v>
      </c>
      <c r="V30" s="22" t="n">
        <v>59.6057236373826</v>
      </c>
      <c r="W30" s="22" t="n">
        <v>11.96783462930351</v>
      </c>
      <c r="X30" s="22" t="n">
        <v>4.326021398741753</v>
      </c>
      <c r="Y30" s="22" t="n">
        <v>4.054889685713338</v>
      </c>
      <c r="Z30" s="22" t="n">
        <v>77.07552501327454</v>
      </c>
      <c r="AA30" s="22" t="n">
        <v>121.4166116476085</v>
      </c>
      <c r="AB30" s="22" t="n">
        <v>37.39820238751339</v>
      </c>
      <c r="AC30" s="22" t="n">
        <v>117.709950993073</v>
      </c>
      <c r="AD30" s="22" t="n">
        <v>0.06368993583016407</v>
      </c>
      <c r="AE30" s="22" t="n">
        <v>2.337600907712761</v>
      </c>
      <c r="AF30" s="22" t="n">
        <v>2.338515200660781</v>
      </c>
      <c r="AG30" s="22" t="n">
        <v>1.873084398154908</v>
      </c>
      <c r="AH30" s="22" t="n">
        <v>25.52170369828628</v>
      </c>
      <c r="AI30" s="22" t="n">
        <v>24.87578014843901</v>
      </c>
      <c r="AJ30" s="22" t="n">
        <v>1.055443129960296</v>
      </c>
      <c r="AK30" s="22" t="n">
        <v>53.88568021374314</v>
      </c>
      <c r="AL30" s="22" t="n">
        <v>3.143869908504305</v>
      </c>
      <c r="AM30" s="22" t="n">
        <v>0</v>
      </c>
      <c r="AN30" s="22" t="n">
        <v>0</v>
      </c>
      <c r="AO30" s="23" t="n">
        <v>968.3939682812842</v>
      </c>
      <c r="AP30" s="22" t="n">
        <v>459.1890354980811</v>
      </c>
      <c r="AQ30" s="22" t="n">
        <v>0</v>
      </c>
      <c r="AR30" s="23" t="n">
        <v>459.1890354980811</v>
      </c>
      <c r="AS30" s="23" t="n">
        <v>317.601478175126</v>
      </c>
      <c r="AT30" s="22" t="n">
        <v>0.1570521423767222</v>
      </c>
      <c r="AU30" s="22" t="n">
        <v>68.12352701416025</v>
      </c>
      <c r="AV30" s="23" t="n">
        <v>68.28057915653697</v>
      </c>
      <c r="AW30" s="23" t="n">
        <v>845.071092829744</v>
      </c>
      <c r="AX30" s="23" t="n">
        <v>1813.465061111028</v>
      </c>
    </row>
    <row r="31">
      <c r="A31" s="8" t="inlineStr">
        <is>
          <t>72</t>
        </is>
      </c>
      <c r="B31" s="15" t="inlineStr">
        <is>
          <t xml:space="preserve">Scientific research and development services </t>
        </is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0.0539560003869818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3.811471415335908</v>
      </c>
      <c r="S31" s="22" t="n">
        <v>0</v>
      </c>
      <c r="T31" s="22" t="n">
        <v>0.1061986465549181</v>
      </c>
      <c r="U31" s="22" t="n">
        <v>0.1783047207800428</v>
      </c>
      <c r="V31" s="22" t="n">
        <v>0.0764628833434679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0.08134646344720151</v>
      </c>
      <c r="AB31" s="22" t="n">
        <v>0</v>
      </c>
      <c r="AC31" s="22" t="n">
        <v>0</v>
      </c>
      <c r="AD31" s="22" t="n">
        <v>14.50939825327553</v>
      </c>
      <c r="AE31" s="22" t="n">
        <v>0.805260244323641</v>
      </c>
      <c r="AF31" s="22" t="n">
        <v>0</v>
      </c>
      <c r="AG31" s="22" t="n">
        <v>0</v>
      </c>
      <c r="AH31" s="22" t="n">
        <v>0.02395476051547004</v>
      </c>
      <c r="AI31" s="22" t="n">
        <v>0.2655827318187403</v>
      </c>
      <c r="AJ31" s="22" t="n">
        <v>0</v>
      </c>
      <c r="AK31" s="22" t="n">
        <v>0</v>
      </c>
      <c r="AL31" s="22" t="n">
        <v>0.1175157826966169</v>
      </c>
      <c r="AM31" s="22" t="n">
        <v>0</v>
      </c>
      <c r="AN31" s="22" t="n">
        <v>0</v>
      </c>
      <c r="AO31" s="23" t="n">
        <v>20.02945190247852</v>
      </c>
      <c r="AP31" s="22" t="n">
        <v>44.6622965130742</v>
      </c>
      <c r="AQ31" s="22" t="n">
        <v>18.72034271367806</v>
      </c>
      <c r="AR31" s="23" t="n">
        <v>63.38263922675227</v>
      </c>
      <c r="AS31" s="23" t="n">
        <v>4.402695706146865</v>
      </c>
      <c r="AT31" s="22" t="n">
        <v>214.7774418562533</v>
      </c>
      <c r="AU31" s="22" t="n">
        <v>0.3468697731696563</v>
      </c>
      <c r="AV31" s="23" t="n">
        <v>215.124311629423</v>
      </c>
      <c r="AW31" s="23" t="n">
        <v>282.9096465623221</v>
      </c>
      <c r="AX31" s="23" t="n">
        <v>302.9390984648006</v>
      </c>
    </row>
    <row r="32">
      <c r="A32" s="8" t="inlineStr">
        <is>
          <t>73-75</t>
        </is>
      </c>
      <c r="B32" s="10" t="inlineStr">
        <is>
          <t xml:space="preserve">Advertising and market research services; other professional, scientific and technical services; veterinary services </t>
        </is>
      </c>
      <c r="C32" s="22" t="n">
        <v>14.48878240647676</v>
      </c>
      <c r="D32" s="22" t="n">
        <v>0</v>
      </c>
      <c r="E32" s="22" t="n">
        <v>69.37416399202355</v>
      </c>
      <c r="F32" s="22" t="n">
        <v>0.5162827991902252</v>
      </c>
      <c r="G32" s="22" t="n">
        <v>0.7389309075407677</v>
      </c>
      <c r="H32" s="22" t="n">
        <v>0</v>
      </c>
      <c r="I32" s="22" t="n">
        <v>2.084315729057074</v>
      </c>
      <c r="J32" s="22" t="n">
        <v>6.935283934453723</v>
      </c>
      <c r="K32" s="22" t="n">
        <v>3.078455760447901</v>
      </c>
      <c r="L32" s="22" t="n">
        <v>0.00981326185472153</v>
      </c>
      <c r="M32" s="22" t="n">
        <v>0</v>
      </c>
      <c r="N32" s="22" t="n">
        <v>0</v>
      </c>
      <c r="O32" s="22" t="n">
        <v>0</v>
      </c>
      <c r="P32" s="22" t="n">
        <v>0.0344602563265005</v>
      </c>
      <c r="Q32" s="22" t="n">
        <v>0.4778222481125423</v>
      </c>
      <c r="R32" s="22" t="n">
        <v>0.831760556655691</v>
      </c>
      <c r="S32" s="22" t="n">
        <v>1.312852123953355</v>
      </c>
      <c r="T32" s="22" t="n">
        <v>13.10915660077015</v>
      </c>
      <c r="U32" s="22" t="n">
        <v>345.7814308882524</v>
      </c>
      <c r="V32" s="22" t="n">
        <v>6.266277760085984</v>
      </c>
      <c r="W32" s="22" t="n">
        <v>23.53116973541208</v>
      </c>
      <c r="X32" s="22" t="n">
        <v>16.8877275529042</v>
      </c>
      <c r="Y32" s="22" t="n">
        <v>3.389900243265783</v>
      </c>
      <c r="Z32" s="22" t="n">
        <v>15.52670651703123</v>
      </c>
      <c r="AA32" s="22" t="n">
        <v>105.5603800106389</v>
      </c>
      <c r="AB32" s="22" t="n">
        <v>0.7960434534256472</v>
      </c>
      <c r="AC32" s="22" t="n">
        <v>13.83576845999704</v>
      </c>
      <c r="AD32" s="22" t="n">
        <v>0.09928539360403722</v>
      </c>
      <c r="AE32" s="22" t="n">
        <v>62.09588804308966</v>
      </c>
      <c r="AF32" s="22" t="n">
        <v>0.6893553010487685</v>
      </c>
      <c r="AG32" s="22" t="n">
        <v>76.11227365584152</v>
      </c>
      <c r="AH32" s="22" t="n">
        <v>21.00727325445212</v>
      </c>
      <c r="AI32" s="22" t="n">
        <v>8.032186065777704</v>
      </c>
      <c r="AJ32" s="22" t="n">
        <v>2.026593646565547</v>
      </c>
      <c r="AK32" s="22" t="n">
        <v>9.154494643554921</v>
      </c>
      <c r="AL32" s="22" t="n">
        <v>2.304204174868568</v>
      </c>
      <c r="AM32" s="22" t="n">
        <v>0</v>
      </c>
      <c r="AN32" s="22" t="n">
        <v>0</v>
      </c>
      <c r="AO32" s="23" t="n">
        <v>826.0890393766791</v>
      </c>
      <c r="AP32" s="22" t="n">
        <v>67.74914953203884</v>
      </c>
      <c r="AQ32" s="22" t="n">
        <v>0</v>
      </c>
      <c r="AR32" s="23" t="n">
        <v>67.74914953203884</v>
      </c>
      <c r="AS32" s="23" t="n">
        <v>0.007956570536673898</v>
      </c>
      <c r="AT32" s="22" t="n">
        <v>0</v>
      </c>
      <c r="AU32" s="22" t="n">
        <v>0</v>
      </c>
      <c r="AV32" s="23" t="n">
        <v>0</v>
      </c>
      <c r="AW32" s="23" t="n">
        <v>67.75710610257552</v>
      </c>
      <c r="AX32" s="23" t="n">
        <v>893.8461454792545</v>
      </c>
    </row>
    <row r="33">
      <c r="A33" s="8" t="inlineStr">
        <is>
          <t>77-82</t>
        </is>
      </c>
      <c r="B33" s="10" t="inlineStr">
        <is>
          <t>Administrative and support services</t>
        </is>
      </c>
      <c r="C33" s="22" t="n">
        <v>42.7672462588898</v>
      </c>
      <c r="D33" s="22" t="n">
        <v>27.90688044924694</v>
      </c>
      <c r="E33" s="22" t="n">
        <v>43.78836865568381</v>
      </c>
      <c r="F33" s="22" t="n">
        <v>0.5353904565511736</v>
      </c>
      <c r="G33" s="22" t="n">
        <v>17.93577138866884</v>
      </c>
      <c r="H33" s="22" t="n">
        <v>0</v>
      </c>
      <c r="I33" s="22" t="n">
        <v>1.182535917122808</v>
      </c>
      <c r="J33" s="22" t="n">
        <v>0.601118627254433</v>
      </c>
      <c r="K33" s="22" t="n">
        <v>31.94271607984967</v>
      </c>
      <c r="L33" s="22" t="n">
        <v>0.5144287440819756</v>
      </c>
      <c r="M33" s="22" t="n">
        <v>0</v>
      </c>
      <c r="N33" s="22" t="n">
        <v>0.004001184526968154</v>
      </c>
      <c r="O33" s="22" t="n">
        <v>0.1496825572333145</v>
      </c>
      <c r="P33" s="22" t="n">
        <v>1.080284563249096</v>
      </c>
      <c r="Q33" s="22" t="n">
        <v>0.4298966442006201</v>
      </c>
      <c r="R33" s="22" t="n">
        <v>7.727562857695101</v>
      </c>
      <c r="S33" s="22" t="n">
        <v>2.65766233199596</v>
      </c>
      <c r="T33" s="22" t="n">
        <v>193.5720092487537</v>
      </c>
      <c r="U33" s="22" t="n">
        <v>203.4022039423616</v>
      </c>
      <c r="V33" s="22" t="n">
        <v>126.5052991046995</v>
      </c>
      <c r="W33" s="22" t="n">
        <v>97.62141303534143</v>
      </c>
      <c r="X33" s="22" t="n">
        <v>85.89590745626391</v>
      </c>
      <c r="Y33" s="22" t="n">
        <v>2.601619541919201</v>
      </c>
      <c r="Z33" s="22" t="n">
        <v>82.18832251805036</v>
      </c>
      <c r="AA33" s="22" t="n">
        <v>184.637474056732</v>
      </c>
      <c r="AB33" s="22" t="n">
        <v>19.96985114584442</v>
      </c>
      <c r="AC33" s="22" t="n">
        <v>24.95552233999562</v>
      </c>
      <c r="AD33" s="22" t="n">
        <v>0.3858759417042535</v>
      </c>
      <c r="AE33" s="22" t="n">
        <v>3.939569235947045</v>
      </c>
      <c r="AF33" s="22" t="n">
        <v>208.6511332195504</v>
      </c>
      <c r="AG33" s="22" t="n">
        <v>90.83383915789091</v>
      </c>
      <c r="AH33" s="22" t="n">
        <v>11.27489560157169</v>
      </c>
      <c r="AI33" s="22" t="n">
        <v>24.81238553949454</v>
      </c>
      <c r="AJ33" s="22" t="n">
        <v>11.50741288236155</v>
      </c>
      <c r="AK33" s="22" t="n">
        <v>22.89461528751126</v>
      </c>
      <c r="AL33" s="22" t="n">
        <v>1.884246614206232</v>
      </c>
      <c r="AM33" s="22" t="n">
        <v>0</v>
      </c>
      <c r="AN33" s="22" t="n">
        <v>0</v>
      </c>
      <c r="AO33" s="23" t="n">
        <v>1576.75714258645</v>
      </c>
      <c r="AP33" s="22" t="n">
        <v>506.3390421157071</v>
      </c>
      <c r="AQ33" s="22" t="n">
        <v>0</v>
      </c>
      <c r="AR33" s="23" t="n">
        <v>506.3390421157071</v>
      </c>
      <c r="AS33" s="23" t="n">
        <v>295.8691533153117</v>
      </c>
      <c r="AT33" s="22" t="n">
        <v>0</v>
      </c>
      <c r="AU33" s="22" t="n">
        <v>0</v>
      </c>
      <c r="AV33" s="23" t="n">
        <v>0</v>
      </c>
      <c r="AW33" s="23" t="n">
        <v>802.2081954310189</v>
      </c>
      <c r="AX33" s="23" t="n">
        <v>2378.965338017469</v>
      </c>
    </row>
    <row r="34">
      <c r="A34" s="8" t="n">
        <v>84</v>
      </c>
      <c r="B34" s="15" t="inlineStr">
        <is>
          <t xml:space="preserve">Public administration and defence services; compulsory social security services </t>
        </is>
      </c>
      <c r="C34" s="22" t="n">
        <v>0.00550377015870532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0.5406772619989785</v>
      </c>
      <c r="S34" s="22" t="n">
        <v>0.03177440198155929</v>
      </c>
      <c r="T34" s="22" t="n">
        <v>0.04242742569054612</v>
      </c>
      <c r="U34" s="22" t="n">
        <v>0.01280582832363721</v>
      </c>
      <c r="V34" s="22" t="n">
        <v>0.01545597798625507</v>
      </c>
      <c r="W34" s="22" t="n">
        <v>0</v>
      </c>
      <c r="X34" s="22" t="n">
        <v>0</v>
      </c>
      <c r="Y34" s="22" t="n">
        <v>0</v>
      </c>
      <c r="Z34" s="22" t="n">
        <v>0.3831904555359351</v>
      </c>
      <c r="AA34" s="22" t="n">
        <v>0.04143899510690351</v>
      </c>
      <c r="AB34" s="22" t="n">
        <v>0</v>
      </c>
      <c r="AC34" s="22" t="n">
        <v>0</v>
      </c>
      <c r="AD34" s="22" t="n">
        <v>0.0002940000205061275</v>
      </c>
      <c r="AE34" s="22" t="n">
        <v>0.1402009105911224</v>
      </c>
      <c r="AF34" s="22" t="n">
        <v>0.01578116719516138</v>
      </c>
      <c r="AG34" s="22" t="n">
        <v>5.253025839999999</v>
      </c>
      <c r="AH34" s="22" t="n">
        <v>0.04824798416695114</v>
      </c>
      <c r="AI34" s="22" t="n">
        <v>6.153866846870746</v>
      </c>
      <c r="AJ34" s="22" t="n">
        <v>0</v>
      </c>
      <c r="AK34" s="22" t="n">
        <v>0.001500000104623099</v>
      </c>
      <c r="AL34" s="22" t="n">
        <v>0.02827897468290916</v>
      </c>
      <c r="AM34" s="22" t="n">
        <v>0</v>
      </c>
      <c r="AN34" s="22" t="n">
        <v>0</v>
      </c>
      <c r="AO34" s="23" t="n">
        <v>12.71446984041454</v>
      </c>
      <c r="AP34" s="22" t="n">
        <v>1426.256430159586</v>
      </c>
      <c r="AQ34" s="22" t="n">
        <v>6453.671410358173</v>
      </c>
      <c r="AR34" s="23" t="n">
        <v>7879.927840517758</v>
      </c>
      <c r="AS34" s="23" t="n">
        <v>0</v>
      </c>
      <c r="AT34" s="22" t="n">
        <v>0</v>
      </c>
      <c r="AU34" s="22" t="n">
        <v>0</v>
      </c>
      <c r="AV34" s="23" t="n">
        <v>0</v>
      </c>
      <c r="AW34" s="23" t="n">
        <v>7879.927840517758</v>
      </c>
      <c r="AX34" s="23" t="n">
        <v>7892.642310358173</v>
      </c>
    </row>
    <row r="35">
      <c r="A35" s="8" t="n">
        <v>85</v>
      </c>
      <c r="B35" s="15" t="inlineStr">
        <is>
          <t xml:space="preserve">Education services </t>
        </is>
      </c>
      <c r="C35" s="22" t="n">
        <v>0.01703785673459828</v>
      </c>
      <c r="D35" s="22" t="n">
        <v>0</v>
      </c>
      <c r="E35" s="22" t="n">
        <v>0.01032392425644737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2.232562856687316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0.0344547810394945</v>
      </c>
      <c r="Q35" s="22" t="n">
        <v>0.1463434529501252</v>
      </c>
      <c r="R35" s="22" t="n">
        <v>0.01426825136904039</v>
      </c>
      <c r="S35" s="22" t="n">
        <v>0.003823813861188163</v>
      </c>
      <c r="T35" s="22" t="n">
        <v>0.1032221777977809</v>
      </c>
      <c r="U35" s="22" t="n">
        <v>2.235919072410131</v>
      </c>
      <c r="V35" s="22" t="n">
        <v>1.36875368625681</v>
      </c>
      <c r="W35" s="22" t="n">
        <v>0.4504973392494396</v>
      </c>
      <c r="X35" s="22" t="n">
        <v>0.3808026243860427</v>
      </c>
      <c r="Y35" s="22" t="n">
        <v>0.7999906866610547</v>
      </c>
      <c r="Z35" s="22" t="n">
        <v>6.737716435120075</v>
      </c>
      <c r="AA35" s="22" t="n">
        <v>12.68709690143169</v>
      </c>
      <c r="AB35" s="22" t="n">
        <v>0.02751202453066111</v>
      </c>
      <c r="AC35" s="22" t="n">
        <v>0.005881917218995151</v>
      </c>
      <c r="AD35" s="22" t="n">
        <v>0.02822286000000001</v>
      </c>
      <c r="AE35" s="22" t="n">
        <v>0.5166874440753662</v>
      </c>
      <c r="AF35" s="22" t="n">
        <v>0.03997809618791667</v>
      </c>
      <c r="AG35" s="22" t="n">
        <v>9.862053550000001</v>
      </c>
      <c r="AH35" s="22" t="n">
        <v>7.734455620218432</v>
      </c>
      <c r="AI35" s="22" t="n">
        <v>0.2463647348070067</v>
      </c>
      <c r="AJ35" s="22" t="n">
        <v>6.623086197858763</v>
      </c>
      <c r="AK35" s="22" t="n">
        <v>94.19745837334739</v>
      </c>
      <c r="AL35" s="22" t="n">
        <v>4.040358432233994</v>
      </c>
      <c r="AM35" s="22" t="n">
        <v>0</v>
      </c>
      <c r="AN35" s="22" t="n">
        <v>0</v>
      </c>
      <c r="AO35" s="23" t="n">
        <v>150.5448731106898</v>
      </c>
      <c r="AP35" s="22" t="n">
        <v>2635.073425074225</v>
      </c>
      <c r="AQ35" s="22" t="n">
        <v>2875.084759268962</v>
      </c>
      <c r="AR35" s="23" t="n">
        <v>5510.158184343187</v>
      </c>
      <c r="AS35" s="23" t="n">
        <v>52.84362480203551</v>
      </c>
      <c r="AT35" s="22" t="n">
        <v>0</v>
      </c>
      <c r="AU35" s="22" t="n">
        <v>0</v>
      </c>
      <c r="AV35" s="23" t="n">
        <v>0</v>
      </c>
      <c r="AW35" s="23" t="n">
        <v>5563.001809145222</v>
      </c>
      <c r="AX35" s="23" t="n">
        <v>5713.546682255912</v>
      </c>
    </row>
    <row r="36">
      <c r="A36" s="8" t="n">
        <v>86</v>
      </c>
      <c r="B36" s="15" t="inlineStr">
        <is>
          <t xml:space="preserve">Human health services </t>
        </is>
      </c>
      <c r="C36" s="22" t="n">
        <v>0</v>
      </c>
      <c r="D36" s="22" t="n">
        <v>0</v>
      </c>
      <c r="E36" s="22" t="n">
        <v>0.006115852588295238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8.117117292765736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0.2204318546780936</v>
      </c>
      <c r="Q36" s="22" t="n">
        <v>0.01263034518729413</v>
      </c>
      <c r="R36" s="22" t="n">
        <v>0.02513995399505827</v>
      </c>
      <c r="S36" s="22" t="n">
        <v>0.06953808247245007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0.02146022997799389</v>
      </c>
      <c r="Y36" s="22" t="n">
        <v>0.1239396721233628</v>
      </c>
      <c r="Z36" s="22" t="n">
        <v>0.3075054409876911</v>
      </c>
      <c r="AA36" s="22" t="n">
        <v>0.0002505517189550309</v>
      </c>
      <c r="AB36" s="22" t="n">
        <v>0.2152487007715402</v>
      </c>
      <c r="AC36" s="22" t="n">
        <v>3.831228807930651</v>
      </c>
      <c r="AD36" s="22" t="n">
        <v>0.08198235756246867</v>
      </c>
      <c r="AE36" s="22" t="n">
        <v>0</v>
      </c>
      <c r="AF36" s="22" t="n">
        <v>0.002397829204503282</v>
      </c>
      <c r="AG36" s="22" t="n">
        <v>30.81050803</v>
      </c>
      <c r="AH36" s="22" t="n">
        <v>20.69524905826791</v>
      </c>
      <c r="AI36" s="22" t="n">
        <v>230.7047673148966</v>
      </c>
      <c r="AJ36" s="22" t="n">
        <v>4.025509214567235</v>
      </c>
      <c r="AK36" s="22" t="n">
        <v>0.3342609681648914</v>
      </c>
      <c r="AL36" s="22" t="n">
        <v>0.2375858739456406</v>
      </c>
      <c r="AM36" s="22" t="n">
        <v>0</v>
      </c>
      <c r="AN36" s="22" t="n">
        <v>0</v>
      </c>
      <c r="AO36" s="23" t="n">
        <v>299.8428674318063</v>
      </c>
      <c r="AP36" s="22" t="n">
        <v>1929.04488649117</v>
      </c>
      <c r="AQ36" s="22" t="n">
        <v>2034.512128055413</v>
      </c>
      <c r="AR36" s="23" t="n">
        <v>3963.557014546584</v>
      </c>
      <c r="AS36" s="23" t="n">
        <v>5.225428835415971</v>
      </c>
      <c r="AT36" s="22" t="n">
        <v>0</v>
      </c>
      <c r="AU36" s="22" t="n">
        <v>0</v>
      </c>
      <c r="AV36" s="23" t="n">
        <v>0</v>
      </c>
      <c r="AW36" s="23" t="n">
        <v>3968.782443382</v>
      </c>
      <c r="AX36" s="23" t="n">
        <v>4268.625310813806</v>
      </c>
    </row>
    <row r="37">
      <c r="A37" s="8" t="inlineStr">
        <is>
          <t>87-88</t>
        </is>
      </c>
      <c r="B37" s="10" t="inlineStr">
        <is>
          <t xml:space="preserve">Social work services </t>
        </is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3" t="n">
        <v>0</v>
      </c>
      <c r="AP37" s="22" t="n">
        <v>373.4486257137909</v>
      </c>
      <c r="AQ37" s="22" t="n">
        <v>5.673250364490143</v>
      </c>
      <c r="AR37" s="23" t="n">
        <v>379.121876078281</v>
      </c>
      <c r="AS37" s="23" t="n">
        <v>0</v>
      </c>
      <c r="AT37" s="22" t="n">
        <v>0</v>
      </c>
      <c r="AU37" s="22" t="n">
        <v>0</v>
      </c>
      <c r="AV37" s="23" t="n">
        <v>0</v>
      </c>
      <c r="AW37" s="23" t="n">
        <v>379.121876078281</v>
      </c>
      <c r="AX37" s="23" t="n">
        <v>379.121876078281</v>
      </c>
    </row>
    <row r="38">
      <c r="A38" s="8" t="inlineStr">
        <is>
          <t>90-93</t>
        </is>
      </c>
      <c r="B38" s="10" t="inlineStr">
        <is>
          <t xml:space="preserve">Arts, entertainment and recreation services </t>
        </is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1.91533517300628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0.002622711058815635</v>
      </c>
      <c r="T38" s="22" t="n">
        <v>0</v>
      </c>
      <c r="U38" s="22" t="n">
        <v>0</v>
      </c>
      <c r="V38" s="22" t="n">
        <v>0.4232712681684503</v>
      </c>
      <c r="W38" s="22" t="n">
        <v>1.632058610744908</v>
      </c>
      <c r="X38" s="22" t="n">
        <v>0.5436796069968332</v>
      </c>
      <c r="Y38" s="22" t="n">
        <v>0</v>
      </c>
      <c r="Z38" s="22" t="n">
        <v>1.392660121228971</v>
      </c>
      <c r="AA38" s="22" t="n">
        <v>8.997766754618961</v>
      </c>
      <c r="AB38" s="22" t="n">
        <v>0</v>
      </c>
      <c r="AC38" s="22" t="n">
        <v>0.005361624462816511</v>
      </c>
      <c r="AD38" s="22" t="n">
        <v>0.01766627382473208</v>
      </c>
      <c r="AE38" s="22" t="n">
        <v>0</v>
      </c>
      <c r="AF38" s="22" t="n">
        <v>0.1314697753548216</v>
      </c>
      <c r="AG38" s="22" t="n">
        <v>117.7918353738091</v>
      </c>
      <c r="AH38" s="22" t="n">
        <v>9.215731245727005</v>
      </c>
      <c r="AI38" s="22" t="n">
        <v>0</v>
      </c>
      <c r="AJ38" s="22" t="n">
        <v>0</v>
      </c>
      <c r="AK38" s="22" t="n">
        <v>923.1624434034685</v>
      </c>
      <c r="AL38" s="22" t="n">
        <v>14.27068492371912</v>
      </c>
      <c r="AM38" s="22" t="n">
        <v>0</v>
      </c>
      <c r="AN38" s="22" t="n">
        <v>0</v>
      </c>
      <c r="AO38" s="23" t="n">
        <v>1079.502586866189</v>
      </c>
      <c r="AP38" s="22" t="n">
        <v>2707.257018132707</v>
      </c>
      <c r="AQ38" s="22" t="n">
        <v>386.9607574213347</v>
      </c>
      <c r="AR38" s="23" t="n">
        <v>3094.217775554042</v>
      </c>
      <c r="AS38" s="23" t="n">
        <v>1809.101592100711</v>
      </c>
      <c r="AT38" s="22" t="n">
        <v>0</v>
      </c>
      <c r="AU38" s="22" t="n">
        <v>0</v>
      </c>
      <c r="AV38" s="23" t="n">
        <v>0</v>
      </c>
      <c r="AW38" s="23" t="n">
        <v>4903.319367654753</v>
      </c>
      <c r="AX38" s="23" t="n">
        <v>5982.821954520941</v>
      </c>
    </row>
    <row r="39">
      <c r="A39" s="8" t="inlineStr">
        <is>
          <t>94-96</t>
        </is>
      </c>
      <c r="B39" s="10" t="inlineStr">
        <is>
          <t>Other services</t>
        </is>
      </c>
      <c r="C39" s="22" t="n">
        <v>0</v>
      </c>
      <c r="D39" s="22" t="n">
        <v>0</v>
      </c>
      <c r="E39" s="22" t="n">
        <v>1.245508332972812</v>
      </c>
      <c r="F39" s="22" t="n">
        <v>1.206228814851173</v>
      </c>
      <c r="G39" s="22" t="n">
        <v>1.02436214806457</v>
      </c>
      <c r="H39" s="22" t="n">
        <v>0</v>
      </c>
      <c r="I39" s="22" t="n">
        <v>0</v>
      </c>
      <c r="J39" s="22" t="n">
        <v>0.08681503580403988</v>
      </c>
      <c r="K39" s="22" t="n">
        <v>0.2337544482417477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0.07597576148567105</v>
      </c>
      <c r="R39" s="22" t="n">
        <v>21.97266592995884</v>
      </c>
      <c r="S39" s="22" t="n">
        <v>1.643123751134926</v>
      </c>
      <c r="T39" s="22" t="n">
        <v>5.153261480681941</v>
      </c>
      <c r="U39" s="22" t="n">
        <v>26.92189443871331</v>
      </c>
      <c r="V39" s="22" t="n">
        <v>3.654121305515099</v>
      </c>
      <c r="W39" s="22" t="n">
        <v>9.012174870163602</v>
      </c>
      <c r="X39" s="22" t="n">
        <v>6.012778275938967</v>
      </c>
      <c r="Y39" s="22" t="n">
        <v>0</v>
      </c>
      <c r="Z39" s="22" t="n">
        <v>64.77938237293911</v>
      </c>
      <c r="AA39" s="22" t="n">
        <v>46.587595764124</v>
      </c>
      <c r="AB39" s="22" t="n">
        <v>0.00211172061425417</v>
      </c>
      <c r="AC39" s="22" t="n">
        <v>1.241402964488182</v>
      </c>
      <c r="AD39" s="22" t="n">
        <v>0</v>
      </c>
      <c r="AE39" s="22" t="n">
        <v>0.2370490627075272</v>
      </c>
      <c r="AF39" s="22" t="n">
        <v>0.03261334913623334</v>
      </c>
      <c r="AG39" s="22" t="n">
        <v>10.44629443873074</v>
      </c>
      <c r="AH39" s="22" t="n">
        <v>0.7674428135339904</v>
      </c>
      <c r="AI39" s="22" t="n">
        <v>3.47673511088227</v>
      </c>
      <c r="AJ39" s="22" t="n">
        <v>0.005525021254569206</v>
      </c>
      <c r="AK39" s="22" t="n">
        <v>0.3949582620087853</v>
      </c>
      <c r="AL39" s="22" t="n">
        <v>3.14361231972339</v>
      </c>
      <c r="AM39" s="22" t="n">
        <v>0</v>
      </c>
      <c r="AN39" s="22" t="n">
        <v>0</v>
      </c>
      <c r="AO39" s="23" t="n">
        <v>209.3573877936697</v>
      </c>
      <c r="AP39" s="22" t="n">
        <v>1234.947649957308</v>
      </c>
      <c r="AQ39" s="22" t="n">
        <v>1.751995846717309</v>
      </c>
      <c r="AR39" s="23" t="n">
        <v>1236.699645804026</v>
      </c>
      <c r="AS39" s="23" t="n">
        <v>5.755239225664452</v>
      </c>
      <c r="AT39" s="22" t="n">
        <v>0</v>
      </c>
      <c r="AU39" s="22" t="n">
        <v>0</v>
      </c>
      <c r="AV39" s="23" t="n">
        <v>0</v>
      </c>
      <c r="AW39" s="23" t="n">
        <v>1242.45488502969</v>
      </c>
      <c r="AX39" s="23" t="n">
        <v>1451.81227282336</v>
      </c>
    </row>
    <row r="40">
      <c r="A40" s="8" t="inlineStr">
        <is>
          <t>97-98</t>
        </is>
      </c>
      <c r="B40" s="1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0</v>
      </c>
      <c r="AK40" s="22" t="n">
        <v>0</v>
      </c>
      <c r="AL40" s="22" t="n">
        <v>0</v>
      </c>
      <c r="AM40" s="22" t="n">
        <v>0</v>
      </c>
      <c r="AN40" s="22" t="n">
        <v>0</v>
      </c>
      <c r="AO40" s="23" t="n">
        <v>0</v>
      </c>
      <c r="AP40" s="22" t="n">
        <v>95.18079988198781</v>
      </c>
      <c r="AQ40" s="22" t="n">
        <v>0</v>
      </c>
      <c r="AR40" s="23" t="n">
        <v>95.18079988198781</v>
      </c>
      <c r="AS40" s="23" t="n">
        <v>0</v>
      </c>
      <c r="AT40" s="22" t="n">
        <v>0</v>
      </c>
      <c r="AU40" s="22" t="n">
        <v>0</v>
      </c>
      <c r="AV40" s="23" t="n">
        <v>0</v>
      </c>
      <c r="AW40" s="23" t="n">
        <v>95.18079988198781</v>
      </c>
      <c r="AX40" s="23" t="n">
        <v>95.18079988198781</v>
      </c>
    </row>
    <row r="41">
      <c r="A41" s="8" t="inlineStr">
        <is>
          <t>99</t>
        </is>
      </c>
      <c r="B41" s="15" t="inlineStr">
        <is>
          <t>Services provided by extraterritorial organisations and bodies</t>
        </is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2" t="n">
        <v>0</v>
      </c>
      <c r="AM41" s="22" t="n">
        <v>0</v>
      </c>
      <c r="AN41" s="22" t="n">
        <v>0</v>
      </c>
      <c r="AO41" s="23" t="n">
        <v>0</v>
      </c>
      <c r="AP41" s="22" t="n">
        <v>0</v>
      </c>
      <c r="AQ41" s="22" t="n">
        <v>0</v>
      </c>
      <c r="AR41" s="23" t="n">
        <v>0</v>
      </c>
      <c r="AS41" s="23" t="n">
        <v>0</v>
      </c>
      <c r="AT41" s="22" t="n">
        <v>0</v>
      </c>
      <c r="AU41" s="22" t="n">
        <v>0</v>
      </c>
      <c r="AV41" s="23" t="n">
        <v>0</v>
      </c>
      <c r="AW41" s="23" t="n">
        <v>0</v>
      </c>
      <c r="AX41" s="23" t="n">
        <v>0</v>
      </c>
    </row>
    <row r="42">
      <c r="A42" s="16" t="n"/>
      <c r="B42" s="24" t="inlineStr">
        <is>
          <t>Total</t>
        </is>
      </c>
      <c r="C42" s="23" t="n">
        <v>2979.544567744408</v>
      </c>
      <c r="D42" s="23" t="n">
        <v>1519.075196549027</v>
      </c>
      <c r="E42" s="23" t="n">
        <v>10051.58635193115</v>
      </c>
      <c r="F42" s="23" t="n">
        <v>424.5976093260473</v>
      </c>
      <c r="G42" s="23" t="n">
        <v>487.4234069111333</v>
      </c>
      <c r="H42" s="23" t="n">
        <v>248.6839405131606</v>
      </c>
      <c r="I42" s="23" t="n">
        <v>452.6916133262023</v>
      </c>
      <c r="J42" s="23" t="n">
        <v>219.3485578271174</v>
      </c>
      <c r="K42" s="23" t="n">
        <v>2613.496726625985</v>
      </c>
      <c r="L42" s="23" t="n">
        <v>2253.053289692418</v>
      </c>
      <c r="M42" s="23" t="n">
        <v>1.669983880566651</v>
      </c>
      <c r="N42" s="23" t="n">
        <v>199.0223711421679</v>
      </c>
      <c r="O42" s="23" t="n">
        <v>44.22016542985311</v>
      </c>
      <c r="P42" s="23" t="n">
        <v>53.32758313651705</v>
      </c>
      <c r="Q42" s="23" t="n">
        <v>412.7791160594511</v>
      </c>
      <c r="R42" s="23" t="n">
        <v>999.9732853637728</v>
      </c>
      <c r="S42" s="23" t="n">
        <v>389.4327468640234</v>
      </c>
      <c r="T42" s="23" t="n">
        <v>12129.25301685184</v>
      </c>
      <c r="U42" s="23" t="n">
        <v>6916.072162131887</v>
      </c>
      <c r="V42" s="23" t="n">
        <v>4768.148530480129</v>
      </c>
      <c r="W42" s="23" t="n">
        <v>3464.585976417334</v>
      </c>
      <c r="X42" s="23" t="n">
        <v>593.4828515454666</v>
      </c>
      <c r="Y42" s="23" t="n">
        <v>500.3869046152538</v>
      </c>
      <c r="Z42" s="23" t="n">
        <v>1158.391502923484</v>
      </c>
      <c r="AA42" s="23" t="n">
        <v>1707.349176751153</v>
      </c>
      <c r="AB42" s="23" t="n">
        <v>1917.148092041886</v>
      </c>
      <c r="AC42" s="23" t="n">
        <v>448.1038164217514</v>
      </c>
      <c r="AD42" s="23" t="n">
        <v>66.94172469064655</v>
      </c>
      <c r="AE42" s="23" t="n">
        <v>348.5098515392372</v>
      </c>
      <c r="AF42" s="23" t="n">
        <v>690.7622998023834</v>
      </c>
      <c r="AG42" s="23" t="n">
        <v>2345.973824945204</v>
      </c>
      <c r="AH42" s="23" t="n">
        <v>875.5042171578046</v>
      </c>
      <c r="AI42" s="23" t="n">
        <v>1353.497293401428</v>
      </c>
      <c r="AJ42" s="23" t="n">
        <v>260.5068939887066</v>
      </c>
      <c r="AK42" s="23" t="n">
        <v>2496.924934227824</v>
      </c>
      <c r="AL42" s="23" t="n">
        <v>511.1816388876072</v>
      </c>
      <c r="AM42" s="23" t="n">
        <v>0</v>
      </c>
      <c r="AN42" s="23" t="n">
        <v>0</v>
      </c>
      <c r="AO42" s="23" t="n">
        <v>65902.65122114403</v>
      </c>
      <c r="AP42" s="23" t="n">
        <v>65515.19636787123</v>
      </c>
      <c r="AQ42" s="23" t="n">
        <v>11996.9573963682</v>
      </c>
      <c r="AR42" s="23" t="n">
        <v>77512.15376423944</v>
      </c>
      <c r="AS42" s="23" t="n">
        <v>44478.6624414516</v>
      </c>
      <c r="AT42" s="23" t="n">
        <v>19830.34269783408</v>
      </c>
      <c r="AU42" s="23" t="n">
        <v>2960.017673983411</v>
      </c>
      <c r="AV42" s="23" t="n">
        <v>22790.36037181749</v>
      </c>
      <c r="AW42" s="23" t="n">
        <v>144781.1765775085</v>
      </c>
      <c r="AX42" s="23" t="n">
        <v>210683.8277986525</v>
      </c>
    </row>
    <row r="43">
      <c r="A43" s="25" t="inlineStr">
        <is>
          <t>D.1</t>
        </is>
      </c>
      <c r="B43" s="25" t="inlineStr">
        <is>
          <t>Compensation of employees</t>
        </is>
      </c>
      <c r="C43" s="26" t="n">
        <v>406.2761487106904</v>
      </c>
      <c r="D43" s="26" t="n">
        <v>359.8149039677978</v>
      </c>
      <c r="E43" s="26" t="n">
        <v>1083.260085775832</v>
      </c>
      <c r="F43" s="26" t="n">
        <v>140.891471074077</v>
      </c>
      <c r="G43" s="26" t="n">
        <v>112.0358652413222</v>
      </c>
      <c r="H43" s="26" t="n">
        <v>8.292097676641237</v>
      </c>
      <c r="I43" s="26" t="n">
        <v>109.5744900328718</v>
      </c>
      <c r="J43" s="26" t="n">
        <v>82.83018433083456</v>
      </c>
      <c r="K43" s="26" t="n">
        <v>316.1387241327423</v>
      </c>
      <c r="L43" s="26" t="n">
        <v>306.1090853298338</v>
      </c>
      <c r="M43" s="26" t="n">
        <v>0.7536985715060296</v>
      </c>
      <c r="N43" s="26" t="n">
        <v>35.34773011930865</v>
      </c>
      <c r="O43" s="26" t="n">
        <v>10.21421239381965</v>
      </c>
      <c r="P43" s="26" t="n">
        <v>10.91180827761057</v>
      </c>
      <c r="Q43" s="26" t="n">
        <v>139.2637584321449</v>
      </c>
      <c r="R43" s="26" t="n">
        <v>487.6748582070903</v>
      </c>
      <c r="S43" s="26" t="n">
        <v>383.4644404398172</v>
      </c>
      <c r="T43" s="26" t="n">
        <v>2139.928268241405</v>
      </c>
      <c r="U43" s="26" t="n">
        <v>4752.333672678418</v>
      </c>
      <c r="V43" s="26" t="n">
        <v>1657.240440375963</v>
      </c>
      <c r="W43" s="26" t="n">
        <v>842.554182998079</v>
      </c>
      <c r="X43" s="26" t="n">
        <v>485.6375631485636</v>
      </c>
      <c r="Y43" s="26" t="n">
        <v>451.3679416511767</v>
      </c>
      <c r="Z43" s="26" t="n">
        <v>1513.131768931664</v>
      </c>
      <c r="AA43" s="26" t="n">
        <v>2045.079312199719</v>
      </c>
      <c r="AB43" s="26" t="n">
        <v>453.7407926949239</v>
      </c>
      <c r="AC43" s="26" t="n">
        <v>727.9715563818656</v>
      </c>
      <c r="AD43" s="26" t="n">
        <v>95.23138722726006</v>
      </c>
      <c r="AE43" s="26" t="n">
        <v>343.8273193475427</v>
      </c>
      <c r="AF43" s="26" t="n">
        <v>497.9309920590788</v>
      </c>
      <c r="AG43" s="26" t="n">
        <v>4033.810487949404</v>
      </c>
      <c r="AH43" s="26" t="n">
        <v>4088.683253671946</v>
      </c>
      <c r="AI43" s="26" t="n">
        <v>1926.699092451699</v>
      </c>
      <c r="AJ43" s="26" t="n">
        <v>113.1437133356671</v>
      </c>
      <c r="AK43" s="26" t="n">
        <v>1093.235468489441</v>
      </c>
      <c r="AL43" s="26" t="n">
        <v>224.1544986573002</v>
      </c>
      <c r="AM43" s="26" t="n">
        <v>95.18079988198781</v>
      </c>
      <c r="AN43" s="26" t="n">
        <v>0</v>
      </c>
      <c r="AO43" s="27" t="n">
        <v>31573.73607508705</v>
      </c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</row>
    <row r="44">
      <c r="A44" s="25" t="inlineStr">
        <is>
          <t>D29-D.39</t>
        </is>
      </c>
      <c r="B44" s="25" t="inlineStr">
        <is>
          <t>Other taxes on production less other subsidies on production</t>
        </is>
      </c>
      <c r="C44" s="26" t="n">
        <v>-4.962698087991746</v>
      </c>
      <c r="D44" s="26" t="n">
        <v>10.54322975291484</v>
      </c>
      <c r="E44" s="26" t="n">
        <v>38.46222863870353</v>
      </c>
      <c r="F44" s="26" t="n">
        <v>2.060429316124682</v>
      </c>
      <c r="G44" s="26" t="n">
        <v>2.687901013745588</v>
      </c>
      <c r="H44" s="26" t="n">
        <v>0.249011416370307</v>
      </c>
      <c r="I44" s="26" t="n">
        <v>4.321612805973593</v>
      </c>
      <c r="J44" s="26" t="n">
        <v>1.14115189686071</v>
      </c>
      <c r="K44" s="26" t="n">
        <v>15.91464734331248</v>
      </c>
      <c r="L44" s="26" t="n">
        <v>13.29225489576768</v>
      </c>
      <c r="M44" s="26" t="n">
        <v>0.08142444653066221</v>
      </c>
      <c r="N44" s="26" t="n">
        <v>0.6968179692339975</v>
      </c>
      <c r="O44" s="26" t="n">
        <v>0.2213106565836027</v>
      </c>
      <c r="P44" s="26" t="n">
        <v>1.937199175032495</v>
      </c>
      <c r="Q44" s="26" t="n">
        <v>2.081402607313581</v>
      </c>
      <c r="R44" s="26" t="n">
        <v>117.731903478282</v>
      </c>
      <c r="S44" s="26" t="n">
        <v>28.43528010673491</v>
      </c>
      <c r="T44" s="26" t="n">
        <v>103.4473028407822</v>
      </c>
      <c r="U44" s="26" t="n">
        <v>68.68856270007706</v>
      </c>
      <c r="V44" s="26" t="n">
        <v>63.33037328340899</v>
      </c>
      <c r="W44" s="26" t="n">
        <v>52.68904768863102</v>
      </c>
      <c r="X44" s="26" t="n">
        <v>2.970164584107642</v>
      </c>
      <c r="Y44" s="26" t="n">
        <v>22.69201818666987</v>
      </c>
      <c r="Z44" s="26" t="n">
        <v>1.210009765840074</v>
      </c>
      <c r="AA44" s="26" t="n">
        <v>38.98184033353895</v>
      </c>
      <c r="AB44" s="26" t="n">
        <v>91.93964574887355</v>
      </c>
      <c r="AC44" s="26" t="n">
        <v>4.721326107134014</v>
      </c>
      <c r="AD44" s="26" t="n">
        <v>0.48742964</v>
      </c>
      <c r="AE44" s="26" t="n">
        <v>2.116678415785266</v>
      </c>
      <c r="AF44" s="26" t="n">
        <v>10.61614339479824</v>
      </c>
      <c r="AG44" s="26" t="n">
        <v>42.79882321</v>
      </c>
      <c r="AH44" s="26" t="n">
        <v>7.861056886471749</v>
      </c>
      <c r="AI44" s="26" t="n">
        <v>3.416243992511498</v>
      </c>
      <c r="AJ44" s="26" t="n">
        <v>0.04335373097954243</v>
      </c>
      <c r="AK44" s="26" t="n">
        <v>136.5752760377377</v>
      </c>
      <c r="AL44" s="26" t="n">
        <v>1.452571331951747</v>
      </c>
      <c r="AM44" s="26" t="n">
        <v>0</v>
      </c>
      <c r="AN44" s="26" t="n">
        <v>0</v>
      </c>
      <c r="AO44" s="27" t="n">
        <v>890.9329753107919</v>
      </c>
      <c r="AP44" s="29" t="n"/>
      <c r="AQ44" s="29" t="n"/>
      <c r="AR44" s="29" t="n"/>
      <c r="AS44" s="28" t="n"/>
      <c r="AT44" s="28" t="n"/>
      <c r="AU44" s="28" t="n"/>
      <c r="AV44" s="28" t="n"/>
      <c r="AW44" s="28" t="n"/>
      <c r="AX44" s="28" t="n"/>
    </row>
    <row r="45">
      <c r="A45" s="25" t="inlineStr">
        <is>
          <t>K.1</t>
        </is>
      </c>
      <c r="B45" s="25" t="inlineStr">
        <is>
          <t>Consumption of fixed capital</t>
        </is>
      </c>
      <c r="C45" s="26" t="n">
        <v>154.8556460613397</v>
      </c>
      <c r="D45" s="26" t="n">
        <v>76.99942776602444</v>
      </c>
      <c r="E45" s="26" t="n">
        <v>342.9162695413559</v>
      </c>
      <c r="F45" s="26" t="n">
        <v>17.30517959142723</v>
      </c>
      <c r="G45" s="26" t="n">
        <v>38.11373468231615</v>
      </c>
      <c r="H45" s="26" t="n">
        <v>1.841710266631972</v>
      </c>
      <c r="I45" s="26" t="n">
        <v>18.53205672168345</v>
      </c>
      <c r="J45" s="26" t="n">
        <v>14.70831864880991</v>
      </c>
      <c r="K45" s="26" t="n">
        <v>154.9990902270082</v>
      </c>
      <c r="L45" s="26" t="n">
        <v>91.82103234942645</v>
      </c>
      <c r="M45" s="26" t="n">
        <v>0.08775256165080059</v>
      </c>
      <c r="N45" s="26" t="n">
        <v>7.254837340910434</v>
      </c>
      <c r="O45" s="26" t="n">
        <v>0.7972271722425713</v>
      </c>
      <c r="P45" s="26" t="n">
        <v>4.081378533006621</v>
      </c>
      <c r="Q45" s="26" t="n">
        <v>16.45316023775586</v>
      </c>
      <c r="R45" s="26" t="n">
        <v>590.3128019127976</v>
      </c>
      <c r="S45" s="26" t="n">
        <v>196.8469234581556</v>
      </c>
      <c r="T45" s="26" t="n">
        <v>1450.354972685849</v>
      </c>
      <c r="U45" s="26" t="n">
        <v>658.4847672149815</v>
      </c>
      <c r="V45" s="26" t="n">
        <v>974.5935749301946</v>
      </c>
      <c r="W45" s="26" t="n">
        <v>120.960163375836</v>
      </c>
      <c r="X45" s="26" t="n">
        <v>38.47675808682261</v>
      </c>
      <c r="Y45" s="26" t="n">
        <v>247.4906981471202</v>
      </c>
      <c r="Z45" s="26" t="n">
        <v>29.1457147325105</v>
      </c>
      <c r="AA45" s="26" t="n">
        <v>114.8646507324559</v>
      </c>
      <c r="AB45" s="26" t="n">
        <v>157.2506898883956</v>
      </c>
      <c r="AC45" s="26" t="n">
        <v>81.88280041454118</v>
      </c>
      <c r="AD45" s="26" t="n">
        <v>115.0478602054148</v>
      </c>
      <c r="AE45" s="26" t="n">
        <v>29.84717392976305</v>
      </c>
      <c r="AF45" s="26" t="n">
        <v>72.37904215525836</v>
      </c>
      <c r="AG45" s="26" t="n">
        <v>1470.268854203564</v>
      </c>
      <c r="AH45" s="26" t="n">
        <v>278.1264447556599</v>
      </c>
      <c r="AI45" s="26" t="n">
        <v>287.2359394635288</v>
      </c>
      <c r="AJ45" s="26" t="n">
        <v>2.359914610006274</v>
      </c>
      <c r="AK45" s="26" t="n">
        <v>184.7369137223677</v>
      </c>
      <c r="AL45" s="26" t="n">
        <v>7.177310432989758</v>
      </c>
      <c r="AM45" s="26" t="n">
        <v>0</v>
      </c>
      <c r="AN45" s="26" t="n">
        <v>0</v>
      </c>
      <c r="AO45" s="27" t="n">
        <v>8048.610790759802</v>
      </c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</row>
    <row r="46">
      <c r="A46" s="25" t="inlineStr">
        <is>
          <t>B.2n/B.3n</t>
        </is>
      </c>
      <c r="B46" s="25" t="inlineStr">
        <is>
          <t>Net operating surplus/Net mixed income</t>
        </is>
      </c>
      <c r="C46" s="26" t="n">
        <v>4546.514533729081</v>
      </c>
      <c r="D46" s="26" t="n">
        <v>348.0212911780743</v>
      </c>
      <c r="E46" s="26" t="n">
        <v>2879.592076914017</v>
      </c>
      <c r="F46" s="26" t="n">
        <v>100.8931581974085</v>
      </c>
      <c r="G46" s="26" t="n">
        <v>116.5842880034737</v>
      </c>
      <c r="H46" s="26" t="n">
        <v>6.875472222976558</v>
      </c>
      <c r="I46" s="26" t="n">
        <v>211.8658912200389</v>
      </c>
      <c r="J46" s="26" t="n">
        <v>122.9501187810671</v>
      </c>
      <c r="K46" s="26" t="n">
        <v>765.2923796862107</v>
      </c>
      <c r="L46" s="26" t="n">
        <v>314.17764818135</v>
      </c>
      <c r="M46" s="26" t="n">
        <v>0.6453363736875071</v>
      </c>
      <c r="N46" s="26" t="n">
        <v>9.559797225397062</v>
      </c>
      <c r="O46" s="26" t="n">
        <v>12.1646462149154</v>
      </c>
      <c r="P46" s="26" t="n">
        <v>9.789557985559174</v>
      </c>
      <c r="Q46" s="26" t="n">
        <v>149.9455314510845</v>
      </c>
      <c r="R46" s="26" t="n">
        <v>731.7917776093213</v>
      </c>
      <c r="S46" s="26" t="n">
        <v>143.3682534294246</v>
      </c>
      <c r="T46" s="26" t="n">
        <v>3200.512735656801</v>
      </c>
      <c r="U46" s="26" t="n">
        <v>6954.263460817667</v>
      </c>
      <c r="V46" s="26" t="n">
        <v>2376.547433446193</v>
      </c>
      <c r="W46" s="26" t="n">
        <v>2211.872286985893</v>
      </c>
      <c r="X46" s="26" t="n">
        <v>234.9255923831499</v>
      </c>
      <c r="Y46" s="26" t="n">
        <v>894.821626212649</v>
      </c>
      <c r="Z46" s="26" t="n">
        <v>1238.573817478261</v>
      </c>
      <c r="AA46" s="26" t="n">
        <v>1760.094725447981</v>
      </c>
      <c r="AB46" s="26" t="n">
        <v>7208.43716475468</v>
      </c>
      <c r="AC46" s="26" t="n">
        <v>207.6214367772625</v>
      </c>
      <c r="AD46" s="26" t="n">
        <v>21.82018817471038</v>
      </c>
      <c r="AE46" s="26" t="n">
        <v>337.4775079385527</v>
      </c>
      <c r="AF46" s="26" t="n">
        <v>343.9361073599147</v>
      </c>
      <c r="AG46" s="26" t="n">
        <v>0</v>
      </c>
      <c r="AH46" s="26" t="n">
        <v>176.477506512987</v>
      </c>
      <c r="AI46" s="26" t="n">
        <v>611.9899191448376</v>
      </c>
      <c r="AJ46" s="26" t="n">
        <v>3.321634521437169</v>
      </c>
      <c r="AK46" s="26" t="n">
        <v>1644.901825746081</v>
      </c>
      <c r="AL46" s="26" t="n">
        <v>568.5186581816178</v>
      </c>
      <c r="AM46" s="26" t="n">
        <v>0</v>
      </c>
      <c r="AN46" s="26" t="n">
        <v>0</v>
      </c>
      <c r="AO46" s="27" t="n">
        <v>40466.14538594376</v>
      </c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28" t="n"/>
    </row>
    <row r="47">
      <c r="A47" s="30" t="inlineStr">
        <is>
          <t>P.1</t>
        </is>
      </c>
      <c r="B47" s="30" t="inlineStr">
        <is>
          <t>Output at basic prices</t>
        </is>
      </c>
      <c r="C47" s="27" t="n">
        <v>8082.228198157529</v>
      </c>
      <c r="D47" s="27" t="n">
        <v>2314.454049213839</v>
      </c>
      <c r="E47" s="27" t="n">
        <v>14395.81701280106</v>
      </c>
      <c r="F47" s="27" t="n">
        <v>685.7478475050846</v>
      </c>
      <c r="G47" s="27" t="n">
        <v>756.845195851991</v>
      </c>
      <c r="H47" s="27" t="n">
        <v>265.9422320957807</v>
      </c>
      <c r="I47" s="27" t="n">
        <v>796.9856641067702</v>
      </c>
      <c r="J47" s="27" t="n">
        <v>440.9783314846898</v>
      </c>
      <c r="K47" s="27" t="n">
        <v>3865.841568015259</v>
      </c>
      <c r="L47" s="27" t="n">
        <v>2978.453310448796</v>
      </c>
      <c r="M47" s="27" t="n">
        <v>3.238195833941651</v>
      </c>
      <c r="N47" s="27" t="n">
        <v>251.881553797018</v>
      </c>
      <c r="O47" s="27" t="n">
        <v>67.61756186741434</v>
      </c>
      <c r="P47" s="27" t="n">
        <v>80.04752710772591</v>
      </c>
      <c r="Q47" s="27" t="n">
        <v>720.52296878775</v>
      </c>
      <c r="R47" s="27" t="n">
        <v>2927.484626571264</v>
      </c>
      <c r="S47" s="27" t="n">
        <v>1141.547644298156</v>
      </c>
      <c r="T47" s="27" t="n">
        <v>19023.49629627668</v>
      </c>
      <c r="U47" s="27" t="n">
        <v>19349.84262554303</v>
      </c>
      <c r="V47" s="27" t="n">
        <v>9839.860352515889</v>
      </c>
      <c r="W47" s="27" t="n">
        <v>6692.661657465773</v>
      </c>
      <c r="X47" s="27" t="n">
        <v>1355.49292974811</v>
      </c>
      <c r="Y47" s="27" t="n">
        <v>2116.75918881287</v>
      </c>
      <c r="Z47" s="27" t="n">
        <v>3940.452813831759</v>
      </c>
      <c r="AA47" s="27" t="n">
        <v>5666.369705464847</v>
      </c>
      <c r="AB47" s="27" t="n">
        <v>9828.516385128758</v>
      </c>
      <c r="AC47" s="27" t="n">
        <v>1470.300936102555</v>
      </c>
      <c r="AD47" s="27" t="n">
        <v>299.5285899380319</v>
      </c>
      <c r="AE47" s="27" t="n">
        <v>1061.778531170881</v>
      </c>
      <c r="AF47" s="27" t="n">
        <v>1615.624584771433</v>
      </c>
      <c r="AG47" s="27" t="n">
        <v>7892.851990308171</v>
      </c>
      <c r="AH47" s="27" t="n">
        <v>5426.652478984868</v>
      </c>
      <c r="AI47" s="27" t="n">
        <v>4182.838488454005</v>
      </c>
      <c r="AJ47" s="27" t="n">
        <v>379.3755101867967</v>
      </c>
      <c r="AK47" s="27" t="n">
        <v>5556.374418223452</v>
      </c>
      <c r="AL47" s="27" t="n">
        <v>1312.484677491467</v>
      </c>
      <c r="AM47" s="27" t="n">
        <v>95.18079988198781</v>
      </c>
      <c r="AN47" s="27" t="n">
        <v>0</v>
      </c>
      <c r="AO47" s="27" t="n">
        <v>146882.0764482454</v>
      </c>
      <c r="AP47" s="28" t="n"/>
      <c r="AQ47" s="28" t="n"/>
      <c r="AR47" s="28" t="n"/>
      <c r="AS47" s="28" t="n"/>
      <c r="AT47" s="28" t="n"/>
      <c r="AU47" s="28" t="n"/>
      <c r="AV47" s="28" t="n"/>
      <c r="AW47" s="28" t="n"/>
      <c r="AX47" s="28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20" customWidth="1" min="3" max="3"/>
    <col width="18" customWidth="1" min="4" max="4"/>
    <col width="18" customWidth="1" min="5" max="5"/>
    <col width="22" customWidth="1" min="6" max="6"/>
    <col width="25" customWidth="1" min="7" max="7"/>
    <col width="22" customWidth="1" min="8" max="8"/>
  </cols>
  <sheetData>
    <row r="1">
      <c r="A1" s="1" t="inlineStr">
        <is>
          <t>Product Code</t>
        </is>
      </c>
      <c r="B1" s="1" t="inlineStr">
        <is>
          <t>Product Description</t>
        </is>
      </c>
      <c r="C1" s="1" t="inlineStr">
        <is>
          <t>Total Supply (PP)</t>
        </is>
      </c>
      <c r="D1" s="1" t="inlineStr">
        <is>
          <t>Imports (P7)</t>
        </is>
      </c>
      <c r="E1" s="1" t="inlineStr">
        <is>
          <t>GFCF (P51)</t>
        </is>
      </c>
      <c r="F1" s="1" t="inlineStr">
        <is>
          <t>Import Share of Supply</t>
        </is>
      </c>
      <c r="G1" s="1" t="inlineStr">
        <is>
          <t>Import Content of GFCF</t>
        </is>
      </c>
      <c r="H1" s="1" t="inlineStr">
        <is>
          <t>Share in Total GFCF</t>
        </is>
      </c>
    </row>
    <row r="2">
      <c r="A2" t="inlineStr">
        <is>
          <t>1-3</t>
        </is>
      </c>
      <c r="B2" t="inlineStr">
        <is>
          <t xml:space="preserve">Products of agriculture, forestry and fishing </t>
        </is>
      </c>
      <c r="C2">
        <f>'SUPPLY (38-38)-2024'!AS4</f>
        <v/>
      </c>
      <c r="D2">
        <f>'SUPPLY (38-38)-2024'!AR4</f>
        <v/>
      </c>
      <c r="E2">
        <f>'USE (38-38)-2024'!AT4</f>
        <v/>
      </c>
      <c r="F2" s="31">
        <f>IF(C2=0,0,D2/C2)</f>
        <v/>
      </c>
      <c r="G2">
        <f>F2*E2</f>
        <v/>
      </c>
      <c r="H2" s="31">
        <f>IF($E$40=0,0,E2/$E$40)</f>
        <v/>
      </c>
    </row>
    <row r="3">
      <c r="A3" t="inlineStr">
        <is>
          <t>5-9</t>
        </is>
      </c>
      <c r="B3" t="inlineStr">
        <is>
          <t xml:space="preserve">Mining and quarrying </t>
        </is>
      </c>
      <c r="C3">
        <f>'SUPPLY (38-38)-2024'!AS5</f>
        <v/>
      </c>
      <c r="D3">
        <f>'SUPPLY (38-38)-2024'!AR5</f>
        <v/>
      </c>
      <c r="E3">
        <f>'USE (38-38)-2024'!AT5</f>
        <v/>
      </c>
      <c r="F3" s="31">
        <f>IF(C3=0,0,D3/C3)</f>
        <v/>
      </c>
      <c r="G3">
        <f>F3*E3</f>
        <v/>
      </c>
      <c r="H3" s="31">
        <f>IF($E$40=0,0,E3/$E$40)</f>
        <v/>
      </c>
    </row>
    <row r="4">
      <c r="A4" t="inlineStr">
        <is>
          <t>10-12</t>
        </is>
      </c>
      <c r="B4" t="inlineStr">
        <is>
          <t xml:space="preserve">Food products, beverages and tobacco products </t>
        </is>
      </c>
      <c r="C4">
        <f>'SUPPLY (38-38)-2024'!AS6</f>
        <v/>
      </c>
      <c r="D4">
        <f>'SUPPLY (38-38)-2024'!AR6</f>
        <v/>
      </c>
      <c r="E4">
        <f>'USE (38-38)-2024'!AT6</f>
        <v/>
      </c>
      <c r="F4" s="31">
        <f>IF(C4=0,0,D4/C4)</f>
        <v/>
      </c>
      <c r="G4">
        <f>F4*E4</f>
        <v/>
      </c>
      <c r="H4" s="31">
        <f>IF($E$40=0,0,E4/$E$40)</f>
        <v/>
      </c>
    </row>
    <row r="5">
      <c r="A5" t="inlineStr">
        <is>
          <t>13-15</t>
        </is>
      </c>
      <c r="B5" t="inlineStr">
        <is>
          <t xml:space="preserve">Textiles, wearing apparel and leather products </t>
        </is>
      </c>
      <c r="C5">
        <f>'SUPPLY (38-38)-2024'!AS7</f>
        <v/>
      </c>
      <c r="D5">
        <f>'SUPPLY (38-38)-2024'!AR7</f>
        <v/>
      </c>
      <c r="E5">
        <f>'USE (38-38)-2024'!AT7</f>
        <v/>
      </c>
      <c r="F5" s="31">
        <f>IF(C5=0,0,D5/C5)</f>
        <v/>
      </c>
      <c r="G5">
        <f>F5*E5</f>
        <v/>
      </c>
      <c r="H5" s="31">
        <f>IF($E$40=0,0,E5/$E$40)</f>
        <v/>
      </c>
    </row>
    <row r="6">
      <c r="A6" t="inlineStr">
        <is>
          <t>16-18</t>
        </is>
      </c>
      <c r="B6" t="inlineStr">
        <is>
          <t xml:space="preserve">Wood and paper products, and printing services </t>
        </is>
      </c>
      <c r="C6">
        <f>'SUPPLY (38-38)-2024'!AS8</f>
        <v/>
      </c>
      <c r="D6">
        <f>'SUPPLY (38-38)-2024'!AR8</f>
        <v/>
      </c>
      <c r="E6">
        <f>'USE (38-38)-2024'!AT8</f>
        <v/>
      </c>
      <c r="F6" s="31">
        <f>IF(C6=0,0,D6/C6)</f>
        <v/>
      </c>
      <c r="G6">
        <f>F6*E6</f>
        <v/>
      </c>
      <c r="H6" s="31">
        <f>IF($E$40=0,0,E6/$E$40)</f>
        <v/>
      </c>
    </row>
    <row r="7">
      <c r="A7" t="n">
        <v>19</v>
      </c>
      <c r="B7" t="inlineStr">
        <is>
          <t>Coke and refined petroleum products</t>
        </is>
      </c>
      <c r="C7">
        <f>'SUPPLY (38-38)-2024'!AS9</f>
        <v/>
      </c>
      <c r="D7">
        <f>'SUPPLY (38-38)-2024'!AR9</f>
        <v/>
      </c>
      <c r="E7">
        <f>'USE (38-38)-2024'!AT9</f>
        <v/>
      </c>
      <c r="F7" s="31">
        <f>IF(C7=0,0,D7/C7)</f>
        <v/>
      </c>
      <c r="G7">
        <f>F7*E7</f>
        <v/>
      </c>
      <c r="H7" s="31">
        <f>IF($E$40=0,0,E7/$E$40)</f>
        <v/>
      </c>
    </row>
    <row r="8">
      <c r="A8" t="n">
        <v>20</v>
      </c>
      <c r="B8" t="inlineStr">
        <is>
          <t xml:space="preserve">Chemicals and chemical products </t>
        </is>
      </c>
      <c r="C8">
        <f>'SUPPLY (38-38)-2024'!AS10</f>
        <v/>
      </c>
      <c r="D8">
        <f>'SUPPLY (38-38)-2024'!AR10</f>
        <v/>
      </c>
      <c r="E8">
        <f>'USE (38-38)-2024'!AT10</f>
        <v/>
      </c>
      <c r="F8" s="31">
        <f>IF(C8=0,0,D8/C8)</f>
        <v/>
      </c>
      <c r="G8">
        <f>F8*E8</f>
        <v/>
      </c>
      <c r="H8" s="31">
        <f>IF($E$40=0,0,E8/$E$40)</f>
        <v/>
      </c>
    </row>
    <row r="9">
      <c r="A9" t="n">
        <v>21</v>
      </c>
      <c r="B9" t="inlineStr">
        <is>
          <t xml:space="preserve">Basic pharmaceutical products and pharmaceutical preparations </t>
        </is>
      </c>
      <c r="C9">
        <f>'SUPPLY (38-38)-2024'!AS11</f>
        <v/>
      </c>
      <c r="D9">
        <f>'SUPPLY (38-38)-2024'!AR11</f>
        <v/>
      </c>
      <c r="E9">
        <f>'USE (38-38)-2024'!AT11</f>
        <v/>
      </c>
      <c r="F9" s="31">
        <f>IF(C9=0,0,D9/C9)</f>
        <v/>
      </c>
      <c r="G9">
        <f>F9*E9</f>
        <v/>
      </c>
      <c r="H9" s="31">
        <f>IF($E$40=0,0,E9/$E$40)</f>
        <v/>
      </c>
    </row>
    <row r="10">
      <c r="A10" t="inlineStr">
        <is>
          <t>22-23</t>
        </is>
      </c>
      <c r="B10" t="inlineStr">
        <is>
          <t xml:space="preserve">Rubber and plastics products, and other non-metallic mineral products </t>
        </is>
      </c>
      <c r="C10">
        <f>'SUPPLY (38-38)-2024'!AS12</f>
        <v/>
      </c>
      <c r="D10">
        <f>'SUPPLY (38-38)-2024'!AR12</f>
        <v/>
      </c>
      <c r="E10">
        <f>'USE (38-38)-2024'!AT12</f>
        <v/>
      </c>
      <c r="F10" s="31">
        <f>IF(C10=0,0,D10/C10)</f>
        <v/>
      </c>
      <c r="G10">
        <f>F10*E10</f>
        <v/>
      </c>
      <c r="H10" s="31">
        <f>IF($E$40=0,0,E10/$E$40)</f>
        <v/>
      </c>
    </row>
    <row r="11">
      <c r="A11" t="inlineStr">
        <is>
          <t>24-25</t>
        </is>
      </c>
      <c r="B11" t="inlineStr">
        <is>
          <t xml:space="preserve">Basic metals and fabricated metal products, except machinery and equipment </t>
        </is>
      </c>
      <c r="C11">
        <f>'SUPPLY (38-38)-2024'!AS13</f>
        <v/>
      </c>
      <c r="D11">
        <f>'SUPPLY (38-38)-2024'!AR13</f>
        <v/>
      </c>
      <c r="E11">
        <f>'USE (38-38)-2024'!AT13</f>
        <v/>
      </c>
      <c r="F11" s="31">
        <f>IF(C11=0,0,D11/C11)</f>
        <v/>
      </c>
      <c r="G11">
        <f>F11*E11</f>
        <v/>
      </c>
      <c r="H11" s="31">
        <f>IF($E$40=0,0,E11/$E$40)</f>
        <v/>
      </c>
    </row>
    <row r="12">
      <c r="A12" t="n">
        <v>26</v>
      </c>
      <c r="B12" t="inlineStr">
        <is>
          <t xml:space="preserve">Computer, electronic and optical products </t>
        </is>
      </c>
      <c r="C12">
        <f>'SUPPLY (38-38)-2024'!AS14</f>
        <v/>
      </c>
      <c r="D12">
        <f>'SUPPLY (38-38)-2024'!AR14</f>
        <v/>
      </c>
      <c r="E12">
        <f>'USE (38-38)-2024'!AT14</f>
        <v/>
      </c>
      <c r="F12" s="31">
        <f>IF(C12=0,0,D12/C12)</f>
        <v/>
      </c>
      <c r="G12">
        <f>F12*E12</f>
        <v/>
      </c>
      <c r="H12" s="31">
        <f>IF($E$40=0,0,E12/$E$40)</f>
        <v/>
      </c>
    </row>
    <row r="13">
      <c r="A13" t="n">
        <v>27</v>
      </c>
      <c r="B13" t="inlineStr">
        <is>
          <t xml:space="preserve">Electrical equipment </t>
        </is>
      </c>
      <c r="C13">
        <f>'SUPPLY (38-38)-2024'!AS15</f>
        <v/>
      </c>
      <c r="D13">
        <f>'SUPPLY (38-38)-2024'!AR15</f>
        <v/>
      </c>
      <c r="E13">
        <f>'USE (38-38)-2024'!AT15</f>
        <v/>
      </c>
      <c r="F13" s="31">
        <f>IF(C13=0,0,D13/C13)</f>
        <v/>
      </c>
      <c r="G13">
        <f>F13*E13</f>
        <v/>
      </c>
      <c r="H13" s="31">
        <f>IF($E$40=0,0,E13/$E$40)</f>
        <v/>
      </c>
    </row>
    <row r="14">
      <c r="A14" t="n">
        <v>28</v>
      </c>
      <c r="B14" t="inlineStr">
        <is>
          <t xml:space="preserve">Machinery and equipment n.e.c. </t>
        </is>
      </c>
      <c r="C14">
        <f>'SUPPLY (38-38)-2024'!AS16</f>
        <v/>
      </c>
      <c r="D14">
        <f>'SUPPLY (38-38)-2024'!AR16</f>
        <v/>
      </c>
      <c r="E14">
        <f>'USE (38-38)-2024'!AT16</f>
        <v/>
      </c>
      <c r="F14" s="31">
        <f>IF(C14=0,0,D14/C14)</f>
        <v/>
      </c>
      <c r="G14">
        <f>F14*E14</f>
        <v/>
      </c>
      <c r="H14" s="31">
        <f>IF($E$40=0,0,E14/$E$40)</f>
        <v/>
      </c>
    </row>
    <row r="15">
      <c r="A15" t="inlineStr">
        <is>
          <t>29-30</t>
        </is>
      </c>
      <c r="B15" t="inlineStr">
        <is>
          <t xml:space="preserve">Transport equipment </t>
        </is>
      </c>
      <c r="C15">
        <f>'SUPPLY (38-38)-2024'!AS17</f>
        <v/>
      </c>
      <c r="D15">
        <f>'SUPPLY (38-38)-2024'!AR17</f>
        <v/>
      </c>
      <c r="E15">
        <f>'USE (38-38)-2024'!AT17</f>
        <v/>
      </c>
      <c r="F15" s="31">
        <f>IF(C15=0,0,D15/C15)</f>
        <v/>
      </c>
      <c r="G15">
        <f>F15*E15</f>
        <v/>
      </c>
      <c r="H15" s="31">
        <f>IF($E$40=0,0,E15/$E$40)</f>
        <v/>
      </c>
    </row>
    <row r="16">
      <c r="A16" t="inlineStr">
        <is>
          <t>31-33</t>
        </is>
      </c>
      <c r="B16" t="inlineStr">
        <is>
          <t xml:space="preserve">Furniture; other manufactured goods; repair and installation services of machinery and equipment </t>
        </is>
      </c>
      <c r="C16">
        <f>'SUPPLY (38-38)-2024'!AS18</f>
        <v/>
      </c>
      <c r="D16">
        <f>'SUPPLY (38-38)-2024'!AR18</f>
        <v/>
      </c>
      <c r="E16">
        <f>'USE (38-38)-2024'!AT18</f>
        <v/>
      </c>
      <c r="F16" s="31">
        <f>IF(C16=0,0,D16/C16)</f>
        <v/>
      </c>
      <c r="G16">
        <f>F16*E16</f>
        <v/>
      </c>
      <c r="H16" s="31">
        <f>IF($E$40=0,0,E16/$E$40)</f>
        <v/>
      </c>
    </row>
    <row r="17">
      <c r="A17" t="inlineStr">
        <is>
          <t>35</t>
        </is>
      </c>
      <c r="B17" t="inlineStr">
        <is>
          <t xml:space="preserve">Electricity, gas, steam and air conditioning </t>
        </is>
      </c>
      <c r="C17">
        <f>'SUPPLY (38-38)-2024'!AS19</f>
        <v/>
      </c>
      <c r="D17">
        <f>'SUPPLY (38-38)-2024'!AR19</f>
        <v/>
      </c>
      <c r="E17">
        <f>'USE (38-38)-2024'!AT19</f>
        <v/>
      </c>
      <c r="F17" s="31">
        <f>IF(C17=0,0,D17/C17)</f>
        <v/>
      </c>
      <c r="G17">
        <f>F17*E17</f>
        <v/>
      </c>
      <c r="H17" s="31">
        <f>IF($E$40=0,0,E17/$E$40)</f>
        <v/>
      </c>
    </row>
    <row r="18">
      <c r="A18" t="inlineStr">
        <is>
          <t>36-39</t>
        </is>
      </c>
      <c r="B18" t="inlineStr">
        <is>
          <t xml:space="preserve">Water supply; sewerage, waste management and remediation services </t>
        </is>
      </c>
      <c r="C18">
        <f>'SUPPLY (38-38)-2024'!AS20</f>
        <v/>
      </c>
      <c r="D18">
        <f>'SUPPLY (38-38)-2024'!AR20</f>
        <v/>
      </c>
      <c r="E18">
        <f>'USE (38-38)-2024'!AT20</f>
        <v/>
      </c>
      <c r="F18" s="31">
        <f>IF(C18=0,0,D18/C18)</f>
        <v/>
      </c>
      <c r="G18">
        <f>F18*E18</f>
        <v/>
      </c>
      <c r="H18" s="31">
        <f>IF($E$40=0,0,E18/$E$40)</f>
        <v/>
      </c>
    </row>
    <row r="19">
      <c r="A19" t="inlineStr">
        <is>
          <t>41-43</t>
        </is>
      </c>
      <c r="B19" t="inlineStr">
        <is>
          <t xml:space="preserve">Constructions and construction works </t>
        </is>
      </c>
      <c r="C19">
        <f>'SUPPLY (38-38)-2024'!AS21</f>
        <v/>
      </c>
      <c r="D19">
        <f>'SUPPLY (38-38)-2024'!AR21</f>
        <v/>
      </c>
      <c r="E19">
        <f>'USE (38-38)-2024'!AT21</f>
        <v/>
      </c>
      <c r="F19" s="31">
        <f>IF(C19=0,0,D19/C19)</f>
        <v/>
      </c>
      <c r="G19">
        <f>F19*E19</f>
        <v/>
      </c>
      <c r="H19" s="31">
        <f>IF($E$40=0,0,E19/$E$40)</f>
        <v/>
      </c>
    </row>
    <row r="20">
      <c r="A20" t="inlineStr">
        <is>
          <t>45-47</t>
        </is>
      </c>
      <c r="B20" t="inlineStr">
        <is>
          <t xml:space="preserve">Wholesale and retail trade services; repair services of motor vehicles and motorcycles </t>
        </is>
      </c>
      <c r="C20">
        <f>'SUPPLY (38-38)-2024'!AS22</f>
        <v/>
      </c>
      <c r="D20">
        <f>'SUPPLY (38-38)-2024'!AR22</f>
        <v/>
      </c>
      <c r="E20">
        <f>'USE (38-38)-2024'!AT22</f>
        <v/>
      </c>
      <c r="F20" s="31">
        <f>IF(C20=0,0,D20/C20)</f>
        <v/>
      </c>
      <c r="G20">
        <f>F20*E20</f>
        <v/>
      </c>
      <c r="H20" s="31">
        <f>IF($E$40=0,0,E20/$E$40)</f>
        <v/>
      </c>
    </row>
    <row r="21">
      <c r="A21" t="inlineStr">
        <is>
          <t>49-53</t>
        </is>
      </c>
      <c r="B21" t="inlineStr">
        <is>
          <t>Transportation and storage services</t>
        </is>
      </c>
      <c r="C21">
        <f>'SUPPLY (38-38)-2024'!AS23</f>
        <v/>
      </c>
      <c r="D21">
        <f>'SUPPLY (38-38)-2024'!AR23</f>
        <v/>
      </c>
      <c r="E21">
        <f>'USE (38-38)-2024'!AT23</f>
        <v/>
      </c>
      <c r="F21" s="31">
        <f>IF(C21=0,0,D21/C21)</f>
        <v/>
      </c>
      <c r="G21">
        <f>F21*E21</f>
        <v/>
      </c>
      <c r="H21" s="31">
        <f>IF($E$40=0,0,E21/$E$40)</f>
        <v/>
      </c>
    </row>
    <row r="22">
      <c r="A22" t="inlineStr">
        <is>
          <t>55-56</t>
        </is>
      </c>
      <c r="B22" t="inlineStr">
        <is>
          <t xml:space="preserve">Accommodation and food services </t>
        </is>
      </c>
      <c r="C22">
        <f>'SUPPLY (38-38)-2024'!AS24</f>
        <v/>
      </c>
      <c r="D22">
        <f>'SUPPLY (38-38)-2024'!AR24</f>
        <v/>
      </c>
      <c r="E22">
        <f>'USE (38-38)-2024'!AT24</f>
        <v/>
      </c>
      <c r="F22" s="31">
        <f>IF(C22=0,0,D22/C22)</f>
        <v/>
      </c>
      <c r="G22">
        <f>F22*E22</f>
        <v/>
      </c>
      <c r="H22" s="31">
        <f>IF($E$40=0,0,E22/$E$40)</f>
        <v/>
      </c>
    </row>
    <row r="23">
      <c r="A23" t="inlineStr">
        <is>
          <t>58-60</t>
        </is>
      </c>
      <c r="B23" t="inlineStr">
        <is>
          <t xml:space="preserve">Publishing, audiovisual and broadcasting services </t>
        </is>
      </c>
      <c r="C23">
        <f>'SUPPLY (38-38)-2024'!AS25</f>
        <v/>
      </c>
      <c r="D23">
        <f>'SUPPLY (38-38)-2024'!AR25</f>
        <v/>
      </c>
      <c r="E23">
        <f>'USE (38-38)-2024'!AT25</f>
        <v/>
      </c>
      <c r="F23" s="31">
        <f>IF(C23=0,0,D23/C23)</f>
        <v/>
      </c>
      <c r="G23">
        <f>F23*E23</f>
        <v/>
      </c>
      <c r="H23" s="31">
        <f>IF($E$40=0,0,E23/$E$40)</f>
        <v/>
      </c>
    </row>
    <row r="24">
      <c r="A24" t="inlineStr">
        <is>
          <t>61</t>
        </is>
      </c>
      <c r="B24" t="inlineStr">
        <is>
          <t xml:space="preserve">Telecommunications services </t>
        </is>
      </c>
      <c r="C24">
        <f>'SUPPLY (38-38)-2024'!AS26</f>
        <v/>
      </c>
      <c r="D24">
        <f>'SUPPLY (38-38)-2024'!AR26</f>
        <v/>
      </c>
      <c r="E24">
        <f>'USE (38-38)-2024'!AT26</f>
        <v/>
      </c>
      <c r="F24" s="31">
        <f>IF(C24=0,0,D24/C24)</f>
        <v/>
      </c>
      <c r="G24">
        <f>F24*E24</f>
        <v/>
      </c>
      <c r="H24" s="31">
        <f>IF($E$40=0,0,E24/$E$40)</f>
        <v/>
      </c>
    </row>
    <row r="25">
      <c r="A25" t="inlineStr">
        <is>
          <t>62-63</t>
        </is>
      </c>
      <c r="B25" t="inlineStr">
        <is>
          <t xml:space="preserve">Computer programming, consultancy and related services; information services </t>
        </is>
      </c>
      <c r="C25">
        <f>'SUPPLY (38-38)-2024'!AS27</f>
        <v/>
      </c>
      <c r="D25">
        <f>'SUPPLY (38-38)-2024'!AR27</f>
        <v/>
      </c>
      <c r="E25">
        <f>'USE (38-38)-2024'!AT27</f>
        <v/>
      </c>
      <c r="F25" s="31">
        <f>IF(C25=0,0,D25/C25)</f>
        <v/>
      </c>
      <c r="G25">
        <f>F25*E25</f>
        <v/>
      </c>
      <c r="H25" s="31">
        <f>IF($E$40=0,0,E25/$E$40)</f>
        <v/>
      </c>
    </row>
    <row r="26">
      <c r="A26" t="inlineStr">
        <is>
          <t>64-66</t>
        </is>
      </c>
      <c r="B26" t="inlineStr">
        <is>
          <t xml:space="preserve">Financial and insurance services </t>
        </is>
      </c>
      <c r="C26">
        <f>'SUPPLY (38-38)-2024'!AS28</f>
        <v/>
      </c>
      <c r="D26">
        <f>'SUPPLY (38-38)-2024'!AR28</f>
        <v/>
      </c>
      <c r="E26">
        <f>'USE (38-38)-2024'!AT28</f>
        <v/>
      </c>
      <c r="F26" s="31">
        <f>IF(C26=0,0,D26/C26)</f>
        <v/>
      </c>
      <c r="G26">
        <f>F26*E26</f>
        <v/>
      </c>
      <c r="H26" s="31">
        <f>IF($E$40=0,0,E26/$E$40)</f>
        <v/>
      </c>
    </row>
    <row r="27">
      <c r="A27" t="inlineStr">
        <is>
          <t>68</t>
        </is>
      </c>
      <c r="B27" t="inlineStr">
        <is>
          <t xml:space="preserve">Real estate services </t>
        </is>
      </c>
      <c r="C27">
        <f>'SUPPLY (38-38)-2024'!AS29</f>
        <v/>
      </c>
      <c r="D27">
        <f>'SUPPLY (38-38)-2024'!AR29</f>
        <v/>
      </c>
      <c r="E27">
        <f>'USE (38-38)-2024'!AT29</f>
        <v/>
      </c>
      <c r="F27" s="31">
        <f>IF(C27=0,0,D27/C27)</f>
        <v/>
      </c>
      <c r="G27">
        <f>F27*E27</f>
        <v/>
      </c>
      <c r="H27" s="31">
        <f>IF($E$40=0,0,E27/$E$40)</f>
        <v/>
      </c>
    </row>
    <row r="28">
      <c r="A28" t="inlineStr">
        <is>
          <t>69-71</t>
        </is>
      </c>
      <c r="B28" t="inlineStr">
        <is>
          <t xml:space="preserve">Legal and accounting services; services of head offices; management consultancy services; architectural and engineering services; technical testing and analysis services </t>
        </is>
      </c>
      <c r="C28">
        <f>'SUPPLY (38-38)-2024'!AS30</f>
        <v/>
      </c>
      <c r="D28">
        <f>'SUPPLY (38-38)-2024'!AR30</f>
        <v/>
      </c>
      <c r="E28">
        <f>'USE (38-38)-2024'!AT30</f>
        <v/>
      </c>
      <c r="F28" s="31">
        <f>IF(C28=0,0,D28/C28)</f>
        <v/>
      </c>
      <c r="G28">
        <f>F28*E28</f>
        <v/>
      </c>
      <c r="H28" s="31">
        <f>IF($E$40=0,0,E28/$E$40)</f>
        <v/>
      </c>
    </row>
    <row r="29">
      <c r="A29" t="inlineStr">
        <is>
          <t>72</t>
        </is>
      </c>
      <c r="B29" t="inlineStr">
        <is>
          <t xml:space="preserve">Scientific research and development services </t>
        </is>
      </c>
      <c r="C29">
        <f>'SUPPLY (38-38)-2024'!AS31</f>
        <v/>
      </c>
      <c r="D29">
        <f>'SUPPLY (38-38)-2024'!AR31</f>
        <v/>
      </c>
      <c r="E29">
        <f>'USE (38-38)-2024'!AT31</f>
        <v/>
      </c>
      <c r="F29" s="31">
        <f>IF(C29=0,0,D29/C29)</f>
        <v/>
      </c>
      <c r="G29">
        <f>F29*E29</f>
        <v/>
      </c>
      <c r="H29" s="31">
        <f>IF($E$40=0,0,E29/$E$40)</f>
        <v/>
      </c>
    </row>
    <row r="30">
      <c r="A30" t="inlineStr">
        <is>
          <t>73-75</t>
        </is>
      </c>
      <c r="B30" t="inlineStr">
        <is>
          <t xml:space="preserve">Advertising and market research services; other professional, scientific and technical services; veterinary services </t>
        </is>
      </c>
      <c r="C30">
        <f>'SUPPLY (38-38)-2024'!AS32</f>
        <v/>
      </c>
      <c r="D30">
        <f>'SUPPLY (38-38)-2024'!AR32</f>
        <v/>
      </c>
      <c r="E30">
        <f>'USE (38-38)-2024'!AT32</f>
        <v/>
      </c>
      <c r="F30" s="31">
        <f>IF(C30=0,0,D30/C30)</f>
        <v/>
      </c>
      <c r="G30">
        <f>F30*E30</f>
        <v/>
      </c>
      <c r="H30" s="31">
        <f>IF($E$40=0,0,E30/$E$40)</f>
        <v/>
      </c>
    </row>
    <row r="31">
      <c r="A31" t="inlineStr">
        <is>
          <t>77-82</t>
        </is>
      </c>
      <c r="B31" t="inlineStr">
        <is>
          <t>Administrative and support services</t>
        </is>
      </c>
      <c r="C31">
        <f>'SUPPLY (38-38)-2024'!AS33</f>
        <v/>
      </c>
      <c r="D31">
        <f>'SUPPLY (38-38)-2024'!AR33</f>
        <v/>
      </c>
      <c r="E31">
        <f>'USE (38-38)-2024'!AT33</f>
        <v/>
      </c>
      <c r="F31" s="31">
        <f>IF(C31=0,0,D31/C31)</f>
        <v/>
      </c>
      <c r="G31">
        <f>F31*E31</f>
        <v/>
      </c>
      <c r="H31" s="31">
        <f>IF($E$40=0,0,E31/$E$40)</f>
        <v/>
      </c>
    </row>
    <row r="32">
      <c r="A32" t="n">
        <v>84</v>
      </c>
      <c r="B32" t="inlineStr">
        <is>
          <t xml:space="preserve">Public administration and defence services; compulsory social security services </t>
        </is>
      </c>
      <c r="C32">
        <f>'SUPPLY (38-38)-2024'!AS34</f>
        <v/>
      </c>
      <c r="D32">
        <f>'SUPPLY (38-38)-2024'!AR34</f>
        <v/>
      </c>
      <c r="E32">
        <f>'USE (38-38)-2024'!AT34</f>
        <v/>
      </c>
      <c r="F32" s="31">
        <f>IF(C32=0,0,D32/C32)</f>
        <v/>
      </c>
      <c r="G32">
        <f>F32*E32</f>
        <v/>
      </c>
      <c r="H32" s="31">
        <f>IF($E$40=0,0,E32/$E$40)</f>
        <v/>
      </c>
    </row>
    <row r="33">
      <c r="A33" t="n">
        <v>85</v>
      </c>
      <c r="B33" t="inlineStr">
        <is>
          <t xml:space="preserve">Education services </t>
        </is>
      </c>
      <c r="C33">
        <f>'SUPPLY (38-38)-2024'!AS35</f>
        <v/>
      </c>
      <c r="D33">
        <f>'SUPPLY (38-38)-2024'!AR35</f>
        <v/>
      </c>
      <c r="E33">
        <f>'USE (38-38)-2024'!AT35</f>
        <v/>
      </c>
      <c r="F33" s="31">
        <f>IF(C33=0,0,D33/C33)</f>
        <v/>
      </c>
      <c r="G33">
        <f>F33*E33</f>
        <v/>
      </c>
      <c r="H33" s="31">
        <f>IF($E$40=0,0,E33/$E$40)</f>
        <v/>
      </c>
    </row>
    <row r="34">
      <c r="A34" t="n">
        <v>86</v>
      </c>
      <c r="B34" t="inlineStr">
        <is>
          <t xml:space="preserve">Human health services </t>
        </is>
      </c>
      <c r="C34">
        <f>'SUPPLY (38-38)-2024'!AS36</f>
        <v/>
      </c>
      <c r="D34">
        <f>'SUPPLY (38-38)-2024'!AR36</f>
        <v/>
      </c>
      <c r="E34">
        <f>'USE (38-38)-2024'!AT36</f>
        <v/>
      </c>
      <c r="F34" s="31">
        <f>IF(C34=0,0,D34/C34)</f>
        <v/>
      </c>
      <c r="G34">
        <f>F34*E34</f>
        <v/>
      </c>
      <c r="H34" s="31">
        <f>IF($E$40=0,0,E34/$E$40)</f>
        <v/>
      </c>
    </row>
    <row r="35">
      <c r="A35" t="inlineStr">
        <is>
          <t>87-88</t>
        </is>
      </c>
      <c r="B35" t="inlineStr">
        <is>
          <t xml:space="preserve">Social work services </t>
        </is>
      </c>
      <c r="C35">
        <f>'SUPPLY (38-38)-2024'!AS37</f>
        <v/>
      </c>
      <c r="D35">
        <f>'SUPPLY (38-38)-2024'!AR37</f>
        <v/>
      </c>
      <c r="E35">
        <f>'USE (38-38)-2024'!AT37</f>
        <v/>
      </c>
      <c r="F35" s="31">
        <f>IF(C35=0,0,D35/C35)</f>
        <v/>
      </c>
      <c r="G35">
        <f>F35*E35</f>
        <v/>
      </c>
      <c r="H35" s="31">
        <f>IF($E$40=0,0,E35/$E$40)</f>
        <v/>
      </c>
    </row>
    <row r="36">
      <c r="A36" t="inlineStr">
        <is>
          <t>90-93</t>
        </is>
      </c>
      <c r="B36" t="inlineStr">
        <is>
          <t xml:space="preserve">Arts, entertainment and recreation services </t>
        </is>
      </c>
      <c r="C36">
        <f>'SUPPLY (38-38)-2024'!AS38</f>
        <v/>
      </c>
      <c r="D36">
        <f>'SUPPLY (38-38)-2024'!AR38</f>
        <v/>
      </c>
      <c r="E36">
        <f>'USE (38-38)-2024'!AT38</f>
        <v/>
      </c>
      <c r="F36" s="31">
        <f>IF(C36=0,0,D36/C36)</f>
        <v/>
      </c>
      <c r="G36">
        <f>F36*E36</f>
        <v/>
      </c>
      <c r="H36" s="31">
        <f>IF($E$40=0,0,E36/$E$40)</f>
        <v/>
      </c>
    </row>
    <row r="37">
      <c r="A37" t="inlineStr">
        <is>
          <t>94-96</t>
        </is>
      </c>
      <c r="B37" t="inlineStr">
        <is>
          <t>Other services</t>
        </is>
      </c>
      <c r="C37">
        <f>'SUPPLY (38-38)-2024'!AS39</f>
        <v/>
      </c>
      <c r="D37">
        <f>'SUPPLY (38-38)-2024'!AR39</f>
        <v/>
      </c>
      <c r="E37">
        <f>'USE (38-38)-2024'!AT39</f>
        <v/>
      </c>
      <c r="F37" s="31">
        <f>IF(C37=0,0,D37/C37)</f>
        <v/>
      </c>
      <c r="G37">
        <f>F37*E37</f>
        <v/>
      </c>
      <c r="H37" s="31">
        <f>IF($E$40=0,0,E37/$E$40)</f>
        <v/>
      </c>
    </row>
    <row r="38">
      <c r="A38" t="inlineStr">
        <is>
          <t>97-98</t>
        </is>
      </c>
      <c r="B38" t="inlineStr">
        <is>
          <t xml:space="preserve">Services of households as employers; undifferentiated goods and services produced by hServices provided by extraterritorial organisations and bodiesouseholds for own use </t>
        </is>
      </c>
      <c r="C38">
        <f>'SUPPLY (38-38)-2024'!AS40</f>
        <v/>
      </c>
      <c r="D38">
        <f>'SUPPLY (38-38)-2024'!AR40</f>
        <v/>
      </c>
      <c r="E38">
        <f>'USE (38-38)-2024'!AT40</f>
        <v/>
      </c>
      <c r="F38" s="31">
        <f>IF(C38=0,0,D38/C38)</f>
        <v/>
      </c>
      <c r="G38">
        <f>F38*E38</f>
        <v/>
      </c>
      <c r="H38" s="31">
        <f>IF($E$40=0,0,E38/$E$40)</f>
        <v/>
      </c>
    </row>
    <row r="39">
      <c r="A39" t="inlineStr">
        <is>
          <t>99</t>
        </is>
      </c>
      <c r="B39" t="inlineStr">
        <is>
          <t>Services provided by extraterritorial organisations and bodies</t>
        </is>
      </c>
      <c r="C39">
        <f>'SUPPLY (38-38)-2024'!AS41</f>
        <v/>
      </c>
      <c r="D39">
        <f>'SUPPLY (38-38)-2024'!AR41</f>
        <v/>
      </c>
      <c r="E39">
        <f>'USE (38-38)-2024'!AT41</f>
        <v/>
      </c>
      <c r="F39" s="31">
        <f>IF(C39=0,0,D39/C39)</f>
        <v/>
      </c>
      <c r="G39">
        <f>F39*E39</f>
        <v/>
      </c>
      <c r="H39" s="31">
        <f>IF($E$40=0,0,E39/$E$40)</f>
        <v/>
      </c>
    </row>
    <row r="40">
      <c r="A40" t="inlineStr">
        <is>
          <t>Total</t>
        </is>
      </c>
      <c r="B40" s="1" t="inlineStr">
        <is>
          <t>Total</t>
        </is>
      </c>
      <c r="C40">
        <f>SUM(C2:C39)</f>
        <v/>
      </c>
      <c r="D40">
        <f>SUM(D2:D39)</f>
        <v/>
      </c>
      <c r="E40">
        <f>SUM(E2:E39)</f>
        <v/>
      </c>
      <c r="F40" s="31">
        <f>IF(C40=0,0,D40/C40)</f>
        <v/>
      </c>
      <c r="G40">
        <f>SUM(G2:G39)</f>
        <v/>
      </c>
      <c r="H40" s="31">
        <f>SUM(H2:H39)</f>
        <v/>
      </c>
    </row>
    <row r="42">
      <c r="A42" s="1" t="inlineStr">
        <is>
          <t>Summary</t>
        </is>
      </c>
    </row>
    <row r="43">
      <c r="A43" t="inlineStr">
        <is>
          <t>Total GFCF</t>
        </is>
      </c>
      <c r="B43">
        <f>E40</f>
        <v/>
      </c>
    </row>
    <row r="44">
      <c r="A44" t="inlineStr">
        <is>
          <t>Total Import Content of GFCF</t>
        </is>
      </c>
      <c r="B44">
        <f>G40</f>
        <v/>
      </c>
    </row>
    <row r="45">
      <c r="A45" t="inlineStr">
        <is>
          <t>Estimated Import Content Share</t>
        </is>
      </c>
    </row>
    <row r="46">
      <c r="A46" t="inlineStr">
        <is>
          <t>(Import content of GFCF / Total GFCF)</t>
        </is>
      </c>
      <c r="C46" s="32">
        <f>G40/E40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33" t="inlineStr">
        <is>
          <t>Scenario 1: Baseline (Demand Multiplier = 0.8)</t>
        </is>
      </c>
    </row>
    <row r="2">
      <c r="A2" s="1" t="inlineStr">
        <is>
          <t>Variable</t>
        </is>
      </c>
      <c r="B2" s="1" t="inlineStr">
        <is>
          <t>Units</t>
        </is>
      </c>
      <c r="C2" s="1" t="n">
        <v>2024</v>
      </c>
      <c r="D2" s="1" t="n">
        <v>2025</v>
      </c>
      <c r="E2" s="1" t="n">
        <v>2026</v>
      </c>
      <c r="F2" s="1" t="n">
        <v>2027</v>
      </c>
      <c r="G2" s="1" t="n">
        <v>2028</v>
      </c>
      <c r="H2" s="1" t="n">
        <v>2029</v>
      </c>
      <c r="I2" s="1" t="n">
        <v>2030</v>
      </c>
      <c r="J2" s="1" t="n">
        <v>2031</v>
      </c>
      <c r="K2" s="1" t="n">
        <v>2032</v>
      </c>
      <c r="L2" s="1" t="n">
        <v>2033</v>
      </c>
      <c r="M2" s="1" t="n">
        <v>2034</v>
      </c>
      <c r="N2" s="1" t="n">
        <v>2035</v>
      </c>
      <c r="O2" s="1" t="n">
        <v>2036</v>
      </c>
      <c r="P2" s="1" t="n">
        <v>2037</v>
      </c>
      <c r="Q2" s="1" t="n">
        <v>2038</v>
      </c>
      <c r="R2" s="1" t="n">
        <v>2039</v>
      </c>
      <c r="S2" s="1" t="n">
        <v>2040</v>
      </c>
      <c r="T2" s="1" t="n">
        <v>2041</v>
      </c>
      <c r="U2" s="1" t="n">
        <v>2042</v>
      </c>
      <c r="V2" s="1" t="n">
        <v>2043</v>
      </c>
    </row>
    <row r="3">
      <c r="A3" t="inlineStr">
        <is>
          <t>Real GDP (baseline)</t>
        </is>
      </c>
      <c r="B3" t="inlineStr">
        <is>
          <t>Bil. GEL</t>
        </is>
      </c>
      <c r="C3">
        <f>WEO_Data!H2</f>
        <v/>
      </c>
      <c r="D3">
        <f>WEO_Data!I2</f>
        <v/>
      </c>
      <c r="E3">
        <f>WEO_Data!J2</f>
        <v/>
      </c>
      <c r="F3">
        <f>WEO_Data!K2</f>
        <v/>
      </c>
      <c r="G3">
        <f>WEO_Data!L2</f>
        <v/>
      </c>
      <c r="H3">
        <f>WEO_Data!M2</f>
        <v/>
      </c>
      <c r="I3">
        <f>WEO_Data!N2</f>
        <v/>
      </c>
      <c r="J3">
        <f>WEO_Data!O2</f>
        <v/>
      </c>
      <c r="K3">
        <f>WEO_Data!P2</f>
        <v/>
      </c>
      <c r="L3">
        <f>WEO_Data!Q2</f>
        <v/>
      </c>
      <c r="M3">
        <f>WEO_Data!R2</f>
        <v/>
      </c>
      <c r="N3">
        <f>WEO_Data!S2</f>
        <v/>
      </c>
      <c r="O3">
        <f>WEO_Data!T2</f>
        <v/>
      </c>
      <c r="P3">
        <f>WEO_Data!U2</f>
        <v/>
      </c>
      <c r="Q3">
        <f>WEO_Data!V2</f>
        <v/>
      </c>
      <c r="R3">
        <f>WEO_Data!W2</f>
        <v/>
      </c>
      <c r="S3">
        <f>WEO_Data!X2</f>
        <v/>
      </c>
      <c r="T3">
        <f>WEO_Data!Y2</f>
        <v/>
      </c>
      <c r="U3">
        <f>WEO_Data!Z2</f>
        <v/>
      </c>
      <c r="V3">
        <f>WEO_Data!AA2</f>
        <v/>
      </c>
    </row>
    <row r="4">
      <c r="A4" t="inlineStr">
        <is>
          <t>Nominal GDP (baseline)</t>
        </is>
      </c>
      <c r="B4" t="inlineStr">
        <is>
          <t>Bil. GEL</t>
        </is>
      </c>
      <c r="C4">
        <f>WEO_Data!H4</f>
        <v/>
      </c>
      <c r="D4">
        <f>WEO_Data!I4</f>
        <v/>
      </c>
      <c r="E4">
        <f>WEO_Data!J4</f>
        <v/>
      </c>
      <c r="F4">
        <f>WEO_Data!K4</f>
        <v/>
      </c>
      <c r="G4">
        <f>WEO_Data!L4</f>
        <v/>
      </c>
      <c r="H4">
        <f>WEO_Data!M4</f>
        <v/>
      </c>
      <c r="I4">
        <f>WEO_Data!N4</f>
        <v/>
      </c>
      <c r="J4">
        <f>WEO_Data!O4</f>
        <v/>
      </c>
      <c r="K4">
        <f>WEO_Data!P4</f>
        <v/>
      </c>
      <c r="L4">
        <f>WEO_Data!Q4</f>
        <v/>
      </c>
      <c r="M4">
        <f>WEO_Data!R4</f>
        <v/>
      </c>
      <c r="N4">
        <f>WEO_Data!S4</f>
        <v/>
      </c>
      <c r="O4">
        <f>WEO_Data!T4</f>
        <v/>
      </c>
      <c r="P4">
        <f>WEO_Data!U4</f>
        <v/>
      </c>
      <c r="Q4">
        <f>WEO_Data!V4</f>
        <v/>
      </c>
      <c r="R4">
        <f>WEO_Data!W4</f>
        <v/>
      </c>
      <c r="S4">
        <f>WEO_Data!X4</f>
        <v/>
      </c>
      <c r="T4">
        <f>WEO_Data!Y4</f>
        <v/>
      </c>
      <c r="U4">
        <f>WEO_Data!Z4</f>
        <v/>
      </c>
      <c r="V4">
        <f>WEO_Data!AA4</f>
        <v/>
      </c>
    </row>
    <row r="5">
      <c r="A5" t="inlineStr">
        <is>
          <t>GDP Deflator</t>
        </is>
      </c>
      <c r="B5" t="inlineStr">
        <is>
          <t>Index</t>
        </is>
      </c>
      <c r="C5">
        <f>WEO_Data!H6</f>
        <v/>
      </c>
      <c r="D5">
        <f>WEO_Data!I6</f>
        <v/>
      </c>
      <c r="E5">
        <f>WEO_Data!J6</f>
        <v/>
      </c>
      <c r="F5">
        <f>WEO_Data!K6</f>
        <v/>
      </c>
      <c r="G5">
        <f>WEO_Data!L6</f>
        <v/>
      </c>
      <c r="H5">
        <f>WEO_Data!M6</f>
        <v/>
      </c>
      <c r="I5">
        <f>WEO_Data!N6</f>
        <v/>
      </c>
      <c r="J5">
        <f>WEO_Data!O6</f>
        <v/>
      </c>
      <c r="K5">
        <f>WEO_Data!P6</f>
        <v/>
      </c>
      <c r="L5">
        <f>WEO_Data!Q6</f>
        <v/>
      </c>
      <c r="M5">
        <f>WEO_Data!R6</f>
        <v/>
      </c>
      <c r="N5">
        <f>WEO_Data!S6</f>
        <v/>
      </c>
      <c r="O5">
        <f>WEO_Data!T6</f>
        <v/>
      </c>
      <c r="P5">
        <f>WEO_Data!U6</f>
        <v/>
      </c>
      <c r="Q5">
        <f>WEO_Data!V6</f>
        <v/>
      </c>
      <c r="R5">
        <f>WEO_Data!W6</f>
        <v/>
      </c>
      <c r="S5">
        <f>WEO_Data!X6</f>
        <v/>
      </c>
      <c r="T5">
        <f>WEO_Data!Y6</f>
        <v/>
      </c>
      <c r="U5">
        <f>WEO_Data!Z6</f>
        <v/>
      </c>
      <c r="V5">
        <f>WEO_Data!AA6</f>
        <v/>
      </c>
    </row>
    <row r="6">
      <c r="A6" t="inlineStr">
        <is>
          <t>Real GDP Growth (baseline)</t>
        </is>
      </c>
      <c r="B6" t="inlineStr">
        <is>
          <t>%</t>
        </is>
      </c>
      <c r="C6">
        <f>WEO_Data!H3</f>
        <v/>
      </c>
      <c r="D6">
        <f>WEO_Data!I3</f>
        <v/>
      </c>
      <c r="E6">
        <f>WEO_Data!J3</f>
        <v/>
      </c>
      <c r="F6">
        <f>WEO_Data!K3</f>
        <v/>
      </c>
      <c r="G6">
        <f>WEO_Data!L3</f>
        <v/>
      </c>
      <c r="H6">
        <f>WEO_Data!M3</f>
        <v/>
      </c>
      <c r="I6">
        <f>WEO_Data!N3</f>
        <v/>
      </c>
      <c r="J6">
        <f>WEO_Data!O3</f>
        <v/>
      </c>
      <c r="K6">
        <f>WEO_Data!P3</f>
        <v/>
      </c>
      <c r="L6">
        <f>WEO_Data!Q3</f>
        <v/>
      </c>
      <c r="M6">
        <f>WEO_Data!R3</f>
        <v/>
      </c>
      <c r="N6">
        <f>WEO_Data!S3</f>
        <v/>
      </c>
      <c r="O6">
        <f>WEO_Data!T3</f>
        <v/>
      </c>
      <c r="P6">
        <f>WEO_Data!U3</f>
        <v/>
      </c>
      <c r="Q6">
        <f>WEO_Data!V3</f>
        <v/>
      </c>
      <c r="R6">
        <f>WEO_Data!W3</f>
        <v/>
      </c>
      <c r="S6">
        <f>WEO_Data!X3</f>
        <v/>
      </c>
      <c r="T6">
        <f>WEO_Data!Y3</f>
        <v/>
      </c>
      <c r="U6">
        <f>WEO_Data!Z3</f>
        <v/>
      </c>
      <c r="V6">
        <f>WEO_Data!AA3</f>
        <v/>
      </c>
    </row>
    <row r="8">
      <c r="A8" s="34" t="inlineStr">
        <is>
          <t>Investment Shock Parameters</t>
        </is>
      </c>
    </row>
    <row r="9">
      <c r="A9" t="inlineStr">
        <is>
          <t>Total Investment</t>
        </is>
      </c>
      <c r="B9" t="inlineStr">
        <is>
          <t>Bil. USD</t>
        </is>
      </c>
      <c r="C9" t="n">
        <v>6.5</v>
      </c>
    </row>
    <row r="10">
      <c r="A10" t="inlineStr">
        <is>
          <t>Exchange Rate (GEL/USD)</t>
        </is>
      </c>
      <c r="B10" t="inlineStr">
        <is>
          <t>GEL per USD</t>
        </is>
      </c>
      <c r="C10" t="n">
        <v>2.746</v>
      </c>
    </row>
    <row r="11">
      <c r="A11" t="inlineStr">
        <is>
          <t>Total Investment (GEL)</t>
        </is>
      </c>
      <c r="B11" t="inlineStr">
        <is>
          <t>Bil. GEL</t>
        </is>
      </c>
      <c r="C11">
        <f>C9*C10</f>
        <v/>
      </c>
    </row>
    <row r="13">
      <c r="A13" s="34" t="inlineStr">
        <is>
          <t>Assumptions</t>
        </is>
      </c>
    </row>
    <row r="14">
      <c r="A14" t="inlineStr">
        <is>
          <t>Demand Multiplier</t>
        </is>
      </c>
      <c r="D14" t="n">
        <v>0.8</v>
      </c>
    </row>
    <row r="15">
      <c r="A15" t="inlineStr">
        <is>
          <t>Import Content Share</t>
        </is>
      </c>
      <c r="D15">
        <f>'SUT Calc'!C46</f>
        <v/>
      </c>
    </row>
    <row r="16">
      <c r="A16" t="inlineStr">
        <is>
          <t>Investment Deflator</t>
        </is>
      </c>
      <c r="D16" t="inlineStr">
        <is>
          <t>GDP Deflator</t>
        </is>
      </c>
    </row>
    <row r="17">
      <c r="A17" t="inlineStr">
        <is>
          <t>Project Allocation</t>
        </is>
      </c>
      <c r="D17" t="inlineStr">
        <is>
          <t>Bell Shape</t>
        </is>
      </c>
    </row>
    <row r="19">
      <c r="A19" s="34" t="inlineStr">
        <is>
          <t>Annual Allocation</t>
        </is>
      </c>
    </row>
    <row r="20">
      <c r="A20" t="inlineStr">
        <is>
          <t>Year</t>
        </is>
      </c>
      <c r="C20" t="n">
        <v>2026</v>
      </c>
      <c r="D20" t="n">
        <v>2027</v>
      </c>
      <c r="E20" t="n">
        <v>2028</v>
      </c>
      <c r="F20" t="n">
        <v>2029</v>
      </c>
      <c r="G20" t="n">
        <v>2030</v>
      </c>
      <c r="H20" t="n">
        <v>2031</v>
      </c>
      <c r="I20" t="n">
        <v>2032</v>
      </c>
      <c r="J20" t="n">
        <v>2033</v>
      </c>
    </row>
    <row r="21">
      <c r="A21" t="inlineStr">
        <is>
          <t>Weight</t>
        </is>
      </c>
      <c r="C21" s="35" t="n">
        <v>0.05</v>
      </c>
      <c r="D21" s="35" t="n">
        <v>0.1</v>
      </c>
      <c r="E21" s="35" t="n">
        <v>0.15</v>
      </c>
      <c r="F21" s="35" t="n">
        <v>0.2</v>
      </c>
      <c r="G21" s="35" t="n">
        <v>0.2</v>
      </c>
      <c r="H21" s="35" t="n">
        <v>0.15</v>
      </c>
      <c r="I21" s="35" t="n">
        <v>0.1</v>
      </c>
      <c r="J21" s="35" t="n">
        <v>0.05</v>
      </c>
      <c r="K21" t="inlineStr">
        <is>
          <t>Sum</t>
        </is>
      </c>
      <c r="L21">
        <f>SUM(C21:J21)</f>
        <v/>
      </c>
    </row>
    <row r="22">
      <c r="A22" t="inlineStr">
        <is>
          <t>Nominal Investment</t>
        </is>
      </c>
      <c r="B22" t="inlineStr">
        <is>
          <t>Bil. GEL</t>
        </is>
      </c>
      <c r="C22">
        <f>C21*$C$11</f>
        <v/>
      </c>
      <c r="D22">
        <f>D21*$C$11</f>
        <v/>
      </c>
      <c r="E22">
        <f>E21*$C$11</f>
        <v/>
      </c>
      <c r="F22">
        <f>F21*$C$11</f>
        <v/>
      </c>
      <c r="G22">
        <f>G21*$C$11</f>
        <v/>
      </c>
      <c r="H22">
        <f>H21*$C$11</f>
        <v/>
      </c>
      <c r="I22">
        <f>I21*$C$11</f>
        <v/>
      </c>
      <c r="J22">
        <f>J21*$C$11</f>
        <v/>
      </c>
    </row>
    <row r="24">
      <c r="A24" s="34" t="inlineStr">
        <is>
          <t>Investment Shock Calculation</t>
        </is>
      </c>
    </row>
    <row r="25">
      <c r="A25" t="inlineStr">
        <is>
          <t>Nominal Investment Spending</t>
        </is>
      </c>
      <c r="B25" t="inlineStr">
        <is>
          <t>Bil. GEL</t>
        </is>
      </c>
      <c r="C25" t="n">
        <v>0</v>
      </c>
      <c r="D25" t="n">
        <v>0</v>
      </c>
      <c r="E25">
        <f>C22</f>
        <v/>
      </c>
      <c r="F25">
        <f>D22</f>
        <v/>
      </c>
      <c r="G25">
        <f>E22</f>
        <v/>
      </c>
      <c r="H25">
        <f>F22</f>
        <v/>
      </c>
      <c r="I25">
        <f>G22</f>
        <v/>
      </c>
      <c r="J25">
        <f>H22</f>
        <v/>
      </c>
      <c r="K25">
        <f>I22</f>
        <v/>
      </c>
      <c r="L25">
        <f>J22</f>
        <v/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Investment Deflator</t>
        </is>
      </c>
      <c r="B26" t="inlineStr">
        <is>
          <t>Index</t>
        </is>
      </c>
      <c r="C26">
        <f>C5</f>
        <v/>
      </c>
      <c r="D26">
        <f>D5</f>
        <v/>
      </c>
      <c r="E26">
        <f>E5</f>
        <v/>
      </c>
      <c r="F26">
        <f>F5</f>
        <v/>
      </c>
      <c r="G26">
        <f>G5</f>
        <v/>
      </c>
      <c r="H26">
        <f>H5</f>
        <v/>
      </c>
      <c r="I26">
        <f>I5</f>
        <v/>
      </c>
      <c r="J26">
        <f>J5</f>
        <v/>
      </c>
      <c r="K26">
        <f>K5</f>
        <v/>
      </c>
      <c r="L26">
        <f>L5</f>
        <v/>
      </c>
      <c r="M26">
        <f>M5</f>
        <v/>
      </c>
      <c r="N26">
        <f>N5</f>
        <v/>
      </c>
      <c r="O26">
        <f>O5</f>
        <v/>
      </c>
      <c r="P26">
        <f>P5</f>
        <v/>
      </c>
      <c r="Q26">
        <f>Q5</f>
        <v/>
      </c>
      <c r="R26">
        <f>R5</f>
        <v/>
      </c>
      <c r="S26">
        <f>S5</f>
        <v/>
      </c>
      <c r="T26">
        <f>T5</f>
        <v/>
      </c>
      <c r="U26">
        <f>U5</f>
        <v/>
      </c>
      <c r="V26">
        <f>V5</f>
        <v/>
      </c>
    </row>
    <row r="27">
      <c r="A27" t="inlineStr">
        <is>
          <t>Real Investment Spending</t>
        </is>
      </c>
      <c r="B27" t="inlineStr">
        <is>
          <t>Bil. GEL (const.)</t>
        </is>
      </c>
      <c r="C27">
        <f>C25*$C$26/C26</f>
        <v/>
      </c>
      <c r="D27">
        <f>D25*$C$26/D26</f>
        <v/>
      </c>
      <c r="E27">
        <f>E25*$C$26/E26</f>
        <v/>
      </c>
      <c r="F27">
        <f>F25*$C$26/F26</f>
        <v/>
      </c>
      <c r="G27">
        <f>G25*$C$26/G26</f>
        <v/>
      </c>
      <c r="H27">
        <f>H25*$C$26/H26</f>
        <v/>
      </c>
      <c r="I27">
        <f>I25*$C$26/I26</f>
        <v/>
      </c>
      <c r="J27">
        <f>J25*$C$26/J26</f>
        <v/>
      </c>
      <c r="K27">
        <f>K25*$C$26/K26</f>
        <v/>
      </c>
      <c r="L27">
        <f>L25*$C$26/L26</f>
        <v/>
      </c>
      <c r="M27">
        <f>M25*$C$26/M26</f>
        <v/>
      </c>
      <c r="N27">
        <f>N25*$C$26/N26</f>
        <v/>
      </c>
      <c r="O27">
        <f>O25*$C$26/O26</f>
        <v/>
      </c>
      <c r="P27">
        <f>P25*$C$26/P26</f>
        <v/>
      </c>
      <c r="Q27">
        <f>Q25*$C$26/Q26</f>
        <v/>
      </c>
      <c r="R27">
        <f>R25*$C$26/R26</f>
        <v/>
      </c>
      <c r="S27">
        <f>S25*$C$26/S26</f>
        <v/>
      </c>
      <c r="T27">
        <f>T25*$C$26/T26</f>
        <v/>
      </c>
      <c r="U27">
        <f>U25*$C$26/U26</f>
        <v/>
      </c>
      <c r="V27">
        <f>V25*$C$26/V26</f>
        <v/>
      </c>
    </row>
    <row r="28">
      <c r="A28" t="inlineStr">
        <is>
          <t>Domestic Demand Impact</t>
        </is>
      </c>
      <c r="B28" t="inlineStr">
        <is>
          <t>Bil. GEL (const.)</t>
        </is>
      </c>
      <c r="C28">
        <f>C27*(1-$D$15)*$D$14</f>
        <v/>
      </c>
      <c r="D28">
        <f>D27*(1-$D$15)*$D$14</f>
        <v/>
      </c>
      <c r="E28">
        <f>E27*(1-$D$15)*$D$14</f>
        <v/>
      </c>
      <c r="F28">
        <f>F27*(1-$D$15)*$D$14</f>
        <v/>
      </c>
      <c r="G28">
        <f>G27*(1-$D$15)*$D$14</f>
        <v/>
      </c>
      <c r="H28">
        <f>H27*(1-$D$15)*$D$14</f>
        <v/>
      </c>
      <c r="I28">
        <f>I27*(1-$D$15)*$D$14</f>
        <v/>
      </c>
      <c r="J28">
        <f>J27*(1-$D$15)*$D$14</f>
        <v/>
      </c>
      <c r="K28">
        <f>K27*(1-$D$15)*$D$14</f>
        <v/>
      </c>
      <c r="L28">
        <f>L27*(1-$D$15)*$D$14</f>
        <v/>
      </c>
      <c r="M28">
        <f>M27*(1-$D$15)*$D$14</f>
        <v/>
      </c>
      <c r="N28">
        <f>N27*(1-$D$15)*$D$14</f>
        <v/>
      </c>
      <c r="O28">
        <f>O27*(1-$D$15)*$D$14</f>
        <v/>
      </c>
      <c r="P28">
        <f>P27*(1-$D$15)*$D$14</f>
        <v/>
      </c>
      <c r="Q28">
        <f>Q27*(1-$D$15)*$D$14</f>
        <v/>
      </c>
      <c r="R28">
        <f>R27*(1-$D$15)*$D$14</f>
        <v/>
      </c>
      <c r="S28">
        <f>S27*(1-$D$15)*$D$14</f>
        <v/>
      </c>
      <c r="T28">
        <f>T27*(1-$D$15)*$D$14</f>
        <v/>
      </c>
      <c r="U28">
        <f>U27*(1-$D$15)*$D$14</f>
        <v/>
      </c>
      <c r="V28">
        <f>V27*(1-$D$15)*$D$14</f>
        <v/>
      </c>
    </row>
    <row r="30">
      <c r="A30" s="34" t="inlineStr">
        <is>
          <t>GDP Impact</t>
        </is>
      </c>
    </row>
    <row r="31">
      <c r="A31" t="inlineStr">
        <is>
          <t>Real GDP (with shock)</t>
        </is>
      </c>
      <c r="B31" t="inlineStr">
        <is>
          <t>Bil. GEL</t>
        </is>
      </c>
      <c r="C31">
        <f>C3+C28</f>
        <v/>
      </c>
      <c r="D31">
        <f>D3+D28</f>
        <v/>
      </c>
      <c r="E31">
        <f>E3+E28</f>
        <v/>
      </c>
      <c r="F31">
        <f>F3+F28</f>
        <v/>
      </c>
      <c r="G31">
        <f>G3+G28</f>
        <v/>
      </c>
      <c r="H31">
        <f>H3+H28</f>
        <v/>
      </c>
      <c r="I31">
        <f>I3+I28</f>
        <v/>
      </c>
      <c r="J31">
        <f>J3+J28</f>
        <v/>
      </c>
      <c r="K31">
        <f>K3+K28</f>
        <v/>
      </c>
      <c r="L31">
        <f>L3+L28</f>
        <v/>
      </c>
      <c r="M31">
        <f>M3+M28</f>
        <v/>
      </c>
      <c r="N31">
        <f>N3+N28</f>
        <v/>
      </c>
      <c r="O31">
        <f>O3+O28</f>
        <v/>
      </c>
      <c r="P31">
        <f>P3+P28</f>
        <v/>
      </c>
      <c r="Q31">
        <f>Q3+Q28</f>
        <v/>
      </c>
      <c r="R31">
        <f>R3+R28</f>
        <v/>
      </c>
      <c r="S31">
        <f>S3+S28</f>
        <v/>
      </c>
      <c r="T31">
        <f>T3+T28</f>
        <v/>
      </c>
      <c r="U31">
        <f>U3+U28</f>
        <v/>
      </c>
      <c r="V31">
        <f>V3+V28</f>
        <v/>
      </c>
    </row>
    <row r="32">
      <c r="A32" t="inlineStr">
        <is>
          <t>Real GDP Growth (with shock)</t>
        </is>
      </c>
      <c r="B32" t="inlineStr">
        <is>
          <t>%</t>
        </is>
      </c>
      <c r="D32">
        <f>(D31/C31-1)*100</f>
        <v/>
      </c>
      <c r="E32">
        <f>(E31/D31-1)*100</f>
        <v/>
      </c>
      <c r="F32">
        <f>(F31/E31-1)*100</f>
        <v/>
      </c>
      <c r="G32">
        <f>(G31/F31-1)*100</f>
        <v/>
      </c>
      <c r="H32">
        <f>(H31/G31-1)*100</f>
        <v/>
      </c>
      <c r="I32">
        <f>(I31/H31-1)*100</f>
        <v/>
      </c>
      <c r="J32">
        <f>(J31/I31-1)*100</f>
        <v/>
      </c>
      <c r="K32">
        <f>(K31/J31-1)*100</f>
        <v/>
      </c>
      <c r="L32">
        <f>(L31/K31-1)*100</f>
        <v/>
      </c>
      <c r="M32">
        <f>(M31/L31-1)*100</f>
        <v/>
      </c>
      <c r="N32">
        <f>(N31/M31-1)*100</f>
        <v/>
      </c>
      <c r="O32">
        <f>(O31/N31-1)*100</f>
        <v/>
      </c>
      <c r="P32">
        <f>(P31/O31-1)*100</f>
        <v/>
      </c>
      <c r="Q32">
        <f>(Q31/P31-1)*100</f>
        <v/>
      </c>
      <c r="R32">
        <f>(R31/Q31-1)*100</f>
        <v/>
      </c>
      <c r="S32">
        <f>(S31/R31-1)*100</f>
        <v/>
      </c>
      <c r="T32">
        <f>(T31/S31-1)*100</f>
        <v/>
      </c>
      <c r="U32">
        <f>(U31/T31-1)*100</f>
        <v/>
      </c>
      <c r="V32">
        <f>(V31/U31-1)*100</f>
        <v/>
      </c>
    </row>
    <row r="33">
      <c r="A33" t="inlineStr">
        <is>
          <t>Incremental GDP Growth (pp)</t>
        </is>
      </c>
      <c r="B33" t="inlineStr">
        <is>
          <t>pp</t>
        </is>
      </c>
      <c r="D33">
        <f>D32-D6</f>
        <v/>
      </c>
      <c r="E33">
        <f>E32-E6</f>
        <v/>
      </c>
      <c r="F33">
        <f>F32-F6</f>
        <v/>
      </c>
      <c r="G33">
        <f>G32-G6</f>
        <v/>
      </c>
      <c r="H33">
        <f>H32-H6</f>
        <v/>
      </c>
      <c r="I33">
        <f>I32-I6</f>
        <v/>
      </c>
      <c r="J33">
        <f>J32-J6</f>
        <v/>
      </c>
      <c r="K33">
        <f>K32-K6</f>
        <v/>
      </c>
      <c r="L33">
        <f>L32-L6</f>
        <v/>
      </c>
      <c r="M33">
        <f>M32-M6</f>
        <v/>
      </c>
      <c r="N33">
        <f>N32-N6</f>
        <v/>
      </c>
      <c r="O33">
        <f>O32-O6</f>
        <v/>
      </c>
      <c r="P33">
        <f>P32-P6</f>
        <v/>
      </c>
      <c r="Q33">
        <f>Q32-Q6</f>
        <v/>
      </c>
      <c r="R33">
        <f>R32-R6</f>
        <v/>
      </c>
      <c r="S33">
        <f>S32-S6</f>
        <v/>
      </c>
      <c r="T33">
        <f>T32-T6</f>
        <v/>
      </c>
      <c r="U33">
        <f>U32-U6</f>
        <v/>
      </c>
      <c r="V33">
        <f>V32-V6</f>
        <v/>
      </c>
    </row>
    <row r="34">
      <c r="A34" t="inlineStr">
        <is>
          <t>Investment as % of GDP</t>
        </is>
      </c>
      <c r="B34" t="inlineStr">
        <is>
          <t>%</t>
        </is>
      </c>
      <c r="C34">
        <f>IF(C3=0,0,C27/C3*100)</f>
        <v/>
      </c>
      <c r="D34">
        <f>IF(D3=0,0,D27/D3*100)</f>
        <v/>
      </c>
      <c r="E34">
        <f>IF(E3=0,0,E27/E3*100)</f>
        <v/>
      </c>
      <c r="F34">
        <f>IF(F3=0,0,F27/F3*100)</f>
        <v/>
      </c>
      <c r="G34">
        <f>IF(G3=0,0,G27/G3*100)</f>
        <v/>
      </c>
      <c r="H34">
        <f>IF(H3=0,0,H27/H3*100)</f>
        <v/>
      </c>
      <c r="I34">
        <f>IF(I3=0,0,I27/I3*100)</f>
        <v/>
      </c>
      <c r="J34">
        <f>IF(J3=0,0,J27/J3*100)</f>
        <v/>
      </c>
      <c r="K34">
        <f>IF(K3=0,0,K27/K3*100)</f>
        <v/>
      </c>
      <c r="L34">
        <f>IF(L3=0,0,L27/L3*100)</f>
        <v/>
      </c>
      <c r="M34">
        <f>IF(M3=0,0,M27/M3*100)</f>
        <v/>
      </c>
      <c r="N34">
        <f>IF(N3=0,0,N27/N3*100)</f>
        <v/>
      </c>
      <c r="O34">
        <f>IF(O3=0,0,O27/O3*100)</f>
        <v/>
      </c>
      <c r="P34">
        <f>IF(P3=0,0,P27/P3*100)</f>
        <v/>
      </c>
      <c r="Q34">
        <f>IF(Q3=0,0,Q27/Q3*100)</f>
        <v/>
      </c>
      <c r="R34">
        <f>IF(R3=0,0,R27/R3*100)</f>
        <v/>
      </c>
      <c r="S34">
        <f>IF(S3=0,0,S27/S3*100)</f>
        <v/>
      </c>
      <c r="T34">
        <f>IF(T3=0,0,T27/T3*100)</f>
        <v/>
      </c>
      <c r="U34">
        <f>IF(U3=0,0,U27/U3*100)</f>
        <v/>
      </c>
      <c r="V34">
        <f>IF(V3=0,0,V27/V3*100)</f>
        <v/>
      </c>
    </row>
    <row r="35">
      <c r="A35" t="inlineStr">
        <is>
          <t>Nominal GDP (with shock)</t>
        </is>
      </c>
      <c r="B35" t="inlineStr">
        <is>
          <t>Bil. GEL</t>
        </is>
      </c>
      <c r="C35">
        <f>C31*C5/100</f>
        <v/>
      </c>
      <c r="D35">
        <f>D31*D5/100</f>
        <v/>
      </c>
      <c r="E35">
        <f>E31*E5/100</f>
        <v/>
      </c>
      <c r="F35">
        <f>F31*F5/100</f>
        <v/>
      </c>
      <c r="G35">
        <f>G31*G5/100</f>
        <v/>
      </c>
      <c r="H35">
        <f>H31*H5/100</f>
        <v/>
      </c>
      <c r="I35">
        <f>I31*I5/100</f>
        <v/>
      </c>
      <c r="J35">
        <f>J31*J5/100</f>
        <v/>
      </c>
      <c r="K35">
        <f>K31*K5/100</f>
        <v/>
      </c>
      <c r="L35">
        <f>L31*L5/100</f>
        <v/>
      </c>
      <c r="M35">
        <f>M31*M5/100</f>
        <v/>
      </c>
      <c r="N35">
        <f>N31*N5/100</f>
        <v/>
      </c>
      <c r="O35">
        <f>O31*O5/100</f>
        <v/>
      </c>
      <c r="P35">
        <f>P31*P5/100</f>
        <v/>
      </c>
      <c r="Q35">
        <f>Q31*Q5/100</f>
        <v/>
      </c>
      <c r="R35">
        <f>R31*R5/100</f>
        <v/>
      </c>
      <c r="S35">
        <f>S31*S5/100</f>
        <v/>
      </c>
      <c r="T35">
        <f>T31*T5/100</f>
        <v/>
      </c>
      <c r="U35">
        <f>U31*U5/100</f>
        <v/>
      </c>
      <c r="V35">
        <f>V31*V5/100</f>
        <v/>
      </c>
    </row>
    <row r="38">
      <c r="A38" s="33" t="inlineStr">
        <is>
          <t>Scenario 2: Demand Multiplier = 1.0</t>
        </is>
      </c>
    </row>
    <row r="39">
      <c r="A39" s="1" t="inlineStr">
        <is>
          <t>Variable</t>
        </is>
      </c>
      <c r="B39" s="1" t="inlineStr">
        <is>
          <t>Units</t>
        </is>
      </c>
      <c r="C39" s="1" t="n">
        <v>2024</v>
      </c>
      <c r="D39" s="1" t="n">
        <v>2025</v>
      </c>
      <c r="E39" s="1" t="n">
        <v>2026</v>
      </c>
      <c r="F39" s="1" t="n">
        <v>2027</v>
      </c>
      <c r="G39" s="1" t="n">
        <v>2028</v>
      </c>
      <c r="H39" s="1" t="n">
        <v>2029</v>
      </c>
      <c r="I39" s="1" t="n">
        <v>2030</v>
      </c>
      <c r="J39" s="1" t="n">
        <v>2031</v>
      </c>
      <c r="K39" s="1" t="n">
        <v>2032</v>
      </c>
      <c r="L39" s="1" t="n">
        <v>2033</v>
      </c>
      <c r="M39" s="1" t="n">
        <v>2034</v>
      </c>
      <c r="N39" s="1" t="n">
        <v>2035</v>
      </c>
      <c r="O39" s="1" t="n">
        <v>2036</v>
      </c>
      <c r="P39" s="1" t="n">
        <v>2037</v>
      </c>
      <c r="Q39" s="1" t="n">
        <v>2038</v>
      </c>
      <c r="R39" s="1" t="n">
        <v>2039</v>
      </c>
      <c r="S39" s="1" t="n">
        <v>2040</v>
      </c>
      <c r="T39" s="1" t="n">
        <v>2041</v>
      </c>
      <c r="U39" s="1" t="n">
        <v>2042</v>
      </c>
      <c r="V39" s="1" t="n">
        <v>2043</v>
      </c>
    </row>
    <row r="40">
      <c r="A40" t="inlineStr">
        <is>
          <t>Real GDP (baseline)</t>
        </is>
      </c>
      <c r="B40" t="inlineStr">
        <is>
          <t>Bil. GEL</t>
        </is>
      </c>
      <c r="C40">
        <f>WEO_Data!H2</f>
        <v/>
      </c>
      <c r="D40">
        <f>WEO_Data!I2</f>
        <v/>
      </c>
      <c r="E40">
        <f>WEO_Data!J2</f>
        <v/>
      </c>
      <c r="F40">
        <f>WEO_Data!K2</f>
        <v/>
      </c>
      <c r="G40">
        <f>WEO_Data!L2</f>
        <v/>
      </c>
      <c r="H40">
        <f>WEO_Data!M2</f>
        <v/>
      </c>
      <c r="I40">
        <f>WEO_Data!N2</f>
        <v/>
      </c>
      <c r="J40">
        <f>WEO_Data!O2</f>
        <v/>
      </c>
      <c r="K40">
        <f>WEO_Data!P2</f>
        <v/>
      </c>
      <c r="L40">
        <f>WEO_Data!Q2</f>
        <v/>
      </c>
      <c r="M40">
        <f>WEO_Data!R2</f>
        <v/>
      </c>
      <c r="N40">
        <f>WEO_Data!S2</f>
        <v/>
      </c>
      <c r="O40">
        <f>WEO_Data!T2</f>
        <v/>
      </c>
      <c r="P40">
        <f>WEO_Data!U2</f>
        <v/>
      </c>
      <c r="Q40">
        <f>WEO_Data!V2</f>
        <v/>
      </c>
      <c r="R40">
        <f>WEO_Data!W2</f>
        <v/>
      </c>
      <c r="S40">
        <f>WEO_Data!X2</f>
        <v/>
      </c>
      <c r="T40">
        <f>WEO_Data!Y2</f>
        <v/>
      </c>
      <c r="U40">
        <f>WEO_Data!Z2</f>
        <v/>
      </c>
      <c r="V40">
        <f>WEO_Data!AA2</f>
        <v/>
      </c>
    </row>
    <row r="41">
      <c r="A41" t="inlineStr">
        <is>
          <t>Nominal GDP (baseline)</t>
        </is>
      </c>
      <c r="B41" t="inlineStr">
        <is>
          <t>Bil. GEL</t>
        </is>
      </c>
      <c r="C41">
        <f>WEO_Data!H4</f>
        <v/>
      </c>
      <c r="D41">
        <f>WEO_Data!I4</f>
        <v/>
      </c>
      <c r="E41">
        <f>WEO_Data!J4</f>
        <v/>
      </c>
      <c r="F41">
        <f>WEO_Data!K4</f>
        <v/>
      </c>
      <c r="G41">
        <f>WEO_Data!L4</f>
        <v/>
      </c>
      <c r="H41">
        <f>WEO_Data!M4</f>
        <v/>
      </c>
      <c r="I41">
        <f>WEO_Data!N4</f>
        <v/>
      </c>
      <c r="J41">
        <f>WEO_Data!O4</f>
        <v/>
      </c>
      <c r="K41">
        <f>WEO_Data!P4</f>
        <v/>
      </c>
      <c r="L41">
        <f>WEO_Data!Q4</f>
        <v/>
      </c>
      <c r="M41">
        <f>WEO_Data!R4</f>
        <v/>
      </c>
      <c r="N41">
        <f>WEO_Data!S4</f>
        <v/>
      </c>
      <c r="O41">
        <f>WEO_Data!T4</f>
        <v/>
      </c>
      <c r="P41">
        <f>WEO_Data!U4</f>
        <v/>
      </c>
      <c r="Q41">
        <f>WEO_Data!V4</f>
        <v/>
      </c>
      <c r="R41">
        <f>WEO_Data!W4</f>
        <v/>
      </c>
      <c r="S41">
        <f>WEO_Data!X4</f>
        <v/>
      </c>
      <c r="T41">
        <f>WEO_Data!Y4</f>
        <v/>
      </c>
      <c r="U41">
        <f>WEO_Data!Z4</f>
        <v/>
      </c>
      <c r="V41">
        <f>WEO_Data!AA4</f>
        <v/>
      </c>
    </row>
    <row r="42">
      <c r="A42" t="inlineStr">
        <is>
          <t>GDP Deflator</t>
        </is>
      </c>
      <c r="B42" t="inlineStr">
        <is>
          <t>Index</t>
        </is>
      </c>
      <c r="C42">
        <f>WEO_Data!H6</f>
        <v/>
      </c>
      <c r="D42">
        <f>WEO_Data!I6</f>
        <v/>
      </c>
      <c r="E42">
        <f>WEO_Data!J6</f>
        <v/>
      </c>
      <c r="F42">
        <f>WEO_Data!K6</f>
        <v/>
      </c>
      <c r="G42">
        <f>WEO_Data!L6</f>
        <v/>
      </c>
      <c r="H42">
        <f>WEO_Data!M6</f>
        <v/>
      </c>
      <c r="I42">
        <f>WEO_Data!N6</f>
        <v/>
      </c>
      <c r="J42">
        <f>WEO_Data!O6</f>
        <v/>
      </c>
      <c r="K42">
        <f>WEO_Data!P6</f>
        <v/>
      </c>
      <c r="L42">
        <f>WEO_Data!Q6</f>
        <v/>
      </c>
      <c r="M42">
        <f>WEO_Data!R6</f>
        <v/>
      </c>
      <c r="N42">
        <f>WEO_Data!S6</f>
        <v/>
      </c>
      <c r="O42">
        <f>WEO_Data!T6</f>
        <v/>
      </c>
      <c r="P42">
        <f>WEO_Data!U6</f>
        <v/>
      </c>
      <c r="Q42">
        <f>WEO_Data!V6</f>
        <v/>
      </c>
      <c r="R42">
        <f>WEO_Data!W6</f>
        <v/>
      </c>
      <c r="S42">
        <f>WEO_Data!X6</f>
        <v/>
      </c>
      <c r="T42">
        <f>WEO_Data!Y6</f>
        <v/>
      </c>
      <c r="U42">
        <f>WEO_Data!Z6</f>
        <v/>
      </c>
      <c r="V42">
        <f>WEO_Data!AA6</f>
        <v/>
      </c>
    </row>
    <row r="43">
      <c r="A43" t="inlineStr">
        <is>
          <t>Real GDP Growth (baseline)</t>
        </is>
      </c>
      <c r="B43" t="inlineStr">
        <is>
          <t>%</t>
        </is>
      </c>
      <c r="C43">
        <f>WEO_Data!H3</f>
        <v/>
      </c>
      <c r="D43">
        <f>WEO_Data!I3</f>
        <v/>
      </c>
      <c r="E43">
        <f>WEO_Data!J3</f>
        <v/>
      </c>
      <c r="F43">
        <f>WEO_Data!K3</f>
        <v/>
      </c>
      <c r="G43">
        <f>WEO_Data!L3</f>
        <v/>
      </c>
      <c r="H43">
        <f>WEO_Data!M3</f>
        <v/>
      </c>
      <c r="I43">
        <f>WEO_Data!N3</f>
        <v/>
      </c>
      <c r="J43">
        <f>WEO_Data!O3</f>
        <v/>
      </c>
      <c r="K43">
        <f>WEO_Data!P3</f>
        <v/>
      </c>
      <c r="L43">
        <f>WEO_Data!Q3</f>
        <v/>
      </c>
      <c r="M43">
        <f>WEO_Data!R3</f>
        <v/>
      </c>
      <c r="N43">
        <f>WEO_Data!S3</f>
        <v/>
      </c>
      <c r="O43">
        <f>WEO_Data!T3</f>
        <v/>
      </c>
      <c r="P43">
        <f>WEO_Data!U3</f>
        <v/>
      </c>
      <c r="Q43">
        <f>WEO_Data!V3</f>
        <v/>
      </c>
      <c r="R43">
        <f>WEO_Data!W3</f>
        <v/>
      </c>
      <c r="S43">
        <f>WEO_Data!X3</f>
        <v/>
      </c>
      <c r="T43">
        <f>WEO_Data!Y3</f>
        <v/>
      </c>
      <c r="U43">
        <f>WEO_Data!Z3</f>
        <v/>
      </c>
      <c r="V43">
        <f>WEO_Data!AA3</f>
        <v/>
      </c>
    </row>
    <row r="45">
      <c r="A45" s="34" t="inlineStr">
        <is>
          <t>Investment Shock Parameters</t>
        </is>
      </c>
    </row>
    <row r="46">
      <c r="A46" t="inlineStr">
        <is>
          <t>Total Investment</t>
        </is>
      </c>
      <c r="B46" t="inlineStr">
        <is>
          <t>Bil. USD</t>
        </is>
      </c>
      <c r="C46" t="n">
        <v>6.5</v>
      </c>
    </row>
    <row r="47">
      <c r="A47" t="inlineStr">
        <is>
          <t>Exchange Rate (GEL/USD)</t>
        </is>
      </c>
      <c r="B47" t="inlineStr">
        <is>
          <t>GEL per USD</t>
        </is>
      </c>
      <c r="C47" t="n">
        <v>2.746</v>
      </c>
    </row>
    <row r="48">
      <c r="A48" t="inlineStr">
        <is>
          <t>Total Investment (GEL)</t>
        </is>
      </c>
      <c r="B48" t="inlineStr">
        <is>
          <t>Bil. GEL</t>
        </is>
      </c>
      <c r="C48">
        <f>C46*C47</f>
        <v/>
      </c>
    </row>
    <row r="50">
      <c r="A50" s="34" t="inlineStr">
        <is>
          <t>Assumptions</t>
        </is>
      </c>
    </row>
    <row r="51">
      <c r="A51" t="inlineStr">
        <is>
          <t>Demand Multiplier</t>
        </is>
      </c>
      <c r="D51" t="n">
        <v>1</v>
      </c>
    </row>
    <row r="52">
      <c r="A52" t="inlineStr">
        <is>
          <t>Import Content Share</t>
        </is>
      </c>
      <c r="D52">
        <f>'SUT Calc'!C46</f>
        <v/>
      </c>
    </row>
    <row r="53">
      <c r="A53" t="inlineStr">
        <is>
          <t>Investment Deflator</t>
        </is>
      </c>
      <c r="D53" t="inlineStr">
        <is>
          <t>GDP Deflator</t>
        </is>
      </c>
    </row>
    <row r="54">
      <c r="A54" t="inlineStr">
        <is>
          <t>Project Allocation</t>
        </is>
      </c>
      <c r="D54" t="inlineStr">
        <is>
          <t>Bell Shape</t>
        </is>
      </c>
    </row>
    <row r="56">
      <c r="A56" s="34" t="inlineStr">
        <is>
          <t>Annual Allocation</t>
        </is>
      </c>
    </row>
    <row r="57">
      <c r="A57" t="inlineStr">
        <is>
          <t>Year</t>
        </is>
      </c>
      <c r="C57" t="n">
        <v>2026</v>
      </c>
      <c r="D57" t="n">
        <v>2027</v>
      </c>
      <c r="E57" t="n">
        <v>2028</v>
      </c>
      <c r="F57" t="n">
        <v>2029</v>
      </c>
      <c r="G57" t="n">
        <v>2030</v>
      </c>
      <c r="H57" t="n">
        <v>2031</v>
      </c>
      <c r="I57" t="n">
        <v>2032</v>
      </c>
      <c r="J57" t="n">
        <v>2033</v>
      </c>
    </row>
    <row r="58">
      <c r="A58" t="inlineStr">
        <is>
          <t>Weight</t>
        </is>
      </c>
      <c r="C58" s="35" t="n">
        <v>0.05</v>
      </c>
      <c r="D58" s="35" t="n">
        <v>0.1</v>
      </c>
      <c r="E58" s="35" t="n">
        <v>0.15</v>
      </c>
      <c r="F58" s="35" t="n">
        <v>0.2</v>
      </c>
      <c r="G58" s="35" t="n">
        <v>0.2</v>
      </c>
      <c r="H58" s="35" t="n">
        <v>0.15</v>
      </c>
      <c r="I58" s="35" t="n">
        <v>0.1</v>
      </c>
      <c r="J58" s="35" t="n">
        <v>0.05</v>
      </c>
      <c r="K58" t="inlineStr">
        <is>
          <t>Sum</t>
        </is>
      </c>
      <c r="L58">
        <f>SUM(C58:J58)</f>
        <v/>
      </c>
    </row>
    <row r="59">
      <c r="A59" t="inlineStr">
        <is>
          <t>Nominal Investment</t>
        </is>
      </c>
      <c r="B59" t="inlineStr">
        <is>
          <t>Bil. GEL</t>
        </is>
      </c>
      <c r="C59">
        <f>C58*$C$48</f>
        <v/>
      </c>
      <c r="D59">
        <f>D58*$C$48</f>
        <v/>
      </c>
      <c r="E59">
        <f>E58*$C$48</f>
        <v/>
      </c>
      <c r="F59">
        <f>F58*$C$48</f>
        <v/>
      </c>
      <c r="G59">
        <f>G58*$C$48</f>
        <v/>
      </c>
      <c r="H59">
        <f>H58*$C$48</f>
        <v/>
      </c>
      <c r="I59">
        <f>I58*$C$48</f>
        <v/>
      </c>
      <c r="J59">
        <f>J58*$C$48</f>
        <v/>
      </c>
    </row>
    <row r="61">
      <c r="A61" s="34" t="inlineStr">
        <is>
          <t>Investment Shock Calculation</t>
        </is>
      </c>
    </row>
    <row r="62">
      <c r="A62" t="inlineStr">
        <is>
          <t>Nominal Investment Spending</t>
        </is>
      </c>
      <c r="B62" t="inlineStr">
        <is>
          <t>Bil. GEL</t>
        </is>
      </c>
      <c r="C62" t="n">
        <v>0</v>
      </c>
      <c r="D62" t="n">
        <v>0</v>
      </c>
      <c r="E62">
        <f>C59</f>
        <v/>
      </c>
      <c r="F62">
        <f>D59</f>
        <v/>
      </c>
      <c r="G62">
        <f>E59</f>
        <v/>
      </c>
      <c r="H62">
        <f>F59</f>
        <v/>
      </c>
      <c r="I62">
        <f>G59</f>
        <v/>
      </c>
      <c r="J62">
        <f>H59</f>
        <v/>
      </c>
      <c r="K62">
        <f>I59</f>
        <v/>
      </c>
      <c r="L62">
        <f>J59</f>
        <v/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Investment Deflator</t>
        </is>
      </c>
      <c r="B63" t="inlineStr">
        <is>
          <t>Index</t>
        </is>
      </c>
      <c r="C63">
        <f>C42</f>
        <v/>
      </c>
      <c r="D63">
        <f>D42</f>
        <v/>
      </c>
      <c r="E63">
        <f>E42</f>
        <v/>
      </c>
      <c r="F63">
        <f>F42</f>
        <v/>
      </c>
      <c r="G63">
        <f>G42</f>
        <v/>
      </c>
      <c r="H63">
        <f>H42</f>
        <v/>
      </c>
      <c r="I63">
        <f>I42</f>
        <v/>
      </c>
      <c r="J63">
        <f>J42</f>
        <v/>
      </c>
      <c r="K63">
        <f>K42</f>
        <v/>
      </c>
      <c r="L63">
        <f>L42</f>
        <v/>
      </c>
      <c r="M63">
        <f>M42</f>
        <v/>
      </c>
      <c r="N63">
        <f>N42</f>
        <v/>
      </c>
      <c r="O63">
        <f>O42</f>
        <v/>
      </c>
      <c r="P63">
        <f>P42</f>
        <v/>
      </c>
      <c r="Q63">
        <f>Q42</f>
        <v/>
      </c>
      <c r="R63">
        <f>R42</f>
        <v/>
      </c>
      <c r="S63">
        <f>S42</f>
        <v/>
      </c>
      <c r="T63">
        <f>T42</f>
        <v/>
      </c>
      <c r="U63">
        <f>U42</f>
        <v/>
      </c>
      <c r="V63">
        <f>V42</f>
        <v/>
      </c>
    </row>
    <row r="64">
      <c r="A64" t="inlineStr">
        <is>
          <t>Real Investment Spending</t>
        </is>
      </c>
      <c r="B64" t="inlineStr">
        <is>
          <t>Bil. GEL (const.)</t>
        </is>
      </c>
      <c r="C64">
        <f>C62*$C$63/C63</f>
        <v/>
      </c>
      <c r="D64">
        <f>D62*$C$63/D63</f>
        <v/>
      </c>
      <c r="E64">
        <f>E62*$C$63/E63</f>
        <v/>
      </c>
      <c r="F64">
        <f>F62*$C$63/F63</f>
        <v/>
      </c>
      <c r="G64">
        <f>G62*$C$63/G63</f>
        <v/>
      </c>
      <c r="H64">
        <f>H62*$C$63/H63</f>
        <v/>
      </c>
      <c r="I64">
        <f>I62*$C$63/I63</f>
        <v/>
      </c>
      <c r="J64">
        <f>J62*$C$63/J63</f>
        <v/>
      </c>
      <c r="K64">
        <f>K62*$C$63/K63</f>
        <v/>
      </c>
      <c r="L64">
        <f>L62*$C$63/L63</f>
        <v/>
      </c>
      <c r="M64">
        <f>M62*$C$63/M63</f>
        <v/>
      </c>
      <c r="N64">
        <f>N62*$C$63/N63</f>
        <v/>
      </c>
      <c r="O64">
        <f>O62*$C$63/O63</f>
        <v/>
      </c>
      <c r="P64">
        <f>P62*$C$63/P63</f>
        <v/>
      </c>
      <c r="Q64">
        <f>Q62*$C$63/Q63</f>
        <v/>
      </c>
      <c r="R64">
        <f>R62*$C$63/R63</f>
        <v/>
      </c>
      <c r="S64">
        <f>S62*$C$63/S63</f>
        <v/>
      </c>
      <c r="T64">
        <f>T62*$C$63/T63</f>
        <v/>
      </c>
      <c r="U64">
        <f>U62*$C$63/U63</f>
        <v/>
      </c>
      <c r="V64">
        <f>V62*$C$63/V63</f>
        <v/>
      </c>
    </row>
    <row r="65">
      <c r="A65" t="inlineStr">
        <is>
          <t>Domestic Demand Impact</t>
        </is>
      </c>
      <c r="B65" t="inlineStr">
        <is>
          <t>Bil. GEL (const.)</t>
        </is>
      </c>
      <c r="C65">
        <f>C64*(1-$D$52)*$D$51</f>
        <v/>
      </c>
      <c r="D65">
        <f>D64*(1-$D$52)*$D$51</f>
        <v/>
      </c>
      <c r="E65">
        <f>E64*(1-$D$52)*$D$51</f>
        <v/>
      </c>
      <c r="F65">
        <f>F64*(1-$D$52)*$D$51</f>
        <v/>
      </c>
      <c r="G65">
        <f>G64*(1-$D$52)*$D$51</f>
        <v/>
      </c>
      <c r="H65">
        <f>H64*(1-$D$52)*$D$51</f>
        <v/>
      </c>
      <c r="I65">
        <f>I64*(1-$D$52)*$D$51</f>
        <v/>
      </c>
      <c r="J65">
        <f>J64*(1-$D$52)*$D$51</f>
        <v/>
      </c>
      <c r="K65">
        <f>K64*(1-$D$52)*$D$51</f>
        <v/>
      </c>
      <c r="L65">
        <f>L64*(1-$D$52)*$D$51</f>
        <v/>
      </c>
      <c r="M65">
        <f>M64*(1-$D$52)*$D$51</f>
        <v/>
      </c>
      <c r="N65">
        <f>N64*(1-$D$52)*$D$51</f>
        <v/>
      </c>
      <c r="O65">
        <f>O64*(1-$D$52)*$D$51</f>
        <v/>
      </c>
      <c r="P65">
        <f>P64*(1-$D$52)*$D$51</f>
        <v/>
      </c>
      <c r="Q65">
        <f>Q64*(1-$D$52)*$D$51</f>
        <v/>
      </c>
      <c r="R65">
        <f>R64*(1-$D$52)*$D$51</f>
        <v/>
      </c>
      <c r="S65">
        <f>S64*(1-$D$52)*$D$51</f>
        <v/>
      </c>
      <c r="T65">
        <f>T64*(1-$D$52)*$D$51</f>
        <v/>
      </c>
      <c r="U65">
        <f>U64*(1-$D$52)*$D$51</f>
        <v/>
      </c>
      <c r="V65">
        <f>V64*(1-$D$52)*$D$51</f>
        <v/>
      </c>
    </row>
    <row r="67">
      <c r="A67" s="34" t="inlineStr">
        <is>
          <t>GDP Impact</t>
        </is>
      </c>
    </row>
    <row r="68">
      <c r="A68" t="inlineStr">
        <is>
          <t>Real GDP (with shock)</t>
        </is>
      </c>
      <c r="B68" t="inlineStr">
        <is>
          <t>Bil. GEL</t>
        </is>
      </c>
      <c r="C68">
        <f>C40+C65</f>
        <v/>
      </c>
      <c r="D68">
        <f>D40+D65</f>
        <v/>
      </c>
      <c r="E68">
        <f>E40+E65</f>
        <v/>
      </c>
      <c r="F68">
        <f>F40+F65</f>
        <v/>
      </c>
      <c r="G68">
        <f>G40+G65</f>
        <v/>
      </c>
      <c r="H68">
        <f>H40+H65</f>
        <v/>
      </c>
      <c r="I68">
        <f>I40+I65</f>
        <v/>
      </c>
      <c r="J68">
        <f>J40+J65</f>
        <v/>
      </c>
      <c r="K68">
        <f>K40+K65</f>
        <v/>
      </c>
      <c r="L68">
        <f>L40+L65</f>
        <v/>
      </c>
      <c r="M68">
        <f>M40+M65</f>
        <v/>
      </c>
      <c r="N68">
        <f>N40+N65</f>
        <v/>
      </c>
      <c r="O68">
        <f>O40+O65</f>
        <v/>
      </c>
      <c r="P68">
        <f>P40+P65</f>
        <v/>
      </c>
      <c r="Q68">
        <f>Q40+Q65</f>
        <v/>
      </c>
      <c r="R68">
        <f>R40+R65</f>
        <v/>
      </c>
      <c r="S68">
        <f>S40+S65</f>
        <v/>
      </c>
      <c r="T68">
        <f>T40+T65</f>
        <v/>
      </c>
      <c r="U68">
        <f>U40+U65</f>
        <v/>
      </c>
      <c r="V68">
        <f>V40+V65</f>
        <v/>
      </c>
    </row>
    <row r="69">
      <c r="A69" t="inlineStr">
        <is>
          <t>Real GDP Growth (with shock)</t>
        </is>
      </c>
      <c r="B69" t="inlineStr">
        <is>
          <t>%</t>
        </is>
      </c>
      <c r="D69">
        <f>(D68/C68-1)*100</f>
        <v/>
      </c>
      <c r="E69">
        <f>(E68/D68-1)*100</f>
        <v/>
      </c>
      <c r="F69">
        <f>(F68/E68-1)*100</f>
        <v/>
      </c>
      <c r="G69">
        <f>(G68/F68-1)*100</f>
        <v/>
      </c>
      <c r="H69">
        <f>(H68/G68-1)*100</f>
        <v/>
      </c>
      <c r="I69">
        <f>(I68/H68-1)*100</f>
        <v/>
      </c>
      <c r="J69">
        <f>(J68/I68-1)*100</f>
        <v/>
      </c>
      <c r="K69">
        <f>(K68/J68-1)*100</f>
        <v/>
      </c>
      <c r="L69">
        <f>(L68/K68-1)*100</f>
        <v/>
      </c>
      <c r="M69">
        <f>(M68/L68-1)*100</f>
        <v/>
      </c>
      <c r="N69">
        <f>(N68/M68-1)*100</f>
        <v/>
      </c>
      <c r="O69">
        <f>(O68/N68-1)*100</f>
        <v/>
      </c>
      <c r="P69">
        <f>(P68/O68-1)*100</f>
        <v/>
      </c>
      <c r="Q69">
        <f>(Q68/P68-1)*100</f>
        <v/>
      </c>
      <c r="R69">
        <f>(R68/Q68-1)*100</f>
        <v/>
      </c>
      <c r="S69">
        <f>(S68/R68-1)*100</f>
        <v/>
      </c>
      <c r="T69">
        <f>(T68/S68-1)*100</f>
        <v/>
      </c>
      <c r="U69">
        <f>(U68/T68-1)*100</f>
        <v/>
      </c>
      <c r="V69">
        <f>(V68/U68-1)*100</f>
        <v/>
      </c>
    </row>
    <row r="70">
      <c r="A70" t="inlineStr">
        <is>
          <t>Incremental GDP Growth (pp)</t>
        </is>
      </c>
      <c r="B70" t="inlineStr">
        <is>
          <t>pp</t>
        </is>
      </c>
      <c r="D70">
        <f>D69-D43</f>
        <v/>
      </c>
      <c r="E70">
        <f>E69-E43</f>
        <v/>
      </c>
      <c r="F70">
        <f>F69-F43</f>
        <v/>
      </c>
      <c r="G70">
        <f>G69-G43</f>
        <v/>
      </c>
      <c r="H70">
        <f>H69-H43</f>
        <v/>
      </c>
      <c r="I70">
        <f>I69-I43</f>
        <v/>
      </c>
      <c r="J70">
        <f>J69-J43</f>
        <v/>
      </c>
      <c r="K70">
        <f>K69-K43</f>
        <v/>
      </c>
      <c r="L70">
        <f>L69-L43</f>
        <v/>
      </c>
      <c r="M70">
        <f>M69-M43</f>
        <v/>
      </c>
      <c r="N70">
        <f>N69-N43</f>
        <v/>
      </c>
      <c r="O70">
        <f>O69-O43</f>
        <v/>
      </c>
      <c r="P70">
        <f>P69-P43</f>
        <v/>
      </c>
      <c r="Q70">
        <f>Q69-Q43</f>
        <v/>
      </c>
      <c r="R70">
        <f>R69-R43</f>
        <v/>
      </c>
      <c r="S70">
        <f>S69-S43</f>
        <v/>
      </c>
      <c r="T70">
        <f>T69-T43</f>
        <v/>
      </c>
      <c r="U70">
        <f>U69-U43</f>
        <v/>
      </c>
      <c r="V70">
        <f>V69-V43</f>
        <v/>
      </c>
    </row>
    <row r="71">
      <c r="A71" t="inlineStr">
        <is>
          <t>Investment as % of GDP</t>
        </is>
      </c>
      <c r="B71" t="inlineStr">
        <is>
          <t>%</t>
        </is>
      </c>
      <c r="C71">
        <f>IF(C40=0,0,C64/C40*100)</f>
        <v/>
      </c>
      <c r="D71">
        <f>IF(D40=0,0,D64/D40*100)</f>
        <v/>
      </c>
      <c r="E71">
        <f>IF(E40=0,0,E64/E40*100)</f>
        <v/>
      </c>
      <c r="F71">
        <f>IF(F40=0,0,F64/F40*100)</f>
        <v/>
      </c>
      <c r="G71">
        <f>IF(G40=0,0,G64/G40*100)</f>
        <v/>
      </c>
      <c r="H71">
        <f>IF(H40=0,0,H64/H40*100)</f>
        <v/>
      </c>
      <c r="I71">
        <f>IF(I40=0,0,I64/I40*100)</f>
        <v/>
      </c>
      <c r="J71">
        <f>IF(J40=0,0,J64/J40*100)</f>
        <v/>
      </c>
      <c r="K71">
        <f>IF(K40=0,0,K64/K40*100)</f>
        <v/>
      </c>
      <c r="L71">
        <f>IF(L40=0,0,L64/L40*100)</f>
        <v/>
      </c>
      <c r="M71">
        <f>IF(M40=0,0,M64/M40*100)</f>
        <v/>
      </c>
      <c r="N71">
        <f>IF(N40=0,0,N64/N40*100)</f>
        <v/>
      </c>
      <c r="O71">
        <f>IF(O40=0,0,O64/O40*100)</f>
        <v/>
      </c>
      <c r="P71">
        <f>IF(P40=0,0,P64/P40*100)</f>
        <v/>
      </c>
      <c r="Q71">
        <f>IF(Q40=0,0,Q64/Q40*100)</f>
        <v/>
      </c>
      <c r="R71">
        <f>IF(R40=0,0,R64/R40*100)</f>
        <v/>
      </c>
      <c r="S71">
        <f>IF(S40=0,0,S64/S40*100)</f>
        <v/>
      </c>
      <c r="T71">
        <f>IF(T40=0,0,T64/T40*100)</f>
        <v/>
      </c>
      <c r="U71">
        <f>IF(U40=0,0,U64/U40*100)</f>
        <v/>
      </c>
      <c r="V71">
        <f>IF(V40=0,0,V64/V40*100)</f>
        <v/>
      </c>
    </row>
    <row r="72">
      <c r="A72" t="inlineStr">
        <is>
          <t>Nominal GDP (with shock)</t>
        </is>
      </c>
      <c r="B72" t="inlineStr">
        <is>
          <t>Bil. GEL</t>
        </is>
      </c>
      <c r="C72">
        <f>C68*C42/100</f>
        <v/>
      </c>
      <c r="D72">
        <f>D68*D42/100</f>
        <v/>
      </c>
      <c r="E72">
        <f>E68*E42/100</f>
        <v/>
      </c>
      <c r="F72">
        <f>F68*F42/100</f>
        <v/>
      </c>
      <c r="G72">
        <f>G68*G42/100</f>
        <v/>
      </c>
      <c r="H72">
        <f>H68*H42/100</f>
        <v/>
      </c>
      <c r="I72">
        <f>I68*I42/100</f>
        <v/>
      </c>
      <c r="J72">
        <f>J68*J42/100</f>
        <v/>
      </c>
      <c r="K72">
        <f>K68*K42/100</f>
        <v/>
      </c>
      <c r="L72">
        <f>L68*L42/100</f>
        <v/>
      </c>
      <c r="M72">
        <f>M68*M42/100</f>
        <v/>
      </c>
      <c r="N72">
        <f>N68*N42/100</f>
        <v/>
      </c>
      <c r="O72">
        <f>O68*O42/100</f>
        <v/>
      </c>
      <c r="P72">
        <f>P68*P42/100</f>
        <v/>
      </c>
      <c r="Q72">
        <f>Q68*Q42/100</f>
        <v/>
      </c>
      <c r="R72">
        <f>R68*R42/100</f>
        <v/>
      </c>
      <c r="S72">
        <f>S68*S42/100</f>
        <v/>
      </c>
      <c r="T72">
        <f>T68*T42/100</f>
        <v/>
      </c>
      <c r="U72">
        <f>U68*U42/100</f>
        <v/>
      </c>
      <c r="V72">
        <f>V68*V42/100</f>
        <v/>
      </c>
    </row>
    <row r="75">
      <c r="A75" s="33" t="inlineStr">
        <is>
          <t>Scenario 3: Import Content Share = 0.5</t>
        </is>
      </c>
    </row>
    <row r="76">
      <c r="A76" s="1" t="inlineStr">
        <is>
          <t>Variable</t>
        </is>
      </c>
      <c r="B76" s="1" t="inlineStr">
        <is>
          <t>Units</t>
        </is>
      </c>
      <c r="C76" s="1" t="n">
        <v>2024</v>
      </c>
      <c r="D76" s="1" t="n">
        <v>2025</v>
      </c>
      <c r="E76" s="1" t="n">
        <v>2026</v>
      </c>
      <c r="F76" s="1" t="n">
        <v>2027</v>
      </c>
      <c r="G76" s="1" t="n">
        <v>2028</v>
      </c>
      <c r="H76" s="1" t="n">
        <v>2029</v>
      </c>
      <c r="I76" s="1" t="n">
        <v>2030</v>
      </c>
      <c r="J76" s="1" t="n">
        <v>2031</v>
      </c>
      <c r="K76" s="1" t="n">
        <v>2032</v>
      </c>
      <c r="L76" s="1" t="n">
        <v>2033</v>
      </c>
      <c r="M76" s="1" t="n">
        <v>2034</v>
      </c>
      <c r="N76" s="1" t="n">
        <v>2035</v>
      </c>
      <c r="O76" s="1" t="n">
        <v>2036</v>
      </c>
      <c r="P76" s="1" t="n">
        <v>2037</v>
      </c>
      <c r="Q76" s="1" t="n">
        <v>2038</v>
      </c>
      <c r="R76" s="1" t="n">
        <v>2039</v>
      </c>
      <c r="S76" s="1" t="n">
        <v>2040</v>
      </c>
      <c r="T76" s="1" t="n">
        <v>2041</v>
      </c>
      <c r="U76" s="1" t="n">
        <v>2042</v>
      </c>
      <c r="V76" s="1" t="n">
        <v>2043</v>
      </c>
    </row>
    <row r="77">
      <c r="A77" t="inlineStr">
        <is>
          <t>Real GDP (baseline)</t>
        </is>
      </c>
      <c r="B77" t="inlineStr">
        <is>
          <t>Bil. GEL</t>
        </is>
      </c>
      <c r="C77">
        <f>WEO_Data!H2</f>
        <v/>
      </c>
      <c r="D77">
        <f>WEO_Data!I2</f>
        <v/>
      </c>
      <c r="E77">
        <f>WEO_Data!J2</f>
        <v/>
      </c>
      <c r="F77">
        <f>WEO_Data!K2</f>
        <v/>
      </c>
      <c r="G77">
        <f>WEO_Data!L2</f>
        <v/>
      </c>
      <c r="H77">
        <f>WEO_Data!M2</f>
        <v/>
      </c>
      <c r="I77">
        <f>WEO_Data!N2</f>
        <v/>
      </c>
      <c r="J77">
        <f>WEO_Data!O2</f>
        <v/>
      </c>
      <c r="K77">
        <f>WEO_Data!P2</f>
        <v/>
      </c>
      <c r="L77">
        <f>WEO_Data!Q2</f>
        <v/>
      </c>
      <c r="M77">
        <f>WEO_Data!R2</f>
        <v/>
      </c>
      <c r="N77">
        <f>WEO_Data!S2</f>
        <v/>
      </c>
      <c r="O77">
        <f>WEO_Data!T2</f>
        <v/>
      </c>
      <c r="P77">
        <f>WEO_Data!U2</f>
        <v/>
      </c>
      <c r="Q77">
        <f>WEO_Data!V2</f>
        <v/>
      </c>
      <c r="R77">
        <f>WEO_Data!W2</f>
        <v/>
      </c>
      <c r="S77">
        <f>WEO_Data!X2</f>
        <v/>
      </c>
      <c r="T77">
        <f>WEO_Data!Y2</f>
        <v/>
      </c>
      <c r="U77">
        <f>WEO_Data!Z2</f>
        <v/>
      </c>
      <c r="V77">
        <f>WEO_Data!AA2</f>
        <v/>
      </c>
    </row>
    <row r="78">
      <c r="A78" t="inlineStr">
        <is>
          <t>Nominal GDP (baseline)</t>
        </is>
      </c>
      <c r="B78" t="inlineStr">
        <is>
          <t>Bil. GEL</t>
        </is>
      </c>
      <c r="C78">
        <f>WEO_Data!H4</f>
        <v/>
      </c>
      <c r="D78">
        <f>WEO_Data!I4</f>
        <v/>
      </c>
      <c r="E78">
        <f>WEO_Data!J4</f>
        <v/>
      </c>
      <c r="F78">
        <f>WEO_Data!K4</f>
        <v/>
      </c>
      <c r="G78">
        <f>WEO_Data!L4</f>
        <v/>
      </c>
      <c r="H78">
        <f>WEO_Data!M4</f>
        <v/>
      </c>
      <c r="I78">
        <f>WEO_Data!N4</f>
        <v/>
      </c>
      <c r="J78">
        <f>WEO_Data!O4</f>
        <v/>
      </c>
      <c r="K78">
        <f>WEO_Data!P4</f>
        <v/>
      </c>
      <c r="L78">
        <f>WEO_Data!Q4</f>
        <v/>
      </c>
      <c r="M78">
        <f>WEO_Data!R4</f>
        <v/>
      </c>
      <c r="N78">
        <f>WEO_Data!S4</f>
        <v/>
      </c>
      <c r="O78">
        <f>WEO_Data!T4</f>
        <v/>
      </c>
      <c r="P78">
        <f>WEO_Data!U4</f>
        <v/>
      </c>
      <c r="Q78">
        <f>WEO_Data!V4</f>
        <v/>
      </c>
      <c r="R78">
        <f>WEO_Data!W4</f>
        <v/>
      </c>
      <c r="S78">
        <f>WEO_Data!X4</f>
        <v/>
      </c>
      <c r="T78">
        <f>WEO_Data!Y4</f>
        <v/>
      </c>
      <c r="U78">
        <f>WEO_Data!Z4</f>
        <v/>
      </c>
      <c r="V78">
        <f>WEO_Data!AA4</f>
        <v/>
      </c>
    </row>
    <row r="79">
      <c r="A79" t="inlineStr">
        <is>
          <t>GDP Deflator</t>
        </is>
      </c>
      <c r="B79" t="inlineStr">
        <is>
          <t>Index</t>
        </is>
      </c>
      <c r="C79">
        <f>WEO_Data!H6</f>
        <v/>
      </c>
      <c r="D79">
        <f>WEO_Data!I6</f>
        <v/>
      </c>
      <c r="E79">
        <f>WEO_Data!J6</f>
        <v/>
      </c>
      <c r="F79">
        <f>WEO_Data!K6</f>
        <v/>
      </c>
      <c r="G79">
        <f>WEO_Data!L6</f>
        <v/>
      </c>
      <c r="H79">
        <f>WEO_Data!M6</f>
        <v/>
      </c>
      <c r="I79">
        <f>WEO_Data!N6</f>
        <v/>
      </c>
      <c r="J79">
        <f>WEO_Data!O6</f>
        <v/>
      </c>
      <c r="K79">
        <f>WEO_Data!P6</f>
        <v/>
      </c>
      <c r="L79">
        <f>WEO_Data!Q6</f>
        <v/>
      </c>
      <c r="M79">
        <f>WEO_Data!R6</f>
        <v/>
      </c>
      <c r="N79">
        <f>WEO_Data!S6</f>
        <v/>
      </c>
      <c r="O79">
        <f>WEO_Data!T6</f>
        <v/>
      </c>
      <c r="P79">
        <f>WEO_Data!U6</f>
        <v/>
      </c>
      <c r="Q79">
        <f>WEO_Data!V6</f>
        <v/>
      </c>
      <c r="R79">
        <f>WEO_Data!W6</f>
        <v/>
      </c>
      <c r="S79">
        <f>WEO_Data!X6</f>
        <v/>
      </c>
      <c r="T79">
        <f>WEO_Data!Y6</f>
        <v/>
      </c>
      <c r="U79">
        <f>WEO_Data!Z6</f>
        <v/>
      </c>
      <c r="V79">
        <f>WEO_Data!AA6</f>
        <v/>
      </c>
    </row>
    <row r="80">
      <c r="A80" t="inlineStr">
        <is>
          <t>Real GDP Growth (baseline)</t>
        </is>
      </c>
      <c r="B80" t="inlineStr">
        <is>
          <t>%</t>
        </is>
      </c>
      <c r="C80">
        <f>WEO_Data!H3</f>
        <v/>
      </c>
      <c r="D80">
        <f>WEO_Data!I3</f>
        <v/>
      </c>
      <c r="E80">
        <f>WEO_Data!J3</f>
        <v/>
      </c>
      <c r="F80">
        <f>WEO_Data!K3</f>
        <v/>
      </c>
      <c r="G80">
        <f>WEO_Data!L3</f>
        <v/>
      </c>
      <c r="H80">
        <f>WEO_Data!M3</f>
        <v/>
      </c>
      <c r="I80">
        <f>WEO_Data!N3</f>
        <v/>
      </c>
      <c r="J80">
        <f>WEO_Data!O3</f>
        <v/>
      </c>
      <c r="K80">
        <f>WEO_Data!P3</f>
        <v/>
      </c>
      <c r="L80">
        <f>WEO_Data!Q3</f>
        <v/>
      </c>
      <c r="M80">
        <f>WEO_Data!R3</f>
        <v/>
      </c>
      <c r="N80">
        <f>WEO_Data!S3</f>
        <v/>
      </c>
      <c r="O80">
        <f>WEO_Data!T3</f>
        <v/>
      </c>
      <c r="P80">
        <f>WEO_Data!U3</f>
        <v/>
      </c>
      <c r="Q80">
        <f>WEO_Data!V3</f>
        <v/>
      </c>
      <c r="R80">
        <f>WEO_Data!W3</f>
        <v/>
      </c>
      <c r="S80">
        <f>WEO_Data!X3</f>
        <v/>
      </c>
      <c r="T80">
        <f>WEO_Data!Y3</f>
        <v/>
      </c>
      <c r="U80">
        <f>WEO_Data!Z3</f>
        <v/>
      </c>
      <c r="V80">
        <f>WEO_Data!AA3</f>
        <v/>
      </c>
    </row>
    <row r="82">
      <c r="A82" s="34" t="inlineStr">
        <is>
          <t>Investment Shock Parameters</t>
        </is>
      </c>
    </row>
    <row r="83">
      <c r="A83" t="inlineStr">
        <is>
          <t>Total Investment</t>
        </is>
      </c>
      <c r="B83" t="inlineStr">
        <is>
          <t>Bil. USD</t>
        </is>
      </c>
      <c r="C83" t="n">
        <v>6.5</v>
      </c>
    </row>
    <row r="84">
      <c r="A84" t="inlineStr">
        <is>
          <t>Exchange Rate (GEL/USD)</t>
        </is>
      </c>
      <c r="B84" t="inlineStr">
        <is>
          <t>GEL per USD</t>
        </is>
      </c>
      <c r="C84" t="n">
        <v>2.746</v>
      </c>
    </row>
    <row r="85">
      <c r="A85" t="inlineStr">
        <is>
          <t>Total Investment (GEL)</t>
        </is>
      </c>
      <c r="B85" t="inlineStr">
        <is>
          <t>Bil. GEL</t>
        </is>
      </c>
      <c r="C85">
        <f>C83*C84</f>
        <v/>
      </c>
    </row>
    <row r="87">
      <c r="A87" s="34" t="inlineStr">
        <is>
          <t>Assumptions</t>
        </is>
      </c>
    </row>
    <row r="88">
      <c r="A88" t="inlineStr">
        <is>
          <t>Demand Multiplier</t>
        </is>
      </c>
      <c r="D88" t="n">
        <v>0.8</v>
      </c>
    </row>
    <row r="89">
      <c r="A89" t="inlineStr">
        <is>
          <t>Import Content Share</t>
        </is>
      </c>
      <c r="D89" t="n">
        <v>0.5</v>
      </c>
    </row>
    <row r="90">
      <c r="A90" t="inlineStr">
        <is>
          <t>Investment Deflator</t>
        </is>
      </c>
      <c r="D90" t="inlineStr">
        <is>
          <t>GDP Deflator</t>
        </is>
      </c>
    </row>
    <row r="91">
      <c r="A91" t="inlineStr">
        <is>
          <t>Project Allocation</t>
        </is>
      </c>
      <c r="D91" t="inlineStr">
        <is>
          <t>Bell Shape</t>
        </is>
      </c>
    </row>
    <row r="93">
      <c r="A93" s="34" t="inlineStr">
        <is>
          <t>Annual Allocation</t>
        </is>
      </c>
    </row>
    <row r="94">
      <c r="A94" t="inlineStr">
        <is>
          <t>Year</t>
        </is>
      </c>
      <c r="C94" t="n">
        <v>2026</v>
      </c>
      <c r="D94" t="n">
        <v>2027</v>
      </c>
      <c r="E94" t="n">
        <v>2028</v>
      </c>
      <c r="F94" t="n">
        <v>2029</v>
      </c>
      <c r="G94" t="n">
        <v>2030</v>
      </c>
      <c r="H94" t="n">
        <v>2031</v>
      </c>
      <c r="I94" t="n">
        <v>2032</v>
      </c>
      <c r="J94" t="n">
        <v>2033</v>
      </c>
    </row>
    <row r="95">
      <c r="A95" t="inlineStr">
        <is>
          <t>Weight</t>
        </is>
      </c>
      <c r="C95" s="35" t="n">
        <v>0.05</v>
      </c>
      <c r="D95" s="35" t="n">
        <v>0.1</v>
      </c>
      <c r="E95" s="35" t="n">
        <v>0.15</v>
      </c>
      <c r="F95" s="35" t="n">
        <v>0.2</v>
      </c>
      <c r="G95" s="35" t="n">
        <v>0.2</v>
      </c>
      <c r="H95" s="35" t="n">
        <v>0.15</v>
      </c>
      <c r="I95" s="35" t="n">
        <v>0.1</v>
      </c>
      <c r="J95" s="35" t="n">
        <v>0.05</v>
      </c>
      <c r="K95" t="inlineStr">
        <is>
          <t>Sum</t>
        </is>
      </c>
      <c r="L95">
        <f>SUM(C95:J95)</f>
        <v/>
      </c>
    </row>
    <row r="96">
      <c r="A96" t="inlineStr">
        <is>
          <t>Nominal Investment</t>
        </is>
      </c>
      <c r="B96" t="inlineStr">
        <is>
          <t>Bil. GEL</t>
        </is>
      </c>
      <c r="C96">
        <f>C95*$C$85</f>
        <v/>
      </c>
      <c r="D96">
        <f>D95*$C$85</f>
        <v/>
      </c>
      <c r="E96">
        <f>E95*$C$85</f>
        <v/>
      </c>
      <c r="F96">
        <f>F95*$C$85</f>
        <v/>
      </c>
      <c r="G96">
        <f>G95*$C$85</f>
        <v/>
      </c>
      <c r="H96">
        <f>H95*$C$85</f>
        <v/>
      </c>
      <c r="I96">
        <f>I95*$C$85</f>
        <v/>
      </c>
      <c r="J96">
        <f>J95*$C$85</f>
        <v/>
      </c>
    </row>
    <row r="98">
      <c r="A98" s="34" t="inlineStr">
        <is>
          <t>Investment Shock Calculation</t>
        </is>
      </c>
    </row>
    <row r="99">
      <c r="A99" t="inlineStr">
        <is>
          <t>Nominal Investment Spending</t>
        </is>
      </c>
      <c r="B99" t="inlineStr">
        <is>
          <t>Bil. GEL</t>
        </is>
      </c>
      <c r="C99" t="n">
        <v>0</v>
      </c>
      <c r="D99" t="n">
        <v>0</v>
      </c>
      <c r="E99">
        <f>C96</f>
        <v/>
      </c>
      <c r="F99">
        <f>D96</f>
        <v/>
      </c>
      <c r="G99">
        <f>E96</f>
        <v/>
      </c>
      <c r="H99">
        <f>F96</f>
        <v/>
      </c>
      <c r="I99">
        <f>G96</f>
        <v/>
      </c>
      <c r="J99">
        <f>H96</f>
        <v/>
      </c>
      <c r="K99">
        <f>I96</f>
        <v/>
      </c>
      <c r="L99">
        <f>J96</f>
        <v/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Investment Deflator</t>
        </is>
      </c>
      <c r="B100" t="inlineStr">
        <is>
          <t>Index</t>
        </is>
      </c>
      <c r="C100">
        <f>C79</f>
        <v/>
      </c>
      <c r="D100">
        <f>D79</f>
        <v/>
      </c>
      <c r="E100">
        <f>E79</f>
        <v/>
      </c>
      <c r="F100">
        <f>F79</f>
        <v/>
      </c>
      <c r="G100">
        <f>G79</f>
        <v/>
      </c>
      <c r="H100">
        <f>H79</f>
        <v/>
      </c>
      <c r="I100">
        <f>I79</f>
        <v/>
      </c>
      <c r="J100">
        <f>J79</f>
        <v/>
      </c>
      <c r="K100">
        <f>K79</f>
        <v/>
      </c>
      <c r="L100">
        <f>L79</f>
        <v/>
      </c>
      <c r="M100">
        <f>M79</f>
        <v/>
      </c>
      <c r="N100">
        <f>N79</f>
        <v/>
      </c>
      <c r="O100">
        <f>O79</f>
        <v/>
      </c>
      <c r="P100">
        <f>P79</f>
        <v/>
      </c>
      <c r="Q100">
        <f>Q79</f>
        <v/>
      </c>
      <c r="R100">
        <f>R79</f>
        <v/>
      </c>
      <c r="S100">
        <f>S79</f>
        <v/>
      </c>
      <c r="T100">
        <f>T79</f>
        <v/>
      </c>
      <c r="U100">
        <f>U79</f>
        <v/>
      </c>
      <c r="V100">
        <f>V79</f>
        <v/>
      </c>
    </row>
    <row r="101">
      <c r="A101" t="inlineStr">
        <is>
          <t>Real Investment Spending</t>
        </is>
      </c>
      <c r="B101" t="inlineStr">
        <is>
          <t>Bil. GEL (const.)</t>
        </is>
      </c>
      <c r="C101">
        <f>C99*$C$100/C100</f>
        <v/>
      </c>
      <c r="D101">
        <f>D99*$C$100/D100</f>
        <v/>
      </c>
      <c r="E101">
        <f>E99*$C$100/E100</f>
        <v/>
      </c>
      <c r="F101">
        <f>F99*$C$100/F100</f>
        <v/>
      </c>
      <c r="G101">
        <f>G99*$C$100/G100</f>
        <v/>
      </c>
      <c r="H101">
        <f>H99*$C$100/H100</f>
        <v/>
      </c>
      <c r="I101">
        <f>I99*$C$100/I100</f>
        <v/>
      </c>
      <c r="J101">
        <f>J99*$C$100/J100</f>
        <v/>
      </c>
      <c r="K101">
        <f>K99*$C$100/K100</f>
        <v/>
      </c>
      <c r="L101">
        <f>L99*$C$100/L100</f>
        <v/>
      </c>
      <c r="M101">
        <f>M99*$C$100/M100</f>
        <v/>
      </c>
      <c r="N101">
        <f>N99*$C$100/N100</f>
        <v/>
      </c>
      <c r="O101">
        <f>O99*$C$100/O100</f>
        <v/>
      </c>
      <c r="P101">
        <f>P99*$C$100/P100</f>
        <v/>
      </c>
      <c r="Q101">
        <f>Q99*$C$100/Q100</f>
        <v/>
      </c>
      <c r="R101">
        <f>R99*$C$100/R100</f>
        <v/>
      </c>
      <c r="S101">
        <f>S99*$C$100/S100</f>
        <v/>
      </c>
      <c r="T101">
        <f>T99*$C$100/T100</f>
        <v/>
      </c>
      <c r="U101">
        <f>U99*$C$100/U100</f>
        <v/>
      </c>
      <c r="V101">
        <f>V99*$C$100/V100</f>
        <v/>
      </c>
    </row>
    <row r="102">
      <c r="A102" t="inlineStr">
        <is>
          <t>Domestic Demand Impact</t>
        </is>
      </c>
      <c r="B102" t="inlineStr">
        <is>
          <t>Bil. GEL (const.)</t>
        </is>
      </c>
      <c r="C102">
        <f>C101*(1-$D$89)*$D$88</f>
        <v/>
      </c>
      <c r="D102">
        <f>D101*(1-$D$89)*$D$88</f>
        <v/>
      </c>
      <c r="E102">
        <f>E101*(1-$D$89)*$D$88</f>
        <v/>
      </c>
      <c r="F102">
        <f>F101*(1-$D$89)*$D$88</f>
        <v/>
      </c>
      <c r="G102">
        <f>G101*(1-$D$89)*$D$88</f>
        <v/>
      </c>
      <c r="H102">
        <f>H101*(1-$D$89)*$D$88</f>
        <v/>
      </c>
      <c r="I102">
        <f>I101*(1-$D$89)*$D$88</f>
        <v/>
      </c>
      <c r="J102">
        <f>J101*(1-$D$89)*$D$88</f>
        <v/>
      </c>
      <c r="K102">
        <f>K101*(1-$D$89)*$D$88</f>
        <v/>
      </c>
      <c r="L102">
        <f>L101*(1-$D$89)*$D$88</f>
        <v/>
      </c>
      <c r="M102">
        <f>M101*(1-$D$89)*$D$88</f>
        <v/>
      </c>
      <c r="N102">
        <f>N101*(1-$D$89)*$D$88</f>
        <v/>
      </c>
      <c r="O102">
        <f>O101*(1-$D$89)*$D$88</f>
        <v/>
      </c>
      <c r="P102">
        <f>P101*(1-$D$89)*$D$88</f>
        <v/>
      </c>
      <c r="Q102">
        <f>Q101*(1-$D$89)*$D$88</f>
        <v/>
      </c>
      <c r="R102">
        <f>R101*(1-$D$89)*$D$88</f>
        <v/>
      </c>
      <c r="S102">
        <f>S101*(1-$D$89)*$D$88</f>
        <v/>
      </c>
      <c r="T102">
        <f>T101*(1-$D$89)*$D$88</f>
        <v/>
      </c>
      <c r="U102">
        <f>U101*(1-$D$89)*$D$88</f>
        <v/>
      </c>
      <c r="V102">
        <f>V101*(1-$D$89)*$D$88</f>
        <v/>
      </c>
    </row>
    <row r="104">
      <c r="A104" s="34" t="inlineStr">
        <is>
          <t>GDP Impact</t>
        </is>
      </c>
    </row>
    <row r="105">
      <c r="A105" t="inlineStr">
        <is>
          <t>Real GDP (with shock)</t>
        </is>
      </c>
      <c r="B105" t="inlineStr">
        <is>
          <t>Bil. GEL</t>
        </is>
      </c>
      <c r="C105">
        <f>C77+C102</f>
        <v/>
      </c>
      <c r="D105">
        <f>D77+D102</f>
        <v/>
      </c>
      <c r="E105">
        <f>E77+E102</f>
        <v/>
      </c>
      <c r="F105">
        <f>F77+F102</f>
        <v/>
      </c>
      <c r="G105">
        <f>G77+G102</f>
        <v/>
      </c>
      <c r="H105">
        <f>H77+H102</f>
        <v/>
      </c>
      <c r="I105">
        <f>I77+I102</f>
        <v/>
      </c>
      <c r="J105">
        <f>J77+J102</f>
        <v/>
      </c>
      <c r="K105">
        <f>K77+K102</f>
        <v/>
      </c>
      <c r="L105">
        <f>L77+L102</f>
        <v/>
      </c>
      <c r="M105">
        <f>M77+M102</f>
        <v/>
      </c>
      <c r="N105">
        <f>N77+N102</f>
        <v/>
      </c>
      <c r="O105">
        <f>O77+O102</f>
        <v/>
      </c>
      <c r="P105">
        <f>P77+P102</f>
        <v/>
      </c>
      <c r="Q105">
        <f>Q77+Q102</f>
        <v/>
      </c>
      <c r="R105">
        <f>R77+R102</f>
        <v/>
      </c>
      <c r="S105">
        <f>S77+S102</f>
        <v/>
      </c>
      <c r="T105">
        <f>T77+T102</f>
        <v/>
      </c>
      <c r="U105">
        <f>U77+U102</f>
        <v/>
      </c>
      <c r="V105">
        <f>V77+V102</f>
        <v/>
      </c>
    </row>
    <row r="106">
      <c r="A106" t="inlineStr">
        <is>
          <t>Real GDP Growth (with shock)</t>
        </is>
      </c>
      <c r="B106" t="inlineStr">
        <is>
          <t>%</t>
        </is>
      </c>
      <c r="D106">
        <f>(D105/C105-1)*100</f>
        <v/>
      </c>
      <c r="E106">
        <f>(E105/D105-1)*100</f>
        <v/>
      </c>
      <c r="F106">
        <f>(F105/E105-1)*100</f>
        <v/>
      </c>
      <c r="G106">
        <f>(G105/F105-1)*100</f>
        <v/>
      </c>
      <c r="H106">
        <f>(H105/G105-1)*100</f>
        <v/>
      </c>
      <c r="I106">
        <f>(I105/H105-1)*100</f>
        <v/>
      </c>
      <c r="J106">
        <f>(J105/I105-1)*100</f>
        <v/>
      </c>
      <c r="K106">
        <f>(K105/J105-1)*100</f>
        <v/>
      </c>
      <c r="L106">
        <f>(L105/K105-1)*100</f>
        <v/>
      </c>
      <c r="M106">
        <f>(M105/L105-1)*100</f>
        <v/>
      </c>
      <c r="N106">
        <f>(N105/M105-1)*100</f>
        <v/>
      </c>
      <c r="O106">
        <f>(O105/N105-1)*100</f>
        <v/>
      </c>
      <c r="P106">
        <f>(P105/O105-1)*100</f>
        <v/>
      </c>
      <c r="Q106">
        <f>(Q105/P105-1)*100</f>
        <v/>
      </c>
      <c r="R106">
        <f>(R105/Q105-1)*100</f>
        <v/>
      </c>
      <c r="S106">
        <f>(S105/R105-1)*100</f>
        <v/>
      </c>
      <c r="T106">
        <f>(T105/S105-1)*100</f>
        <v/>
      </c>
      <c r="U106">
        <f>(U105/T105-1)*100</f>
        <v/>
      </c>
      <c r="V106">
        <f>(V105/U105-1)*100</f>
        <v/>
      </c>
    </row>
    <row r="107">
      <c r="A107" t="inlineStr">
        <is>
          <t>Incremental GDP Growth (pp)</t>
        </is>
      </c>
      <c r="B107" t="inlineStr">
        <is>
          <t>pp</t>
        </is>
      </c>
      <c r="D107">
        <f>D106-D80</f>
        <v/>
      </c>
      <c r="E107">
        <f>E106-E80</f>
        <v/>
      </c>
      <c r="F107">
        <f>F106-F80</f>
        <v/>
      </c>
      <c r="G107">
        <f>G106-G80</f>
        <v/>
      </c>
      <c r="H107">
        <f>H106-H80</f>
        <v/>
      </c>
      <c r="I107">
        <f>I106-I80</f>
        <v/>
      </c>
      <c r="J107">
        <f>J106-J80</f>
        <v/>
      </c>
      <c r="K107">
        <f>K106-K80</f>
        <v/>
      </c>
      <c r="L107">
        <f>L106-L80</f>
        <v/>
      </c>
      <c r="M107">
        <f>M106-M80</f>
        <v/>
      </c>
      <c r="N107">
        <f>N106-N80</f>
        <v/>
      </c>
      <c r="O107">
        <f>O106-O80</f>
        <v/>
      </c>
      <c r="P107">
        <f>P106-P80</f>
        <v/>
      </c>
      <c r="Q107">
        <f>Q106-Q80</f>
        <v/>
      </c>
      <c r="R107">
        <f>R106-R80</f>
        <v/>
      </c>
      <c r="S107">
        <f>S106-S80</f>
        <v/>
      </c>
      <c r="T107">
        <f>T106-T80</f>
        <v/>
      </c>
      <c r="U107">
        <f>U106-U80</f>
        <v/>
      </c>
      <c r="V107">
        <f>V106-V80</f>
        <v/>
      </c>
    </row>
    <row r="108">
      <c r="A108" t="inlineStr">
        <is>
          <t>Investment as % of GDP</t>
        </is>
      </c>
      <c r="B108" t="inlineStr">
        <is>
          <t>%</t>
        </is>
      </c>
      <c r="C108">
        <f>IF(C77=0,0,C101/C77*100)</f>
        <v/>
      </c>
      <c r="D108">
        <f>IF(D77=0,0,D101/D77*100)</f>
        <v/>
      </c>
      <c r="E108">
        <f>IF(E77=0,0,E101/E77*100)</f>
        <v/>
      </c>
      <c r="F108">
        <f>IF(F77=0,0,F101/F77*100)</f>
        <v/>
      </c>
      <c r="G108">
        <f>IF(G77=0,0,G101/G77*100)</f>
        <v/>
      </c>
      <c r="H108">
        <f>IF(H77=0,0,H101/H77*100)</f>
        <v/>
      </c>
      <c r="I108">
        <f>IF(I77=0,0,I101/I77*100)</f>
        <v/>
      </c>
      <c r="J108">
        <f>IF(J77=0,0,J101/J77*100)</f>
        <v/>
      </c>
      <c r="K108">
        <f>IF(K77=0,0,K101/K77*100)</f>
        <v/>
      </c>
      <c r="L108">
        <f>IF(L77=0,0,L101/L77*100)</f>
        <v/>
      </c>
      <c r="M108">
        <f>IF(M77=0,0,M101/M77*100)</f>
        <v/>
      </c>
      <c r="N108">
        <f>IF(N77=0,0,N101/N77*100)</f>
        <v/>
      </c>
      <c r="O108">
        <f>IF(O77=0,0,O101/O77*100)</f>
        <v/>
      </c>
      <c r="P108">
        <f>IF(P77=0,0,P101/P77*100)</f>
        <v/>
      </c>
      <c r="Q108">
        <f>IF(Q77=0,0,Q101/Q77*100)</f>
        <v/>
      </c>
      <c r="R108">
        <f>IF(R77=0,0,R101/R77*100)</f>
        <v/>
      </c>
      <c r="S108">
        <f>IF(S77=0,0,S101/S77*100)</f>
        <v/>
      </c>
      <c r="T108">
        <f>IF(T77=0,0,T101/T77*100)</f>
        <v/>
      </c>
      <c r="U108">
        <f>IF(U77=0,0,U101/U77*100)</f>
        <v/>
      </c>
      <c r="V108">
        <f>IF(V77=0,0,V101/V77*100)</f>
        <v/>
      </c>
    </row>
    <row r="109">
      <c r="A109" t="inlineStr">
        <is>
          <t>Nominal GDP (with shock)</t>
        </is>
      </c>
      <c r="B109" t="inlineStr">
        <is>
          <t>Bil. GEL</t>
        </is>
      </c>
      <c r="C109">
        <f>C105*C79/100</f>
        <v/>
      </c>
      <c r="D109">
        <f>D105*D79/100</f>
        <v/>
      </c>
      <c r="E109">
        <f>E105*E79/100</f>
        <v/>
      </c>
      <c r="F109">
        <f>F105*F79/100</f>
        <v/>
      </c>
      <c r="G109">
        <f>G105*G79/100</f>
        <v/>
      </c>
      <c r="H109">
        <f>H105*H79/100</f>
        <v/>
      </c>
      <c r="I109">
        <f>I105*I79/100</f>
        <v/>
      </c>
      <c r="J109">
        <f>J105*J79/100</f>
        <v/>
      </c>
      <c r="K109">
        <f>K105*K79/100</f>
        <v/>
      </c>
      <c r="L109">
        <f>L105*L79/100</f>
        <v/>
      </c>
      <c r="M109">
        <f>M105*M79/100</f>
        <v/>
      </c>
      <c r="N109">
        <f>N105*N79/100</f>
        <v/>
      </c>
      <c r="O109">
        <f>O105*O79/100</f>
        <v/>
      </c>
      <c r="P109">
        <f>P105*P79/100</f>
        <v/>
      </c>
      <c r="Q109">
        <f>Q105*Q79/100</f>
        <v/>
      </c>
      <c r="R109">
        <f>R105*R79/100</f>
        <v/>
      </c>
      <c r="S109">
        <f>S105*S79/100</f>
        <v/>
      </c>
      <c r="T109">
        <f>T105*T79/100</f>
        <v/>
      </c>
      <c r="U109">
        <f>U105*U79/100</f>
        <v/>
      </c>
      <c r="V109">
        <f>V105*V79/100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2026-02-07T06:42:16Z</dcterms:created>
  <dcterms:modified xsi:type="dcterms:W3CDTF">2026-02-07T06:43:44Z</dcterms:modified>
</cp:coreProperties>
</file>