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 (38-38)-2024" sheetId="2" state="visible" r:id="rId2"/>
    <sheet name="USE (38-38)-2024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* #,##0.0_);_(* \(#,##0.0\);_(* &quot;-&quot;??_);_(@_)"/>
    <numFmt numFmtId="165" formatCode="_(* #,##0.0_);_(* \(#,##0.0\);_(* &quot;-&quot;?_);_(@_)"/>
    <numFmt numFmtId="166" formatCode="_(* #,##0.00000000000000000_);_(* \(#,##0.00000000000000000\);_(* &quot;-&quot;?_);_(@_)"/>
    <numFmt numFmtId="167" formatCode="#,##0.0"/>
    <numFmt numFmtId="168" formatCode="0.000"/>
  </numFmts>
  <fonts count="16">
    <font>
      <name val="Calibri"/>
      <family val="2"/>
      <color theme="1"/>
      <sz val="11"/>
      <scheme val="minor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0" fillId="0" borderId="2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top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164" fontId="4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2" applyAlignment="1" pivotButton="0" quotePrefix="0" xfId="0">
      <alignment vertical="center"/>
    </xf>
    <xf numFmtId="165" fontId="0" fillId="0" borderId="0" pivotButton="0" quotePrefix="0" xfId="0"/>
    <xf numFmtId="0" fontId="4" fillId="0" borderId="6" applyAlignment="1" pivotButton="0" quotePrefix="0" xfId="0">
      <alignment horizontal="center" vertical="center" wrapText="1"/>
    </xf>
    <xf numFmtId="166" fontId="0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13" applyAlignment="1" pivotButton="0" quotePrefix="0" xfId="0">
      <alignment wrapText="1"/>
    </xf>
    <xf numFmtId="0" fontId="7" fillId="0" borderId="2" applyAlignment="1" pivotButton="0" quotePrefix="0" xfId="0">
      <alignment horizontal="left" wrapText="1"/>
    </xf>
    <xf numFmtId="164" fontId="7" fillId="0" borderId="2" applyAlignment="1" pivotButton="0" quotePrefix="0" xfId="0">
      <alignment vertical="center"/>
    </xf>
    <xf numFmtId="164" fontId="7" fillId="0" borderId="14" applyAlignment="1" pivotButton="0" quotePrefix="0" xfId="0">
      <alignment vertical="center"/>
    </xf>
    <xf numFmtId="0" fontId="9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167" fontId="4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67" fontId="7" fillId="0" borderId="12" applyAlignment="1" pivotButton="0" quotePrefix="0" xfId="0">
      <alignment vertical="center"/>
    </xf>
    <xf numFmtId="0" fontId="6" fillId="2" borderId="13" applyAlignment="1" pivotButton="0" quotePrefix="0" xfId="0">
      <alignment horizontal="left"/>
    </xf>
    <xf numFmtId="167" fontId="7" fillId="0" borderId="2" applyAlignment="1" pivotButton="0" quotePrefix="0" xfId="0">
      <alignment vertical="center"/>
    </xf>
    <xf numFmtId="167" fontId="7" fillId="0" borderId="14" applyAlignment="1" pivotButton="0" quotePrefix="0" xfId="0">
      <alignment vertical="center"/>
    </xf>
    <xf numFmtId="0" fontId="12" fillId="0" borderId="15" pivotButton="0" quotePrefix="0" xfId="0"/>
    <xf numFmtId="0" fontId="12" fillId="0" borderId="6" pivotButton="0" quotePrefix="0" xfId="0"/>
    <xf numFmtId="167" fontId="4" fillId="0" borderId="4" pivotButton="0" quotePrefix="0" xfId="0"/>
    <xf numFmtId="167" fontId="7" fillId="0" borderId="5" pivotButton="0" quotePrefix="0" xfId="0"/>
    <xf numFmtId="167" fontId="0" fillId="0" borderId="0" pivotButton="0" quotePrefix="0" xfId="0"/>
    <xf numFmtId="167" fontId="4" fillId="0" borderId="0" pivotButton="0" quotePrefix="0" xfId="0"/>
    <xf numFmtId="167" fontId="7" fillId="0" borderId="12" pivotButton="0" quotePrefix="0" xfId="0"/>
    <xf numFmtId="167" fontId="9" fillId="0" borderId="0" pivotButton="0" quotePrefix="0" xfId="0"/>
    <xf numFmtId="167" fontId="4" fillId="0" borderId="9" pivotButton="0" quotePrefix="0" xfId="0"/>
    <xf numFmtId="167" fontId="7" fillId="0" borderId="10" pivotButton="0" quotePrefix="0" xfId="0"/>
    <xf numFmtId="0" fontId="13" fillId="0" borderId="16" pivotButton="0" quotePrefix="0" xfId="0"/>
    <xf numFmtId="0" fontId="13" fillId="0" borderId="13" pivotButton="0" quotePrefix="0" xfId="0"/>
    <xf numFmtId="167" fontId="7" fillId="0" borderId="9" pivotButton="0" quotePrefix="0" xfId="0"/>
    <xf numFmtId="0" fontId="14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  <xf numFmtId="0" fontId="15" fillId="0" borderId="0" pivotButton="0" quotePrefix="0" xfId="0"/>
    <xf numFmtId="10" fontId="0" fillId="0" borderId="0" pivotButton="0" quotePrefix="0" xfId="0"/>
    <xf numFmtId="0" fontId="1" fillId="3" borderId="0" applyAlignment="1" pivotButton="0" quotePrefix="0" xfId="0">
      <alignment horizontal="center"/>
    </xf>
    <xf numFmtId="9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Indicator</t>
        </is>
      </c>
      <c r="B1" s="1" t="inlineStr">
        <is>
          <t>Units</t>
        </is>
      </c>
      <c r="C1" s="1" t="inlineStr">
        <is>
          <t>Scale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2026</t>
        </is>
      </c>
      <c r="K1" s="1" t="inlineStr">
        <is>
          <t>2027</t>
        </is>
      </c>
      <c r="L1" s="1" t="inlineStr">
        <is>
          <t>2028</t>
        </is>
      </c>
      <c r="M1" s="1" t="inlineStr">
        <is>
          <t>2029</t>
        </is>
      </c>
      <c r="N1" s="1" t="inlineStr">
        <is>
          <t>2030</t>
        </is>
      </c>
      <c r="O1" s="1" t="inlineStr">
        <is>
          <t>2031</t>
        </is>
      </c>
      <c r="P1" s="1" t="inlineStr">
        <is>
          <t>2032</t>
        </is>
      </c>
      <c r="Q1" s="1" t="inlineStr">
        <is>
          <t>2033</t>
        </is>
      </c>
      <c r="R1" s="1" t="inlineStr">
        <is>
          <t>2034</t>
        </is>
      </c>
      <c r="S1" s="1" t="inlineStr">
        <is>
          <t>2035</t>
        </is>
      </c>
      <c r="T1" s="1" t="inlineStr">
        <is>
          <t>2036</t>
        </is>
      </c>
      <c r="U1" s="1" t="inlineStr">
        <is>
          <t>2037</t>
        </is>
      </c>
      <c r="V1" s="1" t="inlineStr">
        <is>
          <t>2038</t>
        </is>
      </c>
      <c r="W1" s="1" t="inlineStr">
        <is>
          <t>2039</t>
        </is>
      </c>
      <c r="X1" s="1" t="inlineStr">
        <is>
          <t>2040</t>
        </is>
      </c>
      <c r="Y1" s="1" t="inlineStr">
        <is>
          <t>2041</t>
        </is>
      </c>
      <c r="Z1" s="1" t="inlineStr">
        <is>
          <t>2042</t>
        </is>
      </c>
      <c r="AA1" s="1" t="inlineStr">
        <is>
          <t>2043</t>
        </is>
      </c>
    </row>
    <row r="2">
      <c r="A2" t="inlineStr">
        <is>
          <t>Real GDP Growth Rate</t>
        </is>
      </c>
      <c r="B2" t="inlineStr">
        <is>
          <t>Percent change</t>
        </is>
      </c>
      <c r="C2" t="inlineStr">
        <is>
          <t>Units</t>
        </is>
      </c>
      <c r="D2" t="n">
        <v>-6.291</v>
      </c>
      <c r="E2" t="n">
        <v>10.644</v>
      </c>
      <c r="F2" t="n">
        <v>10.96</v>
      </c>
      <c r="G2" t="n">
        <v>7.474</v>
      </c>
      <c r="H2" t="n">
        <v>7.554</v>
      </c>
      <c r="I2" t="n">
        <v>5.976</v>
      </c>
      <c r="J2" t="n">
        <v>5</v>
      </c>
      <c r="K2" t="n">
        <v>5</v>
      </c>
      <c r="L2" t="n">
        <v>5</v>
      </c>
      <c r="M2" t="n">
        <v>5</v>
      </c>
      <c r="N2">
        <f>K2</f>
        <v/>
      </c>
      <c r="O2">
        <f>K2</f>
        <v/>
      </c>
      <c r="P2">
        <f>K2</f>
        <v/>
      </c>
      <c r="Q2">
        <f>K2</f>
        <v/>
      </c>
      <c r="R2">
        <f>K2</f>
        <v/>
      </c>
      <c r="S2">
        <f>K2</f>
        <v/>
      </c>
      <c r="T2">
        <f>K2</f>
        <v/>
      </c>
      <c r="U2">
        <f>K2</f>
        <v/>
      </c>
      <c r="V2">
        <f>K2</f>
        <v/>
      </c>
      <c r="W2">
        <f>K2</f>
        <v/>
      </c>
      <c r="X2">
        <f>K2</f>
        <v/>
      </c>
      <c r="Y2">
        <f>K2</f>
        <v/>
      </c>
      <c r="Z2">
        <f>K2</f>
        <v/>
      </c>
      <c r="AA2">
        <f>K2</f>
        <v/>
      </c>
    </row>
    <row r="3">
      <c r="A3" t="inlineStr">
        <is>
          <t>GDP, current prices</t>
        </is>
      </c>
      <c r="B3" t="inlineStr">
        <is>
          <t>U.S. dollars</t>
        </is>
      </c>
      <c r="C3" t="inlineStr">
        <is>
          <t>Billions</t>
        </is>
      </c>
      <c r="D3" t="n">
        <v>16.013</v>
      </c>
      <c r="E3" t="n">
        <v>18.849</v>
      </c>
      <c r="F3" t="n">
        <v>24.985</v>
      </c>
      <c r="G3" t="n">
        <v>30.536</v>
      </c>
      <c r="H3" t="n">
        <v>33.191</v>
      </c>
      <c r="I3" t="n">
        <v>35.908</v>
      </c>
      <c r="J3" t="n">
        <v>38.602</v>
      </c>
      <c r="K3" t="n">
        <v>41.502</v>
      </c>
      <c r="L3" t="n">
        <v>44.235</v>
      </c>
      <c r="M3" t="n">
        <v>47.409</v>
      </c>
      <c r="N3">
        <f>M3*(1+N2/100)*(N4/M4)</f>
        <v/>
      </c>
      <c r="O3">
        <f>N3*(1+O2/100)*(O4/N4)</f>
        <v/>
      </c>
      <c r="P3">
        <f>O3*(1+P2/100)*(P4/O4)</f>
        <v/>
      </c>
      <c r="Q3">
        <f>P3*(1+Q2/100)*(Q4/P4)</f>
        <v/>
      </c>
      <c r="R3">
        <f>Q3*(1+R2/100)*(R4/Q4)</f>
        <v/>
      </c>
      <c r="S3">
        <f>R3*(1+S2/100)*(S4/R4)</f>
        <v/>
      </c>
      <c r="T3">
        <f>S3*(1+T2/100)*(T4/S4)</f>
        <v/>
      </c>
      <c r="U3">
        <f>T3*(1+U2/100)*(U4/T4)</f>
        <v/>
      </c>
      <c r="V3">
        <f>U3*(1+V2/100)*(V4/U4)</f>
        <v/>
      </c>
      <c r="W3">
        <f>V3*(1+W2/100)*(W4/V4)</f>
        <v/>
      </c>
      <c r="X3">
        <f>W3*(1+X2/100)*(X4/W4)</f>
        <v/>
      </c>
      <c r="Y3">
        <f>X3*(1+Y2/100)*(Y4/X4)</f>
        <v/>
      </c>
      <c r="Z3">
        <f>Y3*(1+Z2/100)*(Z4/Y4)</f>
        <v/>
      </c>
      <c r="AA3">
        <f>Z3*(1+AA2/100)*(AA4/Z4)</f>
        <v/>
      </c>
    </row>
    <row r="4">
      <c r="A4" t="inlineStr">
        <is>
          <t>GDP Deflator</t>
        </is>
      </c>
      <c r="B4" t="inlineStr">
        <is>
          <t>Index</t>
        </is>
      </c>
      <c r="C4" t="inlineStr">
        <is>
          <t>Units</t>
        </is>
      </c>
      <c r="D4" t="n">
        <v>106.847</v>
      </c>
      <c r="E4" t="n">
        <v>117.779</v>
      </c>
      <c r="F4" t="n">
        <v>127.359</v>
      </c>
      <c r="G4" t="n">
        <v>130.515</v>
      </c>
      <c r="H4" t="n">
        <v>135.797</v>
      </c>
      <c r="I4" t="n">
        <v>140.652</v>
      </c>
      <c r="J4" t="n">
        <v>145.575</v>
      </c>
      <c r="K4" t="n">
        <v>150.67</v>
      </c>
      <c r="L4" t="n">
        <v>155.943</v>
      </c>
      <c r="M4" t="n">
        <v>161.401</v>
      </c>
      <c r="N4">
        <f>M4*(1+$D$6/100)</f>
        <v/>
      </c>
      <c r="O4">
        <f>N4*(1+$D$6/100)</f>
        <v/>
      </c>
      <c r="P4">
        <f>O4*(1+$D$6/100)</f>
        <v/>
      </c>
      <c r="Q4">
        <f>P4*(1+$D$6/100)</f>
        <v/>
      </c>
      <c r="R4">
        <f>Q4*(1+$D$6/100)</f>
        <v/>
      </c>
      <c r="S4">
        <f>R4*(1+$D$6/100)</f>
        <v/>
      </c>
      <c r="T4">
        <f>S4*(1+$D$6/100)</f>
        <v/>
      </c>
      <c r="U4">
        <f>T4*(1+$D$6/100)</f>
        <v/>
      </c>
      <c r="V4">
        <f>U4*(1+$D$6/100)</f>
        <v/>
      </c>
      <c r="W4">
        <f>V4*(1+$D$6/100)</f>
        <v/>
      </c>
      <c r="X4">
        <f>W4*(1+$D$6/100)</f>
        <v/>
      </c>
      <c r="Y4">
        <f>X4*(1+$D$6/100)</f>
        <v/>
      </c>
      <c r="Z4">
        <f>Y4*(1+$D$6/100)</f>
        <v/>
      </c>
      <c r="AA4">
        <f>Z4*(1+$D$6/100)</f>
        <v/>
      </c>
    </row>
    <row r="5">
      <c r="A5" t="inlineStr">
        <is>
          <t>GDP Deflator Growth Rate</t>
        </is>
      </c>
      <c r="B5" t="inlineStr">
        <is>
          <t>Percent</t>
        </is>
      </c>
      <c r="C5" t="inlineStr">
        <is>
          <t>Units</t>
        </is>
      </c>
      <c r="E5">
        <f>(E4/D4-1)*100</f>
        <v/>
      </c>
      <c r="F5">
        <f>(F4/E4-1)*100</f>
        <v/>
      </c>
      <c r="G5">
        <f>(G4/F4-1)*100</f>
        <v/>
      </c>
      <c r="H5">
        <f>(H4/G4-1)*100</f>
        <v/>
      </c>
      <c r="I5">
        <f>(I4/H4-1)*100</f>
        <v/>
      </c>
      <c r="J5">
        <f>(J4/I4-1)*100</f>
        <v/>
      </c>
      <c r="K5">
        <f>(K4/J4-1)*100</f>
        <v/>
      </c>
      <c r="L5">
        <f>(L4/K4-1)*100</f>
        <v/>
      </c>
      <c r="M5">
        <f>(M4/L4-1)*100</f>
        <v/>
      </c>
      <c r="N5">
        <f>(N4/M4-1)*100</f>
        <v/>
      </c>
      <c r="O5">
        <f>(O4/N4-1)*100</f>
        <v/>
      </c>
      <c r="P5">
        <f>(P4/O4-1)*100</f>
        <v/>
      </c>
      <c r="Q5">
        <f>(Q4/P4-1)*100</f>
        <v/>
      </c>
      <c r="R5">
        <f>(R4/Q4-1)*100</f>
        <v/>
      </c>
      <c r="S5">
        <f>(S4/R4-1)*100</f>
        <v/>
      </c>
      <c r="T5">
        <f>(T4/S4-1)*100</f>
        <v/>
      </c>
      <c r="U5">
        <f>(U4/T4-1)*100</f>
        <v/>
      </c>
      <c r="V5">
        <f>(V4/U4-1)*100</f>
        <v/>
      </c>
      <c r="W5">
        <f>(W4/V4-1)*100</f>
        <v/>
      </c>
      <c r="X5">
        <f>(X4/W4-1)*100</f>
        <v/>
      </c>
      <c r="Y5">
        <f>(Y4/X4-1)*100</f>
        <v/>
      </c>
      <c r="Z5">
        <f>(Z4/Y4-1)*100</f>
        <v/>
      </c>
      <c r="AA5">
        <f>(AA4/Z4-1)*100</f>
        <v/>
      </c>
    </row>
    <row r="6">
      <c r="A6" t="inlineStr">
        <is>
          <t>Avg Deflator Growth Rate (recent 4 yrs)</t>
        </is>
      </c>
      <c r="B6" t="inlineStr">
        <is>
          <t>Percent</t>
        </is>
      </c>
      <c r="C6" t="inlineStr">
        <is>
          <t>Units</t>
        </is>
      </c>
      <c r="D6">
        <f>AVERAGE(J5:M5)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2" t="inlineStr">
        <is>
          <t xml:space="preserve">Supply, 2024 (Current prices, mil. GEL) </t>
        </is>
      </c>
    </row>
    <row r="2" ht="38.25" customHeight="1">
      <c r="A2" s="3" t="inlineStr">
        <is>
          <t xml:space="preserve">        NACE rev.2
CPA 2008</t>
        </is>
      </c>
      <c r="B2" s="4" t="n"/>
      <c r="C2" s="5" t="inlineStr">
        <is>
          <t>1-3</t>
        </is>
      </c>
      <c r="D2" s="6" t="inlineStr">
        <is>
          <t>5-9</t>
        </is>
      </c>
      <c r="E2" s="6" t="inlineStr">
        <is>
          <t>10-12</t>
        </is>
      </c>
      <c r="F2" s="6" t="inlineStr">
        <is>
          <t>13-15</t>
        </is>
      </c>
      <c r="G2" s="6" t="inlineStr">
        <is>
          <t>16-18</t>
        </is>
      </c>
      <c r="H2" s="6" t="n">
        <v>19</v>
      </c>
      <c r="I2" s="6" t="n">
        <v>20</v>
      </c>
      <c r="J2" s="6" t="n">
        <v>21</v>
      </c>
      <c r="K2" s="6" t="inlineStr">
        <is>
          <t>22-23</t>
        </is>
      </c>
      <c r="L2" s="6" t="inlineStr">
        <is>
          <t>24-25</t>
        </is>
      </c>
      <c r="M2" s="6" t="n">
        <v>26</v>
      </c>
      <c r="N2" s="6" t="n">
        <v>27</v>
      </c>
      <c r="O2" s="6" t="n">
        <v>28</v>
      </c>
      <c r="P2" s="6" t="inlineStr">
        <is>
          <t>29-30</t>
        </is>
      </c>
      <c r="Q2" s="6" t="inlineStr">
        <is>
          <t>31-33</t>
        </is>
      </c>
      <c r="R2" s="6" t="inlineStr">
        <is>
          <t>35</t>
        </is>
      </c>
      <c r="S2" s="6" t="inlineStr">
        <is>
          <t>36-39</t>
        </is>
      </c>
      <c r="T2" s="6" t="inlineStr">
        <is>
          <t>41-43</t>
        </is>
      </c>
      <c r="U2" s="6" t="inlineStr">
        <is>
          <t>45-47</t>
        </is>
      </c>
      <c r="V2" s="6" t="inlineStr">
        <is>
          <t>49-53</t>
        </is>
      </c>
      <c r="W2" s="6" t="inlineStr">
        <is>
          <t>55-56</t>
        </is>
      </c>
      <c r="X2" s="6" t="inlineStr">
        <is>
          <t>58-60</t>
        </is>
      </c>
      <c r="Y2" s="6" t="inlineStr">
        <is>
          <t>61</t>
        </is>
      </c>
      <c r="Z2" s="6" t="inlineStr">
        <is>
          <t>62-63</t>
        </is>
      </c>
      <c r="AA2" s="6" t="inlineStr">
        <is>
          <t>64-66</t>
        </is>
      </c>
      <c r="AB2" s="6" t="inlineStr">
        <is>
          <t>68</t>
        </is>
      </c>
      <c r="AC2" s="6" t="inlineStr">
        <is>
          <t>69-71</t>
        </is>
      </c>
      <c r="AD2" s="6" t="n">
        <v>72</v>
      </c>
      <c r="AE2" s="6" t="inlineStr">
        <is>
          <t>73-75</t>
        </is>
      </c>
      <c r="AF2" s="6" t="inlineStr">
        <is>
          <t>77-82</t>
        </is>
      </c>
      <c r="AG2" s="6" t="n">
        <v>84</v>
      </c>
      <c r="AH2" s="6" t="n">
        <v>85</v>
      </c>
      <c r="AI2" s="6" t="n">
        <v>86</v>
      </c>
      <c r="AJ2" s="6" t="inlineStr">
        <is>
          <t>87-88</t>
        </is>
      </c>
      <c r="AK2" s="6" t="inlineStr">
        <is>
          <t>90-93</t>
        </is>
      </c>
      <c r="AL2" s="6" t="inlineStr">
        <is>
          <t>94-96</t>
        </is>
      </c>
      <c r="AM2" s="6" t="inlineStr">
        <is>
          <t>97-98</t>
        </is>
      </c>
      <c r="AN2" s="6" t="inlineStr">
        <is>
          <t>99</t>
        </is>
      </c>
      <c r="AO2" s="7" t="inlineStr">
        <is>
          <t>TotBP</t>
        </is>
      </c>
      <c r="AP2" s="7" t="inlineStr">
        <is>
          <t>TTM</t>
        </is>
      </c>
      <c r="AQ2" s="7" t="inlineStr">
        <is>
          <t>D21</t>
        </is>
      </c>
      <c r="AR2" s="7" t="inlineStr">
        <is>
          <t>P7</t>
        </is>
      </c>
      <c r="AS2" s="8" t="inlineStr">
        <is>
          <t>TotPP</t>
        </is>
      </c>
    </row>
    <row r="3" ht="102" customHeight="1">
      <c r="A3" s="9" t="n"/>
      <c r="B3" s="10" t="inlineStr">
        <is>
          <t xml:space="preserve">                            
                                             Industry, NACE rev.2
Product, CPA 2008</t>
        </is>
      </c>
      <c r="C3" s="11" t="inlineStr">
        <is>
          <t xml:space="preserve">Agriculture, forestry and fishing </t>
        </is>
      </c>
      <c r="D3" s="12" t="inlineStr">
        <is>
          <t xml:space="preserve">Mining and quarrying </t>
        </is>
      </c>
      <c r="E3" s="12" t="inlineStr">
        <is>
          <t xml:space="preserve">Manufacture of food products, beverages and tobacco products </t>
        </is>
      </c>
      <c r="F3" s="12" t="inlineStr">
        <is>
          <t xml:space="preserve">Manufacture of textiles, wearing apparel and leather products </t>
        </is>
      </c>
      <c r="G3" s="12" t="inlineStr">
        <is>
          <t>Manufacture of wood and paper products, and printing</t>
        </is>
      </c>
      <c r="H3" s="12" t="inlineStr">
        <is>
          <t xml:space="preserve">Manufacture of coke and refined petroleum products </t>
        </is>
      </c>
      <c r="I3" s="12" t="inlineStr">
        <is>
          <t xml:space="preserve">Manufacture of chemicals and chemical products </t>
        </is>
      </c>
      <c r="J3" s="12" t="inlineStr">
        <is>
          <t xml:space="preserve">Manufacture of basic pharmaceutical products and pharmaceutical preparations </t>
        </is>
      </c>
      <c r="K3" s="12" t="inlineStr">
        <is>
          <t xml:space="preserve">Manufacture of rubber and plastics products, and other non-metallic mineral products </t>
        </is>
      </c>
      <c r="L3" s="12" t="inlineStr">
        <is>
          <t xml:space="preserve">Manufacture of basic metals and fabricated metal products, except machinery and equipment </t>
        </is>
      </c>
      <c r="M3" s="12" t="inlineStr">
        <is>
          <t xml:space="preserve">Manufacture of computer, electronic and optical products </t>
        </is>
      </c>
      <c r="N3" s="12" t="inlineStr">
        <is>
          <t xml:space="preserve">Manufacture of electrical equipment </t>
        </is>
      </c>
      <c r="O3" s="12" t="inlineStr">
        <is>
          <t xml:space="preserve">Manufacture of machinery and equipment n.e.c. </t>
        </is>
      </c>
      <c r="P3" s="12" t="inlineStr">
        <is>
          <t xml:space="preserve">Manufacture of transport equipment </t>
        </is>
      </c>
      <c r="Q3" s="12" t="inlineStr">
        <is>
          <t xml:space="preserve">Manufacture of furniture; other manufacturing; repair and installation of machinery and equipment </t>
        </is>
      </c>
      <c r="R3" s="12" t="inlineStr">
        <is>
          <t xml:space="preserve">Electricity, gas, steam and air conditioning supply </t>
        </is>
      </c>
      <c r="S3" s="12" t="inlineStr">
        <is>
          <t xml:space="preserve">Water supply; sewerage, waste management and remediation activities </t>
        </is>
      </c>
      <c r="T3" s="12" t="inlineStr">
        <is>
          <t>Construction</t>
        </is>
      </c>
      <c r="U3" s="12" t="inlineStr">
        <is>
          <t xml:space="preserve">Wholesale and retail trade, repair of motor vehicles and motorcycles </t>
        </is>
      </c>
      <c r="V3" s="12" t="inlineStr">
        <is>
          <t xml:space="preserve">Transportation and storage </t>
        </is>
      </c>
      <c r="W3" s="12" t="inlineStr">
        <is>
          <t>Accommodation and food service activities</t>
        </is>
      </c>
      <c r="X3" s="12" t="inlineStr">
        <is>
          <t xml:space="preserve">Publishing, audiovisual and broadcasting activities </t>
        </is>
      </c>
      <c r="Y3" s="12" t="inlineStr">
        <is>
          <t>Telecommunications</t>
        </is>
      </c>
      <c r="Z3" s="12" t="inlineStr">
        <is>
          <t xml:space="preserve">Computer programming, consultancy and related activities; information service activities </t>
        </is>
      </c>
      <c r="AA3" s="12" t="inlineStr">
        <is>
          <t xml:space="preserve">Financial and insurance activities </t>
        </is>
      </c>
      <c r="AB3" s="12" t="inlineStr">
        <is>
          <t xml:space="preserve">Real estate activities </t>
        </is>
      </c>
      <c r="AC3" s="12" t="inlineStr">
        <is>
          <t>Legal and accounting activities; activities of head offices; management consultancy activities; architecture and engineering activities; technical testing and analysis</t>
        </is>
      </c>
      <c r="AD3" s="12" t="inlineStr">
        <is>
          <t xml:space="preserve">Scientific research and development </t>
        </is>
      </c>
      <c r="AE3" s="12" t="inlineStr">
        <is>
          <t xml:space="preserve">Advertising and market research; other professional, scientific and technical activities; veterinary activities </t>
        </is>
      </c>
      <c r="AF3" s="12" t="inlineStr">
        <is>
          <t xml:space="preserve">Administrative and support service activities </t>
        </is>
      </c>
      <c r="AG3" s="12" t="inlineStr">
        <is>
          <t xml:space="preserve">Public administration and defence; compulsory social security </t>
        </is>
      </c>
      <c r="AH3" s="12" t="inlineStr">
        <is>
          <t>Education</t>
        </is>
      </c>
      <c r="AI3" s="12" t="inlineStr">
        <is>
          <t xml:space="preserve">Human health activities </t>
        </is>
      </c>
      <c r="AJ3" s="12" t="inlineStr">
        <is>
          <t xml:space="preserve">Social work activities </t>
        </is>
      </c>
      <c r="AK3" s="12" t="inlineStr">
        <is>
          <t xml:space="preserve">Arts, entertainment and recreation </t>
        </is>
      </c>
      <c r="AL3" s="12" t="inlineStr">
        <is>
          <t xml:space="preserve">Other service activities </t>
        </is>
      </c>
      <c r="AM3" s="12" t="inlineStr">
        <is>
          <t xml:space="preserve">Activities of households as employers of domestic personnel and undifferentiated goods and services production of households for own use </t>
        </is>
      </c>
      <c r="AN3" s="12" t="inlineStr">
        <is>
          <t>Activities of extra-territorial organisations and bodies</t>
        </is>
      </c>
      <c r="AO3" s="13" t="inlineStr">
        <is>
          <t>Output, total</t>
        </is>
      </c>
      <c r="AP3" s="13" t="inlineStr">
        <is>
          <t>Trade and transport margins</t>
        </is>
      </c>
      <c r="AQ3" s="13" t="inlineStr">
        <is>
          <t>Taxes on products</t>
        </is>
      </c>
      <c r="AR3" s="13" t="inlineStr">
        <is>
          <t>Import, total</t>
        </is>
      </c>
      <c r="AS3" s="14" t="inlineStr">
        <is>
          <t>Resources, total</t>
        </is>
      </c>
    </row>
    <row r="4">
      <c r="A4" s="15" t="inlineStr">
        <is>
          <t>1-3</t>
        </is>
      </c>
      <c r="B4" s="16" t="inlineStr">
        <is>
          <t xml:space="preserve">Products of agriculture, forestry and fishing </t>
        </is>
      </c>
      <c r="C4" s="17" t="n">
        <v>8082.228198157528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0.007102930447114145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8" t="n">
        <v>8082.235301087975</v>
      </c>
      <c r="AP4" s="18" t="n">
        <v>2638.07495226093</v>
      </c>
      <c r="AQ4" s="18" t="n">
        <v>-78.9171089010984</v>
      </c>
      <c r="AR4" s="18" t="n">
        <v>908.3535899886971</v>
      </c>
      <c r="AS4" s="19" t="n">
        <v>11549.7467344365</v>
      </c>
      <c r="AT4" s="20" t="n"/>
      <c r="AU4" s="20" t="n"/>
    </row>
    <row r="5">
      <c r="A5" s="21" t="inlineStr">
        <is>
          <t>5-9</t>
        </is>
      </c>
      <c r="B5" s="16" t="inlineStr">
        <is>
          <t xml:space="preserve">Mining and quarrying </t>
        </is>
      </c>
      <c r="C5" s="17" t="n">
        <v>0</v>
      </c>
      <c r="D5" s="17" t="n">
        <v>2204.834849444662</v>
      </c>
      <c r="E5" s="17" t="n">
        <v>0.01586666823949915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31.5985535694618</v>
      </c>
      <c r="L5" s="17" t="n">
        <v>0.008073722889646648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11.76933933677088</v>
      </c>
      <c r="U5" s="17" t="n">
        <v>6.28138780556308</v>
      </c>
      <c r="V5" s="17" t="n">
        <v>0.009861215970148825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1.391501984666738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8" t="n">
        <v>2255.909433748224</v>
      </c>
      <c r="AP5" s="18" t="n">
        <v>717.6877546541873</v>
      </c>
      <c r="AQ5" s="18" t="n">
        <v>16.96232551376263</v>
      </c>
      <c r="AR5" s="18" t="n">
        <v>212.0629483701967</v>
      </c>
      <c r="AS5" s="19" t="n">
        <v>3202.622462286371</v>
      </c>
      <c r="AT5" s="20" t="n"/>
      <c r="AU5" s="22" t="n"/>
    </row>
    <row r="6">
      <c r="A6" s="21" t="inlineStr">
        <is>
          <t>10-12</t>
        </is>
      </c>
      <c r="B6" s="16" t="inlineStr">
        <is>
          <t xml:space="preserve">Food products, beverages and tobacco products </t>
        </is>
      </c>
      <c r="C6" s="17" t="n">
        <v>0</v>
      </c>
      <c r="D6" s="17" t="n">
        <v>0</v>
      </c>
      <c r="E6" s="17" t="n">
        <v>13806.60168626744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0.01105857650854726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10.85347741939435</v>
      </c>
      <c r="V6" s="17" t="n">
        <v>0.05641724506447947</v>
      </c>
      <c r="W6" s="17" t="n">
        <v>11.8638623755143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7.432320160403838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0</v>
      </c>
      <c r="AM6" s="17" t="n">
        <v>0</v>
      </c>
      <c r="AN6" s="17" t="n">
        <v>0</v>
      </c>
      <c r="AO6" s="18" t="n">
        <v>13836.81882204433</v>
      </c>
      <c r="AP6" s="18" t="n">
        <v>6498.37183648715</v>
      </c>
      <c r="AQ6" s="18" t="n">
        <v>3942.809570050592</v>
      </c>
      <c r="AR6" s="18" t="n">
        <v>3804.310065260382</v>
      </c>
      <c r="AS6" s="19" t="n">
        <v>28082.31029384245</v>
      </c>
      <c r="AT6" s="20" t="n"/>
      <c r="AU6" s="20" t="n"/>
    </row>
    <row r="7">
      <c r="A7" s="21" t="inlineStr">
        <is>
          <t>13-15</t>
        </is>
      </c>
      <c r="B7" s="16" t="inlineStr">
        <is>
          <t xml:space="preserve">Textiles, wearing apparel and leather products </t>
        </is>
      </c>
      <c r="C7" s="17" t="n">
        <v>0</v>
      </c>
      <c r="D7" s="17" t="n">
        <v>0</v>
      </c>
      <c r="E7" s="17" t="n">
        <v>0</v>
      </c>
      <c r="F7" s="17" t="n">
        <v>668.3059364865447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0.342461661762355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0.07174067310257595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8" t="n">
        <v>668.7201388214097</v>
      </c>
      <c r="AP7" s="18" t="n">
        <v>1376.281484724254</v>
      </c>
      <c r="AQ7" s="18" t="n">
        <v>371.253990055975</v>
      </c>
      <c r="AR7" s="18" t="n">
        <v>2216.401580042962</v>
      </c>
      <c r="AS7" s="19" t="n">
        <v>4632.657193644601</v>
      </c>
      <c r="AT7" s="20" t="n"/>
      <c r="AU7" s="20" t="n"/>
    </row>
    <row r="8">
      <c r="A8" s="21" t="inlineStr">
        <is>
          <t>16-18</t>
        </is>
      </c>
      <c r="B8" s="16" t="inlineStr">
        <is>
          <t xml:space="preserve">Wood and paper products, and printing services 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720.9099499319484</v>
      </c>
      <c r="H8" s="17" t="n">
        <v>0</v>
      </c>
      <c r="I8" s="17" t="n">
        <v>0</v>
      </c>
      <c r="J8" s="17" t="n">
        <v>0</v>
      </c>
      <c r="K8" s="17" t="n">
        <v>2.979723429645619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1.284832170936812</v>
      </c>
      <c r="R8" s="17" t="n">
        <v>0</v>
      </c>
      <c r="S8" s="17" t="n">
        <v>0</v>
      </c>
      <c r="T8" s="17" t="n">
        <v>0</v>
      </c>
      <c r="U8" s="17" t="n">
        <v>3.900165190095197</v>
      </c>
      <c r="V8" s="17" t="n">
        <v>0</v>
      </c>
      <c r="W8" s="17" t="n">
        <v>0</v>
      </c>
      <c r="X8" s="17" t="n">
        <v>0.007822954442979424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8" t="n">
        <v>729.0824936770691</v>
      </c>
      <c r="AP8" s="18" t="n">
        <v>629.6227882672874</v>
      </c>
      <c r="AQ8" s="18" t="n">
        <v>117.9120447850046</v>
      </c>
      <c r="AR8" s="18" t="n">
        <v>1118.744675960943</v>
      </c>
      <c r="AS8" s="19" t="n">
        <v>2595.362002690304</v>
      </c>
      <c r="AT8" s="20" t="n"/>
      <c r="AU8" s="20" t="n"/>
    </row>
    <row r="9">
      <c r="A9" s="21" t="n">
        <v>19</v>
      </c>
      <c r="B9" s="23" t="inlineStr">
        <is>
          <t>Coke and refined petroleum products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256.4941382680373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8" t="n">
        <v>256.4941382680373</v>
      </c>
      <c r="AP9" s="18" t="n">
        <v>1442.85382172327</v>
      </c>
      <c r="AQ9" s="18" t="n">
        <v>1158.389282916394</v>
      </c>
      <c r="AR9" s="18" t="n">
        <v>2370.844562868239</v>
      </c>
      <c r="AS9" s="19" t="n">
        <v>5228.581805775941</v>
      </c>
      <c r="AT9" s="20" t="n"/>
      <c r="AU9" s="20" t="n"/>
    </row>
    <row r="10">
      <c r="A10" s="21" t="n">
        <v>20</v>
      </c>
      <c r="B10" s="23" t="inlineStr">
        <is>
          <t xml:space="preserve">Chemicals and chemical products </t>
        </is>
      </c>
      <c r="C10" s="17" t="n">
        <v>0</v>
      </c>
      <c r="D10" s="17" t="n">
        <v>0</v>
      </c>
      <c r="E10" s="17" t="n">
        <v>0.4079558127976033</v>
      </c>
      <c r="F10" s="17" t="n">
        <v>0</v>
      </c>
      <c r="G10" s="17" t="n">
        <v>3.940900110212801</v>
      </c>
      <c r="H10" s="17" t="n">
        <v>0</v>
      </c>
      <c r="I10" s="17" t="n">
        <v>740.0748800761587</v>
      </c>
      <c r="J10" s="17" t="n">
        <v>1.04180150140899</v>
      </c>
      <c r="K10" s="17" t="n">
        <v>1.328491222161418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1.852037149722344</v>
      </c>
      <c r="R10" s="17" t="n">
        <v>0</v>
      </c>
      <c r="S10" s="17" t="n">
        <v>0</v>
      </c>
      <c r="T10" s="17" t="n">
        <v>0</v>
      </c>
      <c r="U10" s="17" t="n">
        <v>2.785028693679114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0.005406939330712532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0</v>
      </c>
      <c r="AM10" s="17" t="n">
        <v>0</v>
      </c>
      <c r="AN10" s="17" t="n">
        <v>0</v>
      </c>
      <c r="AO10" s="18" t="n">
        <v>751.4365015054717</v>
      </c>
      <c r="AP10" s="18" t="n">
        <v>1244.632994733545</v>
      </c>
      <c r="AQ10" s="18" t="n">
        <v>324.5782692706935</v>
      </c>
      <c r="AR10" s="18" t="n">
        <v>2402.242847094113</v>
      </c>
      <c r="AS10" s="19" t="n">
        <v>4722.890612603824</v>
      </c>
      <c r="AT10" s="20" t="n"/>
      <c r="AU10" s="20" t="n"/>
    </row>
    <row r="11" ht="26.25" customHeight="1">
      <c r="A11" s="21" t="n">
        <v>21</v>
      </c>
      <c r="B11" s="23" t="inlineStr">
        <is>
          <t xml:space="preserve">Basic pharmaceutical products and pharmaceutical preparations 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437.7654524551122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0.05516518293229383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8" t="n">
        <v>437.8206176380444</v>
      </c>
      <c r="AP11" s="18" t="n">
        <v>757.1382030919822</v>
      </c>
      <c r="AQ11" s="18" t="n">
        <v>277.297927795272</v>
      </c>
      <c r="AR11" s="18" t="n">
        <v>1579.008207115072</v>
      </c>
      <c r="AS11" s="19" t="n">
        <v>3051.26495564037</v>
      </c>
      <c r="AT11" s="20" t="n"/>
      <c r="AU11" s="20" t="n"/>
    </row>
    <row r="12" ht="26.25" customHeight="1">
      <c r="A12" s="21" t="inlineStr">
        <is>
          <t>22-23</t>
        </is>
      </c>
      <c r="B12" s="23" t="inlineStr">
        <is>
          <t xml:space="preserve">Rubber and plastics products, and other non-metallic mineral products </t>
        </is>
      </c>
      <c r="C12" s="17" t="n">
        <v>0</v>
      </c>
      <c r="D12" s="17" t="n">
        <v>24.15346300750711</v>
      </c>
      <c r="E12" s="17" t="n">
        <v>2.458289313242882</v>
      </c>
      <c r="F12" s="17" t="n">
        <v>0.8586573474177699</v>
      </c>
      <c r="G12" s="17" t="n">
        <v>0</v>
      </c>
      <c r="H12" s="17" t="n">
        <v>0</v>
      </c>
      <c r="I12" s="17" t="n">
        <v>5.819782496938266</v>
      </c>
      <c r="J12" s="17" t="n">
        <v>0</v>
      </c>
      <c r="K12" s="17" t="n">
        <v>3553.760619592585</v>
      </c>
      <c r="L12" s="17" t="n">
        <v>9.256531456777413</v>
      </c>
      <c r="M12" s="17" t="n">
        <v>0</v>
      </c>
      <c r="N12" s="17" t="n">
        <v>1.359549862084096</v>
      </c>
      <c r="O12" s="17" t="n">
        <v>0.4113766230500644</v>
      </c>
      <c r="P12" s="17" t="n">
        <v>0</v>
      </c>
      <c r="Q12" s="17" t="n">
        <v>1.386341037616971</v>
      </c>
      <c r="R12" s="17" t="n">
        <v>0</v>
      </c>
      <c r="S12" s="17" t="n">
        <v>0</v>
      </c>
      <c r="T12" s="17" t="n">
        <v>18.97817324209235</v>
      </c>
      <c r="U12" s="17" t="n">
        <v>5.500757902045316</v>
      </c>
      <c r="V12" s="17" t="n">
        <v>6.064181820794411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</v>
      </c>
      <c r="AM12" s="17" t="n">
        <v>0</v>
      </c>
      <c r="AN12" s="17" t="n">
        <v>0</v>
      </c>
      <c r="AO12" s="18" t="n">
        <v>3630.007723702152</v>
      </c>
      <c r="AP12" s="18" t="n">
        <v>1520.793516658848</v>
      </c>
      <c r="AQ12" s="18" t="n">
        <v>355.0506408960455</v>
      </c>
      <c r="AR12" s="18" t="n">
        <v>2469.13461091629</v>
      </c>
      <c r="AS12" s="19" t="n">
        <v>7974.986492173335</v>
      </c>
      <c r="AT12" s="20" t="n"/>
      <c r="AU12" s="20" t="n"/>
    </row>
    <row r="13" ht="26.25" customHeight="1">
      <c r="A13" s="21" t="inlineStr">
        <is>
          <t>24-25</t>
        </is>
      </c>
      <c r="B13" s="23" t="inlineStr">
        <is>
          <t xml:space="preserve">Basic metals and fabricated metal products, except machinery and equipment </t>
        </is>
      </c>
      <c r="C13" s="17" t="n">
        <v>0</v>
      </c>
      <c r="D13" s="17" t="n">
        <v>0</v>
      </c>
      <c r="E13" s="17" t="n">
        <v>2.358279310375297</v>
      </c>
      <c r="F13" s="17" t="n">
        <v>10.09399048520081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27.77715729479565</v>
      </c>
      <c r="L13" s="17" t="n">
        <v>2072.041847513132</v>
      </c>
      <c r="M13" s="17" t="n">
        <v>0</v>
      </c>
      <c r="N13" s="17" t="n">
        <v>0.7136908864098808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3.56409818947911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8" t="n">
        <v>2116.549063679393</v>
      </c>
      <c r="AP13" s="18" t="n">
        <v>1086.750348603707</v>
      </c>
      <c r="AQ13" s="18" t="n">
        <v>219.5628604634387</v>
      </c>
      <c r="AR13" s="18" t="n">
        <v>3550.844767625723</v>
      </c>
      <c r="AS13" s="19" t="n">
        <v>6973.707040372261</v>
      </c>
      <c r="AT13" s="20" t="n"/>
      <c r="AU13" s="20" t="n"/>
    </row>
    <row r="14">
      <c r="A14" s="21" t="n">
        <v>26</v>
      </c>
      <c r="B14" s="23" t="inlineStr">
        <is>
          <t xml:space="preserve">Computer, electronic and optical products </t>
        </is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3.238195833941651</v>
      </c>
      <c r="N14" s="17" t="n">
        <v>0</v>
      </c>
      <c r="O14" s="17" t="n">
        <v>0</v>
      </c>
      <c r="P14" s="17" t="n">
        <v>0</v>
      </c>
      <c r="Q14" s="17" t="n">
        <v>0.05982215526385092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0</v>
      </c>
      <c r="AM14" s="17" t="n">
        <v>0</v>
      </c>
      <c r="AN14" s="17" t="n">
        <v>0</v>
      </c>
      <c r="AO14" s="18" t="n">
        <v>3.298017989205501</v>
      </c>
      <c r="AP14" s="18" t="n">
        <v>869.340048582534</v>
      </c>
      <c r="AQ14" s="18" t="n">
        <v>303.3825414004058</v>
      </c>
      <c r="AR14" s="18" t="n">
        <v>2508.200224462939</v>
      </c>
      <c r="AS14" s="19" t="n">
        <v>3684.220832435084</v>
      </c>
      <c r="AT14" s="20" t="n"/>
      <c r="AU14" s="20" t="n"/>
    </row>
    <row r="15">
      <c r="A15" s="21" t="n">
        <v>27</v>
      </c>
      <c r="B15" s="23" t="inlineStr">
        <is>
          <t xml:space="preserve">Electrical equipment </t>
        </is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248.1051044765455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8" t="n">
        <v>248.1051044765455</v>
      </c>
      <c r="AP15" s="18" t="n">
        <v>938.8277993568823</v>
      </c>
      <c r="AQ15" s="18" t="n">
        <v>266.1190282653046</v>
      </c>
      <c r="AR15" s="18" t="n">
        <v>1682.877815335708</v>
      </c>
      <c r="AS15" s="19" t="n">
        <v>3135.929747434441</v>
      </c>
      <c r="AT15" s="20" t="n"/>
      <c r="AU15" s="20" t="n"/>
    </row>
    <row r="16">
      <c r="A16" s="21" t="n">
        <v>28</v>
      </c>
      <c r="B16" s="23" t="inlineStr">
        <is>
          <t xml:space="preserve">Machinery and equipment n.e.c. </t>
        </is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59.45748783675487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8" t="n">
        <v>59.45748783675487</v>
      </c>
      <c r="AP16" s="18" t="n">
        <v>837.2694338789661</v>
      </c>
      <c r="AQ16" s="18" t="n">
        <v>151.096739948184</v>
      </c>
      <c r="AR16" s="18" t="n">
        <v>2705.082041184129</v>
      </c>
      <c r="AS16" s="19" t="n">
        <v>3752.905702848034</v>
      </c>
      <c r="AT16" s="20" t="n"/>
      <c r="AU16" s="20" t="n"/>
    </row>
    <row r="17">
      <c r="A17" s="21" t="inlineStr">
        <is>
          <t>29-30</t>
        </is>
      </c>
      <c r="B17" s="23" t="inlineStr">
        <is>
          <t xml:space="preserve">Transport equipment 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79.74922327674599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8" t="n">
        <v>79.74922327674599</v>
      </c>
      <c r="AP17" s="18" t="n">
        <v>2407.081008505372</v>
      </c>
      <c r="AQ17" s="18" t="n">
        <v>568.4687338854035</v>
      </c>
      <c r="AR17" s="18" t="n">
        <v>11519.16810928433</v>
      </c>
      <c r="AS17" s="19" t="n">
        <v>14574.46707495185</v>
      </c>
      <c r="AT17" s="20" t="n"/>
      <c r="AU17" s="20" t="n"/>
    </row>
    <row r="18" ht="26.25" customHeight="1">
      <c r="A18" s="21" t="inlineStr">
        <is>
          <t>31-33</t>
        </is>
      </c>
      <c r="B18" s="16" t="inlineStr">
        <is>
          <t xml:space="preserve">Furniture; other manufactured goods; repair and installation services of machinery and equipment </t>
        </is>
      </c>
      <c r="C18" s="17" t="n">
        <v>0</v>
      </c>
      <c r="D18" s="17" t="n">
        <v>0</v>
      </c>
      <c r="E18" s="17" t="n">
        <v>0.1052192938000999</v>
      </c>
      <c r="F18" s="17" t="n">
        <v>0.1661695328871947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0.3297192442208587</v>
      </c>
      <c r="L18" s="17" t="n">
        <v>4.736312242587109</v>
      </c>
      <c r="M18" s="17" t="n">
        <v>0</v>
      </c>
      <c r="N18" s="17" t="n">
        <v>0.6607524111171208</v>
      </c>
      <c r="O18" s="17" t="n">
        <v>0.2618419915581844</v>
      </c>
      <c r="P18" s="17" t="n">
        <v>0</v>
      </c>
      <c r="Q18" s="17" t="n">
        <v>678.5340864477425</v>
      </c>
      <c r="R18" s="17" t="n">
        <v>0.04963022505856316</v>
      </c>
      <c r="S18" s="17" t="n">
        <v>0</v>
      </c>
      <c r="T18" s="17" t="n">
        <v>0</v>
      </c>
      <c r="U18" s="17" t="n">
        <v>6.972415704960991</v>
      </c>
      <c r="V18" s="17" t="n">
        <v>0.7266567533619651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6.247571168798518</v>
      </c>
      <c r="AJ18" s="17" t="n">
        <v>0</v>
      </c>
      <c r="AK18" s="17" t="n">
        <v>0</v>
      </c>
      <c r="AL18" s="17" t="n">
        <v>0</v>
      </c>
      <c r="AM18" s="17" t="n">
        <v>0</v>
      </c>
      <c r="AN18" s="17" t="n">
        <v>0</v>
      </c>
      <c r="AO18" s="18" t="n">
        <v>698.7903750160932</v>
      </c>
      <c r="AP18" s="18" t="n">
        <v>625.5259457843522</v>
      </c>
      <c r="AQ18" s="18" t="n">
        <v>251.4195147047562</v>
      </c>
      <c r="AR18" s="18" t="n">
        <v>1553.135096996957</v>
      </c>
      <c r="AS18" s="19" t="n">
        <v>3128.870932502158</v>
      </c>
      <c r="AT18" s="20" t="n"/>
      <c r="AU18" s="20" t="n"/>
    </row>
    <row r="19">
      <c r="A19" s="21" t="inlineStr">
        <is>
          <t>35</t>
        </is>
      </c>
      <c r="B19" s="23" t="inlineStr">
        <is>
          <t xml:space="preserve">Electricity, gas, steam and air conditioning </t>
        </is>
      </c>
      <c r="C19" s="17" t="n">
        <v>0</v>
      </c>
      <c r="D19" s="17" t="n">
        <v>0</v>
      </c>
      <c r="E19" s="17" t="n">
        <v>1.046344975577724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1.282631108430078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2844.475849589051</v>
      </c>
      <c r="S19" s="17" t="n">
        <v>160.4104696967279</v>
      </c>
      <c r="T19" s="17" t="n">
        <v>0.7808273932246715</v>
      </c>
      <c r="U19" s="17" t="n">
        <v>109.3182680885928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1.354039525906951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8" t="n">
        <v>3118.668430377511</v>
      </c>
      <c r="AP19" s="18" t="n">
        <v>317.8049179957742</v>
      </c>
      <c r="AQ19" s="18" t="n">
        <v>385.2665795659985</v>
      </c>
      <c r="AR19" s="18" t="n">
        <v>1138.341198084702</v>
      </c>
      <c r="AS19" s="19" t="n">
        <v>4960.081126023986</v>
      </c>
      <c r="AT19" s="20" t="n"/>
      <c r="AU19" s="20" t="n"/>
    </row>
    <row r="20" ht="26.25" customHeight="1">
      <c r="A20" s="21" t="inlineStr">
        <is>
          <t>36-39</t>
        </is>
      </c>
      <c r="B20" s="23" t="inlineStr">
        <is>
          <t xml:space="preserve">Water supply; sewerage, waste management and remediation services </t>
        </is>
      </c>
      <c r="C20" s="17" t="n">
        <v>0</v>
      </c>
      <c r="D20" s="17" t="n">
        <v>0.09008696093841553</v>
      </c>
      <c r="E20" s="17" t="n">
        <v>0.759193354390177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928.227789366093</v>
      </c>
      <c r="T20" s="17" t="n">
        <v>0</v>
      </c>
      <c r="U20" s="17" t="n">
        <v>0.6791548993179288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0</v>
      </c>
      <c r="AM20" s="17" t="n">
        <v>0</v>
      </c>
      <c r="AN20" s="17" t="n">
        <v>0</v>
      </c>
      <c r="AO20" s="18" t="n">
        <v>929.7562245807395</v>
      </c>
      <c r="AP20" s="18" t="n">
        <v>0</v>
      </c>
      <c r="AQ20" s="18" t="n">
        <v>13.14610467099634</v>
      </c>
      <c r="AR20" s="18" t="n">
        <v>59.79917133872991</v>
      </c>
      <c r="AS20" s="19" t="n">
        <v>1002.701500590466</v>
      </c>
      <c r="AT20" s="20" t="n"/>
      <c r="AU20" s="20" t="n"/>
    </row>
    <row r="21">
      <c r="A21" s="21" t="inlineStr">
        <is>
          <t>41-43</t>
        </is>
      </c>
      <c r="B21" s="16" t="inlineStr">
        <is>
          <t xml:space="preserve">Constructions and construction works </t>
        </is>
      </c>
      <c r="C21" s="17" t="n">
        <v>0</v>
      </c>
      <c r="D21" s="17" t="n">
        <v>1.746013075081609</v>
      </c>
      <c r="E21" s="17" t="n">
        <v>0</v>
      </c>
      <c r="F21" s="17" t="n">
        <v>0</v>
      </c>
      <c r="G21" s="17" t="n">
        <v>0</v>
      </c>
      <c r="H21" s="17" t="n">
        <v>1.669949280910173</v>
      </c>
      <c r="I21" s="17" t="n">
        <v>0.03642134812335534</v>
      </c>
      <c r="J21" s="17" t="n">
        <v>0</v>
      </c>
      <c r="K21" s="17" t="n">
        <v>132.299092780822</v>
      </c>
      <c r="L21" s="17" t="n">
        <v>5.849002413352975</v>
      </c>
      <c r="M21" s="17" t="n">
        <v>0</v>
      </c>
      <c r="N21" s="17" t="n">
        <v>0.2857453462266662</v>
      </c>
      <c r="O21" s="17" t="n">
        <v>0</v>
      </c>
      <c r="P21" s="17" t="n">
        <v>0</v>
      </c>
      <c r="Q21" s="17" t="n">
        <v>16.52644605057242</v>
      </c>
      <c r="R21" s="17" t="n">
        <v>81.27402040766341</v>
      </c>
      <c r="S21" s="17" t="n">
        <v>43.84481663245041</v>
      </c>
      <c r="T21" s="17" t="n">
        <v>18803.34052485623</v>
      </c>
      <c r="U21" s="17" t="n">
        <v>28.69941010750422</v>
      </c>
      <c r="V21" s="17" t="n">
        <v>2.440522773894718</v>
      </c>
      <c r="W21" s="17" t="n">
        <v>13.75948860354656</v>
      </c>
      <c r="X21" s="17" t="n">
        <v>0</v>
      </c>
      <c r="Y21" s="17" t="n">
        <v>8.000993111114658</v>
      </c>
      <c r="Z21" s="17" t="n">
        <v>0</v>
      </c>
      <c r="AA21" s="17" t="n">
        <v>0</v>
      </c>
      <c r="AB21" s="17" t="n">
        <v>3.937902063482869</v>
      </c>
      <c r="AC21" s="17" t="n">
        <v>6.342068220491825</v>
      </c>
      <c r="AD21" s="17" t="n">
        <v>0</v>
      </c>
      <c r="AE21" s="17" t="n">
        <v>0</v>
      </c>
      <c r="AF21" s="17" t="n">
        <v>0.9351169917073602</v>
      </c>
      <c r="AG21" s="17" t="n">
        <v>0</v>
      </c>
      <c r="AH21" s="17" t="n">
        <v>0</v>
      </c>
      <c r="AI21" s="17" t="n">
        <v>4.499493399937222</v>
      </c>
      <c r="AJ21" s="17" t="n">
        <v>0</v>
      </c>
      <c r="AK21" s="17" t="n">
        <v>0</v>
      </c>
      <c r="AL21" s="17" t="n">
        <v>1.124138076810251</v>
      </c>
      <c r="AM21" s="17" t="n">
        <v>0</v>
      </c>
      <c r="AN21" s="17" t="n">
        <v>0</v>
      </c>
      <c r="AO21" s="18" t="n">
        <v>19156.61116553992</v>
      </c>
      <c r="AP21" s="18" t="n">
        <v>0</v>
      </c>
      <c r="AQ21" s="18" t="n">
        <v>2066.49969536025</v>
      </c>
      <c r="AR21" s="18" t="n">
        <v>56.49508455973325</v>
      </c>
      <c r="AS21" s="19" t="n">
        <v>21279.6059454599</v>
      </c>
      <c r="AT21" s="20" t="n"/>
      <c r="AU21" s="20" t="n"/>
    </row>
    <row r="22" ht="26.25" customHeight="1">
      <c r="A22" s="21" t="inlineStr">
        <is>
          <t>45-47</t>
        </is>
      </c>
      <c r="B22" s="16" t="inlineStr">
        <is>
          <t xml:space="preserve">Wholesale and retail trade services; repair services of motor vehicles and motorcycles </t>
        </is>
      </c>
      <c r="C22" s="17" t="n">
        <v>0</v>
      </c>
      <c r="D22" s="17" t="n">
        <v>63.66347046800468</v>
      </c>
      <c r="E22" s="17" t="n">
        <v>522.371639660974</v>
      </c>
      <c r="F22" s="17" t="n">
        <v>5.591467922505848</v>
      </c>
      <c r="G22" s="17" t="n">
        <v>26.64790461690643</v>
      </c>
      <c r="H22" s="17" t="n">
        <v>7.777249735566858</v>
      </c>
      <c r="I22" s="17" t="n">
        <v>46.21507979674809</v>
      </c>
      <c r="J22" s="17" t="n">
        <v>2.152654774481096</v>
      </c>
      <c r="K22" s="17" t="n">
        <v>95.48015859274341</v>
      </c>
      <c r="L22" s="17" t="n">
        <v>873.2974558397538</v>
      </c>
      <c r="M22" s="17" t="n">
        <v>0</v>
      </c>
      <c r="N22" s="17" t="n">
        <v>0.7567108146347716</v>
      </c>
      <c r="O22" s="17" t="n">
        <v>5.435298853354682</v>
      </c>
      <c r="P22" s="17" t="n">
        <v>0.04545623873583241</v>
      </c>
      <c r="Q22" s="17" t="n">
        <v>19.86122960850172</v>
      </c>
      <c r="R22" s="17" t="n">
        <v>0</v>
      </c>
      <c r="S22" s="17" t="n">
        <v>0</v>
      </c>
      <c r="T22" s="17" t="n">
        <v>44.89743433684582</v>
      </c>
      <c r="U22" s="17" t="n">
        <v>19077.28921032985</v>
      </c>
      <c r="V22" s="17" t="n">
        <v>107.1546647040525</v>
      </c>
      <c r="W22" s="17" t="n">
        <v>0.562017994507966</v>
      </c>
      <c r="X22" s="17" t="n">
        <v>0</v>
      </c>
      <c r="Y22" s="17" t="n">
        <v>0.1010833783973768</v>
      </c>
      <c r="Z22" s="17" t="n">
        <v>0.04417615843431065</v>
      </c>
      <c r="AA22" s="17" t="n">
        <v>0</v>
      </c>
      <c r="AB22" s="17" t="n">
        <v>12.48702495620945</v>
      </c>
      <c r="AC22" s="17" t="n">
        <v>0</v>
      </c>
      <c r="AD22" s="17" t="n">
        <v>0</v>
      </c>
      <c r="AE22" s="17" t="n">
        <v>267.4722954702968</v>
      </c>
      <c r="AF22" s="17" t="n">
        <v>30.09823693744359</v>
      </c>
      <c r="AG22" s="17" t="n">
        <v>0</v>
      </c>
      <c r="AH22" s="17" t="n">
        <v>1.462622894825716</v>
      </c>
      <c r="AI22" s="17" t="n">
        <v>4.283895666686573</v>
      </c>
      <c r="AJ22" s="17" t="n">
        <v>0</v>
      </c>
      <c r="AK22" s="17" t="n">
        <v>2.594875878218637</v>
      </c>
      <c r="AL22" s="17" t="n">
        <v>31.79453191177235</v>
      </c>
      <c r="AM22" s="17" t="n">
        <v>0</v>
      </c>
      <c r="AN22" s="17" t="n">
        <v>0</v>
      </c>
      <c r="AO22" s="18" t="n">
        <v>21249.53784754045</v>
      </c>
      <c r="AP22" s="18" t="n">
        <v>-20734.25871663247</v>
      </c>
      <c r="AQ22" s="18" t="n">
        <v>8.737310702318872</v>
      </c>
      <c r="AR22" s="18" t="n">
        <v>0</v>
      </c>
      <c r="AS22" s="19" t="n">
        <v>524.0164416103024</v>
      </c>
      <c r="AT22" s="20" t="n"/>
      <c r="AU22" s="20" t="n"/>
    </row>
    <row r="23">
      <c r="A23" s="21" t="inlineStr">
        <is>
          <t>49-53</t>
        </is>
      </c>
      <c r="B23" s="23" t="inlineStr">
        <is>
          <t>Transportation and storage services</t>
        </is>
      </c>
      <c r="C23" s="17" t="n">
        <v>0</v>
      </c>
      <c r="D23" s="17" t="n">
        <v>4.355219226197265</v>
      </c>
      <c r="E23" s="17" t="n">
        <v>3.79201955481783</v>
      </c>
      <c r="F23" s="17" t="n">
        <v>0</v>
      </c>
      <c r="G23" s="17" t="n">
        <v>1.627640793670041</v>
      </c>
      <c r="H23" s="17" t="n">
        <v>0</v>
      </c>
      <c r="I23" s="17" t="n">
        <v>0.1815761583005294</v>
      </c>
      <c r="J23" s="17" t="n">
        <v>0</v>
      </c>
      <c r="K23" s="17" t="n">
        <v>12.07868788583381</v>
      </c>
      <c r="L23" s="17" t="n">
        <v>0.09887641184684932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1.988410339136925</v>
      </c>
      <c r="U23" s="17" t="n">
        <v>20.24022827473772</v>
      </c>
      <c r="V23" s="17" t="n">
        <v>9562.996869456954</v>
      </c>
      <c r="W23" s="17" t="n">
        <v>0</v>
      </c>
      <c r="X23" s="17" t="n">
        <v>0</v>
      </c>
      <c r="Y23" s="17" t="n">
        <v>0</v>
      </c>
      <c r="Z23" s="17" t="n">
        <v>36.52318173314988</v>
      </c>
      <c r="AA23" s="17" t="n">
        <v>0</v>
      </c>
      <c r="AB23" s="17" t="n">
        <v>12.10233588373</v>
      </c>
      <c r="AC23" s="17" t="n">
        <v>0</v>
      </c>
      <c r="AD23" s="17" t="n">
        <v>0</v>
      </c>
      <c r="AE23" s="17" t="n">
        <v>0</v>
      </c>
      <c r="AF23" s="17" t="n">
        <v>0.6538499702809644</v>
      </c>
      <c r="AG23" s="17" t="n">
        <v>0</v>
      </c>
      <c r="AH23" s="17" t="n">
        <v>0.4124903113023539</v>
      </c>
      <c r="AI23" s="17" t="n">
        <v>1.072107399054927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8" t="n">
        <v>9658.123493399013</v>
      </c>
      <c r="AP23" s="18" t="n">
        <v>-3173.79813867657</v>
      </c>
      <c r="AQ23" s="18" t="n">
        <v>266.5734206005911</v>
      </c>
      <c r="AR23" s="18" t="n">
        <v>6221.679985258301</v>
      </c>
      <c r="AS23" s="19" t="n">
        <v>12972.57876058134</v>
      </c>
      <c r="AT23" s="20" t="n"/>
      <c r="AU23" s="20" t="n"/>
    </row>
    <row r="24">
      <c r="A24" s="21" t="inlineStr">
        <is>
          <t>55-56</t>
        </is>
      </c>
      <c r="B24" s="16" t="inlineStr">
        <is>
          <t xml:space="preserve">Accommodation and food services </t>
        </is>
      </c>
      <c r="C24" s="17" t="n">
        <v>0</v>
      </c>
      <c r="D24" s="17" t="n">
        <v>0</v>
      </c>
      <c r="E24" s="17" t="n">
        <v>25.94328732868422</v>
      </c>
      <c r="F24" s="17" t="n">
        <v>0</v>
      </c>
      <c r="G24" s="17" t="n">
        <v>1.130944018766098</v>
      </c>
      <c r="H24" s="17" t="n">
        <v>0</v>
      </c>
      <c r="I24" s="17" t="n">
        <v>0</v>
      </c>
      <c r="J24" s="17" t="n">
        <v>0</v>
      </c>
      <c r="K24" s="17" t="n">
        <v>0.01732704944390964</v>
      </c>
      <c r="L24" s="17" t="n">
        <v>0.3378237251707968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35.60361298517209</v>
      </c>
      <c r="U24" s="17" t="n">
        <v>3.821573829522841</v>
      </c>
      <c r="V24" s="17" t="n">
        <v>0</v>
      </c>
      <c r="W24" s="17" t="n">
        <v>6567.998850552123</v>
      </c>
      <c r="X24" s="17" t="n">
        <v>6.573332053721217</v>
      </c>
      <c r="Y24" s="17" t="n">
        <v>0</v>
      </c>
      <c r="Z24" s="17" t="n">
        <v>0</v>
      </c>
      <c r="AA24" s="17" t="n">
        <v>0</v>
      </c>
      <c r="AB24" s="17" t="n">
        <v>9.950130541903402</v>
      </c>
      <c r="AC24" s="17" t="n">
        <v>0.3614841281987742</v>
      </c>
      <c r="AD24" s="17" t="n">
        <v>0</v>
      </c>
      <c r="AE24" s="17" t="n">
        <v>0</v>
      </c>
      <c r="AF24" s="17" t="n">
        <v>5.840530730376144</v>
      </c>
      <c r="AG24" s="17" t="n">
        <v>0</v>
      </c>
      <c r="AH24" s="17" t="n">
        <v>3.384075447773238</v>
      </c>
      <c r="AI24" s="17" t="n">
        <v>0.3493318621465691</v>
      </c>
      <c r="AJ24" s="17" t="n">
        <v>0.4633140585126726</v>
      </c>
      <c r="AK24" s="17" t="n">
        <v>1.424268681522842</v>
      </c>
      <c r="AL24" s="17" t="n">
        <v>1.099729092741804</v>
      </c>
      <c r="AM24" s="17" t="n">
        <v>0</v>
      </c>
      <c r="AN24" s="17" t="n">
        <v>0</v>
      </c>
      <c r="AO24" s="18" t="n">
        <v>6664.299616085781</v>
      </c>
      <c r="AP24" s="18" t="n">
        <v>0</v>
      </c>
      <c r="AQ24" s="18" t="n">
        <v>182.3198945650358</v>
      </c>
      <c r="AR24" s="18" t="n">
        <v>592.7193771796726</v>
      </c>
      <c r="AS24" s="19" t="n">
        <v>7439.338887830489</v>
      </c>
      <c r="AT24" s="20" t="n"/>
      <c r="AU24" s="20" t="n"/>
    </row>
    <row r="25">
      <c r="A25" s="21" t="inlineStr">
        <is>
          <t>58-60</t>
        </is>
      </c>
      <c r="B25" s="16" t="inlineStr">
        <is>
          <t xml:space="preserve">Publishing, audiovisual and broadcasting services </t>
        </is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0.00378822202194041</v>
      </c>
      <c r="X25" s="17" t="n">
        <v>1340.583532621483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0.008115320627317884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8" t="n">
        <v>1340.595436164132</v>
      </c>
      <c r="AP25" s="18" t="n">
        <v>0</v>
      </c>
      <c r="AQ25" s="18" t="n">
        <v>36.94346401436825</v>
      </c>
      <c r="AR25" s="18" t="n">
        <v>51.70759982257739</v>
      </c>
      <c r="AS25" s="19" t="n">
        <v>1429.246500001078</v>
      </c>
      <c r="AT25" s="20" t="n"/>
      <c r="AU25" s="20" t="n"/>
    </row>
    <row r="26">
      <c r="A26" s="21" t="inlineStr">
        <is>
          <t>61</t>
        </is>
      </c>
      <c r="B26" s="23" t="inlineStr">
        <is>
          <t xml:space="preserve">Telecommunications services </t>
        </is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1.979448546981264</v>
      </c>
      <c r="W26" s="17" t="n">
        <v>0</v>
      </c>
      <c r="X26" s="17" t="n">
        <v>1.146113004412743</v>
      </c>
      <c r="Y26" s="17" t="n">
        <v>2104.008433107967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8" t="n">
        <v>2107.133994659362</v>
      </c>
      <c r="AP26" s="18" t="n">
        <v>0</v>
      </c>
      <c r="AQ26" s="18" t="n">
        <v>233.5700442649984</v>
      </c>
      <c r="AR26" s="18" t="n">
        <v>176.6935896808185</v>
      </c>
      <c r="AS26" s="19" t="n">
        <v>2517.397628605178</v>
      </c>
      <c r="AT26" s="20" t="n"/>
      <c r="AU26" s="20" t="n"/>
    </row>
    <row r="27" ht="26.25" customHeight="1">
      <c r="A27" s="21" t="inlineStr">
        <is>
          <t>62-63</t>
        </is>
      </c>
      <c r="B27" s="16" t="inlineStr">
        <is>
          <t xml:space="preserve">Computer programming, consultancy and related services; information services </t>
        </is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4.518258644590237</v>
      </c>
      <c r="V27" s="17" t="n">
        <v>0</v>
      </c>
      <c r="W27" s="17" t="n">
        <v>0</v>
      </c>
      <c r="X27" s="17" t="n">
        <v>1.24435266064792</v>
      </c>
      <c r="Y27" s="17" t="n">
        <v>0</v>
      </c>
      <c r="Z27" s="17" t="n">
        <v>3900.909157466455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0.4524022678731008</v>
      </c>
      <c r="AF27" s="17" t="n">
        <v>19.14749931611088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8" t="n">
        <v>3926.271670355677</v>
      </c>
      <c r="AP27" s="18" t="n">
        <v>0</v>
      </c>
      <c r="AQ27" s="18" t="n">
        <v>78.52193984347338</v>
      </c>
      <c r="AR27" s="18" t="n">
        <v>444.0257188723212</v>
      </c>
      <c r="AS27" s="19" t="n">
        <v>4448.819329071471</v>
      </c>
      <c r="AT27" s="20" t="n"/>
      <c r="AU27" s="20" t="n"/>
    </row>
    <row r="28">
      <c r="A28" s="21" t="inlineStr">
        <is>
          <t>64-66</t>
        </is>
      </c>
      <c r="B28" s="16" t="inlineStr">
        <is>
          <t xml:space="preserve">Financial and insurance services </t>
        </is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5666.369705464847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8" t="n">
        <v>5666.369705464847</v>
      </c>
      <c r="AP28" s="18" t="n">
        <v>0</v>
      </c>
      <c r="AQ28" s="18" t="n">
        <v>0</v>
      </c>
      <c r="AR28" s="18" t="n">
        <v>766.1972271274142</v>
      </c>
      <c r="AS28" s="19" t="n">
        <v>6432.566932592262</v>
      </c>
      <c r="AT28" s="20" t="n"/>
      <c r="AU28" s="20" t="n"/>
    </row>
    <row r="29">
      <c r="A29" s="21" t="inlineStr">
        <is>
          <t>68</t>
        </is>
      </c>
      <c r="B29" s="23" t="inlineStr">
        <is>
          <t xml:space="preserve">Real estate services </t>
        </is>
      </c>
      <c r="C29" s="17" t="n">
        <v>0</v>
      </c>
      <c r="D29" s="17" t="n">
        <v>2.910222181165586</v>
      </c>
      <c r="E29" s="17" t="n">
        <v>14.56365142623678</v>
      </c>
      <c r="F29" s="17" t="n">
        <v>0.6592804504310328</v>
      </c>
      <c r="G29" s="17" t="n">
        <v>0.8731987946075158</v>
      </c>
      <c r="H29" s="17" t="n">
        <v>0.0008948112663786729</v>
      </c>
      <c r="I29" s="17" t="n">
        <v>2.109185188656744</v>
      </c>
      <c r="J29" s="17" t="n">
        <v>0.01278557001727999</v>
      </c>
      <c r="K29" s="17" t="n">
        <v>5.44057009835336</v>
      </c>
      <c r="L29" s="17" t="n">
        <v>10.89081818966951</v>
      </c>
      <c r="M29" s="17" t="n">
        <v>0</v>
      </c>
      <c r="N29" s="17" t="n">
        <v>0</v>
      </c>
      <c r="O29" s="17" t="n">
        <v>2.051556562696535</v>
      </c>
      <c r="P29" s="17" t="n">
        <v>0.2528475922440747</v>
      </c>
      <c r="Q29" s="17" t="n">
        <v>0.8643576875859094</v>
      </c>
      <c r="R29" s="17" t="n">
        <v>0.9993523881628947</v>
      </c>
      <c r="S29" s="17" t="n">
        <v>2.97032298454569</v>
      </c>
      <c r="T29" s="17" t="n">
        <v>102.159232308984</v>
      </c>
      <c r="U29" s="17" t="n">
        <v>38.90648991881149</v>
      </c>
      <c r="V29" s="17" t="n">
        <v>136.9584216756154</v>
      </c>
      <c r="W29" s="17" t="n">
        <v>76.24525911036736</v>
      </c>
      <c r="X29" s="17" t="n">
        <v>1.802165360076103</v>
      </c>
      <c r="Y29" s="17" t="n">
        <v>3.738450600153166</v>
      </c>
      <c r="Z29" s="17" t="n">
        <v>0.1951729438168816</v>
      </c>
      <c r="AA29" s="17" t="n">
        <v>0</v>
      </c>
      <c r="AB29" s="17" t="n">
        <v>9767.469610598215</v>
      </c>
      <c r="AC29" s="17" t="n">
        <v>3.043603606731641</v>
      </c>
      <c r="AD29" s="17" t="n">
        <v>0</v>
      </c>
      <c r="AE29" s="17" t="n">
        <v>1.299493345934369</v>
      </c>
      <c r="AF29" s="17" t="n">
        <v>0</v>
      </c>
      <c r="AG29" s="17" t="n">
        <v>0</v>
      </c>
      <c r="AH29" s="17" t="n">
        <v>2.092437935827411</v>
      </c>
      <c r="AI29" s="17" t="n">
        <v>6.648212494053855</v>
      </c>
      <c r="AJ29" s="17" t="n">
        <v>0</v>
      </c>
      <c r="AK29" s="17" t="n">
        <v>5.051667166418971</v>
      </c>
      <c r="AL29" s="17" t="n">
        <v>7.711168318236653</v>
      </c>
      <c r="AM29" s="17" t="n">
        <v>0</v>
      </c>
      <c r="AN29" s="17" t="n">
        <v>0</v>
      </c>
      <c r="AO29" s="18" t="n">
        <v>10197.92042930888</v>
      </c>
      <c r="AP29" s="18" t="n">
        <v>0</v>
      </c>
      <c r="AQ29" s="18" t="n">
        <v>16.06358353470079</v>
      </c>
      <c r="AR29" s="18" t="n">
        <v>0</v>
      </c>
      <c r="AS29" s="19" t="n">
        <v>10213.98401284358</v>
      </c>
      <c r="AT29" s="20" t="n"/>
      <c r="AU29" s="20" t="n"/>
    </row>
    <row r="30" ht="51.75" customHeight="1">
      <c r="A30" s="21" t="inlineStr">
        <is>
          <t>69-71</t>
        </is>
      </c>
      <c r="B30" s="2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0.7571595009115691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0.3346660169236088</v>
      </c>
      <c r="S30" s="17" t="n">
        <v>0</v>
      </c>
      <c r="T30" s="17" t="n">
        <v>1.020411427190297</v>
      </c>
      <c r="U30" s="17" t="n">
        <v>2.684864799767889</v>
      </c>
      <c r="V30" s="17" t="n">
        <v>1.549499732414964</v>
      </c>
      <c r="W30" s="17" t="n">
        <v>0</v>
      </c>
      <c r="X30" s="17" t="n">
        <v>0</v>
      </c>
      <c r="Y30" s="17" t="n">
        <v>0</v>
      </c>
      <c r="Z30" s="17" t="n">
        <v>2.396395997261578</v>
      </c>
      <c r="AA30" s="17" t="n">
        <v>0</v>
      </c>
      <c r="AB30" s="17" t="n">
        <v>0</v>
      </c>
      <c r="AC30" s="17" t="n">
        <v>1459.904935275899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0.06116830327195357</v>
      </c>
      <c r="AI30" s="17" t="n">
        <v>0.1155470459843492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8" t="n">
        <v>1468.824648099625</v>
      </c>
      <c r="AP30" s="18" t="n">
        <v>0</v>
      </c>
      <c r="AQ30" s="18" t="n">
        <v>75.43848147701874</v>
      </c>
      <c r="AR30" s="18" t="n">
        <v>269.2019315343844</v>
      </c>
      <c r="AS30" s="19" t="n">
        <v>1813.465061111028</v>
      </c>
      <c r="AT30" s="20" t="n"/>
      <c r="AU30" s="20" t="n"/>
    </row>
    <row r="31">
      <c r="A31" s="21" t="inlineStr">
        <is>
          <t>72</t>
        </is>
      </c>
      <c r="B31" s="23" t="inlineStr">
        <is>
          <t xml:space="preserve">Scientific research and development services </t>
        </is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0.01220111234555979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299.5285899380318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8" t="n">
        <v>299.5407910503774</v>
      </c>
      <c r="AP31" s="18" t="n">
        <v>0</v>
      </c>
      <c r="AQ31" s="18" t="n">
        <v>-12.22910740846466</v>
      </c>
      <c r="AR31" s="18" t="n">
        <v>15.62741482288791</v>
      </c>
      <c r="AS31" s="19" t="n">
        <v>302.9390984648006</v>
      </c>
      <c r="AT31" s="20" t="n"/>
      <c r="AU31" s="20" t="n"/>
    </row>
    <row r="32" ht="39" customHeight="1">
      <c r="A32" s="21" t="inlineStr">
        <is>
          <t>73-75</t>
        </is>
      </c>
      <c r="B32" s="16" t="inlineStr">
        <is>
          <t xml:space="preserve">Advertising and market research services; other professional, scientific and technical services; veterinary services </t>
        </is>
      </c>
      <c r="C32" s="17" t="n">
        <v>0</v>
      </c>
      <c r="D32" s="17" t="n">
        <v>0</v>
      </c>
      <c r="E32" s="17" t="n">
        <v>0</v>
      </c>
      <c r="F32" s="17" t="n">
        <v>0.0723452800972376</v>
      </c>
      <c r="G32" s="17" t="n">
        <v>0.2668820379940146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17.96609667621886</v>
      </c>
      <c r="V32" s="17" t="n">
        <v>0.03085745951698909</v>
      </c>
      <c r="W32" s="17" t="n">
        <v>0.08176841157234997</v>
      </c>
      <c r="X32" s="17" t="n">
        <v>3.33443244494647</v>
      </c>
      <c r="Y32" s="17" t="n">
        <v>0</v>
      </c>
      <c r="Z32" s="17" t="n">
        <v>0.3847295326419163</v>
      </c>
      <c r="AA32" s="17" t="n">
        <v>0</v>
      </c>
      <c r="AB32" s="17" t="n">
        <v>0</v>
      </c>
      <c r="AC32" s="17" t="n">
        <v>0.6488448712334911</v>
      </c>
      <c r="AD32" s="17" t="n">
        <v>0</v>
      </c>
      <c r="AE32" s="17" t="n">
        <v>791.0461173658318</v>
      </c>
      <c r="AF32" s="17" t="n">
        <v>0.003518513493637812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2.025941055992606</v>
      </c>
      <c r="AL32" s="17" t="n">
        <v>0</v>
      </c>
      <c r="AM32" s="17" t="n">
        <v>0</v>
      </c>
      <c r="AN32" s="17" t="n">
        <v>0</v>
      </c>
      <c r="AO32" s="18" t="n">
        <v>815.8615336495394</v>
      </c>
      <c r="AP32" s="18" t="n">
        <v>0</v>
      </c>
      <c r="AQ32" s="18" t="n">
        <v>20.50869543827442</v>
      </c>
      <c r="AR32" s="18" t="n">
        <v>57.47591639144057</v>
      </c>
      <c r="AS32" s="19" t="n">
        <v>893.8461454792545</v>
      </c>
      <c r="AT32" s="20" t="n"/>
      <c r="AU32" s="20" t="n"/>
    </row>
    <row r="33">
      <c r="A33" s="21" t="inlineStr">
        <is>
          <t>77-82</t>
        </is>
      </c>
      <c r="B33" s="16" t="inlineStr">
        <is>
          <t>Administrative and support services</t>
        </is>
      </c>
      <c r="C33" s="17" t="n">
        <v>0</v>
      </c>
      <c r="D33" s="17" t="n">
        <v>12.70072485028118</v>
      </c>
      <c r="E33" s="17" t="n">
        <v>15.39357983449026</v>
      </c>
      <c r="F33" s="17" t="n">
        <v>0</v>
      </c>
      <c r="G33" s="17" t="n">
        <v>1.439558006928979</v>
      </c>
      <c r="H33" s="17" t="n">
        <v>0</v>
      </c>
      <c r="I33" s="17" t="n">
        <v>1.791579540932489</v>
      </c>
      <c r="J33" s="17" t="n">
        <v>0.005637183670138221</v>
      </c>
      <c r="K33" s="17" t="n">
        <v>2.740408678682922</v>
      </c>
      <c r="L33" s="17" t="n">
        <v>0.6113373674869176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0.09312791190243579</v>
      </c>
      <c r="R33" s="17" t="n">
        <v>0.3511079444046075</v>
      </c>
      <c r="S33" s="17" t="n">
        <v>5.866588482677588</v>
      </c>
      <c r="T33" s="17" t="n">
        <v>2.73649394081392</v>
      </c>
      <c r="U33" s="17" t="n">
        <v>4.587553106074503</v>
      </c>
      <c r="V33" s="17" t="n">
        <v>19.75195187264352</v>
      </c>
      <c r="W33" s="17" t="n">
        <v>0</v>
      </c>
      <c r="X33" s="17" t="n">
        <v>0.2874407801718334</v>
      </c>
      <c r="Y33" s="17" t="n">
        <v>0.9102286152369337</v>
      </c>
      <c r="Z33" s="17" t="n">
        <v>0</v>
      </c>
      <c r="AA33" s="17" t="n">
        <v>0</v>
      </c>
      <c r="AB33" s="17" t="n">
        <v>6.857631708989556</v>
      </c>
      <c r="AC33" s="17" t="n">
        <v>0</v>
      </c>
      <c r="AD33" s="17" t="n">
        <v>0</v>
      </c>
      <c r="AE33" s="17" t="n">
        <v>0</v>
      </c>
      <c r="AF33" s="17" t="n">
        <v>1557.516771492504</v>
      </c>
      <c r="AG33" s="17" t="n">
        <v>0</v>
      </c>
      <c r="AH33" s="17" t="n">
        <v>0.001501854415822453</v>
      </c>
      <c r="AI33" s="17" t="n">
        <v>0.0002963352636036859</v>
      </c>
      <c r="AJ33" s="17" t="n">
        <v>0</v>
      </c>
      <c r="AK33" s="17" t="n">
        <v>0</v>
      </c>
      <c r="AL33" s="17" t="n">
        <v>2.279236871575876</v>
      </c>
      <c r="AM33" s="17" t="n">
        <v>0</v>
      </c>
      <c r="AN33" s="17" t="n">
        <v>0</v>
      </c>
      <c r="AO33" s="18" t="n">
        <v>1635.922756379147</v>
      </c>
      <c r="AP33" s="18" t="n">
        <v>0</v>
      </c>
      <c r="AQ33" s="18" t="n">
        <v>90.9893106146079</v>
      </c>
      <c r="AR33" s="18" t="n">
        <v>652.0532710237143</v>
      </c>
      <c r="AS33" s="19" t="n">
        <v>2378.965338017469</v>
      </c>
      <c r="AT33" s="20" t="n"/>
      <c r="AU33" s="20" t="n"/>
    </row>
    <row r="34" ht="26.25" customHeight="1">
      <c r="A34" s="21" t="n">
        <v>84</v>
      </c>
      <c r="B34" s="23" t="inlineStr">
        <is>
          <t xml:space="preserve">Public administration and defence services; compulsory social security services </t>
        </is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7892.642310358171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8" t="n">
        <v>7892.642310358171</v>
      </c>
      <c r="AP34" s="18" t="n">
        <v>0</v>
      </c>
      <c r="AQ34" s="18" t="n">
        <v>0</v>
      </c>
      <c r="AR34" s="18" t="n">
        <v>0</v>
      </c>
      <c r="AS34" s="19" t="n">
        <v>7892.642310358171</v>
      </c>
      <c r="AT34" s="20" t="n"/>
      <c r="AU34" s="20" t="n"/>
    </row>
    <row r="35">
      <c r="A35" s="21" t="n">
        <v>85</v>
      </c>
      <c r="B35" s="23" t="inlineStr">
        <is>
          <t xml:space="preserve">Education services </t>
        </is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0.008217540956725666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0.06068856790504103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0.1409992586216349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5417.764936149584</v>
      </c>
      <c r="AI35" s="17" t="n">
        <v>1.939111284327623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8" t="n">
        <v>5419.913952801396</v>
      </c>
      <c r="AP35" s="18" t="n">
        <v>0</v>
      </c>
      <c r="AQ35" s="18" t="n">
        <v>0</v>
      </c>
      <c r="AR35" s="18" t="n">
        <v>293.6327294545163</v>
      </c>
      <c r="AS35" s="19" t="n">
        <v>5713.546682255912</v>
      </c>
      <c r="AT35" s="20" t="n"/>
      <c r="AU35" s="20" t="n"/>
    </row>
    <row r="36">
      <c r="A36" s="21" t="n">
        <v>86</v>
      </c>
      <c r="B36" s="23" t="inlineStr">
        <is>
          <t xml:space="preserve">Human health services </t>
        </is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0.04260045769907286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0.2218361102251539</v>
      </c>
      <c r="U36" s="17" t="n">
        <v>0.1271604301631847</v>
      </c>
      <c r="V36" s="17" t="n">
        <v>0</v>
      </c>
      <c r="W36" s="17" t="n">
        <v>13.55769097782029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1.401505414764032</v>
      </c>
      <c r="AI36" s="17" t="n">
        <v>4157.326910538764</v>
      </c>
      <c r="AJ36" s="17" t="n">
        <v>0</v>
      </c>
      <c r="AK36" s="17" t="n">
        <v>0</v>
      </c>
      <c r="AL36" s="17" t="n">
        <v>4.684378395630516</v>
      </c>
      <c r="AM36" s="17" t="n">
        <v>0</v>
      </c>
      <c r="AN36" s="17" t="n">
        <v>0</v>
      </c>
      <c r="AO36" s="18" t="n">
        <v>4177.362082325067</v>
      </c>
      <c r="AP36" s="18" t="n">
        <v>0</v>
      </c>
      <c r="AQ36" s="18" t="n">
        <v>0</v>
      </c>
      <c r="AR36" s="18" t="n">
        <v>91.26322848873994</v>
      </c>
      <c r="AS36" s="19" t="n">
        <v>4268.625310813806</v>
      </c>
      <c r="AT36" s="20" t="n"/>
      <c r="AU36" s="20" t="n"/>
    </row>
    <row r="37">
      <c r="A37" s="21" t="inlineStr">
        <is>
          <t>87-88</t>
        </is>
      </c>
      <c r="B37" s="16" t="inlineStr">
        <is>
          <t xml:space="preserve">Social work services </t>
        </is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0.209679949997176</v>
      </c>
      <c r="AH37" s="17" t="n">
        <v>0</v>
      </c>
      <c r="AI37" s="17" t="n">
        <v>0</v>
      </c>
      <c r="AJ37" s="17" t="n">
        <v>378.9121961282839</v>
      </c>
      <c r="AK37" s="17" t="n">
        <v>0</v>
      </c>
      <c r="AL37" s="17" t="n">
        <v>0</v>
      </c>
      <c r="AM37" s="17" t="n">
        <v>0</v>
      </c>
      <c r="AN37" s="17" t="n">
        <v>0</v>
      </c>
      <c r="AO37" s="18" t="n">
        <v>379.121876078281</v>
      </c>
      <c r="AP37" s="18" t="n">
        <v>0</v>
      </c>
      <c r="AQ37" s="18" t="n">
        <v>0</v>
      </c>
      <c r="AR37" s="18" t="n">
        <v>0</v>
      </c>
      <c r="AS37" s="19" t="n">
        <v>379.121876078281</v>
      </c>
      <c r="AT37" s="20" t="n"/>
      <c r="AU37" s="20" t="n"/>
    </row>
    <row r="38">
      <c r="A38" s="21" t="inlineStr">
        <is>
          <t>90-93</t>
        </is>
      </c>
      <c r="B38" s="16" t="inlineStr">
        <is>
          <t xml:space="preserve">Arts, entertainment and recreation services </t>
        </is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0.2488837781015436</v>
      </c>
      <c r="V38" s="17" t="n">
        <v>0</v>
      </c>
      <c r="W38" s="17" t="n">
        <v>8.527911541163103</v>
      </c>
      <c r="X38" s="17" t="n">
        <v>0.5137378682080423</v>
      </c>
      <c r="Y38" s="17" t="n">
        <v>0</v>
      </c>
      <c r="Z38" s="17" t="n">
        <v>0</v>
      </c>
      <c r="AA38" s="17" t="n">
        <v>0</v>
      </c>
      <c r="AB38" s="17" t="n">
        <v>6.919982750586085</v>
      </c>
      <c r="AC38" s="17" t="n">
        <v>0</v>
      </c>
      <c r="AD38" s="17" t="n">
        <v>0</v>
      </c>
      <c r="AE38" s="17" t="n">
        <v>1.508222720944936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5545.277665441299</v>
      </c>
      <c r="AL38" s="17" t="n">
        <v>0</v>
      </c>
      <c r="AM38" s="17" t="n">
        <v>0</v>
      </c>
      <c r="AN38" s="17" t="n">
        <v>0</v>
      </c>
      <c r="AO38" s="18" t="n">
        <v>5562.996404100303</v>
      </c>
      <c r="AP38" s="18" t="n">
        <v>0</v>
      </c>
      <c r="AQ38" s="18" t="n">
        <v>246.8930274772086</v>
      </c>
      <c r="AR38" s="18" t="n">
        <v>172.9325229434309</v>
      </c>
      <c r="AS38" s="19" t="n">
        <v>5982.821954520943</v>
      </c>
      <c r="AT38" s="20" t="n"/>
      <c r="AU38" s="20" t="n"/>
    </row>
    <row r="39">
      <c r="A39" s="21" t="inlineStr">
        <is>
          <t>94-96</t>
        </is>
      </c>
      <c r="B39" s="16" t="inlineStr">
        <is>
          <t>Other services</t>
        </is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0.2276571356611981</v>
      </c>
      <c r="T39" s="17" t="n">
        <v>0</v>
      </c>
      <c r="U39" s="17" t="n">
        <v>0.4812108670695696</v>
      </c>
      <c r="V39" s="17" t="n">
        <v>0</v>
      </c>
      <c r="W39" s="17" t="n">
        <v>0.06101967713586617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0.0294435142232354</v>
      </c>
      <c r="AG39" s="17" t="n">
        <v>0</v>
      </c>
      <c r="AH39" s="17" t="n">
        <v>0</v>
      </c>
      <c r="AI39" s="17" t="n">
        <v>0.3560112589881962</v>
      </c>
      <c r="AJ39" s="17" t="n">
        <v>0</v>
      </c>
      <c r="AK39" s="17" t="n">
        <v>0</v>
      </c>
      <c r="AL39" s="17" t="n">
        <v>1263.791494824699</v>
      </c>
      <c r="AM39" s="17" t="n">
        <v>0</v>
      </c>
      <c r="AN39" s="17" t="n">
        <v>0</v>
      </c>
      <c r="AO39" s="18" t="n">
        <v>1264.946837277777</v>
      </c>
      <c r="AP39" s="18" t="n">
        <v>0</v>
      </c>
      <c r="AQ39" s="18" t="n">
        <v>88.2212828324793</v>
      </c>
      <c r="AR39" s="18" t="n">
        <v>98.64415271310311</v>
      </c>
      <c r="AS39" s="19" t="n">
        <v>1451.81227282336</v>
      </c>
      <c r="AT39" s="20" t="n"/>
      <c r="AU39" s="20" t="n"/>
    </row>
    <row r="40" ht="51.75" customHeight="1">
      <c r="A40" s="21" t="inlineStr">
        <is>
          <t>97-98</t>
        </is>
      </c>
      <c r="B40" s="1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95.18079988198781</v>
      </c>
      <c r="AN40" s="17" t="n">
        <v>0</v>
      </c>
      <c r="AO40" s="18" t="n">
        <v>95.18079988198781</v>
      </c>
      <c r="AP40" s="18" t="n">
        <v>0</v>
      </c>
      <c r="AQ40" s="18" t="n">
        <v>0</v>
      </c>
      <c r="AR40" s="18" t="n">
        <v>0</v>
      </c>
      <c r="AS40" s="19" t="n">
        <v>95.18079988198781</v>
      </c>
      <c r="AT40" s="20" t="n"/>
      <c r="AU40" s="20" t="n"/>
    </row>
    <row r="41" ht="26.25" customHeight="1">
      <c r="A41" s="21" t="inlineStr">
        <is>
          <t>99</t>
        </is>
      </c>
      <c r="B41" s="23" t="inlineStr">
        <is>
          <t>Services provided by extraterritorial organisations and bodies</t>
        </is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8" t="n">
        <v>0</v>
      </c>
      <c r="AP41" s="18" t="n">
        <v>0</v>
      </c>
      <c r="AQ41" s="18" t="n">
        <v>0</v>
      </c>
      <c r="AR41" s="18" t="n">
        <v>0</v>
      </c>
      <c r="AS41" s="19" t="n">
        <v>0</v>
      </c>
      <c r="AT41" s="20" t="n"/>
      <c r="AU41" s="20" t="n"/>
    </row>
    <row r="42">
      <c r="A42" s="24" t="n"/>
      <c r="B42" s="25" t="inlineStr">
        <is>
          <t>Total</t>
        </is>
      </c>
      <c r="C42" s="26" t="n">
        <v>8082.228198157528</v>
      </c>
      <c r="D42" s="26" t="n">
        <v>2314.454049213838</v>
      </c>
      <c r="E42" s="26" t="n">
        <v>14395.81701280107</v>
      </c>
      <c r="F42" s="26" t="n">
        <v>685.7478475050848</v>
      </c>
      <c r="G42" s="26" t="n">
        <v>756.8451958519911</v>
      </c>
      <c r="H42" s="26" t="n">
        <v>265.9422320957807</v>
      </c>
      <c r="I42" s="26" t="n">
        <v>796.9856641067698</v>
      </c>
      <c r="J42" s="26" t="n">
        <v>440.9783314846897</v>
      </c>
      <c r="K42" s="26" t="n">
        <v>3865.841568015258</v>
      </c>
      <c r="L42" s="26" t="n">
        <v>2978.453310448796</v>
      </c>
      <c r="M42" s="26" t="n">
        <v>3.238195833941651</v>
      </c>
      <c r="N42" s="26" t="n">
        <v>251.881553797018</v>
      </c>
      <c r="O42" s="26" t="n">
        <v>67.61756186741434</v>
      </c>
      <c r="P42" s="26" t="n">
        <v>80.04752710772591</v>
      </c>
      <c r="Q42" s="26" t="n">
        <v>720.52296878775</v>
      </c>
      <c r="R42" s="26" t="n">
        <v>2927.484626571264</v>
      </c>
      <c r="S42" s="26" t="n">
        <v>1141.547644298156</v>
      </c>
      <c r="T42" s="26" t="n">
        <v>19023.49629627668</v>
      </c>
      <c r="U42" s="26" t="n">
        <v>19349.84262554303</v>
      </c>
      <c r="V42" s="26" t="n">
        <v>9839.860352515887</v>
      </c>
      <c r="W42" s="26" t="n">
        <v>6692.661657465774</v>
      </c>
      <c r="X42" s="26" t="n">
        <v>1355.49292974811</v>
      </c>
      <c r="Y42" s="26" t="n">
        <v>2116.75918881287</v>
      </c>
      <c r="Z42" s="26" t="n">
        <v>3940.45281383176</v>
      </c>
      <c r="AA42" s="26" t="n">
        <v>5666.369705464847</v>
      </c>
      <c r="AB42" s="26" t="n">
        <v>9828.516385128758</v>
      </c>
      <c r="AC42" s="26" t="n">
        <v>1470.300936102554</v>
      </c>
      <c r="AD42" s="26" t="n">
        <v>299.5285899380318</v>
      </c>
      <c r="AE42" s="26" t="n">
        <v>1061.778531170881</v>
      </c>
      <c r="AF42" s="26" t="n">
        <v>1615.624584771434</v>
      </c>
      <c r="AG42" s="26" t="n">
        <v>7892.851990308168</v>
      </c>
      <c r="AH42" s="26" t="n">
        <v>5426.652478984867</v>
      </c>
      <c r="AI42" s="26" t="n">
        <v>4182.838488454006</v>
      </c>
      <c r="AJ42" s="26" t="n">
        <v>379.3755101867965</v>
      </c>
      <c r="AK42" s="26" t="n">
        <v>5556.374418223452</v>
      </c>
      <c r="AL42" s="26" t="n">
        <v>1312.484677491467</v>
      </c>
      <c r="AM42" s="26" t="n">
        <v>95.18079988198781</v>
      </c>
      <c r="AN42" s="26" t="n">
        <v>0</v>
      </c>
      <c r="AO42" s="26" t="n">
        <v>146882.0764482454</v>
      </c>
      <c r="AP42" s="26" t="n">
        <v>0</v>
      </c>
      <c r="AQ42" s="26" t="n">
        <v>12042.85008860399</v>
      </c>
      <c r="AR42" s="26" t="n">
        <v>51758.90126180318</v>
      </c>
      <c r="AS42" s="27" t="n">
        <v>210683.8277986525</v>
      </c>
      <c r="AT42" s="20" t="n"/>
      <c r="AU42" s="20" t="n"/>
      <c r="AV42" s="28" t="n"/>
      <c r="AW42" s="2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2" t="inlineStr">
        <is>
          <t xml:space="preserve">Use, 2024 (Current prices, mil. GEL) </t>
        </is>
      </c>
      <c r="C1" s="29" t="n"/>
      <c r="D1" s="29" t="n"/>
    </row>
    <row r="2" ht="48.75" customHeight="1">
      <c r="A2" s="3" t="inlineStr">
        <is>
          <t xml:space="preserve">       NACE rev.2
CPA 2008</t>
        </is>
      </c>
      <c r="B2" s="4" t="n"/>
      <c r="C2" s="5" t="inlineStr">
        <is>
          <t>1-3</t>
        </is>
      </c>
      <c r="D2" s="6" t="inlineStr">
        <is>
          <t>5-9</t>
        </is>
      </c>
      <c r="E2" s="6" t="inlineStr">
        <is>
          <t>10-12</t>
        </is>
      </c>
      <c r="F2" s="6" t="inlineStr">
        <is>
          <t>13-15</t>
        </is>
      </c>
      <c r="G2" s="6" t="inlineStr">
        <is>
          <t>16-18</t>
        </is>
      </c>
      <c r="H2" s="6" t="n">
        <v>19</v>
      </c>
      <c r="I2" s="6" t="n">
        <v>20</v>
      </c>
      <c r="J2" s="6" t="n">
        <v>21</v>
      </c>
      <c r="K2" s="6" t="inlineStr">
        <is>
          <t>22-23</t>
        </is>
      </c>
      <c r="L2" s="6" t="inlineStr">
        <is>
          <t>24-25</t>
        </is>
      </c>
      <c r="M2" s="6" t="n">
        <v>26</v>
      </c>
      <c r="N2" s="6" t="n">
        <v>27</v>
      </c>
      <c r="O2" s="6" t="n">
        <v>28</v>
      </c>
      <c r="P2" s="6" t="inlineStr">
        <is>
          <t>29-30</t>
        </is>
      </c>
      <c r="Q2" s="6" t="inlineStr">
        <is>
          <t>31-33</t>
        </is>
      </c>
      <c r="R2" s="6" t="inlineStr">
        <is>
          <t>35</t>
        </is>
      </c>
      <c r="S2" s="6" t="inlineStr">
        <is>
          <t>36-39</t>
        </is>
      </c>
      <c r="T2" s="6" t="inlineStr">
        <is>
          <t>41-43</t>
        </is>
      </c>
      <c r="U2" s="6" t="inlineStr">
        <is>
          <t>45-47</t>
        </is>
      </c>
      <c r="V2" s="6" t="inlineStr">
        <is>
          <t>49-53</t>
        </is>
      </c>
      <c r="W2" s="6" t="inlineStr">
        <is>
          <t>55-56</t>
        </is>
      </c>
      <c r="X2" s="6" t="inlineStr">
        <is>
          <t>58-60</t>
        </is>
      </c>
      <c r="Y2" s="6" t="inlineStr">
        <is>
          <t>61</t>
        </is>
      </c>
      <c r="Z2" s="6" t="inlineStr">
        <is>
          <t>62-63</t>
        </is>
      </c>
      <c r="AA2" s="6" t="inlineStr">
        <is>
          <t>64-66</t>
        </is>
      </c>
      <c r="AB2" s="6" t="inlineStr">
        <is>
          <t>68</t>
        </is>
      </c>
      <c r="AC2" s="6" t="inlineStr">
        <is>
          <t>69-71</t>
        </is>
      </c>
      <c r="AD2" s="6" t="n">
        <v>72</v>
      </c>
      <c r="AE2" s="6" t="inlineStr">
        <is>
          <t>73-75</t>
        </is>
      </c>
      <c r="AF2" s="6" t="inlineStr">
        <is>
          <t>77-82</t>
        </is>
      </c>
      <c r="AG2" s="6" t="n">
        <v>84</v>
      </c>
      <c r="AH2" s="6" t="n">
        <v>85</v>
      </c>
      <c r="AI2" s="6" t="n">
        <v>86</v>
      </c>
      <c r="AJ2" s="6" t="inlineStr">
        <is>
          <t>87-88</t>
        </is>
      </c>
      <c r="AK2" s="6" t="inlineStr">
        <is>
          <t>90-93</t>
        </is>
      </c>
      <c r="AL2" s="6" t="inlineStr">
        <is>
          <t>94-96</t>
        </is>
      </c>
      <c r="AM2" s="6" t="inlineStr">
        <is>
          <t>97-98</t>
        </is>
      </c>
      <c r="AN2" s="6" t="inlineStr">
        <is>
          <t>99</t>
        </is>
      </c>
      <c r="AO2" s="7" t="inlineStr">
        <is>
          <t>Tot1</t>
        </is>
      </c>
      <c r="AP2" s="7" t="inlineStr">
        <is>
          <t>P31</t>
        </is>
      </c>
      <c r="AQ2" s="7" t="inlineStr">
        <is>
          <t>P32</t>
        </is>
      </c>
      <c r="AR2" s="7" t="inlineStr">
        <is>
          <t>P3</t>
        </is>
      </c>
      <c r="AS2" s="7" t="inlineStr">
        <is>
          <t>P6</t>
        </is>
      </c>
      <c r="AT2" s="7" t="inlineStr">
        <is>
          <t>P51</t>
        </is>
      </c>
      <c r="AU2" s="7" t="inlineStr">
        <is>
          <t>P52</t>
        </is>
      </c>
      <c r="AV2" s="7" t="inlineStr">
        <is>
          <t>P5</t>
        </is>
      </c>
      <c r="AW2" s="7" t="inlineStr">
        <is>
          <t>FD</t>
        </is>
      </c>
      <c r="AX2" s="8" t="inlineStr">
        <is>
          <t>Tot2</t>
        </is>
      </c>
    </row>
    <row r="3" ht="121.5" customHeight="1">
      <c r="A3" s="9" t="n"/>
      <c r="B3" s="10" t="inlineStr">
        <is>
          <t xml:space="preserve">                            
                                             Industry, NACE rev.2
Product, CPA 2008</t>
        </is>
      </c>
      <c r="C3" s="11" t="inlineStr">
        <is>
          <t xml:space="preserve">Agriculture, forestry and fishing </t>
        </is>
      </c>
      <c r="D3" s="12" t="inlineStr">
        <is>
          <t xml:space="preserve">Mining and quarrying </t>
        </is>
      </c>
      <c r="E3" s="12" t="inlineStr">
        <is>
          <t xml:space="preserve">Manufacture of food products, beverages and tobacco products </t>
        </is>
      </c>
      <c r="F3" s="12" t="inlineStr">
        <is>
          <t xml:space="preserve">Manufacture of textiles, wearing apparel and leather products </t>
        </is>
      </c>
      <c r="G3" s="12" t="inlineStr">
        <is>
          <t>Manufacture of wood and paper products, and printing</t>
        </is>
      </c>
      <c r="H3" s="12" t="inlineStr">
        <is>
          <t xml:space="preserve">Manufacture of coke and refined petroleum products </t>
        </is>
      </c>
      <c r="I3" s="12" t="inlineStr">
        <is>
          <t xml:space="preserve">Manufacture of chemicals and chemical products </t>
        </is>
      </c>
      <c r="J3" s="12" t="inlineStr">
        <is>
          <t xml:space="preserve">Manufacture of basic pharmaceutical products and pharmaceutical preparations </t>
        </is>
      </c>
      <c r="K3" s="12" t="inlineStr">
        <is>
          <t xml:space="preserve">Manufacture of rubber and plastics products, and other non-metallic mineral products </t>
        </is>
      </c>
      <c r="L3" s="12" t="inlineStr">
        <is>
          <t xml:space="preserve">Manufacture of basic metals and fabricated metal products, except machinery and equipment </t>
        </is>
      </c>
      <c r="M3" s="12" t="inlineStr">
        <is>
          <t xml:space="preserve">Manufacture of computer, electronic and optical products </t>
        </is>
      </c>
      <c r="N3" s="12" t="inlineStr">
        <is>
          <t xml:space="preserve">Manufacture of electrical equipment </t>
        </is>
      </c>
      <c r="O3" s="12" t="inlineStr">
        <is>
          <t xml:space="preserve">Manufacture of machinery and equipment n.e.c. </t>
        </is>
      </c>
      <c r="P3" s="12" t="inlineStr">
        <is>
          <t xml:space="preserve">Manufacture of transport equipment </t>
        </is>
      </c>
      <c r="Q3" s="12" t="inlineStr">
        <is>
          <t xml:space="preserve">Manufacture of furniture; other manufacturing; repair and installation of machinery and equipment </t>
        </is>
      </c>
      <c r="R3" s="12" t="inlineStr">
        <is>
          <t xml:space="preserve">Electricity, gas, steam and air conditioning supply </t>
        </is>
      </c>
      <c r="S3" s="12" t="inlineStr">
        <is>
          <t xml:space="preserve">Water supply; sewerage, waste management and remediation activities </t>
        </is>
      </c>
      <c r="T3" s="12" t="inlineStr">
        <is>
          <t>Construction</t>
        </is>
      </c>
      <c r="U3" s="12" t="inlineStr">
        <is>
          <t xml:space="preserve">Wholesale and retail trade, repair of motor vehicles and motorcycles </t>
        </is>
      </c>
      <c r="V3" s="12" t="inlineStr">
        <is>
          <t xml:space="preserve">Transportation and storage </t>
        </is>
      </c>
      <c r="W3" s="12" t="inlineStr">
        <is>
          <t>Accommodation and food service activities</t>
        </is>
      </c>
      <c r="X3" s="12" t="inlineStr">
        <is>
          <t xml:space="preserve">Publishing, audiovisual and broadcasting activities </t>
        </is>
      </c>
      <c r="Y3" s="12" t="inlineStr">
        <is>
          <t>Telecommunications</t>
        </is>
      </c>
      <c r="Z3" s="12" t="inlineStr">
        <is>
          <t xml:space="preserve">Computer programming, consultancy and related activities; information service activities </t>
        </is>
      </c>
      <c r="AA3" s="12" t="inlineStr">
        <is>
          <t xml:space="preserve">Financial and insurance activities </t>
        </is>
      </c>
      <c r="AB3" s="12" t="inlineStr">
        <is>
          <t xml:space="preserve">Real estate activities </t>
        </is>
      </c>
      <c r="AC3" s="12" t="inlineStr">
        <is>
          <t>Legal and accounting activities; activities of head offices; management consultancy activities; architecture and engineering activities; technical testing and analysis</t>
        </is>
      </c>
      <c r="AD3" s="12" t="inlineStr">
        <is>
          <t xml:space="preserve">Scientific research and development </t>
        </is>
      </c>
      <c r="AE3" s="12" t="inlineStr">
        <is>
          <t xml:space="preserve">Advertising and market research; other professional, scientific and technical activities; veterinary activities </t>
        </is>
      </c>
      <c r="AF3" s="12" t="inlineStr">
        <is>
          <t xml:space="preserve">Administrative and support service activities </t>
        </is>
      </c>
      <c r="AG3" s="12" t="inlineStr">
        <is>
          <t xml:space="preserve">Public administration and defence; compulsory social security </t>
        </is>
      </c>
      <c r="AH3" s="12" t="inlineStr">
        <is>
          <t>Education</t>
        </is>
      </c>
      <c r="AI3" s="12" t="inlineStr">
        <is>
          <t xml:space="preserve">Human health activities </t>
        </is>
      </c>
      <c r="AJ3" s="12" t="inlineStr">
        <is>
          <t xml:space="preserve">Social work activities </t>
        </is>
      </c>
      <c r="AK3" s="12" t="inlineStr">
        <is>
          <t xml:space="preserve">Arts, entertainment and recreation </t>
        </is>
      </c>
      <c r="AL3" s="12" t="inlineStr">
        <is>
          <t xml:space="preserve">Other service activities </t>
        </is>
      </c>
      <c r="AM3" s="12" t="inlineStr">
        <is>
          <t xml:space="preserve">Activities of households as employers of domestic personnel and undifferentiated goods and services production of households for own use </t>
        </is>
      </c>
      <c r="AN3" s="12" t="inlineStr">
        <is>
          <t>Activities of extra-territorial organisations and bodies</t>
        </is>
      </c>
      <c r="AO3" s="13" t="inlineStr">
        <is>
          <t>Intermediate consumption, total</t>
        </is>
      </c>
      <c r="AP3" s="30" t="inlineStr">
        <is>
          <t>Final consumption expenditure by households and non-profit organisations serving households (NPISH)</t>
        </is>
      </c>
      <c r="AQ3" s="30" t="inlineStr">
        <is>
          <t>Final consumption expenditure by government</t>
        </is>
      </c>
      <c r="AR3" s="31" t="inlineStr">
        <is>
          <t>Final consumption expenditure</t>
        </is>
      </c>
      <c r="AS3" s="31" t="inlineStr">
        <is>
          <t>Export, total</t>
        </is>
      </c>
      <c r="AT3" s="30" t="inlineStr">
        <is>
          <t>Gross fixed capital formation</t>
        </is>
      </c>
      <c r="AU3" s="30" t="inlineStr">
        <is>
          <t>Changes in inventories</t>
        </is>
      </c>
      <c r="AV3" s="13" t="inlineStr">
        <is>
          <t>Gross capital formation</t>
        </is>
      </c>
      <c r="AW3" s="13" t="inlineStr">
        <is>
          <t>Final uses</t>
        </is>
      </c>
      <c r="AX3" s="14" t="inlineStr">
        <is>
          <t>Use, total</t>
        </is>
      </c>
    </row>
    <row r="4">
      <c r="A4" s="15" t="inlineStr">
        <is>
          <t>1-3</t>
        </is>
      </c>
      <c r="B4" s="16" t="inlineStr">
        <is>
          <t xml:space="preserve">Products of agriculture, forestry and fishing </t>
        </is>
      </c>
      <c r="C4" s="32" t="n">
        <v>1350.808301686068</v>
      </c>
      <c r="D4" s="32" t="n">
        <v>0</v>
      </c>
      <c r="E4" s="32" t="n">
        <v>5397.621180390005</v>
      </c>
      <c r="F4" s="32" t="n">
        <v>4.575032726914197</v>
      </c>
      <c r="G4" s="32" t="n">
        <v>17.75248995469379</v>
      </c>
      <c r="H4" s="32" t="n">
        <v>0</v>
      </c>
      <c r="I4" s="32" t="n">
        <v>0</v>
      </c>
      <c r="J4" s="32" t="n">
        <v>0</v>
      </c>
      <c r="K4" s="32" t="n">
        <v>0</v>
      </c>
      <c r="L4" s="32" t="n">
        <v>0</v>
      </c>
      <c r="M4" s="32" t="n">
        <v>0</v>
      </c>
      <c r="N4" s="32" t="n">
        <v>0</v>
      </c>
      <c r="O4" s="32" t="n">
        <v>0</v>
      </c>
      <c r="P4" s="32" t="n">
        <v>0</v>
      </c>
      <c r="Q4" s="32" t="n">
        <v>0</v>
      </c>
      <c r="R4" s="32" t="n">
        <v>0.03060952410863577</v>
      </c>
      <c r="S4" s="32" t="n">
        <v>0</v>
      </c>
      <c r="T4" s="32" t="n">
        <v>0.649473143928035</v>
      </c>
      <c r="U4" s="32" t="n">
        <v>63.32829526893227</v>
      </c>
      <c r="V4" s="32" t="n">
        <v>0.02907114639937584</v>
      </c>
      <c r="W4" s="32" t="n">
        <v>332.5600826424687</v>
      </c>
      <c r="X4" s="32" t="n">
        <v>0</v>
      </c>
      <c r="Y4" s="32" t="n">
        <v>0</v>
      </c>
      <c r="Z4" s="32" t="n">
        <v>0</v>
      </c>
      <c r="AA4" s="32" t="n">
        <v>0.003630230885835118</v>
      </c>
      <c r="AB4" s="32" t="n">
        <v>0</v>
      </c>
      <c r="AC4" s="32" t="n">
        <v>0.02379204577699581</v>
      </c>
      <c r="AD4" s="32" t="n">
        <v>0</v>
      </c>
      <c r="AE4" s="32" t="n">
        <v>0</v>
      </c>
      <c r="AF4" s="32" t="n">
        <v>0</v>
      </c>
      <c r="AG4" s="32" t="n">
        <v>0</v>
      </c>
      <c r="AH4" s="32" t="n">
        <v>10.18425521503851</v>
      </c>
      <c r="AI4" s="32" t="n">
        <v>0.06569156251087498</v>
      </c>
      <c r="AJ4" s="32" t="n">
        <v>15.05878892491154</v>
      </c>
      <c r="AK4" s="32" t="n">
        <v>48.09580038265711</v>
      </c>
      <c r="AL4" s="32" t="n">
        <v>0</v>
      </c>
      <c r="AM4" s="32" t="n">
        <v>0</v>
      </c>
      <c r="AN4" s="32" t="n">
        <v>0</v>
      </c>
      <c r="AO4" s="33" t="n">
        <v>7240.786494845298</v>
      </c>
      <c r="AP4" s="32" t="n">
        <v>2692.293210401659</v>
      </c>
      <c r="AQ4" s="32" t="n">
        <v>0</v>
      </c>
      <c r="AR4" s="33" t="n">
        <v>2692.293210401659</v>
      </c>
      <c r="AS4" s="33" t="n">
        <v>946.9301041773881</v>
      </c>
      <c r="AT4" s="32" t="n">
        <v>625.7817119477198</v>
      </c>
      <c r="AU4" s="32" t="n">
        <v>43.95521306443662</v>
      </c>
      <c r="AV4" s="33" t="n">
        <v>669.7369250121565</v>
      </c>
      <c r="AW4" s="33" t="n">
        <v>4308.960239591203</v>
      </c>
      <c r="AX4" s="34" t="n">
        <v>11549.7467344365</v>
      </c>
    </row>
    <row r="5">
      <c r="A5" s="21" t="inlineStr">
        <is>
          <t>5-9</t>
        </is>
      </c>
      <c r="B5" s="16" t="inlineStr">
        <is>
          <t xml:space="preserve">Mining and quarrying </t>
        </is>
      </c>
      <c r="C5" s="32" t="n">
        <v>2.120180690308506</v>
      </c>
      <c r="D5" s="32" t="n">
        <v>275.0498215221299</v>
      </c>
      <c r="E5" s="32" t="n">
        <v>0.8944264705910602</v>
      </c>
      <c r="F5" s="32" t="n">
        <v>0</v>
      </c>
      <c r="G5" s="32" t="n">
        <v>0</v>
      </c>
      <c r="H5" s="32" t="n">
        <v>60.82159141106074</v>
      </c>
      <c r="I5" s="32" t="n">
        <v>0</v>
      </c>
      <c r="J5" s="32" t="n">
        <v>0.05523314677848128</v>
      </c>
      <c r="K5" s="32" t="n">
        <v>273.5541561012056</v>
      </c>
      <c r="L5" s="32" t="n">
        <v>44.79304423711438</v>
      </c>
      <c r="M5" s="32" t="n">
        <v>0</v>
      </c>
      <c r="N5" s="32" t="n">
        <v>0</v>
      </c>
      <c r="O5" s="32" t="n">
        <v>0</v>
      </c>
      <c r="P5" s="32" t="n">
        <v>0</v>
      </c>
      <c r="Q5" s="32" t="n">
        <v>0.03554770335856963</v>
      </c>
      <c r="R5" s="32" t="n">
        <v>1.960579529531671</v>
      </c>
      <c r="S5" s="32" t="n">
        <v>0</v>
      </c>
      <c r="T5" s="32" t="n">
        <v>199.8313593234075</v>
      </c>
      <c r="U5" s="32" t="n">
        <v>2.129167516293065</v>
      </c>
      <c r="V5" s="32" t="n">
        <v>3.821775771902715</v>
      </c>
      <c r="W5" s="32" t="n">
        <v>0</v>
      </c>
      <c r="X5" s="32" t="n">
        <v>0</v>
      </c>
      <c r="Y5" s="32" t="n">
        <v>0</v>
      </c>
      <c r="Z5" s="32" t="n">
        <v>0</v>
      </c>
      <c r="AA5" s="32" t="n">
        <v>0.005826104478816763</v>
      </c>
      <c r="AB5" s="32" t="n">
        <v>9.743716479269882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0.05112240423825458</v>
      </c>
      <c r="AI5" s="32" t="n">
        <v>0.119880186029411</v>
      </c>
      <c r="AJ5" s="32" t="n">
        <v>0</v>
      </c>
      <c r="AK5" s="32" t="n">
        <v>0</v>
      </c>
      <c r="AL5" s="32" t="n">
        <v>1.290492416091943</v>
      </c>
      <c r="AM5" s="32" t="n">
        <v>0</v>
      </c>
      <c r="AN5" s="32" t="n">
        <v>0</v>
      </c>
      <c r="AO5" s="33" t="n">
        <v>876.2779210137907</v>
      </c>
      <c r="AP5" s="32" t="n">
        <v>0.6551675381294243</v>
      </c>
      <c r="AQ5" s="32" t="n">
        <v>0</v>
      </c>
      <c r="AR5" s="33" t="n">
        <v>0.6551675381294243</v>
      </c>
      <c r="AS5" s="33" t="n">
        <v>2289.426223203566</v>
      </c>
      <c r="AT5" s="32" t="n">
        <v>0</v>
      </c>
      <c r="AU5" s="32" t="n">
        <v>36.26315053088514</v>
      </c>
      <c r="AV5" s="33" t="n">
        <v>36.26315053088514</v>
      </c>
      <c r="AW5" s="33" t="n">
        <v>2326.34454127258</v>
      </c>
      <c r="AX5" s="34" t="n">
        <v>3202.622462286371</v>
      </c>
    </row>
    <row r="6">
      <c r="A6" s="21" t="inlineStr">
        <is>
          <t>10-12</t>
        </is>
      </c>
      <c r="B6" s="16" t="inlineStr">
        <is>
          <t xml:space="preserve">Food products, beverages and tobacco products </t>
        </is>
      </c>
      <c r="C6" s="32" t="n">
        <v>537.7777242194899</v>
      </c>
      <c r="D6" s="32" t="n">
        <v>0</v>
      </c>
      <c r="E6" s="32" t="n">
        <v>2613.613098181487</v>
      </c>
      <c r="F6" s="32" t="n">
        <v>0</v>
      </c>
      <c r="G6" s="32" t="n">
        <v>0</v>
      </c>
      <c r="H6" s="32" t="n">
        <v>0</v>
      </c>
      <c r="I6" s="32" t="n">
        <v>1.353394384159873</v>
      </c>
      <c r="J6" s="32" t="n">
        <v>0</v>
      </c>
      <c r="K6" s="32" t="n">
        <v>0</v>
      </c>
      <c r="L6" s="32" t="n">
        <v>0</v>
      </c>
      <c r="M6" s="32" t="n">
        <v>0</v>
      </c>
      <c r="N6" s="32" t="n">
        <v>0</v>
      </c>
      <c r="O6" s="32" t="n">
        <v>0</v>
      </c>
      <c r="P6" s="32" t="n">
        <v>0</v>
      </c>
      <c r="Q6" s="32" t="n">
        <v>0</v>
      </c>
      <c r="R6" s="32" t="n">
        <v>0.3207762247271789</v>
      </c>
      <c r="S6" s="32" t="n">
        <v>39.50978705282469</v>
      </c>
      <c r="T6" s="32" t="n">
        <v>0</v>
      </c>
      <c r="U6" s="32" t="n">
        <v>415.6026615711031</v>
      </c>
      <c r="V6" s="32" t="n">
        <v>0.1649820882708116</v>
      </c>
      <c r="W6" s="32" t="n">
        <v>1637.687894778736</v>
      </c>
      <c r="X6" s="32" t="n">
        <v>1.281316973671824</v>
      </c>
      <c r="Y6" s="32" t="n">
        <v>0</v>
      </c>
      <c r="Z6" s="32" t="n">
        <v>0.1733824179218488</v>
      </c>
      <c r="AA6" s="32" t="n">
        <v>0.2005589289336992</v>
      </c>
      <c r="AB6" s="32" t="n">
        <v>0</v>
      </c>
      <c r="AC6" s="32" t="n">
        <v>1.700151814587776</v>
      </c>
      <c r="AD6" s="32" t="n">
        <v>0</v>
      </c>
      <c r="AE6" s="32" t="n">
        <v>0.1127871726182437</v>
      </c>
      <c r="AF6" s="32" t="n">
        <v>0</v>
      </c>
      <c r="AG6" s="32" t="n">
        <v>0</v>
      </c>
      <c r="AH6" s="32" t="n">
        <v>82.96304537842525</v>
      </c>
      <c r="AI6" s="32" t="n">
        <v>1.297123308829306</v>
      </c>
      <c r="AJ6" s="32" t="n">
        <v>55.15454773282525</v>
      </c>
      <c r="AK6" s="32" t="n">
        <v>42.69736007710547</v>
      </c>
      <c r="AL6" s="32" t="n">
        <v>0.316894853828582</v>
      </c>
      <c r="AM6" s="32" t="n">
        <v>0</v>
      </c>
      <c r="AN6" s="32" t="n">
        <v>0</v>
      </c>
      <c r="AO6" s="33" t="n">
        <v>5431.927487159546</v>
      </c>
      <c r="AP6" s="32" t="n">
        <v>16861.63566238267</v>
      </c>
      <c r="AQ6" s="32" t="n">
        <v>0</v>
      </c>
      <c r="AR6" s="33" t="n">
        <v>16861.63566238267</v>
      </c>
      <c r="AS6" s="33" t="n">
        <v>5607.810528052353</v>
      </c>
      <c r="AT6" s="32" t="n">
        <v>0</v>
      </c>
      <c r="AU6" s="32" t="n">
        <v>180.9366162478852</v>
      </c>
      <c r="AV6" s="33" t="n">
        <v>180.9366162478852</v>
      </c>
      <c r="AW6" s="33" t="n">
        <v>22650.3828066829</v>
      </c>
      <c r="AX6" s="34" t="n">
        <v>28082.31029384245</v>
      </c>
    </row>
    <row r="7">
      <c r="A7" s="21" t="inlineStr">
        <is>
          <t>13-15</t>
        </is>
      </c>
      <c r="B7" s="16" t="inlineStr">
        <is>
          <t xml:space="preserve">Textiles, wearing apparel and leather products </t>
        </is>
      </c>
      <c r="C7" s="32" t="n">
        <v>10.27601961618363</v>
      </c>
      <c r="D7" s="32" t="n">
        <v>1.022871305212179</v>
      </c>
      <c r="E7" s="32" t="n">
        <v>0.7719620334468921</v>
      </c>
      <c r="F7" s="32" t="n">
        <v>346.7046579482154</v>
      </c>
      <c r="G7" s="32" t="n">
        <v>0</v>
      </c>
      <c r="H7" s="32" t="n">
        <v>0</v>
      </c>
      <c r="I7" s="32" t="n">
        <v>0</v>
      </c>
      <c r="J7" s="32" t="n">
        <v>0</v>
      </c>
      <c r="K7" s="32" t="n">
        <v>10.54395716446024</v>
      </c>
      <c r="L7" s="32" t="n">
        <v>0</v>
      </c>
      <c r="M7" s="32" t="n">
        <v>0</v>
      </c>
      <c r="N7" s="32" t="n">
        <v>0</v>
      </c>
      <c r="O7" s="32" t="n">
        <v>0</v>
      </c>
      <c r="P7" s="32" t="n">
        <v>0</v>
      </c>
      <c r="Q7" s="32" t="n">
        <v>4.865079702523555</v>
      </c>
      <c r="R7" s="32" t="n">
        <v>0.222588596910836</v>
      </c>
      <c r="S7" s="32" t="n">
        <v>0.8562342367219034</v>
      </c>
      <c r="T7" s="32" t="n">
        <v>18.02213962420442</v>
      </c>
      <c r="U7" s="32" t="n">
        <v>168.3433087329991</v>
      </c>
      <c r="V7" s="32" t="n">
        <v>1.783674297498418</v>
      </c>
      <c r="W7" s="32" t="n">
        <v>5.331948103071136</v>
      </c>
      <c r="X7" s="32" t="n">
        <v>0.4582662462094584</v>
      </c>
      <c r="Y7" s="32" t="n">
        <v>0</v>
      </c>
      <c r="Z7" s="32" t="n">
        <v>0</v>
      </c>
      <c r="AA7" s="32" t="n">
        <v>0.1724238482040472</v>
      </c>
      <c r="AB7" s="32" t="n">
        <v>0.008646744378041768</v>
      </c>
      <c r="AC7" s="32" t="n">
        <v>0.1392654749954244</v>
      </c>
      <c r="AD7" s="32" t="n">
        <v>0.06834713786407413</v>
      </c>
      <c r="AE7" s="32" t="n">
        <v>3.704459782463286</v>
      </c>
      <c r="AF7" s="32" t="n">
        <v>0.3433293844349078</v>
      </c>
      <c r="AG7" s="32" t="n">
        <v>108.0547883390412</v>
      </c>
      <c r="AH7" s="32" t="n">
        <v>9.878777701414435</v>
      </c>
      <c r="AI7" s="32" t="n">
        <v>5.499010701892622</v>
      </c>
      <c r="AJ7" s="32" t="n">
        <v>18.2096484317314</v>
      </c>
      <c r="AK7" s="32" t="n">
        <v>11.13812381801809</v>
      </c>
      <c r="AL7" s="32" t="n">
        <v>18.64879258838833</v>
      </c>
      <c r="AM7" s="32" t="n">
        <v>0</v>
      </c>
      <c r="AN7" s="32" t="n">
        <v>0</v>
      </c>
      <c r="AO7" s="33" t="n">
        <v>745.068321560483</v>
      </c>
      <c r="AP7" s="32" t="n">
        <v>2364.814164791695</v>
      </c>
      <c r="AQ7" s="32" t="n">
        <v>0</v>
      </c>
      <c r="AR7" s="33" t="n">
        <v>2364.814164791695</v>
      </c>
      <c r="AS7" s="33" t="n">
        <v>1515.799689918364</v>
      </c>
      <c r="AT7" s="32" t="n">
        <v>0</v>
      </c>
      <c r="AU7" s="32" t="n">
        <v>6.975017374058321</v>
      </c>
      <c r="AV7" s="33" t="n">
        <v>6.975017374058321</v>
      </c>
      <c r="AW7" s="33" t="n">
        <v>3887.588872084118</v>
      </c>
      <c r="AX7" s="34" t="n">
        <v>4632.657193644601</v>
      </c>
    </row>
    <row r="8">
      <c r="A8" s="21" t="inlineStr">
        <is>
          <t>16-18</t>
        </is>
      </c>
      <c r="B8" s="16" t="inlineStr">
        <is>
          <t xml:space="preserve">Wood and paper products, and printing services </t>
        </is>
      </c>
      <c r="C8" s="32" t="n">
        <v>44.53769049470304</v>
      </c>
      <c r="D8" s="32" t="n">
        <v>29.1192177653171</v>
      </c>
      <c r="E8" s="32" t="n">
        <v>80.18665506187419</v>
      </c>
      <c r="F8" s="32" t="n">
        <v>5.650504582873186</v>
      </c>
      <c r="G8" s="32" t="n">
        <v>295.9456090417991</v>
      </c>
      <c r="H8" s="32" t="n">
        <v>0.06996485649191356</v>
      </c>
      <c r="I8" s="32" t="n">
        <v>0.07053741255024815</v>
      </c>
      <c r="J8" s="32" t="n">
        <v>5.143381945825796</v>
      </c>
      <c r="K8" s="32" t="n">
        <v>43.9471855054107</v>
      </c>
      <c r="L8" s="32" t="n">
        <v>3.452922116287555</v>
      </c>
      <c r="M8" s="32" t="n">
        <v>0</v>
      </c>
      <c r="N8" s="32" t="n">
        <v>0.1088043018404141</v>
      </c>
      <c r="O8" s="32" t="n">
        <v>0.01106691283847935</v>
      </c>
      <c r="P8" s="32" t="n">
        <v>0.2670879628047331</v>
      </c>
      <c r="Q8" s="32" t="n">
        <v>127.8168429190283</v>
      </c>
      <c r="R8" s="32" t="n">
        <v>1.562154703418597</v>
      </c>
      <c r="S8" s="32" t="n">
        <v>10.59509297819228</v>
      </c>
      <c r="T8" s="32" t="n">
        <v>298.4852756678376</v>
      </c>
      <c r="U8" s="32" t="n">
        <v>278.2115571169332</v>
      </c>
      <c r="V8" s="32" t="n">
        <v>38.00031903175853</v>
      </c>
      <c r="W8" s="32" t="n">
        <v>41.66757846013743</v>
      </c>
      <c r="X8" s="32" t="n">
        <v>79.89796158534928</v>
      </c>
      <c r="Y8" s="32" t="n">
        <v>2.016417884886947</v>
      </c>
      <c r="Z8" s="32" t="n">
        <v>5.144276233958498</v>
      </c>
      <c r="AA8" s="32" t="n">
        <v>26.42904652407811</v>
      </c>
      <c r="AB8" s="32" t="n">
        <v>63.93139634687438</v>
      </c>
      <c r="AC8" s="32" t="n">
        <v>14.64376321806631</v>
      </c>
      <c r="AD8" s="32" t="n">
        <v>0.1612653497296897</v>
      </c>
      <c r="AE8" s="32" t="n">
        <v>15.94334708444072</v>
      </c>
      <c r="AF8" s="32" t="n">
        <v>12.26598438238507</v>
      </c>
      <c r="AG8" s="32" t="n">
        <v>12.80466955605255</v>
      </c>
      <c r="AH8" s="32" t="n">
        <v>55.8531405473329</v>
      </c>
      <c r="AI8" s="32" t="n">
        <v>21.71585604569108</v>
      </c>
      <c r="AJ8" s="32" t="n">
        <v>7.073946419315263</v>
      </c>
      <c r="AK8" s="32" t="n">
        <v>50.86791997684296</v>
      </c>
      <c r="AL8" s="32" t="n">
        <v>29.98557323461327</v>
      </c>
      <c r="AM8" s="32" t="n">
        <v>0</v>
      </c>
      <c r="AN8" s="32" t="n">
        <v>0</v>
      </c>
      <c r="AO8" s="33" t="n">
        <v>1703.58401322754</v>
      </c>
      <c r="AP8" s="32" t="n">
        <v>567.5840846726784</v>
      </c>
      <c r="AQ8" s="32" t="n">
        <v>0</v>
      </c>
      <c r="AR8" s="33" t="n">
        <v>567.5840846726784</v>
      </c>
      <c r="AS8" s="33" t="n">
        <v>298.084202924707</v>
      </c>
      <c r="AT8" s="32" t="n">
        <v>0</v>
      </c>
      <c r="AU8" s="32" t="n">
        <v>26.10970186537892</v>
      </c>
      <c r="AV8" s="33" t="n">
        <v>26.10970186537892</v>
      </c>
      <c r="AW8" s="33" t="n">
        <v>891.7779894627644</v>
      </c>
      <c r="AX8" s="34" t="n">
        <v>2595.362002690304</v>
      </c>
    </row>
    <row r="9">
      <c r="A9" s="21" t="n">
        <v>19</v>
      </c>
      <c r="B9" s="23" t="inlineStr">
        <is>
          <t>Coke and refined petroleum products</t>
        </is>
      </c>
      <c r="C9" s="32" t="n">
        <v>121.4636234065447</v>
      </c>
      <c r="D9" s="32" t="n">
        <v>186.23523421103</v>
      </c>
      <c r="E9" s="32" t="n">
        <v>59.78890673204683</v>
      </c>
      <c r="F9" s="32" t="n">
        <v>0.6113977494115497</v>
      </c>
      <c r="G9" s="32" t="n">
        <v>5.181005655411686</v>
      </c>
      <c r="H9" s="32" t="n">
        <v>164.3559549387888</v>
      </c>
      <c r="I9" s="32" t="n">
        <v>10.42436472309243</v>
      </c>
      <c r="J9" s="32" t="n">
        <v>0.03478657836007248</v>
      </c>
      <c r="K9" s="32" t="n">
        <v>183.4680013707335</v>
      </c>
      <c r="L9" s="32" t="n">
        <v>165.093371199252</v>
      </c>
      <c r="M9" s="32" t="n">
        <v>0</v>
      </c>
      <c r="N9" s="32" t="n">
        <v>0.7077891620748629</v>
      </c>
      <c r="O9" s="32" t="n">
        <v>0.05251367718359294</v>
      </c>
      <c r="P9" s="32" t="n">
        <v>0.5940113206204913</v>
      </c>
      <c r="Q9" s="32" t="n">
        <v>1.689123985195509</v>
      </c>
      <c r="R9" s="32" t="n">
        <v>10.95545430085432</v>
      </c>
      <c r="S9" s="32" t="n">
        <v>63.23238090313721</v>
      </c>
      <c r="T9" s="32" t="n">
        <v>151.3321100979302</v>
      </c>
      <c r="U9" s="32" t="n">
        <v>126.4765262926379</v>
      </c>
      <c r="V9" s="32" t="n">
        <v>1089.397511043226</v>
      </c>
      <c r="W9" s="32" t="n">
        <v>23.62415343311277</v>
      </c>
      <c r="X9" s="32" t="n">
        <v>5.919603629246998</v>
      </c>
      <c r="Y9" s="32" t="n">
        <v>0.8449858334161766</v>
      </c>
      <c r="Z9" s="32" t="n">
        <v>3.330360143343987</v>
      </c>
      <c r="AA9" s="32" t="n">
        <v>3.390500780563956</v>
      </c>
      <c r="AB9" s="32" t="n">
        <v>3.094434984588488</v>
      </c>
      <c r="AC9" s="32" t="n">
        <v>8.239907542730723</v>
      </c>
      <c r="AD9" s="32" t="n">
        <v>1.083097566565729</v>
      </c>
      <c r="AE9" s="32" t="n">
        <v>1.971540911954563</v>
      </c>
      <c r="AF9" s="32" t="n">
        <v>28.124755555631</v>
      </c>
      <c r="AG9" s="32" t="n">
        <v>279.7767299396525</v>
      </c>
      <c r="AH9" s="32" t="n">
        <v>13.3506080754287</v>
      </c>
      <c r="AI9" s="32" t="n">
        <v>16.37750253772867</v>
      </c>
      <c r="AJ9" s="32" t="n">
        <v>12.48708047616202</v>
      </c>
      <c r="AK9" s="32" t="n">
        <v>28.0777799091161</v>
      </c>
      <c r="AL9" s="32" t="n">
        <v>6.601308105557335</v>
      </c>
      <c r="AM9" s="32" t="n">
        <v>0</v>
      </c>
      <c r="AN9" s="32" t="n">
        <v>0</v>
      </c>
      <c r="AO9" s="33" t="n">
        <v>2777.388416772332</v>
      </c>
      <c r="AP9" s="32" t="n">
        <v>2226.518450684482</v>
      </c>
      <c r="AQ9" s="32" t="n">
        <v>0</v>
      </c>
      <c r="AR9" s="33" t="n">
        <v>2226.518450684482</v>
      </c>
      <c r="AS9" s="33" t="n">
        <v>219.1869663672279</v>
      </c>
      <c r="AT9" s="32" t="n">
        <v>0</v>
      </c>
      <c r="AU9" s="32" t="n">
        <v>5.487971951896764</v>
      </c>
      <c r="AV9" s="33" t="n">
        <v>5.487971951896764</v>
      </c>
      <c r="AW9" s="33" t="n">
        <v>2451.193389003606</v>
      </c>
      <c r="AX9" s="34" t="n">
        <v>5228.581805775939</v>
      </c>
    </row>
    <row r="10">
      <c r="A10" s="21" t="n">
        <v>20</v>
      </c>
      <c r="B10" s="23" t="inlineStr">
        <is>
          <t xml:space="preserve">Chemicals and chemical products </t>
        </is>
      </c>
      <c r="C10" s="32" t="n">
        <v>293.9534326640685</v>
      </c>
      <c r="D10" s="32" t="n">
        <v>13.26546356062479</v>
      </c>
      <c r="E10" s="32" t="n">
        <v>25.67259778223734</v>
      </c>
      <c r="F10" s="32" t="n">
        <v>4.207291629514906</v>
      </c>
      <c r="G10" s="32" t="n">
        <v>27.37107426667676</v>
      </c>
      <c r="H10" s="32" t="n">
        <v>0</v>
      </c>
      <c r="I10" s="32" t="n">
        <v>245.4066236724697</v>
      </c>
      <c r="J10" s="32" t="n">
        <v>22.90323520358672</v>
      </c>
      <c r="K10" s="32" t="n">
        <v>344.5463587856665</v>
      </c>
      <c r="L10" s="32" t="n">
        <v>9.86279216093441</v>
      </c>
      <c r="M10" s="32" t="n">
        <v>0</v>
      </c>
      <c r="N10" s="32" t="n">
        <v>0.2189011820127638</v>
      </c>
      <c r="O10" s="32" t="n">
        <v>0.6597398376285957</v>
      </c>
      <c r="P10" s="32" t="n">
        <v>0.2828235606320265</v>
      </c>
      <c r="Q10" s="32" t="n">
        <v>6.227663484194781</v>
      </c>
      <c r="R10" s="32" t="n">
        <v>0.04881971703017191</v>
      </c>
      <c r="S10" s="32" t="n">
        <v>2.302086510096026</v>
      </c>
      <c r="T10" s="32" t="n">
        <v>129.6506839436117</v>
      </c>
      <c r="U10" s="32" t="n">
        <v>164.6753633125089</v>
      </c>
      <c r="V10" s="32" t="n">
        <v>11.56511256716244</v>
      </c>
      <c r="W10" s="32" t="n">
        <v>82.64552090150775</v>
      </c>
      <c r="X10" s="32" t="n">
        <v>1.636820981655519</v>
      </c>
      <c r="Y10" s="32" t="n">
        <v>0.02092839367875984</v>
      </c>
      <c r="Z10" s="32" t="n">
        <v>0.1083157059047882</v>
      </c>
      <c r="AA10" s="32" t="n">
        <v>0.07602609260554842</v>
      </c>
      <c r="AB10" s="32" t="n">
        <v>30.01753317343576</v>
      </c>
      <c r="AC10" s="32" t="n">
        <v>2.521337882781531</v>
      </c>
      <c r="AD10" s="32" t="n">
        <v>0.5840534585566511</v>
      </c>
      <c r="AE10" s="32" t="n">
        <v>5.808048199468809</v>
      </c>
      <c r="AF10" s="32" t="n">
        <v>2.271979227589112</v>
      </c>
      <c r="AG10" s="32" t="n">
        <v>39.16027534961459</v>
      </c>
      <c r="AH10" s="32" t="n">
        <v>9.793521131647648</v>
      </c>
      <c r="AI10" s="32" t="n">
        <v>5.560243268144177</v>
      </c>
      <c r="AJ10" s="32" t="n">
        <v>2.785188667595815</v>
      </c>
      <c r="AK10" s="32" t="n">
        <v>22.95467846234973</v>
      </c>
      <c r="AL10" s="32" t="n">
        <v>29.13809732905223</v>
      </c>
      <c r="AM10" s="32" t="n">
        <v>0</v>
      </c>
      <c r="AN10" s="32" t="n">
        <v>0</v>
      </c>
      <c r="AO10" s="33" t="n">
        <v>1537.902632066246</v>
      </c>
      <c r="AP10" s="32" t="n">
        <v>1805.985391808943</v>
      </c>
      <c r="AQ10" s="32" t="n">
        <v>0</v>
      </c>
      <c r="AR10" s="33" t="n">
        <v>1805.985391808943</v>
      </c>
      <c r="AS10" s="33" t="n">
        <v>1391.7642523993</v>
      </c>
      <c r="AT10" s="32" t="n">
        <v>0</v>
      </c>
      <c r="AU10" s="32" t="n">
        <v>-12.76166367066521</v>
      </c>
      <c r="AV10" s="33" t="n">
        <v>-12.76166367066521</v>
      </c>
      <c r="AW10" s="33" t="n">
        <v>3184.987980537578</v>
      </c>
      <c r="AX10" s="34" t="n">
        <v>4722.890612603823</v>
      </c>
    </row>
    <row r="11" ht="26.25" customHeight="1">
      <c r="A11" s="21" t="n">
        <v>21</v>
      </c>
      <c r="B11" s="23" t="inlineStr">
        <is>
          <t xml:space="preserve">Basic pharmaceutical products and pharmaceutical preparations </t>
        </is>
      </c>
      <c r="C11" s="32" t="n">
        <v>11.5967305164354</v>
      </c>
      <c r="D11" s="32" t="n">
        <v>0</v>
      </c>
      <c r="E11" s="32" t="n">
        <v>0.002451368398097464</v>
      </c>
      <c r="F11" s="32" t="n">
        <v>0</v>
      </c>
      <c r="G11" s="32" t="n">
        <v>0</v>
      </c>
      <c r="H11" s="32" t="n">
        <v>0</v>
      </c>
      <c r="I11" s="32" t="n">
        <v>0.3239119870807239</v>
      </c>
      <c r="J11" s="32" t="n">
        <v>165.1140413070176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2.952252284260798</v>
      </c>
      <c r="R11" s="32" t="n">
        <v>0.05656268283702477</v>
      </c>
      <c r="S11" s="32" t="n">
        <v>0.03088245096995209</v>
      </c>
      <c r="T11" s="32" t="n">
        <v>0</v>
      </c>
      <c r="U11" s="32" t="n">
        <v>40.78954953339999</v>
      </c>
      <c r="V11" s="32" t="n">
        <v>0.04195818931907216</v>
      </c>
      <c r="W11" s="32" t="n">
        <v>0</v>
      </c>
      <c r="X11" s="32" t="n">
        <v>0</v>
      </c>
      <c r="Y11" s="32" t="n">
        <v>0</v>
      </c>
      <c r="Z11" s="32" t="n">
        <v>0</v>
      </c>
      <c r="AA11" s="32" t="n">
        <v>0.003444135327667404</v>
      </c>
      <c r="AB11" s="32" t="n">
        <v>0</v>
      </c>
      <c r="AC11" s="32" t="n">
        <v>17.97217007398492</v>
      </c>
      <c r="AD11" s="32" t="n">
        <v>0.1163070846816296</v>
      </c>
      <c r="AE11" s="32" t="n">
        <v>9.251991873122</v>
      </c>
      <c r="AF11" s="32" t="n">
        <v>0.01763710887193164</v>
      </c>
      <c r="AG11" s="32" t="n">
        <v>97.88853051246308</v>
      </c>
      <c r="AH11" s="32" t="n">
        <v>0.9658269840830602</v>
      </c>
      <c r="AI11" s="32" t="n">
        <v>579.8259856711254</v>
      </c>
      <c r="AJ11" s="32" t="n">
        <v>18.25757086185105</v>
      </c>
      <c r="AK11" s="32" t="n">
        <v>0.4447992472005888</v>
      </c>
      <c r="AL11" s="32" t="n">
        <v>39.45364345528031</v>
      </c>
      <c r="AM11" s="32" t="n">
        <v>0</v>
      </c>
      <c r="AN11" s="32" t="n">
        <v>0</v>
      </c>
      <c r="AO11" s="33" t="n">
        <v>985.1062473277102</v>
      </c>
      <c r="AP11" s="32" t="n">
        <v>1638.1096944449</v>
      </c>
      <c r="AQ11" s="32" t="n">
        <v>0</v>
      </c>
      <c r="AR11" s="33" t="n">
        <v>1638.1096944449</v>
      </c>
      <c r="AS11" s="33" t="n">
        <v>410.3897978330415</v>
      </c>
      <c r="AT11" s="32" t="n">
        <v>0</v>
      </c>
      <c r="AU11" s="32" t="n">
        <v>17.65921603471921</v>
      </c>
      <c r="AV11" s="33" t="n">
        <v>17.65921603471921</v>
      </c>
      <c r="AW11" s="33" t="n">
        <v>2066.15870831266</v>
      </c>
      <c r="AX11" s="34" t="n">
        <v>3051.26495564037</v>
      </c>
    </row>
    <row r="12" ht="26.25" customHeight="1">
      <c r="A12" s="21" t="inlineStr">
        <is>
          <t>22-23</t>
        </is>
      </c>
      <c r="B12" s="23" t="inlineStr">
        <is>
          <t xml:space="preserve">Rubber and plastics products, and other non-metallic mineral products </t>
        </is>
      </c>
      <c r="C12" s="32" t="n">
        <v>33.05857425430047</v>
      </c>
      <c r="D12" s="32" t="n">
        <v>100.6662275830477</v>
      </c>
      <c r="E12" s="32" t="n">
        <v>433.9332871455824</v>
      </c>
      <c r="F12" s="32" t="n">
        <v>1.073370970226031</v>
      </c>
      <c r="G12" s="32" t="n">
        <v>5.006952144439971</v>
      </c>
      <c r="H12" s="32" t="n">
        <v>0</v>
      </c>
      <c r="I12" s="32" t="n">
        <v>47.27863963957454</v>
      </c>
      <c r="J12" s="32" t="n">
        <v>0</v>
      </c>
      <c r="K12" s="32" t="n">
        <v>964.945642688666</v>
      </c>
      <c r="L12" s="32" t="n">
        <v>3.36884341064089</v>
      </c>
      <c r="M12" s="32" t="n">
        <v>0</v>
      </c>
      <c r="N12" s="32" t="n">
        <v>3.576814113435607</v>
      </c>
      <c r="O12" s="32" t="n">
        <v>0</v>
      </c>
      <c r="P12" s="32" t="n">
        <v>0.3438346390739027</v>
      </c>
      <c r="Q12" s="32" t="n">
        <v>1.281226385460741</v>
      </c>
      <c r="R12" s="32" t="n">
        <v>0.4620840761531925</v>
      </c>
      <c r="S12" s="32" t="n">
        <v>1.084809812581862</v>
      </c>
      <c r="T12" s="32" t="n">
        <v>3232.976600739466</v>
      </c>
      <c r="U12" s="32" t="n">
        <v>529.1281620157392</v>
      </c>
      <c r="V12" s="32" t="n">
        <v>66.43115225450715</v>
      </c>
      <c r="W12" s="32" t="n">
        <v>4.483041515830842</v>
      </c>
      <c r="X12" s="32" t="n">
        <v>0.09260961502342337</v>
      </c>
      <c r="Y12" s="32" t="n">
        <v>0</v>
      </c>
      <c r="Z12" s="32" t="n">
        <v>0.6309456106016433</v>
      </c>
      <c r="AA12" s="32" t="n">
        <v>4.04282281076299</v>
      </c>
      <c r="AB12" s="32" t="n">
        <v>435.826087894001</v>
      </c>
      <c r="AC12" s="32" t="n">
        <v>0.9391148899132571</v>
      </c>
      <c r="AD12" s="32" t="n">
        <v>0</v>
      </c>
      <c r="AE12" s="32" t="n">
        <v>7.863248823339302</v>
      </c>
      <c r="AF12" s="32" t="n">
        <v>8.275226031813412</v>
      </c>
      <c r="AG12" s="32" t="n">
        <v>116.5705587822496</v>
      </c>
      <c r="AH12" s="32" t="n">
        <v>30.73955457380379</v>
      </c>
      <c r="AI12" s="32" t="n">
        <v>0.8774885624553211</v>
      </c>
      <c r="AJ12" s="32" t="n">
        <v>1.097568691918329</v>
      </c>
      <c r="AK12" s="32" t="n">
        <v>35.59766611544764</v>
      </c>
      <c r="AL12" s="32" t="n">
        <v>4.569491741183136</v>
      </c>
      <c r="AM12" s="32" t="n">
        <v>0</v>
      </c>
      <c r="AN12" s="32" t="n">
        <v>0</v>
      </c>
      <c r="AO12" s="33" t="n">
        <v>6076.221647531238</v>
      </c>
      <c r="AP12" s="32" t="n">
        <v>1419.89674477139</v>
      </c>
      <c r="AQ12" s="32" t="n">
        <v>0</v>
      </c>
      <c r="AR12" s="33" t="n">
        <v>1419.89674477139</v>
      </c>
      <c r="AS12" s="33" t="n">
        <v>332.9625773497877</v>
      </c>
      <c r="AT12" s="32" t="n">
        <v>0</v>
      </c>
      <c r="AU12" s="32" t="n">
        <v>145.9055225209161</v>
      </c>
      <c r="AV12" s="33" t="n">
        <v>145.9055225209161</v>
      </c>
      <c r="AW12" s="33" t="n">
        <v>1898.764844642094</v>
      </c>
      <c r="AX12" s="34" t="n">
        <v>7974.986492173333</v>
      </c>
    </row>
    <row r="13" ht="26.25" customHeight="1">
      <c r="A13" s="21" t="inlineStr">
        <is>
          <t>24-25</t>
        </is>
      </c>
      <c r="B13" s="23" t="inlineStr">
        <is>
          <t xml:space="preserve">Basic metals and fabricated metal products, except machinery and equipment </t>
        </is>
      </c>
      <c r="C13" s="32" t="n">
        <v>54.24102978677593</v>
      </c>
      <c r="D13" s="32" t="n">
        <v>22.53313520278168</v>
      </c>
      <c r="E13" s="32" t="n">
        <v>337.2743565881181</v>
      </c>
      <c r="F13" s="32" t="n">
        <v>1.694065459051483</v>
      </c>
      <c r="G13" s="32" t="n">
        <v>1.265484927847041</v>
      </c>
      <c r="H13" s="32" t="n">
        <v>0</v>
      </c>
      <c r="I13" s="32" t="n">
        <v>0</v>
      </c>
      <c r="J13" s="32" t="n">
        <v>0</v>
      </c>
      <c r="K13" s="32" t="n">
        <v>102.093973687076</v>
      </c>
      <c r="L13" s="32" t="n">
        <v>1336.974840252213</v>
      </c>
      <c r="M13" s="32" t="n">
        <v>0</v>
      </c>
      <c r="N13" s="32" t="n">
        <v>56.36389884452874</v>
      </c>
      <c r="O13" s="32" t="n">
        <v>34.55675871324961</v>
      </c>
      <c r="P13" s="32" t="n">
        <v>6.478264971121895</v>
      </c>
      <c r="Q13" s="32" t="n">
        <v>36.01298742776284</v>
      </c>
      <c r="R13" s="32" t="n">
        <v>0.5731917563562492</v>
      </c>
      <c r="S13" s="32" t="n">
        <v>0.1984101148090894</v>
      </c>
      <c r="T13" s="32" t="n">
        <v>1379.15472001431</v>
      </c>
      <c r="U13" s="32" t="n">
        <v>118.6207434588391</v>
      </c>
      <c r="V13" s="32" t="n">
        <v>13.23562634186118</v>
      </c>
      <c r="W13" s="32" t="n">
        <v>19.08454876941552</v>
      </c>
      <c r="X13" s="32" t="n">
        <v>0</v>
      </c>
      <c r="Y13" s="32" t="n">
        <v>0</v>
      </c>
      <c r="Z13" s="32" t="n">
        <v>0</v>
      </c>
      <c r="AA13" s="32" t="n">
        <v>4.934445334859739</v>
      </c>
      <c r="AB13" s="32" t="n">
        <v>179.369041904322</v>
      </c>
      <c r="AC13" s="32" t="n">
        <v>4.21617986205976</v>
      </c>
      <c r="AD13" s="32" t="n">
        <v>0</v>
      </c>
      <c r="AE13" s="32" t="n">
        <v>60.60025851824658</v>
      </c>
      <c r="AF13" s="32" t="n">
        <v>15.03785838830809</v>
      </c>
      <c r="AG13" s="32" t="n">
        <v>32.31632919250038</v>
      </c>
      <c r="AH13" s="32" t="n">
        <v>0.612268470014053</v>
      </c>
      <c r="AI13" s="32" t="n">
        <v>0.0003750447937653934</v>
      </c>
      <c r="AJ13" s="32" t="n">
        <v>0.1157374285475344</v>
      </c>
      <c r="AK13" s="32" t="n">
        <v>4.260505214447495</v>
      </c>
      <c r="AL13" s="32" t="n">
        <v>1.164080383429433</v>
      </c>
      <c r="AM13" s="32" t="n">
        <v>0</v>
      </c>
      <c r="AN13" s="32" t="n">
        <v>0</v>
      </c>
      <c r="AO13" s="33" t="n">
        <v>3822.983116057646</v>
      </c>
      <c r="AP13" s="32" t="n">
        <v>870.7911311734802</v>
      </c>
      <c r="AQ13" s="32" t="n">
        <v>0</v>
      </c>
      <c r="AR13" s="33" t="n">
        <v>870.7911311734802</v>
      </c>
      <c r="AS13" s="33" t="n">
        <v>2150.339056834907</v>
      </c>
      <c r="AT13" s="32" t="n">
        <v>145.1114042543617</v>
      </c>
      <c r="AU13" s="32" t="n">
        <v>-15.51766794813611</v>
      </c>
      <c r="AV13" s="33" t="n">
        <v>129.5937363062256</v>
      </c>
      <c r="AW13" s="33" t="n">
        <v>3150.723924314612</v>
      </c>
      <c r="AX13" s="34" t="n">
        <v>6973.70704037226</v>
      </c>
    </row>
    <row r="14">
      <c r="A14" s="21" t="n">
        <v>26</v>
      </c>
      <c r="B14" s="23" t="inlineStr">
        <is>
          <t xml:space="preserve">Computer, electronic and optical products </t>
        </is>
      </c>
      <c r="C14" s="32" t="n">
        <v>0.030290027438384</v>
      </c>
      <c r="D14" s="32" t="n">
        <v>0</v>
      </c>
      <c r="E14" s="32" t="n">
        <v>0.00846743246233247</v>
      </c>
      <c r="F14" s="32" t="n">
        <v>0</v>
      </c>
      <c r="G14" s="32" t="n">
        <v>0</v>
      </c>
      <c r="H14" s="32" t="n">
        <v>0</v>
      </c>
      <c r="I14" s="32" t="n">
        <v>0.04814930775652127</v>
      </c>
      <c r="J14" s="32" t="n">
        <v>0.5758843448318344</v>
      </c>
      <c r="K14" s="32" t="n">
        <v>0.007481802715369181</v>
      </c>
      <c r="L14" s="32" t="n">
        <v>2.089594191766385</v>
      </c>
      <c r="M14" s="32" t="n">
        <v>0</v>
      </c>
      <c r="N14" s="32" t="n">
        <v>60.71773530424804</v>
      </c>
      <c r="O14" s="32" t="n">
        <v>0</v>
      </c>
      <c r="P14" s="32" t="n">
        <v>0.1667515781718071</v>
      </c>
      <c r="Q14" s="32" t="n">
        <v>15.59018048612403</v>
      </c>
      <c r="R14" s="32" t="n">
        <v>6.055694412302361</v>
      </c>
      <c r="S14" s="32" t="n">
        <v>0.03388779225085056</v>
      </c>
      <c r="T14" s="32" t="n">
        <v>15.68295493280868</v>
      </c>
      <c r="U14" s="32" t="n">
        <v>150.4091011318646</v>
      </c>
      <c r="V14" s="32" t="n">
        <v>36.04781811477055</v>
      </c>
      <c r="W14" s="32" t="n">
        <v>4.945649930425093</v>
      </c>
      <c r="X14" s="32" t="n">
        <v>0.4605589705024687</v>
      </c>
      <c r="Y14" s="32" t="n">
        <v>73.08062643342397</v>
      </c>
      <c r="Z14" s="32" t="n">
        <v>72.60769627942761</v>
      </c>
      <c r="AA14" s="32" t="n">
        <v>23.27058238731277</v>
      </c>
      <c r="AB14" s="32" t="n">
        <v>0.01973676524789647</v>
      </c>
      <c r="AC14" s="32" t="n">
        <v>14.97004755261258</v>
      </c>
      <c r="AD14" s="32" t="n">
        <v>0.2219851692440745</v>
      </c>
      <c r="AE14" s="32" t="n">
        <v>5.156105359857567</v>
      </c>
      <c r="AF14" s="32" t="n">
        <v>1.181476914997798</v>
      </c>
      <c r="AG14" s="32" t="n">
        <v>12.57750515924102</v>
      </c>
      <c r="AH14" s="32" t="n">
        <v>31.58883167653489</v>
      </c>
      <c r="AI14" s="32" t="n">
        <v>13.38338017898658</v>
      </c>
      <c r="AJ14" s="32" t="n">
        <v>6.343640379819478</v>
      </c>
      <c r="AK14" s="32" t="n">
        <v>3.033672468198303</v>
      </c>
      <c r="AL14" s="32" t="n">
        <v>72.48783407157254</v>
      </c>
      <c r="AM14" s="32" t="n">
        <v>0</v>
      </c>
      <c r="AN14" s="32" t="n">
        <v>0</v>
      </c>
      <c r="AO14" s="33" t="n">
        <v>622.7933205569163</v>
      </c>
      <c r="AP14" s="32" t="n">
        <v>1431.312842126244</v>
      </c>
      <c r="AQ14" s="32" t="n">
        <v>0</v>
      </c>
      <c r="AR14" s="33" t="n">
        <v>1431.312842126244</v>
      </c>
      <c r="AS14" s="33" t="n">
        <v>125.5143575024514</v>
      </c>
      <c r="AT14" s="32" t="n">
        <v>1503.892174531079</v>
      </c>
      <c r="AU14" s="32" t="n">
        <v>0.7081377183940984</v>
      </c>
      <c r="AV14" s="33" t="n">
        <v>1504.600312249473</v>
      </c>
      <c r="AW14" s="33" t="n">
        <v>3061.427511878167</v>
      </c>
      <c r="AX14" s="34" t="n">
        <v>3684.220832435084</v>
      </c>
    </row>
    <row r="15">
      <c r="A15" s="21" t="n">
        <v>27</v>
      </c>
      <c r="B15" s="23" t="inlineStr">
        <is>
          <t xml:space="preserve">Electrical equipment </t>
        </is>
      </c>
      <c r="C15" s="32" t="n">
        <v>0.09475563056740086</v>
      </c>
      <c r="D15" s="32" t="n">
        <v>4.205362925167804</v>
      </c>
      <c r="E15" s="32" t="n">
        <v>3.535553180430658</v>
      </c>
      <c r="F15" s="32" t="n">
        <v>0</v>
      </c>
      <c r="G15" s="32" t="n">
        <v>0</v>
      </c>
      <c r="H15" s="32" t="n">
        <v>0</v>
      </c>
      <c r="I15" s="32" t="n">
        <v>1.502000052425087</v>
      </c>
      <c r="J15" s="32" t="n">
        <v>0</v>
      </c>
      <c r="K15" s="32" t="n">
        <v>0.01048158817521708</v>
      </c>
      <c r="L15" s="32" t="n">
        <v>85.39933522823651</v>
      </c>
      <c r="M15" s="32" t="n">
        <v>0</v>
      </c>
      <c r="N15" s="32" t="n">
        <v>37.84741049384071</v>
      </c>
      <c r="O15" s="32" t="n">
        <v>0</v>
      </c>
      <c r="P15" s="32" t="n">
        <v>2.993297048194337</v>
      </c>
      <c r="Q15" s="32" t="n">
        <v>0.06522317375296124</v>
      </c>
      <c r="R15" s="32" t="n">
        <v>27.25094061980505</v>
      </c>
      <c r="S15" s="32" t="n">
        <v>3.39299345083331</v>
      </c>
      <c r="T15" s="32" t="n">
        <v>380.2808490873135</v>
      </c>
      <c r="U15" s="32" t="n">
        <v>100.8803586572404</v>
      </c>
      <c r="V15" s="32" t="n">
        <v>75.81791292621597</v>
      </c>
      <c r="W15" s="32" t="n">
        <v>6.267029355885269</v>
      </c>
      <c r="X15" s="32" t="n">
        <v>5.820996581262534</v>
      </c>
      <c r="Y15" s="32" t="n">
        <v>0.9544923846364409</v>
      </c>
      <c r="Z15" s="32" t="n">
        <v>0.9579651221117902</v>
      </c>
      <c r="AA15" s="32" t="n">
        <v>2.331739417915193</v>
      </c>
      <c r="AB15" s="32" t="n">
        <v>0.5804513382857623</v>
      </c>
      <c r="AC15" s="32" t="n">
        <v>4.702343672147052</v>
      </c>
      <c r="AD15" s="32" t="n">
        <v>0.1088013089451165</v>
      </c>
      <c r="AE15" s="32" t="n">
        <v>0.06128566230437034</v>
      </c>
      <c r="AF15" s="32" t="n">
        <v>52.56731580138727</v>
      </c>
      <c r="AG15" s="32" t="n">
        <v>11.6095705955369</v>
      </c>
      <c r="AH15" s="32" t="n">
        <v>2.480379019878269</v>
      </c>
      <c r="AI15" s="32" t="n">
        <v>7.37598722080432</v>
      </c>
      <c r="AJ15" s="32" t="n">
        <v>4.964881699145801</v>
      </c>
      <c r="AK15" s="32" t="n">
        <v>10.8205968954646</v>
      </c>
      <c r="AL15" s="32" t="n">
        <v>2.314769699562571</v>
      </c>
      <c r="AM15" s="32" t="n">
        <v>0</v>
      </c>
      <c r="AN15" s="32" t="n">
        <v>0</v>
      </c>
      <c r="AO15" s="33" t="n">
        <v>837.1950798374721</v>
      </c>
      <c r="AP15" s="32" t="n">
        <v>1595.797276940917</v>
      </c>
      <c r="AQ15" s="32" t="n">
        <v>0</v>
      </c>
      <c r="AR15" s="33" t="n">
        <v>1595.797276940917</v>
      </c>
      <c r="AS15" s="33" t="n">
        <v>231.7225813626459</v>
      </c>
      <c r="AT15" s="32" t="n">
        <v>466.3112958527659</v>
      </c>
      <c r="AU15" s="32" t="n">
        <v>4.903513440640372</v>
      </c>
      <c r="AV15" s="33" t="n">
        <v>471.2148092934062</v>
      </c>
      <c r="AW15" s="33" t="n">
        <v>2298.734667596969</v>
      </c>
      <c r="AX15" s="34" t="n">
        <v>3135.929747434441</v>
      </c>
    </row>
    <row r="16">
      <c r="A16" s="21" t="n">
        <v>28</v>
      </c>
      <c r="B16" s="23" t="inlineStr">
        <is>
          <t xml:space="preserve">Machinery and equipment n.e.c. </t>
        </is>
      </c>
      <c r="C16" s="32" t="n">
        <v>16.83553223001807</v>
      </c>
      <c r="D16" s="32" t="n">
        <v>362.3268857232536</v>
      </c>
      <c r="E16" s="32" t="n">
        <v>22.98986617137668</v>
      </c>
      <c r="F16" s="32" t="n">
        <v>0.03958562657144397</v>
      </c>
      <c r="G16" s="32" t="n">
        <v>0.12863516615511</v>
      </c>
      <c r="H16" s="32" t="n">
        <v>0</v>
      </c>
      <c r="I16" s="32" t="n">
        <v>0.2083583988963172</v>
      </c>
      <c r="J16" s="32" t="n">
        <v>0</v>
      </c>
      <c r="K16" s="32" t="n">
        <v>63.37233162687928</v>
      </c>
      <c r="L16" s="32" t="n">
        <v>316.5524600256688</v>
      </c>
      <c r="M16" s="32" t="n">
        <v>0</v>
      </c>
      <c r="N16" s="32" t="n">
        <v>0</v>
      </c>
      <c r="O16" s="32" t="n">
        <v>0</v>
      </c>
      <c r="P16" s="32" t="n">
        <v>11.41543985408411</v>
      </c>
      <c r="Q16" s="32" t="n">
        <v>3.886478802673052</v>
      </c>
      <c r="R16" s="32" t="n">
        <v>20.74938776941152</v>
      </c>
      <c r="S16" s="32" t="n">
        <v>26.87110684876667</v>
      </c>
      <c r="T16" s="32" t="n">
        <v>175.5464453126858</v>
      </c>
      <c r="U16" s="32" t="n">
        <v>83.44930139059009</v>
      </c>
      <c r="V16" s="32" t="n">
        <v>10.07487776425227</v>
      </c>
      <c r="W16" s="32" t="n">
        <v>7.204202193121068</v>
      </c>
      <c r="X16" s="32" t="n">
        <v>0.1577707941414987</v>
      </c>
      <c r="Y16" s="32" t="n">
        <v>0</v>
      </c>
      <c r="Z16" s="32" t="n">
        <v>0</v>
      </c>
      <c r="AA16" s="32" t="n">
        <v>1.559207997500589</v>
      </c>
      <c r="AB16" s="32" t="n">
        <v>0.02174770506488043</v>
      </c>
      <c r="AC16" s="32" t="n">
        <v>0.04357199153011615</v>
      </c>
      <c r="AD16" s="32" t="n">
        <v>0.2359628848320089</v>
      </c>
      <c r="AE16" s="32" t="n">
        <v>0</v>
      </c>
      <c r="AF16" s="32" t="n">
        <v>0.6810849585790998</v>
      </c>
      <c r="AG16" s="32" t="n">
        <v>30.12635039334545</v>
      </c>
      <c r="AH16" s="32" t="n">
        <v>7.03292215370131</v>
      </c>
      <c r="AI16" s="32" t="n">
        <v>14.79318549552457</v>
      </c>
      <c r="AJ16" s="32" t="n">
        <v>0.2687392349127494</v>
      </c>
      <c r="AK16" s="32" t="n">
        <v>6.860493907460739</v>
      </c>
      <c r="AL16" s="32" t="n">
        <v>3.756080077961029</v>
      </c>
      <c r="AM16" s="32" t="n">
        <v>0</v>
      </c>
      <c r="AN16" s="32" t="n">
        <v>0</v>
      </c>
      <c r="AO16" s="33" t="n">
        <v>1187.188012498958</v>
      </c>
      <c r="AP16" s="32" t="n">
        <v>233.0315745411863</v>
      </c>
      <c r="AQ16" s="32" t="n">
        <v>0</v>
      </c>
      <c r="AR16" s="33" t="n">
        <v>233.0315745411863</v>
      </c>
      <c r="AS16" s="33" t="n">
        <v>438.9196526935566</v>
      </c>
      <c r="AT16" s="32" t="n">
        <v>1902.49437440522</v>
      </c>
      <c r="AU16" s="32" t="n">
        <v>-8.727911290886983</v>
      </c>
      <c r="AV16" s="33" t="n">
        <v>1893.766463114333</v>
      </c>
      <c r="AW16" s="33" t="n">
        <v>2565.717690349076</v>
      </c>
      <c r="AX16" s="34" t="n">
        <v>3752.905702848034</v>
      </c>
    </row>
    <row r="17">
      <c r="A17" s="21" t="inlineStr">
        <is>
          <t>29-30</t>
        </is>
      </c>
      <c r="B17" s="23" t="inlineStr">
        <is>
          <t xml:space="preserve">Transport equipment </t>
        </is>
      </c>
      <c r="C17" s="32" t="n">
        <v>0.9031570576687746</v>
      </c>
      <c r="D17" s="32" t="n">
        <v>0.1053682240969457</v>
      </c>
      <c r="E17" s="32" t="n">
        <v>2.023239368969792</v>
      </c>
      <c r="F17" s="32" t="n">
        <v>0</v>
      </c>
      <c r="G17" s="32" t="n">
        <v>0</v>
      </c>
      <c r="H17" s="32" t="n">
        <v>0</v>
      </c>
      <c r="I17" s="32" t="n">
        <v>0.7278377915410164</v>
      </c>
      <c r="J17" s="32" t="n">
        <v>0.03259306243164152</v>
      </c>
      <c r="K17" s="32" t="n">
        <v>19.06087355148239</v>
      </c>
      <c r="L17" s="32" t="n">
        <v>6.028279490777535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23.66746830269825</v>
      </c>
      <c r="R17" s="32" t="n">
        <v>0.04526393361133697</v>
      </c>
      <c r="S17" s="32" t="n">
        <v>16.01011992897478</v>
      </c>
      <c r="T17" s="32" t="n">
        <v>20.46594787231797</v>
      </c>
      <c r="U17" s="32" t="n">
        <v>167.2349257570232</v>
      </c>
      <c r="V17" s="32" t="n">
        <v>57.31654503649662</v>
      </c>
      <c r="W17" s="32" t="n">
        <v>0.5564909209549547</v>
      </c>
      <c r="X17" s="32" t="n">
        <v>0.2025745853852045</v>
      </c>
      <c r="Y17" s="32" t="n">
        <v>0</v>
      </c>
      <c r="Z17" s="32" t="n">
        <v>0</v>
      </c>
      <c r="AA17" s="32" t="n">
        <v>0.2141497608170933</v>
      </c>
      <c r="AB17" s="32" t="n">
        <v>0.002099524960866656</v>
      </c>
      <c r="AC17" s="32" t="n">
        <v>0.006677257365627539</v>
      </c>
      <c r="AD17" s="32" t="n">
        <v>0.4898829578330773</v>
      </c>
      <c r="AE17" s="32" t="n">
        <v>0</v>
      </c>
      <c r="AF17" s="32" t="n">
        <v>29.27427625189918</v>
      </c>
      <c r="AG17" s="32" t="n">
        <v>40.03579160282473</v>
      </c>
      <c r="AH17" s="32" t="n">
        <v>0.6649849882260516</v>
      </c>
      <c r="AI17" s="32" t="n">
        <v>2.002986732971855</v>
      </c>
      <c r="AJ17" s="32" t="n">
        <v>0.3862518132997653</v>
      </c>
      <c r="AK17" s="32" t="n">
        <v>4.746496950302872</v>
      </c>
      <c r="AL17" s="32" t="n">
        <v>0.04829244229657313</v>
      </c>
      <c r="AM17" s="32" t="n">
        <v>0</v>
      </c>
      <c r="AN17" s="32" t="n">
        <v>0</v>
      </c>
      <c r="AO17" s="33" t="n">
        <v>392.252575167228</v>
      </c>
      <c r="AP17" s="32" t="n">
        <v>1259.757341595035</v>
      </c>
      <c r="AQ17" s="32" t="n">
        <v>0</v>
      </c>
      <c r="AR17" s="33" t="n">
        <v>1259.757341595035</v>
      </c>
      <c r="AS17" s="33" t="n">
        <v>10409.57293926551</v>
      </c>
      <c r="AT17" s="32" t="n">
        <v>2186.33697390337</v>
      </c>
      <c r="AU17" s="32" t="n">
        <v>326.5472450207089</v>
      </c>
      <c r="AV17" s="33" t="n">
        <v>2512.884218924079</v>
      </c>
      <c r="AW17" s="33" t="n">
        <v>14182.21449978462</v>
      </c>
      <c r="AX17" s="34" t="n">
        <v>14574.46707495185</v>
      </c>
    </row>
    <row r="18" ht="26.25" customHeight="1">
      <c r="A18" s="21" t="inlineStr">
        <is>
          <t>31-33</t>
        </is>
      </c>
      <c r="B18" s="16" t="inlineStr">
        <is>
          <t xml:space="preserve">Furniture; other manufactured goods; repair and installation services of machinery and equipment </t>
        </is>
      </c>
      <c r="C18" s="32" t="n">
        <v>8.111702758459002</v>
      </c>
      <c r="D18" s="32" t="n">
        <v>1.479697541684847</v>
      </c>
      <c r="E18" s="32" t="n">
        <v>32.35766760669522</v>
      </c>
      <c r="F18" s="32" t="n">
        <v>0</v>
      </c>
      <c r="G18" s="32" t="n">
        <v>35.17937452038298</v>
      </c>
      <c r="H18" s="32" t="n">
        <v>0</v>
      </c>
      <c r="I18" s="32" t="n">
        <v>2.006096931523524</v>
      </c>
      <c r="J18" s="32" t="n">
        <v>0</v>
      </c>
      <c r="K18" s="32" t="n">
        <v>61.9373357369825</v>
      </c>
      <c r="L18" s="32" t="n">
        <v>0.7214318033721989</v>
      </c>
      <c r="M18" s="32" t="n">
        <v>0</v>
      </c>
      <c r="N18" s="32" t="n">
        <v>0.0005943059234673836</v>
      </c>
      <c r="O18" s="32" t="n">
        <v>3.093844948815972</v>
      </c>
      <c r="P18" s="32" t="n">
        <v>1.175082476100345</v>
      </c>
      <c r="Q18" s="32" t="n">
        <v>78.52104138582736</v>
      </c>
      <c r="R18" s="32" t="n">
        <v>6.660901629151939</v>
      </c>
      <c r="S18" s="32" t="n">
        <v>57.81236795346931</v>
      </c>
      <c r="T18" s="32" t="n">
        <v>130.6216764693251</v>
      </c>
      <c r="U18" s="32" t="n">
        <v>174.4831492906468</v>
      </c>
      <c r="V18" s="32" t="n">
        <v>57.01156681066191</v>
      </c>
      <c r="W18" s="32" t="n">
        <v>114.3422999390982</v>
      </c>
      <c r="X18" s="32" t="n">
        <v>38.37700611791013</v>
      </c>
      <c r="Y18" s="32" t="n">
        <v>17.00856781499369</v>
      </c>
      <c r="Z18" s="32" t="n">
        <v>7.335235750274407</v>
      </c>
      <c r="AA18" s="32" t="n">
        <v>5.213563157228672</v>
      </c>
      <c r="AB18" s="32" t="n">
        <v>0.6006874238732598</v>
      </c>
      <c r="AC18" s="32" t="n">
        <v>0.3571472340183715</v>
      </c>
      <c r="AD18" s="32" t="n">
        <v>3.648615454723345</v>
      </c>
      <c r="AE18" s="32" t="n">
        <v>20.02952605070496</v>
      </c>
      <c r="AF18" s="32" t="n">
        <v>1.226506483846831</v>
      </c>
      <c r="AG18" s="32" t="n">
        <v>220.340672032178</v>
      </c>
      <c r="AH18" s="32" t="n">
        <v>105.0816142620879</v>
      </c>
      <c r="AI18" s="32" t="n">
        <v>78.59274140771926</v>
      </c>
      <c r="AJ18" s="32" t="n">
        <v>2.821604404581688</v>
      </c>
      <c r="AK18" s="32" t="n">
        <v>71.24160852747019</v>
      </c>
      <c r="AL18" s="32" t="n">
        <v>12.59301112670403</v>
      </c>
      <c r="AM18" s="32" t="n">
        <v>0</v>
      </c>
      <c r="AN18" s="32" t="n">
        <v>0</v>
      </c>
      <c r="AO18" s="33" t="n">
        <v>1349.983939356435</v>
      </c>
      <c r="AP18" s="32" t="n">
        <v>1389.736959566962</v>
      </c>
      <c r="AQ18" s="32" t="n">
        <v>0</v>
      </c>
      <c r="AR18" s="33" t="n">
        <v>1389.736959566962</v>
      </c>
      <c r="AS18" s="33" t="n">
        <v>297.0792457288571</v>
      </c>
      <c r="AT18" s="32" t="n">
        <v>51.76079420380812</v>
      </c>
      <c r="AU18" s="32" t="n">
        <v>40.30999364609522</v>
      </c>
      <c r="AV18" s="33" t="n">
        <v>92.07078784990334</v>
      </c>
      <c r="AW18" s="33" t="n">
        <v>1778.886993145723</v>
      </c>
      <c r="AX18" s="34" t="n">
        <v>3128.870932502158</v>
      </c>
    </row>
    <row r="19">
      <c r="A19" s="21" t="inlineStr">
        <is>
          <t>35</t>
        </is>
      </c>
      <c r="B19" s="23" t="inlineStr">
        <is>
          <t xml:space="preserve">Electricity, gas, steam and air conditioning </t>
        </is>
      </c>
      <c r="C19" s="32" t="n">
        <v>11.65485481595141</v>
      </c>
      <c r="D19" s="32" t="n">
        <v>31.85076026297969</v>
      </c>
      <c r="E19" s="32" t="n">
        <v>140.3990751999209</v>
      </c>
      <c r="F19" s="32" t="n">
        <v>8.393137424857267</v>
      </c>
      <c r="G19" s="32" t="n">
        <v>21.96317842545024</v>
      </c>
      <c r="H19" s="32" t="n">
        <v>0.9056589586060881</v>
      </c>
      <c r="I19" s="32" t="n">
        <v>103.1496835248453</v>
      </c>
      <c r="J19" s="32" t="n">
        <v>2.742427182277627</v>
      </c>
      <c r="K19" s="32" t="n">
        <v>156.6365903872155</v>
      </c>
      <c r="L19" s="32" t="n">
        <v>177.6455069982629</v>
      </c>
      <c r="M19" s="32" t="n">
        <v>1.201588067328388</v>
      </c>
      <c r="N19" s="32" t="n">
        <v>4.799599953882995</v>
      </c>
      <c r="O19" s="32" t="n">
        <v>0.2995404605454692</v>
      </c>
      <c r="P19" s="32" t="n">
        <v>0.1019739170235889</v>
      </c>
      <c r="Q19" s="32" t="n">
        <v>3.302013168595889</v>
      </c>
      <c r="R19" s="32" t="n">
        <v>557.6618115794578</v>
      </c>
      <c r="S19" s="32" t="n">
        <v>27.80156504569376</v>
      </c>
      <c r="T19" s="32" t="n">
        <v>37.26205078010581</v>
      </c>
      <c r="U19" s="32" t="n">
        <v>539.5815497930731</v>
      </c>
      <c r="V19" s="32" t="n">
        <v>262.1080823996602</v>
      </c>
      <c r="W19" s="32" t="n">
        <v>237.2434650226598</v>
      </c>
      <c r="X19" s="32" t="n">
        <v>9.443814833016805</v>
      </c>
      <c r="Y19" s="32" t="n">
        <v>25.99703175128599</v>
      </c>
      <c r="Z19" s="32" t="n">
        <v>66.28420136267569</v>
      </c>
      <c r="AA19" s="32" t="n">
        <v>48.67271022982359</v>
      </c>
      <c r="AB19" s="32" t="n">
        <v>113.8417340236831</v>
      </c>
      <c r="AC19" s="32" t="n">
        <v>9.969746447332472</v>
      </c>
      <c r="AD19" s="32" t="n">
        <v>1.944781980114699</v>
      </c>
      <c r="AE19" s="32" t="n">
        <v>9.866655867285376</v>
      </c>
      <c r="AF19" s="32" t="n">
        <v>7.694430036610949</v>
      </c>
      <c r="AG19" s="32" t="n">
        <v>355.1515829943339</v>
      </c>
      <c r="AH19" s="32" t="n">
        <v>107.901043563877</v>
      </c>
      <c r="AI19" s="32" t="n">
        <v>69.08193033960843</v>
      </c>
      <c r="AJ19" s="32" t="n">
        <v>28.40029704499178</v>
      </c>
      <c r="AK19" s="32" t="n">
        <v>83.88845849559011</v>
      </c>
      <c r="AL19" s="32" t="n">
        <v>24.34709641343524</v>
      </c>
      <c r="AM19" s="32" t="n">
        <v>0</v>
      </c>
      <c r="AN19" s="32" t="n">
        <v>0</v>
      </c>
      <c r="AO19" s="33" t="n">
        <v>3289.189628752058</v>
      </c>
      <c r="AP19" s="32" t="n">
        <v>1515.762629042933</v>
      </c>
      <c r="AQ19" s="32" t="n">
        <v>0</v>
      </c>
      <c r="AR19" s="33" t="n">
        <v>1515.762629042933</v>
      </c>
      <c r="AS19" s="33" t="n">
        <v>136.5989625066643</v>
      </c>
      <c r="AT19" s="32" t="n">
        <v>0</v>
      </c>
      <c r="AU19" s="32" t="n">
        <v>18.52990572233065</v>
      </c>
      <c r="AV19" s="33" t="n">
        <v>18.52990572233065</v>
      </c>
      <c r="AW19" s="33" t="n">
        <v>1670.891497271928</v>
      </c>
      <c r="AX19" s="34" t="n">
        <v>4960.081126023988</v>
      </c>
    </row>
    <row r="20" ht="26.25" customHeight="1">
      <c r="A20" s="21" t="inlineStr">
        <is>
          <t>36-39</t>
        </is>
      </c>
      <c r="B20" s="23" t="inlineStr">
        <is>
          <t xml:space="preserve">Water supply; sewerage, waste management and remediation services </t>
        </is>
      </c>
      <c r="C20" s="32" t="n">
        <v>14.79121065413513</v>
      </c>
      <c r="D20" s="32" t="n">
        <v>23.48008720445889</v>
      </c>
      <c r="E20" s="32" t="n">
        <v>25.91991199756023</v>
      </c>
      <c r="F20" s="32" t="n">
        <v>0.5469711556183947</v>
      </c>
      <c r="G20" s="32" t="n">
        <v>1.398481759058537</v>
      </c>
      <c r="H20" s="32" t="n">
        <v>0</v>
      </c>
      <c r="I20" s="32" t="n">
        <v>0.1782930493447963</v>
      </c>
      <c r="J20" s="32" t="n">
        <v>0.1883926870343522</v>
      </c>
      <c r="K20" s="32" t="n">
        <v>8.308961544692661</v>
      </c>
      <c r="L20" s="32" t="n">
        <v>1.21947128237865</v>
      </c>
      <c r="M20" s="32" t="n">
        <v>0</v>
      </c>
      <c r="N20" s="32" t="n">
        <v>8.455013949141696</v>
      </c>
      <c r="O20" s="32" t="n">
        <v>0.1581816473946678</v>
      </c>
      <c r="P20" s="32" t="n">
        <v>3.950484311115123</v>
      </c>
      <c r="Q20" s="32" t="n">
        <v>0.2931262722549179</v>
      </c>
      <c r="R20" s="32" t="n">
        <v>0.1672884685831997</v>
      </c>
      <c r="S20" s="32" t="n">
        <v>29.41929204888257</v>
      </c>
      <c r="T20" s="32" t="n">
        <v>2.041775615987314</v>
      </c>
      <c r="U20" s="32" t="n">
        <v>23.72419018738711</v>
      </c>
      <c r="V20" s="32" t="n">
        <v>14.28546023756168</v>
      </c>
      <c r="W20" s="32" t="n">
        <v>47.31169578368399</v>
      </c>
      <c r="X20" s="32" t="n">
        <v>1.351243382086648</v>
      </c>
      <c r="Y20" s="32" t="n">
        <v>0.9422285159053323</v>
      </c>
      <c r="Z20" s="32" t="n">
        <v>2.136242976712596</v>
      </c>
      <c r="AA20" s="32" t="n">
        <v>2.275365126147689</v>
      </c>
      <c r="AB20" s="32" t="n">
        <v>7.11548168512005</v>
      </c>
      <c r="AC20" s="32" t="n">
        <v>1.700528678530421</v>
      </c>
      <c r="AD20" s="32" t="n">
        <v>0.2064299207896915</v>
      </c>
      <c r="AE20" s="32" t="n">
        <v>0.05783571090896762</v>
      </c>
      <c r="AF20" s="32" t="n">
        <v>34.76849748417337</v>
      </c>
      <c r="AG20" s="32" t="n">
        <v>49.73063810000002</v>
      </c>
      <c r="AH20" s="32" t="n">
        <v>16.21517803351744</v>
      </c>
      <c r="AI20" s="32" t="n">
        <v>27.83575846012233</v>
      </c>
      <c r="AJ20" s="32" t="n">
        <v>2.475841368587265</v>
      </c>
      <c r="AK20" s="32" t="n">
        <v>6.399654701550684</v>
      </c>
      <c r="AL20" s="32" t="n">
        <v>5.126281850145093</v>
      </c>
      <c r="AM20" s="32" t="n">
        <v>0</v>
      </c>
      <c r="AN20" s="32" t="n">
        <v>0</v>
      </c>
      <c r="AO20" s="33" t="n">
        <v>364.1754958505716</v>
      </c>
      <c r="AP20" s="32" t="n">
        <v>309.8626619047909</v>
      </c>
      <c r="AQ20" s="32" t="n">
        <v>129.8349057604554</v>
      </c>
      <c r="AR20" s="33" t="n">
        <v>439.6975676652463</v>
      </c>
      <c r="AS20" s="33" t="n">
        <v>195.0516675949958</v>
      </c>
      <c r="AT20" s="32" t="n">
        <v>0</v>
      </c>
      <c r="AU20" s="32" t="n">
        <v>3.776769479652028</v>
      </c>
      <c r="AV20" s="33" t="n">
        <v>3.776769479652028</v>
      </c>
      <c r="AW20" s="33" t="n">
        <v>638.5260047398941</v>
      </c>
      <c r="AX20" s="34" t="n">
        <v>1002.701500590466</v>
      </c>
    </row>
    <row r="21">
      <c r="A21" s="21" t="inlineStr">
        <is>
          <t>41-43</t>
        </is>
      </c>
      <c r="B21" s="16" t="inlineStr">
        <is>
          <t xml:space="preserve">Constructions and construction works </t>
        </is>
      </c>
      <c r="C21" s="32" t="n">
        <v>44.22312816324312</v>
      </c>
      <c r="D21" s="32" t="n">
        <v>115.5228476197668</v>
      </c>
      <c r="E21" s="32" t="n">
        <v>0.7445046222547277</v>
      </c>
      <c r="F21" s="32" t="n">
        <v>1.073113414335058</v>
      </c>
      <c r="G21" s="32" t="n">
        <v>0.161308303994836</v>
      </c>
      <c r="H21" s="32" t="n">
        <v>0</v>
      </c>
      <c r="I21" s="32" t="n">
        <v>0</v>
      </c>
      <c r="J21" s="32" t="n">
        <v>0</v>
      </c>
      <c r="K21" s="32" t="n">
        <v>50.8988442538929</v>
      </c>
      <c r="L21" s="32" t="n">
        <v>0</v>
      </c>
      <c r="M21" s="32" t="n">
        <v>0</v>
      </c>
      <c r="N21" s="32" t="n">
        <v>0</v>
      </c>
      <c r="O21" s="32" t="n">
        <v>2.860866263830591</v>
      </c>
      <c r="P21" s="32" t="n">
        <v>18.71383245672325</v>
      </c>
      <c r="Q21" s="32" t="n">
        <v>0.2335461309431108</v>
      </c>
      <c r="R21" s="32" t="n">
        <v>0.03003389319605181</v>
      </c>
      <c r="S21" s="32" t="n">
        <v>0.1105316998980467</v>
      </c>
      <c r="T21" s="32" t="n">
        <v>4664.726824006604</v>
      </c>
      <c r="U21" s="32" t="n">
        <v>65.59197716368415</v>
      </c>
      <c r="V21" s="32" t="n">
        <v>13.9590320792085</v>
      </c>
      <c r="W21" s="32" t="n">
        <v>27.40147572653569</v>
      </c>
      <c r="X21" s="32" t="n">
        <v>4.067599203670332</v>
      </c>
      <c r="Y21" s="32" t="n">
        <v>4.461759815504652</v>
      </c>
      <c r="Z21" s="32" t="n">
        <v>8.270348590065099</v>
      </c>
      <c r="AA21" s="32" t="n">
        <v>76.76791000358705</v>
      </c>
      <c r="AB21" s="32" t="n">
        <v>454.9969307218656</v>
      </c>
      <c r="AC21" s="32" t="n">
        <v>1.122482241452421</v>
      </c>
      <c r="AD21" s="32" t="n">
        <v>37.65090375665454</v>
      </c>
      <c r="AE21" s="32" t="n">
        <v>0.008728683296072246</v>
      </c>
      <c r="AF21" s="32" t="n">
        <v>38.49307324536377</v>
      </c>
      <c r="AG21" s="32" t="n">
        <v>39.53062814993933</v>
      </c>
      <c r="AH21" s="32" t="n">
        <v>59.00297648916664</v>
      </c>
      <c r="AI21" s="32" t="n">
        <v>39.60562725716349</v>
      </c>
      <c r="AJ21" s="32" t="n">
        <v>3.627885922002991</v>
      </c>
      <c r="AK21" s="32" t="n">
        <v>10.91895012159974</v>
      </c>
      <c r="AL21" s="32" t="n">
        <v>57.34265581641471</v>
      </c>
      <c r="AM21" s="32" t="n">
        <v>0</v>
      </c>
      <c r="AN21" s="32" t="n">
        <v>0</v>
      </c>
      <c r="AO21" s="33" t="n">
        <v>5842.120325815858</v>
      </c>
      <c r="AP21" s="32" t="n">
        <v>1181.207194103195</v>
      </c>
      <c r="AQ21" s="32" t="n">
        <v>15.95086102470076</v>
      </c>
      <c r="AR21" s="33" t="n">
        <v>1197.158055127896</v>
      </c>
      <c r="AS21" s="33" t="n">
        <v>23.1790073607532</v>
      </c>
      <c r="AT21" s="32" t="n">
        <v>12593.01248727866</v>
      </c>
      <c r="AU21" s="32" t="n">
        <v>1624.136069876734</v>
      </c>
      <c r="AV21" s="33" t="n">
        <v>14217.14855715539</v>
      </c>
      <c r="AW21" s="33" t="n">
        <v>15437.48561964405</v>
      </c>
      <c r="AX21" s="34" t="n">
        <v>21279.6059454599</v>
      </c>
    </row>
    <row r="22" ht="26.25" customHeight="1">
      <c r="A22" s="21" t="inlineStr">
        <is>
          <t>45-47</t>
        </is>
      </c>
      <c r="B22" s="16" t="inlineStr">
        <is>
          <t xml:space="preserve">Wholesale and retail trade services; repair services of motor vehicles and motorcycles </t>
        </is>
      </c>
      <c r="C22" s="32" t="n">
        <v>3.166897574355033</v>
      </c>
      <c r="D22" s="32" t="n">
        <v>36.98395735561883</v>
      </c>
      <c r="E22" s="32" t="n">
        <v>16.98670166369839</v>
      </c>
      <c r="F22" s="32" t="n">
        <v>0.2759124372474432</v>
      </c>
      <c r="G22" s="32" t="n">
        <v>2.944358427045934</v>
      </c>
      <c r="H22" s="32" t="n">
        <v>0</v>
      </c>
      <c r="I22" s="32" t="n">
        <v>3.150327294382157</v>
      </c>
      <c r="J22" s="32" t="n">
        <v>0.01617273754978087</v>
      </c>
      <c r="K22" s="32" t="n">
        <v>3.520752171422541</v>
      </c>
      <c r="L22" s="32" t="n">
        <v>4.258863982292239</v>
      </c>
      <c r="M22" s="32" t="n">
        <v>0</v>
      </c>
      <c r="N22" s="32" t="n">
        <v>0</v>
      </c>
      <c r="O22" s="32" t="n">
        <v>0</v>
      </c>
      <c r="P22" s="32" t="n">
        <v>0.06889955222075501</v>
      </c>
      <c r="Q22" s="32" t="n">
        <v>59.3628834409005</v>
      </c>
      <c r="R22" s="32" t="n">
        <v>12.59577606811546</v>
      </c>
      <c r="S22" s="32" t="n">
        <v>18.71493224273653</v>
      </c>
      <c r="T22" s="32" t="n">
        <v>9.233443435232237</v>
      </c>
      <c r="U22" s="32" t="n">
        <v>126.3169195477307</v>
      </c>
      <c r="V22" s="32" t="n">
        <v>109.7128440668817</v>
      </c>
      <c r="W22" s="32" t="n">
        <v>6.838843618279792</v>
      </c>
      <c r="X22" s="32" t="n">
        <v>1.085214918038259</v>
      </c>
      <c r="Y22" s="32" t="n">
        <v>0.2599416395480887</v>
      </c>
      <c r="Z22" s="32" t="n">
        <v>1.224725537268848</v>
      </c>
      <c r="AA22" s="32" t="n">
        <v>0.7782770903048042</v>
      </c>
      <c r="AB22" s="32" t="n">
        <v>1.856521056247125</v>
      </c>
      <c r="AC22" s="32" t="n">
        <v>2.914070653257606</v>
      </c>
      <c r="AD22" s="32" t="n">
        <v>0.369944938869328</v>
      </c>
      <c r="AE22" s="32" t="n">
        <v>1.025987855300025</v>
      </c>
      <c r="AF22" s="32" t="n">
        <v>24.12794520321319</v>
      </c>
      <c r="AG22" s="32" t="n">
        <v>7.512606247198391</v>
      </c>
      <c r="AH22" s="32" t="n">
        <v>4.802504857123902</v>
      </c>
      <c r="AI22" s="32" t="n">
        <v>9.96212887614441</v>
      </c>
      <c r="AJ22" s="32" t="n">
        <v>0.001810383734123265</v>
      </c>
      <c r="AK22" s="32" t="n">
        <v>3.618367259584179</v>
      </c>
      <c r="AL22" s="32" t="n">
        <v>0.2041880342820865</v>
      </c>
      <c r="AM22" s="32" t="n">
        <v>0</v>
      </c>
      <c r="AN22" s="32" t="n">
        <v>0</v>
      </c>
      <c r="AO22" s="33" t="n">
        <v>473.8927201658244</v>
      </c>
      <c r="AP22" s="32" t="n">
        <v>50.12372144446996</v>
      </c>
      <c r="AQ22" s="32" t="n">
        <v>0</v>
      </c>
      <c r="AR22" s="33" t="n">
        <v>50.12372144446996</v>
      </c>
      <c r="AS22" s="33" t="n">
        <v>0</v>
      </c>
      <c r="AT22" s="32" t="n">
        <v>0</v>
      </c>
      <c r="AU22" s="32" t="n">
        <v>0</v>
      </c>
      <c r="AV22" s="33" t="n">
        <v>0</v>
      </c>
      <c r="AW22" s="33" t="n">
        <v>50.12372144446996</v>
      </c>
      <c r="AX22" s="34" t="n">
        <v>524.0164416102944</v>
      </c>
    </row>
    <row r="23">
      <c r="A23" s="21" t="inlineStr">
        <is>
          <t>49-53</t>
        </is>
      </c>
      <c r="B23" s="23" t="inlineStr">
        <is>
          <t>Transportation and storage services</t>
        </is>
      </c>
      <c r="C23" s="32" t="n">
        <v>184.4745993147743</v>
      </c>
      <c r="D23" s="32" t="n">
        <v>182.5598098487527</v>
      </c>
      <c r="E23" s="32" t="n">
        <v>432.7653313395322</v>
      </c>
      <c r="F23" s="32" t="n">
        <v>13.76095616834176</v>
      </c>
      <c r="G23" s="32" t="n">
        <v>21.91901660580626</v>
      </c>
      <c r="H23" s="32" t="n">
        <v>15.79022573081657</v>
      </c>
      <c r="I23" s="32" t="n">
        <v>14.21091830566334</v>
      </c>
      <c r="J23" s="32" t="n">
        <v>5.861607177296117</v>
      </c>
      <c r="K23" s="32" t="n">
        <v>122.3452730395871</v>
      </c>
      <c r="L23" s="32" t="n">
        <v>6.371030002573614</v>
      </c>
      <c r="M23" s="32" t="n">
        <v>0</v>
      </c>
      <c r="N23" s="32" t="n">
        <v>18.49880947063101</v>
      </c>
      <c r="O23" s="32" t="n">
        <v>0.7605424266553138</v>
      </c>
      <c r="P23" s="32" t="n">
        <v>0.463696551135853</v>
      </c>
      <c r="Q23" s="32" t="n">
        <v>1.366598095851525</v>
      </c>
      <c r="R23" s="32" t="n">
        <v>1.423960640522335</v>
      </c>
      <c r="S23" s="32" t="n">
        <v>52.49586463547304</v>
      </c>
      <c r="T23" s="32" t="n">
        <v>370.2536391384972</v>
      </c>
      <c r="U23" s="32" t="n">
        <v>1322.030121372108</v>
      </c>
      <c r="V23" s="32" t="n">
        <v>2108.448803578493</v>
      </c>
      <c r="W23" s="32" t="n">
        <v>136.6022569553261</v>
      </c>
      <c r="X23" s="32" t="n">
        <v>0.8432241967321528</v>
      </c>
      <c r="Y23" s="32" t="n">
        <v>20.33951891307545</v>
      </c>
      <c r="Z23" s="32" t="n">
        <v>23.54542869350874</v>
      </c>
      <c r="AA23" s="32" t="n">
        <v>103.9711359472983</v>
      </c>
      <c r="AB23" s="32" t="n">
        <v>13.50450286757612</v>
      </c>
      <c r="AC23" s="32" t="n">
        <v>17.22977111989368</v>
      </c>
      <c r="AD23" s="32" t="n">
        <v>0.6453009284570468</v>
      </c>
      <c r="AE23" s="32" t="n">
        <v>17.71904075950082</v>
      </c>
      <c r="AF23" s="32" t="n">
        <v>28.86281150717254</v>
      </c>
      <c r="AG23" s="32" t="n">
        <v>33.84906385342693</v>
      </c>
      <c r="AH23" s="32" t="n">
        <v>64.47898209768319</v>
      </c>
      <c r="AI23" s="32" t="n">
        <v>9.370154684619635</v>
      </c>
      <c r="AJ23" s="32" t="n">
        <v>8.464098086440028</v>
      </c>
      <c r="AK23" s="32" t="n">
        <v>105.3080658574155</v>
      </c>
      <c r="AL23" s="32" t="n">
        <v>41.13656061897984</v>
      </c>
      <c r="AM23" s="32" t="n">
        <v>0</v>
      </c>
      <c r="AN23" s="32" t="n">
        <v>0</v>
      </c>
      <c r="AO23" s="33" t="n">
        <v>5501.670720529616</v>
      </c>
      <c r="AP23" s="32" t="n">
        <v>1424.627873633257</v>
      </c>
      <c r="AQ23" s="32" t="n">
        <v>0</v>
      </c>
      <c r="AR23" s="33" t="n">
        <v>1424.627873633257</v>
      </c>
      <c r="AS23" s="33" t="n">
        <v>6046.28016641846</v>
      </c>
      <c r="AT23" s="32" t="n">
        <v>0</v>
      </c>
      <c r="AU23" s="32" t="n">
        <v>0</v>
      </c>
      <c r="AV23" s="33" t="n">
        <v>0</v>
      </c>
      <c r="AW23" s="33" t="n">
        <v>7470.908040051718</v>
      </c>
      <c r="AX23" s="34" t="n">
        <v>12972.57876058133</v>
      </c>
    </row>
    <row r="24">
      <c r="A24" s="21" t="inlineStr">
        <is>
          <t>55-56</t>
        </is>
      </c>
      <c r="B24" s="16" t="inlineStr">
        <is>
          <t xml:space="preserve">Accommodation and food services </t>
        </is>
      </c>
      <c r="C24" s="32" t="n">
        <v>0.3474890365365755</v>
      </c>
      <c r="D24" s="32" t="n">
        <v>0.007084863236920981</v>
      </c>
      <c r="E24" s="32" t="n">
        <v>4.816850418143743</v>
      </c>
      <c r="F24" s="32" t="n">
        <v>0.098932285117311</v>
      </c>
      <c r="G24" s="32" t="n">
        <v>0.3732084300034973</v>
      </c>
      <c r="H24" s="32" t="n">
        <v>0.07619224184179432</v>
      </c>
      <c r="I24" s="32" t="n">
        <v>0.3113141975489226</v>
      </c>
      <c r="J24" s="32" t="n">
        <v>0.142317489846242</v>
      </c>
      <c r="K24" s="32" t="n">
        <v>9.790117165055001</v>
      </c>
      <c r="L24" s="32" t="n">
        <v>0.9779445802574855</v>
      </c>
      <c r="M24" s="32" t="n">
        <v>0</v>
      </c>
      <c r="N24" s="32" t="n">
        <v>0</v>
      </c>
      <c r="O24" s="32" t="n">
        <v>0.06517749771579055</v>
      </c>
      <c r="P24" s="32" t="n">
        <v>0.009809761205151913</v>
      </c>
      <c r="Q24" s="32" t="n">
        <v>2.474986567110039</v>
      </c>
      <c r="R24" s="32" t="n">
        <v>1.580544019845832</v>
      </c>
      <c r="S24" s="32" t="n">
        <v>1.710950603982549</v>
      </c>
      <c r="T24" s="32" t="n">
        <v>62.41902139159449</v>
      </c>
      <c r="U24" s="32" t="n">
        <v>69.4542530161616</v>
      </c>
      <c r="V24" s="32" t="n">
        <v>100.089867254881</v>
      </c>
      <c r="W24" s="32" t="n">
        <v>75.82846289269328</v>
      </c>
      <c r="X24" s="32" t="n">
        <v>1.622586719829034</v>
      </c>
      <c r="Y24" s="32" t="n">
        <v>2.549779923652427</v>
      </c>
      <c r="Z24" s="32" t="n">
        <v>28.54928447643655</v>
      </c>
      <c r="AA24" s="32" t="n">
        <v>24.09146230999668</v>
      </c>
      <c r="AB24" s="32" t="n">
        <v>3.965802945616883</v>
      </c>
      <c r="AC24" s="32" t="n">
        <v>25.17839524656246</v>
      </c>
      <c r="AD24" s="32" t="n">
        <v>0.5120409334685274</v>
      </c>
      <c r="AE24" s="32" t="n">
        <v>4.318431072815666</v>
      </c>
      <c r="AF24" s="32" t="n">
        <v>42.4046188382892</v>
      </c>
      <c r="AG24" s="32" t="n">
        <v>201.9876577586315</v>
      </c>
      <c r="AH24" s="32" t="n">
        <v>79.19713688436417</v>
      </c>
      <c r="AI24" s="32" t="n">
        <v>10.86339807936716</v>
      </c>
      <c r="AJ24" s="32" t="n">
        <v>4.638121573156076</v>
      </c>
      <c r="AK24" s="32" t="n">
        <v>227.2451215193747</v>
      </c>
      <c r="AL24" s="32" t="n">
        <v>51.93071639657479</v>
      </c>
      <c r="AM24" s="32" t="n">
        <v>0</v>
      </c>
      <c r="AN24" s="32" t="n">
        <v>0</v>
      </c>
      <c r="AO24" s="33" t="n">
        <v>1039.629078390913</v>
      </c>
      <c r="AP24" s="32" t="n">
        <v>1854.305544540464</v>
      </c>
      <c r="AQ24" s="32" t="n">
        <v>0</v>
      </c>
      <c r="AR24" s="33" t="n">
        <v>1854.305544540464</v>
      </c>
      <c r="AS24" s="33" t="n">
        <v>4545.404264899112</v>
      </c>
      <c r="AT24" s="32" t="n">
        <v>0</v>
      </c>
      <c r="AU24" s="32" t="n">
        <v>0</v>
      </c>
      <c r="AV24" s="33" t="n">
        <v>0</v>
      </c>
      <c r="AW24" s="33" t="n">
        <v>6399.709809439575</v>
      </c>
      <c r="AX24" s="34" t="n">
        <v>7439.338887830489</v>
      </c>
    </row>
    <row r="25">
      <c r="A25" s="21" t="inlineStr">
        <is>
          <t>58-60</t>
        </is>
      </c>
      <c r="B25" s="16" t="inlineStr">
        <is>
          <t xml:space="preserve">Publishing, audiovisual and broadcasting services </t>
        </is>
      </c>
      <c r="C25" s="32" t="n">
        <v>0.238596871711459</v>
      </c>
      <c r="D25" s="32" t="n">
        <v>0</v>
      </c>
      <c r="E25" s="32" t="n">
        <v>0.1562711349033288</v>
      </c>
      <c r="F25" s="32" t="n">
        <v>0.02625123943353869</v>
      </c>
      <c r="G25" s="32" t="n">
        <v>0.06632438776872289</v>
      </c>
      <c r="H25" s="32" t="n">
        <v>0</v>
      </c>
      <c r="I25" s="32" t="n">
        <v>0.07057411987268021</v>
      </c>
      <c r="J25" s="32" t="n">
        <v>0.001435183772821721</v>
      </c>
      <c r="K25" s="32" t="n">
        <v>2.795188754363802</v>
      </c>
      <c r="L25" s="32" t="n">
        <v>0</v>
      </c>
      <c r="M25" s="32" t="n">
        <v>0</v>
      </c>
      <c r="N25" s="32" t="n">
        <v>0</v>
      </c>
      <c r="O25" s="32" t="n">
        <v>0</v>
      </c>
      <c r="P25" s="32" t="n">
        <v>0.08686782828554908</v>
      </c>
      <c r="Q25" s="32" t="n">
        <v>0.1402560938249492</v>
      </c>
      <c r="R25" s="32" t="n">
        <v>1.734831942260718</v>
      </c>
      <c r="S25" s="32" t="n">
        <v>0.2309469517686009</v>
      </c>
      <c r="T25" s="32" t="n">
        <v>1.607714397138104</v>
      </c>
      <c r="U25" s="32" t="n">
        <v>71.47809285287337</v>
      </c>
      <c r="V25" s="32" t="n">
        <v>4.573841579214143</v>
      </c>
      <c r="W25" s="32" t="n">
        <v>5.893129633448946</v>
      </c>
      <c r="X25" s="32" t="n">
        <v>257.3171115973907</v>
      </c>
      <c r="Y25" s="32" t="n">
        <v>20.45624264072369</v>
      </c>
      <c r="Z25" s="32" t="n">
        <v>44.70543977090161</v>
      </c>
      <c r="AA25" s="32" t="n">
        <v>74.83604484880716</v>
      </c>
      <c r="AB25" s="32" t="n">
        <v>1.203747541645889</v>
      </c>
      <c r="AC25" s="32" t="n">
        <v>3.139042366292806</v>
      </c>
      <c r="AD25" s="32" t="n">
        <v>0.2539913789460316</v>
      </c>
      <c r="AE25" s="32" t="n">
        <v>46.97159775912953</v>
      </c>
      <c r="AF25" s="32" t="n">
        <v>2.024519277413183</v>
      </c>
      <c r="AG25" s="32" t="n">
        <v>34.84928211490344</v>
      </c>
      <c r="AH25" s="32" t="n">
        <v>5.170257778885837</v>
      </c>
      <c r="AI25" s="32" t="n">
        <v>3.275656775392394</v>
      </c>
      <c r="AJ25" s="32" t="n">
        <v>1.139657398685398</v>
      </c>
      <c r="AK25" s="32" t="n">
        <v>7.107307963131022</v>
      </c>
      <c r="AL25" s="32" t="n">
        <v>2.818975224356278</v>
      </c>
      <c r="AM25" s="32" t="n">
        <v>0</v>
      </c>
      <c r="AN25" s="32" t="n">
        <v>0</v>
      </c>
      <c r="AO25" s="33" t="n">
        <v>594.3691974072456</v>
      </c>
      <c r="AP25" s="32" t="n">
        <v>173.5358166582259</v>
      </c>
      <c r="AQ25" s="32" t="n">
        <v>70.80720055859852</v>
      </c>
      <c r="AR25" s="33" t="n">
        <v>244.3430172168244</v>
      </c>
      <c r="AS25" s="33" t="n">
        <v>138.9437475668836</v>
      </c>
      <c r="AT25" s="32" t="n">
        <v>0</v>
      </c>
      <c r="AU25" s="32" t="n">
        <v>451.590537810124</v>
      </c>
      <c r="AV25" s="33" t="n">
        <v>451.590537810124</v>
      </c>
      <c r="AW25" s="33" t="n">
        <v>834.877302593832</v>
      </c>
      <c r="AX25" s="34" t="n">
        <v>1429.246500001078</v>
      </c>
    </row>
    <row r="26">
      <c r="A26" s="21" t="inlineStr">
        <is>
          <t>61</t>
        </is>
      </c>
      <c r="B26" s="23" t="inlineStr">
        <is>
          <t xml:space="preserve">Telecommunications services </t>
        </is>
      </c>
      <c r="C26" s="32" t="n">
        <v>0.2017502268253473</v>
      </c>
      <c r="D26" s="32" t="n">
        <v>0.03283707360540857</v>
      </c>
      <c r="E26" s="32" t="n">
        <v>6.680829963456564</v>
      </c>
      <c r="F26" s="32" t="n">
        <v>0.2435367559191409</v>
      </c>
      <c r="G26" s="32" t="n">
        <v>1.351735120771217</v>
      </c>
      <c r="H26" s="32" t="n">
        <v>0</v>
      </c>
      <c r="I26" s="32" t="n">
        <v>0.02173695918235915</v>
      </c>
      <c r="J26" s="32" t="n">
        <v>0</v>
      </c>
      <c r="K26" s="32" t="n">
        <v>0.3897536846757416</v>
      </c>
      <c r="L26" s="32" t="n">
        <v>0.05519891442969144</v>
      </c>
      <c r="M26" s="32" t="n">
        <v>0</v>
      </c>
      <c r="N26" s="32" t="n">
        <v>0.0134566016682206</v>
      </c>
      <c r="O26" s="32" t="n">
        <v>0.01594333244312327</v>
      </c>
      <c r="P26" s="32" t="n">
        <v>0.002399605532010159</v>
      </c>
      <c r="Q26" s="32" t="n">
        <v>1.007394252698283</v>
      </c>
      <c r="R26" s="32" t="n">
        <v>0.3345087510597312</v>
      </c>
      <c r="S26" s="32" t="n">
        <v>0.1176714076408894</v>
      </c>
      <c r="T26" s="32" t="n">
        <v>2.727118063728566</v>
      </c>
      <c r="U26" s="32" t="n">
        <v>27.96030832103406</v>
      </c>
      <c r="V26" s="32" t="n">
        <v>3.505141182258463</v>
      </c>
      <c r="W26" s="32" t="n">
        <v>4.902155563022105</v>
      </c>
      <c r="X26" s="32" t="n">
        <v>7.727876198441351</v>
      </c>
      <c r="Y26" s="32" t="n">
        <v>173.8234149372547</v>
      </c>
      <c r="Z26" s="32" t="n">
        <v>9.43797163343471</v>
      </c>
      <c r="AA26" s="32" t="n">
        <v>16.80622375990488</v>
      </c>
      <c r="AB26" s="32" t="n">
        <v>1.730373489988567</v>
      </c>
      <c r="AC26" s="32" t="n">
        <v>4.468049382853567</v>
      </c>
      <c r="AD26" s="32" t="n">
        <v>0.339912269915752</v>
      </c>
      <c r="AE26" s="32" t="n">
        <v>5.786088870131794</v>
      </c>
      <c r="AF26" s="32" t="n">
        <v>1.798455207656735</v>
      </c>
      <c r="AG26" s="32" t="n">
        <v>35.77527282517994</v>
      </c>
      <c r="AH26" s="32" t="n">
        <v>9.168623664341359</v>
      </c>
      <c r="AI26" s="32" t="n">
        <v>5.159768543245705</v>
      </c>
      <c r="AJ26" s="32" t="n">
        <v>0.03030801672246387</v>
      </c>
      <c r="AK26" s="32" t="n">
        <v>101.4177774077368</v>
      </c>
      <c r="AL26" s="32" t="n">
        <v>5.849483089546577</v>
      </c>
      <c r="AM26" s="32" t="n">
        <v>0</v>
      </c>
      <c r="AN26" s="32" t="n">
        <v>0</v>
      </c>
      <c r="AO26" s="33" t="n">
        <v>428.8830750763058</v>
      </c>
      <c r="AP26" s="32" t="n">
        <v>1523.27768783592</v>
      </c>
      <c r="AQ26" s="32" t="n">
        <v>0</v>
      </c>
      <c r="AR26" s="33" t="n">
        <v>1523.27768783592</v>
      </c>
      <c r="AS26" s="33" t="n">
        <v>565.2368656929519</v>
      </c>
      <c r="AT26" s="32" t="n">
        <v>0</v>
      </c>
      <c r="AU26" s="32" t="n">
        <v>0</v>
      </c>
      <c r="AV26" s="33" t="n">
        <v>0</v>
      </c>
      <c r="AW26" s="33" t="n">
        <v>2088.514553528873</v>
      </c>
      <c r="AX26" s="34" t="n">
        <v>2517.397628605178</v>
      </c>
    </row>
    <row r="27" ht="26.25" customHeight="1">
      <c r="A27" s="21" t="inlineStr">
        <is>
          <t>62-63</t>
        </is>
      </c>
      <c r="B27" s="16" t="inlineStr">
        <is>
          <t xml:space="preserve">Computer programming, consultancy and related services; information services </t>
        </is>
      </c>
      <c r="C27" s="32" t="n">
        <v>0.4367587734313785</v>
      </c>
      <c r="D27" s="32" t="n">
        <v>0.04323664345361643</v>
      </c>
      <c r="E27" s="32" t="n">
        <v>1.614019918072247</v>
      </c>
      <c r="F27" s="32" t="n">
        <v>0.03297755486363673</v>
      </c>
      <c r="G27" s="32" t="n">
        <v>1.860473199267661</v>
      </c>
      <c r="H27" s="32" t="n">
        <v>0</v>
      </c>
      <c r="I27" s="32" t="n">
        <v>0.08461004099891252</v>
      </c>
      <c r="J27" s="32" t="n">
        <v>0.09369721886739284</v>
      </c>
      <c r="K27" s="32" t="n">
        <v>3.144760634805703</v>
      </c>
      <c r="L27" s="32" t="n">
        <v>0</v>
      </c>
      <c r="M27" s="32" t="n">
        <v>0</v>
      </c>
      <c r="N27" s="32" t="n">
        <v>0</v>
      </c>
      <c r="O27" s="32" t="n">
        <v>0.006730000640212831</v>
      </c>
      <c r="P27" s="32" t="n">
        <v>0.02492628448366397</v>
      </c>
      <c r="Q27" s="32" t="n">
        <v>0.3675295318557043</v>
      </c>
      <c r="R27" s="32" t="n">
        <v>12.32508250709675</v>
      </c>
      <c r="S27" s="32" t="n">
        <v>0.5895609795379223</v>
      </c>
      <c r="T27" s="32" t="n">
        <v>29.55664616537124</v>
      </c>
      <c r="U27" s="32" t="n">
        <v>41.98299054155535</v>
      </c>
      <c r="V27" s="32" t="n">
        <v>8.905578585817699</v>
      </c>
      <c r="W27" s="32" t="n">
        <v>9.241487920951849</v>
      </c>
      <c r="X27" s="32" t="n">
        <v>2.97064887727314</v>
      </c>
      <c r="Y27" s="32" t="n">
        <v>34.16592532243147</v>
      </c>
      <c r="Z27" s="32" t="n">
        <v>445.4100946565041</v>
      </c>
      <c r="AA27" s="32" t="n">
        <v>192.164784273007</v>
      </c>
      <c r="AB27" s="32" t="n">
        <v>0.3702114843483115</v>
      </c>
      <c r="AC27" s="32" t="n">
        <v>9.406113726455702</v>
      </c>
      <c r="AD27" s="32" t="n">
        <v>0.0005113163954437558</v>
      </c>
      <c r="AE27" s="32" t="n">
        <v>0.3272084603319227</v>
      </c>
      <c r="AF27" s="32" t="n">
        <v>33.91588336294758</v>
      </c>
      <c r="AG27" s="32" t="n">
        <v>0</v>
      </c>
      <c r="AH27" s="32" t="n">
        <v>2.077359496713366</v>
      </c>
      <c r="AI27" s="32" t="n">
        <v>6.586213622622927</v>
      </c>
      <c r="AJ27" s="32" t="n">
        <v>1.447106045978162</v>
      </c>
      <c r="AK27" s="32" t="n">
        <v>251.3270602334558</v>
      </c>
      <c r="AL27" s="32" t="n">
        <v>1.500023316776459</v>
      </c>
      <c r="AM27" s="32" t="n">
        <v>0</v>
      </c>
      <c r="AN27" s="32" t="n">
        <v>0</v>
      </c>
      <c r="AO27" s="33" t="n">
        <v>1091.980210696312</v>
      </c>
      <c r="AP27" s="32" t="n">
        <v>298.9884349535658</v>
      </c>
      <c r="AQ27" s="32" t="n">
        <v>0</v>
      </c>
      <c r="AR27" s="33" t="n">
        <v>298.9884349535658</v>
      </c>
      <c r="AS27" s="33" t="n">
        <v>2922.383758162216</v>
      </c>
      <c r="AT27" s="32" t="n">
        <v>140.7069874584637</v>
      </c>
      <c r="AU27" s="32" t="n">
        <v>-5.24006219908607</v>
      </c>
      <c r="AV27" s="33" t="n">
        <v>135.4669252593777</v>
      </c>
      <c r="AW27" s="33" t="n">
        <v>3356.839118375159</v>
      </c>
      <c r="AX27" s="34" t="n">
        <v>4448.819329071472</v>
      </c>
    </row>
    <row r="28">
      <c r="A28" s="21" t="inlineStr">
        <is>
          <t>64-66</t>
        </is>
      </c>
      <c r="B28" s="16" t="inlineStr">
        <is>
          <t xml:space="preserve">Financial and insurance services </t>
        </is>
      </c>
      <c r="C28" s="32" t="n">
        <v>152.2079618862084</v>
      </c>
      <c r="D28" s="32" t="n">
        <v>46.05218863236438</v>
      </c>
      <c r="E28" s="32" t="n">
        <v>196.7387153300636</v>
      </c>
      <c r="F28" s="32" t="n">
        <v>14.22954960546703</v>
      </c>
      <c r="G28" s="32" t="n">
        <v>15.614173291578</v>
      </c>
      <c r="H28" s="32" t="n">
        <v>5.10133676316056</v>
      </c>
      <c r="I28" s="32" t="n">
        <v>17.77908780368908</v>
      </c>
      <c r="J28" s="32" t="n">
        <v>8.711198813157363</v>
      </c>
      <c r="K28" s="32" t="n">
        <v>81.80763381422531</v>
      </c>
      <c r="L28" s="32" t="n">
        <v>80.06933057161658</v>
      </c>
      <c r="M28" s="32" t="n">
        <v>0.468395813238263</v>
      </c>
      <c r="N28" s="32" t="n">
        <v>5.449868076267118</v>
      </c>
      <c r="O28" s="32" t="n">
        <v>1.428419954947415</v>
      </c>
      <c r="P28" s="32" t="n">
        <v>1.675216271196605</v>
      </c>
      <c r="Q28" s="32" t="n">
        <v>17.12057857026699</v>
      </c>
      <c r="R28" s="32" t="n">
        <v>105.0711435313423</v>
      </c>
      <c r="S28" s="32" t="n">
        <v>24.87872304837542</v>
      </c>
      <c r="T28" s="32" t="n">
        <v>403.6425830963123</v>
      </c>
      <c r="U28" s="32" t="n">
        <v>477.1463696080129</v>
      </c>
      <c r="V28" s="32" t="n">
        <v>227.6294388684652</v>
      </c>
      <c r="W28" s="32" t="n">
        <v>106.0398520051545</v>
      </c>
      <c r="X28" s="32" t="n">
        <v>27.09265098370539</v>
      </c>
      <c r="Y28" s="32" t="n">
        <v>49.25996552965381</v>
      </c>
      <c r="Z28" s="32" t="n">
        <v>94.84448322241528</v>
      </c>
      <c r="AA28" s="32" t="n">
        <v>508.5573118118147</v>
      </c>
      <c r="AB28" s="32" t="n">
        <v>446.5484700175942</v>
      </c>
      <c r="AC28" s="32" t="n">
        <v>45.4020055853284</v>
      </c>
      <c r="AD28" s="32" t="n">
        <v>1.791925223561026</v>
      </c>
      <c r="AE28" s="32" t="n">
        <v>23.77903481750975</v>
      </c>
      <c r="AF28" s="32" t="n">
        <v>41.56683592849546</v>
      </c>
      <c r="AG28" s="32" t="n">
        <v>205.4515512052033</v>
      </c>
      <c r="AH28" s="32" t="n">
        <v>31.19269501065851</v>
      </c>
      <c r="AI28" s="32" t="n">
        <v>78.37494015983469</v>
      </c>
      <c r="AJ28" s="32" t="n">
        <v>3.687532810626843</v>
      </c>
      <c r="AK28" s="32" t="n">
        <v>102.7852117586152</v>
      </c>
      <c r="AL28" s="32" t="n">
        <v>7.976103243204401</v>
      </c>
      <c r="AM28" s="32" t="n">
        <v>0</v>
      </c>
      <c r="AN28" s="32" t="n">
        <v>0</v>
      </c>
      <c r="AO28" s="33" t="n">
        <v>3657.172482663331</v>
      </c>
      <c r="AP28" s="32" t="n">
        <v>2030.925635023969</v>
      </c>
      <c r="AQ28" s="32" t="n">
        <v>0</v>
      </c>
      <c r="AR28" s="33" t="n">
        <v>2030.925635023969</v>
      </c>
      <c r="AS28" s="33" t="n">
        <v>744.4688149049612</v>
      </c>
      <c r="AT28" s="32" t="n">
        <v>0</v>
      </c>
      <c r="AU28" s="32" t="n">
        <v>0</v>
      </c>
      <c r="AV28" s="33" t="n">
        <v>0</v>
      </c>
      <c r="AW28" s="33" t="n">
        <v>2775.39444992893</v>
      </c>
      <c r="AX28" s="34" t="n">
        <v>6432.566932592259</v>
      </c>
    </row>
    <row r="29">
      <c r="A29" s="21" t="inlineStr">
        <is>
          <t>68</t>
        </is>
      </c>
      <c r="B29" s="23" t="inlineStr">
        <is>
          <t xml:space="preserve">Real estate services </t>
        </is>
      </c>
      <c r="C29" s="32" t="n">
        <v>23.67050917168744</v>
      </c>
      <c r="D29" s="32" t="n">
        <v>53.95456166721023</v>
      </c>
      <c r="E29" s="32" t="n">
        <v>86.80097575170112</v>
      </c>
      <c r="F29" s="32" t="n">
        <v>18.65197852533029</v>
      </c>
      <c r="G29" s="32" t="n">
        <v>11.73932665646043</v>
      </c>
      <c r="H29" s="32" t="n">
        <v>1.56301561239412</v>
      </c>
      <c r="I29" s="32" t="n">
        <v>0.9820851164866806</v>
      </c>
      <c r="J29" s="32" t="n">
        <v>0</v>
      </c>
      <c r="K29" s="32" t="n">
        <v>15.94925599375961</v>
      </c>
      <c r="L29" s="32" t="n">
        <v>7.423217265562414</v>
      </c>
      <c r="M29" s="32" t="n">
        <v>0</v>
      </c>
      <c r="N29" s="32" t="n">
        <v>0.1861324823072995</v>
      </c>
      <c r="O29" s="32" t="n">
        <v>0.08943660420340149</v>
      </c>
      <c r="P29" s="32" t="n">
        <v>3.118547502522182</v>
      </c>
      <c r="Q29" s="32" t="n">
        <v>16.70557378263664</v>
      </c>
      <c r="R29" s="32" t="n">
        <v>34.43466966111003</v>
      </c>
      <c r="S29" s="32" t="n">
        <v>2.31869871581049</v>
      </c>
      <c r="T29" s="32" t="n">
        <v>71.14966866822253</v>
      </c>
      <c r="U29" s="32" t="n">
        <v>934.2985625955461</v>
      </c>
      <c r="V29" s="32" t="n">
        <v>256.2751716399443</v>
      </c>
      <c r="W29" s="32" t="n">
        <v>382.6675621315981</v>
      </c>
      <c r="X29" s="32" t="n">
        <v>31.58701740971462</v>
      </c>
      <c r="Y29" s="32" t="n">
        <v>63.23473705149953</v>
      </c>
      <c r="Z29" s="32" t="n">
        <v>95.30409586584896</v>
      </c>
      <c r="AA29" s="32" t="n">
        <v>106.5700226935597</v>
      </c>
      <c r="AB29" s="32" t="n">
        <v>90.38976649119776</v>
      </c>
      <c r="AC29" s="32" t="n">
        <v>95.51302335405512</v>
      </c>
      <c r="AD29" s="32" t="n">
        <v>1.321248654677392</v>
      </c>
      <c r="AE29" s="32" t="n">
        <v>38.07438639605978</v>
      </c>
      <c r="AF29" s="32" t="n">
        <v>71.93655528296513</v>
      </c>
      <c r="AG29" s="32" t="n">
        <v>37.89085579725963</v>
      </c>
      <c r="AH29" s="32" t="n">
        <v>38.76765266287836</v>
      </c>
      <c r="AI29" s="32" t="n">
        <v>47.32661018511307</v>
      </c>
      <c r="AJ29" s="32" t="n">
        <v>36.3254700785958</v>
      </c>
      <c r="AK29" s="32" t="n">
        <v>152.0460458057851</v>
      </c>
      <c r="AL29" s="32" t="n">
        <v>61.41083635378962</v>
      </c>
      <c r="AM29" s="32" t="n">
        <v>0</v>
      </c>
      <c r="AN29" s="32" t="n">
        <v>0</v>
      </c>
      <c r="AO29" s="33" t="n">
        <v>2889.677273627493</v>
      </c>
      <c r="AP29" s="32" t="n">
        <v>7315.511112220413</v>
      </c>
      <c r="AQ29" s="32" t="n">
        <v>3.989784995675968</v>
      </c>
      <c r="AR29" s="33" t="n">
        <v>7319.500897216089</v>
      </c>
      <c r="AS29" s="33" t="n">
        <v>4.805842</v>
      </c>
      <c r="AT29" s="32" t="n">
        <v>0</v>
      </c>
      <c r="AU29" s="32" t="n">
        <v>0</v>
      </c>
      <c r="AV29" s="33" t="n">
        <v>0</v>
      </c>
      <c r="AW29" s="33" t="n">
        <v>7324.306739216089</v>
      </c>
      <c r="AX29" s="34" t="n">
        <v>10213.98401284358</v>
      </c>
    </row>
    <row r="30" ht="51.75" customHeight="1">
      <c r="A30" s="21" t="inlineStr">
        <is>
          <t>69-71</t>
        </is>
      </c>
      <c r="B30" s="2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2" t="n">
        <v>1.043495924258774</v>
      </c>
      <c r="D30" s="32" t="n">
        <v>4.671659363986288</v>
      </c>
      <c r="E30" s="32" t="n">
        <v>12.86496832060172</v>
      </c>
      <c r="F30" s="32" t="n">
        <v>0.4504839961457849</v>
      </c>
      <c r="G30" s="32" t="n">
        <v>0.5021321822474063</v>
      </c>
      <c r="H30" s="32" t="n">
        <v>0</v>
      </c>
      <c r="I30" s="32" t="n">
        <v>0.08226096655106413</v>
      </c>
      <c r="J30" s="32" t="n">
        <v>0.1089361509713363</v>
      </c>
      <c r="K30" s="32" t="n">
        <v>42.90187396183723</v>
      </c>
      <c r="L30" s="32" t="n">
        <v>0.1715699728436369</v>
      </c>
      <c r="M30" s="32" t="n">
        <v>0</v>
      </c>
      <c r="N30" s="32" t="n">
        <v>2.073541715837952</v>
      </c>
      <c r="O30" s="32" t="n">
        <v>0.01172059452756427</v>
      </c>
      <c r="P30" s="32" t="n">
        <v>0.0247042289764816</v>
      </c>
      <c r="Q30" s="32" t="n">
        <v>6.650845657715474</v>
      </c>
      <c r="R30" s="32" t="n">
        <v>160.7350785979638</v>
      </c>
      <c r="S30" s="32" t="n">
        <v>3.392452234137391</v>
      </c>
      <c r="T30" s="32" t="n">
        <v>129.8460202836507</v>
      </c>
      <c r="U30" s="32" t="n">
        <v>54.21209719512915</v>
      </c>
      <c r="V30" s="32" t="n">
        <v>59.6057236373826</v>
      </c>
      <c r="W30" s="32" t="n">
        <v>11.96783462930351</v>
      </c>
      <c r="X30" s="32" t="n">
        <v>4.326021398741753</v>
      </c>
      <c r="Y30" s="32" t="n">
        <v>4.054889685713338</v>
      </c>
      <c r="Z30" s="32" t="n">
        <v>77.07552501327454</v>
      </c>
      <c r="AA30" s="32" t="n">
        <v>121.4166116476085</v>
      </c>
      <c r="AB30" s="32" t="n">
        <v>37.39820238751339</v>
      </c>
      <c r="AC30" s="32" t="n">
        <v>117.709950993073</v>
      </c>
      <c r="AD30" s="32" t="n">
        <v>0.06368993583016407</v>
      </c>
      <c r="AE30" s="32" t="n">
        <v>2.337600907712761</v>
      </c>
      <c r="AF30" s="32" t="n">
        <v>2.338515200660781</v>
      </c>
      <c r="AG30" s="32" t="n">
        <v>1.873084398154908</v>
      </c>
      <c r="AH30" s="32" t="n">
        <v>25.52170369828628</v>
      </c>
      <c r="AI30" s="32" t="n">
        <v>24.87578014843901</v>
      </c>
      <c r="AJ30" s="32" t="n">
        <v>1.055443129960296</v>
      </c>
      <c r="AK30" s="32" t="n">
        <v>53.88568021374314</v>
      </c>
      <c r="AL30" s="32" t="n">
        <v>3.143869908504305</v>
      </c>
      <c r="AM30" s="32" t="n">
        <v>0</v>
      </c>
      <c r="AN30" s="32" t="n">
        <v>0</v>
      </c>
      <c r="AO30" s="33" t="n">
        <v>968.3939682812842</v>
      </c>
      <c r="AP30" s="32" t="n">
        <v>459.1890354980811</v>
      </c>
      <c r="AQ30" s="32" t="n">
        <v>0</v>
      </c>
      <c r="AR30" s="33" t="n">
        <v>459.1890354980811</v>
      </c>
      <c r="AS30" s="33" t="n">
        <v>317.601478175126</v>
      </c>
      <c r="AT30" s="32" t="n">
        <v>0.1570521423767222</v>
      </c>
      <c r="AU30" s="32" t="n">
        <v>68.12352701416025</v>
      </c>
      <c r="AV30" s="33" t="n">
        <v>68.28057915653697</v>
      </c>
      <c r="AW30" s="33" t="n">
        <v>845.071092829744</v>
      </c>
      <c r="AX30" s="34" t="n">
        <v>1813.465061111028</v>
      </c>
    </row>
    <row r="31">
      <c r="A31" s="21" t="inlineStr">
        <is>
          <t>72</t>
        </is>
      </c>
      <c r="B31" s="23" t="inlineStr">
        <is>
          <t xml:space="preserve">Scientific research and development services </t>
        </is>
      </c>
      <c r="C31" s="32" t="n">
        <v>0</v>
      </c>
      <c r="D31" s="32" t="n">
        <v>0</v>
      </c>
      <c r="E31" s="32" t="n">
        <v>0</v>
      </c>
      <c r="F31" s="32" t="n">
        <v>0</v>
      </c>
      <c r="G31" s="32" t="n">
        <v>0</v>
      </c>
      <c r="H31" s="32" t="n">
        <v>0</v>
      </c>
      <c r="I31" s="32" t="n">
        <v>0.0539560003869818</v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3.811471415335908</v>
      </c>
      <c r="S31" s="32" t="n">
        <v>0</v>
      </c>
      <c r="T31" s="32" t="n">
        <v>0.1061986465549181</v>
      </c>
      <c r="U31" s="32" t="n">
        <v>0.1783047207800428</v>
      </c>
      <c r="V31" s="32" t="n">
        <v>0.0764628833434679</v>
      </c>
      <c r="W31" s="32" t="n">
        <v>0</v>
      </c>
      <c r="X31" s="32" t="n">
        <v>0</v>
      </c>
      <c r="Y31" s="32" t="n">
        <v>0</v>
      </c>
      <c r="Z31" s="32" t="n">
        <v>0</v>
      </c>
      <c r="AA31" s="32" t="n">
        <v>0.08134646344720151</v>
      </c>
      <c r="AB31" s="32" t="n">
        <v>0</v>
      </c>
      <c r="AC31" s="32" t="n">
        <v>0</v>
      </c>
      <c r="AD31" s="32" t="n">
        <v>14.50939825327553</v>
      </c>
      <c r="AE31" s="32" t="n">
        <v>0.805260244323641</v>
      </c>
      <c r="AF31" s="32" t="n">
        <v>0</v>
      </c>
      <c r="AG31" s="32" t="n">
        <v>0</v>
      </c>
      <c r="AH31" s="32" t="n">
        <v>0.02395476051547004</v>
      </c>
      <c r="AI31" s="32" t="n">
        <v>0.2655827318187403</v>
      </c>
      <c r="AJ31" s="32" t="n">
        <v>0</v>
      </c>
      <c r="AK31" s="32" t="n">
        <v>0</v>
      </c>
      <c r="AL31" s="32" t="n">
        <v>0.1175157826966169</v>
      </c>
      <c r="AM31" s="32" t="n">
        <v>0</v>
      </c>
      <c r="AN31" s="32" t="n">
        <v>0</v>
      </c>
      <c r="AO31" s="33" t="n">
        <v>20.02945190247852</v>
      </c>
      <c r="AP31" s="32" t="n">
        <v>44.6622965130742</v>
      </c>
      <c r="AQ31" s="32" t="n">
        <v>18.72034271367806</v>
      </c>
      <c r="AR31" s="33" t="n">
        <v>63.38263922675227</v>
      </c>
      <c r="AS31" s="33" t="n">
        <v>4.402695706146865</v>
      </c>
      <c r="AT31" s="32" t="n">
        <v>214.7774418562533</v>
      </c>
      <c r="AU31" s="32" t="n">
        <v>0.3468697731696563</v>
      </c>
      <c r="AV31" s="33" t="n">
        <v>215.124311629423</v>
      </c>
      <c r="AW31" s="33" t="n">
        <v>282.9096465623221</v>
      </c>
      <c r="AX31" s="34" t="n">
        <v>302.9390984648006</v>
      </c>
    </row>
    <row r="32" ht="39" customHeight="1">
      <c r="A32" s="21" t="inlineStr">
        <is>
          <t>73-75</t>
        </is>
      </c>
      <c r="B32" s="16" t="inlineStr">
        <is>
          <t xml:space="preserve">Advertising and market research services; other professional, scientific and technical services; veterinary services </t>
        </is>
      </c>
      <c r="C32" s="32" t="n">
        <v>14.48878240647676</v>
      </c>
      <c r="D32" s="32" t="n">
        <v>0</v>
      </c>
      <c r="E32" s="32" t="n">
        <v>69.37416399202355</v>
      </c>
      <c r="F32" s="32" t="n">
        <v>0.5162827991902252</v>
      </c>
      <c r="G32" s="32" t="n">
        <v>0.7389309075407677</v>
      </c>
      <c r="H32" s="32" t="n">
        <v>0</v>
      </c>
      <c r="I32" s="32" t="n">
        <v>2.084315729057074</v>
      </c>
      <c r="J32" s="32" t="n">
        <v>6.935283934453723</v>
      </c>
      <c r="K32" s="32" t="n">
        <v>3.078455760447901</v>
      </c>
      <c r="L32" s="32" t="n">
        <v>0.00981326185472153</v>
      </c>
      <c r="M32" s="32" t="n">
        <v>0</v>
      </c>
      <c r="N32" s="32" t="n">
        <v>0</v>
      </c>
      <c r="O32" s="32" t="n">
        <v>0</v>
      </c>
      <c r="P32" s="32" t="n">
        <v>0.0344602563265005</v>
      </c>
      <c r="Q32" s="32" t="n">
        <v>0.4778222481125423</v>
      </c>
      <c r="R32" s="32" t="n">
        <v>0.831760556655691</v>
      </c>
      <c r="S32" s="32" t="n">
        <v>1.312852123953355</v>
      </c>
      <c r="T32" s="32" t="n">
        <v>13.10915660077015</v>
      </c>
      <c r="U32" s="32" t="n">
        <v>345.7814308882524</v>
      </c>
      <c r="V32" s="32" t="n">
        <v>6.266277760085984</v>
      </c>
      <c r="W32" s="32" t="n">
        <v>23.53116973541208</v>
      </c>
      <c r="X32" s="32" t="n">
        <v>16.8877275529042</v>
      </c>
      <c r="Y32" s="32" t="n">
        <v>3.389900243265783</v>
      </c>
      <c r="Z32" s="32" t="n">
        <v>15.52670651703123</v>
      </c>
      <c r="AA32" s="32" t="n">
        <v>105.5603800106389</v>
      </c>
      <c r="AB32" s="32" t="n">
        <v>0.7960434534256472</v>
      </c>
      <c r="AC32" s="32" t="n">
        <v>13.83576845999704</v>
      </c>
      <c r="AD32" s="32" t="n">
        <v>0.09928539360403722</v>
      </c>
      <c r="AE32" s="32" t="n">
        <v>62.09588804308966</v>
      </c>
      <c r="AF32" s="32" t="n">
        <v>0.6893553010487685</v>
      </c>
      <c r="AG32" s="32" t="n">
        <v>76.11227365584152</v>
      </c>
      <c r="AH32" s="32" t="n">
        <v>21.00727325445212</v>
      </c>
      <c r="AI32" s="32" t="n">
        <v>8.032186065777704</v>
      </c>
      <c r="AJ32" s="32" t="n">
        <v>2.026593646565547</v>
      </c>
      <c r="AK32" s="32" t="n">
        <v>9.154494643554921</v>
      </c>
      <c r="AL32" s="32" t="n">
        <v>2.304204174868568</v>
      </c>
      <c r="AM32" s="32" t="n">
        <v>0</v>
      </c>
      <c r="AN32" s="32" t="n">
        <v>0</v>
      </c>
      <c r="AO32" s="33" t="n">
        <v>826.0890393766791</v>
      </c>
      <c r="AP32" s="32" t="n">
        <v>67.74914953203884</v>
      </c>
      <c r="AQ32" s="32" t="n">
        <v>0</v>
      </c>
      <c r="AR32" s="33" t="n">
        <v>67.74914953203884</v>
      </c>
      <c r="AS32" s="33" t="n">
        <v>0.007956570536673898</v>
      </c>
      <c r="AT32" s="32" t="n">
        <v>0</v>
      </c>
      <c r="AU32" s="32" t="n">
        <v>0</v>
      </c>
      <c r="AV32" s="33" t="n">
        <v>0</v>
      </c>
      <c r="AW32" s="33" t="n">
        <v>67.75710610257552</v>
      </c>
      <c r="AX32" s="34" t="n">
        <v>893.8461454792545</v>
      </c>
    </row>
    <row r="33">
      <c r="A33" s="21" t="inlineStr">
        <is>
          <t>77-82</t>
        </is>
      </c>
      <c r="B33" s="16" t="inlineStr">
        <is>
          <t>Administrative and support services</t>
        </is>
      </c>
      <c r="C33" s="32" t="n">
        <v>42.7672462588898</v>
      </c>
      <c r="D33" s="32" t="n">
        <v>27.90688044924694</v>
      </c>
      <c r="E33" s="32" t="n">
        <v>43.78836865568381</v>
      </c>
      <c r="F33" s="32" t="n">
        <v>0.5353904565511736</v>
      </c>
      <c r="G33" s="32" t="n">
        <v>17.93577138866884</v>
      </c>
      <c r="H33" s="32" t="n">
        <v>0</v>
      </c>
      <c r="I33" s="32" t="n">
        <v>1.182535917122808</v>
      </c>
      <c r="J33" s="32" t="n">
        <v>0.601118627254433</v>
      </c>
      <c r="K33" s="32" t="n">
        <v>31.94271607984967</v>
      </c>
      <c r="L33" s="32" t="n">
        <v>0.5144287440819756</v>
      </c>
      <c r="M33" s="32" t="n">
        <v>0</v>
      </c>
      <c r="N33" s="32" t="n">
        <v>0.004001184526968154</v>
      </c>
      <c r="O33" s="32" t="n">
        <v>0.1496825572333145</v>
      </c>
      <c r="P33" s="32" t="n">
        <v>1.080284563249096</v>
      </c>
      <c r="Q33" s="32" t="n">
        <v>0.4298966442006201</v>
      </c>
      <c r="R33" s="32" t="n">
        <v>7.727562857695101</v>
      </c>
      <c r="S33" s="32" t="n">
        <v>2.65766233199596</v>
      </c>
      <c r="T33" s="32" t="n">
        <v>193.5720092487537</v>
      </c>
      <c r="U33" s="32" t="n">
        <v>203.4022039423616</v>
      </c>
      <c r="V33" s="32" t="n">
        <v>126.5052991046995</v>
      </c>
      <c r="W33" s="32" t="n">
        <v>97.62141303534143</v>
      </c>
      <c r="X33" s="32" t="n">
        <v>85.89590745626391</v>
      </c>
      <c r="Y33" s="32" t="n">
        <v>2.601619541919201</v>
      </c>
      <c r="Z33" s="32" t="n">
        <v>82.18832251805036</v>
      </c>
      <c r="AA33" s="32" t="n">
        <v>184.637474056732</v>
      </c>
      <c r="AB33" s="32" t="n">
        <v>19.96985114584442</v>
      </c>
      <c r="AC33" s="32" t="n">
        <v>24.95552233999562</v>
      </c>
      <c r="AD33" s="32" t="n">
        <v>0.3858759417042535</v>
      </c>
      <c r="AE33" s="32" t="n">
        <v>3.939569235947045</v>
      </c>
      <c r="AF33" s="32" t="n">
        <v>208.6511332195504</v>
      </c>
      <c r="AG33" s="32" t="n">
        <v>90.83383915789091</v>
      </c>
      <c r="AH33" s="32" t="n">
        <v>11.27489560157169</v>
      </c>
      <c r="AI33" s="32" t="n">
        <v>24.81238553949454</v>
      </c>
      <c r="AJ33" s="32" t="n">
        <v>11.50741288236155</v>
      </c>
      <c r="AK33" s="32" t="n">
        <v>22.89461528751126</v>
      </c>
      <c r="AL33" s="32" t="n">
        <v>1.884246614206232</v>
      </c>
      <c r="AM33" s="32" t="n">
        <v>0</v>
      </c>
      <c r="AN33" s="32" t="n">
        <v>0</v>
      </c>
      <c r="AO33" s="33" t="n">
        <v>1576.75714258645</v>
      </c>
      <c r="AP33" s="32" t="n">
        <v>506.3390421157071</v>
      </c>
      <c r="AQ33" s="32" t="n">
        <v>0</v>
      </c>
      <c r="AR33" s="33" t="n">
        <v>506.3390421157071</v>
      </c>
      <c r="AS33" s="33" t="n">
        <v>295.8691533153117</v>
      </c>
      <c r="AT33" s="32" t="n">
        <v>0</v>
      </c>
      <c r="AU33" s="32" t="n">
        <v>0</v>
      </c>
      <c r="AV33" s="33" t="n">
        <v>0</v>
      </c>
      <c r="AW33" s="33" t="n">
        <v>802.2081954310189</v>
      </c>
      <c r="AX33" s="34" t="n">
        <v>2378.965338017469</v>
      </c>
    </row>
    <row r="34" ht="26.25" customHeight="1">
      <c r="A34" s="21" t="n">
        <v>84</v>
      </c>
      <c r="B34" s="23" t="inlineStr">
        <is>
          <t xml:space="preserve">Public administration and defence services; compulsory social security services </t>
        </is>
      </c>
      <c r="C34" s="32" t="n">
        <v>0.00550377015870532</v>
      </c>
      <c r="D34" s="32" t="n">
        <v>0</v>
      </c>
      <c r="E34" s="32" t="n">
        <v>0</v>
      </c>
      <c r="F34" s="32" t="n">
        <v>0</v>
      </c>
      <c r="G34" s="32" t="n">
        <v>0</v>
      </c>
      <c r="H34" s="32" t="n">
        <v>0</v>
      </c>
      <c r="I34" s="32" t="n">
        <v>0</v>
      </c>
      <c r="J34" s="32" t="n">
        <v>0</v>
      </c>
      <c r="K34" s="32" t="n">
        <v>0</v>
      </c>
      <c r="L34" s="32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0.5406772619989785</v>
      </c>
      <c r="S34" s="32" t="n">
        <v>0.03177440198155929</v>
      </c>
      <c r="T34" s="32" t="n">
        <v>0.04242742569054612</v>
      </c>
      <c r="U34" s="32" t="n">
        <v>0.01280582832363721</v>
      </c>
      <c r="V34" s="32" t="n">
        <v>0.01545597798625507</v>
      </c>
      <c r="W34" s="32" t="n">
        <v>0</v>
      </c>
      <c r="X34" s="32" t="n">
        <v>0</v>
      </c>
      <c r="Y34" s="32" t="n">
        <v>0</v>
      </c>
      <c r="Z34" s="32" t="n">
        <v>0.3831904555359351</v>
      </c>
      <c r="AA34" s="32" t="n">
        <v>0.04143899510690351</v>
      </c>
      <c r="AB34" s="32" t="n">
        <v>0</v>
      </c>
      <c r="AC34" s="32" t="n">
        <v>0</v>
      </c>
      <c r="AD34" s="32" t="n">
        <v>0.0002940000205061275</v>
      </c>
      <c r="AE34" s="32" t="n">
        <v>0.1402009105911224</v>
      </c>
      <c r="AF34" s="32" t="n">
        <v>0.01578116719516138</v>
      </c>
      <c r="AG34" s="32" t="n">
        <v>5.253025839999999</v>
      </c>
      <c r="AH34" s="32" t="n">
        <v>0.04824798416695114</v>
      </c>
      <c r="AI34" s="32" t="n">
        <v>6.153866846870746</v>
      </c>
      <c r="AJ34" s="32" t="n">
        <v>0</v>
      </c>
      <c r="AK34" s="32" t="n">
        <v>0.001500000104623099</v>
      </c>
      <c r="AL34" s="32" t="n">
        <v>0.02827897468290916</v>
      </c>
      <c r="AM34" s="32" t="n">
        <v>0</v>
      </c>
      <c r="AN34" s="32" t="n">
        <v>0</v>
      </c>
      <c r="AO34" s="33" t="n">
        <v>12.71446984041454</v>
      </c>
      <c r="AP34" s="32" t="n">
        <v>1426.256430159586</v>
      </c>
      <c r="AQ34" s="32" t="n">
        <v>6453.671410358173</v>
      </c>
      <c r="AR34" s="33" t="n">
        <v>7879.927840517758</v>
      </c>
      <c r="AS34" s="33" t="n">
        <v>0</v>
      </c>
      <c r="AT34" s="32" t="n">
        <v>0</v>
      </c>
      <c r="AU34" s="32" t="n">
        <v>0</v>
      </c>
      <c r="AV34" s="33" t="n">
        <v>0</v>
      </c>
      <c r="AW34" s="33" t="n">
        <v>7879.927840517758</v>
      </c>
      <c r="AX34" s="34" t="n">
        <v>7892.642310358173</v>
      </c>
    </row>
    <row r="35">
      <c r="A35" s="21" t="n">
        <v>85</v>
      </c>
      <c r="B35" s="23" t="inlineStr">
        <is>
          <t xml:space="preserve">Education services </t>
        </is>
      </c>
      <c r="C35" s="32" t="n">
        <v>0.01703785673459828</v>
      </c>
      <c r="D35" s="32" t="n">
        <v>0</v>
      </c>
      <c r="E35" s="32" t="n">
        <v>0.01032392425644737</v>
      </c>
      <c r="F35" s="32" t="n">
        <v>0</v>
      </c>
      <c r="G35" s="32" t="n">
        <v>0</v>
      </c>
      <c r="H35" s="32" t="n">
        <v>0</v>
      </c>
      <c r="I35" s="32" t="n">
        <v>0</v>
      </c>
      <c r="J35" s="32" t="n">
        <v>0</v>
      </c>
      <c r="K35" s="32" t="n">
        <v>2.232562856687316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0.0344547810394945</v>
      </c>
      <c r="Q35" s="32" t="n">
        <v>0.1463434529501252</v>
      </c>
      <c r="R35" s="32" t="n">
        <v>0.01426825136904039</v>
      </c>
      <c r="S35" s="32" t="n">
        <v>0.003823813861188163</v>
      </c>
      <c r="T35" s="32" t="n">
        <v>0.1032221777977809</v>
      </c>
      <c r="U35" s="32" t="n">
        <v>2.235919072410131</v>
      </c>
      <c r="V35" s="32" t="n">
        <v>1.36875368625681</v>
      </c>
      <c r="W35" s="32" t="n">
        <v>0.4504973392494396</v>
      </c>
      <c r="X35" s="32" t="n">
        <v>0.3808026243860427</v>
      </c>
      <c r="Y35" s="32" t="n">
        <v>0.7999906866610547</v>
      </c>
      <c r="Z35" s="32" t="n">
        <v>6.737716435120075</v>
      </c>
      <c r="AA35" s="32" t="n">
        <v>12.68709690143169</v>
      </c>
      <c r="AB35" s="32" t="n">
        <v>0.02751202453066111</v>
      </c>
      <c r="AC35" s="32" t="n">
        <v>0.005881917218995151</v>
      </c>
      <c r="AD35" s="32" t="n">
        <v>0.02822286000000001</v>
      </c>
      <c r="AE35" s="32" t="n">
        <v>0.5166874440753662</v>
      </c>
      <c r="AF35" s="32" t="n">
        <v>0.03997809618791667</v>
      </c>
      <c r="AG35" s="32" t="n">
        <v>9.862053550000001</v>
      </c>
      <c r="AH35" s="32" t="n">
        <v>7.734455620218432</v>
      </c>
      <c r="AI35" s="32" t="n">
        <v>0.2463647348070067</v>
      </c>
      <c r="AJ35" s="32" t="n">
        <v>6.623086197858763</v>
      </c>
      <c r="AK35" s="32" t="n">
        <v>94.19745837334739</v>
      </c>
      <c r="AL35" s="32" t="n">
        <v>4.040358432233994</v>
      </c>
      <c r="AM35" s="32" t="n">
        <v>0</v>
      </c>
      <c r="AN35" s="32" t="n">
        <v>0</v>
      </c>
      <c r="AO35" s="33" t="n">
        <v>150.5448731106898</v>
      </c>
      <c r="AP35" s="32" t="n">
        <v>2635.073425074225</v>
      </c>
      <c r="AQ35" s="32" t="n">
        <v>2875.084759268962</v>
      </c>
      <c r="AR35" s="33" t="n">
        <v>5510.158184343187</v>
      </c>
      <c r="AS35" s="33" t="n">
        <v>52.84362480203551</v>
      </c>
      <c r="AT35" s="32" t="n">
        <v>0</v>
      </c>
      <c r="AU35" s="32" t="n">
        <v>0</v>
      </c>
      <c r="AV35" s="33" t="n">
        <v>0</v>
      </c>
      <c r="AW35" s="33" t="n">
        <v>5563.001809145222</v>
      </c>
      <c r="AX35" s="34" t="n">
        <v>5713.546682255912</v>
      </c>
    </row>
    <row r="36">
      <c r="A36" s="21" t="n">
        <v>86</v>
      </c>
      <c r="B36" s="23" t="inlineStr">
        <is>
          <t xml:space="preserve">Human health services </t>
        </is>
      </c>
      <c r="C36" s="32" t="n">
        <v>0</v>
      </c>
      <c r="D36" s="32" t="n">
        <v>0</v>
      </c>
      <c r="E36" s="32" t="n">
        <v>0.006115852588295238</v>
      </c>
      <c r="F36" s="32" t="n">
        <v>0</v>
      </c>
      <c r="G36" s="32" t="n">
        <v>0</v>
      </c>
      <c r="H36" s="32" t="n">
        <v>0</v>
      </c>
      <c r="I36" s="32" t="n">
        <v>0</v>
      </c>
      <c r="J36" s="32" t="n">
        <v>0</v>
      </c>
      <c r="K36" s="32" t="n">
        <v>8.117117292765736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0.2204318546780936</v>
      </c>
      <c r="Q36" s="32" t="n">
        <v>0.01263034518729413</v>
      </c>
      <c r="R36" s="32" t="n">
        <v>0.02513995399505827</v>
      </c>
      <c r="S36" s="32" t="n">
        <v>0.06953808247245007</v>
      </c>
      <c r="T36" s="32" t="n">
        <v>0</v>
      </c>
      <c r="U36" s="32" t="n">
        <v>0</v>
      </c>
      <c r="V36" s="32" t="n">
        <v>0</v>
      </c>
      <c r="W36" s="32" t="n">
        <v>0</v>
      </c>
      <c r="X36" s="32" t="n">
        <v>0.02146022997799389</v>
      </c>
      <c r="Y36" s="32" t="n">
        <v>0.1239396721233628</v>
      </c>
      <c r="Z36" s="32" t="n">
        <v>0.3075054409876911</v>
      </c>
      <c r="AA36" s="32" t="n">
        <v>0.0002505517189550309</v>
      </c>
      <c r="AB36" s="32" t="n">
        <v>0.2152487007715402</v>
      </c>
      <c r="AC36" s="32" t="n">
        <v>3.831228807930651</v>
      </c>
      <c r="AD36" s="32" t="n">
        <v>0.08198235756246867</v>
      </c>
      <c r="AE36" s="32" t="n">
        <v>0</v>
      </c>
      <c r="AF36" s="32" t="n">
        <v>0.002397829204503282</v>
      </c>
      <c r="AG36" s="32" t="n">
        <v>30.81050803</v>
      </c>
      <c r="AH36" s="32" t="n">
        <v>20.69524905826791</v>
      </c>
      <c r="AI36" s="32" t="n">
        <v>230.7047673148966</v>
      </c>
      <c r="AJ36" s="32" t="n">
        <v>4.025509214567235</v>
      </c>
      <c r="AK36" s="32" t="n">
        <v>0.3342609681648914</v>
      </c>
      <c r="AL36" s="32" t="n">
        <v>0.2375858739456406</v>
      </c>
      <c r="AM36" s="32" t="n">
        <v>0</v>
      </c>
      <c r="AN36" s="32" t="n">
        <v>0</v>
      </c>
      <c r="AO36" s="33" t="n">
        <v>299.8428674318063</v>
      </c>
      <c r="AP36" s="32" t="n">
        <v>1929.04488649117</v>
      </c>
      <c r="AQ36" s="32" t="n">
        <v>2034.512128055413</v>
      </c>
      <c r="AR36" s="33" t="n">
        <v>3963.557014546584</v>
      </c>
      <c r="AS36" s="33" t="n">
        <v>5.225428835415971</v>
      </c>
      <c r="AT36" s="32" t="n">
        <v>0</v>
      </c>
      <c r="AU36" s="32" t="n">
        <v>0</v>
      </c>
      <c r="AV36" s="33" t="n">
        <v>0</v>
      </c>
      <c r="AW36" s="33" t="n">
        <v>3968.782443382</v>
      </c>
      <c r="AX36" s="34" t="n">
        <v>4268.625310813806</v>
      </c>
    </row>
    <row r="37">
      <c r="A37" s="21" t="inlineStr">
        <is>
          <t>87-88</t>
        </is>
      </c>
      <c r="B37" s="16" t="inlineStr">
        <is>
          <t xml:space="preserve">Social work services </t>
        </is>
      </c>
      <c r="C37" s="32" t="n">
        <v>0</v>
      </c>
      <c r="D37" s="32" t="n">
        <v>0</v>
      </c>
      <c r="E37" s="32" t="n">
        <v>0</v>
      </c>
      <c r="F37" s="32" t="n">
        <v>0</v>
      </c>
      <c r="G37" s="32" t="n">
        <v>0</v>
      </c>
      <c r="H37" s="32" t="n">
        <v>0</v>
      </c>
      <c r="I37" s="32" t="n">
        <v>0</v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32" t="n">
        <v>0</v>
      </c>
      <c r="W37" s="32" t="n">
        <v>0</v>
      </c>
      <c r="X37" s="32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32" t="n">
        <v>0</v>
      </c>
      <c r="AK37" s="32" t="n">
        <v>0</v>
      </c>
      <c r="AL37" s="32" t="n">
        <v>0</v>
      </c>
      <c r="AM37" s="32" t="n">
        <v>0</v>
      </c>
      <c r="AN37" s="32" t="n">
        <v>0</v>
      </c>
      <c r="AO37" s="33" t="n">
        <v>0</v>
      </c>
      <c r="AP37" s="32" t="n">
        <v>373.4486257137909</v>
      </c>
      <c r="AQ37" s="32" t="n">
        <v>5.673250364490143</v>
      </c>
      <c r="AR37" s="33" t="n">
        <v>379.121876078281</v>
      </c>
      <c r="AS37" s="33" t="n">
        <v>0</v>
      </c>
      <c r="AT37" s="32" t="n">
        <v>0</v>
      </c>
      <c r="AU37" s="32" t="n">
        <v>0</v>
      </c>
      <c r="AV37" s="33" t="n">
        <v>0</v>
      </c>
      <c r="AW37" s="33" t="n">
        <v>379.121876078281</v>
      </c>
      <c r="AX37" s="34" t="n">
        <v>379.121876078281</v>
      </c>
    </row>
    <row r="38">
      <c r="A38" s="21" t="inlineStr">
        <is>
          <t>90-93</t>
        </is>
      </c>
      <c r="B38" s="16" t="inlineStr">
        <is>
          <t xml:space="preserve">Arts, entertainment and recreation services </t>
        </is>
      </c>
      <c r="C38" s="32" t="n">
        <v>0</v>
      </c>
      <c r="D38" s="32" t="n">
        <v>0</v>
      </c>
      <c r="E38" s="32" t="n">
        <v>0</v>
      </c>
      <c r="F38" s="32" t="n">
        <v>0</v>
      </c>
      <c r="G38" s="32" t="n">
        <v>0</v>
      </c>
      <c r="H38" s="32" t="n">
        <v>0</v>
      </c>
      <c r="I38" s="32" t="n">
        <v>0</v>
      </c>
      <c r="J38" s="32" t="n">
        <v>0</v>
      </c>
      <c r="K38" s="32" t="n">
        <v>1.91533517300628</v>
      </c>
      <c r="L38" s="32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0.002622711058815635</v>
      </c>
      <c r="T38" s="32" t="n">
        <v>0</v>
      </c>
      <c r="U38" s="32" t="n">
        <v>0</v>
      </c>
      <c r="V38" s="32" t="n">
        <v>0.4232712681684503</v>
      </c>
      <c r="W38" s="32" t="n">
        <v>1.632058610744908</v>
      </c>
      <c r="X38" s="32" t="n">
        <v>0.5436796069968332</v>
      </c>
      <c r="Y38" s="32" t="n">
        <v>0</v>
      </c>
      <c r="Z38" s="32" t="n">
        <v>1.392660121228971</v>
      </c>
      <c r="AA38" s="32" t="n">
        <v>8.997766754618961</v>
      </c>
      <c r="AB38" s="32" t="n">
        <v>0</v>
      </c>
      <c r="AC38" s="32" t="n">
        <v>0.005361624462816511</v>
      </c>
      <c r="AD38" s="32" t="n">
        <v>0.01766627382473208</v>
      </c>
      <c r="AE38" s="32" t="n">
        <v>0</v>
      </c>
      <c r="AF38" s="32" t="n">
        <v>0.1314697753548216</v>
      </c>
      <c r="AG38" s="32" t="n">
        <v>117.7918353738091</v>
      </c>
      <c r="AH38" s="32" t="n">
        <v>9.215731245727005</v>
      </c>
      <c r="AI38" s="32" t="n">
        <v>0</v>
      </c>
      <c r="AJ38" s="32" t="n">
        <v>0</v>
      </c>
      <c r="AK38" s="32" t="n">
        <v>923.1624434034685</v>
      </c>
      <c r="AL38" s="32" t="n">
        <v>14.27068492371912</v>
      </c>
      <c r="AM38" s="32" t="n">
        <v>0</v>
      </c>
      <c r="AN38" s="32" t="n">
        <v>0</v>
      </c>
      <c r="AO38" s="33" t="n">
        <v>1079.502586866189</v>
      </c>
      <c r="AP38" s="32" t="n">
        <v>2707.257018132707</v>
      </c>
      <c r="AQ38" s="32" t="n">
        <v>386.9607574213347</v>
      </c>
      <c r="AR38" s="33" t="n">
        <v>3094.217775554042</v>
      </c>
      <c r="AS38" s="33" t="n">
        <v>1809.101592100711</v>
      </c>
      <c r="AT38" s="32" t="n">
        <v>0</v>
      </c>
      <c r="AU38" s="32" t="n">
        <v>0</v>
      </c>
      <c r="AV38" s="33" t="n">
        <v>0</v>
      </c>
      <c r="AW38" s="33" t="n">
        <v>4903.319367654753</v>
      </c>
      <c r="AX38" s="34" t="n">
        <v>5982.821954520941</v>
      </c>
    </row>
    <row r="39">
      <c r="A39" s="21" t="inlineStr">
        <is>
          <t>94-96</t>
        </is>
      </c>
      <c r="B39" s="16" t="inlineStr">
        <is>
          <t>Other services</t>
        </is>
      </c>
      <c r="C39" s="32" t="n">
        <v>0</v>
      </c>
      <c r="D39" s="32" t="n">
        <v>0</v>
      </c>
      <c r="E39" s="32" t="n">
        <v>1.245508332972812</v>
      </c>
      <c r="F39" s="32" t="n">
        <v>1.206228814851173</v>
      </c>
      <c r="G39" s="32" t="n">
        <v>1.02436214806457</v>
      </c>
      <c r="H39" s="32" t="n">
        <v>0</v>
      </c>
      <c r="I39" s="32" t="n">
        <v>0</v>
      </c>
      <c r="J39" s="32" t="n">
        <v>0.08681503580403988</v>
      </c>
      <c r="K39" s="32" t="n">
        <v>0.2337544482417477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0.07597576148567105</v>
      </c>
      <c r="R39" s="32" t="n">
        <v>21.97266592995884</v>
      </c>
      <c r="S39" s="32" t="n">
        <v>1.643123751134926</v>
      </c>
      <c r="T39" s="32" t="n">
        <v>5.153261480681941</v>
      </c>
      <c r="U39" s="32" t="n">
        <v>26.92189443871331</v>
      </c>
      <c r="V39" s="32" t="n">
        <v>3.654121305515099</v>
      </c>
      <c r="W39" s="32" t="n">
        <v>9.012174870163602</v>
      </c>
      <c r="X39" s="32" t="n">
        <v>6.012778275938967</v>
      </c>
      <c r="Y39" s="32" t="n">
        <v>0</v>
      </c>
      <c r="Z39" s="32" t="n">
        <v>64.77938237293911</v>
      </c>
      <c r="AA39" s="32" t="n">
        <v>46.587595764124</v>
      </c>
      <c r="AB39" s="32" t="n">
        <v>0.00211172061425417</v>
      </c>
      <c r="AC39" s="32" t="n">
        <v>1.241402964488182</v>
      </c>
      <c r="AD39" s="32" t="n">
        <v>0</v>
      </c>
      <c r="AE39" s="32" t="n">
        <v>0.2370490627075272</v>
      </c>
      <c r="AF39" s="32" t="n">
        <v>0.03261334913623334</v>
      </c>
      <c r="AG39" s="32" t="n">
        <v>10.44629443873074</v>
      </c>
      <c r="AH39" s="32" t="n">
        <v>0.7674428135339904</v>
      </c>
      <c r="AI39" s="32" t="n">
        <v>3.47673511088227</v>
      </c>
      <c r="AJ39" s="32" t="n">
        <v>0.005525021254569206</v>
      </c>
      <c r="AK39" s="32" t="n">
        <v>0.3949582620087853</v>
      </c>
      <c r="AL39" s="32" t="n">
        <v>3.14361231972339</v>
      </c>
      <c r="AM39" s="32" t="n">
        <v>0</v>
      </c>
      <c r="AN39" s="32" t="n">
        <v>0</v>
      </c>
      <c r="AO39" s="33" t="n">
        <v>209.3573877936697</v>
      </c>
      <c r="AP39" s="32" t="n">
        <v>1234.947649957308</v>
      </c>
      <c r="AQ39" s="32" t="n">
        <v>1.751995846717309</v>
      </c>
      <c r="AR39" s="33" t="n">
        <v>1236.699645804026</v>
      </c>
      <c r="AS39" s="33" t="n">
        <v>5.755239225664452</v>
      </c>
      <c r="AT39" s="32" t="n">
        <v>0</v>
      </c>
      <c r="AU39" s="32" t="n">
        <v>0</v>
      </c>
      <c r="AV39" s="33" t="n">
        <v>0</v>
      </c>
      <c r="AW39" s="33" t="n">
        <v>1242.45488502969</v>
      </c>
      <c r="AX39" s="34" t="n">
        <v>1451.81227282336</v>
      </c>
    </row>
    <row r="40" ht="51.75" customHeight="1">
      <c r="A40" s="21" t="inlineStr">
        <is>
          <t>97-98</t>
        </is>
      </c>
      <c r="B40" s="1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2" t="n">
        <v>0</v>
      </c>
      <c r="D40" s="32" t="n">
        <v>0</v>
      </c>
      <c r="E40" s="32" t="n">
        <v>0</v>
      </c>
      <c r="F40" s="32" t="n">
        <v>0</v>
      </c>
      <c r="G40" s="32" t="n">
        <v>0</v>
      </c>
      <c r="H40" s="32" t="n">
        <v>0</v>
      </c>
      <c r="I40" s="32" t="n">
        <v>0</v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0</v>
      </c>
      <c r="S40" s="32" t="n">
        <v>0</v>
      </c>
      <c r="T40" s="32" t="n">
        <v>0</v>
      </c>
      <c r="U40" s="32" t="n">
        <v>0</v>
      </c>
      <c r="V40" s="32" t="n">
        <v>0</v>
      </c>
      <c r="W40" s="32" t="n">
        <v>0</v>
      </c>
      <c r="X40" s="32" t="n">
        <v>0</v>
      </c>
      <c r="Y40" s="32" t="n">
        <v>0</v>
      </c>
      <c r="Z40" s="32" t="n">
        <v>0</v>
      </c>
      <c r="AA40" s="32" t="n">
        <v>0</v>
      </c>
      <c r="AB40" s="32" t="n">
        <v>0</v>
      </c>
      <c r="AC40" s="32" t="n">
        <v>0</v>
      </c>
      <c r="AD40" s="32" t="n">
        <v>0</v>
      </c>
      <c r="AE40" s="32" t="n">
        <v>0</v>
      </c>
      <c r="AF40" s="32" t="n">
        <v>0</v>
      </c>
      <c r="AG40" s="32" t="n">
        <v>0</v>
      </c>
      <c r="AH40" s="32" t="n">
        <v>0</v>
      </c>
      <c r="AI40" s="32" t="n">
        <v>0</v>
      </c>
      <c r="AJ40" s="32" t="n">
        <v>0</v>
      </c>
      <c r="AK40" s="32" t="n">
        <v>0</v>
      </c>
      <c r="AL40" s="32" t="n">
        <v>0</v>
      </c>
      <c r="AM40" s="32" t="n">
        <v>0</v>
      </c>
      <c r="AN40" s="32" t="n">
        <v>0</v>
      </c>
      <c r="AO40" s="33" t="n">
        <v>0</v>
      </c>
      <c r="AP40" s="32" t="n">
        <v>95.18079988198781</v>
      </c>
      <c r="AQ40" s="32" t="n">
        <v>0</v>
      </c>
      <c r="AR40" s="33" t="n">
        <v>95.18079988198781</v>
      </c>
      <c r="AS40" s="33" t="n">
        <v>0</v>
      </c>
      <c r="AT40" s="32" t="n">
        <v>0</v>
      </c>
      <c r="AU40" s="32" t="n">
        <v>0</v>
      </c>
      <c r="AV40" s="33" t="n">
        <v>0</v>
      </c>
      <c r="AW40" s="33" t="n">
        <v>95.18079988198781</v>
      </c>
      <c r="AX40" s="34" t="n">
        <v>95.18079988198781</v>
      </c>
    </row>
    <row r="41" ht="26.25" customHeight="1">
      <c r="A41" s="21" t="inlineStr">
        <is>
          <t>99</t>
        </is>
      </c>
      <c r="B41" s="23" t="inlineStr">
        <is>
          <t>Services provided by extraterritorial organisations and bodies</t>
        </is>
      </c>
      <c r="C41" s="32" t="n">
        <v>0</v>
      </c>
      <c r="D41" s="32" t="n">
        <v>0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32" t="n">
        <v>0</v>
      </c>
      <c r="W41" s="32" t="n">
        <v>0</v>
      </c>
      <c r="X41" s="32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32" t="n">
        <v>0</v>
      </c>
      <c r="AK41" s="32" t="n">
        <v>0</v>
      </c>
      <c r="AL41" s="32" t="n">
        <v>0</v>
      </c>
      <c r="AM41" s="32" t="n">
        <v>0</v>
      </c>
      <c r="AN41" s="32" t="n">
        <v>0</v>
      </c>
      <c r="AO41" s="33" t="n">
        <v>0</v>
      </c>
      <c r="AP41" s="32" t="n">
        <v>0</v>
      </c>
      <c r="AQ41" s="32" t="n">
        <v>0</v>
      </c>
      <c r="AR41" s="33" t="n">
        <v>0</v>
      </c>
      <c r="AS41" s="33" t="n">
        <v>0</v>
      </c>
      <c r="AT41" s="32" t="n">
        <v>0</v>
      </c>
      <c r="AU41" s="32" t="n">
        <v>0</v>
      </c>
      <c r="AV41" s="33" t="n">
        <v>0</v>
      </c>
      <c r="AW41" s="33" t="n">
        <v>0</v>
      </c>
      <c r="AX41" s="34" t="n">
        <v>0</v>
      </c>
    </row>
    <row r="42">
      <c r="A42" s="24" t="n"/>
      <c r="B42" s="35" t="inlineStr">
        <is>
          <t>Total</t>
        </is>
      </c>
      <c r="C42" s="36" t="n">
        <v>2979.544567744408</v>
      </c>
      <c r="D42" s="36" t="n">
        <v>1519.075196549027</v>
      </c>
      <c r="E42" s="36" t="n">
        <v>10051.58635193115</v>
      </c>
      <c r="F42" s="36" t="n">
        <v>424.5976093260473</v>
      </c>
      <c r="G42" s="36" t="n">
        <v>487.4234069111333</v>
      </c>
      <c r="H42" s="36" t="n">
        <v>248.6839405131606</v>
      </c>
      <c r="I42" s="36" t="n">
        <v>452.6916133262023</v>
      </c>
      <c r="J42" s="36" t="n">
        <v>219.3485578271174</v>
      </c>
      <c r="K42" s="36" t="n">
        <v>2613.496726625985</v>
      </c>
      <c r="L42" s="36" t="n">
        <v>2253.053289692418</v>
      </c>
      <c r="M42" s="36" t="n">
        <v>1.669983880566651</v>
      </c>
      <c r="N42" s="36" t="n">
        <v>199.0223711421679</v>
      </c>
      <c r="O42" s="36" t="n">
        <v>44.22016542985311</v>
      </c>
      <c r="P42" s="36" t="n">
        <v>53.32758313651705</v>
      </c>
      <c r="Q42" s="36" t="n">
        <v>412.7791160594511</v>
      </c>
      <c r="R42" s="36" t="n">
        <v>999.9732853637728</v>
      </c>
      <c r="S42" s="36" t="n">
        <v>389.4327468640234</v>
      </c>
      <c r="T42" s="36" t="n">
        <v>12129.25301685184</v>
      </c>
      <c r="U42" s="36" t="n">
        <v>6916.072162131887</v>
      </c>
      <c r="V42" s="36" t="n">
        <v>4768.148530480129</v>
      </c>
      <c r="W42" s="36" t="n">
        <v>3464.585976417334</v>
      </c>
      <c r="X42" s="36" t="n">
        <v>593.4828515454666</v>
      </c>
      <c r="Y42" s="36" t="n">
        <v>500.3869046152538</v>
      </c>
      <c r="Z42" s="36" t="n">
        <v>1158.391502923484</v>
      </c>
      <c r="AA42" s="36" t="n">
        <v>1707.349176751153</v>
      </c>
      <c r="AB42" s="36" t="n">
        <v>1917.148092041886</v>
      </c>
      <c r="AC42" s="36" t="n">
        <v>448.1038164217514</v>
      </c>
      <c r="AD42" s="36" t="n">
        <v>66.94172469064655</v>
      </c>
      <c r="AE42" s="36" t="n">
        <v>348.5098515392372</v>
      </c>
      <c r="AF42" s="36" t="n">
        <v>690.7622998023834</v>
      </c>
      <c r="AG42" s="36" t="n">
        <v>2345.973824945204</v>
      </c>
      <c r="AH42" s="36" t="n">
        <v>875.5042171578046</v>
      </c>
      <c r="AI42" s="36" t="n">
        <v>1353.497293401428</v>
      </c>
      <c r="AJ42" s="36" t="n">
        <v>260.5068939887066</v>
      </c>
      <c r="AK42" s="36" t="n">
        <v>2496.924934227824</v>
      </c>
      <c r="AL42" s="36" t="n">
        <v>511.1816388876072</v>
      </c>
      <c r="AM42" s="36" t="n">
        <v>0</v>
      </c>
      <c r="AN42" s="36" t="n">
        <v>0</v>
      </c>
      <c r="AO42" s="36" t="n">
        <v>65902.65122114403</v>
      </c>
      <c r="AP42" s="36" t="n">
        <v>65515.19636787123</v>
      </c>
      <c r="AQ42" s="36" t="n">
        <v>11996.9573963682</v>
      </c>
      <c r="AR42" s="36" t="n">
        <v>77512.15376423944</v>
      </c>
      <c r="AS42" s="36" t="n">
        <v>44478.6624414516</v>
      </c>
      <c r="AT42" s="36" t="n">
        <v>19830.34269783408</v>
      </c>
      <c r="AU42" s="36" t="n">
        <v>2960.017673983411</v>
      </c>
      <c r="AV42" s="36" t="n">
        <v>22790.36037181749</v>
      </c>
      <c r="AW42" s="36" t="n">
        <v>144781.1765775085</v>
      </c>
      <c r="AX42" s="37" t="n">
        <v>210683.8277986525</v>
      </c>
    </row>
    <row r="43">
      <c r="A43" s="38" t="inlineStr">
        <is>
          <t>D.1</t>
        </is>
      </c>
      <c r="B43" s="39" t="inlineStr">
        <is>
          <t>Compensation of employees</t>
        </is>
      </c>
      <c r="C43" s="40" t="n">
        <v>406.2761487106904</v>
      </c>
      <c r="D43" s="40" t="n">
        <v>359.8149039677978</v>
      </c>
      <c r="E43" s="40" t="n">
        <v>1083.260085775832</v>
      </c>
      <c r="F43" s="40" t="n">
        <v>140.891471074077</v>
      </c>
      <c r="G43" s="40" t="n">
        <v>112.0358652413222</v>
      </c>
      <c r="H43" s="40" t="n">
        <v>8.292097676641237</v>
      </c>
      <c r="I43" s="40" t="n">
        <v>109.5744900328718</v>
      </c>
      <c r="J43" s="40" t="n">
        <v>82.83018433083456</v>
      </c>
      <c r="K43" s="40" t="n">
        <v>316.1387241327423</v>
      </c>
      <c r="L43" s="40" t="n">
        <v>306.1090853298338</v>
      </c>
      <c r="M43" s="40" t="n">
        <v>0.7536985715060296</v>
      </c>
      <c r="N43" s="40" t="n">
        <v>35.34773011930865</v>
      </c>
      <c r="O43" s="40" t="n">
        <v>10.21421239381965</v>
      </c>
      <c r="P43" s="40" t="n">
        <v>10.91180827761057</v>
      </c>
      <c r="Q43" s="40" t="n">
        <v>139.2637584321449</v>
      </c>
      <c r="R43" s="40" t="n">
        <v>487.6748582070903</v>
      </c>
      <c r="S43" s="40" t="n">
        <v>383.4644404398172</v>
      </c>
      <c r="T43" s="40" t="n">
        <v>2139.928268241405</v>
      </c>
      <c r="U43" s="40" t="n">
        <v>4752.333672678418</v>
      </c>
      <c r="V43" s="40" t="n">
        <v>1657.240440375963</v>
      </c>
      <c r="W43" s="40" t="n">
        <v>842.554182998079</v>
      </c>
      <c r="X43" s="40" t="n">
        <v>485.6375631485636</v>
      </c>
      <c r="Y43" s="40" t="n">
        <v>451.3679416511767</v>
      </c>
      <c r="Z43" s="40" t="n">
        <v>1513.131768931664</v>
      </c>
      <c r="AA43" s="40" t="n">
        <v>2045.079312199719</v>
      </c>
      <c r="AB43" s="40" t="n">
        <v>453.7407926949239</v>
      </c>
      <c r="AC43" s="40" t="n">
        <v>727.9715563818656</v>
      </c>
      <c r="AD43" s="40" t="n">
        <v>95.23138722726006</v>
      </c>
      <c r="AE43" s="40" t="n">
        <v>343.8273193475427</v>
      </c>
      <c r="AF43" s="40" t="n">
        <v>497.9309920590788</v>
      </c>
      <c r="AG43" s="40" t="n">
        <v>4033.810487949404</v>
      </c>
      <c r="AH43" s="40" t="n">
        <v>4088.683253671946</v>
      </c>
      <c r="AI43" s="40" t="n">
        <v>1926.699092451699</v>
      </c>
      <c r="AJ43" s="40" t="n">
        <v>113.1437133356671</v>
      </c>
      <c r="AK43" s="40" t="n">
        <v>1093.235468489441</v>
      </c>
      <c r="AL43" s="40" t="n">
        <v>224.1544986573002</v>
      </c>
      <c r="AM43" s="40" t="n">
        <v>95.18079988198781</v>
      </c>
      <c r="AN43" s="40" t="n">
        <v>0</v>
      </c>
      <c r="AO43" s="41" t="n">
        <v>31573.73607508705</v>
      </c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</row>
    <row r="44">
      <c r="A44" s="38" t="inlineStr">
        <is>
          <t>D29-D.39</t>
        </is>
      </c>
      <c r="B44" s="39" t="inlineStr">
        <is>
          <t>Other taxes on production less other subsidies on production</t>
        </is>
      </c>
      <c r="C44" s="43" t="n">
        <v>-4.962698087991746</v>
      </c>
      <c r="D44" s="43" t="n">
        <v>10.54322975291484</v>
      </c>
      <c r="E44" s="43" t="n">
        <v>38.46222863870353</v>
      </c>
      <c r="F44" s="43" t="n">
        <v>2.060429316124682</v>
      </c>
      <c r="G44" s="43" t="n">
        <v>2.687901013745588</v>
      </c>
      <c r="H44" s="43" t="n">
        <v>0.249011416370307</v>
      </c>
      <c r="I44" s="43" t="n">
        <v>4.321612805973593</v>
      </c>
      <c r="J44" s="43" t="n">
        <v>1.14115189686071</v>
      </c>
      <c r="K44" s="43" t="n">
        <v>15.91464734331248</v>
      </c>
      <c r="L44" s="43" t="n">
        <v>13.29225489576768</v>
      </c>
      <c r="M44" s="43" t="n">
        <v>0.08142444653066221</v>
      </c>
      <c r="N44" s="43" t="n">
        <v>0.6968179692339975</v>
      </c>
      <c r="O44" s="43" t="n">
        <v>0.2213106565836027</v>
      </c>
      <c r="P44" s="43" t="n">
        <v>1.937199175032495</v>
      </c>
      <c r="Q44" s="43" t="n">
        <v>2.081402607313581</v>
      </c>
      <c r="R44" s="43" t="n">
        <v>117.731903478282</v>
      </c>
      <c r="S44" s="43" t="n">
        <v>28.43528010673491</v>
      </c>
      <c r="T44" s="43" t="n">
        <v>103.4473028407822</v>
      </c>
      <c r="U44" s="43" t="n">
        <v>68.68856270007706</v>
      </c>
      <c r="V44" s="43" t="n">
        <v>63.33037328340899</v>
      </c>
      <c r="W44" s="43" t="n">
        <v>52.68904768863102</v>
      </c>
      <c r="X44" s="43" t="n">
        <v>2.970164584107642</v>
      </c>
      <c r="Y44" s="43" t="n">
        <v>22.69201818666987</v>
      </c>
      <c r="Z44" s="43" t="n">
        <v>1.210009765840074</v>
      </c>
      <c r="AA44" s="43" t="n">
        <v>38.98184033353895</v>
      </c>
      <c r="AB44" s="43" t="n">
        <v>91.93964574887355</v>
      </c>
      <c r="AC44" s="43" t="n">
        <v>4.721326107134014</v>
      </c>
      <c r="AD44" s="43" t="n">
        <v>0.48742964</v>
      </c>
      <c r="AE44" s="43" t="n">
        <v>2.116678415785266</v>
      </c>
      <c r="AF44" s="43" t="n">
        <v>10.61614339479824</v>
      </c>
      <c r="AG44" s="43" t="n">
        <v>42.79882321</v>
      </c>
      <c r="AH44" s="43" t="n">
        <v>7.861056886471749</v>
      </c>
      <c r="AI44" s="43" t="n">
        <v>3.416243992511498</v>
      </c>
      <c r="AJ44" s="43" t="n">
        <v>0.04335373097954243</v>
      </c>
      <c r="AK44" s="43" t="n">
        <v>136.5752760377377</v>
      </c>
      <c r="AL44" s="43" t="n">
        <v>1.452571331951747</v>
      </c>
      <c r="AM44" s="43" t="n">
        <v>0</v>
      </c>
      <c r="AN44" s="43" t="n">
        <v>0</v>
      </c>
      <c r="AO44" s="44" t="n">
        <v>890.9329753107919</v>
      </c>
      <c r="AP44" s="45" t="n"/>
      <c r="AQ44" s="45" t="n"/>
      <c r="AR44" s="45" t="n"/>
      <c r="AS44" s="42" t="n"/>
      <c r="AT44" s="42" t="n"/>
      <c r="AU44" s="42" t="n"/>
      <c r="AV44" s="42" t="n"/>
      <c r="AW44" s="42" t="n"/>
      <c r="AX44" s="42" t="n"/>
    </row>
    <row r="45">
      <c r="A45" s="38" t="inlineStr">
        <is>
          <t>K.1</t>
        </is>
      </c>
      <c r="B45" s="39" t="inlineStr">
        <is>
          <t>Consumption of fixed capital</t>
        </is>
      </c>
      <c r="C45" s="43" t="n">
        <v>154.8556460613397</v>
      </c>
      <c r="D45" s="43" t="n">
        <v>76.99942776602444</v>
      </c>
      <c r="E45" s="43" t="n">
        <v>342.9162695413559</v>
      </c>
      <c r="F45" s="43" t="n">
        <v>17.30517959142723</v>
      </c>
      <c r="G45" s="43" t="n">
        <v>38.11373468231615</v>
      </c>
      <c r="H45" s="43" t="n">
        <v>1.841710266631972</v>
      </c>
      <c r="I45" s="43" t="n">
        <v>18.53205672168345</v>
      </c>
      <c r="J45" s="43" t="n">
        <v>14.70831864880991</v>
      </c>
      <c r="K45" s="43" t="n">
        <v>154.9990902270082</v>
      </c>
      <c r="L45" s="43" t="n">
        <v>91.82103234942645</v>
      </c>
      <c r="M45" s="43" t="n">
        <v>0.08775256165080059</v>
      </c>
      <c r="N45" s="43" t="n">
        <v>7.254837340910434</v>
      </c>
      <c r="O45" s="43" t="n">
        <v>0.7972271722425713</v>
      </c>
      <c r="P45" s="43" t="n">
        <v>4.081378533006621</v>
      </c>
      <c r="Q45" s="43" t="n">
        <v>16.45316023775586</v>
      </c>
      <c r="R45" s="43" t="n">
        <v>590.3128019127976</v>
      </c>
      <c r="S45" s="43" t="n">
        <v>196.8469234581556</v>
      </c>
      <c r="T45" s="43" t="n">
        <v>1450.354972685849</v>
      </c>
      <c r="U45" s="43" t="n">
        <v>658.4847672149815</v>
      </c>
      <c r="V45" s="43" t="n">
        <v>974.5935749301946</v>
      </c>
      <c r="W45" s="43" t="n">
        <v>120.960163375836</v>
      </c>
      <c r="X45" s="43" t="n">
        <v>38.47675808682261</v>
      </c>
      <c r="Y45" s="43" t="n">
        <v>247.4906981471202</v>
      </c>
      <c r="Z45" s="43" t="n">
        <v>29.1457147325105</v>
      </c>
      <c r="AA45" s="43" t="n">
        <v>114.8646507324559</v>
      </c>
      <c r="AB45" s="43" t="n">
        <v>157.2506898883956</v>
      </c>
      <c r="AC45" s="43" t="n">
        <v>81.88280041454118</v>
      </c>
      <c r="AD45" s="43" t="n">
        <v>115.0478602054148</v>
      </c>
      <c r="AE45" s="43" t="n">
        <v>29.84717392976305</v>
      </c>
      <c r="AF45" s="43" t="n">
        <v>72.37904215525836</v>
      </c>
      <c r="AG45" s="43" t="n">
        <v>1470.268854203564</v>
      </c>
      <c r="AH45" s="43" t="n">
        <v>278.1264447556599</v>
      </c>
      <c r="AI45" s="43" t="n">
        <v>287.2359394635288</v>
      </c>
      <c r="AJ45" s="43" t="n">
        <v>2.359914610006274</v>
      </c>
      <c r="AK45" s="43" t="n">
        <v>184.7369137223677</v>
      </c>
      <c r="AL45" s="43" t="n">
        <v>7.177310432989758</v>
      </c>
      <c r="AM45" s="43" t="n">
        <v>0</v>
      </c>
      <c r="AN45" s="43" t="n">
        <v>0</v>
      </c>
      <c r="AO45" s="44" t="n">
        <v>8048.610790759802</v>
      </c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</row>
    <row r="46">
      <c r="A46" s="38" t="inlineStr">
        <is>
          <t>B.2n/B.3n</t>
        </is>
      </c>
      <c r="B46" s="39" t="inlineStr">
        <is>
          <t>Net operating surplus/Net mixed income</t>
        </is>
      </c>
      <c r="C46" s="46" t="n">
        <v>4546.514533729081</v>
      </c>
      <c r="D46" s="46" t="n">
        <v>348.0212911780743</v>
      </c>
      <c r="E46" s="46" t="n">
        <v>2879.592076914017</v>
      </c>
      <c r="F46" s="46" t="n">
        <v>100.8931581974085</v>
      </c>
      <c r="G46" s="46" t="n">
        <v>116.5842880034737</v>
      </c>
      <c r="H46" s="46" t="n">
        <v>6.875472222976558</v>
      </c>
      <c r="I46" s="46" t="n">
        <v>211.8658912200389</v>
      </c>
      <c r="J46" s="46" t="n">
        <v>122.9501187810671</v>
      </c>
      <c r="K46" s="46" t="n">
        <v>765.2923796862107</v>
      </c>
      <c r="L46" s="46" t="n">
        <v>314.17764818135</v>
      </c>
      <c r="M46" s="46" t="n">
        <v>0.6453363736875071</v>
      </c>
      <c r="N46" s="46" t="n">
        <v>9.559797225397062</v>
      </c>
      <c r="O46" s="46" t="n">
        <v>12.1646462149154</v>
      </c>
      <c r="P46" s="46" t="n">
        <v>9.789557985559174</v>
      </c>
      <c r="Q46" s="46" t="n">
        <v>149.9455314510845</v>
      </c>
      <c r="R46" s="46" t="n">
        <v>731.7917776093213</v>
      </c>
      <c r="S46" s="46" t="n">
        <v>143.3682534294246</v>
      </c>
      <c r="T46" s="46" t="n">
        <v>3200.512735656801</v>
      </c>
      <c r="U46" s="46" t="n">
        <v>6954.263460817667</v>
      </c>
      <c r="V46" s="46" t="n">
        <v>2376.547433446193</v>
      </c>
      <c r="W46" s="46" t="n">
        <v>2211.872286985893</v>
      </c>
      <c r="X46" s="46" t="n">
        <v>234.9255923831499</v>
      </c>
      <c r="Y46" s="46" t="n">
        <v>894.821626212649</v>
      </c>
      <c r="Z46" s="46" t="n">
        <v>1238.573817478261</v>
      </c>
      <c r="AA46" s="46" t="n">
        <v>1760.094725447981</v>
      </c>
      <c r="AB46" s="46" t="n">
        <v>7208.43716475468</v>
      </c>
      <c r="AC46" s="46" t="n">
        <v>207.6214367772625</v>
      </c>
      <c r="AD46" s="46" t="n">
        <v>21.82018817471038</v>
      </c>
      <c r="AE46" s="46" t="n">
        <v>337.4775079385527</v>
      </c>
      <c r="AF46" s="46" t="n">
        <v>343.9361073599147</v>
      </c>
      <c r="AG46" s="46" t="n">
        <v>0</v>
      </c>
      <c r="AH46" s="46" t="n">
        <v>176.477506512987</v>
      </c>
      <c r="AI46" s="46" t="n">
        <v>611.9899191448376</v>
      </c>
      <c r="AJ46" s="46" t="n">
        <v>3.321634521437169</v>
      </c>
      <c r="AK46" s="46" t="n">
        <v>1644.901825746081</v>
      </c>
      <c r="AL46" s="46" t="n">
        <v>568.5186581816178</v>
      </c>
      <c r="AM46" s="46" t="n">
        <v>0</v>
      </c>
      <c r="AN46" s="46" t="n">
        <v>0</v>
      </c>
      <c r="AO46" s="47" t="n">
        <v>40466.14538594376</v>
      </c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</row>
    <row r="47">
      <c r="A47" s="48" t="inlineStr">
        <is>
          <t>P.1</t>
        </is>
      </c>
      <c r="B47" s="49" t="inlineStr">
        <is>
          <t>Output at basic prices</t>
        </is>
      </c>
      <c r="C47" s="50" t="n">
        <v>8082.228198157529</v>
      </c>
      <c r="D47" s="50" t="n">
        <v>2314.454049213839</v>
      </c>
      <c r="E47" s="50" t="n">
        <v>14395.81701280106</v>
      </c>
      <c r="F47" s="50" t="n">
        <v>685.7478475050846</v>
      </c>
      <c r="G47" s="50" t="n">
        <v>756.845195851991</v>
      </c>
      <c r="H47" s="50" t="n">
        <v>265.9422320957807</v>
      </c>
      <c r="I47" s="50" t="n">
        <v>796.9856641067702</v>
      </c>
      <c r="J47" s="50" t="n">
        <v>440.9783314846898</v>
      </c>
      <c r="K47" s="50" t="n">
        <v>3865.841568015259</v>
      </c>
      <c r="L47" s="50" t="n">
        <v>2978.453310448796</v>
      </c>
      <c r="M47" s="50" t="n">
        <v>3.238195833941651</v>
      </c>
      <c r="N47" s="50" t="n">
        <v>251.881553797018</v>
      </c>
      <c r="O47" s="50" t="n">
        <v>67.61756186741434</v>
      </c>
      <c r="P47" s="50" t="n">
        <v>80.04752710772591</v>
      </c>
      <c r="Q47" s="50" t="n">
        <v>720.52296878775</v>
      </c>
      <c r="R47" s="50" t="n">
        <v>2927.484626571264</v>
      </c>
      <c r="S47" s="50" t="n">
        <v>1141.547644298156</v>
      </c>
      <c r="T47" s="50" t="n">
        <v>19023.49629627668</v>
      </c>
      <c r="U47" s="50" t="n">
        <v>19349.84262554303</v>
      </c>
      <c r="V47" s="50" t="n">
        <v>9839.860352515889</v>
      </c>
      <c r="W47" s="50" t="n">
        <v>6692.661657465773</v>
      </c>
      <c r="X47" s="50" t="n">
        <v>1355.49292974811</v>
      </c>
      <c r="Y47" s="50" t="n">
        <v>2116.75918881287</v>
      </c>
      <c r="Z47" s="50" t="n">
        <v>3940.452813831759</v>
      </c>
      <c r="AA47" s="50" t="n">
        <v>5666.369705464847</v>
      </c>
      <c r="AB47" s="50" t="n">
        <v>9828.516385128758</v>
      </c>
      <c r="AC47" s="50" t="n">
        <v>1470.300936102555</v>
      </c>
      <c r="AD47" s="50" t="n">
        <v>299.5285899380319</v>
      </c>
      <c r="AE47" s="50" t="n">
        <v>1061.778531170881</v>
      </c>
      <c r="AF47" s="50" t="n">
        <v>1615.624584771433</v>
      </c>
      <c r="AG47" s="50" t="n">
        <v>7892.851990308171</v>
      </c>
      <c r="AH47" s="50" t="n">
        <v>5426.652478984868</v>
      </c>
      <c r="AI47" s="50" t="n">
        <v>4182.838488454005</v>
      </c>
      <c r="AJ47" s="50" t="n">
        <v>379.3755101867967</v>
      </c>
      <c r="AK47" s="50" t="n">
        <v>5556.374418223452</v>
      </c>
      <c r="AL47" s="50" t="n">
        <v>1312.484677491467</v>
      </c>
      <c r="AM47" s="50" t="n">
        <v>95.18079988198781</v>
      </c>
      <c r="AN47" s="50" t="n">
        <v>0</v>
      </c>
      <c r="AO47" s="47" t="n">
        <v>146882.0764482454</v>
      </c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1" t="inlineStr">
        <is>
          <t>Supply and Use Table - Import Content Calculation for Investment (GFCF)</t>
        </is>
      </c>
    </row>
    <row r="3">
      <c r="A3" s="52" t="inlineStr">
        <is>
          <t>Code</t>
        </is>
      </c>
      <c r="B3" s="52" t="inlineStr">
        <is>
          <t>Product Description</t>
        </is>
      </c>
      <c r="C3" s="52" t="inlineStr">
        <is>
          <t>Total Supply (TotPP)</t>
        </is>
      </c>
      <c r="D3" s="52" t="inlineStr">
        <is>
          <t>Import (P7)</t>
        </is>
      </c>
      <c r="E3" s="52" t="inlineStr">
        <is>
          <t>GFCF (P51)</t>
        </is>
      </c>
      <c r="F3" s="52" t="inlineStr">
        <is>
          <t>Import Share (%)</t>
        </is>
      </c>
      <c r="G3" s="52" t="inlineStr">
        <is>
          <t>GFCF Share (%)</t>
        </is>
      </c>
      <c r="H3" s="52" t="inlineStr">
        <is>
          <t>Weighted Import Content (%)</t>
        </is>
      </c>
    </row>
    <row r="4">
      <c r="A4" t="inlineStr">
        <is>
          <t>1-3</t>
        </is>
      </c>
      <c r="B4" t="inlineStr">
        <is>
          <t>Products of agriculture, forestry and fishing</t>
        </is>
      </c>
      <c r="C4">
        <f>'SUPPLY (38-38)-2024'!AS4</f>
        <v/>
      </c>
      <c r="D4">
        <f>'SUPPLY (38-38)-2024'!AR4</f>
        <v/>
      </c>
      <c r="E4">
        <f>'USE (38-38)-2024'!AT4</f>
        <v/>
      </c>
      <c r="F4">
        <f>IF(C4=0,0,D4/C4*100)</f>
        <v/>
      </c>
      <c r="G4">
        <f>IF($E$42=0,0,E4/$E$42*100)</f>
        <v/>
      </c>
      <c r="H4">
        <f>F4*G4/100</f>
        <v/>
      </c>
    </row>
    <row r="5">
      <c r="A5" t="inlineStr">
        <is>
          <t>5-9</t>
        </is>
      </c>
      <c r="B5" t="inlineStr">
        <is>
          <t>Mining and quarrying</t>
        </is>
      </c>
      <c r="C5">
        <f>'SUPPLY (38-38)-2024'!AS5</f>
        <v/>
      </c>
      <c r="D5">
        <f>'SUPPLY (38-38)-2024'!AR5</f>
        <v/>
      </c>
      <c r="E5">
        <f>'USE (38-38)-2024'!AT5</f>
        <v/>
      </c>
      <c r="F5">
        <f>IF(C5=0,0,D5/C5*100)</f>
        <v/>
      </c>
      <c r="G5">
        <f>IF($E$42=0,0,E5/$E$42*100)</f>
        <v/>
      </c>
      <c r="H5">
        <f>F5*G5/100</f>
        <v/>
      </c>
    </row>
    <row r="6">
      <c r="A6" t="inlineStr">
        <is>
          <t>10-12</t>
        </is>
      </c>
      <c r="B6" t="inlineStr">
        <is>
          <t>Food products, beverages and tobacco products</t>
        </is>
      </c>
      <c r="C6">
        <f>'SUPPLY (38-38)-2024'!AS6</f>
        <v/>
      </c>
      <c r="D6">
        <f>'SUPPLY (38-38)-2024'!AR6</f>
        <v/>
      </c>
      <c r="E6">
        <f>'USE (38-38)-2024'!AT6</f>
        <v/>
      </c>
      <c r="F6">
        <f>IF(C6=0,0,D6/C6*100)</f>
        <v/>
      </c>
      <c r="G6">
        <f>IF($E$42=0,0,E6/$E$42*100)</f>
        <v/>
      </c>
      <c r="H6">
        <f>F6*G6/100</f>
        <v/>
      </c>
    </row>
    <row r="7">
      <c r="A7" t="inlineStr">
        <is>
          <t>13-15</t>
        </is>
      </c>
      <c r="B7" t="inlineStr">
        <is>
          <t>Textiles, wearing apparel and leather products</t>
        </is>
      </c>
      <c r="C7">
        <f>'SUPPLY (38-38)-2024'!AS7</f>
        <v/>
      </c>
      <c r="D7">
        <f>'SUPPLY (38-38)-2024'!AR7</f>
        <v/>
      </c>
      <c r="E7">
        <f>'USE (38-38)-2024'!AT7</f>
        <v/>
      </c>
      <c r="F7">
        <f>IF(C7=0,0,D7/C7*100)</f>
        <v/>
      </c>
      <c r="G7">
        <f>IF($E$42=0,0,E7/$E$42*100)</f>
        <v/>
      </c>
      <c r="H7">
        <f>F7*G7/100</f>
        <v/>
      </c>
    </row>
    <row r="8">
      <c r="A8" t="inlineStr">
        <is>
          <t>16-18</t>
        </is>
      </c>
      <c r="B8" t="inlineStr">
        <is>
          <t>Wood and paper products, and printing services</t>
        </is>
      </c>
      <c r="C8">
        <f>'SUPPLY (38-38)-2024'!AS8</f>
        <v/>
      </c>
      <c r="D8">
        <f>'SUPPLY (38-38)-2024'!AR8</f>
        <v/>
      </c>
      <c r="E8">
        <f>'USE (38-38)-2024'!AT8</f>
        <v/>
      </c>
      <c r="F8">
        <f>IF(C8=0,0,D8/C8*100)</f>
        <v/>
      </c>
      <c r="G8">
        <f>IF($E$42=0,0,E8/$E$42*100)</f>
        <v/>
      </c>
      <c r="H8">
        <f>F8*G8/100</f>
        <v/>
      </c>
    </row>
    <row r="9">
      <c r="A9" t="inlineStr">
        <is>
          <t>19</t>
        </is>
      </c>
      <c r="B9" t="inlineStr">
        <is>
          <t>Coke and refined petroleum products</t>
        </is>
      </c>
      <c r="C9">
        <f>'SUPPLY (38-38)-2024'!AS9</f>
        <v/>
      </c>
      <c r="D9">
        <f>'SUPPLY (38-38)-2024'!AR9</f>
        <v/>
      </c>
      <c r="E9">
        <f>'USE (38-38)-2024'!AT9</f>
        <v/>
      </c>
      <c r="F9">
        <f>IF(C9=0,0,D9/C9*100)</f>
        <v/>
      </c>
      <c r="G9">
        <f>IF($E$42=0,0,E9/$E$42*100)</f>
        <v/>
      </c>
      <c r="H9">
        <f>F9*G9/100</f>
        <v/>
      </c>
    </row>
    <row r="10">
      <c r="A10" t="inlineStr">
        <is>
          <t>20</t>
        </is>
      </c>
      <c r="B10" t="inlineStr">
        <is>
          <t>Chemicals and chemical products</t>
        </is>
      </c>
      <c r="C10">
        <f>'SUPPLY (38-38)-2024'!AS10</f>
        <v/>
      </c>
      <c r="D10">
        <f>'SUPPLY (38-38)-2024'!AR10</f>
        <v/>
      </c>
      <c r="E10">
        <f>'USE (38-38)-2024'!AT10</f>
        <v/>
      </c>
      <c r="F10">
        <f>IF(C10=0,0,D10/C10*100)</f>
        <v/>
      </c>
      <c r="G10">
        <f>IF($E$42=0,0,E10/$E$42*100)</f>
        <v/>
      </c>
      <c r="H10">
        <f>F10*G10/100</f>
        <v/>
      </c>
    </row>
    <row r="11">
      <c r="A11" t="inlineStr">
        <is>
          <t>21</t>
        </is>
      </c>
      <c r="B11" t="inlineStr">
        <is>
          <t>Basic pharmaceutical products</t>
        </is>
      </c>
      <c r="C11">
        <f>'SUPPLY (38-38)-2024'!AS11</f>
        <v/>
      </c>
      <c r="D11">
        <f>'SUPPLY (38-38)-2024'!AR11</f>
        <v/>
      </c>
      <c r="E11">
        <f>'USE (38-38)-2024'!AT11</f>
        <v/>
      </c>
      <c r="F11">
        <f>IF(C11=0,0,D11/C11*100)</f>
        <v/>
      </c>
      <c r="G11">
        <f>IF($E$42=0,0,E11/$E$42*100)</f>
        <v/>
      </c>
      <c r="H11">
        <f>F11*G11/100</f>
        <v/>
      </c>
    </row>
    <row r="12">
      <c r="A12" t="inlineStr">
        <is>
          <t>22-23</t>
        </is>
      </c>
      <c r="B12" t="inlineStr">
        <is>
          <t>Rubber and plastics products, and other non-metallic mineral products</t>
        </is>
      </c>
      <c r="C12">
        <f>'SUPPLY (38-38)-2024'!AS12</f>
        <v/>
      </c>
      <c r="D12">
        <f>'SUPPLY (38-38)-2024'!AR12</f>
        <v/>
      </c>
      <c r="E12">
        <f>'USE (38-38)-2024'!AT12</f>
        <v/>
      </c>
      <c r="F12">
        <f>IF(C12=0,0,D12/C12*100)</f>
        <v/>
      </c>
      <c r="G12">
        <f>IF($E$42=0,0,E12/$E$42*100)</f>
        <v/>
      </c>
      <c r="H12">
        <f>F12*G12/100</f>
        <v/>
      </c>
    </row>
    <row r="13">
      <c r="A13" t="inlineStr">
        <is>
          <t>24-25</t>
        </is>
      </c>
      <c r="B13" t="inlineStr">
        <is>
          <t>Basic metals and fabricated metal products</t>
        </is>
      </c>
      <c r="C13">
        <f>'SUPPLY (38-38)-2024'!AS13</f>
        <v/>
      </c>
      <c r="D13">
        <f>'SUPPLY (38-38)-2024'!AR13</f>
        <v/>
      </c>
      <c r="E13">
        <f>'USE (38-38)-2024'!AT13</f>
        <v/>
      </c>
      <c r="F13">
        <f>IF(C13=0,0,D13/C13*100)</f>
        <v/>
      </c>
      <c r="G13">
        <f>IF($E$42=0,0,E13/$E$42*100)</f>
        <v/>
      </c>
      <c r="H13">
        <f>F13*G13/100</f>
        <v/>
      </c>
    </row>
    <row r="14">
      <c r="A14" t="inlineStr">
        <is>
          <t>26</t>
        </is>
      </c>
      <c r="B14" t="inlineStr">
        <is>
          <t>Computer, electronic and optical products</t>
        </is>
      </c>
      <c r="C14">
        <f>'SUPPLY (38-38)-2024'!AS14</f>
        <v/>
      </c>
      <c r="D14">
        <f>'SUPPLY (38-38)-2024'!AR14</f>
        <v/>
      </c>
      <c r="E14">
        <f>'USE (38-38)-2024'!AT14</f>
        <v/>
      </c>
      <c r="F14">
        <f>IF(C14=0,0,D14/C14*100)</f>
        <v/>
      </c>
      <c r="G14">
        <f>IF($E$42=0,0,E14/$E$42*100)</f>
        <v/>
      </c>
      <c r="H14">
        <f>F14*G14/100</f>
        <v/>
      </c>
    </row>
    <row r="15">
      <c r="A15" t="inlineStr">
        <is>
          <t>27</t>
        </is>
      </c>
      <c r="B15" t="inlineStr">
        <is>
          <t>Electrical equipment</t>
        </is>
      </c>
      <c r="C15">
        <f>'SUPPLY (38-38)-2024'!AS15</f>
        <v/>
      </c>
      <c r="D15">
        <f>'SUPPLY (38-38)-2024'!AR15</f>
        <v/>
      </c>
      <c r="E15">
        <f>'USE (38-38)-2024'!AT15</f>
        <v/>
      </c>
      <c r="F15">
        <f>IF(C15=0,0,D15/C15*100)</f>
        <v/>
      </c>
      <c r="G15">
        <f>IF($E$42=0,0,E15/$E$42*100)</f>
        <v/>
      </c>
      <c r="H15">
        <f>F15*G15/100</f>
        <v/>
      </c>
    </row>
    <row r="16">
      <c r="A16" t="inlineStr">
        <is>
          <t>28</t>
        </is>
      </c>
      <c r="B16" t="inlineStr">
        <is>
          <t>Machinery and equipment n.e.c.</t>
        </is>
      </c>
      <c r="C16">
        <f>'SUPPLY (38-38)-2024'!AS16</f>
        <v/>
      </c>
      <c r="D16">
        <f>'SUPPLY (38-38)-2024'!AR16</f>
        <v/>
      </c>
      <c r="E16">
        <f>'USE (38-38)-2024'!AT16</f>
        <v/>
      </c>
      <c r="F16">
        <f>IF(C16=0,0,D16/C16*100)</f>
        <v/>
      </c>
      <c r="G16">
        <f>IF($E$42=0,0,E16/$E$42*100)</f>
        <v/>
      </c>
      <c r="H16">
        <f>F16*G16/100</f>
        <v/>
      </c>
    </row>
    <row r="17">
      <c r="A17" t="inlineStr">
        <is>
          <t>29-30</t>
        </is>
      </c>
      <c r="B17" t="inlineStr">
        <is>
          <t>Transport equipment</t>
        </is>
      </c>
      <c r="C17">
        <f>'SUPPLY (38-38)-2024'!AS17</f>
        <v/>
      </c>
      <c r="D17">
        <f>'SUPPLY (38-38)-2024'!AR17</f>
        <v/>
      </c>
      <c r="E17">
        <f>'USE (38-38)-2024'!AT17</f>
        <v/>
      </c>
      <c r="F17">
        <f>IF(C17=0,0,D17/C17*100)</f>
        <v/>
      </c>
      <c r="G17">
        <f>IF($E$42=0,0,E17/$E$42*100)</f>
        <v/>
      </c>
      <c r="H17">
        <f>F17*G17/100</f>
        <v/>
      </c>
    </row>
    <row r="18">
      <c r="A18" t="inlineStr">
        <is>
          <t>31-33</t>
        </is>
      </c>
      <c r="B18" t="inlineStr">
        <is>
          <t>Furniture; other manufactured goods; repair and installation</t>
        </is>
      </c>
      <c r="C18">
        <f>'SUPPLY (38-38)-2024'!AS18</f>
        <v/>
      </c>
      <c r="D18">
        <f>'SUPPLY (38-38)-2024'!AR18</f>
        <v/>
      </c>
      <c r="E18">
        <f>'USE (38-38)-2024'!AT18</f>
        <v/>
      </c>
      <c r="F18">
        <f>IF(C18=0,0,D18/C18*100)</f>
        <v/>
      </c>
      <c r="G18">
        <f>IF($E$42=0,0,E18/$E$42*100)</f>
        <v/>
      </c>
      <c r="H18">
        <f>F18*G18/100</f>
        <v/>
      </c>
    </row>
    <row r="19">
      <c r="A19" t="inlineStr">
        <is>
          <t>35</t>
        </is>
      </c>
      <c r="B19" t="inlineStr">
        <is>
          <t>Electricity, gas, steam and air conditioning</t>
        </is>
      </c>
      <c r="C19">
        <f>'SUPPLY (38-38)-2024'!AS19</f>
        <v/>
      </c>
      <c r="D19">
        <f>'SUPPLY (38-38)-2024'!AR19</f>
        <v/>
      </c>
      <c r="E19">
        <f>'USE (38-38)-2024'!AT19</f>
        <v/>
      </c>
      <c r="F19">
        <f>IF(C19=0,0,D19/C19*100)</f>
        <v/>
      </c>
      <c r="G19">
        <f>IF($E$42=0,0,E19/$E$42*100)</f>
        <v/>
      </c>
      <c r="H19">
        <f>F19*G19/100</f>
        <v/>
      </c>
    </row>
    <row r="20">
      <c r="A20" t="inlineStr">
        <is>
          <t>36-39</t>
        </is>
      </c>
      <c r="B20" t="inlineStr">
        <is>
          <t>Water supply; sewerage, waste management</t>
        </is>
      </c>
      <c r="C20">
        <f>'SUPPLY (38-38)-2024'!AS20</f>
        <v/>
      </c>
      <c r="D20">
        <f>'SUPPLY (38-38)-2024'!AR20</f>
        <v/>
      </c>
      <c r="E20">
        <f>'USE (38-38)-2024'!AT20</f>
        <v/>
      </c>
      <c r="F20">
        <f>IF(C20=0,0,D20/C20*100)</f>
        <v/>
      </c>
      <c r="G20">
        <f>IF($E$42=0,0,E20/$E$42*100)</f>
        <v/>
      </c>
      <c r="H20">
        <f>F20*G20/100</f>
        <v/>
      </c>
    </row>
    <row r="21">
      <c r="A21" t="inlineStr">
        <is>
          <t>41-43</t>
        </is>
      </c>
      <c r="B21" t="inlineStr">
        <is>
          <t>Constructions and construction works</t>
        </is>
      </c>
      <c r="C21">
        <f>'SUPPLY (38-38)-2024'!AS21</f>
        <v/>
      </c>
      <c r="D21">
        <f>'SUPPLY (38-38)-2024'!AR21</f>
        <v/>
      </c>
      <c r="E21">
        <f>'USE (38-38)-2024'!AT21</f>
        <v/>
      </c>
      <c r="F21">
        <f>IF(C21=0,0,D21/C21*100)</f>
        <v/>
      </c>
      <c r="G21">
        <f>IF($E$42=0,0,E21/$E$42*100)</f>
        <v/>
      </c>
      <c r="H21">
        <f>F21*G21/100</f>
        <v/>
      </c>
    </row>
    <row r="22">
      <c r="A22" t="inlineStr">
        <is>
          <t>45-47</t>
        </is>
      </c>
      <c r="B22" t="inlineStr">
        <is>
          <t>Wholesale and retail trade services</t>
        </is>
      </c>
      <c r="C22">
        <f>'SUPPLY (38-38)-2024'!AS22</f>
        <v/>
      </c>
      <c r="D22">
        <f>'SUPPLY (38-38)-2024'!AR22</f>
        <v/>
      </c>
      <c r="E22">
        <f>'USE (38-38)-2024'!AT22</f>
        <v/>
      </c>
      <c r="F22">
        <f>IF(C22=0,0,D22/C22*100)</f>
        <v/>
      </c>
      <c r="G22">
        <f>IF($E$42=0,0,E22/$E$42*100)</f>
        <v/>
      </c>
      <c r="H22">
        <f>F22*G22/100</f>
        <v/>
      </c>
    </row>
    <row r="23">
      <c r="A23" t="inlineStr">
        <is>
          <t>49-53</t>
        </is>
      </c>
      <c r="B23" t="inlineStr">
        <is>
          <t>Transportation and storage services</t>
        </is>
      </c>
      <c r="C23">
        <f>'SUPPLY (38-38)-2024'!AS23</f>
        <v/>
      </c>
      <c r="D23">
        <f>'SUPPLY (38-38)-2024'!AR23</f>
        <v/>
      </c>
      <c r="E23">
        <f>'USE (38-38)-2024'!AT23</f>
        <v/>
      </c>
      <c r="F23">
        <f>IF(C23=0,0,D23/C23*100)</f>
        <v/>
      </c>
      <c r="G23">
        <f>IF($E$42=0,0,E23/$E$42*100)</f>
        <v/>
      </c>
      <c r="H23">
        <f>F23*G23/100</f>
        <v/>
      </c>
    </row>
    <row r="24">
      <c r="A24" t="inlineStr">
        <is>
          <t>55-56</t>
        </is>
      </c>
      <c r="B24" t="inlineStr">
        <is>
          <t>Accommodation and food services</t>
        </is>
      </c>
      <c r="C24">
        <f>'SUPPLY (38-38)-2024'!AS24</f>
        <v/>
      </c>
      <c r="D24">
        <f>'SUPPLY (38-38)-2024'!AR24</f>
        <v/>
      </c>
      <c r="E24">
        <f>'USE (38-38)-2024'!AT24</f>
        <v/>
      </c>
      <c r="F24">
        <f>IF(C24=0,0,D24/C24*100)</f>
        <v/>
      </c>
      <c r="G24">
        <f>IF($E$42=0,0,E24/$E$42*100)</f>
        <v/>
      </c>
      <c r="H24">
        <f>F24*G24/100</f>
        <v/>
      </c>
    </row>
    <row r="25">
      <c r="A25" t="inlineStr">
        <is>
          <t>58-60</t>
        </is>
      </c>
      <c r="B25" t="inlineStr">
        <is>
          <t>Publishing, audiovisual and broadcasting services</t>
        </is>
      </c>
      <c r="C25">
        <f>'SUPPLY (38-38)-2024'!AS25</f>
        <v/>
      </c>
      <c r="D25">
        <f>'SUPPLY (38-38)-2024'!AR25</f>
        <v/>
      </c>
      <c r="E25">
        <f>'USE (38-38)-2024'!AT25</f>
        <v/>
      </c>
      <c r="F25">
        <f>IF(C25=0,0,D25/C25*100)</f>
        <v/>
      </c>
      <c r="G25">
        <f>IF($E$42=0,0,E25/$E$42*100)</f>
        <v/>
      </c>
      <c r="H25">
        <f>F25*G25/100</f>
        <v/>
      </c>
    </row>
    <row r="26">
      <c r="A26" t="inlineStr">
        <is>
          <t>61</t>
        </is>
      </c>
      <c r="B26" t="inlineStr">
        <is>
          <t>Telecommunications services</t>
        </is>
      </c>
      <c r="C26">
        <f>'SUPPLY (38-38)-2024'!AS26</f>
        <v/>
      </c>
      <c r="D26">
        <f>'SUPPLY (38-38)-2024'!AR26</f>
        <v/>
      </c>
      <c r="E26">
        <f>'USE (38-38)-2024'!AT26</f>
        <v/>
      </c>
      <c r="F26">
        <f>IF(C26=0,0,D26/C26*100)</f>
        <v/>
      </c>
      <c r="G26">
        <f>IF($E$42=0,0,E26/$E$42*100)</f>
        <v/>
      </c>
      <c r="H26">
        <f>F26*G26/100</f>
        <v/>
      </c>
    </row>
    <row r="27">
      <c r="A27" t="inlineStr">
        <is>
          <t>62-63</t>
        </is>
      </c>
      <c r="B27" t="inlineStr">
        <is>
          <t>Computer programming, consultancy and related services</t>
        </is>
      </c>
      <c r="C27">
        <f>'SUPPLY (38-38)-2024'!AS27</f>
        <v/>
      </c>
      <c r="D27">
        <f>'SUPPLY (38-38)-2024'!AR27</f>
        <v/>
      </c>
      <c r="E27">
        <f>'USE (38-38)-2024'!AT27</f>
        <v/>
      </c>
      <c r="F27">
        <f>IF(C27=0,0,D27/C27*100)</f>
        <v/>
      </c>
      <c r="G27">
        <f>IF($E$42=0,0,E27/$E$42*100)</f>
        <v/>
      </c>
      <c r="H27">
        <f>F27*G27/100</f>
        <v/>
      </c>
    </row>
    <row r="28">
      <c r="A28" t="inlineStr">
        <is>
          <t>64-66</t>
        </is>
      </c>
      <c r="B28" t="inlineStr">
        <is>
          <t>Financial and insurance services</t>
        </is>
      </c>
      <c r="C28">
        <f>'SUPPLY (38-38)-2024'!AS28</f>
        <v/>
      </c>
      <c r="D28">
        <f>'SUPPLY (38-38)-2024'!AR28</f>
        <v/>
      </c>
      <c r="E28">
        <f>'USE (38-38)-2024'!AT28</f>
        <v/>
      </c>
      <c r="F28">
        <f>IF(C28=0,0,D28/C28*100)</f>
        <v/>
      </c>
      <c r="G28">
        <f>IF($E$42=0,0,E28/$E$42*100)</f>
        <v/>
      </c>
      <c r="H28">
        <f>F28*G28/100</f>
        <v/>
      </c>
    </row>
    <row r="29">
      <c r="A29" t="inlineStr">
        <is>
          <t>68</t>
        </is>
      </c>
      <c r="B29" t="inlineStr">
        <is>
          <t>Real estate services</t>
        </is>
      </c>
      <c r="C29">
        <f>'SUPPLY (38-38)-2024'!AS29</f>
        <v/>
      </c>
      <c r="D29">
        <f>'SUPPLY (38-38)-2024'!AR29</f>
        <v/>
      </c>
      <c r="E29">
        <f>'USE (38-38)-2024'!AT29</f>
        <v/>
      </c>
      <c r="F29">
        <f>IF(C29=0,0,D29/C29*100)</f>
        <v/>
      </c>
      <c r="G29">
        <f>IF($E$42=0,0,E29/$E$42*100)</f>
        <v/>
      </c>
      <c r="H29">
        <f>F29*G29/100</f>
        <v/>
      </c>
    </row>
    <row r="30">
      <c r="A30" t="inlineStr">
        <is>
          <t>69-71</t>
        </is>
      </c>
      <c r="B30" t="inlineStr">
        <is>
          <t>Legal and accounting services; management consultancy</t>
        </is>
      </c>
      <c r="C30">
        <f>'SUPPLY (38-38)-2024'!AS30</f>
        <v/>
      </c>
      <c r="D30">
        <f>'SUPPLY (38-38)-2024'!AR30</f>
        <v/>
      </c>
      <c r="E30">
        <f>'USE (38-38)-2024'!AT30</f>
        <v/>
      </c>
      <c r="F30">
        <f>IF(C30=0,0,D30/C30*100)</f>
        <v/>
      </c>
      <c r="G30">
        <f>IF($E$42=0,0,E30/$E$42*100)</f>
        <v/>
      </c>
      <c r="H30">
        <f>F30*G30/100</f>
        <v/>
      </c>
    </row>
    <row r="31">
      <c r="A31" t="inlineStr">
        <is>
          <t>72</t>
        </is>
      </c>
      <c r="B31" t="inlineStr">
        <is>
          <t>Scientific research and development services</t>
        </is>
      </c>
      <c r="C31">
        <f>'SUPPLY (38-38)-2024'!AS31</f>
        <v/>
      </c>
      <c r="D31">
        <f>'SUPPLY (38-38)-2024'!AR31</f>
        <v/>
      </c>
      <c r="E31">
        <f>'USE (38-38)-2024'!AT31</f>
        <v/>
      </c>
      <c r="F31">
        <f>IF(C31=0,0,D31/C31*100)</f>
        <v/>
      </c>
      <c r="G31">
        <f>IF($E$42=0,0,E31/$E$42*100)</f>
        <v/>
      </c>
      <c r="H31">
        <f>F31*G31/100</f>
        <v/>
      </c>
    </row>
    <row r="32">
      <c r="A32" t="inlineStr">
        <is>
          <t>73-75</t>
        </is>
      </c>
      <c r="B32" t="inlineStr">
        <is>
          <t>Advertising and market research services; other professional</t>
        </is>
      </c>
      <c r="C32">
        <f>'SUPPLY (38-38)-2024'!AS32</f>
        <v/>
      </c>
      <c r="D32">
        <f>'SUPPLY (38-38)-2024'!AR32</f>
        <v/>
      </c>
      <c r="E32">
        <f>'USE (38-38)-2024'!AT32</f>
        <v/>
      </c>
      <c r="F32">
        <f>IF(C32=0,0,D32/C32*100)</f>
        <v/>
      </c>
      <c r="G32">
        <f>IF($E$42=0,0,E32/$E$42*100)</f>
        <v/>
      </c>
      <c r="H32">
        <f>F32*G32/100</f>
        <v/>
      </c>
    </row>
    <row r="33">
      <c r="A33" t="inlineStr">
        <is>
          <t>77-82</t>
        </is>
      </c>
      <c r="B33" t="inlineStr">
        <is>
          <t>Administrative and support services</t>
        </is>
      </c>
      <c r="C33">
        <f>'SUPPLY (38-38)-2024'!AS33</f>
        <v/>
      </c>
      <c r="D33">
        <f>'SUPPLY (38-38)-2024'!AR33</f>
        <v/>
      </c>
      <c r="E33">
        <f>'USE (38-38)-2024'!AT33</f>
        <v/>
      </c>
      <c r="F33">
        <f>IF(C33=0,0,D33/C33*100)</f>
        <v/>
      </c>
      <c r="G33">
        <f>IF($E$42=0,0,E33/$E$42*100)</f>
        <v/>
      </c>
      <c r="H33">
        <f>F33*G33/100</f>
        <v/>
      </c>
    </row>
    <row r="34">
      <c r="A34" t="inlineStr">
        <is>
          <t>84</t>
        </is>
      </c>
      <c r="B34" t="inlineStr">
        <is>
          <t>Public administration and defence services</t>
        </is>
      </c>
      <c r="C34">
        <f>'SUPPLY (38-38)-2024'!AS34</f>
        <v/>
      </c>
      <c r="D34">
        <f>'SUPPLY (38-38)-2024'!AR34</f>
        <v/>
      </c>
      <c r="E34">
        <f>'USE (38-38)-2024'!AT34</f>
        <v/>
      </c>
      <c r="F34">
        <f>IF(C34=0,0,D34/C34*100)</f>
        <v/>
      </c>
      <c r="G34">
        <f>IF($E$42=0,0,E34/$E$42*100)</f>
        <v/>
      </c>
      <c r="H34">
        <f>F34*G34/100</f>
        <v/>
      </c>
    </row>
    <row r="35">
      <c r="A35" t="inlineStr">
        <is>
          <t>85</t>
        </is>
      </c>
      <c r="B35" t="inlineStr">
        <is>
          <t>Education services</t>
        </is>
      </c>
      <c r="C35">
        <f>'SUPPLY (38-38)-2024'!AS35</f>
        <v/>
      </c>
      <c r="D35">
        <f>'SUPPLY (38-38)-2024'!AR35</f>
        <v/>
      </c>
      <c r="E35">
        <f>'USE (38-38)-2024'!AT35</f>
        <v/>
      </c>
      <c r="F35">
        <f>IF(C35=0,0,D35/C35*100)</f>
        <v/>
      </c>
      <c r="G35">
        <f>IF($E$42=0,0,E35/$E$42*100)</f>
        <v/>
      </c>
      <c r="H35">
        <f>F35*G35/100</f>
        <v/>
      </c>
    </row>
    <row r="36">
      <c r="A36" t="inlineStr">
        <is>
          <t>86</t>
        </is>
      </c>
      <c r="B36" t="inlineStr">
        <is>
          <t>Human health services</t>
        </is>
      </c>
      <c r="C36">
        <f>'SUPPLY (38-38)-2024'!AS36</f>
        <v/>
      </c>
      <c r="D36">
        <f>'SUPPLY (38-38)-2024'!AR36</f>
        <v/>
      </c>
      <c r="E36">
        <f>'USE (38-38)-2024'!AT36</f>
        <v/>
      </c>
      <c r="F36">
        <f>IF(C36=0,0,D36/C36*100)</f>
        <v/>
      </c>
      <c r="G36">
        <f>IF($E$42=0,0,E36/$E$42*100)</f>
        <v/>
      </c>
      <c r="H36">
        <f>F36*G36/100</f>
        <v/>
      </c>
    </row>
    <row r="37">
      <c r="A37" t="inlineStr">
        <is>
          <t>87-88</t>
        </is>
      </c>
      <c r="B37" t="inlineStr">
        <is>
          <t>Social work services</t>
        </is>
      </c>
      <c r="C37">
        <f>'SUPPLY (38-38)-2024'!AS37</f>
        <v/>
      </c>
      <c r="D37">
        <f>'SUPPLY (38-38)-2024'!AR37</f>
        <v/>
      </c>
      <c r="E37">
        <f>'USE (38-38)-2024'!AT37</f>
        <v/>
      </c>
      <c r="F37">
        <f>IF(C37=0,0,D37/C37*100)</f>
        <v/>
      </c>
      <c r="G37">
        <f>IF($E$42=0,0,E37/$E$42*100)</f>
        <v/>
      </c>
      <c r="H37">
        <f>F37*G37/100</f>
        <v/>
      </c>
    </row>
    <row r="38">
      <c r="A38" t="inlineStr">
        <is>
          <t>90-93</t>
        </is>
      </c>
      <c r="B38" t="inlineStr">
        <is>
          <t>Arts, entertainment and recreation services</t>
        </is>
      </c>
      <c r="C38">
        <f>'SUPPLY (38-38)-2024'!AS38</f>
        <v/>
      </c>
      <c r="D38">
        <f>'SUPPLY (38-38)-2024'!AR38</f>
        <v/>
      </c>
      <c r="E38">
        <f>'USE (38-38)-2024'!AT38</f>
        <v/>
      </c>
      <c r="F38">
        <f>IF(C38=0,0,D38/C38*100)</f>
        <v/>
      </c>
      <c r="G38">
        <f>IF($E$42=0,0,E38/$E$42*100)</f>
        <v/>
      </c>
      <c r="H38">
        <f>F38*G38/100</f>
        <v/>
      </c>
    </row>
    <row r="39">
      <c r="A39" t="inlineStr">
        <is>
          <t>94-96</t>
        </is>
      </c>
      <c r="B39" t="inlineStr">
        <is>
          <t>Other services</t>
        </is>
      </c>
      <c r="C39">
        <f>'SUPPLY (38-38)-2024'!AS39</f>
        <v/>
      </c>
      <c r="D39">
        <f>'SUPPLY (38-38)-2024'!AR39</f>
        <v/>
      </c>
      <c r="E39">
        <f>'USE (38-38)-2024'!AT39</f>
        <v/>
      </c>
      <c r="F39">
        <f>IF(C39=0,0,D39/C39*100)</f>
        <v/>
      </c>
      <c r="G39">
        <f>IF($E$42=0,0,E39/$E$42*100)</f>
        <v/>
      </c>
      <c r="H39">
        <f>F39*G39/100</f>
        <v/>
      </c>
    </row>
    <row r="40">
      <c r="A40" t="inlineStr">
        <is>
          <t>97-98</t>
        </is>
      </c>
      <c r="B40" t="inlineStr">
        <is>
          <t>Services of households as employers</t>
        </is>
      </c>
      <c r="C40">
        <f>'SUPPLY (38-38)-2024'!AS40</f>
        <v/>
      </c>
      <c r="D40">
        <f>'SUPPLY (38-38)-2024'!AR40</f>
        <v/>
      </c>
      <c r="E40">
        <f>'USE (38-38)-2024'!AT40</f>
        <v/>
      </c>
      <c r="F40">
        <f>IF(C40=0,0,D40/C40*100)</f>
        <v/>
      </c>
      <c r="G40">
        <f>IF($E$42=0,0,E40/$E$42*100)</f>
        <v/>
      </c>
      <c r="H40">
        <f>F40*G40/100</f>
        <v/>
      </c>
    </row>
    <row r="41">
      <c r="A41" t="inlineStr">
        <is>
          <t>99</t>
        </is>
      </c>
      <c r="B41" t="inlineStr">
        <is>
          <t>Services provided by extraterritorial organisations</t>
        </is>
      </c>
      <c r="C41">
        <f>'SUPPLY (38-38)-2024'!AS41</f>
        <v/>
      </c>
      <c r="D41">
        <f>'SUPPLY (38-38)-2024'!AR41</f>
        <v/>
      </c>
      <c r="E41">
        <f>'USE (38-38)-2024'!AT41</f>
        <v/>
      </c>
      <c r="F41">
        <f>IF(C41=0,0,D41/C41*100)</f>
        <v/>
      </c>
      <c r="G41">
        <f>IF($E$42=0,0,E41/$E$42*100)</f>
        <v/>
      </c>
      <c r="H41">
        <f>F41*G41/100</f>
        <v/>
      </c>
    </row>
    <row r="42">
      <c r="A42" s="53" t="inlineStr">
        <is>
          <t>Total</t>
        </is>
      </c>
      <c r="C42">
        <f>SUM(C4:C41)</f>
        <v/>
      </c>
      <c r="D42">
        <f>SUM(D4:D41)</f>
        <v/>
      </c>
      <c r="E42">
        <f>SUM(E4:E41)</f>
        <v/>
      </c>
      <c r="F42">
        <f>IF(C42=0,0,D42/C42*100)</f>
        <v/>
      </c>
      <c r="G42">
        <f>SUM(G4:G41)</f>
        <v/>
      </c>
      <c r="H42">
        <f>SUM(H4:H41)</f>
        <v/>
      </c>
    </row>
    <row r="44">
      <c r="A44" s="54" t="inlineStr">
        <is>
          <t>Summary</t>
        </is>
      </c>
    </row>
    <row r="45">
      <c r="A45" t="inlineStr">
        <is>
          <t>Total GFCF (mil. GEL)</t>
        </is>
      </c>
      <c r="C45">
        <f>E42</f>
        <v/>
      </c>
    </row>
    <row r="46">
      <c r="A46" t="inlineStr">
        <is>
          <t>Estimated Import Content Share for Investment</t>
        </is>
      </c>
      <c r="C46" s="55">
        <f>H42/100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51" t="inlineStr">
        <is>
          <t>Scenario 1: Base Case (Demand Multiplier = 0.8)</t>
        </is>
      </c>
    </row>
    <row r="2">
      <c r="A2" s="53" t="inlineStr"/>
      <c r="B2" s="53" t="inlineStr">
        <is>
          <t>Units</t>
        </is>
      </c>
      <c r="C2" s="56" t="n">
        <v>2024</v>
      </c>
      <c r="D2" s="56" t="n">
        <v>2025</v>
      </c>
      <c r="E2" s="56" t="n">
        <v>2026</v>
      </c>
      <c r="F2" s="56" t="n">
        <v>2027</v>
      </c>
      <c r="G2" s="56" t="n">
        <v>2028</v>
      </c>
      <c r="H2" s="56" t="n">
        <v>2029</v>
      </c>
      <c r="I2" s="56" t="n">
        <v>2030</v>
      </c>
      <c r="J2" s="56" t="n">
        <v>2031</v>
      </c>
      <c r="K2" s="56" t="n">
        <v>2032</v>
      </c>
      <c r="L2" s="56" t="n">
        <v>2033</v>
      </c>
      <c r="M2" s="56" t="n">
        <v>2034</v>
      </c>
      <c r="N2" s="56" t="n">
        <v>2035</v>
      </c>
      <c r="O2" s="56" t="n">
        <v>2036</v>
      </c>
      <c r="P2" s="56" t="n">
        <v>2037</v>
      </c>
      <c r="Q2" s="56" t="n">
        <v>2038</v>
      </c>
      <c r="R2" s="56" t="n">
        <v>2039</v>
      </c>
      <c r="S2" s="56" t="n">
        <v>2040</v>
      </c>
      <c r="T2" s="56" t="n">
        <v>2041</v>
      </c>
      <c r="U2" s="56" t="n">
        <v>2042</v>
      </c>
      <c r="V2" s="56" t="n">
        <v>2043</v>
      </c>
    </row>
    <row r="3">
      <c r="A3" t="inlineStr">
        <is>
          <t>Nominal GDP</t>
        </is>
      </c>
      <c r="B3" t="inlineStr">
        <is>
          <t>Bln USD</t>
        </is>
      </c>
      <c r="C3">
        <f>WEO_Data!H3</f>
        <v/>
      </c>
      <c r="D3">
        <f>WEO_Data!I3</f>
        <v/>
      </c>
      <c r="E3">
        <f>WEO_Data!J3</f>
        <v/>
      </c>
      <c r="F3">
        <f>WEO_Data!K3</f>
        <v/>
      </c>
      <c r="G3">
        <f>WEO_Data!L3</f>
        <v/>
      </c>
      <c r="H3">
        <f>WEO_Data!M3</f>
        <v/>
      </c>
      <c r="I3">
        <f>WEO_Data!N3</f>
        <v/>
      </c>
      <c r="J3">
        <f>WEO_Data!O3</f>
        <v/>
      </c>
      <c r="K3">
        <f>WEO_Data!P3</f>
        <v/>
      </c>
      <c r="L3">
        <f>WEO_Data!Q3</f>
        <v/>
      </c>
      <c r="M3">
        <f>WEO_Data!R3</f>
        <v/>
      </c>
      <c r="N3">
        <f>WEO_Data!S3</f>
        <v/>
      </c>
      <c r="O3">
        <f>WEO_Data!T3</f>
        <v/>
      </c>
      <c r="P3">
        <f>WEO_Data!U3</f>
        <v/>
      </c>
      <c r="Q3">
        <f>WEO_Data!V3</f>
        <v/>
      </c>
      <c r="R3">
        <f>WEO_Data!W3</f>
        <v/>
      </c>
      <c r="S3">
        <f>WEO_Data!X3</f>
        <v/>
      </c>
      <c r="T3">
        <f>WEO_Data!Y3</f>
        <v/>
      </c>
      <c r="U3">
        <f>WEO_Data!Z3</f>
        <v/>
      </c>
      <c r="V3">
        <f>WEO_Data!AA3</f>
        <v/>
      </c>
    </row>
    <row r="4">
      <c r="A4" t="inlineStr">
        <is>
          <t>Real GDP Growth Rate</t>
        </is>
      </c>
      <c r="B4" t="inlineStr">
        <is>
          <t>%</t>
        </is>
      </c>
      <c r="C4">
        <f>WEO_Data!H2</f>
        <v/>
      </c>
      <c r="D4">
        <f>WEO_Data!I2</f>
        <v/>
      </c>
      <c r="E4">
        <f>WEO_Data!J2</f>
        <v/>
      </c>
      <c r="F4">
        <f>WEO_Data!K2</f>
        <v/>
      </c>
      <c r="G4">
        <f>WEO_Data!L2</f>
        <v/>
      </c>
      <c r="H4">
        <f>WEO_Data!M2</f>
        <v/>
      </c>
      <c r="I4">
        <f>WEO_Data!N2</f>
        <v/>
      </c>
      <c r="J4">
        <f>WEO_Data!O2</f>
        <v/>
      </c>
      <c r="K4">
        <f>WEO_Data!P2</f>
        <v/>
      </c>
      <c r="L4">
        <f>WEO_Data!Q2</f>
        <v/>
      </c>
      <c r="M4">
        <f>WEO_Data!R2</f>
        <v/>
      </c>
      <c r="N4">
        <f>WEO_Data!S2</f>
        <v/>
      </c>
      <c r="O4">
        <f>WEO_Data!T2</f>
        <v/>
      </c>
      <c r="P4">
        <f>WEO_Data!U2</f>
        <v/>
      </c>
      <c r="Q4">
        <f>WEO_Data!V2</f>
        <v/>
      </c>
      <c r="R4">
        <f>WEO_Data!W2</f>
        <v/>
      </c>
      <c r="S4">
        <f>WEO_Data!X2</f>
        <v/>
      </c>
      <c r="T4">
        <f>WEO_Data!Y2</f>
        <v/>
      </c>
      <c r="U4">
        <f>WEO_Data!Z2</f>
        <v/>
      </c>
      <c r="V4">
        <f>WEO_Data!AA2</f>
        <v/>
      </c>
    </row>
    <row r="5">
      <c r="A5" t="inlineStr">
        <is>
          <t>GDP Deflator</t>
        </is>
      </c>
      <c r="B5" t="inlineStr">
        <is>
          <t>Index</t>
        </is>
      </c>
      <c r="C5">
        <f>WEO_Data!H4</f>
        <v/>
      </c>
      <c r="D5">
        <f>WEO_Data!I4</f>
        <v/>
      </c>
      <c r="E5">
        <f>WEO_Data!J4</f>
        <v/>
      </c>
      <c r="F5">
        <f>WEO_Data!K4</f>
        <v/>
      </c>
      <c r="G5">
        <f>WEO_Data!L4</f>
        <v/>
      </c>
      <c r="H5">
        <f>WEO_Data!M4</f>
        <v/>
      </c>
      <c r="I5">
        <f>WEO_Data!N4</f>
        <v/>
      </c>
      <c r="J5">
        <f>WEO_Data!O4</f>
        <v/>
      </c>
      <c r="K5">
        <f>WEO_Data!P4</f>
        <v/>
      </c>
      <c r="L5">
        <f>WEO_Data!Q4</f>
        <v/>
      </c>
      <c r="M5">
        <f>WEO_Data!R4</f>
        <v/>
      </c>
      <c r="N5">
        <f>WEO_Data!S4</f>
        <v/>
      </c>
      <c r="O5">
        <f>WEO_Data!T4</f>
        <v/>
      </c>
      <c r="P5">
        <f>WEO_Data!U4</f>
        <v/>
      </c>
      <c r="Q5">
        <f>WEO_Data!V4</f>
        <v/>
      </c>
      <c r="R5">
        <f>WEO_Data!W4</f>
        <v/>
      </c>
      <c r="S5">
        <f>WEO_Data!X4</f>
        <v/>
      </c>
      <c r="T5">
        <f>WEO_Data!Y4</f>
        <v/>
      </c>
      <c r="U5">
        <f>WEO_Data!Z4</f>
        <v/>
      </c>
      <c r="V5">
        <f>WEO_Data!AA4</f>
        <v/>
      </c>
    </row>
    <row r="6">
      <c r="A6" t="inlineStr">
        <is>
          <t>GDP Deflator Growth Rate</t>
        </is>
      </c>
      <c r="B6" t="inlineStr">
        <is>
          <t>%</t>
        </is>
      </c>
      <c r="C6">
        <f>WEO_Data!H5</f>
        <v/>
      </c>
      <c r="D6">
        <f>WEO_Data!I5</f>
        <v/>
      </c>
      <c r="E6">
        <f>WEO_Data!J5</f>
        <v/>
      </c>
      <c r="F6">
        <f>WEO_Data!K5</f>
        <v/>
      </c>
      <c r="G6">
        <f>WEO_Data!L5</f>
        <v/>
      </c>
      <c r="H6">
        <f>WEO_Data!M5</f>
        <v/>
      </c>
      <c r="I6">
        <f>WEO_Data!N5</f>
        <v/>
      </c>
      <c r="J6">
        <f>WEO_Data!O5</f>
        <v/>
      </c>
      <c r="K6">
        <f>WEO_Data!P5</f>
        <v/>
      </c>
      <c r="L6">
        <f>WEO_Data!Q5</f>
        <v/>
      </c>
      <c r="M6">
        <f>WEO_Data!R5</f>
        <v/>
      </c>
      <c r="N6">
        <f>WEO_Data!S5</f>
        <v/>
      </c>
      <c r="O6">
        <f>WEO_Data!T5</f>
        <v/>
      </c>
      <c r="P6">
        <f>WEO_Data!U5</f>
        <v/>
      </c>
      <c r="Q6">
        <f>WEO_Data!V5</f>
        <v/>
      </c>
      <c r="R6">
        <f>WEO_Data!W5</f>
        <v/>
      </c>
      <c r="S6">
        <f>WEO_Data!X5</f>
        <v/>
      </c>
      <c r="T6">
        <f>WEO_Data!Y5</f>
        <v/>
      </c>
      <c r="U6">
        <f>WEO_Data!Z5</f>
        <v/>
      </c>
      <c r="V6">
        <f>WEO_Data!AA5</f>
        <v/>
      </c>
    </row>
    <row r="7">
      <c r="A7" t="inlineStr">
        <is>
          <t>Nominal GDP</t>
        </is>
      </c>
      <c r="B7" t="inlineStr">
        <is>
          <t>Bln GEL</t>
        </is>
      </c>
      <c r="C7">
        <f>C3*$D$30</f>
        <v/>
      </c>
      <c r="D7">
        <f>D3*$D$30</f>
        <v/>
      </c>
      <c r="E7">
        <f>E3*$D$30</f>
        <v/>
      </c>
      <c r="F7">
        <f>F3*$D$30</f>
        <v/>
      </c>
      <c r="G7">
        <f>G3*$D$30</f>
        <v/>
      </c>
      <c r="H7">
        <f>H3*$D$30</f>
        <v/>
      </c>
      <c r="I7">
        <f>I3*$D$30</f>
        <v/>
      </c>
      <c r="J7">
        <f>J3*$D$30</f>
        <v/>
      </c>
      <c r="K7">
        <f>K3*$D$30</f>
        <v/>
      </c>
      <c r="L7">
        <f>L3*$D$30</f>
        <v/>
      </c>
      <c r="M7">
        <f>M3*$D$30</f>
        <v/>
      </c>
      <c r="N7">
        <f>N3*$D$30</f>
        <v/>
      </c>
      <c r="O7">
        <f>O3*$D$30</f>
        <v/>
      </c>
      <c r="P7">
        <f>P3*$D$30</f>
        <v/>
      </c>
      <c r="Q7">
        <f>Q3*$D$30</f>
        <v/>
      </c>
      <c r="R7">
        <f>R3*$D$30</f>
        <v/>
      </c>
      <c r="S7">
        <f>S3*$D$30</f>
        <v/>
      </c>
      <c r="T7">
        <f>T3*$D$30</f>
        <v/>
      </c>
      <c r="U7">
        <f>U3*$D$30</f>
        <v/>
      </c>
      <c r="V7">
        <f>V3*$D$30</f>
        <v/>
      </c>
    </row>
    <row r="8">
      <c r="A8" t="inlineStr">
        <is>
          <t>Real GDP (2024 prices)</t>
        </is>
      </c>
      <c r="B8" t="inlineStr">
        <is>
          <t>Bln GEL</t>
        </is>
      </c>
      <c r="C8">
        <f>C7/(C5/$C$5)</f>
        <v/>
      </c>
      <c r="D8">
        <f>D7/(D5/$C$5)</f>
        <v/>
      </c>
      <c r="E8">
        <f>E7/(E5/$C$5)</f>
        <v/>
      </c>
      <c r="F8">
        <f>F7/(F5/$C$5)</f>
        <v/>
      </c>
      <c r="G8">
        <f>G7/(G5/$C$5)</f>
        <v/>
      </c>
      <c r="H8">
        <f>H7/(H5/$C$5)</f>
        <v/>
      </c>
      <c r="I8">
        <f>I7/(I5/$C$5)</f>
        <v/>
      </c>
      <c r="J8">
        <f>J7/(J5/$C$5)</f>
        <v/>
      </c>
      <c r="K8">
        <f>K7/(K5/$C$5)</f>
        <v/>
      </c>
      <c r="L8">
        <f>L7/(L5/$C$5)</f>
        <v/>
      </c>
      <c r="M8">
        <f>M7/(M5/$C$5)</f>
        <v/>
      </c>
      <c r="N8">
        <f>N7/(N5/$C$5)</f>
        <v/>
      </c>
      <c r="O8">
        <f>O7/(O5/$C$5)</f>
        <v/>
      </c>
      <c r="P8">
        <f>P7/(P5/$C$5)</f>
        <v/>
      </c>
      <c r="Q8">
        <f>Q7/(Q5/$C$5)</f>
        <v/>
      </c>
      <c r="R8">
        <f>R7/(R5/$C$5)</f>
        <v/>
      </c>
      <c r="S8">
        <f>S7/(S5/$C$5)</f>
        <v/>
      </c>
      <c r="T8">
        <f>T7/(T5/$C$5)</f>
        <v/>
      </c>
      <c r="U8">
        <f>U7/(U5/$C$5)</f>
        <v/>
      </c>
      <c r="V8">
        <f>V7/(V5/$C$5)</f>
        <v/>
      </c>
    </row>
    <row r="10">
      <c r="A10" s="54" t="inlineStr">
        <is>
          <t>Investment Spending Shock</t>
        </is>
      </c>
    </row>
    <row r="11">
      <c r="A11" t="inlineStr">
        <is>
          <t>Total Project Value</t>
        </is>
      </c>
      <c r="B11" t="inlineStr">
        <is>
          <t>Bln USD</t>
        </is>
      </c>
      <c r="C11" t="n">
        <v>6.5</v>
      </c>
    </row>
    <row r="12">
      <c r="A12" t="inlineStr">
        <is>
          <t>Project Duration</t>
        </is>
      </c>
      <c r="B12" t="inlineStr">
        <is>
          <t>Years</t>
        </is>
      </c>
      <c r="C12" t="n">
        <v>8</v>
      </c>
    </row>
    <row r="13">
      <c r="A13" t="inlineStr">
        <is>
          <t>Start Year</t>
        </is>
      </c>
      <c r="C13" t="n">
        <v>2026</v>
      </c>
    </row>
    <row r="14">
      <c r="A14" t="inlineStr">
        <is>
          <t>End Year</t>
        </is>
      </c>
      <c r="C14" t="n">
        <v>2033</v>
      </c>
    </row>
    <row r="16">
      <c r="A16" s="54" t="inlineStr">
        <is>
          <t>Annual Allocation Weights (Bell Shape)</t>
        </is>
      </c>
    </row>
    <row r="17">
      <c r="A17" t="inlineStr">
        <is>
          <t>Year of Project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  <c r="J17" t="n">
        <v>8</v>
      </c>
    </row>
    <row r="18">
      <c r="A18" t="inlineStr">
        <is>
          <t>Allocation Weight</t>
        </is>
      </c>
      <c r="B18" t="inlineStr">
        <is>
          <t>%</t>
        </is>
      </c>
      <c r="C18" s="57" t="n">
        <v>0.05</v>
      </c>
      <c r="D18" s="57" t="n">
        <v>0.1</v>
      </c>
      <c r="E18" s="57" t="n">
        <v>0.15</v>
      </c>
      <c r="F18" s="57" t="n">
        <v>0.2</v>
      </c>
      <c r="G18" s="57" t="n">
        <v>0.2</v>
      </c>
      <c r="H18" s="57" t="n">
        <v>0.15</v>
      </c>
      <c r="I18" s="57" t="n">
        <v>0.1</v>
      </c>
      <c r="J18" s="57" t="n">
        <v>0.05</v>
      </c>
    </row>
    <row r="19">
      <c r="A19" t="inlineStr">
        <is>
          <t>Calendar Year</t>
        </is>
      </c>
      <c r="C19" t="n">
        <v>2026</v>
      </c>
      <c r="D19" t="n">
        <v>2027</v>
      </c>
      <c r="E19" t="n">
        <v>2028</v>
      </c>
      <c r="F19" t="n">
        <v>2029</v>
      </c>
      <c r="G19" t="n">
        <v>2030</v>
      </c>
      <c r="H19" t="n">
        <v>2031</v>
      </c>
      <c r="I19" t="n">
        <v>2032</v>
      </c>
      <c r="J19" t="n">
        <v>2033</v>
      </c>
    </row>
    <row r="20">
      <c r="A20" t="inlineStr">
        <is>
          <t>Sum of Weights</t>
        </is>
      </c>
      <c r="C20" s="57">
        <f>SUM(C18:J18)</f>
        <v/>
      </c>
    </row>
    <row r="29">
      <c r="A29" s="54" t="inlineStr">
        <is>
          <t>Assumptions</t>
        </is>
      </c>
    </row>
    <row r="30">
      <c r="A30" t="inlineStr">
        <is>
          <t>Lari/USD Exchange Rate</t>
        </is>
      </c>
      <c r="B30" t="inlineStr">
        <is>
          <t>GEL/USD</t>
        </is>
      </c>
      <c r="D30" t="n">
        <v>2.746</v>
      </c>
    </row>
    <row r="31">
      <c r="A31" t="inlineStr">
        <is>
          <t>Demand Multiplier</t>
        </is>
      </c>
      <c r="D31" t="n">
        <v>0.8</v>
      </c>
    </row>
    <row r="32">
      <c r="A32" t="inlineStr">
        <is>
          <t>Import Content Share</t>
        </is>
      </c>
      <c r="D32">
        <f>'SUT Calc'!C46</f>
        <v/>
      </c>
    </row>
    <row r="33">
      <c r="A33" t="inlineStr">
        <is>
          <t>Project Allocation</t>
        </is>
      </c>
      <c r="D33" t="inlineStr">
        <is>
          <t>Bell shape</t>
        </is>
      </c>
    </row>
    <row r="35">
      <c r="A35" s="54" t="inlineStr">
        <is>
          <t>Shock Calculations</t>
        </is>
      </c>
    </row>
    <row r="36">
      <c r="C36" s="1" t="n">
        <v>2024</v>
      </c>
      <c r="D36" s="1" t="n">
        <v>2025</v>
      </c>
      <c r="E36" s="1" t="n">
        <v>2026</v>
      </c>
      <c r="F36" s="1" t="n">
        <v>2027</v>
      </c>
      <c r="G36" s="1" t="n">
        <v>2028</v>
      </c>
      <c r="H36" s="1" t="n">
        <v>2029</v>
      </c>
      <c r="I36" s="1" t="n">
        <v>2030</v>
      </c>
      <c r="J36" s="1" t="n">
        <v>2031</v>
      </c>
      <c r="K36" s="1" t="n">
        <v>2032</v>
      </c>
      <c r="L36" s="1" t="n">
        <v>2033</v>
      </c>
      <c r="M36" s="1" t="n">
        <v>2034</v>
      </c>
      <c r="N36" s="1" t="n">
        <v>2035</v>
      </c>
      <c r="O36" s="1" t="n">
        <v>2036</v>
      </c>
      <c r="P36" s="1" t="n">
        <v>2037</v>
      </c>
      <c r="Q36" s="1" t="n">
        <v>2038</v>
      </c>
      <c r="R36" s="1" t="n">
        <v>2039</v>
      </c>
      <c r="S36" s="1" t="n">
        <v>2040</v>
      </c>
      <c r="T36" s="1" t="n">
        <v>2041</v>
      </c>
      <c r="U36" s="1" t="n">
        <v>2042</v>
      </c>
      <c r="V36" s="1" t="n">
        <v>2043</v>
      </c>
    </row>
    <row r="37">
      <c r="A37" t="inlineStr">
        <is>
          <t>Annual Investment Spending</t>
        </is>
      </c>
      <c r="B37" t="inlineStr">
        <is>
          <t>Bln USD</t>
        </is>
      </c>
      <c r="C37" t="n">
        <v>0</v>
      </c>
      <c r="D37" t="n">
        <v>0</v>
      </c>
      <c r="E37">
        <f>$C$11*C$18</f>
        <v/>
      </c>
      <c r="F37">
        <f>$C$11*D$18</f>
        <v/>
      </c>
      <c r="G37">
        <f>$C$11*E$18</f>
        <v/>
      </c>
      <c r="H37">
        <f>$C$11*F$18</f>
        <v/>
      </c>
      <c r="I37">
        <f>$C$11*G$18</f>
        <v/>
      </c>
      <c r="J37">
        <f>$C$11*H$18</f>
        <v/>
      </c>
      <c r="K37">
        <f>$C$11*I$18</f>
        <v/>
      </c>
      <c r="L37">
        <f>$C$11*J$18</f>
        <v/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Annual Investment Spending</t>
        </is>
      </c>
      <c r="B38" t="inlineStr">
        <is>
          <t>Bln GEL</t>
        </is>
      </c>
      <c r="C38">
        <f>C37*$D$30</f>
        <v/>
      </c>
      <c r="D38">
        <f>D37*$D$30</f>
        <v/>
      </c>
      <c r="E38">
        <f>E37*$D$30</f>
        <v/>
      </c>
      <c r="F38">
        <f>F37*$D$30</f>
        <v/>
      </c>
      <c r="G38">
        <f>G37*$D$30</f>
        <v/>
      </c>
      <c r="H38">
        <f>H37*$D$30</f>
        <v/>
      </c>
      <c r="I38">
        <f>I37*$D$30</f>
        <v/>
      </c>
      <c r="J38">
        <f>J37*$D$30</f>
        <v/>
      </c>
      <c r="K38">
        <f>K37*$D$30</f>
        <v/>
      </c>
      <c r="L38">
        <f>L37*$D$30</f>
        <v/>
      </c>
      <c r="M38">
        <f>M37*$D$30</f>
        <v/>
      </c>
      <c r="N38">
        <f>N37*$D$30</f>
        <v/>
      </c>
      <c r="O38">
        <f>O37*$D$30</f>
        <v/>
      </c>
      <c r="P38">
        <f>P37*$D$30</f>
        <v/>
      </c>
      <c r="Q38">
        <f>Q37*$D$30</f>
        <v/>
      </c>
      <c r="R38">
        <f>R37*$D$30</f>
        <v/>
      </c>
      <c r="S38">
        <f>S37*$D$30</f>
        <v/>
      </c>
      <c r="T38">
        <f>T37*$D$30</f>
        <v/>
      </c>
      <c r="U38">
        <f>U37*$D$30</f>
        <v/>
      </c>
      <c r="V38">
        <f>V37*$D$30</f>
        <v/>
      </c>
    </row>
    <row r="39">
      <c r="A39" t="inlineStr">
        <is>
          <t>Investment Deflator (2024=1)</t>
        </is>
      </c>
      <c r="B39" t="inlineStr">
        <is>
          <t>Index</t>
        </is>
      </c>
      <c r="C39">
        <f>C5/$C$5</f>
        <v/>
      </c>
      <c r="D39">
        <f>D5/$C$5</f>
        <v/>
      </c>
      <c r="E39">
        <f>E5/$C$5</f>
        <v/>
      </c>
      <c r="F39">
        <f>F5/$C$5</f>
        <v/>
      </c>
      <c r="G39">
        <f>G5/$C$5</f>
        <v/>
      </c>
      <c r="H39">
        <f>H5/$C$5</f>
        <v/>
      </c>
      <c r="I39">
        <f>I5/$C$5</f>
        <v/>
      </c>
      <c r="J39">
        <f>J5/$C$5</f>
        <v/>
      </c>
      <c r="K39">
        <f>K5/$C$5</f>
        <v/>
      </c>
      <c r="L39">
        <f>L5/$C$5</f>
        <v/>
      </c>
      <c r="M39">
        <f>M5/$C$5</f>
        <v/>
      </c>
      <c r="N39">
        <f>N5/$C$5</f>
        <v/>
      </c>
      <c r="O39">
        <f>O5/$C$5</f>
        <v/>
      </c>
      <c r="P39">
        <f>P5/$C$5</f>
        <v/>
      </c>
      <c r="Q39">
        <f>Q5/$C$5</f>
        <v/>
      </c>
      <c r="R39">
        <f>R5/$C$5</f>
        <v/>
      </c>
      <c r="S39">
        <f>S5/$C$5</f>
        <v/>
      </c>
      <c r="T39">
        <f>T5/$C$5</f>
        <v/>
      </c>
      <c r="U39">
        <f>U5/$C$5</f>
        <v/>
      </c>
      <c r="V39">
        <f>V5/$C$5</f>
        <v/>
      </c>
    </row>
    <row r="40">
      <c r="A40" t="inlineStr">
        <is>
          <t>Real Annual Investment Spending</t>
        </is>
      </c>
      <c r="B40" t="inlineStr">
        <is>
          <t>Bln GEL (2024 prices)</t>
        </is>
      </c>
      <c r="C40">
        <f>C38/C39</f>
        <v/>
      </c>
      <c r="D40">
        <f>D38/D39</f>
        <v/>
      </c>
      <c r="E40">
        <f>E38/E39</f>
        <v/>
      </c>
      <c r="F40">
        <f>F38/F39</f>
        <v/>
      </c>
      <c r="G40">
        <f>G38/G39</f>
        <v/>
      </c>
      <c r="H40">
        <f>H38/H39</f>
        <v/>
      </c>
      <c r="I40">
        <f>I38/I39</f>
        <v/>
      </c>
      <c r="J40">
        <f>J38/J39</f>
        <v/>
      </c>
      <c r="K40">
        <f>K38/K39</f>
        <v/>
      </c>
      <c r="L40">
        <f>L38/L39</f>
        <v/>
      </c>
      <c r="M40">
        <f>M38/M39</f>
        <v/>
      </c>
      <c r="N40">
        <f>N38/N39</f>
        <v/>
      </c>
      <c r="O40">
        <f>O38/O39</f>
        <v/>
      </c>
      <c r="P40">
        <f>P38/P39</f>
        <v/>
      </c>
      <c r="Q40">
        <f>Q38/Q39</f>
        <v/>
      </c>
      <c r="R40">
        <f>R38/R39</f>
        <v/>
      </c>
      <c r="S40">
        <f>S38/S39</f>
        <v/>
      </c>
      <c r="T40">
        <f>T38/T39</f>
        <v/>
      </c>
      <c r="U40">
        <f>U38/U39</f>
        <v/>
      </c>
      <c r="V40">
        <f>V38/V39</f>
        <v/>
      </c>
    </row>
    <row r="41">
      <c r="A41" t="inlineStr">
        <is>
          <t>Domestic Content of Investment</t>
        </is>
      </c>
      <c r="B41" t="inlineStr">
        <is>
          <t>Bln GEL (2024 prices)</t>
        </is>
      </c>
      <c r="C41">
        <f>C40*(1-$D$32)</f>
        <v/>
      </c>
      <c r="D41">
        <f>D40*(1-$D$32)</f>
        <v/>
      </c>
      <c r="E41">
        <f>E40*(1-$D$32)</f>
        <v/>
      </c>
      <c r="F41">
        <f>F40*(1-$D$32)</f>
        <v/>
      </c>
      <c r="G41">
        <f>G40*(1-$D$32)</f>
        <v/>
      </c>
      <c r="H41">
        <f>H40*(1-$D$32)</f>
        <v/>
      </c>
      <c r="I41">
        <f>I40*(1-$D$32)</f>
        <v/>
      </c>
      <c r="J41">
        <f>J40*(1-$D$32)</f>
        <v/>
      </c>
      <c r="K41">
        <f>K40*(1-$D$32)</f>
        <v/>
      </c>
      <c r="L41">
        <f>L40*(1-$D$32)</f>
        <v/>
      </c>
      <c r="M41">
        <f>M40*(1-$D$32)</f>
        <v/>
      </c>
      <c r="N41">
        <f>N40*(1-$D$32)</f>
        <v/>
      </c>
      <c r="O41">
        <f>O40*(1-$D$32)</f>
        <v/>
      </c>
      <c r="P41">
        <f>P40*(1-$D$32)</f>
        <v/>
      </c>
      <c r="Q41">
        <f>Q40*(1-$D$32)</f>
        <v/>
      </c>
      <c r="R41">
        <f>R40*(1-$D$32)</f>
        <v/>
      </c>
      <c r="S41">
        <f>S40*(1-$D$32)</f>
        <v/>
      </c>
      <c r="T41">
        <f>T40*(1-$D$32)</f>
        <v/>
      </c>
      <c r="U41">
        <f>U40*(1-$D$32)</f>
        <v/>
      </c>
      <c r="V41">
        <f>V40*(1-$D$32)</f>
        <v/>
      </c>
    </row>
    <row r="42">
      <c r="A42" t="inlineStr">
        <is>
          <t>Demand Impact on GDP</t>
        </is>
      </c>
      <c r="B42" t="inlineStr">
        <is>
          <t>Bln GEL (2024 prices)</t>
        </is>
      </c>
      <c r="C42">
        <f>C41*$D$31</f>
        <v/>
      </c>
      <c r="D42">
        <f>D41*$D$31</f>
        <v/>
      </c>
      <c r="E42">
        <f>E41*$D$31</f>
        <v/>
      </c>
      <c r="F42">
        <f>F41*$D$31</f>
        <v/>
      </c>
      <c r="G42">
        <f>G41*$D$31</f>
        <v/>
      </c>
      <c r="H42">
        <f>H41*$D$31</f>
        <v/>
      </c>
      <c r="I42">
        <f>I41*$D$31</f>
        <v/>
      </c>
      <c r="J42">
        <f>J41*$D$31</f>
        <v/>
      </c>
      <c r="K42">
        <f>K41*$D$31</f>
        <v/>
      </c>
      <c r="L42">
        <f>L41*$D$31</f>
        <v/>
      </c>
      <c r="M42">
        <f>M41*$D$31</f>
        <v/>
      </c>
      <c r="N42">
        <f>N41*$D$31</f>
        <v/>
      </c>
      <c r="O42">
        <f>O41*$D$31</f>
        <v/>
      </c>
      <c r="P42">
        <f>P41*$D$31</f>
        <v/>
      </c>
      <c r="Q42">
        <f>Q41*$D$31</f>
        <v/>
      </c>
      <c r="R42">
        <f>R41*$D$31</f>
        <v/>
      </c>
      <c r="S42">
        <f>S41*$D$31</f>
        <v/>
      </c>
      <c r="T42">
        <f>T41*$D$31</f>
        <v/>
      </c>
      <c r="U42">
        <f>U41*$D$31</f>
        <v/>
      </c>
      <c r="V42">
        <f>V41*$D$31</f>
        <v/>
      </c>
    </row>
    <row r="44">
      <c r="A44" s="54" t="inlineStr">
        <is>
          <t>GDP Impact Summary</t>
        </is>
      </c>
    </row>
    <row r="45">
      <c r="A45" t="inlineStr">
        <is>
          <t>Demand Impact as % of GDP</t>
        </is>
      </c>
      <c r="B45" t="inlineStr">
        <is>
          <t>%</t>
        </is>
      </c>
      <c r="C45">
        <f>IF(C8=0,0,C42/C8*100)</f>
        <v/>
      </c>
      <c r="D45">
        <f>IF(D8=0,0,D42/D8*100)</f>
        <v/>
      </c>
      <c r="E45">
        <f>IF(E8=0,0,E42/E8*100)</f>
        <v/>
      </c>
      <c r="F45">
        <f>IF(F8=0,0,F42/F8*100)</f>
        <v/>
      </c>
      <c r="G45">
        <f>IF(G8=0,0,G42/G8*100)</f>
        <v/>
      </c>
      <c r="H45">
        <f>IF(H8=0,0,H42/H8*100)</f>
        <v/>
      </c>
      <c r="I45">
        <f>IF(I8=0,0,I42/I8*100)</f>
        <v/>
      </c>
      <c r="J45">
        <f>IF(J8=0,0,J42/J8*100)</f>
        <v/>
      </c>
      <c r="K45">
        <f>IF(K8=0,0,K42/K8*100)</f>
        <v/>
      </c>
      <c r="L45">
        <f>IF(L8=0,0,L42/L8*100)</f>
        <v/>
      </c>
      <c r="M45">
        <f>IF(M8=0,0,M42/M8*100)</f>
        <v/>
      </c>
      <c r="N45">
        <f>IF(N8=0,0,N42/N8*100)</f>
        <v/>
      </c>
      <c r="O45">
        <f>IF(O8=0,0,O42/O8*100)</f>
        <v/>
      </c>
      <c r="P45">
        <f>IF(P8=0,0,P42/P8*100)</f>
        <v/>
      </c>
      <c r="Q45">
        <f>IF(Q8=0,0,Q42/Q8*100)</f>
        <v/>
      </c>
      <c r="R45">
        <f>IF(R8=0,0,R42/R8*100)</f>
        <v/>
      </c>
      <c r="S45">
        <f>IF(S8=0,0,S42/S8*100)</f>
        <v/>
      </c>
      <c r="T45">
        <f>IF(T8=0,0,T42/T8*100)</f>
        <v/>
      </c>
      <c r="U45">
        <f>IF(U8=0,0,U42/U8*100)</f>
        <v/>
      </c>
      <c r="V45">
        <f>IF(V8=0,0,V42/V8*100)</f>
        <v/>
      </c>
    </row>
    <row r="46">
      <c r="A46" t="inlineStr">
        <is>
          <t>Adjusted Real GDP Growth Rate</t>
        </is>
      </c>
      <c r="B46" t="inlineStr">
        <is>
          <t>% pts</t>
        </is>
      </c>
      <c r="C46">
        <f>C4</f>
        <v/>
      </c>
      <c r="D46">
        <f>D4+(D45-C45)</f>
        <v/>
      </c>
      <c r="E46">
        <f>E4+(E45-D45)</f>
        <v/>
      </c>
      <c r="F46">
        <f>F4+(F45-E45)</f>
        <v/>
      </c>
      <c r="G46">
        <f>G4+(G45-F45)</f>
        <v/>
      </c>
      <c r="H46">
        <f>H4+(H45-G45)</f>
        <v/>
      </c>
      <c r="I46">
        <f>I4+(I45-H45)</f>
        <v/>
      </c>
      <c r="J46">
        <f>J4+(J45-I45)</f>
        <v/>
      </c>
      <c r="K46">
        <f>K4+(K45-J45)</f>
        <v/>
      </c>
      <c r="L46">
        <f>L4+(L45-K45)</f>
        <v/>
      </c>
      <c r="M46">
        <f>M4+(M45-L45)</f>
        <v/>
      </c>
      <c r="N46">
        <f>N4+(N45-M45)</f>
        <v/>
      </c>
      <c r="O46">
        <f>O4+(O45-N45)</f>
        <v/>
      </c>
      <c r="P46">
        <f>P4+(P45-O45)</f>
        <v/>
      </c>
      <c r="Q46">
        <f>Q4+(Q45-P45)</f>
        <v/>
      </c>
      <c r="R46">
        <f>R4+(R45-Q45)</f>
        <v/>
      </c>
      <c r="S46">
        <f>S4+(S45-R45)</f>
        <v/>
      </c>
      <c r="T46">
        <f>T4+(T45-S45)</f>
        <v/>
      </c>
      <c r="U46">
        <f>U4+(U45-T45)</f>
        <v/>
      </c>
      <c r="V46">
        <f>V4+(V45-U45)</f>
        <v/>
      </c>
    </row>
    <row r="49">
      <c r="A49" s="51" t="inlineStr">
        <is>
          <t>Scenario 2: Demand Multiplier = 1.0</t>
        </is>
      </c>
    </row>
    <row r="50">
      <c r="A50" s="53" t="inlineStr"/>
      <c r="B50" s="53" t="inlineStr">
        <is>
          <t>Units</t>
        </is>
      </c>
      <c r="C50" s="56" t="n">
        <v>2024</v>
      </c>
      <c r="D50" s="56" t="n">
        <v>2025</v>
      </c>
      <c r="E50" s="56" t="n">
        <v>2026</v>
      </c>
      <c r="F50" s="56" t="n">
        <v>2027</v>
      </c>
      <c r="G50" s="56" t="n">
        <v>2028</v>
      </c>
      <c r="H50" s="56" t="n">
        <v>2029</v>
      </c>
      <c r="I50" s="56" t="n">
        <v>2030</v>
      </c>
      <c r="J50" s="56" t="n">
        <v>2031</v>
      </c>
      <c r="K50" s="56" t="n">
        <v>2032</v>
      </c>
      <c r="L50" s="56" t="n">
        <v>2033</v>
      </c>
      <c r="M50" s="56" t="n">
        <v>2034</v>
      </c>
      <c r="N50" s="56" t="n">
        <v>2035</v>
      </c>
      <c r="O50" s="56" t="n">
        <v>2036</v>
      </c>
      <c r="P50" s="56" t="n">
        <v>2037</v>
      </c>
      <c r="Q50" s="56" t="n">
        <v>2038</v>
      </c>
      <c r="R50" s="56" t="n">
        <v>2039</v>
      </c>
      <c r="S50" s="56" t="n">
        <v>2040</v>
      </c>
      <c r="T50" s="56" t="n">
        <v>2041</v>
      </c>
      <c r="U50" s="56" t="n">
        <v>2042</v>
      </c>
      <c r="V50" s="56" t="n">
        <v>2043</v>
      </c>
    </row>
    <row r="51">
      <c r="A51" t="inlineStr">
        <is>
          <t>Nominal GDP</t>
        </is>
      </c>
      <c r="B51" t="inlineStr">
        <is>
          <t>Bln USD</t>
        </is>
      </c>
      <c r="C51">
        <f>WEO_Data!H3</f>
        <v/>
      </c>
      <c r="D51">
        <f>WEO_Data!I3</f>
        <v/>
      </c>
      <c r="E51">
        <f>WEO_Data!J3</f>
        <v/>
      </c>
      <c r="F51">
        <f>WEO_Data!K3</f>
        <v/>
      </c>
      <c r="G51">
        <f>WEO_Data!L3</f>
        <v/>
      </c>
      <c r="H51">
        <f>WEO_Data!M3</f>
        <v/>
      </c>
      <c r="I51">
        <f>WEO_Data!N3</f>
        <v/>
      </c>
      <c r="J51">
        <f>WEO_Data!O3</f>
        <v/>
      </c>
      <c r="K51">
        <f>WEO_Data!P3</f>
        <v/>
      </c>
      <c r="L51">
        <f>WEO_Data!Q3</f>
        <v/>
      </c>
      <c r="M51">
        <f>WEO_Data!R3</f>
        <v/>
      </c>
      <c r="N51">
        <f>WEO_Data!S3</f>
        <v/>
      </c>
      <c r="O51">
        <f>WEO_Data!T3</f>
        <v/>
      </c>
      <c r="P51">
        <f>WEO_Data!U3</f>
        <v/>
      </c>
      <c r="Q51">
        <f>WEO_Data!V3</f>
        <v/>
      </c>
      <c r="R51">
        <f>WEO_Data!W3</f>
        <v/>
      </c>
      <c r="S51">
        <f>WEO_Data!X3</f>
        <v/>
      </c>
      <c r="T51">
        <f>WEO_Data!Y3</f>
        <v/>
      </c>
      <c r="U51">
        <f>WEO_Data!Z3</f>
        <v/>
      </c>
      <c r="V51">
        <f>WEO_Data!AA3</f>
        <v/>
      </c>
    </row>
    <row r="52">
      <c r="A52" t="inlineStr">
        <is>
          <t>Real GDP Growth Rate</t>
        </is>
      </c>
      <c r="B52" t="inlineStr">
        <is>
          <t>%</t>
        </is>
      </c>
      <c r="C52">
        <f>WEO_Data!H2</f>
        <v/>
      </c>
      <c r="D52">
        <f>WEO_Data!I2</f>
        <v/>
      </c>
      <c r="E52">
        <f>WEO_Data!J2</f>
        <v/>
      </c>
      <c r="F52">
        <f>WEO_Data!K2</f>
        <v/>
      </c>
      <c r="G52">
        <f>WEO_Data!L2</f>
        <v/>
      </c>
      <c r="H52">
        <f>WEO_Data!M2</f>
        <v/>
      </c>
      <c r="I52">
        <f>WEO_Data!N2</f>
        <v/>
      </c>
      <c r="J52">
        <f>WEO_Data!O2</f>
        <v/>
      </c>
      <c r="K52">
        <f>WEO_Data!P2</f>
        <v/>
      </c>
      <c r="L52">
        <f>WEO_Data!Q2</f>
        <v/>
      </c>
      <c r="M52">
        <f>WEO_Data!R2</f>
        <v/>
      </c>
      <c r="N52">
        <f>WEO_Data!S2</f>
        <v/>
      </c>
      <c r="O52">
        <f>WEO_Data!T2</f>
        <v/>
      </c>
      <c r="P52">
        <f>WEO_Data!U2</f>
        <v/>
      </c>
      <c r="Q52">
        <f>WEO_Data!V2</f>
        <v/>
      </c>
      <c r="R52">
        <f>WEO_Data!W2</f>
        <v/>
      </c>
      <c r="S52">
        <f>WEO_Data!X2</f>
        <v/>
      </c>
      <c r="T52">
        <f>WEO_Data!Y2</f>
        <v/>
      </c>
      <c r="U52">
        <f>WEO_Data!Z2</f>
        <v/>
      </c>
      <c r="V52">
        <f>WEO_Data!AA2</f>
        <v/>
      </c>
    </row>
    <row r="53">
      <c r="A53" t="inlineStr">
        <is>
          <t>GDP Deflator</t>
        </is>
      </c>
      <c r="B53" t="inlineStr">
        <is>
          <t>Index</t>
        </is>
      </c>
      <c r="C53">
        <f>WEO_Data!H4</f>
        <v/>
      </c>
      <c r="D53">
        <f>WEO_Data!I4</f>
        <v/>
      </c>
      <c r="E53">
        <f>WEO_Data!J4</f>
        <v/>
      </c>
      <c r="F53">
        <f>WEO_Data!K4</f>
        <v/>
      </c>
      <c r="G53">
        <f>WEO_Data!L4</f>
        <v/>
      </c>
      <c r="H53">
        <f>WEO_Data!M4</f>
        <v/>
      </c>
      <c r="I53">
        <f>WEO_Data!N4</f>
        <v/>
      </c>
      <c r="J53">
        <f>WEO_Data!O4</f>
        <v/>
      </c>
      <c r="K53">
        <f>WEO_Data!P4</f>
        <v/>
      </c>
      <c r="L53">
        <f>WEO_Data!Q4</f>
        <v/>
      </c>
      <c r="M53">
        <f>WEO_Data!R4</f>
        <v/>
      </c>
      <c r="N53">
        <f>WEO_Data!S4</f>
        <v/>
      </c>
      <c r="O53">
        <f>WEO_Data!T4</f>
        <v/>
      </c>
      <c r="P53">
        <f>WEO_Data!U4</f>
        <v/>
      </c>
      <c r="Q53">
        <f>WEO_Data!V4</f>
        <v/>
      </c>
      <c r="R53">
        <f>WEO_Data!W4</f>
        <v/>
      </c>
      <c r="S53">
        <f>WEO_Data!X4</f>
        <v/>
      </c>
      <c r="T53">
        <f>WEO_Data!Y4</f>
        <v/>
      </c>
      <c r="U53">
        <f>WEO_Data!Z4</f>
        <v/>
      </c>
      <c r="V53">
        <f>WEO_Data!AA4</f>
        <v/>
      </c>
    </row>
    <row r="54">
      <c r="A54" t="inlineStr">
        <is>
          <t>GDP Deflator Growth Rate</t>
        </is>
      </c>
      <c r="B54" t="inlineStr">
        <is>
          <t>%</t>
        </is>
      </c>
      <c r="C54">
        <f>WEO_Data!H5</f>
        <v/>
      </c>
      <c r="D54">
        <f>WEO_Data!I5</f>
        <v/>
      </c>
      <c r="E54">
        <f>WEO_Data!J5</f>
        <v/>
      </c>
      <c r="F54">
        <f>WEO_Data!K5</f>
        <v/>
      </c>
      <c r="G54">
        <f>WEO_Data!L5</f>
        <v/>
      </c>
      <c r="H54">
        <f>WEO_Data!M5</f>
        <v/>
      </c>
      <c r="I54">
        <f>WEO_Data!N5</f>
        <v/>
      </c>
      <c r="J54">
        <f>WEO_Data!O5</f>
        <v/>
      </c>
      <c r="K54">
        <f>WEO_Data!P5</f>
        <v/>
      </c>
      <c r="L54">
        <f>WEO_Data!Q5</f>
        <v/>
      </c>
      <c r="M54">
        <f>WEO_Data!R5</f>
        <v/>
      </c>
      <c r="N54">
        <f>WEO_Data!S5</f>
        <v/>
      </c>
      <c r="O54">
        <f>WEO_Data!T5</f>
        <v/>
      </c>
      <c r="P54">
        <f>WEO_Data!U5</f>
        <v/>
      </c>
      <c r="Q54">
        <f>WEO_Data!V5</f>
        <v/>
      </c>
      <c r="R54">
        <f>WEO_Data!W5</f>
        <v/>
      </c>
      <c r="S54">
        <f>WEO_Data!X5</f>
        <v/>
      </c>
      <c r="T54">
        <f>WEO_Data!Y5</f>
        <v/>
      </c>
      <c r="U54">
        <f>WEO_Data!Z5</f>
        <v/>
      </c>
      <c r="V54">
        <f>WEO_Data!AA5</f>
        <v/>
      </c>
    </row>
    <row r="55">
      <c r="A55" t="inlineStr">
        <is>
          <t>Nominal GDP</t>
        </is>
      </c>
      <c r="B55" t="inlineStr">
        <is>
          <t>Bln GEL</t>
        </is>
      </c>
      <c r="C55">
        <f>C51*$D$78</f>
        <v/>
      </c>
      <c r="D55">
        <f>D51*$D$78</f>
        <v/>
      </c>
      <c r="E55">
        <f>E51*$D$78</f>
        <v/>
      </c>
      <c r="F55">
        <f>F51*$D$78</f>
        <v/>
      </c>
      <c r="G55">
        <f>G51*$D$78</f>
        <v/>
      </c>
      <c r="H55">
        <f>H51*$D$78</f>
        <v/>
      </c>
      <c r="I55">
        <f>I51*$D$78</f>
        <v/>
      </c>
      <c r="J55">
        <f>J51*$D$78</f>
        <v/>
      </c>
      <c r="K55">
        <f>K51*$D$78</f>
        <v/>
      </c>
      <c r="L55">
        <f>L51*$D$78</f>
        <v/>
      </c>
      <c r="M55">
        <f>M51*$D$78</f>
        <v/>
      </c>
      <c r="N55">
        <f>N51*$D$78</f>
        <v/>
      </c>
      <c r="O55">
        <f>O51*$D$78</f>
        <v/>
      </c>
      <c r="P55">
        <f>P51*$D$78</f>
        <v/>
      </c>
      <c r="Q55">
        <f>Q51*$D$78</f>
        <v/>
      </c>
      <c r="R55">
        <f>R51*$D$78</f>
        <v/>
      </c>
      <c r="S55">
        <f>S51*$D$78</f>
        <v/>
      </c>
      <c r="T55">
        <f>T51*$D$78</f>
        <v/>
      </c>
      <c r="U55">
        <f>U51*$D$78</f>
        <v/>
      </c>
      <c r="V55">
        <f>V51*$D$78</f>
        <v/>
      </c>
    </row>
    <row r="56">
      <c r="A56" t="inlineStr">
        <is>
          <t>Real GDP (2024 prices)</t>
        </is>
      </c>
      <c r="B56" t="inlineStr">
        <is>
          <t>Bln GEL</t>
        </is>
      </c>
      <c r="C56">
        <f>C55/(C53/$C$53)</f>
        <v/>
      </c>
      <c r="D56">
        <f>D55/(D53/$C$53)</f>
        <v/>
      </c>
      <c r="E56">
        <f>E55/(E53/$C$53)</f>
        <v/>
      </c>
      <c r="F56">
        <f>F55/(F53/$C$53)</f>
        <v/>
      </c>
      <c r="G56">
        <f>G55/(G53/$C$53)</f>
        <v/>
      </c>
      <c r="H56">
        <f>H55/(H53/$C$53)</f>
        <v/>
      </c>
      <c r="I56">
        <f>I55/(I53/$C$53)</f>
        <v/>
      </c>
      <c r="J56">
        <f>J55/(J53/$C$53)</f>
        <v/>
      </c>
      <c r="K56">
        <f>K55/(K53/$C$53)</f>
        <v/>
      </c>
      <c r="L56">
        <f>L55/(L53/$C$53)</f>
        <v/>
      </c>
      <c r="M56">
        <f>M55/(M53/$C$53)</f>
        <v/>
      </c>
      <c r="N56">
        <f>N55/(N53/$C$53)</f>
        <v/>
      </c>
      <c r="O56">
        <f>O55/(O53/$C$53)</f>
        <v/>
      </c>
      <c r="P56">
        <f>P55/(P53/$C$53)</f>
        <v/>
      </c>
      <c r="Q56">
        <f>Q55/(Q53/$C$53)</f>
        <v/>
      </c>
      <c r="R56">
        <f>R55/(R53/$C$53)</f>
        <v/>
      </c>
      <c r="S56">
        <f>S55/(S53/$C$53)</f>
        <v/>
      </c>
      <c r="T56">
        <f>T55/(T53/$C$53)</f>
        <v/>
      </c>
      <c r="U56">
        <f>U55/(U53/$C$53)</f>
        <v/>
      </c>
      <c r="V56">
        <f>V55/(V53/$C$53)</f>
        <v/>
      </c>
    </row>
    <row r="58">
      <c r="A58" s="54" t="inlineStr">
        <is>
          <t>Investment Spending Shock</t>
        </is>
      </c>
    </row>
    <row r="59">
      <c r="A59" t="inlineStr">
        <is>
          <t>Total Project Value</t>
        </is>
      </c>
      <c r="B59" t="inlineStr">
        <is>
          <t>Bln USD</t>
        </is>
      </c>
      <c r="C59" t="n">
        <v>6.5</v>
      </c>
    </row>
    <row r="60">
      <c r="A60" t="inlineStr">
        <is>
          <t>Project Duration</t>
        </is>
      </c>
      <c r="B60" t="inlineStr">
        <is>
          <t>Years</t>
        </is>
      </c>
      <c r="C60" t="n">
        <v>8</v>
      </c>
    </row>
    <row r="61">
      <c r="A61" t="inlineStr">
        <is>
          <t>Start Year</t>
        </is>
      </c>
      <c r="C61" t="n">
        <v>2026</v>
      </c>
    </row>
    <row r="62">
      <c r="A62" t="inlineStr">
        <is>
          <t>End Year</t>
        </is>
      </c>
      <c r="C62" t="n">
        <v>2033</v>
      </c>
    </row>
    <row r="64">
      <c r="A64" s="54" t="inlineStr">
        <is>
          <t>Annual Allocation Weights (Bell Shape)</t>
        </is>
      </c>
    </row>
    <row r="65">
      <c r="A65" t="inlineStr">
        <is>
          <t>Year of Project</t>
        </is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6</v>
      </c>
      <c r="I65" t="n">
        <v>7</v>
      </c>
      <c r="J65" t="n">
        <v>8</v>
      </c>
    </row>
    <row r="66">
      <c r="A66" t="inlineStr">
        <is>
          <t>Allocation Weight</t>
        </is>
      </c>
      <c r="B66" t="inlineStr">
        <is>
          <t>%</t>
        </is>
      </c>
      <c r="C66" s="57" t="n">
        <v>0.05</v>
      </c>
      <c r="D66" s="57" t="n">
        <v>0.1</v>
      </c>
      <c r="E66" s="57" t="n">
        <v>0.15</v>
      </c>
      <c r="F66" s="57" t="n">
        <v>0.2</v>
      </c>
      <c r="G66" s="57" t="n">
        <v>0.2</v>
      </c>
      <c r="H66" s="57" t="n">
        <v>0.15</v>
      </c>
      <c r="I66" s="57" t="n">
        <v>0.1</v>
      </c>
      <c r="J66" s="57" t="n">
        <v>0.05</v>
      </c>
    </row>
    <row r="67">
      <c r="A67" t="inlineStr">
        <is>
          <t>Calendar Year</t>
        </is>
      </c>
      <c r="C67" t="n">
        <v>2026</v>
      </c>
      <c r="D67" t="n">
        <v>2027</v>
      </c>
      <c r="E67" t="n">
        <v>2028</v>
      </c>
      <c r="F67" t="n">
        <v>2029</v>
      </c>
      <c r="G67" t="n">
        <v>2030</v>
      </c>
      <c r="H67" t="n">
        <v>2031</v>
      </c>
      <c r="I67" t="n">
        <v>2032</v>
      </c>
      <c r="J67" t="n">
        <v>2033</v>
      </c>
    </row>
    <row r="68">
      <c r="A68" t="inlineStr">
        <is>
          <t>Sum of Weights</t>
        </is>
      </c>
      <c r="C68" s="57">
        <f>SUM(C66:J66)</f>
        <v/>
      </c>
    </row>
    <row r="77">
      <c r="A77" s="54" t="inlineStr">
        <is>
          <t>Assumptions</t>
        </is>
      </c>
    </row>
    <row r="78">
      <c r="A78" t="inlineStr">
        <is>
          <t>Lari/USD Exchange Rate</t>
        </is>
      </c>
      <c r="B78" t="inlineStr">
        <is>
          <t>GEL/USD</t>
        </is>
      </c>
      <c r="D78" t="n">
        <v>2.746</v>
      </c>
    </row>
    <row r="79">
      <c r="A79" t="inlineStr">
        <is>
          <t>Demand Multiplier</t>
        </is>
      </c>
      <c r="D79" t="n">
        <v>1</v>
      </c>
    </row>
    <row r="80">
      <c r="A80" t="inlineStr">
        <is>
          <t>Import Content Share</t>
        </is>
      </c>
      <c r="D80">
        <f>'SUT Calc'!C46</f>
        <v/>
      </c>
    </row>
    <row r="81">
      <c r="A81" t="inlineStr">
        <is>
          <t>Project Allocation</t>
        </is>
      </c>
      <c r="D81" t="inlineStr">
        <is>
          <t>Bell shape</t>
        </is>
      </c>
    </row>
    <row r="83">
      <c r="A83" s="54" t="inlineStr">
        <is>
          <t>Shock Calculations</t>
        </is>
      </c>
    </row>
    <row r="84">
      <c r="C84" s="1" t="n">
        <v>2024</v>
      </c>
      <c r="D84" s="1" t="n">
        <v>2025</v>
      </c>
      <c r="E84" s="1" t="n">
        <v>2026</v>
      </c>
      <c r="F84" s="1" t="n">
        <v>2027</v>
      </c>
      <c r="G84" s="1" t="n">
        <v>2028</v>
      </c>
      <c r="H84" s="1" t="n">
        <v>2029</v>
      </c>
      <c r="I84" s="1" t="n">
        <v>2030</v>
      </c>
      <c r="J84" s="1" t="n">
        <v>2031</v>
      </c>
      <c r="K84" s="1" t="n">
        <v>2032</v>
      </c>
      <c r="L84" s="1" t="n">
        <v>2033</v>
      </c>
      <c r="M84" s="1" t="n">
        <v>2034</v>
      </c>
      <c r="N84" s="1" t="n">
        <v>2035</v>
      </c>
      <c r="O84" s="1" t="n">
        <v>2036</v>
      </c>
      <c r="P84" s="1" t="n">
        <v>2037</v>
      </c>
      <c r="Q84" s="1" t="n">
        <v>2038</v>
      </c>
      <c r="R84" s="1" t="n">
        <v>2039</v>
      </c>
      <c r="S84" s="1" t="n">
        <v>2040</v>
      </c>
      <c r="T84" s="1" t="n">
        <v>2041</v>
      </c>
      <c r="U84" s="1" t="n">
        <v>2042</v>
      </c>
      <c r="V84" s="1" t="n">
        <v>2043</v>
      </c>
    </row>
    <row r="85">
      <c r="A85" t="inlineStr">
        <is>
          <t>Annual Investment Spending</t>
        </is>
      </c>
      <c r="B85" t="inlineStr">
        <is>
          <t>Bln USD</t>
        </is>
      </c>
      <c r="C85" t="n">
        <v>0</v>
      </c>
      <c r="D85" t="n">
        <v>0</v>
      </c>
      <c r="E85">
        <f>$C$59*C$66</f>
        <v/>
      </c>
      <c r="F85">
        <f>$C$59*D$66</f>
        <v/>
      </c>
      <c r="G85">
        <f>$C$59*E$66</f>
        <v/>
      </c>
      <c r="H85">
        <f>$C$59*F$66</f>
        <v/>
      </c>
      <c r="I85">
        <f>$C$59*G$66</f>
        <v/>
      </c>
      <c r="J85">
        <f>$C$59*H$66</f>
        <v/>
      </c>
      <c r="K85">
        <f>$C$59*I$66</f>
        <v/>
      </c>
      <c r="L85">
        <f>$C$59*J$66</f>
        <v/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Annual Investment Spending</t>
        </is>
      </c>
      <c r="B86" t="inlineStr">
        <is>
          <t>Bln GEL</t>
        </is>
      </c>
      <c r="C86">
        <f>C85*$D$78</f>
        <v/>
      </c>
      <c r="D86">
        <f>D85*$D$78</f>
        <v/>
      </c>
      <c r="E86">
        <f>E85*$D$78</f>
        <v/>
      </c>
      <c r="F86">
        <f>F85*$D$78</f>
        <v/>
      </c>
      <c r="G86">
        <f>G85*$D$78</f>
        <v/>
      </c>
      <c r="H86">
        <f>H85*$D$78</f>
        <v/>
      </c>
      <c r="I86">
        <f>I85*$D$78</f>
        <v/>
      </c>
      <c r="J86">
        <f>J85*$D$78</f>
        <v/>
      </c>
      <c r="K86">
        <f>K85*$D$78</f>
        <v/>
      </c>
      <c r="L86">
        <f>L85*$D$78</f>
        <v/>
      </c>
      <c r="M86">
        <f>M85*$D$78</f>
        <v/>
      </c>
      <c r="N86">
        <f>N85*$D$78</f>
        <v/>
      </c>
      <c r="O86">
        <f>O85*$D$78</f>
        <v/>
      </c>
      <c r="P86">
        <f>P85*$D$78</f>
        <v/>
      </c>
      <c r="Q86">
        <f>Q85*$D$78</f>
        <v/>
      </c>
      <c r="R86">
        <f>R85*$D$78</f>
        <v/>
      </c>
      <c r="S86">
        <f>S85*$D$78</f>
        <v/>
      </c>
      <c r="T86">
        <f>T85*$D$78</f>
        <v/>
      </c>
      <c r="U86">
        <f>U85*$D$78</f>
        <v/>
      </c>
      <c r="V86">
        <f>V85*$D$78</f>
        <v/>
      </c>
    </row>
    <row r="87">
      <c r="A87" t="inlineStr">
        <is>
          <t>Investment Deflator (2024=1)</t>
        </is>
      </c>
      <c r="B87" t="inlineStr">
        <is>
          <t>Index</t>
        </is>
      </c>
      <c r="C87">
        <f>C53/$C$53</f>
        <v/>
      </c>
      <c r="D87">
        <f>D53/$C$53</f>
        <v/>
      </c>
      <c r="E87">
        <f>E53/$C$53</f>
        <v/>
      </c>
      <c r="F87">
        <f>F53/$C$53</f>
        <v/>
      </c>
      <c r="G87">
        <f>G53/$C$53</f>
        <v/>
      </c>
      <c r="H87">
        <f>H53/$C$53</f>
        <v/>
      </c>
      <c r="I87">
        <f>I53/$C$53</f>
        <v/>
      </c>
      <c r="J87">
        <f>J53/$C$53</f>
        <v/>
      </c>
      <c r="K87">
        <f>K53/$C$53</f>
        <v/>
      </c>
      <c r="L87">
        <f>L53/$C$53</f>
        <v/>
      </c>
      <c r="M87">
        <f>M53/$C$53</f>
        <v/>
      </c>
      <c r="N87">
        <f>N53/$C$53</f>
        <v/>
      </c>
      <c r="O87">
        <f>O53/$C$53</f>
        <v/>
      </c>
      <c r="P87">
        <f>P53/$C$53</f>
        <v/>
      </c>
      <c r="Q87">
        <f>Q53/$C$53</f>
        <v/>
      </c>
      <c r="R87">
        <f>R53/$C$53</f>
        <v/>
      </c>
      <c r="S87">
        <f>S53/$C$53</f>
        <v/>
      </c>
      <c r="T87">
        <f>T53/$C$53</f>
        <v/>
      </c>
      <c r="U87">
        <f>U53/$C$53</f>
        <v/>
      </c>
      <c r="V87">
        <f>V53/$C$53</f>
        <v/>
      </c>
    </row>
    <row r="88">
      <c r="A88" t="inlineStr">
        <is>
          <t>Real Annual Investment Spending</t>
        </is>
      </c>
      <c r="B88" t="inlineStr">
        <is>
          <t>Bln GEL (2024 prices)</t>
        </is>
      </c>
      <c r="C88">
        <f>C86/C87</f>
        <v/>
      </c>
      <c r="D88">
        <f>D86/D87</f>
        <v/>
      </c>
      <c r="E88">
        <f>E86/E87</f>
        <v/>
      </c>
      <c r="F88">
        <f>F86/F87</f>
        <v/>
      </c>
      <c r="G88">
        <f>G86/G87</f>
        <v/>
      </c>
      <c r="H88">
        <f>H86/H87</f>
        <v/>
      </c>
      <c r="I88">
        <f>I86/I87</f>
        <v/>
      </c>
      <c r="J88">
        <f>J86/J87</f>
        <v/>
      </c>
      <c r="K88">
        <f>K86/K87</f>
        <v/>
      </c>
      <c r="L88">
        <f>L86/L87</f>
        <v/>
      </c>
      <c r="M88">
        <f>M86/M87</f>
        <v/>
      </c>
      <c r="N88">
        <f>N86/N87</f>
        <v/>
      </c>
      <c r="O88">
        <f>O86/O87</f>
        <v/>
      </c>
      <c r="P88">
        <f>P86/P87</f>
        <v/>
      </c>
      <c r="Q88">
        <f>Q86/Q87</f>
        <v/>
      </c>
      <c r="R88">
        <f>R86/R87</f>
        <v/>
      </c>
      <c r="S88">
        <f>S86/S87</f>
        <v/>
      </c>
      <c r="T88">
        <f>T86/T87</f>
        <v/>
      </c>
      <c r="U88">
        <f>U86/U87</f>
        <v/>
      </c>
      <c r="V88">
        <f>V86/V87</f>
        <v/>
      </c>
    </row>
    <row r="89">
      <c r="A89" t="inlineStr">
        <is>
          <t>Domestic Content of Investment</t>
        </is>
      </c>
      <c r="B89" t="inlineStr">
        <is>
          <t>Bln GEL (2024 prices)</t>
        </is>
      </c>
      <c r="C89">
        <f>C88*(1-$D$80)</f>
        <v/>
      </c>
      <c r="D89">
        <f>D88*(1-$D$80)</f>
        <v/>
      </c>
      <c r="E89">
        <f>E88*(1-$D$80)</f>
        <v/>
      </c>
      <c r="F89">
        <f>F88*(1-$D$80)</f>
        <v/>
      </c>
      <c r="G89">
        <f>G88*(1-$D$80)</f>
        <v/>
      </c>
      <c r="H89">
        <f>H88*(1-$D$80)</f>
        <v/>
      </c>
      <c r="I89">
        <f>I88*(1-$D$80)</f>
        <v/>
      </c>
      <c r="J89">
        <f>J88*(1-$D$80)</f>
        <v/>
      </c>
      <c r="K89">
        <f>K88*(1-$D$80)</f>
        <v/>
      </c>
      <c r="L89">
        <f>L88*(1-$D$80)</f>
        <v/>
      </c>
      <c r="M89">
        <f>M88*(1-$D$80)</f>
        <v/>
      </c>
      <c r="N89">
        <f>N88*(1-$D$80)</f>
        <v/>
      </c>
      <c r="O89">
        <f>O88*(1-$D$80)</f>
        <v/>
      </c>
      <c r="P89">
        <f>P88*(1-$D$80)</f>
        <v/>
      </c>
      <c r="Q89">
        <f>Q88*(1-$D$80)</f>
        <v/>
      </c>
      <c r="R89">
        <f>R88*(1-$D$80)</f>
        <v/>
      </c>
      <c r="S89">
        <f>S88*(1-$D$80)</f>
        <v/>
      </c>
      <c r="T89">
        <f>T88*(1-$D$80)</f>
        <v/>
      </c>
      <c r="U89">
        <f>U88*(1-$D$80)</f>
        <v/>
      </c>
      <c r="V89">
        <f>V88*(1-$D$80)</f>
        <v/>
      </c>
    </row>
    <row r="90">
      <c r="A90" t="inlineStr">
        <is>
          <t>Demand Impact on GDP</t>
        </is>
      </c>
      <c r="B90" t="inlineStr">
        <is>
          <t>Bln GEL (2024 prices)</t>
        </is>
      </c>
      <c r="C90">
        <f>C89*$D$79</f>
        <v/>
      </c>
      <c r="D90">
        <f>D89*$D$79</f>
        <v/>
      </c>
      <c r="E90">
        <f>E89*$D$79</f>
        <v/>
      </c>
      <c r="F90">
        <f>F89*$D$79</f>
        <v/>
      </c>
      <c r="G90">
        <f>G89*$D$79</f>
        <v/>
      </c>
      <c r="H90">
        <f>H89*$D$79</f>
        <v/>
      </c>
      <c r="I90">
        <f>I89*$D$79</f>
        <v/>
      </c>
      <c r="J90">
        <f>J89*$D$79</f>
        <v/>
      </c>
      <c r="K90">
        <f>K89*$D$79</f>
        <v/>
      </c>
      <c r="L90">
        <f>L89*$D$79</f>
        <v/>
      </c>
      <c r="M90">
        <f>M89*$D$79</f>
        <v/>
      </c>
      <c r="N90">
        <f>N89*$D$79</f>
        <v/>
      </c>
      <c r="O90">
        <f>O89*$D$79</f>
        <v/>
      </c>
      <c r="P90">
        <f>P89*$D$79</f>
        <v/>
      </c>
      <c r="Q90">
        <f>Q89*$D$79</f>
        <v/>
      </c>
      <c r="R90">
        <f>R89*$D$79</f>
        <v/>
      </c>
      <c r="S90">
        <f>S89*$D$79</f>
        <v/>
      </c>
      <c r="T90">
        <f>T89*$D$79</f>
        <v/>
      </c>
      <c r="U90">
        <f>U89*$D$79</f>
        <v/>
      </c>
      <c r="V90">
        <f>V89*$D$79</f>
        <v/>
      </c>
    </row>
    <row r="92">
      <c r="A92" s="54" t="inlineStr">
        <is>
          <t>GDP Impact Summary</t>
        </is>
      </c>
    </row>
    <row r="93">
      <c r="A93" t="inlineStr">
        <is>
          <t>Demand Impact as % of GDP</t>
        </is>
      </c>
      <c r="B93" t="inlineStr">
        <is>
          <t>%</t>
        </is>
      </c>
      <c r="C93">
        <f>IF(C56=0,0,C90/C56*100)</f>
        <v/>
      </c>
      <c r="D93">
        <f>IF(D56=0,0,D90/D56*100)</f>
        <v/>
      </c>
      <c r="E93">
        <f>IF(E56=0,0,E90/E56*100)</f>
        <v/>
      </c>
      <c r="F93">
        <f>IF(F56=0,0,F90/F56*100)</f>
        <v/>
      </c>
      <c r="G93">
        <f>IF(G56=0,0,G90/G56*100)</f>
        <v/>
      </c>
      <c r="H93">
        <f>IF(H56=0,0,H90/H56*100)</f>
        <v/>
      </c>
      <c r="I93">
        <f>IF(I56=0,0,I90/I56*100)</f>
        <v/>
      </c>
      <c r="J93">
        <f>IF(J56=0,0,J90/J56*100)</f>
        <v/>
      </c>
      <c r="K93">
        <f>IF(K56=0,0,K90/K56*100)</f>
        <v/>
      </c>
      <c r="L93">
        <f>IF(L56=0,0,L90/L56*100)</f>
        <v/>
      </c>
      <c r="M93">
        <f>IF(M56=0,0,M90/M56*100)</f>
        <v/>
      </c>
      <c r="N93">
        <f>IF(N56=0,0,N90/N56*100)</f>
        <v/>
      </c>
      <c r="O93">
        <f>IF(O56=0,0,O90/O56*100)</f>
        <v/>
      </c>
      <c r="P93">
        <f>IF(P56=0,0,P90/P56*100)</f>
        <v/>
      </c>
      <c r="Q93">
        <f>IF(Q56=0,0,Q90/Q56*100)</f>
        <v/>
      </c>
      <c r="R93">
        <f>IF(R56=0,0,R90/R56*100)</f>
        <v/>
      </c>
      <c r="S93">
        <f>IF(S56=0,0,S90/S56*100)</f>
        <v/>
      </c>
      <c r="T93">
        <f>IF(T56=0,0,T90/T56*100)</f>
        <v/>
      </c>
      <c r="U93">
        <f>IF(U56=0,0,U90/U56*100)</f>
        <v/>
      </c>
      <c r="V93">
        <f>IF(V56=0,0,V90/V56*100)</f>
        <v/>
      </c>
    </row>
    <row r="94">
      <c r="A94" t="inlineStr">
        <is>
          <t>Adjusted Real GDP Growth Rate</t>
        </is>
      </c>
      <c r="B94" t="inlineStr">
        <is>
          <t>% pts</t>
        </is>
      </c>
      <c r="C94">
        <f>C52</f>
        <v/>
      </c>
      <c r="D94">
        <f>D52+(D93-C93)</f>
        <v/>
      </c>
      <c r="E94">
        <f>E52+(E93-D93)</f>
        <v/>
      </c>
      <c r="F94">
        <f>F52+(F93-E93)</f>
        <v/>
      </c>
      <c r="G94">
        <f>G52+(G93-F93)</f>
        <v/>
      </c>
      <c r="H94">
        <f>H52+(H93-G93)</f>
        <v/>
      </c>
      <c r="I94">
        <f>I52+(I93-H93)</f>
        <v/>
      </c>
      <c r="J94">
        <f>J52+(J93-I93)</f>
        <v/>
      </c>
      <c r="K94">
        <f>K52+(K93-J93)</f>
        <v/>
      </c>
      <c r="L94">
        <f>L52+(L93-K93)</f>
        <v/>
      </c>
      <c r="M94">
        <f>M52+(M93-L93)</f>
        <v/>
      </c>
      <c r="N94">
        <f>N52+(N93-M93)</f>
        <v/>
      </c>
      <c r="O94">
        <f>O52+(O93-N93)</f>
        <v/>
      </c>
      <c r="P94">
        <f>P52+(P93-O93)</f>
        <v/>
      </c>
      <c r="Q94">
        <f>Q52+(Q93-P93)</f>
        <v/>
      </c>
      <c r="R94">
        <f>R52+(R93-Q93)</f>
        <v/>
      </c>
      <c r="S94">
        <f>S52+(S93-R93)</f>
        <v/>
      </c>
      <c r="T94">
        <f>T52+(T93-S93)</f>
        <v/>
      </c>
      <c r="U94">
        <f>U52+(U93-T93)</f>
        <v/>
      </c>
      <c r="V94">
        <f>V52+(V93-U93)</f>
        <v/>
      </c>
    </row>
    <row r="97">
      <c r="A97" s="51" t="inlineStr">
        <is>
          <t>Scenario 3: Import Content Share = 0.5</t>
        </is>
      </c>
    </row>
    <row r="98">
      <c r="A98" s="53" t="inlineStr"/>
      <c r="B98" s="53" t="inlineStr">
        <is>
          <t>Units</t>
        </is>
      </c>
      <c r="C98" s="56" t="n">
        <v>2024</v>
      </c>
      <c r="D98" s="56" t="n">
        <v>2025</v>
      </c>
      <c r="E98" s="56" t="n">
        <v>2026</v>
      </c>
      <c r="F98" s="56" t="n">
        <v>2027</v>
      </c>
      <c r="G98" s="56" t="n">
        <v>2028</v>
      </c>
      <c r="H98" s="56" t="n">
        <v>2029</v>
      </c>
      <c r="I98" s="56" t="n">
        <v>2030</v>
      </c>
      <c r="J98" s="56" t="n">
        <v>2031</v>
      </c>
      <c r="K98" s="56" t="n">
        <v>2032</v>
      </c>
      <c r="L98" s="56" t="n">
        <v>2033</v>
      </c>
      <c r="M98" s="56" t="n">
        <v>2034</v>
      </c>
      <c r="N98" s="56" t="n">
        <v>2035</v>
      </c>
      <c r="O98" s="56" t="n">
        <v>2036</v>
      </c>
      <c r="P98" s="56" t="n">
        <v>2037</v>
      </c>
      <c r="Q98" s="56" t="n">
        <v>2038</v>
      </c>
      <c r="R98" s="56" t="n">
        <v>2039</v>
      </c>
      <c r="S98" s="56" t="n">
        <v>2040</v>
      </c>
      <c r="T98" s="56" t="n">
        <v>2041</v>
      </c>
      <c r="U98" s="56" t="n">
        <v>2042</v>
      </c>
      <c r="V98" s="56" t="n">
        <v>2043</v>
      </c>
    </row>
    <row r="99">
      <c r="A99" t="inlineStr">
        <is>
          <t>Nominal GDP</t>
        </is>
      </c>
      <c r="B99" t="inlineStr">
        <is>
          <t>Bln USD</t>
        </is>
      </c>
      <c r="C99">
        <f>WEO_Data!H3</f>
        <v/>
      </c>
      <c r="D99">
        <f>WEO_Data!I3</f>
        <v/>
      </c>
      <c r="E99">
        <f>WEO_Data!J3</f>
        <v/>
      </c>
      <c r="F99">
        <f>WEO_Data!K3</f>
        <v/>
      </c>
      <c r="G99">
        <f>WEO_Data!L3</f>
        <v/>
      </c>
      <c r="H99">
        <f>WEO_Data!M3</f>
        <v/>
      </c>
      <c r="I99">
        <f>WEO_Data!N3</f>
        <v/>
      </c>
      <c r="J99">
        <f>WEO_Data!O3</f>
        <v/>
      </c>
      <c r="K99">
        <f>WEO_Data!P3</f>
        <v/>
      </c>
      <c r="L99">
        <f>WEO_Data!Q3</f>
        <v/>
      </c>
      <c r="M99">
        <f>WEO_Data!R3</f>
        <v/>
      </c>
      <c r="N99">
        <f>WEO_Data!S3</f>
        <v/>
      </c>
      <c r="O99">
        <f>WEO_Data!T3</f>
        <v/>
      </c>
      <c r="P99">
        <f>WEO_Data!U3</f>
        <v/>
      </c>
      <c r="Q99">
        <f>WEO_Data!V3</f>
        <v/>
      </c>
      <c r="R99">
        <f>WEO_Data!W3</f>
        <v/>
      </c>
      <c r="S99">
        <f>WEO_Data!X3</f>
        <v/>
      </c>
      <c r="T99">
        <f>WEO_Data!Y3</f>
        <v/>
      </c>
      <c r="U99">
        <f>WEO_Data!Z3</f>
        <v/>
      </c>
      <c r="V99">
        <f>WEO_Data!AA3</f>
        <v/>
      </c>
    </row>
    <row r="100">
      <c r="A100" t="inlineStr">
        <is>
          <t>Real GDP Growth Rate</t>
        </is>
      </c>
      <c r="B100" t="inlineStr">
        <is>
          <t>%</t>
        </is>
      </c>
      <c r="C100">
        <f>WEO_Data!H2</f>
        <v/>
      </c>
      <c r="D100">
        <f>WEO_Data!I2</f>
        <v/>
      </c>
      <c r="E100">
        <f>WEO_Data!J2</f>
        <v/>
      </c>
      <c r="F100">
        <f>WEO_Data!K2</f>
        <v/>
      </c>
      <c r="G100">
        <f>WEO_Data!L2</f>
        <v/>
      </c>
      <c r="H100">
        <f>WEO_Data!M2</f>
        <v/>
      </c>
      <c r="I100">
        <f>WEO_Data!N2</f>
        <v/>
      </c>
      <c r="J100">
        <f>WEO_Data!O2</f>
        <v/>
      </c>
      <c r="K100">
        <f>WEO_Data!P2</f>
        <v/>
      </c>
      <c r="L100">
        <f>WEO_Data!Q2</f>
        <v/>
      </c>
      <c r="M100">
        <f>WEO_Data!R2</f>
        <v/>
      </c>
      <c r="N100">
        <f>WEO_Data!S2</f>
        <v/>
      </c>
      <c r="O100">
        <f>WEO_Data!T2</f>
        <v/>
      </c>
      <c r="P100">
        <f>WEO_Data!U2</f>
        <v/>
      </c>
      <c r="Q100">
        <f>WEO_Data!V2</f>
        <v/>
      </c>
      <c r="R100">
        <f>WEO_Data!W2</f>
        <v/>
      </c>
      <c r="S100">
        <f>WEO_Data!X2</f>
        <v/>
      </c>
      <c r="T100">
        <f>WEO_Data!Y2</f>
        <v/>
      </c>
      <c r="U100">
        <f>WEO_Data!Z2</f>
        <v/>
      </c>
      <c r="V100">
        <f>WEO_Data!AA2</f>
        <v/>
      </c>
    </row>
    <row r="101">
      <c r="A101" t="inlineStr">
        <is>
          <t>GDP Deflator</t>
        </is>
      </c>
      <c r="B101" t="inlineStr">
        <is>
          <t>Index</t>
        </is>
      </c>
      <c r="C101">
        <f>WEO_Data!H4</f>
        <v/>
      </c>
      <c r="D101">
        <f>WEO_Data!I4</f>
        <v/>
      </c>
      <c r="E101">
        <f>WEO_Data!J4</f>
        <v/>
      </c>
      <c r="F101">
        <f>WEO_Data!K4</f>
        <v/>
      </c>
      <c r="G101">
        <f>WEO_Data!L4</f>
        <v/>
      </c>
      <c r="H101">
        <f>WEO_Data!M4</f>
        <v/>
      </c>
      <c r="I101">
        <f>WEO_Data!N4</f>
        <v/>
      </c>
      <c r="J101">
        <f>WEO_Data!O4</f>
        <v/>
      </c>
      <c r="K101">
        <f>WEO_Data!P4</f>
        <v/>
      </c>
      <c r="L101">
        <f>WEO_Data!Q4</f>
        <v/>
      </c>
      <c r="M101">
        <f>WEO_Data!R4</f>
        <v/>
      </c>
      <c r="N101">
        <f>WEO_Data!S4</f>
        <v/>
      </c>
      <c r="O101">
        <f>WEO_Data!T4</f>
        <v/>
      </c>
      <c r="P101">
        <f>WEO_Data!U4</f>
        <v/>
      </c>
      <c r="Q101">
        <f>WEO_Data!V4</f>
        <v/>
      </c>
      <c r="R101">
        <f>WEO_Data!W4</f>
        <v/>
      </c>
      <c r="S101">
        <f>WEO_Data!X4</f>
        <v/>
      </c>
      <c r="T101">
        <f>WEO_Data!Y4</f>
        <v/>
      </c>
      <c r="U101">
        <f>WEO_Data!Z4</f>
        <v/>
      </c>
      <c r="V101">
        <f>WEO_Data!AA4</f>
        <v/>
      </c>
    </row>
    <row r="102">
      <c r="A102" t="inlineStr">
        <is>
          <t>GDP Deflator Growth Rate</t>
        </is>
      </c>
      <c r="B102" t="inlineStr">
        <is>
          <t>%</t>
        </is>
      </c>
      <c r="C102">
        <f>WEO_Data!H5</f>
        <v/>
      </c>
      <c r="D102">
        <f>WEO_Data!I5</f>
        <v/>
      </c>
      <c r="E102">
        <f>WEO_Data!J5</f>
        <v/>
      </c>
      <c r="F102">
        <f>WEO_Data!K5</f>
        <v/>
      </c>
      <c r="G102">
        <f>WEO_Data!L5</f>
        <v/>
      </c>
      <c r="H102">
        <f>WEO_Data!M5</f>
        <v/>
      </c>
      <c r="I102">
        <f>WEO_Data!N5</f>
        <v/>
      </c>
      <c r="J102">
        <f>WEO_Data!O5</f>
        <v/>
      </c>
      <c r="K102">
        <f>WEO_Data!P5</f>
        <v/>
      </c>
      <c r="L102">
        <f>WEO_Data!Q5</f>
        <v/>
      </c>
      <c r="M102">
        <f>WEO_Data!R5</f>
        <v/>
      </c>
      <c r="N102">
        <f>WEO_Data!S5</f>
        <v/>
      </c>
      <c r="O102">
        <f>WEO_Data!T5</f>
        <v/>
      </c>
      <c r="P102">
        <f>WEO_Data!U5</f>
        <v/>
      </c>
      <c r="Q102">
        <f>WEO_Data!V5</f>
        <v/>
      </c>
      <c r="R102">
        <f>WEO_Data!W5</f>
        <v/>
      </c>
      <c r="S102">
        <f>WEO_Data!X5</f>
        <v/>
      </c>
      <c r="T102">
        <f>WEO_Data!Y5</f>
        <v/>
      </c>
      <c r="U102">
        <f>WEO_Data!Z5</f>
        <v/>
      </c>
      <c r="V102">
        <f>WEO_Data!AA5</f>
        <v/>
      </c>
    </row>
    <row r="103">
      <c r="A103" t="inlineStr">
        <is>
          <t>Nominal GDP</t>
        </is>
      </c>
      <c r="B103" t="inlineStr">
        <is>
          <t>Bln GEL</t>
        </is>
      </c>
      <c r="C103">
        <f>C99*$D$126</f>
        <v/>
      </c>
      <c r="D103">
        <f>D99*$D$126</f>
        <v/>
      </c>
      <c r="E103">
        <f>E99*$D$126</f>
        <v/>
      </c>
      <c r="F103">
        <f>F99*$D$126</f>
        <v/>
      </c>
      <c r="G103">
        <f>G99*$D$126</f>
        <v/>
      </c>
      <c r="H103">
        <f>H99*$D$126</f>
        <v/>
      </c>
      <c r="I103">
        <f>I99*$D$126</f>
        <v/>
      </c>
      <c r="J103">
        <f>J99*$D$126</f>
        <v/>
      </c>
      <c r="K103">
        <f>K99*$D$126</f>
        <v/>
      </c>
      <c r="L103">
        <f>L99*$D$126</f>
        <v/>
      </c>
      <c r="M103">
        <f>M99*$D$126</f>
        <v/>
      </c>
      <c r="N103">
        <f>N99*$D$126</f>
        <v/>
      </c>
      <c r="O103">
        <f>O99*$D$126</f>
        <v/>
      </c>
      <c r="P103">
        <f>P99*$D$126</f>
        <v/>
      </c>
      <c r="Q103">
        <f>Q99*$D$126</f>
        <v/>
      </c>
      <c r="R103">
        <f>R99*$D$126</f>
        <v/>
      </c>
      <c r="S103">
        <f>S99*$D$126</f>
        <v/>
      </c>
      <c r="T103">
        <f>T99*$D$126</f>
        <v/>
      </c>
      <c r="U103">
        <f>U99*$D$126</f>
        <v/>
      </c>
      <c r="V103">
        <f>V99*$D$126</f>
        <v/>
      </c>
    </row>
    <row r="104">
      <c r="A104" t="inlineStr">
        <is>
          <t>Real GDP (2024 prices)</t>
        </is>
      </c>
      <c r="B104" t="inlineStr">
        <is>
          <t>Bln GEL</t>
        </is>
      </c>
      <c r="C104">
        <f>C103/(C101/$C$101)</f>
        <v/>
      </c>
      <c r="D104">
        <f>D103/(D101/$C$101)</f>
        <v/>
      </c>
      <c r="E104">
        <f>E103/(E101/$C$101)</f>
        <v/>
      </c>
      <c r="F104">
        <f>F103/(F101/$C$101)</f>
        <v/>
      </c>
      <c r="G104">
        <f>G103/(G101/$C$101)</f>
        <v/>
      </c>
      <c r="H104">
        <f>H103/(H101/$C$101)</f>
        <v/>
      </c>
      <c r="I104">
        <f>I103/(I101/$C$101)</f>
        <v/>
      </c>
      <c r="J104">
        <f>J103/(J101/$C$101)</f>
        <v/>
      </c>
      <c r="K104">
        <f>K103/(K101/$C$101)</f>
        <v/>
      </c>
      <c r="L104">
        <f>L103/(L101/$C$101)</f>
        <v/>
      </c>
      <c r="M104">
        <f>M103/(M101/$C$101)</f>
        <v/>
      </c>
      <c r="N104">
        <f>N103/(N101/$C$101)</f>
        <v/>
      </c>
      <c r="O104">
        <f>O103/(O101/$C$101)</f>
        <v/>
      </c>
      <c r="P104">
        <f>P103/(P101/$C$101)</f>
        <v/>
      </c>
      <c r="Q104">
        <f>Q103/(Q101/$C$101)</f>
        <v/>
      </c>
      <c r="R104">
        <f>R103/(R101/$C$101)</f>
        <v/>
      </c>
      <c r="S104">
        <f>S103/(S101/$C$101)</f>
        <v/>
      </c>
      <c r="T104">
        <f>T103/(T101/$C$101)</f>
        <v/>
      </c>
      <c r="U104">
        <f>U103/(U101/$C$101)</f>
        <v/>
      </c>
      <c r="V104">
        <f>V103/(V101/$C$101)</f>
        <v/>
      </c>
    </row>
    <row r="106">
      <c r="A106" s="54" t="inlineStr">
        <is>
          <t>Investment Spending Shock</t>
        </is>
      </c>
    </row>
    <row r="107">
      <c r="A107" t="inlineStr">
        <is>
          <t>Total Project Value</t>
        </is>
      </c>
      <c r="B107" t="inlineStr">
        <is>
          <t>Bln USD</t>
        </is>
      </c>
      <c r="C107" t="n">
        <v>6.5</v>
      </c>
    </row>
    <row r="108">
      <c r="A108" t="inlineStr">
        <is>
          <t>Project Duration</t>
        </is>
      </c>
      <c r="B108" t="inlineStr">
        <is>
          <t>Years</t>
        </is>
      </c>
      <c r="C108" t="n">
        <v>8</v>
      </c>
    </row>
    <row r="109">
      <c r="A109" t="inlineStr">
        <is>
          <t>Start Year</t>
        </is>
      </c>
      <c r="C109" t="n">
        <v>2026</v>
      </c>
    </row>
    <row r="110">
      <c r="A110" t="inlineStr">
        <is>
          <t>End Year</t>
        </is>
      </c>
      <c r="C110" t="n">
        <v>2033</v>
      </c>
    </row>
    <row r="112">
      <c r="A112" s="54" t="inlineStr">
        <is>
          <t>Annual Allocation Weights (Bell Shape)</t>
        </is>
      </c>
    </row>
    <row r="113">
      <c r="A113" t="inlineStr">
        <is>
          <t>Year of Project</t>
        </is>
      </c>
      <c r="C113" t="n">
        <v>1</v>
      </c>
      <c r="D113" t="n">
        <v>2</v>
      </c>
      <c r="E113" t="n">
        <v>3</v>
      </c>
      <c r="F113" t="n">
        <v>4</v>
      </c>
      <c r="G113" t="n">
        <v>5</v>
      </c>
      <c r="H113" t="n">
        <v>6</v>
      </c>
      <c r="I113" t="n">
        <v>7</v>
      </c>
      <c r="J113" t="n">
        <v>8</v>
      </c>
    </row>
    <row r="114">
      <c r="A114" t="inlineStr">
        <is>
          <t>Allocation Weight</t>
        </is>
      </c>
      <c r="B114" t="inlineStr">
        <is>
          <t>%</t>
        </is>
      </c>
      <c r="C114" s="57" t="n">
        <v>0.05</v>
      </c>
      <c r="D114" s="57" t="n">
        <v>0.1</v>
      </c>
      <c r="E114" s="57" t="n">
        <v>0.15</v>
      </c>
      <c r="F114" s="57" t="n">
        <v>0.2</v>
      </c>
      <c r="G114" s="57" t="n">
        <v>0.2</v>
      </c>
      <c r="H114" s="57" t="n">
        <v>0.15</v>
      </c>
      <c r="I114" s="57" t="n">
        <v>0.1</v>
      </c>
      <c r="J114" s="57" t="n">
        <v>0.05</v>
      </c>
    </row>
    <row r="115">
      <c r="A115" t="inlineStr">
        <is>
          <t>Calendar Year</t>
        </is>
      </c>
      <c r="C115" t="n">
        <v>2026</v>
      </c>
      <c r="D115" t="n">
        <v>2027</v>
      </c>
      <c r="E115" t="n">
        <v>2028</v>
      </c>
      <c r="F115" t="n">
        <v>2029</v>
      </c>
      <c r="G115" t="n">
        <v>2030</v>
      </c>
      <c r="H115" t="n">
        <v>2031</v>
      </c>
      <c r="I115" t="n">
        <v>2032</v>
      </c>
      <c r="J115" t="n">
        <v>2033</v>
      </c>
    </row>
    <row r="116">
      <c r="A116" t="inlineStr">
        <is>
          <t>Sum of Weights</t>
        </is>
      </c>
      <c r="C116" s="57">
        <f>SUM(C114:J114)</f>
        <v/>
      </c>
    </row>
    <row r="125">
      <c r="A125" s="54" t="inlineStr">
        <is>
          <t>Assumptions</t>
        </is>
      </c>
    </row>
    <row r="126">
      <c r="A126" t="inlineStr">
        <is>
          <t>Lari/USD Exchange Rate</t>
        </is>
      </c>
      <c r="B126" t="inlineStr">
        <is>
          <t>GEL/USD</t>
        </is>
      </c>
      <c r="D126" t="n">
        <v>2.746</v>
      </c>
    </row>
    <row r="127">
      <c r="A127" t="inlineStr">
        <is>
          <t>Demand Multiplier</t>
        </is>
      </c>
      <c r="D127" t="n">
        <v>0.8</v>
      </c>
    </row>
    <row r="128">
      <c r="A128" t="inlineStr">
        <is>
          <t>Import Content Share</t>
        </is>
      </c>
      <c r="D128" t="n">
        <v>0.5</v>
      </c>
    </row>
    <row r="129">
      <c r="A129" t="inlineStr">
        <is>
          <t>Project Allocation</t>
        </is>
      </c>
      <c r="D129" t="inlineStr">
        <is>
          <t>Bell shape</t>
        </is>
      </c>
    </row>
    <row r="131">
      <c r="A131" s="54" t="inlineStr">
        <is>
          <t>Shock Calculations</t>
        </is>
      </c>
    </row>
    <row r="132">
      <c r="C132" s="1" t="n">
        <v>2024</v>
      </c>
      <c r="D132" s="1" t="n">
        <v>2025</v>
      </c>
      <c r="E132" s="1" t="n">
        <v>2026</v>
      </c>
      <c r="F132" s="1" t="n">
        <v>2027</v>
      </c>
      <c r="G132" s="1" t="n">
        <v>2028</v>
      </c>
      <c r="H132" s="1" t="n">
        <v>2029</v>
      </c>
      <c r="I132" s="1" t="n">
        <v>2030</v>
      </c>
      <c r="J132" s="1" t="n">
        <v>2031</v>
      </c>
      <c r="K132" s="1" t="n">
        <v>2032</v>
      </c>
      <c r="L132" s="1" t="n">
        <v>2033</v>
      </c>
      <c r="M132" s="1" t="n">
        <v>2034</v>
      </c>
      <c r="N132" s="1" t="n">
        <v>2035</v>
      </c>
      <c r="O132" s="1" t="n">
        <v>2036</v>
      </c>
      <c r="P132" s="1" t="n">
        <v>2037</v>
      </c>
      <c r="Q132" s="1" t="n">
        <v>2038</v>
      </c>
      <c r="R132" s="1" t="n">
        <v>2039</v>
      </c>
      <c r="S132" s="1" t="n">
        <v>2040</v>
      </c>
      <c r="T132" s="1" t="n">
        <v>2041</v>
      </c>
      <c r="U132" s="1" t="n">
        <v>2042</v>
      </c>
      <c r="V132" s="1" t="n">
        <v>2043</v>
      </c>
    </row>
    <row r="133">
      <c r="A133" t="inlineStr">
        <is>
          <t>Annual Investment Spending</t>
        </is>
      </c>
      <c r="B133" t="inlineStr">
        <is>
          <t>Bln USD</t>
        </is>
      </c>
      <c r="C133" t="n">
        <v>0</v>
      </c>
      <c r="D133" t="n">
        <v>0</v>
      </c>
      <c r="E133">
        <f>$C$107*C$114</f>
        <v/>
      </c>
      <c r="F133">
        <f>$C$107*D$114</f>
        <v/>
      </c>
      <c r="G133">
        <f>$C$107*E$114</f>
        <v/>
      </c>
      <c r="H133">
        <f>$C$107*F$114</f>
        <v/>
      </c>
      <c r="I133">
        <f>$C$107*G$114</f>
        <v/>
      </c>
      <c r="J133">
        <f>$C$107*H$114</f>
        <v/>
      </c>
      <c r="K133">
        <f>$C$107*I$114</f>
        <v/>
      </c>
      <c r="L133">
        <f>$C$107*J$114</f>
        <v/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Annual Investment Spending</t>
        </is>
      </c>
      <c r="B134" t="inlineStr">
        <is>
          <t>Bln GEL</t>
        </is>
      </c>
      <c r="C134">
        <f>C133*$D$126</f>
        <v/>
      </c>
      <c r="D134">
        <f>D133*$D$126</f>
        <v/>
      </c>
      <c r="E134">
        <f>E133*$D$126</f>
        <v/>
      </c>
      <c r="F134">
        <f>F133*$D$126</f>
        <v/>
      </c>
      <c r="G134">
        <f>G133*$D$126</f>
        <v/>
      </c>
      <c r="H134">
        <f>H133*$D$126</f>
        <v/>
      </c>
      <c r="I134">
        <f>I133*$D$126</f>
        <v/>
      </c>
      <c r="J134">
        <f>J133*$D$126</f>
        <v/>
      </c>
      <c r="K134">
        <f>K133*$D$126</f>
        <v/>
      </c>
      <c r="L134">
        <f>L133*$D$126</f>
        <v/>
      </c>
      <c r="M134">
        <f>M133*$D$126</f>
        <v/>
      </c>
      <c r="N134">
        <f>N133*$D$126</f>
        <v/>
      </c>
      <c r="O134">
        <f>O133*$D$126</f>
        <v/>
      </c>
      <c r="P134">
        <f>P133*$D$126</f>
        <v/>
      </c>
      <c r="Q134">
        <f>Q133*$D$126</f>
        <v/>
      </c>
      <c r="R134">
        <f>R133*$D$126</f>
        <v/>
      </c>
      <c r="S134">
        <f>S133*$D$126</f>
        <v/>
      </c>
      <c r="T134">
        <f>T133*$D$126</f>
        <v/>
      </c>
      <c r="U134">
        <f>U133*$D$126</f>
        <v/>
      </c>
      <c r="V134">
        <f>V133*$D$126</f>
        <v/>
      </c>
    </row>
    <row r="135">
      <c r="A135" t="inlineStr">
        <is>
          <t>Investment Deflator (2024=1)</t>
        </is>
      </c>
      <c r="B135" t="inlineStr">
        <is>
          <t>Index</t>
        </is>
      </c>
      <c r="C135">
        <f>C101/$C$101</f>
        <v/>
      </c>
      <c r="D135">
        <f>D101/$C$101</f>
        <v/>
      </c>
      <c r="E135">
        <f>E101/$C$101</f>
        <v/>
      </c>
      <c r="F135">
        <f>F101/$C$101</f>
        <v/>
      </c>
      <c r="G135">
        <f>G101/$C$101</f>
        <v/>
      </c>
      <c r="H135">
        <f>H101/$C$101</f>
        <v/>
      </c>
      <c r="I135">
        <f>I101/$C$101</f>
        <v/>
      </c>
      <c r="J135">
        <f>J101/$C$101</f>
        <v/>
      </c>
      <c r="K135">
        <f>K101/$C$101</f>
        <v/>
      </c>
      <c r="L135">
        <f>L101/$C$101</f>
        <v/>
      </c>
      <c r="M135">
        <f>M101/$C$101</f>
        <v/>
      </c>
      <c r="N135">
        <f>N101/$C$101</f>
        <v/>
      </c>
      <c r="O135">
        <f>O101/$C$101</f>
        <v/>
      </c>
      <c r="P135">
        <f>P101/$C$101</f>
        <v/>
      </c>
      <c r="Q135">
        <f>Q101/$C$101</f>
        <v/>
      </c>
      <c r="R135">
        <f>R101/$C$101</f>
        <v/>
      </c>
      <c r="S135">
        <f>S101/$C$101</f>
        <v/>
      </c>
      <c r="T135">
        <f>T101/$C$101</f>
        <v/>
      </c>
      <c r="U135">
        <f>U101/$C$101</f>
        <v/>
      </c>
      <c r="V135">
        <f>V101/$C$101</f>
        <v/>
      </c>
    </row>
    <row r="136">
      <c r="A136" t="inlineStr">
        <is>
          <t>Real Annual Investment Spending</t>
        </is>
      </c>
      <c r="B136" t="inlineStr">
        <is>
          <t>Bln GEL (2024 prices)</t>
        </is>
      </c>
      <c r="C136">
        <f>C134/C135</f>
        <v/>
      </c>
      <c r="D136">
        <f>D134/D135</f>
        <v/>
      </c>
      <c r="E136">
        <f>E134/E135</f>
        <v/>
      </c>
      <c r="F136">
        <f>F134/F135</f>
        <v/>
      </c>
      <c r="G136">
        <f>G134/G135</f>
        <v/>
      </c>
      <c r="H136">
        <f>H134/H135</f>
        <v/>
      </c>
      <c r="I136">
        <f>I134/I135</f>
        <v/>
      </c>
      <c r="J136">
        <f>J134/J135</f>
        <v/>
      </c>
      <c r="K136">
        <f>K134/K135</f>
        <v/>
      </c>
      <c r="L136">
        <f>L134/L135</f>
        <v/>
      </c>
      <c r="M136">
        <f>M134/M135</f>
        <v/>
      </c>
      <c r="N136">
        <f>N134/N135</f>
        <v/>
      </c>
      <c r="O136">
        <f>O134/O135</f>
        <v/>
      </c>
      <c r="P136">
        <f>P134/P135</f>
        <v/>
      </c>
      <c r="Q136">
        <f>Q134/Q135</f>
        <v/>
      </c>
      <c r="R136">
        <f>R134/R135</f>
        <v/>
      </c>
      <c r="S136">
        <f>S134/S135</f>
        <v/>
      </c>
      <c r="T136">
        <f>T134/T135</f>
        <v/>
      </c>
      <c r="U136">
        <f>U134/U135</f>
        <v/>
      </c>
      <c r="V136">
        <f>V134/V135</f>
        <v/>
      </c>
    </row>
    <row r="137">
      <c r="A137" t="inlineStr">
        <is>
          <t>Domestic Content of Investment</t>
        </is>
      </c>
      <c r="B137" t="inlineStr">
        <is>
          <t>Bln GEL (2024 prices)</t>
        </is>
      </c>
      <c r="C137">
        <f>C136*(1-$D$128)</f>
        <v/>
      </c>
      <c r="D137">
        <f>D136*(1-$D$128)</f>
        <v/>
      </c>
      <c r="E137">
        <f>E136*(1-$D$128)</f>
        <v/>
      </c>
      <c r="F137">
        <f>F136*(1-$D$128)</f>
        <v/>
      </c>
      <c r="G137">
        <f>G136*(1-$D$128)</f>
        <v/>
      </c>
      <c r="H137">
        <f>H136*(1-$D$128)</f>
        <v/>
      </c>
      <c r="I137">
        <f>I136*(1-$D$128)</f>
        <v/>
      </c>
      <c r="J137">
        <f>J136*(1-$D$128)</f>
        <v/>
      </c>
      <c r="K137">
        <f>K136*(1-$D$128)</f>
        <v/>
      </c>
      <c r="L137">
        <f>L136*(1-$D$128)</f>
        <v/>
      </c>
      <c r="M137">
        <f>M136*(1-$D$128)</f>
        <v/>
      </c>
      <c r="N137">
        <f>N136*(1-$D$128)</f>
        <v/>
      </c>
      <c r="O137">
        <f>O136*(1-$D$128)</f>
        <v/>
      </c>
      <c r="P137">
        <f>P136*(1-$D$128)</f>
        <v/>
      </c>
      <c r="Q137">
        <f>Q136*(1-$D$128)</f>
        <v/>
      </c>
      <c r="R137">
        <f>R136*(1-$D$128)</f>
        <v/>
      </c>
      <c r="S137">
        <f>S136*(1-$D$128)</f>
        <v/>
      </c>
      <c r="T137">
        <f>T136*(1-$D$128)</f>
        <v/>
      </c>
      <c r="U137">
        <f>U136*(1-$D$128)</f>
        <v/>
      </c>
      <c r="V137">
        <f>V136*(1-$D$128)</f>
        <v/>
      </c>
    </row>
    <row r="138">
      <c r="A138" t="inlineStr">
        <is>
          <t>Demand Impact on GDP</t>
        </is>
      </c>
      <c r="B138" t="inlineStr">
        <is>
          <t>Bln GEL (2024 prices)</t>
        </is>
      </c>
      <c r="C138">
        <f>C137*$D$127</f>
        <v/>
      </c>
      <c r="D138">
        <f>D137*$D$127</f>
        <v/>
      </c>
      <c r="E138">
        <f>E137*$D$127</f>
        <v/>
      </c>
      <c r="F138">
        <f>F137*$D$127</f>
        <v/>
      </c>
      <c r="G138">
        <f>G137*$D$127</f>
        <v/>
      </c>
      <c r="H138">
        <f>H137*$D$127</f>
        <v/>
      </c>
      <c r="I138">
        <f>I137*$D$127</f>
        <v/>
      </c>
      <c r="J138">
        <f>J137*$D$127</f>
        <v/>
      </c>
      <c r="K138">
        <f>K137*$D$127</f>
        <v/>
      </c>
      <c r="L138">
        <f>L137*$D$127</f>
        <v/>
      </c>
      <c r="M138">
        <f>M137*$D$127</f>
        <v/>
      </c>
      <c r="N138">
        <f>N137*$D$127</f>
        <v/>
      </c>
      <c r="O138">
        <f>O137*$D$127</f>
        <v/>
      </c>
      <c r="P138">
        <f>P137*$D$127</f>
        <v/>
      </c>
      <c r="Q138">
        <f>Q137*$D$127</f>
        <v/>
      </c>
      <c r="R138">
        <f>R137*$D$127</f>
        <v/>
      </c>
      <c r="S138">
        <f>S137*$D$127</f>
        <v/>
      </c>
      <c r="T138">
        <f>T137*$D$127</f>
        <v/>
      </c>
      <c r="U138">
        <f>U137*$D$127</f>
        <v/>
      </c>
      <c r="V138">
        <f>V137*$D$127</f>
        <v/>
      </c>
    </row>
    <row r="140">
      <c r="A140" s="54" t="inlineStr">
        <is>
          <t>GDP Impact Summary</t>
        </is>
      </c>
    </row>
    <row r="141">
      <c r="A141" t="inlineStr">
        <is>
          <t>Demand Impact as % of GDP</t>
        </is>
      </c>
      <c r="B141" t="inlineStr">
        <is>
          <t>%</t>
        </is>
      </c>
      <c r="C141">
        <f>IF(C104=0,0,C138/C104*100)</f>
        <v/>
      </c>
      <c r="D141">
        <f>IF(D104=0,0,D138/D104*100)</f>
        <v/>
      </c>
      <c r="E141">
        <f>IF(E104=0,0,E138/E104*100)</f>
        <v/>
      </c>
      <c r="F141">
        <f>IF(F104=0,0,F138/F104*100)</f>
        <v/>
      </c>
      <c r="G141">
        <f>IF(G104=0,0,G138/G104*100)</f>
        <v/>
      </c>
      <c r="H141">
        <f>IF(H104=0,0,H138/H104*100)</f>
        <v/>
      </c>
      <c r="I141">
        <f>IF(I104=0,0,I138/I104*100)</f>
        <v/>
      </c>
      <c r="J141">
        <f>IF(J104=0,0,J138/J104*100)</f>
        <v/>
      </c>
      <c r="K141">
        <f>IF(K104=0,0,K138/K104*100)</f>
        <v/>
      </c>
      <c r="L141">
        <f>IF(L104=0,0,L138/L104*100)</f>
        <v/>
      </c>
      <c r="M141">
        <f>IF(M104=0,0,M138/M104*100)</f>
        <v/>
      </c>
      <c r="N141">
        <f>IF(N104=0,0,N138/N104*100)</f>
        <v/>
      </c>
      <c r="O141">
        <f>IF(O104=0,0,O138/O104*100)</f>
        <v/>
      </c>
      <c r="P141">
        <f>IF(P104=0,0,P138/P104*100)</f>
        <v/>
      </c>
      <c r="Q141">
        <f>IF(Q104=0,0,Q138/Q104*100)</f>
        <v/>
      </c>
      <c r="R141">
        <f>IF(R104=0,0,R138/R104*100)</f>
        <v/>
      </c>
      <c r="S141">
        <f>IF(S104=0,0,S138/S104*100)</f>
        <v/>
      </c>
      <c r="T141">
        <f>IF(T104=0,0,T138/T104*100)</f>
        <v/>
      </c>
      <c r="U141">
        <f>IF(U104=0,0,U138/U104*100)</f>
        <v/>
      </c>
      <c r="V141">
        <f>IF(V104=0,0,V138/V104*100)</f>
        <v/>
      </c>
    </row>
    <row r="142">
      <c r="A142" t="inlineStr">
        <is>
          <t>Adjusted Real GDP Growth Rate</t>
        </is>
      </c>
      <c r="B142" t="inlineStr">
        <is>
          <t>% pts</t>
        </is>
      </c>
      <c r="C142">
        <f>C100</f>
        <v/>
      </c>
      <c r="D142">
        <f>D100+(D141-C141)</f>
        <v/>
      </c>
      <c r="E142">
        <f>E100+(E141-D141)</f>
        <v/>
      </c>
      <c r="F142">
        <f>F100+(F141-E141)</f>
        <v/>
      </c>
      <c r="G142">
        <f>G100+(G141-F141)</f>
        <v/>
      </c>
      <c r="H142">
        <f>H100+(H141-G141)</f>
        <v/>
      </c>
      <c r="I142">
        <f>I100+(I141-H141)</f>
        <v/>
      </c>
      <c r="J142">
        <f>J100+(J141-I141)</f>
        <v/>
      </c>
      <c r="K142">
        <f>K100+(K141-J141)</f>
        <v/>
      </c>
      <c r="L142">
        <f>L100+(L141-K141)</f>
        <v/>
      </c>
      <c r="M142">
        <f>M100+(M141-L141)</f>
        <v/>
      </c>
      <c r="N142">
        <f>N100+(N141-M141)</f>
        <v/>
      </c>
      <c r="O142">
        <f>O100+(O141-N141)</f>
        <v/>
      </c>
      <c r="P142">
        <f>P100+(P141-O141)</f>
        <v/>
      </c>
      <c r="Q142">
        <f>Q100+(Q141-P141)</f>
        <v/>
      </c>
      <c r="R142">
        <f>R100+(R141-Q141)</f>
        <v/>
      </c>
      <c r="S142">
        <f>S100+(S141-R141)</f>
        <v/>
      </c>
      <c r="T142">
        <f>T100+(T141-S141)</f>
        <v/>
      </c>
      <c r="U142">
        <f>U100+(U141-T141)</f>
        <v/>
      </c>
      <c r="V142">
        <f>V100+(V141-U141)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2026-02-07T06:01:22Z</dcterms:created>
  <dcterms:modified xsi:type="dcterms:W3CDTF">2026-02-07T06:04:36Z</dcterms:modified>
</cp:coreProperties>
</file>