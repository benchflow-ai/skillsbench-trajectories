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SUM(O6:O27)+6.25*SUMSQ(M8:M27)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 t="n">
        <v>-0.6879720405073104</v>
      </c>
      <c r="N6" s="5">
        <f>K6-L6</f>
        <v/>
      </c>
      <c r="O6">
        <f>(K6-L6)^2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 t="n">
        <v>-0.6277369025539564</v>
      </c>
      <c r="N7" s="5">
        <f>K7-L7</f>
        <v/>
      </c>
      <c r="O7">
        <f>(K7-L7)^2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 t="n">
        <v>-0.5700932587068266</v>
      </c>
      <c r="M8">
        <f>L8-2*L7+L6</f>
        <v/>
      </c>
      <c r="N8" s="5">
        <f>K8-L8</f>
        <v/>
      </c>
      <c r="O8">
        <f>(K8-L8)^2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 t="n">
        <v>-0.5158706380299859</v>
      </c>
      <c r="M9">
        <f>L9-2*L8+L7</f>
        <v/>
      </c>
      <c r="N9" s="5">
        <f>K9-L9</f>
        <v/>
      </c>
      <c r="O9">
        <f>(K9-L9)^2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 t="n">
        <v>-0.4675991857827203</v>
      </c>
      <c r="M10">
        <f>L10-2*L9+L8</f>
        <v/>
      </c>
      <c r="N10" s="5">
        <f>K10-L10</f>
        <v/>
      </c>
      <c r="O10">
        <f>(K10-L10)^2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 t="n">
        <v>-0.4279907595530651</v>
      </c>
      <c r="M11">
        <f>L11-2*L10+L9</f>
        <v/>
      </c>
      <c r="N11" s="5">
        <f>K11-L11</f>
        <v/>
      </c>
      <c r="O11">
        <f>(K11-L11)^2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 t="n">
        <v>-0.3987637936232896</v>
      </c>
      <c r="M12">
        <f>L12-2*L11+L10</f>
        <v/>
      </c>
      <c r="N12" s="5">
        <f>K12-L12</f>
        <v/>
      </c>
      <c r="O12">
        <f>(K12-L12)^2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 t="n">
        <v>-0.3743937186487978</v>
      </c>
      <c r="M13">
        <f>L13-2*L12+L11</f>
        <v/>
      </c>
      <c r="N13" s="5">
        <f>K13-L13</f>
        <v/>
      </c>
      <c r="O13">
        <f>(K13-L13)^2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 t="n">
        <v>-0.3469365297307136</v>
      </c>
      <c r="M14">
        <f>L14-2*L13+L12</f>
        <v/>
      </c>
      <c r="N14" s="5">
        <f>K14-L14</f>
        <v/>
      </c>
      <c r="O14">
        <f>(K14-L14)^2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 t="n">
        <v>-0.3160561767186598</v>
      </c>
      <c r="M15">
        <f>L15-2*L14+L13</f>
        <v/>
      </c>
      <c r="N15" s="5">
        <f>K15-L15</f>
        <v/>
      </c>
      <c r="O15">
        <f>(K15-L15)^2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 t="n">
        <v>-0.2846762316037788</v>
      </c>
      <c r="M16">
        <f>L16-2*L15+L14</f>
        <v/>
      </c>
      <c r="N16" s="5">
        <f>K16-L16</f>
        <v/>
      </c>
      <c r="O16">
        <f>(K16-L16)^2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 t="n">
        <v>-0.255492929825344</v>
      </c>
      <c r="M17">
        <f>L17-2*L16+L15</f>
        <v/>
      </c>
      <c r="N17" s="5">
        <f>K17-L17</f>
        <v/>
      </c>
      <c r="O17">
        <f>(K17-L17)^2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 t="n">
        <v>-0.2299541699037148</v>
      </c>
      <c r="M18">
        <f>L18-2*L17+L16</f>
        <v/>
      </c>
      <c r="N18" s="5">
        <f>K18-L18</f>
        <v/>
      </c>
      <c r="O18">
        <f>(K18-L18)^2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 t="n">
        <v>-0.2073736514211629</v>
      </c>
      <c r="M19">
        <f>L19-2*L18+L17</f>
        <v/>
      </c>
      <c r="N19" s="5">
        <f>K19-L19</f>
        <v/>
      </c>
      <c r="O19">
        <f>(K19-L19)^2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 t="n">
        <v>-0.1859061328821888</v>
      </c>
      <c r="M20">
        <f>L20-2*L19+L18</f>
        <v/>
      </c>
      <c r="N20" s="5">
        <f>K20-L20</f>
        <v/>
      </c>
      <c r="O20">
        <f>(K20-L20)^2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 t="n">
        <v>-0.1642489796404195</v>
      </c>
      <c r="M21">
        <f>L21-2*L20+L19</f>
        <v/>
      </c>
      <c r="N21" s="5">
        <f>K21-L21</f>
        <v/>
      </c>
      <c r="O21">
        <f>(K21-L21)^2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 t="n">
        <v>-0.142412515152748</v>
      </c>
      <c r="M22">
        <f>L22-2*L21+L20</f>
        <v/>
      </c>
      <c r="N22" s="5">
        <f>K22-L22</f>
        <v/>
      </c>
      <c r="O22">
        <f>(K22-L22)^2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 t="n">
        <v>-0.1199087500684622</v>
      </c>
      <c r="M23">
        <f>L23-2*L22+L21</f>
        <v/>
      </c>
      <c r="N23" s="5">
        <f>K23-L23</f>
        <v/>
      </c>
      <c r="O23">
        <f>(K23-L23)^2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 t="n">
        <v>-0.09311910887984708</v>
      </c>
      <c r="M24">
        <f>L24-2*L23+L22</f>
        <v/>
      </c>
      <c r="N24" s="5">
        <f>K24-L24</f>
        <v/>
      </c>
      <c r="O24">
        <f>(K24-L24)^2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 t="n">
        <v>-0.05403122307918464</v>
      </c>
      <c r="M25">
        <f>L25-2*L24+L23</f>
        <v/>
      </c>
      <c r="N25" s="5">
        <f>K25-L25</f>
        <v/>
      </c>
      <c r="O25">
        <f>(K25-L25)^2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 t="n">
        <v>-0.005637348462544618</v>
      </c>
      <c r="M26">
        <f>L26-2*L25+L24</f>
        <v/>
      </c>
      <c r="N26" s="5">
        <f>K26-L26</f>
        <v/>
      </c>
      <c r="O26">
        <f>(K26-L26)^2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 t="n">
        <v>0.04604121329289839</v>
      </c>
      <c r="M27" s="7">
        <f>L27-2*L26+L25</f>
        <v/>
      </c>
      <c r="N27" s="8">
        <f>K27-L27</f>
        <v/>
      </c>
      <c r="O27">
        <f>(K27-L27)^2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D6/E6</f>
        <v/>
      </c>
      <c r="E36" s="19">
        <f>D6</f>
        <v/>
      </c>
      <c r="F36">
        <f>E6</f>
        <v/>
      </c>
      <c r="G36">
        <f>L6</f>
        <v/>
      </c>
      <c r="H36">
        <f>EXP(G36)*E36^$B$2</f>
        <v/>
      </c>
      <c r="I36" t="n">
        <v>0</v>
      </c>
      <c r="J36" t="n">
        <v>0</v>
      </c>
      <c r="K36" s="19">
        <f>E36+J36</f>
        <v/>
      </c>
      <c r="L36">
        <f>EXP(G36)*K36^$B$2</f>
        <v/>
      </c>
      <c r="M36">
        <f>L36-H36</f>
        <v/>
      </c>
      <c r="N36">
        <f>F36+M36</f>
        <v/>
      </c>
    </row>
    <row r="37">
      <c r="C37" t="n">
        <v>2003</v>
      </c>
      <c r="D37">
        <f>D7/E7</f>
        <v/>
      </c>
      <c r="E37" s="19">
        <f>D7</f>
        <v/>
      </c>
      <c r="F37">
        <f>E7</f>
        <v/>
      </c>
      <c r="G37">
        <f>L7</f>
        <v/>
      </c>
      <c r="H37">
        <f>EXP(G37)*E37^$B$2</f>
        <v/>
      </c>
      <c r="I37" t="n">
        <v>0</v>
      </c>
      <c r="J37">
        <f>(1-$B$3)*J36+I37</f>
        <v/>
      </c>
      <c r="K37" s="19">
        <f>E37+J37</f>
        <v/>
      </c>
      <c r="L37">
        <f>EXP(G37)*K37^$B$2</f>
        <v/>
      </c>
      <c r="M37">
        <f>L37-H37</f>
        <v/>
      </c>
      <c r="N37">
        <f>F37+M37</f>
        <v/>
      </c>
      <c r="O37">
        <f>(N37-N36)/N36</f>
        <v/>
      </c>
      <c r="P37">
        <f>(F37-F36)/F36</f>
        <v/>
      </c>
    </row>
    <row r="38">
      <c r="C38" t="n">
        <v>2004</v>
      </c>
      <c r="D38">
        <f>D8/E8</f>
        <v/>
      </c>
      <c r="E38" s="19">
        <f>D8</f>
        <v/>
      </c>
      <c r="F38">
        <f>E8</f>
        <v/>
      </c>
      <c r="G38">
        <f>L8</f>
        <v/>
      </c>
      <c r="H38">
        <f>EXP(G38)*E38^$B$2</f>
        <v/>
      </c>
      <c r="I38" t="n">
        <v>0</v>
      </c>
      <c r="J38">
        <f>(1-$B$3)*J37+I38</f>
        <v/>
      </c>
      <c r="K38" s="19">
        <f>E38+J38</f>
        <v/>
      </c>
      <c r="L38">
        <f>EXP(G38)*K38^$B$2</f>
        <v/>
      </c>
      <c r="M38">
        <f>L38-H38</f>
        <v/>
      </c>
      <c r="N38">
        <f>F38+M38</f>
        <v/>
      </c>
      <c r="O38">
        <f>(N38-N37)/N37</f>
        <v/>
      </c>
      <c r="P38">
        <f>(F38-F37)/F37</f>
        <v/>
      </c>
    </row>
    <row r="39">
      <c r="C39" t="n">
        <v>2005</v>
      </c>
      <c r="D39">
        <f>D9/E9</f>
        <v/>
      </c>
      <c r="E39" s="19">
        <f>D9</f>
        <v/>
      </c>
      <c r="F39">
        <f>E9</f>
        <v/>
      </c>
      <c r="G39">
        <f>L9</f>
        <v/>
      </c>
      <c r="H39">
        <f>EXP(G39)*E39^$B$2</f>
        <v/>
      </c>
      <c r="I39" t="n">
        <v>0</v>
      </c>
      <c r="J39">
        <f>(1-$B$3)*J38+I39</f>
        <v/>
      </c>
      <c r="K39" s="19">
        <f>E39+J39</f>
        <v/>
      </c>
      <c r="L39">
        <f>EXP(G39)*K39^$B$2</f>
        <v/>
      </c>
      <c r="M39">
        <f>L39-H39</f>
        <v/>
      </c>
      <c r="N39">
        <f>F39+M39</f>
        <v/>
      </c>
      <c r="O39">
        <f>(N39-N38)/N38</f>
        <v/>
      </c>
      <c r="P39">
        <f>(F39-F38)/F38</f>
        <v/>
      </c>
    </row>
    <row r="40">
      <c r="C40" t="n">
        <v>2006</v>
      </c>
      <c r="D40">
        <f>D10/E10</f>
        <v/>
      </c>
      <c r="E40" s="19">
        <f>D10</f>
        <v/>
      </c>
      <c r="F40">
        <f>E10</f>
        <v/>
      </c>
      <c r="G40">
        <f>L10</f>
        <v/>
      </c>
      <c r="H40">
        <f>EXP(G40)*E40^$B$2</f>
        <v/>
      </c>
      <c r="I40" t="n">
        <v>0</v>
      </c>
      <c r="J40">
        <f>(1-$B$3)*J39+I40</f>
        <v/>
      </c>
      <c r="K40" s="19">
        <f>E40+J40</f>
        <v/>
      </c>
      <c r="L40">
        <f>EXP(G40)*K40^$B$2</f>
        <v/>
      </c>
      <c r="M40">
        <f>L40-H40</f>
        <v/>
      </c>
      <c r="N40">
        <f>F40+M40</f>
        <v/>
      </c>
      <c r="O40">
        <f>(N40-N39)/N39</f>
        <v/>
      </c>
      <c r="P40">
        <f>(F40-F39)/F39</f>
        <v/>
      </c>
    </row>
    <row r="41">
      <c r="C41" t="n">
        <v>2007</v>
      </c>
      <c r="D41">
        <f>D11/E11</f>
        <v/>
      </c>
      <c r="E41" s="19">
        <f>D11</f>
        <v/>
      </c>
      <c r="F41">
        <f>E11</f>
        <v/>
      </c>
      <c r="G41">
        <f>L11</f>
        <v/>
      </c>
      <c r="H41">
        <f>EXP(G41)*E41^$B$2</f>
        <v/>
      </c>
      <c r="I41" t="n">
        <v>0</v>
      </c>
      <c r="J41">
        <f>(1-$B$3)*J40+I41</f>
        <v/>
      </c>
      <c r="K41" s="19">
        <f>E41+J41</f>
        <v/>
      </c>
      <c r="L41">
        <f>EXP(G41)*K41^$B$2</f>
        <v/>
      </c>
      <c r="M41">
        <f>L41-H41</f>
        <v/>
      </c>
      <c r="N41">
        <f>F41+M41</f>
        <v/>
      </c>
      <c r="O41">
        <f>(N41-N40)/N40</f>
        <v/>
      </c>
      <c r="P41">
        <f>(F41-F40)/F40</f>
        <v/>
      </c>
    </row>
    <row r="42">
      <c r="C42" t="n">
        <v>2008</v>
      </c>
      <c r="D42">
        <f>D12/E12</f>
        <v/>
      </c>
      <c r="E42" s="19">
        <f>D12</f>
        <v/>
      </c>
      <c r="F42">
        <f>E12</f>
        <v/>
      </c>
      <c r="G42">
        <f>L12</f>
        <v/>
      </c>
      <c r="H42">
        <f>EXP(G42)*E42^$B$2</f>
        <v/>
      </c>
      <c r="I42" t="n">
        <v>0</v>
      </c>
      <c r="J42">
        <f>(1-$B$3)*J41+I42</f>
        <v/>
      </c>
      <c r="K42" s="19">
        <f>E42+J42</f>
        <v/>
      </c>
      <c r="L42">
        <f>EXP(G42)*K42^$B$2</f>
        <v/>
      </c>
      <c r="M42">
        <f>L42-H42</f>
        <v/>
      </c>
      <c r="N42">
        <f>F42+M42</f>
        <v/>
      </c>
      <c r="O42">
        <f>(N42-N41)/N41</f>
        <v/>
      </c>
      <c r="P42">
        <f>(F42-F41)/F41</f>
        <v/>
      </c>
    </row>
    <row r="43">
      <c r="C43" t="n">
        <v>2009</v>
      </c>
      <c r="D43">
        <f>D13/E13</f>
        <v/>
      </c>
      <c r="E43" s="19">
        <f>D13</f>
        <v/>
      </c>
      <c r="F43">
        <f>E13</f>
        <v/>
      </c>
      <c r="G43">
        <f>L13</f>
        <v/>
      </c>
      <c r="H43">
        <f>EXP(G43)*E43^$B$2</f>
        <v/>
      </c>
      <c r="I43" t="n">
        <v>0</v>
      </c>
      <c r="J43">
        <f>(1-$B$3)*J42+I43</f>
        <v/>
      </c>
      <c r="K43" s="19">
        <f>E43+J43</f>
        <v/>
      </c>
      <c r="L43">
        <f>EXP(G43)*K43^$B$2</f>
        <v/>
      </c>
      <c r="M43">
        <f>L43-H43</f>
        <v/>
      </c>
      <c r="N43">
        <f>F43+M43</f>
        <v/>
      </c>
      <c r="O43">
        <f>(N43-N42)/N42</f>
        <v/>
      </c>
      <c r="P43">
        <f>(F43-F42)/F42</f>
        <v/>
      </c>
    </row>
    <row r="44">
      <c r="C44" t="n">
        <v>2010</v>
      </c>
      <c r="D44">
        <f>D14/E14</f>
        <v/>
      </c>
      <c r="E44" s="19">
        <f>D14</f>
        <v/>
      </c>
      <c r="F44">
        <f>E14</f>
        <v/>
      </c>
      <c r="G44">
        <f>L14</f>
        <v/>
      </c>
      <c r="H44">
        <f>EXP(G44)*E44^$B$2</f>
        <v/>
      </c>
      <c r="I44" t="n">
        <v>0</v>
      </c>
      <c r="J44">
        <f>(1-$B$3)*J43+I44</f>
        <v/>
      </c>
      <c r="K44" s="19">
        <f>E44+J44</f>
        <v/>
      </c>
      <c r="L44">
        <f>EXP(G44)*K44^$B$2</f>
        <v/>
      </c>
      <c r="M44">
        <f>L44-H44</f>
        <v/>
      </c>
      <c r="N44">
        <f>F44+M44</f>
        <v/>
      </c>
      <c r="O44">
        <f>(N44-N43)/N43</f>
        <v/>
      </c>
      <c r="P44">
        <f>(F44-F43)/F43</f>
        <v/>
      </c>
    </row>
    <row r="45">
      <c r="C45" t="n">
        <v>2011</v>
      </c>
      <c r="D45">
        <f>D15/E15</f>
        <v/>
      </c>
      <c r="E45" s="19">
        <f>D15</f>
        <v/>
      </c>
      <c r="F45">
        <f>E15</f>
        <v/>
      </c>
      <c r="G45">
        <f>L15</f>
        <v/>
      </c>
      <c r="H45">
        <f>EXP(G45)*E45^$B$2</f>
        <v/>
      </c>
      <c r="I45" t="n">
        <v>0</v>
      </c>
      <c r="J45">
        <f>(1-$B$3)*J44+I45</f>
        <v/>
      </c>
      <c r="K45" s="19">
        <f>E45+J45</f>
        <v/>
      </c>
      <c r="L45">
        <f>EXP(G45)*K45^$B$2</f>
        <v/>
      </c>
      <c r="M45">
        <f>L45-H45</f>
        <v/>
      </c>
      <c r="N45">
        <f>F45+M45</f>
        <v/>
      </c>
      <c r="O45">
        <f>(N45-N44)/N44</f>
        <v/>
      </c>
      <c r="P45">
        <f>(F45-F44)/F44</f>
        <v/>
      </c>
    </row>
    <row r="46">
      <c r="C46" t="n">
        <v>2012</v>
      </c>
      <c r="D46">
        <f>D16/E16</f>
        <v/>
      </c>
      <c r="E46" s="19">
        <f>D16</f>
        <v/>
      </c>
      <c r="F46">
        <f>E16</f>
        <v/>
      </c>
      <c r="G46">
        <f>L16</f>
        <v/>
      </c>
      <c r="H46">
        <f>EXP(G46)*E46^$B$2</f>
        <v/>
      </c>
      <c r="I46" t="n">
        <v>0</v>
      </c>
      <c r="J46">
        <f>(1-$B$3)*J45+I46</f>
        <v/>
      </c>
      <c r="K46" s="19">
        <f>E46+J46</f>
        <v/>
      </c>
      <c r="L46">
        <f>EXP(G46)*K46^$B$2</f>
        <v/>
      </c>
      <c r="M46">
        <f>L46-H46</f>
        <v/>
      </c>
      <c r="N46">
        <f>F46+M46</f>
        <v/>
      </c>
      <c r="O46">
        <f>(N46-N45)/N45</f>
        <v/>
      </c>
      <c r="P46">
        <f>(F46-F45)/F45</f>
        <v/>
      </c>
    </row>
    <row r="47">
      <c r="C47" t="n">
        <v>2013</v>
      </c>
      <c r="D47">
        <f>D17/E17</f>
        <v/>
      </c>
      <c r="E47" s="19">
        <f>D17</f>
        <v/>
      </c>
      <c r="F47">
        <f>E17</f>
        <v/>
      </c>
      <c r="G47">
        <f>L17</f>
        <v/>
      </c>
      <c r="H47">
        <f>EXP(G47)*E47^$B$2</f>
        <v/>
      </c>
      <c r="I47" t="n">
        <v>0</v>
      </c>
      <c r="J47">
        <f>(1-$B$3)*J46+I47</f>
        <v/>
      </c>
      <c r="K47" s="19">
        <f>E47+J47</f>
        <v/>
      </c>
      <c r="L47">
        <f>EXP(G47)*K47^$B$2</f>
        <v/>
      </c>
      <c r="M47">
        <f>L47-H47</f>
        <v/>
      </c>
      <c r="N47">
        <f>F47+M47</f>
        <v/>
      </c>
      <c r="O47">
        <f>(N47-N46)/N46</f>
        <v/>
      </c>
      <c r="P47">
        <f>(F47-F46)/F46</f>
        <v/>
      </c>
    </row>
    <row r="48">
      <c r="C48" t="n">
        <v>2014</v>
      </c>
      <c r="D48">
        <f>D18/E18</f>
        <v/>
      </c>
      <c r="E48" s="19">
        <f>D18</f>
        <v/>
      </c>
      <c r="F48">
        <f>E18</f>
        <v/>
      </c>
      <c r="G48">
        <f>L18</f>
        <v/>
      </c>
      <c r="H48">
        <f>EXP(G48)*E48^$B$2</f>
        <v/>
      </c>
      <c r="I48" t="n">
        <v>0</v>
      </c>
      <c r="J48">
        <f>(1-$B$3)*J47+I48</f>
        <v/>
      </c>
      <c r="K48" s="19">
        <f>E48+J48</f>
        <v/>
      </c>
      <c r="L48">
        <f>EXP(G48)*K48^$B$2</f>
        <v/>
      </c>
      <c r="M48">
        <f>L48-H48</f>
        <v/>
      </c>
      <c r="N48">
        <f>F48+M48</f>
        <v/>
      </c>
      <c r="O48">
        <f>(N48-N47)/N47</f>
        <v/>
      </c>
      <c r="P48">
        <f>(F48-F47)/F47</f>
        <v/>
      </c>
    </row>
    <row r="49">
      <c r="C49" t="n">
        <v>2015</v>
      </c>
      <c r="D49">
        <f>D19/E19</f>
        <v/>
      </c>
      <c r="E49" s="19">
        <f>D19</f>
        <v/>
      </c>
      <c r="F49">
        <f>E19</f>
        <v/>
      </c>
      <c r="G49">
        <f>L19</f>
        <v/>
      </c>
      <c r="H49">
        <f>EXP(G49)*E49^$B$2</f>
        <v/>
      </c>
      <c r="I49" t="n">
        <v>0</v>
      </c>
      <c r="J49">
        <f>(1-$B$3)*J48+I49</f>
        <v/>
      </c>
      <c r="K49" s="19">
        <f>E49+J49</f>
        <v/>
      </c>
      <c r="L49">
        <f>EXP(G49)*K49^$B$2</f>
        <v/>
      </c>
      <c r="M49">
        <f>L49-H49</f>
        <v/>
      </c>
      <c r="N49">
        <f>F49+M49</f>
        <v/>
      </c>
      <c r="O49">
        <f>(N49-N48)/N48</f>
        <v/>
      </c>
      <c r="P49">
        <f>(F49-F48)/F48</f>
        <v/>
      </c>
    </row>
    <row r="50">
      <c r="C50" t="n">
        <v>2016</v>
      </c>
      <c r="D50">
        <f>D20/E20</f>
        <v/>
      </c>
      <c r="E50" s="19">
        <f>D20</f>
        <v/>
      </c>
      <c r="F50">
        <f>E20</f>
        <v/>
      </c>
      <c r="G50">
        <f>L20</f>
        <v/>
      </c>
      <c r="H50">
        <f>EXP(G50)*E50^$B$2</f>
        <v/>
      </c>
      <c r="I50" t="n">
        <v>0</v>
      </c>
      <c r="J50">
        <f>(1-$B$3)*J49+I50</f>
        <v/>
      </c>
      <c r="K50" s="19">
        <f>E50+J50</f>
        <v/>
      </c>
      <c r="L50">
        <f>EXP(G50)*K50^$B$2</f>
        <v/>
      </c>
      <c r="M50">
        <f>L50-H50</f>
        <v/>
      </c>
      <c r="N50">
        <f>F50+M50</f>
        <v/>
      </c>
      <c r="O50">
        <f>(N50-N49)/N49</f>
        <v/>
      </c>
      <c r="P50">
        <f>(F50-F49)/F49</f>
        <v/>
      </c>
    </row>
    <row r="51">
      <c r="C51" t="n">
        <v>2017</v>
      </c>
      <c r="D51">
        <f>D21/E21</f>
        <v/>
      </c>
      <c r="E51" s="19">
        <f>D21</f>
        <v/>
      </c>
      <c r="F51">
        <f>E21</f>
        <v/>
      </c>
      <c r="G51">
        <f>L21</f>
        <v/>
      </c>
      <c r="H51">
        <f>EXP(G51)*E51^$B$2</f>
        <v/>
      </c>
      <c r="I51" t="n">
        <v>0</v>
      </c>
      <c r="J51">
        <f>(1-$B$3)*J50+I51</f>
        <v/>
      </c>
      <c r="K51" s="19">
        <f>E51+J51</f>
        <v/>
      </c>
      <c r="L51">
        <f>EXP(G51)*K51^$B$2</f>
        <v/>
      </c>
      <c r="M51">
        <f>L51-H51</f>
        <v/>
      </c>
      <c r="N51">
        <f>F51+M51</f>
        <v/>
      </c>
      <c r="O51">
        <f>(N51-N50)/N50</f>
        <v/>
      </c>
      <c r="P51">
        <f>(F51-F50)/F50</f>
        <v/>
      </c>
    </row>
    <row r="52">
      <c r="C52" t="n">
        <v>2018</v>
      </c>
      <c r="D52">
        <f>D22/E22</f>
        <v/>
      </c>
      <c r="E52" s="19">
        <f>D22</f>
        <v/>
      </c>
      <c r="F52">
        <f>E22</f>
        <v/>
      </c>
      <c r="G52">
        <f>L22</f>
        <v/>
      </c>
      <c r="H52">
        <f>EXP(G52)*E52^$B$2</f>
        <v/>
      </c>
      <c r="I52" t="n">
        <v>0</v>
      </c>
      <c r="J52">
        <f>(1-$B$3)*J51+I52</f>
        <v/>
      </c>
      <c r="K52" s="19">
        <f>E52+J52</f>
        <v/>
      </c>
      <c r="L52">
        <f>EXP(G52)*K52^$B$2</f>
        <v/>
      </c>
      <c r="M52">
        <f>L52-H52</f>
        <v/>
      </c>
      <c r="N52">
        <f>F52+M52</f>
        <v/>
      </c>
      <c r="O52">
        <f>(N52-N51)/N51</f>
        <v/>
      </c>
      <c r="P52">
        <f>(F52-F51)/F51</f>
        <v/>
      </c>
    </row>
    <row r="53">
      <c r="C53" t="n">
        <v>2019</v>
      </c>
      <c r="D53">
        <f>D23/E23</f>
        <v/>
      </c>
      <c r="E53" s="19">
        <f>D23</f>
        <v/>
      </c>
      <c r="F53">
        <f>E23</f>
        <v/>
      </c>
      <c r="G53">
        <f>L23</f>
        <v/>
      </c>
      <c r="H53">
        <f>EXP(G53)*E53^$B$2</f>
        <v/>
      </c>
      <c r="I53" t="n">
        <v>0</v>
      </c>
      <c r="J53">
        <f>(1-$B$3)*J52+I53</f>
        <v/>
      </c>
      <c r="K53" s="19">
        <f>E53+J53</f>
        <v/>
      </c>
      <c r="L53">
        <f>EXP(G53)*K53^$B$2</f>
        <v/>
      </c>
      <c r="M53">
        <f>L53-H53</f>
        <v/>
      </c>
      <c r="N53">
        <f>F53+M53</f>
        <v/>
      </c>
      <c r="O53">
        <f>(N53-N52)/N52</f>
        <v/>
      </c>
      <c r="P53">
        <f>(F53-F52)/F52</f>
        <v/>
      </c>
    </row>
    <row r="54">
      <c r="C54" t="n">
        <v>2020</v>
      </c>
      <c r="D54">
        <f>D24/E24</f>
        <v/>
      </c>
      <c r="E54" s="19">
        <f>D24</f>
        <v/>
      </c>
      <c r="F54">
        <f>E24</f>
        <v/>
      </c>
      <c r="G54">
        <f>L24</f>
        <v/>
      </c>
      <c r="H54">
        <f>EXP(G54)*E54^$B$2</f>
        <v/>
      </c>
      <c r="I54" t="n">
        <v>0</v>
      </c>
      <c r="J54">
        <f>(1-$B$3)*J53+I54</f>
        <v/>
      </c>
      <c r="K54" s="19">
        <f>E54+J54</f>
        <v/>
      </c>
      <c r="L54">
        <f>EXP(G54)*K54^$B$2</f>
        <v/>
      </c>
      <c r="M54">
        <f>L54-H54</f>
        <v/>
      </c>
      <c r="N54">
        <f>F54+M54</f>
        <v/>
      </c>
      <c r="O54">
        <f>(N54-N53)/N53</f>
        <v/>
      </c>
      <c r="P54">
        <f>(F54-F53)/F53</f>
        <v/>
      </c>
    </row>
    <row r="55">
      <c r="C55" t="n">
        <v>2021</v>
      </c>
      <c r="D55">
        <f>D25/E25</f>
        <v/>
      </c>
      <c r="E55" s="19">
        <f>D25</f>
        <v/>
      </c>
      <c r="F55">
        <f>E25</f>
        <v/>
      </c>
      <c r="G55">
        <f>L25</f>
        <v/>
      </c>
      <c r="H55">
        <f>EXP(G55)*E55^$B$2</f>
        <v/>
      </c>
      <c r="I55" t="n">
        <v>0</v>
      </c>
      <c r="J55">
        <f>(1-$B$3)*J54+I55</f>
        <v/>
      </c>
      <c r="K55" s="19">
        <f>E55+J55</f>
        <v/>
      </c>
      <c r="L55">
        <f>EXP(G55)*K55^$B$2</f>
        <v/>
      </c>
      <c r="M55">
        <f>L55-H55</f>
        <v/>
      </c>
      <c r="N55">
        <f>F55+M55</f>
        <v/>
      </c>
      <c r="O55">
        <f>(N55-N54)/N54</f>
        <v/>
      </c>
      <c r="P55">
        <f>(F55-F54)/F54</f>
        <v/>
      </c>
    </row>
    <row r="56">
      <c r="C56" t="n">
        <v>2022</v>
      </c>
      <c r="D56">
        <f>D26/E26</f>
        <v/>
      </c>
      <c r="E56" s="19">
        <f>D26</f>
        <v/>
      </c>
      <c r="F56">
        <f>E26</f>
        <v/>
      </c>
      <c r="G56">
        <f>L26</f>
        <v/>
      </c>
      <c r="H56">
        <f>EXP(G56)*E56^$B$2</f>
        <v/>
      </c>
      <c r="I56" t="n">
        <v>0</v>
      </c>
      <c r="J56">
        <f>(1-$B$3)*J55+I56</f>
        <v/>
      </c>
      <c r="K56" s="19">
        <f>E56+J56</f>
        <v/>
      </c>
      <c r="L56">
        <f>EXP(G56)*K56^$B$2</f>
        <v/>
      </c>
      <c r="M56">
        <f>L56-H56</f>
        <v/>
      </c>
      <c r="N56">
        <f>F56+M56</f>
        <v/>
      </c>
      <c r="O56">
        <f>(N56-N55)/N55</f>
        <v/>
      </c>
      <c r="P56">
        <f>(F56-F55)/F55</f>
        <v/>
      </c>
    </row>
    <row r="57">
      <c r="C57" t="n">
        <v>2023</v>
      </c>
      <c r="D57">
        <f>D27/E27</f>
        <v/>
      </c>
      <c r="E57" s="19">
        <f>D27</f>
        <v/>
      </c>
      <c r="F57">
        <f>E27</f>
        <v/>
      </c>
      <c r="G57">
        <f>L27</f>
        <v/>
      </c>
      <c r="H57">
        <f>EXP(G57)*E57^$B$2</f>
        <v/>
      </c>
      <c r="I57" t="n">
        <v>0</v>
      </c>
      <c r="J57">
        <f>(1-$B$3)*J56+I57</f>
        <v/>
      </c>
      <c r="K57" s="19">
        <f>E57+J57</f>
        <v/>
      </c>
      <c r="L57">
        <f>EXP(G57)*K57^$B$2</f>
        <v/>
      </c>
      <c r="M57">
        <f>L57-H57</f>
        <v/>
      </c>
      <c r="N57">
        <f>F57+M57</f>
        <v/>
      </c>
      <c r="O57">
        <f>(N57-N56)/N56</f>
        <v/>
      </c>
      <c r="P57">
        <f>(F57-F56)/F56</f>
        <v/>
      </c>
    </row>
    <row r="58">
      <c r="C58" t="n">
        <v>2024</v>
      </c>
      <c r="E58" s="21">
        <f>F58*AVERAGE($D$49:$D$57)</f>
        <v/>
      </c>
      <c r="F58">
        <f>WEO_Data!C32</f>
        <v/>
      </c>
      <c r="G58" s="20">
        <f>TREND($G$36:$G$57,$C$36:$C$57,C58)</f>
        <v/>
      </c>
      <c r="H58">
        <f>EXP(G58)*E58^$B$2</f>
        <v/>
      </c>
      <c r="I58" t="n">
        <v>0</v>
      </c>
      <c r="J58">
        <f>(1-$B$3)*J57+I58</f>
        <v/>
      </c>
      <c r="K58" s="19">
        <f>E58+J58</f>
        <v/>
      </c>
      <c r="L58">
        <f>EXP(G58)*K58^$B$2</f>
        <v/>
      </c>
      <c r="M58">
        <f>L58-H58</f>
        <v/>
      </c>
      <c r="N58">
        <f>F58+M58</f>
        <v/>
      </c>
      <c r="O58">
        <f>(N58-N57)/N57</f>
        <v/>
      </c>
      <c r="P58">
        <f>(F58-F57)/F57</f>
        <v/>
      </c>
    </row>
    <row r="59">
      <c r="C59" t="n">
        <v>2025</v>
      </c>
      <c r="E59" s="21">
        <f>F59*AVERAGE($D$49:$D$57)</f>
        <v/>
      </c>
      <c r="F59">
        <f>WEO_Data!C33</f>
        <v/>
      </c>
      <c r="G59" s="20">
        <f>TREND($G$36:$G$57,$C$36:$C$57,C59)</f>
        <v/>
      </c>
      <c r="H59">
        <f>EXP(G59)*E59^$B$2</f>
        <v/>
      </c>
      <c r="I59" t="n">
        <v>0</v>
      </c>
      <c r="J59">
        <f>(1-$B$3)*J58+I59</f>
        <v/>
      </c>
      <c r="K59" s="19">
        <f>E59+J59</f>
        <v/>
      </c>
      <c r="L59">
        <f>EXP(G59)*K59^$B$2</f>
        <v/>
      </c>
      <c r="M59">
        <f>L59-H59</f>
        <v/>
      </c>
      <c r="N59">
        <f>F59+M59</f>
        <v/>
      </c>
      <c r="O59">
        <f>(N59-N58)/N58</f>
        <v/>
      </c>
      <c r="P59">
        <f>(F59-F58)/F58</f>
        <v/>
      </c>
    </row>
    <row r="60">
      <c r="C60" t="n">
        <v>2026</v>
      </c>
      <c r="E60" s="21">
        <f>F60*AVERAGE($D$49:$D$57)</f>
        <v/>
      </c>
      <c r="F60" s="20">
        <f>WEO_Data!C34</f>
        <v/>
      </c>
      <c r="G60" s="20">
        <f>TREND($G$36:$G$57,$C$36:$C$57,C60)</f>
        <v/>
      </c>
      <c r="H60">
        <f>EXP(G60)*E60^$B$2</f>
        <v/>
      </c>
      <c r="I60" s="17">
        <f>Investment!C2</f>
        <v/>
      </c>
      <c r="J60">
        <f>(1-$B$3)*J59+I60</f>
        <v/>
      </c>
      <c r="K60" s="19">
        <f>E60+J60</f>
        <v/>
      </c>
      <c r="L60">
        <f>EXP(G60)*K60^$B$2</f>
        <v/>
      </c>
      <c r="M60">
        <f>L60-H60</f>
        <v/>
      </c>
      <c r="N60">
        <f>F60+M60</f>
        <v/>
      </c>
      <c r="O60">
        <f>(N60-N59)/N59</f>
        <v/>
      </c>
      <c r="P60">
        <f>(F60-F59)/F59</f>
        <v/>
      </c>
    </row>
    <row r="61">
      <c r="C61" t="n">
        <v>2027</v>
      </c>
      <c r="E61" s="21">
        <f>F61*AVERAGE($D$49:$D$57)</f>
        <v/>
      </c>
      <c r="F61" s="20">
        <f>WEO_Data!C35</f>
        <v/>
      </c>
      <c r="G61" s="20">
        <f>TREND($G$36:$G$57,$C$36:$C$57,C61)</f>
        <v/>
      </c>
      <c r="H61">
        <f>EXP(G61)*E61^$B$2</f>
        <v/>
      </c>
      <c r="I61" s="17">
        <f>Investment!C3</f>
        <v/>
      </c>
      <c r="J61">
        <f>(1-$B$3)*J60+I61</f>
        <v/>
      </c>
      <c r="K61" s="19">
        <f>E61+J61</f>
        <v/>
      </c>
      <c r="L61">
        <f>EXP(G61)*K61^$B$2</f>
        <v/>
      </c>
      <c r="M61">
        <f>L61-H61</f>
        <v/>
      </c>
      <c r="N61">
        <f>F61+M61</f>
        <v/>
      </c>
      <c r="O61">
        <f>(N61-N60)/N60</f>
        <v/>
      </c>
      <c r="P61">
        <f>(F61-F60)/F60</f>
        <v/>
      </c>
    </row>
    <row r="62">
      <c r="C62" t="n">
        <v>2028</v>
      </c>
      <c r="E62" s="21">
        <f>F62*AVERAGE($D$49:$D$57)</f>
        <v/>
      </c>
      <c r="F62" s="20">
        <f>WEO_Data!C36</f>
        <v/>
      </c>
      <c r="G62" s="20">
        <f>TREND($G$36:$G$57,$C$36:$C$57,C62)</f>
        <v/>
      </c>
      <c r="H62">
        <f>EXP(G62)*E62^$B$2</f>
        <v/>
      </c>
      <c r="I62" s="17">
        <f>Investment!C4</f>
        <v/>
      </c>
      <c r="J62">
        <f>(1-$B$3)*J61+I62</f>
        <v/>
      </c>
      <c r="K62" s="19">
        <f>E62+J62</f>
        <v/>
      </c>
      <c r="L62">
        <f>EXP(G62)*K62^$B$2</f>
        <v/>
      </c>
      <c r="M62">
        <f>L62-H62</f>
        <v/>
      </c>
      <c r="N62">
        <f>F62+M62</f>
        <v/>
      </c>
      <c r="O62">
        <f>(N62-N61)/N61</f>
        <v/>
      </c>
      <c r="P62">
        <f>(F62-F61)/F61</f>
        <v/>
      </c>
    </row>
    <row r="63">
      <c r="C63" t="n">
        <v>2029</v>
      </c>
      <c r="E63" s="21">
        <f>F63*AVERAGE($D$49:$D$57)</f>
        <v/>
      </c>
      <c r="F63" s="20">
        <f>WEO_Data!C37</f>
        <v/>
      </c>
      <c r="G63" s="20">
        <f>TREND($G$36:$G$57,$C$36:$C$57,C63)</f>
        <v/>
      </c>
      <c r="H63">
        <f>EXP(G63)*E63^$B$2</f>
        <v/>
      </c>
      <c r="I63" s="17">
        <f>Investment!C5</f>
        <v/>
      </c>
      <c r="J63">
        <f>(1-$B$3)*J62+I63</f>
        <v/>
      </c>
      <c r="K63" s="19">
        <f>E63+J63</f>
        <v/>
      </c>
      <c r="L63">
        <f>EXP(G63)*K63^$B$2</f>
        <v/>
      </c>
      <c r="M63">
        <f>L63-H63</f>
        <v/>
      </c>
      <c r="N63">
        <f>F63+M63</f>
        <v/>
      </c>
      <c r="O63">
        <f>(N63-N62)/N62</f>
        <v/>
      </c>
      <c r="P63">
        <f>(F63-F62)/F62</f>
        <v/>
      </c>
    </row>
    <row r="64">
      <c r="C64" t="n">
        <v>2030</v>
      </c>
      <c r="E64" s="21">
        <f>F64*AVERAGE($D$49:$D$57)</f>
        <v/>
      </c>
      <c r="F64" s="20">
        <f>WEO_Data!C38</f>
        <v/>
      </c>
      <c r="G64" s="20">
        <f>TREND($G$36:$G$57,$C$36:$C$57,C64)</f>
        <v/>
      </c>
      <c r="H64">
        <f>EXP(G64)*E64^$B$2</f>
        <v/>
      </c>
      <c r="I64" s="17">
        <f>Investment!C6</f>
        <v/>
      </c>
      <c r="J64">
        <f>(1-$B$3)*J63+I64</f>
        <v/>
      </c>
      <c r="K64" s="19">
        <f>E64+J64</f>
        <v/>
      </c>
      <c r="L64">
        <f>EXP(G64)*K64^$B$2</f>
        <v/>
      </c>
      <c r="M64">
        <f>L64-H64</f>
        <v/>
      </c>
      <c r="N64">
        <f>F64+M64</f>
        <v/>
      </c>
      <c r="O64">
        <f>(N64-N63)/N63</f>
        <v/>
      </c>
      <c r="P64">
        <f>(F64-F63)/F63</f>
        <v/>
      </c>
    </row>
    <row r="65">
      <c r="C65" t="n">
        <v>2031</v>
      </c>
      <c r="E65" s="21">
        <f>F65*AVERAGE($D$49:$D$57)</f>
        <v/>
      </c>
      <c r="F65" s="20">
        <f>WEO_Data!C39</f>
        <v/>
      </c>
      <c r="G65" s="20">
        <f>TREND($G$36:$G$57,$C$36:$C$57,C65)</f>
        <v/>
      </c>
      <c r="H65">
        <f>EXP(G65)*E65^$B$2</f>
        <v/>
      </c>
      <c r="I65" s="17">
        <f>Investment!C7</f>
        <v/>
      </c>
      <c r="J65">
        <f>(1-$B$3)*J64+I65</f>
        <v/>
      </c>
      <c r="K65" s="19">
        <f>E65+J65</f>
        <v/>
      </c>
      <c r="L65">
        <f>EXP(G65)*K65^$B$2</f>
        <v/>
      </c>
      <c r="M65">
        <f>L65-H65</f>
        <v/>
      </c>
      <c r="N65">
        <f>F65+M65</f>
        <v/>
      </c>
      <c r="O65">
        <f>(N65-N64)/N64</f>
        <v/>
      </c>
      <c r="P65">
        <f>(F65-F64)/F64</f>
        <v/>
      </c>
    </row>
    <row r="66">
      <c r="C66" t="n">
        <v>2032</v>
      </c>
      <c r="E66" s="21">
        <f>F66*AVERAGE($D$49:$D$57)</f>
        <v/>
      </c>
      <c r="F66" s="20">
        <f>WEO_Data!C40</f>
        <v/>
      </c>
      <c r="G66" s="20">
        <f>TREND($G$36:$G$57,$C$36:$C$57,C66)</f>
        <v/>
      </c>
      <c r="H66">
        <f>EXP(G66)*E66^$B$2</f>
        <v/>
      </c>
      <c r="I66" s="17">
        <f>Investment!C8</f>
        <v/>
      </c>
      <c r="J66">
        <f>(1-$B$3)*J65+I66</f>
        <v/>
      </c>
      <c r="K66" s="19">
        <f>E66+J66</f>
        <v/>
      </c>
      <c r="L66">
        <f>EXP(G66)*K66^$B$2</f>
        <v/>
      </c>
      <c r="M66">
        <f>L66-H66</f>
        <v/>
      </c>
      <c r="N66">
        <f>F66+M66</f>
        <v/>
      </c>
      <c r="O66">
        <f>(N66-N65)/N65</f>
        <v/>
      </c>
      <c r="P66">
        <f>(F66-F65)/F65</f>
        <v/>
      </c>
    </row>
    <row r="67">
      <c r="C67" t="n">
        <v>2033</v>
      </c>
      <c r="E67" s="21">
        <f>F67*AVERAGE($D$49:$D$57)</f>
        <v/>
      </c>
      <c r="F67" s="20">
        <f>WEO_Data!C41</f>
        <v/>
      </c>
      <c r="G67" s="20">
        <f>TREND($G$36:$G$57,$C$36:$C$57,C67)</f>
        <v/>
      </c>
      <c r="H67">
        <f>EXP(G67)*E67^$B$2</f>
        <v/>
      </c>
      <c r="I67" s="17">
        <f>Investment!C9</f>
        <v/>
      </c>
      <c r="J67">
        <f>(1-$B$3)*J66+I67</f>
        <v/>
      </c>
      <c r="K67" s="19">
        <f>E67+J67</f>
        <v/>
      </c>
      <c r="L67">
        <f>EXP(G67)*K67^$B$2</f>
        <v/>
      </c>
      <c r="M67">
        <f>L67-H67</f>
        <v/>
      </c>
      <c r="N67">
        <f>F67+M67</f>
        <v/>
      </c>
      <c r="O67">
        <f>(N67-N66)/N66</f>
        <v/>
      </c>
      <c r="P67">
        <f>(F67-F66)/F66</f>
        <v/>
      </c>
    </row>
    <row r="68">
      <c r="C68" t="n">
        <v>2034</v>
      </c>
      <c r="E68" s="21">
        <f>F68*AVERAGE($D$49:$D$57)</f>
        <v/>
      </c>
      <c r="F68" s="20">
        <f>WEO_Data!C42</f>
        <v/>
      </c>
      <c r="G68" s="20">
        <f>TREND($G$36:$G$57,$C$36:$C$57,C68)</f>
        <v/>
      </c>
      <c r="H68">
        <f>EXP(G68)*E68^$B$2</f>
        <v/>
      </c>
      <c r="I68" t="n">
        <v>0</v>
      </c>
      <c r="J68">
        <f>(1-$B$3)*J67+I68</f>
        <v/>
      </c>
      <c r="K68" s="19">
        <f>E68+J68</f>
        <v/>
      </c>
      <c r="L68">
        <f>EXP(G68)*K68^$B$2</f>
        <v/>
      </c>
      <c r="M68">
        <f>L68-H68</f>
        <v/>
      </c>
      <c r="N68">
        <f>F68+M68</f>
        <v/>
      </c>
      <c r="O68">
        <f>(N68-N67)/N67</f>
        <v/>
      </c>
      <c r="P68">
        <f>(F68-F67)/F67</f>
        <v/>
      </c>
    </row>
    <row r="69">
      <c r="C69" t="n">
        <v>2035</v>
      </c>
      <c r="E69" s="21">
        <f>F69*AVERAGE($D$49:$D$57)</f>
        <v/>
      </c>
      <c r="F69" s="20">
        <f>WEO_Data!C43</f>
        <v/>
      </c>
      <c r="G69" s="20">
        <f>TREND($G$36:$G$57,$C$36:$C$57,C69)</f>
        <v/>
      </c>
      <c r="H69">
        <f>EXP(G69)*E69^$B$2</f>
        <v/>
      </c>
      <c r="I69" t="n">
        <v>0</v>
      </c>
      <c r="J69">
        <f>(1-$B$3)*J68+I69</f>
        <v/>
      </c>
      <c r="K69" s="19">
        <f>E69+J69</f>
        <v/>
      </c>
      <c r="L69">
        <f>EXP(G69)*K69^$B$2</f>
        <v/>
      </c>
      <c r="M69">
        <f>L69-H69</f>
        <v/>
      </c>
      <c r="N69">
        <f>F69+M69</f>
        <v/>
      </c>
      <c r="O69">
        <f>(N69-N68)/N68</f>
        <v/>
      </c>
      <c r="P69">
        <f>(F69-F68)/F68</f>
        <v/>
      </c>
    </row>
    <row r="70">
      <c r="C70" t="n">
        <v>2036</v>
      </c>
      <c r="E70" s="21">
        <f>F70*AVERAGE($D$49:$D$57)</f>
        <v/>
      </c>
      <c r="F70" s="20">
        <f>WEO_Data!C44</f>
        <v/>
      </c>
      <c r="G70" s="20">
        <f>TREND($G$36:$G$57,$C$36:$C$57,C70)</f>
        <v/>
      </c>
      <c r="H70">
        <f>EXP(G70)*E70^$B$2</f>
        <v/>
      </c>
      <c r="I70" t="n">
        <v>0</v>
      </c>
      <c r="J70">
        <f>(1-$B$3)*J69+I70</f>
        <v/>
      </c>
      <c r="K70" s="19">
        <f>E70+J70</f>
        <v/>
      </c>
      <c r="L70">
        <f>EXP(G70)*K70^$B$2</f>
        <v/>
      </c>
      <c r="M70">
        <f>L70-H70</f>
        <v/>
      </c>
      <c r="N70">
        <f>F70+M70</f>
        <v/>
      </c>
      <c r="O70">
        <f>(N70-N69)/N69</f>
        <v/>
      </c>
      <c r="P70">
        <f>(F70-F69)/F69</f>
        <v/>
      </c>
    </row>
    <row r="71">
      <c r="C71" t="n">
        <v>2037</v>
      </c>
      <c r="E71" s="21">
        <f>F71*AVERAGE($D$49:$D$57)</f>
        <v/>
      </c>
      <c r="F71" s="20">
        <f>WEO_Data!C45</f>
        <v/>
      </c>
      <c r="G71" s="20">
        <f>TREND($G$36:$G$57,$C$36:$C$57,C71)</f>
        <v/>
      </c>
      <c r="H71">
        <f>EXP(G71)*E71^$B$2</f>
        <v/>
      </c>
      <c r="I71" t="n">
        <v>0</v>
      </c>
      <c r="J71">
        <f>(1-$B$3)*J70+I71</f>
        <v/>
      </c>
      <c r="K71" s="19">
        <f>E71+J71</f>
        <v/>
      </c>
      <c r="L71">
        <f>EXP(G71)*K71^$B$2</f>
        <v/>
      </c>
      <c r="M71">
        <f>L71-H71</f>
        <v/>
      </c>
      <c r="N71">
        <f>F71+M71</f>
        <v/>
      </c>
      <c r="O71">
        <f>(N71-N70)/N70</f>
        <v/>
      </c>
      <c r="P71">
        <f>(F71-F70)/F70</f>
        <v/>
      </c>
    </row>
    <row r="72">
      <c r="C72" t="n">
        <v>2038</v>
      </c>
      <c r="E72" s="21">
        <f>F72*AVERAGE($D$49:$D$57)</f>
        <v/>
      </c>
      <c r="F72" s="20">
        <f>WEO_Data!C46</f>
        <v/>
      </c>
      <c r="G72" s="20">
        <f>TREND($G$36:$G$57,$C$36:$C$57,C72)</f>
        <v/>
      </c>
      <c r="H72">
        <f>EXP(G72)*E72^$B$2</f>
        <v/>
      </c>
      <c r="I72" t="n">
        <v>0</v>
      </c>
      <c r="J72">
        <f>(1-$B$3)*J71+I72</f>
        <v/>
      </c>
      <c r="K72" s="19">
        <f>E72+J72</f>
        <v/>
      </c>
      <c r="L72">
        <f>EXP(G72)*K72^$B$2</f>
        <v/>
      </c>
      <c r="M72">
        <f>L72-H72</f>
        <v/>
      </c>
      <c r="N72">
        <f>F72+M72</f>
        <v/>
      </c>
      <c r="O72">
        <f>(N72-N71)/N71</f>
        <v/>
      </c>
      <c r="P72">
        <f>(F72-F71)/F71</f>
        <v/>
      </c>
    </row>
    <row r="73">
      <c r="C73" t="n">
        <v>2039</v>
      </c>
      <c r="E73" s="21">
        <f>F73*AVERAGE($D$49:$D$57)</f>
        <v/>
      </c>
      <c r="F73" s="20">
        <f>WEO_Data!C47</f>
        <v/>
      </c>
      <c r="G73" s="20">
        <f>TREND($G$36:$G$57,$C$36:$C$57,C73)</f>
        <v/>
      </c>
      <c r="H73">
        <f>EXP(G73)*E73^$B$2</f>
        <v/>
      </c>
      <c r="I73" t="n">
        <v>0</v>
      </c>
      <c r="J73">
        <f>(1-$B$3)*J72+I73</f>
        <v/>
      </c>
      <c r="K73" s="19">
        <f>E73+J73</f>
        <v/>
      </c>
      <c r="L73">
        <f>EXP(G73)*K73^$B$2</f>
        <v/>
      </c>
      <c r="M73">
        <f>L73-H73</f>
        <v/>
      </c>
      <c r="N73">
        <f>F73+M73</f>
        <v/>
      </c>
      <c r="O73">
        <f>(N73-N72)/N72</f>
        <v/>
      </c>
      <c r="P73">
        <f>(F73-F72)/F72</f>
        <v/>
      </c>
    </row>
    <row r="74">
      <c r="C74" t="n">
        <v>2040</v>
      </c>
      <c r="E74" s="21">
        <f>F74*AVERAGE($D$49:$D$57)</f>
        <v/>
      </c>
      <c r="F74" s="20">
        <f>WEO_Data!C48</f>
        <v/>
      </c>
      <c r="G74" s="20">
        <f>TREND($G$36:$G$57,$C$36:$C$57,C74)</f>
        <v/>
      </c>
      <c r="H74">
        <f>EXP(G74)*E74^$B$2</f>
        <v/>
      </c>
      <c r="I74" t="n">
        <v>0</v>
      </c>
      <c r="J74">
        <f>(1-$B$3)*J73+I74</f>
        <v/>
      </c>
      <c r="K74" s="19">
        <f>E74+J74</f>
        <v/>
      </c>
      <c r="L74">
        <f>EXP(G74)*K74^$B$2</f>
        <v/>
      </c>
      <c r="M74">
        <f>L74-H74</f>
        <v/>
      </c>
      <c r="N74">
        <f>F74+M74</f>
        <v/>
      </c>
      <c r="O74">
        <f>(N74-N73)/N73</f>
        <v/>
      </c>
      <c r="P74">
        <f>(F74-F73)/F73</f>
        <v/>
      </c>
    </row>
    <row r="75">
      <c r="C75" t="n">
        <v>2041</v>
      </c>
      <c r="E75" s="21">
        <f>F75*AVERAGE($D$49:$D$57)</f>
        <v/>
      </c>
      <c r="F75" s="20">
        <f>WEO_Data!C49</f>
        <v/>
      </c>
      <c r="G75" s="20">
        <f>TREND($G$36:$G$57,$C$36:$C$57,C75)</f>
        <v/>
      </c>
      <c r="H75">
        <f>EXP(G75)*E75^$B$2</f>
        <v/>
      </c>
      <c r="I75" t="n">
        <v>0</v>
      </c>
      <c r="J75">
        <f>(1-$B$3)*J74+I75</f>
        <v/>
      </c>
      <c r="K75" s="19">
        <f>E75+J75</f>
        <v/>
      </c>
      <c r="L75">
        <f>EXP(G75)*K75^$B$2</f>
        <v/>
      </c>
      <c r="M75">
        <f>L75-H75</f>
        <v/>
      </c>
      <c r="N75">
        <f>F75+M75</f>
        <v/>
      </c>
      <c r="O75">
        <f>(N75-N74)/N74</f>
        <v/>
      </c>
      <c r="P75">
        <f>(F75-F74)/F74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304.51509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383.64166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516.39712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661.60383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631.70101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706.98373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790.11257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932.91622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976.81854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1113.45006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1306.37308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1617.02997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1758.04927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1751.36685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2046.41323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2350.51241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2643.60288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1555.93215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2984.89047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3657.28067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4004.82872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4492.92133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4843.61644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5452.95738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6152.76926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7072.62535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7661.44847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9410.65784</v>
      </c>
      <c r="D29" s="19">
        <f>PWT!B35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55468.94</v>
      </c>
    </row>
    <row r="3">
      <c r="A3" s="19" t="n">
        <v>1991</v>
      </c>
      <c r="B3" s="19" t="n">
        <v>51738.59</v>
      </c>
    </row>
    <row r="4">
      <c r="A4" s="19" t="n">
        <v>1992</v>
      </c>
      <c r="B4" s="19" t="n">
        <v>43764.9</v>
      </c>
    </row>
    <row r="5">
      <c r="A5" s="19" t="n">
        <v>1993</v>
      </c>
      <c r="B5" s="19" t="n">
        <v>35498.11</v>
      </c>
    </row>
    <row r="6">
      <c r="A6" s="19" t="n">
        <v>1994</v>
      </c>
      <c r="B6" s="19" t="n">
        <v>31244.46</v>
      </c>
    </row>
    <row r="7">
      <c r="A7" s="19" t="n">
        <v>1995</v>
      </c>
      <c r="B7" s="19" t="n">
        <v>29153.3</v>
      </c>
    </row>
    <row r="8">
      <c r="A8" s="19" t="n">
        <v>1996</v>
      </c>
      <c r="B8" s="19" t="n">
        <v>28478.35</v>
      </c>
    </row>
    <row r="9">
      <c r="A9" s="19" t="n">
        <v>1997</v>
      </c>
      <c r="B9" s="19" t="n">
        <v>28772.35</v>
      </c>
    </row>
    <row r="10">
      <c r="A10" s="19" t="n">
        <v>1998</v>
      </c>
      <c r="B10" s="19" t="n">
        <v>29542.97</v>
      </c>
    </row>
    <row r="11">
      <c r="A11" s="19" t="n">
        <v>1999</v>
      </c>
      <c r="B11" s="19" t="n">
        <v>30244.77</v>
      </c>
    </row>
    <row r="12">
      <c r="A12" s="19" t="n">
        <v>2000</v>
      </c>
      <c r="B12" s="19" t="n">
        <v>30558.85</v>
      </c>
    </row>
    <row r="13">
      <c r="A13" s="19" t="n">
        <v>2001</v>
      </c>
      <c r="B13" s="19" t="n">
        <v>31296.03</v>
      </c>
    </row>
    <row r="14">
      <c r="A14" s="19" t="n">
        <v>2002</v>
      </c>
      <c r="B14" s="19" t="n">
        <v>32410.81</v>
      </c>
    </row>
    <row r="15">
      <c r="A15" s="19" t="n">
        <v>2003</v>
      </c>
      <c r="B15" s="19" t="n">
        <v>34218.02</v>
      </c>
    </row>
    <row r="16">
      <c r="A16" s="19" t="n">
        <v>2004</v>
      </c>
      <c r="B16" s="19" t="n">
        <v>36268.88</v>
      </c>
    </row>
    <row r="17">
      <c r="A17" s="19" t="n">
        <v>2005</v>
      </c>
      <c r="B17" s="19" t="n">
        <v>39268.72</v>
      </c>
    </row>
    <row r="18">
      <c r="A18" s="19" t="n">
        <v>2006</v>
      </c>
      <c r="B18" s="19" t="n">
        <v>43326.99</v>
      </c>
    </row>
    <row r="19">
      <c r="A19" s="19" t="n">
        <v>2007</v>
      </c>
      <c r="B19" s="19" t="n">
        <v>48544.86</v>
      </c>
    </row>
    <row r="20">
      <c r="A20" s="19" t="n">
        <v>2008</v>
      </c>
      <c r="B20" s="19" t="n">
        <v>52116.95</v>
      </c>
    </row>
    <row r="21">
      <c r="A21" s="19" t="n">
        <v>2009</v>
      </c>
      <c r="B21" s="19" t="n">
        <v>52281.02</v>
      </c>
    </row>
    <row r="22">
      <c r="A22" s="19" t="n">
        <v>2010</v>
      </c>
      <c r="B22" s="19" t="n">
        <v>54181.15</v>
      </c>
    </row>
    <row r="23">
      <c r="A23" s="19" t="n">
        <v>2011</v>
      </c>
      <c r="B23" s="19" t="n">
        <v>57992.77</v>
      </c>
    </row>
    <row r="24">
      <c r="A24" s="19" t="n">
        <v>2012</v>
      </c>
      <c r="B24" s="19" t="n">
        <v>62459.84</v>
      </c>
    </row>
    <row r="25">
      <c r="A25" s="19" t="n">
        <v>2013</v>
      </c>
      <c r="B25" s="19" t="n">
        <v>65258.66</v>
      </c>
    </row>
    <row r="26">
      <c r="A26" s="19" t="n">
        <v>2014</v>
      </c>
      <c r="B26" s="19" t="n">
        <v>69220.67999999999</v>
      </c>
    </row>
    <row r="27">
      <c r="A27" s="19" t="n">
        <v>2015</v>
      </c>
      <c r="B27" s="19" t="n">
        <v>73520.23</v>
      </c>
    </row>
    <row r="28">
      <c r="A28" s="19" t="n">
        <v>2016</v>
      </c>
      <c r="B28" s="19" t="n">
        <v>77210.47</v>
      </c>
    </row>
    <row r="29">
      <c r="A29" s="19" t="n">
        <v>2017</v>
      </c>
      <c r="B29" s="19" t="n">
        <v>81156.39</v>
      </c>
    </row>
    <row r="30">
      <c r="A30" s="19" t="n">
        <v>2018</v>
      </c>
      <c r="B30" s="19" t="n">
        <v>86044.73</v>
      </c>
    </row>
    <row r="31">
      <c r="A31" s="19" t="n">
        <v>2019</v>
      </c>
      <c r="B31" s="19" t="n">
        <v>91654.64999999999</v>
      </c>
    </row>
    <row r="32">
      <c r="A32" s="19" t="n">
        <v>2020</v>
      </c>
      <c r="B32" s="19" t="n">
        <v>92817.03999999999</v>
      </c>
    </row>
    <row r="33">
      <c r="A33" s="19" t="n">
        <v>2021</v>
      </c>
      <c r="B33" s="19" t="n">
        <v>96116.92</v>
      </c>
    </row>
    <row r="34">
      <c r="A34" s="19" t="n">
        <v>2022</v>
      </c>
      <c r="B34" s="19" t="n">
        <v>101637.67</v>
      </c>
    </row>
    <row r="35">
      <c r="A35" s="19" t="n">
        <v>2023</v>
      </c>
      <c r="B35" s="19" t="n">
        <v>107718.45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D35</f>
        <v/>
      </c>
    </row>
    <row r="37">
      <c r="B37" t="n">
        <v>2029</v>
      </c>
      <c r="C37">
        <f>C36*(1+D37/100)</f>
        <v/>
      </c>
      <c r="D37">
        <f>D35</f>
        <v/>
      </c>
    </row>
    <row r="38">
      <c r="B38" t="n">
        <v>2030</v>
      </c>
      <c r="C38">
        <f>C37*(1+D38/100)</f>
        <v/>
      </c>
      <c r="D38">
        <f>D35</f>
        <v/>
      </c>
    </row>
    <row r="39">
      <c r="B39" t="n">
        <v>2031</v>
      </c>
      <c r="C39">
        <f>C38*(1+D39/100)</f>
        <v/>
      </c>
      <c r="D39">
        <f>D35</f>
        <v/>
      </c>
    </row>
    <row r="40">
      <c r="B40" t="n">
        <v>2032</v>
      </c>
      <c r="C40">
        <f>C39*(1+D40/100)</f>
        <v/>
      </c>
      <c r="D40">
        <f>D35</f>
        <v/>
      </c>
    </row>
    <row r="41">
      <c r="B41" t="n">
        <v>2033</v>
      </c>
      <c r="C41">
        <f>C40*(1+D41/100)</f>
        <v/>
      </c>
      <c r="D41">
        <f>D35</f>
        <v/>
      </c>
    </row>
    <row r="42">
      <c r="B42" t="n">
        <v>2034</v>
      </c>
      <c r="C42">
        <f>C41*(1+D42/100)</f>
        <v/>
      </c>
      <c r="D42">
        <f>D35</f>
        <v/>
      </c>
    </row>
    <row r="43">
      <c r="B43" t="n">
        <v>2035</v>
      </c>
      <c r="C43">
        <f>C42*(1+D43/100)</f>
        <v/>
      </c>
      <c r="D43">
        <f>D35</f>
        <v/>
      </c>
    </row>
    <row r="44">
      <c r="B44" t="n">
        <v>2036</v>
      </c>
      <c r="C44">
        <f>C43*(1+D44/100)</f>
        <v/>
      </c>
      <c r="D44">
        <f>D35</f>
        <v/>
      </c>
    </row>
    <row r="45">
      <c r="B45" t="n">
        <v>2037</v>
      </c>
      <c r="C45">
        <f>C44*(1+D45/100)</f>
        <v/>
      </c>
      <c r="D45">
        <f>D35</f>
        <v/>
      </c>
    </row>
    <row r="46">
      <c r="B46" t="n">
        <v>2038</v>
      </c>
      <c r="C46">
        <f>C45*(1+D46/100)</f>
        <v/>
      </c>
      <c r="D46">
        <f>D35</f>
        <v/>
      </c>
    </row>
    <row r="47">
      <c r="B47" t="n">
        <v>2039</v>
      </c>
      <c r="C47">
        <f>C46*(1+D47/100)</f>
        <v/>
      </c>
      <c r="D47">
        <f>D35</f>
        <v/>
      </c>
    </row>
    <row r="48">
      <c r="B48" t="n">
        <v>2040</v>
      </c>
      <c r="C48">
        <f>C47*(1+D48/100)</f>
        <v/>
      </c>
      <c r="D48">
        <f>D35</f>
        <v/>
      </c>
    </row>
    <row r="49">
      <c r="B49" t="n">
        <v>2041</v>
      </c>
      <c r="C49">
        <f>C48*(1+D49/100)</f>
        <v/>
      </c>
      <c r="D49">
        <f>D35</f>
        <v/>
      </c>
    </row>
    <row r="50">
      <c r="B50" t="n">
        <v>2042</v>
      </c>
      <c r="C50">
        <f>C49*(1+D50/100)</f>
        <v/>
      </c>
      <c r="D50">
        <f>D35</f>
        <v/>
      </c>
    </row>
    <row r="51">
      <c r="B51" t="n">
        <v>2043</v>
      </c>
      <c r="C51">
        <f>C50*(1+D51/100)</f>
        <v/>
      </c>
      <c r="D51">
        <f>D35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2026-02-07T05:31:50Z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