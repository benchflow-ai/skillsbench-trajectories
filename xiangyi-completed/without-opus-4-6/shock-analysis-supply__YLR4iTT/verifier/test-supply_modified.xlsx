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  <c r="P4" t="inlineStr">
        <is>
          <t>HP Objective</t>
        </is>
      </c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SUM(O6:O27)+100*SUMPRODUCT(M7:M26,M7:M26)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 t="n">
        <v>-1.437815275816755</v>
      </c>
      <c r="N6" s="5">
        <f>K6-L6</f>
        <v/>
      </c>
      <c r="O6">
        <f>(K6-L6)^2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 t="n">
        <v>-1.374186522202152</v>
      </c>
      <c r="M7">
        <f>L8-2*L7+L6</f>
        <v/>
      </c>
      <c r="N7" s="5">
        <f>K7-L7</f>
        <v/>
      </c>
      <c r="O7">
        <f>(K7-L7)^2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 t="n">
        <v>-1.311051325546551</v>
      </c>
      <c r="M8">
        <f>L9-2*L8+L7</f>
        <v/>
      </c>
      <c r="N8" s="5">
        <f>K8-L8</f>
        <v/>
      </c>
      <c r="O8">
        <f>(K8-L8)^2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 t="n">
        <v>-1.24901152513285</v>
      </c>
      <c r="M9">
        <f>L10-2*L9+L8</f>
        <v/>
      </c>
      <c r="N9" s="5">
        <f>K9-L9</f>
        <v/>
      </c>
      <c r="O9">
        <f>(K9-L9)^2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 t="n">
        <v>-1.188897811848544</v>
      </c>
      <c r="M10">
        <f>L11-2*L10+L9</f>
        <v/>
      </c>
      <c r="N10" s="5">
        <f>K10-L10</f>
        <v/>
      </c>
      <c r="O10">
        <f>(K10-L10)^2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 t="n">
        <v>-1.131539695052742</v>
      </c>
      <c r="M11">
        <f>L12-2*L11+L10</f>
        <v/>
      </c>
      <c r="N11" s="5">
        <f>K11-L11</f>
        <v/>
      </c>
      <c r="O11">
        <f>(K11-L11)^2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 t="n">
        <v>-1.077521948248499</v>
      </c>
      <c r="M12">
        <f>L13-2*L12+L11</f>
        <v/>
      </c>
      <c r="N12" s="5">
        <f>K12-L12</f>
        <v/>
      </c>
      <c r="O12">
        <f>(K12-L12)^2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 t="n">
        <v>-1.026643327669472</v>
      </c>
      <c r="M13">
        <f>L14-2*L13+L12</f>
        <v/>
      </c>
      <c r="N13" s="5">
        <f>K13-L13</f>
        <v/>
      </c>
      <c r="O13">
        <f>(K13-L13)^2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 t="n">
        <v>-0.9782509299995999</v>
      </c>
      <c r="M14">
        <f>L15-2*L14+L13</f>
        <v/>
      </c>
      <c r="N14" s="5">
        <f>K14-L14</f>
        <v/>
      </c>
      <c r="O14">
        <f>(K14-L14)^2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 t="n">
        <v>-0.9320999676647769</v>
      </c>
      <c r="M15">
        <f>L16-2*L15+L14</f>
        <v/>
      </c>
      <c r="N15" s="5">
        <f>K15-L15</f>
        <v/>
      </c>
      <c r="O15">
        <f>(K15-L15)^2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 t="n">
        <v>-0.8881870770167195</v>
      </c>
      <c r="M16">
        <f>L17-2*L16+L15</f>
        <v/>
      </c>
      <c r="N16" s="5">
        <f>K16-L16</f>
        <v/>
      </c>
      <c r="O16">
        <f>(K16-L16)^2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 t="n">
        <v>-0.8464886470936612</v>
      </c>
      <c r="M17">
        <f>L18-2*L17+L16</f>
        <v/>
      </c>
      <c r="N17" s="5">
        <f>K17-L17</f>
        <v/>
      </c>
      <c r="O17">
        <f>(K17-L17)^2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 t="n">
        <v>-0.8068135024049563</v>
      </c>
      <c r="M18">
        <f>L19-2*L18+L17</f>
        <v/>
      </c>
      <c r="N18" s="5">
        <f>K18-L18</f>
        <v/>
      </c>
      <c r="O18">
        <f>(K18-L18)^2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 t="n">
        <v>-0.7687475932389022</v>
      </c>
      <c r="M19">
        <f>L20-2*L19+L18</f>
        <v/>
      </c>
      <c r="N19" s="5">
        <f>K19-L19</f>
        <v/>
      </c>
      <c r="O19">
        <f>(K19-L19)^2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 t="n">
        <v>-0.7317175401846671</v>
      </c>
      <c r="M20">
        <f>L21-2*L20+L19</f>
        <v/>
      </c>
      <c r="N20" s="5">
        <f>K20-L20</f>
        <v/>
      </c>
      <c r="O20">
        <f>(K20-L20)^2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 t="n">
        <v>-0.6951331979417991</v>
      </c>
      <c r="M21">
        <f>L22-2*L21+L20</f>
        <v/>
      </c>
      <c r="N21" s="5">
        <f>K21-L21</f>
        <v/>
      </c>
      <c r="O21">
        <f>(K21-L21)^2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 t="n">
        <v>-0.6585173009361097</v>
      </c>
      <c r="M22">
        <f>L23-2*L22+L21</f>
        <v/>
      </c>
      <c r="N22" s="5">
        <f>K22-L22</f>
        <v/>
      </c>
      <c r="O22">
        <f>(K22-L22)^2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 t="n">
        <v>-0.6214623849114077</v>
      </c>
      <c r="M23">
        <f>L24-2*L23+L22</f>
        <v/>
      </c>
      <c r="N23" s="5">
        <f>K23-L23</f>
        <v/>
      </c>
      <c r="O23">
        <f>(K23-L23)^2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 t="n">
        <v>-0.5834988915210285</v>
      </c>
      <c r="M24">
        <f>L25-2*L24+L23</f>
        <v/>
      </c>
      <c r="N24" s="5">
        <f>K24-L24</f>
        <v/>
      </c>
      <c r="O24">
        <f>(K24-L24)^2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 t="n">
        <v>-0.5440240535227413</v>
      </c>
      <c r="M25">
        <f>L26-2*L25+L24</f>
        <v/>
      </c>
      <c r="N25" s="5">
        <f>K25-L25</f>
        <v/>
      </c>
      <c r="O25">
        <f>(K25-L25)^2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 t="n">
        <v>-0.5033766359912188</v>
      </c>
      <c r="M26">
        <f>L27-2*L26+L25</f>
        <v/>
      </c>
      <c r="N26" s="5">
        <f>K26-L26</f>
        <v/>
      </c>
      <c r="O26">
        <f>(K26-L26)^2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 t="n">
        <v>-0.4622548595138602</v>
      </c>
      <c r="M27" s="7" t="inlineStr"/>
      <c r="N27" s="8">
        <f>K27-L27</f>
        <v/>
      </c>
      <c r="O27">
        <f>(K27-L27)^2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PWT!B14</f>
        <v/>
      </c>
      <c r="F36">
        <f>WEO_Data!C10</f>
        <v/>
      </c>
      <c r="G36">
        <f>L6</f>
        <v/>
      </c>
      <c r="H36">
        <f>EXP(G36+$B$2*LN(E36))</f>
        <v/>
      </c>
      <c r="I36" t="n">
        <v>0</v>
      </c>
      <c r="J36" t="n">
        <v>0</v>
      </c>
      <c r="K36" s="19">
        <f>E36+J36</f>
        <v/>
      </c>
      <c r="L36">
        <f>EXP(G36+$B$2*LN(K36))</f>
        <v/>
      </c>
      <c r="M36">
        <f>L36/H36-1</f>
        <v/>
      </c>
      <c r="N36">
        <f>F36*(1+M36)</f>
        <v/>
      </c>
    </row>
    <row r="37">
      <c r="C37" t="n">
        <v>2003</v>
      </c>
      <c r="D37">
        <f>E37/F37</f>
        <v/>
      </c>
      <c r="E37" s="19">
        <f>PWT!B15</f>
        <v/>
      </c>
      <c r="F37">
        <f>WEO_Data!C11</f>
        <v/>
      </c>
      <c r="G37">
        <f>L7</f>
        <v/>
      </c>
      <c r="H37">
        <f>EXP(G37+$B$2*LN(E37))</f>
        <v/>
      </c>
      <c r="I37" t="n">
        <v>0</v>
      </c>
      <c r="J37" t="n">
        <v>0</v>
      </c>
      <c r="K37" s="19">
        <f>E37+J37</f>
        <v/>
      </c>
      <c r="L37">
        <f>EXP(G37+$B$2*LN(K37))</f>
        <v/>
      </c>
      <c r="M37">
        <f>L37/H37-1</f>
        <v/>
      </c>
      <c r="N37">
        <f>F37*(1+M37)</f>
        <v/>
      </c>
      <c r="O37">
        <f>N37/N36-1</f>
        <v/>
      </c>
      <c r="P37">
        <f>F37/F36-1</f>
        <v/>
      </c>
    </row>
    <row r="38">
      <c r="C38" t="n">
        <v>2004</v>
      </c>
      <c r="D38">
        <f>E38/F38</f>
        <v/>
      </c>
      <c r="E38" s="19">
        <f>PWT!B16</f>
        <v/>
      </c>
      <c r="F38">
        <f>WEO_Data!C12</f>
        <v/>
      </c>
      <c r="G38">
        <f>L8</f>
        <v/>
      </c>
      <c r="H38">
        <f>EXP(G38+$B$2*LN(E38))</f>
        <v/>
      </c>
      <c r="I38" t="n">
        <v>0</v>
      </c>
      <c r="J38" t="n">
        <v>0</v>
      </c>
      <c r="K38" s="19">
        <f>E38+J38</f>
        <v/>
      </c>
      <c r="L38">
        <f>EXP(G38+$B$2*LN(K38))</f>
        <v/>
      </c>
      <c r="M38">
        <f>L38/H38-1</f>
        <v/>
      </c>
      <c r="N38">
        <f>F38*(1+M38)</f>
        <v/>
      </c>
      <c r="O38">
        <f>N38/N37-1</f>
        <v/>
      </c>
      <c r="P38">
        <f>F38/F37-1</f>
        <v/>
      </c>
    </row>
    <row r="39">
      <c r="C39" t="n">
        <v>2005</v>
      </c>
      <c r="D39">
        <f>E39/F39</f>
        <v/>
      </c>
      <c r="E39" s="19">
        <f>PWT!B17</f>
        <v/>
      </c>
      <c r="F39">
        <f>WEO_Data!C13</f>
        <v/>
      </c>
      <c r="G39">
        <f>L9</f>
        <v/>
      </c>
      <c r="H39">
        <f>EXP(G39+$B$2*LN(E39))</f>
        <v/>
      </c>
      <c r="I39" t="n">
        <v>0</v>
      </c>
      <c r="J39" t="n">
        <v>0</v>
      </c>
      <c r="K39" s="19">
        <f>E39+J39</f>
        <v/>
      </c>
      <c r="L39">
        <f>EXP(G39+$B$2*LN(K39))</f>
        <v/>
      </c>
      <c r="M39">
        <f>L39/H39-1</f>
        <v/>
      </c>
      <c r="N39">
        <f>F39*(1+M39)</f>
        <v/>
      </c>
      <c r="O39">
        <f>N39/N38-1</f>
        <v/>
      </c>
      <c r="P39">
        <f>F39/F38-1</f>
        <v/>
      </c>
    </row>
    <row r="40">
      <c r="C40" t="n">
        <v>2006</v>
      </c>
      <c r="D40">
        <f>E40/F40</f>
        <v/>
      </c>
      <c r="E40" s="19">
        <f>PWT!B18</f>
        <v/>
      </c>
      <c r="F40">
        <f>WEO_Data!C14</f>
        <v/>
      </c>
      <c r="G40">
        <f>L10</f>
        <v/>
      </c>
      <c r="H40">
        <f>EXP(G40+$B$2*LN(E40))</f>
        <v/>
      </c>
      <c r="I40" t="n">
        <v>0</v>
      </c>
      <c r="J40" t="n">
        <v>0</v>
      </c>
      <c r="K40" s="19">
        <f>E40+J40</f>
        <v/>
      </c>
      <c r="L40">
        <f>EXP(G40+$B$2*LN(K40))</f>
        <v/>
      </c>
      <c r="M40">
        <f>L40/H40-1</f>
        <v/>
      </c>
      <c r="N40">
        <f>F40*(1+M40)</f>
        <v/>
      </c>
      <c r="O40">
        <f>N40/N39-1</f>
        <v/>
      </c>
      <c r="P40">
        <f>F40/F39-1</f>
        <v/>
      </c>
    </row>
    <row r="41">
      <c r="C41" t="n">
        <v>2007</v>
      </c>
      <c r="D41">
        <f>E41/F41</f>
        <v/>
      </c>
      <c r="E41" s="19">
        <f>PWT!B19</f>
        <v/>
      </c>
      <c r="F41">
        <f>WEO_Data!C15</f>
        <v/>
      </c>
      <c r="G41">
        <f>L11</f>
        <v/>
      </c>
      <c r="H41">
        <f>EXP(G41+$B$2*LN(E41))</f>
        <v/>
      </c>
      <c r="I41" t="n">
        <v>0</v>
      </c>
      <c r="J41" t="n">
        <v>0</v>
      </c>
      <c r="K41" s="19">
        <f>E41+J41</f>
        <v/>
      </c>
      <c r="L41">
        <f>EXP(G41+$B$2*LN(K41))</f>
        <v/>
      </c>
      <c r="M41">
        <f>L41/H41-1</f>
        <v/>
      </c>
      <c r="N41">
        <f>F41*(1+M41)</f>
        <v/>
      </c>
      <c r="O41">
        <f>N41/N40-1</f>
        <v/>
      </c>
      <c r="P41">
        <f>F41/F40-1</f>
        <v/>
      </c>
    </row>
    <row r="42">
      <c r="C42" t="n">
        <v>2008</v>
      </c>
      <c r="D42">
        <f>E42/F42</f>
        <v/>
      </c>
      <c r="E42" s="19">
        <f>PWT!B20</f>
        <v/>
      </c>
      <c r="F42">
        <f>WEO_Data!C16</f>
        <v/>
      </c>
      <c r="G42">
        <f>L12</f>
        <v/>
      </c>
      <c r="H42">
        <f>EXP(G42+$B$2*LN(E42))</f>
        <v/>
      </c>
      <c r="I42" t="n">
        <v>0</v>
      </c>
      <c r="J42" t="n">
        <v>0</v>
      </c>
      <c r="K42" s="19">
        <f>E42+J42</f>
        <v/>
      </c>
      <c r="L42">
        <f>EXP(G42+$B$2*LN(K42))</f>
        <v/>
      </c>
      <c r="M42">
        <f>L42/H42-1</f>
        <v/>
      </c>
      <c r="N42">
        <f>F42*(1+M42)</f>
        <v/>
      </c>
      <c r="O42">
        <f>N42/N41-1</f>
        <v/>
      </c>
      <c r="P42">
        <f>F42/F41-1</f>
        <v/>
      </c>
    </row>
    <row r="43">
      <c r="C43" t="n">
        <v>2009</v>
      </c>
      <c r="D43">
        <f>E43/F43</f>
        <v/>
      </c>
      <c r="E43" s="19">
        <f>PWT!B21</f>
        <v/>
      </c>
      <c r="F43">
        <f>WEO_Data!C17</f>
        <v/>
      </c>
      <c r="G43">
        <f>L13</f>
        <v/>
      </c>
      <c r="H43">
        <f>EXP(G43+$B$2*LN(E43))</f>
        <v/>
      </c>
      <c r="I43" t="n">
        <v>0</v>
      </c>
      <c r="J43" t="n">
        <v>0</v>
      </c>
      <c r="K43" s="19">
        <f>E43+J43</f>
        <v/>
      </c>
      <c r="L43">
        <f>EXP(G43+$B$2*LN(K43))</f>
        <v/>
      </c>
      <c r="M43">
        <f>L43/H43-1</f>
        <v/>
      </c>
      <c r="N43">
        <f>F43*(1+M43)</f>
        <v/>
      </c>
      <c r="O43">
        <f>N43/N42-1</f>
        <v/>
      </c>
      <c r="P43">
        <f>F43/F42-1</f>
        <v/>
      </c>
    </row>
    <row r="44">
      <c r="C44" t="n">
        <v>2010</v>
      </c>
      <c r="D44">
        <f>E44/F44</f>
        <v/>
      </c>
      <c r="E44" s="19">
        <f>PWT!B22</f>
        <v/>
      </c>
      <c r="F44">
        <f>WEO_Data!C18</f>
        <v/>
      </c>
      <c r="G44">
        <f>L14</f>
        <v/>
      </c>
      <c r="H44">
        <f>EXP(G44+$B$2*LN(E44))</f>
        <v/>
      </c>
      <c r="I44" t="n">
        <v>0</v>
      </c>
      <c r="J44" t="n">
        <v>0</v>
      </c>
      <c r="K44" s="19">
        <f>E44+J44</f>
        <v/>
      </c>
      <c r="L44">
        <f>EXP(G44+$B$2*LN(K44))</f>
        <v/>
      </c>
      <c r="M44">
        <f>L44/H44-1</f>
        <v/>
      </c>
      <c r="N44">
        <f>F44*(1+M44)</f>
        <v/>
      </c>
      <c r="O44">
        <f>N44/N43-1</f>
        <v/>
      </c>
      <c r="P44">
        <f>F44/F43-1</f>
        <v/>
      </c>
    </row>
    <row r="45">
      <c r="C45" t="n">
        <v>2011</v>
      </c>
      <c r="D45">
        <f>E45/F45</f>
        <v/>
      </c>
      <c r="E45" s="19">
        <f>PWT!B23</f>
        <v/>
      </c>
      <c r="F45">
        <f>WEO_Data!C19</f>
        <v/>
      </c>
      <c r="G45">
        <f>L15</f>
        <v/>
      </c>
      <c r="H45">
        <f>EXP(G45+$B$2*LN(E45))</f>
        <v/>
      </c>
      <c r="I45" t="n">
        <v>0</v>
      </c>
      <c r="J45" t="n">
        <v>0</v>
      </c>
      <c r="K45" s="19">
        <f>E45+J45</f>
        <v/>
      </c>
      <c r="L45">
        <f>EXP(G45+$B$2*LN(K45))</f>
        <v/>
      </c>
      <c r="M45">
        <f>L45/H45-1</f>
        <v/>
      </c>
      <c r="N45">
        <f>F45*(1+M45)</f>
        <v/>
      </c>
      <c r="O45">
        <f>N45/N44-1</f>
        <v/>
      </c>
      <c r="P45">
        <f>F45/F44-1</f>
        <v/>
      </c>
    </row>
    <row r="46">
      <c r="C46" t="n">
        <v>2012</v>
      </c>
      <c r="D46">
        <f>E46/F46</f>
        <v/>
      </c>
      <c r="E46" s="19">
        <f>PWT!B24</f>
        <v/>
      </c>
      <c r="F46">
        <f>WEO_Data!C20</f>
        <v/>
      </c>
      <c r="G46">
        <f>L16</f>
        <v/>
      </c>
      <c r="H46">
        <f>EXP(G46+$B$2*LN(E46))</f>
        <v/>
      </c>
      <c r="I46" t="n">
        <v>0</v>
      </c>
      <c r="J46" t="n">
        <v>0</v>
      </c>
      <c r="K46" s="19">
        <f>E46+J46</f>
        <v/>
      </c>
      <c r="L46">
        <f>EXP(G46+$B$2*LN(K46))</f>
        <v/>
      </c>
      <c r="M46">
        <f>L46/H46-1</f>
        <v/>
      </c>
      <c r="N46">
        <f>F46*(1+M46)</f>
        <v/>
      </c>
      <c r="O46">
        <f>N46/N45-1</f>
        <v/>
      </c>
      <c r="P46">
        <f>F46/F45-1</f>
        <v/>
      </c>
    </row>
    <row r="47">
      <c r="C47" t="n">
        <v>2013</v>
      </c>
      <c r="D47">
        <f>E47/F47</f>
        <v/>
      </c>
      <c r="E47" s="19">
        <f>PWT!B25</f>
        <v/>
      </c>
      <c r="F47">
        <f>WEO_Data!C21</f>
        <v/>
      </c>
      <c r="G47">
        <f>L17</f>
        <v/>
      </c>
      <c r="H47">
        <f>EXP(G47+$B$2*LN(E47))</f>
        <v/>
      </c>
      <c r="I47" t="n">
        <v>0</v>
      </c>
      <c r="J47" t="n">
        <v>0</v>
      </c>
      <c r="K47" s="19">
        <f>E47+J47</f>
        <v/>
      </c>
      <c r="L47">
        <f>EXP(G47+$B$2*LN(K47))</f>
        <v/>
      </c>
      <c r="M47">
        <f>L47/H47-1</f>
        <v/>
      </c>
      <c r="N47">
        <f>F47*(1+M47)</f>
        <v/>
      </c>
      <c r="O47">
        <f>N47/N46-1</f>
        <v/>
      </c>
      <c r="P47">
        <f>F47/F46-1</f>
        <v/>
      </c>
    </row>
    <row r="48">
      <c r="C48" t="n">
        <v>2014</v>
      </c>
      <c r="D48">
        <f>E48/F48</f>
        <v/>
      </c>
      <c r="E48" s="19">
        <f>PWT!B26</f>
        <v/>
      </c>
      <c r="F48">
        <f>WEO_Data!C22</f>
        <v/>
      </c>
      <c r="G48">
        <f>L18</f>
        <v/>
      </c>
      <c r="H48">
        <f>EXP(G48+$B$2*LN(E48))</f>
        <v/>
      </c>
      <c r="I48" t="n">
        <v>0</v>
      </c>
      <c r="J48" t="n">
        <v>0</v>
      </c>
      <c r="K48" s="19">
        <f>E48+J48</f>
        <v/>
      </c>
      <c r="L48">
        <f>EXP(G48+$B$2*LN(K48))</f>
        <v/>
      </c>
      <c r="M48">
        <f>L48/H48-1</f>
        <v/>
      </c>
      <c r="N48">
        <f>F48*(1+M48)</f>
        <v/>
      </c>
      <c r="O48">
        <f>N48/N47-1</f>
        <v/>
      </c>
      <c r="P48">
        <f>F48/F47-1</f>
        <v/>
      </c>
    </row>
    <row r="49">
      <c r="C49" t="n">
        <v>2015</v>
      </c>
      <c r="D49">
        <f>E49/F49</f>
        <v/>
      </c>
      <c r="E49" s="19">
        <f>PWT!B27</f>
        <v/>
      </c>
      <c r="F49">
        <f>WEO_Data!C23</f>
        <v/>
      </c>
      <c r="G49">
        <f>L19</f>
        <v/>
      </c>
      <c r="H49">
        <f>EXP(G49+$B$2*LN(E49))</f>
        <v/>
      </c>
      <c r="I49" t="n">
        <v>0</v>
      </c>
      <c r="J49" t="n">
        <v>0</v>
      </c>
      <c r="K49" s="19">
        <f>E49+J49</f>
        <v/>
      </c>
      <c r="L49">
        <f>EXP(G49+$B$2*LN(K49))</f>
        <v/>
      </c>
      <c r="M49">
        <f>L49/H49-1</f>
        <v/>
      </c>
      <c r="N49">
        <f>F49*(1+M49)</f>
        <v/>
      </c>
      <c r="O49">
        <f>N49/N48-1</f>
        <v/>
      </c>
      <c r="P49">
        <f>F49/F48-1</f>
        <v/>
      </c>
    </row>
    <row r="50">
      <c r="C50" t="n">
        <v>2016</v>
      </c>
      <c r="D50">
        <f>E50/F50</f>
        <v/>
      </c>
      <c r="E50" s="19">
        <f>PWT!B28</f>
        <v/>
      </c>
      <c r="F50">
        <f>WEO_Data!C24</f>
        <v/>
      </c>
      <c r="G50">
        <f>L20</f>
        <v/>
      </c>
      <c r="H50">
        <f>EXP(G50+$B$2*LN(E50))</f>
        <v/>
      </c>
      <c r="I50" t="n">
        <v>0</v>
      </c>
      <c r="J50" t="n">
        <v>0</v>
      </c>
      <c r="K50" s="19">
        <f>E50+J50</f>
        <v/>
      </c>
      <c r="L50">
        <f>EXP(G50+$B$2*LN(K50))</f>
        <v/>
      </c>
      <c r="M50">
        <f>L50/H50-1</f>
        <v/>
      </c>
      <c r="N50">
        <f>F50*(1+M50)</f>
        <v/>
      </c>
      <c r="O50">
        <f>N50/N49-1</f>
        <v/>
      </c>
      <c r="P50">
        <f>F50/F49-1</f>
        <v/>
      </c>
    </row>
    <row r="51">
      <c r="C51" t="n">
        <v>2017</v>
      </c>
      <c r="D51">
        <f>E51/F51</f>
        <v/>
      </c>
      <c r="E51" s="19">
        <f>PWT!B29</f>
        <v/>
      </c>
      <c r="F51">
        <f>WEO_Data!C25</f>
        <v/>
      </c>
      <c r="G51">
        <f>L21</f>
        <v/>
      </c>
      <c r="H51">
        <f>EXP(G51+$B$2*LN(E51))</f>
        <v/>
      </c>
      <c r="I51" t="n">
        <v>0</v>
      </c>
      <c r="J51" t="n">
        <v>0</v>
      </c>
      <c r="K51" s="19">
        <f>E51+J51</f>
        <v/>
      </c>
      <c r="L51">
        <f>EXP(G51+$B$2*LN(K51))</f>
        <v/>
      </c>
      <c r="M51">
        <f>L51/H51-1</f>
        <v/>
      </c>
      <c r="N51">
        <f>F51*(1+M51)</f>
        <v/>
      </c>
      <c r="O51">
        <f>N51/N50-1</f>
        <v/>
      </c>
      <c r="P51">
        <f>F51/F50-1</f>
        <v/>
      </c>
    </row>
    <row r="52">
      <c r="C52" t="n">
        <v>2018</v>
      </c>
      <c r="D52">
        <f>E52/F52</f>
        <v/>
      </c>
      <c r="E52" s="19">
        <f>PWT!B30</f>
        <v/>
      </c>
      <c r="F52">
        <f>WEO_Data!C26</f>
        <v/>
      </c>
      <c r="G52">
        <f>L22</f>
        <v/>
      </c>
      <c r="H52">
        <f>EXP(G52+$B$2*LN(E52))</f>
        <v/>
      </c>
      <c r="I52" t="n">
        <v>0</v>
      </c>
      <c r="J52" t="n">
        <v>0</v>
      </c>
      <c r="K52" s="19">
        <f>E52+J52</f>
        <v/>
      </c>
      <c r="L52">
        <f>EXP(G52+$B$2*LN(K52))</f>
        <v/>
      </c>
      <c r="M52">
        <f>L52/H52-1</f>
        <v/>
      </c>
      <c r="N52">
        <f>F52*(1+M52)</f>
        <v/>
      </c>
      <c r="O52">
        <f>N52/N51-1</f>
        <v/>
      </c>
      <c r="P52">
        <f>F52/F51-1</f>
        <v/>
      </c>
    </row>
    <row r="53">
      <c r="C53" t="n">
        <v>2019</v>
      </c>
      <c r="D53">
        <f>E53/F53</f>
        <v/>
      </c>
      <c r="E53" s="19">
        <f>PWT!B31</f>
        <v/>
      </c>
      <c r="F53">
        <f>WEO_Data!C27</f>
        <v/>
      </c>
      <c r="G53">
        <f>L23</f>
        <v/>
      </c>
      <c r="H53">
        <f>EXP(G53+$B$2*LN(E53))</f>
        <v/>
      </c>
      <c r="I53" t="n">
        <v>0</v>
      </c>
      <c r="J53" t="n">
        <v>0</v>
      </c>
      <c r="K53" s="19">
        <f>E53+J53</f>
        <v/>
      </c>
      <c r="L53">
        <f>EXP(G53+$B$2*LN(K53))</f>
        <v/>
      </c>
      <c r="M53">
        <f>L53/H53-1</f>
        <v/>
      </c>
      <c r="N53">
        <f>F53*(1+M53)</f>
        <v/>
      </c>
      <c r="O53">
        <f>N53/N52-1</f>
        <v/>
      </c>
      <c r="P53">
        <f>F53/F52-1</f>
        <v/>
      </c>
    </row>
    <row r="54">
      <c r="C54" t="n">
        <v>2020</v>
      </c>
      <c r="D54">
        <f>E54/F54</f>
        <v/>
      </c>
      <c r="E54" s="19">
        <f>PWT!B32</f>
        <v/>
      </c>
      <c r="F54">
        <f>WEO_Data!C28</f>
        <v/>
      </c>
      <c r="G54">
        <f>L24</f>
        <v/>
      </c>
      <c r="H54">
        <f>EXP(G54+$B$2*LN(E54))</f>
        <v/>
      </c>
      <c r="I54" t="n">
        <v>0</v>
      </c>
      <c r="J54" t="n">
        <v>0</v>
      </c>
      <c r="K54" s="19">
        <f>E54+J54</f>
        <v/>
      </c>
      <c r="L54">
        <f>EXP(G54+$B$2*LN(K54))</f>
        <v/>
      </c>
      <c r="M54">
        <f>L54/H54-1</f>
        <v/>
      </c>
      <c r="N54">
        <f>F54*(1+M54)</f>
        <v/>
      </c>
      <c r="O54">
        <f>N54/N53-1</f>
        <v/>
      </c>
      <c r="P54">
        <f>F54/F53-1</f>
        <v/>
      </c>
    </row>
    <row r="55">
      <c r="C55" t="n">
        <v>2021</v>
      </c>
      <c r="D55">
        <f>E55/F55</f>
        <v/>
      </c>
      <c r="E55" s="19">
        <f>PWT!B33</f>
        <v/>
      </c>
      <c r="F55">
        <f>WEO_Data!C29</f>
        <v/>
      </c>
      <c r="G55">
        <f>L25</f>
        <v/>
      </c>
      <c r="H55">
        <f>EXP(G55+$B$2*LN(E55))</f>
        <v/>
      </c>
      <c r="I55" t="n">
        <v>0</v>
      </c>
      <c r="J55" t="n">
        <v>0</v>
      </c>
      <c r="K55" s="19">
        <f>E55+J55</f>
        <v/>
      </c>
      <c r="L55">
        <f>EXP(G55+$B$2*LN(K55))</f>
        <v/>
      </c>
      <c r="M55">
        <f>L55/H55-1</f>
        <v/>
      </c>
      <c r="N55">
        <f>F55*(1+M55)</f>
        <v/>
      </c>
      <c r="O55">
        <f>N55/N54-1</f>
        <v/>
      </c>
      <c r="P55">
        <f>F55/F54-1</f>
        <v/>
      </c>
    </row>
    <row r="56">
      <c r="C56" t="n">
        <v>2022</v>
      </c>
      <c r="D56">
        <f>E56/F56</f>
        <v/>
      </c>
      <c r="E56" s="19">
        <f>PWT!B34</f>
        <v/>
      </c>
      <c r="F56">
        <f>WEO_Data!C30</f>
        <v/>
      </c>
      <c r="G56">
        <f>L26</f>
        <v/>
      </c>
      <c r="H56">
        <f>EXP(G56+$B$2*LN(E56))</f>
        <v/>
      </c>
      <c r="I56" t="n">
        <v>0</v>
      </c>
      <c r="J56" t="n">
        <v>0</v>
      </c>
      <c r="K56" s="19">
        <f>E56+J56</f>
        <v/>
      </c>
      <c r="L56">
        <f>EXP(G56+$B$2*LN(K56))</f>
        <v/>
      </c>
      <c r="M56">
        <f>L56/H56-1</f>
        <v/>
      </c>
      <c r="N56">
        <f>F56*(1+M56)</f>
        <v/>
      </c>
      <c r="O56">
        <f>N56/N55-1</f>
        <v/>
      </c>
      <c r="P56">
        <f>F56/F55-1</f>
        <v/>
      </c>
    </row>
    <row r="57">
      <c r="C57" t="n">
        <v>2023</v>
      </c>
      <c r="D57">
        <f>E57/F57</f>
        <v/>
      </c>
      <c r="E57" s="19">
        <f>PWT!B35</f>
        <v/>
      </c>
      <c r="F57">
        <f>WEO_Data!C31</f>
        <v/>
      </c>
      <c r="G57">
        <f>L27</f>
        <v/>
      </c>
      <c r="H57">
        <f>EXP(G57+$B$2*LN(E57))</f>
        <v/>
      </c>
      <c r="I57" t="n">
        <v>0</v>
      </c>
      <c r="J57" t="n">
        <v>0</v>
      </c>
      <c r="K57" s="19">
        <f>E57+J57</f>
        <v/>
      </c>
      <c r="L57">
        <f>EXP(G57+$B$2*LN(K57))</f>
        <v/>
      </c>
      <c r="M57">
        <f>L57/H57-1</f>
        <v/>
      </c>
      <c r="N57">
        <f>F57*(1+M57)</f>
        <v/>
      </c>
      <c r="O57">
        <f>N57/N56-1</f>
        <v/>
      </c>
      <c r="P57">
        <f>F57/F56-1</f>
        <v/>
      </c>
    </row>
    <row r="58">
      <c r="C58" t="n">
        <v>2024</v>
      </c>
      <c r="D58">
        <f>E58/F58</f>
        <v/>
      </c>
      <c r="E58" s="21">
        <f>AVERAGE($D$49:$D$57)*F58</f>
        <v/>
      </c>
      <c r="F58">
        <f>WEO_Data!C32</f>
        <v/>
      </c>
      <c r="G58" s="20">
        <f>TREND($G$36:$G$57,$C$36:$C$57,C58)</f>
        <v/>
      </c>
      <c r="H58">
        <f>EXP(G58+$B$2*LN(E58))</f>
        <v/>
      </c>
      <c r="I58" t="n">
        <v>0</v>
      </c>
      <c r="J58" t="n">
        <v>0</v>
      </c>
      <c r="K58" s="19">
        <f>E58+J58</f>
        <v/>
      </c>
      <c r="L58">
        <f>EXP(G58+$B$2*LN(K58))</f>
        <v/>
      </c>
      <c r="M58">
        <f>L58/H58-1</f>
        <v/>
      </c>
      <c r="N58">
        <f>F58*(1+M58)</f>
        <v/>
      </c>
      <c r="O58">
        <f>N58/N57-1</f>
        <v/>
      </c>
      <c r="P58">
        <f>F58/F57-1</f>
        <v/>
      </c>
    </row>
    <row r="59">
      <c r="C59" t="n">
        <v>2025</v>
      </c>
      <c r="D59">
        <f>E59/F59</f>
        <v/>
      </c>
      <c r="E59" s="21">
        <f>AVERAGE($D$49:$D$57)*F59</f>
        <v/>
      </c>
      <c r="F59">
        <f>WEO_Data!C33</f>
        <v/>
      </c>
      <c r="G59" s="20">
        <f>TREND($G$36:$G$57,$C$36:$C$57,C59)</f>
        <v/>
      </c>
      <c r="H59">
        <f>EXP(G59+$B$2*LN(E59))</f>
        <v/>
      </c>
      <c r="I59" t="n">
        <v>0</v>
      </c>
      <c r="J59" t="n">
        <v>0</v>
      </c>
      <c r="K59" s="19">
        <f>E59+J59</f>
        <v/>
      </c>
      <c r="L59">
        <f>EXP(G59+$B$2*LN(K59))</f>
        <v/>
      </c>
      <c r="M59">
        <f>L59/H59-1</f>
        <v/>
      </c>
      <c r="N59">
        <f>F59*(1+M59)</f>
        <v/>
      </c>
      <c r="O59">
        <f>N59/N58-1</f>
        <v/>
      </c>
      <c r="P59">
        <f>F59/F58-1</f>
        <v/>
      </c>
    </row>
    <row r="60">
      <c r="C60" t="n">
        <v>2026</v>
      </c>
      <c r="D60">
        <f>E60/F60</f>
        <v/>
      </c>
      <c r="E60" s="21">
        <f>AVERAGE($D$49:$D$57)*F60</f>
        <v/>
      </c>
      <c r="F60" s="20">
        <f>WEO_Data!C34</f>
        <v/>
      </c>
      <c r="G60" s="20">
        <f>TREND($G$36:$G$57,$C$36:$C$57,C60)</f>
        <v/>
      </c>
      <c r="H60">
        <f>EXP(G60+$B$2*LN(E60))</f>
        <v/>
      </c>
      <c r="I60" s="17">
        <f>Investment!C2</f>
        <v/>
      </c>
      <c r="J60">
        <f>I60</f>
        <v/>
      </c>
      <c r="K60" s="19">
        <f>E60+J60</f>
        <v/>
      </c>
      <c r="L60">
        <f>EXP(G60+$B$2*LN(K60))</f>
        <v/>
      </c>
      <c r="M60">
        <f>L60/H60-1</f>
        <v/>
      </c>
      <c r="N60">
        <f>F60*(1+M60)</f>
        <v/>
      </c>
      <c r="O60">
        <f>N60/N59-1</f>
        <v/>
      </c>
      <c r="P60">
        <f>F60/F59-1</f>
        <v/>
      </c>
    </row>
    <row r="61">
      <c r="C61" t="n">
        <v>2027</v>
      </c>
      <c r="D61">
        <f>E61/F61</f>
        <v/>
      </c>
      <c r="E61" s="21">
        <f>AVERAGE($D$49:$D$57)*F61</f>
        <v/>
      </c>
      <c r="F61" s="20">
        <f>WEO_Data!C35</f>
        <v/>
      </c>
      <c r="G61" s="20">
        <f>TREND($G$36:$G$57,$C$36:$C$57,C61)</f>
        <v/>
      </c>
      <c r="H61">
        <f>EXP(G61+$B$2*LN(E61))</f>
        <v/>
      </c>
      <c r="I61" s="17">
        <f>Investment!C3</f>
        <v/>
      </c>
      <c r="J61">
        <f>(1-$B$3)*J60+I61</f>
        <v/>
      </c>
      <c r="K61" s="19">
        <f>E61+J61</f>
        <v/>
      </c>
      <c r="L61">
        <f>EXP(G61+$B$2*LN(K61))</f>
        <v/>
      </c>
      <c r="M61">
        <f>L61/H61-1</f>
        <v/>
      </c>
      <c r="N61">
        <f>F61*(1+M61)</f>
        <v/>
      </c>
      <c r="O61">
        <f>N61/N60-1</f>
        <v/>
      </c>
      <c r="P61">
        <f>F61/F60-1</f>
        <v/>
      </c>
    </row>
    <row r="62">
      <c r="C62" t="n">
        <v>2028</v>
      </c>
      <c r="D62">
        <f>E62/F62</f>
        <v/>
      </c>
      <c r="E62" s="21">
        <f>AVERAGE($D$49:$D$57)*F62</f>
        <v/>
      </c>
      <c r="F62" s="20">
        <f>WEO_Data!C36</f>
        <v/>
      </c>
      <c r="G62" s="20">
        <f>TREND($G$36:$G$57,$C$36:$C$57,C62)</f>
        <v/>
      </c>
      <c r="H62">
        <f>EXP(G62+$B$2*LN(E62))</f>
        <v/>
      </c>
      <c r="I62" s="17">
        <f>Investment!C4</f>
        <v/>
      </c>
      <c r="J62">
        <f>(1-$B$3)*J61+I62</f>
        <v/>
      </c>
      <c r="K62" s="19">
        <f>E62+J62</f>
        <v/>
      </c>
      <c r="L62">
        <f>EXP(G62+$B$2*LN(K62))</f>
        <v/>
      </c>
      <c r="M62">
        <f>L62/H62-1</f>
        <v/>
      </c>
      <c r="N62">
        <f>F62*(1+M62)</f>
        <v/>
      </c>
      <c r="O62">
        <f>N62/N61-1</f>
        <v/>
      </c>
      <c r="P62">
        <f>F62/F61-1</f>
        <v/>
      </c>
    </row>
    <row r="63">
      <c r="C63" t="n">
        <v>2029</v>
      </c>
      <c r="D63">
        <f>E63/F63</f>
        <v/>
      </c>
      <c r="E63" s="21">
        <f>AVERAGE($D$49:$D$57)*F63</f>
        <v/>
      </c>
      <c r="F63" s="20">
        <f>WEO_Data!C37</f>
        <v/>
      </c>
      <c r="G63" s="20">
        <f>TREND($G$36:$G$57,$C$36:$C$57,C63)</f>
        <v/>
      </c>
      <c r="H63">
        <f>EXP(G63+$B$2*LN(E63))</f>
        <v/>
      </c>
      <c r="I63" s="17">
        <f>Investment!C5</f>
        <v/>
      </c>
      <c r="J63">
        <f>(1-$B$3)*J62+I63</f>
        <v/>
      </c>
      <c r="K63" s="19">
        <f>E63+J63</f>
        <v/>
      </c>
      <c r="L63">
        <f>EXP(G63+$B$2*LN(K63))</f>
        <v/>
      </c>
      <c r="M63">
        <f>L63/H63-1</f>
        <v/>
      </c>
      <c r="N63">
        <f>F63*(1+M63)</f>
        <v/>
      </c>
      <c r="O63">
        <f>N63/N62-1</f>
        <v/>
      </c>
      <c r="P63">
        <f>F63/F62-1</f>
        <v/>
      </c>
    </row>
    <row r="64">
      <c r="C64" t="n">
        <v>2030</v>
      </c>
      <c r="D64">
        <f>E64/F64</f>
        <v/>
      </c>
      <c r="E64" s="21">
        <f>AVERAGE($D$49:$D$57)*F64</f>
        <v/>
      </c>
      <c r="F64" s="20">
        <f>WEO_Data!C38</f>
        <v/>
      </c>
      <c r="G64" s="20">
        <f>TREND($G$36:$G$57,$C$36:$C$57,C64)</f>
        <v/>
      </c>
      <c r="H64">
        <f>EXP(G64+$B$2*LN(E64))</f>
        <v/>
      </c>
      <c r="I64" s="17">
        <f>Investment!C6</f>
        <v/>
      </c>
      <c r="J64">
        <f>(1-$B$3)*J63+I64</f>
        <v/>
      </c>
      <c r="K64" s="19">
        <f>E64+J64</f>
        <v/>
      </c>
      <c r="L64">
        <f>EXP(G64+$B$2*LN(K64))</f>
        <v/>
      </c>
      <c r="M64">
        <f>L64/H64-1</f>
        <v/>
      </c>
      <c r="N64">
        <f>F64*(1+M64)</f>
        <v/>
      </c>
      <c r="O64">
        <f>N64/N63-1</f>
        <v/>
      </c>
      <c r="P64">
        <f>F64/F63-1</f>
        <v/>
      </c>
    </row>
    <row r="65">
      <c r="C65" t="n">
        <v>2031</v>
      </c>
      <c r="D65">
        <f>E65/F65</f>
        <v/>
      </c>
      <c r="E65" s="21">
        <f>AVERAGE($D$49:$D$57)*F65</f>
        <v/>
      </c>
      <c r="F65" s="20">
        <f>WEO_Data!C39</f>
        <v/>
      </c>
      <c r="G65" s="20">
        <f>TREND($G$36:$G$57,$C$36:$C$57,C65)</f>
        <v/>
      </c>
      <c r="H65">
        <f>EXP(G65+$B$2*LN(E65))</f>
        <v/>
      </c>
      <c r="I65" s="17">
        <f>Investment!C7</f>
        <v/>
      </c>
      <c r="J65">
        <f>(1-$B$3)*J64+I65</f>
        <v/>
      </c>
      <c r="K65" s="19">
        <f>E65+J65</f>
        <v/>
      </c>
      <c r="L65">
        <f>EXP(G65+$B$2*LN(K65))</f>
        <v/>
      </c>
      <c r="M65">
        <f>L65/H65-1</f>
        <v/>
      </c>
      <c r="N65">
        <f>F65*(1+M65)</f>
        <v/>
      </c>
      <c r="O65">
        <f>N65/N64-1</f>
        <v/>
      </c>
      <c r="P65">
        <f>F65/F64-1</f>
        <v/>
      </c>
    </row>
    <row r="66">
      <c r="C66" t="n">
        <v>2032</v>
      </c>
      <c r="D66">
        <f>E66/F66</f>
        <v/>
      </c>
      <c r="E66" s="21">
        <f>AVERAGE($D$49:$D$57)*F66</f>
        <v/>
      </c>
      <c r="F66" s="20">
        <f>WEO_Data!C40</f>
        <v/>
      </c>
      <c r="G66" s="20">
        <f>TREND($G$36:$G$57,$C$36:$C$57,C66)</f>
        <v/>
      </c>
      <c r="H66">
        <f>EXP(G66+$B$2*LN(E66))</f>
        <v/>
      </c>
      <c r="I66" s="17">
        <f>Investment!C8</f>
        <v/>
      </c>
      <c r="J66">
        <f>(1-$B$3)*J65+I66</f>
        <v/>
      </c>
      <c r="K66" s="19">
        <f>E66+J66</f>
        <v/>
      </c>
      <c r="L66">
        <f>EXP(G66+$B$2*LN(K66))</f>
        <v/>
      </c>
      <c r="M66">
        <f>L66/H66-1</f>
        <v/>
      </c>
      <c r="N66">
        <f>F66*(1+M66)</f>
        <v/>
      </c>
      <c r="O66">
        <f>N66/N65-1</f>
        <v/>
      </c>
      <c r="P66">
        <f>F66/F65-1</f>
        <v/>
      </c>
    </row>
    <row r="67">
      <c r="C67" t="n">
        <v>2033</v>
      </c>
      <c r="D67">
        <f>E67/F67</f>
        <v/>
      </c>
      <c r="E67" s="21">
        <f>AVERAGE($D$49:$D$57)*F67</f>
        <v/>
      </c>
      <c r="F67" s="20">
        <f>WEO_Data!C41</f>
        <v/>
      </c>
      <c r="G67" s="20">
        <f>TREND($G$36:$G$57,$C$36:$C$57,C67)</f>
        <v/>
      </c>
      <c r="H67">
        <f>EXP(G67+$B$2*LN(E67))</f>
        <v/>
      </c>
      <c r="I67" s="17">
        <f>Investment!C9</f>
        <v/>
      </c>
      <c r="J67">
        <f>(1-$B$3)*J66+I67</f>
        <v/>
      </c>
      <c r="K67" s="19">
        <f>E67+J67</f>
        <v/>
      </c>
      <c r="L67">
        <f>EXP(G67+$B$2*LN(K67))</f>
        <v/>
      </c>
      <c r="M67">
        <f>L67/H67-1</f>
        <v/>
      </c>
      <c r="N67">
        <f>F67*(1+M67)</f>
        <v/>
      </c>
      <c r="O67">
        <f>N67/N66-1</f>
        <v/>
      </c>
      <c r="P67">
        <f>F67/F66-1</f>
        <v/>
      </c>
    </row>
    <row r="68">
      <c r="C68" t="n">
        <v>2034</v>
      </c>
      <c r="D68">
        <f>E68/F68</f>
        <v/>
      </c>
      <c r="E68" s="21">
        <f>AVERAGE($D$49:$D$57)*F68</f>
        <v/>
      </c>
      <c r="F68" s="20">
        <f>WEO_Data!C42</f>
        <v/>
      </c>
      <c r="G68" s="20">
        <f>TREND($G$36:$G$57,$C$36:$C$57,C68)</f>
        <v/>
      </c>
      <c r="H68">
        <f>EXP(G68+$B$2*LN(E68))</f>
        <v/>
      </c>
      <c r="I68" t="n">
        <v>0</v>
      </c>
      <c r="J68">
        <f>(1-$B$3)*J67+I68</f>
        <v/>
      </c>
      <c r="K68" s="19">
        <f>E68+J68</f>
        <v/>
      </c>
      <c r="L68">
        <f>EXP(G68+$B$2*LN(K68))</f>
        <v/>
      </c>
      <c r="M68">
        <f>L68/H68-1</f>
        <v/>
      </c>
      <c r="N68">
        <f>F68*(1+M68)</f>
        <v/>
      </c>
      <c r="O68">
        <f>N68/N67-1</f>
        <v/>
      </c>
      <c r="P68">
        <f>F68/F67-1</f>
        <v/>
      </c>
    </row>
    <row r="69">
      <c r="C69" t="n">
        <v>2035</v>
      </c>
      <c r="D69">
        <f>E69/F69</f>
        <v/>
      </c>
      <c r="E69" s="21">
        <f>AVERAGE($D$49:$D$57)*F69</f>
        <v/>
      </c>
      <c r="F69" s="20">
        <f>WEO_Data!C43</f>
        <v/>
      </c>
      <c r="G69" s="20">
        <f>TREND($G$36:$G$57,$C$36:$C$57,C69)</f>
        <v/>
      </c>
      <c r="H69">
        <f>EXP(G69+$B$2*LN(E69))</f>
        <v/>
      </c>
      <c r="I69" t="n">
        <v>0</v>
      </c>
      <c r="J69">
        <f>(1-$B$3)*J68+I69</f>
        <v/>
      </c>
      <c r="K69" s="19">
        <f>E69+J69</f>
        <v/>
      </c>
      <c r="L69">
        <f>EXP(G69+$B$2*LN(K69))</f>
        <v/>
      </c>
      <c r="M69">
        <f>L69/H69-1</f>
        <v/>
      </c>
      <c r="N69">
        <f>F69*(1+M69)</f>
        <v/>
      </c>
      <c r="O69">
        <f>N69/N68-1</f>
        <v/>
      </c>
      <c r="P69">
        <f>F69/F68-1</f>
        <v/>
      </c>
    </row>
    <row r="70">
      <c r="C70" t="n">
        <v>2036</v>
      </c>
      <c r="D70">
        <f>E70/F70</f>
        <v/>
      </c>
      <c r="E70" s="21">
        <f>AVERAGE($D$49:$D$57)*F70</f>
        <v/>
      </c>
      <c r="F70" s="20">
        <f>WEO_Data!C44</f>
        <v/>
      </c>
      <c r="G70" s="20">
        <f>TREND($G$36:$G$57,$C$36:$C$57,C70)</f>
        <v/>
      </c>
      <c r="H70">
        <f>EXP(G70+$B$2*LN(E70))</f>
        <v/>
      </c>
      <c r="I70" t="n">
        <v>0</v>
      </c>
      <c r="J70">
        <f>(1-$B$3)*J69+I70</f>
        <v/>
      </c>
      <c r="K70" s="19">
        <f>E70+J70</f>
        <v/>
      </c>
      <c r="L70">
        <f>EXP(G70+$B$2*LN(K70))</f>
        <v/>
      </c>
      <c r="M70">
        <f>L70/H70-1</f>
        <v/>
      </c>
      <c r="N70">
        <f>F70*(1+M70)</f>
        <v/>
      </c>
      <c r="O70">
        <f>N70/N69-1</f>
        <v/>
      </c>
      <c r="P70">
        <f>F70/F69-1</f>
        <v/>
      </c>
    </row>
    <row r="71">
      <c r="C71" t="n">
        <v>2037</v>
      </c>
      <c r="D71">
        <f>E71/F71</f>
        <v/>
      </c>
      <c r="E71" s="21">
        <f>AVERAGE($D$49:$D$57)*F71</f>
        <v/>
      </c>
      <c r="F71" s="20">
        <f>WEO_Data!C45</f>
        <v/>
      </c>
      <c r="G71" s="20">
        <f>TREND($G$36:$G$57,$C$36:$C$57,C71)</f>
        <v/>
      </c>
      <c r="H71">
        <f>EXP(G71+$B$2*LN(E71))</f>
        <v/>
      </c>
      <c r="I71" t="n">
        <v>0</v>
      </c>
      <c r="J71">
        <f>(1-$B$3)*J70+I71</f>
        <v/>
      </c>
      <c r="K71" s="19">
        <f>E71+J71</f>
        <v/>
      </c>
      <c r="L71">
        <f>EXP(G71+$B$2*LN(K71))</f>
        <v/>
      </c>
      <c r="M71">
        <f>L71/H71-1</f>
        <v/>
      </c>
      <c r="N71">
        <f>F71*(1+M71)</f>
        <v/>
      </c>
      <c r="O71">
        <f>N71/N70-1</f>
        <v/>
      </c>
      <c r="P71">
        <f>F71/F70-1</f>
        <v/>
      </c>
    </row>
    <row r="72">
      <c r="C72" t="n">
        <v>2038</v>
      </c>
      <c r="D72">
        <f>E72/F72</f>
        <v/>
      </c>
      <c r="E72" s="21">
        <f>AVERAGE($D$49:$D$57)*F72</f>
        <v/>
      </c>
      <c r="F72" s="20">
        <f>WEO_Data!C46</f>
        <v/>
      </c>
      <c r="G72" s="20">
        <f>TREND($G$36:$G$57,$C$36:$C$57,C72)</f>
        <v/>
      </c>
      <c r="H72">
        <f>EXP(G72+$B$2*LN(E72))</f>
        <v/>
      </c>
      <c r="I72" t="n">
        <v>0</v>
      </c>
      <c r="J72">
        <f>(1-$B$3)*J71+I72</f>
        <v/>
      </c>
      <c r="K72" s="19">
        <f>E72+J72</f>
        <v/>
      </c>
      <c r="L72">
        <f>EXP(G72+$B$2*LN(K72))</f>
        <v/>
      </c>
      <c r="M72">
        <f>L72/H72-1</f>
        <v/>
      </c>
      <c r="N72">
        <f>F72*(1+M72)</f>
        <v/>
      </c>
      <c r="O72">
        <f>N72/N71-1</f>
        <v/>
      </c>
      <c r="P72">
        <f>F72/F71-1</f>
        <v/>
      </c>
    </row>
    <row r="73">
      <c r="C73" t="n">
        <v>2039</v>
      </c>
      <c r="D73">
        <f>E73/F73</f>
        <v/>
      </c>
      <c r="E73" s="21">
        <f>AVERAGE($D$49:$D$57)*F73</f>
        <v/>
      </c>
      <c r="F73" s="20">
        <f>WEO_Data!C47</f>
        <v/>
      </c>
      <c r="G73" s="20">
        <f>TREND($G$36:$G$57,$C$36:$C$57,C73)</f>
        <v/>
      </c>
      <c r="H73">
        <f>EXP(G73+$B$2*LN(E73))</f>
        <v/>
      </c>
      <c r="I73" t="n">
        <v>0</v>
      </c>
      <c r="J73">
        <f>(1-$B$3)*J72+I73</f>
        <v/>
      </c>
      <c r="K73" s="19">
        <f>E73+J73</f>
        <v/>
      </c>
      <c r="L73">
        <f>EXP(G73+$B$2*LN(K73))</f>
        <v/>
      </c>
      <c r="M73">
        <f>L73/H73-1</f>
        <v/>
      </c>
      <c r="N73">
        <f>F73*(1+M73)</f>
        <v/>
      </c>
      <c r="O73">
        <f>N73/N72-1</f>
        <v/>
      </c>
      <c r="P73">
        <f>F73/F72-1</f>
        <v/>
      </c>
    </row>
    <row r="74">
      <c r="C74" t="n">
        <v>2040</v>
      </c>
      <c r="D74">
        <f>E74/F74</f>
        <v/>
      </c>
      <c r="E74" s="21">
        <f>AVERAGE($D$49:$D$57)*F74</f>
        <v/>
      </c>
      <c r="F74" s="20">
        <f>WEO_Data!C48</f>
        <v/>
      </c>
      <c r="G74" s="20">
        <f>TREND($G$36:$G$57,$C$36:$C$57,C74)</f>
        <v/>
      </c>
      <c r="H74">
        <f>EXP(G74+$B$2*LN(E74))</f>
        <v/>
      </c>
      <c r="I74" t="n">
        <v>0</v>
      </c>
      <c r="J74">
        <f>(1-$B$3)*J73+I74</f>
        <v/>
      </c>
      <c r="K74" s="19">
        <f>E74+J74</f>
        <v/>
      </c>
      <c r="L74">
        <f>EXP(G74+$B$2*LN(K74))</f>
        <v/>
      </c>
      <c r="M74">
        <f>L74/H74-1</f>
        <v/>
      </c>
      <c r="N74">
        <f>F74*(1+M74)</f>
        <v/>
      </c>
      <c r="O74">
        <f>N74/N73-1</f>
        <v/>
      </c>
      <c r="P74">
        <f>F74/F73-1</f>
        <v/>
      </c>
    </row>
    <row r="75">
      <c r="C75" t="n">
        <v>2041</v>
      </c>
      <c r="D75">
        <f>E75/F75</f>
        <v/>
      </c>
      <c r="E75" s="21">
        <f>AVERAGE($D$49:$D$57)*F75</f>
        <v/>
      </c>
      <c r="F75" s="20">
        <f>WEO_Data!C49</f>
        <v/>
      </c>
      <c r="G75" s="20">
        <f>TREND($G$36:$G$57,$C$36:$C$57,C75)</f>
        <v/>
      </c>
      <c r="H75">
        <f>EXP(G75+$B$2*LN(E75))</f>
        <v/>
      </c>
      <c r="I75" t="n">
        <v>0</v>
      </c>
      <c r="J75">
        <f>(1-$B$3)*J74+I75</f>
        <v/>
      </c>
      <c r="K75" s="19">
        <f>E75+J75</f>
        <v/>
      </c>
      <c r="L75">
        <f>EXP(G75+$B$2*LN(K75))</f>
        <v/>
      </c>
      <c r="M75">
        <f>L75/H75-1</f>
        <v/>
      </c>
      <c r="N75">
        <f>F75*(1+M75)</f>
        <v/>
      </c>
      <c r="O75">
        <f>N75/N74-1</f>
        <v/>
      </c>
      <c r="P75">
        <f>F75/F74-1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VLOOKUP(B2,PWT!A:B,2,FALSE)</f>
        <v/>
      </c>
    </row>
    <row r="3">
      <c r="A3" s="18" t="n">
        <v>35795</v>
      </c>
      <c r="B3" t="n">
        <v>1997</v>
      </c>
      <c r="C3" t="n">
        <v>383641663.608596</v>
      </c>
      <c r="D3" s="19">
        <f>VLOOKUP(B3,PWT!A:B,2,FALSE)</f>
        <v/>
      </c>
    </row>
    <row r="4">
      <c r="A4" s="18" t="n">
        <v>36160</v>
      </c>
      <c r="B4" t="n">
        <v>1998</v>
      </c>
      <c r="C4" t="n">
        <v>516397121.222809</v>
      </c>
      <c r="D4" s="19">
        <f>VLOOKUP(B4,PWT!A:B,2,FALSE)</f>
        <v/>
      </c>
    </row>
    <row r="5">
      <c r="A5" s="18" t="n">
        <v>36525</v>
      </c>
      <c r="B5" t="n">
        <v>1999</v>
      </c>
      <c r="C5" t="n">
        <v>661603834.429231</v>
      </c>
      <c r="D5" s="19">
        <f>VLOOKUP(B5,PWT!A:B,2,FALSE)</f>
        <v/>
      </c>
    </row>
    <row r="6">
      <c r="A6" s="18" t="n">
        <v>36891</v>
      </c>
      <c r="B6" t="n">
        <v>2000</v>
      </c>
      <c r="C6" t="n">
        <v>631701000.88782</v>
      </c>
      <c r="D6" s="19">
        <f>VLOOKUP(B6,PWT!A:B,2,FALSE)</f>
        <v/>
      </c>
      <c r="E6">
        <f>C6*VLOOKUP(B6,PWT!A:C,3,FALSE)/(D6*INDEX(WEO_Data!C:C,MATCH(B6,WEO_Data!B:B,0))*1000000000)</f>
        <v/>
      </c>
    </row>
    <row r="7">
      <c r="A7" s="18" t="n">
        <v>37256</v>
      </c>
      <c r="B7" t="n">
        <v>2001</v>
      </c>
      <c r="C7" t="n">
        <v>706983726.789065</v>
      </c>
      <c r="D7" s="19">
        <f>VLOOKUP(B7,PWT!A:B,2,FALSE)</f>
        <v/>
      </c>
      <c r="E7">
        <f>C7*VLOOKUP(B7,PWT!A:C,3,FALSE)/(D7*INDEX(WEO_Data!C:C,MATCH(B7,WEO_Data!B:B,0))*1000000000)</f>
        <v/>
      </c>
    </row>
    <row r="8">
      <c r="A8" s="18" t="n">
        <v>37621</v>
      </c>
      <c r="B8" t="n">
        <v>2002</v>
      </c>
      <c r="C8" t="n">
        <v>790112565.198609</v>
      </c>
      <c r="D8" s="19">
        <f>VLOOKUP(B8,PWT!A:B,2,FALSE)</f>
        <v/>
      </c>
      <c r="E8">
        <f>C8*VLOOKUP(B8,PWT!A:C,3,FALSE)/(D8*INDEX(WEO_Data!C:C,MATCH(B8,WEO_Data!B:B,0))*1000000000)</f>
        <v/>
      </c>
    </row>
    <row r="9">
      <c r="A9" s="18" t="n">
        <v>37986</v>
      </c>
      <c r="B9" t="n">
        <v>2003</v>
      </c>
      <c r="C9" t="n">
        <v>932916219.671159</v>
      </c>
      <c r="D9" s="19">
        <f>VLOOKUP(B9,PWT!A:B,2,FALSE)</f>
        <v/>
      </c>
      <c r="E9">
        <f>C9*VLOOKUP(B9,PWT!A:C,3,FALSE)/(D9*INDEX(WEO_Data!C:C,MATCH(B9,WEO_Data!B:B,0))*1000000000)</f>
        <v/>
      </c>
    </row>
    <row r="10">
      <c r="A10" s="18" t="n">
        <v>38352</v>
      </c>
      <c r="B10" t="n">
        <v>2004</v>
      </c>
      <c r="C10" t="n">
        <v>976818537.799271</v>
      </c>
      <c r="D10" s="19">
        <f>VLOOKUP(B10,PWT!A:B,2,FALSE)</f>
        <v/>
      </c>
      <c r="E10">
        <f>C10*VLOOKUP(B10,PWT!A:C,3,FALSE)/(D10*INDEX(WEO_Data!C:C,MATCH(B10,WEO_Data!B:B,0))*1000000000)</f>
        <v/>
      </c>
    </row>
    <row r="11">
      <c r="A11" s="18" t="n">
        <v>38717</v>
      </c>
      <c r="B11" t="n">
        <v>2005</v>
      </c>
      <c r="C11" t="n">
        <v>1113450058.59263</v>
      </c>
      <c r="D11" s="19">
        <f>VLOOKUP(B11,PWT!A:B,2,FALSE)</f>
        <v/>
      </c>
      <c r="E11">
        <f>C11*VLOOKUP(B11,PWT!A:C,3,FALSE)/(D11*INDEX(WEO_Data!C:C,MATCH(B11,WEO_Data!B:B,0))*1000000000)</f>
        <v/>
      </c>
    </row>
    <row r="12">
      <c r="A12" s="18" t="n">
        <v>39082</v>
      </c>
      <c r="B12" t="n">
        <v>2006</v>
      </c>
      <c r="C12" t="n">
        <v>1306373084.13224</v>
      </c>
      <c r="D12" s="19">
        <f>VLOOKUP(B12,PWT!A:B,2,FALSE)</f>
        <v/>
      </c>
      <c r="E12">
        <f>C12*VLOOKUP(B12,PWT!A:C,3,FALSE)/(D12*INDEX(WEO_Data!C:C,MATCH(B12,WEO_Data!B:B,0))*1000000000)</f>
        <v/>
      </c>
    </row>
    <row r="13">
      <c r="A13" s="18" t="n">
        <v>39447</v>
      </c>
      <c r="B13" t="n">
        <v>2007</v>
      </c>
      <c r="C13" t="n">
        <v>1617029966.25711</v>
      </c>
      <c r="D13" s="19">
        <f>VLOOKUP(B13,PWT!A:B,2,FALSE)</f>
        <v/>
      </c>
      <c r="E13">
        <f>C13*VLOOKUP(B13,PWT!A:C,3,FALSE)/(D13*INDEX(WEO_Data!C:C,MATCH(B13,WEO_Data!B:B,0))*1000000000)</f>
        <v/>
      </c>
    </row>
    <row r="14">
      <c r="A14" s="18" t="n">
        <v>39813</v>
      </c>
      <c r="B14" t="n">
        <v>2008</v>
      </c>
      <c r="C14" t="n">
        <v>1758049267.6717</v>
      </c>
      <c r="D14" s="19">
        <f>VLOOKUP(B14,PWT!A:B,2,FALSE)</f>
        <v/>
      </c>
      <c r="E14">
        <f>C14*VLOOKUP(B14,PWT!A:C,3,FALSE)/(D14*INDEX(WEO_Data!C:C,MATCH(B14,WEO_Data!B:B,0))*1000000000)</f>
        <v/>
      </c>
    </row>
    <row r="15">
      <c r="A15" s="18" t="n">
        <v>40178</v>
      </c>
      <c r="B15" t="n">
        <v>2009</v>
      </c>
      <c r="C15" t="n">
        <v>1751366684.88131</v>
      </c>
      <c r="D15" s="19">
        <f>VLOOKUP(B15,PWT!A:B,2,FALSE)</f>
        <v/>
      </c>
      <c r="E15">
        <f>C15*VLOOKUP(B15,PWT!A:C,3,FALSE)/(D15*INDEX(WEO_Data!C:C,MATCH(B15,WEO_Data!B:B,0))*1000000000)</f>
        <v/>
      </c>
    </row>
    <row r="16">
      <c r="A16" s="18" t="n">
        <v>40543</v>
      </c>
      <c r="B16" t="n">
        <v>2010</v>
      </c>
      <c r="C16" t="n">
        <v>2046413234.66733</v>
      </c>
      <c r="D16" s="19">
        <f>VLOOKUP(B16,PWT!A:B,2,FALSE)</f>
        <v/>
      </c>
      <c r="E16">
        <f>C16*VLOOKUP(B16,PWT!A:C,3,FALSE)/(D16*INDEX(WEO_Data!C:C,MATCH(B16,WEO_Data!B:B,0))*1000000000)</f>
        <v/>
      </c>
    </row>
    <row r="17">
      <c r="A17" s="18" t="n">
        <v>40908</v>
      </c>
      <c r="B17" t="n">
        <v>2011</v>
      </c>
      <c r="C17" t="n">
        <v>2350512405.90543</v>
      </c>
      <c r="D17" s="19">
        <f>VLOOKUP(B17,PWT!A:B,2,FALSE)</f>
        <v/>
      </c>
      <c r="E17">
        <f>C17*VLOOKUP(B17,PWT!A:C,3,FALSE)/(D17*INDEX(WEO_Data!C:C,MATCH(B17,WEO_Data!B:B,0))*1000000000)</f>
        <v/>
      </c>
    </row>
    <row r="18">
      <c r="A18" s="18" t="n">
        <v>41274</v>
      </c>
      <c r="B18" t="n">
        <v>2012</v>
      </c>
      <c r="C18" t="n">
        <v>2643602887.96874</v>
      </c>
      <c r="D18" s="19">
        <f>VLOOKUP(B18,PWT!A:B,2,FALSE)</f>
        <v/>
      </c>
      <c r="E18">
        <f>C18*VLOOKUP(B18,PWT!A:C,3,FALSE)/(D18*INDEX(WEO_Data!C:C,MATCH(B18,WEO_Data!B:B,0))*1000000000)</f>
        <v/>
      </c>
    </row>
    <row r="19">
      <c r="A19" s="18" t="n">
        <v>41639</v>
      </c>
      <c r="B19" t="n">
        <v>2013</v>
      </c>
      <c r="C19" t="n">
        <v>1555932152.31816</v>
      </c>
      <c r="D19" s="19">
        <f>VLOOKUP(B19,PWT!A:B,2,FALSE)</f>
        <v/>
      </c>
      <c r="E19">
        <f>C19*VLOOKUP(B19,PWT!A:C,3,FALSE)/(D19*INDEX(WEO_Data!C:C,MATCH(B19,WEO_Data!B:B,0))*1000000000)</f>
        <v/>
      </c>
    </row>
    <row r="20">
      <c r="A20" s="18" t="n">
        <v>42004</v>
      </c>
      <c r="B20" t="n">
        <v>2014</v>
      </c>
      <c r="C20" t="n">
        <v>2984890468.6878</v>
      </c>
      <c r="D20" s="19">
        <f>VLOOKUP(B20,PWT!A:B,2,FALSE)</f>
        <v/>
      </c>
      <c r="E20">
        <f>C20*VLOOKUP(B20,PWT!A:C,3,FALSE)/(D20*INDEX(WEO_Data!C:C,MATCH(B20,WEO_Data!B:B,0))*1000000000)</f>
        <v/>
      </c>
    </row>
    <row r="21">
      <c r="A21" s="18" t="n">
        <v>42369</v>
      </c>
      <c r="B21" t="n">
        <v>2015</v>
      </c>
      <c r="C21" t="n">
        <v>3657280672.54249</v>
      </c>
      <c r="D21" s="19">
        <f>VLOOKUP(B21,PWT!A:B,2,FALSE)</f>
        <v/>
      </c>
      <c r="E21">
        <f>C21*VLOOKUP(B21,PWT!A:C,3,FALSE)/(D21*INDEX(WEO_Data!C:C,MATCH(B21,WEO_Data!B:B,0))*1000000000)</f>
        <v/>
      </c>
    </row>
    <row r="22">
      <c r="A22" s="18" t="n">
        <v>42735</v>
      </c>
      <c r="B22" t="n">
        <v>2016</v>
      </c>
      <c r="C22" t="n">
        <v>4004828719.85304</v>
      </c>
      <c r="D22" s="19">
        <f>VLOOKUP(B22,PWT!A:B,2,FALSE)</f>
        <v/>
      </c>
      <c r="E22">
        <f>C22*VLOOKUP(B22,PWT!A:C,3,FALSE)/(D22*INDEX(WEO_Data!C:C,MATCH(B22,WEO_Data!B:B,0))*1000000000)</f>
        <v/>
      </c>
    </row>
    <row r="23">
      <c r="A23" s="18" t="n">
        <v>43100</v>
      </c>
      <c r="B23" t="n">
        <v>2017</v>
      </c>
      <c r="C23" t="n">
        <v>4492921334.90825</v>
      </c>
      <c r="D23" s="19">
        <f>VLOOKUP(B23,PWT!A:B,2,FALSE)</f>
        <v/>
      </c>
      <c r="E23">
        <f>C23*VLOOKUP(B23,PWT!A:C,3,FALSE)/(D23*INDEX(WEO_Data!C:C,MATCH(B23,WEO_Data!B:B,0))*1000000000)</f>
        <v/>
      </c>
    </row>
    <row r="24">
      <c r="A24" s="18" t="n">
        <v>43465</v>
      </c>
      <c r="B24" t="n">
        <v>2018</v>
      </c>
      <c r="C24" t="n">
        <v>4843616440.28627</v>
      </c>
      <c r="D24" s="19">
        <f>VLOOKUP(B24,PWT!A:B,2,FALSE)</f>
        <v/>
      </c>
      <c r="E24">
        <f>C24*VLOOKUP(B24,PWT!A:C,3,FALSE)/(D24*INDEX(WEO_Data!C:C,MATCH(B24,WEO_Data!B:B,0))*1000000000)</f>
        <v/>
      </c>
    </row>
    <row r="25">
      <c r="A25" s="18" t="n">
        <v>43830</v>
      </c>
      <c r="B25" t="n">
        <v>2019</v>
      </c>
      <c r="C25" t="n">
        <v>5452957379.35004</v>
      </c>
      <c r="D25" s="19">
        <f>VLOOKUP(B25,PWT!A:B,2,FALSE)</f>
        <v/>
      </c>
      <c r="E25">
        <f>C25*VLOOKUP(B25,PWT!A:C,3,FALSE)/(D25*INDEX(WEO_Data!C:C,MATCH(B25,WEO_Data!B:B,0))*1000000000)</f>
        <v/>
      </c>
    </row>
    <row r="26">
      <c r="A26" s="18" t="n">
        <v>44196</v>
      </c>
      <c r="B26" t="n">
        <v>2020</v>
      </c>
      <c r="C26" t="n">
        <v>6152769261.61805</v>
      </c>
      <c r="D26" s="19">
        <f>VLOOKUP(B26,PWT!A:B,2,FALSE)</f>
        <v/>
      </c>
      <c r="E26">
        <f>C26*VLOOKUP(B26,PWT!A:C,3,FALSE)/(D26*INDEX(WEO_Data!C:C,MATCH(B26,WEO_Data!B:B,0))*1000000000)</f>
        <v/>
      </c>
    </row>
    <row r="27">
      <c r="A27" s="18" t="n">
        <v>44561</v>
      </c>
      <c r="B27" t="n">
        <v>2021</v>
      </c>
      <c r="C27" t="n">
        <v>7072625348.89823</v>
      </c>
      <c r="D27" s="19">
        <f>VLOOKUP(B27,PWT!A:B,2,FALSE)</f>
        <v/>
      </c>
      <c r="E27">
        <f>C27*VLOOKUP(B27,PWT!A:C,3,FALSE)/(D27*INDEX(WEO_Data!C:C,MATCH(B27,WEO_Data!B:B,0))*1000000000)</f>
        <v/>
      </c>
    </row>
    <row r="28">
      <c r="A28" s="18" t="n">
        <v>44926</v>
      </c>
      <c r="B28" t="n">
        <v>2022</v>
      </c>
      <c r="C28" t="n">
        <v>7661448474.88107</v>
      </c>
      <c r="D28" s="19">
        <f>VLOOKUP(B28,PWT!A:B,2,FALSE)</f>
        <v/>
      </c>
      <c r="E28">
        <f>C28*VLOOKUP(B28,PWT!A:C,3,FALSE)/(D28*INDEX(WEO_Data!C:C,MATCH(B28,WEO_Data!B:B,0))*1000000000)</f>
        <v/>
      </c>
    </row>
    <row r="29">
      <c r="A29" s="18" t="n">
        <v>45291</v>
      </c>
      <c r="B29" t="n">
        <v>2023</v>
      </c>
      <c r="C29" t="n">
        <v>9410657843.71035</v>
      </c>
      <c r="D29" s="19">
        <f>VLOOKUP(B29,PWT!A:B,2,FALSE)</f>
        <v/>
      </c>
      <c r="E29">
        <f>C29*VLOOKUP(B29,PWT!A:C,3,FALSE)/(D29*INDEX(WEO_Data!C:C,MATCH(B29,WEO_Data!B:B,0))*1000000000)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rgdpna</t>
        </is>
      </c>
    </row>
    <row r="2">
      <c r="A2" s="19" t="n">
        <v>1990</v>
      </c>
      <c r="B2" s="19" t="n">
        <v>333953.90625</v>
      </c>
      <c r="C2" t="n">
        <v>67440.0546875</v>
      </c>
    </row>
    <row r="3">
      <c r="A3" s="19" t="n">
        <v>1991</v>
      </c>
      <c r="B3" s="19" t="n">
        <v>336800.125</v>
      </c>
      <c r="C3" t="n">
        <v>53052.83984375</v>
      </c>
    </row>
    <row r="4">
      <c r="A4" s="19" t="n">
        <v>1992</v>
      </c>
      <c r="B4" s="19" t="n">
        <v>331575.34375</v>
      </c>
      <c r="C4" t="n">
        <v>29442.9375</v>
      </c>
    </row>
    <row r="5">
      <c r="A5" s="19" t="n">
        <v>1993</v>
      </c>
      <c r="B5" s="19" t="n">
        <v>318977.5625</v>
      </c>
      <c r="C5" t="n">
        <v>20818.90234375</v>
      </c>
    </row>
    <row r="6">
      <c r="A6" s="19" t="n">
        <v>1994</v>
      </c>
      <c r="B6" s="19" t="n">
        <v>310557.21875</v>
      </c>
      <c r="C6" t="n">
        <v>18657.6640625</v>
      </c>
    </row>
    <row r="7">
      <c r="A7" s="19" t="n">
        <v>1995</v>
      </c>
      <c r="B7" s="19" t="n">
        <v>305633.28125</v>
      </c>
      <c r="C7" t="n">
        <v>19138.576171875</v>
      </c>
    </row>
    <row r="8">
      <c r="A8" s="19" t="n">
        <v>1996</v>
      </c>
      <c r="B8" s="19" t="n">
        <v>301706.46875</v>
      </c>
      <c r="C8" t="n">
        <v>21298.572265625</v>
      </c>
    </row>
    <row r="9">
      <c r="A9" s="19" t="n">
        <v>1997</v>
      </c>
      <c r="B9" s="19" t="n">
        <v>298764.625</v>
      </c>
      <c r="C9" t="n">
        <v>23538.966796875</v>
      </c>
    </row>
    <row r="10">
      <c r="A10" s="19" t="n">
        <v>1998</v>
      </c>
      <c r="B10" s="19" t="n">
        <v>298990.5</v>
      </c>
      <c r="C10" t="n">
        <v>24269.841796875</v>
      </c>
    </row>
    <row r="11">
      <c r="A11" s="19" t="n">
        <v>1999</v>
      </c>
      <c r="B11" s="19" t="n">
        <v>299754.78125</v>
      </c>
      <c r="C11" t="n">
        <v>24966.201171875</v>
      </c>
    </row>
    <row r="12">
      <c r="A12" s="19" t="n">
        <v>2000</v>
      </c>
      <c r="B12" s="19" t="n">
        <v>300383.3125</v>
      </c>
      <c r="C12" t="n">
        <v>25425.16796875</v>
      </c>
    </row>
    <row r="13">
      <c r="A13" s="19" t="n">
        <v>2001</v>
      </c>
      <c r="B13" s="19" t="n">
        <v>302284.0625</v>
      </c>
      <c r="C13" t="n">
        <v>26646.9609375</v>
      </c>
    </row>
    <row r="14">
      <c r="A14" s="19" t="n">
        <v>2002</v>
      </c>
      <c r="B14" s="19" t="n">
        <v>303592.625</v>
      </c>
      <c r="C14" t="n">
        <v>28105.572265625</v>
      </c>
    </row>
    <row r="15">
      <c r="A15" s="19" t="n">
        <v>2003</v>
      </c>
      <c r="B15" s="19" t="n">
        <v>307310.28125</v>
      </c>
      <c r="C15" t="n">
        <v>31213.515625</v>
      </c>
    </row>
    <row r="16">
      <c r="A16" s="19" t="n">
        <v>2004</v>
      </c>
      <c r="B16" s="19" t="n">
        <v>311984.28125</v>
      </c>
      <c r="C16" t="n">
        <v>33022.64453125</v>
      </c>
    </row>
    <row r="17">
      <c r="A17" s="19" t="n">
        <v>2005</v>
      </c>
      <c r="B17" s="19" t="n">
        <v>317837.8125</v>
      </c>
      <c r="C17" t="n">
        <v>36188.953125</v>
      </c>
    </row>
    <row r="18">
      <c r="A18" s="19" t="n">
        <v>2006</v>
      </c>
      <c r="B18" s="19" t="n">
        <v>322943.65625</v>
      </c>
      <c r="C18" t="n">
        <v>39598.22265625</v>
      </c>
    </row>
    <row r="19">
      <c r="A19" s="19" t="n">
        <v>2007</v>
      </c>
      <c r="B19" s="19" t="n">
        <v>329445.875</v>
      </c>
      <c r="C19" t="n">
        <v>44579.19140625</v>
      </c>
    </row>
    <row r="20">
      <c r="A20" s="19" t="n">
        <v>2008</v>
      </c>
      <c r="B20" s="19" t="n">
        <v>332604.46875</v>
      </c>
      <c r="C20" t="n">
        <v>45657.16015625</v>
      </c>
    </row>
    <row r="21">
      <c r="A21" s="19" t="n">
        <v>2009</v>
      </c>
      <c r="B21" s="19" t="n">
        <v>330608.28125</v>
      </c>
      <c r="C21" t="n">
        <v>43990.6328125</v>
      </c>
    </row>
    <row r="22">
      <c r="A22" s="19" t="n">
        <v>2010</v>
      </c>
      <c r="B22" s="19" t="n">
        <v>332551.53125</v>
      </c>
      <c r="C22" t="n">
        <v>46739.7890625</v>
      </c>
    </row>
    <row r="23">
      <c r="A23" s="19" t="n">
        <v>2011</v>
      </c>
      <c r="B23" s="19" t="n">
        <v>336560.28125</v>
      </c>
      <c r="C23" t="n">
        <v>50455.2109375</v>
      </c>
    </row>
    <row r="24">
      <c r="A24" s="19" t="n">
        <v>2012</v>
      </c>
      <c r="B24" s="19" t="n">
        <v>341471.1875</v>
      </c>
      <c r="C24" t="n">
        <v>53774.6796875</v>
      </c>
    </row>
    <row r="25">
      <c r="A25" s="19" t="n">
        <v>2013</v>
      </c>
      <c r="B25" s="19" t="n">
        <v>344239.03125</v>
      </c>
      <c r="C25" t="n">
        <v>56535.23046875</v>
      </c>
    </row>
    <row r="26">
      <c r="A26" s="19" t="n">
        <v>2014</v>
      </c>
      <c r="B26" s="19" t="n">
        <v>350962.15625</v>
      </c>
      <c r="C26" t="n">
        <v>58847.86328125</v>
      </c>
    </row>
    <row r="27">
      <c r="A27" s="19" t="n">
        <v>2015</v>
      </c>
      <c r="B27" s="19" t="n">
        <v>360259.8125</v>
      </c>
      <c r="C27" t="n">
        <v>60819.7421875</v>
      </c>
    </row>
    <row r="28">
      <c r="A28" s="19" t="n">
        <v>2016</v>
      </c>
      <c r="B28" s="19" t="n">
        <v>370547.65625</v>
      </c>
      <c r="C28" t="n">
        <v>62917.9765625</v>
      </c>
    </row>
    <row r="29">
      <c r="A29" s="19" t="n">
        <v>2017</v>
      </c>
      <c r="B29" s="19" t="n">
        <v>380655.78125</v>
      </c>
      <c r="C29" t="n">
        <v>66165.234375</v>
      </c>
    </row>
    <row r="30">
      <c r="A30" s="19" t="n">
        <v>2018</v>
      </c>
      <c r="B30" s="19" t="n">
        <v>390625.1875</v>
      </c>
      <c r="C30" t="n">
        <v>70176.296875</v>
      </c>
    </row>
    <row r="31">
      <c r="A31" s="19" t="n">
        <v>2019</v>
      </c>
      <c r="B31" s="19" t="n">
        <v>399934.28125</v>
      </c>
      <c r="C31" t="n">
        <v>73951.9765625</v>
      </c>
    </row>
    <row r="32">
      <c r="A32" s="19" t="n">
        <v>2020</v>
      </c>
      <c r="B32" s="19" t="n">
        <v>405156.15625</v>
      </c>
      <c r="C32" t="n">
        <v>69299.46875</v>
      </c>
    </row>
    <row r="33">
      <c r="A33" s="19" t="n">
        <v>2021</v>
      </c>
      <c r="B33" s="19" t="n">
        <v>409189.75</v>
      </c>
      <c r="C33" t="n">
        <v>76675.71875</v>
      </c>
    </row>
    <row r="34">
      <c r="A34" s="19" t="n">
        <v>2022</v>
      </c>
      <c r="B34" s="19" t="n">
        <v>415085.84375</v>
      </c>
      <c r="C34" t="n">
        <v>85079.0234375</v>
      </c>
    </row>
    <row r="35">
      <c r="A35" s="19" t="n">
        <v>2023</v>
      </c>
      <c r="B35" s="19" t="n">
        <v>426190.5</v>
      </c>
      <c r="C35" t="n">
        <v>91437.8125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0.01865</v>
      </c>
    </row>
    <row r="9">
      <c r="B9" t="n">
        <v>2001</v>
      </c>
      <c r="C9" t="n">
        <v>17.772</v>
      </c>
      <c r="D9" t="n">
        <v>0.04769</v>
      </c>
    </row>
    <row r="10">
      <c r="B10" t="n">
        <v>2002</v>
      </c>
      <c r="C10" t="n">
        <v>18.747</v>
      </c>
      <c r="D10" t="n">
        <v>0.05487</v>
      </c>
    </row>
    <row r="11">
      <c r="B11" t="n">
        <v>2003</v>
      </c>
      <c r="C11" t="n">
        <v>20.852</v>
      </c>
      <c r="D11" t="n">
        <v>0.11228</v>
      </c>
    </row>
    <row r="12">
      <c r="B12" t="n">
        <v>2004</v>
      </c>
      <c r="C12" t="n">
        <v>22.061</v>
      </c>
      <c r="D12" t="n">
        <v>0.05796</v>
      </c>
    </row>
    <row r="13">
      <c r="B13" t="n">
        <v>2005</v>
      </c>
      <c r="C13" t="n">
        <v>24.176</v>
      </c>
      <c r="D13" t="n">
        <v>0.09587999999999999</v>
      </c>
    </row>
    <row r="14">
      <c r="B14" t="n">
        <v>2006</v>
      </c>
      <c r="C14" t="n">
        <v>26.454</v>
      </c>
      <c r="D14" t="n">
        <v>0.09420000000000001</v>
      </c>
    </row>
    <row r="15">
      <c r="B15" t="n">
        <v>2007</v>
      </c>
      <c r="C15" t="n">
        <v>29.781</v>
      </c>
      <c r="D15" t="n">
        <v>0.12579</v>
      </c>
    </row>
    <row r="16">
      <c r="B16" t="n">
        <v>2008</v>
      </c>
      <c r="C16" t="n">
        <v>30.502</v>
      </c>
      <c r="D16" t="n">
        <v>0.02419</v>
      </c>
    </row>
    <row r="17">
      <c r="B17" t="n">
        <v>2009</v>
      </c>
      <c r="C17" t="n">
        <v>29.388</v>
      </c>
      <c r="D17" t="n">
        <v>-0.03651</v>
      </c>
    </row>
    <row r="18">
      <c r="B18" t="n">
        <v>2010</v>
      </c>
      <c r="C18" t="n">
        <v>31.428</v>
      </c>
      <c r="D18" t="n">
        <v>0.06942</v>
      </c>
    </row>
    <row r="19">
      <c r="B19" t="n">
        <v>2011</v>
      </c>
      <c r="C19" t="n">
        <v>33.927</v>
      </c>
      <c r="D19" t="n">
        <v>0.07949000000000001</v>
      </c>
    </row>
    <row r="20">
      <c r="B20" t="n">
        <v>2012</v>
      </c>
      <c r="C20" t="n">
        <v>36.159</v>
      </c>
      <c r="D20" t="n">
        <v>0.06579</v>
      </c>
    </row>
    <row r="21">
      <c r="B21" t="n">
        <v>2013</v>
      </c>
      <c r="C21" t="n">
        <v>38.015</v>
      </c>
      <c r="D21" t="n">
        <v>0.05134</v>
      </c>
    </row>
    <row r="22">
      <c r="B22" t="n">
        <v>2014</v>
      </c>
      <c r="C22" t="n">
        <v>39.57</v>
      </c>
      <c r="D22" t="n">
        <v>0.04091</v>
      </c>
    </row>
    <row r="23">
      <c r="B23" t="n">
        <v>2015</v>
      </c>
      <c r="C23" t="n">
        <v>40.896</v>
      </c>
      <c r="D23" t="n">
        <v>0.03351</v>
      </c>
    </row>
    <row r="24">
      <c r="B24" t="n">
        <v>2016</v>
      </c>
      <c r="C24" t="n">
        <v>42.307</v>
      </c>
      <c r="D24" t="n">
        <v>0.0345</v>
      </c>
    </row>
    <row r="25">
      <c r="B25" t="n">
        <v>2017</v>
      </c>
      <c r="C25" t="n">
        <v>44.49</v>
      </c>
      <c r="D25" t="n">
        <v>0.05161</v>
      </c>
    </row>
    <row r="26">
      <c r="B26" t="n">
        <v>2018</v>
      </c>
      <c r="C26" t="n">
        <v>47.187</v>
      </c>
      <c r="D26" t="n">
        <v>0.06062</v>
      </c>
    </row>
    <row r="27">
      <c r="B27" t="n">
        <v>2019</v>
      </c>
      <c r="C27" t="n">
        <v>49.726</v>
      </c>
      <c r="D27" t="n">
        <v>0.0538</v>
      </c>
    </row>
    <row r="28">
      <c r="B28" t="n">
        <v>2020</v>
      </c>
      <c r="C28" t="n">
        <v>46.598</v>
      </c>
      <c r="D28" t="n">
        <v>-0.06291000000000001</v>
      </c>
    </row>
    <row r="29">
      <c r="B29" t="n">
        <v>2021</v>
      </c>
      <c r="C29" t="n">
        <v>51.558</v>
      </c>
      <c r="D29" t="n">
        <v>0.10644</v>
      </c>
    </row>
    <row r="30">
      <c r="B30" t="n">
        <v>2022</v>
      </c>
      <c r="C30" t="n">
        <v>57.208</v>
      </c>
      <c r="D30" t="n">
        <v>0.1096</v>
      </c>
    </row>
    <row r="31">
      <c r="B31" t="n">
        <v>2023</v>
      </c>
      <c r="C31" t="n">
        <v>61.689</v>
      </c>
      <c r="D31" t="n">
        <v>0.07832</v>
      </c>
    </row>
    <row r="32">
      <c r="B32" t="n">
        <v>2024</v>
      </c>
      <c r="C32" t="n">
        <v>67.505</v>
      </c>
      <c r="D32" t="n">
        <v>0.09429</v>
      </c>
    </row>
    <row r="33">
      <c r="B33" t="n">
        <v>2025</v>
      </c>
      <c r="C33" t="n">
        <v>71.54000000000001</v>
      </c>
      <c r="D33" t="n">
        <v>0.05977</v>
      </c>
    </row>
    <row r="34">
      <c r="B34" t="n">
        <v>2026</v>
      </c>
      <c r="C34" t="n">
        <v>75.117</v>
      </c>
      <c r="D34" t="n">
        <v>0.05</v>
      </c>
    </row>
    <row r="35">
      <c r="B35" t="n">
        <v>2027</v>
      </c>
      <c r="C35" t="n">
        <v>78.873</v>
      </c>
      <c r="D35" t="n">
        <v>0.05</v>
      </c>
    </row>
    <row r="36">
      <c r="B36" t="n">
        <v>2028</v>
      </c>
      <c r="C36">
        <f>C35*(1+D36)</f>
        <v/>
      </c>
      <c r="D36">
        <f>D35</f>
        <v/>
      </c>
    </row>
    <row r="37">
      <c r="B37" t="n">
        <v>2029</v>
      </c>
      <c r="C37">
        <f>C36*(1+D37)</f>
        <v/>
      </c>
      <c r="D37">
        <f>D35</f>
        <v/>
      </c>
    </row>
    <row r="38">
      <c r="B38" t="n">
        <v>2030</v>
      </c>
      <c r="C38">
        <f>C37*(1+D38)</f>
        <v/>
      </c>
      <c r="D38">
        <f>D35</f>
        <v/>
      </c>
    </row>
    <row r="39">
      <c r="B39" t="n">
        <v>2031</v>
      </c>
      <c r="C39">
        <f>C38*(1+D39)</f>
        <v/>
      </c>
      <c r="D39">
        <f>D35</f>
        <v/>
      </c>
    </row>
    <row r="40">
      <c r="B40" t="n">
        <v>2032</v>
      </c>
      <c r="C40">
        <f>C39*(1+D40)</f>
        <v/>
      </c>
      <c r="D40">
        <f>D35</f>
        <v/>
      </c>
    </row>
    <row r="41">
      <c r="B41" t="n">
        <v>2033</v>
      </c>
      <c r="C41">
        <f>C40*(1+D41)</f>
        <v/>
      </c>
      <c r="D41">
        <f>D35</f>
        <v/>
      </c>
    </row>
    <row r="42">
      <c r="B42" t="n">
        <v>2034</v>
      </c>
      <c r="C42">
        <f>C41*(1+D42)</f>
        <v/>
      </c>
      <c r="D42">
        <f>D35</f>
        <v/>
      </c>
    </row>
    <row r="43">
      <c r="B43" t="n">
        <v>2035</v>
      </c>
      <c r="C43">
        <f>C42*(1+D43)</f>
        <v/>
      </c>
      <c r="D43">
        <f>D35</f>
        <v/>
      </c>
    </row>
    <row r="44">
      <c r="B44" t="n">
        <v>2036</v>
      </c>
      <c r="C44">
        <f>C43*(1+D44)</f>
        <v/>
      </c>
      <c r="D44">
        <f>D35</f>
        <v/>
      </c>
    </row>
    <row r="45">
      <c r="B45" t="n">
        <v>2037</v>
      </c>
      <c r="C45">
        <f>C44*(1+D45)</f>
        <v/>
      </c>
      <c r="D45">
        <f>D35</f>
        <v/>
      </c>
    </row>
    <row r="46">
      <c r="B46" t="n">
        <v>2038</v>
      </c>
      <c r="C46">
        <f>C45*(1+D46)</f>
        <v/>
      </c>
      <c r="D46">
        <f>D35</f>
        <v/>
      </c>
    </row>
    <row r="47">
      <c r="B47" t="n">
        <v>2039</v>
      </c>
      <c r="C47">
        <f>C46*(1+D47)</f>
        <v/>
      </c>
      <c r="D47">
        <f>D35</f>
        <v/>
      </c>
    </row>
    <row r="48">
      <c r="B48" t="n">
        <v>2040</v>
      </c>
      <c r="C48">
        <f>C47*(1+D48)</f>
        <v/>
      </c>
      <c r="D48">
        <f>D35</f>
        <v/>
      </c>
    </row>
    <row r="49">
      <c r="B49" t="n">
        <v>2041</v>
      </c>
      <c r="C49">
        <f>C48*(1+D49)</f>
        <v/>
      </c>
      <c r="D49">
        <f>D35</f>
        <v/>
      </c>
    </row>
    <row r="50">
      <c r="B50" t="n">
        <v>2042</v>
      </c>
      <c r="C50">
        <f>C49*(1+D50)</f>
        <v/>
      </c>
      <c r="D50">
        <f>D35</f>
        <v/>
      </c>
    </row>
    <row r="51">
      <c r="B51" t="n">
        <v>2043</v>
      </c>
      <c r="C51">
        <f>C50*(1+D51)</f>
        <v/>
      </c>
      <c r="D51">
        <f>D35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2026-02-07T06:37:03Z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