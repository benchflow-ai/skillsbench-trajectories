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Value!D18</f>
        <v/>
      </c>
      <c r="D21" s="2">
        <f>Value!F18</f>
        <v/>
      </c>
      <c r="E21" s="3">
        <f>Value!J18</f>
        <v/>
      </c>
      <c r="F21" s="3">
        <f>Value!M18</f>
        <v/>
      </c>
      <c r="G21" s="3">
        <f>Value!N18</f>
        <v/>
      </c>
      <c r="H21" s="7">
        <f>Value!O18</f>
        <v/>
      </c>
      <c r="I21">
        <f>Value!Q18</f>
        <v/>
      </c>
    </row>
    <row r="22">
      <c r="B22" t="inlineStr">
        <is>
          <t>Gold valuation exposure (95% one-sided shock)</t>
        </is>
      </c>
      <c r="C22">
        <f>C21*$C$3*$C$5/100</f>
        <v/>
      </c>
      <c r="D22">
        <f>D21*$C$3*$C$5/100</f>
        <v/>
      </c>
      <c r="E22">
        <f>E21*$C$3*$C$5/100</f>
        <v/>
      </c>
      <c r="F22">
        <f>F21*$C$3*$C$5/100</f>
        <v/>
      </c>
      <c r="G22">
        <f>G21*$C$3*$C$5/100</f>
        <v/>
      </c>
      <c r="H22">
        <f>H21*$C$3*$C$5/100</f>
        <v/>
      </c>
      <c r="I22">
        <f>I21*$C$3*$C$5/100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2026-02-07T05:44:52Z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