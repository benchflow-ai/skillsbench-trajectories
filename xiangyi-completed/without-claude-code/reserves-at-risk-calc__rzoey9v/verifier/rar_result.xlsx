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n">
        <v>1.645</v>
      </c>
    </row>
    <row r="4">
      <c r="B4">
        <f>STDEV('Gold price'!C428:C430)</f>
        <v/>
      </c>
    </row>
    <row r="5">
      <c r="B5">
        <f>B4*SQRT(12)</f>
        <v/>
      </c>
    </row>
    <row r="6">
      <c r="B6">
        <f>STDEV('Gold price'!C419:C430)</f>
        <v/>
      </c>
    </row>
    <row r="9">
      <c r="B9" t="inlineStr">
        <is>
          <t>STEP 2</t>
        </is>
      </c>
    </row>
    <row r="11">
      <c r="B11" t="inlineStr">
        <is>
          <t>Belarus</t>
        </is>
      </c>
      <c r="C11" t="inlineStr">
        <is>
          <t>Georgia</t>
        </is>
      </c>
      <c r="D11" t="inlineStr">
        <is>
          <t>Moldova</t>
        </is>
      </c>
      <c r="E11" t="inlineStr">
        <is>
          <t>Ukraine</t>
        </is>
      </c>
      <c r="F11" t="inlineStr">
        <is>
          <t>Uzbekistan</t>
        </is>
      </c>
      <c r="G11" t="inlineStr">
        <is>
          <t>Czechia International Reserves</t>
        </is>
      </c>
      <c r="H11" t="inlineStr">
        <is>
          <t>Latvia</t>
        </is>
      </c>
      <c r="I11" t="inlineStr">
        <is>
          <t>Lithuania</t>
        </is>
      </c>
      <c r="J11" t="inlineStr">
        <is>
          <t>Slovakia</t>
        </is>
      </c>
    </row>
    <row r="12">
      <c r="B12">
        <f>'Value'!D18</f>
        <v/>
      </c>
      <c r="C12" s="7">
        <f>'Value'!F18</f>
        <v/>
      </c>
      <c r="D12" s="2">
        <f>'Value'!J18</f>
        <v/>
      </c>
      <c r="E12" s="3">
        <f>'Value'!L18</f>
        <v/>
      </c>
      <c r="F12" s="3">
        <f>'Value'!M18</f>
        <v/>
      </c>
      <c r="G12" s="3">
        <f>'Value'!N18</f>
        <v/>
      </c>
      <c r="H12" s="3">
        <f>'Value'!O18</f>
        <v/>
      </c>
      <c r="I12" s="3">
        <f>'Value'!Q18</f>
        <v/>
      </c>
      <c r="J12" s="7">
        <f>'Volume'!H18*3202.82</f>
        <v/>
      </c>
      <c r="K12" s="3" t="n"/>
    </row>
    <row r="13">
      <c r="B13">
        <f>B12*$B$3*$B$5/100</f>
        <v/>
      </c>
      <c r="C13">
        <f>C12*$B$3*$B$5/100</f>
        <v/>
      </c>
      <c r="D13">
        <f>D12*$B$3*$B$5/100</f>
        <v/>
      </c>
      <c r="E13">
        <f>E12*$B$3*$B$5/100</f>
        <v/>
      </c>
      <c r="F13">
        <f>F12*$B$3*$B$5/100</f>
        <v/>
      </c>
      <c r="G13">
        <f>G12*$B$3*$B$5/100</f>
        <v/>
      </c>
      <c r="H13">
        <f>H12*$B$3*$B$5/100</f>
        <v/>
      </c>
      <c r="I13">
        <f>I12*$B$3*$B$5/100</f>
        <v/>
      </c>
      <c r="J13">
        <f>J12*$B$3*$B$5/100</f>
        <v/>
      </c>
    </row>
    <row r="16">
      <c r="B16" t="inlineStr">
        <is>
          <t>STEP 3</t>
        </is>
      </c>
    </row>
    <row r="20">
      <c r="B20" t="inlineStr">
        <is>
          <t>Belarus</t>
        </is>
      </c>
      <c r="C20" t="inlineStr">
        <is>
          <t>Georgia</t>
        </is>
      </c>
      <c r="D20" t="inlineStr">
        <is>
          <t>Moldova</t>
        </is>
      </c>
      <c r="E20" t="inlineStr">
        <is>
          <t>Uzbekistan</t>
        </is>
      </c>
      <c r="F20" t="inlineStr">
        <is>
          <t>Czechia International Reserves</t>
        </is>
      </c>
      <c r="G20" t="inlineStr">
        <is>
          <t>Latvia</t>
        </is>
      </c>
      <c r="H20" t="inlineStr">
        <is>
          <t>Lithuania</t>
        </is>
      </c>
    </row>
    <row r="21">
      <c r="B21">
        <f>'Value'!D18</f>
        <v/>
      </c>
      <c r="C21" s="7">
        <f>'Value'!F18</f>
        <v/>
      </c>
      <c r="D21" s="2">
        <f>'Value'!J18</f>
        <v/>
      </c>
      <c r="E21" s="3">
        <f>'Value'!M18</f>
        <v/>
      </c>
      <c r="F21" s="3">
        <f>'Value'!N18</f>
        <v/>
      </c>
      <c r="G21" s="3">
        <f>'Value'!O18</f>
        <v/>
      </c>
      <c r="H21" s="7">
        <f>'Value'!Q18</f>
        <v/>
      </c>
    </row>
    <row r="22">
      <c r="B22">
        <f>B21*$B$3*$B$5/100</f>
        <v/>
      </c>
      <c r="C22">
        <f>C21*$B$3*$B$5/100</f>
        <v/>
      </c>
      <c r="D22">
        <f>D21*$B$3*$B$5/100</f>
        <v/>
      </c>
      <c r="E22">
        <f>E21*$B$3*$B$5/100</f>
        <v/>
      </c>
      <c r="F22">
        <f>F21*$B$3*$B$5/100</f>
        <v/>
      </c>
      <c r="G22">
        <f>G21*$B$3*$B$5/100</f>
        <v/>
      </c>
      <c r="H22">
        <f>H21*$B$3*$B$5/100</f>
        <v/>
      </c>
    </row>
    <row r="23">
      <c r="B23">
        <f>'Total Reserves'!D18</f>
        <v/>
      </c>
      <c r="C23">
        <f>'Total Reserves'!E18</f>
        <v/>
      </c>
      <c r="D23">
        <f>'Total Reserves'!H18</f>
        <v/>
      </c>
      <c r="E23">
        <f>'Total Reserves'!I18</f>
        <v/>
      </c>
      <c r="F23">
        <f>'Total Reserves'!J18</f>
        <v/>
      </c>
      <c r="G23">
        <f>'Total Reserves'!K18</f>
        <v/>
      </c>
      <c r="H23">
        <f>'Total Reserves'!N18</f>
        <v/>
      </c>
    </row>
    <row r="24">
      <c r="B24">
        <f>B22/B23*100</f>
        <v/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 t="n">
        <v>1.780457776374216</v>
      </c>
    </row>
    <row r="4">
      <c r="A4" s="6" t="inlineStr">
        <is>
          <t>1990M3</t>
        </is>
      </c>
      <c r="B4" t="n">
        <v>392.703338623047</v>
      </c>
      <c r="C4" t="n">
        <v>-6.046586283977909</v>
      </c>
    </row>
    <row r="5">
      <c r="A5" s="6" t="inlineStr">
        <is>
          <t>1990M4</t>
        </is>
      </c>
      <c r="B5" t="n">
        <v>374.292114257813</v>
      </c>
      <c r="C5" t="n">
        <v>-4.801791654598456</v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>
        <f>STDEV(C12:C14)</f>
        <v/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 t="n">
        <v>-0.6780528726893038</v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 t="n">
        <v>2.461602620417575</v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 t="n">
        <v>2.859198968079645</v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 t="n">
        <v>2.55856187175094</v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 t="n">
        <v>2.060839173077648</v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 t="n">
        <v>3.119651738977775</v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 t="n">
        <v>2.991737005258245</v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 t="n">
        <v>6.778549409390701</v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 t="n">
        <v>7.507015517245586</v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 t="n">
        <v>6.932156870972962</v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 t="n">
        <v>5.719964494796631</v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 t="n">
        <v>4.88125825943892</v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 t="n">
        <v>5.088130396309204</v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 t="n">
        <v>-3.756103089503648</v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945.6704545454545</v>
      </c>
      <c r="C235" t="n">
        <v>1.816790056364676</v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996.5909090909091</v>
      </c>
      <c r="C238" t="n">
        <v>4.853649053203063</v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 t="n">
        <v>7.733722783150819</v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 t="n">
        <v>4.821985647768886</v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 t="n">
        <v>-3.294314142595343</v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 t="n">
        <v>4.437598096656903</v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 t="n">
        <v>4.334335084478217</v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 t="n">
        <v>5.091223929172014</v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 t="n">
        <v>0.7034669343598124</v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 t="n">
        <v>1.995443033496427</v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 t="n">
        <v>-4.940198925145393</v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 t="n">
        <v>-4.511510685252753</v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 t="n">
        <v>2.185371482701918</v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 t="n">
        <v>4.039101948105011</v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 t="n">
        <v>1.622601029225622</v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 t="n">
        <v>3.79615866501579</v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 t="n">
        <v>4.662506373010289</v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 t="n">
        <v>-4.587746573017502</v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 t="n">
        <v>1.402004550405033</v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 t="n">
        <v>5.684099837349354</v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 t="n">
        <v>5.896348086842173</v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 t="n">
        <v>5.575112660023874</v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 t="n">
        <v>5.559091853071047</v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 t="n">
        <v>1.968201975105622</v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 t="n">
        <v>6.216174641768052</v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 t="n">
        <v>6.546900669132579</v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 t="n">
        <v>2.412030055045095</v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 t="n">
        <v>-4.444322635179263</v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 t="n">
        <v>-4.695752533612899</v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 t="n">
        <v>5.343208090865859</v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 t="n">
        <v>3.198485829307922</v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 t="n">
        <v>7.619707650321006</v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 t="n">
        <v>6.675726975914571</v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 t="n">
        <v>3.124956690896561</v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2026-01-29T05:53:00Z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