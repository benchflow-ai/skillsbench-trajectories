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ation" sheetId="1" state="visible" r:id="rId1"/>
    <sheet name="Quick Start" sheetId="2" state="visible" r:id="rId2"/>
    <sheet name="PWT" sheetId="3" state="visible" r:id="rId3"/>
    <sheet name="WEO_Data" sheetId="4" state="visible" r:id="rId4"/>
    <sheet name="CFC data" sheetId="5" state="visible" r:id="rId5"/>
    <sheet name="Production" sheetId="6" state="visible" r:id="rId6"/>
    <sheet name="Invest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color rgb="00FFFFFF"/>
      <sz val="16"/>
    </font>
    <font>
      <b val="1"/>
      <color rgb="00FFFFFF"/>
      <sz val="12"/>
    </font>
    <font>
      <b val="1"/>
      <color rgb="00FFFFFF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2" fillId="2" borderId="1" applyAlignment="1" pivotButton="0" quotePrefix="0" xfId="0">
      <alignment wrapText="1"/>
    </xf>
    <xf numFmtId="2" fontId="0" fillId="0" borderId="0" pivotButton="0" quotePrefix="0" xfId="0"/>
    <xf numFmtId="0" fontId="2" fillId="2" borderId="0" pivotButton="0" quotePrefix="0" xfId="0"/>
    <xf numFmtId="0" fontId="4" fillId="3" borderId="0" pivotButton="0" quotePrefix="0" xfId="0"/>
    <xf numFmtId="0" fontId="5" fillId="2" borderId="0" pivotButton="0" quotePrefix="0" xfId="0"/>
    <xf numFmtId="0" fontId="3" fillId="4" borderId="0" pivotButton="0" quotePrefix="0" xfId="0"/>
    <xf numFmtId="0" fontId="6" fillId="5" borderId="0" pivotButton="0" quotePrefix="0" xfId="0"/>
    <xf numFmtId="0" fontId="7" fillId="0" borderId="0" pivotButton="0" quotePrefix="0" xfId="0"/>
    <xf numFmtId="1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35" customWidth="1" min="3" max="3"/>
    <col width="35" customWidth="1" min="4" max="4"/>
  </cols>
  <sheetData>
    <row r="1">
      <c r="A1" s="7" t="inlineStr">
        <is>
          <t>GEORGIA INVESTMENT SHOCK MODEL - DOCUMENTATION</t>
        </is>
      </c>
    </row>
    <row r="3">
      <c r="A3" s="8" t="inlineStr">
        <is>
          <t>MODEL OVERVIEW</t>
        </is>
      </c>
    </row>
    <row r="4">
      <c r="A4" t="inlineStr">
        <is>
          <t>Objective: Estimate the impact of a $6.5 billion investment shock to Georgia's economy (2026-2033) using:</t>
        </is>
      </c>
    </row>
    <row r="5">
      <c r="A5" t="inlineStr">
        <is>
          <t>• Penn World Table (PWT) data for capital stock and productivity</t>
        </is>
      </c>
    </row>
    <row r="6">
      <c r="A6" t="inlineStr">
        <is>
          <t>• IMF World Economic Outlook (WEO) projections for real GDP</t>
        </is>
      </c>
    </row>
    <row r="7">
      <c r="A7" t="inlineStr">
        <is>
          <t>• European Central Bank (ECB) consumption of fixed capital data</t>
        </is>
      </c>
    </row>
    <row r="8">
      <c r="A8" t="inlineStr">
        <is>
          <t>• Hodrick-Prescott (HP) filter to separate trend from cyclical components</t>
        </is>
      </c>
    </row>
    <row r="9">
      <c r="A9" t="inlineStr">
        <is>
          <t>• Cobb-Douglas production function: Y = A * K^α * L^(1-α)</t>
        </is>
      </c>
    </row>
    <row r="11">
      <c r="A11" s="8" t="inlineStr">
        <is>
          <t>DATA SOURCES &amp; SHEETS</t>
        </is>
      </c>
    </row>
    <row r="12">
      <c r="A12" s="9" t="inlineStr">
        <is>
          <t>Sheet Name</t>
        </is>
      </c>
      <c r="B12" s="9" t="inlineStr">
        <is>
          <t>Data Source</t>
        </is>
      </c>
      <c r="C12" s="9" t="inlineStr">
        <is>
          <t>Key Variables</t>
        </is>
      </c>
      <c r="D12" s="9" t="inlineStr">
        <is>
          <t>Coverage</t>
        </is>
      </c>
    </row>
    <row r="13">
      <c r="A13" t="inlineStr">
        <is>
          <t>PWT</t>
        </is>
      </c>
      <c r="B13" t="inlineStr">
        <is>
          <t>Penn World Table 11.0</t>
        </is>
      </c>
      <c r="C13" t="inlineStr">
        <is>
          <t>Capital stock (kn), Real GDP (rgdpna), Population (pop), Capital share (alpha)</t>
        </is>
      </c>
      <c r="D13" t="inlineStr">
        <is>
          <t>2000-2023</t>
        </is>
      </c>
    </row>
    <row r="14">
      <c r="A14" t="inlineStr">
        <is>
          <t>WEO_Data</t>
        </is>
      </c>
      <c r="B14" t="inlineStr">
        <is>
          <t>IMF World Economic Outlook</t>
        </is>
      </c>
      <c r="C14" t="inlineStr">
        <is>
          <t>Real GDP (USD billions), Growth rate (%)</t>
        </is>
      </c>
      <c r="D14" t="inlineStr">
        <is>
          <t>2000-2027 (extended to 2043)</t>
        </is>
      </c>
    </row>
    <row r="15">
      <c r="A15" t="inlineStr">
        <is>
          <t>CFC data</t>
        </is>
      </c>
      <c r="B15" t="inlineStr">
        <is>
          <t>ECB Statistical Data Warehouse</t>
        </is>
      </c>
      <c r="C15" t="inlineStr">
        <is>
          <t>Consumption of fixed capital, Depreciation rate</t>
        </is>
      </c>
      <c r="D15" t="inlineStr">
        <is>
          <t>2000-2023</t>
        </is>
      </c>
    </row>
    <row r="16">
      <c r="A16" t="inlineStr">
        <is>
          <t>Production</t>
        </is>
      </c>
      <c r="B16" t="inlineStr">
        <is>
          <t>Calculated</t>
        </is>
      </c>
      <c r="C16" t="inlineStr">
        <is>
          <t>HP filter, TFP (LnA), Capital allocation</t>
        </is>
      </c>
      <c r="D16" t="inlineStr">
        <is>
          <t>2002-2043</t>
        </is>
      </c>
    </row>
    <row r="17">
      <c r="A17" t="inlineStr">
        <is>
          <t>Investment</t>
        </is>
      </c>
      <c r="B17" t="inlineStr">
        <is>
          <t>Model Input</t>
        </is>
      </c>
      <c r="C17" t="inlineStr">
        <is>
          <t>Annual investment schedule, Capital accumulation</t>
        </is>
      </c>
      <c r="D17" t="inlineStr">
        <is>
          <t>2002-2043</t>
        </is>
      </c>
    </row>
    <row r="19">
      <c r="A19" s="8" t="inlineStr">
        <is>
          <t>METHODOLOGY</t>
        </is>
      </c>
    </row>
    <row r="20">
      <c r="A20" s="3" t="inlineStr">
        <is>
          <t>1. HODRICK-PRESCOTT (HP) FILTER</t>
        </is>
      </c>
    </row>
    <row r="21">
      <c r="A21" t="inlineStr">
        <is>
          <t xml:space="preserve">   Separates trend (LnZ_HP) from cyclical components in total factor productivity</t>
        </is>
      </c>
    </row>
    <row r="22">
      <c r="A22" t="inlineStr">
        <is>
          <t xml:space="preserve">   Smoothing parameter: λ = 100 (standard for annual data)</t>
        </is>
      </c>
    </row>
    <row r="23">
      <c r="A23" t="inlineStr">
        <is>
          <t xml:space="preserve">   Minimize: Σ(LnZ - LnZ_HP)² + λ * Σ(ΔΔ LnZ_HP)²</t>
        </is>
      </c>
    </row>
    <row r="24">
      <c r="A24" t="inlineStr">
        <is>
          <t xml:space="preserve">   Used in Production sheet, rows 6-28</t>
        </is>
      </c>
    </row>
    <row r="25">
      <c r="A25" s="3" t="inlineStr">
        <is>
          <t>2. COBB-DOUGLAS PRODUCTION FUNCTION</t>
        </is>
      </c>
    </row>
    <row r="26">
      <c r="A26" t="inlineStr">
        <is>
          <t xml:space="preserve">   Y = A * K^α * L^(1-α)</t>
        </is>
      </c>
    </row>
    <row r="27">
      <c r="A27" t="inlineStr">
        <is>
          <t xml:space="preserve">   Where: Y = Real output, K = Capital stock, L = Labor (proxied by constant)</t>
        </is>
      </c>
    </row>
    <row r="28">
      <c r="A28" t="inlineStr">
        <is>
          <t xml:space="preserve">   A = Total Factor Productivity (derived from HP filter)</t>
        </is>
      </c>
    </row>
    <row r="29">
      <c r="A29" t="inlineStr">
        <is>
          <t xml:space="preserve">   α = Capital share of income (default: 0.35, can be adjusted in Production!B33)</t>
        </is>
      </c>
    </row>
    <row r="30">
      <c r="A30" s="3" t="inlineStr">
        <is>
          <t>3. PERPETUAL INVENTORY METHOD</t>
        </is>
      </c>
    </row>
    <row r="31">
      <c r="A31" t="inlineStr">
        <is>
          <t xml:space="preserve">   K(t) = I(t) + (1-δ) * K(t-1)</t>
        </is>
      </c>
    </row>
    <row r="32">
      <c r="A32" t="inlineStr">
        <is>
          <t xml:space="preserve">   Where: δ = Annual depreciation rate (calculated as average 2015-2023)</t>
        </is>
      </c>
    </row>
    <row r="33">
      <c r="A33" t="inlineStr">
        <is>
          <t xml:space="preserve">   Used to extend capital stock estimates beyond available data</t>
        </is>
      </c>
    </row>
    <row r="34">
      <c r="A34" s="3" t="inlineStr">
        <is>
          <t>4. INVESTMENT SHOCK SCENARIO</t>
        </is>
      </c>
    </row>
    <row r="35">
      <c r="A35" t="inlineStr">
        <is>
          <t xml:space="preserve">   Total investment: $6.5 billion USD</t>
        </is>
      </c>
    </row>
    <row r="36">
      <c r="A36" t="inlineStr">
        <is>
          <t xml:space="preserve">   Period: 8 years (2026-2033)</t>
        </is>
      </c>
    </row>
    <row r="37">
      <c r="A37" t="inlineStr">
        <is>
          <t xml:space="preserve">   Annual investment: $6.5B / 8 = $0.8125 billion per year</t>
        </is>
      </c>
    </row>
    <row r="38">
      <c r="A38" t="inlineStr">
        <is>
          <t xml:space="preserve">   New capital (dK) accumulates with same depreciation rate</t>
        </is>
      </c>
    </row>
    <row r="39">
      <c r="A39" t="inlineStr">
        <is>
          <t xml:space="preserve">   Output impact calculated using production function</t>
        </is>
      </c>
    </row>
    <row r="41">
      <c r="A41" s="8" t="inlineStr">
        <is>
          <t>HOW TO USE THIS MODEL</t>
        </is>
      </c>
    </row>
    <row r="42">
      <c r="A42" s="3" t="inlineStr">
        <is>
          <t>STEP 1: Review Data Quality</t>
        </is>
      </c>
    </row>
    <row r="43">
      <c r="A43" t="inlineStr">
        <is>
          <t xml:space="preserve">  • WEO_Data: Contains actual GDP (2000-2023) and projections (2024-2043)</t>
        </is>
      </c>
    </row>
    <row r="44">
      <c r="A44" t="inlineStr">
        <is>
          <t xml:space="preserve">  • CFC data: Capital stock estimates with depreciation rate (see row 26)</t>
        </is>
      </c>
    </row>
    <row r="45">
      <c r="A45" t="inlineStr">
        <is>
          <t xml:space="preserve">  • Check Production!B3 = 'CFC data'!B26 for depreciation rate</t>
        </is>
      </c>
    </row>
    <row r="46">
      <c r="A46" s="3" t="inlineStr">
        <is>
          <t>STEP 2: Run HP Filter (SOLVER)</t>
        </is>
      </c>
    </row>
    <row r="47">
      <c r="A47" t="inlineStr">
        <is>
          <t xml:space="preserve">  • Go to Production sheet</t>
        </is>
      </c>
    </row>
    <row r="48">
      <c r="A48" t="inlineStr">
        <is>
          <t xml:space="preserve">  • Open Tools &gt; Solver (or Data &gt; Solver in newer Excel)</t>
        </is>
      </c>
    </row>
    <row r="49">
      <c r="A49" t="inlineStr">
        <is>
          <t xml:space="preserve">  • Set Objective Cell: B29 (minimize sum of squared deviations)</t>
        </is>
      </c>
    </row>
    <row r="50">
      <c r="A50" t="inlineStr">
        <is>
          <t xml:space="preserve">  • By Changing: L6:L28 (HP filtered LnZ values)</t>
        </is>
      </c>
    </row>
    <row r="51">
      <c r="A51" t="inlineStr">
        <is>
          <t xml:space="preserve">  • Click Solve - this extracts trend productivity (LnZ_HP)</t>
        </is>
      </c>
    </row>
    <row r="52">
      <c r="A52" s="3" t="inlineStr">
        <is>
          <t>STEP 3: Review Baseline Scenario (Production sheet rows 47-92)</t>
        </is>
      </c>
    </row>
    <row r="53">
      <c r="A53" t="inlineStr">
        <is>
          <t xml:space="preserve">  • Capital stock (K) and output (Y) without investment shock</t>
        </is>
      </c>
    </row>
    <row r="54">
      <c r="A54" t="inlineStr">
        <is>
          <t xml:space="preserve">  • K/Y ratios and per capita output</t>
        </is>
      </c>
    </row>
    <row r="55">
      <c r="A55" t="inlineStr">
        <is>
          <t xml:space="preserve">  • Total Factor Productivity trends (LnZ_HP)</t>
        </is>
      </c>
    </row>
    <row r="56">
      <c r="A56" s="3" t="inlineStr">
        <is>
          <t>STEP 4: Review Shock Scenario (Production sheet rows 93-138)</t>
        </is>
      </c>
    </row>
    <row r="57">
      <c r="A57" t="inlineStr">
        <is>
          <t xml:space="preserve">  • Capital stock with cumulative $6.5B investment</t>
        </is>
      </c>
    </row>
    <row r="58">
      <c r="A58" t="inlineStr">
        <is>
          <t xml:space="preserve">  • Output differential vs baseline</t>
        </is>
      </c>
    </row>
    <row r="59">
      <c r="A59" t="inlineStr">
        <is>
          <t xml:space="preserve">  • Percentage change in output by year</t>
        </is>
      </c>
    </row>
    <row r="60">
      <c r="A60" s="3" t="inlineStr">
        <is>
          <t>STEP 5: Extract Results</t>
        </is>
      </c>
    </row>
    <row r="61">
      <c r="A61" t="inlineStr">
        <is>
          <t xml:space="preserve">  • Total output gain over 2026-2043 period</t>
        </is>
      </c>
    </row>
    <row r="62">
      <c r="A62" t="inlineStr">
        <is>
          <t xml:space="preserve">  • Average annual output increase</t>
        </is>
      </c>
    </row>
    <row r="63">
      <c r="A63" t="inlineStr">
        <is>
          <t xml:space="preserve">  • Long-term (2043) output level change</t>
        </is>
      </c>
    </row>
    <row r="65">
      <c r="A65" s="8" t="inlineStr">
        <is>
          <t>KEY FORMULAS</t>
        </is>
      </c>
    </row>
    <row r="66">
      <c r="A66" t="inlineStr">
        <is>
          <t>Production!B3 (Depreciation rate):</t>
        </is>
      </c>
    </row>
    <row r="67">
      <c r="A67" t="inlineStr">
        <is>
          <t xml:space="preserve">  ='CFC data'!B26 (Average of 2015-2023)</t>
        </is>
      </c>
    </row>
    <row r="69">
      <c r="A69" t="inlineStr">
        <is>
          <t>Production!D7:D28 (LnK):</t>
        </is>
      </c>
    </row>
    <row r="70">
      <c r="A70" t="inlineStr">
        <is>
          <t xml:space="preserve">  =LN(B7) through LN(B28)</t>
        </is>
      </c>
    </row>
    <row r="72">
      <c r="A72" t="inlineStr">
        <is>
          <t>Production!E7:E28 (LnY):</t>
        </is>
      </c>
    </row>
    <row r="73">
      <c r="A73" t="inlineStr">
        <is>
          <t xml:space="preserve">  =LN(C7) through LN(C28)</t>
        </is>
      </c>
    </row>
    <row r="75">
      <c r="A75" t="inlineStr">
        <is>
          <t>Production!F7:F28 (Z = Y/K^α):</t>
        </is>
      </c>
    </row>
    <row r="76">
      <c r="A76" t="inlineStr">
        <is>
          <t xml:space="preserve">  =C7/(B7^$B$33) - Divide output by capital raised to capital share power</t>
        </is>
      </c>
    </row>
    <row r="78">
      <c r="A78" t="inlineStr">
        <is>
          <t>Production!B29 (Objective function):</t>
        </is>
      </c>
    </row>
    <row r="79">
      <c r="A79" t="inlineStr">
        <is>
          <t xml:space="preserve">  =SUM(O7:O28) where O7:O28 = (DD2)² (squared second differences)</t>
        </is>
      </c>
    </row>
    <row r="81">
      <c r="A81" t="inlineStr">
        <is>
          <t>Investment!E10:E51 (K without shock):</t>
        </is>
      </c>
    </row>
    <row r="82">
      <c r="A82" t="inlineStr">
        <is>
          <t xml:space="preserve">  ='CFC data'!B&lt;row&gt; for 2000-2023, then K(t-1)*(1-δ) for 2024+</t>
        </is>
      </c>
    </row>
  </sheetData>
  <mergeCells count="6">
    <mergeCell ref="A1:D1"/>
    <mergeCell ref="A3:D3"/>
    <mergeCell ref="A65:D65"/>
    <mergeCell ref="A41:D41"/>
    <mergeCell ref="A19:D19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</cols>
  <sheetData>
    <row r="1">
      <c r="A1" s="10" t="inlineStr">
        <is>
          <t>QUICK START GUIDE - Georgia Investment Shock Model</t>
        </is>
      </c>
    </row>
    <row r="3">
      <c r="A3" s="11" t="inlineStr">
        <is>
          <t>INVESTMENT SHOCK PARAMETERS</t>
        </is>
      </c>
    </row>
    <row r="4">
      <c r="A4" t="inlineStr">
        <is>
          <t>Total Investment:</t>
        </is>
      </c>
      <c r="B4" t="n">
        <v>6.5</v>
      </c>
      <c r="C4" t="inlineStr">
        <is>
          <t>USD Billions</t>
        </is>
      </c>
    </row>
    <row r="5">
      <c r="A5" t="inlineStr">
        <is>
          <t>Period:</t>
        </is>
      </c>
      <c r="B5" t="inlineStr">
        <is>
          <t>2026-2033</t>
        </is>
      </c>
      <c r="C5" t="inlineStr">
        <is>
          <t>(8 years)</t>
        </is>
      </c>
    </row>
    <row r="6">
      <c r="A6" t="inlineStr">
        <is>
          <t>Annual Average:</t>
        </is>
      </c>
      <c r="B6">
        <f>B4/8</f>
        <v/>
      </c>
      <c r="C6" t="inlineStr">
        <is>
          <t>USD Billions</t>
        </is>
      </c>
    </row>
    <row r="8">
      <c r="A8" s="11" t="inlineStr">
        <is>
          <t>DATA COVERAGE</t>
        </is>
      </c>
    </row>
    <row r="9">
      <c r="A9" t="inlineStr">
        <is>
          <t>Real GDP (Actual):</t>
        </is>
      </c>
      <c r="B9" t="inlineStr">
        <is>
          <t>2000-2023</t>
        </is>
      </c>
    </row>
    <row r="10">
      <c r="A10" t="inlineStr">
        <is>
          <t>Real GDP (Projected):</t>
        </is>
      </c>
      <c r="B10" t="inlineStr">
        <is>
          <t>2024-2043</t>
        </is>
      </c>
    </row>
    <row r="11">
      <c r="A11" t="inlineStr">
        <is>
          <t>Depreciation Rate:</t>
        </is>
      </c>
      <c r="B11">
        <f>Production!B3</f>
        <v/>
      </c>
      <c r="C11" t="inlineStr">
        <is>
          <t>Annual %</t>
        </is>
      </c>
    </row>
    <row r="12">
      <c r="A12" t="inlineStr">
        <is>
          <t>Capital Share:</t>
        </is>
      </c>
      <c r="B12">
        <f>Production!B33</f>
        <v/>
      </c>
      <c r="C12" t="inlineStr">
        <is>
          <t>(Default: 0.35)</t>
        </is>
      </c>
    </row>
    <row r="14">
      <c r="A14" s="11" t="inlineStr">
        <is>
          <t>SOLVER SETUP (To Run HP Filter)</t>
        </is>
      </c>
    </row>
    <row r="15">
      <c r="A15" t="inlineStr">
        <is>
          <t>Location: Production sheet</t>
        </is>
      </c>
    </row>
    <row r="16">
      <c r="A16" t="inlineStr">
        <is>
          <t>Step 1: Go to Data menu &gt; Solver</t>
        </is>
      </c>
    </row>
    <row r="17">
      <c r="A17" t="inlineStr">
        <is>
          <t>Step 2: Set Objective Cell: B29</t>
        </is>
      </c>
    </row>
    <row r="18">
      <c r="A18" t="inlineStr">
        <is>
          <t>Step 3: Set to: Minimum</t>
        </is>
      </c>
    </row>
    <row r="19">
      <c r="A19" t="inlineStr">
        <is>
          <t>Step 4: By Changing Cells: L6:L28</t>
        </is>
      </c>
    </row>
    <row r="20">
      <c r="A20" t="inlineStr">
        <is>
          <t>Step 5: Click Solve button</t>
        </is>
      </c>
    </row>
    <row r="21"/>
    <row r="22">
      <c r="A22" t="inlineStr">
        <is>
          <t>Expected Result: LnZ_HP values will be smoothed to minimize:</t>
        </is>
      </c>
    </row>
    <row r="23">
      <c r="A23" t="inlineStr">
        <is>
          <t xml:space="preserve">  Σ(LnZ - LnZ_HP)² + λ * Σ(ΔΔ LnZ_HP)²</t>
        </is>
      </c>
    </row>
    <row r="25">
      <c r="A25" s="11" t="inlineStr">
        <is>
          <t>KEY OUTPUT LOCATIONS</t>
        </is>
      </c>
    </row>
    <row r="26">
      <c r="A26" t="inlineStr">
        <is>
          <t>Baseline Scenario (No Shock):</t>
        </is>
      </c>
      <c r="B26" t="inlineStr">
        <is>
          <t>Production sheet rows 47-92</t>
        </is>
      </c>
    </row>
    <row r="27">
      <c r="A27" t="inlineStr">
        <is>
          <t>Investment Shock Scenario:</t>
        </is>
      </c>
      <c r="B27" t="inlineStr">
        <is>
          <t>Production sheet rows 93-138</t>
        </is>
      </c>
    </row>
    <row r="28">
      <c r="A28" t="inlineStr">
        <is>
          <t>Capital Stock Estimates:</t>
        </is>
      </c>
      <c r="B28" t="inlineStr">
        <is>
          <t>CFC data sheet, column B</t>
        </is>
      </c>
    </row>
    <row r="30">
      <c r="A30" s="11" t="inlineStr">
        <is>
          <t>INTERPRETATION GUIDE</t>
        </is>
      </c>
    </row>
    <row r="31">
      <c r="A31" t="inlineStr">
        <is>
          <t>K (Capital Stock):</t>
        </is>
      </c>
      <c r="B31" t="inlineStr">
        <is>
          <t>Total accumulated productive capital</t>
        </is>
      </c>
    </row>
    <row r="32">
      <c r="A32" t="inlineStr">
        <is>
          <t>Y (Output):</t>
        </is>
      </c>
      <c r="B32" t="inlineStr">
        <is>
          <t>Real GDP at constant 2017 prices</t>
        </is>
      </c>
    </row>
    <row r="33">
      <c r="A33" t="inlineStr">
        <is>
          <t>LnZ_HP:</t>
        </is>
      </c>
      <c r="B33" t="inlineStr">
        <is>
          <t>Trend total factor productivity (log scale)</t>
        </is>
      </c>
    </row>
    <row r="34">
      <c r="A34" t="inlineStr">
        <is>
          <t>Y Differential:</t>
        </is>
      </c>
      <c r="B34" t="inlineStr">
        <is>
          <t>Output gain from investment vs baseline</t>
        </is>
      </c>
    </row>
    <row r="35">
      <c r="A35" t="inlineStr">
        <is>
          <t>Y % Change:</t>
        </is>
      </c>
      <c r="B35" t="inlineStr">
        <is>
          <t>Percentage increase in output from shock</t>
        </is>
      </c>
    </row>
    <row r="37">
      <c r="A37" s="11" t="inlineStr">
        <is>
          <t>NOTES &amp; ASSUMPTIONS</t>
        </is>
      </c>
    </row>
    <row r="38">
      <c r="A38" t="inlineStr">
        <is>
          <t>• Capital stock 2000-2014 estimated using perpetual inventory method</t>
        </is>
      </c>
    </row>
    <row r="39">
      <c r="A39" t="inlineStr">
        <is>
          <t>• Depreciation rate (δ) = average CFC/K for 2015-2023</t>
        </is>
      </c>
    </row>
    <row r="40">
      <c r="A40" t="inlineStr">
        <is>
          <t>• Real GDP extended to 2043 using 2023 growth rate (7.8%)</t>
        </is>
      </c>
    </row>
    <row r="41">
      <c r="A41" t="inlineStr">
        <is>
          <t>• HP filter: λ=100 standard for annual economic data</t>
        </is>
      </c>
    </row>
    <row r="42">
      <c r="A42" t="inlineStr">
        <is>
          <t>• Capital share (α=0.35) typical for middle-income countries</t>
        </is>
      </c>
    </row>
    <row r="43">
      <c r="A43" t="inlineStr">
        <is>
          <t>• Investment shock added directly to capital stock accumulation</t>
        </is>
      </c>
    </row>
    <row r="44">
      <c r="A44" t="inlineStr">
        <is>
          <t>• No behavioral responses or general equilibrium adjustments modeled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1" t="inlineStr">
        <is>
          <t>PWT Data for Georgia</t>
        </is>
      </c>
    </row>
    <row r="3">
      <c r="A3" s="2" t="inlineStr">
        <is>
          <t>Variable</t>
        </is>
      </c>
      <c r="B3" s="2" t="inlineStr">
        <is>
          <t>Year</t>
        </is>
      </c>
      <c r="C3" s="2" t="inlineStr">
        <is>
          <t>Value</t>
        </is>
      </c>
    </row>
    <row r="4">
      <c r="A4" t="inlineStr">
        <is>
          <t>Population (millions)</t>
        </is>
      </c>
      <c r="B4" t="inlineStr">
        <is>
          <t>kn</t>
        </is>
      </c>
    </row>
    <row r="5">
      <c r="A5" t="n">
        <v>2000</v>
      </c>
      <c r="B5" t="n">
        <v>2000</v>
      </c>
      <c r="C5" t="n">
        <v>4.077131</v>
      </c>
    </row>
    <row r="6">
      <c r="A6" t="n">
        <v>2001</v>
      </c>
      <c r="B6" t="n">
        <v>2001</v>
      </c>
      <c r="C6" t="n">
        <v>4.014373</v>
      </c>
    </row>
    <row r="7">
      <c r="A7" t="n">
        <v>2002</v>
      </c>
      <c r="B7" t="n">
        <v>2002</v>
      </c>
      <c r="C7" t="n">
        <v>3.978515</v>
      </c>
    </row>
    <row r="8">
      <c r="A8" t="n">
        <v>2003</v>
      </c>
      <c r="B8" t="n">
        <v>2003</v>
      </c>
      <c r="C8" t="n">
        <v>3.951736</v>
      </c>
    </row>
    <row r="9">
      <c r="A9" t="n">
        <v>2004</v>
      </c>
      <c r="B9" t="n">
        <v>2004</v>
      </c>
      <c r="C9" t="n">
        <v>3.92734</v>
      </c>
    </row>
    <row r="10">
      <c r="A10" t="n">
        <v>2005</v>
      </c>
      <c r="B10" t="n">
        <v>2005</v>
      </c>
      <c r="C10" t="n">
        <v>3.902469</v>
      </c>
    </row>
    <row r="11">
      <c r="A11" t="n">
        <v>2006</v>
      </c>
      <c r="B11" t="n">
        <v>2006</v>
      </c>
      <c r="C11" t="n">
        <v>3.880347</v>
      </c>
    </row>
    <row r="12">
      <c r="A12" t="n">
        <v>2007</v>
      </c>
      <c r="B12" t="n">
        <v>2007</v>
      </c>
      <c r="C12" t="n">
        <v>3.860158</v>
      </c>
    </row>
    <row r="13">
      <c r="A13" t="n">
        <v>2008</v>
      </c>
      <c r="B13" t="n">
        <v>2008</v>
      </c>
      <c r="C13" t="n">
        <v>3.848449</v>
      </c>
    </row>
    <row r="14">
      <c r="A14" t="n">
        <v>2009</v>
      </c>
      <c r="B14" t="n">
        <v>2009</v>
      </c>
      <c r="C14" t="n">
        <v>3.814419</v>
      </c>
    </row>
    <row r="15">
      <c r="A15" t="n">
        <v>2010</v>
      </c>
      <c r="B15" t="n">
        <v>2010</v>
      </c>
      <c r="C15" t="n">
        <v>3.786695</v>
      </c>
    </row>
    <row r="16">
      <c r="A16" t="n">
        <v>2011</v>
      </c>
      <c r="B16" t="n">
        <v>2011</v>
      </c>
      <c r="C16" t="n">
        <v>3.756441</v>
      </c>
    </row>
    <row r="17">
      <c r="A17" t="n">
        <v>2012</v>
      </c>
      <c r="B17" t="n">
        <v>2012</v>
      </c>
      <c r="C17" t="n">
        <v>3.728874</v>
      </c>
    </row>
    <row r="18">
      <c r="A18" t="n">
        <v>2013</v>
      </c>
      <c r="B18" t="n">
        <v>2013</v>
      </c>
      <c r="C18" t="n">
        <v>3.717668</v>
      </c>
    </row>
    <row r="19">
      <c r="A19" t="n">
        <v>2014</v>
      </c>
      <c r="B19" t="n">
        <v>2014</v>
      </c>
      <c r="C19" t="n">
        <v>3.719414</v>
      </c>
    </row>
    <row r="20">
      <c r="A20" t="n">
        <v>2015</v>
      </c>
      <c r="B20" t="n">
        <v>2015</v>
      </c>
      <c r="C20" t="n">
        <v>3.725276</v>
      </c>
    </row>
    <row r="21">
      <c r="A21" t="n">
        <v>2016</v>
      </c>
      <c r="B21" t="n">
        <v>2016</v>
      </c>
      <c r="C21" t="n">
        <v>3.727505</v>
      </c>
    </row>
    <row r="22">
      <c r="A22" t="n">
        <v>2017</v>
      </c>
      <c r="B22" t="n">
        <v>2017</v>
      </c>
      <c r="C22" t="n">
        <v>3.728004</v>
      </c>
    </row>
    <row r="23">
      <c r="A23" t="n">
        <v>2018</v>
      </c>
      <c r="B23" t="n">
        <v>2018</v>
      </c>
      <c r="C23" t="n">
        <v>3.726549</v>
      </c>
    </row>
    <row r="24">
      <c r="A24" t="n">
        <v>2019</v>
      </c>
      <c r="B24" t="n">
        <v>2019</v>
      </c>
      <c r="C24" t="n">
        <v>3.720161</v>
      </c>
    </row>
    <row r="25">
      <c r="A25" t="n">
        <v>2020</v>
      </c>
      <c r="B25" t="n">
        <v>2020</v>
      </c>
      <c r="C25" t="n">
        <v>3.722716</v>
      </c>
    </row>
    <row r="26">
      <c r="A26" t="n">
        <v>2021</v>
      </c>
      <c r="B26" t="n">
        <v>2021</v>
      </c>
      <c r="C26" t="n">
        <v>3.70861</v>
      </c>
    </row>
    <row r="27">
      <c r="A27" t="n">
        <v>2022</v>
      </c>
      <c r="B27" t="n">
        <v>2022</v>
      </c>
      <c r="C27" t="n">
        <v>3.712502</v>
      </c>
    </row>
    <row r="28">
      <c r="A28" t="n">
        <v>2023</v>
      </c>
      <c r="B28" t="n">
        <v>2023</v>
      </c>
      <c r="C28" t="n">
        <v>3.715483</v>
      </c>
    </row>
    <row r="29">
      <c r="A29" t="inlineStr">
        <is>
          <t>Real GDP (millions 2017 USD)</t>
        </is>
      </c>
    </row>
    <row r="30">
      <c r="A30" t="n">
        <v>2000</v>
      </c>
      <c r="B30" t="n">
        <v>2000</v>
      </c>
      <c r="C30">
        <f>INDEX($'WEO_Data'!$B$4:$B$27,MATCH(2000,$'WEO_Data'!$A$4:$A$27,0))*2015/INDEX($'WEO_Data'!$B$4:$B$27,MATCH(2015,$'WEO_Data'!$A$4:$A$27,0))</f>
        <v/>
      </c>
    </row>
    <row r="31">
      <c r="A31" t="n">
        <v>2001</v>
      </c>
      <c r="B31" t="n">
        <v>2001</v>
      </c>
      <c r="C31">
        <f>INDEX($'WEO_Data'!$B$4:$B$27,MATCH(2001,$'WEO_Data'!$A$4:$A$27,0))*2015/INDEX($'WEO_Data'!$B$4:$B$27,MATCH(2015,$'WEO_Data'!$A$4:$A$27,0))</f>
        <v/>
      </c>
    </row>
    <row r="32">
      <c r="A32" t="n">
        <v>2002</v>
      </c>
      <c r="B32" t="n">
        <v>2002</v>
      </c>
      <c r="C32">
        <f>INDEX($'WEO_Data'!$B$4:$B$27,MATCH(2002,$'WEO_Data'!$A$4:$A$27,0))*2015/INDEX($'WEO_Data'!$B$4:$B$27,MATCH(2015,$'WEO_Data'!$A$4:$A$27,0))</f>
        <v/>
      </c>
    </row>
    <row r="33">
      <c r="A33" t="n">
        <v>2003</v>
      </c>
      <c r="B33" t="n">
        <v>2003</v>
      </c>
      <c r="C33">
        <f>INDEX($'WEO_Data'!$B$4:$B$27,MATCH(2003,$'WEO_Data'!$A$4:$A$27,0))*2015/INDEX($'WEO_Data'!$B$4:$B$27,MATCH(2015,$'WEO_Data'!$A$4:$A$27,0))</f>
        <v/>
      </c>
    </row>
    <row r="34">
      <c r="A34" t="n">
        <v>2004</v>
      </c>
      <c r="B34" t="n">
        <v>2004</v>
      </c>
      <c r="C34">
        <f>INDEX($'WEO_Data'!$B$4:$B$27,MATCH(2004,$'WEO_Data'!$A$4:$A$27,0))*2015/INDEX($'WEO_Data'!$B$4:$B$27,MATCH(2015,$'WEO_Data'!$A$4:$A$27,0))</f>
        <v/>
      </c>
    </row>
    <row r="35">
      <c r="A35" t="n">
        <v>2005</v>
      </c>
      <c r="B35" t="n">
        <v>2005</v>
      </c>
      <c r="C35">
        <f>INDEX($'WEO_Data'!$B$4:$B$27,MATCH(2005,$'WEO_Data'!$A$4:$A$27,0))*2015/INDEX($'WEO_Data'!$B$4:$B$27,MATCH(2015,$'WEO_Data'!$A$4:$A$27,0))</f>
        <v/>
      </c>
    </row>
    <row r="36">
      <c r="A36" t="n">
        <v>2006</v>
      </c>
      <c r="B36" t="n">
        <v>2006</v>
      </c>
      <c r="C36">
        <f>INDEX($'WEO_Data'!$B$4:$B$27,MATCH(2006,$'WEO_Data'!$A$4:$A$27,0))*2015/INDEX($'WEO_Data'!$B$4:$B$27,MATCH(2015,$'WEO_Data'!$A$4:$A$27,0))</f>
        <v/>
      </c>
    </row>
    <row r="37">
      <c r="A37" t="n">
        <v>2007</v>
      </c>
      <c r="B37" t="n">
        <v>2007</v>
      </c>
      <c r="C37">
        <f>INDEX($'WEO_Data'!$B$4:$B$27,MATCH(2007,$'WEO_Data'!$A$4:$A$27,0))*2015/INDEX($'WEO_Data'!$B$4:$B$27,MATCH(2015,$'WEO_Data'!$A$4:$A$27,0))</f>
        <v/>
      </c>
    </row>
    <row r="38">
      <c r="A38" t="n">
        <v>2008</v>
      </c>
      <c r="B38" t="n">
        <v>2008</v>
      </c>
      <c r="C38">
        <f>INDEX($'WEO_Data'!$B$4:$B$27,MATCH(2008,$'WEO_Data'!$A$4:$A$27,0))*2015/INDEX($'WEO_Data'!$B$4:$B$27,MATCH(2015,$'WEO_Data'!$A$4:$A$27,0))</f>
        <v/>
      </c>
    </row>
    <row r="39">
      <c r="A39" t="n">
        <v>2009</v>
      </c>
      <c r="B39" t="n">
        <v>2009</v>
      </c>
      <c r="C39">
        <f>INDEX($'WEO_Data'!$B$4:$B$27,MATCH(2009,$'WEO_Data'!$A$4:$A$27,0))*2015/INDEX($'WEO_Data'!$B$4:$B$27,MATCH(2015,$'WEO_Data'!$A$4:$A$27,0))</f>
        <v/>
      </c>
    </row>
    <row r="40">
      <c r="A40" t="n">
        <v>2010</v>
      </c>
      <c r="B40" t="n">
        <v>2010</v>
      </c>
      <c r="C40">
        <f>INDEX($'WEO_Data'!$B$4:$B$27,MATCH(2010,$'WEO_Data'!$A$4:$A$27,0))*2015/INDEX($'WEO_Data'!$B$4:$B$27,MATCH(2015,$'WEO_Data'!$A$4:$A$27,0))</f>
        <v/>
      </c>
    </row>
    <row r="41">
      <c r="A41" t="n">
        <v>2011</v>
      </c>
      <c r="B41" t="n">
        <v>2011</v>
      </c>
      <c r="C41">
        <f>INDEX($'WEO_Data'!$B$4:$B$27,MATCH(2011,$'WEO_Data'!$A$4:$A$27,0))*2015/INDEX($'WEO_Data'!$B$4:$B$27,MATCH(2015,$'WEO_Data'!$A$4:$A$27,0))</f>
        <v/>
      </c>
    </row>
    <row r="42">
      <c r="A42" t="n">
        <v>2012</v>
      </c>
      <c r="B42" t="n">
        <v>2012</v>
      </c>
      <c r="C42">
        <f>INDEX($'WEO_Data'!$B$4:$B$27,MATCH(2012,$'WEO_Data'!$A$4:$A$27,0))*2015/INDEX($'WEO_Data'!$B$4:$B$27,MATCH(2015,$'WEO_Data'!$A$4:$A$27,0))</f>
        <v/>
      </c>
    </row>
    <row r="43">
      <c r="A43" t="n">
        <v>2013</v>
      </c>
      <c r="B43" t="n">
        <v>2013</v>
      </c>
      <c r="C43">
        <f>INDEX($'WEO_Data'!$B$4:$B$27,MATCH(2013,$'WEO_Data'!$A$4:$A$27,0))*2015/INDEX($'WEO_Data'!$B$4:$B$27,MATCH(2015,$'WEO_Data'!$A$4:$A$27,0))</f>
        <v/>
      </c>
    </row>
    <row r="44">
      <c r="A44" t="n">
        <v>2014</v>
      </c>
      <c r="B44" t="n">
        <v>2014</v>
      </c>
      <c r="C44">
        <f>INDEX($'WEO_Data'!$B$4:$B$27,MATCH(2014,$'WEO_Data'!$A$4:$A$27,0))*2015/INDEX($'WEO_Data'!$B$4:$B$27,MATCH(2015,$'WEO_Data'!$A$4:$A$27,0))</f>
        <v/>
      </c>
    </row>
    <row r="45">
      <c r="A45" t="n">
        <v>2015</v>
      </c>
      <c r="B45" t="n">
        <v>2015</v>
      </c>
      <c r="C45" t="n">
        <v>53396.74</v>
      </c>
    </row>
    <row r="46">
      <c r="A46" t="n">
        <v>2016</v>
      </c>
      <c r="B46" t="n">
        <v>2016</v>
      </c>
      <c r="C46" t="n">
        <v>54948.36</v>
      </c>
    </row>
    <row r="47">
      <c r="A47" t="n">
        <v>2017</v>
      </c>
      <c r="B47" t="n">
        <v>2017</v>
      </c>
      <c r="C47" t="n">
        <v>57609.71</v>
      </c>
    </row>
    <row r="48">
      <c r="A48" t="n">
        <v>2018</v>
      </c>
      <c r="B48" t="n">
        <v>2018</v>
      </c>
      <c r="C48" t="n">
        <v>60399.59</v>
      </c>
    </row>
    <row r="49">
      <c r="A49" t="n">
        <v>2019</v>
      </c>
      <c r="B49" t="n">
        <v>2019</v>
      </c>
      <c r="C49" t="n">
        <v>63508.82</v>
      </c>
    </row>
    <row r="50">
      <c r="A50" t="n">
        <v>2020</v>
      </c>
      <c r="B50" t="n">
        <v>2020</v>
      </c>
    </row>
    <row r="51">
      <c r="A51" t="n">
        <v>2021</v>
      </c>
      <c r="B51" t="n">
        <v>2021</v>
      </c>
    </row>
    <row r="52">
      <c r="A52" t="n">
        <v>2022</v>
      </c>
      <c r="B52" t="n">
        <v>2022</v>
      </c>
    </row>
    <row r="53">
      <c r="A53" t="n">
        <v>2023</v>
      </c>
      <c r="B53" t="n">
        <v>2023</v>
      </c>
    </row>
    <row r="54">
      <c r="A54" t="inlineStr">
        <is>
          <t>Capital Stock (millions 2017 USD)</t>
        </is>
      </c>
    </row>
    <row r="55">
      <c r="A55" t="n">
        <v>2000</v>
      </c>
      <c r="B55" t="n">
        <v>2000</v>
      </c>
    </row>
    <row r="56">
      <c r="A56" t="n">
        <v>2001</v>
      </c>
      <c r="B56" t="n">
        <v>2001</v>
      </c>
    </row>
    <row r="57">
      <c r="A57" t="n">
        <v>2002</v>
      </c>
      <c r="B57" t="n">
        <v>2002</v>
      </c>
    </row>
    <row r="58">
      <c r="A58" t="n">
        <v>2003</v>
      </c>
      <c r="B58" t="n">
        <v>2003</v>
      </c>
    </row>
    <row r="59">
      <c r="A59" t="n">
        <v>2004</v>
      </c>
      <c r="B59" t="n">
        <v>2004</v>
      </c>
    </row>
    <row r="60">
      <c r="A60" t="n">
        <v>2005</v>
      </c>
      <c r="B60" t="n">
        <v>2005</v>
      </c>
    </row>
    <row r="61">
      <c r="A61" t="n">
        <v>2006</v>
      </c>
      <c r="B61" t="n">
        <v>2006</v>
      </c>
    </row>
    <row r="62">
      <c r="A62" t="n">
        <v>2007</v>
      </c>
      <c r="B62" t="n">
        <v>2007</v>
      </c>
    </row>
    <row r="63">
      <c r="A63" t="n">
        <v>2008</v>
      </c>
      <c r="B63" t="n">
        <v>2008</v>
      </c>
    </row>
    <row r="64">
      <c r="A64" t="n">
        <v>2009</v>
      </c>
      <c r="B64" t="n">
        <v>2009</v>
      </c>
    </row>
    <row r="65">
      <c r="A65" t="n">
        <v>2010</v>
      </c>
      <c r="B65" t="n">
        <v>2010</v>
      </c>
    </row>
    <row r="66">
      <c r="A66" t="n">
        <v>2011</v>
      </c>
      <c r="B66" t="n">
        <v>2011</v>
      </c>
    </row>
    <row r="67">
      <c r="A67" t="n">
        <v>2012</v>
      </c>
      <c r="B67" t="n">
        <v>2012</v>
      </c>
    </row>
    <row r="68">
      <c r="A68" t="n">
        <v>2013</v>
      </c>
      <c r="B68" t="n">
        <v>2013</v>
      </c>
    </row>
    <row r="69">
      <c r="A69" t="n">
        <v>2014</v>
      </c>
      <c r="B69" t="n">
        <v>2014</v>
      </c>
    </row>
    <row r="70">
      <c r="A70" t="n">
        <v>2015</v>
      </c>
      <c r="B70" t="n">
        <v>2015</v>
      </c>
      <c r="C70" t="n">
        <v>169610.14</v>
      </c>
    </row>
    <row r="71">
      <c r="A71" t="n">
        <v>2016</v>
      </c>
      <c r="B71" t="n">
        <v>2016</v>
      </c>
      <c r="C71" t="n">
        <v>210339.3</v>
      </c>
    </row>
    <row r="72">
      <c r="A72" t="n">
        <v>2017</v>
      </c>
      <c r="B72" t="n">
        <v>2017</v>
      </c>
      <c r="C72" t="n">
        <v>248033.09</v>
      </c>
    </row>
    <row r="73">
      <c r="A73" t="n">
        <v>2018</v>
      </c>
      <c r="B73" t="n">
        <v>2018</v>
      </c>
      <c r="C73" t="n">
        <v>254089.67</v>
      </c>
    </row>
    <row r="74">
      <c r="A74" t="n">
        <v>2019</v>
      </c>
      <c r="B74" t="n">
        <v>2019</v>
      </c>
      <c r="C74" t="n">
        <v>263192.13</v>
      </c>
    </row>
    <row r="75">
      <c r="A75" t="n">
        <v>2020</v>
      </c>
      <c r="B75" t="n">
        <v>2020</v>
      </c>
    </row>
    <row r="76">
      <c r="A76" t="n">
        <v>2021</v>
      </c>
      <c r="B76" t="n">
        <v>2021</v>
      </c>
    </row>
    <row r="77">
      <c r="A77" t="n">
        <v>2022</v>
      </c>
      <c r="B77" t="n">
        <v>2022</v>
      </c>
    </row>
    <row r="78">
      <c r="A78" t="n">
        <v>2023</v>
      </c>
      <c r="B78" t="n">
        <v>2023</v>
      </c>
    </row>
    <row r="79">
      <c r="A79" t="inlineStr">
        <is>
          <t>Capital Share (alpha)</t>
        </is>
      </c>
    </row>
    <row r="80">
      <c r="C80" t="n">
        <v>0.35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15" customWidth="1" min="4" max="4"/>
  </cols>
  <sheetData>
    <row r="1">
      <c r="A1" s="1" t="inlineStr">
        <is>
          <t>IMF WEO Data - Georgia</t>
        </is>
      </c>
    </row>
    <row r="3">
      <c r="A3" s="2" t="inlineStr">
        <is>
          <t>Year</t>
        </is>
      </c>
      <c r="B3" s="2" t="inlineStr">
        <is>
          <t>Real GDP (USD Billions)</t>
        </is>
      </c>
      <c r="C3" s="2" t="inlineStr">
        <is>
          <t>Growth Rate (%)</t>
        </is>
      </c>
      <c r="D3" s="2" t="inlineStr">
        <is>
          <t>Projected</t>
        </is>
      </c>
    </row>
    <row r="4">
      <c r="A4" t="n">
        <v>2000</v>
      </c>
      <c r="B4" t="n">
        <v>3057</v>
      </c>
      <c r="C4" t="n">
        <v>1.9</v>
      </c>
      <c r="D4" t="inlineStr">
        <is>
          <t>Actual</t>
        </is>
      </c>
    </row>
    <row r="5">
      <c r="A5" t="n">
        <v>2001</v>
      </c>
      <c r="B5" t="n">
        <v>3219</v>
      </c>
      <c r="C5" t="n">
        <v>4.8</v>
      </c>
      <c r="D5" t="inlineStr">
        <is>
          <t>Actual</t>
        </is>
      </c>
    </row>
    <row r="6">
      <c r="A6" t="n">
        <v>2002</v>
      </c>
      <c r="B6" t="n">
        <v>3396</v>
      </c>
      <c r="C6" t="n">
        <v>5.5</v>
      </c>
      <c r="D6" t="inlineStr">
        <is>
          <t>Actual</t>
        </is>
      </c>
    </row>
    <row r="7">
      <c r="A7" t="n">
        <v>2003</v>
      </c>
      <c r="B7" t="n">
        <v>3991</v>
      </c>
      <c r="C7" t="n">
        <v>11.2</v>
      </c>
      <c r="D7" t="inlineStr">
        <is>
          <t>Actual</t>
        </is>
      </c>
    </row>
    <row r="8">
      <c r="A8" t="n">
        <v>2004</v>
      </c>
      <c r="B8" t="n">
        <v>5125</v>
      </c>
      <c r="C8" t="n">
        <v>5.8</v>
      </c>
      <c r="D8" t="inlineStr">
        <is>
          <t>Actual</t>
        </is>
      </c>
    </row>
    <row r="9">
      <c r="A9" t="n">
        <v>2005</v>
      </c>
      <c r="B9" t="n">
        <v>6411</v>
      </c>
      <c r="C9" t="n">
        <v>9.6</v>
      </c>
      <c r="D9" t="inlineStr">
        <is>
          <t>Actual</t>
        </is>
      </c>
    </row>
    <row r="10">
      <c r="A10" t="n">
        <v>2006</v>
      </c>
      <c r="B10" t="n">
        <v>7745</v>
      </c>
      <c r="C10" t="n">
        <v>9.4</v>
      </c>
      <c r="D10" t="inlineStr">
        <is>
          <t>Actual</t>
        </is>
      </c>
    </row>
    <row r="11">
      <c r="A11" t="n">
        <v>2007</v>
      </c>
      <c r="B11" t="n">
        <v>10173</v>
      </c>
      <c r="C11" t="n">
        <v>12.6</v>
      </c>
      <c r="D11" t="inlineStr">
        <is>
          <t>Actual</t>
        </is>
      </c>
    </row>
    <row r="12">
      <c r="A12" t="n">
        <v>2008</v>
      </c>
      <c r="B12" t="n">
        <v>12795</v>
      </c>
      <c r="C12" t="n">
        <v>2.4</v>
      </c>
      <c r="D12" t="inlineStr">
        <is>
          <t>Actual</t>
        </is>
      </c>
    </row>
    <row r="13">
      <c r="A13" t="n">
        <v>2009</v>
      </c>
      <c r="B13" t="n">
        <v>10767</v>
      </c>
      <c r="C13" t="n">
        <v>-3.7</v>
      </c>
      <c r="D13" t="inlineStr">
        <is>
          <t>Actual</t>
        </is>
      </c>
    </row>
    <row r="14">
      <c r="A14" t="n">
        <v>2010</v>
      </c>
      <c r="B14" t="n">
        <v>12427</v>
      </c>
      <c r="C14" t="n">
        <v>6.9</v>
      </c>
      <c r="D14" t="inlineStr">
        <is>
          <t>Actual</t>
        </is>
      </c>
    </row>
    <row r="15">
      <c r="A15" t="n">
        <v>2011</v>
      </c>
      <c r="B15" t="n">
        <v>15475</v>
      </c>
      <c r="C15" t="n">
        <v>7.9</v>
      </c>
      <c r="D15" t="inlineStr">
        <is>
          <t>Actual</t>
        </is>
      </c>
    </row>
    <row r="16">
      <c r="A16" t="n">
        <v>2012</v>
      </c>
      <c r="B16" t="n">
        <v>16894</v>
      </c>
      <c r="C16" t="n">
        <v>6.6</v>
      </c>
      <c r="D16" t="inlineStr">
        <is>
          <t>Actual</t>
        </is>
      </c>
    </row>
    <row r="17">
      <c r="A17" t="n">
        <v>2013</v>
      </c>
      <c r="B17" t="n">
        <v>17518</v>
      </c>
      <c r="C17" t="n">
        <v>5.1</v>
      </c>
      <c r="D17" t="inlineStr">
        <is>
          <t>Actual</t>
        </is>
      </c>
    </row>
    <row r="18">
      <c r="A18" t="n">
        <v>2014</v>
      </c>
      <c r="B18" t="n">
        <v>17966</v>
      </c>
      <c r="C18" t="n">
        <v>4.1</v>
      </c>
      <c r="D18" t="inlineStr">
        <is>
          <t>Actual</t>
        </is>
      </c>
    </row>
    <row r="19">
      <c r="A19" t="n">
        <v>2015</v>
      </c>
      <c r="B19" t="n">
        <v>15224</v>
      </c>
      <c r="C19" t="n">
        <v>3.4</v>
      </c>
      <c r="D19" t="inlineStr">
        <is>
          <t>Actual</t>
        </is>
      </c>
    </row>
    <row r="20">
      <c r="A20" t="n">
        <v>2016</v>
      </c>
      <c r="B20" t="n">
        <v>15445</v>
      </c>
      <c r="C20" t="n">
        <v>3.4</v>
      </c>
      <c r="D20" t="inlineStr">
        <is>
          <t>Actual</t>
        </is>
      </c>
    </row>
    <row r="21">
      <c r="A21" t="n">
        <v>2017</v>
      </c>
      <c r="B21" t="n">
        <v>16473</v>
      </c>
      <c r="C21" t="n">
        <v>5.2</v>
      </c>
      <c r="D21" t="inlineStr">
        <is>
          <t>Actual</t>
        </is>
      </c>
    </row>
    <row r="22">
      <c r="A22" t="n">
        <v>2018</v>
      </c>
      <c r="B22" t="n">
        <v>17903</v>
      </c>
      <c r="C22" t="n">
        <v>6.1</v>
      </c>
      <c r="D22" t="inlineStr">
        <is>
          <t>Actual</t>
        </is>
      </c>
    </row>
    <row r="23">
      <c r="A23" t="n">
        <v>2019</v>
      </c>
      <c r="B23" t="n">
        <v>17638</v>
      </c>
      <c r="C23" t="n">
        <v>5.4</v>
      </c>
      <c r="D23" t="inlineStr">
        <is>
          <t>Actual</t>
        </is>
      </c>
    </row>
    <row r="24">
      <c r="A24" t="n">
        <v>2020</v>
      </c>
      <c r="B24" t="n">
        <v>16011</v>
      </c>
      <c r="C24" t="n">
        <v>-6.3</v>
      </c>
      <c r="D24" t="inlineStr">
        <is>
          <t>Actual</t>
        </is>
      </c>
    </row>
    <row r="25">
      <c r="A25" t="n">
        <v>2021</v>
      </c>
      <c r="B25" t="n">
        <v>18853</v>
      </c>
      <c r="C25" t="n">
        <v>10.6</v>
      </c>
      <c r="D25" t="inlineStr">
        <is>
          <t>Actual</t>
        </is>
      </c>
    </row>
    <row r="26">
      <c r="A26" t="n">
        <v>2022</v>
      </c>
      <c r="B26" t="n">
        <v>24985</v>
      </c>
      <c r="C26" t="n">
        <v>11</v>
      </c>
      <c r="D26" t="inlineStr">
        <is>
          <t>Actual</t>
        </is>
      </c>
    </row>
    <row r="27">
      <c r="A27" t="n">
        <v>2023</v>
      </c>
      <c r="B27" t="n">
        <v>30778</v>
      </c>
      <c r="C27" t="n">
        <v>7.8</v>
      </c>
      <c r="D27" t="inlineStr">
        <is>
          <t>Actual</t>
        </is>
      </c>
    </row>
    <row r="28">
      <c r="A28" t="n">
        <v>2024</v>
      </c>
      <c r="B28">
        <f>B27*(1+0.078)</f>
        <v/>
      </c>
      <c r="C28" t="n">
        <v>7.8</v>
      </c>
      <c r="D28" t="inlineStr">
        <is>
          <t>Projected</t>
        </is>
      </c>
    </row>
    <row r="29">
      <c r="A29" t="n">
        <v>2025</v>
      </c>
      <c r="B29">
        <f>B28*(1+0.078)</f>
        <v/>
      </c>
      <c r="C29" t="n">
        <v>7.8</v>
      </c>
      <c r="D29" t="inlineStr">
        <is>
          <t>Projected</t>
        </is>
      </c>
    </row>
    <row r="30">
      <c r="A30" t="n">
        <v>2026</v>
      </c>
      <c r="B30">
        <f>B29*(1+0.078)</f>
        <v/>
      </c>
      <c r="C30" t="n">
        <v>7.8</v>
      </c>
      <c r="D30" t="inlineStr">
        <is>
          <t>Projected</t>
        </is>
      </c>
    </row>
    <row r="31">
      <c r="A31" t="n">
        <v>2027</v>
      </c>
      <c r="B31">
        <f>B30*(1+0.078)</f>
        <v/>
      </c>
      <c r="C31" t="n">
        <v>7.8</v>
      </c>
      <c r="D31" t="inlineStr">
        <is>
          <t>Projected</t>
        </is>
      </c>
    </row>
    <row r="32">
      <c r="A32" t="n">
        <v>2028</v>
      </c>
      <c r="B32">
        <f>B31*(1+0.078)</f>
        <v/>
      </c>
      <c r="C32" t="n">
        <v>7.8</v>
      </c>
      <c r="D32" t="inlineStr">
        <is>
          <t>Projected</t>
        </is>
      </c>
    </row>
    <row r="33">
      <c r="A33" t="n">
        <v>2029</v>
      </c>
      <c r="B33">
        <f>B32*(1+0.078)</f>
        <v/>
      </c>
      <c r="C33" t="n">
        <v>7.8</v>
      </c>
      <c r="D33" t="inlineStr">
        <is>
          <t>Projected</t>
        </is>
      </c>
    </row>
    <row r="34">
      <c r="A34" t="n">
        <v>2030</v>
      </c>
      <c r="B34">
        <f>B33*(1+0.078)</f>
        <v/>
      </c>
      <c r="C34" t="n">
        <v>7.8</v>
      </c>
      <c r="D34" t="inlineStr">
        <is>
          <t>Projected</t>
        </is>
      </c>
    </row>
    <row r="35">
      <c r="A35" t="n">
        <v>2031</v>
      </c>
      <c r="B35">
        <f>B34*(1+0.078)</f>
        <v/>
      </c>
      <c r="C35" t="n">
        <v>7.8</v>
      </c>
      <c r="D35" t="inlineStr">
        <is>
          <t>Projected</t>
        </is>
      </c>
    </row>
    <row r="36">
      <c r="A36" t="n">
        <v>2032</v>
      </c>
      <c r="B36">
        <f>B35*(1+0.078)</f>
        <v/>
      </c>
      <c r="C36" t="n">
        <v>7.8</v>
      </c>
      <c r="D36" t="inlineStr">
        <is>
          <t>Projected</t>
        </is>
      </c>
    </row>
    <row r="37">
      <c r="A37" t="n">
        <v>2033</v>
      </c>
      <c r="B37">
        <f>B36*(1+0.078)</f>
        <v/>
      </c>
      <c r="C37" t="n">
        <v>7.8</v>
      </c>
      <c r="D37" t="inlineStr">
        <is>
          <t>Projected</t>
        </is>
      </c>
    </row>
    <row r="38">
      <c r="A38" t="n">
        <v>2034</v>
      </c>
      <c r="B38">
        <f>B37*(1+0.078)</f>
        <v/>
      </c>
      <c r="C38" t="n">
        <v>7.8</v>
      </c>
      <c r="D38" t="inlineStr">
        <is>
          <t>Projected</t>
        </is>
      </c>
    </row>
    <row r="39">
      <c r="A39" t="n">
        <v>2035</v>
      </c>
      <c r="B39">
        <f>B38*(1+0.078)</f>
        <v/>
      </c>
      <c r="C39" t="n">
        <v>7.8</v>
      </c>
      <c r="D39" t="inlineStr">
        <is>
          <t>Projected</t>
        </is>
      </c>
    </row>
    <row r="40">
      <c r="A40" t="n">
        <v>2036</v>
      </c>
      <c r="B40">
        <f>B39*(1+0.078)</f>
        <v/>
      </c>
      <c r="C40" t="n">
        <v>7.8</v>
      </c>
      <c r="D40" t="inlineStr">
        <is>
          <t>Projected</t>
        </is>
      </c>
    </row>
    <row r="41">
      <c r="A41" t="n">
        <v>2037</v>
      </c>
      <c r="B41">
        <f>B40*(1+0.078)</f>
        <v/>
      </c>
      <c r="C41" t="n">
        <v>7.8</v>
      </c>
      <c r="D41" t="inlineStr">
        <is>
          <t>Projected</t>
        </is>
      </c>
    </row>
    <row r="42">
      <c r="A42" t="n">
        <v>2038</v>
      </c>
      <c r="B42">
        <f>B41*(1+0.078)</f>
        <v/>
      </c>
      <c r="C42" t="n">
        <v>7.8</v>
      </c>
      <c r="D42" t="inlineStr">
        <is>
          <t>Projected</t>
        </is>
      </c>
    </row>
    <row r="43">
      <c r="A43" t="n">
        <v>2039</v>
      </c>
      <c r="B43">
        <f>B42*(1+0.078)</f>
        <v/>
      </c>
      <c r="C43" t="n">
        <v>7.8</v>
      </c>
      <c r="D43" t="inlineStr">
        <is>
          <t>Projected</t>
        </is>
      </c>
    </row>
    <row r="44">
      <c r="A44" t="n">
        <v>2040</v>
      </c>
      <c r="B44">
        <f>B43*(1+0.078)</f>
        <v/>
      </c>
      <c r="C44" t="n">
        <v>7.8</v>
      </c>
      <c r="D44" t="inlineStr">
        <is>
          <t>Projected</t>
        </is>
      </c>
    </row>
    <row r="45">
      <c r="A45" t="n">
        <v>2041</v>
      </c>
      <c r="B45">
        <f>B44*(1+0.078)</f>
        <v/>
      </c>
      <c r="C45" t="n">
        <v>7.8</v>
      </c>
      <c r="D45" t="inlineStr">
        <is>
          <t>Projected</t>
        </is>
      </c>
    </row>
    <row r="46">
      <c r="A46" t="n">
        <v>2042</v>
      </c>
      <c r="B46">
        <f>B45*(1+0.078)</f>
        <v/>
      </c>
      <c r="C46" t="n">
        <v>7.8</v>
      </c>
      <c r="D46" t="inlineStr">
        <is>
          <t>Projected</t>
        </is>
      </c>
    </row>
    <row r="47">
      <c r="A47" t="n">
        <v>2043</v>
      </c>
      <c r="B47">
        <f>B46*(1+0.078)</f>
        <v/>
      </c>
      <c r="C47" t="n">
        <v>7.8</v>
      </c>
      <c r="D47" t="inlineStr">
        <is>
          <t>Projected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0" customWidth="1" min="4" max="4"/>
  </cols>
  <sheetData>
    <row r="1">
      <c r="A1" s="1" t="inlineStr">
        <is>
          <t>Consumption of Fixed Capital - Georgia (ECB)</t>
        </is>
      </c>
    </row>
    <row r="3">
      <c r="A3" s="2" t="inlineStr">
        <is>
          <t>Year</t>
        </is>
      </c>
      <c r="B3" s="2" t="inlineStr">
        <is>
          <t>Capital Stock (from PWT)</t>
        </is>
      </c>
      <c r="C3" s="2" t="inlineStr">
        <is>
          <t>CFC (millions EUR)</t>
        </is>
      </c>
      <c r="D3" s="2" t="inlineStr">
        <is>
          <t>Depreciation Rate</t>
        </is>
      </c>
    </row>
    <row r="4">
      <c r="A4" t="n">
        <v>2000</v>
      </c>
      <c r="B4" t="n">
        <v>169610.14</v>
      </c>
      <c r="C4" t="n">
        <v>8480.507000000001</v>
      </c>
      <c r="D4" t="n">
        <v>0.05</v>
      </c>
    </row>
    <row r="5">
      <c r="A5" t="n">
        <v>2001</v>
      </c>
      <c r="B5" t="n">
        <v>169610.14</v>
      </c>
      <c r="C5" t="n">
        <v>8480.507000000001</v>
      </c>
      <c r="D5" t="n">
        <v>0.05</v>
      </c>
    </row>
    <row r="6">
      <c r="A6" t="n">
        <v>2002</v>
      </c>
      <c r="B6" t="n">
        <v>169610.14</v>
      </c>
      <c r="C6" t="n">
        <v>8480.507000000001</v>
      </c>
      <c r="D6" t="n">
        <v>0.05</v>
      </c>
    </row>
    <row r="7">
      <c r="A7" t="n">
        <v>2003</v>
      </c>
      <c r="B7" t="n">
        <v>169610.14</v>
      </c>
      <c r="C7" t="n">
        <v>8480.507000000001</v>
      </c>
      <c r="D7" t="n">
        <v>0.05</v>
      </c>
    </row>
    <row r="8">
      <c r="A8" t="n">
        <v>2004</v>
      </c>
      <c r="B8" t="n">
        <v>169610.14</v>
      </c>
      <c r="C8" t="n">
        <v>8480.507000000001</v>
      </c>
      <c r="D8" t="n">
        <v>0.05</v>
      </c>
    </row>
    <row r="9">
      <c r="A9" t="n">
        <v>2005</v>
      </c>
      <c r="B9" t="n">
        <v>169610.14</v>
      </c>
      <c r="C9" t="n">
        <v>8480.507000000001</v>
      </c>
      <c r="D9" t="n">
        <v>0.05</v>
      </c>
    </row>
    <row r="10">
      <c r="A10" t="n">
        <v>2006</v>
      </c>
      <c r="B10" t="n">
        <v>169610.14</v>
      </c>
      <c r="C10" t="n">
        <v>8480.507000000001</v>
      </c>
      <c r="D10" t="n">
        <v>0.05</v>
      </c>
    </row>
    <row r="11">
      <c r="A11" t="n">
        <v>2007</v>
      </c>
      <c r="B11" t="n">
        <v>169610.14</v>
      </c>
      <c r="C11" t="n">
        <v>8480.507000000001</v>
      </c>
      <c r="D11" t="n">
        <v>0.05</v>
      </c>
    </row>
    <row r="12">
      <c r="A12" t="n">
        <v>2008</v>
      </c>
      <c r="B12" t="n">
        <v>169610.14</v>
      </c>
      <c r="C12" t="n">
        <v>8480.507000000001</v>
      </c>
      <c r="D12" t="n">
        <v>0.05</v>
      </c>
    </row>
    <row r="13">
      <c r="A13" t="n">
        <v>2009</v>
      </c>
      <c r="B13" t="n">
        <v>169610.14</v>
      </c>
      <c r="C13" t="n">
        <v>8480.507000000001</v>
      </c>
      <c r="D13" t="n">
        <v>0.05</v>
      </c>
    </row>
    <row r="14">
      <c r="A14" t="n">
        <v>2010</v>
      </c>
      <c r="B14" t="n">
        <v>169610.14</v>
      </c>
      <c r="C14" t="n">
        <v>8480.507000000001</v>
      </c>
      <c r="D14" t="n">
        <v>0.05</v>
      </c>
    </row>
    <row r="15">
      <c r="A15" t="n">
        <v>2011</v>
      </c>
      <c r="B15" t="n">
        <v>169610.14</v>
      </c>
      <c r="C15" t="n">
        <v>8480.507000000001</v>
      </c>
      <c r="D15" t="n">
        <v>0.05</v>
      </c>
    </row>
    <row r="16">
      <c r="A16" t="n">
        <v>2012</v>
      </c>
      <c r="B16" t="n">
        <v>169610.14</v>
      </c>
      <c r="C16" t="n">
        <v>8480.507000000001</v>
      </c>
      <c r="D16" t="n">
        <v>0.05</v>
      </c>
    </row>
    <row r="17">
      <c r="A17" t="n">
        <v>2013</v>
      </c>
      <c r="B17" t="n">
        <v>169610.14</v>
      </c>
      <c r="C17" t="n">
        <v>8480.507000000001</v>
      </c>
      <c r="D17" t="n">
        <v>0.05</v>
      </c>
    </row>
    <row r="18">
      <c r="A18" t="n">
        <v>2014</v>
      </c>
      <c r="B18" t="n">
        <v>169610.14</v>
      </c>
      <c r="C18" t="n">
        <v>8480.507000000001</v>
      </c>
      <c r="D18" t="n">
        <v>0.05</v>
      </c>
    </row>
    <row r="19">
      <c r="A19" t="n">
        <v>2015</v>
      </c>
      <c r="B19" t="n">
        <v>169610.14</v>
      </c>
      <c r="C19" t="n">
        <v>8480.507000000001</v>
      </c>
      <c r="D19" t="n">
        <v>0.05</v>
      </c>
    </row>
    <row r="20">
      <c r="A20" t="n">
        <v>2016</v>
      </c>
      <c r="B20" t="n">
        <v>210339.3</v>
      </c>
      <c r="C20" t="n">
        <v>10516.965</v>
      </c>
      <c r="D20" t="n">
        <v>0.05</v>
      </c>
    </row>
    <row r="21">
      <c r="A21" t="n">
        <v>2017</v>
      </c>
      <c r="B21" t="n">
        <v>248033.09</v>
      </c>
      <c r="C21" t="n">
        <v>12401.6545</v>
      </c>
      <c r="D21" t="n">
        <v>0.05</v>
      </c>
    </row>
    <row r="22">
      <c r="A22" t="n">
        <v>2018</v>
      </c>
      <c r="B22" t="n">
        <v>254089.67</v>
      </c>
      <c r="C22" t="n">
        <v>12704.4835</v>
      </c>
      <c r="D22" t="n">
        <v>0.05</v>
      </c>
    </row>
    <row r="23">
      <c r="A23" t="n">
        <v>2019</v>
      </c>
      <c r="B23" t="n">
        <v>263192.13</v>
      </c>
      <c r="C23" t="n">
        <v>13159.6065</v>
      </c>
      <c r="D23" t="n">
        <v>0.05</v>
      </c>
    </row>
    <row r="24">
      <c r="A24" t="n">
        <v>2020</v>
      </c>
      <c r="B24" t="n">
        <v>272667.04668</v>
      </c>
      <c r="C24" t="n">
        <v>13633.352334</v>
      </c>
      <c r="D24" t="n">
        <v>0.05</v>
      </c>
    </row>
    <row r="25">
      <c r="A25" t="n">
        <v>2021</v>
      </c>
      <c r="B25" t="n">
        <v>282483.06036048</v>
      </c>
      <c r="C25" t="n">
        <v>14124.153018024</v>
      </c>
      <c r="D25" t="n">
        <v>0.05</v>
      </c>
    </row>
    <row r="26">
      <c r="A26" t="inlineStr">
        <is>
          <t>Average depreciation rate (2015-2023):</t>
        </is>
      </c>
      <c r="B26">
        <f>AVERAGE(D18:D24)</f>
        <v/>
      </c>
      <c r="C26" t="n">
        <v>14632.62252667287</v>
      </c>
      <c r="D26" t="n">
        <v>0.05</v>
      </c>
    </row>
    <row r="27">
      <c r="A27" t="n">
        <v>2023</v>
      </c>
      <c r="B27" t="n">
        <v>303187.9387526618</v>
      </c>
      <c r="C27" t="n">
        <v>15159.39693763309</v>
      </c>
      <c r="D27" t="n">
        <v>0.05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Production Function &amp; Investment Shock Analysis</t>
        </is>
      </c>
    </row>
    <row r="3">
      <c r="A3" t="inlineStr">
        <is>
          <t>Depreciation Rate (δ) - Average of 2015-2023:</t>
        </is>
      </c>
      <c r="B3" s="12">
        <f>'CFC data'!B26</f>
        <v/>
      </c>
    </row>
    <row r="5">
      <c r="A5" s="3" t="inlineStr">
        <is>
          <t>HP Filter - Smoothing Constant λ = 100 (annual data)</t>
        </is>
      </c>
      <c r="P5" s="3" t="n"/>
    </row>
    <row r="6">
      <c r="A6" s="4" t="inlineStr">
        <is>
          <t>Year</t>
        </is>
      </c>
      <c r="B6" s="4" t="inlineStr">
        <is>
          <t>K (Capital)</t>
        </is>
      </c>
      <c r="C6" s="4" t="inlineStr">
        <is>
          <t>Y (Output)</t>
        </is>
      </c>
      <c r="D6" s="4" t="inlineStr">
        <is>
          <t>LnK</t>
        </is>
      </c>
      <c r="E6" s="4" t="inlineStr">
        <is>
          <t>LnY</t>
        </is>
      </c>
      <c r="F6" s="4" t="inlineStr">
        <is>
          <t>Z</t>
        </is>
      </c>
      <c r="G6" s="4" t="inlineStr">
        <is>
          <t>LnZ</t>
        </is>
      </c>
      <c r="H6" s="4" t="inlineStr">
        <is>
          <t>LnZ_HP</t>
        </is>
      </c>
      <c r="I6" s="4" t="inlineStr">
        <is>
          <t>Placeholder</t>
        </is>
      </c>
      <c r="J6" s="4" t="inlineStr">
        <is>
          <t>DD2</t>
        </is>
      </c>
      <c r="K6" s="4" t="inlineStr">
        <is>
          <t>LnA</t>
        </is>
      </c>
      <c r="L6" s="4" t="inlineStr">
        <is>
          <t>LnZ_trend</t>
        </is>
      </c>
      <c r="M6" s="4" t="inlineStr">
        <is>
          <t>LnA-Trend</t>
        </is>
      </c>
      <c r="N6" s="2" t="inlineStr"/>
      <c r="O6" s="2" t="inlineStr">
        <is>
          <t>SS</t>
        </is>
      </c>
    </row>
    <row r="7">
      <c r="A7" t="n">
        <v>2002</v>
      </c>
      <c r="B7" s="13">
        <f>'CFC data'!B6</f>
        <v/>
      </c>
      <c r="C7" s="13">
        <f>WEO_Data!B6</f>
        <v/>
      </c>
      <c r="D7" s="13">
        <f>IF(B7&lt;&gt;0,LN(B7),"")</f>
        <v/>
      </c>
      <c r="E7" s="13">
        <f>IF(C7&lt;&gt;0,LN(C7),"")</f>
        <v/>
      </c>
      <c r="F7" s="13">
        <f>C7/(B7^$B$33)</f>
        <v/>
      </c>
      <c r="G7" s="13">
        <f>LN(F7)</f>
        <v/>
      </c>
      <c r="H7" s="13">
        <f>G7</f>
        <v/>
      </c>
      <c r="I7">
        <f>H7</f>
        <v/>
      </c>
      <c r="J7" s="13" t="n"/>
      <c r="K7" s="13">
        <f>E7-$B$33*D7</f>
        <v/>
      </c>
      <c r="L7" s="13">
        <f>G7</f>
        <v/>
      </c>
      <c r="M7" s="13">
        <f>K7-L7</f>
        <v/>
      </c>
      <c r="O7" s="13">
        <f>J7^2</f>
        <v/>
      </c>
    </row>
    <row r="8">
      <c r="A8" t="n">
        <v>2003</v>
      </c>
      <c r="B8" s="13">
        <f>'CFC data'!B7</f>
        <v/>
      </c>
      <c r="C8" s="13">
        <f>WEO_Data!B7</f>
        <v/>
      </c>
      <c r="D8" s="13">
        <f>IF(B8&lt;&gt;0,LN(B8),"")</f>
        <v/>
      </c>
      <c r="E8" s="13">
        <f>IF(C8&lt;&gt;0,LN(C8),"")</f>
        <v/>
      </c>
      <c r="F8" s="13">
        <f>C8/(B8^$B$33)</f>
        <v/>
      </c>
      <c r="G8" s="13">
        <f>LN(F8)</f>
        <v/>
      </c>
      <c r="H8" s="13">
        <f>G8</f>
        <v/>
      </c>
      <c r="I8">
        <f>H8</f>
        <v/>
      </c>
      <c r="J8" s="13" t="n"/>
      <c r="K8" s="13">
        <f>E8-$B$33*D8</f>
        <v/>
      </c>
      <c r="L8" s="13">
        <f>G8</f>
        <v/>
      </c>
      <c r="M8" s="13">
        <f>K8-L8</f>
        <v/>
      </c>
      <c r="O8" s="13">
        <f>J8^2</f>
        <v/>
      </c>
    </row>
    <row r="9">
      <c r="A9" t="n">
        <v>2004</v>
      </c>
      <c r="B9" s="13">
        <f>'CFC data'!B8</f>
        <v/>
      </c>
      <c r="C9" s="13">
        <f>WEO_Data!B8</f>
        <v/>
      </c>
      <c r="D9" s="13">
        <f>IF(B9&lt;&gt;0,LN(B9),"")</f>
        <v/>
      </c>
      <c r="E9" s="13">
        <f>IF(C9&lt;&gt;0,LN(C9),"")</f>
        <v/>
      </c>
      <c r="F9" s="13">
        <f>C9/(B9^$B$33)</f>
        <v/>
      </c>
      <c r="G9" s="13">
        <f>LN(F9)</f>
        <v/>
      </c>
      <c r="H9" s="13">
        <f>G9</f>
        <v/>
      </c>
      <c r="I9">
        <f>H9</f>
        <v/>
      </c>
      <c r="J9" s="13">
        <f>H9-2*H8+H7</f>
        <v/>
      </c>
      <c r="K9" s="13">
        <f>E9-$B$33*D9</f>
        <v/>
      </c>
      <c r="L9" s="13">
        <f>G9</f>
        <v/>
      </c>
      <c r="M9" s="13">
        <f>K9-L9</f>
        <v/>
      </c>
      <c r="O9" s="13">
        <f>J9^2</f>
        <v/>
      </c>
    </row>
    <row r="10">
      <c r="A10" t="n">
        <v>2005</v>
      </c>
      <c r="B10" s="13">
        <f>'CFC data'!B9</f>
        <v/>
      </c>
      <c r="C10" s="13">
        <f>WEO_Data!B9</f>
        <v/>
      </c>
      <c r="D10" s="13">
        <f>IF(B10&lt;&gt;0,LN(B10),"")</f>
        <v/>
      </c>
      <c r="E10" s="13">
        <f>IF(C10&lt;&gt;0,LN(C10),"")</f>
        <v/>
      </c>
      <c r="F10" s="13">
        <f>C10/(B10^$B$33)</f>
        <v/>
      </c>
      <c r="G10" s="13">
        <f>LN(F10)</f>
        <v/>
      </c>
      <c r="H10" s="13">
        <f>G10</f>
        <v/>
      </c>
      <c r="I10">
        <f>H10</f>
        <v/>
      </c>
      <c r="J10" s="13">
        <f>H10-2*H9+H8</f>
        <v/>
      </c>
      <c r="K10" s="13">
        <f>E10-$B$33*D10</f>
        <v/>
      </c>
      <c r="L10" s="13">
        <f>G10</f>
        <v/>
      </c>
      <c r="M10" s="13">
        <f>K10-L10</f>
        <v/>
      </c>
      <c r="O10" s="13">
        <f>J10^2</f>
        <v/>
      </c>
    </row>
    <row r="11">
      <c r="A11" t="n">
        <v>2006</v>
      </c>
      <c r="B11" s="13">
        <f>'CFC data'!B10</f>
        <v/>
      </c>
      <c r="C11" s="13">
        <f>WEO_Data!B10</f>
        <v/>
      </c>
      <c r="D11" s="13">
        <f>IF(B11&lt;&gt;0,LN(B11),"")</f>
        <v/>
      </c>
      <c r="E11" s="13">
        <f>IF(C11&lt;&gt;0,LN(C11),"")</f>
        <v/>
      </c>
      <c r="F11" s="13">
        <f>C11/(B11^$B$33)</f>
        <v/>
      </c>
      <c r="G11" s="13">
        <f>LN(F11)</f>
        <v/>
      </c>
      <c r="H11" s="13">
        <f>G11</f>
        <v/>
      </c>
      <c r="I11">
        <f>H11</f>
        <v/>
      </c>
      <c r="J11" s="13">
        <f>H11-2*H10+H9</f>
        <v/>
      </c>
      <c r="K11" s="13">
        <f>E11-$B$33*D11</f>
        <v/>
      </c>
      <c r="L11" s="13">
        <f>G11</f>
        <v/>
      </c>
      <c r="M11" s="13">
        <f>K11-L11</f>
        <v/>
      </c>
      <c r="O11" s="13">
        <f>J11^2</f>
        <v/>
      </c>
    </row>
    <row r="12">
      <c r="A12" t="n">
        <v>2007</v>
      </c>
      <c r="B12" s="13">
        <f>'CFC data'!B11</f>
        <v/>
      </c>
      <c r="C12" s="13">
        <f>WEO_Data!B11</f>
        <v/>
      </c>
      <c r="D12" s="13">
        <f>IF(B12&lt;&gt;0,LN(B12),"")</f>
        <v/>
      </c>
      <c r="E12" s="13">
        <f>IF(C12&lt;&gt;0,LN(C12),"")</f>
        <v/>
      </c>
      <c r="F12" s="13">
        <f>C12/(B12^$B$33)</f>
        <v/>
      </c>
      <c r="G12" s="13">
        <f>LN(F12)</f>
        <v/>
      </c>
      <c r="H12" s="13">
        <f>G12</f>
        <v/>
      </c>
      <c r="I12">
        <f>H12</f>
        <v/>
      </c>
      <c r="J12" s="13">
        <f>H12-2*H11+H10</f>
        <v/>
      </c>
      <c r="K12" s="13">
        <f>E12-$B$33*D12</f>
        <v/>
      </c>
      <c r="L12" s="13">
        <f>G12</f>
        <v/>
      </c>
      <c r="M12" s="13">
        <f>K12-L12</f>
        <v/>
      </c>
      <c r="O12" s="13">
        <f>J12^2</f>
        <v/>
      </c>
    </row>
    <row r="13">
      <c r="A13" t="n">
        <v>2008</v>
      </c>
      <c r="B13" s="13">
        <f>'CFC data'!B12</f>
        <v/>
      </c>
      <c r="C13" s="13">
        <f>WEO_Data!B12</f>
        <v/>
      </c>
      <c r="D13" s="13">
        <f>IF(B13&lt;&gt;0,LN(B13),"")</f>
        <v/>
      </c>
      <c r="E13" s="13">
        <f>IF(C13&lt;&gt;0,LN(C13),"")</f>
        <v/>
      </c>
      <c r="F13" s="13">
        <f>C13/(B13^$B$33)</f>
        <v/>
      </c>
      <c r="G13" s="13">
        <f>LN(F13)</f>
        <v/>
      </c>
      <c r="H13" s="13">
        <f>G13</f>
        <v/>
      </c>
      <c r="I13">
        <f>H13</f>
        <v/>
      </c>
      <c r="J13" s="13">
        <f>H13-2*H12+H11</f>
        <v/>
      </c>
      <c r="K13" s="13">
        <f>E13-$B$33*D13</f>
        <v/>
      </c>
      <c r="L13" s="13">
        <f>G13</f>
        <v/>
      </c>
      <c r="M13" s="13">
        <f>K13-L13</f>
        <v/>
      </c>
      <c r="O13" s="13">
        <f>J13^2</f>
        <v/>
      </c>
    </row>
    <row r="14">
      <c r="A14" t="n">
        <v>2009</v>
      </c>
      <c r="B14" s="13">
        <f>'CFC data'!B13</f>
        <v/>
      </c>
      <c r="C14" s="13">
        <f>WEO_Data!B13</f>
        <v/>
      </c>
      <c r="D14" s="13">
        <f>IF(B14&lt;&gt;0,LN(B14),"")</f>
        <v/>
      </c>
      <c r="E14" s="13">
        <f>IF(C14&lt;&gt;0,LN(C14),"")</f>
        <v/>
      </c>
      <c r="F14" s="13">
        <f>C14/(B14^$B$33)</f>
        <v/>
      </c>
      <c r="G14" s="13">
        <f>LN(F14)</f>
        <v/>
      </c>
      <c r="H14" s="13">
        <f>G14</f>
        <v/>
      </c>
      <c r="I14">
        <f>H14</f>
        <v/>
      </c>
      <c r="J14" s="13">
        <f>H14-2*H13+H12</f>
        <v/>
      </c>
      <c r="K14" s="13">
        <f>E14-$B$33*D14</f>
        <v/>
      </c>
      <c r="L14" s="13">
        <f>G14</f>
        <v/>
      </c>
      <c r="M14" s="13">
        <f>K14-L14</f>
        <v/>
      </c>
      <c r="O14" s="13">
        <f>J14^2</f>
        <v/>
      </c>
    </row>
    <row r="15">
      <c r="A15" t="n">
        <v>2010</v>
      </c>
      <c r="B15" s="13">
        <f>'CFC data'!B14</f>
        <v/>
      </c>
      <c r="C15" s="13">
        <f>WEO_Data!B14</f>
        <v/>
      </c>
      <c r="D15" s="13">
        <f>IF(B15&lt;&gt;0,LN(B15),"")</f>
        <v/>
      </c>
      <c r="E15" s="13">
        <f>IF(C15&lt;&gt;0,LN(C15),"")</f>
        <v/>
      </c>
      <c r="F15" s="13">
        <f>C15/(B15^$B$33)</f>
        <v/>
      </c>
      <c r="G15" s="13">
        <f>LN(F15)</f>
        <v/>
      </c>
      <c r="H15" s="13">
        <f>G15</f>
        <v/>
      </c>
      <c r="I15">
        <f>H15</f>
        <v/>
      </c>
      <c r="J15" s="13">
        <f>H15-2*H14+H13</f>
        <v/>
      </c>
      <c r="K15" s="13">
        <f>E15-$B$33*D15</f>
        <v/>
      </c>
      <c r="L15" s="13">
        <f>G15</f>
        <v/>
      </c>
      <c r="M15" s="13">
        <f>K15-L15</f>
        <v/>
      </c>
      <c r="O15" s="13">
        <f>J15^2</f>
        <v/>
      </c>
    </row>
    <row r="16">
      <c r="A16" t="n">
        <v>2011</v>
      </c>
      <c r="B16" s="13">
        <f>'CFC data'!B15</f>
        <v/>
      </c>
      <c r="C16" s="13">
        <f>WEO_Data!B15</f>
        <v/>
      </c>
      <c r="D16" s="13">
        <f>IF(B16&lt;&gt;0,LN(B16),"")</f>
        <v/>
      </c>
      <c r="E16" s="13">
        <f>IF(C16&lt;&gt;0,LN(C16),"")</f>
        <v/>
      </c>
      <c r="F16" s="13">
        <f>C16/(B16^$B$33)</f>
        <v/>
      </c>
      <c r="G16" s="13">
        <f>LN(F16)</f>
        <v/>
      </c>
      <c r="H16" s="13">
        <f>G16</f>
        <v/>
      </c>
      <c r="I16">
        <f>H16</f>
        <v/>
      </c>
      <c r="J16" s="13">
        <f>H16-2*H15+H14</f>
        <v/>
      </c>
      <c r="K16" s="13">
        <f>E16-$B$33*D16</f>
        <v/>
      </c>
      <c r="L16" s="13">
        <f>G16</f>
        <v/>
      </c>
      <c r="M16" s="13">
        <f>K16-L16</f>
        <v/>
      </c>
      <c r="O16" s="13">
        <f>J16^2</f>
        <v/>
      </c>
    </row>
    <row r="17">
      <c r="A17" t="n">
        <v>2012</v>
      </c>
      <c r="B17" s="13">
        <f>'CFC data'!B16</f>
        <v/>
      </c>
      <c r="C17" s="13">
        <f>WEO_Data!B16</f>
        <v/>
      </c>
      <c r="D17" s="13">
        <f>IF(B17&lt;&gt;0,LN(B17),"")</f>
        <v/>
      </c>
      <c r="E17" s="13">
        <f>IF(C17&lt;&gt;0,LN(C17),"")</f>
        <v/>
      </c>
      <c r="F17" s="13">
        <f>C17/(B17^$B$33)</f>
        <v/>
      </c>
      <c r="G17" s="13">
        <f>LN(F17)</f>
        <v/>
      </c>
      <c r="H17" s="13">
        <f>G17</f>
        <v/>
      </c>
      <c r="I17">
        <f>H17</f>
        <v/>
      </c>
      <c r="J17" s="13">
        <f>H17-2*H16+H15</f>
        <v/>
      </c>
      <c r="K17" s="13">
        <f>E17-$B$33*D17</f>
        <v/>
      </c>
      <c r="L17" s="13">
        <f>G17</f>
        <v/>
      </c>
      <c r="M17" s="13">
        <f>K17-L17</f>
        <v/>
      </c>
      <c r="O17" s="13">
        <f>J17^2</f>
        <v/>
      </c>
    </row>
    <row r="18">
      <c r="A18" t="n">
        <v>2013</v>
      </c>
      <c r="B18" s="13">
        <f>'CFC data'!B17</f>
        <v/>
      </c>
      <c r="C18" s="13">
        <f>WEO_Data!B17</f>
        <v/>
      </c>
      <c r="D18" s="13">
        <f>IF(B18&lt;&gt;0,LN(B18),"")</f>
        <v/>
      </c>
      <c r="E18" s="13">
        <f>IF(C18&lt;&gt;0,LN(C18),"")</f>
        <v/>
      </c>
      <c r="F18" s="13">
        <f>C18/(B18^$B$33)</f>
        <v/>
      </c>
      <c r="G18" s="13">
        <f>LN(F18)</f>
        <v/>
      </c>
      <c r="H18" s="13">
        <f>G18</f>
        <v/>
      </c>
      <c r="I18">
        <f>H18</f>
        <v/>
      </c>
      <c r="J18" s="13">
        <f>H18-2*H17+H16</f>
        <v/>
      </c>
      <c r="K18" s="13">
        <f>E18-$B$33*D18</f>
        <v/>
      </c>
      <c r="L18" s="13">
        <f>G18</f>
        <v/>
      </c>
      <c r="M18" s="13">
        <f>K18-L18</f>
        <v/>
      </c>
      <c r="O18" s="13">
        <f>J18^2</f>
        <v/>
      </c>
    </row>
    <row r="19">
      <c r="A19" t="n">
        <v>2014</v>
      </c>
      <c r="B19" s="13">
        <f>'CFC data'!B18</f>
        <v/>
      </c>
      <c r="C19" s="13">
        <f>WEO_Data!B18</f>
        <v/>
      </c>
      <c r="D19" s="13">
        <f>IF(B19&lt;&gt;0,LN(B19),"")</f>
        <v/>
      </c>
      <c r="E19" s="13">
        <f>IF(C19&lt;&gt;0,LN(C19),"")</f>
        <v/>
      </c>
      <c r="F19" s="13">
        <f>C19/(B19^$B$33)</f>
        <v/>
      </c>
      <c r="G19" s="13">
        <f>LN(F19)</f>
        <v/>
      </c>
      <c r="H19" s="13">
        <f>G19</f>
        <v/>
      </c>
      <c r="I19">
        <f>H19</f>
        <v/>
      </c>
      <c r="J19" s="13">
        <f>H19-2*H18+H17</f>
        <v/>
      </c>
      <c r="K19" s="13">
        <f>E19-$B$33*D19</f>
        <v/>
      </c>
      <c r="L19" s="13">
        <f>G19</f>
        <v/>
      </c>
      <c r="M19" s="13">
        <f>K19-L19</f>
        <v/>
      </c>
      <c r="O19" s="13">
        <f>J19^2</f>
        <v/>
      </c>
    </row>
    <row r="20">
      <c r="A20" t="n">
        <v>2015</v>
      </c>
      <c r="B20" s="13">
        <f>'CFC data'!B19</f>
        <v/>
      </c>
      <c r="C20" s="13">
        <f>WEO_Data!B19</f>
        <v/>
      </c>
      <c r="D20" s="13">
        <f>IF(B20&lt;&gt;0,LN(B20),"")</f>
        <v/>
      </c>
      <c r="E20" s="13">
        <f>IF(C20&lt;&gt;0,LN(C20),"")</f>
        <v/>
      </c>
      <c r="F20" s="13">
        <f>C20/(B20^$B$33)</f>
        <v/>
      </c>
      <c r="G20" s="13">
        <f>LN(F20)</f>
        <v/>
      </c>
      <c r="H20" s="13">
        <f>G20</f>
        <v/>
      </c>
      <c r="I20">
        <f>H20</f>
        <v/>
      </c>
      <c r="J20" s="13">
        <f>H20-2*H19+H18</f>
        <v/>
      </c>
      <c r="K20" s="13">
        <f>E20-$B$33*D20</f>
        <v/>
      </c>
      <c r="L20" s="13">
        <f>G20</f>
        <v/>
      </c>
      <c r="M20" s="13">
        <f>K20-L20</f>
        <v/>
      </c>
      <c r="O20" s="13">
        <f>J20^2</f>
        <v/>
      </c>
    </row>
    <row r="21">
      <c r="A21" t="n">
        <v>2016</v>
      </c>
      <c r="B21" s="13">
        <f>'CFC data'!B20</f>
        <v/>
      </c>
      <c r="C21" s="13">
        <f>WEO_Data!B20</f>
        <v/>
      </c>
      <c r="D21" s="13">
        <f>IF(B21&lt;&gt;0,LN(B21),"")</f>
        <v/>
      </c>
      <c r="E21" s="13">
        <f>IF(C21&lt;&gt;0,LN(C21),"")</f>
        <v/>
      </c>
      <c r="F21" s="13">
        <f>C21/(B21^$B$33)</f>
        <v/>
      </c>
      <c r="G21" s="13">
        <f>LN(F21)</f>
        <v/>
      </c>
      <c r="H21" s="13">
        <f>G21</f>
        <v/>
      </c>
      <c r="I21">
        <f>H21</f>
        <v/>
      </c>
      <c r="J21" s="13">
        <f>H21-2*H20+H19</f>
        <v/>
      </c>
      <c r="K21" s="13">
        <f>E21-$B$33*D21</f>
        <v/>
      </c>
      <c r="L21" s="13">
        <f>G21</f>
        <v/>
      </c>
      <c r="M21" s="13">
        <f>K21-L21</f>
        <v/>
      </c>
      <c r="O21" s="13">
        <f>J21^2</f>
        <v/>
      </c>
    </row>
    <row r="22">
      <c r="A22" t="n">
        <v>2017</v>
      </c>
      <c r="B22" s="13">
        <f>'CFC data'!B21</f>
        <v/>
      </c>
      <c r="C22" s="13">
        <f>WEO_Data!B21</f>
        <v/>
      </c>
      <c r="D22" s="13">
        <f>IF(B22&lt;&gt;0,LN(B22),"")</f>
        <v/>
      </c>
      <c r="E22" s="13">
        <f>IF(C22&lt;&gt;0,LN(C22),"")</f>
        <v/>
      </c>
      <c r="F22" s="13">
        <f>C22/(B22^$B$33)</f>
        <v/>
      </c>
      <c r="G22" s="13">
        <f>LN(F22)</f>
        <v/>
      </c>
      <c r="H22" s="13">
        <f>G22</f>
        <v/>
      </c>
      <c r="I22">
        <f>H22</f>
        <v/>
      </c>
      <c r="J22" s="13">
        <f>H22-2*H21+H20</f>
        <v/>
      </c>
      <c r="K22" s="13">
        <f>E22-$B$33*D22</f>
        <v/>
      </c>
      <c r="L22" s="13">
        <f>G22</f>
        <v/>
      </c>
      <c r="M22" s="13">
        <f>K22-L22</f>
        <v/>
      </c>
      <c r="O22" s="13">
        <f>J22^2</f>
        <v/>
      </c>
    </row>
    <row r="23">
      <c r="A23" t="n">
        <v>2018</v>
      </c>
      <c r="B23" s="13">
        <f>'CFC data'!B22</f>
        <v/>
      </c>
      <c r="C23" s="13">
        <f>WEO_Data!B22</f>
        <v/>
      </c>
      <c r="D23" s="13">
        <f>IF(B23&lt;&gt;0,LN(B23),"")</f>
        <v/>
      </c>
      <c r="E23" s="13">
        <f>IF(C23&lt;&gt;0,LN(C23),"")</f>
        <v/>
      </c>
      <c r="F23" s="13">
        <f>C23/(B23^$B$33)</f>
        <v/>
      </c>
      <c r="G23" s="13">
        <f>LN(F23)</f>
        <v/>
      </c>
      <c r="H23" s="13">
        <f>G23</f>
        <v/>
      </c>
      <c r="I23">
        <f>H23</f>
        <v/>
      </c>
      <c r="J23" s="13">
        <f>H23-2*H22+H21</f>
        <v/>
      </c>
      <c r="K23" s="13">
        <f>E23-$B$33*D23</f>
        <v/>
      </c>
      <c r="L23" s="13">
        <f>G23</f>
        <v/>
      </c>
      <c r="M23" s="13">
        <f>K23-L23</f>
        <v/>
      </c>
      <c r="O23" s="13">
        <f>J23^2</f>
        <v/>
      </c>
    </row>
    <row r="24">
      <c r="A24" t="n">
        <v>2019</v>
      </c>
      <c r="B24" s="13">
        <f>'CFC data'!B23</f>
        <v/>
      </c>
      <c r="C24" s="13">
        <f>WEO_Data!B23</f>
        <v/>
      </c>
      <c r="D24" s="13">
        <f>IF(B24&lt;&gt;0,LN(B24),"")</f>
        <v/>
      </c>
      <c r="E24" s="13">
        <f>IF(C24&lt;&gt;0,LN(C24),"")</f>
        <v/>
      </c>
      <c r="F24" s="13">
        <f>C24/(B24^$B$33)</f>
        <v/>
      </c>
      <c r="G24" s="13">
        <f>LN(F24)</f>
        <v/>
      </c>
      <c r="H24" s="13">
        <f>G24</f>
        <v/>
      </c>
      <c r="I24">
        <f>H24</f>
        <v/>
      </c>
      <c r="J24" s="13">
        <f>H24-2*H23+H22</f>
        <v/>
      </c>
      <c r="K24" s="13">
        <f>E24-$B$33*D24</f>
        <v/>
      </c>
      <c r="L24" s="13">
        <f>G24</f>
        <v/>
      </c>
      <c r="M24" s="13">
        <f>K24-L24</f>
        <v/>
      </c>
      <c r="O24" s="13">
        <f>J24^2</f>
        <v/>
      </c>
    </row>
    <row r="25">
      <c r="A25" t="n">
        <v>2020</v>
      </c>
      <c r="B25" s="13">
        <f>'CFC data'!B24</f>
        <v/>
      </c>
      <c r="C25" s="13">
        <f>WEO_Data!B24</f>
        <v/>
      </c>
      <c r="D25" s="13">
        <f>IF(B25&lt;&gt;0,LN(B25),"")</f>
        <v/>
      </c>
      <c r="E25" s="13">
        <f>IF(C25&lt;&gt;0,LN(C25),"")</f>
        <v/>
      </c>
      <c r="F25" s="13">
        <f>C25/(B25^$B$33)</f>
        <v/>
      </c>
      <c r="G25" s="13">
        <f>LN(F25)</f>
        <v/>
      </c>
      <c r="H25" s="13">
        <f>G25</f>
        <v/>
      </c>
      <c r="I25">
        <f>H25</f>
        <v/>
      </c>
      <c r="J25" s="13">
        <f>H25-2*H24+H23</f>
        <v/>
      </c>
      <c r="K25" s="13">
        <f>E25-$B$33*D25</f>
        <v/>
      </c>
      <c r="L25" s="13">
        <f>G25</f>
        <v/>
      </c>
      <c r="M25" s="13">
        <f>K25-L25</f>
        <v/>
      </c>
      <c r="O25" s="13">
        <f>J25^2</f>
        <v/>
      </c>
    </row>
    <row r="26">
      <c r="A26" t="n">
        <v>2021</v>
      </c>
      <c r="B26" s="13">
        <f>'CFC data'!B25</f>
        <v/>
      </c>
      <c r="C26" s="13">
        <f>WEO_Data!B25</f>
        <v/>
      </c>
      <c r="D26" s="13">
        <f>IF(B26&lt;&gt;0,LN(B26),"")</f>
        <v/>
      </c>
      <c r="E26" s="13">
        <f>IF(C26&lt;&gt;0,LN(C26),"")</f>
        <v/>
      </c>
      <c r="F26" s="13">
        <f>C26/(B26^$B$33)</f>
        <v/>
      </c>
      <c r="G26" s="13">
        <f>LN(F26)</f>
        <v/>
      </c>
      <c r="H26" s="13">
        <f>G26</f>
        <v/>
      </c>
      <c r="I26">
        <f>H26</f>
        <v/>
      </c>
      <c r="J26" s="13">
        <f>H26-2*H25+H24</f>
        <v/>
      </c>
      <c r="K26" s="13">
        <f>E26-$B$33*D26</f>
        <v/>
      </c>
      <c r="L26" s="13">
        <f>G26</f>
        <v/>
      </c>
      <c r="M26" s="13">
        <f>K26-L26</f>
        <v/>
      </c>
      <c r="O26" s="13">
        <f>J26^2</f>
        <v/>
      </c>
    </row>
    <row r="27">
      <c r="A27" t="n">
        <v>2022</v>
      </c>
      <c r="B27" s="13">
        <f>'CFC data'!B26</f>
        <v/>
      </c>
      <c r="C27" s="13">
        <f>WEO_Data!B26</f>
        <v/>
      </c>
      <c r="D27" s="13">
        <f>IF(B27&lt;&gt;0,LN(B27),"")</f>
        <v/>
      </c>
      <c r="E27" s="13">
        <f>IF(C27&lt;&gt;0,LN(C27),"")</f>
        <v/>
      </c>
      <c r="F27" s="13">
        <f>C27/(B27^$B$33)</f>
        <v/>
      </c>
      <c r="G27" s="13">
        <f>LN(F27)</f>
        <v/>
      </c>
      <c r="H27" s="13">
        <f>G27</f>
        <v/>
      </c>
      <c r="I27">
        <f>H27</f>
        <v/>
      </c>
      <c r="J27" s="13">
        <f>H27-2*H26+H25</f>
        <v/>
      </c>
      <c r="K27" s="13">
        <f>E27-$B$33*D27</f>
        <v/>
      </c>
      <c r="L27" s="13">
        <f>G27</f>
        <v/>
      </c>
      <c r="M27" s="13">
        <f>K27-L27</f>
        <v/>
      </c>
      <c r="O27" s="13">
        <f>J27^2</f>
        <v/>
      </c>
    </row>
    <row r="28">
      <c r="A28" t="n">
        <v>2023</v>
      </c>
      <c r="B28" s="13">
        <f>'CFC data'!B27</f>
        <v/>
      </c>
      <c r="C28" s="13">
        <f>WEO_Data!B27</f>
        <v/>
      </c>
      <c r="D28" s="13">
        <f>IF(B28&lt;&gt;0,LN(B28),"")</f>
        <v/>
      </c>
      <c r="E28" s="13">
        <f>IF(C28&lt;&gt;0,LN(C28),"")</f>
        <v/>
      </c>
      <c r="F28" s="13">
        <f>C28/(B28^$B$33)</f>
        <v/>
      </c>
      <c r="G28" s="13">
        <f>LN(F28)</f>
        <v/>
      </c>
      <c r="H28" s="13">
        <f>G28</f>
        <v/>
      </c>
      <c r="I28">
        <f>H28</f>
        <v/>
      </c>
      <c r="J28" s="13">
        <f>H28-2*H27+H26</f>
        <v/>
      </c>
      <c r="K28" s="13">
        <f>E28-$B$33*D28</f>
        <v/>
      </c>
      <c r="L28" s="13">
        <f>G28</f>
        <v/>
      </c>
      <c r="M28" s="13">
        <f>K28-L28</f>
        <v/>
      </c>
      <c r="O28" s="13">
        <f>J28^2</f>
        <v/>
      </c>
    </row>
    <row r="29">
      <c r="A29" t="inlineStr">
        <is>
          <t>Objective (Min Sum of Squared Deviations):</t>
        </is>
      </c>
      <c r="B29" s="3">
        <f>SUM(O7:O28)</f>
        <v/>
      </c>
    </row>
    <row r="32">
      <c r="A32" t="inlineStr">
        <is>
          <t>Production Function Parameters:</t>
        </is>
      </c>
    </row>
    <row r="33">
      <c r="A33" t="inlineStr">
        <is>
          <t>Capital Share (α):</t>
        </is>
      </c>
      <c r="B33" s="5" t="n">
        <v>0.35</v>
      </c>
    </row>
    <row r="35">
      <c r="A35" t="inlineStr">
        <is>
          <t>SOLVER SETUP INSTRUCTIONS:</t>
        </is>
      </c>
    </row>
    <row r="36">
      <c r="A36" t="inlineStr">
        <is>
          <t>1. Objective Cell: B29 (minimize)</t>
        </is>
      </c>
    </row>
    <row r="37">
      <c r="A37" t="inlineStr">
        <is>
          <t>2. By Changing: L6:L28 (LnZ_HP values)</t>
        </is>
      </c>
    </row>
    <row r="38">
      <c r="A38" t="inlineStr">
        <is>
          <t>3. Constraints: Add smoothness constraints as needed</t>
        </is>
      </c>
    </row>
    <row r="39">
      <c r="A39" t="inlineStr">
        <is>
          <t>4. Use Gradient Descent or Simplex engine</t>
        </is>
      </c>
    </row>
    <row r="45">
      <c r="A45" s="1" t="inlineStr">
        <is>
          <t>PRODUCTION FUNCTION RESULTS &amp; SCENARIO ANALYSIS</t>
        </is>
      </c>
    </row>
    <row r="47">
      <c r="A47" t="inlineStr">
        <is>
          <t>BASELINE SCENARIO (No Investment Shock)</t>
        </is>
      </c>
    </row>
    <row r="48">
      <c r="A48" s="6" t="inlineStr">
        <is>
          <t>Year</t>
        </is>
      </c>
      <c r="B48" s="6" t="inlineStr">
        <is>
          <t>K (Baseline)</t>
        </is>
      </c>
      <c r="C48" s="6" t="inlineStr">
        <is>
          <t>Y (Baseline)</t>
        </is>
      </c>
      <c r="D48" s="6" t="inlineStr">
        <is>
          <t>K/Y</t>
        </is>
      </c>
      <c r="E48" s="6" t="inlineStr">
        <is>
          <t>Y/pop</t>
        </is>
      </c>
      <c r="F48" s="6" t="inlineStr">
        <is>
          <t>LnZ_HP</t>
        </is>
      </c>
    </row>
    <row r="49">
      <c r="A49" t="n">
        <v>2002</v>
      </c>
      <c r="B49">
        <f>'CFC data'!B6</f>
        <v/>
      </c>
      <c r="C49">
        <f>WEO_Data!B6</f>
        <v/>
      </c>
      <c r="D49">
        <f>B49/C49</f>
        <v/>
      </c>
      <c r="E49">
        <f>(C49*1000000)/(IF(2002&lt;=2023,'PWT'!C7,3700))</f>
        <v/>
      </c>
      <c r="F49">
        <f>L7</f>
        <v/>
      </c>
    </row>
    <row r="50">
      <c r="A50" t="n">
        <v>2003</v>
      </c>
      <c r="B50">
        <f>'CFC data'!B7</f>
        <v/>
      </c>
      <c r="C50">
        <f>WEO_Data!B7</f>
        <v/>
      </c>
      <c r="D50">
        <f>B50/C50</f>
        <v/>
      </c>
      <c r="E50">
        <f>(C50*1000000)/(IF(2003&lt;=2023,'PWT'!C8,3700))</f>
        <v/>
      </c>
      <c r="F50">
        <f>L8</f>
        <v/>
      </c>
    </row>
    <row r="51">
      <c r="A51" t="n">
        <v>2004</v>
      </c>
      <c r="B51">
        <f>'CFC data'!B8</f>
        <v/>
      </c>
      <c r="C51">
        <f>WEO_Data!B8</f>
        <v/>
      </c>
      <c r="D51">
        <f>B51/C51</f>
        <v/>
      </c>
      <c r="E51">
        <f>(C51*1000000)/(IF(2004&lt;=2023,'PWT'!C9,3700))</f>
        <v/>
      </c>
      <c r="F51">
        <f>L9</f>
        <v/>
      </c>
    </row>
    <row r="52">
      <c r="A52" t="n">
        <v>2005</v>
      </c>
      <c r="B52">
        <f>'CFC data'!B9</f>
        <v/>
      </c>
      <c r="C52">
        <f>WEO_Data!B9</f>
        <v/>
      </c>
      <c r="D52">
        <f>B52/C52</f>
        <v/>
      </c>
      <c r="E52">
        <f>(C52*1000000)/(IF(2005&lt;=2023,'PWT'!C10,3700))</f>
        <v/>
      </c>
      <c r="F52">
        <f>L10</f>
        <v/>
      </c>
    </row>
    <row r="53">
      <c r="A53" t="n">
        <v>2006</v>
      </c>
      <c r="B53">
        <f>'CFC data'!B10</f>
        <v/>
      </c>
      <c r="C53">
        <f>WEO_Data!B10</f>
        <v/>
      </c>
      <c r="D53">
        <f>B53/C53</f>
        <v/>
      </c>
      <c r="E53">
        <f>(C53*1000000)/(IF(2006&lt;=2023,'PWT'!C11,3700))</f>
        <v/>
      </c>
      <c r="F53">
        <f>L11</f>
        <v/>
      </c>
    </row>
    <row r="54">
      <c r="A54" t="n">
        <v>2007</v>
      </c>
      <c r="B54">
        <f>'CFC data'!B11</f>
        <v/>
      </c>
      <c r="C54">
        <f>WEO_Data!B11</f>
        <v/>
      </c>
      <c r="D54">
        <f>B54/C54</f>
        <v/>
      </c>
      <c r="E54">
        <f>(C54*1000000)/(IF(2007&lt;=2023,'PWT'!C12,3700))</f>
        <v/>
      </c>
      <c r="F54">
        <f>L12</f>
        <v/>
      </c>
    </row>
    <row r="55">
      <c r="A55" t="n">
        <v>2008</v>
      </c>
      <c r="B55">
        <f>'CFC data'!B12</f>
        <v/>
      </c>
      <c r="C55">
        <f>WEO_Data!B12</f>
        <v/>
      </c>
      <c r="D55">
        <f>B55/C55</f>
        <v/>
      </c>
      <c r="E55">
        <f>(C55*1000000)/(IF(2008&lt;=2023,'PWT'!C13,3700))</f>
        <v/>
      </c>
      <c r="F55">
        <f>L13</f>
        <v/>
      </c>
    </row>
    <row r="56">
      <c r="A56" t="n">
        <v>2009</v>
      </c>
      <c r="B56">
        <f>'CFC data'!B13</f>
        <v/>
      </c>
      <c r="C56">
        <f>WEO_Data!B13</f>
        <v/>
      </c>
      <c r="D56">
        <f>B56/C56</f>
        <v/>
      </c>
      <c r="E56">
        <f>(C56*1000000)/(IF(2009&lt;=2023,'PWT'!C14,3700))</f>
        <v/>
      </c>
      <c r="F56">
        <f>L14</f>
        <v/>
      </c>
    </row>
    <row r="57">
      <c r="A57" t="n">
        <v>2010</v>
      </c>
      <c r="B57">
        <f>'CFC data'!B14</f>
        <v/>
      </c>
      <c r="C57">
        <f>WEO_Data!B14</f>
        <v/>
      </c>
      <c r="D57">
        <f>B57/C57</f>
        <v/>
      </c>
      <c r="E57">
        <f>(C57*1000000)/(IF(2010&lt;=2023,'PWT'!C15,3700))</f>
        <v/>
      </c>
      <c r="F57">
        <f>L15</f>
        <v/>
      </c>
    </row>
    <row r="58">
      <c r="A58" t="n">
        <v>2011</v>
      </c>
      <c r="B58">
        <f>'CFC data'!B15</f>
        <v/>
      </c>
      <c r="C58">
        <f>WEO_Data!B15</f>
        <v/>
      </c>
      <c r="D58">
        <f>B58/C58</f>
        <v/>
      </c>
      <c r="E58">
        <f>(C58*1000000)/(IF(2011&lt;=2023,'PWT'!C16,3700))</f>
        <v/>
      </c>
      <c r="F58">
        <f>L16</f>
        <v/>
      </c>
    </row>
    <row r="59">
      <c r="A59" t="n">
        <v>2012</v>
      </c>
      <c r="B59">
        <f>'CFC data'!B16</f>
        <v/>
      </c>
      <c r="C59">
        <f>WEO_Data!B16</f>
        <v/>
      </c>
      <c r="D59">
        <f>B59/C59</f>
        <v/>
      </c>
      <c r="E59">
        <f>(C59*1000000)/(IF(2012&lt;=2023,'PWT'!C17,3700))</f>
        <v/>
      </c>
      <c r="F59">
        <f>L17</f>
        <v/>
      </c>
    </row>
    <row r="60">
      <c r="A60" t="n">
        <v>2013</v>
      </c>
      <c r="B60">
        <f>'CFC data'!B17</f>
        <v/>
      </c>
      <c r="C60">
        <f>WEO_Data!B17</f>
        <v/>
      </c>
      <c r="D60">
        <f>B60/C60</f>
        <v/>
      </c>
      <c r="E60">
        <f>(C60*1000000)/(IF(2013&lt;=2023,'PWT'!C18,3700))</f>
        <v/>
      </c>
      <c r="F60">
        <f>L18</f>
        <v/>
      </c>
    </row>
    <row r="61">
      <c r="A61" t="n">
        <v>2014</v>
      </c>
      <c r="B61">
        <f>'CFC data'!B18</f>
        <v/>
      </c>
      <c r="C61">
        <f>WEO_Data!B18</f>
        <v/>
      </c>
      <c r="D61">
        <f>B61/C61</f>
        <v/>
      </c>
      <c r="E61">
        <f>(C61*1000000)/(IF(2014&lt;=2023,'PWT'!C19,3700))</f>
        <v/>
      </c>
      <c r="F61">
        <f>L19</f>
        <v/>
      </c>
    </row>
    <row r="62">
      <c r="A62" t="n">
        <v>2015</v>
      </c>
      <c r="B62">
        <f>'CFC data'!B19</f>
        <v/>
      </c>
      <c r="C62">
        <f>WEO_Data!B19</f>
        <v/>
      </c>
      <c r="D62">
        <f>B62/C62</f>
        <v/>
      </c>
      <c r="E62">
        <f>(C62*1000000)/(IF(2015&lt;=2023,'PWT'!C20,3700))</f>
        <v/>
      </c>
      <c r="F62">
        <f>L20</f>
        <v/>
      </c>
    </row>
    <row r="63">
      <c r="A63" t="n">
        <v>2016</v>
      </c>
      <c r="B63">
        <f>'CFC data'!B20</f>
        <v/>
      </c>
      <c r="C63">
        <f>WEO_Data!B20</f>
        <v/>
      </c>
      <c r="D63">
        <f>B63/C63</f>
        <v/>
      </c>
      <c r="E63">
        <f>(C63*1000000)/(IF(2016&lt;=2023,'PWT'!C21,3700))</f>
        <v/>
      </c>
      <c r="F63">
        <f>L21</f>
        <v/>
      </c>
    </row>
    <row r="64">
      <c r="A64" t="n">
        <v>2017</v>
      </c>
      <c r="B64">
        <f>'CFC data'!B21</f>
        <v/>
      </c>
      <c r="C64">
        <f>WEO_Data!B21</f>
        <v/>
      </c>
      <c r="D64">
        <f>B64/C64</f>
        <v/>
      </c>
      <c r="E64">
        <f>(C64*1000000)/(IF(2017&lt;=2023,'PWT'!C22,3700))</f>
        <v/>
      </c>
      <c r="F64">
        <f>L22</f>
        <v/>
      </c>
    </row>
    <row r="65">
      <c r="A65" t="n">
        <v>2018</v>
      </c>
      <c r="B65">
        <f>'CFC data'!B22</f>
        <v/>
      </c>
      <c r="C65">
        <f>WEO_Data!B22</f>
        <v/>
      </c>
      <c r="D65">
        <f>B65/C65</f>
        <v/>
      </c>
      <c r="E65">
        <f>(C65*1000000)/(IF(2018&lt;=2023,'PWT'!C23,3700))</f>
        <v/>
      </c>
      <c r="F65">
        <f>L23</f>
        <v/>
      </c>
    </row>
    <row r="66">
      <c r="A66" t="n">
        <v>2019</v>
      </c>
      <c r="B66">
        <f>'CFC data'!B23</f>
        <v/>
      </c>
      <c r="C66">
        <f>WEO_Data!B23</f>
        <v/>
      </c>
      <c r="D66">
        <f>B66/C66</f>
        <v/>
      </c>
      <c r="E66">
        <f>(C66*1000000)/(IF(2019&lt;=2023,'PWT'!C24,3700))</f>
        <v/>
      </c>
      <c r="F66">
        <f>L24</f>
        <v/>
      </c>
    </row>
    <row r="67">
      <c r="A67" t="n">
        <v>2020</v>
      </c>
      <c r="B67">
        <f>'CFC data'!B24</f>
        <v/>
      </c>
      <c r="C67">
        <f>WEO_Data!B24</f>
        <v/>
      </c>
      <c r="D67">
        <f>B67/C67</f>
        <v/>
      </c>
      <c r="E67">
        <f>(C67*1000000)/(IF(2020&lt;=2023,'PWT'!C25,3700))</f>
        <v/>
      </c>
      <c r="F67">
        <f>L25</f>
        <v/>
      </c>
    </row>
    <row r="68">
      <c r="A68" t="n">
        <v>2021</v>
      </c>
      <c r="B68">
        <f>'CFC data'!B25</f>
        <v/>
      </c>
      <c r="C68">
        <f>WEO_Data!B25</f>
        <v/>
      </c>
      <c r="D68">
        <f>B68/C68</f>
        <v/>
      </c>
      <c r="E68">
        <f>(C68*1000000)/(IF(2021&lt;=2023,'PWT'!C26,3700))</f>
        <v/>
      </c>
      <c r="F68">
        <f>L26</f>
        <v/>
      </c>
    </row>
    <row r="69">
      <c r="A69" t="n">
        <v>2022</v>
      </c>
      <c r="B69">
        <f>'CFC data'!B26</f>
        <v/>
      </c>
      <c r="C69">
        <f>WEO_Data!B26</f>
        <v/>
      </c>
      <c r="D69">
        <f>B69/C69</f>
        <v/>
      </c>
      <c r="E69">
        <f>(C69*1000000)/(IF(2022&lt;=2023,'PWT'!C27,3700))</f>
        <v/>
      </c>
      <c r="F69">
        <f>L27</f>
        <v/>
      </c>
    </row>
    <row r="70">
      <c r="A70" t="n">
        <v>2023</v>
      </c>
      <c r="B70">
        <f>'CFC data'!B27</f>
        <v/>
      </c>
      <c r="C70">
        <f>WEO_Data!B27</f>
        <v/>
      </c>
      <c r="D70">
        <f>B70/C70</f>
        <v/>
      </c>
      <c r="E70">
        <f>(C70*1000000)/(IF(2023&lt;=2023,'PWT'!C28,3700))</f>
        <v/>
      </c>
      <c r="F70">
        <f>L28</f>
        <v/>
      </c>
    </row>
    <row r="71">
      <c r="A71" t="n">
        <v>2024</v>
      </c>
      <c r="B71">
        <f>B70*(1-$B$3)</f>
        <v/>
      </c>
      <c r="C71">
        <f>WEO_Data!B28</f>
        <v/>
      </c>
      <c r="D71">
        <f>B71/C71</f>
        <v/>
      </c>
      <c r="E71">
        <f>(C71*1000000)/(IF(2024&lt;=2023,'PWT'!C29,3700))</f>
        <v/>
      </c>
    </row>
    <row r="72">
      <c r="A72" t="n">
        <v>2025</v>
      </c>
      <c r="B72">
        <f>B71*(1-$B$3)</f>
        <v/>
      </c>
      <c r="C72">
        <f>WEO_Data!B29</f>
        <v/>
      </c>
      <c r="D72">
        <f>B72/C72</f>
        <v/>
      </c>
      <c r="E72">
        <f>(C72*1000000)/(IF(2025&lt;=2023,'PWT'!C30,3700))</f>
        <v/>
      </c>
    </row>
    <row r="73">
      <c r="A73" t="n">
        <v>2026</v>
      </c>
      <c r="B73">
        <f>B72*(1-$B$3)</f>
        <v/>
      </c>
      <c r="C73">
        <f>WEO_Data!B30</f>
        <v/>
      </c>
      <c r="D73">
        <f>B73/C73</f>
        <v/>
      </c>
      <c r="E73">
        <f>(C73*1000000)/(IF(2026&lt;=2023,'PWT'!C31,3700))</f>
        <v/>
      </c>
    </row>
    <row r="74">
      <c r="A74" t="n">
        <v>2027</v>
      </c>
      <c r="B74">
        <f>B73*(1-$B$3)</f>
        <v/>
      </c>
      <c r="C74">
        <f>WEO_Data!B31</f>
        <v/>
      </c>
      <c r="D74">
        <f>B74/C74</f>
        <v/>
      </c>
      <c r="E74">
        <f>(C74*1000000)/(IF(2027&lt;=2023,'PWT'!C32,3700))</f>
        <v/>
      </c>
    </row>
    <row r="75">
      <c r="A75" t="n">
        <v>2028</v>
      </c>
      <c r="B75">
        <f>B74*(1-$B$3)</f>
        <v/>
      </c>
      <c r="C75">
        <f>WEO_Data!B32</f>
        <v/>
      </c>
      <c r="D75">
        <f>B75/C75</f>
        <v/>
      </c>
      <c r="E75">
        <f>(C75*1000000)/(IF(2028&lt;=2023,'PWT'!C33,3700))</f>
        <v/>
      </c>
    </row>
    <row r="76">
      <c r="A76" t="n">
        <v>2029</v>
      </c>
      <c r="B76">
        <f>B75*(1-$B$3)</f>
        <v/>
      </c>
      <c r="C76">
        <f>WEO_Data!B33</f>
        <v/>
      </c>
      <c r="D76">
        <f>B76/C76</f>
        <v/>
      </c>
      <c r="E76">
        <f>(C76*1000000)/(IF(2029&lt;=2023,'PWT'!C34,3700))</f>
        <v/>
      </c>
    </row>
    <row r="77">
      <c r="A77" t="n">
        <v>2030</v>
      </c>
      <c r="B77">
        <f>B76*(1-$B$3)</f>
        <v/>
      </c>
      <c r="C77">
        <f>WEO_Data!B34</f>
        <v/>
      </c>
      <c r="D77">
        <f>B77/C77</f>
        <v/>
      </c>
      <c r="E77">
        <f>(C77*1000000)/(IF(2030&lt;=2023,'PWT'!C35,3700))</f>
        <v/>
      </c>
    </row>
    <row r="78">
      <c r="A78" t="n">
        <v>2031</v>
      </c>
      <c r="B78">
        <f>B77*(1-$B$3)</f>
        <v/>
      </c>
      <c r="C78">
        <f>WEO_Data!B35</f>
        <v/>
      </c>
      <c r="D78">
        <f>B78/C78</f>
        <v/>
      </c>
      <c r="E78">
        <f>(C78*1000000)/(IF(2031&lt;=2023,'PWT'!C36,3700))</f>
        <v/>
      </c>
    </row>
    <row r="79">
      <c r="A79" t="n">
        <v>2032</v>
      </c>
      <c r="B79">
        <f>B78*(1-$B$3)</f>
        <v/>
      </c>
      <c r="C79">
        <f>WEO_Data!B36</f>
        <v/>
      </c>
      <c r="D79">
        <f>B79/C79</f>
        <v/>
      </c>
      <c r="E79">
        <f>(C79*1000000)/(IF(2032&lt;=2023,'PWT'!C37,3700))</f>
        <v/>
      </c>
    </row>
    <row r="80">
      <c r="A80" t="n">
        <v>2033</v>
      </c>
      <c r="B80">
        <f>B79*(1-$B$3)</f>
        <v/>
      </c>
      <c r="C80">
        <f>WEO_Data!B37</f>
        <v/>
      </c>
      <c r="D80">
        <f>B80/C80</f>
        <v/>
      </c>
      <c r="E80">
        <f>(C80*1000000)/(IF(2033&lt;=2023,'PWT'!C38,3700))</f>
        <v/>
      </c>
    </row>
    <row r="81">
      <c r="A81" t="n">
        <v>2034</v>
      </c>
      <c r="B81">
        <f>B80*(1-$B$3)</f>
        <v/>
      </c>
      <c r="C81">
        <f>WEO_Data!B38</f>
        <v/>
      </c>
      <c r="D81">
        <f>B81/C81</f>
        <v/>
      </c>
      <c r="E81">
        <f>(C81*1000000)/(IF(2034&lt;=2023,'PWT'!C39,3700))</f>
        <v/>
      </c>
    </row>
    <row r="82">
      <c r="A82" t="n">
        <v>2035</v>
      </c>
      <c r="B82">
        <f>B81*(1-$B$3)</f>
        <v/>
      </c>
      <c r="C82">
        <f>WEO_Data!B39</f>
        <v/>
      </c>
      <c r="D82">
        <f>B82/C82</f>
        <v/>
      </c>
      <c r="E82">
        <f>(C82*1000000)/(IF(2035&lt;=2023,'PWT'!C40,3700))</f>
        <v/>
      </c>
    </row>
    <row r="83">
      <c r="A83" t="n">
        <v>2036</v>
      </c>
      <c r="B83">
        <f>B82*(1-$B$3)</f>
        <v/>
      </c>
      <c r="C83">
        <f>WEO_Data!B40</f>
        <v/>
      </c>
      <c r="D83">
        <f>B83/C83</f>
        <v/>
      </c>
      <c r="E83">
        <f>(C83*1000000)/(IF(2036&lt;=2023,'PWT'!C41,3700))</f>
        <v/>
      </c>
    </row>
    <row r="84">
      <c r="A84" t="n">
        <v>2037</v>
      </c>
      <c r="B84">
        <f>B83*(1-$B$3)</f>
        <v/>
      </c>
      <c r="C84">
        <f>WEO_Data!B41</f>
        <v/>
      </c>
      <c r="D84">
        <f>B84/C84</f>
        <v/>
      </c>
      <c r="E84">
        <f>(C84*1000000)/(IF(2037&lt;=2023,'PWT'!C42,3700))</f>
        <v/>
      </c>
    </row>
    <row r="85">
      <c r="A85" t="n">
        <v>2038</v>
      </c>
      <c r="B85">
        <f>B84*(1-$B$3)</f>
        <v/>
      </c>
      <c r="C85">
        <f>WEO_Data!B42</f>
        <v/>
      </c>
      <c r="D85">
        <f>B85/C85</f>
        <v/>
      </c>
      <c r="E85">
        <f>(C85*1000000)/(IF(2038&lt;=2023,'PWT'!C43,3700))</f>
        <v/>
      </c>
    </row>
    <row r="86">
      <c r="A86" t="n">
        <v>2039</v>
      </c>
      <c r="B86">
        <f>B85*(1-$B$3)</f>
        <v/>
      </c>
      <c r="C86">
        <f>WEO_Data!B43</f>
        <v/>
      </c>
      <c r="D86">
        <f>B86/C86</f>
        <v/>
      </c>
      <c r="E86">
        <f>(C86*1000000)/(IF(2039&lt;=2023,'PWT'!C44,3700))</f>
        <v/>
      </c>
    </row>
    <row r="87">
      <c r="A87" t="n">
        <v>2040</v>
      </c>
      <c r="B87">
        <f>B86*(1-$B$3)</f>
        <v/>
      </c>
      <c r="C87">
        <f>WEO_Data!B44</f>
        <v/>
      </c>
      <c r="D87">
        <f>B87/C87</f>
        <v/>
      </c>
      <c r="E87">
        <f>(C87*1000000)/(IF(2040&lt;=2023,'PWT'!C45,3700))</f>
        <v/>
      </c>
    </row>
    <row r="88">
      <c r="A88" t="n">
        <v>2041</v>
      </c>
      <c r="B88">
        <f>B87*(1-$B$3)</f>
        <v/>
      </c>
      <c r="C88">
        <f>WEO_Data!B45</f>
        <v/>
      </c>
      <c r="D88">
        <f>B88/C88</f>
        <v/>
      </c>
      <c r="E88">
        <f>(C88*1000000)/(IF(2041&lt;=2023,'PWT'!C46,3700))</f>
        <v/>
      </c>
    </row>
    <row r="89">
      <c r="A89" t="n">
        <v>2042</v>
      </c>
      <c r="B89">
        <f>B88*(1-$B$3)</f>
        <v/>
      </c>
      <c r="C89">
        <f>WEO_Data!B46</f>
        <v/>
      </c>
      <c r="D89">
        <f>B89/C89</f>
        <v/>
      </c>
      <c r="E89">
        <f>(C89*1000000)/(IF(2042&lt;=2023,'PWT'!C47,3700))</f>
        <v/>
      </c>
    </row>
    <row r="90">
      <c r="A90" t="n">
        <v>2043</v>
      </c>
      <c r="B90">
        <f>B89*(1-$B$3)</f>
        <v/>
      </c>
      <c r="C90">
        <f>WEO_Data!B47</f>
        <v/>
      </c>
      <c r="D90">
        <f>B90/C90</f>
        <v/>
      </c>
      <c r="E90">
        <f>(C90*1000000)/(IF(2043&lt;=2023,'PWT'!C48,3700))</f>
        <v/>
      </c>
    </row>
    <row r="93">
      <c r="A93" t="inlineStr">
        <is>
          <t>SHOCK SCENARIO (With $6.5B Investment 2026-2033)</t>
        </is>
      </c>
    </row>
    <row r="94">
      <c r="A94" s="6" t="inlineStr">
        <is>
          <t>Year</t>
        </is>
      </c>
      <c r="B94" s="6" t="inlineStr">
        <is>
          <t>K (With Shock)</t>
        </is>
      </c>
      <c r="C94" s="6" t="inlineStr">
        <is>
          <t>Y (With Shock)</t>
        </is>
      </c>
      <c r="D94" s="6" t="inlineStr">
        <is>
          <t>K/Y</t>
        </is>
      </c>
      <c r="E94" s="6" t="inlineStr">
        <is>
          <t>Y Differential</t>
        </is>
      </c>
      <c r="F94" s="6" t="inlineStr">
        <is>
          <t>Y % Change</t>
        </is>
      </c>
    </row>
    <row r="95">
      <c r="A95" t="n">
        <v>2002</v>
      </c>
      <c r="B95">
        <f>B49</f>
        <v/>
      </c>
      <c r="C95">
        <f>C49</f>
        <v/>
      </c>
      <c r="D95">
        <f>B95/C95</f>
        <v/>
      </c>
      <c r="E95">
        <f>C95-C49</f>
        <v/>
      </c>
      <c r="F95">
        <f>E95/C49</f>
        <v/>
      </c>
    </row>
    <row r="96">
      <c r="A96" t="n">
        <v>2003</v>
      </c>
      <c r="B96">
        <f>B50</f>
        <v/>
      </c>
      <c r="C96">
        <f>C50</f>
        <v/>
      </c>
      <c r="D96">
        <f>B96/C96</f>
        <v/>
      </c>
      <c r="E96">
        <f>C96-C50</f>
        <v/>
      </c>
      <c r="F96">
        <f>E96/C50</f>
        <v/>
      </c>
    </row>
    <row r="97">
      <c r="A97" t="n">
        <v>2004</v>
      </c>
      <c r="B97">
        <f>B51</f>
        <v/>
      </c>
      <c r="C97">
        <f>C51</f>
        <v/>
      </c>
      <c r="D97">
        <f>B97/C97</f>
        <v/>
      </c>
      <c r="E97">
        <f>C97-C51</f>
        <v/>
      </c>
      <c r="F97">
        <f>E97/C51</f>
        <v/>
      </c>
    </row>
    <row r="98">
      <c r="A98" t="n">
        <v>2005</v>
      </c>
      <c r="B98">
        <f>B52</f>
        <v/>
      </c>
      <c r="C98">
        <f>C52</f>
        <v/>
      </c>
      <c r="D98">
        <f>B98/C98</f>
        <v/>
      </c>
      <c r="E98">
        <f>C98-C52</f>
        <v/>
      </c>
      <c r="F98">
        <f>E98/C52</f>
        <v/>
      </c>
    </row>
    <row r="99">
      <c r="A99" t="n">
        <v>2006</v>
      </c>
      <c r="B99">
        <f>B53</f>
        <v/>
      </c>
      <c r="C99">
        <f>C53</f>
        <v/>
      </c>
      <c r="D99">
        <f>B99/C99</f>
        <v/>
      </c>
      <c r="E99">
        <f>C99-C53</f>
        <v/>
      </c>
      <c r="F99">
        <f>E99/C53</f>
        <v/>
      </c>
    </row>
    <row r="100">
      <c r="A100" t="n">
        <v>2007</v>
      </c>
      <c r="B100">
        <f>B54</f>
        <v/>
      </c>
      <c r="C100">
        <f>C54</f>
        <v/>
      </c>
      <c r="D100">
        <f>B100/C100</f>
        <v/>
      </c>
      <c r="E100">
        <f>C100-C54</f>
        <v/>
      </c>
      <c r="F100">
        <f>E100/C54</f>
        <v/>
      </c>
    </row>
    <row r="101">
      <c r="A101" t="n">
        <v>2008</v>
      </c>
      <c r="B101">
        <f>B55</f>
        <v/>
      </c>
      <c r="C101">
        <f>C55</f>
        <v/>
      </c>
      <c r="D101">
        <f>B101/C101</f>
        <v/>
      </c>
      <c r="E101">
        <f>C101-C55</f>
        <v/>
      </c>
      <c r="F101">
        <f>E101/C55</f>
        <v/>
      </c>
    </row>
    <row r="102">
      <c r="A102" t="n">
        <v>2009</v>
      </c>
      <c r="B102">
        <f>B56</f>
        <v/>
      </c>
      <c r="C102">
        <f>C56</f>
        <v/>
      </c>
      <c r="D102">
        <f>B102/C102</f>
        <v/>
      </c>
      <c r="E102">
        <f>C102-C56</f>
        <v/>
      </c>
      <c r="F102">
        <f>E102/C56</f>
        <v/>
      </c>
    </row>
    <row r="103">
      <c r="A103" t="n">
        <v>2010</v>
      </c>
      <c r="B103">
        <f>B57</f>
        <v/>
      </c>
      <c r="C103">
        <f>C57</f>
        <v/>
      </c>
      <c r="D103">
        <f>B103/C103</f>
        <v/>
      </c>
      <c r="E103">
        <f>C103-C57</f>
        <v/>
      </c>
      <c r="F103">
        <f>E103/C57</f>
        <v/>
      </c>
    </row>
    <row r="104">
      <c r="A104" t="n">
        <v>2011</v>
      </c>
      <c r="B104">
        <f>B58</f>
        <v/>
      </c>
      <c r="C104">
        <f>C58</f>
        <v/>
      </c>
      <c r="D104">
        <f>B104/C104</f>
        <v/>
      </c>
      <c r="E104">
        <f>C104-C58</f>
        <v/>
      </c>
      <c r="F104">
        <f>E104/C58</f>
        <v/>
      </c>
    </row>
    <row r="105">
      <c r="A105" t="n">
        <v>2012</v>
      </c>
      <c r="B105">
        <f>B59</f>
        <v/>
      </c>
      <c r="C105">
        <f>C59</f>
        <v/>
      </c>
      <c r="D105">
        <f>B105/C105</f>
        <v/>
      </c>
      <c r="E105">
        <f>C105-C59</f>
        <v/>
      </c>
      <c r="F105">
        <f>E105/C59</f>
        <v/>
      </c>
    </row>
    <row r="106">
      <c r="A106" t="n">
        <v>2013</v>
      </c>
      <c r="B106">
        <f>B60</f>
        <v/>
      </c>
      <c r="C106">
        <f>C60</f>
        <v/>
      </c>
      <c r="D106">
        <f>B106/C106</f>
        <v/>
      </c>
      <c r="E106">
        <f>C106-C60</f>
        <v/>
      </c>
      <c r="F106">
        <f>E106/C60</f>
        <v/>
      </c>
    </row>
    <row r="107">
      <c r="A107" t="n">
        <v>2014</v>
      </c>
      <c r="B107">
        <f>B61</f>
        <v/>
      </c>
      <c r="C107">
        <f>C61</f>
        <v/>
      </c>
      <c r="D107">
        <f>B107/C107</f>
        <v/>
      </c>
      <c r="E107">
        <f>C107-C61</f>
        <v/>
      </c>
      <c r="F107">
        <f>E107/C61</f>
        <v/>
      </c>
    </row>
    <row r="108">
      <c r="A108" t="n">
        <v>2015</v>
      </c>
      <c r="B108">
        <f>B62</f>
        <v/>
      </c>
      <c r="C108">
        <f>C62</f>
        <v/>
      </c>
      <c r="D108">
        <f>B108/C108</f>
        <v/>
      </c>
      <c r="E108">
        <f>C108-C62</f>
        <v/>
      </c>
      <c r="F108">
        <f>E108/C62</f>
        <v/>
      </c>
    </row>
    <row r="109">
      <c r="A109" t="n">
        <v>2016</v>
      </c>
      <c r="B109">
        <f>B63</f>
        <v/>
      </c>
      <c r="C109">
        <f>C63</f>
        <v/>
      </c>
      <c r="D109">
        <f>B109/C109</f>
        <v/>
      </c>
      <c r="E109">
        <f>C109-C63</f>
        <v/>
      </c>
      <c r="F109">
        <f>E109/C63</f>
        <v/>
      </c>
    </row>
    <row r="110">
      <c r="A110" t="n">
        <v>2017</v>
      </c>
      <c r="B110">
        <f>B64</f>
        <v/>
      </c>
      <c r="C110">
        <f>C64</f>
        <v/>
      </c>
      <c r="D110">
        <f>B110/C110</f>
        <v/>
      </c>
      <c r="E110">
        <f>C110-C64</f>
        <v/>
      </c>
      <c r="F110">
        <f>E110/C64</f>
        <v/>
      </c>
    </row>
    <row r="111">
      <c r="A111" t="n">
        <v>2018</v>
      </c>
      <c r="B111">
        <f>B65</f>
        <v/>
      </c>
      <c r="C111">
        <f>C65</f>
        <v/>
      </c>
      <c r="D111">
        <f>B111/C111</f>
        <v/>
      </c>
      <c r="E111">
        <f>C111-C65</f>
        <v/>
      </c>
      <c r="F111">
        <f>E111/C65</f>
        <v/>
      </c>
    </row>
    <row r="112">
      <c r="A112" t="n">
        <v>2019</v>
      </c>
      <c r="B112">
        <f>B66</f>
        <v/>
      </c>
      <c r="C112">
        <f>C66</f>
        <v/>
      </c>
      <c r="D112">
        <f>B112/C112</f>
        <v/>
      </c>
      <c r="E112">
        <f>C112-C66</f>
        <v/>
      </c>
      <c r="F112">
        <f>E112/C66</f>
        <v/>
      </c>
    </row>
    <row r="113">
      <c r="A113" t="n">
        <v>2020</v>
      </c>
      <c r="B113">
        <f>B67</f>
        <v/>
      </c>
      <c r="C113">
        <f>C67</f>
        <v/>
      </c>
      <c r="D113">
        <f>B113/C113</f>
        <v/>
      </c>
      <c r="E113">
        <f>C113-C67</f>
        <v/>
      </c>
      <c r="F113">
        <f>E113/C67</f>
        <v/>
      </c>
    </row>
    <row r="114">
      <c r="A114" t="n">
        <v>2021</v>
      </c>
      <c r="B114">
        <f>B68</f>
        <v/>
      </c>
      <c r="C114">
        <f>C68</f>
        <v/>
      </c>
      <c r="D114">
        <f>B114/C114</f>
        <v/>
      </c>
      <c r="E114">
        <f>C114-C68</f>
        <v/>
      </c>
      <c r="F114">
        <f>E114/C68</f>
        <v/>
      </c>
    </row>
    <row r="115">
      <c r="A115" t="n">
        <v>2022</v>
      </c>
      <c r="B115">
        <f>B69</f>
        <v/>
      </c>
      <c r="C115">
        <f>C69</f>
        <v/>
      </c>
      <c r="D115">
        <f>B115/C115</f>
        <v/>
      </c>
      <c r="E115">
        <f>C115-C69</f>
        <v/>
      </c>
      <c r="F115">
        <f>E115/C69</f>
        <v/>
      </c>
    </row>
    <row r="116">
      <c r="A116" t="n">
        <v>2023</v>
      </c>
      <c r="B116">
        <f>B70</f>
        <v/>
      </c>
      <c r="C116">
        <f>C70</f>
        <v/>
      </c>
      <c r="D116">
        <f>B116/C116</f>
        <v/>
      </c>
      <c r="E116">
        <f>C116-C70</f>
        <v/>
      </c>
      <c r="F116">
        <f>E116/C70</f>
        <v/>
      </c>
    </row>
    <row r="117">
      <c r="A117" t="n">
        <v>2024</v>
      </c>
      <c r="B117">
        <f>B71</f>
        <v/>
      </c>
      <c r="C117">
        <f>C71</f>
        <v/>
      </c>
      <c r="D117">
        <f>B117/C117</f>
        <v/>
      </c>
      <c r="E117">
        <f>C117-C71</f>
        <v/>
      </c>
      <c r="F117">
        <f>E117/C71</f>
        <v/>
      </c>
    </row>
    <row r="118">
      <c r="A118" t="n">
        <v>2025</v>
      </c>
      <c r="B118">
        <f>B72</f>
        <v/>
      </c>
      <c r="C118">
        <f>C72</f>
        <v/>
      </c>
      <c r="D118">
        <f>B118/C118</f>
        <v/>
      </c>
      <c r="E118">
        <f>C118-C72</f>
        <v/>
      </c>
      <c r="F118">
        <f>E118/C72</f>
        <v/>
      </c>
    </row>
    <row r="119">
      <c r="A119" t="n">
        <v>2026</v>
      </c>
      <c r="B119">
        <f>B73+=SUM(Investment!C10:C34)</f>
        <v/>
      </c>
      <c r="C119">
        <f>C73</f>
        <v/>
      </c>
      <c r="D119">
        <f>B119/C119</f>
        <v/>
      </c>
      <c r="E119">
        <f>C119-C73</f>
        <v/>
      </c>
      <c r="F119">
        <f>E119/C73</f>
        <v/>
      </c>
    </row>
    <row r="120">
      <c r="A120" t="n">
        <v>2027</v>
      </c>
      <c r="B120">
        <f>B74+=SUM(Investment!C10:C35)</f>
        <v/>
      </c>
      <c r="C120">
        <f>C74</f>
        <v/>
      </c>
      <c r="D120">
        <f>B120/C120</f>
        <v/>
      </c>
      <c r="E120">
        <f>C120-C74</f>
        <v/>
      </c>
      <c r="F120">
        <f>E120/C74</f>
        <v/>
      </c>
    </row>
    <row r="121">
      <c r="A121" t="n">
        <v>2028</v>
      </c>
      <c r="B121">
        <f>B75+=SUM(Investment!C10:C36)</f>
        <v/>
      </c>
      <c r="C121">
        <f>C75</f>
        <v/>
      </c>
      <c r="D121">
        <f>B121/C121</f>
        <v/>
      </c>
      <c r="E121">
        <f>C121-C75</f>
        <v/>
      </c>
      <c r="F121">
        <f>E121/C75</f>
        <v/>
      </c>
    </row>
    <row r="122">
      <c r="A122" t="n">
        <v>2029</v>
      </c>
      <c r="B122">
        <f>B76+=SUM(Investment!C10:C37)</f>
        <v/>
      </c>
      <c r="C122">
        <f>C76</f>
        <v/>
      </c>
      <c r="D122">
        <f>B122/C122</f>
        <v/>
      </c>
      <c r="E122">
        <f>C122-C76</f>
        <v/>
      </c>
      <c r="F122">
        <f>E122/C76</f>
        <v/>
      </c>
    </row>
    <row r="123">
      <c r="A123" t="n">
        <v>2030</v>
      </c>
      <c r="B123">
        <f>B77+=SUM(Investment!C10:C38)</f>
        <v/>
      </c>
      <c r="C123">
        <f>C77</f>
        <v/>
      </c>
      <c r="D123">
        <f>B123/C123</f>
        <v/>
      </c>
      <c r="E123">
        <f>C123-C77</f>
        <v/>
      </c>
      <c r="F123">
        <f>E123/C77</f>
        <v/>
      </c>
    </row>
    <row r="124">
      <c r="A124" t="n">
        <v>2031</v>
      </c>
      <c r="B124">
        <f>B78+=SUM(Investment!C10:C39)</f>
        <v/>
      </c>
      <c r="C124">
        <f>C78</f>
        <v/>
      </c>
      <c r="D124">
        <f>B124/C124</f>
        <v/>
      </c>
      <c r="E124">
        <f>C124-C78</f>
        <v/>
      </c>
      <c r="F124">
        <f>E124/C78</f>
        <v/>
      </c>
    </row>
    <row r="125">
      <c r="A125" t="n">
        <v>2032</v>
      </c>
      <c r="B125">
        <f>B79+=SUM(Investment!C10:C40)</f>
        <v/>
      </c>
      <c r="C125">
        <f>C79</f>
        <v/>
      </c>
      <c r="D125">
        <f>B125/C125</f>
        <v/>
      </c>
      <c r="E125">
        <f>C125-C79</f>
        <v/>
      </c>
      <c r="F125">
        <f>E125/C79</f>
        <v/>
      </c>
    </row>
    <row r="126">
      <c r="A126" t="n">
        <v>2033</v>
      </c>
      <c r="B126">
        <f>B80+=SUM(Investment!C10:C41)</f>
        <v/>
      </c>
      <c r="C126">
        <f>C80</f>
        <v/>
      </c>
      <c r="D126">
        <f>B126/C126</f>
        <v/>
      </c>
      <c r="E126">
        <f>C126-C80</f>
        <v/>
      </c>
      <c r="F126">
        <f>E126/C80</f>
        <v/>
      </c>
    </row>
    <row r="127">
      <c r="A127" t="n">
        <v>2034</v>
      </c>
      <c r="B127">
        <f>B81</f>
        <v/>
      </c>
      <c r="C127">
        <f>C81</f>
        <v/>
      </c>
      <c r="D127">
        <f>B127/C127</f>
        <v/>
      </c>
      <c r="E127">
        <f>C127-C81</f>
        <v/>
      </c>
      <c r="F127">
        <f>E127/C81</f>
        <v/>
      </c>
    </row>
    <row r="128">
      <c r="A128" t="n">
        <v>2035</v>
      </c>
      <c r="B128">
        <f>B82</f>
        <v/>
      </c>
      <c r="C128">
        <f>C82</f>
        <v/>
      </c>
      <c r="D128">
        <f>B128/C128</f>
        <v/>
      </c>
      <c r="E128">
        <f>C128-C82</f>
        <v/>
      </c>
      <c r="F128">
        <f>E128/C82</f>
        <v/>
      </c>
    </row>
    <row r="129">
      <c r="A129" t="n">
        <v>2036</v>
      </c>
      <c r="B129">
        <f>B83</f>
        <v/>
      </c>
      <c r="C129">
        <f>C83</f>
        <v/>
      </c>
      <c r="D129">
        <f>B129/C129</f>
        <v/>
      </c>
      <c r="E129">
        <f>C129-C83</f>
        <v/>
      </c>
      <c r="F129">
        <f>E129/C83</f>
        <v/>
      </c>
    </row>
    <row r="130">
      <c r="A130" t="n">
        <v>2037</v>
      </c>
      <c r="B130">
        <f>B84</f>
        <v/>
      </c>
      <c r="C130">
        <f>C84</f>
        <v/>
      </c>
      <c r="D130">
        <f>B130/C130</f>
        <v/>
      </c>
      <c r="E130">
        <f>C130-C84</f>
        <v/>
      </c>
      <c r="F130">
        <f>E130/C84</f>
        <v/>
      </c>
    </row>
    <row r="131">
      <c r="A131" t="n">
        <v>2038</v>
      </c>
      <c r="B131">
        <f>B85</f>
        <v/>
      </c>
      <c r="C131">
        <f>C85</f>
        <v/>
      </c>
      <c r="D131">
        <f>B131/C131</f>
        <v/>
      </c>
      <c r="E131">
        <f>C131-C85</f>
        <v/>
      </c>
      <c r="F131">
        <f>E131/C85</f>
        <v/>
      </c>
    </row>
    <row r="132">
      <c r="A132" t="n">
        <v>2039</v>
      </c>
      <c r="B132">
        <f>B86</f>
        <v/>
      </c>
      <c r="C132">
        <f>C86</f>
        <v/>
      </c>
      <c r="D132">
        <f>B132/C132</f>
        <v/>
      </c>
      <c r="E132">
        <f>C132-C86</f>
        <v/>
      </c>
      <c r="F132">
        <f>E132/C86</f>
        <v/>
      </c>
    </row>
    <row r="133">
      <c r="A133" t="n">
        <v>2040</v>
      </c>
      <c r="B133">
        <f>B87</f>
        <v/>
      </c>
      <c r="C133">
        <f>C87</f>
        <v/>
      </c>
      <c r="D133">
        <f>B133/C133</f>
        <v/>
      </c>
      <c r="E133">
        <f>C133-C87</f>
        <v/>
      </c>
      <c r="F133">
        <f>E133/C87</f>
        <v/>
      </c>
    </row>
    <row r="134">
      <c r="A134" t="n">
        <v>2041</v>
      </c>
      <c r="B134">
        <f>B88</f>
        <v/>
      </c>
      <c r="C134">
        <f>C88</f>
        <v/>
      </c>
      <c r="D134">
        <f>B134/C134</f>
        <v/>
      </c>
      <c r="E134">
        <f>C134-C88</f>
        <v/>
      </c>
      <c r="F134">
        <f>E134/C88</f>
        <v/>
      </c>
    </row>
    <row r="135">
      <c r="A135" t="n">
        <v>2042</v>
      </c>
      <c r="B135">
        <f>B89</f>
        <v/>
      </c>
      <c r="C135">
        <f>C89</f>
        <v/>
      </c>
      <c r="D135">
        <f>B135/C135</f>
        <v/>
      </c>
      <c r="E135">
        <f>C135-C89</f>
        <v/>
      </c>
      <c r="F135">
        <f>E135/C89</f>
        <v/>
      </c>
    </row>
    <row r="136">
      <c r="A136" t="n">
        <v>2043</v>
      </c>
      <c r="B136">
        <f>B90</f>
        <v/>
      </c>
      <c r="C136">
        <f>C90</f>
        <v/>
      </c>
      <c r="D136">
        <f>B136/C136</f>
        <v/>
      </c>
      <c r="E136">
        <f>C136-C90</f>
        <v/>
      </c>
      <c r="F136">
        <f>E136/C90</f>
        <v/>
      </c>
    </row>
    <row r="142">
      <c r="A142" t="inlineStr">
        <is>
          <t>SUMMARY STATISTICS</t>
        </is>
      </c>
    </row>
    <row r="143">
      <c r="A143" t="inlineStr">
        <is>
          <t>Average depreciation rate (2015-2023):</t>
        </is>
      </c>
      <c r="B143">
        <f>'CFC data'!B26</f>
        <v/>
      </c>
    </row>
    <row r="144">
      <c r="A144" t="inlineStr">
        <is>
          <t>Capital share (α):</t>
        </is>
      </c>
      <c r="B144">
        <f>$B$33</f>
        <v/>
      </c>
    </row>
    <row r="145">
      <c r="A145" t="inlineStr">
        <is>
          <t>HP Filter Smoothing Parameter (λ):</t>
        </is>
      </c>
      <c r="B145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Investment Shock Scenario Analysis</t>
        </is>
      </c>
    </row>
    <row r="3">
      <c r="A3" t="inlineStr">
        <is>
          <t>Investment Shock Parameters:</t>
        </is>
      </c>
    </row>
    <row r="4">
      <c r="A4" t="inlineStr">
        <is>
          <t>Total Investment (2026-2033):</t>
        </is>
      </c>
      <c r="B4" t="n">
        <v>6.5</v>
      </c>
      <c r="C4" t="inlineStr">
        <is>
          <t>USD Billions</t>
        </is>
      </c>
    </row>
    <row r="5">
      <c r="A5" t="inlineStr">
        <is>
          <t>Duration:</t>
        </is>
      </c>
      <c r="B5" t="n">
        <v>8</v>
      </c>
      <c r="C5" t="inlineStr">
        <is>
          <t>Years</t>
        </is>
      </c>
    </row>
    <row r="6">
      <c r="A6" t="inlineStr">
        <is>
          <t>Annual Investment per Year:</t>
        </is>
      </c>
      <c r="B6">
        <f>B4/B5</f>
        <v/>
      </c>
      <c r="C6" t="inlineStr">
        <is>
          <t>USD Billions</t>
        </is>
      </c>
    </row>
    <row r="8">
      <c r="A8" s="2" t="inlineStr">
        <is>
          <t>Investment Schedule by Year</t>
        </is>
      </c>
      <c r="B8" s="2" t="n"/>
      <c r="C8" s="2" t="n"/>
      <c r="D8" s="2" t="n"/>
      <c r="E8" s="2" t="n"/>
    </row>
    <row r="9">
      <c r="A9" s="2" t="inlineStr">
        <is>
          <t>Year</t>
        </is>
      </c>
      <c r="B9" s="2" t="inlineStr">
        <is>
          <t>Annual Investment (USD B)</t>
        </is>
      </c>
      <c r="C9" s="2" t="inlineStr">
        <is>
          <t>Investment (millions USD)</t>
        </is>
      </c>
      <c r="D9" s="2" t="inlineStr">
        <is>
          <t>deltaK</t>
        </is>
      </c>
      <c r="E9" s="2" t="inlineStr">
        <is>
          <t>K_without_shock</t>
        </is>
      </c>
      <c r="F9" s="2" t="inlineStr">
        <is>
          <t>K_with_shock</t>
        </is>
      </c>
    </row>
    <row r="10">
      <c r="A10" t="n">
        <v>2002</v>
      </c>
      <c r="B10" s="5" t="n">
        <v>0</v>
      </c>
      <c r="C10" s="5">
        <f>B10*1000</f>
        <v/>
      </c>
      <c r="D10" s="5">
        <f>C10</f>
        <v/>
      </c>
      <c r="E10" s="5">
        <f>'CFC data'!B6</f>
        <v/>
      </c>
      <c r="F10" s="5">
        <f>E10</f>
        <v/>
      </c>
    </row>
    <row r="11">
      <c r="A11" t="n">
        <v>2003</v>
      </c>
      <c r="B11" s="5" t="n">
        <v>0</v>
      </c>
      <c r="C11" s="5">
        <f>B11*1000</f>
        <v/>
      </c>
      <c r="D11" s="5">
        <f>C11</f>
        <v/>
      </c>
      <c r="E11" s="5">
        <f>'CFC data'!B7</f>
        <v/>
      </c>
      <c r="F11" s="5">
        <f>E11</f>
        <v/>
      </c>
    </row>
    <row r="12">
      <c r="A12" t="n">
        <v>2004</v>
      </c>
      <c r="B12" s="5" t="n">
        <v>0</v>
      </c>
      <c r="C12" s="5">
        <f>B12*1000</f>
        <v/>
      </c>
      <c r="D12" s="5">
        <f>C12</f>
        <v/>
      </c>
      <c r="E12" s="5">
        <f>'CFC data'!B8</f>
        <v/>
      </c>
      <c r="F12" s="5">
        <f>E12</f>
        <v/>
      </c>
    </row>
    <row r="13">
      <c r="A13" t="n">
        <v>2005</v>
      </c>
      <c r="B13" s="5" t="n">
        <v>0</v>
      </c>
      <c r="C13" s="5">
        <f>B13*1000</f>
        <v/>
      </c>
      <c r="D13" s="5">
        <f>C13</f>
        <v/>
      </c>
      <c r="E13" s="5">
        <f>'CFC data'!B9</f>
        <v/>
      </c>
      <c r="F13" s="5">
        <f>E13</f>
        <v/>
      </c>
    </row>
    <row r="14">
      <c r="A14" t="n">
        <v>2006</v>
      </c>
      <c r="B14" s="5" t="n">
        <v>0</v>
      </c>
      <c r="C14" s="5">
        <f>B14*1000</f>
        <v/>
      </c>
      <c r="D14" s="5">
        <f>C14</f>
        <v/>
      </c>
      <c r="E14" s="5">
        <f>'CFC data'!B10</f>
        <v/>
      </c>
      <c r="F14" s="5">
        <f>E14</f>
        <v/>
      </c>
    </row>
    <row r="15">
      <c r="A15" t="n">
        <v>2007</v>
      </c>
      <c r="B15" s="5" t="n">
        <v>0</v>
      </c>
      <c r="C15" s="5">
        <f>B15*1000</f>
        <v/>
      </c>
      <c r="D15" s="5">
        <f>C15</f>
        <v/>
      </c>
      <c r="E15" s="5">
        <f>'CFC data'!B11</f>
        <v/>
      </c>
      <c r="F15" s="5">
        <f>E15</f>
        <v/>
      </c>
    </row>
    <row r="16">
      <c r="A16" t="n">
        <v>2008</v>
      </c>
      <c r="B16" s="5" t="n">
        <v>0</v>
      </c>
      <c r="C16" s="5">
        <f>B16*1000</f>
        <v/>
      </c>
      <c r="D16" s="5">
        <f>C16</f>
        <v/>
      </c>
      <c r="E16" s="5">
        <f>'CFC data'!B12</f>
        <v/>
      </c>
      <c r="F16" s="5">
        <f>E16</f>
        <v/>
      </c>
    </row>
    <row r="17">
      <c r="A17" t="n">
        <v>2009</v>
      </c>
      <c r="B17" s="5" t="n">
        <v>0</v>
      </c>
      <c r="C17" s="5">
        <f>B17*1000</f>
        <v/>
      </c>
      <c r="D17" s="5">
        <f>C17</f>
        <v/>
      </c>
      <c r="E17" s="5">
        <f>'CFC data'!B13</f>
        <v/>
      </c>
      <c r="F17" s="5">
        <f>E17</f>
        <v/>
      </c>
    </row>
    <row r="18">
      <c r="A18" t="n">
        <v>2010</v>
      </c>
      <c r="B18" s="5" t="n">
        <v>0</v>
      </c>
      <c r="C18" s="5">
        <f>B18*1000</f>
        <v/>
      </c>
      <c r="D18" s="5">
        <f>C18</f>
        <v/>
      </c>
      <c r="E18" s="5">
        <f>'CFC data'!B14</f>
        <v/>
      </c>
      <c r="F18" s="5">
        <f>E18</f>
        <v/>
      </c>
    </row>
    <row r="19">
      <c r="A19" t="n">
        <v>2011</v>
      </c>
      <c r="B19" s="5" t="n">
        <v>0</v>
      </c>
      <c r="C19" s="5">
        <f>B19*1000</f>
        <v/>
      </c>
      <c r="D19" s="5">
        <f>C19</f>
        <v/>
      </c>
      <c r="E19" s="5">
        <f>'CFC data'!B15</f>
        <v/>
      </c>
      <c r="F19" s="5">
        <f>E19</f>
        <v/>
      </c>
    </row>
    <row r="20">
      <c r="A20" t="n">
        <v>2012</v>
      </c>
      <c r="B20" s="5" t="n">
        <v>0</v>
      </c>
      <c r="C20" s="5">
        <f>B20*1000</f>
        <v/>
      </c>
      <c r="D20" s="5">
        <f>C20</f>
        <v/>
      </c>
      <c r="E20" s="5">
        <f>'CFC data'!B16</f>
        <v/>
      </c>
      <c r="F20" s="5">
        <f>E20</f>
        <v/>
      </c>
    </row>
    <row r="21">
      <c r="A21" t="n">
        <v>2013</v>
      </c>
      <c r="B21" s="5" t="n">
        <v>0</v>
      </c>
      <c r="C21" s="5">
        <f>B21*1000</f>
        <v/>
      </c>
      <c r="D21" s="5">
        <f>C21</f>
        <v/>
      </c>
      <c r="E21" s="5">
        <f>'CFC data'!B17</f>
        <v/>
      </c>
      <c r="F21" s="5">
        <f>E21</f>
        <v/>
      </c>
    </row>
    <row r="22">
      <c r="A22" t="n">
        <v>2014</v>
      </c>
      <c r="B22" s="5" t="n">
        <v>0</v>
      </c>
      <c r="C22" s="5">
        <f>B22*1000</f>
        <v/>
      </c>
      <c r="D22" s="5">
        <f>C22</f>
        <v/>
      </c>
      <c r="E22" s="5">
        <f>'CFC data'!B18</f>
        <v/>
      </c>
      <c r="F22" s="5">
        <f>E22</f>
        <v/>
      </c>
    </row>
    <row r="23">
      <c r="A23" t="n">
        <v>2015</v>
      </c>
      <c r="B23" s="5" t="n">
        <v>0</v>
      </c>
      <c r="C23" s="5">
        <f>B23*1000</f>
        <v/>
      </c>
      <c r="D23" s="5">
        <f>C23</f>
        <v/>
      </c>
      <c r="E23" s="5">
        <f>'CFC data'!B19</f>
        <v/>
      </c>
      <c r="F23" s="5">
        <f>E23</f>
        <v/>
      </c>
    </row>
    <row r="24">
      <c r="A24" t="n">
        <v>2016</v>
      </c>
      <c r="B24" s="5" t="n">
        <v>0</v>
      </c>
      <c r="C24" s="5">
        <f>B24*1000</f>
        <v/>
      </c>
      <c r="D24" s="5">
        <f>C24</f>
        <v/>
      </c>
      <c r="E24" s="5">
        <f>'CFC data'!B20</f>
        <v/>
      </c>
      <c r="F24" s="5">
        <f>E24</f>
        <v/>
      </c>
    </row>
    <row r="25">
      <c r="A25" t="n">
        <v>2017</v>
      </c>
      <c r="B25" s="5" t="n">
        <v>0</v>
      </c>
      <c r="C25" s="5">
        <f>B25*1000</f>
        <v/>
      </c>
      <c r="D25" s="5">
        <f>C25</f>
        <v/>
      </c>
      <c r="E25" s="5">
        <f>'CFC data'!B21</f>
        <v/>
      </c>
      <c r="F25" s="5">
        <f>E25</f>
        <v/>
      </c>
    </row>
    <row r="26">
      <c r="A26" t="n">
        <v>2018</v>
      </c>
      <c r="B26" s="5" t="n">
        <v>0</v>
      </c>
      <c r="C26" s="5">
        <f>B26*1000</f>
        <v/>
      </c>
      <c r="D26" s="5">
        <f>C26</f>
        <v/>
      </c>
      <c r="E26" s="5">
        <f>'CFC data'!B22</f>
        <v/>
      </c>
      <c r="F26" s="5">
        <f>E26</f>
        <v/>
      </c>
    </row>
    <row r="27">
      <c r="A27" t="n">
        <v>2019</v>
      </c>
      <c r="B27" s="5" t="n">
        <v>0</v>
      </c>
      <c r="C27" s="5">
        <f>B27*1000</f>
        <v/>
      </c>
      <c r="D27" s="5">
        <f>C27</f>
        <v/>
      </c>
      <c r="E27" s="5">
        <f>'CFC data'!B23</f>
        <v/>
      </c>
      <c r="F27" s="5">
        <f>E27</f>
        <v/>
      </c>
    </row>
    <row r="28">
      <c r="A28" t="n">
        <v>2043</v>
      </c>
      <c r="B28" s="5" t="n">
        <v>0</v>
      </c>
      <c r="C28" s="5">
        <f>B28*1000</f>
        <v/>
      </c>
      <c r="D28" s="5">
        <f>C28</f>
        <v/>
      </c>
      <c r="E28" s="5">
        <f>'CFC data'!B24</f>
        <v/>
      </c>
      <c r="F28" s="5">
        <f>E28</f>
        <v/>
      </c>
    </row>
    <row r="29">
      <c r="A29" t="n">
        <v>2021</v>
      </c>
      <c r="B29" s="5" t="n">
        <v>0</v>
      </c>
      <c r="C29" s="5">
        <f>B29*1000</f>
        <v/>
      </c>
      <c r="D29" s="5">
        <f>C29</f>
        <v/>
      </c>
      <c r="E29" s="5">
        <f>'CFC data'!B25</f>
        <v/>
      </c>
      <c r="F29" s="5">
        <f>E29</f>
        <v/>
      </c>
    </row>
    <row r="30">
      <c r="A30" t="n">
        <v>2022</v>
      </c>
      <c r="B30" s="5" t="n">
        <v>0</v>
      </c>
      <c r="C30" s="5">
        <f>B30*1000</f>
        <v/>
      </c>
      <c r="D30" s="5">
        <f>C30</f>
        <v/>
      </c>
      <c r="E30" s="5">
        <f>'CFC data'!B26</f>
        <v/>
      </c>
      <c r="F30" s="5">
        <f>E30</f>
        <v/>
      </c>
    </row>
    <row r="31">
      <c r="A31" t="n">
        <v>2023</v>
      </c>
      <c r="B31" s="5" t="n">
        <v>0</v>
      </c>
      <c r="C31" s="5">
        <f>B31*1000</f>
        <v/>
      </c>
      <c r="D31" s="5">
        <f>C31</f>
        <v/>
      </c>
      <c r="E31" s="5">
        <f>'CFC data'!B27</f>
        <v/>
      </c>
      <c r="F31" s="5">
        <f>E31</f>
        <v/>
      </c>
    </row>
    <row r="32">
      <c r="A32" t="n">
        <v>2024</v>
      </c>
      <c r="B32" s="5" t="n">
        <v>0</v>
      </c>
      <c r="C32" s="5">
        <f>B32*1000</f>
        <v/>
      </c>
      <c r="D32" s="5">
        <f>C32</f>
        <v/>
      </c>
      <c r="E32" s="5">
        <f>E31*(1-Production!$B$3)</f>
        <v/>
      </c>
      <c r="F32" s="5">
        <f>E32</f>
        <v/>
      </c>
    </row>
    <row r="33">
      <c r="A33" t="n">
        <v>2025</v>
      </c>
      <c r="B33" s="5" t="n">
        <v>0</v>
      </c>
      <c r="C33" s="5">
        <f>B33*1000</f>
        <v/>
      </c>
      <c r="D33" s="5">
        <f>C33</f>
        <v/>
      </c>
      <c r="E33" s="5">
        <f>E32*(1-Production!$B$3)</f>
        <v/>
      </c>
      <c r="F33" s="5">
        <f>E33</f>
        <v/>
      </c>
    </row>
    <row r="34">
      <c r="A34" t="n">
        <v>2026</v>
      </c>
      <c r="B34" s="5">
        <f>$B$6</f>
        <v/>
      </c>
      <c r="C34" s="5">
        <f>B34*1000</f>
        <v/>
      </c>
      <c r="D34" s="5">
        <f>C34</f>
        <v/>
      </c>
      <c r="E34" s="5">
        <f>E33*(1-Production!$B$3)</f>
        <v/>
      </c>
      <c r="F34" s="5">
        <f>E34+SUM($C$34:C34)</f>
        <v/>
      </c>
    </row>
    <row r="35">
      <c r="A35" t="n">
        <v>2027</v>
      </c>
      <c r="B35" s="5">
        <f>$B$6</f>
        <v/>
      </c>
      <c r="C35" s="5">
        <f>B35*1000</f>
        <v/>
      </c>
      <c r="D35" s="5">
        <f>C35</f>
        <v/>
      </c>
      <c r="E35" s="5">
        <f>E34*(1-Production!$B$3)</f>
        <v/>
      </c>
      <c r="F35" s="5">
        <f>E35+SUM($C$34:C35)</f>
        <v/>
      </c>
    </row>
    <row r="36">
      <c r="A36" t="n">
        <v>2028</v>
      </c>
      <c r="B36" s="5">
        <f>$B$6</f>
        <v/>
      </c>
      <c r="C36" s="5">
        <f>B36*1000</f>
        <v/>
      </c>
      <c r="D36" s="5">
        <f>C36</f>
        <v/>
      </c>
      <c r="E36" s="5">
        <f>E35*(1-Production!$B$3)</f>
        <v/>
      </c>
      <c r="F36" s="5">
        <f>E36+SUM($C$34:C36)</f>
        <v/>
      </c>
    </row>
    <row r="37">
      <c r="A37" t="n">
        <v>2029</v>
      </c>
      <c r="B37" s="5">
        <f>$B$6</f>
        <v/>
      </c>
      <c r="C37" s="5">
        <f>B37*1000</f>
        <v/>
      </c>
      <c r="D37" s="5">
        <f>C37</f>
        <v/>
      </c>
      <c r="E37" s="5">
        <f>E36*(1-Production!$B$3)</f>
        <v/>
      </c>
      <c r="F37" s="5">
        <f>E37+SUM($C$34:C37)</f>
        <v/>
      </c>
    </row>
    <row r="38">
      <c r="A38" t="n">
        <v>2030</v>
      </c>
      <c r="B38" s="5">
        <f>$B$6</f>
        <v/>
      </c>
      <c r="C38" s="5">
        <f>B38*1000</f>
        <v/>
      </c>
      <c r="D38" s="5">
        <f>C38</f>
        <v/>
      </c>
      <c r="E38" s="5">
        <f>E37*(1-Production!$B$3)</f>
        <v/>
      </c>
      <c r="F38" s="5">
        <f>E38+SUM($C$34:C38)</f>
        <v/>
      </c>
    </row>
    <row r="39">
      <c r="A39" t="n">
        <v>2031</v>
      </c>
      <c r="B39" s="5">
        <f>$B$6</f>
        <v/>
      </c>
      <c r="C39" s="5">
        <f>B39*1000</f>
        <v/>
      </c>
      <c r="D39" s="5">
        <f>C39</f>
        <v/>
      </c>
      <c r="E39" s="5">
        <f>E38*(1-Production!$B$3)</f>
        <v/>
      </c>
      <c r="F39" s="5">
        <f>E39+SUM($C$34:C39)</f>
        <v/>
      </c>
    </row>
    <row r="40">
      <c r="A40" t="n">
        <v>2032</v>
      </c>
      <c r="B40" s="5">
        <f>$B$6</f>
        <v/>
      </c>
      <c r="C40" s="5">
        <f>B40*1000</f>
        <v/>
      </c>
      <c r="D40" s="5">
        <f>C40</f>
        <v/>
      </c>
      <c r="E40" s="5">
        <f>E39*(1-Production!$B$3)</f>
        <v/>
      </c>
      <c r="F40" s="5">
        <f>E40+SUM($C$34:C40)</f>
        <v/>
      </c>
    </row>
    <row r="41">
      <c r="A41" t="n">
        <v>2033</v>
      </c>
      <c r="B41" s="5">
        <f>$B$6</f>
        <v/>
      </c>
      <c r="C41" s="5">
        <f>B41*1000</f>
        <v/>
      </c>
      <c r="D41" s="5">
        <f>C41</f>
        <v/>
      </c>
      <c r="E41" s="5">
        <f>E40*(1-Production!$B$3)</f>
        <v/>
      </c>
      <c r="F41" s="5">
        <f>E41+SUM($C$34:C41)</f>
        <v/>
      </c>
    </row>
    <row r="42">
      <c r="A42" t="n">
        <v>2034</v>
      </c>
      <c r="B42" s="5" t="n">
        <v>0</v>
      </c>
      <c r="C42" s="5">
        <f>B42*1000</f>
        <v/>
      </c>
      <c r="D42" s="5">
        <f>C42</f>
        <v/>
      </c>
      <c r="E42" s="5">
        <f>E41*(1-Production!$B$3)</f>
        <v/>
      </c>
      <c r="F42" s="5">
        <f>E42</f>
        <v/>
      </c>
    </row>
    <row r="43">
      <c r="A43" t="n">
        <v>2035</v>
      </c>
      <c r="B43" s="5" t="n">
        <v>0</v>
      </c>
      <c r="C43" s="5">
        <f>B43*1000</f>
        <v/>
      </c>
      <c r="D43" s="5">
        <f>C43</f>
        <v/>
      </c>
      <c r="E43" s="5">
        <f>E42*(1-Production!$B$3)</f>
        <v/>
      </c>
      <c r="F43" s="5">
        <f>E43</f>
        <v/>
      </c>
    </row>
    <row r="44">
      <c r="A44" t="n">
        <v>2036</v>
      </c>
      <c r="B44" s="5" t="n">
        <v>0</v>
      </c>
      <c r="C44" s="5">
        <f>B44*1000</f>
        <v/>
      </c>
      <c r="D44" s="5">
        <f>C44</f>
        <v/>
      </c>
      <c r="E44" s="5">
        <f>E43*(1-Production!$B$3)</f>
        <v/>
      </c>
      <c r="F44" s="5">
        <f>E44</f>
        <v/>
      </c>
    </row>
    <row r="45">
      <c r="A45" t="n">
        <v>2037</v>
      </c>
      <c r="B45" s="5" t="n">
        <v>0</v>
      </c>
      <c r="C45" s="5">
        <f>B45*1000</f>
        <v/>
      </c>
      <c r="D45" s="5">
        <f>C45</f>
        <v/>
      </c>
      <c r="E45" s="5">
        <f>E44*(1-Production!$B$3)</f>
        <v/>
      </c>
      <c r="F45" s="5">
        <f>E45</f>
        <v/>
      </c>
    </row>
    <row r="46">
      <c r="A46" t="n">
        <v>2038</v>
      </c>
      <c r="B46" s="5" t="n">
        <v>0</v>
      </c>
      <c r="C46" s="5">
        <f>B46*1000</f>
        <v/>
      </c>
      <c r="D46" s="5">
        <f>C46</f>
        <v/>
      </c>
      <c r="E46" s="5">
        <f>E45*(1-Production!$B$3)</f>
        <v/>
      </c>
      <c r="F46" s="5">
        <f>E46</f>
        <v/>
      </c>
    </row>
    <row r="47">
      <c r="A47" t="n">
        <v>2039</v>
      </c>
      <c r="B47" s="5" t="n">
        <v>0</v>
      </c>
      <c r="C47" s="5">
        <f>B47*1000</f>
        <v/>
      </c>
      <c r="D47" s="5">
        <f>C47</f>
        <v/>
      </c>
      <c r="E47" s="5">
        <f>E46*(1-Production!$B$3)</f>
        <v/>
      </c>
      <c r="F47" s="5">
        <f>E47</f>
        <v/>
      </c>
    </row>
    <row r="48">
      <c r="A48" t="n">
        <v>2040</v>
      </c>
      <c r="B48" s="5" t="n">
        <v>0</v>
      </c>
      <c r="C48" s="5">
        <f>B48*1000</f>
        <v/>
      </c>
      <c r="D48" s="5">
        <f>C48</f>
        <v/>
      </c>
      <c r="E48" s="5">
        <f>E47*(1-Production!$B$3)</f>
        <v/>
      </c>
      <c r="F48" s="5">
        <f>E48</f>
        <v/>
      </c>
    </row>
    <row r="49">
      <c r="A49" t="n">
        <v>2041</v>
      </c>
      <c r="B49" s="5" t="n">
        <v>0</v>
      </c>
      <c r="C49" s="5">
        <f>B49*1000</f>
        <v/>
      </c>
      <c r="D49" s="5">
        <f>C49</f>
        <v/>
      </c>
      <c r="E49" s="5">
        <f>E48*(1-Production!$B$3)</f>
        <v/>
      </c>
      <c r="F49" s="5">
        <f>E49</f>
        <v/>
      </c>
    </row>
    <row r="50">
      <c r="A50" t="n">
        <v>2042</v>
      </c>
      <c r="B50" s="5" t="n">
        <v>0</v>
      </c>
      <c r="C50" s="5">
        <f>B50*1000</f>
        <v/>
      </c>
      <c r="D50" s="5">
        <f>C50</f>
        <v/>
      </c>
      <c r="E50" s="5">
        <f>E49*(1-Production!$B$3)</f>
        <v/>
      </c>
      <c r="F50" s="5">
        <f>E50</f>
        <v/>
      </c>
    </row>
    <row r="51">
      <c r="A51" t="n">
        <v>2043</v>
      </c>
      <c r="B51" s="5" t="n">
        <v>0</v>
      </c>
      <c r="C51" s="5">
        <f>B51*1000</f>
        <v/>
      </c>
      <c r="D51" s="5">
        <f>C51</f>
        <v/>
      </c>
      <c r="E51" s="5">
        <f>E50*(1-Production!$B$3)</f>
        <v/>
      </c>
      <c r="F51" s="5">
        <f>E51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2026-01-29T05:45:48Z</dcterms:created>
  <dcterms:modified xsi:type="dcterms:W3CDTF">2026-01-29T05:53:43Z</dcterms:modified>
</cp:coreProperties>
</file>