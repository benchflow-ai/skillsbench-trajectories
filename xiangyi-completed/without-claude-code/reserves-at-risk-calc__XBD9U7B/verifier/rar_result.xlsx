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>
        <f>NORMSINV(0.95)</f>
        <v/>
      </c>
    </row>
    <row r="4">
      <c r="B4">
        <f>'Gold price'!D430</f>
        <v/>
      </c>
    </row>
    <row r="5">
      <c r="B5">
        <f>B4*SQRT(4)</f>
        <v/>
      </c>
    </row>
    <row r="6">
      <c r="B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>
        <f>1.019*AVERAGE('Gold price'!B422:B430)</f>
        <v/>
      </c>
    </row>
    <row r="13">
      <c r="B13" t="inlineStr">
        <is>
          <t>Gold valuation exposure (95% one-sided shock)</t>
        </is>
      </c>
      <c r="C13">
        <f>$B$3*$B$4*C12/100</f>
        <v/>
      </c>
      <c r="D13">
        <f>$B$3*$B$4*D12/100</f>
        <v/>
      </c>
      <c r="E13">
        <f>$B$3*$B$4*E12/100</f>
        <v/>
      </c>
      <c r="F13">
        <f>$B$3*$B$4*F12/100</f>
        <v/>
      </c>
      <c r="G13">
        <f>$B$3*$B$4*G12/100</f>
        <v/>
      </c>
      <c r="H13">
        <f>$B$3*$B$4*H12/100</f>
        <v/>
      </c>
      <c r="I13">
        <f>$B$3*$B$4*I12/100</f>
        <v/>
      </c>
      <c r="J13">
        <f>$B$3*$B$4*J12/100</f>
        <v/>
      </c>
      <c r="K13">
        <f>$B$3*$B$4*K12/100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>
        <f>$B$3*$B$4*C21/100</f>
        <v/>
      </c>
      <c r="D22">
        <f>$B$3*$B$4*D21/100</f>
        <v/>
      </c>
      <c r="E22">
        <f>$B$3*$B$4*E21/100</f>
        <v/>
      </c>
      <c r="F22">
        <f>$B$3*$B$4*F21/100</f>
        <v/>
      </c>
      <c r="G22">
        <f>$B$3*$B$4*G21/100</f>
        <v/>
      </c>
      <c r="H22">
        <f>$B$3*$B$4*H21/100</f>
        <v/>
      </c>
      <c r="I22">
        <f>$B$3*$B$4*I21/100</f>
        <v/>
      </c>
    </row>
    <row r="23">
      <c r="B23" t="inlineStr">
        <is>
          <t>Total Reserve</t>
        </is>
      </c>
      <c r="C23">
        <f>XLOOKUP(C20&amp;"*",'Total Reserves'!$1:$1,'Total Reserves'!$18:$18,,2)</f>
        <v/>
      </c>
      <c r="D23">
        <f>XLOOKUP(D20&amp;"*",'Total Reserves'!$1:$1,'Total Reserves'!$18:$18,,2)</f>
        <v/>
      </c>
      <c r="E23">
        <f>XLOOKUP(E20&amp;"*",'Total Reserves'!$1:$1,'Total Reserves'!$18:$18,,2)</f>
        <v/>
      </c>
      <c r="F23">
        <f>XLOOKUP(F20&amp;"*",'Total Reserves'!$1:$1,'Total Reserves'!$18:$18,,2)</f>
        <v/>
      </c>
      <c r="G23">
        <f>XLOOKUP(G20&amp;"*",'Total Reserves'!$1:$1,'Total Reserves'!$18:$18,,2)</f>
        <v/>
      </c>
      <c r="H23">
        <f>XLOOKUP(H20&amp;"*",'Total Reserves'!$1:$1,'Total Reserves'!$18:$18,,2)</f>
        <v/>
      </c>
      <c r="I23">
        <f>XLOOKUP(I20&amp;"*",'Total Reserves'!$1:$1,'Total Reserves'!$18:$18,,2)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  <c r="D4">
        <f>STDEV(C2:C4)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  <c r="E13">
        <f>STDEV(C2:C13)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2026-01-29T04:50:50Z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