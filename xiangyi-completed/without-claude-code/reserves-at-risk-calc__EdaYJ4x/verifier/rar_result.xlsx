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4.813322962293481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7366.494298941799</v>
      </c>
      <c r="L12" t="n">
        <v>3263.67725679204</v>
      </c>
    </row>
    <row r="13">
      <c r="B13" t="n">
        <v>7120.915571741212</v>
      </c>
      <c r="C13" t="n">
        <v>591.5475247537961</v>
      </c>
      <c r="D13" t="n">
        <v>79.33752105518722</v>
      </c>
      <c r="E13" t="n">
        <v>0.8480088328353844</v>
      </c>
      <c r="F13" t="n">
        <v>307.0282885673016</v>
      </c>
      <c r="G13" t="n">
        <v>4362.171688354508</v>
      </c>
      <c r="H13" t="n">
        <v>801.4427754424041</v>
      </c>
      <c r="I13" t="n">
        <v>72.9461790396436</v>
      </c>
      <c r="J13" t="n">
        <v>63.90550223916328</v>
      </c>
      <c r="K13" t="n">
        <v>583.2728508435245</v>
      </c>
      <c r="L13" t="n">
        <v>258.4152326128485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921.28</v>
      </c>
      <c r="H21" s="7" t="n">
        <v>807.1</v>
      </c>
    </row>
    <row r="22">
      <c r="B22" t="inlineStr">
        <is>
          <t>Gold valuation exposure (95% one-sided shock)</t>
        </is>
      </c>
      <c r="C22" t="n">
        <v>591.5475247537961</v>
      </c>
      <c r="D22" t="n">
        <v>79.33752105518722</v>
      </c>
      <c r="E22" t="n">
        <v>0.8480088328353844</v>
      </c>
      <c r="F22" t="n">
        <v>4362.171688354508</v>
      </c>
      <c r="G22" t="n">
        <v>72.9461790396436</v>
      </c>
      <c r="H22" t="n">
        <v>63.90550223916328</v>
      </c>
    </row>
    <row r="23">
      <c r="B23" t="inlineStr">
        <is>
          <t>Total Reserve</t>
        </is>
      </c>
      <c r="C23">
        <f>IFERROR(INDEX('Total Reserves'!$3:$18,MATCH(C$20,'Total Reserves'!$1:$1,0)),"N/A")</f>
        <v/>
      </c>
      <c r="D23">
        <f>IFERROR(INDEX('Total Reserves'!$3:$18,MATCH(C$20,'Total Reserves'!$1:$1,0)),"N/A")</f>
        <v/>
      </c>
      <c r="E23">
        <f>IFERROR(INDEX('Total Reserves'!$3:$18,MATCH(C$20,'Total Reserves'!$1:$1,0)),"N/A")</f>
        <v/>
      </c>
      <c r="F23">
        <f>IFERROR(INDEX('Total Reserves'!$3:$18,MATCH(C$20,'Total Reserves'!$1:$1,0)),"N/A")</f>
        <v/>
      </c>
      <c r="G23">
        <f>IFERROR(INDEX('Total Reserves'!$3:$18,MATCH(C$20,'Total Reserves'!$1:$1,0)),"N/A")</f>
        <v/>
      </c>
      <c r="H23">
        <f>IFERROR(INDEX('Total Reserves'!$3:$18,MATCH(C$20,'Total Reserves'!$1:$1,0)),"N/A")</f>
        <v/>
      </c>
    </row>
    <row r="24">
      <c r="B24">
        <f>(SUM(C22:H22)/SUM(C23:H23))*100</f>
        <v/>
      </c>
      <c r="C24">
        <f>IF(C23="N/A","N/A",(C22/C23)*100)</f>
        <v/>
      </c>
      <c r="D24">
        <f>IF(D23="N/A","N/A",(D22/D23)*100)</f>
        <v/>
      </c>
      <c r="E24">
        <f>IF(E23="N/A","N/A",(E22/E23)*100)</f>
        <v/>
      </c>
      <c r="F24">
        <f>IF(F23="N/A","N/A",(F22/F23)*100)</f>
        <v/>
      </c>
      <c r="G24">
        <f>IF(G23="N/A","N/A",(G22/G23)*100)</f>
        <v/>
      </c>
      <c r="H24">
        <f>IF(H23="N/A","N/A",(H22/H23)*100)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>
        <f>STDEV(C2:C4)</f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>
        <f>STDEV(C11:C13)</f>
        <v/>
      </c>
      <c r="E13">
        <f>STDEV(C2:C13)</f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2026-01-29T05:22:35Z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