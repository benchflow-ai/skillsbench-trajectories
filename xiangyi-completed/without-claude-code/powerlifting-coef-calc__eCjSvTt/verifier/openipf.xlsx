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" sheetId="1" state="visible" r:id="rId3"/>
    <sheet name="Dot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<sst xmlns="http://schemas.openxmlformats.org/spreadsheetml/2006/main" count="473" uniqueCount="183">
  <si>
    <t xml:space="preserve">Name</t>
  </si>
  <si>
    <t xml:space="preserve">Sex</t>
  </si>
  <si>
    <t xml:space="preserve">Event</t>
  </si>
  <si>
    <t xml:space="preserve">Equipment</t>
  </si>
  <si>
    <t xml:space="preserve">Age</t>
  </si>
  <si>
    <t xml:space="preserve">AgeClass</t>
  </si>
  <si>
    <t xml:space="preserve">BirthYearClass</t>
  </si>
  <si>
    <t xml:space="preserve">Division</t>
  </si>
  <si>
    <t xml:space="preserve">BodyweightKg</t>
  </si>
  <si>
    <t xml:space="preserve">WeightClassKg</t>
  </si>
  <si>
    <t xml:space="preserve">Best3SquatKg</t>
  </si>
  <si>
    <t xml:space="preserve">Best3BenchKg</t>
  </si>
  <si>
    <t xml:space="preserve">Best3DeadliftKg</t>
  </si>
  <si>
    <t xml:space="preserve">Place</t>
  </si>
  <si>
    <t xml:space="preserve">Tested</t>
  </si>
  <si>
    <t xml:space="preserve">Country</t>
  </si>
  <si>
    <t xml:space="preserve">State</t>
  </si>
  <si>
    <t xml:space="preserve">Federation</t>
  </si>
  <si>
    <t xml:space="preserve">ParentFederation</t>
  </si>
  <si>
    <t xml:space="preserve">Date</t>
  </si>
  <si>
    <t xml:space="preserve">MeetCountry</t>
  </si>
  <si>
    <t xml:space="preserve">MeetState</t>
  </si>
  <si>
    <t xml:space="preserve">MeetTown</t>
  </si>
  <si>
    <t xml:space="preserve">MeetName</t>
  </si>
  <si>
    <t xml:space="preserve">Sanctioned</t>
  </si>
  <si>
    <t xml:space="preserve">Julien Comte</t>
  </si>
  <si>
    <t xml:space="preserve">M</t>
  </si>
  <si>
    <t xml:space="preserve">SBD</t>
  </si>
  <si>
    <t xml:space="preserve">Raw</t>
  </si>
  <si>
    <t xml:space="preserve">40-44</t>
  </si>
  <si>
    <t xml:space="preserve">40-49</t>
  </si>
  <si>
    <t xml:space="preserve">MR-O</t>
  </si>
  <si>
    <t xml:space="preserve">83</t>
  </si>
  <si>
    <t xml:space="preserve">2</t>
  </si>
  <si>
    <t xml:space="preserve">Yes</t>
  </si>
  <si>
    <t xml:space="preserve">USA</t>
  </si>
  <si>
    <t xml:space="preserve">PA</t>
  </si>
  <si>
    <t xml:space="preserve">AMP</t>
  </si>
  <si>
    <t xml:space="preserve">IPF</t>
  </si>
  <si>
    <t xml:space="preserve">2025-12-06</t>
  </si>
  <si>
    <t xml:space="preserve">OH</t>
  </si>
  <si>
    <t xml:space="preserve">Columbus</t>
  </si>
  <si>
    <t xml:space="preserve">The Ohio Meet</t>
  </si>
  <si>
    <t xml:space="preserve">Matthew Starkey</t>
  </si>
  <si>
    <t xml:space="preserve">20-23</t>
  </si>
  <si>
    <t xml:space="preserve">19-23</t>
  </si>
  <si>
    <t xml:space="preserve">MR-Jr</t>
  </si>
  <si>
    <t xml:space="preserve">1</t>
  </si>
  <si>
    <t xml:space="preserve">CO</t>
  </si>
  <si>
    <t xml:space="preserve">USAPL</t>
  </si>
  <si>
    <t xml:space="preserve">2020-08-08</t>
  </si>
  <si>
    <t xml:space="preserve">Littleton</t>
  </si>
  <si>
    <t xml:space="preserve">Adventures of Yokey the Bear</t>
  </si>
  <si>
    <t xml:space="preserve">Austin Keanu</t>
  </si>
  <si>
    <t xml:space="preserve">60-64</t>
  </si>
  <si>
    <t xml:space="preserve">60-69</t>
  </si>
  <si>
    <t xml:space="preserve">MR-M3</t>
  </si>
  <si>
    <t xml:space="preserve">120+</t>
  </si>
  <si>
    <t xml:space="preserve">HI</t>
  </si>
  <si>
    <t xml:space="preserve">2024-12-15</t>
  </si>
  <si>
    <t xml:space="preserve">Honolulu</t>
  </si>
  <si>
    <t xml:space="preserve">Merry Liftmas Hawaiʻi</t>
  </si>
  <si>
    <t xml:space="preserve">Michelle McKeaveney</t>
  </si>
  <si>
    <t xml:space="preserve">F</t>
  </si>
  <si>
    <t xml:space="preserve">45-49</t>
  </si>
  <si>
    <t xml:space="preserve">Masters 1</t>
  </si>
  <si>
    <t xml:space="preserve">84+</t>
  </si>
  <si>
    <t xml:space="preserve">Canada</t>
  </si>
  <si>
    <t xml:space="preserve">SK</t>
  </si>
  <si>
    <t xml:space="preserve">CPU</t>
  </si>
  <si>
    <t xml:space="preserve">2016-10-01</t>
  </si>
  <si>
    <t xml:space="preserve">Saskatoon</t>
  </si>
  <si>
    <t xml:space="preserve">Saskatchewan Provincials</t>
  </si>
  <si>
    <t xml:space="preserve">Tracy Klinger</t>
  </si>
  <si>
    <t xml:space="preserve">55-59</t>
  </si>
  <si>
    <t xml:space="preserve">50-59</t>
  </si>
  <si>
    <t xml:space="preserve">FR-M2</t>
  </si>
  <si>
    <t xml:space="preserve">3</t>
  </si>
  <si>
    <t xml:space="preserve">FL</t>
  </si>
  <si>
    <t xml:space="preserve">Gainesville</t>
  </si>
  <si>
    <t xml:space="preserve">34th Annual Florida Sports Foundation Senior Games Championship</t>
  </si>
  <si>
    <t xml:space="preserve">Mohanad Ibrahiem</t>
  </si>
  <si>
    <t xml:space="preserve">24-34</t>
  </si>
  <si>
    <t xml:space="preserve">24-39</t>
  </si>
  <si>
    <t xml:space="preserve">Open</t>
  </si>
  <si>
    <t xml:space="preserve">105</t>
  </si>
  <si>
    <t xml:space="preserve">5</t>
  </si>
  <si>
    <t xml:space="preserve">AB</t>
  </si>
  <si>
    <t xml:space="preserve">2025-06-15</t>
  </si>
  <si>
    <t xml:space="preserve">Edmonton</t>
  </si>
  <si>
    <t xml:space="preserve">Alberta Powerlifting Union Provincial Championships</t>
  </si>
  <si>
    <t xml:space="preserve">Pamela Cresci</t>
  </si>
  <si>
    <t xml:space="preserve">18-19</t>
  </si>
  <si>
    <t xml:space="preserve">FR-T3</t>
  </si>
  <si>
    <t xml:space="preserve">63</t>
  </si>
  <si>
    <t xml:space="preserve">2013-07-19</t>
  </si>
  <si>
    <t xml:space="preserve">Orlando</t>
  </si>
  <si>
    <t xml:space="preserve">Raw Nationals</t>
  </si>
  <si>
    <t xml:space="preserve">Wilie Carpentier</t>
  </si>
  <si>
    <t xml:space="preserve">16-17</t>
  </si>
  <si>
    <t xml:space="preserve">14-18</t>
  </si>
  <si>
    <t xml:space="preserve">Sub-Juniors</t>
  </si>
  <si>
    <t xml:space="preserve">QC</t>
  </si>
  <si>
    <t xml:space="preserve">2025-02-15</t>
  </si>
  <si>
    <t xml:space="preserve">Lévis</t>
  </si>
  <si>
    <t xml:space="preserve">Les épreuves d'Atlas</t>
  </si>
  <si>
    <t xml:space="preserve">Joshua Noble</t>
  </si>
  <si>
    <t xml:space="preserve">93</t>
  </si>
  <si>
    <t xml:space="preserve">70</t>
  </si>
  <si>
    <t xml:space="preserve">IA</t>
  </si>
  <si>
    <t xml:space="preserve">2016-10-13</t>
  </si>
  <si>
    <t xml:space="preserve">GA</t>
  </si>
  <si>
    <t xml:space="preserve">Atlanta</t>
  </si>
  <si>
    <t xml:space="preserve">Amber Gomez</t>
  </si>
  <si>
    <t xml:space="preserve">FR-M1</t>
  </si>
  <si>
    <t xml:space="preserve">76</t>
  </si>
  <si>
    <t xml:space="preserve">TX</t>
  </si>
  <si>
    <t xml:space="preserve">2025-04-26</t>
  </si>
  <si>
    <t xml:space="preserve">Austin</t>
  </si>
  <si>
    <t xml:space="preserve">Gameday Birthday Bash</t>
  </si>
  <si>
    <t xml:space="preserve">Arlene van Diepen</t>
  </si>
  <si>
    <t xml:space="preserve">Masters 3</t>
  </si>
  <si>
    <t xml:space="preserve">84</t>
  </si>
  <si>
    <t xml:space="preserve">PE</t>
  </si>
  <si>
    <t xml:space="preserve">2018-02-19</t>
  </si>
  <si>
    <t xml:space="preserve">Calgary</t>
  </si>
  <si>
    <t xml:space="preserve">Canadian Championship</t>
  </si>
  <si>
    <t xml:space="preserve">Alma Kimura</t>
  </si>
  <si>
    <t xml:space="preserve">70-74</t>
  </si>
  <si>
    <t xml:space="preserve">70-999</t>
  </si>
  <si>
    <t xml:space="preserve">FR-M4</t>
  </si>
  <si>
    <t xml:space="preserve">WA</t>
  </si>
  <si>
    <t xml:space="preserve">2025-05-28</t>
  </si>
  <si>
    <t xml:space="preserve">NV</t>
  </si>
  <si>
    <t xml:space="preserve">Reno</t>
  </si>
  <si>
    <t xml:space="preserve">Classic and Equipped Age Division Nationals</t>
  </si>
  <si>
    <t xml:space="preserve">Jonathan Cruz #1</t>
  </si>
  <si>
    <t xml:space="preserve">74</t>
  </si>
  <si>
    <t xml:space="preserve">BC</t>
  </si>
  <si>
    <t xml:space="preserve">2021-11-13</t>
  </si>
  <si>
    <t xml:space="preserve">Richmond</t>
  </si>
  <si>
    <t xml:space="preserve">Western Canadians</t>
  </si>
  <si>
    <t xml:space="preserve">Serena Abweh</t>
  </si>
  <si>
    <t xml:space="preserve">FR-T2</t>
  </si>
  <si>
    <t xml:space="preserve">47</t>
  </si>
  <si>
    <t xml:space="preserve">NM</t>
  </si>
  <si>
    <t xml:space="preserve">2018-10-11</t>
  </si>
  <si>
    <t xml:space="preserve">Spokane</t>
  </si>
  <si>
    <t xml:space="preserve">Ashleigh Sutton</t>
  </si>
  <si>
    <t xml:space="preserve">FR-Jr</t>
  </si>
  <si>
    <t xml:space="preserve">England</t>
  </si>
  <si>
    <t xml:space="preserve">WM</t>
  </si>
  <si>
    <t xml:space="preserve">BP</t>
  </si>
  <si>
    <t xml:space="preserve">2024-03-19</t>
  </si>
  <si>
    <t xml:space="preserve">Solihull</t>
  </si>
  <si>
    <t xml:space="preserve">British Junior Powerlifting Championships</t>
  </si>
  <si>
    <t xml:space="preserve">Aaron Ziffle</t>
  </si>
  <si>
    <t xml:space="preserve">2015-12-18</t>
  </si>
  <si>
    <t xml:space="preserve">Moose Jaw</t>
  </si>
  <si>
    <t xml:space="preserve">Western Canadian Championship</t>
  </si>
  <si>
    <t xml:space="preserve">Adelaide Hurlbert</t>
  </si>
  <si>
    <t xml:space="preserve">21</t>
  </si>
  <si>
    <t xml:space="preserve">NY</t>
  </si>
  <si>
    <t xml:space="preserve">Coralee Traurig</t>
  </si>
  <si>
    <t xml:space="preserve">FR-O</t>
  </si>
  <si>
    <t xml:space="preserve">72</t>
  </si>
  <si>
    <t xml:space="preserve">2016-09-25</t>
  </si>
  <si>
    <t xml:space="preserve">Wheat Ridge</t>
  </si>
  <si>
    <t xml:space="preserve">Colorado Fall Open</t>
  </si>
  <si>
    <t xml:space="preserve">Hugo Laliberté</t>
  </si>
  <si>
    <t xml:space="preserve">Juniors</t>
  </si>
  <si>
    <t xml:space="preserve">2013-08-24</t>
  </si>
  <si>
    <t xml:space="preserve">Varennes</t>
  </si>
  <si>
    <t xml:space="preserve">South Shore Challenge</t>
  </si>
  <si>
    <t xml:space="preserve">Curtis Laird</t>
  </si>
  <si>
    <t xml:space="preserve">35-39</t>
  </si>
  <si>
    <t xml:space="preserve">110</t>
  </si>
  <si>
    <t xml:space="preserve">SC</t>
  </si>
  <si>
    <t xml:space="preserve">2009-06-27</t>
  </si>
  <si>
    <t xml:space="preserve">Columbia</t>
  </si>
  <si>
    <t xml:space="preserve">State Championships</t>
  </si>
  <si>
    <t xml:space="preserve">TotalKg</t>
  </si>
  <si>
    <t xml:space="preserve">Dots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</si>
</sst>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0;[RED]\-#,##0.000"/>
    <numFmt numFmtId="166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Frame0" displayName="Frame0" ref="A1:Y21" headerRowCount="1" totalsRowCount="0" totalsRowShown="0">
  <autoFilter ref="A1:Y21"/>
  <tableColumns count="25">
    <tableColumn id="1" name="Name"/>
    <tableColumn id="2" name="Sex"/>
    <tableColumn id="3" name="Event"/>
    <tableColumn id="4" name="Equipment"/>
    <tableColumn id="5" name="Age"/>
    <tableColumn id="6" name="AgeClass"/>
    <tableColumn id="7" name="BirthYearClass"/>
    <tableColumn id="8" name="Division"/>
    <tableColumn id="9" name="BodyweightKg"/>
    <tableColumn id="10" name="WeightClassKg"/>
    <tableColumn id="11" name="Best3SquatKg"/>
    <tableColumn id="12" name="Best3BenchKg"/>
    <tableColumn id="13" name="Best3DeadliftKg"/>
    <tableColumn id="14" name="Place"/>
    <tableColumn id="15" name="Tested"/>
    <tableColumn id="16" name="Country"/>
    <tableColumn id="17" name="State"/>
    <tableColumn id="18" name="Federation"/>
    <tableColumn id="19" name="ParentFederation"/>
    <tableColumn id="20" name="Date"/>
    <tableColumn id="21" name="MeetCountry"/>
    <tableColumn id="22" name="MeetState"/>
    <tableColumn id="23" name="MeetTown"/>
    <tableColumn id="24" name="MeetName"/>
    <tableColumn id="25" name="Sanctioned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customFormat="false" ht="15" hidden="false" customHeight="false" outlineLevel="0" collapsed="false">
      <c r="A2" s="2" t="s">
        <v>25</v>
      </c>
      <c r="B2" s="2" t="s">
        <v>26</v>
      </c>
      <c r="C2" s="2" t="s">
        <v>27</v>
      </c>
      <c r="D2" s="2" t="s">
        <v>28</v>
      </c>
      <c r="E2" s="3" t="n">
        <v>43</v>
      </c>
      <c r="F2" s="2" t="s">
        <v>29</v>
      </c>
      <c r="G2" s="2" t="s">
        <v>30</v>
      </c>
      <c r="H2" s="2" t="s">
        <v>31</v>
      </c>
      <c r="I2" s="3" t="n">
        <v>82.25</v>
      </c>
      <c r="J2" s="2" t="s">
        <v>32</v>
      </c>
      <c r="K2" s="3" t="n">
        <v>215</v>
      </c>
      <c r="L2" s="3" t="n">
        <v>132.5</v>
      </c>
      <c r="M2" s="3" t="n">
        <v>260</v>
      </c>
      <c r="N2" s="2" t="s">
        <v>33</v>
      </c>
      <c r="O2" s="2" t="s">
        <v>34</v>
      </c>
      <c r="P2" s="2" t="s">
        <v>35</v>
      </c>
      <c r="Q2" s="2" t="s">
        <v>36</v>
      </c>
      <c r="R2" s="2" t="s">
        <v>37</v>
      </c>
      <c r="S2" s="2" t="s">
        <v>38</v>
      </c>
      <c r="T2" s="2" t="s">
        <v>39</v>
      </c>
      <c r="U2" s="2" t="s">
        <v>35</v>
      </c>
      <c r="V2" s="2" t="s">
        <v>40</v>
      </c>
      <c r="W2" s="2" t="s">
        <v>41</v>
      </c>
      <c r="X2" s="2" t="s">
        <v>42</v>
      </c>
      <c r="Y2" s="2" t="s">
        <v>34</v>
      </c>
    </row>
    <row r="3" customFormat="false" ht="15" hidden="false" customHeight="false" outlineLevel="0" collapsed="false">
      <c r="A3" s="2" t="s">
        <v>43</v>
      </c>
      <c r="B3" s="2" t="s">
        <v>26</v>
      </c>
      <c r="C3" s="2" t="s">
        <v>27</v>
      </c>
      <c r="D3" s="2" t="s">
        <v>28</v>
      </c>
      <c r="E3" s="3" t="n">
        <v>23</v>
      </c>
      <c r="F3" s="2" t="s">
        <v>44</v>
      </c>
      <c r="G3" s="2" t="s">
        <v>45</v>
      </c>
      <c r="H3" s="2" t="s">
        <v>46</v>
      </c>
      <c r="I3" s="3" t="n">
        <v>82.9</v>
      </c>
      <c r="J3" s="2" t="s">
        <v>32</v>
      </c>
      <c r="K3" s="3" t="n">
        <v>205</v>
      </c>
      <c r="L3" s="3" t="n">
        <v>130</v>
      </c>
      <c r="M3" s="3" t="n">
        <v>227.5</v>
      </c>
      <c r="N3" s="2" t="s">
        <v>47</v>
      </c>
      <c r="O3" s="2" t="s">
        <v>34</v>
      </c>
      <c r="P3" s="2" t="s">
        <v>35</v>
      </c>
      <c r="Q3" s="2" t="s">
        <v>48</v>
      </c>
      <c r="R3" s="2" t="s">
        <v>49</v>
      </c>
      <c r="S3" s="2" t="s">
        <v>38</v>
      </c>
      <c r="T3" s="2" t="s">
        <v>50</v>
      </c>
      <c r="U3" s="2" t="s">
        <v>35</v>
      </c>
      <c r="V3" s="2" t="s">
        <v>48</v>
      </c>
      <c r="W3" s="2" t="s">
        <v>51</v>
      </c>
      <c r="X3" s="2" t="s">
        <v>52</v>
      </c>
      <c r="Y3" s="2" t="s">
        <v>34</v>
      </c>
    </row>
    <row r="4" customFormat="false" ht="15" hidden="false" customHeight="false" outlineLevel="0" collapsed="false">
      <c r="A4" s="2" t="s">
        <v>53</v>
      </c>
      <c r="B4" s="2" t="s">
        <v>26</v>
      </c>
      <c r="C4" s="2" t="s">
        <v>27</v>
      </c>
      <c r="D4" s="2" t="s">
        <v>28</v>
      </c>
      <c r="E4" s="3" t="n">
        <v>63</v>
      </c>
      <c r="F4" s="2" t="s">
        <v>54</v>
      </c>
      <c r="G4" s="2" t="s">
        <v>55</v>
      </c>
      <c r="H4" s="2" t="s">
        <v>56</v>
      </c>
      <c r="I4" s="3" t="n">
        <v>122.4</v>
      </c>
      <c r="J4" s="2" t="s">
        <v>57</v>
      </c>
      <c r="K4" s="3" t="n">
        <v>275</v>
      </c>
      <c r="L4" s="3" t="n">
        <v>142.5</v>
      </c>
      <c r="M4" s="3" t="n">
        <v>235</v>
      </c>
      <c r="N4" s="2" t="s">
        <v>47</v>
      </c>
      <c r="O4" s="2" t="s">
        <v>34</v>
      </c>
      <c r="P4" s="2" t="s">
        <v>35</v>
      </c>
      <c r="Q4" s="2" t="s">
        <v>58</v>
      </c>
      <c r="R4" s="2" t="s">
        <v>37</v>
      </c>
      <c r="S4" s="2" t="s">
        <v>38</v>
      </c>
      <c r="T4" s="2" t="s">
        <v>59</v>
      </c>
      <c r="U4" s="2" t="s">
        <v>35</v>
      </c>
      <c r="V4" s="2" t="s">
        <v>58</v>
      </c>
      <c r="W4" s="2" t="s">
        <v>60</v>
      </c>
      <c r="X4" s="2" t="s">
        <v>61</v>
      </c>
      <c r="Y4" s="2" t="s">
        <v>34</v>
      </c>
    </row>
    <row r="5" customFormat="false" ht="15" hidden="false" customHeight="false" outlineLevel="0" collapsed="false">
      <c r="A5" s="2" t="s">
        <v>62</v>
      </c>
      <c r="B5" s="2" t="s">
        <v>63</v>
      </c>
      <c r="C5" s="2" t="s">
        <v>27</v>
      </c>
      <c r="D5" s="2" t="s">
        <v>28</v>
      </c>
      <c r="E5" s="3" t="n">
        <v>48.5</v>
      </c>
      <c r="F5" s="2" t="s">
        <v>64</v>
      </c>
      <c r="G5" s="2" t="s">
        <v>30</v>
      </c>
      <c r="H5" s="2" t="s">
        <v>65</v>
      </c>
      <c r="I5" s="3" t="n">
        <v>96.8</v>
      </c>
      <c r="J5" s="2" t="s">
        <v>66</v>
      </c>
      <c r="K5" s="3" t="n">
        <v>102.5</v>
      </c>
      <c r="L5" s="3" t="n">
        <v>50</v>
      </c>
      <c r="M5" s="3" t="n">
        <v>137.5</v>
      </c>
      <c r="N5" s="2" t="s">
        <v>33</v>
      </c>
      <c r="O5" s="2" t="s">
        <v>34</v>
      </c>
      <c r="P5" s="2" t="s">
        <v>67</v>
      </c>
      <c r="Q5" s="2" t="s">
        <v>68</v>
      </c>
      <c r="R5" s="2" t="s">
        <v>69</v>
      </c>
      <c r="S5" s="2" t="s">
        <v>38</v>
      </c>
      <c r="T5" s="2" t="s">
        <v>70</v>
      </c>
      <c r="U5" s="2" t="s">
        <v>67</v>
      </c>
      <c r="V5" s="2" t="s">
        <v>68</v>
      </c>
      <c r="W5" s="2" t="s">
        <v>71</v>
      </c>
      <c r="X5" s="2" t="s">
        <v>72</v>
      </c>
      <c r="Y5" s="2" t="s">
        <v>34</v>
      </c>
    </row>
    <row r="6" customFormat="false" ht="15" hidden="false" customHeight="false" outlineLevel="0" collapsed="false">
      <c r="A6" s="2" t="s">
        <v>73</v>
      </c>
      <c r="B6" s="2" t="s">
        <v>63</v>
      </c>
      <c r="C6" s="2" t="s">
        <v>27</v>
      </c>
      <c r="D6" s="2" t="s">
        <v>28</v>
      </c>
      <c r="E6" s="3" t="n">
        <v>56</v>
      </c>
      <c r="F6" s="2" t="s">
        <v>74</v>
      </c>
      <c r="G6" s="2" t="s">
        <v>75</v>
      </c>
      <c r="H6" s="2" t="s">
        <v>76</v>
      </c>
      <c r="I6" s="3" t="n">
        <v>130.82</v>
      </c>
      <c r="J6" s="2" t="s">
        <v>66</v>
      </c>
      <c r="K6" s="3" t="n">
        <v>62.5</v>
      </c>
      <c r="L6" s="3" t="n">
        <v>57.5</v>
      </c>
      <c r="M6" s="3" t="n">
        <v>117.5</v>
      </c>
      <c r="N6" s="2" t="s">
        <v>77</v>
      </c>
      <c r="O6" s="2" t="s">
        <v>34</v>
      </c>
      <c r="P6" s="2" t="s">
        <v>35</v>
      </c>
      <c r="Q6" s="2" t="s">
        <v>78</v>
      </c>
      <c r="R6" s="2" t="s">
        <v>37</v>
      </c>
      <c r="S6" s="2" t="s">
        <v>38</v>
      </c>
      <c r="T6" s="2" t="s">
        <v>39</v>
      </c>
      <c r="U6" s="2" t="s">
        <v>35</v>
      </c>
      <c r="V6" s="2" t="s">
        <v>78</v>
      </c>
      <c r="W6" s="2" t="s">
        <v>79</v>
      </c>
      <c r="X6" s="2" t="s">
        <v>80</v>
      </c>
      <c r="Y6" s="2" t="s">
        <v>34</v>
      </c>
    </row>
    <row r="7" customFormat="false" ht="15" hidden="false" customHeight="false" outlineLevel="0" collapsed="false">
      <c r="A7" s="2" t="s">
        <v>81</v>
      </c>
      <c r="B7" s="2" t="s">
        <v>26</v>
      </c>
      <c r="C7" s="2" t="s">
        <v>27</v>
      </c>
      <c r="D7" s="2" t="s">
        <v>28</v>
      </c>
      <c r="E7" s="3" t="n">
        <v>24.5</v>
      </c>
      <c r="F7" s="2" t="s">
        <v>82</v>
      </c>
      <c r="G7" s="2" t="s">
        <v>83</v>
      </c>
      <c r="H7" s="2" t="s">
        <v>84</v>
      </c>
      <c r="I7" s="3" t="n">
        <v>103.94</v>
      </c>
      <c r="J7" s="2" t="s">
        <v>85</v>
      </c>
      <c r="K7" s="3" t="n">
        <v>255</v>
      </c>
      <c r="L7" s="3" t="n">
        <v>165</v>
      </c>
      <c r="M7" s="3" t="n">
        <v>292.5</v>
      </c>
      <c r="N7" s="2" t="s">
        <v>86</v>
      </c>
      <c r="O7" s="2" t="s">
        <v>34</v>
      </c>
      <c r="P7" s="2" t="s">
        <v>67</v>
      </c>
      <c r="Q7" s="2" t="s">
        <v>87</v>
      </c>
      <c r="R7" s="2" t="s">
        <v>69</v>
      </c>
      <c r="S7" s="2" t="s">
        <v>38</v>
      </c>
      <c r="T7" s="2" t="s">
        <v>88</v>
      </c>
      <c r="U7" s="2" t="s">
        <v>67</v>
      </c>
      <c r="V7" s="2" t="s">
        <v>87</v>
      </c>
      <c r="W7" s="2" t="s">
        <v>89</v>
      </c>
      <c r="X7" s="2" t="s">
        <v>90</v>
      </c>
      <c r="Y7" s="2" t="s">
        <v>34</v>
      </c>
    </row>
    <row r="8" customFormat="false" ht="15" hidden="false" customHeight="false" outlineLevel="0" collapsed="false">
      <c r="A8" s="2" t="s">
        <v>91</v>
      </c>
      <c r="B8" s="2" t="s">
        <v>63</v>
      </c>
      <c r="C8" s="2" t="s">
        <v>27</v>
      </c>
      <c r="D8" s="2" t="s">
        <v>28</v>
      </c>
      <c r="E8" s="3" t="n">
        <v>19</v>
      </c>
      <c r="F8" s="2" t="s">
        <v>92</v>
      </c>
      <c r="G8" s="2" t="s">
        <v>45</v>
      </c>
      <c r="H8" s="2" t="s">
        <v>93</v>
      </c>
      <c r="I8" s="3" t="n">
        <v>58.2</v>
      </c>
      <c r="J8" s="2" t="s">
        <v>94</v>
      </c>
      <c r="K8" s="3" t="n">
        <v>82.5</v>
      </c>
      <c r="L8" s="3" t="n">
        <v>47.5</v>
      </c>
      <c r="M8" s="3" t="n">
        <v>130</v>
      </c>
      <c r="N8" s="2" t="s">
        <v>33</v>
      </c>
      <c r="O8" s="2" t="s">
        <v>34</v>
      </c>
      <c r="P8" s="2" t="s">
        <v>35</v>
      </c>
      <c r="Q8" s="2" t="s">
        <v>78</v>
      </c>
      <c r="R8" s="2" t="s">
        <v>49</v>
      </c>
      <c r="S8" s="2" t="s">
        <v>38</v>
      </c>
      <c r="T8" s="2" t="s">
        <v>95</v>
      </c>
      <c r="U8" s="2" t="s">
        <v>35</v>
      </c>
      <c r="V8" s="2" t="s">
        <v>78</v>
      </c>
      <c r="W8" s="2" t="s">
        <v>96</v>
      </c>
      <c r="X8" s="2" t="s">
        <v>97</v>
      </c>
      <c r="Y8" s="2" t="s">
        <v>34</v>
      </c>
    </row>
    <row r="9" customFormat="false" ht="15" hidden="false" customHeight="false" outlineLevel="0" collapsed="false">
      <c r="A9" s="2" t="s">
        <v>98</v>
      </c>
      <c r="B9" s="2" t="s">
        <v>26</v>
      </c>
      <c r="C9" s="2" t="s">
        <v>27</v>
      </c>
      <c r="D9" s="2" t="s">
        <v>28</v>
      </c>
      <c r="E9" s="3" t="n">
        <v>16.5</v>
      </c>
      <c r="F9" s="2" t="s">
        <v>99</v>
      </c>
      <c r="G9" s="2" t="s">
        <v>100</v>
      </c>
      <c r="H9" s="2" t="s">
        <v>101</v>
      </c>
      <c r="I9" s="3" t="n">
        <v>81.8</v>
      </c>
      <c r="J9" s="2" t="s">
        <v>32</v>
      </c>
      <c r="K9" s="3" t="n">
        <v>200</v>
      </c>
      <c r="L9" s="3" t="n">
        <v>130</v>
      </c>
      <c r="M9" s="3" t="n">
        <v>237.5</v>
      </c>
      <c r="N9" s="2" t="s">
        <v>47</v>
      </c>
      <c r="O9" s="2" t="s">
        <v>34</v>
      </c>
      <c r="P9" s="2" t="s">
        <v>67</v>
      </c>
      <c r="Q9" s="2" t="s">
        <v>102</v>
      </c>
      <c r="R9" s="2" t="s">
        <v>69</v>
      </c>
      <c r="S9" s="2" t="s">
        <v>38</v>
      </c>
      <c r="T9" s="2" t="s">
        <v>103</v>
      </c>
      <c r="U9" s="2" t="s">
        <v>67</v>
      </c>
      <c r="V9" s="2" t="s">
        <v>102</v>
      </c>
      <c r="W9" s="2" t="s">
        <v>104</v>
      </c>
      <c r="X9" s="2" t="s">
        <v>105</v>
      </c>
      <c r="Y9" s="2" t="s">
        <v>34</v>
      </c>
    </row>
    <row r="10" customFormat="false" ht="15" hidden="false" customHeight="false" outlineLevel="0" collapsed="false">
      <c r="A10" s="2" t="s">
        <v>106</v>
      </c>
      <c r="B10" s="2" t="s">
        <v>26</v>
      </c>
      <c r="C10" s="2" t="s">
        <v>27</v>
      </c>
      <c r="D10" s="2" t="s">
        <v>28</v>
      </c>
      <c r="E10" s="3" t="n">
        <v>30.5</v>
      </c>
      <c r="F10" s="2" t="s">
        <v>82</v>
      </c>
      <c r="G10" s="2" t="s">
        <v>83</v>
      </c>
      <c r="H10" s="2" t="s">
        <v>31</v>
      </c>
      <c r="I10" s="3" t="n">
        <v>90.5</v>
      </c>
      <c r="J10" s="2" t="s">
        <v>107</v>
      </c>
      <c r="K10" s="3" t="n">
        <v>242.5</v>
      </c>
      <c r="L10" s="3" t="n">
        <v>132.5</v>
      </c>
      <c r="M10" s="3" t="n">
        <v>232.5</v>
      </c>
      <c r="N10" s="2" t="s">
        <v>108</v>
      </c>
      <c r="O10" s="2" t="s">
        <v>34</v>
      </c>
      <c r="P10" s="2" t="s">
        <v>35</v>
      </c>
      <c r="Q10" s="2" t="s">
        <v>109</v>
      </c>
      <c r="R10" s="2" t="s">
        <v>49</v>
      </c>
      <c r="S10" s="2" t="s">
        <v>38</v>
      </c>
      <c r="T10" s="2" t="s">
        <v>110</v>
      </c>
      <c r="U10" s="2" t="s">
        <v>35</v>
      </c>
      <c r="V10" s="2" t="s">
        <v>111</v>
      </c>
      <c r="W10" s="2" t="s">
        <v>112</v>
      </c>
      <c r="X10" s="2" t="s">
        <v>97</v>
      </c>
      <c r="Y10" s="2" t="s">
        <v>34</v>
      </c>
    </row>
    <row r="11" customFormat="false" ht="15" hidden="false" customHeight="false" outlineLevel="0" collapsed="false">
      <c r="A11" s="2" t="s">
        <v>113</v>
      </c>
      <c r="B11" s="2" t="s">
        <v>63</v>
      </c>
      <c r="C11" s="2" t="s">
        <v>27</v>
      </c>
      <c r="D11" s="2" t="s">
        <v>28</v>
      </c>
      <c r="E11" s="3" t="n">
        <v>46</v>
      </c>
      <c r="F11" s="2" t="s">
        <v>64</v>
      </c>
      <c r="G11" s="2" t="s">
        <v>30</v>
      </c>
      <c r="H11" s="2" t="s">
        <v>114</v>
      </c>
      <c r="I11" s="3" t="n">
        <v>75.9</v>
      </c>
      <c r="J11" s="2" t="s">
        <v>115</v>
      </c>
      <c r="K11" s="3" t="n">
        <v>137.5</v>
      </c>
      <c r="L11" s="3" t="n">
        <v>75</v>
      </c>
      <c r="M11" s="3" t="n">
        <v>167.5</v>
      </c>
      <c r="N11" s="2" t="s">
        <v>47</v>
      </c>
      <c r="O11" s="2" t="s">
        <v>34</v>
      </c>
      <c r="P11" s="2" t="s">
        <v>35</v>
      </c>
      <c r="Q11" s="2" t="s">
        <v>116</v>
      </c>
      <c r="R11" s="2" t="s">
        <v>37</v>
      </c>
      <c r="S11" s="2" t="s">
        <v>38</v>
      </c>
      <c r="T11" s="2" t="s">
        <v>117</v>
      </c>
      <c r="U11" s="2" t="s">
        <v>35</v>
      </c>
      <c r="V11" s="2" t="s">
        <v>116</v>
      </c>
      <c r="W11" s="2" t="s">
        <v>118</v>
      </c>
      <c r="X11" s="2" t="s">
        <v>119</v>
      </c>
      <c r="Y11" s="2" t="s">
        <v>34</v>
      </c>
    </row>
    <row r="12" customFormat="false" ht="15" hidden="false" customHeight="false" outlineLevel="0" collapsed="false">
      <c r="A12" s="2" t="s">
        <v>120</v>
      </c>
      <c r="B12" s="2" t="s">
        <v>63</v>
      </c>
      <c r="C12" s="2" t="s">
        <v>27</v>
      </c>
      <c r="D12" s="2" t="s">
        <v>28</v>
      </c>
      <c r="E12" s="3" t="n">
        <v>60</v>
      </c>
      <c r="F12" s="2" t="s">
        <v>54</v>
      </c>
      <c r="G12" s="2" t="s">
        <v>55</v>
      </c>
      <c r="H12" s="2" t="s">
        <v>121</v>
      </c>
      <c r="I12" s="3" t="n">
        <v>79.3</v>
      </c>
      <c r="J12" s="2" t="s">
        <v>122</v>
      </c>
      <c r="K12" s="3" t="n">
        <v>107.5</v>
      </c>
      <c r="L12" s="3" t="n">
        <v>50</v>
      </c>
      <c r="M12" s="3" t="n">
        <v>140</v>
      </c>
      <c r="N12" s="2" t="s">
        <v>77</v>
      </c>
      <c r="O12" s="2" t="s">
        <v>34</v>
      </c>
      <c r="P12" s="2" t="s">
        <v>67</v>
      </c>
      <c r="Q12" s="2" t="s">
        <v>123</v>
      </c>
      <c r="R12" s="2" t="s">
        <v>69</v>
      </c>
      <c r="S12" s="2" t="s">
        <v>38</v>
      </c>
      <c r="T12" s="2" t="s">
        <v>124</v>
      </c>
      <c r="U12" s="2" t="s">
        <v>67</v>
      </c>
      <c r="V12" s="2" t="s">
        <v>87</v>
      </c>
      <c r="W12" s="2" t="s">
        <v>125</v>
      </c>
      <c r="X12" s="2" t="s">
        <v>126</v>
      </c>
      <c r="Y12" s="2" t="s">
        <v>34</v>
      </c>
    </row>
    <row r="13" customFormat="false" ht="15" hidden="false" customHeight="false" outlineLevel="0" collapsed="false">
      <c r="A13" s="2" t="s">
        <v>127</v>
      </c>
      <c r="B13" s="2" t="s">
        <v>63</v>
      </c>
      <c r="C13" s="2" t="s">
        <v>27</v>
      </c>
      <c r="D13" s="2" t="s">
        <v>28</v>
      </c>
      <c r="E13" s="3" t="n">
        <v>70</v>
      </c>
      <c r="F13" s="2" t="s">
        <v>128</v>
      </c>
      <c r="G13" s="2" t="s">
        <v>129</v>
      </c>
      <c r="H13" s="2" t="s">
        <v>130</v>
      </c>
      <c r="I13" s="3" t="n">
        <v>61.81</v>
      </c>
      <c r="J13" s="2" t="s">
        <v>94</v>
      </c>
      <c r="K13" s="3" t="n">
        <v>107.5</v>
      </c>
      <c r="L13" s="3" t="n">
        <v>52.5</v>
      </c>
      <c r="M13" s="3" t="n">
        <v>130</v>
      </c>
      <c r="N13" s="2" t="s">
        <v>47</v>
      </c>
      <c r="O13" s="2" t="s">
        <v>34</v>
      </c>
      <c r="P13" s="2" t="s">
        <v>35</v>
      </c>
      <c r="Q13" s="2" t="s">
        <v>131</v>
      </c>
      <c r="R13" s="2" t="s">
        <v>37</v>
      </c>
      <c r="S13" s="2" t="s">
        <v>38</v>
      </c>
      <c r="T13" s="2" t="s">
        <v>132</v>
      </c>
      <c r="U13" s="2" t="s">
        <v>35</v>
      </c>
      <c r="V13" s="2" t="s">
        <v>133</v>
      </c>
      <c r="W13" s="2" t="s">
        <v>134</v>
      </c>
      <c r="X13" s="2" t="s">
        <v>135</v>
      </c>
      <c r="Y13" s="2" t="s">
        <v>34</v>
      </c>
    </row>
    <row r="14" customFormat="false" ht="15" hidden="false" customHeight="false" outlineLevel="0" collapsed="false">
      <c r="A14" s="2" t="s">
        <v>136</v>
      </c>
      <c r="B14" s="2" t="s">
        <v>26</v>
      </c>
      <c r="C14" s="2" t="s">
        <v>27</v>
      </c>
      <c r="D14" s="2" t="s">
        <v>28</v>
      </c>
      <c r="E14" s="3" t="n">
        <v>29</v>
      </c>
      <c r="F14" s="2" t="s">
        <v>82</v>
      </c>
      <c r="G14" s="2" t="s">
        <v>83</v>
      </c>
      <c r="H14" s="2" t="s">
        <v>84</v>
      </c>
      <c r="I14" s="3" t="n">
        <v>72.5</v>
      </c>
      <c r="J14" s="2" t="s">
        <v>137</v>
      </c>
      <c r="K14" s="3" t="n">
        <v>245</v>
      </c>
      <c r="L14" s="3" t="n">
        <v>152.5</v>
      </c>
      <c r="M14" s="3" t="n">
        <v>290</v>
      </c>
      <c r="N14" s="2" t="s">
        <v>47</v>
      </c>
      <c r="O14" s="2" t="s">
        <v>34</v>
      </c>
      <c r="P14" s="2" t="s">
        <v>67</v>
      </c>
      <c r="Q14" s="2" t="s">
        <v>138</v>
      </c>
      <c r="R14" s="2" t="s">
        <v>69</v>
      </c>
      <c r="S14" s="2" t="s">
        <v>38</v>
      </c>
      <c r="T14" s="2" t="s">
        <v>139</v>
      </c>
      <c r="U14" s="2" t="s">
        <v>67</v>
      </c>
      <c r="V14" s="2" t="s">
        <v>138</v>
      </c>
      <c r="W14" s="2" t="s">
        <v>140</v>
      </c>
      <c r="X14" s="2" t="s">
        <v>141</v>
      </c>
      <c r="Y14" s="2" t="s">
        <v>34</v>
      </c>
    </row>
    <row r="15" customFormat="false" ht="15" hidden="false" customHeight="false" outlineLevel="0" collapsed="false">
      <c r="A15" s="2" t="s">
        <v>142</v>
      </c>
      <c r="B15" s="2" t="s">
        <v>63</v>
      </c>
      <c r="C15" s="2" t="s">
        <v>27</v>
      </c>
      <c r="D15" s="2" t="s">
        <v>28</v>
      </c>
      <c r="E15" s="3" t="n">
        <v>17</v>
      </c>
      <c r="F15" s="2" t="s">
        <v>99</v>
      </c>
      <c r="G15" s="2" t="s">
        <v>100</v>
      </c>
      <c r="H15" s="2" t="s">
        <v>143</v>
      </c>
      <c r="I15" s="3" t="n">
        <v>46.1</v>
      </c>
      <c r="J15" s="2" t="s">
        <v>144</v>
      </c>
      <c r="K15" s="3" t="n">
        <v>82.5</v>
      </c>
      <c r="L15" s="3" t="n">
        <v>52.5</v>
      </c>
      <c r="M15" s="3" t="n">
        <v>125.5</v>
      </c>
      <c r="N15" s="2" t="s">
        <v>47</v>
      </c>
      <c r="O15" s="2" t="s">
        <v>34</v>
      </c>
      <c r="P15" s="2" t="s">
        <v>35</v>
      </c>
      <c r="Q15" s="2" t="s">
        <v>145</v>
      </c>
      <c r="R15" s="2" t="s">
        <v>49</v>
      </c>
      <c r="S15" s="2" t="s">
        <v>38</v>
      </c>
      <c r="T15" s="2" t="s">
        <v>146</v>
      </c>
      <c r="U15" s="2" t="s">
        <v>35</v>
      </c>
      <c r="V15" s="2" t="s">
        <v>131</v>
      </c>
      <c r="W15" s="2" t="s">
        <v>147</v>
      </c>
      <c r="X15" s="2" t="s">
        <v>97</v>
      </c>
      <c r="Y15" s="2" t="s">
        <v>34</v>
      </c>
    </row>
    <row r="16" customFormat="false" ht="15" hidden="false" customHeight="false" outlineLevel="0" collapsed="false">
      <c r="A16" s="2" t="s">
        <v>148</v>
      </c>
      <c r="B16" s="2" t="s">
        <v>63</v>
      </c>
      <c r="C16" s="2" t="s">
        <v>27</v>
      </c>
      <c r="D16" s="2" t="s">
        <v>28</v>
      </c>
      <c r="E16" s="3" t="n">
        <v>23</v>
      </c>
      <c r="F16" s="2" t="s">
        <v>44</v>
      </c>
      <c r="G16" s="2" t="s">
        <v>45</v>
      </c>
      <c r="H16" s="2" t="s">
        <v>149</v>
      </c>
      <c r="I16" s="3" t="n">
        <v>74.2</v>
      </c>
      <c r="J16" s="2" t="s">
        <v>115</v>
      </c>
      <c r="K16" s="3" t="n">
        <v>170</v>
      </c>
      <c r="L16" s="3" t="n">
        <v>85</v>
      </c>
      <c r="M16" s="3" t="n">
        <v>197.5</v>
      </c>
      <c r="N16" s="2" t="s">
        <v>33</v>
      </c>
      <c r="O16" s="2" t="s">
        <v>34</v>
      </c>
      <c r="P16" s="2" t="s">
        <v>150</v>
      </c>
      <c r="Q16" s="2" t="s">
        <v>151</v>
      </c>
      <c r="R16" s="2" t="s">
        <v>152</v>
      </c>
      <c r="S16" s="2" t="s">
        <v>38</v>
      </c>
      <c r="T16" s="2" t="s">
        <v>153</v>
      </c>
      <c r="U16" s="2" t="s">
        <v>150</v>
      </c>
      <c r="V16" s="2" t="s">
        <v>151</v>
      </c>
      <c r="W16" s="2" t="s">
        <v>154</v>
      </c>
      <c r="X16" s="2" t="s">
        <v>155</v>
      </c>
      <c r="Y16" s="2" t="s">
        <v>34</v>
      </c>
    </row>
    <row r="17" customFormat="false" ht="15" hidden="false" customHeight="false" outlineLevel="0" collapsed="false">
      <c r="A17" s="2" t="s">
        <v>156</v>
      </c>
      <c r="B17" s="2" t="s">
        <v>26</v>
      </c>
      <c r="C17" s="2" t="s">
        <v>27</v>
      </c>
      <c r="D17" s="2" t="s">
        <v>28</v>
      </c>
      <c r="E17" s="3" t="n">
        <v>33.5</v>
      </c>
      <c r="F17" s="2" t="s">
        <v>82</v>
      </c>
      <c r="G17" s="2" t="s">
        <v>83</v>
      </c>
      <c r="H17" s="2" t="s">
        <v>84</v>
      </c>
      <c r="I17" s="3" t="n">
        <v>92.8</v>
      </c>
      <c r="J17" s="2" t="s">
        <v>107</v>
      </c>
      <c r="K17" s="3" t="n">
        <v>255</v>
      </c>
      <c r="L17" s="3" t="n">
        <v>182.5</v>
      </c>
      <c r="M17" s="3" t="n">
        <v>245</v>
      </c>
      <c r="N17" s="2" t="s">
        <v>33</v>
      </c>
      <c r="O17" s="2" t="s">
        <v>34</v>
      </c>
      <c r="P17" s="2" t="s">
        <v>67</v>
      </c>
      <c r="Q17" s="2" t="s">
        <v>68</v>
      </c>
      <c r="R17" s="2" t="s">
        <v>69</v>
      </c>
      <c r="S17" s="2" t="s">
        <v>38</v>
      </c>
      <c r="T17" s="2" t="s">
        <v>157</v>
      </c>
      <c r="U17" s="2" t="s">
        <v>67</v>
      </c>
      <c r="V17" s="2" t="s">
        <v>68</v>
      </c>
      <c r="W17" s="2" t="s">
        <v>158</v>
      </c>
      <c r="X17" s="2" t="s">
        <v>159</v>
      </c>
      <c r="Y17" s="2" t="s">
        <v>34</v>
      </c>
    </row>
    <row r="18" customFormat="false" ht="15" hidden="false" customHeight="false" outlineLevel="0" collapsed="false">
      <c r="A18" s="2" t="s">
        <v>160</v>
      </c>
      <c r="B18" s="2" t="s">
        <v>63</v>
      </c>
      <c r="C18" s="2" t="s">
        <v>27</v>
      </c>
      <c r="D18" s="2" t="s">
        <v>28</v>
      </c>
      <c r="E18" s="3" t="n">
        <v>22.5</v>
      </c>
      <c r="F18" s="2" t="s">
        <v>44</v>
      </c>
      <c r="G18" s="2" t="s">
        <v>45</v>
      </c>
      <c r="H18" s="2" t="s">
        <v>149</v>
      </c>
      <c r="I18" s="3" t="n">
        <v>61.8</v>
      </c>
      <c r="J18" s="2" t="s">
        <v>94</v>
      </c>
      <c r="K18" s="3" t="n">
        <v>87.5</v>
      </c>
      <c r="L18" s="3" t="n">
        <v>57.5</v>
      </c>
      <c r="M18" s="3" t="n">
        <v>110</v>
      </c>
      <c r="N18" s="2" t="s">
        <v>161</v>
      </c>
      <c r="O18" s="2" t="s">
        <v>34</v>
      </c>
      <c r="P18" s="2" t="s">
        <v>35</v>
      </c>
      <c r="Q18" s="2" t="s">
        <v>162</v>
      </c>
      <c r="R18" s="2" t="s">
        <v>49</v>
      </c>
      <c r="S18" s="2" t="s">
        <v>38</v>
      </c>
      <c r="T18" s="2" t="s">
        <v>110</v>
      </c>
      <c r="U18" s="2" t="s">
        <v>35</v>
      </c>
      <c r="V18" s="2" t="s">
        <v>111</v>
      </c>
      <c r="W18" s="2" t="s">
        <v>112</v>
      </c>
      <c r="X18" s="2" t="s">
        <v>97</v>
      </c>
      <c r="Y18" s="2" t="s">
        <v>34</v>
      </c>
    </row>
    <row r="19" customFormat="false" ht="15" hidden="false" customHeight="false" outlineLevel="0" collapsed="false">
      <c r="A19" s="2" t="s">
        <v>163</v>
      </c>
      <c r="B19" s="2" t="s">
        <v>63</v>
      </c>
      <c r="C19" s="2" t="s">
        <v>27</v>
      </c>
      <c r="D19" s="2" t="s">
        <v>28</v>
      </c>
      <c r="E19" s="3" t="n">
        <v>33.5</v>
      </c>
      <c r="F19" s="2" t="s">
        <v>82</v>
      </c>
      <c r="G19" s="2" t="s">
        <v>83</v>
      </c>
      <c r="H19" s="2" t="s">
        <v>164</v>
      </c>
      <c r="I19" s="3" t="n">
        <v>71.1</v>
      </c>
      <c r="J19" s="2" t="s">
        <v>165</v>
      </c>
      <c r="K19" s="3" t="n">
        <v>107.5</v>
      </c>
      <c r="L19" s="3" t="n">
        <v>65</v>
      </c>
      <c r="M19" s="3" t="n">
        <v>115</v>
      </c>
      <c r="N19" s="2" t="s">
        <v>77</v>
      </c>
      <c r="O19" s="2" t="s">
        <v>34</v>
      </c>
      <c r="P19" s="2" t="s">
        <v>35</v>
      </c>
      <c r="Q19" s="2" t="s">
        <v>48</v>
      </c>
      <c r="R19" s="2" t="s">
        <v>49</v>
      </c>
      <c r="S19" s="2" t="s">
        <v>38</v>
      </c>
      <c r="T19" s="2" t="s">
        <v>166</v>
      </c>
      <c r="U19" s="2" t="s">
        <v>35</v>
      </c>
      <c r="V19" s="2" t="s">
        <v>48</v>
      </c>
      <c r="W19" s="2" t="s">
        <v>167</v>
      </c>
      <c r="X19" s="2" t="s">
        <v>168</v>
      </c>
      <c r="Y19" s="2" t="s">
        <v>34</v>
      </c>
    </row>
    <row r="20" customFormat="false" ht="15" hidden="false" customHeight="false" outlineLevel="0" collapsed="false">
      <c r="A20" s="2" t="s">
        <v>169</v>
      </c>
      <c r="B20" s="2" t="s">
        <v>26</v>
      </c>
      <c r="C20" s="2" t="s">
        <v>27</v>
      </c>
      <c r="D20" s="2" t="s">
        <v>28</v>
      </c>
      <c r="E20" s="3" t="n">
        <v>18.5</v>
      </c>
      <c r="F20" s="2" t="s">
        <v>92</v>
      </c>
      <c r="G20" s="2" t="s">
        <v>45</v>
      </c>
      <c r="H20" s="2" t="s">
        <v>170</v>
      </c>
      <c r="I20" s="3" t="n">
        <v>80.2</v>
      </c>
      <c r="J20" s="2" t="s">
        <v>32</v>
      </c>
      <c r="K20" s="3" t="n">
        <v>162.5</v>
      </c>
      <c r="L20" s="3" t="n">
        <v>102.5</v>
      </c>
      <c r="M20" s="3" t="n">
        <v>205</v>
      </c>
      <c r="N20" s="2" t="s">
        <v>33</v>
      </c>
      <c r="O20" s="2" t="s">
        <v>34</v>
      </c>
      <c r="P20" s="2" t="s">
        <v>67</v>
      </c>
      <c r="Q20" s="2" t="s">
        <v>102</v>
      </c>
      <c r="R20" s="2" t="s">
        <v>69</v>
      </c>
      <c r="S20" s="2" t="s">
        <v>38</v>
      </c>
      <c r="T20" s="2" t="s">
        <v>171</v>
      </c>
      <c r="U20" s="2" t="s">
        <v>67</v>
      </c>
      <c r="V20" s="2" t="s">
        <v>102</v>
      </c>
      <c r="W20" s="2" t="s">
        <v>172</v>
      </c>
      <c r="X20" s="2" t="s">
        <v>173</v>
      </c>
      <c r="Y20" s="2" t="s">
        <v>34</v>
      </c>
    </row>
    <row r="21" customFormat="false" ht="15" hidden="false" customHeight="false" outlineLevel="0" collapsed="false">
      <c r="A21" s="2" t="s">
        <v>174</v>
      </c>
      <c r="B21" s="2" t="s">
        <v>26</v>
      </c>
      <c r="C21" s="2" t="s">
        <v>27</v>
      </c>
      <c r="D21" s="2" t="s">
        <v>28</v>
      </c>
      <c r="E21" s="3" t="n">
        <v>39</v>
      </c>
      <c r="F21" s="2" t="s">
        <v>175</v>
      </c>
      <c r="G21" s="2" t="s">
        <v>83</v>
      </c>
      <c r="H21" s="2" t="s">
        <v>31</v>
      </c>
      <c r="I21" s="3" t="n">
        <v>108.98</v>
      </c>
      <c r="J21" s="2" t="s">
        <v>176</v>
      </c>
      <c r="K21" s="3" t="n">
        <v>226.8</v>
      </c>
      <c r="L21" s="3" t="n">
        <v>165.56</v>
      </c>
      <c r="M21" s="3" t="n">
        <v>242.67</v>
      </c>
      <c r="N21" s="2" t="s">
        <v>47</v>
      </c>
      <c r="O21" s="2" t="s">
        <v>34</v>
      </c>
      <c r="P21" s="2" t="s">
        <v>35</v>
      </c>
      <c r="Q21" s="2" t="s">
        <v>177</v>
      </c>
      <c r="R21" s="2" t="s">
        <v>49</v>
      </c>
      <c r="S21" s="2" t="s">
        <v>38</v>
      </c>
      <c r="T21" s="2" t="s">
        <v>178</v>
      </c>
      <c r="U21" s="2" t="s">
        <v>35</v>
      </c>
      <c r="V21" s="2" t="s">
        <v>177</v>
      </c>
      <c r="W21" s="2" t="s">
        <v>179</v>
      </c>
      <c r="X21" s="2" t="s">
        <v>180</v>
      </c>
      <c r="Y21" s="2" t="s">
        <v>34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8</v>
      </c>
      <c r="D1" s="0" t="s">
        <v>10</v>
      </c>
      <c r="E1" s="0" t="s">
        <v>11</v>
      </c>
      <c r="F1" s="0" t="s">
        <v>12</v>
      </c>
      <c r="G1" s="0" t="s">
        <v>181</v>
      </c>
      <c r="H1" s="0" t="s">
        <v>182</v>
      </c>
    </row>
    <row r="2" customFormat="false" ht="15" hidden="false" customHeight="false" outlineLevel="0" collapsed="false">
      <c r="A2" s="0" t="s">
        <v>25</v>
      </c>
      <c r="B2" s="0" t="s">
        <v>26</v>
      </c>
      <c r="C2" s="4" t="n">
        <v>82.25</v>
      </c>
      <c r="D2" s="4" t="n">
        <v>215</v>
      </c>
      <c r="E2" s="4" t="n">
        <v>132.5</v>
      </c>
      <c r="F2" s="4" t="n">
        <v>260</v>
      </c>
      <c r="G2" s="5" t="n">
        <f aca="false">ROUND(D2+E2+F2,3)</f>
        <v>607.5</v>
      </c>
      <c r="H2" s="5" t="n">
        <f aca="false">ROUND(IF(B2="M",500*G2/(-0.000001093*C2^5+0.0007391293*C2^4-0.1918759221*C2^3+24.0900756*C2^2-307.75076*C2+1577.5),500*G2/(-0.0000010706*C2^5+0.0005158568*C2^4-0.1126655495*C2^3+13.6175032*C2^2-137.25796*C2+944.5)),3)</f>
        <v>4.885</v>
      </c>
    </row>
    <row r="3" customFormat="false" ht="15" hidden="false" customHeight="false" outlineLevel="0" collapsed="false">
      <c r="A3" s="0" t="s">
        <v>43</v>
      </c>
      <c r="B3" s="0" t="s">
        <v>26</v>
      </c>
      <c r="C3" s="4" t="n">
        <v>82.9</v>
      </c>
      <c r="D3" s="4" t="n">
        <v>205</v>
      </c>
      <c r="E3" s="4" t="n">
        <v>130</v>
      </c>
      <c r="F3" s="4" t="n">
        <v>227.5</v>
      </c>
      <c r="G3" s="5" t="n">
        <f aca="false">ROUND(D3+E3+F3,3)</f>
        <v>562.5</v>
      </c>
      <c r="H3" s="5" t="n">
        <f aca="false">ROUND(IF(B3="M",500*G3/(-0.000001093*C3^5+0.0007391293*C3^4-0.1918759221*C3^3+24.0900756*C3^2-307.75076*C3+1577.5),500*G3/(-0.0000010706*C3^5+0.0005158568*C3^4-0.1126655495*C3^3+13.6175032*C3^2-137.25796*C3+944.5)),3)</f>
        <v>4.469</v>
      </c>
    </row>
    <row r="4" customFormat="false" ht="15" hidden="false" customHeight="false" outlineLevel="0" collapsed="false">
      <c r="A4" s="0" t="s">
        <v>53</v>
      </c>
      <c r="B4" s="0" t="s">
        <v>26</v>
      </c>
      <c r="C4" s="4" t="n">
        <v>122.4</v>
      </c>
      <c r="D4" s="4" t="n">
        <v>275</v>
      </c>
      <c r="E4" s="4" t="n">
        <v>142.5</v>
      </c>
      <c r="F4" s="4" t="n">
        <v>235</v>
      </c>
      <c r="G4" s="5" t="n">
        <f aca="false">ROUND(D4+E4+F4,3)</f>
        <v>652.5</v>
      </c>
      <c r="H4" s="5" t="n">
        <f aca="false">ROUND(IF(B4="M",500*G4/(-0.000001093*C4^5+0.0007391293*C4^4-0.1918759221*C4^3+24.0900756*C4^2-307.75076*C4+1577.5),500*G4/(-0.0000010706*C4^5+0.0005158568*C4^4-0.1126655495*C4^3+13.6175032*C4^2-137.25796*C4+944.5)),3)</f>
        <v>2.998</v>
      </c>
    </row>
    <row r="5" customFormat="false" ht="15" hidden="false" customHeight="false" outlineLevel="0" collapsed="false">
      <c r="A5" s="0" t="s">
        <v>62</v>
      </c>
      <c r="B5" s="0" t="s">
        <v>63</v>
      </c>
      <c r="C5" s="4" t="n">
        <v>96.8</v>
      </c>
      <c r="D5" s="4" t="n">
        <v>102.5</v>
      </c>
      <c r="E5" s="4" t="n">
        <v>50</v>
      </c>
      <c r="F5" s="4" t="n">
        <v>137.5</v>
      </c>
      <c r="G5" s="5" t="n">
        <f aca="false">ROUND(D5+E5+F5,3)</f>
        <v>290</v>
      </c>
      <c r="H5" s="5" t="n">
        <f aca="false">ROUND(IF(B5="M",500*G5/(-0.000001093*C5^5+0.0007391293*C5^4-0.1918759221*C5^3+24.0900756*C5^2-307.75076*C5+1577.5),500*G5/(-0.0000010706*C5^5+0.0005158568*C5^4-0.1126655495*C5^3+13.6175032*C5^2-137.25796*C5+944.5)),3)</f>
        <v>2.944</v>
      </c>
    </row>
    <row r="6" customFormat="false" ht="15" hidden="false" customHeight="false" outlineLevel="0" collapsed="false">
      <c r="A6" s="0" t="s">
        <v>73</v>
      </c>
      <c r="B6" s="0" t="s">
        <v>63</v>
      </c>
      <c r="C6" s="4" t="n">
        <v>130.82</v>
      </c>
      <c r="D6" s="4" t="n">
        <v>62.5</v>
      </c>
      <c r="E6" s="4" t="n">
        <v>57.5</v>
      </c>
      <c r="F6" s="4" t="n">
        <v>117.5</v>
      </c>
      <c r="G6" s="5" t="n">
        <f aca="false">ROUND(D6+E6+F6,3)</f>
        <v>237.5</v>
      </c>
      <c r="H6" s="5" t="n">
        <f aca="false">ROUND(IF(B6="M",500*G6/(-0.000001093*C6^5+0.0007391293*C6^4-0.1918759221*C6^3+24.0900756*C6^2-307.75076*C6+1577.5),500*G6/(-0.0000010706*C6^5+0.0005158568*C6^4-0.1126655495*C6^3+13.6175032*C6^2-137.25796*C6+944.5)),3)</f>
        <v>1.608</v>
      </c>
    </row>
    <row r="7" customFormat="false" ht="15" hidden="false" customHeight="false" outlineLevel="0" collapsed="false">
      <c r="A7" s="0" t="s">
        <v>81</v>
      </c>
      <c r="B7" s="0" t="s">
        <v>26</v>
      </c>
      <c r="C7" s="4" t="n">
        <v>103.94</v>
      </c>
      <c r="D7" s="4" t="n">
        <v>255</v>
      </c>
      <c r="E7" s="4" t="n">
        <v>165</v>
      </c>
      <c r="F7" s="4" t="n">
        <v>292.5</v>
      </c>
      <c r="G7" s="5" t="n">
        <f aca="false">ROUND(D7+E7+F7,3)</f>
        <v>712.5</v>
      </c>
      <c r="H7" s="5" t="n">
        <f aca="false">ROUND(IF(B7="M",500*G7/(-0.000001093*C7^5+0.0007391293*C7^4-0.1918759221*C7^3+24.0900756*C7^2-307.75076*C7+1577.5),500*G7/(-0.0000010706*C7^5+0.0005158568*C7^4-0.1126655495*C7^3+13.6175032*C7^2-137.25796*C7+944.5)),3)</f>
        <v>4.076</v>
      </c>
    </row>
    <row r="8" customFormat="false" ht="15" hidden="false" customHeight="false" outlineLevel="0" collapsed="false">
      <c r="A8" s="0" t="s">
        <v>91</v>
      </c>
      <c r="B8" s="0" t="s">
        <v>63</v>
      </c>
      <c r="C8" s="4" t="n">
        <v>58.2</v>
      </c>
      <c r="D8" s="4" t="n">
        <v>82.5</v>
      </c>
      <c r="E8" s="4" t="n">
        <v>47.5</v>
      </c>
      <c r="F8" s="4" t="n">
        <v>130</v>
      </c>
      <c r="G8" s="5" t="n">
        <f aca="false">ROUND(D8+E8+F8,3)</f>
        <v>260</v>
      </c>
      <c r="H8" s="5" t="n">
        <f aca="false">ROUND(IF(B8="M",500*G8/(-0.000001093*C8^5+0.0007391293*C8^4-0.1918759221*C8^3+24.0900756*C8^2-307.75076*C8+1577.5),500*G8/(-0.0000010706*C8^5+0.0005158568*C8^4-0.1126655495*C8^3+13.6175032*C8^2-137.25796*C8+944.5)),3)</f>
        <v>5.889</v>
      </c>
    </row>
    <row r="9" customFormat="false" ht="15" hidden="false" customHeight="false" outlineLevel="0" collapsed="false">
      <c r="A9" s="0" t="s">
        <v>98</v>
      </c>
      <c r="B9" s="0" t="s">
        <v>26</v>
      </c>
      <c r="C9" s="4" t="n">
        <v>81.8</v>
      </c>
      <c r="D9" s="4" t="n">
        <v>200</v>
      </c>
      <c r="E9" s="4" t="n">
        <v>130</v>
      </c>
      <c r="F9" s="4" t="n">
        <v>237.5</v>
      </c>
      <c r="G9" s="5" t="n">
        <f aca="false">ROUND(D9+E9+F9,3)</f>
        <v>567.5</v>
      </c>
      <c r="H9" s="5" t="n">
        <f aca="false">ROUND(IF(B9="M",500*G9/(-0.000001093*C9^5+0.0007391293*C9^4-0.1918759221*C9^3+24.0900756*C9^2-307.75076*C9+1577.5),500*G9/(-0.0000010706*C9^5+0.0005158568*C9^4-0.1126655495*C9^3+13.6175032*C9^2-137.25796*C9+944.5)),3)</f>
        <v>4.602</v>
      </c>
    </row>
    <row r="10" customFormat="false" ht="15" hidden="false" customHeight="false" outlineLevel="0" collapsed="false">
      <c r="A10" s="0" t="s">
        <v>106</v>
      </c>
      <c r="B10" s="0" t="s">
        <v>26</v>
      </c>
      <c r="C10" s="4" t="n">
        <v>90.5</v>
      </c>
      <c r="D10" s="4" t="n">
        <v>242.5</v>
      </c>
      <c r="E10" s="4" t="n">
        <v>132.5</v>
      </c>
      <c r="F10" s="4" t="n">
        <v>232.5</v>
      </c>
      <c r="G10" s="5" t="n">
        <f aca="false">ROUND(D10+E10+F10,3)</f>
        <v>607.5</v>
      </c>
      <c r="H10" s="5" t="n">
        <f aca="false">ROUND(IF(B10="M",500*G10/(-0.000001093*C10^5+0.0007391293*C10^4-0.1918759221*C10^3+24.0900756*C10^2-307.75076*C10+1577.5),500*G10/(-0.0000010706*C10^5+0.0005158568*C10^4-0.1126655495*C10^3+13.6175032*C10^2-137.25796*C10+944.5)),3)</f>
        <v>4.233</v>
      </c>
    </row>
    <row r="11" customFormat="false" ht="15" hidden="false" customHeight="false" outlineLevel="0" collapsed="false">
      <c r="A11" s="0" t="s">
        <v>113</v>
      </c>
      <c r="B11" s="0" t="s">
        <v>63</v>
      </c>
      <c r="C11" s="4" t="n">
        <v>75.9</v>
      </c>
      <c r="D11" s="4" t="n">
        <v>137.5</v>
      </c>
      <c r="E11" s="4" t="n">
        <v>75</v>
      </c>
      <c r="F11" s="4" t="n">
        <v>167.5</v>
      </c>
      <c r="G11" s="5" t="n">
        <f aca="false">ROUND(D11+E11+F11,3)</f>
        <v>380</v>
      </c>
      <c r="H11" s="5" t="n">
        <f aca="false">ROUND(IF(B11="M",500*G11/(-0.000001093*C11^5+0.0007391293*C11^4-0.1918759221*C11^3+24.0900756*C11^2-307.75076*C11+1577.5),500*G11/(-0.0000010706*C11^5+0.0005158568*C11^4-0.1126655495*C11^3+13.6175032*C11^2-137.25796*C11+944.5)),3)</f>
        <v>5.566</v>
      </c>
    </row>
    <row r="12" customFormat="false" ht="15" hidden="false" customHeight="false" outlineLevel="0" collapsed="false">
      <c r="A12" s="0" t="s">
        <v>120</v>
      </c>
      <c r="B12" s="0" t="s">
        <v>63</v>
      </c>
      <c r="C12" s="4" t="n">
        <v>79.3</v>
      </c>
      <c r="D12" s="4" t="n">
        <v>107.5</v>
      </c>
      <c r="E12" s="4" t="n">
        <v>50</v>
      </c>
      <c r="F12" s="4" t="n">
        <v>140</v>
      </c>
      <c r="G12" s="5" t="n">
        <f aca="false">ROUND(D12+E12+F12,3)</f>
        <v>297.5</v>
      </c>
      <c r="H12" s="5" t="n">
        <f aca="false">ROUND(IF(B12="M",500*G12/(-0.000001093*C12^5+0.0007391293*C12^4-0.1918759221*C12^3+24.0900756*C12^2-307.75076*C12+1577.5),500*G12/(-0.0000010706*C12^5+0.0005158568*C12^4-0.1126655495*C12^3+13.6175032*C12^2-137.25796*C12+944.5)),3)</f>
        <v>4.07</v>
      </c>
    </row>
    <row r="13" customFormat="false" ht="15" hidden="false" customHeight="false" outlineLevel="0" collapsed="false">
      <c r="A13" s="0" t="s">
        <v>127</v>
      </c>
      <c r="B13" s="0" t="s">
        <v>63</v>
      </c>
      <c r="C13" s="4" t="n">
        <v>61.81</v>
      </c>
      <c r="D13" s="4" t="n">
        <v>107.5</v>
      </c>
      <c r="E13" s="4" t="n">
        <v>52.5</v>
      </c>
      <c r="F13" s="4" t="n">
        <v>130</v>
      </c>
      <c r="G13" s="5" t="n">
        <f aca="false">ROUND(D13+E13+F13,3)</f>
        <v>290</v>
      </c>
      <c r="H13" s="5" t="n">
        <f aca="false">ROUND(IF(B13="M",500*G13/(-0.000001093*C13^5+0.0007391293*C13^4-0.1918759221*C13^3+24.0900756*C13^2-307.75076*C13+1577.5),500*G13/(-0.0000010706*C13^5+0.0005158568*C13^4-0.1126655495*C13^3+13.6175032*C13^2-137.25796*C13+944.5)),3)</f>
        <v>5.932</v>
      </c>
    </row>
    <row r="14" customFormat="false" ht="15" hidden="false" customHeight="false" outlineLevel="0" collapsed="false">
      <c r="A14" s="0" t="s">
        <v>136</v>
      </c>
      <c r="B14" s="0" t="s">
        <v>26</v>
      </c>
      <c r="C14" s="4" t="n">
        <v>72.5</v>
      </c>
      <c r="D14" s="4" t="n">
        <v>245</v>
      </c>
      <c r="E14" s="4" t="n">
        <v>152.5</v>
      </c>
      <c r="F14" s="4" t="n">
        <v>290</v>
      </c>
      <c r="G14" s="5" t="n">
        <f aca="false">ROUND(D14+E14+F14,3)</f>
        <v>687.5</v>
      </c>
      <c r="H14" s="5" t="n">
        <f aca="false">ROUND(IF(B14="M",500*G14/(-0.000001093*C14^5+0.0007391293*C14^4-0.1918759221*C14^3+24.0900756*C14^2-307.75076*C14+1577.5),500*G14/(-0.0000010706*C14^5+0.0005158568*C14^4-0.1126655495*C14^3+13.6175032*C14^2-137.25796*C14+944.5)),3)</f>
        <v>6.74</v>
      </c>
    </row>
    <row r="15" customFormat="false" ht="15" hidden="false" customHeight="false" outlineLevel="0" collapsed="false">
      <c r="A15" s="0" t="s">
        <v>142</v>
      </c>
      <c r="B15" s="0" t="s">
        <v>63</v>
      </c>
      <c r="C15" s="4" t="n">
        <v>46.1</v>
      </c>
      <c r="D15" s="4" t="n">
        <v>82.5</v>
      </c>
      <c r="E15" s="4" t="n">
        <v>52.5</v>
      </c>
      <c r="F15" s="4" t="n">
        <v>125.5</v>
      </c>
      <c r="G15" s="5" t="n">
        <f aca="false">ROUND(D15+E15+F15,3)</f>
        <v>260.5</v>
      </c>
      <c r="H15" s="5" t="n">
        <f aca="false">ROUND(IF(B15="M",500*G15/(-0.000001093*C15^5+0.0007391293*C15^4-0.1918759221*C15^3+24.0900756*C15^2-307.75076*C15+1577.5),500*G15/(-0.0000010706*C15^5+0.0005158568*C15^4-0.1126655495*C15^3+13.6175032*C15^2-137.25796*C15+944.5)),3)</f>
        <v>8.905</v>
      </c>
    </row>
    <row r="16" customFormat="false" ht="15" hidden="false" customHeight="false" outlineLevel="0" collapsed="false">
      <c r="A16" s="0" t="s">
        <v>148</v>
      </c>
      <c r="B16" s="0" t="s">
        <v>63</v>
      </c>
      <c r="C16" s="4" t="n">
        <v>74.2</v>
      </c>
      <c r="D16" s="4" t="n">
        <v>170</v>
      </c>
      <c r="E16" s="4" t="n">
        <v>85</v>
      </c>
      <c r="F16" s="4" t="n">
        <v>197.5</v>
      </c>
      <c r="G16" s="5" t="n">
        <f aca="false">ROUND(D16+E16+F16,3)</f>
        <v>452.5</v>
      </c>
      <c r="H16" s="5" t="n">
        <f aca="false">ROUND(IF(B16="M",500*G16/(-0.000001093*C16^5+0.0007391293*C16^4-0.1918759221*C16^3+24.0900756*C16^2-307.75076*C16+1577.5),500*G16/(-0.0000010706*C16^5+0.0005158568*C16^4-0.1126655495*C16^3+13.6175032*C16^2-137.25796*C16+944.5)),3)</f>
        <v>6.869</v>
      </c>
    </row>
    <row r="17" customFormat="false" ht="15" hidden="false" customHeight="false" outlineLevel="0" collapsed="false">
      <c r="A17" s="0" t="s">
        <v>156</v>
      </c>
      <c r="B17" s="0" t="s">
        <v>26</v>
      </c>
      <c r="C17" s="4" t="n">
        <v>92.8</v>
      </c>
      <c r="D17" s="4" t="n">
        <v>255</v>
      </c>
      <c r="E17" s="4" t="n">
        <v>182.5</v>
      </c>
      <c r="F17" s="4" t="n">
        <v>245</v>
      </c>
      <c r="G17" s="5" t="n">
        <f aca="false">ROUND(D17+E17+F17,3)</f>
        <v>682.5</v>
      </c>
      <c r="H17" s="5" t="n">
        <f aca="false">ROUND(IF(B17="M",500*G17/(-0.000001093*C17^5+0.0007391293*C17^4-0.1918759221*C17^3+24.0900756*C17^2-307.75076*C17+1577.5),500*G17/(-0.0000010706*C17^5+0.0005158568*C17^4-0.1126655495*C17^3+13.6175032*C17^2-137.25796*C17+944.5)),3)</f>
        <v>4.585</v>
      </c>
    </row>
    <row r="18" customFormat="false" ht="15" hidden="false" customHeight="false" outlineLevel="0" collapsed="false">
      <c r="A18" s="0" t="s">
        <v>160</v>
      </c>
      <c r="B18" s="0" t="s">
        <v>63</v>
      </c>
      <c r="C18" s="4" t="n">
        <v>61.8</v>
      </c>
      <c r="D18" s="4" t="n">
        <v>87.5</v>
      </c>
      <c r="E18" s="4" t="n">
        <v>57.5</v>
      </c>
      <c r="F18" s="4" t="n">
        <v>110</v>
      </c>
      <c r="G18" s="5" t="n">
        <f aca="false">ROUND(D18+E18+F18,3)</f>
        <v>255</v>
      </c>
      <c r="H18" s="5" t="n">
        <f aca="false">ROUND(IF(B18="M",500*G18/(-0.000001093*C18^5+0.0007391293*C18^4-0.1918759221*C18^3+24.0900756*C18^2-307.75076*C18+1577.5),500*G18/(-0.0000010706*C18^5+0.0005158568*C18^4-0.1126655495*C18^3+13.6175032*C18^2-137.25796*C18+944.5)),3)</f>
        <v>5.217</v>
      </c>
    </row>
    <row r="19" customFormat="false" ht="15" hidden="false" customHeight="false" outlineLevel="0" collapsed="false">
      <c r="A19" s="0" t="s">
        <v>163</v>
      </c>
      <c r="B19" s="0" t="s">
        <v>63</v>
      </c>
      <c r="C19" s="4" t="n">
        <v>71.1</v>
      </c>
      <c r="D19" s="4" t="n">
        <v>107.5</v>
      </c>
      <c r="E19" s="4" t="n">
        <v>65</v>
      </c>
      <c r="F19" s="4" t="n">
        <v>115</v>
      </c>
      <c r="G19" s="5" t="n">
        <f aca="false">ROUND(D19+E19+F19,3)</f>
        <v>287.5</v>
      </c>
      <c r="H19" s="5" t="n">
        <f aca="false">ROUND(IF(B19="M",500*G19/(-0.000001093*C19^5+0.0007391293*C19^4-0.1918759221*C19^3+24.0900756*C19^2-307.75076*C19+1577.5),500*G19/(-0.0000010706*C19^5+0.0005158568*C19^4-0.1126655495*C19^3+13.6175032*C19^2-137.25796*C19+944.5)),3)</f>
        <v>4.672</v>
      </c>
    </row>
    <row r="20" customFormat="false" ht="15" hidden="false" customHeight="false" outlineLevel="0" collapsed="false">
      <c r="A20" s="0" t="s">
        <v>169</v>
      </c>
      <c r="B20" s="0" t="s">
        <v>26</v>
      </c>
      <c r="C20" s="4" t="n">
        <v>80.2</v>
      </c>
      <c r="D20" s="4" t="n">
        <v>162.5</v>
      </c>
      <c r="E20" s="4" t="n">
        <v>102.5</v>
      </c>
      <c r="F20" s="4" t="n">
        <v>205</v>
      </c>
      <c r="G20" s="5" t="n">
        <f aca="false">ROUND(D20+E20+F20,3)</f>
        <v>470</v>
      </c>
      <c r="H20" s="5" t="n">
        <f aca="false">ROUND(IF(B20="M",500*G20/(-0.000001093*C20^5+0.0007391293*C20^4-0.1918759221*C20^3+24.0900756*C20^2-307.75076*C20+1577.5),500*G20/(-0.0000010706*C20^5+0.0005158568*C20^4-0.1126655495*C20^3+13.6175032*C20^2-137.25796*C20+944.5)),3)</f>
        <v>3.929</v>
      </c>
    </row>
    <row r="21" customFormat="false" ht="15" hidden="false" customHeight="false" outlineLevel="0" collapsed="false">
      <c r="A21" s="0" t="s">
        <v>174</v>
      </c>
      <c r="B21" s="0" t="s">
        <v>26</v>
      </c>
      <c r="C21" s="4" t="n">
        <v>108.98</v>
      </c>
      <c r="D21" s="4" t="n">
        <v>226.8</v>
      </c>
      <c r="E21" s="4" t="n">
        <v>165.56</v>
      </c>
      <c r="F21" s="4" t="n">
        <v>242.67</v>
      </c>
      <c r="G21" s="5" t="n">
        <f aca="false">ROUND(D21+E21+F21,3)</f>
        <v>635.03</v>
      </c>
      <c r="H21" s="5" t="n">
        <f aca="false">ROUND(IF(B21="M",500*G21/(-0.000001093*C21^5+0.0007391293*C21^4-0.1918759221*C21^3+24.0900756*C21^2-307.75076*C21+1577.5),500*G21/(-0.0000010706*C21^5+0.0005158568*C21^4-0.1126655495*C21^3+13.6175032*C21^2-137.25796*C21+944.5)),3)</f>
        <v>3.405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2026-01-15T21:24:36Z</dcterms:created>
  <dc:creator>openpyxl</dc:creator>
  <dc:description/>
  <dc:language>en-US</dc:language>
  <cp:lastModifiedBy/>
  <dcterms:modified xsi:type="dcterms:W3CDTF">2026-01-29T05:18:44Z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