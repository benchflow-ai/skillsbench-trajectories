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data'!E22:E29)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  <c r="O4" t="inlineStr">
        <is>
          <t>Objective</t>
        </is>
      </c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>
        <f>SUMPRODUCT(N6:N27,N6:N27)+100*SUMPRODUCT(M8:M26,M8:M26)</f>
        <v/>
      </c>
      <c r="P5" s="13" t="n"/>
    </row>
    <row r="6">
      <c r="C6" t="n">
        <v>2002</v>
      </c>
      <c r="D6" s="19">
        <f>PWT!B14</f>
        <v/>
      </c>
      <c r="E6">
        <f>WEO_Data!C10</f>
        <v/>
      </c>
      <c r="F6">
        <f>LN(D6)</f>
        <v/>
      </c>
      <c r="G6">
        <f>LN(E6)</f>
        <v/>
      </c>
      <c r="K6" s="4">
        <f>G6-$B$2*F6</f>
        <v/>
      </c>
      <c r="L6">
        <f>K6</f>
        <v/>
      </c>
      <c r="N6" s="5">
        <f>K6-L6</f>
        <v/>
      </c>
    </row>
    <row r="7">
      <c r="C7" t="n">
        <v>2003</v>
      </c>
      <c r="D7" s="19">
        <f>PWT!B15</f>
        <v/>
      </c>
      <c r="E7">
        <f>WEO_Data!C11</f>
        <v/>
      </c>
      <c r="F7">
        <f>LN(D7)</f>
        <v/>
      </c>
      <c r="G7">
        <f>LN(E7)</f>
        <v/>
      </c>
      <c r="K7" s="4">
        <f>G7-$B$2*F7</f>
        <v/>
      </c>
      <c r="L7">
        <f>K7</f>
        <v/>
      </c>
      <c r="N7" s="5">
        <f>K7-L7</f>
        <v/>
      </c>
    </row>
    <row r="8">
      <c r="C8" t="n">
        <v>2004</v>
      </c>
      <c r="D8" s="19">
        <f>PWT!B16</f>
        <v/>
      </c>
      <c r="E8">
        <f>WEO_Data!C12</f>
        <v/>
      </c>
      <c r="F8">
        <f>LN(D8)</f>
        <v/>
      </c>
      <c r="G8">
        <f>LN(E8)</f>
        <v/>
      </c>
      <c r="K8" s="4">
        <f>G8-$B$2*F8</f>
        <v/>
      </c>
      <c r="L8">
        <f>K8</f>
        <v/>
      </c>
      <c r="M8">
        <f>(L9-L8)-(L8-L7)</f>
        <v/>
      </c>
      <c r="N8" s="5">
        <f>K8-L8</f>
        <v/>
      </c>
    </row>
    <row r="9">
      <c r="C9" t="n">
        <v>2005</v>
      </c>
      <c r="D9" s="19">
        <f>PWT!B17</f>
        <v/>
      </c>
      <c r="E9">
        <f>WEO_Data!C13</f>
        <v/>
      </c>
      <c r="F9">
        <f>LN(D9)</f>
        <v/>
      </c>
      <c r="G9">
        <f>LN(E9)</f>
        <v/>
      </c>
      <c r="K9" s="4">
        <f>G9-$B$2*F9</f>
        <v/>
      </c>
      <c r="L9">
        <f>K9</f>
        <v/>
      </c>
      <c r="M9">
        <f>(L10-L9)-(L9-L8)</f>
        <v/>
      </c>
      <c r="N9" s="5">
        <f>K9-L9</f>
        <v/>
      </c>
    </row>
    <row r="10">
      <c r="C10" t="n">
        <v>2006</v>
      </c>
      <c r="D10" s="19">
        <f>PWT!B18</f>
        <v/>
      </c>
      <c r="E10">
        <f>WEO_Data!C14</f>
        <v/>
      </c>
      <c r="F10">
        <f>LN(D10)</f>
        <v/>
      </c>
      <c r="G10">
        <f>LN(E10)</f>
        <v/>
      </c>
      <c r="K10" s="4">
        <f>G10-$B$2*F10</f>
        <v/>
      </c>
      <c r="L10">
        <f>K10</f>
        <v/>
      </c>
      <c r="M10">
        <f>(L11-L10)-(L10-L9)</f>
        <v/>
      </c>
      <c r="N10" s="5">
        <f>K10-L10</f>
        <v/>
      </c>
    </row>
    <row r="11">
      <c r="C11" t="n">
        <v>2007</v>
      </c>
      <c r="D11" s="19">
        <f>PWT!B19</f>
        <v/>
      </c>
      <c r="E11">
        <f>WEO_Data!C15</f>
        <v/>
      </c>
      <c r="F11">
        <f>LN(D11)</f>
        <v/>
      </c>
      <c r="G11">
        <f>LN(E11)</f>
        <v/>
      </c>
      <c r="K11" s="4">
        <f>G11-$B$2*F11</f>
        <v/>
      </c>
      <c r="L11">
        <f>K11</f>
        <v/>
      </c>
      <c r="M11">
        <f>(L12-L11)-(L11-L10)</f>
        <v/>
      </c>
      <c r="N11" s="5">
        <f>K11-L11</f>
        <v/>
      </c>
    </row>
    <row r="12">
      <c r="C12" t="n">
        <v>2008</v>
      </c>
      <c r="D12" s="19">
        <f>PWT!B20</f>
        <v/>
      </c>
      <c r="E12">
        <f>WEO_Data!C16</f>
        <v/>
      </c>
      <c r="F12">
        <f>LN(D12)</f>
        <v/>
      </c>
      <c r="G12">
        <f>LN(E12)</f>
        <v/>
      </c>
      <c r="K12" s="4">
        <f>G12-$B$2*F12</f>
        <v/>
      </c>
      <c r="L12">
        <f>K12</f>
        <v/>
      </c>
      <c r="M12">
        <f>(L13-L12)-(L12-L11)</f>
        <v/>
      </c>
      <c r="N12" s="5">
        <f>K12-L12</f>
        <v/>
      </c>
    </row>
    <row r="13">
      <c r="C13" t="n">
        <v>2009</v>
      </c>
      <c r="D13" s="19">
        <f>PWT!B21</f>
        <v/>
      </c>
      <c r="E13">
        <f>WEO_Data!C17</f>
        <v/>
      </c>
      <c r="F13">
        <f>LN(D13)</f>
        <v/>
      </c>
      <c r="G13">
        <f>LN(E13)</f>
        <v/>
      </c>
      <c r="K13" s="4">
        <f>G13-$B$2*F13</f>
        <v/>
      </c>
      <c r="L13">
        <f>K13</f>
        <v/>
      </c>
      <c r="M13">
        <f>(L14-L13)-(L13-L12)</f>
        <v/>
      </c>
      <c r="N13" s="5">
        <f>K13-L13</f>
        <v/>
      </c>
    </row>
    <row r="14">
      <c r="C14" t="n">
        <v>2010</v>
      </c>
      <c r="D14" s="19">
        <f>PWT!B22</f>
        <v/>
      </c>
      <c r="E14">
        <f>WEO_Data!C18</f>
        <v/>
      </c>
      <c r="F14">
        <f>LN(D14)</f>
        <v/>
      </c>
      <c r="G14">
        <f>LN(E14)</f>
        <v/>
      </c>
      <c r="K14" s="4">
        <f>G14-$B$2*F14</f>
        <v/>
      </c>
      <c r="L14">
        <f>K14</f>
        <v/>
      </c>
      <c r="M14">
        <f>(L15-L14)-(L14-L13)</f>
        <v/>
      </c>
      <c r="N14" s="5">
        <f>K14-L14</f>
        <v/>
      </c>
    </row>
    <row r="15">
      <c r="C15" t="n">
        <v>2011</v>
      </c>
      <c r="D15" s="19">
        <f>PWT!B23</f>
        <v/>
      </c>
      <c r="E15">
        <f>WEO_Data!C19</f>
        <v/>
      </c>
      <c r="F15">
        <f>LN(D15)</f>
        <v/>
      </c>
      <c r="G15">
        <f>LN(E15)</f>
        <v/>
      </c>
      <c r="K15" s="4">
        <f>G15-$B$2*F15</f>
        <v/>
      </c>
      <c r="L15">
        <f>K15</f>
        <v/>
      </c>
      <c r="M15">
        <f>(L16-L15)-(L15-L14)</f>
        <v/>
      </c>
      <c r="N15" s="5">
        <f>K15-L15</f>
        <v/>
      </c>
    </row>
    <row r="16">
      <c r="C16" t="n">
        <v>2012</v>
      </c>
      <c r="D16" s="19">
        <f>PWT!B24</f>
        <v/>
      </c>
      <c r="E16">
        <f>WEO_Data!C20</f>
        <v/>
      </c>
      <c r="F16">
        <f>LN(D16)</f>
        <v/>
      </c>
      <c r="G16">
        <f>LN(E16)</f>
        <v/>
      </c>
      <c r="K16" s="4">
        <f>G16-$B$2*F16</f>
        <v/>
      </c>
      <c r="L16">
        <f>K16</f>
        <v/>
      </c>
      <c r="M16">
        <f>(L17-L16)-(L16-L15)</f>
        <v/>
      </c>
      <c r="N16" s="5">
        <f>K16-L16</f>
        <v/>
      </c>
    </row>
    <row r="17">
      <c r="C17" t="n">
        <v>2013</v>
      </c>
      <c r="D17" s="19">
        <f>PWT!B25</f>
        <v/>
      </c>
      <c r="E17">
        <f>WEO_Data!C21</f>
        <v/>
      </c>
      <c r="F17">
        <f>LN(D17)</f>
        <v/>
      </c>
      <c r="G17">
        <f>LN(E17)</f>
        <v/>
      </c>
      <c r="K17" s="4">
        <f>G17-$B$2*F17</f>
        <v/>
      </c>
      <c r="L17">
        <f>K17</f>
        <v/>
      </c>
      <c r="M17">
        <f>(L18-L17)-(L17-L16)</f>
        <v/>
      </c>
      <c r="N17" s="5">
        <f>K17-L17</f>
        <v/>
      </c>
    </row>
    <row r="18">
      <c r="C18" t="n">
        <v>2014</v>
      </c>
      <c r="D18" s="19">
        <f>PWT!B26</f>
        <v/>
      </c>
      <c r="E18">
        <f>WEO_Data!C22</f>
        <v/>
      </c>
      <c r="F18">
        <f>LN(D18)</f>
        <v/>
      </c>
      <c r="G18">
        <f>LN(E18)</f>
        <v/>
      </c>
      <c r="K18" s="4">
        <f>G18-$B$2*F18</f>
        <v/>
      </c>
      <c r="L18">
        <f>K18</f>
        <v/>
      </c>
      <c r="M18">
        <f>(L19-L18)-(L18-L17)</f>
        <v/>
      </c>
      <c r="N18" s="5">
        <f>K18-L18</f>
        <v/>
      </c>
    </row>
    <row r="19">
      <c r="C19" t="n">
        <v>2015</v>
      </c>
      <c r="D19" s="19">
        <f>PWT!B27</f>
        <v/>
      </c>
      <c r="E19">
        <f>WEO_Data!C23</f>
        <v/>
      </c>
      <c r="F19">
        <f>LN(D19)</f>
        <v/>
      </c>
      <c r="G19">
        <f>LN(E19)</f>
        <v/>
      </c>
      <c r="K19" s="4">
        <f>G19-$B$2*F19</f>
        <v/>
      </c>
      <c r="L19">
        <f>K19</f>
        <v/>
      </c>
      <c r="M19">
        <f>(L20-L19)-(L19-L18)</f>
        <v/>
      </c>
      <c r="N19" s="5">
        <f>K19-L19</f>
        <v/>
      </c>
    </row>
    <row r="20">
      <c r="C20" t="n">
        <v>2016</v>
      </c>
      <c r="D20" s="19">
        <f>PWT!B28</f>
        <v/>
      </c>
      <c r="E20">
        <f>WEO_Data!C24</f>
        <v/>
      </c>
      <c r="F20">
        <f>LN(D20)</f>
        <v/>
      </c>
      <c r="G20">
        <f>LN(E20)</f>
        <v/>
      </c>
      <c r="K20" s="4">
        <f>G20-$B$2*F20</f>
        <v/>
      </c>
      <c r="L20">
        <f>K20</f>
        <v/>
      </c>
      <c r="M20">
        <f>(L21-L20)-(L20-L19)</f>
        <v/>
      </c>
      <c r="N20" s="5">
        <f>K20-L20</f>
        <v/>
      </c>
    </row>
    <row r="21">
      <c r="C21" t="n">
        <v>2017</v>
      </c>
      <c r="D21" s="19">
        <f>PWT!B29</f>
        <v/>
      </c>
      <c r="E21">
        <f>WEO_Data!C25</f>
        <v/>
      </c>
      <c r="F21">
        <f>LN(D21)</f>
        <v/>
      </c>
      <c r="G21">
        <f>LN(E21)</f>
        <v/>
      </c>
      <c r="K21" s="4">
        <f>G21-$B$2*F21</f>
        <v/>
      </c>
      <c r="L21">
        <f>K21</f>
        <v/>
      </c>
      <c r="M21">
        <f>(L22-L21)-(L21-L20)</f>
        <v/>
      </c>
      <c r="N21" s="5">
        <f>K21-L21</f>
        <v/>
      </c>
    </row>
    <row r="22">
      <c r="C22" t="n">
        <v>2018</v>
      </c>
      <c r="D22" s="19">
        <f>PWT!B30</f>
        <v/>
      </c>
      <c r="E22">
        <f>WEO_Data!C26</f>
        <v/>
      </c>
      <c r="F22">
        <f>LN(D22)</f>
        <v/>
      </c>
      <c r="G22">
        <f>LN(E22)</f>
        <v/>
      </c>
      <c r="K22" s="4">
        <f>G22-$B$2*F22</f>
        <v/>
      </c>
      <c r="L22">
        <f>K22</f>
        <v/>
      </c>
      <c r="M22">
        <f>(L23-L22)-(L22-L21)</f>
        <v/>
      </c>
      <c r="N22" s="5">
        <f>K22-L22</f>
        <v/>
      </c>
    </row>
    <row r="23">
      <c r="C23" t="n">
        <v>2019</v>
      </c>
      <c r="D23" s="19">
        <f>PWT!B31</f>
        <v/>
      </c>
      <c r="E23">
        <f>WEO_Data!C27</f>
        <v/>
      </c>
      <c r="F23">
        <f>LN(D23)</f>
        <v/>
      </c>
      <c r="G23">
        <f>LN(E23)</f>
        <v/>
      </c>
      <c r="K23" s="4">
        <f>G23-$B$2*F23</f>
        <v/>
      </c>
      <c r="L23">
        <f>K23</f>
        <v/>
      </c>
      <c r="M23">
        <f>(L24-L23)-(L23-L22)</f>
        <v/>
      </c>
      <c r="N23" s="5">
        <f>K23-L23</f>
        <v/>
      </c>
    </row>
    <row r="24">
      <c r="C24" t="n">
        <v>2020</v>
      </c>
      <c r="D24" s="19">
        <f>PWT!B32</f>
        <v/>
      </c>
      <c r="E24">
        <f>WEO_Data!C28</f>
        <v/>
      </c>
      <c r="F24">
        <f>LN(D24)</f>
        <v/>
      </c>
      <c r="G24">
        <f>LN(E24)</f>
        <v/>
      </c>
      <c r="K24" s="4">
        <f>G24-$B$2*F24</f>
        <v/>
      </c>
      <c r="L24">
        <f>K24</f>
        <v/>
      </c>
      <c r="M24">
        <f>(L25-L24)-(L24-L23)</f>
        <v/>
      </c>
      <c r="N24" s="5">
        <f>K24-L24</f>
        <v/>
      </c>
    </row>
    <row r="25">
      <c r="C25" t="n">
        <v>2021</v>
      </c>
      <c r="D25" s="19">
        <f>PWT!B33</f>
        <v/>
      </c>
      <c r="E25">
        <f>WEO_Data!C29</f>
        <v/>
      </c>
      <c r="F25">
        <f>LN(D25)</f>
        <v/>
      </c>
      <c r="G25">
        <f>LN(E25)</f>
        <v/>
      </c>
      <c r="K25" s="4">
        <f>G25-$B$2*F25</f>
        <v/>
      </c>
      <c r="L25">
        <f>K25</f>
        <v/>
      </c>
      <c r="M25">
        <f>(L26-L25)-(L25-L24)</f>
        <v/>
      </c>
      <c r="N25" s="5">
        <f>K25-L25</f>
        <v/>
      </c>
    </row>
    <row r="26">
      <c r="C26" t="n">
        <v>2022</v>
      </c>
      <c r="D26" s="19">
        <f>PWT!B34</f>
        <v/>
      </c>
      <c r="E26">
        <f>WEO_Data!C30</f>
        <v/>
      </c>
      <c r="F26">
        <f>LN(D26)</f>
        <v/>
      </c>
      <c r="G26">
        <f>LN(E26)</f>
        <v/>
      </c>
      <c r="K26" s="4">
        <f>G26-$B$2*F26</f>
        <v/>
      </c>
      <c r="L26">
        <f>K26</f>
        <v/>
      </c>
      <c r="M26">
        <f>(L27-L26)-(L26-L25)</f>
        <v/>
      </c>
      <c r="N26" s="5">
        <f>K26-L26</f>
        <v/>
      </c>
    </row>
    <row r="27">
      <c r="C27" t="n">
        <v>2023</v>
      </c>
      <c r="D27" s="19">
        <f>PWT!B35</f>
        <v/>
      </c>
      <c r="E27">
        <f>WEO_Data!C31</f>
        <v/>
      </c>
      <c r="F27">
        <f>LN(D27)</f>
        <v/>
      </c>
      <c r="G27">
        <f>LN(E27)</f>
        <v/>
      </c>
      <c r="K27" s="6">
        <f>G27-$B$2*F27</f>
        <v/>
      </c>
      <c r="L27" s="7">
        <f>K27</f>
        <v/>
      </c>
      <c r="M27" s="7">
        <f>(L28-L27)-(L27-L26)</f>
        <v/>
      </c>
      <c r="N27" s="8">
        <f>K27-L27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E36/F36</f>
        <v/>
      </c>
      <c r="E36" s="19">
        <f>PWT!B14</f>
        <v/>
      </c>
      <c r="F36">
        <f>WEO_Data!C10</f>
        <v/>
      </c>
      <c r="G36">
        <f>L6</f>
        <v/>
      </c>
      <c r="H36">
        <f>EXP(G36+$B$2*LN(E36))</f>
        <v/>
      </c>
      <c r="I36" t="n">
        <v>0</v>
      </c>
      <c r="J36">
        <f>I36-$B$3*E36</f>
        <v/>
      </c>
      <c r="K36" s="19">
        <f>E36</f>
        <v/>
      </c>
      <c r="L36">
        <f>EXP(G36+$B$2*LN(K36))</f>
        <v/>
      </c>
      <c r="M36">
        <f>L36-H36</f>
        <v/>
      </c>
      <c r="N36">
        <f>F36+M36</f>
        <v/>
      </c>
    </row>
    <row r="37">
      <c r="C37" t="n">
        <v>2003</v>
      </c>
      <c r="D37">
        <f>E37/F37</f>
        <v/>
      </c>
      <c r="E37" s="19">
        <f>PWT!B15</f>
        <v/>
      </c>
      <c r="F37">
        <f>WEO_Data!C11</f>
        <v/>
      </c>
      <c r="G37">
        <f>L7</f>
        <v/>
      </c>
      <c r="H37">
        <f>EXP(G37+$B$2*LN(E37))</f>
        <v/>
      </c>
      <c r="I37" t="n">
        <v>0</v>
      </c>
      <c r="J37">
        <f>I37-$B$3*K36</f>
        <v/>
      </c>
      <c r="K37" s="19">
        <f>E37</f>
        <v/>
      </c>
      <c r="L37">
        <f>EXP(G37+$B$2*LN(K37))</f>
        <v/>
      </c>
      <c r="M37">
        <f>L37-H37</f>
        <v/>
      </c>
      <c r="N37">
        <f>F37+M37</f>
        <v/>
      </c>
    </row>
    <row r="38">
      <c r="C38" t="n">
        <v>2004</v>
      </c>
      <c r="D38">
        <f>E38/F38</f>
        <v/>
      </c>
      <c r="E38" s="19">
        <f>PWT!B16</f>
        <v/>
      </c>
      <c r="F38">
        <f>WEO_Data!C12</f>
        <v/>
      </c>
      <c r="G38">
        <f>L8</f>
        <v/>
      </c>
      <c r="H38">
        <f>EXP(G38+$B$2*LN(E38))</f>
        <v/>
      </c>
      <c r="I38" t="n">
        <v>0</v>
      </c>
      <c r="J38">
        <f>I38-$B$3*K37</f>
        <v/>
      </c>
      <c r="K38" s="19">
        <f>E38</f>
        <v/>
      </c>
      <c r="L38">
        <f>EXP(G38+$B$2*LN(K38))</f>
        <v/>
      </c>
      <c r="M38">
        <f>L38-H38</f>
        <v/>
      </c>
      <c r="N38">
        <f>F38+M38</f>
        <v/>
      </c>
    </row>
    <row r="39">
      <c r="C39" t="n">
        <v>2005</v>
      </c>
      <c r="D39">
        <f>E39/F39</f>
        <v/>
      </c>
      <c r="E39" s="19">
        <f>PWT!B17</f>
        <v/>
      </c>
      <c r="F39">
        <f>WEO_Data!C13</f>
        <v/>
      </c>
      <c r="G39">
        <f>L9</f>
        <v/>
      </c>
      <c r="H39">
        <f>EXP(G39+$B$2*LN(E39))</f>
        <v/>
      </c>
      <c r="I39" t="n">
        <v>0</v>
      </c>
      <c r="J39">
        <f>I39-$B$3*K38</f>
        <v/>
      </c>
      <c r="K39" s="19">
        <f>E39</f>
        <v/>
      </c>
      <c r="L39">
        <f>EXP(G39+$B$2*LN(K39))</f>
        <v/>
      </c>
      <c r="M39">
        <f>L39-H39</f>
        <v/>
      </c>
      <c r="N39">
        <f>F39+M39</f>
        <v/>
      </c>
    </row>
    <row r="40">
      <c r="C40" t="n">
        <v>2006</v>
      </c>
      <c r="D40">
        <f>E40/F40</f>
        <v/>
      </c>
      <c r="E40" s="19">
        <f>PWT!B18</f>
        <v/>
      </c>
      <c r="F40">
        <f>WEO_Data!C14</f>
        <v/>
      </c>
      <c r="G40">
        <f>L10</f>
        <v/>
      </c>
      <c r="H40">
        <f>EXP(G40+$B$2*LN(E40))</f>
        <v/>
      </c>
      <c r="I40" t="n">
        <v>0</v>
      </c>
      <c r="J40">
        <f>I40-$B$3*K39</f>
        <v/>
      </c>
      <c r="K40" s="19">
        <f>E40</f>
        <v/>
      </c>
      <c r="L40">
        <f>EXP(G40+$B$2*LN(K40))</f>
        <v/>
      </c>
      <c r="M40">
        <f>L40-H40</f>
        <v/>
      </c>
      <c r="N40">
        <f>F40+M40</f>
        <v/>
      </c>
    </row>
    <row r="41">
      <c r="C41" t="n">
        <v>2007</v>
      </c>
      <c r="D41">
        <f>E41/F41</f>
        <v/>
      </c>
      <c r="E41" s="19">
        <f>PWT!B19</f>
        <v/>
      </c>
      <c r="F41">
        <f>WEO_Data!C15</f>
        <v/>
      </c>
      <c r="G41">
        <f>L11</f>
        <v/>
      </c>
      <c r="H41">
        <f>EXP(G41+$B$2*LN(E41))</f>
        <v/>
      </c>
      <c r="I41" t="n">
        <v>0</v>
      </c>
      <c r="J41">
        <f>I41-$B$3*K40</f>
        <v/>
      </c>
      <c r="K41" s="19">
        <f>E41</f>
        <v/>
      </c>
      <c r="L41">
        <f>EXP(G41+$B$2*LN(K41))</f>
        <v/>
      </c>
      <c r="M41">
        <f>L41-H41</f>
        <v/>
      </c>
      <c r="N41">
        <f>F41+M41</f>
        <v/>
      </c>
    </row>
    <row r="42">
      <c r="C42" t="n">
        <v>2008</v>
      </c>
      <c r="D42">
        <f>E42/F42</f>
        <v/>
      </c>
      <c r="E42" s="19">
        <f>PWT!B20</f>
        <v/>
      </c>
      <c r="F42">
        <f>WEO_Data!C16</f>
        <v/>
      </c>
      <c r="G42">
        <f>L12</f>
        <v/>
      </c>
      <c r="H42">
        <f>EXP(G42+$B$2*LN(E42))</f>
        <v/>
      </c>
      <c r="I42" t="n">
        <v>0</v>
      </c>
      <c r="J42">
        <f>I42-$B$3*K41</f>
        <v/>
      </c>
      <c r="K42" s="19">
        <f>E42</f>
        <v/>
      </c>
      <c r="L42">
        <f>EXP(G42+$B$2*LN(K42))</f>
        <v/>
      </c>
      <c r="M42">
        <f>L42-H42</f>
        <v/>
      </c>
      <c r="N42">
        <f>F42+M42</f>
        <v/>
      </c>
    </row>
    <row r="43">
      <c r="C43" t="n">
        <v>2009</v>
      </c>
      <c r="D43">
        <f>E43/F43</f>
        <v/>
      </c>
      <c r="E43" s="19">
        <f>PWT!B21</f>
        <v/>
      </c>
      <c r="F43">
        <f>WEO_Data!C17</f>
        <v/>
      </c>
      <c r="G43">
        <f>L13</f>
        <v/>
      </c>
      <c r="H43">
        <f>EXP(G43+$B$2*LN(E43))</f>
        <v/>
      </c>
      <c r="I43" t="n">
        <v>0</v>
      </c>
      <c r="J43">
        <f>I43-$B$3*K42</f>
        <v/>
      </c>
      <c r="K43" s="19">
        <f>E43</f>
        <v/>
      </c>
      <c r="L43">
        <f>EXP(G43+$B$2*LN(K43))</f>
        <v/>
      </c>
      <c r="M43">
        <f>L43-H43</f>
        <v/>
      </c>
      <c r="N43">
        <f>F43+M43</f>
        <v/>
      </c>
    </row>
    <row r="44">
      <c r="C44" t="n">
        <v>2010</v>
      </c>
      <c r="D44">
        <f>E44/F44</f>
        <v/>
      </c>
      <c r="E44" s="19">
        <f>PWT!B22</f>
        <v/>
      </c>
      <c r="F44">
        <f>WEO_Data!C18</f>
        <v/>
      </c>
      <c r="G44">
        <f>L14</f>
        <v/>
      </c>
      <c r="H44">
        <f>EXP(G44+$B$2*LN(E44))</f>
        <v/>
      </c>
      <c r="I44" t="n">
        <v>0</v>
      </c>
      <c r="J44">
        <f>I44-$B$3*K43</f>
        <v/>
      </c>
      <c r="K44" s="19">
        <f>E44</f>
        <v/>
      </c>
      <c r="L44">
        <f>EXP(G44+$B$2*LN(K44))</f>
        <v/>
      </c>
      <c r="M44">
        <f>L44-H44</f>
        <v/>
      </c>
      <c r="N44">
        <f>F44+M44</f>
        <v/>
      </c>
    </row>
    <row r="45">
      <c r="C45" t="n">
        <v>2011</v>
      </c>
      <c r="D45">
        <f>E45/F45</f>
        <v/>
      </c>
      <c r="E45" s="19">
        <f>PWT!B23</f>
        <v/>
      </c>
      <c r="F45">
        <f>WEO_Data!C19</f>
        <v/>
      </c>
      <c r="G45">
        <f>L15</f>
        <v/>
      </c>
      <c r="H45">
        <f>EXP(G45+$B$2*LN(E45))</f>
        <v/>
      </c>
      <c r="I45" t="n">
        <v>0</v>
      </c>
      <c r="J45">
        <f>I45-$B$3*K44</f>
        <v/>
      </c>
      <c r="K45" s="19">
        <f>E45</f>
        <v/>
      </c>
      <c r="L45">
        <f>EXP(G45+$B$2*LN(K45))</f>
        <v/>
      </c>
      <c r="M45">
        <f>L45-H45</f>
        <v/>
      </c>
      <c r="N45">
        <f>F45+M45</f>
        <v/>
      </c>
    </row>
    <row r="46">
      <c r="C46" t="n">
        <v>2012</v>
      </c>
      <c r="D46">
        <f>E46/F46</f>
        <v/>
      </c>
      <c r="E46" s="19">
        <f>PWT!B24</f>
        <v/>
      </c>
      <c r="F46">
        <f>WEO_Data!C20</f>
        <v/>
      </c>
      <c r="G46">
        <f>L16</f>
        <v/>
      </c>
      <c r="H46">
        <f>EXP(G46+$B$2*LN(E46))</f>
        <v/>
      </c>
      <c r="I46" t="n">
        <v>0</v>
      </c>
      <c r="J46">
        <f>I46-$B$3*K45</f>
        <v/>
      </c>
      <c r="K46" s="19">
        <f>E46</f>
        <v/>
      </c>
      <c r="L46">
        <f>EXP(G46+$B$2*LN(K46))</f>
        <v/>
      </c>
      <c r="M46">
        <f>L46-H46</f>
        <v/>
      </c>
      <c r="N46">
        <f>F46+M46</f>
        <v/>
      </c>
    </row>
    <row r="47">
      <c r="C47" t="n">
        <v>2013</v>
      </c>
      <c r="D47">
        <f>E47/F47</f>
        <v/>
      </c>
      <c r="E47" s="19">
        <f>PWT!B25</f>
        <v/>
      </c>
      <c r="F47">
        <f>WEO_Data!C21</f>
        <v/>
      </c>
      <c r="G47">
        <f>L17</f>
        <v/>
      </c>
      <c r="H47">
        <f>EXP(G47+$B$2*LN(E47))</f>
        <v/>
      </c>
      <c r="I47" t="n">
        <v>0</v>
      </c>
      <c r="J47">
        <f>I47-$B$3*K46</f>
        <v/>
      </c>
      <c r="K47" s="19">
        <f>E47</f>
        <v/>
      </c>
      <c r="L47">
        <f>EXP(G47+$B$2*LN(K47))</f>
        <v/>
      </c>
      <c r="M47">
        <f>L47-H47</f>
        <v/>
      </c>
      <c r="N47">
        <f>F47+M47</f>
        <v/>
      </c>
    </row>
    <row r="48">
      <c r="C48" t="n">
        <v>2014</v>
      </c>
      <c r="D48">
        <f>E48/F48</f>
        <v/>
      </c>
      <c r="E48" s="19">
        <f>PWT!B26</f>
        <v/>
      </c>
      <c r="F48">
        <f>WEO_Data!C22</f>
        <v/>
      </c>
      <c r="G48">
        <f>L18</f>
        <v/>
      </c>
      <c r="H48">
        <f>EXP(G48+$B$2*LN(E48))</f>
        <v/>
      </c>
      <c r="I48" t="n">
        <v>0</v>
      </c>
      <c r="J48">
        <f>I48-$B$3*K47</f>
        <v/>
      </c>
      <c r="K48" s="19">
        <f>E48</f>
        <v/>
      </c>
      <c r="L48">
        <f>EXP(G48+$B$2*LN(K48))</f>
        <v/>
      </c>
      <c r="M48">
        <f>L48-H48</f>
        <v/>
      </c>
      <c r="N48">
        <f>F48+M48</f>
        <v/>
      </c>
    </row>
    <row r="49">
      <c r="C49" t="n">
        <v>2015</v>
      </c>
      <c r="D49">
        <f>E49/F49</f>
        <v/>
      </c>
      <c r="E49" s="19">
        <f>PWT!B27</f>
        <v/>
      </c>
      <c r="F49">
        <f>WEO_Data!C23</f>
        <v/>
      </c>
      <c r="G49">
        <f>L19</f>
        <v/>
      </c>
      <c r="H49">
        <f>EXP(G49+$B$2*LN(E49))</f>
        <v/>
      </c>
      <c r="I49" t="n">
        <v>0</v>
      </c>
      <c r="J49">
        <f>I49-$B$3*K48</f>
        <v/>
      </c>
      <c r="K49" s="19">
        <f>E49</f>
        <v/>
      </c>
      <c r="L49">
        <f>EXP(G49+$B$2*LN(K49))</f>
        <v/>
      </c>
      <c r="M49">
        <f>L49-H49</f>
        <v/>
      </c>
      <c r="N49">
        <f>F49+M49</f>
        <v/>
      </c>
    </row>
    <row r="50">
      <c r="C50" t="n">
        <v>2016</v>
      </c>
      <c r="D50">
        <f>E50/F50</f>
        <v/>
      </c>
      <c r="E50" s="19">
        <f>PWT!B28</f>
        <v/>
      </c>
      <c r="F50">
        <f>WEO_Data!C24</f>
        <v/>
      </c>
      <c r="G50">
        <f>L20</f>
        <v/>
      </c>
      <c r="H50">
        <f>EXP(G50+$B$2*LN(E50))</f>
        <v/>
      </c>
      <c r="I50" t="n">
        <v>0</v>
      </c>
      <c r="J50">
        <f>I50-$B$3*K49</f>
        <v/>
      </c>
      <c r="K50" s="19">
        <f>E50</f>
        <v/>
      </c>
      <c r="L50">
        <f>EXP(G50+$B$2*LN(K50))</f>
        <v/>
      </c>
      <c r="M50">
        <f>L50-H50</f>
        <v/>
      </c>
      <c r="N50">
        <f>F50+M50</f>
        <v/>
      </c>
    </row>
    <row r="51">
      <c r="C51" t="n">
        <v>2017</v>
      </c>
      <c r="D51">
        <f>E51/F51</f>
        <v/>
      </c>
      <c r="E51" s="19">
        <f>PWT!B29</f>
        <v/>
      </c>
      <c r="F51">
        <f>WEO_Data!C25</f>
        <v/>
      </c>
      <c r="G51">
        <f>L21</f>
        <v/>
      </c>
      <c r="H51">
        <f>EXP(G51+$B$2*LN(E51))</f>
        <v/>
      </c>
      <c r="I51" t="n">
        <v>0</v>
      </c>
      <c r="J51">
        <f>I51-$B$3*K50</f>
        <v/>
      </c>
      <c r="K51" s="19">
        <f>E51</f>
        <v/>
      </c>
      <c r="L51">
        <f>EXP(G51+$B$2*LN(K51))</f>
        <v/>
      </c>
      <c r="M51">
        <f>L51-H51</f>
        <v/>
      </c>
      <c r="N51">
        <f>F51+M51</f>
        <v/>
      </c>
    </row>
    <row r="52">
      <c r="C52" t="n">
        <v>2018</v>
      </c>
      <c r="D52">
        <f>E52/F52</f>
        <v/>
      </c>
      <c r="E52" s="19">
        <f>PWT!B30</f>
        <v/>
      </c>
      <c r="F52">
        <f>WEO_Data!C26</f>
        <v/>
      </c>
      <c r="G52">
        <f>L22</f>
        <v/>
      </c>
      <c r="H52">
        <f>EXP(G52+$B$2*LN(E52))</f>
        <v/>
      </c>
      <c r="I52" t="n">
        <v>0</v>
      </c>
      <c r="J52">
        <f>I52-$B$3*K51</f>
        <v/>
      </c>
      <c r="K52" s="19">
        <f>E52</f>
        <v/>
      </c>
      <c r="L52">
        <f>EXP(G52+$B$2*LN(K52))</f>
        <v/>
      </c>
      <c r="M52">
        <f>L52-H52</f>
        <v/>
      </c>
      <c r="N52">
        <f>F52+M52</f>
        <v/>
      </c>
    </row>
    <row r="53">
      <c r="C53" t="n">
        <v>2019</v>
      </c>
      <c r="D53">
        <f>E53/F53</f>
        <v/>
      </c>
      <c r="E53" s="19">
        <f>PWT!B31</f>
        <v/>
      </c>
      <c r="F53">
        <f>WEO_Data!C27</f>
        <v/>
      </c>
      <c r="G53">
        <f>L23</f>
        <v/>
      </c>
      <c r="H53">
        <f>EXP(G53+$B$2*LN(E53))</f>
        <v/>
      </c>
      <c r="I53" t="n">
        <v>0</v>
      </c>
      <c r="J53">
        <f>I53-$B$3*K52</f>
        <v/>
      </c>
      <c r="K53" s="19">
        <f>E53</f>
        <v/>
      </c>
      <c r="L53">
        <f>EXP(G53+$B$2*LN(K53))</f>
        <v/>
      </c>
      <c r="M53">
        <f>L53-H53</f>
        <v/>
      </c>
      <c r="N53">
        <f>F53+M53</f>
        <v/>
      </c>
    </row>
    <row r="54">
      <c r="C54" t="n">
        <v>2020</v>
      </c>
      <c r="D54">
        <f>E54/F54</f>
        <v/>
      </c>
      <c r="E54" s="19">
        <f>PWT!B32</f>
        <v/>
      </c>
      <c r="F54">
        <f>WEO_Data!C28</f>
        <v/>
      </c>
      <c r="G54">
        <f>L24</f>
        <v/>
      </c>
      <c r="H54">
        <f>EXP(G54+$B$2*LN(E54))</f>
        <v/>
      </c>
      <c r="I54" t="n">
        <v>0</v>
      </c>
      <c r="J54">
        <f>I54-$B$3*K53</f>
        <v/>
      </c>
      <c r="K54" s="19">
        <f>E54</f>
        <v/>
      </c>
      <c r="L54">
        <f>EXP(G54+$B$2*LN(K54))</f>
        <v/>
      </c>
      <c r="M54">
        <f>L54-H54</f>
        <v/>
      </c>
      <c r="N54">
        <f>F54+M54</f>
        <v/>
      </c>
    </row>
    <row r="55">
      <c r="C55" t="n">
        <v>2021</v>
      </c>
      <c r="D55">
        <f>E55/F55</f>
        <v/>
      </c>
      <c r="E55" s="19">
        <f>PWT!B33</f>
        <v/>
      </c>
      <c r="F55">
        <f>WEO_Data!C29</f>
        <v/>
      </c>
      <c r="G55">
        <f>L25</f>
        <v/>
      </c>
      <c r="H55">
        <f>EXP(G55+$B$2*LN(E55))</f>
        <v/>
      </c>
      <c r="I55" t="n">
        <v>0</v>
      </c>
      <c r="J55">
        <f>I55-$B$3*K54</f>
        <v/>
      </c>
      <c r="K55" s="19">
        <f>E55</f>
        <v/>
      </c>
      <c r="L55">
        <f>EXP(G55+$B$2*LN(K55))</f>
        <v/>
      </c>
      <c r="M55">
        <f>L55-H55</f>
        <v/>
      </c>
      <c r="N55">
        <f>F55+M55</f>
        <v/>
      </c>
    </row>
    <row r="56">
      <c r="C56" t="n">
        <v>2022</v>
      </c>
      <c r="D56">
        <f>E56/F56</f>
        <v/>
      </c>
      <c r="E56" s="19">
        <f>PWT!B34</f>
        <v/>
      </c>
      <c r="F56">
        <f>WEO_Data!C30</f>
        <v/>
      </c>
      <c r="G56">
        <f>L26</f>
        <v/>
      </c>
      <c r="H56">
        <f>EXP(G56+$B$2*LN(E56))</f>
        <v/>
      </c>
      <c r="I56" t="n">
        <v>0</v>
      </c>
      <c r="J56">
        <f>I56-$B$3*K55</f>
        <v/>
      </c>
      <c r="K56" s="19">
        <f>E56</f>
        <v/>
      </c>
      <c r="L56">
        <f>EXP(G56+$B$2*LN(K56))</f>
        <v/>
      </c>
      <c r="M56">
        <f>L56-H56</f>
        <v/>
      </c>
      <c r="N56">
        <f>F56+M56</f>
        <v/>
      </c>
    </row>
    <row r="57">
      <c r="C57" t="n">
        <v>2023</v>
      </c>
      <c r="D57">
        <f>E57/F57</f>
        <v/>
      </c>
      <c r="E57" s="19">
        <f>PWT!B35</f>
        <v/>
      </c>
      <c r="F57">
        <f>WEO_Data!C31</f>
        <v/>
      </c>
      <c r="G57">
        <f>L27</f>
        <v/>
      </c>
      <c r="H57">
        <f>EXP(G57+$B$2*LN(E57))</f>
        <v/>
      </c>
      <c r="I57" t="n">
        <v>0</v>
      </c>
      <c r="J57">
        <f>I57-$B$3*K56</f>
        <v/>
      </c>
      <c r="K57" s="19">
        <f>E57</f>
        <v/>
      </c>
      <c r="L57">
        <f>EXP(G57+$B$2*LN(K57))</f>
        <v/>
      </c>
      <c r="M57">
        <f>L57-H57</f>
        <v/>
      </c>
      <c r="N57">
        <f>F57+M57</f>
        <v/>
      </c>
    </row>
    <row r="58">
      <c r="C58" t="n">
        <v>2024</v>
      </c>
      <c r="D58">
        <f>E58/F58</f>
        <v/>
      </c>
      <c r="E58" s="21">
        <f>F58*AVERAGE($D$49:$D$57)</f>
        <v/>
      </c>
      <c r="F58">
        <f>WEO_Data!C32</f>
        <v/>
      </c>
      <c r="G58" s="20">
        <f>TREND($G$36:$G$57,ROW($G$36:$G$57),ROW())</f>
        <v/>
      </c>
      <c r="H58">
        <f>EXP(G58+$B$2*LN(E58))</f>
        <v/>
      </c>
      <c r="I58" t="n">
        <v>0</v>
      </c>
      <c r="J58">
        <f>I58-$B$3*K57</f>
        <v/>
      </c>
      <c r="K58" s="19">
        <f>E58</f>
        <v/>
      </c>
      <c r="L58">
        <f>EXP(G58+$B$2*LN(K58))</f>
        <v/>
      </c>
      <c r="M58">
        <f>L58-H58</f>
        <v/>
      </c>
      <c r="N58">
        <f>F58+M58</f>
        <v/>
      </c>
    </row>
    <row r="59">
      <c r="C59" t="n">
        <v>2025</v>
      </c>
      <c r="D59">
        <f>E59/F59</f>
        <v/>
      </c>
      <c r="E59" s="21">
        <f>F59*AVERAGE($D$49:$D$57)</f>
        <v/>
      </c>
      <c r="F59">
        <f>WEO_Data!C33</f>
        <v/>
      </c>
      <c r="G59" s="20">
        <f>TREND($G$36:$G$57,ROW($G$36:$G$57),ROW())</f>
        <v/>
      </c>
      <c r="H59">
        <f>EXP(G59+$B$2*LN(E59))</f>
        <v/>
      </c>
      <c r="I59" t="n">
        <v>0</v>
      </c>
      <c r="J59">
        <f>I59-$B$3*K58</f>
        <v/>
      </c>
      <c r="K59" s="19">
        <f>E59</f>
        <v/>
      </c>
      <c r="L59">
        <f>EXP(G59+$B$2*LN(K59))</f>
        <v/>
      </c>
      <c r="M59">
        <f>L59-H59</f>
        <v/>
      </c>
      <c r="N59">
        <f>F59+M59</f>
        <v/>
      </c>
    </row>
    <row r="60">
      <c r="C60" t="n">
        <v>2026</v>
      </c>
      <c r="D60">
        <f>E60/F60</f>
        <v/>
      </c>
      <c r="E60" s="21">
        <f>F60*AVERAGE($D$49:$D$57)</f>
        <v/>
      </c>
      <c r="F60" s="20">
        <f>WEO_Data!C34</f>
        <v/>
      </c>
      <c r="G60" s="20">
        <f>TREND($G$36:$G$57,ROW($G$36:$G$57),ROW())</f>
        <v/>
      </c>
      <c r="H60">
        <f>EXP(G60+$B$2*LN(E60))</f>
        <v/>
      </c>
      <c r="I60" s="17">
        <f>Investment!C2</f>
        <v/>
      </c>
      <c r="J60">
        <f>I60-$B$3*K59</f>
        <v/>
      </c>
      <c r="K60" s="19">
        <f>E60+J60</f>
        <v/>
      </c>
      <c r="L60">
        <f>EXP(G60+$B$2*LN(K60))</f>
        <v/>
      </c>
      <c r="M60">
        <f>L60-H60</f>
        <v/>
      </c>
      <c r="N60">
        <f>F60+M60</f>
        <v/>
      </c>
    </row>
    <row r="61">
      <c r="C61" t="n">
        <v>2027</v>
      </c>
      <c r="D61">
        <f>E61/F61</f>
        <v/>
      </c>
      <c r="E61" s="21">
        <f>F61*AVERAGE($D$49:$D$57)</f>
        <v/>
      </c>
      <c r="F61" s="20">
        <f>WEO_Data!C35</f>
        <v/>
      </c>
      <c r="G61" s="20">
        <f>TREND($G$36:$G$57,ROW($G$36:$G$57),ROW())</f>
        <v/>
      </c>
      <c r="H61">
        <f>EXP(G61+$B$2*LN(E61))</f>
        <v/>
      </c>
      <c r="I61" s="17">
        <f>Investment!C3</f>
        <v/>
      </c>
      <c r="J61">
        <f>I61-$B$3*K60</f>
        <v/>
      </c>
      <c r="K61" s="19">
        <f>K60+J61</f>
        <v/>
      </c>
      <c r="L61">
        <f>EXP(G61+$B$2*LN(K61))</f>
        <v/>
      </c>
      <c r="M61">
        <f>L61-H61</f>
        <v/>
      </c>
      <c r="N61">
        <f>F61+M61</f>
        <v/>
      </c>
    </row>
    <row r="62">
      <c r="C62" t="n">
        <v>2028</v>
      </c>
      <c r="D62">
        <f>E62/F62</f>
        <v/>
      </c>
      <c r="E62" s="21">
        <f>F62*AVERAGE($D$49:$D$57)</f>
        <v/>
      </c>
      <c r="F62" s="20">
        <f>WEO_Data!C36</f>
        <v/>
      </c>
      <c r="G62" s="20">
        <f>TREND($G$36:$G$57,ROW($G$36:$G$57),ROW())</f>
        <v/>
      </c>
      <c r="H62">
        <f>EXP(G62+$B$2*LN(E62))</f>
        <v/>
      </c>
      <c r="I62" s="17">
        <f>Investment!C4</f>
        <v/>
      </c>
      <c r="J62">
        <f>I62-$B$3*K61</f>
        <v/>
      </c>
      <c r="K62" s="19">
        <f>K61+J62</f>
        <v/>
      </c>
      <c r="L62">
        <f>EXP(G62+$B$2*LN(K62))</f>
        <v/>
      </c>
      <c r="M62">
        <f>L62-H62</f>
        <v/>
      </c>
      <c r="N62">
        <f>F62+M62</f>
        <v/>
      </c>
    </row>
    <row r="63">
      <c r="C63" t="n">
        <v>2029</v>
      </c>
      <c r="D63">
        <f>E63/F63</f>
        <v/>
      </c>
      <c r="E63" s="21">
        <f>F63*AVERAGE($D$49:$D$57)</f>
        <v/>
      </c>
      <c r="F63" s="20">
        <f>WEO_Data!C37</f>
        <v/>
      </c>
      <c r="G63" s="20">
        <f>TREND($G$36:$G$57,ROW($G$36:$G$57),ROW())</f>
        <v/>
      </c>
      <c r="H63">
        <f>EXP(G63+$B$2*LN(E63))</f>
        <v/>
      </c>
      <c r="I63" s="17">
        <f>Investment!C5</f>
        <v/>
      </c>
      <c r="J63">
        <f>I63-$B$3*K62</f>
        <v/>
      </c>
      <c r="K63" s="19">
        <f>K62+J63</f>
        <v/>
      </c>
      <c r="L63">
        <f>EXP(G63+$B$2*LN(K63))</f>
        <v/>
      </c>
      <c r="M63">
        <f>L63-H63</f>
        <v/>
      </c>
      <c r="N63">
        <f>F63+M63</f>
        <v/>
      </c>
    </row>
    <row r="64">
      <c r="C64" t="n">
        <v>2030</v>
      </c>
      <c r="D64">
        <f>E64/F64</f>
        <v/>
      </c>
      <c r="E64" s="21">
        <f>F64*AVERAGE($D$49:$D$57)</f>
        <v/>
      </c>
      <c r="F64" s="20">
        <f>WEO_Data!C38</f>
        <v/>
      </c>
      <c r="G64" s="20">
        <f>TREND($G$36:$G$57,ROW($G$36:$G$57),ROW())</f>
        <v/>
      </c>
      <c r="H64">
        <f>EXP(G64+$B$2*LN(E64))</f>
        <v/>
      </c>
      <c r="I64" s="17">
        <f>Investment!C6</f>
        <v/>
      </c>
      <c r="J64">
        <f>I64-$B$3*K63</f>
        <v/>
      </c>
      <c r="K64" s="19">
        <f>K63+J64</f>
        <v/>
      </c>
      <c r="L64">
        <f>EXP(G64+$B$2*LN(K64))</f>
        <v/>
      </c>
      <c r="M64">
        <f>L64-H64</f>
        <v/>
      </c>
      <c r="N64">
        <f>F64+M64</f>
        <v/>
      </c>
    </row>
    <row r="65">
      <c r="C65" t="n">
        <v>2031</v>
      </c>
      <c r="D65">
        <f>E65/F65</f>
        <v/>
      </c>
      <c r="E65" s="21">
        <f>F65*AVERAGE($D$49:$D$57)</f>
        <v/>
      </c>
      <c r="F65" s="20">
        <f>WEO_Data!C39</f>
        <v/>
      </c>
      <c r="G65" s="20">
        <f>TREND($G$36:$G$57,ROW($G$36:$G$57),ROW())</f>
        <v/>
      </c>
      <c r="H65">
        <f>EXP(G65+$B$2*LN(E65))</f>
        <v/>
      </c>
      <c r="I65" s="17">
        <f>Investment!C7</f>
        <v/>
      </c>
      <c r="J65">
        <f>I65-$B$3*K64</f>
        <v/>
      </c>
      <c r="K65" s="19">
        <f>K64+J65</f>
        <v/>
      </c>
      <c r="L65">
        <f>EXP(G65+$B$2*LN(K65))</f>
        <v/>
      </c>
      <c r="M65">
        <f>L65-H65</f>
        <v/>
      </c>
      <c r="N65">
        <f>F65+M65</f>
        <v/>
      </c>
    </row>
    <row r="66">
      <c r="C66" t="n">
        <v>2032</v>
      </c>
      <c r="D66">
        <f>E66/F66</f>
        <v/>
      </c>
      <c r="E66" s="21">
        <f>F66*AVERAGE($D$49:$D$57)</f>
        <v/>
      </c>
      <c r="F66" s="20">
        <f>WEO_Data!C40</f>
        <v/>
      </c>
      <c r="G66" s="20">
        <f>TREND($G$36:$G$57,ROW($G$36:$G$57),ROW())</f>
        <v/>
      </c>
      <c r="H66">
        <f>EXP(G66+$B$2*LN(E66))</f>
        <v/>
      </c>
      <c r="I66" s="17">
        <f>Investment!C8</f>
        <v/>
      </c>
      <c r="J66">
        <f>I66-$B$3*K65</f>
        <v/>
      </c>
      <c r="K66" s="19">
        <f>K65+J66</f>
        <v/>
      </c>
      <c r="L66">
        <f>EXP(G66+$B$2*LN(K66))</f>
        <v/>
      </c>
      <c r="M66">
        <f>L66-H66</f>
        <v/>
      </c>
      <c r="N66">
        <f>F66+M66</f>
        <v/>
      </c>
    </row>
    <row r="67">
      <c r="C67" t="n">
        <v>2033</v>
      </c>
      <c r="D67">
        <f>E67/F67</f>
        <v/>
      </c>
      <c r="E67" s="21">
        <f>F67*AVERAGE($D$49:$D$57)</f>
        <v/>
      </c>
      <c r="F67" s="20">
        <f>WEO_Data!C41</f>
        <v/>
      </c>
      <c r="G67" s="20">
        <f>TREND($G$36:$G$57,ROW($G$36:$G$57),ROW())</f>
        <v/>
      </c>
      <c r="H67">
        <f>EXP(G67+$B$2*LN(E67))</f>
        <v/>
      </c>
      <c r="I67" s="17">
        <f>Investment!C9</f>
        <v/>
      </c>
      <c r="J67">
        <f>I67-$B$3*K66</f>
        <v/>
      </c>
      <c r="K67" s="19">
        <f>K66+J67</f>
        <v/>
      </c>
      <c r="L67">
        <f>EXP(G67+$B$2*LN(K67))</f>
        <v/>
      </c>
      <c r="M67">
        <f>L67-H67</f>
        <v/>
      </c>
      <c r="N67">
        <f>F67+M67</f>
        <v/>
      </c>
    </row>
    <row r="68">
      <c r="C68" t="n">
        <v>2034</v>
      </c>
      <c r="D68">
        <f>E68/F68</f>
        <v/>
      </c>
      <c r="E68" s="21">
        <f>F68*AVERAGE($D$49:$D$57)</f>
        <v/>
      </c>
      <c r="F68" s="20">
        <f>WEO_Data!C42</f>
        <v/>
      </c>
      <c r="G68" s="20">
        <f>TREND($G$36:$G$57,ROW($G$36:$G$57),ROW())</f>
        <v/>
      </c>
      <c r="H68">
        <f>EXP(G68+$B$2*LN(E68))</f>
        <v/>
      </c>
      <c r="I68" t="n">
        <v>0</v>
      </c>
      <c r="J68">
        <f>I68-$B$3*K67</f>
        <v/>
      </c>
      <c r="K68" s="19">
        <f>K67+J68</f>
        <v/>
      </c>
      <c r="L68">
        <f>EXP(G68+$B$2*LN(K68))</f>
        <v/>
      </c>
      <c r="M68">
        <f>L68-H68</f>
        <v/>
      </c>
      <c r="N68">
        <f>F68+M68</f>
        <v/>
      </c>
    </row>
    <row r="69">
      <c r="C69" t="n">
        <v>2035</v>
      </c>
      <c r="D69">
        <f>E69/F69</f>
        <v/>
      </c>
      <c r="E69" s="21">
        <f>F69*AVERAGE($D$49:$D$57)</f>
        <v/>
      </c>
      <c r="F69" s="20">
        <f>WEO_Data!C43</f>
        <v/>
      </c>
      <c r="G69" s="20">
        <f>TREND($G$36:$G$57,ROW($G$36:$G$57),ROW())</f>
        <v/>
      </c>
      <c r="H69">
        <f>EXP(G69+$B$2*LN(E69))</f>
        <v/>
      </c>
      <c r="I69" t="n">
        <v>0</v>
      </c>
      <c r="J69">
        <f>I69-$B$3*K68</f>
        <v/>
      </c>
      <c r="K69" s="19">
        <f>K68+J69</f>
        <v/>
      </c>
      <c r="L69">
        <f>EXP(G69+$B$2*LN(K69))</f>
        <v/>
      </c>
      <c r="M69">
        <f>L69-H69</f>
        <v/>
      </c>
      <c r="N69">
        <f>F69+M69</f>
        <v/>
      </c>
    </row>
    <row r="70">
      <c r="C70" t="n">
        <v>2036</v>
      </c>
      <c r="D70">
        <f>E70/F70</f>
        <v/>
      </c>
      <c r="E70" s="21">
        <f>F70*AVERAGE($D$49:$D$57)</f>
        <v/>
      </c>
      <c r="F70" s="20">
        <f>WEO_Data!C44</f>
        <v/>
      </c>
      <c r="G70" s="20">
        <f>TREND($G$36:$G$57,ROW($G$36:$G$57),ROW())</f>
        <v/>
      </c>
      <c r="H70">
        <f>EXP(G70+$B$2*LN(E70))</f>
        <v/>
      </c>
      <c r="I70" t="n">
        <v>0</v>
      </c>
      <c r="J70">
        <f>I70-$B$3*K69</f>
        <v/>
      </c>
      <c r="K70" s="19">
        <f>K69+J70</f>
        <v/>
      </c>
      <c r="L70">
        <f>EXP(G70+$B$2*LN(K70))</f>
        <v/>
      </c>
      <c r="M70">
        <f>L70-H70</f>
        <v/>
      </c>
      <c r="N70">
        <f>F70+M70</f>
        <v/>
      </c>
    </row>
    <row r="71">
      <c r="C71" t="n">
        <v>2037</v>
      </c>
      <c r="D71">
        <f>E71/F71</f>
        <v/>
      </c>
      <c r="E71" s="21">
        <f>F71*AVERAGE($D$49:$D$57)</f>
        <v/>
      </c>
      <c r="F71" s="20">
        <f>WEO_Data!C45</f>
        <v/>
      </c>
      <c r="G71" s="20">
        <f>TREND($G$36:$G$57,ROW($G$36:$G$57),ROW())</f>
        <v/>
      </c>
      <c r="H71">
        <f>EXP(G71+$B$2*LN(E71))</f>
        <v/>
      </c>
      <c r="I71" t="n">
        <v>0</v>
      </c>
      <c r="J71">
        <f>I71-$B$3*K70</f>
        <v/>
      </c>
      <c r="K71" s="19">
        <f>K70+J71</f>
        <v/>
      </c>
      <c r="L71">
        <f>EXP(G71+$B$2*LN(K71))</f>
        <v/>
      </c>
      <c r="M71">
        <f>L71-H71</f>
        <v/>
      </c>
      <c r="N71">
        <f>F71+M71</f>
        <v/>
      </c>
    </row>
    <row r="72">
      <c r="C72" t="n">
        <v>2038</v>
      </c>
      <c r="D72">
        <f>E72/F72</f>
        <v/>
      </c>
      <c r="E72" s="21">
        <f>F72*AVERAGE($D$49:$D$57)</f>
        <v/>
      </c>
      <c r="F72" s="20">
        <f>WEO_Data!C46</f>
        <v/>
      </c>
      <c r="G72" s="20">
        <f>TREND($G$36:$G$57,ROW($G$36:$G$57),ROW())</f>
        <v/>
      </c>
      <c r="H72">
        <f>EXP(G72+$B$2*LN(E72))</f>
        <v/>
      </c>
      <c r="I72" t="n">
        <v>0</v>
      </c>
      <c r="J72">
        <f>I72-$B$3*K71</f>
        <v/>
      </c>
      <c r="K72" s="19">
        <f>K71+J72</f>
        <v/>
      </c>
      <c r="L72">
        <f>EXP(G72+$B$2*LN(K72))</f>
        <v/>
      </c>
      <c r="M72">
        <f>L72-H72</f>
        <v/>
      </c>
      <c r="N72">
        <f>F72+M72</f>
        <v/>
      </c>
    </row>
    <row r="73">
      <c r="C73" t="n">
        <v>2039</v>
      </c>
      <c r="D73">
        <f>E73/F73</f>
        <v/>
      </c>
      <c r="E73" s="21">
        <f>F73*AVERAGE($D$49:$D$57)</f>
        <v/>
      </c>
      <c r="F73" s="20">
        <f>WEO_Data!C47</f>
        <v/>
      </c>
      <c r="G73" s="20">
        <f>TREND($G$36:$G$57,ROW($G$36:$G$57),ROW())</f>
        <v/>
      </c>
      <c r="H73">
        <f>EXP(G73+$B$2*LN(E73))</f>
        <v/>
      </c>
      <c r="I73" t="n">
        <v>0</v>
      </c>
      <c r="J73">
        <f>I73-$B$3*K72</f>
        <v/>
      </c>
      <c r="K73" s="19">
        <f>K72+J73</f>
        <v/>
      </c>
      <c r="L73">
        <f>EXP(G73+$B$2*LN(K73))</f>
        <v/>
      </c>
      <c r="M73">
        <f>L73-H73</f>
        <v/>
      </c>
      <c r="N73">
        <f>F73+M73</f>
        <v/>
      </c>
    </row>
    <row r="74">
      <c r="C74" t="n">
        <v>2040</v>
      </c>
      <c r="D74">
        <f>E74/F74</f>
        <v/>
      </c>
      <c r="E74" s="21">
        <f>F74*AVERAGE($D$49:$D$57)</f>
        <v/>
      </c>
      <c r="F74" s="20">
        <f>WEO_Data!C48</f>
        <v/>
      </c>
      <c r="G74" s="20">
        <f>TREND($G$36:$G$57,ROW($G$36:$G$57),ROW())</f>
        <v/>
      </c>
      <c r="H74">
        <f>EXP(G74+$B$2*LN(E74))</f>
        <v/>
      </c>
      <c r="I74" t="n">
        <v>0</v>
      </c>
      <c r="J74">
        <f>I74-$B$3*K73</f>
        <v/>
      </c>
      <c r="K74" s="19">
        <f>K73+J74</f>
        <v/>
      </c>
      <c r="L74">
        <f>EXP(G74+$B$2*LN(K74))</f>
        <v/>
      </c>
      <c r="M74">
        <f>L74-H74</f>
        <v/>
      </c>
      <c r="N74">
        <f>F74+M74</f>
        <v/>
      </c>
    </row>
    <row r="75">
      <c r="C75" t="n">
        <v>2041</v>
      </c>
      <c r="D75">
        <f>E75/F75</f>
        <v/>
      </c>
      <c r="E75" s="21">
        <f>F75*AVERAGE($D$49:$D$57)</f>
        <v/>
      </c>
      <c r="F75" s="20">
        <f>WEO_Data!C49</f>
        <v/>
      </c>
      <c r="G75" s="20">
        <f>TREND($G$36:$G$57,ROW($G$36:$G$57),ROW())</f>
        <v/>
      </c>
      <c r="H75">
        <f>EXP(G75+$B$2*LN(E75))</f>
        <v/>
      </c>
      <c r="I75" t="n">
        <v>0</v>
      </c>
      <c r="J75">
        <f>I75-$B$3*K74</f>
        <v/>
      </c>
      <c r="K75" s="19">
        <f>K74+J75</f>
        <v/>
      </c>
      <c r="L75">
        <f>EXP(G75+$B$2*LN(K75))</f>
        <v/>
      </c>
      <c r="M75">
        <f>L75-H75</f>
        <v/>
      </c>
      <c r="N75">
        <f>F75+M75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304.5150917602001</v>
      </c>
      <c r="D2" s="19">
        <f>PWT!B8</f>
        <v/>
      </c>
      <c r="E2">
        <f>C2/D2</f>
        <v/>
      </c>
    </row>
    <row r="3">
      <c r="A3" s="18" t="n">
        <v>35795</v>
      </c>
      <c r="B3" t="n">
        <v>1997</v>
      </c>
      <c r="C3" t="n">
        <v>383.641663608596</v>
      </c>
      <c r="D3" s="19">
        <f>PWT!B9</f>
        <v/>
      </c>
      <c r="E3">
        <f>C3/D3</f>
        <v/>
      </c>
    </row>
    <row r="4">
      <c r="A4" s="18" t="n">
        <v>36160</v>
      </c>
      <c r="B4" t="n">
        <v>1998</v>
      </c>
      <c r="C4" t="n">
        <v>516.397121222809</v>
      </c>
      <c r="D4" s="19">
        <f>PWT!B10</f>
        <v/>
      </c>
      <c r="E4">
        <f>C4/D4</f>
        <v/>
      </c>
    </row>
    <row r="5">
      <c r="A5" s="18" t="n">
        <v>36525</v>
      </c>
      <c r="B5" t="n">
        <v>1999</v>
      </c>
      <c r="C5" t="n">
        <v>661.603834429231</v>
      </c>
      <c r="D5" s="19">
        <f>PWT!B11</f>
        <v/>
      </c>
      <c r="E5">
        <f>C5/D5</f>
        <v/>
      </c>
    </row>
    <row r="6">
      <c r="A6" s="18" t="n">
        <v>36891</v>
      </c>
      <c r="B6" t="n">
        <v>2000</v>
      </c>
      <c r="C6" t="n">
        <v>631.70100088782</v>
      </c>
      <c r="D6" s="19">
        <f>PWT!B12</f>
        <v/>
      </c>
      <c r="E6">
        <f>C6/D6</f>
        <v/>
      </c>
    </row>
    <row r="7">
      <c r="A7" s="18" t="n">
        <v>37256</v>
      </c>
      <c r="B7" t="n">
        <v>2001</v>
      </c>
      <c r="C7" t="n">
        <v>706.983726789065</v>
      </c>
      <c r="D7" s="19">
        <f>PWT!B13</f>
        <v/>
      </c>
      <c r="E7">
        <f>C7/D7</f>
        <v/>
      </c>
    </row>
    <row r="8">
      <c r="A8" s="18" t="n">
        <v>37621</v>
      </c>
      <c r="B8" t="n">
        <v>2002</v>
      </c>
      <c r="C8" t="n">
        <v>790.112565198609</v>
      </c>
      <c r="D8" s="19">
        <f>PWT!B14</f>
        <v/>
      </c>
      <c r="E8">
        <f>C8/D8</f>
        <v/>
      </c>
    </row>
    <row r="9">
      <c r="A9" s="18" t="n">
        <v>37986</v>
      </c>
      <c r="B9" t="n">
        <v>2003</v>
      </c>
      <c r="C9" t="n">
        <v>932.9162196711591</v>
      </c>
      <c r="D9" s="19">
        <f>PWT!B15</f>
        <v/>
      </c>
      <c r="E9">
        <f>C9/D9</f>
        <v/>
      </c>
    </row>
    <row r="10">
      <c r="A10" s="18" t="n">
        <v>38352</v>
      </c>
      <c r="B10" t="n">
        <v>2004</v>
      </c>
      <c r="C10" t="n">
        <v>976.818537799271</v>
      </c>
      <c r="D10" s="19">
        <f>PWT!B16</f>
        <v/>
      </c>
      <c r="E10">
        <f>C10/D10</f>
        <v/>
      </c>
    </row>
    <row r="11">
      <c r="A11" s="18" t="n">
        <v>38717</v>
      </c>
      <c r="B11" t="n">
        <v>2005</v>
      </c>
      <c r="C11" t="n">
        <v>1113.45005859263</v>
      </c>
      <c r="D11" s="19">
        <f>PWT!B17</f>
        <v/>
      </c>
      <c r="E11">
        <f>C11/D11</f>
        <v/>
      </c>
    </row>
    <row r="12">
      <c r="A12" s="18" t="n">
        <v>39082</v>
      </c>
      <c r="B12" t="n">
        <v>2006</v>
      </c>
      <c r="C12" t="n">
        <v>1306.37308413224</v>
      </c>
      <c r="D12" s="19">
        <f>PWT!B18</f>
        <v/>
      </c>
      <c r="E12">
        <f>C12/D12</f>
        <v/>
      </c>
    </row>
    <row r="13">
      <c r="A13" s="18" t="n">
        <v>39447</v>
      </c>
      <c r="B13" t="n">
        <v>2007</v>
      </c>
      <c r="C13" t="n">
        <v>1617.02996625711</v>
      </c>
      <c r="D13" s="19">
        <f>PWT!B19</f>
        <v/>
      </c>
      <c r="E13">
        <f>C13/D13</f>
        <v/>
      </c>
    </row>
    <row r="14">
      <c r="A14" s="18" t="n">
        <v>39813</v>
      </c>
      <c r="B14" t="n">
        <v>2008</v>
      </c>
      <c r="C14" t="n">
        <v>1758.0492676717</v>
      </c>
      <c r="D14" s="19">
        <f>PWT!B20</f>
        <v/>
      </c>
      <c r="E14">
        <f>C14/D14</f>
        <v/>
      </c>
    </row>
    <row r="15">
      <c r="A15" s="18" t="n">
        <v>40178</v>
      </c>
      <c r="B15" t="n">
        <v>2009</v>
      </c>
      <c r="C15" t="n">
        <v>1751.36668488131</v>
      </c>
      <c r="D15" s="19">
        <f>PWT!B21</f>
        <v/>
      </c>
      <c r="E15">
        <f>C15/D15</f>
        <v/>
      </c>
    </row>
    <row r="16">
      <c r="A16" s="18" t="n">
        <v>40543</v>
      </c>
      <c r="B16" t="n">
        <v>2010</v>
      </c>
      <c r="C16" t="n">
        <v>2046.41323466733</v>
      </c>
      <c r="D16" s="19">
        <f>PWT!B22</f>
        <v/>
      </c>
      <c r="E16">
        <f>C16/D16</f>
        <v/>
      </c>
    </row>
    <row r="17">
      <c r="A17" s="18" t="n">
        <v>40908</v>
      </c>
      <c r="B17" t="n">
        <v>2011</v>
      </c>
      <c r="C17" t="n">
        <v>2350.51240590543</v>
      </c>
      <c r="D17" s="19">
        <f>PWT!B23</f>
        <v/>
      </c>
      <c r="E17">
        <f>C17/D17</f>
        <v/>
      </c>
    </row>
    <row r="18">
      <c r="A18" s="18" t="n">
        <v>41274</v>
      </c>
      <c r="B18" t="n">
        <v>2012</v>
      </c>
      <c r="C18" t="n">
        <v>2643.60288796874</v>
      </c>
      <c r="D18" s="19">
        <f>PWT!B24</f>
        <v/>
      </c>
      <c r="E18">
        <f>C18/D18</f>
        <v/>
      </c>
    </row>
    <row r="19">
      <c r="A19" s="18" t="n">
        <v>41639</v>
      </c>
      <c r="B19" t="n">
        <v>2013</v>
      </c>
      <c r="C19" t="n">
        <v>1555.93215231816</v>
      </c>
      <c r="D19" s="19">
        <f>PWT!B25</f>
        <v/>
      </c>
      <c r="E19">
        <f>C19/D19</f>
        <v/>
      </c>
    </row>
    <row r="20">
      <c r="A20" s="18" t="n">
        <v>42004</v>
      </c>
      <c r="B20" t="n">
        <v>2014</v>
      </c>
      <c r="C20" t="n">
        <v>2984.8904686878</v>
      </c>
      <c r="D20" s="19">
        <f>PWT!B26</f>
        <v/>
      </c>
      <c r="E20">
        <f>C20/D20</f>
        <v/>
      </c>
    </row>
    <row r="21">
      <c r="A21" s="18" t="n">
        <v>42369</v>
      </c>
      <c r="B21" t="n">
        <v>2015</v>
      </c>
      <c r="C21" t="n">
        <v>3657.28067254249</v>
      </c>
      <c r="D21" s="19">
        <f>PWT!B27</f>
        <v/>
      </c>
      <c r="E21">
        <f>C21/D21</f>
        <v/>
      </c>
    </row>
    <row r="22">
      <c r="A22" s="18" t="n">
        <v>42735</v>
      </c>
      <c r="B22" t="n">
        <v>2016</v>
      </c>
      <c r="C22" t="n">
        <v>4004.82871985304</v>
      </c>
      <c r="D22" s="19">
        <f>PWT!B28</f>
        <v/>
      </c>
      <c r="E22">
        <f>C22/D22</f>
        <v/>
      </c>
    </row>
    <row r="23">
      <c r="A23" s="18" t="n">
        <v>43100</v>
      </c>
      <c r="B23" t="n">
        <v>2017</v>
      </c>
      <c r="C23" t="n">
        <v>4492.92133490825</v>
      </c>
      <c r="D23" s="19">
        <f>PWT!B29</f>
        <v/>
      </c>
      <c r="E23">
        <f>C23/D23</f>
        <v/>
      </c>
    </row>
    <row r="24">
      <c r="A24" s="18" t="n">
        <v>43465</v>
      </c>
      <c r="B24" t="n">
        <v>2018</v>
      </c>
      <c r="C24" t="n">
        <v>4843.616440286271</v>
      </c>
      <c r="D24" s="19">
        <f>PWT!B30</f>
        <v/>
      </c>
      <c r="E24">
        <f>C24/D24</f>
        <v/>
      </c>
    </row>
    <row r="25">
      <c r="A25" s="18" t="n">
        <v>43830</v>
      </c>
      <c r="B25" t="n">
        <v>2019</v>
      </c>
      <c r="C25" t="n">
        <v>5452.95737935004</v>
      </c>
      <c r="D25" s="19">
        <f>PWT!B31</f>
        <v/>
      </c>
      <c r="E25">
        <f>C25/D25</f>
        <v/>
      </c>
    </row>
    <row r="26">
      <c r="A26" s="18" t="n">
        <v>44196</v>
      </c>
      <c r="B26" t="n">
        <v>2020</v>
      </c>
      <c r="C26" t="n">
        <v>6152.769261618049</v>
      </c>
      <c r="D26" s="19">
        <f>PWT!B32</f>
        <v/>
      </c>
      <c r="E26">
        <f>C26/D26</f>
        <v/>
      </c>
    </row>
    <row r="27">
      <c r="A27" s="18" t="n">
        <v>44561</v>
      </c>
      <c r="B27" t="n">
        <v>2021</v>
      </c>
      <c r="C27" t="n">
        <v>7072.625348898229</v>
      </c>
      <c r="D27" s="19">
        <f>PWT!B33</f>
        <v/>
      </c>
      <c r="E27">
        <f>C27/D27</f>
        <v/>
      </c>
    </row>
    <row r="28">
      <c r="A28" s="18" t="n">
        <v>44926</v>
      </c>
      <c r="B28" t="n">
        <v>2022</v>
      </c>
      <c r="C28" t="n">
        <v>7661.44847488107</v>
      </c>
      <c r="D28" s="19">
        <f>PWT!B34</f>
        <v/>
      </c>
      <c r="E28">
        <f>C28/D28</f>
        <v/>
      </c>
    </row>
    <row r="29">
      <c r="A29" s="18" t="n">
        <v>45291</v>
      </c>
      <c r="B29" t="n">
        <v>2023</v>
      </c>
      <c r="C29" t="n">
        <v>9410.657843710351</v>
      </c>
      <c r="D29" s="19">
        <f>PWT!B35</f>
        <v/>
      </c>
      <c r="E29">
        <f>C29/D29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  <c r="C1" t="inlineStr">
        <is>
          <t>rkna</t>
        </is>
      </c>
    </row>
    <row r="2">
      <c r="A2" s="19" t="n">
        <v>1990</v>
      </c>
      <c r="B2" s="19" t="n">
        <v>333953.90625</v>
      </c>
    </row>
    <row r="3">
      <c r="A3" s="19" t="n">
        <v>1991</v>
      </c>
      <c r="B3" s="19" t="n">
        <v>336800.125</v>
      </c>
    </row>
    <row r="4">
      <c r="A4" s="19" t="n">
        <v>1992</v>
      </c>
      <c r="B4" s="19" t="n">
        <v>331575.34375</v>
      </c>
    </row>
    <row r="5">
      <c r="A5" s="19" t="n">
        <v>1993</v>
      </c>
      <c r="B5" s="19" t="n">
        <v>318977.5625</v>
      </c>
    </row>
    <row r="6">
      <c r="A6" s="19" t="n">
        <v>1994</v>
      </c>
      <c r="B6" s="19" t="n">
        <v>310557.21875</v>
      </c>
      <c r="C6" t="n">
        <v>0.693819880485535</v>
      </c>
    </row>
    <row r="7">
      <c r="A7" s="19" t="n">
        <v>1995</v>
      </c>
      <c r="B7" s="19" t="n">
        <v>305633.28125</v>
      </c>
      <c r="C7" t="n">
        <v>0.663533091545105</v>
      </c>
    </row>
    <row r="8">
      <c r="A8" s="19" t="n">
        <v>1996</v>
      </c>
      <c r="B8" s="19" t="n">
        <v>301706.46875</v>
      </c>
      <c r="C8" t="n">
        <v>0.646936058998108</v>
      </c>
    </row>
    <row r="9">
      <c r="A9" s="19" t="n">
        <v>1997</v>
      </c>
      <c r="B9" s="19" t="n">
        <v>298764.625</v>
      </c>
      <c r="C9" t="n">
        <v>0.636244714260101</v>
      </c>
    </row>
    <row r="10">
      <c r="A10" s="19" t="n">
        <v>1998</v>
      </c>
      <c r="B10" s="19" t="n">
        <v>298990.5</v>
      </c>
      <c r="C10" t="n">
        <v>0.639280378818512</v>
      </c>
    </row>
    <row r="11">
      <c r="A11" s="19" t="n">
        <v>1999</v>
      </c>
      <c r="B11" s="19" t="n">
        <v>299754.78125</v>
      </c>
      <c r="C11" t="n">
        <v>0.643343687057495</v>
      </c>
    </row>
    <row r="12">
      <c r="A12" s="19" t="n">
        <v>2000</v>
      </c>
      <c r="B12" s="19" t="n">
        <v>300383.3125</v>
      </c>
      <c r="C12" t="n">
        <v>0.645317256450653</v>
      </c>
    </row>
    <row r="13">
      <c r="A13" s="19" t="n">
        <v>2001</v>
      </c>
      <c r="B13" s="19" t="n">
        <v>302284.0625</v>
      </c>
      <c r="C13" t="n">
        <v>0.650818169116974</v>
      </c>
    </row>
    <row r="14">
      <c r="A14" s="19" t="n">
        <v>2002</v>
      </c>
      <c r="B14" s="19" t="n">
        <v>303592.625</v>
      </c>
      <c r="C14" t="n">
        <v>0.651715517044067</v>
      </c>
    </row>
    <row r="15">
      <c r="A15" s="19" t="n">
        <v>2003</v>
      </c>
      <c r="B15" s="19" t="n">
        <v>307310.28125</v>
      </c>
      <c r="C15" t="n">
        <v>0.658994793891907</v>
      </c>
    </row>
    <row r="16">
      <c r="A16" s="19" t="n">
        <v>2004</v>
      </c>
      <c r="B16" s="19" t="n">
        <v>311984.28125</v>
      </c>
      <c r="C16" t="n">
        <v>0.676426887512207</v>
      </c>
    </row>
    <row r="17">
      <c r="A17" s="19" t="n">
        <v>2005</v>
      </c>
      <c r="B17" s="19" t="n">
        <v>317837.8125</v>
      </c>
      <c r="C17" t="n">
        <v>0.697964012622833</v>
      </c>
    </row>
    <row r="18">
      <c r="A18" s="19" t="n">
        <v>2006</v>
      </c>
      <c r="B18" s="19" t="n">
        <v>322943.65625</v>
      </c>
      <c r="C18" t="n">
        <v>0.720032036304474</v>
      </c>
    </row>
    <row r="19">
      <c r="A19" s="19" t="n">
        <v>2007</v>
      </c>
      <c r="B19" s="19" t="n">
        <v>329445.875</v>
      </c>
      <c r="C19" t="n">
        <v>0.74526309967041</v>
      </c>
    </row>
    <row r="20">
      <c r="A20" s="19" t="n">
        <v>2008</v>
      </c>
      <c r="B20" s="19" t="n">
        <v>332604.46875</v>
      </c>
      <c r="C20" t="n">
        <v>0.759231209754944</v>
      </c>
    </row>
    <row r="21">
      <c r="A21" s="19" t="n">
        <v>2009</v>
      </c>
      <c r="B21" s="19" t="n">
        <v>330608.28125</v>
      </c>
      <c r="C21" t="n">
        <v>0.752109229564667</v>
      </c>
    </row>
    <row r="22">
      <c r="A22" s="19" t="n">
        <v>2010</v>
      </c>
      <c r="B22" s="19" t="n">
        <v>332551.53125</v>
      </c>
      <c r="C22" t="n">
        <v>0.7580080628395079</v>
      </c>
    </row>
    <row r="23">
      <c r="A23" s="19" t="n">
        <v>2011</v>
      </c>
      <c r="B23" s="19" t="n">
        <v>336560.28125</v>
      </c>
      <c r="C23" t="n">
        <v>0.7690709233284</v>
      </c>
    </row>
    <row r="24">
      <c r="A24" s="19" t="n">
        <v>2012</v>
      </c>
      <c r="B24" s="19" t="n">
        <v>341471.1875</v>
      </c>
      <c r="C24" t="n">
        <v>0.782711386680603</v>
      </c>
    </row>
    <row r="25">
      <c r="A25" s="19" t="n">
        <v>2013</v>
      </c>
      <c r="B25" s="19" t="n">
        <v>344239.03125</v>
      </c>
      <c r="C25" t="n">
        <v>0.79158365726471</v>
      </c>
    </row>
    <row r="26">
      <c r="A26" s="19" t="n">
        <v>2014</v>
      </c>
      <c r="B26" s="19" t="n">
        <v>350962.15625</v>
      </c>
      <c r="C26" t="n">
        <v>0.812366306781769</v>
      </c>
    </row>
    <row r="27">
      <c r="A27" s="19" t="n">
        <v>2015</v>
      </c>
      <c r="B27" s="19" t="n">
        <v>360259.8125</v>
      </c>
      <c r="C27" t="n">
        <v>0.841849863529205</v>
      </c>
    </row>
    <row r="28">
      <c r="A28" s="19" t="n">
        <v>2016</v>
      </c>
      <c r="B28" s="19" t="n">
        <v>370547.65625</v>
      </c>
      <c r="C28" t="n">
        <v>0.875286102294922</v>
      </c>
    </row>
    <row r="29">
      <c r="A29" s="19" t="n">
        <v>2017</v>
      </c>
      <c r="B29" s="19" t="n">
        <v>380655.78125</v>
      </c>
      <c r="C29" t="n">
        <v>0.909835457801819</v>
      </c>
    </row>
    <row r="30">
      <c r="A30" s="19" t="n">
        <v>2018</v>
      </c>
      <c r="B30" s="19" t="n">
        <v>390625.1875</v>
      </c>
      <c r="C30" t="n">
        <v>0.938847839832306</v>
      </c>
    </row>
    <row r="31">
      <c r="A31" s="19" t="n">
        <v>2019</v>
      </c>
      <c r="B31" s="19" t="n">
        <v>399934.28125</v>
      </c>
      <c r="C31" t="n">
        <v>0.970234096050263</v>
      </c>
    </row>
    <row r="32">
      <c r="A32" s="19" t="n">
        <v>2020</v>
      </c>
      <c r="B32" s="19" t="n">
        <v>405156.15625</v>
      </c>
      <c r="C32" t="n">
        <v>0.9879248142242431</v>
      </c>
    </row>
    <row r="33">
      <c r="A33" s="19" t="n">
        <v>2021</v>
      </c>
      <c r="B33" s="19" t="n">
        <v>409189.75</v>
      </c>
      <c r="C33" t="n">
        <v>1</v>
      </c>
    </row>
    <row r="34">
      <c r="A34" s="19" t="n">
        <v>2022</v>
      </c>
      <c r="B34" s="19" t="n">
        <v>415085.84375</v>
      </c>
      <c r="C34" t="n">
        <v>1.01787507534027</v>
      </c>
    </row>
    <row r="35">
      <c r="A35" s="19" t="n">
        <v>2023</v>
      </c>
      <c r="B35" s="19" t="n">
        <v>426190.5</v>
      </c>
      <c r="C35" t="n">
        <v>1.05426597595215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16.963</v>
      </c>
      <c r="D8" t="n">
        <v>1.865</v>
      </c>
    </row>
    <row r="9">
      <c r="B9" t="n">
        <v>2001</v>
      </c>
      <c r="C9" t="n">
        <v>17.772</v>
      </c>
      <c r="D9" t="n">
        <v>4.769</v>
      </c>
    </row>
    <row r="10">
      <c r="B10" t="n">
        <v>2002</v>
      </c>
      <c r="C10" t="n">
        <v>18.747</v>
      </c>
      <c r="D10" t="n">
        <v>5.487</v>
      </c>
    </row>
    <row r="11">
      <c r="B11" t="n">
        <v>2003</v>
      </c>
      <c r="C11" t="n">
        <v>20.852</v>
      </c>
      <c r="D11" t="n">
        <v>11.228</v>
      </c>
    </row>
    <row r="12">
      <c r="B12" t="n">
        <v>2004</v>
      </c>
      <c r="C12" t="n">
        <v>22.061</v>
      </c>
      <c r="D12" t="n">
        <v>5.796</v>
      </c>
    </row>
    <row r="13">
      <c r="B13" t="n">
        <v>2005</v>
      </c>
      <c r="C13" t="n">
        <v>24.176</v>
      </c>
      <c r="D13" t="n">
        <v>9.587999999999999</v>
      </c>
    </row>
    <row r="14">
      <c r="B14" t="n">
        <v>2006</v>
      </c>
      <c r="C14" t="n">
        <v>26.454</v>
      </c>
      <c r="D14" t="n">
        <v>9.42</v>
      </c>
    </row>
    <row r="15">
      <c r="B15" t="n">
        <v>2007</v>
      </c>
      <c r="C15" t="n">
        <v>29.781</v>
      </c>
      <c r="D15" t="n">
        <v>12.579</v>
      </c>
    </row>
    <row r="16">
      <c r="B16" t="n">
        <v>2008</v>
      </c>
      <c r="C16" t="n">
        <v>30.502</v>
      </c>
      <c r="D16" t="n">
        <v>2.419</v>
      </c>
    </row>
    <row r="17">
      <c r="B17" t="n">
        <v>2009</v>
      </c>
      <c r="C17" t="n">
        <v>29.388</v>
      </c>
      <c r="D17" t="n">
        <v>-3.651</v>
      </c>
    </row>
    <row r="18">
      <c r="B18" t="n">
        <v>2010</v>
      </c>
      <c r="C18" t="n">
        <v>31.428</v>
      </c>
      <c r="D18" t="n">
        <v>6.942</v>
      </c>
    </row>
    <row r="19">
      <c r="B19" t="n">
        <v>2011</v>
      </c>
      <c r="C19" t="n">
        <v>33.927</v>
      </c>
      <c r="D19" t="n">
        <v>7.949</v>
      </c>
    </row>
    <row r="20">
      <c r="B20" t="n">
        <v>2012</v>
      </c>
      <c r="C20" t="n">
        <v>36.159</v>
      </c>
      <c r="D20" t="n">
        <v>6.579</v>
      </c>
    </row>
    <row r="21">
      <c r="B21" t="n">
        <v>2013</v>
      </c>
      <c r="C21" t="n">
        <v>38.015</v>
      </c>
      <c r="D21" t="n">
        <v>5.134</v>
      </c>
    </row>
    <row r="22">
      <c r="B22" t="n">
        <v>2014</v>
      </c>
      <c r="C22" t="n">
        <v>39.57</v>
      </c>
      <c r="D22" t="n">
        <v>4.091</v>
      </c>
    </row>
    <row r="23">
      <c r="B23" t="n">
        <v>2015</v>
      </c>
      <c r="C23" t="n">
        <v>40.896</v>
      </c>
      <c r="D23" t="n">
        <v>3.351</v>
      </c>
    </row>
    <row r="24">
      <c r="B24" t="n">
        <v>2016</v>
      </c>
      <c r="C24" t="n">
        <v>42.307</v>
      </c>
      <c r="D24" t="n">
        <v>3.45</v>
      </c>
    </row>
    <row r="25">
      <c r="B25" t="n">
        <v>2017</v>
      </c>
      <c r="C25" t="n">
        <v>44.49</v>
      </c>
      <c r="D25" t="n">
        <v>5.161</v>
      </c>
    </row>
    <row r="26">
      <c r="B26" t="n">
        <v>2018</v>
      </c>
      <c r="C26" t="n">
        <v>47.187</v>
      </c>
      <c r="D26" t="n">
        <v>6.062</v>
      </c>
    </row>
    <row r="27">
      <c r="B27" t="n">
        <v>2019</v>
      </c>
      <c r="C27" t="n">
        <v>49.726</v>
      </c>
      <c r="D27" t="n">
        <v>5.38</v>
      </c>
    </row>
    <row r="28">
      <c r="B28" t="n">
        <v>2020</v>
      </c>
      <c r="C28" t="n">
        <v>46.598</v>
      </c>
      <c r="D28" t="n">
        <v>-6.291</v>
      </c>
    </row>
    <row r="29">
      <c r="B29" t="n">
        <v>2021</v>
      </c>
      <c r="C29" t="n">
        <v>51.558</v>
      </c>
      <c r="D29" t="n">
        <v>10.644</v>
      </c>
    </row>
    <row r="30">
      <c r="B30" t="n">
        <v>2022</v>
      </c>
      <c r="C30" t="n">
        <v>57.208</v>
      </c>
      <c r="D30" t="n">
        <v>10.96</v>
      </c>
    </row>
    <row r="31">
      <c r="B31" t="n">
        <v>2023</v>
      </c>
      <c r="C31" t="n">
        <v>61.484</v>
      </c>
      <c r="D31" t="n">
        <v>7.474</v>
      </c>
    </row>
    <row r="32">
      <c r="B32" t="n">
        <v>2024</v>
      </c>
      <c r="C32" t="n">
        <v>66.128</v>
      </c>
      <c r="D32" t="n">
        <v>7.554</v>
      </c>
    </row>
    <row r="33">
      <c r="B33" t="n">
        <v>2025</v>
      </c>
      <c r="C33" t="n">
        <v>70.08</v>
      </c>
      <c r="D33" t="n">
        <v>5.976</v>
      </c>
    </row>
    <row r="34">
      <c r="B34" t="n">
        <v>2026</v>
      </c>
      <c r="C34" t="n">
        <v>73.584</v>
      </c>
      <c r="D34" t="n">
        <v>5</v>
      </c>
    </row>
    <row r="35">
      <c r="B35" t="n">
        <v>2027</v>
      </c>
      <c r="C35" t="n">
        <v>77.26300000000001</v>
      </c>
      <c r="D35" t="n">
        <v>5</v>
      </c>
    </row>
    <row r="36">
      <c r="B36" t="n">
        <v>2028</v>
      </c>
      <c r="C36">
        <f>C35*(1+D36/100)</f>
        <v/>
      </c>
      <c r="D36" t="n">
        <v>5</v>
      </c>
    </row>
    <row r="37">
      <c r="B37" t="n">
        <v>2029</v>
      </c>
      <c r="C37">
        <f>C36*(1+D37/100)</f>
        <v/>
      </c>
      <c r="D37" t="n">
        <v>5</v>
      </c>
    </row>
    <row r="38">
      <c r="B38" t="n">
        <v>2030</v>
      </c>
      <c r="C38">
        <f>C37*(1+D38/100)</f>
        <v/>
      </c>
      <c r="D38" t="n">
        <v>5</v>
      </c>
    </row>
    <row r="39">
      <c r="B39" t="n">
        <v>2031</v>
      </c>
      <c r="C39">
        <f>C38*(1+D39/100)</f>
        <v/>
      </c>
      <c r="D39" t="n">
        <v>5</v>
      </c>
    </row>
    <row r="40">
      <c r="B40" t="n">
        <v>2032</v>
      </c>
      <c r="C40">
        <f>C39*(1+D40/100)</f>
        <v/>
      </c>
      <c r="D40" t="n">
        <v>5</v>
      </c>
    </row>
    <row r="41">
      <c r="B41" t="n">
        <v>2033</v>
      </c>
      <c r="C41">
        <f>C40*(1+D41/100)</f>
        <v/>
      </c>
      <c r="D41" t="n">
        <v>5</v>
      </c>
    </row>
    <row r="42">
      <c r="B42" t="n">
        <v>2034</v>
      </c>
      <c r="C42">
        <f>C41*(1+D42/100)</f>
        <v/>
      </c>
      <c r="D42" t="n">
        <v>5</v>
      </c>
    </row>
    <row r="43">
      <c r="B43" t="n">
        <v>2035</v>
      </c>
      <c r="C43">
        <f>C42*(1+D43/100)</f>
        <v/>
      </c>
      <c r="D43" t="n">
        <v>5</v>
      </c>
    </row>
    <row r="44">
      <c r="B44" t="n">
        <v>2036</v>
      </c>
      <c r="C44">
        <f>C43*(1+D44/100)</f>
        <v/>
      </c>
      <c r="D44" t="n">
        <v>5</v>
      </c>
    </row>
    <row r="45">
      <c r="B45" t="n">
        <v>2037</v>
      </c>
      <c r="C45">
        <f>C44*(1+D45/100)</f>
        <v/>
      </c>
      <c r="D45" t="n">
        <v>5</v>
      </c>
    </row>
    <row r="46">
      <c r="B46" t="n">
        <v>2038</v>
      </c>
      <c r="C46">
        <f>C45*(1+D46/100)</f>
        <v/>
      </c>
      <c r="D46" t="n">
        <v>5</v>
      </c>
    </row>
    <row r="47">
      <c r="B47" t="n">
        <v>2039</v>
      </c>
      <c r="C47">
        <f>C46*(1+D47/100)</f>
        <v/>
      </c>
      <c r="D47" t="n">
        <v>5</v>
      </c>
    </row>
    <row r="48">
      <c r="B48" t="n">
        <v>2040</v>
      </c>
      <c r="C48">
        <f>C47*(1+D48/100)</f>
        <v/>
      </c>
      <c r="D48" t="n">
        <v>5</v>
      </c>
    </row>
    <row r="49">
      <c r="B49" t="n">
        <v>2041</v>
      </c>
      <c r="C49">
        <f>C48*(1+D49/100)</f>
        <v/>
      </c>
      <c r="D49" t="n">
        <v>5</v>
      </c>
    </row>
    <row r="50">
      <c r="B50" t="n">
        <v>2042</v>
      </c>
      <c r="C50">
        <f>C49*(1+D50/100)</f>
        <v/>
      </c>
      <c r="D50" t="n">
        <v>5</v>
      </c>
    </row>
    <row r="51">
      <c r="B51" t="n">
        <v>2043</v>
      </c>
      <c r="C51">
        <f>C50*(1+D51/100)</f>
        <v/>
      </c>
      <c r="D51" t="n">
        <v>5</v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2026-01-29T06:18:43Z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