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STDEV('Gold price'!C3:C6)*SQRT(12)</f>
        <v/>
      </c>
    </row>
    <row r="6">
      <c r="B6" t="inlineStr">
        <is>
          <t>12-month volatility</t>
        </is>
      </c>
      <c r="C6">
        <f>'Gold price'!E430</f>
        <v/>
      </c>
    </row>
    <row r="7"/>
    <row r="8"/>
    <row r="9">
      <c r="B9" t="inlineStr">
        <is>
          <t>STEP 2</t>
        </is>
      </c>
    </row>
    <row r="10"/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4"/>
    <row r="15"/>
    <row r="16">
      <c r="B16" t="inlineStr">
        <is>
          <t>STEP 3</t>
        </is>
      </c>
    </row>
    <row r="17"/>
    <row r="18"/>
    <row r="19"/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Value!D18</f>
        <v/>
      </c>
      <c r="D21" s="2">
        <f>Value!F18</f>
        <v/>
      </c>
      <c r="E21" s="3">
        <f>Value!J18</f>
        <v/>
      </c>
      <c r="F21" s="3">
        <f>Value!M18</f>
        <v/>
      </c>
      <c r="G21" s="3">
        <f>Value!N18</f>
        <v/>
      </c>
      <c r="H21" s="7">
        <f>Value!O18</f>
        <v/>
      </c>
      <c r="I21">
        <f>Value!Q18</f>
        <v/>
      </c>
    </row>
    <row r="22">
      <c r="B22" t="inlineStr">
        <is>
          <t>Gold valuation exposure (95% one-sided shock)</t>
        </is>
      </c>
      <c r="C22">
        <f>C21*$C$3*$C$4/100</f>
        <v/>
      </c>
      <c r="D22">
        <f>D21*$C$3*$C$4/100</f>
        <v/>
      </c>
      <c r="E22">
        <f>E21*$C$3*$C$4/100</f>
        <v/>
      </c>
      <c r="F22">
        <f>F21*$C$3*$C$4/100</f>
        <v/>
      </c>
      <c r="G22">
        <f>G21*$C$3*$C$4/100</f>
        <v/>
      </c>
      <c r="H22">
        <f>H21*$C$3*$C$4/100</f>
        <v/>
      </c>
      <c r="I22">
        <f>I21*$C$3*$C$4/100</f>
        <v/>
      </c>
    </row>
    <row r="23">
      <c r="B23" t="inlineStr">
        <is>
          <t>Total Reserve</t>
        </is>
      </c>
      <c r="C23">
        <f>XLOOKUP("*Belarus*",'Total Reserves'!$C$1:$P$1,'Total Reserves'!$C$18:$P$18,0,2)</f>
        <v/>
      </c>
      <c r="D23">
        <f>XLOOKUP("*Georgia*",'Total Reserves'!$C$1:$P$1,'Total Reserves'!$C$18:$P$18,0,2)</f>
        <v/>
      </c>
      <c r="E23">
        <f>XLOOKUP("*Moldova*",'Total Reserves'!$C$1:$P$1,'Total Reserves'!$C$18:$P$18,0,2)</f>
        <v/>
      </c>
      <c r="F23">
        <f>XLOOKUP("*Uzbekistan*",'Total Reserves'!$C$1:$P$1,'Total Reserves'!$C$18:$P$18,0,2)</f>
        <v/>
      </c>
      <c r="G23">
        <f>XLOOKUP("*Czechia*",'Total Reserves'!$C$1:$P$1,'Total Reserves'!$C$18:$P$18,0,2)</f>
        <v/>
      </c>
      <c r="H23">
        <f>XLOOKUP("*Latvia*",'Total Reserves'!$C$1:$P$1,'Total Reserves'!$C$18:$P$18,0,2)</f>
        <v/>
      </c>
      <c r="I23">
        <f>XLOOKUP("*Lithuania*",'Total Reserves'!$C$1:$P$1,'Total Reserves'!$C$18:$P$18,0,2)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2026-01-29T05:24:35Z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