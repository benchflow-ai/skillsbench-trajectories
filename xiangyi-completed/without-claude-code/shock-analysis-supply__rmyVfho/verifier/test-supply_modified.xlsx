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sumsq</t>
        </is>
      </c>
      <c r="P5" s="13">
        <f>O6+100*SUM(M7:M26)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  <c r="O6">
        <f>SUMSQ(N6:N27)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(L8-2*L7+L6)^2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(L9-2*L8+L7)^2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(L10-2*L9+L8)^2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(L11-2*L10+L9)^2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(L12-2*L11+L10)^2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(L13-2*L12+L11)^2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(L14-2*L13+L12)^2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(L15-2*L14+L13)^2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(L16-2*L15+L14)^2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(L17-2*L16+L15)^2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(L18-2*L17+L16)^2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(L19-2*L18+L17)^2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(L20-2*L19+L18)^2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(L21-2*L20+L19)^2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(L22-2*L21+L20)^2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(L23-2*L22+L21)^2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(L24-2*L23+L22)^2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(L25-2*L24+L23)^2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(L26-2*L25+L24)^2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(L27-2*L26+L25)^2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  <c r="Q35" t="inlineStr">
        <is>
          <t>Avg K/Y (9yr)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 t="n">
        <v>0</v>
      </c>
      <c r="K36" s="19">
        <f>E36+J36</f>
        <v/>
      </c>
      <c r="L36">
        <f>EXP(G36+$B$2*LN(K36))</f>
        <v/>
      </c>
      <c r="M36">
        <f>L36-H36</f>
        <v/>
      </c>
      <c r="N36">
        <f>F36+M36</f>
        <v/>
      </c>
      <c r="Q36">
        <f>AVERAGE(D49:D57)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 t="n">
        <v>0</v>
      </c>
      <c r="K37" s="19">
        <f>E37+J37</f>
        <v/>
      </c>
      <c r="L37">
        <f>EXP(G37+$B$2*LN(K37))</f>
        <v/>
      </c>
      <c r="M37">
        <f>L37-H37</f>
        <v/>
      </c>
      <c r="N37">
        <f>F37+M37</f>
        <v/>
      </c>
      <c r="O37">
        <f>(N37-N36)/N36*100</f>
        <v/>
      </c>
      <c r="P37">
        <f>(F37-F36)/F36*100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 t="n">
        <v>0</v>
      </c>
      <c r="K38" s="19">
        <f>E38+J38</f>
        <v/>
      </c>
      <c r="L38">
        <f>EXP(G38+$B$2*LN(K38))</f>
        <v/>
      </c>
      <c r="M38">
        <f>L38-H38</f>
        <v/>
      </c>
      <c r="N38">
        <f>F38+M38</f>
        <v/>
      </c>
      <c r="O38">
        <f>(N38-N37)/N37*100</f>
        <v/>
      </c>
      <c r="P38">
        <f>(F38-F37)/F37*100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 t="n">
        <v>0</v>
      </c>
      <c r="K39" s="19">
        <f>E39+J39</f>
        <v/>
      </c>
      <c r="L39">
        <f>EXP(G39+$B$2*LN(K39))</f>
        <v/>
      </c>
      <c r="M39">
        <f>L39-H39</f>
        <v/>
      </c>
      <c r="N39">
        <f>F39+M39</f>
        <v/>
      </c>
      <c r="O39">
        <f>(N39-N38)/N38*100</f>
        <v/>
      </c>
      <c r="P39">
        <f>(F39-F38)/F38*100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 t="n">
        <v>0</v>
      </c>
      <c r="K40" s="19">
        <f>E40+J40</f>
        <v/>
      </c>
      <c r="L40">
        <f>EXP(G40+$B$2*LN(K40))</f>
        <v/>
      </c>
      <c r="M40">
        <f>L40-H40</f>
        <v/>
      </c>
      <c r="N40">
        <f>F40+M40</f>
        <v/>
      </c>
      <c r="O40">
        <f>(N40-N39)/N39*100</f>
        <v/>
      </c>
      <c r="P40">
        <f>(F40-F39)/F39*100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 t="n">
        <v>0</v>
      </c>
      <c r="K41" s="19">
        <f>E41+J41</f>
        <v/>
      </c>
      <c r="L41">
        <f>EXP(G41+$B$2*LN(K41))</f>
        <v/>
      </c>
      <c r="M41">
        <f>L41-H41</f>
        <v/>
      </c>
      <c r="N41">
        <f>F41+M41</f>
        <v/>
      </c>
      <c r="O41">
        <f>(N41-N40)/N40*100</f>
        <v/>
      </c>
      <c r="P41">
        <f>(F41-F40)/F40*100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 t="n">
        <v>0</v>
      </c>
      <c r="K42" s="19">
        <f>E42+J42</f>
        <v/>
      </c>
      <c r="L42">
        <f>EXP(G42+$B$2*LN(K42))</f>
        <v/>
      </c>
      <c r="M42">
        <f>L42-H42</f>
        <v/>
      </c>
      <c r="N42">
        <f>F42+M42</f>
        <v/>
      </c>
      <c r="O42">
        <f>(N42-N41)/N41*100</f>
        <v/>
      </c>
      <c r="P42">
        <f>(F42-F41)/F41*100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 t="n">
        <v>0</v>
      </c>
      <c r="K43" s="19">
        <f>E43+J43</f>
        <v/>
      </c>
      <c r="L43">
        <f>EXP(G43+$B$2*LN(K43))</f>
        <v/>
      </c>
      <c r="M43">
        <f>L43-H43</f>
        <v/>
      </c>
      <c r="N43">
        <f>F43+M43</f>
        <v/>
      </c>
      <c r="O43">
        <f>(N43-N42)/N42*100</f>
        <v/>
      </c>
      <c r="P43">
        <f>(F43-F42)/F42*100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 t="n">
        <v>0</v>
      </c>
      <c r="K44" s="19">
        <f>E44+J44</f>
        <v/>
      </c>
      <c r="L44">
        <f>EXP(G44+$B$2*LN(K44))</f>
        <v/>
      </c>
      <c r="M44">
        <f>L44-H44</f>
        <v/>
      </c>
      <c r="N44">
        <f>F44+M44</f>
        <v/>
      </c>
      <c r="O44">
        <f>(N44-N43)/N43*100</f>
        <v/>
      </c>
      <c r="P44">
        <f>(F44-F43)/F43*100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 t="n">
        <v>0</v>
      </c>
      <c r="K45" s="19">
        <f>E45+J45</f>
        <v/>
      </c>
      <c r="L45">
        <f>EXP(G45+$B$2*LN(K45))</f>
        <v/>
      </c>
      <c r="M45">
        <f>L45-H45</f>
        <v/>
      </c>
      <c r="N45">
        <f>F45+M45</f>
        <v/>
      </c>
      <c r="O45">
        <f>(N45-N44)/N44*100</f>
        <v/>
      </c>
      <c r="P45">
        <f>(F45-F44)/F44*100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 t="n">
        <v>0</v>
      </c>
      <c r="K46" s="19">
        <f>E46+J46</f>
        <v/>
      </c>
      <c r="L46">
        <f>EXP(G46+$B$2*LN(K46))</f>
        <v/>
      </c>
      <c r="M46">
        <f>L46-H46</f>
        <v/>
      </c>
      <c r="N46">
        <f>F46+M46</f>
        <v/>
      </c>
      <c r="O46">
        <f>(N46-N45)/N45*100</f>
        <v/>
      </c>
      <c r="P46">
        <f>(F46-F45)/F45*100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 t="n">
        <v>0</v>
      </c>
      <c r="K47" s="19">
        <f>E47+J47</f>
        <v/>
      </c>
      <c r="L47">
        <f>EXP(G47+$B$2*LN(K47))</f>
        <v/>
      </c>
      <c r="M47">
        <f>L47-H47</f>
        <v/>
      </c>
      <c r="N47">
        <f>F47+M47</f>
        <v/>
      </c>
      <c r="O47">
        <f>(N47-N46)/N46*100</f>
        <v/>
      </c>
      <c r="P47">
        <f>(F47-F46)/F46*100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 t="n">
        <v>0</v>
      </c>
      <c r="K48" s="19">
        <f>E48+J48</f>
        <v/>
      </c>
      <c r="L48">
        <f>EXP(G48+$B$2*LN(K48))</f>
        <v/>
      </c>
      <c r="M48">
        <f>L48-H48</f>
        <v/>
      </c>
      <c r="N48">
        <f>F48+M48</f>
        <v/>
      </c>
      <c r="O48">
        <f>(N48-N47)/N47*100</f>
        <v/>
      </c>
      <c r="P48">
        <f>(F48-F47)/F47*100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 t="n">
        <v>0</v>
      </c>
      <c r="K49" s="19">
        <f>E49+J49</f>
        <v/>
      </c>
      <c r="L49">
        <f>EXP(G49+$B$2*LN(K49))</f>
        <v/>
      </c>
      <c r="M49">
        <f>L49-H49</f>
        <v/>
      </c>
      <c r="N49">
        <f>F49+M49</f>
        <v/>
      </c>
      <c r="O49">
        <f>(N49-N48)/N48*100</f>
        <v/>
      </c>
      <c r="P49">
        <f>(F49-F48)/F48*100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 t="n">
        <v>0</v>
      </c>
      <c r="K50" s="19">
        <f>E50+J50</f>
        <v/>
      </c>
      <c r="L50">
        <f>EXP(G50+$B$2*LN(K50))</f>
        <v/>
      </c>
      <c r="M50">
        <f>L50-H50</f>
        <v/>
      </c>
      <c r="N50">
        <f>F50+M50</f>
        <v/>
      </c>
      <c r="O50">
        <f>(N50-N49)/N49*100</f>
        <v/>
      </c>
      <c r="P50">
        <f>(F50-F49)/F49*100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 t="n">
        <v>0</v>
      </c>
      <c r="K51" s="19">
        <f>E51+J51</f>
        <v/>
      </c>
      <c r="L51">
        <f>EXP(G51+$B$2*LN(K51))</f>
        <v/>
      </c>
      <c r="M51">
        <f>L51-H51</f>
        <v/>
      </c>
      <c r="N51">
        <f>F51+M51</f>
        <v/>
      </c>
      <c r="O51">
        <f>(N51-N50)/N50*100</f>
        <v/>
      </c>
      <c r="P51">
        <f>(F51-F50)/F50*100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 t="n">
        <v>0</v>
      </c>
      <c r="K52" s="19">
        <f>E52+J52</f>
        <v/>
      </c>
      <c r="L52">
        <f>EXP(G52+$B$2*LN(K52))</f>
        <v/>
      </c>
      <c r="M52">
        <f>L52-H52</f>
        <v/>
      </c>
      <c r="N52">
        <f>F52+M52</f>
        <v/>
      </c>
      <c r="O52">
        <f>(N52-N51)/N51*100</f>
        <v/>
      </c>
      <c r="P52">
        <f>(F52-F51)/F51*100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 t="n">
        <v>0</v>
      </c>
      <c r="K53" s="19">
        <f>E53+J53</f>
        <v/>
      </c>
      <c r="L53">
        <f>EXP(G53+$B$2*LN(K53))</f>
        <v/>
      </c>
      <c r="M53">
        <f>L53-H53</f>
        <v/>
      </c>
      <c r="N53">
        <f>F53+M53</f>
        <v/>
      </c>
      <c r="O53">
        <f>(N53-N52)/N52*100</f>
        <v/>
      </c>
      <c r="P53">
        <f>(F53-F52)/F52*100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 t="n">
        <v>0</v>
      </c>
      <c r="K54" s="19">
        <f>E54+J54</f>
        <v/>
      </c>
      <c r="L54">
        <f>EXP(G54+$B$2*LN(K54))</f>
        <v/>
      </c>
      <c r="M54">
        <f>L54-H54</f>
        <v/>
      </c>
      <c r="N54">
        <f>F54+M54</f>
        <v/>
      </c>
      <c r="O54">
        <f>(N54-N53)/N53*100</f>
        <v/>
      </c>
      <c r="P54">
        <f>(F54-F53)/F53*100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 t="n">
        <v>0</v>
      </c>
      <c r="K55" s="19">
        <f>E55+J55</f>
        <v/>
      </c>
      <c r="L55">
        <f>EXP(G55+$B$2*LN(K55))</f>
        <v/>
      </c>
      <c r="M55">
        <f>L55-H55</f>
        <v/>
      </c>
      <c r="N55">
        <f>F55+M55</f>
        <v/>
      </c>
      <c r="O55">
        <f>(N55-N54)/N54*100</f>
        <v/>
      </c>
      <c r="P55">
        <f>(F55-F54)/F54*100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 t="n">
        <v>0</v>
      </c>
      <c r="K56" s="19">
        <f>E56+J56</f>
        <v/>
      </c>
      <c r="L56">
        <f>EXP(G56+$B$2*LN(K56))</f>
        <v/>
      </c>
      <c r="M56">
        <f>L56-H56</f>
        <v/>
      </c>
      <c r="N56">
        <f>F56+M56</f>
        <v/>
      </c>
      <c r="O56">
        <f>(N56-N55)/N55*100</f>
        <v/>
      </c>
      <c r="P56">
        <f>(F56-F55)/F55*100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 t="n">
        <v>0</v>
      </c>
      <c r="K57" s="19">
        <f>E57+J57</f>
        <v/>
      </c>
      <c r="L57">
        <f>EXP(G57+$B$2*LN(K57))</f>
        <v/>
      </c>
      <c r="M57">
        <f>L57-H57</f>
        <v/>
      </c>
      <c r="N57">
        <f>F57+M57</f>
        <v/>
      </c>
      <c r="O57">
        <f>(N57-N56)/N56*100</f>
        <v/>
      </c>
      <c r="P57">
        <f>(F57-F56)/F56*100</f>
        <v/>
      </c>
    </row>
    <row r="58">
      <c r="C58" t="n">
        <v>2024</v>
      </c>
      <c r="E58" s="21">
        <f>$Q$36*F58</f>
        <v/>
      </c>
      <c r="F58">
        <f>WEO_Data!C32</f>
        <v/>
      </c>
      <c r="G58" s="20">
        <f>TREND($G$36:$G$57,$C$36:$C$57,C58)</f>
        <v/>
      </c>
      <c r="H58">
        <f>EXP(G58+$B$2*LN(E58))</f>
        <v/>
      </c>
      <c r="I58" t="n">
        <v>0</v>
      </c>
      <c r="J58" t="n">
        <v>0</v>
      </c>
      <c r="K58" s="19">
        <f>E58+J58</f>
        <v/>
      </c>
      <c r="L58">
        <f>EXP(G58+$B$2*LN(K58))</f>
        <v/>
      </c>
      <c r="M58">
        <f>L58-H58</f>
        <v/>
      </c>
      <c r="N58">
        <f>F58+M58</f>
        <v/>
      </c>
      <c r="O58">
        <f>(N58-N57)/N57*100</f>
        <v/>
      </c>
      <c r="P58">
        <f>(F58-F57)/F57*100</f>
        <v/>
      </c>
    </row>
    <row r="59">
      <c r="C59" t="n">
        <v>2025</v>
      </c>
      <c r="E59" s="21">
        <f>$Q$36*F59</f>
        <v/>
      </c>
      <c r="F59">
        <f>WEO_Data!C33</f>
        <v/>
      </c>
      <c r="G59" s="20">
        <f>TREND($G$36:$G$57,$C$36:$C$57,C59)</f>
        <v/>
      </c>
      <c r="H59">
        <f>EXP(G59+$B$2*LN(E59))</f>
        <v/>
      </c>
      <c r="I59" t="n">
        <v>0</v>
      </c>
      <c r="J59" t="n">
        <v>0</v>
      </c>
      <c r="K59" s="19">
        <f>E59+J59</f>
        <v/>
      </c>
      <c r="L59">
        <f>EXP(G59+$B$2*LN(K59))</f>
        <v/>
      </c>
      <c r="M59">
        <f>L59-H59</f>
        <v/>
      </c>
      <c r="N59">
        <f>F59+M59</f>
        <v/>
      </c>
      <c r="O59">
        <f>(N59-N58)/N58*100</f>
        <v/>
      </c>
      <c r="P59">
        <f>(F59-F58)/F58*100</f>
        <v/>
      </c>
    </row>
    <row r="60">
      <c r="C60" t="n">
        <v>2026</v>
      </c>
      <c r="E60" s="21">
        <f>$Q$36*F60</f>
        <v/>
      </c>
      <c r="F60" s="20">
        <f>WEO_Data!C34</f>
        <v/>
      </c>
      <c r="G60" s="20">
        <f>TREND($G$36:$G$57,$C$36:$C$57,C60)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  <c r="O60">
        <f>(N60-N59)/N59*100</f>
        <v/>
      </c>
      <c r="P60">
        <f>(F60-F59)/F59*100</f>
        <v/>
      </c>
    </row>
    <row r="61">
      <c r="C61" t="n">
        <v>2027</v>
      </c>
      <c r="E61" s="21">
        <f>$Q$36*F61</f>
        <v/>
      </c>
      <c r="F61" s="20">
        <f>WEO_Data!C35</f>
        <v/>
      </c>
      <c r="G61" s="20">
        <f>TREND($G$36:$G$57,$C$36:$C$57,C61)</f>
        <v/>
      </c>
      <c r="H61">
        <f>EXP(G61+$B$2*LN(E61))</f>
        <v/>
      </c>
      <c r="I61" s="17">
        <f>Investment!C3</f>
        <v/>
      </c>
      <c r="J61">
        <f>J60*(1-$B$3)+I61</f>
        <v/>
      </c>
      <c r="K61" s="19">
        <f>E61+J61</f>
        <v/>
      </c>
      <c r="L61">
        <f>EXP(G61+$B$2*LN(K61))</f>
        <v/>
      </c>
      <c r="M61">
        <f>L61-H61</f>
        <v/>
      </c>
      <c r="N61">
        <f>F61+M61</f>
        <v/>
      </c>
      <c r="O61">
        <f>(N61-N60)/N60*100</f>
        <v/>
      </c>
      <c r="P61">
        <f>(F61-F60)/F60*100</f>
        <v/>
      </c>
    </row>
    <row r="62">
      <c r="C62" t="n">
        <v>2028</v>
      </c>
      <c r="E62" s="21">
        <f>$Q$36*F62</f>
        <v/>
      </c>
      <c r="F62" s="20">
        <f>WEO_Data!C36</f>
        <v/>
      </c>
      <c r="G62" s="20">
        <f>TREND($G$36:$G$57,$C$36:$C$57,C62)</f>
        <v/>
      </c>
      <c r="H62">
        <f>EXP(G62+$B$2*LN(E62))</f>
        <v/>
      </c>
      <c r="I62" s="17">
        <f>Investment!C4</f>
        <v/>
      </c>
      <c r="J62">
        <f>J61*(1-$B$3)+I62</f>
        <v/>
      </c>
      <c r="K62" s="19">
        <f>E62+J62</f>
        <v/>
      </c>
      <c r="L62">
        <f>EXP(G62+$B$2*LN(K62))</f>
        <v/>
      </c>
      <c r="M62">
        <f>L62-H62</f>
        <v/>
      </c>
      <c r="N62">
        <f>F62+M62</f>
        <v/>
      </c>
      <c r="O62">
        <f>(N62-N61)/N61*100</f>
        <v/>
      </c>
      <c r="P62">
        <f>(F62-F61)/F61*100</f>
        <v/>
      </c>
    </row>
    <row r="63">
      <c r="C63" t="n">
        <v>2029</v>
      </c>
      <c r="E63" s="21">
        <f>$Q$36*F63</f>
        <v/>
      </c>
      <c r="F63" s="20">
        <f>WEO_Data!C37</f>
        <v/>
      </c>
      <c r="G63" s="20">
        <f>TREND($G$36:$G$57,$C$36:$C$57,C63)</f>
        <v/>
      </c>
      <c r="H63">
        <f>EXP(G63+$B$2*LN(E63))</f>
        <v/>
      </c>
      <c r="I63" s="17">
        <f>Investment!C5</f>
        <v/>
      </c>
      <c r="J63">
        <f>J62*(1-$B$3)+I63</f>
        <v/>
      </c>
      <c r="K63" s="19">
        <f>E63+J63</f>
        <v/>
      </c>
      <c r="L63">
        <f>EXP(G63+$B$2*LN(K63))</f>
        <v/>
      </c>
      <c r="M63">
        <f>L63-H63</f>
        <v/>
      </c>
      <c r="N63">
        <f>F63+M63</f>
        <v/>
      </c>
      <c r="O63">
        <f>(N63-N62)/N62*100</f>
        <v/>
      </c>
      <c r="P63">
        <f>(F63-F62)/F62*100</f>
        <v/>
      </c>
    </row>
    <row r="64">
      <c r="C64" t="n">
        <v>2030</v>
      </c>
      <c r="E64" s="21">
        <f>$Q$36*F64</f>
        <v/>
      </c>
      <c r="F64" s="20">
        <f>WEO_Data!C38</f>
        <v/>
      </c>
      <c r="G64" s="20">
        <f>TREND($G$36:$G$57,$C$36:$C$57,C64)</f>
        <v/>
      </c>
      <c r="H64">
        <f>EXP(G64+$B$2*LN(E64))</f>
        <v/>
      </c>
      <c r="I64" s="17">
        <f>Investment!C6</f>
        <v/>
      </c>
      <c r="J64">
        <f>J63*(1-$B$3)+I64</f>
        <v/>
      </c>
      <c r="K64" s="19">
        <f>E64+J64</f>
        <v/>
      </c>
      <c r="L64">
        <f>EXP(G64+$B$2*LN(K64))</f>
        <v/>
      </c>
      <c r="M64">
        <f>L64-H64</f>
        <v/>
      </c>
      <c r="N64">
        <f>F64+M64</f>
        <v/>
      </c>
      <c r="O64">
        <f>(N64-N63)/N63*100</f>
        <v/>
      </c>
      <c r="P64">
        <f>(F64-F63)/F63*100</f>
        <v/>
      </c>
    </row>
    <row r="65">
      <c r="C65" t="n">
        <v>2031</v>
      </c>
      <c r="E65" s="21">
        <f>$Q$36*F65</f>
        <v/>
      </c>
      <c r="F65" s="20">
        <f>WEO_Data!C39</f>
        <v/>
      </c>
      <c r="G65" s="20">
        <f>TREND($G$36:$G$57,$C$36:$C$57,C65)</f>
        <v/>
      </c>
      <c r="H65">
        <f>EXP(G65+$B$2*LN(E65))</f>
        <v/>
      </c>
      <c r="I65" s="17">
        <f>Investment!C7</f>
        <v/>
      </c>
      <c r="J65">
        <f>J64*(1-$B$3)+I65</f>
        <v/>
      </c>
      <c r="K65" s="19">
        <f>E65+J65</f>
        <v/>
      </c>
      <c r="L65">
        <f>EXP(G65+$B$2*LN(K65))</f>
        <v/>
      </c>
      <c r="M65">
        <f>L65-H65</f>
        <v/>
      </c>
      <c r="N65">
        <f>F65+M65</f>
        <v/>
      </c>
      <c r="O65">
        <f>(N65-N64)/N64*100</f>
        <v/>
      </c>
      <c r="P65">
        <f>(F65-F64)/F64*100</f>
        <v/>
      </c>
    </row>
    <row r="66">
      <c r="C66" t="n">
        <v>2032</v>
      </c>
      <c r="E66" s="21">
        <f>$Q$36*F66</f>
        <v/>
      </c>
      <c r="F66" s="20">
        <f>WEO_Data!C40</f>
        <v/>
      </c>
      <c r="G66" s="20">
        <f>TREND($G$36:$G$57,$C$36:$C$57,C66)</f>
        <v/>
      </c>
      <c r="H66">
        <f>EXP(G66+$B$2*LN(E66))</f>
        <v/>
      </c>
      <c r="I66" s="17">
        <f>Investment!C8</f>
        <v/>
      </c>
      <c r="J66">
        <f>J65*(1-$B$3)+I66</f>
        <v/>
      </c>
      <c r="K66" s="19">
        <f>E66+J66</f>
        <v/>
      </c>
      <c r="L66">
        <f>EXP(G66+$B$2*LN(K66))</f>
        <v/>
      </c>
      <c r="M66">
        <f>L66-H66</f>
        <v/>
      </c>
      <c r="N66">
        <f>F66+M66</f>
        <v/>
      </c>
      <c r="O66">
        <f>(N66-N65)/N65*100</f>
        <v/>
      </c>
      <c r="P66">
        <f>(F66-F65)/F65*100</f>
        <v/>
      </c>
    </row>
    <row r="67">
      <c r="C67" t="n">
        <v>2033</v>
      </c>
      <c r="E67" s="21">
        <f>$Q$36*F67</f>
        <v/>
      </c>
      <c r="F67" s="20">
        <f>WEO_Data!C41</f>
        <v/>
      </c>
      <c r="G67" s="20">
        <f>TREND($G$36:$G$57,$C$36:$C$57,C67)</f>
        <v/>
      </c>
      <c r="H67">
        <f>EXP(G67+$B$2*LN(E67))</f>
        <v/>
      </c>
      <c r="I67" s="17">
        <f>Investment!C9</f>
        <v/>
      </c>
      <c r="J67">
        <f>J66*(1-$B$3)+I67</f>
        <v/>
      </c>
      <c r="K67" s="19">
        <f>E67+J67</f>
        <v/>
      </c>
      <c r="L67">
        <f>EXP(G67+$B$2*LN(K67))</f>
        <v/>
      </c>
      <c r="M67">
        <f>L67-H67</f>
        <v/>
      </c>
      <c r="N67">
        <f>F67+M67</f>
        <v/>
      </c>
      <c r="O67">
        <f>(N67-N66)/N66*100</f>
        <v/>
      </c>
      <c r="P67">
        <f>(F67-F66)/F66*100</f>
        <v/>
      </c>
    </row>
    <row r="68">
      <c r="C68" t="n">
        <v>2034</v>
      </c>
      <c r="E68" s="21">
        <f>$Q$36*F68</f>
        <v/>
      </c>
      <c r="F68" s="20">
        <f>WEO_Data!C42</f>
        <v/>
      </c>
      <c r="G68" s="20">
        <f>TREND($G$36:$G$57,$C$36:$C$57,C68)</f>
        <v/>
      </c>
      <c r="H68">
        <f>EXP(G68+$B$2*LN(E68))</f>
        <v/>
      </c>
      <c r="I68" t="n">
        <v>0</v>
      </c>
      <c r="J68">
        <f>J67*(1-$B$3)+I68</f>
        <v/>
      </c>
      <c r="K68" s="19">
        <f>E68+J68</f>
        <v/>
      </c>
      <c r="L68">
        <f>EXP(G68+$B$2*LN(K68))</f>
        <v/>
      </c>
      <c r="M68">
        <f>L68-H68</f>
        <v/>
      </c>
      <c r="N68">
        <f>F68+M68</f>
        <v/>
      </c>
      <c r="O68">
        <f>(N68-N67)/N67*100</f>
        <v/>
      </c>
      <c r="P68">
        <f>(F68-F67)/F67*100</f>
        <v/>
      </c>
    </row>
    <row r="69">
      <c r="C69" t="n">
        <v>2035</v>
      </c>
      <c r="E69" s="21">
        <f>$Q$36*F69</f>
        <v/>
      </c>
      <c r="F69" s="20">
        <f>WEO_Data!C43</f>
        <v/>
      </c>
      <c r="G69" s="20">
        <f>TREND($G$36:$G$57,$C$36:$C$57,C69)</f>
        <v/>
      </c>
      <c r="H69">
        <f>EXP(G69+$B$2*LN(E69))</f>
        <v/>
      </c>
      <c r="I69" t="n">
        <v>0</v>
      </c>
      <c r="J69">
        <f>J68*(1-$B$3)+I69</f>
        <v/>
      </c>
      <c r="K69" s="19">
        <f>E69+J69</f>
        <v/>
      </c>
      <c r="L69">
        <f>EXP(G69+$B$2*LN(K69))</f>
        <v/>
      </c>
      <c r="M69">
        <f>L69-H69</f>
        <v/>
      </c>
      <c r="N69">
        <f>F69+M69</f>
        <v/>
      </c>
      <c r="O69">
        <f>(N69-N68)/N68*100</f>
        <v/>
      </c>
      <c r="P69">
        <f>(F69-F68)/F68*100</f>
        <v/>
      </c>
    </row>
    <row r="70">
      <c r="C70" t="n">
        <v>2036</v>
      </c>
      <c r="E70" s="21">
        <f>$Q$36*F70</f>
        <v/>
      </c>
      <c r="F70" s="20">
        <f>WEO_Data!C44</f>
        <v/>
      </c>
      <c r="G70" s="20">
        <f>TREND($G$36:$G$57,$C$36:$C$57,C70)</f>
        <v/>
      </c>
      <c r="H70">
        <f>EXP(G70+$B$2*LN(E70))</f>
        <v/>
      </c>
      <c r="I70" t="n">
        <v>0</v>
      </c>
      <c r="J70">
        <f>J69*(1-$B$3)+I70</f>
        <v/>
      </c>
      <c r="K70" s="19">
        <f>E70+J70</f>
        <v/>
      </c>
      <c r="L70">
        <f>EXP(G70+$B$2*LN(K70))</f>
        <v/>
      </c>
      <c r="M70">
        <f>L70-H70</f>
        <v/>
      </c>
      <c r="N70">
        <f>F70+M70</f>
        <v/>
      </c>
      <c r="O70">
        <f>(N70-N69)/N69*100</f>
        <v/>
      </c>
      <c r="P70">
        <f>(F70-F69)/F69*100</f>
        <v/>
      </c>
    </row>
    <row r="71">
      <c r="C71" t="n">
        <v>2037</v>
      </c>
      <c r="E71" s="21">
        <f>$Q$36*F71</f>
        <v/>
      </c>
      <c r="F71" s="20">
        <f>WEO_Data!C45</f>
        <v/>
      </c>
      <c r="G71" s="20">
        <f>TREND($G$36:$G$57,$C$36:$C$57,C71)</f>
        <v/>
      </c>
      <c r="H71">
        <f>EXP(G71+$B$2*LN(E71))</f>
        <v/>
      </c>
      <c r="I71" t="n">
        <v>0</v>
      </c>
      <c r="J71">
        <f>J70*(1-$B$3)+I71</f>
        <v/>
      </c>
      <c r="K71" s="19">
        <f>E71+J71</f>
        <v/>
      </c>
      <c r="L71">
        <f>EXP(G71+$B$2*LN(K71))</f>
        <v/>
      </c>
      <c r="M71">
        <f>L71-H71</f>
        <v/>
      </c>
      <c r="N71">
        <f>F71+M71</f>
        <v/>
      </c>
      <c r="O71">
        <f>(N71-N70)/N70*100</f>
        <v/>
      </c>
      <c r="P71">
        <f>(F71-F70)/F70*100</f>
        <v/>
      </c>
    </row>
    <row r="72">
      <c r="C72" t="n">
        <v>2038</v>
      </c>
      <c r="E72" s="21">
        <f>$Q$36*F72</f>
        <v/>
      </c>
      <c r="F72" s="20">
        <f>WEO_Data!C46</f>
        <v/>
      </c>
      <c r="G72" s="20">
        <f>TREND($G$36:$G$57,$C$36:$C$57,C72)</f>
        <v/>
      </c>
      <c r="H72">
        <f>EXP(G72+$B$2*LN(E72))</f>
        <v/>
      </c>
      <c r="I72" t="n">
        <v>0</v>
      </c>
      <c r="J72">
        <f>J71*(1-$B$3)+I72</f>
        <v/>
      </c>
      <c r="K72" s="19">
        <f>E72+J72</f>
        <v/>
      </c>
      <c r="L72">
        <f>EXP(G72+$B$2*LN(K72))</f>
        <v/>
      </c>
      <c r="M72">
        <f>L72-H72</f>
        <v/>
      </c>
      <c r="N72">
        <f>F72+M72</f>
        <v/>
      </c>
      <c r="O72">
        <f>(N72-N71)/N71*100</f>
        <v/>
      </c>
      <c r="P72">
        <f>(F72-F71)/F71*100</f>
        <v/>
      </c>
    </row>
    <row r="73">
      <c r="C73" t="n">
        <v>2039</v>
      </c>
      <c r="E73" s="21">
        <f>$Q$36*F73</f>
        <v/>
      </c>
      <c r="F73" s="20">
        <f>WEO_Data!C47</f>
        <v/>
      </c>
      <c r="G73" s="20">
        <f>TREND($G$36:$G$57,$C$36:$C$57,C73)</f>
        <v/>
      </c>
      <c r="H73">
        <f>EXP(G73+$B$2*LN(E73))</f>
        <v/>
      </c>
      <c r="I73" t="n">
        <v>0</v>
      </c>
      <c r="J73">
        <f>J72*(1-$B$3)+I73</f>
        <v/>
      </c>
      <c r="K73" s="19">
        <f>E73+J73</f>
        <v/>
      </c>
      <c r="L73">
        <f>EXP(G73+$B$2*LN(K73))</f>
        <v/>
      </c>
      <c r="M73">
        <f>L73-H73</f>
        <v/>
      </c>
      <c r="N73">
        <f>F73+M73</f>
        <v/>
      </c>
      <c r="O73">
        <f>(N73-N72)/N72*100</f>
        <v/>
      </c>
      <c r="P73">
        <f>(F73-F72)/F72*100</f>
        <v/>
      </c>
    </row>
    <row r="74">
      <c r="C74" t="n">
        <v>2040</v>
      </c>
      <c r="E74" s="21">
        <f>$Q$36*F74</f>
        <v/>
      </c>
      <c r="F74" s="20">
        <f>WEO_Data!C48</f>
        <v/>
      </c>
      <c r="G74" s="20">
        <f>TREND($G$36:$G$57,$C$36:$C$57,C74)</f>
        <v/>
      </c>
      <c r="H74">
        <f>EXP(G74+$B$2*LN(E74))</f>
        <v/>
      </c>
      <c r="I74" t="n">
        <v>0</v>
      </c>
      <c r="J74">
        <f>J73*(1-$B$3)+I74</f>
        <v/>
      </c>
      <c r="K74" s="19">
        <f>E74+J74</f>
        <v/>
      </c>
      <c r="L74">
        <f>EXP(G74+$B$2*LN(K74))</f>
        <v/>
      </c>
      <c r="M74">
        <f>L74-H74</f>
        <v/>
      </c>
      <c r="N74">
        <f>F74+M74</f>
        <v/>
      </c>
      <c r="O74">
        <f>(N74-N73)/N73*100</f>
        <v/>
      </c>
      <c r="P74">
        <f>(F74-F73)/F73*100</f>
        <v/>
      </c>
    </row>
    <row r="75">
      <c r="C75" t="n">
        <v>2041</v>
      </c>
      <c r="E75" s="21">
        <f>$Q$36*F75</f>
        <v/>
      </c>
      <c r="F75" s="20">
        <f>WEO_Data!C49</f>
        <v/>
      </c>
      <c r="G75" s="20">
        <f>TREND($G$36:$G$57,$C$36:$C$57,C75)</f>
        <v/>
      </c>
      <c r="H75">
        <f>EXP(G75+$B$2*LN(E75))</f>
        <v/>
      </c>
      <c r="I75" t="n">
        <v>0</v>
      </c>
      <c r="J75">
        <f>J74*(1-$B$3)+I75</f>
        <v/>
      </c>
      <c r="K75" s="19">
        <f>E75+J75</f>
        <v/>
      </c>
      <c r="L75">
        <f>EXP(G75+$B$2*LN(K75))</f>
        <v/>
      </c>
      <c r="M75">
        <f>L75-H75</f>
        <v/>
      </c>
      <c r="N75">
        <f>F75+M75</f>
        <v/>
      </c>
      <c r="O75">
        <f>(N75-N74)/N74*100</f>
        <v/>
      </c>
      <c r="P75">
        <f>(F75-F74)/F74*100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delta</t>
        </is>
      </c>
    </row>
    <row r="2">
      <c r="A2" s="19" t="n">
        <v>1990</v>
      </c>
      <c r="B2" s="19" t="n">
        <v>333953.90625</v>
      </c>
      <c r="C2" t="n">
        <v>0.0409929528832436</v>
      </c>
    </row>
    <row r="3">
      <c r="A3" s="19" t="n">
        <v>1991</v>
      </c>
      <c r="B3" s="19" t="n">
        <v>336800.125</v>
      </c>
      <c r="C3" t="n">
        <v>0.0411235168576241</v>
      </c>
    </row>
    <row r="4">
      <c r="A4" s="19" t="n">
        <v>1992</v>
      </c>
      <c r="B4" s="19" t="n">
        <v>331575.34375</v>
      </c>
      <c r="C4" t="n">
        <v>0.0402376800775528</v>
      </c>
    </row>
    <row r="5">
      <c r="A5" s="19" t="n">
        <v>1993</v>
      </c>
      <c r="B5" s="19" t="n">
        <v>318977.5625</v>
      </c>
      <c r="C5" t="n">
        <v>0.0383953675627708</v>
      </c>
    </row>
    <row r="6">
      <c r="A6" s="19" t="n">
        <v>1994</v>
      </c>
      <c r="B6" s="19" t="n">
        <v>310557.21875</v>
      </c>
      <c r="C6" t="n">
        <v>0.0363418571650982</v>
      </c>
    </row>
    <row r="7">
      <c r="A7" s="19" t="n">
        <v>1995</v>
      </c>
      <c r="B7" s="19" t="n">
        <v>305633.28125</v>
      </c>
      <c r="C7" t="n">
        <v>0.0346032343804836</v>
      </c>
    </row>
    <row r="8">
      <c r="A8" s="19" t="n">
        <v>1996</v>
      </c>
      <c r="B8" s="19" t="n">
        <v>301706.46875</v>
      </c>
      <c r="C8" t="n">
        <v>0.0332826301455498</v>
      </c>
    </row>
    <row r="9">
      <c r="A9" s="19" t="n">
        <v>1997</v>
      </c>
      <c r="B9" s="19" t="n">
        <v>298764.625</v>
      </c>
      <c r="C9" t="n">
        <v>0.0324222669005394</v>
      </c>
    </row>
    <row r="10">
      <c r="A10" s="19" t="n">
        <v>1998</v>
      </c>
      <c r="B10" s="19" t="n">
        <v>298990.5</v>
      </c>
      <c r="C10" t="n">
        <v>0.0320810526609421</v>
      </c>
    </row>
    <row r="11">
      <c r="A11" s="19" t="n">
        <v>1999</v>
      </c>
      <c r="B11" s="19" t="n">
        <v>299754.78125</v>
      </c>
      <c r="C11" t="n">
        <v>0.0320445038378239</v>
      </c>
    </row>
    <row r="12">
      <c r="A12" s="19" t="n">
        <v>2000</v>
      </c>
      <c r="B12" s="19" t="n">
        <v>300383.3125</v>
      </c>
      <c r="C12" t="n">
        <v>0.031913548707962</v>
      </c>
    </row>
    <row r="13">
      <c r="A13" s="19" t="n">
        <v>2001</v>
      </c>
      <c r="B13" s="19" t="n">
        <v>302284.0625</v>
      </c>
      <c r="C13" t="n">
        <v>0.0318191163241863</v>
      </c>
    </row>
    <row r="14">
      <c r="A14" s="19" t="n">
        <v>2002</v>
      </c>
      <c r="B14" s="19" t="n">
        <v>303592.625</v>
      </c>
      <c r="C14" t="n">
        <v>0.0315976105630398</v>
      </c>
    </row>
    <row r="15">
      <c r="A15" s="19" t="n">
        <v>2003</v>
      </c>
      <c r="B15" s="19" t="n">
        <v>307310.28125</v>
      </c>
      <c r="C15" t="n">
        <v>0.0312637500464916</v>
      </c>
    </row>
    <row r="16">
      <c r="A16" s="19" t="n">
        <v>2004</v>
      </c>
      <c r="B16" s="19" t="n">
        <v>311984.28125</v>
      </c>
      <c r="C16" t="n">
        <v>0.0316877923905849</v>
      </c>
    </row>
    <row r="17">
      <c r="A17" s="19" t="n">
        <v>2005</v>
      </c>
      <c r="B17" s="19" t="n">
        <v>317837.8125</v>
      </c>
      <c r="C17" t="n">
        <v>0.0329389497637749</v>
      </c>
    </row>
    <row r="18">
      <c r="A18" s="19" t="n">
        <v>2006</v>
      </c>
      <c r="B18" s="19" t="n">
        <v>322943.65625</v>
      </c>
      <c r="C18" t="n">
        <v>0.0344443172216415</v>
      </c>
    </row>
    <row r="19">
      <c r="A19" s="19" t="n">
        <v>2007</v>
      </c>
      <c r="B19" s="19" t="n">
        <v>329445.875</v>
      </c>
      <c r="C19" t="n">
        <v>0.0360632352530956</v>
      </c>
    </row>
    <row r="20">
      <c r="A20" s="19" t="n">
        <v>2008</v>
      </c>
      <c r="B20" s="19" t="n">
        <v>332604.46875</v>
      </c>
      <c r="C20" t="n">
        <v>0.0373382940888405</v>
      </c>
    </row>
    <row r="21">
      <c r="A21" s="19" t="n">
        <v>2009</v>
      </c>
      <c r="B21" s="19" t="n">
        <v>330608.28125</v>
      </c>
      <c r="C21" t="n">
        <v>0.0375244617462158</v>
      </c>
    </row>
    <row r="22">
      <c r="A22" s="19" t="n">
        <v>2010</v>
      </c>
      <c r="B22" s="19" t="n">
        <v>332551.53125</v>
      </c>
      <c r="C22" t="n">
        <v>0.0372243337333202</v>
      </c>
    </row>
    <row r="23">
      <c r="A23" s="19" t="n">
        <v>2011</v>
      </c>
      <c r="B23" s="19" t="n">
        <v>336560.28125</v>
      </c>
      <c r="C23" t="n">
        <v>0.037186823785305</v>
      </c>
    </row>
    <row r="24">
      <c r="A24" s="19" t="n">
        <v>2012</v>
      </c>
      <c r="B24" s="19" t="n">
        <v>341471.1875</v>
      </c>
      <c r="C24" t="n">
        <v>0.0371892042458057</v>
      </c>
    </row>
    <row r="25">
      <c r="A25" s="19" t="n">
        <v>2013</v>
      </c>
      <c r="B25" s="19" t="n">
        <v>344239.03125</v>
      </c>
      <c r="C25" t="n">
        <v>0.0372365638613701</v>
      </c>
    </row>
    <row r="26">
      <c r="A26" s="19" t="n">
        <v>2014</v>
      </c>
      <c r="B26" s="19" t="n">
        <v>350962.15625</v>
      </c>
      <c r="C26" t="n">
        <v>0.03755883872509</v>
      </c>
    </row>
    <row r="27">
      <c r="A27" s="19" t="n">
        <v>2015</v>
      </c>
      <c r="B27" s="19" t="n">
        <v>360259.8125</v>
      </c>
      <c r="C27" t="n">
        <v>0.0383267849683762</v>
      </c>
    </row>
    <row r="28">
      <c r="A28" s="19" t="n">
        <v>2016</v>
      </c>
      <c r="B28" s="19" t="n">
        <v>370547.65625</v>
      </c>
      <c r="C28" t="n">
        <v>0.0393099114298821</v>
      </c>
    </row>
    <row r="29">
      <c r="A29" s="19" t="n">
        <v>2017</v>
      </c>
      <c r="B29" s="19" t="n">
        <v>380655.78125</v>
      </c>
      <c r="C29" t="n">
        <v>0.0404252856969833</v>
      </c>
    </row>
    <row r="30">
      <c r="A30" s="19" t="n">
        <v>2018</v>
      </c>
      <c r="B30" s="19" t="n">
        <v>390625.1875</v>
      </c>
      <c r="C30" t="n">
        <v>0.0412590205669403</v>
      </c>
    </row>
    <row r="31">
      <c r="A31" s="19" t="n">
        <v>2019</v>
      </c>
      <c r="B31" s="19" t="n">
        <v>399934.28125</v>
      </c>
      <c r="C31" t="n">
        <v>0.0420626476407051</v>
      </c>
    </row>
    <row r="32">
      <c r="A32" s="19" t="n">
        <v>2020</v>
      </c>
      <c r="B32" s="19" t="n">
        <v>405156.15625</v>
      </c>
      <c r="C32" t="n">
        <v>0.0429592169821262</v>
      </c>
    </row>
    <row r="33">
      <c r="A33" s="19" t="n">
        <v>2021</v>
      </c>
      <c r="B33" s="19" t="n">
        <v>409189.75</v>
      </c>
      <c r="C33" t="n">
        <v>0.0433573126792908</v>
      </c>
    </row>
    <row r="34">
      <c r="A34" s="19" t="n">
        <v>2022</v>
      </c>
      <c r="B34" s="19" t="n">
        <v>415085.84375</v>
      </c>
      <c r="C34" t="n">
        <v>0.0436077080667019</v>
      </c>
    </row>
    <row r="35">
      <c r="A35" s="19" t="n">
        <v>2023</v>
      </c>
      <c r="B35" s="19" t="n">
        <v>426190.5</v>
      </c>
      <c r="C35" t="n">
        <v>0.0444894470274448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 t="n">
        <v>82.816</v>
      </c>
      <c r="D36">
        <f>D35</f>
        <v/>
      </c>
    </row>
    <row r="37">
      <c r="B37" t="n">
        <v>2029</v>
      </c>
      <c r="C37" t="n">
        <v>86.95699999999999</v>
      </c>
      <c r="D37">
        <f>D35</f>
        <v/>
      </c>
    </row>
    <row r="38">
      <c r="B38" t="n">
        <v>2030</v>
      </c>
      <c r="C38" t="n">
        <v>91.30500000000001</v>
      </c>
      <c r="D38">
        <f>D35</f>
        <v/>
      </c>
    </row>
    <row r="39">
      <c r="B39" t="n">
        <v>2031</v>
      </c>
      <c r="C39">
        <f>C38*(1+D39/100)</f>
        <v/>
      </c>
      <c r="D39">
        <f>D35</f>
        <v/>
      </c>
    </row>
    <row r="40">
      <c r="B40" t="n">
        <v>2032</v>
      </c>
      <c r="C40">
        <f>C39*(1+D40/100)</f>
        <v/>
      </c>
      <c r="D40">
        <f>D35</f>
        <v/>
      </c>
    </row>
    <row r="41">
      <c r="B41" t="n">
        <v>2033</v>
      </c>
      <c r="C41">
        <f>C40*(1+D41/100)</f>
        <v/>
      </c>
      <c r="D41">
        <f>D35</f>
        <v/>
      </c>
    </row>
    <row r="42">
      <c r="B42" t="n">
        <v>2034</v>
      </c>
      <c r="C42">
        <f>C41*(1+D42/100)</f>
        <v/>
      </c>
      <c r="D42">
        <f>D35</f>
        <v/>
      </c>
    </row>
    <row r="43">
      <c r="B43" t="n">
        <v>2035</v>
      </c>
      <c r="C43">
        <f>C42*(1+D43/100)</f>
        <v/>
      </c>
      <c r="D43">
        <f>D35</f>
        <v/>
      </c>
    </row>
    <row r="44">
      <c r="B44" t="n">
        <v>2036</v>
      </c>
      <c r="C44">
        <f>C43*(1+D44/100)</f>
        <v/>
      </c>
      <c r="D44">
        <f>D35</f>
        <v/>
      </c>
    </row>
    <row r="45">
      <c r="B45" t="n">
        <v>2037</v>
      </c>
      <c r="C45">
        <f>C44*(1+D45/100)</f>
        <v/>
      </c>
      <c r="D45">
        <f>D35</f>
        <v/>
      </c>
    </row>
    <row r="46">
      <c r="B46" t="n">
        <v>2038</v>
      </c>
      <c r="C46">
        <f>C45*(1+D46/100)</f>
        <v/>
      </c>
      <c r="D46">
        <f>D35</f>
        <v/>
      </c>
    </row>
    <row r="47">
      <c r="B47" t="n">
        <v>2039</v>
      </c>
      <c r="C47">
        <f>C46*(1+D47/100)</f>
        <v/>
      </c>
      <c r="D47">
        <f>D35</f>
        <v/>
      </c>
    </row>
    <row r="48">
      <c r="B48" t="n">
        <v>2040</v>
      </c>
      <c r="C48">
        <f>C47*(1+D48/100)</f>
        <v/>
      </c>
      <c r="D48">
        <f>D35</f>
        <v/>
      </c>
    </row>
    <row r="49">
      <c r="B49" t="n">
        <v>2041</v>
      </c>
      <c r="C49">
        <f>C48*(1+D49/100)</f>
        <v/>
      </c>
      <c r="D49">
        <f>D35</f>
        <v/>
      </c>
    </row>
    <row r="50">
      <c r="B50" t="n">
        <v>2042</v>
      </c>
      <c r="C50">
        <f>C49*(1+D50/100)</f>
        <v/>
      </c>
      <c r="D50">
        <f>D35</f>
        <v/>
      </c>
    </row>
    <row r="51">
      <c r="B51" t="n">
        <v>2043</v>
      </c>
      <c r="C51">
        <f>C50*(1+D51/100)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2026-01-29T06:48:07Z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