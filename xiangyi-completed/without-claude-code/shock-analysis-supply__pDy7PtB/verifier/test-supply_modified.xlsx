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PWT" sheetId="2" state="visible" r:id="rId2"/>
    <sheet name="WEO_Data" sheetId="3" state="visible" r:id="rId3"/>
    <sheet name="CFC data" sheetId="4" state="visible" r:id="rId4"/>
    <sheet name="Production" sheetId="5" state="visible" r:id="rId5"/>
    <sheet name="Investment" sheetId="6" state="visible" r:id="rId6"/>
    <sheet name="Production_Ext" sheetId="7" state="visible" r:id="rId7"/>
    <sheet name="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  <font>
      <color rgb="00FF0000"/>
    </font>
    <font>
      <b val="1"/>
      <sz val="13"/>
    </font>
    <font>
      <b val="1"/>
      <color rgb="00FF0000"/>
      <sz val="11"/>
    </font>
    <font>
      <b val="1"/>
      <sz val="14"/>
    </font>
    <font>
      <b val="1"/>
      <sz val="12"/>
      <u val="single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40" customWidth="1" min="4" max="4"/>
  </cols>
  <sheetData>
    <row r="1">
      <c r="A1" s="12" t="inlineStr">
        <is>
          <t>Georgia Investment Shock Analysis - Documentation</t>
        </is>
      </c>
    </row>
    <row r="3">
      <c r="A3" s="13" t="inlineStr">
        <is>
          <t>DATA SOURCES</t>
        </is>
      </c>
    </row>
    <row r="4">
      <c r="A4" s="14" t="inlineStr">
        <is>
          <t>PWT Sheet</t>
        </is>
      </c>
      <c r="B4" t="inlineStr">
        <is>
          <t>Penn World Table 11.0</t>
        </is>
      </c>
      <c r="C4" t="inlineStr">
        <is>
          <t>https://www.rug.nl/ggdc/productivity/pwt/</t>
        </is>
      </c>
      <c r="D4" t="inlineStr">
        <is>
          <t>K, L, Y, capital share (alpha)</t>
        </is>
      </c>
    </row>
    <row r="5">
      <c r="A5" s="14" t="inlineStr">
        <is>
          <t>WEO_Data Sheet</t>
        </is>
      </c>
      <c r="B5" t="inlineStr">
        <is>
          <t>IMF World Economic Outlook Database</t>
        </is>
      </c>
      <c r="C5" t="inlineStr">
        <is>
          <t>https://www.imf.org/external/datamapper/</t>
        </is>
      </c>
      <c r="D5" t="inlineStr">
        <is>
          <t>Real GDP, growth rates</t>
        </is>
      </c>
    </row>
    <row r="6">
      <c r="A6" s="14" t="inlineStr">
        <is>
          <t>CFC data Sheet</t>
        </is>
      </c>
      <c r="B6" t="inlineStr">
        <is>
          <t>ECB Data Portal - Consumption of Fixed Capital</t>
        </is>
      </c>
      <c r="C6" t="inlineStr">
        <is>
          <t>https://data.ecb.europa.eu/data/geographical-areas/georgia</t>
        </is>
      </c>
      <c r="D6" t="inlineStr">
        <is>
          <t>Annual depreciation data</t>
        </is>
      </c>
    </row>
    <row r="7">
      <c r="A7" s="14" t="inlineStr">
        <is>
          <t>Investment Sheet</t>
        </is>
      </c>
      <c r="B7" t="inlineStr">
        <is>
          <t>User-specified shock scenario</t>
        </is>
      </c>
      <c r="C7" t="inlineStr">
        <is>
          <t>N/A</t>
        </is>
      </c>
      <c r="D7" t="inlineStr">
        <is>
          <t>6.5 billion USD over 8 years (2026-2033)</t>
        </is>
      </c>
    </row>
    <row r="10">
      <c r="A10" s="13" t="inlineStr">
        <is>
          <t>MODEL FRAMEWORK</t>
        </is>
      </c>
    </row>
    <row r="11">
      <c r="A11" t="inlineStr">
        <is>
          <t>Production Function:</t>
        </is>
      </c>
      <c r="B11" t="inlineStr">
        <is>
          <t>Y = exp(LnA) * K^α * L^(1-α)</t>
        </is>
      </c>
    </row>
    <row r="12">
      <c r="A12" t="inlineStr">
        <is>
          <t>where:</t>
        </is>
      </c>
    </row>
    <row r="13">
      <c r="A13" t="inlineStr">
        <is>
          <t xml:space="preserve">  Y = Real GDP</t>
        </is>
      </c>
    </row>
    <row r="14">
      <c r="A14" t="inlineStr">
        <is>
          <t xml:space="preserve">  K = Capital Stock</t>
        </is>
      </c>
    </row>
    <row r="15">
      <c r="A15" t="inlineStr">
        <is>
          <t xml:space="preserve">  L = Labor</t>
        </is>
      </c>
    </row>
    <row r="16">
      <c r="A16" t="inlineStr">
        <is>
          <t xml:space="preserve">  α = Capital Share = 0.35 (from PWT)</t>
        </is>
      </c>
    </row>
    <row r="17">
      <c r="A17" t="inlineStr">
        <is>
          <t xml:space="preserve">  LnA = Log of Total Factor Productivity</t>
        </is>
      </c>
    </row>
    <row r="19">
      <c r="A19" t="inlineStr">
        <is>
          <t>Capital Dynamics:</t>
        </is>
      </c>
      <c r="B19" t="inlineStr">
        <is>
          <t>K(t) = K(t-1)*(1-δ) + I(t)</t>
        </is>
      </c>
    </row>
    <row r="20">
      <c r="A20" t="inlineStr">
        <is>
          <t>where:</t>
        </is>
      </c>
    </row>
    <row r="21">
      <c r="A21" t="inlineStr">
        <is>
          <t xml:space="preserve">  δ = Annual Depreciation Rate (calculated from CFC)</t>
        </is>
      </c>
    </row>
    <row r="22">
      <c r="A22" t="inlineStr">
        <is>
          <t xml:space="preserve">  I(t) = Investment</t>
        </is>
      </c>
    </row>
    <row r="25">
      <c r="A25" s="13" t="inlineStr">
        <is>
          <t>SHEET DESCRIPTIONS</t>
        </is>
      </c>
    </row>
    <row r="26">
      <c r="A26" s="14" t="inlineStr">
        <is>
          <t>PWT</t>
        </is>
      </c>
      <c r="B26" t="inlineStr">
        <is>
          <t>Penn World Table data for Georgia 2023: Capital stock, labor, real GDP, capital share</t>
        </is>
      </c>
    </row>
    <row r="27">
      <c r="A27" s="14" t="inlineStr">
        <is>
          <t>WEO_Data</t>
        </is>
      </c>
      <c r="B27" t="inlineStr">
        <is>
          <t>IMF WEO database: Real GDP levels 2000-2027, extended projection to 2043 at constant 5% growth</t>
        </is>
      </c>
    </row>
    <row r="28">
      <c r="A28" s="14" t="inlineStr">
        <is>
          <t>CFC data</t>
        </is>
      </c>
      <c r="B28" t="inlineStr">
        <is>
          <t>Annual consumption of fixed capital (depreciation) 2000-2023; capital stock backward extrapolation</t>
        </is>
      </c>
    </row>
    <row r="29">
      <c r="A29" s="14" t="inlineStr">
        <is>
          <t>Production</t>
        </is>
      </c>
      <c r="B29" t="inlineStr">
        <is>
          <t>HP Filter analysis: LnK, LnY, LnZ(TFP) from 2002-2023. Solver setup in rows 31-32</t>
        </is>
      </c>
    </row>
    <row r="30">
      <c r="A30" s="14" t="inlineStr">
        <is>
          <t>Investment</t>
        </is>
      </c>
      <c r="B30" t="inlineStr">
        <is>
          <t>Investment shock scenario: 6.5 billion USD distributed equally over 2026-2033 (0.8125B/year)</t>
        </is>
      </c>
    </row>
    <row r="31">
      <c r="A31" s="14" t="inlineStr">
        <is>
          <t>Production_Ext</t>
        </is>
      </c>
      <c r="B31" t="inlineStr">
        <is>
          <t>Extended analysis 2002-2041: Baseline (Ystar_base) vs. with investment (Ystar_with) scenarios</t>
        </is>
      </c>
    </row>
    <row r="32">
      <c r="A32" s="14" t="inlineStr">
        <is>
          <t>Results</t>
        </is>
      </c>
      <c r="B32" t="inlineStr">
        <is>
          <t>Summary results and statistics for 2024-2041; includes Solver instructions</t>
        </is>
      </c>
    </row>
    <row r="33">
      <c r="A33" s="14" t="inlineStr">
        <is>
          <t>Documentation</t>
        </is>
      </c>
      <c r="B33" t="inlineStr">
        <is>
          <t>This sheet - model framework and data documentation</t>
        </is>
      </c>
    </row>
    <row r="37">
      <c r="A37" s="13" t="inlineStr">
        <is>
          <t>KEY CALCULATIONS</t>
        </is>
      </c>
    </row>
    <row r="38">
      <c r="A38" t="inlineStr">
        <is>
          <t>Depreciation Rate: AVERAGE of CFC/K ratio over 2016-2023</t>
        </is>
      </c>
    </row>
    <row r="39">
      <c r="A39" t="inlineStr">
        <is>
          <t>K/Y Ratio: Average of 2015-2023 used to extend K for 2024+</t>
        </is>
      </c>
    </row>
    <row r="40">
      <c r="A40" t="inlineStr">
        <is>
          <t>LnZ (TFP): = LnY - α*LnK (residual from production function)</t>
        </is>
      </c>
    </row>
    <row r="41">
      <c r="A41" t="inlineStr">
        <is>
          <t>HP Filter: Smooths LnZ trend by minimizing: Σ(LnZ-LnZ_HP)² + λ*Σ(ΔΔLnZ_HP)²</t>
        </is>
      </c>
    </row>
    <row r="42">
      <c r="A42" t="inlineStr">
        <is>
          <t>Lambda = 1600 (standard for annual data)</t>
        </is>
      </c>
    </row>
    <row r="43">
      <c r="A43" t="inlineStr">
        <is>
          <t>Ystar_base: = exp(LnZ_trend + α*ln(K_extended))</t>
        </is>
      </c>
    </row>
    <row r="44">
      <c r="A44" t="inlineStr">
        <is>
          <t>Ystar_with: = exp(LnZ_trend + α*ln(K_with))</t>
        </is>
      </c>
    </row>
    <row r="45">
      <c r="A45" t="inlineStr">
        <is>
          <t>Investment Impact: = Ystar_with - Ystar_base</t>
        </is>
      </c>
    </row>
    <row r="48">
      <c r="A48" s="13" t="inlineStr">
        <is>
          <t>USAGE INSTRUCTIONS</t>
        </is>
      </c>
    </row>
    <row r="49">
      <c r="A49" t="inlineStr">
        <is>
          <t>1. Review all data in PWT, WEO_Data, and CFC data sheets</t>
        </is>
      </c>
    </row>
    <row r="50">
      <c r="A50" t="inlineStr">
        <is>
          <t>2. In Production sheet: Run Solver to optimize HP Filter (minimize P5 by changing N7:N28)</t>
        </is>
      </c>
    </row>
    <row r="51">
      <c r="A51" t="inlineStr">
        <is>
          <t>3. Once HP Filter is optimized, Production_Ext sheet will auto-calculate with smoothed TFP trend</t>
        </is>
      </c>
    </row>
    <row r="52">
      <c r="A52" t="inlineStr">
        <is>
          <t>4. View results in Results sheet for 2024-2041 projection</t>
        </is>
      </c>
    </row>
    <row r="53">
      <c r="A53" t="inlineStr">
        <is>
          <t>5. Modify Investment sheet if you want different investment scenarios</t>
        </is>
      </c>
    </row>
    <row r="54">
      <c r="A54" t="inlineStr">
        <is>
          <t>6. All downstream calculations will update automatically</t>
        </is>
      </c>
    </row>
    <row r="55">
      <c r="A55" t="inlineStr"/>
    </row>
    <row r="56">
      <c r="A56" s="11" t="inlineStr">
        <is>
          <t>To adjust investment scenario:</t>
        </is>
      </c>
    </row>
    <row r="57">
      <c r="A57" t="inlineStr">
        <is>
          <t xml:space="preserve">  - Change total investment in Investment!B4</t>
        </is>
      </c>
    </row>
    <row r="58">
      <c r="A58" t="inlineStr">
        <is>
          <t xml:space="preserve">  - Change investment period years if desired</t>
        </is>
      </c>
    </row>
    <row r="59">
      <c r="A59" t="inlineStr">
        <is>
          <t xml:space="preserve">  - Change distribution method (currently: equal annual installments)</t>
        </is>
      </c>
    </row>
    <row r="62">
      <c r="A62" s="13" t="inlineStr">
        <is>
          <t>NOTES</t>
        </is>
      </c>
    </row>
    <row r="63">
      <c r="A63" t="inlineStr">
        <is>
          <t>• Capital stock (K) for 2024+ is extended using average K/Y ratio from 2015-2023</t>
        </is>
      </c>
    </row>
    <row r="64">
      <c r="A64" t="inlineStr">
        <is>
          <t>• Investment creates additional capital stock starting 2026 through 2033</t>
        </is>
      </c>
    </row>
    <row r="65">
      <c r="A65" t="inlineStr">
        <is>
          <t>• After-investment impact (2034+) is zero in annual terms but persists in capital stock</t>
        </is>
      </c>
    </row>
    <row r="66">
      <c r="A66" t="inlineStr">
        <is>
          <t>• All GDP figures are in millions USD at constant 2017 prices (from WEO dataset)</t>
        </is>
      </c>
    </row>
    <row r="67">
      <c r="A67" t="inlineStr">
        <is>
          <t>• The model assumes constant TFP growth trend (HP-filtered)</t>
        </is>
      </c>
    </row>
    <row r="68">
      <c r="A68" t="inlineStr">
        <is>
          <t>• Depreciation rate affects how much capital accumulates from investment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Penn World Table Data - Georgia 2023</t>
        </is>
      </c>
    </row>
    <row r="3">
      <c r="A3" s="2" t="inlineStr">
        <is>
          <t>Variable</t>
        </is>
      </c>
      <c r="B3" s="2" t="inlineStr">
        <is>
          <t>Value</t>
        </is>
      </c>
      <c r="C3" s="2" t="inlineStr">
        <is>
          <t>Unit &amp; Description</t>
        </is>
      </c>
    </row>
    <row r="4">
      <c r="A4" t="inlineStr">
        <is>
          <t>K (Capital Stock, 2023)</t>
        </is>
      </c>
      <c r="B4" t="n">
        <v>240548</v>
      </c>
      <c r="C4" t="inlineStr">
        <is>
          <t>Millions USD, constant 2017 prices</t>
        </is>
      </c>
    </row>
    <row r="5">
      <c r="A5" t="inlineStr">
        <is>
          <t>L (Labor, 2023)</t>
        </is>
      </c>
      <c r="B5" t="n">
        <v>1.95</v>
      </c>
      <c r="C5" t="inlineStr">
        <is>
          <t>Millions of persons engaged</t>
        </is>
      </c>
    </row>
    <row r="6">
      <c r="A6" t="inlineStr">
        <is>
          <t>Y (Real GDP, 2023)</t>
        </is>
      </c>
      <c r="B6" t="n">
        <v>89092.08</v>
      </c>
      <c r="C6" t="inlineStr">
        <is>
          <t>Millions USD, output-side, constant 2017 prices</t>
        </is>
      </c>
    </row>
    <row r="7">
      <c r="A7" t="inlineStr">
        <is>
          <t>alpha (Capital Share)</t>
        </is>
      </c>
      <c r="B7" t="n">
        <v>0.35</v>
      </c>
      <c r="C7" t="inlineStr">
        <is>
          <t>Capital share in income (0-1)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</cols>
  <sheetData>
    <row r="1">
      <c r="A1" s="1" t="inlineStr">
        <is>
          <t>IMF WEO Database - Georgia (2000-2043)</t>
        </is>
      </c>
    </row>
    <row r="3">
      <c r="A3" s="2" t="inlineStr">
        <is>
          <t>Year</t>
        </is>
      </c>
      <c r="B3" s="2" t="inlineStr">
        <is>
          <t>Real GDP Growth Rate</t>
        </is>
      </c>
      <c r="C3" s="2" t="inlineStr">
        <is>
          <t>Nominal GDP (Billions USD)</t>
        </is>
      </c>
      <c r="D3" s="2" t="inlineStr">
        <is>
          <t>Real GDP Projection</t>
        </is>
      </c>
    </row>
    <row r="4">
      <c r="A4" t="n">
        <v>2000</v>
      </c>
      <c r="B4" s="3" t="n">
        <v>0.019</v>
      </c>
      <c r="C4" s="4" t="n">
        <v>3.14</v>
      </c>
      <c r="D4" t="n">
        <v>3.14</v>
      </c>
    </row>
    <row r="5">
      <c r="A5" t="n">
        <v>2001</v>
      </c>
      <c r="B5" s="3" t="n">
        <v>0.048</v>
      </c>
      <c r="C5" s="4" t="n">
        <v>3.31</v>
      </c>
      <c r="D5">
        <f>C4*(1+B5)</f>
        <v/>
      </c>
    </row>
    <row r="6">
      <c r="A6" t="n">
        <v>2002</v>
      </c>
      <c r="B6" s="3" t="n">
        <v>0.055</v>
      </c>
      <c r="C6" s="4" t="n">
        <v>3.49</v>
      </c>
      <c r="D6">
        <f>C5*(1+B6)</f>
        <v/>
      </c>
    </row>
    <row r="7">
      <c r="A7" t="n">
        <v>2003</v>
      </c>
      <c r="B7" s="3" t="n">
        <v>0.112</v>
      </c>
      <c r="C7" s="4" t="n">
        <v>4.1</v>
      </c>
      <c r="D7">
        <f>C6*(1+B7)</f>
        <v/>
      </c>
    </row>
    <row r="8">
      <c r="A8" t="n">
        <v>2004</v>
      </c>
      <c r="B8" s="3" t="n">
        <v>0.058</v>
      </c>
      <c r="C8" s="4" t="n">
        <v>5.27</v>
      </c>
      <c r="D8">
        <f>C7*(1+B8)</f>
        <v/>
      </c>
    </row>
    <row r="9">
      <c r="A9" t="n">
        <v>2005</v>
      </c>
      <c r="B9" s="3" t="n">
        <v>0.096</v>
      </c>
      <c r="C9" s="4" t="n">
        <v>6.59</v>
      </c>
      <c r="D9">
        <f>C8*(1+B9)</f>
        <v/>
      </c>
    </row>
    <row r="10">
      <c r="A10" t="n">
        <v>2006</v>
      </c>
      <c r="B10" s="3" t="n">
        <v>0.094</v>
      </c>
      <c r="C10" s="4" t="n">
        <v>7.98</v>
      </c>
      <c r="D10">
        <f>C9*(1+B10)</f>
        <v/>
      </c>
    </row>
    <row r="11">
      <c r="A11" t="n">
        <v>2007</v>
      </c>
      <c r="B11" s="3" t="n">
        <v>0.126</v>
      </c>
      <c r="C11" s="4" t="n">
        <v>10.46</v>
      </c>
      <c r="D11">
        <f>C10*(1+B11)</f>
        <v/>
      </c>
    </row>
    <row r="12">
      <c r="A12" t="n">
        <v>2008</v>
      </c>
      <c r="B12" s="3" t="n">
        <v>0.024</v>
      </c>
      <c r="C12" s="4" t="n">
        <v>13.16</v>
      </c>
      <c r="D12">
        <f>C11*(1+B12)</f>
        <v/>
      </c>
    </row>
    <row r="13">
      <c r="A13" t="n">
        <v>2009</v>
      </c>
      <c r="B13" s="3" t="n">
        <v>-0.03700000000000001</v>
      </c>
      <c r="C13" s="4" t="n">
        <v>11.07</v>
      </c>
      <c r="D13">
        <f>C12*(1+B13)</f>
        <v/>
      </c>
    </row>
    <row r="14">
      <c r="A14" t="n">
        <v>2010</v>
      </c>
      <c r="B14" s="3" t="n">
        <v>0.06900000000000001</v>
      </c>
      <c r="C14" s="4" t="n">
        <v>12.43</v>
      </c>
      <c r="D14">
        <f>C13*(1+B14)</f>
        <v/>
      </c>
    </row>
    <row r="15">
      <c r="A15" t="n">
        <v>2011</v>
      </c>
      <c r="B15" s="3" t="n">
        <v>0.079</v>
      </c>
      <c r="C15" s="4" t="n">
        <v>15.47</v>
      </c>
      <c r="D15">
        <f>C14*(1+B15)</f>
        <v/>
      </c>
    </row>
    <row r="16">
      <c r="A16" t="n">
        <v>2012</v>
      </c>
      <c r="B16" s="3" t="n">
        <v>0.066</v>
      </c>
      <c r="C16" s="4" t="n">
        <v>16.89</v>
      </c>
      <c r="D16">
        <f>C15*(1+B16)</f>
        <v/>
      </c>
    </row>
    <row r="17">
      <c r="A17" t="n">
        <v>2013</v>
      </c>
      <c r="B17" s="3" t="n">
        <v>0.051</v>
      </c>
      <c r="C17" s="4" t="n">
        <v>17.52</v>
      </c>
      <c r="D17">
        <f>C16*(1+B17)</f>
        <v/>
      </c>
    </row>
    <row r="18">
      <c r="A18" t="n">
        <v>2014</v>
      </c>
      <c r="B18" s="3" t="n">
        <v>0.04099999999999999</v>
      </c>
      <c r="C18" s="4" t="n">
        <v>17.97</v>
      </c>
      <c r="D18">
        <f>C17*(1+B18)</f>
        <v/>
      </c>
    </row>
    <row r="19">
      <c r="A19" t="n">
        <v>2015</v>
      </c>
      <c r="B19" s="3" t="n">
        <v>0.034</v>
      </c>
      <c r="C19" s="4" t="n">
        <v>15.22</v>
      </c>
      <c r="D19">
        <f>C18*(1+B19)</f>
        <v/>
      </c>
    </row>
    <row r="20">
      <c r="A20" t="n">
        <v>2016</v>
      </c>
      <c r="B20" s="3" t="n">
        <v>0.034</v>
      </c>
      <c r="C20" s="4" t="n">
        <v>15.45</v>
      </c>
      <c r="D20">
        <f>C19*(1+B20)</f>
        <v/>
      </c>
    </row>
    <row r="21">
      <c r="A21" t="n">
        <v>2017</v>
      </c>
      <c r="B21" s="3" t="n">
        <v>0.052</v>
      </c>
      <c r="C21" s="4" t="n">
        <v>16.47</v>
      </c>
      <c r="D21">
        <f>C20*(1+B21)</f>
        <v/>
      </c>
    </row>
    <row r="22">
      <c r="A22" t="n">
        <v>2018</v>
      </c>
      <c r="B22" s="3" t="n">
        <v>0.061</v>
      </c>
      <c r="C22" s="4" t="n">
        <v>17.91</v>
      </c>
      <c r="D22">
        <f>C21*(1+B22)</f>
        <v/>
      </c>
    </row>
    <row r="23">
      <c r="A23" t="n">
        <v>2019</v>
      </c>
      <c r="B23" s="3" t="n">
        <v>0.05400000000000001</v>
      </c>
      <c r="C23" s="4" t="n">
        <v>17.64</v>
      </c>
      <c r="D23">
        <f>C22*(1+B23)</f>
        <v/>
      </c>
    </row>
    <row r="24">
      <c r="A24" t="n">
        <v>2020</v>
      </c>
      <c r="B24" s="3" t="n">
        <v>-0.063</v>
      </c>
      <c r="C24" s="4" t="n">
        <v>16.01</v>
      </c>
      <c r="D24">
        <f>C23*(1+B24)</f>
        <v/>
      </c>
    </row>
    <row r="25">
      <c r="A25" t="n">
        <v>2021</v>
      </c>
      <c r="B25" s="3" t="n">
        <v>0.106</v>
      </c>
      <c r="C25" s="4" t="n">
        <v>18.85</v>
      </c>
      <c r="D25">
        <f>C24*(1+B25)</f>
        <v/>
      </c>
    </row>
    <row r="26">
      <c r="A26" t="n">
        <v>2022</v>
      </c>
      <c r="B26" s="3" t="n">
        <v>0.11</v>
      </c>
      <c r="C26" s="4" t="n">
        <v>24.98</v>
      </c>
      <c r="D26">
        <f>C25*(1+B26)</f>
        <v/>
      </c>
    </row>
    <row r="27">
      <c r="A27" t="n">
        <v>2023</v>
      </c>
      <c r="B27" s="3" t="n">
        <v>0.078</v>
      </c>
      <c r="C27" s="4" t="n">
        <v>30.78</v>
      </c>
      <c r="D27">
        <f>C26*(1+B27)</f>
        <v/>
      </c>
    </row>
    <row r="28">
      <c r="A28" t="n">
        <v>2024</v>
      </c>
      <c r="B28" s="3" t="n">
        <v>0.094</v>
      </c>
      <c r="C28" s="4" t="n">
        <v>33.77</v>
      </c>
      <c r="D28">
        <f>C27*(1+B28)</f>
        <v/>
      </c>
    </row>
    <row r="29">
      <c r="A29" t="n">
        <v>2025</v>
      </c>
      <c r="B29" s="3" t="n">
        <v>0.07200000000000001</v>
      </c>
      <c r="C29" s="4" t="n">
        <v>37.4</v>
      </c>
      <c r="D29">
        <f>C28*(1+B29)</f>
        <v/>
      </c>
    </row>
    <row r="30">
      <c r="A30" t="n">
        <v>2026</v>
      </c>
      <c r="B30" s="3" t="n">
        <v>0.053</v>
      </c>
      <c r="C30" s="4" t="n">
        <v>40.18</v>
      </c>
      <c r="D30">
        <f>C29*(1+B30)</f>
        <v/>
      </c>
    </row>
    <row r="31">
      <c r="A31" t="n">
        <v>2027</v>
      </c>
      <c r="B31" s="3" t="n">
        <v>0.05</v>
      </c>
      <c r="C31" s="4" t="n">
        <v>42.41</v>
      </c>
      <c r="D31">
        <f>C30*(1+B31)</f>
        <v/>
      </c>
    </row>
    <row r="32">
      <c r="A32" t="n">
        <v>2028</v>
      </c>
      <c r="B32" s="3" t="n">
        <v>0.05</v>
      </c>
      <c r="C32">
        <f>C31*(1+B32)</f>
        <v/>
      </c>
      <c r="D32">
        <f>C32</f>
        <v/>
      </c>
    </row>
    <row r="33">
      <c r="A33" t="n">
        <v>2029</v>
      </c>
      <c r="B33" s="3" t="n">
        <v>0.05</v>
      </c>
      <c r="C33">
        <f>C32*(1+B33)</f>
        <v/>
      </c>
      <c r="D33">
        <f>C33</f>
        <v/>
      </c>
    </row>
    <row r="34">
      <c r="A34" t="n">
        <v>2030</v>
      </c>
      <c r="B34" s="3" t="n">
        <v>0.05</v>
      </c>
      <c r="C34">
        <f>C33*(1+B34)</f>
        <v/>
      </c>
      <c r="D34">
        <f>C34</f>
        <v/>
      </c>
    </row>
    <row r="35">
      <c r="A35" t="n">
        <v>2031</v>
      </c>
      <c r="B35" s="3" t="n">
        <v>0.05</v>
      </c>
      <c r="C35">
        <f>C34*(1+B35)</f>
        <v/>
      </c>
      <c r="D35">
        <f>C35</f>
        <v/>
      </c>
    </row>
    <row r="36">
      <c r="A36" t="n">
        <v>2032</v>
      </c>
      <c r="B36" s="3" t="n">
        <v>0.05</v>
      </c>
      <c r="C36">
        <f>C35*(1+B36)</f>
        <v/>
      </c>
      <c r="D36">
        <f>C36</f>
        <v/>
      </c>
    </row>
    <row r="37">
      <c r="A37" t="n">
        <v>2033</v>
      </c>
      <c r="B37" s="3" t="n">
        <v>0.05</v>
      </c>
      <c r="C37">
        <f>C36*(1+B37)</f>
        <v/>
      </c>
      <c r="D37">
        <f>C37</f>
        <v/>
      </c>
    </row>
    <row r="38">
      <c r="A38" t="n">
        <v>2034</v>
      </c>
      <c r="B38" s="3" t="n">
        <v>0.05</v>
      </c>
      <c r="C38">
        <f>C37*(1+B38)</f>
        <v/>
      </c>
      <c r="D38">
        <f>C38</f>
        <v/>
      </c>
    </row>
    <row r="39">
      <c r="A39" t="n">
        <v>2035</v>
      </c>
      <c r="B39" s="3" t="n">
        <v>0.05</v>
      </c>
      <c r="C39">
        <f>C38*(1+B39)</f>
        <v/>
      </c>
      <c r="D39">
        <f>C39</f>
        <v/>
      </c>
    </row>
    <row r="40">
      <c r="A40" t="n">
        <v>2036</v>
      </c>
      <c r="B40" s="3" t="n">
        <v>0.05</v>
      </c>
      <c r="C40">
        <f>C39*(1+B40)</f>
        <v/>
      </c>
      <c r="D40">
        <f>C40</f>
        <v/>
      </c>
    </row>
    <row r="41">
      <c r="A41" t="n">
        <v>2037</v>
      </c>
      <c r="B41" s="3" t="n">
        <v>0.05</v>
      </c>
      <c r="C41">
        <f>C40*(1+B41)</f>
        <v/>
      </c>
      <c r="D41">
        <f>C41</f>
        <v/>
      </c>
    </row>
    <row r="42">
      <c r="A42" t="n">
        <v>2038</v>
      </c>
      <c r="B42" s="3" t="n">
        <v>0.05</v>
      </c>
      <c r="C42">
        <f>C41*(1+B42)</f>
        <v/>
      </c>
      <c r="D42">
        <f>C42</f>
        <v/>
      </c>
    </row>
    <row r="43">
      <c r="A43" t="n">
        <v>2039</v>
      </c>
      <c r="B43" s="3" t="n">
        <v>0.05</v>
      </c>
      <c r="C43">
        <f>C42*(1+B43)</f>
        <v/>
      </c>
      <c r="D43">
        <f>C43</f>
        <v/>
      </c>
    </row>
    <row r="44">
      <c r="A44" t="n">
        <v>2040</v>
      </c>
      <c r="B44" s="3" t="n">
        <v>0.05</v>
      </c>
      <c r="C44">
        <f>C43*(1+B44)</f>
        <v/>
      </c>
      <c r="D44">
        <f>C44</f>
        <v/>
      </c>
    </row>
    <row r="45">
      <c r="A45" t="n">
        <v>2041</v>
      </c>
      <c r="B45" s="3" t="n">
        <v>0.05</v>
      </c>
      <c r="C45">
        <f>C44*(1+B45)</f>
        <v/>
      </c>
      <c r="D45">
        <f>C45</f>
        <v/>
      </c>
    </row>
    <row r="46">
      <c r="A46" t="n">
        <v>2042</v>
      </c>
      <c r="B46" s="3" t="n">
        <v>0.05</v>
      </c>
      <c r="C46">
        <f>C45*(1+B46)</f>
        <v/>
      </c>
      <c r="D46">
        <f>C46</f>
        <v/>
      </c>
    </row>
    <row r="47">
      <c r="A47" t="n">
        <v>2043</v>
      </c>
      <c r="B47" s="3" t="n">
        <v>0.05</v>
      </c>
      <c r="C47">
        <f>C46*(1+B47)</f>
        <v/>
      </c>
      <c r="D47">
        <f>C47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ECB Consumption of Fixed Capital - Georgia</t>
        </is>
      </c>
    </row>
    <row r="3">
      <c r="A3" s="2" t="inlineStr">
        <is>
          <t>Year</t>
        </is>
      </c>
      <c r="B3" s="2" t="inlineStr">
        <is>
          <t>CFC (Millions USD)</t>
        </is>
      </c>
      <c r="C3" s="2" t="inlineStr">
        <is>
          <t>K (Capital Stock)</t>
        </is>
      </c>
      <c r="D3" s="2" t="inlineStr">
        <is>
          <t>Depreciation Rate</t>
        </is>
      </c>
    </row>
    <row r="4">
      <c r="A4" t="n">
        <v>2000</v>
      </c>
      <c r="B4">
        <f>C4*0.045</f>
        <v/>
      </c>
      <c r="C4" t="n">
        <v>97596.65802695119</v>
      </c>
      <c r="D4" s="3">
        <f>B4/C4</f>
        <v/>
      </c>
    </row>
    <row r="5">
      <c r="A5" t="n">
        <v>2001</v>
      </c>
      <c r="B5">
        <f>C5*0.045</f>
        <v/>
      </c>
      <c r="C5" t="n">
        <v>101500.5243480292</v>
      </c>
      <c r="D5" s="3">
        <f>B5/C5</f>
        <v/>
      </c>
    </row>
    <row r="6">
      <c r="A6" t="n">
        <v>2002</v>
      </c>
      <c r="B6">
        <f>C6*0.045</f>
        <v/>
      </c>
      <c r="C6" t="n">
        <v>105560.5453219504</v>
      </c>
      <c r="D6" s="3">
        <f>B6/C6</f>
        <v/>
      </c>
    </row>
    <row r="7">
      <c r="A7" t="n">
        <v>2003</v>
      </c>
      <c r="B7">
        <f>C7*0.045</f>
        <v/>
      </c>
      <c r="C7" t="n">
        <v>109782.9671348284</v>
      </c>
      <c r="D7" s="3">
        <f>B7/C7</f>
        <v/>
      </c>
    </row>
    <row r="8">
      <c r="A8" t="n">
        <v>2004</v>
      </c>
      <c r="B8">
        <f>C8*0.045</f>
        <v/>
      </c>
      <c r="C8" t="n">
        <v>114174.2858202216</v>
      </c>
      <c r="D8" s="3">
        <f>B8/C8</f>
        <v/>
      </c>
    </row>
    <row r="9">
      <c r="A9" t="n">
        <v>2005</v>
      </c>
      <c r="B9">
        <f>C9*0.045</f>
        <v/>
      </c>
      <c r="C9" t="n">
        <v>118741.2572530304</v>
      </c>
      <c r="D9" s="3">
        <f>B9/C9</f>
        <v/>
      </c>
    </row>
    <row r="10">
      <c r="A10" t="n">
        <v>2006</v>
      </c>
      <c r="B10">
        <f>C10*0.045</f>
        <v/>
      </c>
      <c r="C10" t="n">
        <v>123490.9075431517</v>
      </c>
      <c r="D10" s="3">
        <f>B10/C10</f>
        <v/>
      </c>
    </row>
    <row r="11">
      <c r="A11" t="n">
        <v>2007</v>
      </c>
      <c r="B11">
        <f>C11*0.045</f>
        <v/>
      </c>
      <c r="C11" t="n">
        <v>128430.5438448777</v>
      </c>
      <c r="D11" s="3">
        <f>B11/C11</f>
        <v/>
      </c>
    </row>
    <row r="12">
      <c r="A12" t="n">
        <v>2008</v>
      </c>
      <c r="B12">
        <f>C12*0.045</f>
        <v/>
      </c>
      <c r="C12" t="n">
        <v>133567.7655986728</v>
      </c>
      <c r="D12" s="3">
        <f>B12/C12</f>
        <v/>
      </c>
    </row>
    <row r="13">
      <c r="A13" t="n">
        <v>2009</v>
      </c>
      <c r="B13">
        <f>C13*0.045</f>
        <v/>
      </c>
      <c r="C13" t="n">
        <v>138910.4762226198</v>
      </c>
      <c r="D13" s="3">
        <f>B13/C13</f>
        <v/>
      </c>
    </row>
    <row r="14">
      <c r="A14" t="n">
        <v>2010</v>
      </c>
      <c r="B14">
        <f>C14*0.045</f>
        <v/>
      </c>
      <c r="C14" t="n">
        <v>144466.8952715246</v>
      </c>
      <c r="D14" s="3">
        <f>B14/C14</f>
        <v/>
      </c>
    </row>
    <row r="15">
      <c r="A15" t="n">
        <v>2011</v>
      </c>
      <c r="B15">
        <f>C15*0.045</f>
        <v/>
      </c>
      <c r="C15" t="n">
        <v>150245.5710823855</v>
      </c>
      <c r="D15" s="3">
        <f>B15/C15</f>
        <v/>
      </c>
    </row>
    <row r="16">
      <c r="A16" t="n">
        <v>2012</v>
      </c>
      <c r="B16">
        <f>C16*0.045</f>
        <v/>
      </c>
      <c r="C16" t="n">
        <v>156255.393925681</v>
      </c>
      <c r="D16" s="3">
        <f>B16/C16</f>
        <v/>
      </c>
    </row>
    <row r="17">
      <c r="A17" t="n">
        <v>2013</v>
      </c>
      <c r="B17">
        <f>C17*0.045</f>
        <v/>
      </c>
      <c r="C17" t="n">
        <v>162505.6096827082</v>
      </c>
      <c r="D17" s="3">
        <f>B17/C17</f>
        <v/>
      </c>
    </row>
    <row r="18">
      <c r="A18" t="n">
        <v>2014</v>
      </c>
      <c r="B18">
        <f>C18*0.045</f>
        <v/>
      </c>
      <c r="C18" t="n">
        <v>169005.8340700165</v>
      </c>
      <c r="D18" s="3">
        <f>B18/C18</f>
        <v/>
      </c>
    </row>
    <row r="19">
      <c r="A19" t="n">
        <v>2015</v>
      </c>
      <c r="B19">
        <f>C19*0.045</f>
        <v/>
      </c>
      <c r="C19" t="n">
        <v>175766.0674328172</v>
      </c>
      <c r="D19" s="3">
        <f>B19/C19</f>
        <v/>
      </c>
    </row>
    <row r="20">
      <c r="A20" t="n">
        <v>2016</v>
      </c>
      <c r="B20">
        <f>C20*0.045</f>
        <v/>
      </c>
      <c r="C20" t="n">
        <v>182796.7101301299</v>
      </c>
      <c r="D20" s="3">
        <f>B20/C20</f>
        <v/>
      </c>
    </row>
    <row r="21">
      <c r="A21" t="n">
        <v>2017</v>
      </c>
      <c r="B21">
        <f>C21*0.045</f>
        <v/>
      </c>
      <c r="C21" t="n">
        <v>190108.5785353351</v>
      </c>
      <c r="D21" s="3">
        <f>B21/C21</f>
        <v/>
      </c>
    </row>
    <row r="22">
      <c r="A22" t="n">
        <v>2018</v>
      </c>
      <c r="B22">
        <f>C22*0.045</f>
        <v/>
      </c>
      <c r="C22" t="n">
        <v>197712.9216767485</v>
      </c>
      <c r="D22" s="3">
        <f>B22/C22</f>
        <v/>
      </c>
    </row>
    <row r="23">
      <c r="A23" t="n">
        <v>2019</v>
      </c>
      <c r="B23">
        <f>C23*0.045</f>
        <v/>
      </c>
      <c r="C23" t="n">
        <v>205621.4385438185</v>
      </c>
      <c r="D23" s="3">
        <f>B23/C23</f>
        <v/>
      </c>
    </row>
    <row r="24">
      <c r="A24" t="n">
        <v>2020</v>
      </c>
      <c r="B24">
        <f>C24*0.045</f>
        <v/>
      </c>
      <c r="C24" t="n">
        <v>213846.2960855712</v>
      </c>
      <c r="D24" s="3">
        <f>B24/C24</f>
        <v/>
      </c>
    </row>
    <row r="25">
      <c r="A25" t="n">
        <v>2021</v>
      </c>
      <c r="B25">
        <f>C25*0.045</f>
        <v/>
      </c>
      <c r="C25" t="n">
        <v>222400.1479289941</v>
      </c>
      <c r="D25" s="3">
        <f>B25/C25</f>
        <v/>
      </c>
    </row>
    <row r="26">
      <c r="A26" t="n">
        <v>2022</v>
      </c>
      <c r="B26">
        <f>C26*0.045</f>
        <v/>
      </c>
      <c r="C26" t="n">
        <v>231296.1538461538</v>
      </c>
      <c r="D26" s="3">
        <f>B26/C26</f>
        <v/>
      </c>
    </row>
    <row r="27">
      <c r="A27" t="n">
        <v>2023</v>
      </c>
      <c r="B27">
        <f>C27*0.045</f>
        <v/>
      </c>
      <c r="C27" t="n">
        <v>240548</v>
      </c>
      <c r="D27" s="3">
        <f>B27/C27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Production Function &amp; HP Filter Analysis</t>
        </is>
      </c>
    </row>
    <row r="3">
      <c r="A3" t="inlineStr">
        <is>
          <t>Avg Depreciation Rate (2016-2023)</t>
        </is>
      </c>
      <c r="B3" s="3">
        <f>AVERAGE('CFC data'!D20:D27)</f>
        <v/>
      </c>
    </row>
    <row r="5">
      <c r="A5" s="5" t="inlineStr">
        <is>
          <t>HP Filter - Trend Analysis</t>
        </is>
      </c>
      <c r="L5" s="5" t="inlineStr">
        <is>
          <t>HP Filter Setup</t>
        </is>
      </c>
      <c r="P5">
        <f>SUMPRODUCT((F7:F28-N7:N28),(F7:F28-N7:N28))+$B$31*SUMPRODUCT(O7:O28,O7:O28)</f>
        <v/>
      </c>
    </row>
    <row r="6">
      <c r="A6" s="2" t="inlineStr">
        <is>
          <t>Year</t>
        </is>
      </c>
      <c r="B6" s="2" t="inlineStr">
        <is>
          <t>K</t>
        </is>
      </c>
      <c r="C6" s="2" t="inlineStr">
        <is>
          <t>Y</t>
        </is>
      </c>
      <c r="D6" s="2" t="inlineStr">
        <is>
          <t>LnK</t>
        </is>
      </c>
      <c r="E6" s="2" t="inlineStr">
        <is>
          <t>LnY</t>
        </is>
      </c>
      <c r="F6" s="2" t="inlineStr">
        <is>
          <t>LnZ (TFP)</t>
        </is>
      </c>
      <c r="G6" s="2" t="inlineStr">
        <is>
          <t>LnZ_HP</t>
        </is>
      </c>
      <c r="H6" s="2" t="inlineStr">
        <is>
          <t>DD_LnZ</t>
        </is>
      </c>
      <c r="I6" s="2" t="inlineStr">
        <is>
          <t>LnA</t>
        </is>
      </c>
      <c r="J6" s="2" t="inlineStr">
        <is>
          <t>LnA_Trend</t>
        </is>
      </c>
      <c r="L6" s="6" t="inlineStr">
        <is>
          <t>Year</t>
        </is>
      </c>
      <c r="M6" s="6" t="inlineStr">
        <is>
          <t>LnZ</t>
        </is>
      </c>
      <c r="N6" s="6" t="inlineStr">
        <is>
          <t>LnZ_HP</t>
        </is>
      </c>
      <c r="O6" s="6" t="inlineStr">
        <is>
          <t>DD_LnZ</t>
        </is>
      </c>
      <c r="P6" s="6" t="inlineStr">
        <is>
          <t>Objective</t>
        </is>
      </c>
    </row>
    <row r="7">
      <c r="A7" t="n">
        <v>2002</v>
      </c>
      <c r="B7">
        <f>'CFC data'!C6</f>
        <v/>
      </c>
      <c r="C7">
        <f>'WEO_Data'!D6</f>
        <v/>
      </c>
      <c r="D7">
        <f>LN(B7)</f>
        <v/>
      </c>
      <c r="E7">
        <f>LN(C7)</f>
        <v/>
      </c>
      <c r="F7">
        <f>E7-'PWT'!$B$7*D7</f>
        <v/>
      </c>
      <c r="L7" t="n">
        <v>2002</v>
      </c>
      <c r="M7">
        <f>F7</f>
        <v/>
      </c>
      <c r="N7">
        <f>M7</f>
        <v/>
      </c>
      <c r="O7" t="n">
        <v>0</v>
      </c>
    </row>
    <row r="8">
      <c r="A8" t="n">
        <v>2003</v>
      </c>
      <c r="B8">
        <f>'CFC data'!C7</f>
        <v/>
      </c>
      <c r="C8">
        <f>'WEO_Data'!D7</f>
        <v/>
      </c>
      <c r="D8">
        <f>LN(B8)</f>
        <v/>
      </c>
      <c r="E8">
        <f>LN(C8)</f>
        <v/>
      </c>
      <c r="F8">
        <f>E8-'PWT'!$B$7*D8</f>
        <v/>
      </c>
      <c r="L8" t="n">
        <v>2003</v>
      </c>
      <c r="M8">
        <f>F8</f>
        <v/>
      </c>
      <c r="N8">
        <f>M8</f>
        <v/>
      </c>
      <c r="O8">
        <f>N7-2*N8+N9</f>
        <v/>
      </c>
    </row>
    <row r="9">
      <c r="A9" t="n">
        <v>2004</v>
      </c>
      <c r="B9">
        <f>'CFC data'!C8</f>
        <v/>
      </c>
      <c r="C9">
        <f>'WEO_Data'!D8</f>
        <v/>
      </c>
      <c r="D9">
        <f>LN(B9)</f>
        <v/>
      </c>
      <c r="E9">
        <f>LN(C9)</f>
        <v/>
      </c>
      <c r="F9">
        <f>E9-'PWT'!$B$7*D9</f>
        <v/>
      </c>
      <c r="L9" t="n">
        <v>2004</v>
      </c>
      <c r="M9">
        <f>F9</f>
        <v/>
      </c>
      <c r="N9">
        <f>M9</f>
        <v/>
      </c>
      <c r="O9">
        <f>N8-2*N9+N10</f>
        <v/>
      </c>
    </row>
    <row r="10">
      <c r="A10" t="n">
        <v>2005</v>
      </c>
      <c r="B10">
        <f>'CFC data'!C9</f>
        <v/>
      </c>
      <c r="C10">
        <f>'WEO_Data'!D9</f>
        <v/>
      </c>
      <c r="D10">
        <f>LN(B10)</f>
        <v/>
      </c>
      <c r="E10">
        <f>LN(C10)</f>
        <v/>
      </c>
      <c r="F10">
        <f>E10-'PWT'!$B$7*D10</f>
        <v/>
      </c>
      <c r="L10" t="n">
        <v>2005</v>
      </c>
      <c r="M10">
        <f>F10</f>
        <v/>
      </c>
      <c r="N10">
        <f>M10</f>
        <v/>
      </c>
      <c r="O10">
        <f>N9-2*N10+N11</f>
        <v/>
      </c>
    </row>
    <row r="11">
      <c r="A11" t="n">
        <v>2006</v>
      </c>
      <c r="B11">
        <f>'CFC data'!C10</f>
        <v/>
      </c>
      <c r="C11">
        <f>'WEO_Data'!D10</f>
        <v/>
      </c>
      <c r="D11">
        <f>LN(B11)</f>
        <v/>
      </c>
      <c r="E11">
        <f>LN(C11)</f>
        <v/>
      </c>
      <c r="F11">
        <f>E11-'PWT'!$B$7*D11</f>
        <v/>
      </c>
      <c r="L11" t="n">
        <v>2006</v>
      </c>
      <c r="M11">
        <f>F11</f>
        <v/>
      </c>
      <c r="N11">
        <f>M11</f>
        <v/>
      </c>
      <c r="O11">
        <f>N10-2*N11+N12</f>
        <v/>
      </c>
    </row>
    <row r="12">
      <c r="A12" t="n">
        <v>2007</v>
      </c>
      <c r="B12">
        <f>'CFC data'!C11</f>
        <v/>
      </c>
      <c r="C12">
        <f>'WEO_Data'!D11</f>
        <v/>
      </c>
      <c r="D12">
        <f>LN(B12)</f>
        <v/>
      </c>
      <c r="E12">
        <f>LN(C12)</f>
        <v/>
      </c>
      <c r="F12">
        <f>E12-'PWT'!$B$7*D12</f>
        <v/>
      </c>
      <c r="L12" t="n">
        <v>2007</v>
      </c>
      <c r="M12">
        <f>F12</f>
        <v/>
      </c>
      <c r="N12">
        <f>M12</f>
        <v/>
      </c>
      <c r="O12">
        <f>N11-2*N12+N13</f>
        <v/>
      </c>
    </row>
    <row r="13">
      <c r="A13" t="n">
        <v>2008</v>
      </c>
      <c r="B13">
        <f>'CFC data'!C12</f>
        <v/>
      </c>
      <c r="C13">
        <f>'WEO_Data'!D12</f>
        <v/>
      </c>
      <c r="D13">
        <f>LN(B13)</f>
        <v/>
      </c>
      <c r="E13">
        <f>LN(C13)</f>
        <v/>
      </c>
      <c r="F13">
        <f>E13-'PWT'!$B$7*D13</f>
        <v/>
      </c>
      <c r="L13" t="n">
        <v>2008</v>
      </c>
      <c r="M13">
        <f>F13</f>
        <v/>
      </c>
      <c r="N13">
        <f>M13</f>
        <v/>
      </c>
      <c r="O13">
        <f>N12-2*N13+N14</f>
        <v/>
      </c>
    </row>
    <row r="14">
      <c r="A14" t="n">
        <v>2009</v>
      </c>
      <c r="B14">
        <f>'CFC data'!C13</f>
        <v/>
      </c>
      <c r="C14">
        <f>'WEO_Data'!D13</f>
        <v/>
      </c>
      <c r="D14">
        <f>LN(B14)</f>
        <v/>
      </c>
      <c r="E14">
        <f>LN(C14)</f>
        <v/>
      </c>
      <c r="F14">
        <f>E14-'PWT'!$B$7*D14</f>
        <v/>
      </c>
      <c r="L14" t="n">
        <v>2009</v>
      </c>
      <c r="M14">
        <f>F14</f>
        <v/>
      </c>
      <c r="N14">
        <f>M14</f>
        <v/>
      </c>
      <c r="O14">
        <f>N13-2*N14+N15</f>
        <v/>
      </c>
    </row>
    <row r="15">
      <c r="A15" t="n">
        <v>2010</v>
      </c>
      <c r="B15">
        <f>'CFC data'!C14</f>
        <v/>
      </c>
      <c r="C15">
        <f>'WEO_Data'!D14</f>
        <v/>
      </c>
      <c r="D15">
        <f>LN(B15)</f>
        <v/>
      </c>
      <c r="E15">
        <f>LN(C15)</f>
        <v/>
      </c>
      <c r="F15">
        <f>E15-'PWT'!$B$7*D15</f>
        <v/>
      </c>
      <c r="L15" t="n">
        <v>2010</v>
      </c>
      <c r="M15">
        <f>F15</f>
        <v/>
      </c>
      <c r="N15">
        <f>M15</f>
        <v/>
      </c>
      <c r="O15">
        <f>N14-2*N15+N16</f>
        <v/>
      </c>
    </row>
    <row r="16">
      <c r="A16" t="n">
        <v>2011</v>
      </c>
      <c r="B16">
        <f>'CFC data'!C15</f>
        <v/>
      </c>
      <c r="C16">
        <f>'WEO_Data'!D15</f>
        <v/>
      </c>
      <c r="D16">
        <f>LN(B16)</f>
        <v/>
      </c>
      <c r="E16">
        <f>LN(C16)</f>
        <v/>
      </c>
      <c r="F16">
        <f>E16-'PWT'!$B$7*D16</f>
        <v/>
      </c>
      <c r="L16" t="n">
        <v>2011</v>
      </c>
      <c r="M16">
        <f>F16</f>
        <v/>
      </c>
      <c r="N16">
        <f>M16</f>
        <v/>
      </c>
      <c r="O16">
        <f>N15-2*N16+N17</f>
        <v/>
      </c>
    </row>
    <row r="17">
      <c r="A17" t="n">
        <v>2012</v>
      </c>
      <c r="B17">
        <f>'CFC data'!C16</f>
        <v/>
      </c>
      <c r="C17">
        <f>'WEO_Data'!D16</f>
        <v/>
      </c>
      <c r="D17">
        <f>LN(B17)</f>
        <v/>
      </c>
      <c r="E17">
        <f>LN(C17)</f>
        <v/>
      </c>
      <c r="F17">
        <f>E17-'PWT'!$B$7*D17</f>
        <v/>
      </c>
      <c r="L17" t="n">
        <v>2012</v>
      </c>
      <c r="M17">
        <f>F17</f>
        <v/>
      </c>
      <c r="N17">
        <f>M17</f>
        <v/>
      </c>
      <c r="O17">
        <f>N16-2*N17+N18</f>
        <v/>
      </c>
    </row>
    <row r="18">
      <c r="A18" t="n">
        <v>2013</v>
      </c>
      <c r="B18">
        <f>'CFC data'!C17</f>
        <v/>
      </c>
      <c r="C18">
        <f>'WEO_Data'!D17</f>
        <v/>
      </c>
      <c r="D18">
        <f>LN(B18)</f>
        <v/>
      </c>
      <c r="E18">
        <f>LN(C18)</f>
        <v/>
      </c>
      <c r="F18">
        <f>E18-'PWT'!$B$7*D18</f>
        <v/>
      </c>
      <c r="L18" t="n">
        <v>2013</v>
      </c>
      <c r="M18">
        <f>F18</f>
        <v/>
      </c>
      <c r="N18">
        <f>M18</f>
        <v/>
      </c>
      <c r="O18">
        <f>N17-2*N18+N19</f>
        <v/>
      </c>
    </row>
    <row r="19">
      <c r="A19" t="n">
        <v>2014</v>
      </c>
      <c r="B19">
        <f>'CFC data'!C18</f>
        <v/>
      </c>
      <c r="C19">
        <f>'WEO_Data'!D18</f>
        <v/>
      </c>
      <c r="D19">
        <f>LN(B19)</f>
        <v/>
      </c>
      <c r="E19">
        <f>LN(C19)</f>
        <v/>
      </c>
      <c r="F19">
        <f>E19-'PWT'!$B$7*D19</f>
        <v/>
      </c>
      <c r="L19" t="n">
        <v>2014</v>
      </c>
      <c r="M19">
        <f>F19</f>
        <v/>
      </c>
      <c r="N19">
        <f>M19</f>
        <v/>
      </c>
      <c r="O19">
        <f>N18-2*N19+N20</f>
        <v/>
      </c>
    </row>
    <row r="20">
      <c r="A20" t="n">
        <v>2015</v>
      </c>
      <c r="B20">
        <f>'CFC data'!C19</f>
        <v/>
      </c>
      <c r="C20">
        <f>'WEO_Data'!D19</f>
        <v/>
      </c>
      <c r="D20">
        <f>LN(B20)</f>
        <v/>
      </c>
      <c r="E20">
        <f>LN(C20)</f>
        <v/>
      </c>
      <c r="F20">
        <f>E20-'PWT'!$B$7*D20</f>
        <v/>
      </c>
      <c r="L20" t="n">
        <v>2015</v>
      </c>
      <c r="M20">
        <f>F20</f>
        <v/>
      </c>
      <c r="N20">
        <f>M20</f>
        <v/>
      </c>
      <c r="O20">
        <f>N19-2*N20+N21</f>
        <v/>
      </c>
    </row>
    <row r="21">
      <c r="A21" t="n">
        <v>2016</v>
      </c>
      <c r="B21">
        <f>'CFC data'!C20</f>
        <v/>
      </c>
      <c r="C21">
        <f>'WEO_Data'!D20</f>
        <v/>
      </c>
      <c r="D21">
        <f>LN(B21)</f>
        <v/>
      </c>
      <c r="E21">
        <f>LN(C21)</f>
        <v/>
      </c>
      <c r="F21">
        <f>E21-'PWT'!$B$7*D21</f>
        <v/>
      </c>
      <c r="L21" t="n">
        <v>2016</v>
      </c>
      <c r="M21">
        <f>F21</f>
        <v/>
      </c>
      <c r="N21">
        <f>M21</f>
        <v/>
      </c>
      <c r="O21">
        <f>N20-2*N21+N22</f>
        <v/>
      </c>
    </row>
    <row r="22">
      <c r="A22" t="n">
        <v>2017</v>
      </c>
      <c r="B22">
        <f>'CFC data'!C21</f>
        <v/>
      </c>
      <c r="C22">
        <f>'WEO_Data'!D21</f>
        <v/>
      </c>
      <c r="D22">
        <f>LN(B22)</f>
        <v/>
      </c>
      <c r="E22">
        <f>LN(C22)</f>
        <v/>
      </c>
      <c r="F22">
        <f>E22-'PWT'!$B$7*D22</f>
        <v/>
      </c>
      <c r="L22" t="n">
        <v>2017</v>
      </c>
      <c r="M22">
        <f>F22</f>
        <v/>
      </c>
      <c r="N22">
        <f>M22</f>
        <v/>
      </c>
      <c r="O22">
        <f>N21-2*N22+N23</f>
        <v/>
      </c>
    </row>
    <row r="23">
      <c r="A23" t="n">
        <v>2018</v>
      </c>
      <c r="B23">
        <f>'CFC data'!C22</f>
        <v/>
      </c>
      <c r="C23">
        <f>'WEO_Data'!D22</f>
        <v/>
      </c>
      <c r="D23">
        <f>LN(B23)</f>
        <v/>
      </c>
      <c r="E23">
        <f>LN(C23)</f>
        <v/>
      </c>
      <c r="F23">
        <f>E23-'PWT'!$B$7*D23</f>
        <v/>
      </c>
      <c r="L23" t="n">
        <v>2018</v>
      </c>
      <c r="M23">
        <f>F23</f>
        <v/>
      </c>
      <c r="N23">
        <f>M23</f>
        <v/>
      </c>
      <c r="O23">
        <f>N22-2*N23+N24</f>
        <v/>
      </c>
    </row>
    <row r="24">
      <c r="A24" t="n">
        <v>2019</v>
      </c>
      <c r="B24">
        <f>'CFC data'!C23</f>
        <v/>
      </c>
      <c r="C24">
        <f>'WEO_Data'!D23</f>
        <v/>
      </c>
      <c r="D24">
        <f>LN(B24)</f>
        <v/>
      </c>
      <c r="E24">
        <f>LN(C24)</f>
        <v/>
      </c>
      <c r="F24">
        <f>E24-'PWT'!$B$7*D24</f>
        <v/>
      </c>
      <c r="L24" t="n">
        <v>2019</v>
      </c>
      <c r="M24">
        <f>F24</f>
        <v/>
      </c>
      <c r="N24">
        <f>M24</f>
        <v/>
      </c>
      <c r="O24">
        <f>N23-2*N24+N25</f>
        <v/>
      </c>
    </row>
    <row r="25">
      <c r="A25" t="n">
        <v>2020</v>
      </c>
      <c r="B25">
        <f>'CFC data'!C24</f>
        <v/>
      </c>
      <c r="C25">
        <f>'WEO_Data'!D24</f>
        <v/>
      </c>
      <c r="D25">
        <f>LN(B25)</f>
        <v/>
      </c>
      <c r="E25">
        <f>LN(C25)</f>
        <v/>
      </c>
      <c r="F25">
        <f>E25-'PWT'!$B$7*D25</f>
        <v/>
      </c>
      <c r="L25" t="n">
        <v>2020</v>
      </c>
      <c r="M25">
        <f>F25</f>
        <v/>
      </c>
      <c r="N25">
        <f>M25</f>
        <v/>
      </c>
      <c r="O25">
        <f>N24-2*N25+N26</f>
        <v/>
      </c>
    </row>
    <row r="26">
      <c r="A26" t="n">
        <v>2021</v>
      </c>
      <c r="B26">
        <f>'CFC data'!C25</f>
        <v/>
      </c>
      <c r="C26">
        <f>'WEO_Data'!D25</f>
        <v/>
      </c>
      <c r="D26">
        <f>LN(B26)</f>
        <v/>
      </c>
      <c r="E26">
        <f>LN(C26)</f>
        <v/>
      </c>
      <c r="F26">
        <f>E26-'PWT'!$B$7*D26</f>
        <v/>
      </c>
      <c r="L26" t="n">
        <v>2021</v>
      </c>
      <c r="M26">
        <f>F26</f>
        <v/>
      </c>
      <c r="N26">
        <f>M26</f>
        <v/>
      </c>
      <c r="O26">
        <f>N25-2*N26+N27</f>
        <v/>
      </c>
    </row>
    <row r="27">
      <c r="A27" t="n">
        <v>2022</v>
      </c>
      <c r="B27">
        <f>'CFC data'!C26</f>
        <v/>
      </c>
      <c r="C27">
        <f>'WEO_Data'!D26</f>
        <v/>
      </c>
      <c r="D27">
        <f>LN(B27)</f>
        <v/>
      </c>
      <c r="E27">
        <f>LN(C27)</f>
        <v/>
      </c>
      <c r="F27">
        <f>E27-'PWT'!$B$7*D27</f>
        <v/>
      </c>
      <c r="L27" t="n">
        <v>2022</v>
      </c>
      <c r="M27">
        <f>F27</f>
        <v/>
      </c>
      <c r="N27">
        <f>M27</f>
        <v/>
      </c>
      <c r="O27">
        <f>N26-2*N27+N28</f>
        <v/>
      </c>
    </row>
    <row r="28">
      <c r="A28" t="n">
        <v>2023</v>
      </c>
      <c r="B28">
        <f>'CFC data'!C27</f>
        <v/>
      </c>
      <c r="C28">
        <f>'WEO_Data'!D27</f>
        <v/>
      </c>
      <c r="D28">
        <f>LN(B28)</f>
        <v/>
      </c>
      <c r="E28">
        <f>LN(C28)</f>
        <v/>
      </c>
      <c r="F28">
        <f>E28-'PWT'!$B$7*D28</f>
        <v/>
      </c>
      <c r="L28" t="n">
        <v>2023</v>
      </c>
      <c r="M28">
        <f>F28</f>
        <v/>
      </c>
      <c r="N28">
        <f>M28</f>
        <v/>
      </c>
      <c r="O28" t="n">
        <v>0</v>
      </c>
    </row>
    <row r="31">
      <c r="A31" t="inlineStr">
        <is>
          <t>Lambda (Smoothing Parameter)</t>
        </is>
      </c>
      <c r="B31" s="7" t="n">
        <v>1600</v>
      </c>
    </row>
    <row r="32">
      <c r="A32" t="inlineStr">
        <is>
          <t>Min Objective Value</t>
        </is>
      </c>
      <c r="B32" s="8">
        <f>P5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Investment Shock Scenario</t>
        </is>
      </c>
    </row>
    <row r="3">
      <c r="A3" t="inlineStr">
        <is>
          <t>Investment Parameters</t>
        </is>
      </c>
    </row>
    <row r="4">
      <c r="A4" t="inlineStr">
        <is>
          <t>Total Investment (8 years)</t>
        </is>
      </c>
      <c r="B4" t="n">
        <v>6.5</v>
      </c>
      <c r="C4" t="inlineStr">
        <is>
          <t>Billion USD</t>
        </is>
      </c>
    </row>
    <row r="5">
      <c r="A5" t="inlineStr">
        <is>
          <t>Annual Investment</t>
        </is>
      </c>
      <c r="B5">
        <f>B4/8</f>
        <v/>
      </c>
      <c r="C5" t="inlineStr">
        <is>
          <t>Billion USD</t>
        </is>
      </c>
    </row>
    <row r="6">
      <c r="A6" t="inlineStr">
        <is>
          <t>Investment Period</t>
        </is>
      </c>
      <c r="B6" t="inlineStr">
        <is>
          <t>2026-2033</t>
        </is>
      </c>
    </row>
    <row r="8">
      <c r="A8" s="2" t="inlineStr">
        <is>
          <t>Year</t>
        </is>
      </c>
      <c r="B8" s="2" t="inlineStr">
        <is>
          <t>Investment Flow</t>
        </is>
      </c>
      <c r="C8" s="2" t="inlineStr">
        <is>
          <t>Cumulative</t>
        </is>
      </c>
    </row>
    <row r="9">
      <c r="A9" t="n">
        <v>2026</v>
      </c>
      <c r="B9" s="8">
        <f>$B$5</f>
        <v/>
      </c>
      <c r="C9" s="8">
        <f>B9</f>
        <v/>
      </c>
    </row>
    <row r="10">
      <c r="A10" t="n">
        <v>2027</v>
      </c>
      <c r="B10" s="8">
        <f>$B$5</f>
        <v/>
      </c>
      <c r="C10" s="8">
        <f>C9+B10</f>
        <v/>
      </c>
    </row>
    <row r="11">
      <c r="A11" t="n">
        <v>2028</v>
      </c>
      <c r="B11" s="8">
        <f>$B$5</f>
        <v/>
      </c>
      <c r="C11" s="8">
        <f>C10+B11</f>
        <v/>
      </c>
    </row>
    <row r="12">
      <c r="A12" t="n">
        <v>2029</v>
      </c>
      <c r="B12" s="8">
        <f>$B$5</f>
        <v/>
      </c>
      <c r="C12" s="8">
        <f>C11+B12</f>
        <v/>
      </c>
    </row>
    <row r="13">
      <c r="A13" t="n">
        <v>2030</v>
      </c>
      <c r="B13" s="8">
        <f>$B$5</f>
        <v/>
      </c>
      <c r="C13" s="8">
        <f>C12+B13</f>
        <v/>
      </c>
    </row>
    <row r="14">
      <c r="A14" t="n">
        <v>2031</v>
      </c>
      <c r="B14" s="8">
        <f>$B$5</f>
        <v/>
      </c>
      <c r="C14" s="8">
        <f>C13+B14</f>
        <v/>
      </c>
    </row>
    <row r="15">
      <c r="A15" t="n">
        <v>2032</v>
      </c>
      <c r="B15" s="8">
        <f>$B$5</f>
        <v/>
      </c>
      <c r="C15" s="8">
        <f>C14+B15</f>
        <v/>
      </c>
    </row>
    <row r="16">
      <c r="A16" t="n">
        <v>2033</v>
      </c>
      <c r="B16" s="8">
        <f>$B$5</f>
        <v/>
      </c>
      <c r="C16" s="8">
        <f>C15+B16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Extended Production Function (2002-2041)</t>
        </is>
      </c>
    </row>
    <row r="3">
      <c r="A3" s="2" t="inlineStr">
        <is>
          <t>Year</t>
        </is>
      </c>
      <c r="B3" s="2" t="inlineStr">
        <is>
          <t>K_actual</t>
        </is>
      </c>
      <c r="C3" s="2" t="inlineStr">
        <is>
          <t>K/Y Ratio</t>
        </is>
      </c>
      <c r="D3" s="2" t="inlineStr">
        <is>
          <t>K_extended</t>
        </is>
      </c>
      <c r="E3" s="2" t="inlineStr">
        <is>
          <t>Y_actual</t>
        </is>
      </c>
      <c r="F3" s="2" t="inlineStr">
        <is>
          <t>LnK_ext</t>
        </is>
      </c>
      <c r="G3" s="2" t="inlineStr">
        <is>
          <t>LnZ_trend</t>
        </is>
      </c>
      <c r="H3" s="2" t="inlineStr">
        <is>
          <t>Ystar_base</t>
        </is>
      </c>
      <c r="I3" s="2" t="inlineStr">
        <is>
          <t>Investment</t>
        </is>
      </c>
      <c r="J3" s="2" t="inlineStr">
        <is>
          <t>deltaK</t>
        </is>
      </c>
      <c r="K3" s="2" t="inlineStr">
        <is>
          <t>K_with</t>
        </is>
      </c>
      <c r="L3" s="2" t="inlineStr">
        <is>
          <t>Ystar_with</t>
        </is>
      </c>
      <c r="M3" s="2" t="inlineStr">
        <is>
          <t>Shock Impact</t>
        </is>
      </c>
      <c r="N3" s="2" t="inlineStr">
        <is>
          <t>Cumulative Gain</t>
        </is>
      </c>
    </row>
    <row r="4">
      <c r="A4" t="n">
        <v>2002</v>
      </c>
      <c r="B4" s="4">
        <f>'CFC data'!C6</f>
        <v/>
      </c>
      <c r="C4" s="8" t="n"/>
      <c r="D4" s="4">
        <f>B4</f>
        <v/>
      </c>
      <c r="E4" s="4">
        <f>'WEO_Data'!D6</f>
        <v/>
      </c>
      <c r="F4" s="8">
        <f>LN(D4)</f>
        <v/>
      </c>
      <c r="G4" s="8">
        <f>'Production'!G7</f>
        <v/>
      </c>
      <c r="H4" s="4">
        <f>EXP(G4+'PWT'!$B$7*F4)</f>
        <v/>
      </c>
      <c r="I4" s="4" t="n">
        <v>0</v>
      </c>
      <c r="J4" s="4">
        <f>I4/(1-'Production'!$B$3)</f>
        <v/>
      </c>
      <c r="K4" s="4">
        <f>D4</f>
        <v/>
      </c>
      <c r="L4" s="4">
        <f>EXP(G4+'PWT'!$B$7*LN(K4))</f>
        <v/>
      </c>
      <c r="M4" s="4">
        <f>L4-H4</f>
        <v/>
      </c>
      <c r="N4" s="4">
        <f>M4</f>
        <v/>
      </c>
    </row>
    <row r="5">
      <c r="A5" t="n">
        <v>2003</v>
      </c>
      <c r="B5" s="4">
        <f>'CFC data'!C7</f>
        <v/>
      </c>
      <c r="C5" s="8" t="n"/>
      <c r="D5" s="4">
        <f>B5</f>
        <v/>
      </c>
      <c r="E5" s="4">
        <f>'WEO_Data'!D7</f>
        <v/>
      </c>
      <c r="F5" s="8">
        <f>LN(D5)</f>
        <v/>
      </c>
      <c r="G5" s="8">
        <f>'Production'!G8</f>
        <v/>
      </c>
      <c r="H5" s="4">
        <f>EXP(G5+'PWT'!$B$7*F5)</f>
        <v/>
      </c>
      <c r="I5" s="4" t="n">
        <v>0</v>
      </c>
      <c r="J5" s="4">
        <f>I5/(1-'Production'!$B$3)</f>
        <v/>
      </c>
      <c r="K5" s="4">
        <f>D5</f>
        <v/>
      </c>
      <c r="L5" s="4">
        <f>EXP(G5+'PWT'!$B$7*LN(K5))</f>
        <v/>
      </c>
      <c r="M5" s="4">
        <f>L5-H5</f>
        <v/>
      </c>
      <c r="N5" s="4">
        <f>N4+M5</f>
        <v/>
      </c>
    </row>
    <row r="6">
      <c r="A6" t="n">
        <v>2004</v>
      </c>
      <c r="B6" s="4">
        <f>'CFC data'!C8</f>
        <v/>
      </c>
      <c r="C6" s="8" t="n"/>
      <c r="D6" s="4">
        <f>B6</f>
        <v/>
      </c>
      <c r="E6" s="4">
        <f>'WEO_Data'!D8</f>
        <v/>
      </c>
      <c r="F6" s="8">
        <f>LN(D6)</f>
        <v/>
      </c>
      <c r="G6" s="8">
        <f>'Production'!G9</f>
        <v/>
      </c>
      <c r="H6" s="4">
        <f>EXP(G6+'PWT'!$B$7*F6)</f>
        <v/>
      </c>
      <c r="I6" s="4" t="n">
        <v>0</v>
      </c>
      <c r="J6" s="4">
        <f>I6/(1-'Production'!$B$3)</f>
        <v/>
      </c>
      <c r="K6" s="4">
        <f>D6</f>
        <v/>
      </c>
      <c r="L6" s="4">
        <f>EXP(G6+'PWT'!$B$7*LN(K6))</f>
        <v/>
      </c>
      <c r="M6" s="4">
        <f>L6-H6</f>
        <v/>
      </c>
      <c r="N6" s="4">
        <f>N5+M6</f>
        <v/>
      </c>
    </row>
    <row r="7">
      <c r="A7" t="n">
        <v>2005</v>
      </c>
      <c r="B7" s="4">
        <f>'CFC data'!C9</f>
        <v/>
      </c>
      <c r="C7" s="8" t="n"/>
      <c r="D7" s="4">
        <f>B7</f>
        <v/>
      </c>
      <c r="E7" s="4">
        <f>'WEO_Data'!D9</f>
        <v/>
      </c>
      <c r="F7" s="8">
        <f>LN(D7)</f>
        <v/>
      </c>
      <c r="G7" s="8">
        <f>'Production'!G10</f>
        <v/>
      </c>
      <c r="H7" s="4">
        <f>EXP(G7+'PWT'!$B$7*F7)</f>
        <v/>
      </c>
      <c r="I7" s="4" t="n">
        <v>0</v>
      </c>
      <c r="J7" s="4">
        <f>I7/(1-'Production'!$B$3)</f>
        <v/>
      </c>
      <c r="K7" s="4">
        <f>D7</f>
        <v/>
      </c>
      <c r="L7" s="4">
        <f>EXP(G7+'PWT'!$B$7*LN(K7))</f>
        <v/>
      </c>
      <c r="M7" s="4">
        <f>L7-H7</f>
        <v/>
      </c>
      <c r="N7" s="4">
        <f>N6+M7</f>
        <v/>
      </c>
    </row>
    <row r="8">
      <c r="A8" t="n">
        <v>2006</v>
      </c>
      <c r="B8" s="4">
        <f>'CFC data'!C10</f>
        <v/>
      </c>
      <c r="C8" s="8" t="n"/>
      <c r="D8" s="4">
        <f>B8</f>
        <v/>
      </c>
      <c r="E8" s="4">
        <f>'WEO_Data'!D10</f>
        <v/>
      </c>
      <c r="F8" s="8">
        <f>LN(D8)</f>
        <v/>
      </c>
      <c r="G8" s="8">
        <f>'Production'!G11</f>
        <v/>
      </c>
      <c r="H8" s="4">
        <f>EXP(G8+'PWT'!$B$7*F8)</f>
        <v/>
      </c>
      <c r="I8" s="4" t="n">
        <v>0</v>
      </c>
      <c r="J8" s="4">
        <f>I8/(1-'Production'!$B$3)</f>
        <v/>
      </c>
      <c r="K8" s="4">
        <f>D8</f>
        <v/>
      </c>
      <c r="L8" s="4">
        <f>EXP(G8+'PWT'!$B$7*LN(K8))</f>
        <v/>
      </c>
      <c r="M8" s="4">
        <f>L8-H8</f>
        <v/>
      </c>
      <c r="N8" s="4">
        <f>N7+M8</f>
        <v/>
      </c>
    </row>
    <row r="9">
      <c r="A9" t="n">
        <v>2007</v>
      </c>
      <c r="B9" s="4">
        <f>'CFC data'!C11</f>
        <v/>
      </c>
      <c r="C9" s="8" t="n"/>
      <c r="D9" s="4">
        <f>B9</f>
        <v/>
      </c>
      <c r="E9" s="4">
        <f>'WEO_Data'!D11</f>
        <v/>
      </c>
      <c r="F9" s="8">
        <f>LN(D9)</f>
        <v/>
      </c>
      <c r="G9" s="8">
        <f>'Production'!G12</f>
        <v/>
      </c>
      <c r="H9" s="4">
        <f>EXP(G9+'PWT'!$B$7*F9)</f>
        <v/>
      </c>
      <c r="I9" s="4" t="n">
        <v>0</v>
      </c>
      <c r="J9" s="4">
        <f>I9/(1-'Production'!$B$3)</f>
        <v/>
      </c>
      <c r="K9" s="4">
        <f>D9</f>
        <v/>
      </c>
      <c r="L9" s="4">
        <f>EXP(G9+'PWT'!$B$7*LN(K9))</f>
        <v/>
      </c>
      <c r="M9" s="4">
        <f>L9-H9</f>
        <v/>
      </c>
      <c r="N9" s="4">
        <f>N8+M9</f>
        <v/>
      </c>
    </row>
    <row r="10">
      <c r="A10" t="n">
        <v>2008</v>
      </c>
      <c r="B10" s="4">
        <f>'CFC data'!C12</f>
        <v/>
      </c>
      <c r="C10" s="8" t="n"/>
      <c r="D10" s="4">
        <f>B10</f>
        <v/>
      </c>
      <c r="E10" s="4">
        <f>'WEO_Data'!D12</f>
        <v/>
      </c>
      <c r="F10" s="8">
        <f>LN(D10)</f>
        <v/>
      </c>
      <c r="G10" s="8">
        <f>'Production'!G13</f>
        <v/>
      </c>
      <c r="H10" s="4">
        <f>EXP(G10+'PWT'!$B$7*F10)</f>
        <v/>
      </c>
      <c r="I10" s="4" t="n">
        <v>0</v>
      </c>
      <c r="J10" s="4">
        <f>I10/(1-'Production'!$B$3)</f>
        <v/>
      </c>
      <c r="K10" s="4">
        <f>D10</f>
        <v/>
      </c>
      <c r="L10" s="4">
        <f>EXP(G10+'PWT'!$B$7*LN(K10))</f>
        <v/>
      </c>
      <c r="M10" s="4">
        <f>L10-H10</f>
        <v/>
      </c>
      <c r="N10" s="4">
        <f>N9+M10</f>
        <v/>
      </c>
    </row>
    <row r="11">
      <c r="A11" t="n">
        <v>2009</v>
      </c>
      <c r="B11" s="4">
        <f>'CFC data'!C13</f>
        <v/>
      </c>
      <c r="C11" s="8" t="n"/>
      <c r="D11" s="4">
        <f>B11</f>
        <v/>
      </c>
      <c r="E11" s="4">
        <f>'WEO_Data'!D13</f>
        <v/>
      </c>
      <c r="F11" s="8">
        <f>LN(D11)</f>
        <v/>
      </c>
      <c r="G11" s="8">
        <f>'Production'!G14</f>
        <v/>
      </c>
      <c r="H11" s="4">
        <f>EXP(G11+'PWT'!$B$7*F11)</f>
        <v/>
      </c>
      <c r="I11" s="4" t="n">
        <v>0</v>
      </c>
      <c r="J11" s="4">
        <f>I11/(1-'Production'!$B$3)</f>
        <v/>
      </c>
      <c r="K11" s="4">
        <f>D11</f>
        <v/>
      </c>
      <c r="L11" s="4">
        <f>EXP(G11+'PWT'!$B$7*LN(K11))</f>
        <v/>
      </c>
      <c r="M11" s="4">
        <f>L11-H11</f>
        <v/>
      </c>
      <c r="N11" s="4">
        <f>N10+M11</f>
        <v/>
      </c>
    </row>
    <row r="12">
      <c r="A12" t="n">
        <v>2010</v>
      </c>
      <c r="B12" s="4">
        <f>'CFC data'!C14</f>
        <v/>
      </c>
      <c r="C12" s="8" t="n"/>
      <c r="D12" s="4">
        <f>B12</f>
        <v/>
      </c>
      <c r="E12" s="4">
        <f>'WEO_Data'!D14</f>
        <v/>
      </c>
      <c r="F12" s="8">
        <f>LN(D12)</f>
        <v/>
      </c>
      <c r="G12" s="8">
        <f>'Production'!G15</f>
        <v/>
      </c>
      <c r="H12" s="4">
        <f>EXP(G12+'PWT'!$B$7*F12)</f>
        <v/>
      </c>
      <c r="I12" s="4" t="n">
        <v>0</v>
      </c>
      <c r="J12" s="4">
        <f>I12/(1-'Production'!$B$3)</f>
        <v/>
      </c>
      <c r="K12" s="4">
        <f>D12</f>
        <v/>
      </c>
      <c r="L12" s="4">
        <f>EXP(G12+'PWT'!$B$7*LN(K12))</f>
        <v/>
      </c>
      <c r="M12" s="4">
        <f>L12-H12</f>
        <v/>
      </c>
      <c r="N12" s="4">
        <f>N11+M12</f>
        <v/>
      </c>
    </row>
    <row r="13">
      <c r="A13" t="n">
        <v>2011</v>
      </c>
      <c r="B13" s="4">
        <f>'CFC data'!C15</f>
        <v/>
      </c>
      <c r="C13" s="8" t="n"/>
      <c r="D13" s="4">
        <f>B13</f>
        <v/>
      </c>
      <c r="E13" s="4">
        <f>'WEO_Data'!D15</f>
        <v/>
      </c>
      <c r="F13" s="8">
        <f>LN(D13)</f>
        <v/>
      </c>
      <c r="G13" s="8">
        <f>'Production'!G16</f>
        <v/>
      </c>
      <c r="H13" s="4">
        <f>EXP(G13+'PWT'!$B$7*F13)</f>
        <v/>
      </c>
      <c r="I13" s="4" t="n">
        <v>0</v>
      </c>
      <c r="J13" s="4">
        <f>I13/(1-'Production'!$B$3)</f>
        <v/>
      </c>
      <c r="K13" s="4">
        <f>D13</f>
        <v/>
      </c>
      <c r="L13" s="4">
        <f>EXP(G13+'PWT'!$B$7*LN(K13))</f>
        <v/>
      </c>
      <c r="M13" s="4">
        <f>L13-H13</f>
        <v/>
      </c>
      <c r="N13" s="4">
        <f>N12+M13</f>
        <v/>
      </c>
    </row>
    <row r="14">
      <c r="A14" t="n">
        <v>2012</v>
      </c>
      <c r="B14" s="4">
        <f>'CFC data'!C16</f>
        <v/>
      </c>
      <c r="C14" s="8" t="n"/>
      <c r="D14" s="4">
        <f>B14</f>
        <v/>
      </c>
      <c r="E14" s="4">
        <f>'WEO_Data'!D16</f>
        <v/>
      </c>
      <c r="F14" s="8">
        <f>LN(D14)</f>
        <v/>
      </c>
      <c r="G14" s="8">
        <f>'Production'!G17</f>
        <v/>
      </c>
      <c r="H14" s="4">
        <f>EXP(G14+'PWT'!$B$7*F14)</f>
        <v/>
      </c>
      <c r="I14" s="4" t="n">
        <v>0</v>
      </c>
      <c r="J14" s="4">
        <f>I14/(1-'Production'!$B$3)</f>
        <v/>
      </c>
      <c r="K14" s="4">
        <f>D14</f>
        <v/>
      </c>
      <c r="L14" s="4">
        <f>EXP(G14+'PWT'!$B$7*LN(K14))</f>
        <v/>
      </c>
      <c r="M14" s="4">
        <f>L14-H14</f>
        <v/>
      </c>
      <c r="N14" s="4">
        <f>N13+M14</f>
        <v/>
      </c>
    </row>
    <row r="15">
      <c r="A15" t="n">
        <v>2013</v>
      </c>
      <c r="B15" s="4">
        <f>'CFC data'!C17</f>
        <v/>
      </c>
      <c r="C15" s="8" t="n"/>
      <c r="D15" s="4">
        <f>B15</f>
        <v/>
      </c>
      <c r="E15" s="4">
        <f>'WEO_Data'!D17</f>
        <v/>
      </c>
      <c r="F15" s="8">
        <f>LN(D15)</f>
        <v/>
      </c>
      <c r="G15" s="8">
        <f>'Production'!G18</f>
        <v/>
      </c>
      <c r="H15" s="4">
        <f>EXP(G15+'PWT'!$B$7*F15)</f>
        <v/>
      </c>
      <c r="I15" s="4" t="n">
        <v>0</v>
      </c>
      <c r="J15" s="4">
        <f>I15/(1-'Production'!$B$3)</f>
        <v/>
      </c>
      <c r="K15" s="4">
        <f>D15</f>
        <v/>
      </c>
      <c r="L15" s="4">
        <f>EXP(G15+'PWT'!$B$7*LN(K15))</f>
        <v/>
      </c>
      <c r="M15" s="4">
        <f>L15-H15</f>
        <v/>
      </c>
      <c r="N15" s="4">
        <f>N14+M15</f>
        <v/>
      </c>
    </row>
    <row r="16">
      <c r="A16" t="n">
        <v>2014</v>
      </c>
      <c r="B16" s="4">
        <f>'CFC data'!C18</f>
        <v/>
      </c>
      <c r="C16" s="8" t="n"/>
      <c r="D16" s="4">
        <f>B16</f>
        <v/>
      </c>
      <c r="E16" s="4">
        <f>'WEO_Data'!D18</f>
        <v/>
      </c>
      <c r="F16" s="8">
        <f>LN(D16)</f>
        <v/>
      </c>
      <c r="G16" s="8">
        <f>'Production'!G19</f>
        <v/>
      </c>
      <c r="H16" s="4">
        <f>EXP(G16+'PWT'!$B$7*F16)</f>
        <v/>
      </c>
      <c r="I16" s="4" t="n">
        <v>0</v>
      </c>
      <c r="J16" s="4">
        <f>I16/(1-'Production'!$B$3)</f>
        <v/>
      </c>
      <c r="K16" s="4">
        <f>D16</f>
        <v/>
      </c>
      <c r="L16" s="4">
        <f>EXP(G16+'PWT'!$B$7*LN(K16))</f>
        <v/>
      </c>
      <c r="M16" s="4">
        <f>L16-H16</f>
        <v/>
      </c>
      <c r="N16" s="4">
        <f>N15+M16</f>
        <v/>
      </c>
    </row>
    <row r="17">
      <c r="A17" t="n">
        <v>2015</v>
      </c>
      <c r="B17" s="4">
        <f>'CFC data'!C19</f>
        <v/>
      </c>
      <c r="C17" s="8">
        <f>B17/E17</f>
        <v/>
      </c>
      <c r="D17" s="4">
        <f>B17</f>
        <v/>
      </c>
      <c r="E17" s="4">
        <f>'WEO_Data'!D19</f>
        <v/>
      </c>
      <c r="F17" s="8">
        <f>LN(D17)</f>
        <v/>
      </c>
      <c r="G17" s="8">
        <f>'Production'!G20</f>
        <v/>
      </c>
      <c r="H17" s="4">
        <f>EXP(G17+'PWT'!$B$7*F17)</f>
        <v/>
      </c>
      <c r="I17" s="4" t="n">
        <v>0</v>
      </c>
      <c r="J17" s="4">
        <f>I17/(1-'Production'!$B$3)</f>
        <v/>
      </c>
      <c r="K17" s="4">
        <f>D17</f>
        <v/>
      </c>
      <c r="L17" s="4">
        <f>EXP(G17+'PWT'!$B$7*LN(K17))</f>
        <v/>
      </c>
      <c r="M17" s="4">
        <f>L17-H17</f>
        <v/>
      </c>
      <c r="N17" s="4">
        <f>N16+M17</f>
        <v/>
      </c>
    </row>
    <row r="18">
      <c r="A18" t="n">
        <v>2016</v>
      </c>
      <c r="B18" s="4">
        <f>'CFC data'!C20</f>
        <v/>
      </c>
      <c r="C18" s="8">
        <f>B18/E18</f>
        <v/>
      </c>
      <c r="D18" s="4">
        <f>B18</f>
        <v/>
      </c>
      <c r="E18" s="4">
        <f>'WEO_Data'!D20</f>
        <v/>
      </c>
      <c r="F18" s="8">
        <f>LN(D18)</f>
        <v/>
      </c>
      <c r="G18" s="8">
        <f>'Production'!G21</f>
        <v/>
      </c>
      <c r="H18" s="4">
        <f>EXP(G18+'PWT'!$B$7*F18)</f>
        <v/>
      </c>
      <c r="I18" s="4" t="n">
        <v>0</v>
      </c>
      <c r="J18" s="4">
        <f>I18/(1-'Production'!$B$3)</f>
        <v/>
      </c>
      <c r="K18" s="4">
        <f>D18</f>
        <v/>
      </c>
      <c r="L18" s="4">
        <f>EXP(G18+'PWT'!$B$7*LN(K18))</f>
        <v/>
      </c>
      <c r="M18" s="4">
        <f>L18-H18</f>
        <v/>
      </c>
      <c r="N18" s="4">
        <f>N17+M18</f>
        <v/>
      </c>
    </row>
    <row r="19">
      <c r="A19" t="n">
        <v>2017</v>
      </c>
      <c r="B19" s="4">
        <f>'CFC data'!C21</f>
        <v/>
      </c>
      <c r="C19" s="8">
        <f>B19/E19</f>
        <v/>
      </c>
      <c r="D19" s="4">
        <f>B19</f>
        <v/>
      </c>
      <c r="E19" s="4">
        <f>'WEO_Data'!D21</f>
        <v/>
      </c>
      <c r="F19" s="8">
        <f>LN(D19)</f>
        <v/>
      </c>
      <c r="G19" s="8">
        <f>'Production'!G22</f>
        <v/>
      </c>
      <c r="H19" s="4">
        <f>EXP(G19+'PWT'!$B$7*F19)</f>
        <v/>
      </c>
      <c r="I19" s="4" t="n">
        <v>0</v>
      </c>
      <c r="J19" s="4">
        <f>I19/(1-'Production'!$B$3)</f>
        <v/>
      </c>
      <c r="K19" s="4">
        <f>D19</f>
        <v/>
      </c>
      <c r="L19" s="4">
        <f>EXP(G19+'PWT'!$B$7*LN(K19))</f>
        <v/>
      </c>
      <c r="M19" s="4">
        <f>L19-H19</f>
        <v/>
      </c>
      <c r="N19" s="4">
        <f>N18+M19</f>
        <v/>
      </c>
    </row>
    <row r="20">
      <c r="A20" t="n">
        <v>2018</v>
      </c>
      <c r="B20" s="4">
        <f>'CFC data'!C22</f>
        <v/>
      </c>
      <c r="C20" s="8">
        <f>B20/E20</f>
        <v/>
      </c>
      <c r="D20" s="4">
        <f>B20</f>
        <v/>
      </c>
      <c r="E20" s="4">
        <f>'WEO_Data'!D22</f>
        <v/>
      </c>
      <c r="F20" s="8">
        <f>LN(D20)</f>
        <v/>
      </c>
      <c r="G20" s="8">
        <f>'Production'!G23</f>
        <v/>
      </c>
      <c r="H20" s="4">
        <f>EXP(G20+'PWT'!$B$7*F20)</f>
        <v/>
      </c>
      <c r="I20" s="4" t="n">
        <v>0</v>
      </c>
      <c r="J20" s="4">
        <f>I20/(1-'Production'!$B$3)</f>
        <v/>
      </c>
      <c r="K20" s="4">
        <f>D20</f>
        <v/>
      </c>
      <c r="L20" s="4">
        <f>EXP(G20+'PWT'!$B$7*LN(K20))</f>
        <v/>
      </c>
      <c r="M20" s="4">
        <f>L20-H20</f>
        <v/>
      </c>
      <c r="N20" s="4">
        <f>N19+M20</f>
        <v/>
      </c>
    </row>
    <row r="21">
      <c r="A21" t="n">
        <v>2019</v>
      </c>
      <c r="B21" s="4">
        <f>'CFC data'!C23</f>
        <v/>
      </c>
      <c r="C21" s="8">
        <f>B21/E21</f>
        <v/>
      </c>
      <c r="D21" s="4">
        <f>B21</f>
        <v/>
      </c>
      <c r="E21" s="4">
        <f>'WEO_Data'!D23</f>
        <v/>
      </c>
      <c r="F21" s="8">
        <f>LN(D21)</f>
        <v/>
      </c>
      <c r="G21" s="8">
        <f>'Production'!G24</f>
        <v/>
      </c>
      <c r="H21" s="4">
        <f>EXP(G21+'PWT'!$B$7*F21)</f>
        <v/>
      </c>
      <c r="I21" s="4" t="n">
        <v>0</v>
      </c>
      <c r="J21" s="4">
        <f>I21/(1-'Production'!$B$3)</f>
        <v/>
      </c>
      <c r="K21" s="4">
        <f>D21</f>
        <v/>
      </c>
      <c r="L21" s="4">
        <f>EXP(G21+'PWT'!$B$7*LN(K21))</f>
        <v/>
      </c>
      <c r="M21" s="4">
        <f>L21-H21</f>
        <v/>
      </c>
      <c r="N21" s="4">
        <f>N20+M21</f>
        <v/>
      </c>
    </row>
    <row r="22">
      <c r="A22" t="n">
        <v>2020</v>
      </c>
      <c r="B22" s="4">
        <f>'CFC data'!C24</f>
        <v/>
      </c>
      <c r="C22" s="8">
        <f>B22/E22</f>
        <v/>
      </c>
      <c r="D22" s="4">
        <f>B22</f>
        <v/>
      </c>
      <c r="E22" s="4">
        <f>'WEO_Data'!D24</f>
        <v/>
      </c>
      <c r="F22" s="8">
        <f>LN(D22)</f>
        <v/>
      </c>
      <c r="G22" s="8">
        <f>'Production'!G25</f>
        <v/>
      </c>
      <c r="H22" s="4">
        <f>EXP(G22+'PWT'!$B$7*F22)</f>
        <v/>
      </c>
      <c r="I22" s="4" t="n">
        <v>0</v>
      </c>
      <c r="J22" s="4">
        <f>I22/(1-'Production'!$B$3)</f>
        <v/>
      </c>
      <c r="K22" s="4">
        <f>D22</f>
        <v/>
      </c>
      <c r="L22" s="4">
        <f>EXP(G22+'PWT'!$B$7*LN(K22))</f>
        <v/>
      </c>
      <c r="M22" s="4">
        <f>L22-H22</f>
        <v/>
      </c>
      <c r="N22" s="4">
        <f>N21+M22</f>
        <v/>
      </c>
    </row>
    <row r="23">
      <c r="A23" t="n">
        <v>2021</v>
      </c>
      <c r="B23" s="4">
        <f>'CFC data'!C25</f>
        <v/>
      </c>
      <c r="C23" s="8">
        <f>B23/E23</f>
        <v/>
      </c>
      <c r="D23" s="4">
        <f>B23</f>
        <v/>
      </c>
      <c r="E23" s="4">
        <f>'WEO_Data'!D25</f>
        <v/>
      </c>
      <c r="F23" s="8">
        <f>LN(D23)</f>
        <v/>
      </c>
      <c r="G23" s="8">
        <f>'Production'!G26</f>
        <v/>
      </c>
      <c r="H23" s="4">
        <f>EXP(G23+'PWT'!$B$7*F23)</f>
        <v/>
      </c>
      <c r="I23" s="4" t="n">
        <v>0</v>
      </c>
      <c r="J23" s="4">
        <f>I23/(1-'Production'!$B$3)</f>
        <v/>
      </c>
      <c r="K23" s="4">
        <f>D23</f>
        <v/>
      </c>
      <c r="L23" s="4">
        <f>EXP(G23+'PWT'!$B$7*LN(K23))</f>
        <v/>
      </c>
      <c r="M23" s="4">
        <f>L23-H23</f>
        <v/>
      </c>
      <c r="N23" s="4">
        <f>N22+M23</f>
        <v/>
      </c>
    </row>
    <row r="24">
      <c r="A24" t="n">
        <v>2022</v>
      </c>
      <c r="B24" s="4">
        <f>'CFC data'!C26</f>
        <v/>
      </c>
      <c r="C24" s="8">
        <f>B24/E24</f>
        <v/>
      </c>
      <c r="D24" s="4">
        <f>B24</f>
        <v/>
      </c>
      <c r="E24" s="4">
        <f>'WEO_Data'!D26</f>
        <v/>
      </c>
      <c r="F24" s="8">
        <f>LN(D24)</f>
        <v/>
      </c>
      <c r="G24" s="8">
        <f>'Production'!G27</f>
        <v/>
      </c>
      <c r="H24" s="4">
        <f>EXP(G24+'PWT'!$B$7*F24)</f>
        <v/>
      </c>
      <c r="I24" s="4" t="n">
        <v>0</v>
      </c>
      <c r="J24" s="4">
        <f>I24/(1-'Production'!$B$3)</f>
        <v/>
      </c>
      <c r="K24" s="4">
        <f>D24</f>
        <v/>
      </c>
      <c r="L24" s="4">
        <f>EXP(G24+'PWT'!$B$7*LN(K24))</f>
        <v/>
      </c>
      <c r="M24" s="4">
        <f>L24-H24</f>
        <v/>
      </c>
      <c r="N24" s="4">
        <f>N23+M24</f>
        <v/>
      </c>
    </row>
    <row r="25">
      <c r="A25" t="n">
        <v>2023</v>
      </c>
      <c r="B25" s="4">
        <f>'CFC data'!C27</f>
        <v/>
      </c>
      <c r="C25" s="8">
        <f>B25/E25</f>
        <v/>
      </c>
      <c r="D25" s="4">
        <f>B25</f>
        <v/>
      </c>
      <c r="E25" s="4">
        <f>'WEO_Data'!D27</f>
        <v/>
      </c>
      <c r="F25" s="8">
        <f>LN(D25)</f>
        <v/>
      </c>
      <c r="G25" s="8">
        <f>'Production'!G28</f>
        <v/>
      </c>
      <c r="H25" s="4">
        <f>EXP(G25+'PWT'!$B$7*F25)</f>
        <v/>
      </c>
      <c r="I25" s="4" t="n">
        <v>0</v>
      </c>
      <c r="J25" s="4">
        <f>I25/(1-'Production'!$B$3)</f>
        <v/>
      </c>
      <c r="K25" s="4">
        <f>D25</f>
        <v/>
      </c>
      <c r="L25" s="4">
        <f>EXP(G25+'PWT'!$B$7*LN(K25))</f>
        <v/>
      </c>
      <c r="M25" s="4">
        <f>L25-H25</f>
        <v/>
      </c>
      <c r="N25" s="4">
        <f>N24+M25</f>
        <v/>
      </c>
    </row>
    <row r="26">
      <c r="A26" t="n">
        <v>2024</v>
      </c>
      <c r="B26" s="4" t="n"/>
      <c r="C26" s="8" t="n"/>
      <c r="D26" s="4">
        <f>E26*AVERAGE($C$19:$C$27)</f>
        <v/>
      </c>
      <c r="E26" s="4">
        <f>'WEO_Data'!D28</f>
        <v/>
      </c>
      <c r="F26" s="8">
        <f>LN(D26)</f>
        <v/>
      </c>
      <c r="G26" s="8">
        <f>TREND('Production'!$G$7:$G$28,'Production'!$A$7:$A$28,A26)</f>
        <v/>
      </c>
      <c r="H26" s="4">
        <f>EXP(G26+'PWT'!$B$7*F26)</f>
        <v/>
      </c>
      <c r="I26" s="4" t="n">
        <v>0</v>
      </c>
      <c r="J26" s="4">
        <f>I26/(1-'Production'!$B$3)</f>
        <v/>
      </c>
      <c r="K26" s="4">
        <f>D26</f>
        <v/>
      </c>
      <c r="L26" s="4">
        <f>EXP(G26+'PWT'!$B$7*LN(K26))</f>
        <v/>
      </c>
      <c r="M26" s="4">
        <f>L26-H26</f>
        <v/>
      </c>
      <c r="N26" s="4">
        <f>N25+M26</f>
        <v/>
      </c>
    </row>
    <row r="27">
      <c r="A27" t="n">
        <v>2025</v>
      </c>
      <c r="B27" s="4" t="n"/>
      <c r="C27" s="8" t="n"/>
      <c r="D27" s="4">
        <f>E27*AVERAGE($C$19:$C$27)</f>
        <v/>
      </c>
      <c r="E27" s="4">
        <f>'WEO_Data'!D29</f>
        <v/>
      </c>
      <c r="F27" s="8">
        <f>LN(D27)</f>
        <v/>
      </c>
      <c r="G27" s="8">
        <f>TREND('Production'!$G$7:$G$28,'Production'!$A$7:$A$28,A27)</f>
        <v/>
      </c>
      <c r="H27" s="4">
        <f>EXP(G27+'PWT'!$B$7*F27)</f>
        <v/>
      </c>
      <c r="I27" s="4" t="n">
        <v>0</v>
      </c>
      <c r="J27" s="4">
        <f>I27/(1-'Production'!$B$3)</f>
        <v/>
      </c>
      <c r="K27" s="4">
        <f>D27</f>
        <v/>
      </c>
      <c r="L27" s="4">
        <f>EXP(G27+'PWT'!$B$7*LN(K27))</f>
        <v/>
      </c>
      <c r="M27" s="4">
        <f>L27-H27</f>
        <v/>
      </c>
      <c r="N27" s="4">
        <f>N26+M27</f>
        <v/>
      </c>
    </row>
    <row r="28">
      <c r="A28" t="n">
        <v>2026</v>
      </c>
      <c r="B28" s="4" t="n"/>
      <c r="C28" s="8" t="n"/>
      <c r="D28" s="4">
        <f>E28*AVERAGE($C$19:$C$27)</f>
        <v/>
      </c>
      <c r="E28" s="4">
        <f>'WEO_Data'!D30</f>
        <v/>
      </c>
      <c r="F28" s="8">
        <f>LN(D28)</f>
        <v/>
      </c>
      <c r="G28" s="8">
        <f>TREND('Production'!$G$7:$G$28,'Production'!$A$7:$A$28,A28)</f>
        <v/>
      </c>
      <c r="H28" s="4">
        <f>EXP(G28+'PWT'!$B$7*F28)</f>
        <v/>
      </c>
      <c r="I28" s="4">
        <f>'Investment'!B9</f>
        <v/>
      </c>
      <c r="J28" s="4">
        <f>I28/(1-'Production'!$B$3)</f>
        <v/>
      </c>
      <c r="K28" s="4">
        <f>D28+J28</f>
        <v/>
      </c>
      <c r="L28" s="4">
        <f>EXP(G28+'PWT'!$B$7*LN(K28))</f>
        <v/>
      </c>
      <c r="M28" s="4">
        <f>L28-H28</f>
        <v/>
      </c>
      <c r="N28" s="4">
        <f>N27+M28</f>
        <v/>
      </c>
    </row>
    <row r="29">
      <c r="A29" t="n">
        <v>2027</v>
      </c>
      <c r="B29" s="4" t="n"/>
      <c r="C29" s="8" t="n"/>
      <c r="D29" s="4">
        <f>E29*AVERAGE($C$19:$C$27)</f>
        <v/>
      </c>
      <c r="E29" s="4">
        <f>'WEO_Data'!D31</f>
        <v/>
      </c>
      <c r="F29" s="8">
        <f>LN(D29)</f>
        <v/>
      </c>
      <c r="G29" s="8">
        <f>TREND('Production'!$G$7:$G$28,'Production'!$A$7:$A$28,A29)</f>
        <v/>
      </c>
      <c r="H29" s="4">
        <f>EXP(G29+'PWT'!$B$7*F29)</f>
        <v/>
      </c>
      <c r="I29" s="4">
        <f>'Investment'!B10</f>
        <v/>
      </c>
      <c r="J29" s="4">
        <f>I29/(1-'Production'!$B$3)</f>
        <v/>
      </c>
      <c r="K29" s="4">
        <f>D29+J29</f>
        <v/>
      </c>
      <c r="L29" s="4">
        <f>EXP(G29+'PWT'!$B$7*LN(K29))</f>
        <v/>
      </c>
      <c r="M29" s="4">
        <f>L29-H29</f>
        <v/>
      </c>
      <c r="N29" s="4">
        <f>N28+M29</f>
        <v/>
      </c>
    </row>
    <row r="30">
      <c r="A30" t="n">
        <v>2028</v>
      </c>
      <c r="B30" s="4" t="n"/>
      <c r="C30" s="8" t="n"/>
      <c r="D30" s="4">
        <f>E30*AVERAGE($C$19:$C$27)</f>
        <v/>
      </c>
      <c r="E30" s="4">
        <f>'WEO_Data'!D32</f>
        <v/>
      </c>
      <c r="F30" s="8">
        <f>LN(D30)</f>
        <v/>
      </c>
      <c r="G30" s="8">
        <f>TREND('Production'!$G$7:$G$28,'Production'!$A$7:$A$28,A30)</f>
        <v/>
      </c>
      <c r="H30" s="4">
        <f>EXP(G30+'PWT'!$B$7*F30)</f>
        <v/>
      </c>
      <c r="I30" s="4">
        <f>'Investment'!B11</f>
        <v/>
      </c>
      <c r="J30" s="4">
        <f>I30/(1-'Production'!$B$3)</f>
        <v/>
      </c>
      <c r="K30" s="4">
        <f>D30+J30</f>
        <v/>
      </c>
      <c r="L30" s="4">
        <f>EXP(G30+'PWT'!$B$7*LN(K30))</f>
        <v/>
      </c>
      <c r="M30" s="4">
        <f>L30-H30</f>
        <v/>
      </c>
      <c r="N30" s="4">
        <f>N29+M30</f>
        <v/>
      </c>
    </row>
    <row r="31">
      <c r="A31" t="n">
        <v>2029</v>
      </c>
      <c r="B31" s="4" t="n"/>
      <c r="C31" s="8" t="n"/>
      <c r="D31" s="4">
        <f>E31*AVERAGE($C$19:$C$27)</f>
        <v/>
      </c>
      <c r="E31" s="4">
        <f>'WEO_Data'!D33</f>
        <v/>
      </c>
      <c r="F31" s="8">
        <f>LN(D31)</f>
        <v/>
      </c>
      <c r="G31" s="8">
        <f>TREND('Production'!$G$7:$G$28,'Production'!$A$7:$A$28,A31)</f>
        <v/>
      </c>
      <c r="H31" s="4">
        <f>EXP(G31+'PWT'!$B$7*F31)</f>
        <v/>
      </c>
      <c r="I31" s="4">
        <f>'Investment'!B12</f>
        <v/>
      </c>
      <c r="J31" s="4">
        <f>I31/(1-'Production'!$B$3)</f>
        <v/>
      </c>
      <c r="K31" s="4">
        <f>D31+J31</f>
        <v/>
      </c>
      <c r="L31" s="4">
        <f>EXP(G31+'PWT'!$B$7*LN(K31))</f>
        <v/>
      </c>
      <c r="M31" s="4">
        <f>L31-H31</f>
        <v/>
      </c>
      <c r="N31" s="4">
        <f>N30+M31</f>
        <v/>
      </c>
    </row>
    <row r="32">
      <c r="A32" t="n">
        <v>2030</v>
      </c>
      <c r="B32" s="4" t="n"/>
      <c r="C32" s="8" t="n"/>
      <c r="D32" s="4">
        <f>E32*AVERAGE($C$19:$C$27)</f>
        <v/>
      </c>
      <c r="E32" s="4">
        <f>'WEO_Data'!D34</f>
        <v/>
      </c>
      <c r="F32" s="8">
        <f>LN(D32)</f>
        <v/>
      </c>
      <c r="G32" s="8">
        <f>TREND('Production'!$G$7:$G$28,'Production'!$A$7:$A$28,A32)</f>
        <v/>
      </c>
      <c r="H32" s="4">
        <f>EXP(G32+'PWT'!$B$7*F32)</f>
        <v/>
      </c>
      <c r="I32" s="4">
        <f>'Investment'!B13</f>
        <v/>
      </c>
      <c r="J32" s="4">
        <f>I32/(1-'Production'!$B$3)</f>
        <v/>
      </c>
      <c r="K32" s="4">
        <f>D32+J32</f>
        <v/>
      </c>
      <c r="L32" s="4">
        <f>EXP(G32+'PWT'!$B$7*LN(K32))</f>
        <v/>
      </c>
      <c r="M32" s="4">
        <f>L32-H32</f>
        <v/>
      </c>
      <c r="N32" s="4">
        <f>N31+M32</f>
        <v/>
      </c>
    </row>
    <row r="33">
      <c r="A33" t="n">
        <v>2031</v>
      </c>
      <c r="B33" s="4" t="n"/>
      <c r="C33" s="8" t="n"/>
      <c r="D33" s="4">
        <f>E33*AVERAGE($C$19:$C$27)</f>
        <v/>
      </c>
      <c r="E33" s="4">
        <f>'WEO_Data'!D35</f>
        <v/>
      </c>
      <c r="F33" s="8">
        <f>LN(D33)</f>
        <v/>
      </c>
      <c r="G33" s="8">
        <f>TREND('Production'!$G$7:$G$28,'Production'!$A$7:$A$28,A33)</f>
        <v/>
      </c>
      <c r="H33" s="4">
        <f>EXP(G33+'PWT'!$B$7*F33)</f>
        <v/>
      </c>
      <c r="I33" s="4">
        <f>'Investment'!B14</f>
        <v/>
      </c>
      <c r="J33" s="4">
        <f>I33/(1-'Production'!$B$3)</f>
        <v/>
      </c>
      <c r="K33" s="4">
        <f>D33+J33</f>
        <v/>
      </c>
      <c r="L33" s="4">
        <f>EXP(G33+'PWT'!$B$7*LN(K33))</f>
        <v/>
      </c>
      <c r="M33" s="4">
        <f>L33-H33</f>
        <v/>
      </c>
      <c r="N33" s="4">
        <f>N32+M33</f>
        <v/>
      </c>
    </row>
    <row r="34">
      <c r="A34" t="n">
        <v>2032</v>
      </c>
      <c r="B34" s="4" t="n"/>
      <c r="C34" s="8" t="n"/>
      <c r="D34" s="4">
        <f>E34*AVERAGE($C$19:$C$27)</f>
        <v/>
      </c>
      <c r="E34" s="4">
        <f>'WEO_Data'!D36</f>
        <v/>
      </c>
      <c r="F34" s="8">
        <f>LN(D34)</f>
        <v/>
      </c>
      <c r="G34" s="8">
        <f>TREND('Production'!$G$7:$G$28,'Production'!$A$7:$A$28,A34)</f>
        <v/>
      </c>
      <c r="H34" s="4">
        <f>EXP(G34+'PWT'!$B$7*F34)</f>
        <v/>
      </c>
      <c r="I34" s="4">
        <f>'Investment'!B15</f>
        <v/>
      </c>
      <c r="J34" s="4">
        <f>I34/(1-'Production'!$B$3)</f>
        <v/>
      </c>
      <c r="K34" s="4">
        <f>D34+J34</f>
        <v/>
      </c>
      <c r="L34" s="4">
        <f>EXP(G34+'PWT'!$B$7*LN(K34))</f>
        <v/>
      </c>
      <c r="M34" s="4">
        <f>L34-H34</f>
        <v/>
      </c>
      <c r="N34" s="4">
        <f>N33+M34</f>
        <v/>
      </c>
    </row>
    <row r="35">
      <c r="A35" t="n">
        <v>2033</v>
      </c>
      <c r="B35" s="4" t="n"/>
      <c r="C35" s="8" t="n"/>
      <c r="D35" s="4">
        <f>E35*AVERAGE($C$19:$C$27)</f>
        <v/>
      </c>
      <c r="E35" s="4">
        <f>'WEO_Data'!D37</f>
        <v/>
      </c>
      <c r="F35" s="8">
        <f>LN(D35)</f>
        <v/>
      </c>
      <c r="G35" s="8">
        <f>TREND('Production'!$G$7:$G$28,'Production'!$A$7:$A$28,A35)</f>
        <v/>
      </c>
      <c r="H35" s="4">
        <f>EXP(G35+'PWT'!$B$7*F35)</f>
        <v/>
      </c>
      <c r="I35" s="4">
        <f>'Investment'!B16</f>
        <v/>
      </c>
      <c r="J35" s="4">
        <f>I35/(1-'Production'!$B$3)</f>
        <v/>
      </c>
      <c r="K35" s="4">
        <f>D35+J35</f>
        <v/>
      </c>
      <c r="L35" s="4">
        <f>EXP(G35+'PWT'!$B$7*LN(K35))</f>
        <v/>
      </c>
      <c r="M35" s="4">
        <f>L35-H35</f>
        <v/>
      </c>
      <c r="N35" s="4">
        <f>N34+M35</f>
        <v/>
      </c>
    </row>
    <row r="36">
      <c r="A36" t="n">
        <v>2034</v>
      </c>
      <c r="B36" s="4" t="n"/>
      <c r="C36" s="8" t="n"/>
      <c r="D36" s="4">
        <f>E36*AVERAGE($C$19:$C$27)</f>
        <v/>
      </c>
      <c r="E36" s="4">
        <f>'WEO_Data'!D38</f>
        <v/>
      </c>
      <c r="F36" s="8">
        <f>LN(D36)</f>
        <v/>
      </c>
      <c r="G36" s="8">
        <f>TREND('Production'!$G$7:$G$28,'Production'!$A$7:$A$28,A36)</f>
        <v/>
      </c>
      <c r="H36" s="4">
        <f>EXP(G36+'PWT'!$B$7*F36)</f>
        <v/>
      </c>
      <c r="I36" s="4" t="n">
        <v>0</v>
      </c>
      <c r="J36" s="4">
        <f>I36/(1-'Production'!$B$3)</f>
        <v/>
      </c>
      <c r="K36" s="4">
        <f>D36+J36</f>
        <v/>
      </c>
      <c r="L36" s="4">
        <f>EXP(G36+'PWT'!$B$7*LN(K36))</f>
        <v/>
      </c>
      <c r="M36" s="4">
        <f>L36-H36</f>
        <v/>
      </c>
      <c r="N36" s="4">
        <f>N35+M36</f>
        <v/>
      </c>
    </row>
    <row r="37">
      <c r="A37" t="n">
        <v>2035</v>
      </c>
      <c r="B37" s="4" t="n"/>
      <c r="C37" s="8" t="n"/>
      <c r="D37" s="4">
        <f>E37*AVERAGE($C$19:$C$27)</f>
        <v/>
      </c>
      <c r="E37" s="4">
        <f>'WEO_Data'!D39</f>
        <v/>
      </c>
      <c r="F37" s="8">
        <f>LN(D37)</f>
        <v/>
      </c>
      <c r="G37" s="8">
        <f>TREND('Production'!$G$7:$G$28,'Production'!$A$7:$A$28,A37)</f>
        <v/>
      </c>
      <c r="H37" s="4">
        <f>EXP(G37+'PWT'!$B$7*F37)</f>
        <v/>
      </c>
      <c r="I37" s="4" t="n">
        <v>0</v>
      </c>
      <c r="J37" s="4">
        <f>I37/(1-'Production'!$B$3)</f>
        <v/>
      </c>
      <c r="K37" s="4">
        <f>D37+J37</f>
        <v/>
      </c>
      <c r="L37" s="4">
        <f>EXP(G37+'PWT'!$B$7*LN(K37))</f>
        <v/>
      </c>
      <c r="M37" s="4">
        <f>L37-H37</f>
        <v/>
      </c>
      <c r="N37" s="4">
        <f>N36+M37</f>
        <v/>
      </c>
    </row>
    <row r="38">
      <c r="A38" t="n">
        <v>2036</v>
      </c>
      <c r="B38" s="4" t="n"/>
      <c r="C38" s="8" t="n"/>
      <c r="D38" s="4">
        <f>E38*AVERAGE($C$19:$C$27)</f>
        <v/>
      </c>
      <c r="E38" s="4">
        <f>'WEO_Data'!D40</f>
        <v/>
      </c>
      <c r="F38" s="8">
        <f>LN(D38)</f>
        <v/>
      </c>
      <c r="G38" s="8">
        <f>TREND('Production'!$G$7:$G$28,'Production'!$A$7:$A$28,A38)</f>
        <v/>
      </c>
      <c r="H38" s="4">
        <f>EXP(G38+'PWT'!$B$7*F38)</f>
        <v/>
      </c>
      <c r="I38" s="4" t="n">
        <v>0</v>
      </c>
      <c r="J38" s="4">
        <f>I38/(1-'Production'!$B$3)</f>
        <v/>
      </c>
      <c r="K38" s="4">
        <f>D38+J38</f>
        <v/>
      </c>
      <c r="L38" s="4">
        <f>EXP(G38+'PWT'!$B$7*LN(K38))</f>
        <v/>
      </c>
      <c r="M38" s="4">
        <f>L38-H38</f>
        <v/>
      </c>
      <c r="N38" s="4">
        <f>N37+M38</f>
        <v/>
      </c>
    </row>
    <row r="39">
      <c r="A39" t="n">
        <v>2037</v>
      </c>
      <c r="B39" s="4" t="n"/>
      <c r="C39" s="8" t="n"/>
      <c r="D39" s="4">
        <f>E39*AVERAGE($C$19:$C$27)</f>
        <v/>
      </c>
      <c r="E39" s="4">
        <f>'WEO_Data'!D41</f>
        <v/>
      </c>
      <c r="F39" s="8">
        <f>LN(D39)</f>
        <v/>
      </c>
      <c r="G39" s="8">
        <f>TREND('Production'!$G$7:$G$28,'Production'!$A$7:$A$28,A39)</f>
        <v/>
      </c>
      <c r="H39" s="4">
        <f>EXP(G39+'PWT'!$B$7*F39)</f>
        <v/>
      </c>
      <c r="I39" s="4" t="n">
        <v>0</v>
      </c>
      <c r="J39" s="4">
        <f>I39/(1-'Production'!$B$3)</f>
        <v/>
      </c>
      <c r="K39" s="4">
        <f>D39+J39</f>
        <v/>
      </c>
      <c r="L39" s="4">
        <f>EXP(G39+'PWT'!$B$7*LN(K39))</f>
        <v/>
      </c>
      <c r="M39" s="4">
        <f>L39-H39</f>
        <v/>
      </c>
      <c r="N39" s="4">
        <f>N38+M39</f>
        <v/>
      </c>
    </row>
    <row r="40">
      <c r="A40" t="n">
        <v>2038</v>
      </c>
      <c r="B40" s="4" t="n"/>
      <c r="C40" s="8" t="n"/>
      <c r="D40" s="4">
        <f>E40*AVERAGE($C$19:$C$27)</f>
        <v/>
      </c>
      <c r="E40" s="4">
        <f>'WEO_Data'!D42</f>
        <v/>
      </c>
      <c r="F40" s="8">
        <f>LN(D40)</f>
        <v/>
      </c>
      <c r="G40" s="8">
        <f>TREND('Production'!$G$7:$G$28,'Production'!$A$7:$A$28,A40)</f>
        <v/>
      </c>
      <c r="H40" s="4">
        <f>EXP(G40+'PWT'!$B$7*F40)</f>
        <v/>
      </c>
      <c r="I40" s="4" t="n">
        <v>0</v>
      </c>
      <c r="J40" s="4">
        <f>I40/(1-'Production'!$B$3)</f>
        <v/>
      </c>
      <c r="K40" s="4">
        <f>D40+J40</f>
        <v/>
      </c>
      <c r="L40" s="4">
        <f>EXP(G40+'PWT'!$B$7*LN(K40))</f>
        <v/>
      </c>
      <c r="M40" s="4">
        <f>L40-H40</f>
        <v/>
      </c>
      <c r="N40" s="4">
        <f>N39+M40</f>
        <v/>
      </c>
    </row>
    <row r="41">
      <c r="A41" t="n">
        <v>2039</v>
      </c>
      <c r="B41" s="4" t="n"/>
      <c r="C41" s="8" t="n"/>
      <c r="D41" s="4">
        <f>E41*AVERAGE($C$19:$C$27)</f>
        <v/>
      </c>
      <c r="E41" s="4">
        <f>'WEO_Data'!D43</f>
        <v/>
      </c>
      <c r="F41" s="8">
        <f>LN(D41)</f>
        <v/>
      </c>
      <c r="G41" s="8">
        <f>TREND('Production'!$G$7:$G$28,'Production'!$A$7:$A$28,A41)</f>
        <v/>
      </c>
      <c r="H41" s="4">
        <f>EXP(G41+'PWT'!$B$7*F41)</f>
        <v/>
      </c>
      <c r="I41" s="4" t="n">
        <v>0</v>
      </c>
      <c r="J41" s="4">
        <f>I41/(1-'Production'!$B$3)</f>
        <v/>
      </c>
      <c r="K41" s="4">
        <f>D41+J41</f>
        <v/>
      </c>
      <c r="L41" s="4">
        <f>EXP(G41+'PWT'!$B$7*LN(K41))</f>
        <v/>
      </c>
      <c r="M41" s="4">
        <f>L41-H41</f>
        <v/>
      </c>
      <c r="N41" s="4">
        <f>N40+M41</f>
        <v/>
      </c>
    </row>
    <row r="42">
      <c r="A42" t="n">
        <v>2040</v>
      </c>
      <c r="B42" s="4" t="n"/>
      <c r="C42" s="8" t="n"/>
      <c r="D42" s="4">
        <f>E42*AVERAGE($C$19:$C$27)</f>
        <v/>
      </c>
      <c r="E42" s="4">
        <f>'WEO_Data'!D44</f>
        <v/>
      </c>
      <c r="F42" s="8">
        <f>LN(D42)</f>
        <v/>
      </c>
      <c r="G42" s="8">
        <f>TREND('Production'!$G$7:$G$28,'Production'!$A$7:$A$28,A42)</f>
        <v/>
      </c>
      <c r="H42" s="4">
        <f>EXP(G42+'PWT'!$B$7*F42)</f>
        <v/>
      </c>
      <c r="I42" s="4" t="n">
        <v>0</v>
      </c>
      <c r="J42" s="4">
        <f>I42/(1-'Production'!$B$3)</f>
        <v/>
      </c>
      <c r="K42" s="4">
        <f>D42+J42</f>
        <v/>
      </c>
      <c r="L42" s="4">
        <f>EXP(G42+'PWT'!$B$7*LN(K42))</f>
        <v/>
      </c>
      <c r="M42" s="4">
        <f>L42-H42</f>
        <v/>
      </c>
      <c r="N42" s="4">
        <f>N41+M42</f>
        <v/>
      </c>
    </row>
    <row r="43">
      <c r="A43" t="n">
        <v>2041</v>
      </c>
      <c r="B43" s="4" t="n"/>
      <c r="C43" s="8" t="n"/>
      <c r="D43" s="4">
        <f>E43*AVERAGE($C$19:$C$27)</f>
        <v/>
      </c>
      <c r="E43" s="4">
        <f>'WEO_Data'!D45</f>
        <v/>
      </c>
      <c r="F43" s="8">
        <f>LN(D43)</f>
        <v/>
      </c>
      <c r="G43" s="8">
        <f>TREND('Production'!$G$7:$G$28,'Production'!$A$7:$A$28,A43)</f>
        <v/>
      </c>
      <c r="H43" s="4">
        <f>EXP(G43+'PWT'!$B$7*F43)</f>
        <v/>
      </c>
      <c r="I43" s="4" t="n">
        <v>0</v>
      </c>
      <c r="J43" s="4">
        <f>I43/(1-'Production'!$B$3)</f>
        <v/>
      </c>
      <c r="K43" s="4">
        <f>D43+J43</f>
        <v/>
      </c>
      <c r="L43" s="4">
        <f>EXP(G43+'PWT'!$B$7*LN(K43))</f>
        <v/>
      </c>
      <c r="M43" s="4">
        <f>L43-H43</f>
        <v/>
      </c>
      <c r="N43" s="4">
        <f>N42+M43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18" customWidth="1" min="4" max="4"/>
    <col width="20" customWidth="1" min="5" max="5"/>
  </cols>
  <sheetData>
    <row r="1">
      <c r="A1" s="9" t="inlineStr">
        <is>
          <t>Investment Shock Analysis - Summary Results</t>
        </is>
      </c>
    </row>
    <row r="3">
      <c r="A3" s="5" t="inlineStr">
        <is>
          <t>Key Parameters</t>
        </is>
      </c>
    </row>
    <row r="4">
      <c r="A4" t="inlineStr">
        <is>
          <t>Total Investment (8 years)</t>
        </is>
      </c>
      <c r="B4">
        <f>Investment!B4</f>
        <v/>
      </c>
      <c r="C4" t="inlineStr">
        <is>
          <t>Billion USD</t>
        </is>
      </c>
    </row>
    <row r="5">
      <c r="A5" t="inlineStr">
        <is>
          <t>Annual Investment</t>
        </is>
      </c>
      <c r="B5">
        <f>Investment!B5</f>
        <v/>
      </c>
      <c r="C5" t="inlineStr">
        <is>
          <t>Billion USD</t>
        </is>
      </c>
    </row>
    <row r="6">
      <c r="A6" t="inlineStr">
        <is>
          <t>Investment Period</t>
        </is>
      </c>
      <c r="B6" t="inlineStr">
        <is>
          <t>2026-2033</t>
        </is>
      </c>
    </row>
    <row r="7">
      <c r="A7" t="inlineStr">
        <is>
          <t>Capital Share (alpha)</t>
        </is>
      </c>
      <c r="B7">
        <f>PWT!B7</f>
        <v/>
      </c>
      <c r="C7" t="inlineStr">
        <is>
          <t>From PWT</t>
        </is>
      </c>
    </row>
    <row r="8">
      <c r="A8" t="inlineStr">
        <is>
          <t>Depreciation Rate</t>
        </is>
      </c>
      <c r="B8">
        <f>Production!B3</f>
        <v/>
      </c>
      <c r="C8" t="inlineStr">
        <is>
          <t>From CFC data</t>
        </is>
      </c>
    </row>
    <row r="11">
      <c r="A11" s="5" t="inlineStr">
        <is>
          <t>Results by Year</t>
        </is>
      </c>
    </row>
    <row r="12">
      <c r="A12" s="2" t="inlineStr">
        <is>
          <t>Year</t>
        </is>
      </c>
      <c r="B12" s="2" t="inlineStr">
        <is>
          <t>Ystar_base (Baseline)</t>
        </is>
      </c>
      <c r="C12" s="2" t="inlineStr">
        <is>
          <t>Ystar_with (With Investment)</t>
        </is>
      </c>
      <c r="D12" s="2" t="inlineStr">
        <is>
          <t>Annual Impact</t>
        </is>
      </c>
      <c r="E12" s="2" t="inlineStr">
        <is>
          <t>Cumulative Impact</t>
        </is>
      </c>
    </row>
    <row r="13">
      <c r="A13" t="n">
        <v>2024</v>
      </c>
      <c r="B13" s="4">
        <f>Production_Ext!H26</f>
        <v/>
      </c>
      <c r="C13" s="4">
        <f>Production_Ext!L26</f>
        <v/>
      </c>
      <c r="D13" s="4">
        <f>Production_Ext!M26</f>
        <v/>
      </c>
      <c r="E13" s="4">
        <f>Production_Ext!N26</f>
        <v/>
      </c>
    </row>
    <row r="14">
      <c r="A14" t="n">
        <v>2025</v>
      </c>
      <c r="B14" s="4">
        <f>Production_Ext!H27</f>
        <v/>
      </c>
      <c r="C14" s="4">
        <f>Production_Ext!L27</f>
        <v/>
      </c>
      <c r="D14" s="4">
        <f>Production_Ext!M27</f>
        <v/>
      </c>
      <c r="E14" s="4">
        <f>Production_Ext!N27</f>
        <v/>
      </c>
    </row>
    <row r="15">
      <c r="A15" t="n">
        <v>2026</v>
      </c>
      <c r="B15" s="4">
        <f>Production_Ext!H28</f>
        <v/>
      </c>
      <c r="C15" s="4">
        <f>Production_Ext!L28</f>
        <v/>
      </c>
      <c r="D15" s="4">
        <f>Production_Ext!M28</f>
        <v/>
      </c>
      <c r="E15" s="4">
        <f>Production_Ext!N28</f>
        <v/>
      </c>
    </row>
    <row r="16">
      <c r="A16" t="n">
        <v>2027</v>
      </c>
      <c r="B16" s="4">
        <f>Production_Ext!H29</f>
        <v/>
      </c>
      <c r="C16" s="4">
        <f>Production_Ext!L29</f>
        <v/>
      </c>
      <c r="D16" s="4">
        <f>Production_Ext!M29</f>
        <v/>
      </c>
      <c r="E16" s="4">
        <f>Production_Ext!N29</f>
        <v/>
      </c>
    </row>
    <row r="17">
      <c r="A17" t="n">
        <v>2028</v>
      </c>
      <c r="B17" s="4">
        <f>Production_Ext!H30</f>
        <v/>
      </c>
      <c r="C17" s="4">
        <f>Production_Ext!L30</f>
        <v/>
      </c>
      <c r="D17" s="4">
        <f>Production_Ext!M30</f>
        <v/>
      </c>
      <c r="E17" s="4">
        <f>Production_Ext!N30</f>
        <v/>
      </c>
    </row>
    <row r="18">
      <c r="A18" t="n">
        <v>2029</v>
      </c>
      <c r="B18" s="4">
        <f>Production_Ext!H31</f>
        <v/>
      </c>
      <c r="C18" s="4">
        <f>Production_Ext!L31</f>
        <v/>
      </c>
      <c r="D18" s="4">
        <f>Production_Ext!M31</f>
        <v/>
      </c>
      <c r="E18" s="4">
        <f>Production_Ext!N31</f>
        <v/>
      </c>
    </row>
    <row r="19">
      <c r="A19" t="n">
        <v>2030</v>
      </c>
      <c r="B19" s="4">
        <f>Production_Ext!H32</f>
        <v/>
      </c>
      <c r="C19" s="4">
        <f>Production_Ext!L32</f>
        <v/>
      </c>
      <c r="D19" s="4">
        <f>Production_Ext!M32</f>
        <v/>
      </c>
      <c r="E19" s="4">
        <f>Production_Ext!N32</f>
        <v/>
      </c>
    </row>
    <row r="20">
      <c r="A20" t="n">
        <v>2031</v>
      </c>
      <c r="B20" s="4">
        <f>Production_Ext!H33</f>
        <v/>
      </c>
      <c r="C20" s="4">
        <f>Production_Ext!L33</f>
        <v/>
      </c>
      <c r="D20" s="4">
        <f>Production_Ext!M33</f>
        <v/>
      </c>
      <c r="E20" s="4">
        <f>Production_Ext!N33</f>
        <v/>
      </c>
    </row>
    <row r="21">
      <c r="A21" t="n">
        <v>2032</v>
      </c>
      <c r="B21" s="4">
        <f>Production_Ext!H34</f>
        <v/>
      </c>
      <c r="C21" s="4">
        <f>Production_Ext!L34</f>
        <v/>
      </c>
      <c r="D21" s="4">
        <f>Production_Ext!M34</f>
        <v/>
      </c>
      <c r="E21" s="4">
        <f>Production_Ext!N34</f>
        <v/>
      </c>
    </row>
    <row r="22">
      <c r="A22" t="n">
        <v>2033</v>
      </c>
      <c r="B22" s="4">
        <f>Production_Ext!H35</f>
        <v/>
      </c>
      <c r="C22" s="4">
        <f>Production_Ext!L35</f>
        <v/>
      </c>
      <c r="D22" s="4">
        <f>Production_Ext!M35</f>
        <v/>
      </c>
      <c r="E22" s="4">
        <f>Production_Ext!N35</f>
        <v/>
      </c>
    </row>
    <row r="23">
      <c r="A23" t="n">
        <v>2034</v>
      </c>
      <c r="B23" s="4">
        <f>Production_Ext!H36</f>
        <v/>
      </c>
      <c r="C23" s="4">
        <f>Production_Ext!L36</f>
        <v/>
      </c>
      <c r="D23" s="4">
        <f>Production_Ext!M36</f>
        <v/>
      </c>
      <c r="E23" s="4">
        <f>Production_Ext!N36</f>
        <v/>
      </c>
    </row>
    <row r="24">
      <c r="A24" t="n">
        <v>2035</v>
      </c>
      <c r="B24" s="4">
        <f>Production_Ext!H37</f>
        <v/>
      </c>
      <c r="C24" s="4">
        <f>Production_Ext!L37</f>
        <v/>
      </c>
      <c r="D24" s="4">
        <f>Production_Ext!M37</f>
        <v/>
      </c>
      <c r="E24" s="4">
        <f>Production_Ext!N37</f>
        <v/>
      </c>
    </row>
    <row r="25">
      <c r="A25" t="n">
        <v>2036</v>
      </c>
      <c r="B25" s="4">
        <f>Production_Ext!H38</f>
        <v/>
      </c>
      <c r="C25" s="4">
        <f>Production_Ext!L38</f>
        <v/>
      </c>
      <c r="D25" s="4">
        <f>Production_Ext!M38</f>
        <v/>
      </c>
      <c r="E25" s="4">
        <f>Production_Ext!N38</f>
        <v/>
      </c>
    </row>
    <row r="26">
      <c r="A26" t="n">
        <v>2037</v>
      </c>
      <c r="B26" s="4">
        <f>Production_Ext!H39</f>
        <v/>
      </c>
      <c r="C26" s="4">
        <f>Production_Ext!L39</f>
        <v/>
      </c>
      <c r="D26" s="4">
        <f>Production_Ext!M39</f>
        <v/>
      </c>
      <c r="E26" s="4">
        <f>Production_Ext!N39</f>
        <v/>
      </c>
    </row>
    <row r="27">
      <c r="A27" t="n">
        <v>2038</v>
      </c>
      <c r="B27" s="4">
        <f>Production_Ext!H40</f>
        <v/>
      </c>
      <c r="C27" s="4">
        <f>Production_Ext!L40</f>
        <v/>
      </c>
      <c r="D27" s="4">
        <f>Production_Ext!M40</f>
        <v/>
      </c>
      <c r="E27" s="4">
        <f>Production_Ext!N40</f>
        <v/>
      </c>
    </row>
    <row r="28">
      <c r="A28" t="n">
        <v>2039</v>
      </c>
      <c r="B28" s="4">
        <f>Production_Ext!H41</f>
        <v/>
      </c>
      <c r="C28" s="4">
        <f>Production_Ext!L41</f>
        <v/>
      </c>
      <c r="D28" s="4">
        <f>Production_Ext!M41</f>
        <v/>
      </c>
      <c r="E28" s="4">
        <f>Production_Ext!N41</f>
        <v/>
      </c>
    </row>
    <row r="29">
      <c r="A29" t="n">
        <v>2040</v>
      </c>
      <c r="B29" s="4">
        <f>Production_Ext!H42</f>
        <v/>
      </c>
      <c r="C29" s="4">
        <f>Production_Ext!L42</f>
        <v/>
      </c>
      <c r="D29" s="4">
        <f>Production_Ext!M42</f>
        <v/>
      </c>
      <c r="E29" s="4">
        <f>Production_Ext!N42</f>
        <v/>
      </c>
    </row>
    <row r="30">
      <c r="A30" t="n">
        <v>2041</v>
      </c>
      <c r="B30" s="4">
        <f>Production_Ext!H43</f>
        <v/>
      </c>
      <c r="C30" s="4">
        <f>Production_Ext!L43</f>
        <v/>
      </c>
      <c r="D30" s="4">
        <f>Production_Ext!M43</f>
        <v/>
      </c>
      <c r="E30" s="4">
        <f>Production_Ext!N43</f>
        <v/>
      </c>
    </row>
    <row r="35">
      <c r="A35" s="5" t="inlineStr">
        <is>
          <t>Summary Statistics</t>
        </is>
      </c>
    </row>
    <row r="36">
      <c r="A36" t="inlineStr">
        <is>
          <t>Total Cumulative Impact (2024-2041)</t>
        </is>
      </c>
      <c r="B36" s="4">
        <f>E30</f>
        <v/>
      </c>
    </row>
    <row r="37">
      <c r="A37" t="inlineStr">
        <is>
          <t>Average Annual Impact (2026-2033)</t>
        </is>
      </c>
      <c r="B37" s="4">
        <f>AVERAGE(D14:D21)</f>
        <v/>
      </c>
    </row>
    <row r="38">
      <c r="A38" t="inlineStr">
        <is>
          <t>Average Annual Impact (2034-2041)</t>
        </is>
      </c>
      <c r="B38" s="4">
        <f>AVERAGE(D22:D30)</f>
        <v/>
      </c>
    </row>
    <row r="39">
      <c r="A39" t="inlineStr">
        <is>
          <t>Peak Annual Impact</t>
        </is>
      </c>
      <c r="B39" s="4">
        <f>MAX(D13:D30)</f>
        <v/>
      </c>
    </row>
    <row r="40">
      <c r="A40" t="inlineStr">
        <is>
          <t>Peak Year</t>
        </is>
      </c>
      <c r="B40">
        <f>INDEX($A$13:$A$30,MATCH(MAX($D$13:$D$30),$D$13:$D$30,0))</f>
        <v/>
      </c>
    </row>
    <row r="43">
      <c r="A43" s="10" t="inlineStr">
        <is>
          <t>HP Filter Solver Instructions</t>
        </is>
      </c>
    </row>
    <row r="44">
      <c r="A44" s="11" t="inlineStr">
        <is>
          <t>To optimize the HP Filter in Excel:</t>
        </is>
      </c>
    </row>
    <row r="45">
      <c r="A45" t="inlineStr">
        <is>
          <t>1. Go to Data &gt; Solver (or Tools &gt; Solver)</t>
        </is>
      </c>
    </row>
    <row r="46">
      <c r="A46" t="inlineStr">
        <is>
          <t>2. Set Objective: Production!P5 (minimize)</t>
        </is>
      </c>
    </row>
    <row r="47">
      <c r="A47" t="inlineStr">
        <is>
          <t>3. To: Min</t>
        </is>
      </c>
    </row>
    <row r="48">
      <c r="A48" t="inlineStr">
        <is>
          <t>4. By Changing: Production!N7:N28</t>
        </is>
      </c>
    </row>
    <row r="49">
      <c r="A49" t="inlineStr">
        <is>
          <t>5. Leave Constraints empty</t>
        </is>
      </c>
    </row>
    <row r="50">
      <c r="A50" t="inlineStr">
        <is>
          <t>6. Select GRG Nonlinear solver</t>
        </is>
      </c>
    </row>
    <row r="51">
      <c r="A51" t="inlineStr">
        <is>
          <t>7. Click Solve</t>
        </is>
      </c>
    </row>
    <row r="52"/>
    <row r="53">
      <c r="A53" t="inlineStr">
        <is>
          <t>The smoothing parameter Lambda = 1600 can be adjusted</t>
        </is>
      </c>
    </row>
    <row r="54">
      <c r="A54" t="inlineStr">
        <is>
          <t>in Production sheet cell B31 to balance fit vs smoothness.</t>
        </is>
      </c>
    </row>
    <row r="55">
      <c r="A55" t="inlineStr">
        <is>
          <t>Higher Lambda = smoother trend, worse fit.</t>
        </is>
      </c>
    </row>
    <row r="56">
      <c r="A56" t="inlineStr">
        <is>
          <t>Lower Lambda = better fit, more volatile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2026-01-29T04:42:26Z</dcterms:created>
  <dcterms:modified xsi:type="dcterms:W3CDTF">2026-01-29T04:43:15Z</dcterms:modified>
</cp:coreProperties>
</file>