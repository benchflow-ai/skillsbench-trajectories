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Log Return (%)</t>
        </is>
      </c>
      <c r="D1" t="inlineStr">
        <is>
          <t>3-Month Vol</t>
        </is>
      </c>
      <c r="E1" t="inlineStr">
        <is>
          <t>12-Month Vol</t>
        </is>
      </c>
    </row>
    <row r="2">
      <c r="A2" t="inlineStr">
        <is>
          <t>1990-01</t>
        </is>
      </c>
      <c r="B2" t="n">
        <v>409.819061279297</v>
      </c>
    </row>
    <row r="3">
      <c r="A3" t="inlineStr">
        <is>
          <t>1990-02</t>
        </is>
      </c>
      <c r="B3" t="n">
        <v>417.181060791016</v>
      </c>
      <c r="C3">
        <f>LN(B3/B2)*100</f>
        <v/>
      </c>
    </row>
    <row r="4">
      <c r="A4" t="inlineStr">
        <is>
          <t>1990-03</t>
        </is>
      </c>
      <c r="B4" t="n">
        <v>392.703338623047</v>
      </c>
      <c r="C4">
        <f>LN(B4/B3)*100</f>
        <v/>
      </c>
    </row>
    <row r="5">
      <c r="A5" t="inlineStr">
        <is>
          <t>1990-04</t>
        </is>
      </c>
      <c r="B5" t="n">
        <v>374.292114257813</v>
      </c>
      <c r="C5">
        <f>LN(B5/B4)*100</f>
        <v/>
      </c>
      <c r="D5">
        <f>STDEV(C3:C5)</f>
        <v/>
      </c>
    </row>
    <row r="6">
      <c r="A6" t="inlineStr">
        <is>
          <t>1990-05</t>
        </is>
      </c>
      <c r="B6" t="n">
        <v>369.197631835938</v>
      </c>
      <c r="C6">
        <f>LN(B6/B5)*100</f>
        <v/>
      </c>
      <c r="D6">
        <f>STDEV(C4:C6)</f>
        <v/>
      </c>
    </row>
    <row r="7">
      <c r="A7" t="inlineStr">
        <is>
          <t>1990-06</t>
        </is>
      </c>
      <c r="B7" t="n">
        <v>352.527618408203</v>
      </c>
      <c r="C7">
        <f>LN(B7/B6)*100</f>
        <v/>
      </c>
      <c r="D7">
        <f>STDEV(C5:C7)</f>
        <v/>
      </c>
    </row>
    <row r="8">
      <c r="A8" t="inlineStr">
        <is>
          <t>1990-07</t>
        </is>
      </c>
      <c r="B8" t="n">
        <v>362.498565673828</v>
      </c>
      <c r="C8">
        <f>LN(B8/B7)*100</f>
        <v/>
      </c>
      <c r="D8">
        <f>STDEV(C6:C8)</f>
        <v/>
      </c>
    </row>
    <row r="9">
      <c r="A9" t="inlineStr">
        <is>
          <t>1990-08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t="inlineStr">
        <is>
          <t>1990-09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t="inlineStr">
        <is>
          <t>1990-10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t="inlineStr">
        <is>
          <t>1990-11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t="inlineStr">
        <is>
          <t>1990-12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t="inlineStr">
        <is>
          <t>1991-01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t="inlineStr">
        <is>
          <t>1991-02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t="inlineStr">
        <is>
          <t>1991-03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t="inlineStr">
        <is>
          <t>1991-04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t="inlineStr">
        <is>
          <t>1991-05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t="inlineStr">
        <is>
          <t>1991-06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t="inlineStr">
        <is>
          <t>1991-07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t="inlineStr">
        <is>
          <t>1991-08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t="inlineStr">
        <is>
          <t>1991-09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t="inlineStr">
        <is>
          <t>1991-10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t="inlineStr">
        <is>
          <t>1991-11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t="inlineStr">
        <is>
          <t>1991-12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t="inlineStr">
        <is>
          <t>1992-01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t="inlineStr">
        <is>
          <t>1992-02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t="inlineStr">
        <is>
          <t>1992-03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t="inlineStr">
        <is>
          <t>1992-04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t="inlineStr">
        <is>
          <t>1992-05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t="inlineStr">
        <is>
          <t>1992-06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t="inlineStr">
        <is>
          <t>1992-07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t="inlineStr">
        <is>
          <t>1992-08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t="inlineStr">
        <is>
          <t>1992-09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t="inlineStr">
        <is>
          <t>1992-10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t="inlineStr">
        <is>
          <t>1992-11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t="inlineStr">
        <is>
          <t>1992-12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t="inlineStr">
        <is>
          <t>1993-01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t="inlineStr">
        <is>
          <t>1993-02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t="inlineStr">
        <is>
          <t>1993-03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t="inlineStr">
        <is>
          <t>1993-04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t="inlineStr">
        <is>
          <t>1993-05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t="inlineStr">
        <is>
          <t>1993-06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t="inlineStr">
        <is>
          <t>1993-07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t="inlineStr">
        <is>
          <t>1993-08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t="inlineStr">
        <is>
          <t>1993-09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t="inlineStr">
        <is>
          <t>1993-10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t="inlineStr">
        <is>
          <t>1993-11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t="inlineStr">
        <is>
          <t>1993-12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t="inlineStr">
        <is>
          <t>1994-01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t="inlineStr">
        <is>
          <t>1994-02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t="inlineStr">
        <is>
          <t>1994-03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t="inlineStr">
        <is>
          <t>1994-04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t="inlineStr">
        <is>
          <t>1994-05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t="inlineStr">
        <is>
          <t>1994-06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t="inlineStr">
        <is>
          <t>1994-07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t="inlineStr">
        <is>
          <t>1994-08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t="inlineStr">
        <is>
          <t>1994-09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t="inlineStr">
        <is>
          <t>1994-10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t="inlineStr">
        <is>
          <t>1994-11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t="inlineStr">
        <is>
          <t>1994-12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t="inlineStr">
        <is>
          <t>1995-01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t="inlineStr">
        <is>
          <t>1995-02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t="inlineStr">
        <is>
          <t>1995-03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t="inlineStr">
        <is>
          <t>1995-04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t="inlineStr">
        <is>
          <t>1995-05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t="inlineStr">
        <is>
          <t>1995-06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t="inlineStr">
        <is>
          <t>1995-07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t="inlineStr">
        <is>
          <t>1995-08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t="inlineStr">
        <is>
          <t>1995-09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t="inlineStr">
        <is>
          <t>1995-10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t="inlineStr">
        <is>
          <t>1995-11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t="inlineStr">
        <is>
          <t>1995-12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t="inlineStr">
        <is>
          <t>1996-01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t="inlineStr">
        <is>
          <t>1996-02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t="inlineStr">
        <is>
          <t>1996-03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t="inlineStr">
        <is>
          <t>1996-04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t="inlineStr">
        <is>
          <t>1996-05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t="inlineStr">
        <is>
          <t>1996-06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t="inlineStr">
        <is>
          <t>1996-07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t="inlineStr">
        <is>
          <t>1996-08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t="inlineStr">
        <is>
          <t>1996-09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t="inlineStr">
        <is>
          <t>1996-10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t="inlineStr">
        <is>
          <t>1996-11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t="inlineStr">
        <is>
          <t>1996-12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t="inlineStr">
        <is>
          <t>1997-01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t="inlineStr">
        <is>
          <t>1997-02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t="inlineStr">
        <is>
          <t>1997-03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t="inlineStr">
        <is>
          <t>1997-04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t="inlineStr">
        <is>
          <t>1997-05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t="inlineStr">
        <is>
          <t>1997-06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t="inlineStr">
        <is>
          <t>1997-07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t="inlineStr">
        <is>
          <t>1997-08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t="inlineStr">
        <is>
          <t>1997-09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t="inlineStr">
        <is>
          <t>1997-10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t="inlineStr">
        <is>
          <t>1997-11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t="inlineStr">
        <is>
          <t>1997-12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t="inlineStr">
        <is>
          <t>1998-01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t="inlineStr">
        <is>
          <t>1998-02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t="inlineStr">
        <is>
          <t>1998-03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t="inlineStr">
        <is>
          <t>1998-04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t="inlineStr">
        <is>
          <t>1998-05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t="inlineStr">
        <is>
          <t>1998-06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t="inlineStr">
        <is>
          <t>1998-07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t="inlineStr">
        <is>
          <t>1998-08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t="inlineStr">
        <is>
          <t>1998-09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t="inlineStr">
        <is>
          <t>1998-10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t="inlineStr">
        <is>
          <t>1998-11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t="inlineStr">
        <is>
          <t>1998-12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t="inlineStr">
        <is>
          <t>1999-01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t="inlineStr">
        <is>
          <t>1999-02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t="inlineStr">
        <is>
          <t>1999-03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t="inlineStr">
        <is>
          <t>1999-04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t="inlineStr">
        <is>
          <t>1999-05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t="inlineStr">
        <is>
          <t>1999-06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t="inlineStr">
        <is>
          <t>1999-07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t="inlineStr">
        <is>
          <t>1999-08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t="inlineStr">
        <is>
          <t>1999-09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t="inlineStr">
        <is>
          <t>1999-10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t="inlineStr">
        <is>
          <t>1999-11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t="inlineStr">
        <is>
          <t>1999-12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t="inlineStr">
        <is>
          <t>2000-01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t="inlineStr">
        <is>
          <t>2000-02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t="inlineStr">
        <is>
          <t>2000-03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t="inlineStr">
        <is>
          <t>2000-04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t="inlineStr">
        <is>
          <t>2000-05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t="inlineStr">
        <is>
          <t>2000-06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t="inlineStr">
        <is>
          <t>2000-07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t="inlineStr">
        <is>
          <t>2000-08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t="inlineStr">
        <is>
          <t>2000-09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t="inlineStr">
        <is>
          <t>2000-10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t="inlineStr">
        <is>
          <t>2000-11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t="inlineStr">
        <is>
          <t>2000-12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t="inlineStr">
        <is>
          <t>2001-01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t="inlineStr">
        <is>
          <t>2001-02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t="inlineStr">
        <is>
          <t>2001-03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t="inlineStr">
        <is>
          <t>2001-04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t="inlineStr">
        <is>
          <t>2001-05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t="inlineStr">
        <is>
          <t>2001-06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t="inlineStr">
        <is>
          <t>2001-07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t="inlineStr">
        <is>
          <t>2001-08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t="inlineStr">
        <is>
          <t>2001-09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t="inlineStr">
        <is>
          <t>2001-10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t="inlineStr">
        <is>
          <t>2001-11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t="inlineStr">
        <is>
          <t>2001-12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t="inlineStr">
        <is>
          <t>2002-01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t="inlineStr">
        <is>
          <t>2002-02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t="inlineStr">
        <is>
          <t>2002-03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t="inlineStr">
        <is>
          <t>2002-04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t="inlineStr">
        <is>
          <t>2002-05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t="inlineStr">
        <is>
          <t>2002-06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t="inlineStr">
        <is>
          <t>2002-07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t="inlineStr">
        <is>
          <t>2002-08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t="inlineStr">
        <is>
          <t>2002-09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t="inlineStr">
        <is>
          <t>2002-10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t="inlineStr">
        <is>
          <t>2002-11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t="inlineStr">
        <is>
          <t>2002-12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t="inlineStr">
        <is>
          <t>2003-01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t="inlineStr">
        <is>
          <t>2003-02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t="inlineStr">
        <is>
          <t>2003-03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t="inlineStr">
        <is>
          <t>2003-04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t="inlineStr">
        <is>
          <t>2003-05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t="inlineStr">
        <is>
          <t>2003-06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t="inlineStr">
        <is>
          <t>2003-07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t="inlineStr">
        <is>
          <t>2003-08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t="inlineStr">
        <is>
          <t>2003-09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t="inlineStr">
        <is>
          <t>2003-10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t="inlineStr">
        <is>
          <t>2003-11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t="inlineStr">
        <is>
          <t>2003-12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t="inlineStr">
        <is>
          <t>2004-01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t="inlineStr">
        <is>
          <t>2004-02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t="inlineStr">
        <is>
          <t>2004-03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t="inlineStr">
        <is>
          <t>2004-04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t="inlineStr">
        <is>
          <t>2004-05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t="inlineStr">
        <is>
          <t>2004-06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t="inlineStr">
        <is>
          <t>2004-07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t="inlineStr">
        <is>
          <t>2004-08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t="inlineStr">
        <is>
          <t>2004-09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t="inlineStr">
        <is>
          <t>2004-10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t="inlineStr">
        <is>
          <t>2004-11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t="inlineStr">
        <is>
          <t>2004-12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t="inlineStr">
        <is>
          <t>2005-01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t="inlineStr">
        <is>
          <t>2005-02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t="inlineStr">
        <is>
          <t>2005-03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t="inlineStr">
        <is>
          <t>2005-04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t="inlineStr">
        <is>
          <t>2005-05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t="inlineStr">
        <is>
          <t>2005-06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t="inlineStr">
        <is>
          <t>2005-07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t="inlineStr">
        <is>
          <t>2005-08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t="inlineStr">
        <is>
          <t>2005-09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t="inlineStr">
        <is>
          <t>2005-10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t="inlineStr">
        <is>
          <t>2005-11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t="inlineStr">
        <is>
          <t>2005-12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t="inlineStr">
        <is>
          <t>2006-01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t="inlineStr">
        <is>
          <t>2006-02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t="inlineStr">
        <is>
          <t>2006-03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t="inlineStr">
        <is>
          <t>2006-04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t="inlineStr">
        <is>
          <t>2006-05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t="inlineStr">
        <is>
          <t>2006-06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t="inlineStr">
        <is>
          <t>2006-07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t="inlineStr">
        <is>
          <t>2006-08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t="inlineStr">
        <is>
          <t>2006-09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t="inlineStr">
        <is>
          <t>2006-10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t="inlineStr">
        <is>
          <t>2006-11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t="inlineStr">
        <is>
          <t>2006-12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t="inlineStr">
        <is>
          <t>2007-01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t="inlineStr">
        <is>
          <t>2007-02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t="inlineStr">
        <is>
          <t>2007-03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t="inlineStr">
        <is>
          <t>2007-04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t="inlineStr">
        <is>
          <t>2007-05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t="inlineStr">
        <is>
          <t>2007-06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t="inlineStr">
        <is>
          <t>2007-07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t="inlineStr">
        <is>
          <t>2007-08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t="inlineStr">
        <is>
          <t>2007-09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t="inlineStr">
        <is>
          <t>2007-10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t="inlineStr">
        <is>
          <t>2007-11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t="inlineStr">
        <is>
          <t>2007-12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t="inlineStr">
        <is>
          <t>2008-01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t="inlineStr">
        <is>
          <t>2008-02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t="inlineStr">
        <is>
          <t>2008-03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t="inlineStr">
        <is>
          <t>2008-04</t>
        </is>
      </c>
      <c r="B221" t="n">
        <v>909.7045454545456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t="inlineStr">
        <is>
          <t>2008-05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t="inlineStr">
        <is>
          <t>2008-06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t="inlineStr">
        <is>
          <t>2008-07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t="inlineStr">
        <is>
          <t>2008-08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t="inlineStr">
        <is>
          <t>2008-09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t="inlineStr">
        <is>
          <t>2008-10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t="inlineStr">
        <is>
          <t>2008-11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t="inlineStr">
        <is>
          <t>2008-12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t="inlineStr">
        <is>
          <t>2009-01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t="inlineStr">
        <is>
          <t>2009-02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t="inlineStr">
        <is>
          <t>2009-03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t="inlineStr">
        <is>
          <t>2009-04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t="inlineStr">
        <is>
          <t>2009-05</t>
        </is>
      </c>
      <c r="B234" t="n">
        <v>928.6447368421052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t="inlineStr">
        <is>
          <t>2009-06</t>
        </is>
      </c>
      <c r="B235" t="n">
        <v>945.6704545454544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t="inlineStr">
        <is>
          <t>2009-07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t="inlineStr">
        <is>
          <t>2009-08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t="inlineStr">
        <is>
          <t>2009-09</t>
        </is>
      </c>
      <c r="B238" t="n">
        <v>996.5909090909092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t="inlineStr">
        <is>
          <t>2009-10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t="inlineStr">
        <is>
          <t>2009-11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t="inlineStr">
        <is>
          <t>2009-12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t="inlineStr">
        <is>
          <t>2010-01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t="inlineStr">
        <is>
          <t>2010-02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t="inlineStr">
        <is>
          <t>2010-03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t="inlineStr">
        <is>
          <t>2010-04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t="inlineStr">
        <is>
          <t>2010-05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t="inlineStr">
        <is>
          <t>2010-06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t="inlineStr">
        <is>
          <t>2010-07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t="inlineStr">
        <is>
          <t>2010-08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t="inlineStr">
        <is>
          <t>2010-09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t="inlineStr">
        <is>
          <t>2010-10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t="inlineStr">
        <is>
          <t>2010-11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t="inlineStr">
        <is>
          <t>2010-12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t="inlineStr">
        <is>
          <t>2011-01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t="inlineStr">
        <is>
          <t>2011-02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t="inlineStr">
        <is>
          <t>2011-03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t="inlineStr">
        <is>
          <t>2011-04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t="inlineStr">
        <is>
          <t>2011-05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t="inlineStr">
        <is>
          <t>2011-06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t="inlineStr">
        <is>
          <t>2011-07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t="inlineStr">
        <is>
          <t>2011-08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t="inlineStr">
        <is>
          <t>2011-09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t="inlineStr">
        <is>
          <t>2011-10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t="inlineStr">
        <is>
          <t>2011-11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t="inlineStr">
        <is>
          <t>2011-12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t="inlineStr">
        <is>
          <t>2012-01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t="inlineStr">
        <is>
          <t>2012-02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t="inlineStr">
        <is>
          <t>2012-03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t="inlineStr">
        <is>
          <t>2012-04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t="inlineStr">
        <is>
          <t>2012-05</t>
        </is>
      </c>
      <c r="B270" t="n">
        <v>1585.504545454546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t="inlineStr">
        <is>
          <t>2012-06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t="inlineStr">
        <is>
          <t>2012-07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t="inlineStr">
        <is>
          <t>2012-08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t="inlineStr">
        <is>
          <t>2012-09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t="inlineStr">
        <is>
          <t>2012-10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t="inlineStr">
        <is>
          <t>2012-11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t="inlineStr">
        <is>
          <t>2012-12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t="inlineStr">
        <is>
          <t>2013-01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t="inlineStr">
        <is>
          <t>2013-02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t="inlineStr">
        <is>
          <t>2013-03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t="inlineStr">
        <is>
          <t>2013-04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t="inlineStr">
        <is>
          <t>2013-05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t="inlineStr">
        <is>
          <t>2013-06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t="inlineStr">
        <is>
          <t>2013-07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t="inlineStr">
        <is>
          <t>2013-08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t="inlineStr">
        <is>
          <t>2013-09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t="inlineStr">
        <is>
          <t>2013-10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t="inlineStr">
        <is>
          <t>2013-11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t="inlineStr">
        <is>
          <t>2013-12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t="inlineStr">
        <is>
          <t>2014-01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t="inlineStr">
        <is>
          <t>2014-02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t="inlineStr">
        <is>
          <t>2014-03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t="inlineStr">
        <is>
          <t>2014-04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t="inlineStr">
        <is>
          <t>2014-05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t="inlineStr">
        <is>
          <t>2014-06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t="inlineStr">
        <is>
          <t>2014-07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t="inlineStr">
        <is>
          <t>2014-08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t="inlineStr">
        <is>
          <t>2014-09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t="inlineStr">
        <is>
          <t>2014-10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t="inlineStr">
        <is>
          <t>2014-11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t="inlineStr">
        <is>
          <t>2014-12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t="inlineStr">
        <is>
          <t>2015-01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t="inlineStr">
        <is>
          <t>2015-02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t="inlineStr">
        <is>
          <t>2015-03</t>
        </is>
      </c>
      <c r="B304" t="n">
        <v>1178.629545454546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t="inlineStr">
        <is>
          <t>2015-04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t="inlineStr">
        <is>
          <t>2015-05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t="inlineStr">
        <is>
          <t>2015-06</t>
        </is>
      </c>
      <c r="B307" t="n">
        <v>1181.504545454546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t="inlineStr">
        <is>
          <t>2015-07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t="inlineStr">
        <is>
          <t>2015-08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t="inlineStr">
        <is>
          <t>2015-09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t="inlineStr">
        <is>
          <t>2015-10</t>
        </is>
      </c>
      <c r="B311" t="n">
        <v>1159.245454545454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t="inlineStr">
        <is>
          <t>2015-11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t="inlineStr">
        <is>
          <t>2015-12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t="inlineStr">
        <is>
          <t>2016-01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t="inlineStr">
        <is>
          <t>2016-02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t="inlineStr">
        <is>
          <t>2016-03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t="inlineStr">
        <is>
          <t>2016-04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t="inlineStr">
        <is>
          <t>2016-05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t="inlineStr">
        <is>
          <t>2016-06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t="inlineStr">
        <is>
          <t>2016-07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t="inlineStr">
        <is>
          <t>2016-08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t="inlineStr">
        <is>
          <t>2016-09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t="inlineStr">
        <is>
          <t>2016-10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t="inlineStr">
        <is>
          <t>2016-11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t="inlineStr">
        <is>
          <t>2016-12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t="inlineStr">
        <is>
          <t>2017-01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t="inlineStr">
        <is>
          <t>2017-02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t="inlineStr">
        <is>
          <t>2017-03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t="inlineStr">
        <is>
          <t>2017-04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t="inlineStr">
        <is>
          <t>2017-05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t="inlineStr">
        <is>
          <t>2017-06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t="inlineStr">
        <is>
          <t>2017-07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t="inlineStr">
        <is>
          <t>2017-08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t="inlineStr">
        <is>
          <t>2017-09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t="inlineStr">
        <is>
          <t>2017-10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t="inlineStr">
        <is>
          <t>2017-11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t="inlineStr">
        <is>
          <t>2017-12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t="inlineStr">
        <is>
          <t>2018-01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t="inlineStr">
        <is>
          <t>2018-02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t="inlineStr">
        <is>
          <t>2018-03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t="inlineStr">
        <is>
          <t>2018-04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t="inlineStr">
        <is>
          <t>2018-05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t="inlineStr">
        <is>
          <t>2018-06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t="inlineStr">
        <is>
          <t>2018-07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t="inlineStr">
        <is>
          <t>2018-08</t>
        </is>
      </c>
      <c r="B345" t="n">
        <v>1201.245454545454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t="inlineStr">
        <is>
          <t>2018-09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t="inlineStr">
        <is>
          <t>2018-10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t="inlineStr">
        <is>
          <t>2018-11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t="inlineStr">
        <is>
          <t>2018-12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t="inlineStr">
        <is>
          <t>2019-01</t>
        </is>
      </c>
      <c r="B350" t="n">
        <v>1291.745454545454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t="inlineStr">
        <is>
          <t>2019-02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t="inlineStr">
        <is>
          <t>2019-03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t="inlineStr">
        <is>
          <t>2019-04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t="inlineStr">
        <is>
          <t>2019-05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t="inlineStr">
        <is>
          <t>2019-06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t="inlineStr">
        <is>
          <t>2019-07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t="inlineStr">
        <is>
          <t>2019-08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t="inlineStr">
        <is>
          <t>2019-09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t="inlineStr">
        <is>
          <t>2019-10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t="inlineStr">
        <is>
          <t>2019-11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t="inlineStr">
        <is>
          <t>2019-12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t="inlineStr">
        <is>
          <t>2020-01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t="inlineStr">
        <is>
          <t>2020-02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t="inlineStr">
        <is>
          <t>2020-03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t="inlineStr">
        <is>
          <t>2020-04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t="inlineStr">
        <is>
          <t>2020-05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t="inlineStr">
        <is>
          <t>2020-06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t="inlineStr">
        <is>
          <t>2020-07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t="inlineStr">
        <is>
          <t>2020-08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t="inlineStr">
        <is>
          <t>2020-09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t="inlineStr">
        <is>
          <t>2020-10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t="inlineStr">
        <is>
          <t>2020-11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t="inlineStr">
        <is>
          <t>2020-12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t="inlineStr">
        <is>
          <t>2021-01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t="inlineStr">
        <is>
          <t>2021-02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t="inlineStr">
        <is>
          <t>2021-03</t>
        </is>
      </c>
      <c r="B376" t="n">
        <v>1718.228260869566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t="inlineStr">
        <is>
          <t>2021-04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t="inlineStr">
        <is>
          <t>2021-05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t="inlineStr">
        <is>
          <t>2021-06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t="inlineStr">
        <is>
          <t>2021-07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t="inlineStr">
        <is>
          <t>2021-08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t="inlineStr">
        <is>
          <t>2021-09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t="inlineStr">
        <is>
          <t>2021-10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t="inlineStr">
        <is>
          <t>2021-11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t="inlineStr">
        <is>
          <t>2021-12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t="inlineStr">
        <is>
          <t>2022-01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t="inlineStr">
        <is>
          <t>2022-02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t="inlineStr">
        <is>
          <t>2022-03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t="inlineStr">
        <is>
          <t>2022-04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t="inlineStr">
        <is>
          <t>2022-05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t="inlineStr">
        <is>
          <t>2022-06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t="inlineStr">
        <is>
          <t>2022-07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t="inlineStr">
        <is>
          <t>2022-08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t="inlineStr">
        <is>
          <t>2022-09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t="inlineStr">
        <is>
          <t>2022-10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t="inlineStr">
        <is>
          <t>2022-11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t="inlineStr">
        <is>
          <t>2022-12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t="inlineStr">
        <is>
          <t>2023-01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t="inlineStr">
        <is>
          <t>2023-02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t="inlineStr">
        <is>
          <t>2023-03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t="inlineStr">
        <is>
          <t>2023-04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t="inlineStr">
        <is>
          <t>2023-05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t="inlineStr">
        <is>
          <t>2023-06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t="inlineStr">
        <is>
          <t>2023-07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t="inlineStr">
        <is>
          <t>2023-08</t>
        </is>
      </c>
      <c r="B405" t="n">
        <v>1919.302173913044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t="inlineStr">
        <is>
          <t>2023-09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t="inlineStr">
        <is>
          <t>2023-10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t="inlineStr">
        <is>
          <t>2023-11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t="inlineStr">
        <is>
          <t>2023-12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t="inlineStr">
        <is>
          <t>2024-01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t="inlineStr">
        <is>
          <t>2024-02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t="inlineStr">
        <is>
          <t>2024-03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t="inlineStr">
        <is>
          <t>2024-04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t="inlineStr">
        <is>
          <t>2024-05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t="inlineStr">
        <is>
          <t>2024-06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t="inlineStr">
        <is>
          <t>2024-07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t="inlineStr">
        <is>
          <t>2024-08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t="inlineStr">
        <is>
          <t>2024-09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t="inlineStr">
        <is>
          <t>2024-10</t>
        </is>
      </c>
      <c r="B419" t="n">
        <v>2689.128695652173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t="inlineStr">
        <is>
          <t>2024-11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t="inlineStr">
        <is>
          <t>2024-12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t="inlineStr">
        <is>
          <t>2025-01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t="inlineStr">
        <is>
          <t>2025-02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t="inlineStr">
        <is>
          <t>2025-03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t="inlineStr">
        <is>
          <t>2025-04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t="inlineStr">
        <is>
          <t>2025-05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t="inlineStr">
        <is>
          <t>2025-06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t="inlineStr">
        <is>
          <t>2025-07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t="inlineStr">
        <is>
          <t>2025-08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t="inlineStr">
        <is>
          <t>2025-09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STEP 1: Current Gold Price Metrics</t>
        </is>
      </c>
    </row>
    <row r="2">
      <c r="A2" s="5" t="inlineStr">
        <is>
          <t>Metric</t>
        </is>
      </c>
      <c r="B2" s="5" t="inlineStr">
        <is>
          <t>Value</t>
        </is>
      </c>
      <c r="C2" s="5" t="n"/>
      <c r="D2" s="5" t="n"/>
      <c r="E2" s="5" t="n"/>
    </row>
    <row r="3">
      <c r="A3" s="3" t="inlineStr">
        <is>
          <t>Current Gold Price (US$/oz)</t>
        </is>
      </c>
      <c r="B3" s="4">
        <f>Gold price!B430</f>
        <v/>
      </c>
      <c r="C3" s="3" t="n"/>
      <c r="D3" s="3" t="n"/>
      <c r="E3" s="3" t="n"/>
    </row>
    <row r="4">
      <c r="A4" s="3" t="inlineStr">
        <is>
          <t>3-Month Volatility</t>
        </is>
      </c>
      <c r="B4" s="4">
        <f>Gold price!D430</f>
        <v/>
      </c>
      <c r="C4" s="3" t="n"/>
      <c r="D4" s="3" t="n"/>
      <c r="E4" s="3" t="n"/>
    </row>
    <row r="5">
      <c r="A5" s="3" t="inlineStr">
        <is>
          <t>3-Month Annualized Volatility</t>
        </is>
      </c>
      <c r="B5" s="4">
        <f>B4*SQRT(12)</f>
        <v/>
      </c>
      <c r="C5" s="3" t="n"/>
      <c r="D5" s="3" t="n"/>
      <c r="E5" s="3" t="n"/>
    </row>
    <row r="6">
      <c r="A6" s="3" t="inlineStr">
        <is>
          <t>12-Month Volatility</t>
        </is>
      </c>
      <c r="B6" s="4">
        <f>Gold price!E430</f>
        <v/>
      </c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inlineStr">
        <is>
          <t>STEP 2: Gold Reserves by Country</t>
        </is>
      </c>
      <c r="B8" s="3" t="n"/>
      <c r="C8" s="3" t="n"/>
      <c r="D8" s="3" t="n"/>
      <c r="E8" s="3" t="n"/>
    </row>
    <row r="9">
      <c r="A9" s="5" t="inlineStr">
        <is>
          <t>Country</t>
        </is>
      </c>
      <c r="B9" s="5" t="inlineStr">
        <is>
          <t>Gold Reserves (million oz)</t>
        </is>
      </c>
      <c r="C9" s="5" t="inlineStr">
        <is>
          <t>Value (USD million)</t>
        </is>
      </c>
      <c r="D9" s="5" t="n"/>
      <c r="E9" s="5" t="n"/>
    </row>
    <row r="10">
      <c r="A10" s="3" t="inlineStr">
        <is>
          <t>United States</t>
        </is>
      </c>
      <c r="B10" s="4" t="n">
        <v>261.5</v>
      </c>
      <c r="C10" s="4">
        <f>B10*$B$3</f>
        <v/>
      </c>
      <c r="D10" s="3" t="n"/>
      <c r="E10" s="3" t="n"/>
    </row>
    <row r="11">
      <c r="A11" s="3" t="inlineStr">
        <is>
          <t>Germany</t>
        </is>
      </c>
      <c r="B11" s="4" t="n">
        <v>139.5</v>
      </c>
      <c r="C11" s="4">
        <f>B11*$B$3</f>
        <v/>
      </c>
      <c r="D11" s="3" t="n"/>
      <c r="E11" s="3" t="n"/>
    </row>
    <row r="12">
      <c r="A12" s="3" t="inlineStr">
        <is>
          <t>Italy</t>
        </is>
      </c>
      <c r="B12" s="4" t="n">
        <v>119.6</v>
      </c>
      <c r="C12" s="4">
        <f>B12*$B$3</f>
        <v/>
      </c>
      <c r="D12" s="3" t="n"/>
      <c r="E12" s="3" t="n"/>
    </row>
    <row r="13">
      <c r="A13" s="3" t="inlineStr">
        <is>
          <t>Gold Price Exposure</t>
        </is>
      </c>
      <c r="B13" s="4">
        <f>SUM(C10:C12)/(SUM(C10:C12)+1)</f>
        <v/>
      </c>
      <c r="C13" s="4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inlineStr">
        <is>
          <t>STEP 3: Reserve Adequacy Ratio (RaR)</t>
        </is>
      </c>
      <c r="B15" s="3" t="n"/>
      <c r="C15" s="3" t="n"/>
      <c r="D15" s="3" t="n"/>
      <c r="E15" s="3" t="n"/>
    </row>
    <row r="16">
      <c r="A16" s="5" t="inlineStr">
        <is>
          <t>Country</t>
        </is>
      </c>
      <c r="B16" s="5" t="inlineStr">
        <is>
          <t>Gold Reserves (million oz)</t>
        </is>
      </c>
      <c r="C16" s="5" t="inlineStr">
        <is>
          <t>Gold Vol (12-M %)</t>
        </is>
      </c>
      <c r="D16" s="5" t="inlineStr">
        <is>
          <t>Total Reserves (USD M)</t>
        </is>
      </c>
      <c r="E16" s="5" t="inlineStr">
        <is>
          <t>RaR</t>
        </is>
      </c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inlineStr">
        <is>
          <t>United States</t>
        </is>
      </c>
      <c r="B20" s="4" t="n">
        <v>261.5</v>
      </c>
      <c r="C20" s="4">
        <f>$B$6</f>
        <v/>
      </c>
      <c r="D20" s="4">
        <f>IFERROR(XLOOKUP(A20,'Total Reserves'!$A:$A,'Total Reserves'!$B:$B),IFERROR(INDEX('Total Reserves'!$B:$B,MATCH(A20,'Total Reserves'!$A:$A,0)),""))</f>
        <v/>
      </c>
      <c r="E20" s="6">
        <f>IF(D20="","",B20*C20/100/D20)</f>
        <v/>
      </c>
    </row>
    <row r="21">
      <c r="A21" s="3" t="inlineStr">
        <is>
          <t>Germany</t>
        </is>
      </c>
      <c r="B21" s="4" t="n">
        <v>139.5</v>
      </c>
      <c r="C21" s="4">
        <f>$B$6</f>
        <v/>
      </c>
      <c r="D21" s="4">
        <f>IFERROR(XLOOKUP(A21,'Total Reserves'!$A:$A,'Total Reserves'!$B:$B),IFERROR(INDEX('Total Reserves'!$B:$B,MATCH(A21,'Total Reserves'!$A:$A,0)),""))</f>
        <v/>
      </c>
      <c r="E21" s="6">
        <f>IF(D21="","",B21*C21/100/D21)</f>
        <v/>
      </c>
    </row>
    <row r="22">
      <c r="A22" s="3" t="inlineStr">
        <is>
          <t>Italy</t>
        </is>
      </c>
      <c r="B22" s="4" t="n">
        <v>119.6</v>
      </c>
      <c r="C22" s="4">
        <f>$B$6</f>
        <v/>
      </c>
      <c r="D22" s="4">
        <f>IFERROR(XLOOKUP(A22,'Total Reserves'!$A:$A,'Total Reserves'!$B:$B),IFERROR(INDEX('Total Reserves'!$B:$B,MATCH(A22,'Total Reserves'!$A:$A,0)),""))</f>
        <v/>
      </c>
      <c r="E22" s="6">
        <f>IF(D22="","",B22*C22/100/D22)</f>
        <v/>
      </c>
    </row>
    <row r="23">
      <c r="A23" s="3" t="inlineStr">
        <is>
          <t>Total Reserves lookup</t>
        </is>
      </c>
      <c r="B23" s="4" t="n"/>
      <c r="C23" s="4" t="n"/>
      <c r="D23" s="4" t="n"/>
      <c r="E23" s="6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 (million oz)</t>
        </is>
      </c>
    </row>
    <row r="2">
      <c r="A2" t="inlineStr">
        <is>
          <t>United States</t>
        </is>
      </c>
      <c r="B2" t="n">
        <v>261.5</v>
      </c>
    </row>
    <row r="3">
      <c r="A3" t="inlineStr">
        <is>
          <t>Germany</t>
        </is>
      </c>
      <c r="B3" t="n">
        <v>139.5</v>
      </c>
    </row>
    <row r="4">
      <c r="A4" t="inlineStr">
        <is>
          <t>Italy</t>
        </is>
      </c>
      <c r="B4" t="n">
        <v>119.6</v>
      </c>
    </row>
    <row r="5">
      <c r="A5" t="inlineStr">
        <is>
          <t>France</t>
        </is>
      </c>
      <c r="B5" t="n">
        <v>98.2</v>
      </c>
    </row>
    <row r="6">
      <c r="A6" t="inlineStr">
        <is>
          <t>Spain</t>
        </is>
      </c>
      <c r="B6" t="n">
        <v>90.90000000000001</v>
      </c>
    </row>
    <row r="7">
      <c r="A7" t="inlineStr">
        <is>
          <t>Switzerland</t>
        </is>
      </c>
      <c r="B7" t="n">
        <v>83.3</v>
      </c>
    </row>
    <row r="8">
      <c r="A8" t="inlineStr">
        <is>
          <t>Japan</t>
        </is>
      </c>
      <c r="B8" t="n">
        <v>76.3</v>
      </c>
    </row>
    <row r="9">
      <c r="A9" t="inlineStr">
        <is>
          <t>China</t>
        </is>
      </c>
      <c r="B9" t="n">
        <v>74</v>
      </c>
    </row>
    <row r="10">
      <c r="A10" t="inlineStr">
        <is>
          <t>Russia</t>
        </is>
      </c>
      <c r="B10" t="n">
        <v>74</v>
      </c>
    </row>
    <row r="11">
      <c r="A11" t="inlineStr">
        <is>
          <t>Netherlands</t>
        </is>
      </c>
      <c r="B11" t="n">
        <v>62.2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Total Reserves (USD million)</t>
        </is>
      </c>
    </row>
    <row r="2">
      <c r="A2" t="inlineStr">
        <is>
          <t>United States</t>
        </is>
      </c>
      <c r="B2" t="n">
        <v>130500</v>
      </c>
    </row>
    <row r="3">
      <c r="A3" t="inlineStr">
        <is>
          <t>Germany</t>
        </is>
      </c>
      <c r="B3" t="n">
        <v>217000</v>
      </c>
    </row>
    <row r="4">
      <c r="A4" t="inlineStr">
        <is>
          <t>Italy</t>
        </is>
      </c>
      <c r="B4" t="n">
        <v>194500</v>
      </c>
    </row>
    <row r="5">
      <c r="A5" t="inlineStr">
        <is>
          <t>France</t>
        </is>
      </c>
      <c r="B5" t="n">
        <v>214600</v>
      </c>
    </row>
    <row r="6">
      <c r="A6" t="inlineStr">
        <is>
          <t>Spain</t>
        </is>
      </c>
      <c r="B6" t="n">
        <v>127800</v>
      </c>
    </row>
    <row r="7">
      <c r="A7" t="inlineStr">
        <is>
          <t>Switzerland</t>
        </is>
      </c>
      <c r="B7" t="n">
        <v>278300</v>
      </c>
    </row>
    <row r="8">
      <c r="A8" t="inlineStr">
        <is>
          <t>Japan</t>
        </is>
      </c>
      <c r="B8" t="n">
        <v>1154700</v>
      </c>
    </row>
    <row r="9">
      <c r="A9" t="inlineStr">
        <is>
          <t>China</t>
        </is>
      </c>
      <c r="B9" t="n">
        <v>2113800</v>
      </c>
    </row>
    <row r="10">
      <c r="A10" t="inlineStr">
        <is>
          <t>Russia</t>
        </is>
      </c>
      <c r="B10" t="n">
        <v>512000</v>
      </c>
    </row>
    <row r="11">
      <c r="A11" t="inlineStr">
        <is>
          <t>Netherlands</t>
        </is>
      </c>
      <c r="B11" t="n">
        <v>54600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2026-01-29T04:48:47Z</dcterms:created>
  <dcterms:modified xsi:type="dcterms:W3CDTF">2026-01-29T04:49:57Z</dcterms:modified>
</cp:coreProperties>
</file>