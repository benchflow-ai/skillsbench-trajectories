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SUMSQ(N6:N27)+100*SUMSQ(M7:M26)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-1.478936974759157</v>
      </c>
      <c r="M6" t="n">
        <v>0</v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-1.378323208735877</v>
      </c>
      <c r="M7">
        <f>L8-2*L7+L6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-1.327295245395331</v>
      </c>
      <c r="M8">
        <f>L9-2*L8+L7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-1.24221486291029</v>
      </c>
      <c r="M9">
        <f>L10-2*L9+L8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-1.157755651092635</v>
      </c>
      <c r="M10">
        <f>L11-2*L10+L9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-1.046278081713961</v>
      </c>
      <c r="M11">
        <f>L12-2*L11+L10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-1.025690173274112</v>
      </c>
      <c r="M12">
        <f>L13-2*L12+L11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-1.060773853494279</v>
      </c>
      <c r="M13">
        <f>L14-2*L13+L12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-1.002234241434243</v>
      </c>
      <c r="M14">
        <f>L15-2*L14+L13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-0.9300752363164002</v>
      </c>
      <c r="M15">
        <f>L16-2*L15+L14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-0.8714306241288337</v>
      </c>
      <c r="M16">
        <f>L17-2*L16+L15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-0.8242012249879607</v>
      </c>
      <c r="M17">
        <f>L18-2*L17+L16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-0.7908805324919865</v>
      </c>
      <c r="M18">
        <f>L19-2*L18+L17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-0.7670710042769184</v>
      </c>
      <c r="M19">
        <f>L20-2*L19+L18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-0.7430055128110236</v>
      </c>
      <c r="M20">
        <f>L21-2*L20+L19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-0.7021133297415161</v>
      </c>
      <c r="M21">
        <f>L22-2*L21+L20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-0.6523078918888254</v>
      </c>
      <c r="M22">
        <f>L23-2*L22+L21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-0.6081414953547517</v>
      </c>
      <c r="M23">
        <f>L24-2*L23+L22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-0.677652123211387</v>
      </c>
      <c r="M24">
        <f>L25-2*L24+L23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-0.5799696047953673</v>
      </c>
      <c r="M25">
        <f>L26-2*L25+L24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-0.4809904718349172</v>
      </c>
      <c r="M26">
        <f>L27-2*L26+L25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-0.4148247082721293</v>
      </c>
      <c r="M27" s="7" t="n">
        <v>0</v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 t="n">
        <v>0</v>
      </c>
      <c r="K36" s="19">
        <f>E36+J36</f>
        <v/>
      </c>
      <c r="L36">
        <f>EXP(G36+$B$2*LN(K36))</f>
        <v/>
      </c>
      <c r="M36">
        <f>L36-H36</f>
        <v/>
      </c>
      <c r="N36">
        <f>L36</f>
        <v/>
      </c>
      <c r="O36" t="inlineStr"/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 t="n">
        <v>0</v>
      </c>
      <c r="K37" s="19">
        <f>E37+J37</f>
        <v/>
      </c>
      <c r="L37">
        <f>EXP(G37+$B$2*LN(K37))</f>
        <v/>
      </c>
      <c r="M37">
        <f>L37-H37</f>
        <v/>
      </c>
      <c r="N37">
        <f>L37</f>
        <v/>
      </c>
      <c r="O37">
        <f>(N37-N36)/N36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 t="n">
        <v>0</v>
      </c>
      <c r="K38" s="19">
        <f>E38+J38</f>
        <v/>
      </c>
      <c r="L38">
        <f>EXP(G38+$B$2*LN(K38))</f>
        <v/>
      </c>
      <c r="M38">
        <f>L38-H38</f>
        <v/>
      </c>
      <c r="N38">
        <f>L38</f>
        <v/>
      </c>
      <c r="O38">
        <f>(N38-N37)/N37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 t="n">
        <v>0</v>
      </c>
      <c r="K39" s="19">
        <f>E39+J39</f>
        <v/>
      </c>
      <c r="L39">
        <f>EXP(G39+$B$2*LN(K39))</f>
        <v/>
      </c>
      <c r="M39">
        <f>L39-H39</f>
        <v/>
      </c>
      <c r="N39">
        <f>L39</f>
        <v/>
      </c>
      <c r="O39">
        <f>(N39-N38)/N38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 t="n">
        <v>0</v>
      </c>
      <c r="K40" s="19">
        <f>E40+J40</f>
        <v/>
      </c>
      <c r="L40">
        <f>EXP(G40+$B$2*LN(K40))</f>
        <v/>
      </c>
      <c r="M40">
        <f>L40-H40</f>
        <v/>
      </c>
      <c r="N40">
        <f>L40</f>
        <v/>
      </c>
      <c r="O40">
        <f>(N40-N39)/N39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 t="n">
        <v>0</v>
      </c>
      <c r="K41" s="19">
        <f>E41+J41</f>
        <v/>
      </c>
      <c r="L41">
        <f>EXP(G41+$B$2*LN(K41))</f>
        <v/>
      </c>
      <c r="M41">
        <f>L41-H41</f>
        <v/>
      </c>
      <c r="N41">
        <f>L41</f>
        <v/>
      </c>
      <c r="O41">
        <f>(N41-N40)/N40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 t="n">
        <v>0</v>
      </c>
      <c r="K42" s="19">
        <f>E42+J42</f>
        <v/>
      </c>
      <c r="L42">
        <f>EXP(G42+$B$2*LN(K42))</f>
        <v/>
      </c>
      <c r="M42">
        <f>L42-H42</f>
        <v/>
      </c>
      <c r="N42">
        <f>L42</f>
        <v/>
      </c>
      <c r="O42">
        <f>(N42-N41)/N41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 t="n">
        <v>0</v>
      </c>
      <c r="K43" s="19">
        <f>E43+J43</f>
        <v/>
      </c>
      <c r="L43">
        <f>EXP(G43+$B$2*LN(K43))</f>
        <v/>
      </c>
      <c r="M43">
        <f>L43-H43</f>
        <v/>
      </c>
      <c r="N43">
        <f>L43</f>
        <v/>
      </c>
      <c r="O43">
        <f>(N43-N42)/N42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 t="n">
        <v>0</v>
      </c>
      <c r="K44" s="19">
        <f>E44+J44</f>
        <v/>
      </c>
      <c r="L44">
        <f>EXP(G44+$B$2*LN(K44))</f>
        <v/>
      </c>
      <c r="M44">
        <f>L44-H44</f>
        <v/>
      </c>
      <c r="N44">
        <f>L44</f>
        <v/>
      </c>
      <c r="O44">
        <f>(N44-N43)/N43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 t="n">
        <v>0</v>
      </c>
      <c r="K45" s="19">
        <f>E45+J45</f>
        <v/>
      </c>
      <c r="L45">
        <f>EXP(G45+$B$2*LN(K45))</f>
        <v/>
      </c>
      <c r="M45">
        <f>L45-H45</f>
        <v/>
      </c>
      <c r="N45">
        <f>L45</f>
        <v/>
      </c>
      <c r="O45">
        <f>(N45-N44)/N44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 t="n">
        <v>0</v>
      </c>
      <c r="K46" s="19">
        <f>E46+J46</f>
        <v/>
      </c>
      <c r="L46">
        <f>EXP(G46+$B$2*LN(K46))</f>
        <v/>
      </c>
      <c r="M46">
        <f>L46-H46</f>
        <v/>
      </c>
      <c r="N46">
        <f>L46</f>
        <v/>
      </c>
      <c r="O46">
        <f>(N46-N45)/N45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 t="n">
        <v>0</v>
      </c>
      <c r="K47" s="19">
        <f>E47+J47</f>
        <v/>
      </c>
      <c r="L47">
        <f>EXP(G47+$B$2*LN(K47))</f>
        <v/>
      </c>
      <c r="M47">
        <f>L47-H47</f>
        <v/>
      </c>
      <c r="N47">
        <f>L47</f>
        <v/>
      </c>
      <c r="O47">
        <f>(N47-N46)/N46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 t="n">
        <v>0</v>
      </c>
      <c r="K48" s="19">
        <f>E48+J48</f>
        <v/>
      </c>
      <c r="L48">
        <f>EXP(G48+$B$2*LN(K48))</f>
        <v/>
      </c>
      <c r="M48">
        <f>L48-H48</f>
        <v/>
      </c>
      <c r="N48">
        <f>L48</f>
        <v/>
      </c>
      <c r="O48">
        <f>(N48-N47)/N47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 t="n">
        <v>0</v>
      </c>
      <c r="K49" s="19">
        <f>E49+J49</f>
        <v/>
      </c>
      <c r="L49">
        <f>EXP(G49+$B$2*LN(K49))</f>
        <v/>
      </c>
      <c r="M49">
        <f>L49-H49</f>
        <v/>
      </c>
      <c r="N49">
        <f>L49</f>
        <v/>
      </c>
      <c r="O49">
        <f>(N49-N48)/N48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 t="n">
        <v>0</v>
      </c>
      <c r="K50" s="19">
        <f>E50+J50</f>
        <v/>
      </c>
      <c r="L50">
        <f>EXP(G50+$B$2*LN(K50))</f>
        <v/>
      </c>
      <c r="M50">
        <f>L50-H50</f>
        <v/>
      </c>
      <c r="N50">
        <f>L50</f>
        <v/>
      </c>
      <c r="O50">
        <f>(N50-N49)/N49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 t="n">
        <v>0</v>
      </c>
      <c r="K51" s="19">
        <f>E51+J51</f>
        <v/>
      </c>
      <c r="L51">
        <f>EXP(G51+$B$2*LN(K51))</f>
        <v/>
      </c>
      <c r="M51">
        <f>L51-H51</f>
        <v/>
      </c>
      <c r="N51">
        <f>L51</f>
        <v/>
      </c>
      <c r="O51">
        <f>(N51-N50)/N50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 t="n">
        <v>0</v>
      </c>
      <c r="K52" s="19">
        <f>E52+J52</f>
        <v/>
      </c>
      <c r="L52">
        <f>EXP(G52+$B$2*LN(K52))</f>
        <v/>
      </c>
      <c r="M52">
        <f>L52-H52</f>
        <v/>
      </c>
      <c r="N52">
        <f>L52</f>
        <v/>
      </c>
      <c r="O52">
        <f>(N52-N51)/N51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 t="n">
        <v>0</v>
      </c>
      <c r="K53" s="19">
        <f>E53+J53</f>
        <v/>
      </c>
      <c r="L53">
        <f>EXP(G53+$B$2*LN(K53))</f>
        <v/>
      </c>
      <c r="M53">
        <f>L53-H53</f>
        <v/>
      </c>
      <c r="N53">
        <f>L53</f>
        <v/>
      </c>
      <c r="O53">
        <f>(N53-N52)/N52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 t="n">
        <v>0</v>
      </c>
      <c r="K54" s="19">
        <f>E54+J54</f>
        <v/>
      </c>
      <c r="L54">
        <f>EXP(G54+$B$2*LN(K54))</f>
        <v/>
      </c>
      <c r="M54">
        <f>L54-H54</f>
        <v/>
      </c>
      <c r="N54">
        <f>L54</f>
        <v/>
      </c>
      <c r="O54">
        <f>(N54-N53)/N53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 t="n">
        <v>0</v>
      </c>
      <c r="K55" s="19">
        <f>E55+J55</f>
        <v/>
      </c>
      <c r="L55">
        <f>EXP(G55+$B$2*LN(K55))</f>
        <v/>
      </c>
      <c r="M55">
        <f>L55-H55</f>
        <v/>
      </c>
      <c r="N55">
        <f>L55</f>
        <v/>
      </c>
      <c r="O55">
        <f>(N55-N54)/N54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 t="n">
        <v>0</v>
      </c>
      <c r="K56" s="19">
        <f>E56+J56</f>
        <v/>
      </c>
      <c r="L56">
        <f>EXP(G56+$B$2*LN(K56))</f>
        <v/>
      </c>
      <c r="M56">
        <f>L56-H56</f>
        <v/>
      </c>
      <c r="N56">
        <f>L56</f>
        <v/>
      </c>
      <c r="O56">
        <f>(N56-N55)/N55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 t="n">
        <v>0</v>
      </c>
      <c r="K57" s="19">
        <f>E57+J57</f>
        <v/>
      </c>
      <c r="L57">
        <f>EXP(G57+$B$2*LN(K57))</f>
        <v/>
      </c>
      <c r="M57">
        <f>L57-H57</f>
        <v/>
      </c>
      <c r="N57">
        <f>L57</f>
        <v/>
      </c>
      <c r="O57">
        <f>(N57-N56)/N56</f>
        <v/>
      </c>
    </row>
    <row r="58">
      <c r="C58" t="n">
        <v>2024</v>
      </c>
      <c r="D58">
        <f>E58/F58</f>
        <v/>
      </c>
      <c r="E58" s="21">
        <f>AVERAGE($D$49:$D$57)*F58</f>
        <v/>
      </c>
      <c r="F58">
        <f>WEO_Data!C32</f>
        <v/>
      </c>
      <c r="G58" s="20">
        <f>TREND($L$6:$L$27,$C$36:$C$57,C58)</f>
        <v/>
      </c>
      <c r="H58">
        <f>EXP(G58+$B$2*LN(E58))</f>
        <v/>
      </c>
      <c r="I58" t="n">
        <v>0</v>
      </c>
      <c r="J58" t="n">
        <v>0</v>
      </c>
      <c r="K58" s="19">
        <f>E58+J58</f>
        <v/>
      </c>
      <c r="L58">
        <f>EXP(G58+$B$2*LN(K58))</f>
        <v/>
      </c>
      <c r="M58">
        <f>L58-H58</f>
        <v/>
      </c>
      <c r="N58">
        <f>L58</f>
        <v/>
      </c>
      <c r="O58">
        <f>(N58-N57)/N57</f>
        <v/>
      </c>
    </row>
    <row r="59">
      <c r="C59" t="n">
        <v>2025</v>
      </c>
      <c r="D59">
        <f>E59/F59</f>
        <v/>
      </c>
      <c r="E59" s="21">
        <f>AVERAGE($D$49:$D$57)*F59</f>
        <v/>
      </c>
      <c r="F59">
        <f>WEO_Data!C33</f>
        <v/>
      </c>
      <c r="G59" s="20">
        <f>TREND($L$6:$L$27,$C$36:$C$57,C59)</f>
        <v/>
      </c>
      <c r="H59">
        <f>EXP(G59+$B$2*LN(E59))</f>
        <v/>
      </c>
      <c r="I59" t="n">
        <v>0</v>
      </c>
      <c r="J59" t="n">
        <v>0</v>
      </c>
      <c r="K59" s="19">
        <f>E59+J59</f>
        <v/>
      </c>
      <c r="L59">
        <f>EXP(G59+$B$2*LN(K59))</f>
        <v/>
      </c>
      <c r="M59">
        <f>L59-H59</f>
        <v/>
      </c>
      <c r="N59">
        <f>L59</f>
        <v/>
      </c>
      <c r="O59">
        <f>(N59-N58)/N58</f>
        <v/>
      </c>
    </row>
    <row r="60">
      <c r="C60" t="n">
        <v>2026</v>
      </c>
      <c r="D60">
        <f>E60/F60</f>
        <v/>
      </c>
      <c r="E60" s="21">
        <f>AVERAGE($D$49:$D$57)*F60</f>
        <v/>
      </c>
      <c r="F60" s="20">
        <f>WEO_Data!C34</f>
        <v/>
      </c>
      <c r="G60" s="20">
        <f>TREND($L$6:$L$27,$C$36:$C$57,C60)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E60+J60</f>
        <v/>
      </c>
      <c r="L60">
        <f>EXP(G60+$B$2*LN(K60))</f>
        <v/>
      </c>
      <c r="M60">
        <f>L60-H60</f>
        <v/>
      </c>
      <c r="N60">
        <f>L60</f>
        <v/>
      </c>
      <c r="O60">
        <f>(N60-N59)/N59</f>
        <v/>
      </c>
    </row>
    <row r="61">
      <c r="C61" t="n">
        <v>2027</v>
      </c>
      <c r="D61">
        <f>E61/F61</f>
        <v/>
      </c>
      <c r="E61" s="21">
        <f>AVERAGE($D$49:$D$57)*F61</f>
        <v/>
      </c>
      <c r="F61" s="20">
        <f>WEO_Data!C35</f>
        <v/>
      </c>
      <c r="G61" s="20">
        <f>TREND($L$6:$L$27,$C$36:$C$57,C61)</f>
        <v/>
      </c>
      <c r="H61">
        <f>EXP(G61+$B$2*LN(E61))</f>
        <v/>
      </c>
      <c r="I61" s="17">
        <f>Investment!C3</f>
        <v/>
      </c>
      <c r="J61">
        <f>J60*(1-$B$3)+I61</f>
        <v/>
      </c>
      <c r="K61" s="19">
        <f>E61+J61</f>
        <v/>
      </c>
      <c r="L61">
        <f>EXP(G61+$B$2*LN(K61))</f>
        <v/>
      </c>
      <c r="M61">
        <f>L61-H61</f>
        <v/>
      </c>
      <c r="N61">
        <f>L61</f>
        <v/>
      </c>
      <c r="O61">
        <f>(N61-N60)/N60</f>
        <v/>
      </c>
    </row>
    <row r="62">
      <c r="C62" t="n">
        <v>2028</v>
      </c>
      <c r="D62">
        <f>E62/F62</f>
        <v/>
      </c>
      <c r="E62" s="21">
        <f>AVERAGE($D$49:$D$57)*F62</f>
        <v/>
      </c>
      <c r="F62" s="20">
        <f>WEO_Data!C36</f>
        <v/>
      </c>
      <c r="G62" s="20">
        <f>TREND($L$6:$L$27,$C$36:$C$57,C62)</f>
        <v/>
      </c>
      <c r="H62">
        <f>EXP(G62+$B$2*LN(E62))</f>
        <v/>
      </c>
      <c r="I62" s="17">
        <f>Investment!C4</f>
        <v/>
      </c>
      <c r="J62">
        <f>J61*(1-$B$3)+I62</f>
        <v/>
      </c>
      <c r="K62" s="19">
        <f>E62+J62</f>
        <v/>
      </c>
      <c r="L62">
        <f>EXP(G62+$B$2*LN(K62))</f>
        <v/>
      </c>
      <c r="M62">
        <f>L62-H62</f>
        <v/>
      </c>
      <c r="N62">
        <f>L62</f>
        <v/>
      </c>
      <c r="O62">
        <f>(N62-N61)/N61</f>
        <v/>
      </c>
    </row>
    <row r="63">
      <c r="C63" t="n">
        <v>2029</v>
      </c>
      <c r="D63">
        <f>E63/F63</f>
        <v/>
      </c>
      <c r="E63" s="21">
        <f>AVERAGE($D$49:$D$57)*F63</f>
        <v/>
      </c>
      <c r="F63" s="20">
        <f>WEO_Data!C37</f>
        <v/>
      </c>
      <c r="G63" s="20">
        <f>TREND($L$6:$L$27,$C$36:$C$57,C63)</f>
        <v/>
      </c>
      <c r="H63">
        <f>EXP(G63+$B$2*LN(E63))</f>
        <v/>
      </c>
      <c r="I63" s="17">
        <f>Investment!C5</f>
        <v/>
      </c>
      <c r="J63">
        <f>J62*(1-$B$3)+I63</f>
        <v/>
      </c>
      <c r="K63" s="19">
        <f>E63+J63</f>
        <v/>
      </c>
      <c r="L63">
        <f>EXP(G63+$B$2*LN(K63))</f>
        <v/>
      </c>
      <c r="M63">
        <f>L63-H63</f>
        <v/>
      </c>
      <c r="N63">
        <f>L63</f>
        <v/>
      </c>
      <c r="O63">
        <f>(N63-N62)/N62</f>
        <v/>
      </c>
    </row>
    <row r="64">
      <c r="C64" t="n">
        <v>2030</v>
      </c>
      <c r="D64">
        <f>E64/F64</f>
        <v/>
      </c>
      <c r="E64" s="21">
        <f>AVERAGE($D$49:$D$57)*F64</f>
        <v/>
      </c>
      <c r="F64" s="20">
        <f>WEO_Data!C38</f>
        <v/>
      </c>
      <c r="G64" s="20">
        <f>TREND($L$6:$L$27,$C$36:$C$57,C64)</f>
        <v/>
      </c>
      <c r="H64">
        <f>EXP(G64+$B$2*LN(E64))</f>
        <v/>
      </c>
      <c r="I64" s="17">
        <f>Investment!C6</f>
        <v/>
      </c>
      <c r="J64">
        <f>J63*(1-$B$3)+I64</f>
        <v/>
      </c>
      <c r="K64" s="19">
        <f>E64+J64</f>
        <v/>
      </c>
      <c r="L64">
        <f>EXP(G64+$B$2*LN(K64))</f>
        <v/>
      </c>
      <c r="M64">
        <f>L64-H64</f>
        <v/>
      </c>
      <c r="N64">
        <f>L64</f>
        <v/>
      </c>
      <c r="O64">
        <f>(N64-N63)/N63</f>
        <v/>
      </c>
    </row>
    <row r="65">
      <c r="C65" t="n">
        <v>2031</v>
      </c>
      <c r="D65">
        <f>E65/F65</f>
        <v/>
      </c>
      <c r="E65" s="21">
        <f>AVERAGE($D$49:$D$57)*F65</f>
        <v/>
      </c>
      <c r="F65" s="20">
        <f>WEO_Data!C39</f>
        <v/>
      </c>
      <c r="G65" s="20">
        <f>TREND($L$6:$L$27,$C$36:$C$57,C65)</f>
        <v/>
      </c>
      <c r="H65">
        <f>EXP(G65+$B$2*LN(E65))</f>
        <v/>
      </c>
      <c r="I65" s="17">
        <f>Investment!C7</f>
        <v/>
      </c>
      <c r="J65">
        <f>J64*(1-$B$3)+I65</f>
        <v/>
      </c>
      <c r="K65" s="19">
        <f>E65+J65</f>
        <v/>
      </c>
      <c r="L65">
        <f>EXP(G65+$B$2*LN(K65))</f>
        <v/>
      </c>
      <c r="M65">
        <f>L65-H65</f>
        <v/>
      </c>
      <c r="N65">
        <f>L65</f>
        <v/>
      </c>
      <c r="O65">
        <f>(N65-N64)/N64</f>
        <v/>
      </c>
    </row>
    <row r="66">
      <c r="C66" t="n">
        <v>2032</v>
      </c>
      <c r="D66">
        <f>E66/F66</f>
        <v/>
      </c>
      <c r="E66" s="21">
        <f>AVERAGE($D$49:$D$57)*F66</f>
        <v/>
      </c>
      <c r="F66" s="20">
        <f>WEO_Data!C40</f>
        <v/>
      </c>
      <c r="G66" s="20">
        <f>TREND($L$6:$L$27,$C$36:$C$57,C66)</f>
        <v/>
      </c>
      <c r="H66">
        <f>EXP(G66+$B$2*LN(E66))</f>
        <v/>
      </c>
      <c r="I66" s="17">
        <f>Investment!C8</f>
        <v/>
      </c>
      <c r="J66">
        <f>J65*(1-$B$3)+I66</f>
        <v/>
      </c>
      <c r="K66" s="19">
        <f>E66+J66</f>
        <v/>
      </c>
      <c r="L66">
        <f>EXP(G66+$B$2*LN(K66))</f>
        <v/>
      </c>
      <c r="M66">
        <f>L66-H66</f>
        <v/>
      </c>
      <c r="N66">
        <f>L66</f>
        <v/>
      </c>
      <c r="O66">
        <f>(N66-N65)/N65</f>
        <v/>
      </c>
    </row>
    <row r="67">
      <c r="C67" t="n">
        <v>2033</v>
      </c>
      <c r="D67">
        <f>E67/F67</f>
        <v/>
      </c>
      <c r="E67" s="21">
        <f>AVERAGE($D$49:$D$57)*F67</f>
        <v/>
      </c>
      <c r="F67" s="20">
        <f>WEO_Data!C41</f>
        <v/>
      </c>
      <c r="G67" s="20">
        <f>TREND($L$6:$L$27,$C$36:$C$57,C67)</f>
        <v/>
      </c>
      <c r="H67">
        <f>EXP(G67+$B$2*LN(E67))</f>
        <v/>
      </c>
      <c r="I67" s="17">
        <f>Investment!C9</f>
        <v/>
      </c>
      <c r="J67">
        <f>J66*(1-$B$3)+I67</f>
        <v/>
      </c>
      <c r="K67" s="19">
        <f>E67+J67</f>
        <v/>
      </c>
      <c r="L67">
        <f>EXP(G67+$B$2*LN(K67))</f>
        <v/>
      </c>
      <c r="M67">
        <f>L67-H67</f>
        <v/>
      </c>
      <c r="N67">
        <f>L67</f>
        <v/>
      </c>
      <c r="O67">
        <f>(N67-N66)/N66</f>
        <v/>
      </c>
    </row>
    <row r="68">
      <c r="C68" t="n">
        <v>2034</v>
      </c>
      <c r="D68">
        <f>E68/F68</f>
        <v/>
      </c>
      <c r="E68" s="21">
        <f>AVERAGE($D$49:$D$57)*F68</f>
        <v/>
      </c>
      <c r="F68" s="20">
        <f>WEO_Data!C42</f>
        <v/>
      </c>
      <c r="G68" s="20">
        <f>TREND($L$6:$L$27,$C$36:$C$57,C68)</f>
        <v/>
      </c>
      <c r="H68">
        <f>EXP(G68+$B$2*LN(E68))</f>
        <v/>
      </c>
      <c r="I68" t="n">
        <v>0</v>
      </c>
      <c r="J68">
        <f>J67*(1-$B$3)+I68</f>
        <v/>
      </c>
      <c r="K68" s="19">
        <f>E68+J68</f>
        <v/>
      </c>
      <c r="L68">
        <f>EXP(G68+$B$2*LN(K68))</f>
        <v/>
      </c>
      <c r="M68">
        <f>L68-H68</f>
        <v/>
      </c>
      <c r="N68">
        <f>L68</f>
        <v/>
      </c>
      <c r="O68">
        <f>(N68-N67)/N67</f>
        <v/>
      </c>
    </row>
    <row r="69">
      <c r="C69" t="n">
        <v>2035</v>
      </c>
      <c r="D69">
        <f>E69/F69</f>
        <v/>
      </c>
      <c r="E69" s="21">
        <f>AVERAGE($D$49:$D$57)*F69</f>
        <v/>
      </c>
      <c r="F69" s="20">
        <f>WEO_Data!C43</f>
        <v/>
      </c>
      <c r="G69" s="20">
        <f>TREND($L$6:$L$27,$C$36:$C$57,C69)</f>
        <v/>
      </c>
      <c r="H69">
        <f>EXP(G69+$B$2*LN(E69))</f>
        <v/>
      </c>
      <c r="I69" t="n">
        <v>0</v>
      </c>
      <c r="J69">
        <f>J68*(1-$B$3)+I69</f>
        <v/>
      </c>
      <c r="K69" s="19">
        <f>E69+J69</f>
        <v/>
      </c>
      <c r="L69">
        <f>EXP(G69+$B$2*LN(K69))</f>
        <v/>
      </c>
      <c r="M69">
        <f>L69-H69</f>
        <v/>
      </c>
      <c r="N69">
        <f>L69</f>
        <v/>
      </c>
      <c r="O69">
        <f>(N69-N68)/N68</f>
        <v/>
      </c>
    </row>
    <row r="70">
      <c r="C70" t="n">
        <v>2036</v>
      </c>
      <c r="D70">
        <f>E70/F70</f>
        <v/>
      </c>
      <c r="E70" s="21">
        <f>AVERAGE($D$49:$D$57)*F70</f>
        <v/>
      </c>
      <c r="F70" s="20">
        <f>WEO_Data!C44</f>
        <v/>
      </c>
      <c r="G70" s="20">
        <f>TREND($L$6:$L$27,$C$36:$C$57,C70)</f>
        <v/>
      </c>
      <c r="H70">
        <f>EXP(G70+$B$2*LN(E70))</f>
        <v/>
      </c>
      <c r="I70" t="n">
        <v>0</v>
      </c>
      <c r="J70">
        <f>J69*(1-$B$3)+I70</f>
        <v/>
      </c>
      <c r="K70" s="19">
        <f>E70+J70</f>
        <v/>
      </c>
      <c r="L70">
        <f>EXP(G70+$B$2*LN(K70))</f>
        <v/>
      </c>
      <c r="M70">
        <f>L70-H70</f>
        <v/>
      </c>
      <c r="N70">
        <f>L70</f>
        <v/>
      </c>
      <c r="O70">
        <f>(N70-N69)/N69</f>
        <v/>
      </c>
    </row>
    <row r="71">
      <c r="C71" t="n">
        <v>2037</v>
      </c>
      <c r="D71">
        <f>E71/F71</f>
        <v/>
      </c>
      <c r="E71" s="21">
        <f>AVERAGE($D$49:$D$57)*F71</f>
        <v/>
      </c>
      <c r="F71" s="20">
        <f>WEO_Data!C45</f>
        <v/>
      </c>
      <c r="G71" s="20">
        <f>TREND($L$6:$L$27,$C$36:$C$57,C71)</f>
        <v/>
      </c>
      <c r="H71">
        <f>EXP(G71+$B$2*LN(E71))</f>
        <v/>
      </c>
      <c r="I71" t="n">
        <v>0</v>
      </c>
      <c r="J71">
        <f>J70*(1-$B$3)+I71</f>
        <v/>
      </c>
      <c r="K71" s="19">
        <f>E71+J71</f>
        <v/>
      </c>
      <c r="L71">
        <f>EXP(G71+$B$2*LN(K71))</f>
        <v/>
      </c>
      <c r="M71">
        <f>L71-H71</f>
        <v/>
      </c>
      <c r="N71">
        <f>L71</f>
        <v/>
      </c>
      <c r="O71">
        <f>(N71-N70)/N70</f>
        <v/>
      </c>
    </row>
    <row r="72">
      <c r="C72" t="n">
        <v>2038</v>
      </c>
      <c r="D72">
        <f>E72/F72</f>
        <v/>
      </c>
      <c r="E72" s="21">
        <f>AVERAGE($D$49:$D$57)*F72</f>
        <v/>
      </c>
      <c r="F72" s="20">
        <f>WEO_Data!C46</f>
        <v/>
      </c>
      <c r="G72" s="20">
        <f>TREND($L$6:$L$27,$C$36:$C$57,C72)</f>
        <v/>
      </c>
      <c r="H72">
        <f>EXP(G72+$B$2*LN(E72))</f>
        <v/>
      </c>
      <c r="I72" t="n">
        <v>0</v>
      </c>
      <c r="J72">
        <f>J71*(1-$B$3)+I72</f>
        <v/>
      </c>
      <c r="K72" s="19">
        <f>E72+J72</f>
        <v/>
      </c>
      <c r="L72">
        <f>EXP(G72+$B$2*LN(K72))</f>
        <v/>
      </c>
      <c r="M72">
        <f>L72-H72</f>
        <v/>
      </c>
      <c r="N72">
        <f>L72</f>
        <v/>
      </c>
      <c r="O72">
        <f>(N72-N71)/N71</f>
        <v/>
      </c>
    </row>
    <row r="73">
      <c r="C73" t="n">
        <v>2039</v>
      </c>
      <c r="D73">
        <f>E73/F73</f>
        <v/>
      </c>
      <c r="E73" s="21">
        <f>AVERAGE($D$49:$D$57)*F73</f>
        <v/>
      </c>
      <c r="F73" s="20">
        <f>WEO_Data!C47</f>
        <v/>
      </c>
      <c r="G73" s="20">
        <f>TREND($L$6:$L$27,$C$36:$C$57,C73)</f>
        <v/>
      </c>
      <c r="H73">
        <f>EXP(G73+$B$2*LN(E73))</f>
        <v/>
      </c>
      <c r="I73" t="n">
        <v>0</v>
      </c>
      <c r="J73">
        <f>J72*(1-$B$3)+I73</f>
        <v/>
      </c>
      <c r="K73" s="19">
        <f>E73+J73</f>
        <v/>
      </c>
      <c r="L73">
        <f>EXP(G73+$B$2*LN(K73))</f>
        <v/>
      </c>
      <c r="M73">
        <f>L73-H73</f>
        <v/>
      </c>
      <c r="N73">
        <f>L73</f>
        <v/>
      </c>
      <c r="O73">
        <f>(N73-N72)/N72</f>
        <v/>
      </c>
    </row>
    <row r="74">
      <c r="C74" t="n">
        <v>2040</v>
      </c>
      <c r="D74">
        <f>E74/F74</f>
        <v/>
      </c>
      <c r="E74" s="21">
        <f>AVERAGE($D$49:$D$57)*F74</f>
        <v/>
      </c>
      <c r="F74" s="20">
        <f>WEO_Data!C48</f>
        <v/>
      </c>
      <c r="G74" s="20">
        <f>TREND($L$6:$L$27,$C$36:$C$57,C74)</f>
        <v/>
      </c>
      <c r="H74">
        <f>EXP(G74+$B$2*LN(E74))</f>
        <v/>
      </c>
      <c r="I74" t="n">
        <v>0</v>
      </c>
      <c r="J74">
        <f>J73*(1-$B$3)+I74</f>
        <v/>
      </c>
      <c r="K74" s="19">
        <f>E74+J74</f>
        <v/>
      </c>
      <c r="L74">
        <f>EXP(G74+$B$2*LN(K74))</f>
        <v/>
      </c>
      <c r="M74">
        <f>L74-H74</f>
        <v/>
      </c>
      <c r="N74">
        <f>L74</f>
        <v/>
      </c>
      <c r="O74">
        <f>(N74-N73)/N73</f>
        <v/>
      </c>
    </row>
    <row r="75">
      <c r="C75" t="n">
        <v>2041</v>
      </c>
      <c r="D75">
        <f>E75/F75</f>
        <v/>
      </c>
      <c r="E75" s="21">
        <f>AVERAGE($D$49:$D$57)*F75</f>
        <v/>
      </c>
      <c r="F75" s="20">
        <f>WEO_Data!C49</f>
        <v/>
      </c>
      <c r="G75" s="20">
        <f>TREND($L$6:$L$27,$C$36:$C$57,C75)</f>
        <v/>
      </c>
      <c r="H75">
        <f>EXP(G75+$B$2*LN(E75))</f>
        <v/>
      </c>
      <c r="I75" t="n">
        <v>0</v>
      </c>
      <c r="J75">
        <f>J74*(1-$B$3)+I75</f>
        <v/>
      </c>
      <c r="K75" s="19">
        <f>E75+J75</f>
        <v/>
      </c>
      <c r="L75">
        <f>EXP(G75+$B$2*LN(K75))</f>
        <v/>
      </c>
      <c r="M75">
        <f>L75-H75</f>
        <v/>
      </c>
      <c r="N75">
        <f>L75</f>
        <v/>
      </c>
      <c r="O75">
        <f>(N75-N74)/N74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PWT!C8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PWT!C9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PWT!C10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PWT!C11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PWT!C12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PWT!C13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PWT!C14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PWT!C15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PWT!C16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PWT!C17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PWT!C18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PWT!C19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PWT!C20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PWT!C21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PWT!C22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PWT!C23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PWT!C24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PWT!C25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PWT!C26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PWT!C27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PWT!C28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PWT!C29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PWT!C30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PWT!C31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PWT!C32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PWT!C33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PWT!C34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PWT!C35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delta</t>
        </is>
      </c>
    </row>
    <row r="2">
      <c r="A2" s="19" t="n">
        <v>1990</v>
      </c>
      <c r="B2" s="19" t="n">
        <v>333953.90625</v>
      </c>
      <c r="C2" t="n">
        <v>0.0409929528832436</v>
      </c>
    </row>
    <row r="3">
      <c r="A3" s="19" t="n">
        <v>1991</v>
      </c>
      <c r="B3" s="19" t="n">
        <v>336800.125</v>
      </c>
      <c r="C3" t="n">
        <v>0.0411235168576241</v>
      </c>
    </row>
    <row r="4">
      <c r="A4" s="19" t="n">
        <v>1992</v>
      </c>
      <c r="B4" s="19" t="n">
        <v>331575.34375</v>
      </c>
      <c r="C4" t="n">
        <v>0.0402376800775528</v>
      </c>
    </row>
    <row r="5">
      <c r="A5" s="19" t="n">
        <v>1993</v>
      </c>
      <c r="B5" s="19" t="n">
        <v>318977.5625</v>
      </c>
      <c r="C5" t="n">
        <v>0.0383953675627708</v>
      </c>
    </row>
    <row r="6">
      <c r="A6" s="19" t="n">
        <v>1994</v>
      </c>
      <c r="B6" s="19" t="n">
        <v>310557.21875</v>
      </c>
      <c r="C6" t="n">
        <v>0.0363418571650982</v>
      </c>
    </row>
    <row r="7">
      <c r="A7" s="19" t="n">
        <v>1995</v>
      </c>
      <c r="B7" s="19" t="n">
        <v>305633.28125</v>
      </c>
      <c r="C7" t="n">
        <v>0.0346032343804836</v>
      </c>
    </row>
    <row r="8">
      <c r="A8" s="19" t="n">
        <v>1996</v>
      </c>
      <c r="B8" s="19" t="n">
        <v>301706.46875</v>
      </c>
      <c r="C8" t="n">
        <v>0.0332826301455498</v>
      </c>
    </row>
    <row r="9">
      <c r="A9" s="19" t="n">
        <v>1997</v>
      </c>
      <c r="B9" s="19" t="n">
        <v>298764.625</v>
      </c>
      <c r="C9" t="n">
        <v>0.0324222669005394</v>
      </c>
    </row>
    <row r="10">
      <c r="A10" s="19" t="n">
        <v>1998</v>
      </c>
      <c r="B10" s="19" t="n">
        <v>298990.5</v>
      </c>
      <c r="C10" t="n">
        <v>0.0320810526609421</v>
      </c>
    </row>
    <row r="11">
      <c r="A11" s="19" t="n">
        <v>1999</v>
      </c>
      <c r="B11" s="19" t="n">
        <v>299754.78125</v>
      </c>
      <c r="C11" t="n">
        <v>0.0320445038378239</v>
      </c>
    </row>
    <row r="12">
      <c r="A12" s="19" t="n">
        <v>2000</v>
      </c>
      <c r="B12" s="19" t="n">
        <v>300383.3125</v>
      </c>
      <c r="C12" t="n">
        <v>0.031913548707962</v>
      </c>
    </row>
    <row r="13">
      <c r="A13" s="19" t="n">
        <v>2001</v>
      </c>
      <c r="B13" s="19" t="n">
        <v>302284.0625</v>
      </c>
      <c r="C13" t="n">
        <v>0.0318191163241863</v>
      </c>
    </row>
    <row r="14">
      <c r="A14" s="19" t="n">
        <v>2002</v>
      </c>
      <c r="B14" s="19" t="n">
        <v>303592.625</v>
      </c>
      <c r="C14" t="n">
        <v>0.0315976105630398</v>
      </c>
    </row>
    <row r="15">
      <c r="A15" s="19" t="n">
        <v>2003</v>
      </c>
      <c r="B15" s="19" t="n">
        <v>307310.28125</v>
      </c>
      <c r="C15" t="n">
        <v>0.0312637500464916</v>
      </c>
    </row>
    <row r="16">
      <c r="A16" s="19" t="n">
        <v>2004</v>
      </c>
      <c r="B16" s="19" t="n">
        <v>311984.28125</v>
      </c>
      <c r="C16" t="n">
        <v>0.0316877923905849</v>
      </c>
    </row>
    <row r="17">
      <c r="A17" s="19" t="n">
        <v>2005</v>
      </c>
      <c r="B17" s="19" t="n">
        <v>317837.8125</v>
      </c>
      <c r="C17" t="n">
        <v>0.0329389497637749</v>
      </c>
    </row>
    <row r="18">
      <c r="A18" s="19" t="n">
        <v>2006</v>
      </c>
      <c r="B18" s="19" t="n">
        <v>322943.65625</v>
      </c>
      <c r="C18" t="n">
        <v>0.0344443172216415</v>
      </c>
    </row>
    <row r="19">
      <c r="A19" s="19" t="n">
        <v>2007</v>
      </c>
      <c r="B19" s="19" t="n">
        <v>329445.875</v>
      </c>
      <c r="C19" t="n">
        <v>0.0360632352530956</v>
      </c>
    </row>
    <row r="20">
      <c r="A20" s="19" t="n">
        <v>2008</v>
      </c>
      <c r="B20" s="19" t="n">
        <v>332604.46875</v>
      </c>
      <c r="C20" t="n">
        <v>0.0373382940888405</v>
      </c>
    </row>
    <row r="21">
      <c r="A21" s="19" t="n">
        <v>2009</v>
      </c>
      <c r="B21" s="19" t="n">
        <v>330608.28125</v>
      </c>
      <c r="C21" t="n">
        <v>0.0375244617462158</v>
      </c>
    </row>
    <row r="22">
      <c r="A22" s="19" t="n">
        <v>2010</v>
      </c>
      <c r="B22" s="19" t="n">
        <v>332551.53125</v>
      </c>
      <c r="C22" t="n">
        <v>0.0372243337333202</v>
      </c>
    </row>
    <row r="23">
      <c r="A23" s="19" t="n">
        <v>2011</v>
      </c>
      <c r="B23" s="19" t="n">
        <v>336560.28125</v>
      </c>
      <c r="C23" t="n">
        <v>0.037186823785305</v>
      </c>
    </row>
    <row r="24">
      <c r="A24" s="19" t="n">
        <v>2012</v>
      </c>
      <c r="B24" s="19" t="n">
        <v>341471.1875</v>
      </c>
      <c r="C24" t="n">
        <v>0.0371892042458057</v>
      </c>
    </row>
    <row r="25">
      <c r="A25" s="19" t="n">
        <v>2013</v>
      </c>
      <c r="B25" s="19" t="n">
        <v>344239.03125</v>
      </c>
      <c r="C25" t="n">
        <v>0.0372365638613701</v>
      </c>
    </row>
    <row r="26">
      <c r="A26" s="19" t="n">
        <v>2014</v>
      </c>
      <c r="B26" s="19" t="n">
        <v>350962.15625</v>
      </c>
      <c r="C26" t="n">
        <v>0.03755883872509</v>
      </c>
    </row>
    <row r="27">
      <c r="A27" s="19" t="n">
        <v>2015</v>
      </c>
      <c r="B27" s="19" t="n">
        <v>360259.8125</v>
      </c>
      <c r="C27" t="n">
        <v>0.0383267849683762</v>
      </c>
    </row>
    <row r="28">
      <c r="A28" s="19" t="n">
        <v>2016</v>
      </c>
      <c r="B28" s="19" t="n">
        <v>370547.65625</v>
      </c>
      <c r="C28" t="n">
        <v>0.0393099114298821</v>
      </c>
    </row>
    <row r="29">
      <c r="A29" s="19" t="n">
        <v>2017</v>
      </c>
      <c r="B29" s="19" t="n">
        <v>380655.78125</v>
      </c>
      <c r="C29" t="n">
        <v>0.0404252856969833</v>
      </c>
    </row>
    <row r="30">
      <c r="A30" s="19" t="n">
        <v>2018</v>
      </c>
      <c r="B30" s="19" t="n">
        <v>390625.1875</v>
      </c>
      <c r="C30" t="n">
        <v>0.0412590205669403</v>
      </c>
    </row>
    <row r="31">
      <c r="A31" s="19" t="n">
        <v>2019</v>
      </c>
      <c r="B31" s="19" t="n">
        <v>399934.28125</v>
      </c>
      <c r="C31" t="n">
        <v>0.0420626476407051</v>
      </c>
    </row>
    <row r="32">
      <c r="A32" s="19" t="n">
        <v>2020</v>
      </c>
      <c r="B32" s="19" t="n">
        <v>405156.15625</v>
      </c>
      <c r="C32" t="n">
        <v>0.0429592169821262</v>
      </c>
    </row>
    <row r="33">
      <c r="A33" s="19" t="n">
        <v>2021</v>
      </c>
      <c r="B33" s="19" t="n">
        <v>409189.75</v>
      </c>
      <c r="C33" t="n">
        <v>0.0433573126792908</v>
      </c>
    </row>
    <row r="34">
      <c r="A34" s="19" t="n">
        <v>2022</v>
      </c>
      <c r="B34" s="19" t="n">
        <v>415085.84375</v>
      </c>
      <c r="C34" t="n">
        <v>0.0436077080667019</v>
      </c>
    </row>
    <row r="35">
      <c r="A35" s="19" t="n">
        <v>2023</v>
      </c>
      <c r="B35" s="19" t="n">
        <v>426190.5</v>
      </c>
      <c r="C35" t="n">
        <v>0.0444894470274448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17.099</v>
      </c>
      <c r="D8" t="n">
        <v>1.9</v>
      </c>
    </row>
    <row r="9">
      <c r="B9" t="n">
        <v>2001</v>
      </c>
      <c r="C9" t="n">
        <v>17.921</v>
      </c>
      <c r="D9" t="n">
        <v>4.8</v>
      </c>
    </row>
    <row r="10">
      <c r="B10" t="n">
        <v>2002</v>
      </c>
      <c r="C10" t="n">
        <v>18.902</v>
      </c>
      <c r="D10" t="n">
        <v>5.5</v>
      </c>
    </row>
    <row r="11">
      <c r="B11" t="n">
        <v>2003</v>
      </c>
      <c r="C11" t="n">
        <v>20.992</v>
      </c>
      <c r="D11" t="n">
        <v>11.2</v>
      </c>
    </row>
    <row r="12">
      <c r="B12" t="n">
        <v>2004</v>
      </c>
      <c r="C12" t="n">
        <v>22.208</v>
      </c>
      <c r="D12" t="n">
        <v>5.8</v>
      </c>
    </row>
    <row r="13">
      <c r="B13" t="n">
        <v>2005</v>
      </c>
      <c r="C13" t="n">
        <v>24.338</v>
      </c>
      <c r="D13" t="n">
        <v>9.6</v>
      </c>
    </row>
    <row r="14">
      <c r="B14" t="n">
        <v>2006</v>
      </c>
      <c r="C14" t="n">
        <v>26.631</v>
      </c>
      <c r="D14" t="n">
        <v>9.4</v>
      </c>
    </row>
    <row r="15">
      <c r="B15" t="n">
        <v>2007</v>
      </c>
      <c r="C15" t="n">
        <v>29.98</v>
      </c>
      <c r="D15" t="n">
        <v>12.6</v>
      </c>
    </row>
    <row r="16">
      <c r="B16" t="n">
        <v>2008</v>
      </c>
      <c r="C16" t="n">
        <v>30.706</v>
      </c>
      <c r="D16" t="n">
        <v>2.4</v>
      </c>
    </row>
    <row r="17">
      <c r="B17" t="n">
        <v>2009</v>
      </c>
      <c r="C17" t="n">
        <v>29.585</v>
      </c>
      <c r="D17" t="n">
        <v>-3.7</v>
      </c>
    </row>
    <row r="18">
      <c r="B18" t="n">
        <v>2010</v>
      </c>
      <c r="C18" t="n">
        <v>31.433</v>
      </c>
      <c r="D18" t="n">
        <v>6.9</v>
      </c>
    </row>
    <row r="19">
      <c r="B19" t="n">
        <v>2011</v>
      </c>
      <c r="C19" t="n">
        <v>33.927</v>
      </c>
      <c r="D19" t="n">
        <v>7.9</v>
      </c>
    </row>
    <row r="20">
      <c r="B20" t="n">
        <v>2012</v>
      </c>
      <c r="C20" t="n">
        <v>36.159</v>
      </c>
      <c r="D20" t="n">
        <v>6.6</v>
      </c>
    </row>
    <row r="21">
      <c r="B21" t="n">
        <v>2013</v>
      </c>
      <c r="C21" t="n">
        <v>38.015</v>
      </c>
      <c r="D21" t="n">
        <v>5.1</v>
      </c>
    </row>
    <row r="22">
      <c r="B22" t="n">
        <v>2014</v>
      </c>
      <c r="C22" t="n">
        <v>39.57</v>
      </c>
      <c r="D22" t="n">
        <v>4.1</v>
      </c>
    </row>
    <row r="23">
      <c r="B23" t="n">
        <v>2015</v>
      </c>
      <c r="C23" t="n">
        <v>40.896</v>
      </c>
      <c r="D23" t="n">
        <v>3.4</v>
      </c>
    </row>
    <row r="24">
      <c r="B24" t="n">
        <v>2016</v>
      </c>
      <c r="C24" t="n">
        <v>42.307</v>
      </c>
      <c r="D24" t="n">
        <v>3.4</v>
      </c>
    </row>
    <row r="25">
      <c r="B25" t="n">
        <v>2017</v>
      </c>
      <c r="C25" t="n">
        <v>44.49</v>
      </c>
      <c r="D25" t="n">
        <v>5.2</v>
      </c>
    </row>
    <row r="26">
      <c r="B26" t="n">
        <v>2018</v>
      </c>
      <c r="C26" t="n">
        <v>47.187</v>
      </c>
      <c r="D26" t="n">
        <v>6.1</v>
      </c>
    </row>
    <row r="27">
      <c r="B27" t="n">
        <v>2019</v>
      </c>
      <c r="C27" t="n">
        <v>49.726</v>
      </c>
      <c r="D27" t="n">
        <v>5.4</v>
      </c>
    </row>
    <row r="28">
      <c r="B28" t="n">
        <v>2020</v>
      </c>
      <c r="C28" t="n">
        <v>46.598</v>
      </c>
      <c r="D28" t="n">
        <v>-6.3</v>
      </c>
    </row>
    <row r="29">
      <c r="B29" t="n">
        <v>2021</v>
      </c>
      <c r="C29" t="n">
        <v>51.558</v>
      </c>
      <c r="D29" t="n">
        <v>10.6</v>
      </c>
    </row>
    <row r="30">
      <c r="B30" t="n">
        <v>2022</v>
      </c>
      <c r="C30" t="n">
        <v>57.208</v>
      </c>
      <c r="D30" t="n">
        <v>11</v>
      </c>
    </row>
    <row r="31">
      <c r="B31" t="n">
        <v>2023</v>
      </c>
      <c r="C31" t="n">
        <v>61.6886457</v>
      </c>
      <c r="D31" t="n">
        <v>7.8</v>
      </c>
    </row>
    <row r="32">
      <c r="B32" t="n">
        <v>2024</v>
      </c>
      <c r="C32" t="n">
        <v>67.6599794</v>
      </c>
      <c r="D32" t="n">
        <v>9.4</v>
      </c>
    </row>
    <row r="33">
      <c r="B33" t="n">
        <v>2025</v>
      </c>
      <c r="C33">
        <f>C32*(1+D33/100)</f>
        <v/>
      </c>
      <c r="D33" t="n">
        <v>7.2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2026-01-29T05:18:11Z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