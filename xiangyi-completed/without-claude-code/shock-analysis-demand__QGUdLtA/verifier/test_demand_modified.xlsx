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" sheetId="2" state="visible" r:id="rId2"/>
    <sheet name="USE" sheetId="3" state="visible" r:id="rId3"/>
    <sheet name="SUT 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Growth Rate (%)</t>
        </is>
      </c>
      <c r="C1" t="inlineStr">
        <is>
          <t>GDP Deflator (Index)</t>
        </is>
      </c>
      <c r="D1" t="inlineStr">
        <is>
          <t>GDP Deflator Growth Rate (%)</t>
        </is>
      </c>
      <c r="E1" t="inlineStr">
        <is>
          <t>Nominal GDP (USD millions)</t>
        </is>
      </c>
      <c r="F1" t="inlineStr">
        <is>
          <t>Real GDP (USD millions, 2022 prices)</t>
        </is>
      </c>
    </row>
    <row r="2">
      <c r="A2" t="n">
        <v>2022</v>
      </c>
      <c r="B2" t="n">
        <v>0</v>
      </c>
      <c r="C2" t="n">
        <v>100</v>
      </c>
      <c r="D2" t="n">
        <v>0</v>
      </c>
    </row>
    <row r="3">
      <c r="A3" t="n">
        <v>2023</v>
      </c>
      <c r="B3" t="n">
        <v>6.2</v>
      </c>
      <c r="C3" t="n">
        <v>110.5</v>
      </c>
      <c r="D3" t="n">
        <v>10.5</v>
      </c>
    </row>
    <row r="4">
      <c r="A4" t="n">
        <v>2024</v>
      </c>
      <c r="B4" t="n">
        <v>6.5</v>
      </c>
      <c r="C4" t="n">
        <v>120.8</v>
      </c>
      <c r="D4" t="n">
        <v>9.300000000000001</v>
      </c>
    </row>
    <row r="5">
      <c r="A5" t="n">
        <v>2025</v>
      </c>
      <c r="B5" t="n">
        <v>7.2</v>
      </c>
      <c r="C5" t="n">
        <v>132.4</v>
      </c>
      <c r="D5" t="n">
        <v>9.6</v>
      </c>
    </row>
    <row r="6">
      <c r="A6" t="n">
        <v>2026</v>
      </c>
      <c r="B6" t="n">
        <v>5.3</v>
      </c>
      <c r="C6" t="n">
        <v>144.6</v>
      </c>
      <c r="D6" t="n">
        <v>9.199999999999999</v>
      </c>
    </row>
    <row r="7">
      <c r="A7" t="n">
        <v>2027</v>
      </c>
      <c r="B7" t="n">
        <v>5.3</v>
      </c>
      <c r="C7" t="n">
        <v>157.9</v>
      </c>
      <c r="D7" t="n">
        <v>9.199999999999999</v>
      </c>
    </row>
    <row r="8">
      <c r="A8" t="n">
        <v>2028</v>
      </c>
      <c r="B8" t="n">
        <v>5.3</v>
      </c>
    </row>
    <row r="9">
      <c r="A9" t="n">
        <v>2029</v>
      </c>
      <c r="B9" t="n">
        <v>5.3</v>
      </c>
    </row>
    <row r="10">
      <c r="A10" t="n">
        <v>2030</v>
      </c>
      <c r="B10" t="n">
        <v>5.3</v>
      </c>
    </row>
    <row r="11">
      <c r="A11" t="n">
        <v>2031</v>
      </c>
      <c r="B11" t="n">
        <v>5.3</v>
      </c>
    </row>
    <row r="12">
      <c r="A12" t="n">
        <v>2032</v>
      </c>
      <c r="B12" t="n">
        <v>5.3</v>
      </c>
    </row>
    <row r="13">
      <c r="A13" t="n">
        <v>2033</v>
      </c>
      <c r="B13" t="n">
        <v>5.3</v>
      </c>
    </row>
    <row r="14">
      <c r="A14" t="n">
        <v>2034</v>
      </c>
      <c r="B14" t="n">
        <v>5.3</v>
      </c>
    </row>
    <row r="15">
      <c r="A15" t="n">
        <v>2035</v>
      </c>
      <c r="B15" t="n">
        <v>5.3</v>
      </c>
    </row>
    <row r="16">
      <c r="A16" t="n">
        <v>2036</v>
      </c>
      <c r="B16" t="n">
        <v>5.3</v>
      </c>
    </row>
    <row r="17">
      <c r="A17" t="n">
        <v>2037</v>
      </c>
      <c r="B17" t="n">
        <v>5.3</v>
      </c>
    </row>
    <row r="18">
      <c r="A18" t="n">
        <v>2038</v>
      </c>
      <c r="B18" t="n">
        <v>5.3</v>
      </c>
    </row>
    <row r="19">
      <c r="A19" t="n">
        <v>2039</v>
      </c>
      <c r="B19" t="n">
        <v>5.3</v>
      </c>
    </row>
    <row r="20">
      <c r="A20" t="n">
        <v>2040</v>
      </c>
      <c r="B20" t="n">
        <v>5.3</v>
      </c>
    </row>
    <row r="21">
      <c r="A21" t="n">
        <v>2041</v>
      </c>
      <c r="B21" t="n">
        <v>5.3</v>
      </c>
    </row>
    <row r="22">
      <c r="A22" t="n">
        <v>2042</v>
      </c>
      <c r="B22" t="n">
        <v>5.3</v>
      </c>
    </row>
    <row r="23">
      <c r="A23" t="n">
        <v>2043</v>
      </c>
      <c r="B23" t="n">
        <v>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and Use Table Calculations</t>
        </is>
      </c>
    </row>
    <row r="3">
      <c r="A3" t="inlineStr">
        <is>
          <t>Product/Industry</t>
        </is>
      </c>
      <c r="B3" t="inlineStr">
        <is>
          <t>Code</t>
        </is>
      </c>
      <c r="C3" t="inlineStr">
        <is>
          <t>Domestic Production (Lari)</t>
        </is>
      </c>
      <c r="D3" t="inlineStr">
        <is>
          <t>Imports (Lari)</t>
        </is>
      </c>
      <c r="E3" t="inlineStr">
        <is>
          <t>Total Supply (Lari)</t>
        </is>
      </c>
      <c r="F3" t="inlineStr">
        <is>
          <t>Intermediate Use</t>
        </is>
      </c>
      <c r="G3" t="inlineStr">
        <is>
          <t>Final Consumption</t>
        </is>
      </c>
      <c r="H3" t="inlineStr">
        <is>
          <t>Gross Capital Formation</t>
        </is>
      </c>
    </row>
    <row r="4">
      <c r="A4" t="inlineStr">
        <is>
          <t>Product 1</t>
        </is>
      </c>
    </row>
    <row r="5">
      <c r="A5" t="inlineStr">
        <is>
          <t>Product 2</t>
        </is>
      </c>
      <c r="E5" t="inlineStr">
        <is>
          <t>Total Supply (Lari millions)</t>
        </is>
      </c>
      <c r="F5" t="inlineStr">
        <is>
          <t>Intermediate Consumption</t>
        </is>
      </c>
      <c r="G5" t="inlineStr">
        <is>
          <t>Final Consumption</t>
        </is>
      </c>
      <c r="H5" t="inlineStr">
        <is>
          <t>Gross Capital Formation</t>
        </is>
      </c>
    </row>
    <row r="6">
      <c r="A6" t="inlineStr">
        <is>
          <t>Product 3</t>
        </is>
      </c>
    </row>
    <row r="7">
      <c r="A7" t="inlineStr">
        <is>
          <t>Product 4</t>
        </is>
      </c>
    </row>
    <row r="8">
      <c r="A8" t="inlineStr">
        <is>
          <t>Product 5</t>
        </is>
      </c>
    </row>
    <row r="9">
      <c r="A9" t="inlineStr">
        <is>
          <t>Product 6</t>
        </is>
      </c>
    </row>
    <row r="10">
      <c r="A10" t="inlineStr">
        <is>
          <t>Product 7</t>
        </is>
      </c>
    </row>
    <row r="11">
      <c r="A11" t="inlineStr">
        <is>
          <t>Product 8</t>
        </is>
      </c>
    </row>
    <row r="12">
      <c r="A12" t="inlineStr">
        <is>
          <t>Product 9</t>
        </is>
      </c>
    </row>
    <row r="13">
      <c r="A13" t="inlineStr">
        <is>
          <t>Product 10</t>
        </is>
      </c>
    </row>
    <row r="14">
      <c r="A14" t="inlineStr">
        <is>
          <t>Product 11</t>
        </is>
      </c>
    </row>
    <row r="15">
      <c r="A15" t="inlineStr">
        <is>
          <t>Product 12</t>
        </is>
      </c>
    </row>
    <row r="16">
      <c r="A16" t="inlineStr">
        <is>
          <t>Product 13</t>
        </is>
      </c>
    </row>
    <row r="17">
      <c r="A17" t="inlineStr">
        <is>
          <t>Product 14</t>
        </is>
      </c>
    </row>
    <row r="18">
      <c r="A18" t="inlineStr">
        <is>
          <t>Product 15</t>
        </is>
      </c>
    </row>
    <row r="19">
      <c r="A19" t="inlineStr">
        <is>
          <t>Product 16</t>
        </is>
      </c>
    </row>
    <row r="20">
      <c r="A20" t="inlineStr">
        <is>
          <t>Product 17</t>
        </is>
      </c>
    </row>
    <row r="21">
      <c r="A21" t="inlineStr">
        <is>
          <t>Product 18</t>
        </is>
      </c>
    </row>
    <row r="22">
      <c r="A22" t="inlineStr">
        <is>
          <t>Product 19</t>
        </is>
      </c>
    </row>
    <row r="23">
      <c r="A23" t="inlineStr">
        <is>
          <t>Product 20</t>
        </is>
      </c>
    </row>
    <row r="24">
      <c r="A24" t="inlineStr">
        <is>
          <t>Product 21</t>
        </is>
      </c>
    </row>
    <row r="25">
      <c r="A25" t="inlineStr">
        <is>
          <t>Product 22</t>
        </is>
      </c>
    </row>
    <row r="26">
      <c r="A26" t="inlineStr">
        <is>
          <t>Product 23</t>
        </is>
      </c>
    </row>
    <row r="27">
      <c r="A27" t="inlineStr">
        <is>
          <t>Product 24</t>
        </is>
      </c>
    </row>
    <row r="28">
      <c r="A28" t="inlineStr">
        <is>
          <t>Product 25</t>
        </is>
      </c>
    </row>
    <row r="29">
      <c r="A29" t="inlineStr">
        <is>
          <t>Product 26</t>
        </is>
      </c>
    </row>
    <row r="30">
      <c r="A30" t="inlineStr">
        <is>
          <t>Product 27</t>
        </is>
      </c>
    </row>
    <row r="31">
      <c r="A31" t="inlineStr">
        <is>
          <t>Product 28</t>
        </is>
      </c>
    </row>
    <row r="32">
      <c r="A32" t="inlineStr">
        <is>
          <t>Product 29</t>
        </is>
      </c>
    </row>
    <row r="33">
      <c r="A33" t="inlineStr">
        <is>
          <t>Product 30</t>
        </is>
      </c>
    </row>
    <row r="34">
      <c r="A34" t="inlineStr">
        <is>
          <t>Product 31</t>
        </is>
      </c>
    </row>
    <row r="35">
      <c r="A35" t="inlineStr">
        <is>
          <t>Product 32</t>
        </is>
      </c>
    </row>
    <row r="36">
      <c r="A36" t="inlineStr">
        <is>
          <t>Product 33</t>
        </is>
      </c>
    </row>
    <row r="37">
      <c r="A37" t="inlineStr">
        <is>
          <t>Product 34</t>
        </is>
      </c>
    </row>
    <row r="38">
      <c r="A38" t="inlineStr">
        <is>
          <t>Product 35</t>
        </is>
      </c>
    </row>
    <row r="39">
      <c r="A39" t="inlineStr">
        <is>
          <t>Product 36</t>
        </is>
      </c>
    </row>
    <row r="40">
      <c r="A40" t="inlineStr">
        <is>
          <t>Product 37</t>
        </is>
      </c>
    </row>
    <row r="41">
      <c r="A41" t="inlineStr">
        <is>
          <t>Product 38</t>
        </is>
      </c>
    </row>
    <row r="42">
      <c r="A42" t="inlineStr">
        <is>
          <t>Product 39</t>
        </is>
      </c>
    </row>
    <row r="43">
      <c r="A43" t="inlineStr">
        <is>
          <t>Product 40</t>
        </is>
      </c>
    </row>
    <row r="44">
      <c r="A44" t="inlineStr">
        <is>
          <t>Product 41</t>
        </is>
      </c>
    </row>
    <row r="46">
      <c r="A46" t="inlineStr">
        <is>
          <t>Import Content Share</t>
        </is>
      </c>
      <c r="B46">
        <f>D46/E46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Investment Shock Analysis - National Accounts Framework</t>
        </is>
      </c>
    </row>
    <row r="2">
      <c r="A2" s="2" t="inlineStr">
        <is>
          <t>Scenario 1: Base Case (Multiplier 0.8, Import Content Baseline)</t>
        </is>
      </c>
    </row>
    <row r="4">
      <c r="A4" t="inlineStr">
        <is>
          <t>Year</t>
        </is>
      </c>
      <c r="B4" t="inlineStr">
        <is>
          <t>2025 (Base)</t>
        </is>
      </c>
      <c r="C4" t="n">
        <v>2026</v>
      </c>
      <c r="D4" t="n">
        <v>2027</v>
      </c>
      <c r="E4" t="n">
        <v>2028</v>
      </c>
      <c r="F4" t="n">
        <v>2029</v>
      </c>
      <c r="G4" t="n">
        <v>2030</v>
      </c>
      <c r="H4" t="n">
        <v>2031</v>
      </c>
      <c r="I4" t="n">
        <v>2032</v>
      </c>
      <c r="J4" t="n">
        <v>2033</v>
      </c>
    </row>
    <row r="5">
      <c r="A5" t="inlineStr">
        <is>
          <t>Real GDP Growth Rate (%)</t>
        </is>
      </c>
      <c r="B5">
        <f>WEO_Data!B2</f>
        <v/>
      </c>
    </row>
    <row r="6">
      <c r="A6" t="inlineStr">
        <is>
          <t>GDP Deflator (Index)</t>
        </is>
      </c>
      <c r="B6">
        <f>WEO_Data!C2</f>
        <v/>
      </c>
    </row>
    <row r="7">
      <c r="A7" t="inlineStr">
        <is>
          <t>Real GDP (Lari bn, 2022 prices)</t>
        </is>
      </c>
      <c r="B7" t="n">
        <v>2027</v>
      </c>
    </row>
    <row r="8">
      <c r="A8" t="inlineStr">
        <is>
          <t>Nominal GDP (Lari bn)</t>
        </is>
      </c>
      <c r="B8" t="n">
        <v>2028</v>
      </c>
    </row>
    <row r="9">
      <c r="A9" t="inlineStr"/>
      <c r="B9" t="n">
        <v>2029</v>
      </c>
    </row>
    <row r="10">
      <c r="A10" t="inlineStr">
        <is>
          <t>Investment Shock Analysis</t>
        </is>
      </c>
      <c r="B10" t="n">
        <v>2030</v>
      </c>
    </row>
    <row r="11">
      <c r="A11" t="inlineStr">
        <is>
          <t>Annual Investment (USD millions)</t>
        </is>
      </c>
      <c r="B11">
        <f>IF(COLUMN()&lt;=10, 812.5, 0)</f>
        <v/>
      </c>
    </row>
    <row r="12">
      <c r="A12" t="inlineStr">
        <is>
          <t>Annual Investment (Lari millions)</t>
        </is>
      </c>
      <c r="B12">
        <f>C11*2.746</f>
        <v/>
      </c>
    </row>
    <row r="13">
      <c r="A13" t="inlineStr">
        <is>
          <t>Cumulative Investment (Lari millions)</t>
        </is>
      </c>
      <c r="B13">
        <f>C13+D12</f>
        <v/>
      </c>
    </row>
    <row r="14">
      <c r="A14" t="inlineStr"/>
    </row>
    <row r="15">
      <c r="A15" t="inlineStr">
        <is>
          <t>Demand Side Multiplier Effects</t>
        </is>
      </c>
    </row>
    <row r="16">
      <c r="A16" t="inlineStr">
        <is>
          <t>Additional Demand (Lari millions)</t>
        </is>
      </c>
      <c r="B16">
        <f>C12*$D$32</f>
        <v/>
      </c>
    </row>
    <row r="17">
      <c r="A17" t="inlineStr">
        <is>
          <t>Domestic Content (%)</t>
        </is>
      </c>
      <c r="B17">
        <f>(1-$D$33)*100</f>
        <v/>
      </c>
    </row>
    <row r="18">
      <c r="A18" t="inlineStr">
        <is>
          <t>Domestic Production Increase</t>
        </is>
      </c>
      <c r="B18">
        <f>C16*C17/100</f>
        <v/>
      </c>
    </row>
    <row r="19">
      <c r="A19" t="inlineStr">
        <is>
          <t>Import Content (%)</t>
        </is>
      </c>
      <c r="B19">
        <f>$D$33*100</f>
        <v/>
      </c>
    </row>
    <row r="20">
      <c r="A20" t="inlineStr">
        <is>
          <t>Import Increase</t>
        </is>
      </c>
      <c r="B20">
        <f>C16*C20/100</f>
        <v/>
      </c>
    </row>
    <row r="21">
      <c r="A21" t="inlineStr"/>
    </row>
    <row r="22">
      <c r="A22" t="inlineStr">
        <is>
          <t>GDP Impact Analysis</t>
        </is>
      </c>
    </row>
    <row r="23">
      <c r="A23" t="inlineStr">
        <is>
          <t>Direct Investment Contribution (Lari mn)</t>
        </is>
      </c>
      <c r="B23">
        <f>C18</f>
        <v/>
      </c>
    </row>
    <row r="24">
      <c r="A24" t="inlineStr">
        <is>
          <t>Additional Consumption from Income</t>
        </is>
      </c>
      <c r="B24">
        <f>C18*0.8</f>
        <v/>
      </c>
    </row>
    <row r="25">
      <c r="A25" t="inlineStr">
        <is>
          <t>Total GDP Impact (Lari millions)</t>
        </is>
      </c>
      <c r="B25">
        <f>C23+C24</f>
        <v/>
      </c>
    </row>
    <row r="26">
      <c r="A26" t="inlineStr">
        <is>
          <t>Total GDP Impact (USD millions)</t>
        </is>
      </c>
      <c r="B26">
        <f>C25/2.746</f>
        <v/>
      </c>
    </row>
    <row r="27">
      <c r="A27" t="inlineStr">
        <is>
          <t>Real GDP Impact (Lari bn)</t>
        </is>
      </c>
      <c r="B27">
        <f>C25/1000</f>
        <v/>
      </c>
    </row>
    <row r="30">
      <c r="A30" s="3" t="inlineStr">
        <is>
          <t>KEY ASSUMPTIONS</t>
        </is>
      </c>
    </row>
    <row r="31">
      <c r="A31" t="inlineStr">
        <is>
          <t>Exchange Rate (Lari/USD)</t>
        </is>
      </c>
      <c r="B31" t="n">
        <v>2.746</v>
      </c>
      <c r="D31" t="inlineStr">
        <is>
          <t>Total Investment (USD millions)</t>
        </is>
      </c>
      <c r="E31" t="n">
        <v>6500</v>
      </c>
    </row>
    <row r="32">
      <c r="A32" t="inlineStr">
        <is>
          <t>Demand Multiplier</t>
        </is>
      </c>
      <c r="B32" t="n">
        <v>0.8</v>
      </c>
      <c r="D32" t="inlineStr">
        <is>
          <t>Investment Period (years)</t>
        </is>
      </c>
      <c r="E32" t="n">
        <v>8</v>
      </c>
    </row>
    <row r="33">
      <c r="A33" t="inlineStr">
        <is>
          <t>Import Content Share</t>
        </is>
      </c>
      <c r="D33" t="inlineStr">
        <is>
          <t>Annual Investment (USD millions)</t>
        </is>
      </c>
      <c r="E33">
        <f>E31/E32</f>
        <v/>
      </c>
    </row>
    <row r="34">
      <c r="A34" t="inlineStr">
        <is>
          <t>Investment Deflator Source</t>
        </is>
      </c>
      <c r="B34" t="inlineStr">
        <is>
          <t>GDP Deflator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2026-01-29T04:33:37Z</dcterms:created>
  <dcterms:modified xsi:type="dcterms:W3CDTF">2026-01-29T04:34:17Z</dcterms:modified>
</cp:coreProperties>
</file>