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'CFC data'!AVERAGE(E22:E29)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SUMXMY2(K6:K27,L6:L27)+1600*SUMSQ(N7:N26)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-1.387667115807447</v>
      </c>
      <c r="M6">
        <f>K6-L6</f>
        <v/>
      </c>
      <c r="N6" s="5" t="n"/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-1.338893357846933</v>
      </c>
      <c r="M7">
        <f>K7-L7</f>
        <v/>
      </c>
      <c r="N7" s="5">
        <f>(L8-L7)-(L7-L6)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-1.290181833861277</v>
      </c>
      <c r="M8">
        <f>K8-L8</f>
        <v/>
      </c>
      <c r="N8" s="5">
        <f>(L9-L8)-(L8-L7)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-1.241623594812694</v>
      </c>
      <c r="M9">
        <f>K9-L9</f>
        <v/>
      </c>
      <c r="N9" s="5">
        <f>(L10-L9)-(L9-L8)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-1.193336747106241</v>
      </c>
      <c r="M10">
        <f>K10-L10</f>
        <v/>
      </c>
      <c r="N10" s="5">
        <f>(L11-L10)-(L10-L9)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-1.145444144954226</v>
      </c>
      <c r="M11">
        <f>K11-L11</f>
        <v/>
      </c>
      <c r="N11" s="5">
        <f>(L12-L11)-(L11-L10)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-1.098050510634959</v>
      </c>
      <c r="M12">
        <f>K12-L12</f>
        <v/>
      </c>
      <c r="N12" s="5">
        <f>(L13-L12)-(L12-L11)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-1.051202765880946</v>
      </c>
      <c r="M13">
        <f>K13-L13</f>
        <v/>
      </c>
      <c r="N13" s="5">
        <f>(L14-L13)-(L13-L12)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-1.004906948359021</v>
      </c>
      <c r="M14">
        <f>K14-L14</f>
        <v/>
      </c>
      <c r="N14" s="5">
        <f>(L15-L14)-(L14-L13)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-0.9591792465935257</v>
      </c>
      <c r="M15">
        <f>K15-L15</f>
        <v/>
      </c>
      <c r="N15" s="5">
        <f>(L16-L15)-(L15-L14)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-0.9140341279578036</v>
      </c>
      <c r="M16">
        <f>K16-L16</f>
        <v/>
      </c>
      <c r="N16" s="5">
        <f>(L17-L16)-(L16-L15)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-0.8694681742328679</v>
      </c>
      <c r="M17">
        <f>K17-L17</f>
        <v/>
      </c>
      <c r="N17" s="5">
        <f>(L18-L17)-(L17-L16)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-0.8254512307932721</v>
      </c>
      <c r="M18">
        <f>K18-L18</f>
        <v/>
      </c>
      <c r="N18" s="5">
        <f>(L19-L18)-(L18-L17)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-0.7819252086102395</v>
      </c>
      <c r="M19">
        <f>K19-L19</f>
        <v/>
      </c>
      <c r="N19" s="5">
        <f>(L20-L19)-(L19-L18)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-0.7388105607270928</v>
      </c>
      <c r="M20">
        <f>K20-L20</f>
        <v/>
      </c>
      <c r="N20" s="5">
        <f>(L21-L20)-(L20-L19)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-0.6960182542459349</v>
      </c>
      <c r="M21">
        <f>K21-L21</f>
        <v/>
      </c>
      <c r="N21" s="5">
        <f>(L22-L21)-(L21-L20)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-0.6534619059038663</v>
      </c>
      <c r="M22">
        <f>K22-L22</f>
        <v/>
      </c>
      <c r="N22" s="5">
        <f>(L23-L22)-(L22-L21)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-0.6110590293932957</v>
      </c>
      <c r="M23">
        <f>K23-L23</f>
        <v/>
      </c>
      <c r="N23" s="5">
        <f>(L24-L23)-(L23-L22)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-0.5687265940261724</v>
      </c>
      <c r="M24">
        <f>K24-L24</f>
        <v/>
      </c>
      <c r="N24" s="5">
        <f>(L25-L24)-(L24-L23)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-0.5263796770250283</v>
      </c>
      <c r="M25">
        <f>K25-L25</f>
        <v/>
      </c>
      <c r="N25" s="5">
        <f>(L26-L25)-(L25-L24)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-0.4840014676539673</v>
      </c>
      <c r="M26">
        <f>K26-L26</f>
        <v/>
      </c>
      <c r="N26" s="5">
        <f>(L27-L26)-(L26-L25)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-0.4416086426198351</v>
      </c>
      <c r="M27" s="7">
        <f>K27-L27</f>
        <v/>
      </c>
      <c r="N27" s="8" t="n"/>
    </row>
    <row r="29">
      <c r="D29">
        <f>E29/F29</f>
        <v/>
      </c>
      <c r="E29">
        <f>PWT!B14</f>
        <v/>
      </c>
      <c r="F29">
        <f>WEO_Data!C10</f>
        <v/>
      </c>
      <c r="G29">
        <f>L6</f>
        <v/>
      </c>
      <c r="H29">
        <f>(E29^$B$2)*EXP(G29)</f>
        <v/>
      </c>
      <c r="I29" t="n">
        <v>0</v>
      </c>
      <c r="J29">
        <f>I29-$B$3*E29</f>
        <v/>
      </c>
      <c r="K29">
        <f>E29</f>
        <v/>
      </c>
      <c r="L29">
        <f>(K29^$B$2)*EXP(G29)</f>
        <v/>
      </c>
      <c r="M29">
        <f>L29-H29</f>
        <v/>
      </c>
      <c r="N29">
        <f>L29</f>
        <v/>
      </c>
    </row>
    <row r="30">
      <c r="D30">
        <f>E30/F30</f>
        <v/>
      </c>
      <c r="E30">
        <f>PWT!B15</f>
        <v/>
      </c>
      <c r="F30">
        <f>WEO_Data!C11</f>
        <v/>
      </c>
      <c r="G30">
        <f>L7</f>
        <v/>
      </c>
      <c r="H30">
        <f>(E30^$B$2)*EXP(G30)</f>
        <v/>
      </c>
      <c r="I30" t="n">
        <v>0</v>
      </c>
      <c r="J30">
        <f>I30-$B$3*E30</f>
        <v/>
      </c>
      <c r="K30">
        <f>K29+J30</f>
        <v/>
      </c>
      <c r="L30">
        <f>(K30^$B$2)*EXP(G30)</f>
        <v/>
      </c>
      <c r="M30">
        <f>L30-H30</f>
        <v/>
      </c>
      <c r="N30">
        <f>L30</f>
        <v/>
      </c>
      <c r="O30">
        <f>(N30-N29)/N29*100</f>
        <v/>
      </c>
    </row>
    <row r="31">
      <c r="D31">
        <f>E31/F31</f>
        <v/>
      </c>
      <c r="E31">
        <f>PWT!B16</f>
        <v/>
      </c>
      <c r="F31">
        <f>WEO_Data!C12</f>
        <v/>
      </c>
      <c r="G31">
        <f>L8</f>
        <v/>
      </c>
      <c r="H31">
        <f>(E31^$B$2)*EXP(G31)</f>
        <v/>
      </c>
      <c r="I31" t="n">
        <v>0</v>
      </c>
      <c r="J31">
        <f>I31-$B$3*E31</f>
        <v/>
      </c>
      <c r="K31">
        <f>K30+J31</f>
        <v/>
      </c>
      <c r="L31">
        <f>(K31^$B$2)*EXP(G31)</f>
        <v/>
      </c>
      <c r="M31">
        <f>L31-H31</f>
        <v/>
      </c>
      <c r="N31">
        <f>L31</f>
        <v/>
      </c>
      <c r="O31">
        <f>(N31-N30)/N30*100</f>
        <v/>
      </c>
    </row>
    <row r="32">
      <c r="D32">
        <f>E32/F32</f>
        <v/>
      </c>
      <c r="E32">
        <f>PWT!B17</f>
        <v/>
      </c>
      <c r="F32">
        <f>WEO_Data!C13</f>
        <v/>
      </c>
      <c r="G32">
        <f>L9</f>
        <v/>
      </c>
      <c r="H32">
        <f>(E32^$B$2)*EXP(G32)</f>
        <v/>
      </c>
      <c r="I32" t="n">
        <v>0</v>
      </c>
      <c r="J32">
        <f>I32-$B$3*E32</f>
        <v/>
      </c>
      <c r="K32">
        <f>K31+J32</f>
        <v/>
      </c>
      <c r="L32">
        <f>(K32^$B$2)*EXP(G32)</f>
        <v/>
      </c>
      <c r="M32">
        <f>L32-H32</f>
        <v/>
      </c>
      <c r="N32">
        <f>L32</f>
        <v/>
      </c>
      <c r="O32">
        <f>(N32-N31)/N31*100</f>
        <v/>
      </c>
    </row>
    <row r="33">
      <c r="D33">
        <f>E33/F33</f>
        <v/>
      </c>
      <c r="E33">
        <f>PWT!B18</f>
        <v/>
      </c>
      <c r="F33">
        <f>WEO_Data!C14</f>
        <v/>
      </c>
      <c r="G33">
        <f>L10</f>
        <v/>
      </c>
      <c r="H33">
        <f>(E33^$B$2)*EXP(G33)</f>
        <v/>
      </c>
      <c r="I33" t="n">
        <v>0</v>
      </c>
      <c r="J33">
        <f>I33-$B$3*E33</f>
        <v/>
      </c>
      <c r="K33">
        <f>K32+J33</f>
        <v/>
      </c>
      <c r="L33">
        <f>(K33^$B$2)*EXP(G33)</f>
        <v/>
      </c>
      <c r="M33">
        <f>L33-H33</f>
        <v/>
      </c>
      <c r="N33">
        <f>L33</f>
        <v/>
      </c>
      <c r="O33">
        <f>(N33-N32)/N32*100</f>
        <v/>
      </c>
    </row>
    <row r="34">
      <c r="D34">
        <f>E34/F34</f>
        <v/>
      </c>
      <c r="E34">
        <f>PWT!B19</f>
        <v/>
      </c>
      <c r="F34">
        <f>WEO_Data!C15</f>
        <v/>
      </c>
      <c r="G34">
        <f>L11</f>
        <v/>
      </c>
      <c r="H34">
        <f>(E34^$B$2)*EXP(G34)</f>
        <v/>
      </c>
      <c r="I34" t="n">
        <v>0</v>
      </c>
      <c r="J34">
        <f>I34-$B$3*E34</f>
        <v/>
      </c>
      <c r="K34">
        <f>K33+J34</f>
        <v/>
      </c>
      <c r="L34">
        <f>(K34^$B$2)*EXP(G34)</f>
        <v/>
      </c>
      <c r="M34">
        <f>L34-H34</f>
        <v/>
      </c>
      <c r="N34">
        <f>L34</f>
        <v/>
      </c>
      <c r="O34">
        <f>(N34-N33)/N33*100</f>
        <v/>
      </c>
    </row>
    <row r="35">
      <c r="D35">
        <f>E35/F35</f>
        <v/>
      </c>
      <c r="E35">
        <f>PWT!B20</f>
        <v/>
      </c>
      <c r="F35">
        <f>WEO_Data!C16</f>
        <v/>
      </c>
      <c r="G35">
        <f>L12</f>
        <v/>
      </c>
      <c r="H35">
        <f>(E35^$B$2)*EXP(G35)</f>
        <v/>
      </c>
      <c r="I35" t="n">
        <v>0</v>
      </c>
      <c r="J35">
        <f>I35-$B$3*E35</f>
        <v/>
      </c>
      <c r="K35">
        <f>K34+J35</f>
        <v/>
      </c>
      <c r="L35">
        <f>(K35^$B$2)*EXP(G35)</f>
        <v/>
      </c>
      <c r="M35">
        <f>L35-H35</f>
        <v/>
      </c>
      <c r="N35">
        <f>L35</f>
        <v/>
      </c>
      <c r="O35">
        <f>(N35-N34)/N34*100</f>
        <v/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PWT!B21</f>
        <v/>
      </c>
      <c r="F36">
        <f>WEO_Data!C17</f>
        <v/>
      </c>
      <c r="G36">
        <f>L13</f>
        <v/>
      </c>
      <c r="H36">
        <f>(E36^$B$2)*EXP(G36)</f>
        <v/>
      </c>
      <c r="I36" t="n">
        <v>0</v>
      </c>
      <c r="J36">
        <f>I36-$B$3*E36</f>
        <v/>
      </c>
      <c r="K36" s="19">
        <f>K35+J36</f>
        <v/>
      </c>
      <c r="L36">
        <f>(K36^$B$2)*EXP(G36)</f>
        <v/>
      </c>
      <c r="M36">
        <f>L36-H36</f>
        <v/>
      </c>
      <c r="N36">
        <f>L36</f>
        <v/>
      </c>
      <c r="O36">
        <f>(N36-N35)/N35*100</f>
        <v/>
      </c>
    </row>
    <row r="37">
      <c r="C37" t="n">
        <v>2003</v>
      </c>
      <c r="D37">
        <f>E37/F37</f>
        <v/>
      </c>
      <c r="E37" s="19">
        <f>PWT!B22</f>
        <v/>
      </c>
      <c r="F37">
        <f>WEO_Data!C18</f>
        <v/>
      </c>
      <c r="G37">
        <f>L14</f>
        <v/>
      </c>
      <c r="H37">
        <f>(E37^$B$2)*EXP(G37)</f>
        <v/>
      </c>
      <c r="I37" t="n">
        <v>0</v>
      </c>
      <c r="J37">
        <f>I37-$B$3*E37</f>
        <v/>
      </c>
      <c r="K37" s="19">
        <f>K36+J37</f>
        <v/>
      </c>
      <c r="L37">
        <f>(K37^$B$2)*EXP(G37)</f>
        <v/>
      </c>
      <c r="M37">
        <f>L37-H37</f>
        <v/>
      </c>
      <c r="N37">
        <f>L37</f>
        <v/>
      </c>
      <c r="O37">
        <f>(N37-N36)/N36*100</f>
        <v/>
      </c>
    </row>
    <row r="38">
      <c r="C38" t="n">
        <v>2004</v>
      </c>
      <c r="D38">
        <f>E38/F38</f>
        <v/>
      </c>
      <c r="E38" s="19">
        <f>PWT!B23</f>
        <v/>
      </c>
      <c r="F38">
        <f>WEO_Data!C19</f>
        <v/>
      </c>
      <c r="G38">
        <f>L15</f>
        <v/>
      </c>
      <c r="H38">
        <f>(E38^$B$2)*EXP(G38)</f>
        <v/>
      </c>
      <c r="I38" t="n">
        <v>0</v>
      </c>
      <c r="J38">
        <f>I38-$B$3*E38</f>
        <v/>
      </c>
      <c r="K38" s="19">
        <f>K37+J38</f>
        <v/>
      </c>
      <c r="L38">
        <f>(K38^$B$2)*EXP(G38)</f>
        <v/>
      </c>
      <c r="M38">
        <f>L38-H38</f>
        <v/>
      </c>
      <c r="N38">
        <f>L38</f>
        <v/>
      </c>
      <c r="O38">
        <f>(N38-N37)/N37*100</f>
        <v/>
      </c>
    </row>
    <row r="39">
      <c r="C39" t="n">
        <v>2005</v>
      </c>
      <c r="D39">
        <f>E39/F39</f>
        <v/>
      </c>
      <c r="E39" s="19">
        <f>PWT!B24</f>
        <v/>
      </c>
      <c r="F39">
        <f>WEO_Data!C20</f>
        <v/>
      </c>
      <c r="G39">
        <f>L16</f>
        <v/>
      </c>
      <c r="H39">
        <f>(E39^$B$2)*EXP(G39)</f>
        <v/>
      </c>
      <c r="I39" t="n">
        <v>0</v>
      </c>
      <c r="J39">
        <f>I39-$B$3*E39</f>
        <v/>
      </c>
      <c r="K39" s="19">
        <f>K38+J39</f>
        <v/>
      </c>
      <c r="L39">
        <f>(K39^$B$2)*EXP(G39)</f>
        <v/>
      </c>
      <c r="M39">
        <f>L39-H39</f>
        <v/>
      </c>
      <c r="N39">
        <f>L39</f>
        <v/>
      </c>
      <c r="O39">
        <f>(N39-N38)/N38*100</f>
        <v/>
      </c>
    </row>
    <row r="40">
      <c r="C40" t="n">
        <v>2006</v>
      </c>
      <c r="D40">
        <f>E40/F40</f>
        <v/>
      </c>
      <c r="E40" s="19">
        <f>PWT!B25</f>
        <v/>
      </c>
      <c r="F40">
        <f>WEO_Data!C21</f>
        <v/>
      </c>
      <c r="G40">
        <f>L17</f>
        <v/>
      </c>
      <c r="H40">
        <f>(E40^$B$2)*EXP(G40)</f>
        <v/>
      </c>
      <c r="I40" t="n">
        <v>0</v>
      </c>
      <c r="J40">
        <f>I40-$B$3*E40</f>
        <v/>
      </c>
      <c r="K40" s="19">
        <f>K39+J40</f>
        <v/>
      </c>
      <c r="L40">
        <f>(K40^$B$2)*EXP(G40)</f>
        <v/>
      </c>
      <c r="M40">
        <f>L40-H40</f>
        <v/>
      </c>
      <c r="N40">
        <f>L40</f>
        <v/>
      </c>
      <c r="O40">
        <f>(N40-N39)/N39*100</f>
        <v/>
      </c>
    </row>
    <row r="41">
      <c r="C41" t="n">
        <v>2007</v>
      </c>
      <c r="D41">
        <f>E41/F41</f>
        <v/>
      </c>
      <c r="E41" s="19">
        <f>PWT!B26</f>
        <v/>
      </c>
      <c r="F41">
        <f>WEO_Data!C22</f>
        <v/>
      </c>
      <c r="G41">
        <f>L18</f>
        <v/>
      </c>
      <c r="H41">
        <f>(E41^$B$2)*EXP(G41)</f>
        <v/>
      </c>
      <c r="I41" t="n">
        <v>0</v>
      </c>
      <c r="J41">
        <f>I41-$B$3*E41</f>
        <v/>
      </c>
      <c r="K41" s="19">
        <f>K40+J41</f>
        <v/>
      </c>
      <c r="L41">
        <f>(K41^$B$2)*EXP(G41)</f>
        <v/>
      </c>
      <c r="M41">
        <f>L41-H41</f>
        <v/>
      </c>
      <c r="N41">
        <f>L41</f>
        <v/>
      </c>
      <c r="O41">
        <f>(N41-N40)/N40*100</f>
        <v/>
      </c>
    </row>
    <row r="42">
      <c r="C42" t="n">
        <v>2008</v>
      </c>
      <c r="D42">
        <f>E42/F42</f>
        <v/>
      </c>
      <c r="E42" s="19">
        <f>PWT!B27</f>
        <v/>
      </c>
      <c r="F42">
        <f>WEO_Data!C23</f>
        <v/>
      </c>
      <c r="G42">
        <f>L19</f>
        <v/>
      </c>
      <c r="H42">
        <f>(E42^$B$2)*EXP(G42)</f>
        <v/>
      </c>
      <c r="I42" t="n">
        <v>0</v>
      </c>
      <c r="J42">
        <f>I42-$B$3*E42</f>
        <v/>
      </c>
      <c r="K42" s="19">
        <f>K41+J42</f>
        <v/>
      </c>
      <c r="L42">
        <f>(K42^$B$2)*EXP(G42)</f>
        <v/>
      </c>
      <c r="M42">
        <f>L42-H42</f>
        <v/>
      </c>
      <c r="N42">
        <f>L42</f>
        <v/>
      </c>
      <c r="O42">
        <f>(N42-N41)/N41*100</f>
        <v/>
      </c>
    </row>
    <row r="43">
      <c r="C43" t="n">
        <v>2009</v>
      </c>
      <c r="D43">
        <f>E43/F43</f>
        <v/>
      </c>
      <c r="E43" s="19">
        <f>PWT!B28</f>
        <v/>
      </c>
      <c r="F43">
        <f>WEO_Data!C24</f>
        <v/>
      </c>
      <c r="G43">
        <f>L20</f>
        <v/>
      </c>
      <c r="H43">
        <f>(E43^$B$2)*EXP(G43)</f>
        <v/>
      </c>
      <c r="I43" t="n">
        <v>0</v>
      </c>
      <c r="J43">
        <f>I43-$B$3*E43</f>
        <v/>
      </c>
      <c r="K43" s="19">
        <f>K42+J43</f>
        <v/>
      </c>
      <c r="L43">
        <f>(K43^$B$2)*EXP(G43)</f>
        <v/>
      </c>
      <c r="M43">
        <f>L43-H43</f>
        <v/>
      </c>
      <c r="N43">
        <f>L43</f>
        <v/>
      </c>
      <c r="O43">
        <f>(N43-N42)/N42*100</f>
        <v/>
      </c>
    </row>
    <row r="44">
      <c r="C44" t="n">
        <v>2010</v>
      </c>
      <c r="D44">
        <f>E44/F44</f>
        <v/>
      </c>
      <c r="E44" s="19">
        <f>PWT!B29</f>
        <v/>
      </c>
      <c r="F44">
        <f>WEO_Data!C25</f>
        <v/>
      </c>
      <c r="G44">
        <f>L21</f>
        <v/>
      </c>
      <c r="H44">
        <f>(E44^$B$2)*EXP(G44)</f>
        <v/>
      </c>
      <c r="I44" t="n">
        <v>0</v>
      </c>
      <c r="J44">
        <f>I44-$B$3*E44</f>
        <v/>
      </c>
      <c r="K44" s="19">
        <f>K43+J44</f>
        <v/>
      </c>
      <c r="L44">
        <f>(K44^$B$2)*EXP(G44)</f>
        <v/>
      </c>
      <c r="M44">
        <f>L44-H44</f>
        <v/>
      </c>
      <c r="N44">
        <f>L44</f>
        <v/>
      </c>
      <c r="O44">
        <f>(N44-N43)/N43*100</f>
        <v/>
      </c>
    </row>
    <row r="45">
      <c r="C45" t="n">
        <v>2011</v>
      </c>
      <c r="D45">
        <f>E45/F45</f>
        <v/>
      </c>
      <c r="E45" s="19">
        <f>PWT!B30</f>
        <v/>
      </c>
      <c r="F45">
        <f>WEO_Data!C26</f>
        <v/>
      </c>
      <c r="G45">
        <f>L22</f>
        <v/>
      </c>
      <c r="H45">
        <f>(E45^$B$2)*EXP(G45)</f>
        <v/>
      </c>
      <c r="I45" t="n">
        <v>0</v>
      </c>
      <c r="J45">
        <f>I45-$B$3*E45</f>
        <v/>
      </c>
      <c r="K45" s="19">
        <f>K44+J45</f>
        <v/>
      </c>
      <c r="L45">
        <f>(K45^$B$2)*EXP(G45)</f>
        <v/>
      </c>
      <c r="M45">
        <f>L45-H45</f>
        <v/>
      </c>
      <c r="N45">
        <f>L45</f>
        <v/>
      </c>
      <c r="O45">
        <f>(N45-N44)/N44*100</f>
        <v/>
      </c>
    </row>
    <row r="46">
      <c r="C46" t="n">
        <v>2012</v>
      </c>
      <c r="D46">
        <f>E46/F46</f>
        <v/>
      </c>
      <c r="E46" s="19">
        <f>PWT!B31</f>
        <v/>
      </c>
      <c r="F46">
        <f>WEO_Data!C27</f>
        <v/>
      </c>
      <c r="G46">
        <f>L23</f>
        <v/>
      </c>
      <c r="H46">
        <f>(E46^$B$2)*EXP(G46)</f>
        <v/>
      </c>
      <c r="I46" t="n">
        <v>0</v>
      </c>
      <c r="J46">
        <f>I46-$B$3*E46</f>
        <v/>
      </c>
      <c r="K46" s="19">
        <f>K45+J46</f>
        <v/>
      </c>
      <c r="L46">
        <f>(K46^$B$2)*EXP(G46)</f>
        <v/>
      </c>
      <c r="M46">
        <f>L46-H46</f>
        <v/>
      </c>
      <c r="N46">
        <f>L46</f>
        <v/>
      </c>
      <c r="O46">
        <f>(N46-N45)/N45*100</f>
        <v/>
      </c>
    </row>
    <row r="47">
      <c r="C47" t="n">
        <v>2013</v>
      </c>
      <c r="D47">
        <f>E47/F47</f>
        <v/>
      </c>
      <c r="E47" s="19">
        <f>PWT!B32</f>
        <v/>
      </c>
      <c r="F47">
        <f>WEO_Data!C28</f>
        <v/>
      </c>
      <c r="G47">
        <f>L24</f>
        <v/>
      </c>
      <c r="H47">
        <f>(E47^$B$2)*EXP(G47)</f>
        <v/>
      </c>
      <c r="I47" t="n">
        <v>0</v>
      </c>
      <c r="J47">
        <f>I47-$B$3*E47</f>
        <v/>
      </c>
      <c r="K47" s="19">
        <f>K46+J47</f>
        <v/>
      </c>
      <c r="L47">
        <f>(K47^$B$2)*EXP(G47)</f>
        <v/>
      </c>
      <c r="M47">
        <f>L47-H47</f>
        <v/>
      </c>
      <c r="N47">
        <f>L47</f>
        <v/>
      </c>
      <c r="O47">
        <f>(N47-N46)/N46*100</f>
        <v/>
      </c>
    </row>
    <row r="48">
      <c r="C48" t="n">
        <v>2014</v>
      </c>
      <c r="D48">
        <f>E48/F48</f>
        <v/>
      </c>
      <c r="E48" s="19">
        <f>PWT!B33</f>
        <v/>
      </c>
      <c r="F48">
        <f>WEO_Data!C29</f>
        <v/>
      </c>
      <c r="G48">
        <f>L25</f>
        <v/>
      </c>
      <c r="H48">
        <f>(E48^$B$2)*EXP(G48)</f>
        <v/>
      </c>
      <c r="I48" t="n">
        <v>0</v>
      </c>
      <c r="J48">
        <f>I48-$B$3*E48</f>
        <v/>
      </c>
      <c r="K48" s="19">
        <f>K47+J48</f>
        <v/>
      </c>
      <c r="L48">
        <f>(K48^$B$2)*EXP(G48)</f>
        <v/>
      </c>
      <c r="M48">
        <f>L48-H48</f>
        <v/>
      </c>
      <c r="N48">
        <f>L48</f>
        <v/>
      </c>
      <c r="O48">
        <f>(N48-N47)/N47*100</f>
        <v/>
      </c>
    </row>
    <row r="49">
      <c r="C49" t="n">
        <v>2015</v>
      </c>
      <c r="D49">
        <f>E49/F49</f>
        <v/>
      </c>
      <c r="E49" s="19">
        <f>PWT!B34</f>
        <v/>
      </c>
      <c r="F49">
        <f>WEO_Data!C30</f>
        <v/>
      </c>
      <c r="G49">
        <f>L26</f>
        <v/>
      </c>
      <c r="H49">
        <f>(E49^$B$2)*EXP(G49)</f>
        <v/>
      </c>
      <c r="I49" t="n">
        <v>0</v>
      </c>
      <c r="J49">
        <f>I49-$B$3*E49</f>
        <v/>
      </c>
      <c r="K49" s="19">
        <f>K48+J49</f>
        <v/>
      </c>
      <c r="L49">
        <f>(K49^$B$2)*EXP(G49)</f>
        <v/>
      </c>
      <c r="M49">
        <f>L49-H49</f>
        <v/>
      </c>
      <c r="N49">
        <f>L49</f>
        <v/>
      </c>
      <c r="O49">
        <f>(N49-N48)/N48*100</f>
        <v/>
      </c>
    </row>
    <row r="50">
      <c r="C50" t="n">
        <v>2016</v>
      </c>
      <c r="D50">
        <f>E50/F50</f>
        <v/>
      </c>
      <c r="E50" s="19">
        <f>PWT!B35</f>
        <v/>
      </c>
      <c r="F50">
        <f>WEO_Data!C31</f>
        <v/>
      </c>
      <c r="G50">
        <f>L27</f>
        <v/>
      </c>
      <c r="H50">
        <f>(E50^$B$2)*EXP(G50)</f>
        <v/>
      </c>
      <c r="I50" t="n">
        <v>0</v>
      </c>
      <c r="J50">
        <f>I50-$B$3*E50</f>
        <v/>
      </c>
      <c r="K50" s="19">
        <f>K49+J50</f>
        <v/>
      </c>
      <c r="L50">
        <f>(K50^$B$2)*EXP(G50)</f>
        <v/>
      </c>
      <c r="M50">
        <f>L50-H50</f>
        <v/>
      </c>
      <c r="N50">
        <f>L50</f>
        <v/>
      </c>
      <c r="O50">
        <f>(N50-N49)/N49*100</f>
        <v/>
      </c>
    </row>
    <row r="51">
      <c r="C51" t="n">
        <v>2017</v>
      </c>
      <c r="E51" s="19">
        <f>AVERAGE($D$42:$D$50)*F51</f>
        <v/>
      </c>
      <c r="F51">
        <f>WEO_Data!C32</f>
        <v/>
      </c>
      <c r="G51">
        <f>TREND($G$29:$G$50,ROW($G$29:$G$50),ROW(G51))</f>
        <v/>
      </c>
      <c r="H51">
        <f>(E51^$B$2)*EXP(G51)</f>
        <v/>
      </c>
      <c r="I51" t="n">
        <v>0</v>
      </c>
      <c r="J51">
        <f>I51-$B$3*E51</f>
        <v/>
      </c>
      <c r="K51" s="19">
        <f>K50+J51</f>
        <v/>
      </c>
      <c r="L51">
        <f>(K51^$B$2)*EXP(G51)</f>
        <v/>
      </c>
      <c r="M51">
        <f>L51-H51</f>
        <v/>
      </c>
      <c r="N51">
        <f>L51</f>
        <v/>
      </c>
      <c r="O51">
        <f>(N51-N50)/N50*100</f>
        <v/>
      </c>
    </row>
    <row r="52">
      <c r="C52" t="n">
        <v>2018</v>
      </c>
      <c r="E52" s="19">
        <f>AVERAGE($D$42:$D$50)*F52</f>
        <v/>
      </c>
      <c r="F52">
        <f>WEO_Data!C33</f>
        <v/>
      </c>
      <c r="G52">
        <f>TREND($G$29:$G$50,ROW($G$29:$G$50),ROW(G52))</f>
        <v/>
      </c>
      <c r="H52">
        <f>(E52^$B$2)*EXP(G52)</f>
        <v/>
      </c>
      <c r="I52" t="n">
        <v>0</v>
      </c>
      <c r="J52">
        <f>I52-$B$3*E52</f>
        <v/>
      </c>
      <c r="K52" s="19">
        <f>K51+J52</f>
        <v/>
      </c>
      <c r="L52">
        <f>(K52^$B$2)*EXP(G52)</f>
        <v/>
      </c>
      <c r="M52">
        <f>L52-H52</f>
        <v/>
      </c>
      <c r="N52">
        <f>L52</f>
        <v/>
      </c>
      <c r="O52">
        <f>(N52-N51)/N51*100</f>
        <v/>
      </c>
    </row>
    <row r="53">
      <c r="C53" t="n">
        <v>2019</v>
      </c>
      <c r="E53" s="19">
        <f>AVERAGE($D$42:$D$50)*F53</f>
        <v/>
      </c>
      <c r="F53">
        <f>WEO_Data!C34</f>
        <v/>
      </c>
      <c r="G53">
        <f>TREND($G$29:$G$50,ROW($G$29:$G$50),ROW(G53))</f>
        <v/>
      </c>
      <c r="H53">
        <f>(E53^$B$2)*EXP(G53)</f>
        <v/>
      </c>
      <c r="I53">
        <f>Investment!C2</f>
        <v/>
      </c>
      <c r="J53">
        <f>I53-$B$3*E53</f>
        <v/>
      </c>
      <c r="K53" s="19">
        <f>K52+J53</f>
        <v/>
      </c>
      <c r="L53">
        <f>(K53^$B$2)*EXP(G53)</f>
        <v/>
      </c>
      <c r="M53">
        <f>L53-H53</f>
        <v/>
      </c>
      <c r="N53">
        <f>L53</f>
        <v/>
      </c>
      <c r="O53">
        <f>(N53-N52)/N52*100</f>
        <v/>
      </c>
    </row>
    <row r="54">
      <c r="C54" t="n">
        <v>2020</v>
      </c>
      <c r="E54" s="19">
        <f>AVERAGE($D$42:$D$50)*F54</f>
        <v/>
      </c>
      <c r="F54">
        <f>WEO_Data!C35</f>
        <v/>
      </c>
      <c r="G54">
        <f>TREND($G$29:$G$50,ROW($G$29:$G$50),ROW(G54))</f>
        <v/>
      </c>
      <c r="H54">
        <f>(E54^$B$2)*EXP(G54)</f>
        <v/>
      </c>
      <c r="I54">
        <f>Investment!C3</f>
        <v/>
      </c>
      <c r="J54">
        <f>I54-$B$3*E54</f>
        <v/>
      </c>
      <c r="K54" s="19">
        <f>K53+J54</f>
        <v/>
      </c>
      <c r="L54">
        <f>(K54^$B$2)*EXP(G54)</f>
        <v/>
      </c>
      <c r="M54">
        <f>L54-H54</f>
        <v/>
      </c>
      <c r="N54">
        <f>L54</f>
        <v/>
      </c>
      <c r="O54">
        <f>(N54-N53)/N53*100</f>
        <v/>
      </c>
    </row>
    <row r="55">
      <c r="C55" t="n">
        <v>2021</v>
      </c>
      <c r="E55" s="19">
        <f>AVERAGE($D$42:$D$50)*F55</f>
        <v/>
      </c>
      <c r="F55">
        <f>WEO_Data!C36</f>
        <v/>
      </c>
      <c r="G55">
        <f>TREND($G$29:$G$50,ROW($G$29:$G$50),ROW(G55))</f>
        <v/>
      </c>
      <c r="H55">
        <f>(E55^$B$2)*EXP(G55)</f>
        <v/>
      </c>
      <c r="I55">
        <f>Investment!C4</f>
        <v/>
      </c>
      <c r="J55">
        <f>I55-$B$3*E55</f>
        <v/>
      </c>
      <c r="K55" s="19">
        <f>K54+J55</f>
        <v/>
      </c>
      <c r="L55">
        <f>(K55^$B$2)*EXP(G55)</f>
        <v/>
      </c>
      <c r="M55">
        <f>L55-H55</f>
        <v/>
      </c>
      <c r="N55">
        <f>L55</f>
        <v/>
      </c>
      <c r="O55">
        <f>(N55-N54)/N54*100</f>
        <v/>
      </c>
    </row>
    <row r="56">
      <c r="C56" t="n">
        <v>2022</v>
      </c>
      <c r="E56" s="19">
        <f>AVERAGE($D$42:$D$50)*F56</f>
        <v/>
      </c>
      <c r="F56">
        <f>WEO_Data!C37</f>
        <v/>
      </c>
      <c r="G56">
        <f>TREND($G$29:$G$50,ROW($G$29:$G$50),ROW(G56))</f>
        <v/>
      </c>
      <c r="H56">
        <f>(E56^$B$2)*EXP(G56)</f>
        <v/>
      </c>
      <c r="I56">
        <f>Investment!C5</f>
        <v/>
      </c>
      <c r="J56">
        <f>I56-$B$3*E56</f>
        <v/>
      </c>
      <c r="K56" s="19">
        <f>K55+J56</f>
        <v/>
      </c>
      <c r="L56">
        <f>(K56^$B$2)*EXP(G56)</f>
        <v/>
      </c>
      <c r="M56">
        <f>L56-H56</f>
        <v/>
      </c>
      <c r="N56">
        <f>L56</f>
        <v/>
      </c>
      <c r="O56">
        <f>(N56-N55)/N55*100</f>
        <v/>
      </c>
    </row>
    <row r="57">
      <c r="C57" t="n">
        <v>2023</v>
      </c>
      <c r="E57" s="19">
        <f>AVERAGE($D$42:$D$50)*F57</f>
        <v/>
      </c>
      <c r="F57">
        <f>WEO_Data!C38</f>
        <v/>
      </c>
      <c r="G57">
        <f>TREND($G$29:$G$50,ROW($G$29:$G$50),ROW(G57))</f>
        <v/>
      </c>
      <c r="H57">
        <f>(E57^$B$2)*EXP(G57)</f>
        <v/>
      </c>
      <c r="I57">
        <f>Investment!C6</f>
        <v/>
      </c>
      <c r="J57">
        <f>I57-$B$3*E57</f>
        <v/>
      </c>
      <c r="K57" s="19">
        <f>K56+J57</f>
        <v/>
      </c>
      <c r="L57">
        <f>(K57^$B$2)*EXP(G57)</f>
        <v/>
      </c>
      <c r="M57">
        <f>L57-H57</f>
        <v/>
      </c>
      <c r="N57">
        <f>L57</f>
        <v/>
      </c>
      <c r="O57">
        <f>(N57-N56)/N56*100</f>
        <v/>
      </c>
    </row>
    <row r="58">
      <c r="C58" t="n">
        <v>2024</v>
      </c>
      <c r="E58" s="21">
        <f>AVERAGE($D$42:$D$50)*F58</f>
        <v/>
      </c>
      <c r="F58">
        <f>WEO_Data!C39</f>
        <v/>
      </c>
      <c r="G58" s="20">
        <f>TREND($G$29:$G$50,ROW($G$29:$G$50),ROW(G58))</f>
        <v/>
      </c>
      <c r="H58">
        <f>(E58^$B$2)*EXP(G58)</f>
        <v/>
      </c>
      <c r="I58">
        <f>Investment!C7</f>
        <v/>
      </c>
      <c r="J58">
        <f>I58-$B$3*E58</f>
        <v/>
      </c>
      <c r="K58" s="19">
        <f>K57+J58</f>
        <v/>
      </c>
      <c r="L58">
        <f>(K58^$B$2)*EXP(G58)</f>
        <v/>
      </c>
      <c r="M58">
        <f>L58-H58</f>
        <v/>
      </c>
      <c r="N58">
        <f>L58</f>
        <v/>
      </c>
      <c r="O58">
        <f>(N58-N57)/N57*100</f>
        <v/>
      </c>
    </row>
    <row r="59">
      <c r="C59" t="n">
        <v>2025</v>
      </c>
      <c r="E59" s="21">
        <f>AVERAGE($D$42:$D$50)*F59</f>
        <v/>
      </c>
      <c r="F59">
        <f>WEO_Data!C40</f>
        <v/>
      </c>
      <c r="G59" s="20">
        <f>TREND($G$29:$G$50,ROW($G$29:$G$50),ROW(G59))</f>
        <v/>
      </c>
      <c r="H59">
        <f>(E59^$B$2)*EXP(G59)</f>
        <v/>
      </c>
      <c r="I59">
        <f>Investment!C8</f>
        <v/>
      </c>
      <c r="J59">
        <f>I59-$B$3*E59</f>
        <v/>
      </c>
      <c r="K59" s="19">
        <f>K58+J59</f>
        <v/>
      </c>
      <c r="L59">
        <f>(K59^$B$2)*EXP(G59)</f>
        <v/>
      </c>
      <c r="M59">
        <f>L59-H59</f>
        <v/>
      </c>
      <c r="N59">
        <f>L59</f>
        <v/>
      </c>
      <c r="O59">
        <f>(N59-N58)/N58*100</f>
        <v/>
      </c>
    </row>
    <row r="60">
      <c r="C60" t="n">
        <v>2026</v>
      </c>
      <c r="E60" s="21">
        <f>AVERAGE($D$42:$D$50)*F60</f>
        <v/>
      </c>
      <c r="F60" s="20">
        <f>WEO_Data!C41</f>
        <v/>
      </c>
      <c r="G60" s="20">
        <f>TREND($G$29:$G$50,ROW($G$29:$G$50),ROW(G60))</f>
        <v/>
      </c>
      <c r="H60">
        <f>(E60^$B$2)*EXP(G60)</f>
        <v/>
      </c>
      <c r="I60" s="17">
        <f>Investment!C9</f>
        <v/>
      </c>
      <c r="J60">
        <f>I60-$B$3*E60</f>
        <v/>
      </c>
      <c r="K60" s="19">
        <f>K59+J60</f>
        <v/>
      </c>
      <c r="L60">
        <f>(K60^$B$2)*EXP(G60)</f>
        <v/>
      </c>
      <c r="M60">
        <f>L60-H60</f>
        <v/>
      </c>
      <c r="N60">
        <f>L60</f>
        <v/>
      </c>
      <c r="O60">
        <f>(N60-N59)/N59*100</f>
        <v/>
      </c>
    </row>
    <row r="61">
      <c r="C61" t="n">
        <v>2027</v>
      </c>
      <c r="E61" s="21">
        <f>AVERAGE($D$42:$D$50)*F61</f>
        <v/>
      </c>
      <c r="F61" s="20">
        <f>WEO_Data!C42</f>
        <v/>
      </c>
      <c r="G61" s="20">
        <f>TREND($G$29:$G$50,ROW($G$29:$G$50),ROW(G61))</f>
        <v/>
      </c>
      <c r="H61">
        <f>(E61^$B$2)*EXP(G61)</f>
        <v/>
      </c>
      <c r="I61" s="17" t="n">
        <v>0</v>
      </c>
      <c r="J61">
        <f>I61-$B$3*E61</f>
        <v/>
      </c>
      <c r="K61" s="19">
        <f>K60+J61</f>
        <v/>
      </c>
      <c r="L61">
        <f>(K61^$B$2)*EXP(G61)</f>
        <v/>
      </c>
      <c r="M61">
        <f>L61-H61</f>
        <v/>
      </c>
      <c r="N61">
        <f>L61</f>
        <v/>
      </c>
      <c r="O61">
        <f>(N61-N60)/N60*100</f>
        <v/>
      </c>
    </row>
    <row r="62">
      <c r="C62" t="n">
        <v>2028</v>
      </c>
      <c r="E62" s="21">
        <f>AVERAGE($D$42:$D$50)*F62</f>
        <v/>
      </c>
      <c r="F62" s="20">
        <f>WEO_Data!C43</f>
        <v/>
      </c>
      <c r="G62" s="20">
        <f>TREND($G$29:$G$50,ROW($G$29:$G$50),ROW(G62))</f>
        <v/>
      </c>
      <c r="H62">
        <f>(E62^$B$2)*EXP(G62)</f>
        <v/>
      </c>
      <c r="I62" s="17" t="n">
        <v>0</v>
      </c>
      <c r="J62">
        <f>I62-$B$3*E62</f>
        <v/>
      </c>
      <c r="K62" s="19">
        <f>K61+J62</f>
        <v/>
      </c>
      <c r="L62">
        <f>(K62^$B$2)*EXP(G62)</f>
        <v/>
      </c>
      <c r="M62">
        <f>L62-H62</f>
        <v/>
      </c>
      <c r="N62">
        <f>L62</f>
        <v/>
      </c>
      <c r="O62">
        <f>(N62-N61)/N61*100</f>
        <v/>
      </c>
    </row>
    <row r="63">
      <c r="C63" t="n">
        <v>2029</v>
      </c>
      <c r="E63" s="21">
        <f>AVERAGE($D$42:$D$50)*F63</f>
        <v/>
      </c>
      <c r="F63" s="20">
        <f>WEO_Data!C44</f>
        <v/>
      </c>
      <c r="G63" s="20">
        <f>TREND($G$29:$G$50,ROW($G$29:$G$50),ROW(G63))</f>
        <v/>
      </c>
      <c r="H63">
        <f>(E63^$B$2)*EXP(G63)</f>
        <v/>
      </c>
      <c r="I63" s="17" t="n">
        <v>0</v>
      </c>
      <c r="J63">
        <f>I63-$B$3*E63</f>
        <v/>
      </c>
      <c r="K63" s="19">
        <f>K62+J63</f>
        <v/>
      </c>
      <c r="L63">
        <f>(K63^$B$2)*EXP(G63)</f>
        <v/>
      </c>
      <c r="M63">
        <f>L63-H63</f>
        <v/>
      </c>
      <c r="N63">
        <f>L63</f>
        <v/>
      </c>
      <c r="O63">
        <f>(N63-N62)/N62*100</f>
        <v/>
      </c>
    </row>
    <row r="64">
      <c r="C64" t="n">
        <v>2030</v>
      </c>
      <c r="E64" s="21">
        <f>AVERAGE($D$42:$D$50)*F64</f>
        <v/>
      </c>
      <c r="F64" s="20">
        <f>WEO_Data!C45</f>
        <v/>
      </c>
      <c r="G64" s="20">
        <f>TREND($G$29:$G$50,ROW($G$29:$G$50),ROW(G64))</f>
        <v/>
      </c>
      <c r="H64">
        <f>(E64^$B$2)*EXP(G64)</f>
        <v/>
      </c>
      <c r="I64" s="17" t="n">
        <v>0</v>
      </c>
      <c r="J64">
        <f>I64-$B$3*E64</f>
        <v/>
      </c>
      <c r="K64" s="19">
        <f>K63+J64</f>
        <v/>
      </c>
      <c r="L64">
        <f>(K64^$B$2)*EXP(G64)</f>
        <v/>
      </c>
      <c r="M64">
        <f>L64-H64</f>
        <v/>
      </c>
      <c r="N64">
        <f>L64</f>
        <v/>
      </c>
      <c r="O64">
        <f>(N64-N63)/N63*100</f>
        <v/>
      </c>
    </row>
    <row r="65">
      <c r="C65" t="n">
        <v>2031</v>
      </c>
      <c r="E65" s="21">
        <f>AVERAGE($D$42:$D$50)*F65</f>
        <v/>
      </c>
      <c r="F65" s="20">
        <f>WEO_Data!C46</f>
        <v/>
      </c>
      <c r="G65" s="20">
        <f>TREND($G$29:$G$50,ROW($G$29:$G$50),ROW(G65))</f>
        <v/>
      </c>
      <c r="H65">
        <f>(E65^$B$2)*EXP(G65)</f>
        <v/>
      </c>
      <c r="I65" s="17" t="n">
        <v>0</v>
      </c>
      <c r="J65">
        <f>I65-$B$3*E65</f>
        <v/>
      </c>
      <c r="K65" s="19">
        <f>K64+J65</f>
        <v/>
      </c>
      <c r="L65">
        <f>(K65^$B$2)*EXP(G65)</f>
        <v/>
      </c>
      <c r="M65">
        <f>L65-H65</f>
        <v/>
      </c>
      <c r="N65">
        <f>L65</f>
        <v/>
      </c>
      <c r="O65">
        <f>(N65-N64)/N64*100</f>
        <v/>
      </c>
    </row>
    <row r="66">
      <c r="C66" t="n">
        <v>2032</v>
      </c>
      <c r="E66" s="21">
        <f>AVERAGE($D$42:$D$50)*F66</f>
        <v/>
      </c>
      <c r="F66" s="20">
        <f>WEO_Data!C47</f>
        <v/>
      </c>
      <c r="G66" s="20">
        <f>TREND($G$29:$G$50,ROW($G$29:$G$50),ROW(G66))</f>
        <v/>
      </c>
      <c r="H66">
        <f>(E66^$B$2)*EXP(G66)</f>
        <v/>
      </c>
      <c r="I66" s="17" t="n">
        <v>0</v>
      </c>
      <c r="J66">
        <f>I66-$B$3*E66</f>
        <v/>
      </c>
      <c r="K66" s="19">
        <f>K65+J66</f>
        <v/>
      </c>
      <c r="L66">
        <f>(K66^$B$2)*EXP(G66)</f>
        <v/>
      </c>
      <c r="M66">
        <f>L66-H66</f>
        <v/>
      </c>
      <c r="N66">
        <f>L66</f>
        <v/>
      </c>
      <c r="O66">
        <f>(N66-N65)/N65*100</f>
        <v/>
      </c>
    </row>
    <row r="67">
      <c r="C67" t="n">
        <v>2033</v>
      </c>
      <c r="E67" s="21">
        <f>AVERAGE($D$42:$D$50)*F67</f>
        <v/>
      </c>
      <c r="F67" s="20">
        <f>WEO_Data!C48</f>
        <v/>
      </c>
      <c r="G67" s="20">
        <f>TREND($G$29:$G$50,ROW($G$29:$G$50),ROW(G67))</f>
        <v/>
      </c>
      <c r="H67">
        <f>(E67^$B$2)*EXP(G67)</f>
        <v/>
      </c>
      <c r="I67" s="17" t="n">
        <v>0</v>
      </c>
      <c r="J67">
        <f>I67-$B$3*E67</f>
        <v/>
      </c>
      <c r="K67" s="19">
        <f>K66+J67</f>
        <v/>
      </c>
      <c r="L67">
        <f>(K67^$B$2)*EXP(G67)</f>
        <v/>
      </c>
      <c r="M67">
        <f>L67-H67</f>
        <v/>
      </c>
      <c r="N67">
        <f>L67</f>
        <v/>
      </c>
      <c r="O67">
        <f>(N67-N66)/N66*100</f>
        <v/>
      </c>
    </row>
    <row r="68">
      <c r="C68" t="n">
        <v>2034</v>
      </c>
      <c r="E68" s="21">
        <f>AVERAGE($D$42:$D$50)*F68</f>
        <v/>
      </c>
      <c r="F68" s="20">
        <f>WEO_Data!C49</f>
        <v/>
      </c>
      <c r="G68" s="20">
        <f>TREND($G$29:$G$50,ROW($G$29:$G$50),ROW(G68))</f>
        <v/>
      </c>
      <c r="H68">
        <f>(E68^$B$2)*EXP(G68)</f>
        <v/>
      </c>
      <c r="I68" t="n">
        <v>0</v>
      </c>
      <c r="J68">
        <f>I68-$B$3*E68</f>
        <v/>
      </c>
      <c r="K68" s="19">
        <f>K67+J68</f>
        <v/>
      </c>
      <c r="L68">
        <f>(K68^$B$2)*EXP(G68)</f>
        <v/>
      </c>
      <c r="M68">
        <f>L68-H68</f>
        <v/>
      </c>
      <c r="N68">
        <f>L68</f>
        <v/>
      </c>
      <c r="O68">
        <f>(N68-N67)/N67*100</f>
        <v/>
      </c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932.9162196711591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4843.616440286271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6152.769261618049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7072.625348898229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9410.657843710351</v>
      </c>
      <c r="D29" s="19" t="n"/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61.484</v>
      </c>
      <c r="D31" t="n">
        <v>7.474</v>
      </c>
    </row>
    <row r="32">
      <c r="B32" t="n">
        <v>2024</v>
      </c>
      <c r="C32" t="n">
        <v>66.128</v>
      </c>
      <c r="D32" t="n">
        <v>7.554</v>
      </c>
    </row>
    <row r="33">
      <c r="B33" t="n">
        <v>2025</v>
      </c>
      <c r="C33" t="n">
        <v>70.08</v>
      </c>
      <c r="D33" t="n">
        <v>5.976</v>
      </c>
    </row>
    <row r="34">
      <c r="B34" t="n">
        <v>2026</v>
      </c>
      <c r="C34" t="n">
        <v>73.584</v>
      </c>
      <c r="D34" t="n">
        <v>5</v>
      </c>
    </row>
    <row r="35">
      <c r="B35" t="n">
        <v>2027</v>
      </c>
      <c r="C35" t="n">
        <v>77.26300000000001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2026-01-29T05:17:28Z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