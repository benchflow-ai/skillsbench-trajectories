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4.813322962293481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3.259072549698636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Czechia</t>
        </is>
      </c>
      <c r="D11" t="inlineStr">
        <is>
          <t>Georgia</t>
        </is>
      </c>
      <c r="E11" t="inlineStr">
        <is>
          <t>Latvia</t>
        </is>
      </c>
      <c r="F11" t="inlineStr">
        <is>
          <t>Lithuania</t>
        </is>
      </c>
      <c r="G11" t="inlineStr">
        <is>
          <t>Moldova</t>
        </is>
      </c>
      <c r="H11" t="inlineStr">
        <is>
          <t>Slovakia</t>
        </is>
      </c>
      <c r="I11" t="inlineStr">
        <is>
          <t>Ukraine</t>
        </is>
      </c>
      <c r="J11" t="inlineStr">
        <is>
          <t>Uzbekistan</t>
        </is>
      </c>
    </row>
    <row r="12">
      <c r="B12" t="n">
        <v>7471</v>
      </c>
      <c r="C12" s="7" t="n">
        <v>10121.89</v>
      </c>
      <c r="D12" s="2" t="n">
        <v>1002</v>
      </c>
      <c r="E12" s="3" t="n">
        <v>921.28</v>
      </c>
      <c r="F12" s="3" t="n">
        <v>807.1</v>
      </c>
      <c r="G12" s="3" t="n">
        <v>10.71</v>
      </c>
      <c r="H12" s="3" t="n">
        <v>3263.67725679204</v>
      </c>
      <c r="I12" s="3" t="n">
        <v>3877.64</v>
      </c>
      <c r="J12" s="7" t="n">
        <v>55092.42</v>
      </c>
      <c r="K12" s="3" t="n"/>
    </row>
    <row r="13">
      <c r="B13" t="n">
        <v>2049.180735930366</v>
      </c>
      <c r="C13" t="n">
        <v>2776.279212850517</v>
      </c>
      <c r="D13" t="n">
        <v>274.8332348282997</v>
      </c>
      <c r="E13" t="n">
        <v>252.6929766293572</v>
      </c>
      <c r="F13" t="n">
        <v>221.3751535228749</v>
      </c>
      <c r="G13" t="n">
        <v>2.937588767476138</v>
      </c>
      <c r="H13" t="n">
        <v>895.176624670367</v>
      </c>
      <c r="I13" t="n">
        <v>1063.57719031897</v>
      </c>
      <c r="J13" t="n">
        <v>15111.00599113704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Czechia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n">
        <v>7471</v>
      </c>
      <c r="C21" s="7" t="n">
        <v>10121.89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n">
        <v>2049.180735930366</v>
      </c>
      <c r="C22" t="n">
        <v>2776.279212850517</v>
      </c>
      <c r="D22" t="n">
        <v>274.8332348282997</v>
      </c>
      <c r="E22" t="n">
        <v>252.6929766293572</v>
      </c>
      <c r="F22" t="n">
        <v>221.3751535228749</v>
      </c>
      <c r="G22" t="n">
        <v>2.937588767476138</v>
      </c>
      <c r="H22" t="n">
        <v>15111.00599113704</v>
      </c>
    </row>
    <row r="23">
      <c r="B23" t="n">
        <v>14425.9</v>
      </c>
      <c r="C23" t="n">
        <v>175830.49</v>
      </c>
      <c r="D23" t="n">
        <v>6158.7</v>
      </c>
      <c r="E23" t="n">
        <v>6076.9</v>
      </c>
      <c r="F23" t="n">
        <v>7082.7</v>
      </c>
      <c r="G23" t="n">
        <v>5999.34</v>
      </c>
      <c r="H23" t="n">
        <v>66311.75</v>
      </c>
    </row>
    <row r="24">
      <c r="B24">
        <f>B22/B23*100</f>
        <v/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Gold Price (US$ per troy ounce)</t>
        </is>
      </c>
      <c r="C1" s="6" t="inlineStr">
        <is>
          <t>Monthly Log Return (%)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</row>
    <row r="3">
      <c r="A3" t="inlineStr">
        <is>
          <t>1990M2</t>
        </is>
      </c>
      <c r="B3" t="n">
        <v>417.181060791016</v>
      </c>
      <c r="C3" t="n">
        <v>1.780457776374216</v>
      </c>
    </row>
    <row r="4">
      <c r="A4" t="inlineStr">
        <is>
          <t>1990M3</t>
        </is>
      </c>
      <c r="B4" t="n">
        <v>392.703338623047</v>
      </c>
      <c r="C4" t="n">
        <v>-6.046586283977909</v>
      </c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</row>
    <row r="8">
      <c r="A8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2026-01-29T04:52:26Z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