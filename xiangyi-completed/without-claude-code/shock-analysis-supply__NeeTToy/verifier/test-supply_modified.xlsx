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CFC data" sheetId="2" state="visible" r:id="rId2"/>
    <sheet name="PWT" sheetId="3" state="visible" r:id="rId3"/>
    <sheet name="Production" sheetId="4" state="visible" r:id="rId4"/>
    <sheet name="HP Filter" sheetId="5" state="visible" r:id="rId5"/>
    <sheet name="Investment" sheetId="6" state="visible" r:id="rId6"/>
    <sheet name="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2" fontId="0" fillId="0" borderId="1" pivotButton="0" quotePrefix="0" xfId="0"/>
    <xf numFmtId="10" fontId="0" fillId="0" borderId="1" pivotButton="0" quotePrefix="0" xfId="0"/>
    <xf numFmtId="3" fontId="2" fillId="3" borderId="1" pivotButton="0" quotePrefix="0" xfId="0"/>
    <xf numFmtId="164" fontId="2" fillId="3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164" fontId="0" fillId="4" borderId="1" pivotButton="0" quotePrefix="0" xfId="0"/>
    <xf numFmtId="1" fontId="0" fillId="0" borderId="1" pivotButton="0" quotePrefix="0" xfId="0"/>
    <xf numFmtId="4" fontId="0" fillId="0" borderId="1" pivotButton="0" quotePrefix="0" xfId="0"/>
    <xf numFmtId="4" fontId="2" fillId="3" borderId="1" pivotButton="0" quotePrefix="0" xfId="0"/>
    <xf numFmtId="10" fontId="2" fillId="3" borderId="1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5" customWidth="1" min="4" max="4"/>
  </cols>
  <sheetData>
    <row r="1">
      <c r="A1" s="1" t="inlineStr">
        <is>
          <t>IMF WEO Data for Georgia</t>
        </is>
      </c>
    </row>
    <row r="3">
      <c r="A3" s="2" t="inlineStr">
        <is>
          <t>Year</t>
        </is>
      </c>
      <c r="B3" s="2" t="inlineStr">
        <is>
          <t>Real GDP (Billions USD)</t>
        </is>
      </c>
      <c r="C3" s="2" t="inlineStr">
        <is>
          <t>Real GDP Growth Rate (%)</t>
        </is>
      </c>
      <c r="D3" s="2" t="inlineStr">
        <is>
          <t>Notes</t>
        </is>
      </c>
    </row>
    <row r="4">
      <c r="A4" s="3" t="n">
        <v>2000</v>
      </c>
      <c r="B4" s="4" t="n">
        <v>3.1</v>
      </c>
      <c r="C4" s="4" t="n">
        <v>1.9</v>
      </c>
      <c r="D4" s="3" t="inlineStr">
        <is>
          <t>Actual</t>
        </is>
      </c>
    </row>
    <row r="5">
      <c r="A5" s="3" t="n">
        <v>2001</v>
      </c>
      <c r="B5" s="4" t="n">
        <v>3.43</v>
      </c>
      <c r="C5" s="4" t="n">
        <v>4.8</v>
      </c>
      <c r="D5" s="3" t="inlineStr">
        <is>
          <t>Actual</t>
        </is>
      </c>
    </row>
    <row r="6">
      <c r="A6" s="3" t="n">
        <v>2002</v>
      </c>
      <c r="B6" s="4" t="n">
        <v>3.79</v>
      </c>
      <c r="C6" s="4" t="n">
        <v>5.3</v>
      </c>
      <c r="D6" s="3" t="inlineStr">
        <is>
          <t>Actual</t>
        </is>
      </c>
    </row>
    <row r="7">
      <c r="A7" s="3" t="n">
        <v>2003</v>
      </c>
      <c r="B7" s="4" t="n">
        <v>4.68</v>
      </c>
      <c r="C7" s="4" t="n">
        <v>5.8</v>
      </c>
      <c r="D7" s="3" t="inlineStr">
        <is>
          <t>Actual</t>
        </is>
      </c>
    </row>
    <row r="8">
      <c r="A8" s="3" t="n">
        <v>2004</v>
      </c>
      <c r="B8" s="4" t="n">
        <v>5.97</v>
      </c>
      <c r="C8" s="4" t="n">
        <v>7.6</v>
      </c>
      <c r="D8" s="3" t="inlineStr">
        <is>
          <t>Actual</t>
        </is>
      </c>
    </row>
    <row r="9">
      <c r="A9" s="3" t="n">
        <v>2005</v>
      </c>
      <c r="B9" s="4" t="n">
        <v>6.6</v>
      </c>
      <c r="C9" s="4" t="n">
        <v>9.6</v>
      </c>
      <c r="D9" s="3" t="inlineStr">
        <is>
          <t>Actual</t>
        </is>
      </c>
    </row>
    <row r="10">
      <c r="A10" s="3" t="n">
        <v>2006</v>
      </c>
      <c r="B10" s="4" t="n">
        <v>8.029999999999999</v>
      </c>
      <c r="C10" s="4" t="n">
        <v>9.5</v>
      </c>
      <c r="D10" s="3" t="inlineStr">
        <is>
          <t>Actual</t>
        </is>
      </c>
    </row>
    <row r="11">
      <c r="A11" s="3" t="n">
        <v>2007</v>
      </c>
      <c r="B11" s="4" t="n">
        <v>10.92</v>
      </c>
      <c r="C11" s="4" t="n">
        <v>12.3</v>
      </c>
      <c r="D11" s="3" t="inlineStr">
        <is>
          <t>Actual</t>
        </is>
      </c>
    </row>
    <row r="12">
      <c r="A12" s="3" t="n">
        <v>2008</v>
      </c>
      <c r="B12" s="4" t="n">
        <v>12.69</v>
      </c>
      <c r="C12" s="4" t="n">
        <v>2.6</v>
      </c>
      <c r="D12" s="3" t="inlineStr">
        <is>
          <t>Actual</t>
        </is>
      </c>
    </row>
    <row r="13">
      <c r="A13" s="3" t="n">
        <v>2009</v>
      </c>
      <c r="B13" s="4" t="n">
        <v>10.78</v>
      </c>
      <c r="C13" s="4" t="n">
        <v>-3.8</v>
      </c>
      <c r="D13" s="3" t="inlineStr">
        <is>
          <t>Actual</t>
        </is>
      </c>
    </row>
    <row r="14">
      <c r="A14" s="3" t="n">
        <v>2010</v>
      </c>
      <c r="B14" s="4" t="n">
        <v>12.4</v>
      </c>
      <c r="C14" s="4" t="n">
        <v>6.9</v>
      </c>
      <c r="D14" s="3" t="inlineStr">
        <is>
          <t>Actual</t>
        </is>
      </c>
    </row>
    <row r="15">
      <c r="A15" s="3" t="n">
        <v>2011</v>
      </c>
      <c r="B15" s="4" t="n">
        <v>14.7</v>
      </c>
      <c r="C15" s="4" t="n">
        <v>7.2</v>
      </c>
      <c r="D15" s="3" t="inlineStr">
        <is>
          <t>Actual</t>
        </is>
      </c>
    </row>
    <row r="16">
      <c r="A16" s="3" t="n">
        <v>2012</v>
      </c>
      <c r="B16" s="4" t="n">
        <v>15.8</v>
      </c>
      <c r="C16" s="4" t="n">
        <v>6.2</v>
      </c>
      <c r="D16" s="3" t="inlineStr">
        <is>
          <t>Actual</t>
        </is>
      </c>
    </row>
    <row r="17">
      <c r="A17" s="3" t="n">
        <v>2013</v>
      </c>
      <c r="B17" s="4" t="n">
        <v>16.31</v>
      </c>
      <c r="C17" s="4" t="n">
        <v>3.2</v>
      </c>
      <c r="D17" s="3" t="inlineStr">
        <is>
          <t>Actual</t>
        </is>
      </c>
    </row>
    <row r="18">
      <c r="A18" s="3" t="n">
        <v>2014</v>
      </c>
      <c r="B18" s="4" t="n">
        <v>16.67</v>
      </c>
      <c r="C18" s="4" t="n">
        <v>2.2</v>
      </c>
      <c r="D18" s="3" t="inlineStr">
        <is>
          <t>Actual</t>
        </is>
      </c>
    </row>
    <row r="19">
      <c r="A19" s="3" t="n">
        <v>2015</v>
      </c>
      <c r="B19" s="4" t="n">
        <v>15.2</v>
      </c>
      <c r="C19" s="4" t="n">
        <v>-2.5</v>
      </c>
      <c r="D19" s="3" t="inlineStr">
        <is>
          <t>Actual</t>
        </is>
      </c>
    </row>
    <row r="20">
      <c r="A20" s="3" t="n">
        <v>2016</v>
      </c>
      <c r="B20" s="4" t="n">
        <v>15.52</v>
      </c>
      <c r="C20" s="4" t="n">
        <v>2.7</v>
      </c>
      <c r="D20" s="3" t="inlineStr">
        <is>
          <t>Actual</t>
        </is>
      </c>
    </row>
    <row r="21">
      <c r="A21" s="3" t="n">
        <v>2017</v>
      </c>
      <c r="B21" s="4" t="n">
        <v>16.95</v>
      </c>
      <c r="C21" s="4" t="n">
        <v>4.8</v>
      </c>
      <c r="D21" s="3" t="inlineStr">
        <is>
          <t>Actual</t>
        </is>
      </c>
    </row>
    <row r="22">
      <c r="A22" s="3" t="n">
        <v>2018</v>
      </c>
      <c r="B22" s="4" t="n">
        <v>17.74</v>
      </c>
      <c r="C22" s="4" t="n">
        <v>4.7</v>
      </c>
      <c r="D22" s="3" t="inlineStr">
        <is>
          <t>Actual</t>
        </is>
      </c>
    </row>
    <row r="23">
      <c r="A23" s="3" t="n">
        <v>2019</v>
      </c>
      <c r="B23" s="4" t="n">
        <v>19.5</v>
      </c>
      <c r="C23" s="4" t="n">
        <v>5.1</v>
      </c>
      <c r="D23" s="3" t="inlineStr">
        <is>
          <t>Actual</t>
        </is>
      </c>
    </row>
    <row r="24">
      <c r="A24" s="3" t="n">
        <v>2020</v>
      </c>
      <c r="B24" s="4" t="n">
        <v>16</v>
      </c>
      <c r="C24" s="4" t="n">
        <v>-6.3</v>
      </c>
      <c r="D24" s="3" t="inlineStr">
        <is>
          <t>Actual</t>
        </is>
      </c>
    </row>
    <row r="25">
      <c r="A25" s="3" t="n">
        <v>2021</v>
      </c>
      <c r="B25" s="4" t="n">
        <v>18.85</v>
      </c>
      <c r="C25" s="4" t="n">
        <v>17.8</v>
      </c>
      <c r="D25" s="3" t="inlineStr">
        <is>
          <t>Actual</t>
        </is>
      </c>
    </row>
    <row r="26">
      <c r="A26" s="3" t="n">
        <v>2022</v>
      </c>
      <c r="B26" s="4" t="n">
        <v>24.98</v>
      </c>
      <c r="C26" s="4" t="n">
        <v>11</v>
      </c>
      <c r="D26" s="3" t="inlineStr">
        <is>
          <t>Actual</t>
        </is>
      </c>
    </row>
    <row r="27">
      <c r="A27" s="3" t="n">
        <v>2023</v>
      </c>
      <c r="B27" s="4" t="n">
        <v>30.8</v>
      </c>
      <c r="C27" s="4" t="n">
        <v>7.8</v>
      </c>
      <c r="D27" s="3" t="inlineStr">
        <is>
          <t>Actual</t>
        </is>
      </c>
    </row>
    <row r="28">
      <c r="A28" s="3" t="n">
        <v>2024</v>
      </c>
      <c r="B28" s="4" t="n">
        <v>33.8</v>
      </c>
      <c r="C28" s="4" t="n">
        <v>9.4</v>
      </c>
      <c r="D28" s="3" t="inlineStr">
        <is>
          <t>Actual</t>
        </is>
      </c>
    </row>
    <row r="29">
      <c r="A29" s="3" t="n">
        <v>2025</v>
      </c>
      <c r="B29" s="4" t="n">
        <v>37.4</v>
      </c>
      <c r="C29" s="4" t="n">
        <v>7.2</v>
      </c>
      <c r="D29" s="3" t="inlineStr">
        <is>
          <t>IMF</t>
        </is>
      </c>
    </row>
    <row r="30">
      <c r="A30" s="3" t="n">
        <v>2026</v>
      </c>
      <c r="B30" s="4" t="n">
        <v>40.18</v>
      </c>
      <c r="C30" s="4" t="n">
        <v>7.5</v>
      </c>
      <c r="D30" s="3" t="inlineStr">
        <is>
          <t>IMF</t>
        </is>
      </c>
    </row>
    <row r="31">
      <c r="A31" s="3" t="n">
        <v>2027</v>
      </c>
      <c r="B31" s="4" t="n">
        <v>43.09</v>
      </c>
      <c r="C31" s="4" t="n">
        <v>7.2</v>
      </c>
      <c r="D31" s="3" t="inlineStr">
        <is>
          <t>IMF</t>
        </is>
      </c>
    </row>
    <row r="32">
      <c r="A32" s="3" t="n">
        <v>2028</v>
      </c>
      <c r="B32" s="4" t="n">
        <v>46.21</v>
      </c>
      <c r="C32" s="4" t="n">
        <v>7.2</v>
      </c>
      <c r="D32" s="3" t="inlineStr">
        <is>
          <t>Extended</t>
        </is>
      </c>
    </row>
    <row r="33">
      <c r="A33" s="3" t="n">
        <v>2029</v>
      </c>
      <c r="B33" s="4" t="n">
        <v>49.54</v>
      </c>
      <c r="C33" s="4" t="n">
        <v>7.2</v>
      </c>
      <c r="D33" s="3" t="inlineStr">
        <is>
          <t>Extended</t>
        </is>
      </c>
    </row>
    <row r="34">
      <c r="A34" s="3" t="n">
        <v>2030</v>
      </c>
      <c r="B34" s="4" t="n">
        <v>53.12</v>
      </c>
      <c r="C34" s="4" t="n">
        <v>7.2</v>
      </c>
      <c r="D34" s="3" t="inlineStr">
        <is>
          <t>Extended</t>
        </is>
      </c>
    </row>
    <row r="35">
      <c r="A35" s="3" t="n">
        <v>2031</v>
      </c>
      <c r="B35" s="4" t="n">
        <v>56.95</v>
      </c>
      <c r="C35" s="4" t="n">
        <v>7.2</v>
      </c>
      <c r="D35" s="3" t="inlineStr">
        <is>
          <t>Extended</t>
        </is>
      </c>
    </row>
    <row r="36">
      <c r="A36" s="3" t="n">
        <v>2032</v>
      </c>
      <c r="B36" s="4" t="n">
        <v>61.05</v>
      </c>
      <c r="C36" s="4" t="n">
        <v>7.2</v>
      </c>
      <c r="D36" s="3" t="inlineStr">
        <is>
          <t>Extended</t>
        </is>
      </c>
    </row>
    <row r="37">
      <c r="A37" s="3" t="n">
        <v>2033</v>
      </c>
      <c r="B37" s="4" t="n">
        <v>65.45</v>
      </c>
      <c r="C37" s="4" t="n">
        <v>7.2</v>
      </c>
      <c r="D37" s="3" t="inlineStr">
        <is>
          <t>Extended</t>
        </is>
      </c>
    </row>
    <row r="38">
      <c r="A38" s="3" t="n">
        <v>2034</v>
      </c>
      <c r="B38" s="4" t="n">
        <v>70.17</v>
      </c>
      <c r="C38" s="4" t="n">
        <v>7.2</v>
      </c>
      <c r="D38" s="3" t="inlineStr">
        <is>
          <t>Extended</t>
        </is>
      </c>
    </row>
    <row r="39">
      <c r="A39" s="3" t="n">
        <v>2035</v>
      </c>
      <c r="B39" s="4" t="n">
        <v>75.23999999999999</v>
      </c>
      <c r="C39" s="4" t="n">
        <v>7.2</v>
      </c>
      <c r="D39" s="3" t="inlineStr">
        <is>
          <t>Extended</t>
        </is>
      </c>
    </row>
    <row r="40">
      <c r="A40" s="3" t="n">
        <v>2036</v>
      </c>
      <c r="B40" s="4" t="n">
        <v>80.7</v>
      </c>
      <c r="C40" s="4" t="n">
        <v>7.2</v>
      </c>
      <c r="D40" s="3" t="inlineStr">
        <is>
          <t>Extended</t>
        </is>
      </c>
    </row>
    <row r="41">
      <c r="A41" s="3" t="n">
        <v>2037</v>
      </c>
      <c r="B41" s="4" t="n">
        <v>86.59999999999999</v>
      </c>
      <c r="C41" s="4" t="n">
        <v>7.2</v>
      </c>
      <c r="D41" s="3" t="inlineStr">
        <is>
          <t>Extended</t>
        </is>
      </c>
    </row>
    <row r="42">
      <c r="A42" s="3" t="n">
        <v>2038</v>
      </c>
      <c r="B42" s="4" t="n">
        <v>92.98999999999999</v>
      </c>
      <c r="C42" s="4" t="n">
        <v>7.2</v>
      </c>
      <c r="D42" s="3" t="inlineStr">
        <is>
          <t>Extended</t>
        </is>
      </c>
    </row>
    <row r="43">
      <c r="A43" s="3" t="n">
        <v>2039</v>
      </c>
      <c r="B43" s="4" t="n">
        <v>99.93000000000001</v>
      </c>
      <c r="C43" s="4" t="n">
        <v>7.2</v>
      </c>
      <c r="D43" s="3" t="inlineStr">
        <is>
          <t>Extended</t>
        </is>
      </c>
    </row>
    <row r="44">
      <c r="A44" s="3" t="n">
        <v>2040</v>
      </c>
      <c r="B44" s="4" t="n">
        <v>107.47</v>
      </c>
      <c r="C44" s="4" t="n">
        <v>7.2</v>
      </c>
      <c r="D44" s="3" t="inlineStr">
        <is>
          <t>Extended</t>
        </is>
      </c>
    </row>
    <row r="45">
      <c r="A45" s="3" t="n">
        <v>2041</v>
      </c>
      <c r="B45" s="4" t="n">
        <v>115.41</v>
      </c>
      <c r="C45" s="4" t="n">
        <v>7.2</v>
      </c>
      <c r="D45" s="3" t="inlineStr">
        <is>
          <t>Extended</t>
        </is>
      </c>
    </row>
    <row r="46">
      <c r="A46" s="3" t="n">
        <v>2042</v>
      </c>
      <c r="B46" s="4" t="n">
        <v>123.95</v>
      </c>
      <c r="C46" s="4" t="n">
        <v>7.2</v>
      </c>
      <c r="D46" s="3" t="inlineStr">
        <is>
          <t>Extended</t>
        </is>
      </c>
    </row>
    <row r="47">
      <c r="A47" s="3" t="n">
        <v>2043</v>
      </c>
      <c r="B47" s="4" t="n">
        <v>133.08</v>
      </c>
      <c r="C47" s="4" t="n">
        <v>7.2</v>
      </c>
      <c r="D47" s="3" t="inlineStr">
        <is>
          <t>Extended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ECB Consumption of Fixed Capital Data for Georgia</t>
        </is>
      </c>
    </row>
    <row r="3">
      <c r="A3" s="2" t="inlineStr">
        <is>
          <t>Year</t>
        </is>
      </c>
      <c r="B3" s="2" t="inlineStr">
        <is>
          <t>CFC (Million GEL)</t>
        </is>
      </c>
      <c r="C3" s="2" t="inlineStr">
        <is>
          <t>Capital Stock (Million USD)</t>
        </is>
      </c>
      <c r="D3" s="2" t="inlineStr">
        <is>
          <t>Depreciation Rate (%)</t>
        </is>
      </c>
    </row>
    <row r="4">
      <c r="A4" s="3" t="n">
        <v>2015</v>
      </c>
      <c r="B4" s="4" t="n">
        <v>3500</v>
      </c>
      <c r="C4" s="4" t="n">
        <v>169610</v>
      </c>
      <c r="D4" s="4">
        <f>IF(C4=0,0,B4/C4*100)</f>
        <v/>
      </c>
    </row>
    <row r="5">
      <c r="A5" s="3" t="n">
        <v>2016</v>
      </c>
      <c r="B5" s="4" t="n">
        <v>3800</v>
      </c>
      <c r="C5" s="4" t="n">
        <v>210339</v>
      </c>
      <c r="D5" s="4">
        <f>IF(C5=0,0,B5/C5*100)</f>
        <v/>
      </c>
    </row>
    <row r="6">
      <c r="A6" s="3" t="n">
        <v>2017</v>
      </c>
      <c r="B6" s="4" t="n">
        <v>4100</v>
      </c>
      <c r="C6" s="4" t="n">
        <v>248033</v>
      </c>
      <c r="D6" s="4">
        <f>IF(C6=0,0,B6/C6*100)</f>
        <v/>
      </c>
    </row>
    <row r="7">
      <c r="A7" s="3" t="n">
        <v>2018</v>
      </c>
      <c r="B7" s="4" t="n">
        <v>4400</v>
      </c>
      <c r="C7" s="4" t="n">
        <v>254090</v>
      </c>
      <c r="D7" s="4">
        <f>IF(C7=0,0,B7/C7*100)</f>
        <v/>
      </c>
    </row>
    <row r="8">
      <c r="A8" s="3" t="n">
        <v>2019</v>
      </c>
      <c r="B8" s="4" t="n">
        <v>4700</v>
      </c>
      <c r="C8" s="4" t="n">
        <v>263192</v>
      </c>
      <c r="D8" s="4">
        <f>IF(C8=0,0,B8/C8*100)</f>
        <v/>
      </c>
    </row>
    <row r="9">
      <c r="A9" s="3" t="n">
        <v>2020</v>
      </c>
      <c r="B9" s="4" t="n">
        <v>4200</v>
      </c>
      <c r="C9" s="4" t="n">
        <v>260000</v>
      </c>
      <c r="D9" s="4">
        <f>IF(C9=0,0,B9/C9*100)</f>
        <v/>
      </c>
    </row>
    <row r="10">
      <c r="A10" s="3" t="n">
        <v>2021</v>
      </c>
      <c r="B10" s="4" t="n">
        <v>5100</v>
      </c>
      <c r="C10" s="4" t="n">
        <v>275000</v>
      </c>
      <c r="D10" s="4">
        <f>IF(C10=0,0,B10/C10*100)</f>
        <v/>
      </c>
    </row>
    <row r="11">
      <c r="A11" s="3" t="n">
        <v>2022</v>
      </c>
      <c r="B11" s="4" t="n">
        <v>6200</v>
      </c>
      <c r="C11" s="4" t="n">
        <v>290000</v>
      </c>
      <c r="D11" s="4">
        <f>IF(C11=0,0,B11/C11*100)</f>
        <v/>
      </c>
    </row>
    <row r="12">
      <c r="A12" s="3" t="n">
        <v>2023</v>
      </c>
      <c r="B12" s="4" t="n">
        <v>7200</v>
      </c>
      <c r="C12" s="4" t="n">
        <v>305000</v>
      </c>
      <c r="D12" s="4">
        <f>IF(C12=0,0,B12/C12*100)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" t="inlineStr">
        <is>
          <t>Penn World Table Data for Georgia (2023)</t>
        </is>
      </c>
    </row>
    <row r="3">
      <c r="A3" s="2" t="inlineStr">
        <is>
          <t>Variable</t>
        </is>
      </c>
      <c r="B3" s="2" t="inlineStr">
        <is>
          <t>Code</t>
        </is>
      </c>
      <c r="C3" s="2" t="inlineStr">
        <is>
          <t>2023 Value</t>
        </is>
      </c>
    </row>
    <row r="4">
      <c r="A4" s="3" t="inlineStr">
        <is>
          <t>Real GDP (2017 USD Million)</t>
        </is>
      </c>
      <c r="B4" s="3" t="inlineStr">
        <is>
          <t>RGDPNA</t>
        </is>
      </c>
      <c r="C4" s="4" t="n">
        <v>163900</v>
      </c>
    </row>
    <row r="5">
      <c r="A5" s="3" t="inlineStr">
        <is>
          <t>Capital Stock (2017 USD Million)</t>
        </is>
      </c>
      <c r="B5" s="3" t="inlineStr">
        <is>
          <t>RNNA</t>
        </is>
      </c>
      <c r="C5" s="4" t="n">
        <v>305000</v>
      </c>
    </row>
    <row r="6">
      <c r="A6" s="3" t="inlineStr">
        <is>
          <t>Employment (Thousands)</t>
        </is>
      </c>
      <c r="B6" s="3" t="inlineStr">
        <is>
          <t>EMP</t>
        </is>
      </c>
      <c r="C6" s="4" t="n">
        <v>2000</v>
      </c>
    </row>
    <row r="7">
      <c r="A7" s="3" t="inlineStr">
        <is>
          <t>Human Capital Index</t>
        </is>
      </c>
      <c r="B7" s="3" t="inlineStr">
        <is>
          <t>HCINDEX</t>
        </is>
      </c>
      <c r="C7" s="4" t="n">
        <v>2.89</v>
      </c>
    </row>
    <row r="8">
      <c r="A8" s="3" t="inlineStr">
        <is>
          <t>Capital Share</t>
        </is>
      </c>
      <c r="B8" s="3" t="inlineStr">
        <is>
          <t>alpha</t>
        </is>
      </c>
      <c r="C8" s="4" t="n">
        <v>0.3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Production Function Analysis for Georgia</t>
        </is>
      </c>
    </row>
    <row r="3">
      <c r="A3" t="inlineStr">
        <is>
          <t>Average Depreciation Rate (2015-2023):</t>
        </is>
      </c>
      <c r="B3" s="5">
        <f>AVERAGE(CFC_data!D4:D12)</f>
        <v/>
      </c>
    </row>
    <row r="5">
      <c r="A5" s="2" t="n">
        <v>2000</v>
      </c>
      <c r="B5" s="6">
        <f>B15/(1.03^10)</f>
        <v/>
      </c>
      <c r="C5" s="6">
        <f>VLOOKUP(2000,WEO_Data!A:B,2,0)*1000</f>
        <v/>
      </c>
      <c r="D5" s="7">
        <f>IF(B5="","",LN(B5))</f>
        <v/>
      </c>
      <c r="E5" s="7">
        <f>IF(C5="","",LN(C5))</f>
        <v/>
      </c>
    </row>
    <row r="6">
      <c r="A6" s="3" t="n">
        <v>2001</v>
      </c>
      <c r="B6" s="8">
        <f>B16/(1.03^10)</f>
        <v/>
      </c>
      <c r="C6" s="8">
        <f>VLOOKUP(2001,WEO_Data!A:B,2,0)*1000</f>
        <v/>
      </c>
      <c r="D6" s="9">
        <f>IF(B6="","",LN(B6))</f>
        <v/>
      </c>
      <c r="E6" s="9">
        <f>IF(C6="","",LN(C6))</f>
        <v/>
      </c>
    </row>
    <row r="7">
      <c r="A7" s="3" t="n">
        <v>2002</v>
      </c>
      <c r="B7" s="8">
        <f>B17/(1.03^10)</f>
        <v/>
      </c>
      <c r="C7" s="8">
        <f>VLOOKUP(2002,WEO_Data!A:B,2,0)*1000</f>
        <v/>
      </c>
      <c r="D7" s="9">
        <f>IF(B7="","",LN(B7))</f>
        <v/>
      </c>
      <c r="E7" s="9">
        <f>IF(C7="","",LN(C7))</f>
        <v/>
      </c>
    </row>
    <row r="8">
      <c r="A8" s="3" t="n">
        <v>2003</v>
      </c>
      <c r="B8" s="8">
        <f>B18/(1.03^10)</f>
        <v/>
      </c>
      <c r="C8" s="8">
        <f>VLOOKUP(2003,WEO_Data!A:B,2,0)*1000</f>
        <v/>
      </c>
      <c r="D8" s="9">
        <f>IF(B8="","",LN(B8))</f>
        <v/>
      </c>
      <c r="E8" s="9">
        <f>IF(C8="","",LN(C8))</f>
        <v/>
      </c>
    </row>
    <row r="9">
      <c r="A9" s="3" t="n">
        <v>2004</v>
      </c>
      <c r="B9" s="8">
        <f>B19/(1.03^10)</f>
        <v/>
      </c>
      <c r="C9" s="8">
        <f>VLOOKUP(2004,WEO_Data!A:B,2,0)*1000</f>
        <v/>
      </c>
      <c r="D9" s="9">
        <f>IF(B9="","",LN(B9))</f>
        <v/>
      </c>
      <c r="E9" s="9">
        <f>IF(C9="","",LN(C9))</f>
        <v/>
      </c>
    </row>
    <row r="10">
      <c r="A10" s="3" t="n">
        <v>2005</v>
      </c>
      <c r="B10" s="8">
        <f>B20/(1.03^10)</f>
        <v/>
      </c>
      <c r="C10" s="8">
        <f>VLOOKUP(2005,WEO_Data!A:B,2,0)*1000</f>
        <v/>
      </c>
      <c r="D10" s="9">
        <f>IF(B10="","",LN(B10))</f>
        <v/>
      </c>
      <c r="E10" s="9">
        <f>IF(C10="","",LN(C10))</f>
        <v/>
      </c>
    </row>
    <row r="11">
      <c r="A11" s="3" t="n">
        <v>2006</v>
      </c>
      <c r="B11" s="8">
        <f>B21/(1.03^10)</f>
        <v/>
      </c>
      <c r="C11" s="8">
        <f>VLOOKUP(2006,WEO_Data!A:B,2,0)*1000</f>
        <v/>
      </c>
      <c r="D11" s="9">
        <f>IF(B11="","",LN(B11))</f>
        <v/>
      </c>
      <c r="E11" s="9">
        <f>IF(C11="","",LN(C11))</f>
        <v/>
      </c>
    </row>
    <row r="12">
      <c r="A12" s="3" t="n">
        <v>2007</v>
      </c>
      <c r="B12" s="8">
        <f>B22/(1.03^10)</f>
        <v/>
      </c>
      <c r="C12" s="8">
        <f>VLOOKUP(2007,WEO_Data!A:B,2,0)*1000</f>
        <v/>
      </c>
      <c r="D12" s="9">
        <f>IF(B12="","",LN(B12))</f>
        <v/>
      </c>
      <c r="E12" s="9">
        <f>IF(C12="","",LN(C12))</f>
        <v/>
      </c>
    </row>
    <row r="13">
      <c r="A13" s="3" t="n">
        <v>2008</v>
      </c>
      <c r="B13" s="8">
        <f>B23/(1.03^10)</f>
        <v/>
      </c>
      <c r="C13" s="8">
        <f>VLOOKUP(2008,WEO_Data!A:B,2,0)*1000</f>
        <v/>
      </c>
      <c r="D13" s="9">
        <f>IF(B13="","",LN(B13))</f>
        <v/>
      </c>
      <c r="E13" s="9">
        <f>IF(C13="","",LN(C13))</f>
        <v/>
      </c>
    </row>
    <row r="14">
      <c r="A14" s="3" t="n">
        <v>2009</v>
      </c>
      <c r="B14" s="8">
        <f>B24/(1.03^10)</f>
        <v/>
      </c>
      <c r="C14" s="8">
        <f>VLOOKUP(2009,WEO_Data!A:B,2,0)*1000</f>
        <v/>
      </c>
      <c r="D14" s="9">
        <f>IF(B14="","",LN(B14))</f>
        <v/>
      </c>
      <c r="E14" s="9">
        <f>IF(C14="","",LN(C14))</f>
        <v/>
      </c>
    </row>
    <row r="15">
      <c r="A15" s="3" t="n">
        <v>2010</v>
      </c>
      <c r="B15" s="8">
        <f>B25/(1.03^10)</f>
        <v/>
      </c>
      <c r="C15" s="8">
        <f>VLOOKUP(2010,WEO_Data!A:B,2,0)*1000</f>
        <v/>
      </c>
      <c r="D15" s="9">
        <f>IF(B15="","",LN(B15))</f>
        <v/>
      </c>
      <c r="E15" s="9">
        <f>IF(C15="","",LN(C15))</f>
        <v/>
      </c>
    </row>
    <row r="16">
      <c r="A16" s="3" t="n">
        <v>2011</v>
      </c>
      <c r="B16" s="8">
        <f>B26/(1.03^10)</f>
        <v/>
      </c>
      <c r="C16" s="8">
        <f>VLOOKUP(2011,WEO_Data!A:B,2,0)*1000</f>
        <v/>
      </c>
      <c r="D16" s="9">
        <f>IF(B16="","",LN(B16))</f>
        <v/>
      </c>
      <c r="E16" s="9">
        <f>IF(C16="","",LN(C16))</f>
        <v/>
      </c>
    </row>
    <row r="17">
      <c r="A17" s="3" t="n">
        <v>2012</v>
      </c>
      <c r="B17" s="8">
        <f>B27/(1.03^10)</f>
        <v/>
      </c>
      <c r="C17" s="8">
        <f>VLOOKUP(2012,WEO_Data!A:B,2,0)*1000</f>
        <v/>
      </c>
      <c r="D17" s="9">
        <f>IF(B17="","",LN(B17))</f>
        <v/>
      </c>
      <c r="E17" s="9">
        <f>IF(C17="","",LN(C17))</f>
        <v/>
      </c>
    </row>
    <row r="18">
      <c r="A18" s="3" t="n">
        <v>2013</v>
      </c>
      <c r="B18" s="8">
        <f>B28/(1.03^10)</f>
        <v/>
      </c>
      <c r="C18" s="8">
        <f>VLOOKUP(2013,WEO_Data!A:B,2,0)*1000</f>
        <v/>
      </c>
      <c r="D18" s="9">
        <f>IF(B18="","",LN(B18))</f>
        <v/>
      </c>
      <c r="E18" s="9">
        <f>IF(C18="","",LN(C18))</f>
        <v/>
      </c>
    </row>
    <row r="19">
      <c r="A19" s="3" t="n">
        <v>2014</v>
      </c>
      <c r="B19" s="8">
        <f>B29/(1.03^10)</f>
        <v/>
      </c>
      <c r="C19" s="8">
        <f>VLOOKUP(2014,WEO_Data!A:B,2,0)*1000</f>
        <v/>
      </c>
      <c r="D19" s="9">
        <f>IF(B19="","",LN(B19))</f>
        <v/>
      </c>
      <c r="E19" s="9">
        <f>IF(C19="","",LN(C19))</f>
        <v/>
      </c>
    </row>
    <row r="20">
      <c r="A20" s="3" t="n">
        <v>2015</v>
      </c>
      <c r="B20" s="8">
        <f>VLOOKUP(2015,CFC_data!A:C,3,0)</f>
        <v/>
      </c>
      <c r="C20" s="8">
        <f>VLOOKUP(2015,WEO_Data!A:B,2,0)*1000</f>
        <v/>
      </c>
      <c r="D20" s="9">
        <f>IF(B20="","",LN(B20))</f>
        <v/>
      </c>
      <c r="E20" s="9">
        <f>IF(C20="","",LN(C20))</f>
        <v/>
      </c>
    </row>
    <row r="21">
      <c r="A21" s="3" t="n">
        <v>2016</v>
      </c>
      <c r="B21" s="8">
        <f>VLOOKUP(2016,CFC_data!A:C,3,0)</f>
        <v/>
      </c>
      <c r="C21" s="8">
        <f>VLOOKUP(2016,WEO_Data!A:B,2,0)*1000</f>
        <v/>
      </c>
      <c r="D21" s="9">
        <f>IF(B21="","",LN(B21))</f>
        <v/>
      </c>
      <c r="E21" s="9">
        <f>IF(C21="","",LN(C21))</f>
        <v/>
      </c>
    </row>
    <row r="22">
      <c r="A22" s="3" t="n">
        <v>2017</v>
      </c>
      <c r="B22" s="8">
        <f>VLOOKUP(2017,CFC_data!A:C,3,0)</f>
        <v/>
      </c>
      <c r="C22" s="8">
        <f>VLOOKUP(2017,WEO_Data!A:B,2,0)*1000</f>
        <v/>
      </c>
      <c r="D22" s="9">
        <f>IF(B22="","",LN(B22))</f>
        <v/>
      </c>
      <c r="E22" s="9">
        <f>IF(C22="","",LN(C22))</f>
        <v/>
      </c>
    </row>
    <row r="23">
      <c r="A23" s="3" t="n">
        <v>2018</v>
      </c>
      <c r="B23" s="8">
        <f>VLOOKUP(2018,CFC_data!A:C,3,0)</f>
        <v/>
      </c>
      <c r="C23" s="8">
        <f>VLOOKUP(2018,WEO_Data!A:B,2,0)*1000</f>
        <v/>
      </c>
      <c r="D23" s="9">
        <f>IF(B23="","",LN(B23))</f>
        <v/>
      </c>
      <c r="E23" s="9">
        <f>IF(C23="","",LN(C23))</f>
        <v/>
      </c>
    </row>
    <row r="24">
      <c r="A24" s="3" t="n">
        <v>2019</v>
      </c>
      <c r="B24" s="8">
        <f>VLOOKUP(2019,CFC_data!A:C,3,0)</f>
        <v/>
      </c>
      <c r="C24" s="8">
        <f>VLOOKUP(2019,WEO_Data!A:B,2,0)*1000</f>
        <v/>
      </c>
      <c r="D24" s="9">
        <f>IF(B24="","",LN(B24))</f>
        <v/>
      </c>
      <c r="E24" s="9">
        <f>IF(C24="","",LN(C24))</f>
        <v/>
      </c>
    </row>
    <row r="25">
      <c r="A25" s="3" t="n">
        <v>2020</v>
      </c>
      <c r="B25" s="8">
        <f>VLOOKUP(2020,CFC_data!A:C,3,0)</f>
        <v/>
      </c>
      <c r="C25" s="8">
        <f>VLOOKUP(2020,WEO_Data!A:B,2,0)*1000</f>
        <v/>
      </c>
      <c r="D25" s="9">
        <f>IF(B25="","",LN(B25))</f>
        <v/>
      </c>
      <c r="E25" s="9">
        <f>IF(C25="","",LN(C25))</f>
        <v/>
      </c>
    </row>
    <row r="26">
      <c r="A26" s="3" t="n">
        <v>2021</v>
      </c>
      <c r="B26" s="8">
        <f>VLOOKUP(2021,CFC_data!A:C,3,0)</f>
        <v/>
      </c>
      <c r="C26" s="8">
        <f>VLOOKUP(2021,WEO_Data!A:B,2,0)*1000</f>
        <v/>
      </c>
      <c r="D26" s="9">
        <f>IF(B26="","",LN(B26))</f>
        <v/>
      </c>
      <c r="E26" s="9">
        <f>IF(C26="","",LN(C26))</f>
        <v/>
      </c>
    </row>
    <row r="27">
      <c r="A27" s="3" t="n">
        <v>2022</v>
      </c>
      <c r="B27" s="8">
        <f>VLOOKUP(2022,CFC_data!A:C,3,0)</f>
        <v/>
      </c>
      <c r="C27" s="8">
        <f>VLOOKUP(2022,WEO_Data!A:B,2,0)*1000</f>
        <v/>
      </c>
      <c r="D27" s="9">
        <f>IF(B27="","",LN(B27))</f>
        <v/>
      </c>
      <c r="E27" s="9">
        <f>IF(C27="","",LN(C27))</f>
        <v/>
      </c>
    </row>
    <row r="28">
      <c r="A28" s="3" t="n">
        <v>2023</v>
      </c>
      <c r="B28" s="8">
        <f>CFC_data!C12</f>
        <v/>
      </c>
      <c r="C28" s="8">
        <f>VLOOKUP(2023,WEO_Data!A:B,2,0)*1000</f>
        <v/>
      </c>
      <c r="D28" s="9">
        <f>IF(B28="","",LN(B28))</f>
        <v/>
      </c>
      <c r="E28" s="9">
        <f>IF(C28="","",LN(C28))</f>
        <v/>
      </c>
    </row>
    <row r="29">
      <c r="A29" s="3" t="n">
        <v>2024</v>
      </c>
      <c r="B29" s="8">
        <f>B28*(1-$B$3)</f>
        <v/>
      </c>
      <c r="C29" s="8">
        <f>VLOOKUP(2024,WEO_Data!A:B,2,0)*1000</f>
        <v/>
      </c>
      <c r="D29" s="9">
        <f>IF(B29="","",LN(B29))</f>
        <v/>
      </c>
      <c r="E29" s="9">
        <f>IF(C29="","",LN(C29))</f>
        <v/>
      </c>
    </row>
    <row r="30">
      <c r="A30" s="3" t="n">
        <v>2025</v>
      </c>
      <c r="B30" s="8">
        <f>B29*(1-$B$3)</f>
        <v/>
      </c>
      <c r="C30" s="8">
        <f>VLOOKUP(2025,WEO_Data!A:B,2,0)*1000</f>
        <v/>
      </c>
      <c r="D30" s="9">
        <f>IF(B30="","",LN(B30))</f>
        <v/>
      </c>
      <c r="E30" s="9">
        <f>IF(C30="","",LN(C30))</f>
        <v/>
      </c>
    </row>
    <row r="31">
      <c r="A31" s="3" t="n">
        <v>2026</v>
      </c>
      <c r="B31" s="8">
        <f>B30*(1-$B$3)</f>
        <v/>
      </c>
      <c r="C31" s="8">
        <f>VLOOKUP(2026,WEO_Data!A:B,2,0)*1000</f>
        <v/>
      </c>
      <c r="D31" s="9">
        <f>IF(B31="","",LN(B31))</f>
        <v/>
      </c>
      <c r="E31" s="9">
        <f>IF(C31="","",LN(C31))</f>
        <v/>
      </c>
    </row>
    <row r="32">
      <c r="A32" s="3" t="n">
        <v>2027</v>
      </c>
      <c r="B32" s="8">
        <f>B31*(1-$B$3)</f>
        <v/>
      </c>
      <c r="C32" s="8">
        <f>VLOOKUP(2027,WEO_Data!A:B,2,0)*1000</f>
        <v/>
      </c>
      <c r="D32" s="9">
        <f>IF(B32="","",LN(B32))</f>
        <v/>
      </c>
      <c r="E32" s="9">
        <f>IF(C32="","",LN(C32))</f>
        <v/>
      </c>
    </row>
    <row r="33">
      <c r="A33" s="3" t="n">
        <v>2028</v>
      </c>
      <c r="B33" s="8">
        <f>B32*(1-$B$3)</f>
        <v/>
      </c>
      <c r="C33" s="8">
        <f>VLOOKUP(2028,WEO_Data!A:B,2,0)*1000</f>
        <v/>
      </c>
      <c r="D33" s="9">
        <f>IF(B33="","",LN(B33))</f>
        <v/>
      </c>
      <c r="E33" s="9">
        <f>IF(C33="","",LN(C33))</f>
        <v/>
      </c>
    </row>
    <row r="34">
      <c r="A34" s="3" t="n">
        <v>2029</v>
      </c>
      <c r="B34" s="8">
        <f>B33*(1-$B$3)</f>
        <v/>
      </c>
      <c r="C34" s="8">
        <f>VLOOKUP(2029,WEO_Data!A:B,2,0)*1000</f>
        <v/>
      </c>
      <c r="D34" s="9">
        <f>IF(B34="","",LN(B34))</f>
        <v/>
      </c>
      <c r="E34" s="9">
        <f>IF(C34="","",LN(C34))</f>
        <v/>
      </c>
    </row>
    <row r="35">
      <c r="A35" s="3" t="n">
        <v>2030</v>
      </c>
      <c r="B35" s="8">
        <f>B34*(1-$B$3)</f>
        <v/>
      </c>
      <c r="C35" s="8">
        <f>VLOOKUP(2030,WEO_Data!A:B,2,0)*1000</f>
        <v/>
      </c>
      <c r="D35" s="9">
        <f>IF(B35="","",LN(B35))</f>
        <v/>
      </c>
      <c r="E35" s="9">
        <f>IF(C35="","",LN(C35))</f>
        <v/>
      </c>
    </row>
    <row r="36">
      <c r="A36" s="3" t="n">
        <v>2031</v>
      </c>
      <c r="B36" s="8">
        <f>B35*(1-$B$3)</f>
        <v/>
      </c>
      <c r="C36" s="8">
        <f>VLOOKUP(2031,WEO_Data!A:B,2,0)*1000</f>
        <v/>
      </c>
      <c r="D36" s="9">
        <f>IF(B36="","",LN(B36))</f>
        <v/>
      </c>
      <c r="E36" s="9">
        <f>IF(C36="","",LN(C36))</f>
        <v/>
      </c>
    </row>
    <row r="37">
      <c r="A37" s="3" t="n">
        <v>2032</v>
      </c>
      <c r="B37" s="8">
        <f>B36*(1-$B$3)</f>
        <v/>
      </c>
      <c r="C37" s="8">
        <f>VLOOKUP(2032,WEO_Data!A:B,2,0)*1000</f>
        <v/>
      </c>
      <c r="D37" s="9">
        <f>IF(B37="","",LN(B37))</f>
        <v/>
      </c>
      <c r="E37" s="9">
        <f>IF(C37="","",LN(C37))</f>
        <v/>
      </c>
    </row>
    <row r="38">
      <c r="A38" s="3" t="n">
        <v>2033</v>
      </c>
      <c r="B38" s="8">
        <f>B37*(1-$B$3)</f>
        <v/>
      </c>
      <c r="C38" s="8">
        <f>VLOOKUP(2033,WEO_Data!A:B,2,0)*1000</f>
        <v/>
      </c>
      <c r="D38" s="9">
        <f>IF(B38="","",LN(B38))</f>
        <v/>
      </c>
      <c r="E38" s="9">
        <f>IF(C38="","",LN(C38))</f>
        <v/>
      </c>
    </row>
    <row r="39">
      <c r="A39" s="3" t="n">
        <v>2034</v>
      </c>
      <c r="B39" s="8">
        <f>B38*(1-$B$3)</f>
        <v/>
      </c>
      <c r="C39" s="8">
        <f>VLOOKUP(2034,WEO_Data!A:B,2,0)*1000</f>
        <v/>
      </c>
      <c r="D39" s="9">
        <f>IF(B39="","",LN(B39))</f>
        <v/>
      </c>
      <c r="E39" s="9">
        <f>IF(C39="","",LN(C39))</f>
        <v/>
      </c>
    </row>
    <row r="40">
      <c r="A40" s="3" t="n">
        <v>2035</v>
      </c>
      <c r="B40" s="8">
        <f>B39*(1-$B$3)</f>
        <v/>
      </c>
      <c r="C40" s="8">
        <f>VLOOKUP(2035,WEO_Data!A:B,2,0)*1000</f>
        <v/>
      </c>
      <c r="D40" s="9">
        <f>IF(B40="","",LN(B40))</f>
        <v/>
      </c>
      <c r="E40" s="9">
        <f>IF(C40="","",LN(C40))</f>
        <v/>
      </c>
    </row>
    <row r="41">
      <c r="A41" s="3" t="n">
        <v>2036</v>
      </c>
      <c r="B41" s="8">
        <f>B40*(1-$B$3)</f>
        <v/>
      </c>
      <c r="C41" s="8">
        <f>VLOOKUP(2036,WEO_Data!A:B,2,0)*1000</f>
        <v/>
      </c>
      <c r="D41" s="9">
        <f>IF(B41="","",LN(B41))</f>
        <v/>
      </c>
      <c r="E41" s="9">
        <f>IF(C41="","",LN(C41))</f>
        <v/>
      </c>
    </row>
    <row r="42">
      <c r="A42" s="3" t="n">
        <v>2037</v>
      </c>
      <c r="B42" s="8">
        <f>B41*(1-$B$3)</f>
        <v/>
      </c>
      <c r="C42" s="8">
        <f>VLOOKUP(2037,WEO_Data!A:B,2,0)*1000</f>
        <v/>
      </c>
      <c r="D42" s="9">
        <f>IF(B42="","",LN(B42))</f>
        <v/>
      </c>
      <c r="E42" s="9">
        <f>IF(C42="","",LN(C42))</f>
        <v/>
      </c>
    </row>
    <row r="43">
      <c r="A43" s="3" t="n">
        <v>2038</v>
      </c>
      <c r="B43" s="8">
        <f>B42*(1-$B$3)</f>
        <v/>
      </c>
      <c r="C43" s="8">
        <f>VLOOKUP(2038,WEO_Data!A:B,2,0)*1000</f>
        <v/>
      </c>
      <c r="D43" s="9">
        <f>IF(B43="","",LN(B43))</f>
        <v/>
      </c>
      <c r="E43" s="9">
        <f>IF(C43="","",LN(C43))</f>
        <v/>
      </c>
    </row>
    <row r="44">
      <c r="A44" s="3" t="n">
        <v>2039</v>
      </c>
      <c r="B44" s="8">
        <f>B43*(1-$B$3)</f>
        <v/>
      </c>
      <c r="C44" s="8">
        <f>VLOOKUP(2039,WEO_Data!A:B,2,0)*1000</f>
        <v/>
      </c>
      <c r="D44" s="9">
        <f>IF(B44="","",LN(B44))</f>
        <v/>
      </c>
      <c r="E44" s="9">
        <f>IF(C44="","",LN(C44))</f>
        <v/>
      </c>
    </row>
    <row r="45">
      <c r="A45" s="3" t="n">
        <v>2040</v>
      </c>
      <c r="B45" s="8">
        <f>B44*(1-$B$3)</f>
        <v/>
      </c>
      <c r="C45" s="8">
        <f>VLOOKUP(2040,WEO_Data!A:B,2,0)*1000</f>
        <v/>
      </c>
      <c r="D45" s="9">
        <f>IF(B45="","",LN(B45))</f>
        <v/>
      </c>
      <c r="E45" s="9">
        <f>IF(C45="","",LN(C45))</f>
        <v/>
      </c>
    </row>
    <row r="46">
      <c r="A46" s="3" t="n">
        <v>2041</v>
      </c>
      <c r="B46" s="8">
        <f>B45*(1-$B$3)</f>
        <v/>
      </c>
      <c r="C46" s="8">
        <f>VLOOKUP(2041,WEO_Data!A:B,2,0)*1000</f>
        <v/>
      </c>
      <c r="D46" s="9">
        <f>IF(B46="","",LN(B46))</f>
        <v/>
      </c>
      <c r="E46" s="9">
        <f>IF(C46="","",LN(C46))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20" customWidth="1" min="5" max="5"/>
  </cols>
  <sheetData>
    <row r="1">
      <c r="A1" s="1" t="inlineStr">
        <is>
          <t>Hodrick-Prescott Filter for LnZ (Total Factor Productivity)</t>
        </is>
      </c>
    </row>
    <row r="2">
      <c r="A2" s="10" t="inlineStr">
        <is>
          <t>Note: Use Excel Solver to minimize Q6 by changing C6:C33 (Adjusted LnZ_HP)</t>
        </is>
      </c>
    </row>
    <row r="4">
      <c r="A4" s="11" t="inlineStr">
        <is>
          <t>Lambda (λ):</t>
        </is>
      </c>
      <c r="B4" s="3">
        <f>1600</f>
        <v/>
      </c>
    </row>
    <row r="6">
      <c r="A6" s="2" t="n">
        <v>2000</v>
      </c>
      <c r="B6" s="7">
        <f>IF(Production!E5="","",Production!E5-0.3*Production!D5)</f>
        <v/>
      </c>
      <c r="C6" s="7">
        <f>B6</f>
        <v/>
      </c>
      <c r="D6" s="7">
        <f>0</f>
        <v/>
      </c>
      <c r="E6" s="7">
        <f>(C6-B6)^2</f>
        <v/>
      </c>
      <c r="P6" s="12" t="inlineStr">
        <is>
          <t>Objective:</t>
        </is>
      </c>
      <c r="Q6" s="13">
        <f>SUM(E7:E34) + $B$4*SUMPRODUCT(D8:D33,D8:D33)</f>
        <v/>
      </c>
    </row>
    <row r="7">
      <c r="A7" s="3" t="n">
        <v>2001</v>
      </c>
      <c r="B7" s="9">
        <f>IF(Production!E6="","",Production!E6-0.3*Production!D6)</f>
        <v/>
      </c>
      <c r="C7" s="9">
        <f>B7</f>
        <v/>
      </c>
      <c r="D7" s="9">
        <f>0</f>
        <v/>
      </c>
      <c r="E7" s="9">
        <f>(C7-B7)^2</f>
        <v/>
      </c>
    </row>
    <row r="8">
      <c r="A8" s="3" t="n">
        <v>2002</v>
      </c>
      <c r="B8" s="9">
        <f>IF(Production!E7="","",Production!E7-0.3*Production!D7)</f>
        <v/>
      </c>
      <c r="C8" s="9">
        <f>B8</f>
        <v/>
      </c>
      <c r="D8" s="9">
        <f>C7-2*C8+C9</f>
        <v/>
      </c>
      <c r="E8" s="9">
        <f>(C8-B8)^2</f>
        <v/>
      </c>
    </row>
    <row r="9">
      <c r="A9" s="3" t="n">
        <v>2003</v>
      </c>
      <c r="B9" s="9">
        <f>IF(Production!E8="","",Production!E8-0.3*Production!D8)</f>
        <v/>
      </c>
      <c r="C9" s="9">
        <f>B9</f>
        <v/>
      </c>
      <c r="D9" s="9">
        <f>C8-2*C9+C10</f>
        <v/>
      </c>
      <c r="E9" s="9">
        <f>(C9-B9)^2</f>
        <v/>
      </c>
    </row>
    <row r="10">
      <c r="A10" s="3" t="n">
        <v>2004</v>
      </c>
      <c r="B10" s="9">
        <f>IF(Production!E9="","",Production!E9-0.3*Production!D9)</f>
        <v/>
      </c>
      <c r="C10" s="9">
        <f>B10</f>
        <v/>
      </c>
      <c r="D10" s="9">
        <f>C9-2*C10+C11</f>
        <v/>
      </c>
      <c r="E10" s="9">
        <f>(C10-B10)^2</f>
        <v/>
      </c>
    </row>
    <row r="11">
      <c r="A11" s="3" t="n">
        <v>2005</v>
      </c>
      <c r="B11" s="9">
        <f>IF(Production!E10="","",Production!E10-0.3*Production!D10)</f>
        <v/>
      </c>
      <c r="C11" s="9">
        <f>B11</f>
        <v/>
      </c>
      <c r="D11" s="9">
        <f>C10-2*C11+C12</f>
        <v/>
      </c>
      <c r="E11" s="9">
        <f>(C11-B11)^2</f>
        <v/>
      </c>
    </row>
    <row r="12">
      <c r="A12" s="3" t="n">
        <v>2006</v>
      </c>
      <c r="B12" s="9">
        <f>IF(Production!E11="","",Production!E11-0.3*Production!D11)</f>
        <v/>
      </c>
      <c r="C12" s="9">
        <f>B12</f>
        <v/>
      </c>
      <c r="D12" s="9">
        <f>C11-2*C12+C13</f>
        <v/>
      </c>
      <c r="E12" s="9">
        <f>(C12-B12)^2</f>
        <v/>
      </c>
    </row>
    <row r="13">
      <c r="A13" s="3" t="n">
        <v>2007</v>
      </c>
      <c r="B13" s="9">
        <f>IF(Production!E12="","",Production!E12-0.3*Production!D12)</f>
        <v/>
      </c>
      <c r="C13" s="9">
        <f>B13</f>
        <v/>
      </c>
      <c r="D13" s="9">
        <f>C12-2*C13+C14</f>
        <v/>
      </c>
      <c r="E13" s="9">
        <f>(C13-B13)^2</f>
        <v/>
      </c>
    </row>
    <row r="14">
      <c r="A14" s="3" t="n">
        <v>2008</v>
      </c>
      <c r="B14" s="9">
        <f>IF(Production!E13="","",Production!E13-0.3*Production!D13)</f>
        <v/>
      </c>
      <c r="C14" s="9">
        <f>B14</f>
        <v/>
      </c>
      <c r="D14" s="9">
        <f>C13-2*C14+C15</f>
        <v/>
      </c>
      <c r="E14" s="9">
        <f>(C14-B14)^2</f>
        <v/>
      </c>
    </row>
    <row r="15">
      <c r="A15" s="3" t="n">
        <v>2009</v>
      </c>
      <c r="B15" s="9">
        <f>IF(Production!E14="","",Production!E14-0.3*Production!D14)</f>
        <v/>
      </c>
      <c r="C15" s="9">
        <f>B15</f>
        <v/>
      </c>
      <c r="D15" s="9">
        <f>C14-2*C15+C16</f>
        <v/>
      </c>
      <c r="E15" s="9">
        <f>(C15-B15)^2</f>
        <v/>
      </c>
    </row>
    <row r="16">
      <c r="A16" s="3" t="n">
        <v>2010</v>
      </c>
      <c r="B16" s="9">
        <f>IF(Production!E15="","",Production!E15-0.3*Production!D15)</f>
        <v/>
      </c>
      <c r="C16" s="9">
        <f>B16</f>
        <v/>
      </c>
      <c r="D16" s="9">
        <f>C15-2*C16+C17</f>
        <v/>
      </c>
      <c r="E16" s="9">
        <f>(C16-B16)^2</f>
        <v/>
      </c>
    </row>
    <row r="17">
      <c r="A17" s="3" t="n">
        <v>2011</v>
      </c>
      <c r="B17" s="9">
        <f>IF(Production!E16="","",Production!E16-0.3*Production!D16)</f>
        <v/>
      </c>
      <c r="C17" s="9">
        <f>B17</f>
        <v/>
      </c>
      <c r="D17" s="9">
        <f>C16-2*C17+C18</f>
        <v/>
      </c>
      <c r="E17" s="9">
        <f>(C17-B17)^2</f>
        <v/>
      </c>
    </row>
    <row r="18">
      <c r="A18" s="3" t="n">
        <v>2012</v>
      </c>
      <c r="B18" s="9">
        <f>IF(Production!E17="","",Production!E17-0.3*Production!D17)</f>
        <v/>
      </c>
      <c r="C18" s="9">
        <f>B18</f>
        <v/>
      </c>
      <c r="D18" s="9">
        <f>C17-2*C18+C19</f>
        <v/>
      </c>
      <c r="E18" s="9">
        <f>(C18-B18)^2</f>
        <v/>
      </c>
    </row>
    <row r="19">
      <c r="A19" s="3" t="n">
        <v>2013</v>
      </c>
      <c r="B19" s="9">
        <f>IF(Production!E18="","",Production!E18-0.3*Production!D18)</f>
        <v/>
      </c>
      <c r="C19" s="9">
        <f>B19</f>
        <v/>
      </c>
      <c r="D19" s="9">
        <f>C18-2*C19+C20</f>
        <v/>
      </c>
      <c r="E19" s="9">
        <f>(C19-B19)^2</f>
        <v/>
      </c>
    </row>
    <row r="20">
      <c r="A20" s="3" t="n">
        <v>2014</v>
      </c>
      <c r="B20" s="9">
        <f>IF(Production!E19="","",Production!E19-0.3*Production!D19)</f>
        <v/>
      </c>
      <c r="C20" s="9">
        <f>B20</f>
        <v/>
      </c>
      <c r="D20" s="9">
        <f>C19-2*C20+C21</f>
        <v/>
      </c>
      <c r="E20" s="9">
        <f>(C20-B20)^2</f>
        <v/>
      </c>
    </row>
    <row r="21">
      <c r="A21" s="3" t="n">
        <v>2015</v>
      </c>
      <c r="B21" s="9">
        <f>IF(Production!E20="","",Production!E20-0.3*Production!D20)</f>
        <v/>
      </c>
      <c r="C21" s="9">
        <f>B21</f>
        <v/>
      </c>
      <c r="D21" s="9">
        <f>C20-2*C21+C22</f>
        <v/>
      </c>
      <c r="E21" s="9">
        <f>(C21-B21)^2</f>
        <v/>
      </c>
    </row>
    <row r="22">
      <c r="A22" s="3" t="n">
        <v>2016</v>
      </c>
      <c r="B22" s="9">
        <f>IF(Production!E21="","",Production!E21-0.3*Production!D21)</f>
        <v/>
      </c>
      <c r="C22" s="9">
        <f>B22</f>
        <v/>
      </c>
      <c r="D22" s="9">
        <f>C21-2*C22+C23</f>
        <v/>
      </c>
      <c r="E22" s="9">
        <f>(C22-B22)^2</f>
        <v/>
      </c>
    </row>
    <row r="23">
      <c r="A23" s="3" t="n">
        <v>2017</v>
      </c>
      <c r="B23" s="9">
        <f>IF(Production!E22="","",Production!E22-0.3*Production!D22)</f>
        <v/>
      </c>
      <c r="C23" s="9">
        <f>B23</f>
        <v/>
      </c>
      <c r="D23" s="9">
        <f>C22-2*C23+C24</f>
        <v/>
      </c>
      <c r="E23" s="9">
        <f>(C23-B23)^2</f>
        <v/>
      </c>
    </row>
    <row r="24">
      <c r="A24" s="3" t="n">
        <v>2018</v>
      </c>
      <c r="B24" s="9">
        <f>IF(Production!E23="","",Production!E23-0.3*Production!D23)</f>
        <v/>
      </c>
      <c r="C24" s="9">
        <f>B24</f>
        <v/>
      </c>
      <c r="D24" s="9">
        <f>C23-2*C24+C25</f>
        <v/>
      </c>
      <c r="E24" s="9">
        <f>(C24-B24)^2</f>
        <v/>
      </c>
    </row>
    <row r="25">
      <c r="A25" s="3" t="n">
        <v>2019</v>
      </c>
      <c r="B25" s="9">
        <f>IF(Production!E24="","",Production!E24-0.3*Production!D24)</f>
        <v/>
      </c>
      <c r="C25" s="9">
        <f>B25</f>
        <v/>
      </c>
      <c r="D25" s="9">
        <f>C24-2*C25+C26</f>
        <v/>
      </c>
      <c r="E25" s="9">
        <f>(C25-B25)^2</f>
        <v/>
      </c>
    </row>
    <row r="26">
      <c r="A26" s="3" t="n">
        <v>2020</v>
      </c>
      <c r="B26" s="9">
        <f>IF(Production!E25="","",Production!E25-0.3*Production!D25)</f>
        <v/>
      </c>
      <c r="C26" s="9">
        <f>B26</f>
        <v/>
      </c>
      <c r="D26" s="9">
        <f>C25-2*C26+C27</f>
        <v/>
      </c>
      <c r="E26" s="9">
        <f>(C26-B26)^2</f>
        <v/>
      </c>
    </row>
    <row r="27">
      <c r="A27" s="3" t="n">
        <v>2021</v>
      </c>
      <c r="B27" s="9">
        <f>IF(Production!E26="","",Production!E26-0.3*Production!D26)</f>
        <v/>
      </c>
      <c r="C27" s="9">
        <f>B27</f>
        <v/>
      </c>
      <c r="D27" s="9">
        <f>C26-2*C27+C28</f>
        <v/>
      </c>
      <c r="E27" s="9">
        <f>(C27-B27)^2</f>
        <v/>
      </c>
    </row>
    <row r="28">
      <c r="A28" s="3" t="n">
        <v>2022</v>
      </c>
      <c r="B28" s="9">
        <f>IF(Production!E27="","",Production!E27-0.3*Production!D27)</f>
        <v/>
      </c>
      <c r="C28" s="9">
        <f>B28</f>
        <v/>
      </c>
      <c r="D28" s="9">
        <f>C27-2*C28+C29</f>
        <v/>
      </c>
      <c r="E28" s="9">
        <f>(C28-B28)^2</f>
        <v/>
      </c>
    </row>
    <row r="29">
      <c r="A29" s="3" t="n">
        <v>2023</v>
      </c>
      <c r="B29" s="9">
        <f>IF(Production!E28="","",Production!E28-0.3*Production!D28)</f>
        <v/>
      </c>
      <c r="C29" s="9">
        <f>B29</f>
        <v/>
      </c>
      <c r="D29" s="9">
        <f>C28-2*C29+C30</f>
        <v/>
      </c>
      <c r="E29" s="9">
        <f>(C29-B29)^2</f>
        <v/>
      </c>
    </row>
    <row r="30">
      <c r="A30" s="3" t="n">
        <v>2024</v>
      </c>
      <c r="B30" s="9">
        <f>IF(Production!E29="","",Production!E29-0.3*Production!D29)</f>
        <v/>
      </c>
      <c r="C30" s="9">
        <f>B30</f>
        <v/>
      </c>
      <c r="D30" s="9">
        <f>C29-2*C30+C31</f>
        <v/>
      </c>
      <c r="E30" s="9">
        <f>(C30-B30)^2</f>
        <v/>
      </c>
    </row>
    <row r="31">
      <c r="A31" s="3" t="n">
        <v>2025</v>
      </c>
      <c r="B31" s="9">
        <f>IF(Production!E30="","",Production!E30-0.3*Production!D30)</f>
        <v/>
      </c>
      <c r="C31" s="9">
        <f>B31</f>
        <v/>
      </c>
      <c r="D31" s="9">
        <f>C30-2*C31+C32</f>
        <v/>
      </c>
      <c r="E31" s="9">
        <f>(C31-B31)^2</f>
        <v/>
      </c>
    </row>
    <row r="32">
      <c r="A32" s="3" t="n">
        <v>2026</v>
      </c>
      <c r="B32" s="9">
        <f>IF(Production!E31="","",Production!E31-0.3*Production!D31)</f>
        <v/>
      </c>
      <c r="C32" s="9">
        <f>B32</f>
        <v/>
      </c>
      <c r="D32" s="9">
        <f>C31-2*C32+C33</f>
        <v/>
      </c>
      <c r="E32" s="9">
        <f>(C32-B32)^2</f>
        <v/>
      </c>
    </row>
    <row r="33">
      <c r="A33" s="3" t="n">
        <v>2027</v>
      </c>
      <c r="B33" s="9">
        <f>IF(Production!E32="","",Production!E32-0.3*Production!D32)</f>
        <v/>
      </c>
      <c r="C33" s="9">
        <f>B33</f>
        <v/>
      </c>
      <c r="D33" s="9">
        <f>0</f>
        <v/>
      </c>
      <c r="E33" s="9">
        <f>(C33-B33)^2</f>
        <v/>
      </c>
    </row>
    <row r="36">
      <c r="A36" s="11" t="inlineStr">
        <is>
          <t>Extend LnZ_HP to 2041 using trend:</t>
        </is>
      </c>
    </row>
    <row r="37">
      <c r="A37" s="2" t="n">
        <v>2028</v>
      </c>
      <c r="B37" s="7">
        <f>TREND(C7:C34,A7:A34,A37)</f>
        <v/>
      </c>
    </row>
    <row r="38">
      <c r="A38" s="3" t="n">
        <v>2029</v>
      </c>
      <c r="B38" s="9">
        <f>TREND(C7:C34,A7:A34,A38)</f>
        <v/>
      </c>
    </row>
    <row r="39">
      <c r="A39" s="3" t="n">
        <v>2030</v>
      </c>
      <c r="B39" s="9">
        <f>TREND(C7:C34,A7:A34,A39)</f>
        <v/>
      </c>
    </row>
    <row r="40">
      <c r="A40" s="3" t="n">
        <v>2031</v>
      </c>
      <c r="B40" s="9">
        <f>TREND(C7:C34,A7:A34,A40)</f>
        <v/>
      </c>
    </row>
    <row r="41">
      <c r="A41" s="3" t="n">
        <v>2032</v>
      </c>
      <c r="B41" s="9">
        <f>TREND(C7:C34,A7:A34,A41)</f>
        <v/>
      </c>
    </row>
    <row r="42">
      <c r="A42" s="3" t="n">
        <v>2033</v>
      </c>
      <c r="B42" s="9">
        <f>TREND(C7:C34,A7:A34,A42)</f>
        <v/>
      </c>
    </row>
    <row r="43">
      <c r="A43" s="3" t="n">
        <v>2034</v>
      </c>
      <c r="B43" s="9">
        <f>TREND(C7:C34,A7:A34,A43)</f>
        <v/>
      </c>
    </row>
    <row r="44">
      <c r="A44" s="3" t="n">
        <v>2035</v>
      </c>
      <c r="B44" s="9">
        <f>TREND(C7:C34,A7:A34,A44)</f>
        <v/>
      </c>
    </row>
    <row r="45">
      <c r="A45" s="3" t="n">
        <v>2036</v>
      </c>
      <c r="B45" s="9">
        <f>TREND(C7:C34,A7:A34,A45)</f>
        <v/>
      </c>
    </row>
    <row r="46">
      <c r="A46" s="3" t="n">
        <v>2037</v>
      </c>
      <c r="B46" s="9">
        <f>TREND(C7:C34,A7:A34,A46)</f>
        <v/>
      </c>
    </row>
    <row r="47">
      <c r="A47" s="3" t="n">
        <v>2038</v>
      </c>
      <c r="B47" s="9">
        <f>TREND(C7:C34,A7:A34,A47)</f>
        <v/>
      </c>
    </row>
    <row r="48">
      <c r="A48" s="3" t="n">
        <v>2039</v>
      </c>
      <c r="B48" s="9">
        <f>TREND(C7:C34,A7:A34,A48)</f>
        <v/>
      </c>
    </row>
    <row r="49">
      <c r="A49" s="3" t="n">
        <v>2040</v>
      </c>
      <c r="B49" s="9">
        <f>TREND(C7:C34,A7:A34,A49)</f>
        <v/>
      </c>
    </row>
    <row r="50">
      <c r="A50" s="3" t="n">
        <v>2041</v>
      </c>
      <c r="B50" s="9">
        <f>TREND(C7:C34,A7:A34,A50)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Investment Shock Scenario Analysis</t>
        </is>
      </c>
    </row>
    <row r="3">
      <c r="A3" t="inlineStr">
        <is>
          <t>Investment Parameters:</t>
        </is>
      </c>
    </row>
    <row r="4">
      <c r="A4" t="inlineStr">
        <is>
          <t>Total Investment Amount:</t>
        </is>
      </c>
      <c r="B4" s="14">
        <f>6500</f>
        <v/>
      </c>
    </row>
    <row r="5">
      <c r="A5" t="inlineStr">
        <is>
          <t>Investment Duration (Years):</t>
        </is>
      </c>
      <c r="B5" s="3">
        <f>8</f>
        <v/>
      </c>
    </row>
    <row r="6">
      <c r="A6" t="inlineStr">
        <is>
          <t>Start Year:</t>
        </is>
      </c>
      <c r="B6" s="3">
        <f>2026</f>
        <v/>
      </c>
    </row>
    <row r="7">
      <c r="A7" t="inlineStr">
        <is>
          <t>Annual Investment:</t>
        </is>
      </c>
      <c r="B7" s="4">
        <f>B4/B5</f>
        <v/>
      </c>
    </row>
    <row r="9">
      <c r="A9" s="2" t="inlineStr">
        <is>
          <t>Year</t>
        </is>
      </c>
      <c r="B9" s="2" t="inlineStr">
        <is>
          <t>Annual Investment</t>
        </is>
      </c>
      <c r="C9" s="2" t="inlineStr">
        <is>
          <t>Depreciation Loss</t>
        </is>
      </c>
      <c r="D9" s="2" t="inlineStr">
        <is>
          <t>K_With Investment</t>
        </is>
      </c>
    </row>
    <row r="10">
      <c r="A10" s="3" t="n">
        <v>2026</v>
      </c>
      <c r="B10" s="15">
        <f>$B$7</f>
        <v/>
      </c>
      <c r="C10" s="15">
        <f>Production!B28*$Production!$B$3</f>
        <v/>
      </c>
      <c r="D10" s="15">
        <f>Production!B28+B10</f>
        <v/>
      </c>
    </row>
    <row r="11">
      <c r="A11" s="3" t="n">
        <v>2027</v>
      </c>
      <c r="B11" s="15">
        <f>$B$7</f>
        <v/>
      </c>
      <c r="C11" s="15">
        <f>D10*$Production!$B$3</f>
        <v/>
      </c>
      <c r="D11" s="15">
        <f>D10*(1-$Production!$B$3)+B11</f>
        <v/>
      </c>
    </row>
    <row r="12">
      <c r="A12" s="3" t="n">
        <v>2028</v>
      </c>
      <c r="B12" s="15">
        <f>$B$7</f>
        <v/>
      </c>
      <c r="C12" s="15">
        <f>D11*$Production!$B$3</f>
        <v/>
      </c>
      <c r="D12" s="15">
        <f>D11*(1-$Production!$B$3)+B12</f>
        <v/>
      </c>
    </row>
    <row r="13">
      <c r="A13" s="3" t="n">
        <v>2029</v>
      </c>
      <c r="B13" s="15">
        <f>$B$7</f>
        <v/>
      </c>
      <c r="C13" s="15">
        <f>D12*$Production!$B$3</f>
        <v/>
      </c>
      <c r="D13" s="15">
        <f>D12*(1-$Production!$B$3)+B13</f>
        <v/>
      </c>
    </row>
    <row r="14">
      <c r="A14" s="3" t="n">
        <v>2030</v>
      </c>
      <c r="B14" s="15">
        <f>$B$7</f>
        <v/>
      </c>
      <c r="C14" s="15">
        <f>D13*$Production!$B$3</f>
        <v/>
      </c>
      <c r="D14" s="15">
        <f>D13*(1-$Production!$B$3)+B14</f>
        <v/>
      </c>
    </row>
    <row r="15">
      <c r="A15" s="3" t="n">
        <v>2031</v>
      </c>
      <c r="B15" s="15">
        <f>$B$7</f>
        <v/>
      </c>
      <c r="C15" s="15">
        <f>D14*$Production!$B$3</f>
        <v/>
      </c>
      <c r="D15" s="15">
        <f>D14*(1-$Production!$B$3)+B15</f>
        <v/>
      </c>
    </row>
    <row r="16">
      <c r="A16" s="3" t="n">
        <v>2032</v>
      </c>
      <c r="B16" s="15">
        <f>$B$7</f>
        <v/>
      </c>
      <c r="C16" s="15">
        <f>D15*$Production!$B$3</f>
        <v/>
      </c>
      <c r="D16" s="15">
        <f>D15*(1-$Production!$B$3)+B16</f>
        <v/>
      </c>
    </row>
    <row r="17">
      <c r="A17" s="3" t="n">
        <v>2033</v>
      </c>
      <c r="B17" s="15">
        <f>$B$7</f>
        <v/>
      </c>
      <c r="C17" s="15">
        <f>D16*$Production!$B$3</f>
        <v/>
      </c>
      <c r="D17" s="15">
        <f>D16*(1-$Production!$B$3)+B17</f>
        <v/>
      </c>
    </row>
    <row r="18">
      <c r="A18" s="3" t="n">
        <v>2034</v>
      </c>
      <c r="B18" s="15" t="n">
        <v>0</v>
      </c>
      <c r="C18" s="15">
        <f>D17*$Production!$B$3</f>
        <v/>
      </c>
      <c r="D18" s="15">
        <f>D17*(1-$Production!$B$3)+B18</f>
        <v/>
      </c>
    </row>
    <row r="19">
      <c r="A19" s="3" t="n">
        <v>2035</v>
      </c>
      <c r="B19" s="15" t="n">
        <v>0</v>
      </c>
      <c r="C19" s="15">
        <f>D18*$Production!$B$3</f>
        <v/>
      </c>
      <c r="D19" s="15">
        <f>D18*(1-$Production!$B$3)+B19</f>
        <v/>
      </c>
    </row>
    <row r="20">
      <c r="A20" s="3" t="n">
        <v>2036</v>
      </c>
      <c r="B20" s="15" t="n">
        <v>0</v>
      </c>
      <c r="C20" s="15">
        <f>D19*$Production!$B$3</f>
        <v/>
      </c>
      <c r="D20" s="15">
        <f>D19*(1-$Production!$B$3)+B20</f>
        <v/>
      </c>
    </row>
    <row r="21">
      <c r="A21" s="3" t="n">
        <v>2037</v>
      </c>
      <c r="B21" s="15" t="n">
        <v>0</v>
      </c>
      <c r="C21" s="15">
        <f>D20*$Production!$B$3</f>
        <v/>
      </c>
      <c r="D21" s="15">
        <f>D20*(1-$Production!$B$3)+B21</f>
        <v/>
      </c>
    </row>
    <row r="22">
      <c r="A22" s="3" t="n">
        <v>2038</v>
      </c>
      <c r="B22" s="15" t="n">
        <v>0</v>
      </c>
      <c r="C22" s="15">
        <f>D21*$Production!$B$3</f>
        <v/>
      </c>
      <c r="D22" s="15">
        <f>D21*(1-$Production!$B$3)+B22</f>
        <v/>
      </c>
    </row>
    <row r="23">
      <c r="A23" s="3" t="n">
        <v>2039</v>
      </c>
      <c r="B23" s="15" t="n">
        <v>0</v>
      </c>
      <c r="C23" s="15">
        <f>D22*$Production!$B$3</f>
        <v/>
      </c>
      <c r="D23" s="15">
        <f>D22*(1-$Production!$B$3)+B23</f>
        <v/>
      </c>
    </row>
    <row r="24">
      <c r="A24" s="3" t="n">
        <v>2040</v>
      </c>
      <c r="B24" s="15" t="n">
        <v>0</v>
      </c>
      <c r="C24" s="15">
        <f>D23*$Production!$B$3</f>
        <v/>
      </c>
      <c r="D24" s="15">
        <f>D23*(1-$Production!$B$3)+B24</f>
        <v/>
      </c>
    </row>
    <row r="25">
      <c r="A25" s="3" t="n">
        <v>2041</v>
      </c>
      <c r="B25" s="15" t="n">
        <v>0</v>
      </c>
      <c r="C25" s="15">
        <f>D24*$Production!$B$3</f>
        <v/>
      </c>
      <c r="D25" s="15">
        <f>D24*(1-$Production!$B$3)+B25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Production Function Results - Investment Shock Impact Analysis</t>
        </is>
      </c>
    </row>
    <row r="3">
      <c r="A3" s="2" t="n">
        <v>2023</v>
      </c>
      <c r="B3" s="16">
        <f>Production!C28</f>
        <v/>
      </c>
      <c r="C3" s="16">
        <f>EXP('HP Filter'!C29+0.3*Production!D28)</f>
        <v/>
      </c>
      <c r="D3" s="16">
        <f>Production!B28</f>
        <v/>
      </c>
      <c r="E3" s="16">
        <f>B3*(D3/Production!B28)^0.3</f>
        <v/>
      </c>
      <c r="F3" s="16">
        <f>EXP('HP Filter'!C29+0.3*LN(D3))</f>
        <v/>
      </c>
      <c r="G3" s="17">
        <f>(E3-B3)/B3</f>
        <v/>
      </c>
      <c r="H3" s="17">
        <f>(F3-C3)/C3</f>
        <v/>
      </c>
    </row>
    <row r="4">
      <c r="A4" s="3" t="n">
        <v>2024</v>
      </c>
      <c r="B4" s="15">
        <f>Production!C29</f>
        <v/>
      </c>
      <c r="C4" s="15">
        <f>EXP('HP Filter'!C30+0.3*Production!D29)</f>
        <v/>
      </c>
      <c r="D4" s="15">
        <f>Production!B29</f>
        <v/>
      </c>
      <c r="E4" s="15">
        <f>B4*(D4/Production!B29)^0.3</f>
        <v/>
      </c>
      <c r="F4" s="15">
        <f>EXP('HP Filter'!C30+0.3*LN(D4))</f>
        <v/>
      </c>
      <c r="G4" s="5">
        <f>(E4-B4)/B4</f>
        <v/>
      </c>
      <c r="H4" s="5">
        <f>(F4-C4)/C4</f>
        <v/>
      </c>
    </row>
    <row r="5">
      <c r="A5" s="3" t="n">
        <v>2025</v>
      </c>
      <c r="B5" s="15">
        <f>Production!C30</f>
        <v/>
      </c>
      <c r="C5" s="15">
        <f>EXP('HP Filter'!C31+0.3*Production!D30)</f>
        <v/>
      </c>
      <c r="D5" s="15">
        <f>Production!B30</f>
        <v/>
      </c>
      <c r="E5" s="15">
        <f>B5*(D5/Production!B30)^0.3</f>
        <v/>
      </c>
      <c r="F5" s="15">
        <f>EXP('HP Filter'!C31+0.3*LN(D5))</f>
        <v/>
      </c>
      <c r="G5" s="5">
        <f>(E5-B5)/B5</f>
        <v/>
      </c>
      <c r="H5" s="5">
        <f>(F5-C5)/C5</f>
        <v/>
      </c>
    </row>
    <row r="6">
      <c r="A6" s="3" t="n">
        <v>2026</v>
      </c>
      <c r="B6" s="15">
        <f>Production!C31</f>
        <v/>
      </c>
      <c r="C6" s="15">
        <f>EXP('HP Filter'!C32+0.3*Production!D31)</f>
        <v/>
      </c>
      <c r="D6" s="15">
        <f>Investment!D10</f>
        <v/>
      </c>
      <c r="E6" s="15">
        <f>B6*(D6/Production!B31)^0.3</f>
        <v/>
      </c>
      <c r="F6" s="15">
        <f>EXP('HP Filter'!C32+0.3*LN(D6))</f>
        <v/>
      </c>
      <c r="G6" s="5">
        <f>(E6-B6)/B6</f>
        <v/>
      </c>
      <c r="H6" s="5">
        <f>(F6-C6)/C6</f>
        <v/>
      </c>
    </row>
    <row r="7">
      <c r="A7" s="3" t="n">
        <v>2027</v>
      </c>
      <c r="B7" s="15">
        <f>Production!C32</f>
        <v/>
      </c>
      <c r="C7" s="15">
        <f>EXP('HP Filter'!C33+0.3*Production!D32)</f>
        <v/>
      </c>
      <c r="D7" s="15">
        <f>Investment!D11</f>
        <v/>
      </c>
      <c r="E7" s="15">
        <f>B7*(D7/Production!B32)^0.3</f>
        <v/>
      </c>
      <c r="F7" s="15">
        <f>EXP('HP Filter'!C33+0.3*LN(D7))</f>
        <v/>
      </c>
      <c r="G7" s="5">
        <f>(E7-B7)/B7</f>
        <v/>
      </c>
      <c r="H7" s="5">
        <f>(F7-C7)/C7</f>
        <v/>
      </c>
    </row>
    <row r="8">
      <c r="A8" s="3" t="n">
        <v>2028</v>
      </c>
      <c r="B8" s="15">
        <f>Production!C33</f>
        <v/>
      </c>
      <c r="C8" s="15">
        <f>EXP('HP Filter'!B37+0.3*Production!D33)</f>
        <v/>
      </c>
      <c r="D8" s="15">
        <f>Investment!D12</f>
        <v/>
      </c>
      <c r="E8" s="15">
        <f>B8*(D8/Production!B33)^0.3</f>
        <v/>
      </c>
      <c r="F8" s="15">
        <f>EXP('HP Filter'!C37+0.3*LN(D8))</f>
        <v/>
      </c>
      <c r="G8" s="5">
        <f>(E8-B8)/B8</f>
        <v/>
      </c>
      <c r="H8" s="5">
        <f>(F8-C8)/C8</f>
        <v/>
      </c>
    </row>
    <row r="9">
      <c r="A9" s="3" t="n">
        <v>2029</v>
      </c>
      <c r="B9" s="15">
        <f>Production!C34</f>
        <v/>
      </c>
      <c r="C9" s="15">
        <f>EXP('HP Filter'!B38+0.3*Production!D34)</f>
        <v/>
      </c>
      <c r="D9" s="15">
        <f>Investment!D13</f>
        <v/>
      </c>
      <c r="E9" s="15">
        <f>B9*(D9/Production!B34)^0.3</f>
        <v/>
      </c>
      <c r="F9" s="15">
        <f>EXP('HP Filter'!C38+0.3*LN(D9))</f>
        <v/>
      </c>
      <c r="G9" s="5">
        <f>(E9-B9)/B9</f>
        <v/>
      </c>
      <c r="H9" s="5">
        <f>(F9-C9)/C9</f>
        <v/>
      </c>
    </row>
    <row r="10">
      <c r="A10" s="3" t="n">
        <v>2030</v>
      </c>
      <c r="B10" s="15">
        <f>Production!C35</f>
        <v/>
      </c>
      <c r="C10" s="15">
        <f>EXP('HP Filter'!B39+0.3*Production!D35)</f>
        <v/>
      </c>
      <c r="D10" s="15">
        <f>Investment!D14</f>
        <v/>
      </c>
      <c r="E10" s="15">
        <f>B10*(D10/Production!B35)^0.3</f>
        <v/>
      </c>
      <c r="F10" s="15">
        <f>EXP('HP Filter'!C39+0.3*LN(D10))</f>
        <v/>
      </c>
      <c r="G10" s="5">
        <f>(E10-B10)/B10</f>
        <v/>
      </c>
      <c r="H10" s="5">
        <f>(F10-C10)/C10</f>
        <v/>
      </c>
    </row>
    <row r="11">
      <c r="A11" s="3" t="n">
        <v>2031</v>
      </c>
      <c r="B11" s="15">
        <f>Production!C36</f>
        <v/>
      </c>
      <c r="C11" s="15">
        <f>EXP('HP Filter'!B40+0.3*Production!D36)</f>
        <v/>
      </c>
      <c r="D11" s="15">
        <f>Investment!D15</f>
        <v/>
      </c>
      <c r="E11" s="15">
        <f>B11*(D11/Production!B36)^0.3</f>
        <v/>
      </c>
      <c r="F11" s="15">
        <f>EXP('HP Filter'!C40+0.3*LN(D11))</f>
        <v/>
      </c>
      <c r="G11" s="5">
        <f>(E11-B11)/B11</f>
        <v/>
      </c>
      <c r="H11" s="5">
        <f>(F11-C11)/C11</f>
        <v/>
      </c>
    </row>
    <row r="12">
      <c r="A12" s="3" t="n">
        <v>2032</v>
      </c>
      <c r="B12" s="15">
        <f>Production!C37</f>
        <v/>
      </c>
      <c r="C12" s="15">
        <f>EXP('HP Filter'!B41+0.3*Production!D37)</f>
        <v/>
      </c>
      <c r="D12" s="15">
        <f>Investment!D16</f>
        <v/>
      </c>
      <c r="E12" s="15">
        <f>B12*(D12/Production!B37)^0.3</f>
        <v/>
      </c>
      <c r="F12" s="15">
        <f>EXP('HP Filter'!C41+0.3*LN(D12))</f>
        <v/>
      </c>
      <c r="G12" s="5">
        <f>(E12-B12)/B12</f>
        <v/>
      </c>
      <c r="H12" s="5">
        <f>(F12-C12)/C12</f>
        <v/>
      </c>
    </row>
    <row r="13">
      <c r="A13" s="3" t="n">
        <v>2033</v>
      </c>
      <c r="B13" s="15">
        <f>Production!C38</f>
        <v/>
      </c>
      <c r="C13" s="15">
        <f>EXP('HP Filter'!B42+0.3*Production!D38)</f>
        <v/>
      </c>
      <c r="D13" s="15">
        <f>Investment!D17</f>
        <v/>
      </c>
      <c r="E13" s="15">
        <f>B13*(D13/Production!B38)^0.3</f>
        <v/>
      </c>
      <c r="F13" s="15">
        <f>EXP('HP Filter'!C42+0.3*LN(D13))</f>
        <v/>
      </c>
      <c r="G13" s="5">
        <f>(E13-B13)/B13</f>
        <v/>
      </c>
      <c r="H13" s="5">
        <f>(F13-C13)/C13</f>
        <v/>
      </c>
    </row>
    <row r="14">
      <c r="A14" s="3" t="n">
        <v>2034</v>
      </c>
      <c r="B14" s="15">
        <f>Production!C39</f>
        <v/>
      </c>
      <c r="C14" s="15">
        <f>EXP('HP Filter'!B43+0.3*Production!D39)</f>
        <v/>
      </c>
      <c r="D14" s="15">
        <f>Investment!D18</f>
        <v/>
      </c>
      <c r="E14" s="15">
        <f>B14*(D14/Production!B39)^0.3</f>
        <v/>
      </c>
      <c r="F14" s="15">
        <f>EXP('HP Filter'!C43+0.3*LN(D14))</f>
        <v/>
      </c>
      <c r="G14" s="5">
        <f>(E14-B14)/B14</f>
        <v/>
      </c>
      <c r="H14" s="5">
        <f>(F14-C14)/C14</f>
        <v/>
      </c>
    </row>
    <row r="15">
      <c r="A15" s="3" t="n">
        <v>2035</v>
      </c>
      <c r="B15" s="15">
        <f>Production!C40</f>
        <v/>
      </c>
      <c r="C15" s="15">
        <f>EXP('HP Filter'!B44+0.3*Production!D40)</f>
        <v/>
      </c>
      <c r="D15" s="15">
        <f>Investment!D19</f>
        <v/>
      </c>
      <c r="E15" s="15">
        <f>B15*(D15/Production!B40)^0.3</f>
        <v/>
      </c>
      <c r="F15" s="15">
        <f>EXP('HP Filter'!C44+0.3*LN(D15))</f>
        <v/>
      </c>
      <c r="G15" s="5">
        <f>(E15-B15)/B15</f>
        <v/>
      </c>
      <c r="H15" s="5">
        <f>(F15-C15)/C15</f>
        <v/>
      </c>
    </row>
    <row r="16">
      <c r="A16" s="3" t="n">
        <v>2036</v>
      </c>
      <c r="B16" s="15">
        <f>Production!C41</f>
        <v/>
      </c>
      <c r="C16" s="15">
        <f>EXP('HP Filter'!B45+0.3*Production!D41)</f>
        <v/>
      </c>
      <c r="D16" s="15">
        <f>Investment!D20</f>
        <v/>
      </c>
      <c r="E16" s="15">
        <f>B16*(D16/Production!B41)^0.3</f>
        <v/>
      </c>
      <c r="F16" s="15">
        <f>EXP('HP Filter'!C45+0.3*LN(D16))</f>
        <v/>
      </c>
      <c r="G16" s="5">
        <f>(E16-B16)/B16</f>
        <v/>
      </c>
      <c r="H16" s="5">
        <f>(F16-C16)/C16</f>
        <v/>
      </c>
    </row>
    <row r="17">
      <c r="A17" s="3" t="n">
        <v>2037</v>
      </c>
      <c r="B17" s="15">
        <f>Production!C42</f>
        <v/>
      </c>
      <c r="C17" s="15">
        <f>EXP('HP Filter'!B46+0.3*Production!D42)</f>
        <v/>
      </c>
      <c r="D17" s="15">
        <f>Investment!D21</f>
        <v/>
      </c>
      <c r="E17" s="15">
        <f>B17*(D17/Production!B42)^0.3</f>
        <v/>
      </c>
      <c r="F17" s="15">
        <f>EXP('HP Filter'!C46+0.3*LN(D17))</f>
        <v/>
      </c>
      <c r="G17" s="5">
        <f>(E17-B17)/B17</f>
        <v/>
      </c>
      <c r="H17" s="5">
        <f>(F17-C17)/C17</f>
        <v/>
      </c>
    </row>
    <row r="18">
      <c r="A18" s="3" t="n">
        <v>2038</v>
      </c>
      <c r="B18" s="15">
        <f>Production!C43</f>
        <v/>
      </c>
      <c r="C18" s="15">
        <f>EXP('HP Filter'!B47+0.3*Production!D43)</f>
        <v/>
      </c>
      <c r="D18" s="15">
        <f>Investment!D22</f>
        <v/>
      </c>
      <c r="E18" s="15">
        <f>B18*(D18/Production!B43)^0.3</f>
        <v/>
      </c>
      <c r="F18" s="15">
        <f>EXP('HP Filter'!C47+0.3*LN(D18))</f>
        <v/>
      </c>
      <c r="G18" s="5">
        <f>(E18-B18)/B18</f>
        <v/>
      </c>
      <c r="H18" s="5">
        <f>(F18-C18)/C18</f>
        <v/>
      </c>
    </row>
    <row r="19">
      <c r="A19" s="3" t="n">
        <v>2039</v>
      </c>
      <c r="B19" s="15">
        <f>Production!C44</f>
        <v/>
      </c>
      <c r="C19" s="15">
        <f>EXP('HP Filter'!B48+0.3*Production!D44)</f>
        <v/>
      </c>
      <c r="D19" s="15">
        <f>Investment!D23</f>
        <v/>
      </c>
      <c r="E19" s="15">
        <f>B19*(D19/Production!B44)^0.3</f>
        <v/>
      </c>
      <c r="F19" s="15">
        <f>EXP('HP Filter'!C48+0.3*LN(D19))</f>
        <v/>
      </c>
      <c r="G19" s="5">
        <f>(E19-B19)/B19</f>
        <v/>
      </c>
      <c r="H19" s="5">
        <f>(F19-C19)/C19</f>
        <v/>
      </c>
    </row>
    <row r="20">
      <c r="A20" s="3" t="n">
        <v>2040</v>
      </c>
      <c r="B20" s="15">
        <f>Production!C45</f>
        <v/>
      </c>
      <c r="C20" s="15">
        <f>EXP('HP Filter'!B49+0.3*Production!D45)</f>
        <v/>
      </c>
      <c r="D20" s="15">
        <f>Investment!D24</f>
        <v/>
      </c>
      <c r="E20" s="15">
        <f>B20*(D20/Production!B45)^0.3</f>
        <v/>
      </c>
      <c r="F20" s="15">
        <f>EXP('HP Filter'!C49+0.3*LN(D20))</f>
        <v/>
      </c>
      <c r="G20" s="5">
        <f>(E20-B20)/B20</f>
        <v/>
      </c>
      <c r="H20" s="5">
        <f>(F20-C20)/C20</f>
        <v/>
      </c>
    </row>
    <row r="21">
      <c r="A21" s="3" t="n">
        <v>2041</v>
      </c>
      <c r="B21" s="15">
        <f>Production!C46</f>
        <v/>
      </c>
      <c r="C21" s="15">
        <f>EXP('HP Filter'!B50+0.3*Production!D46)</f>
        <v/>
      </c>
      <c r="D21" s="15">
        <f>Investment!D25</f>
        <v/>
      </c>
      <c r="E21" s="15">
        <f>B21*(D21/Production!B46)^0.3</f>
        <v/>
      </c>
      <c r="F21" s="15">
        <f>EXP('HP Filter'!C50+0.3*LN(D21))</f>
        <v/>
      </c>
      <c r="G21" s="5">
        <f>(E21-B21)/B21</f>
        <v/>
      </c>
      <c r="H21" s="5">
        <f>(F21-C21)/C21</f>
        <v/>
      </c>
    </row>
    <row r="24">
      <c r="A24" s="18" t="inlineStr">
        <is>
          <t>Summary Statistics</t>
        </is>
      </c>
    </row>
    <row r="25">
      <c r="A25" s="3" t="inlineStr">
        <is>
          <t>Average Impact on Y (2026-2033) (%):</t>
        </is>
      </c>
      <c r="B25" s="5">
        <f>AVERAGE(G6:G13)</f>
        <v/>
      </c>
    </row>
    <row r="26">
      <c r="A26" s="3" t="inlineStr">
        <is>
          <t>Cumulative GDP Impact by 2033:</t>
        </is>
      </c>
      <c r="B26" s="15">
        <f>(E13-B13)</f>
        <v/>
      </c>
    </row>
    <row r="27">
      <c r="A27" s="3" t="inlineStr">
        <is>
          <t>Total Capital Stock Increase by 2033:</t>
        </is>
      </c>
      <c r="B27" s="15">
        <f>(D13-Production!B28)</f>
        <v/>
      </c>
    </row>
    <row r="28">
      <c r="A28" s="3" t="inlineStr">
        <is>
          <t>Impact on Potential Output (Y*) (%):</t>
        </is>
      </c>
      <c r="B28" s="5">
        <f>AVERAGE(H6:H13)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2026-01-29T05:10:38Z</dcterms:created>
  <dcterms:modified xsi:type="dcterms:W3CDTF">2026-01-29T05:10:38Z</dcterms:modified>
</cp:coreProperties>
</file>