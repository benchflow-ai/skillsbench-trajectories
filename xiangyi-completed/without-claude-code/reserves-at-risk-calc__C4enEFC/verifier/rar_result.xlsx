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>
        <f>NORM.S.INV(0.95)</f>
        <v/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STDEV.S('Gold price'!C3:C6)*SQRT(12)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Value!D18</f>
        <v/>
      </c>
      <c r="D12" s="2">
        <f>Value!F18</f>
        <v/>
      </c>
      <c r="E12" s="3">
        <f>Value!J18</f>
        <v/>
      </c>
      <c r="F12" s="3">
        <f>Value!L18</f>
        <v/>
      </c>
      <c r="G12" s="3">
        <f>Value!M18</f>
        <v/>
      </c>
      <c r="H12" s="3">
        <f>Value!N18</f>
        <v/>
      </c>
      <c r="I12" s="3">
        <f>Value!O18</f>
        <v/>
      </c>
      <c r="J12" s="7">
        <f>Value!Q18</f>
        <v/>
      </c>
      <c r="K12" s="3">
        <f>Volume!H18*AVERAGE('Gold price'!B422:B430)</f>
        <v/>
      </c>
    </row>
    <row r="13">
      <c r="B13" t="inlineStr">
        <is>
          <t>Gold valuation exposure (95% one-sided shock)</t>
        </is>
      </c>
      <c r="C13">
        <f>C12*$C$3*$C$5/100</f>
        <v/>
      </c>
      <c r="D13">
        <f>D12*$C$3*$C$5/100</f>
        <v/>
      </c>
      <c r="E13">
        <f>E12*$C$3*$C$5/100</f>
        <v/>
      </c>
      <c r="F13">
        <f>F12*$C$3*$C$5/100</f>
        <v/>
      </c>
      <c r="G13">
        <f>G12*$C$3*$C$5/100</f>
        <v/>
      </c>
      <c r="H13">
        <f>H12*$C$3*$C$5/100</f>
        <v/>
      </c>
      <c r="I13">
        <f>I12*$C$3*$C$5/100</f>
        <v/>
      </c>
      <c r="J13">
        <f>J12*$C$3*$C$5/100</f>
        <v/>
      </c>
      <c r="K13">
        <f>K12*$C$3*$C$5/100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C12</f>
        <v/>
      </c>
      <c r="D21" s="2">
        <f>D12</f>
        <v/>
      </c>
      <c r="E21" s="3">
        <f>E12</f>
        <v/>
      </c>
      <c r="F21" s="3">
        <f>G12</f>
        <v/>
      </c>
      <c r="G21" s="3">
        <f>H12</f>
        <v/>
      </c>
      <c r="H21" s="7">
        <f>I12</f>
        <v/>
      </c>
      <c r="I21">
        <f>J12</f>
        <v/>
      </c>
    </row>
    <row r="22">
      <c r="B22" t="inlineStr">
        <is>
          <t>Gold valuation exposure (95% one-sided shock)</t>
        </is>
      </c>
      <c r="C22">
        <f>C13</f>
        <v/>
      </c>
      <c r="D22">
        <f>D13</f>
        <v/>
      </c>
      <c r="E22">
        <f>E13</f>
        <v/>
      </c>
      <c r="F22">
        <f>G13</f>
        <v/>
      </c>
      <c r="G22">
        <f>H13</f>
        <v/>
      </c>
      <c r="H22">
        <f>I13</f>
        <v/>
      </c>
      <c r="I22">
        <f>J13</f>
        <v/>
      </c>
    </row>
    <row r="23">
      <c r="B23" t="inlineStr">
        <is>
          <t>Total Reserve</t>
        </is>
      </c>
      <c r="C23">
        <f>XLOOKUP("*"&amp;C20&amp;"*",'Total Reserves'!$C$1:$P$1,'Total Reserves'!$C$18:$P$18,"",,2)</f>
        <v/>
      </c>
      <c r="D23">
        <f>XLOOKUP("*"&amp;D20&amp;"*",'Total Reserves'!$C$1:$P$1,'Total Reserves'!$C$18:$P$18,"",,2)</f>
        <v/>
      </c>
      <c r="E23">
        <f>XLOOKUP("*"&amp;E20&amp;"*",'Total Reserves'!$C$1:$P$1,'Total Reserves'!$C$18:$P$18,"",,2)</f>
        <v/>
      </c>
      <c r="F23">
        <f>XLOOKUP("*"&amp;F20&amp;"*",'Total Reserves'!$C$1:$P$1,'Total Reserves'!$C$18:$P$18,"",,2)</f>
        <v/>
      </c>
      <c r="G23">
        <f>XLOOKUP("*"&amp;G20&amp;"*",'Total Reserves'!$C$1:$P$1,'Total Reserves'!$C$18:$P$18,"",,2)</f>
        <v/>
      </c>
      <c r="H23">
        <f>XLOOKUP("*"&amp;H20&amp;"*",'Total Reserves'!$C$1:$P$1,'Total Reserves'!$C$18:$P$18,"",,2)</f>
        <v/>
      </c>
      <c r="I23">
        <f>XLOOKUP("*"&amp;I20&amp;"*",'Total Reserves'!$C$1:$P$1,'Total Reserves'!$C$18:$P$18,"",,2)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IF(AND(B3&lt;&gt;"",B2&lt;&gt;""),LN(B3/B2)*100,"")</f>
        <v/>
      </c>
    </row>
    <row r="4">
      <c r="A4" s="6" t="inlineStr">
        <is>
          <t>1990M3</t>
        </is>
      </c>
      <c r="B4" t="n">
        <v>392.703338623047</v>
      </c>
      <c r="C4">
        <f>IF(AND(B4&lt;&gt;"",B3&lt;&gt;""),LN(B4/B3)*100,"")</f>
        <v/>
      </c>
    </row>
    <row r="5">
      <c r="A5" s="6" t="inlineStr">
        <is>
          <t>1990M4</t>
        </is>
      </c>
      <c r="B5" t="n">
        <v>374.292114257813</v>
      </c>
      <c r="C5">
        <f>IF(AND(B5&lt;&gt;"",B4&lt;&gt;""),LN(B5/B4)*100,"")</f>
        <v/>
      </c>
      <c r="D5">
        <f>IF(COUNT(C3:C5)=3,STDEV.S(C3:C5),"")</f>
        <v/>
      </c>
    </row>
    <row r="6">
      <c r="A6" s="6" t="inlineStr">
        <is>
          <t>1990M5</t>
        </is>
      </c>
      <c r="B6" t="n">
        <v>369.197631835938</v>
      </c>
      <c r="C6">
        <f>IF(AND(B6&lt;&gt;"",B5&lt;&gt;""),LN(B6/B5)*100,"")</f>
        <v/>
      </c>
      <c r="D6">
        <f>IF(COUNT(C4:C6)=3,STDEV.S(C4:C6),"")</f>
        <v/>
      </c>
    </row>
    <row r="7">
      <c r="A7" s="6" t="inlineStr">
        <is>
          <t>1990M6</t>
        </is>
      </c>
      <c r="B7" t="n">
        <v>352.527618408203</v>
      </c>
      <c r="C7">
        <f>IF(AND(B7&lt;&gt;"",B6&lt;&gt;""),LN(B7/B6)*100,"")</f>
        <v/>
      </c>
      <c r="D7">
        <f>IF(COUNT(C5:C7)=3,STDEV.S(C5:C7),"")</f>
        <v/>
      </c>
    </row>
    <row r="8">
      <c r="A8" s="6" t="inlineStr">
        <is>
          <t>1990M7</t>
        </is>
      </c>
      <c r="B8" t="n">
        <v>362.498565673828</v>
      </c>
      <c r="C8">
        <f>IF(AND(B8&lt;&gt;"",B7&lt;&gt;""),LN(B8/B7)*100,"")</f>
        <v/>
      </c>
      <c r="D8">
        <f>IF(COUNT(C6:C8)=3,STDEV.S(C6:C8),"")</f>
        <v/>
      </c>
    </row>
    <row r="9">
      <c r="A9" s="6" t="inlineStr">
        <is>
          <t>1990M8</t>
        </is>
      </c>
      <c r="B9" t="n">
        <v>394.631805419922</v>
      </c>
      <c r="C9">
        <f>IF(AND(B9&lt;&gt;"",B8&lt;&gt;""),LN(B9/B8)*100,"")</f>
        <v/>
      </c>
      <c r="D9">
        <f>IF(COUNT(C7:C9)=3,STDEV.S(C7:C9),"")</f>
        <v/>
      </c>
    </row>
    <row r="10">
      <c r="A10" s="6" t="inlineStr">
        <is>
          <t>1990M9</t>
        </is>
      </c>
      <c r="B10" t="n">
        <v>389.755004882813</v>
      </c>
      <c r="C10">
        <f>IF(AND(B10&lt;&gt;"",B9&lt;&gt;""),LN(B10/B9)*100,"")</f>
        <v/>
      </c>
      <c r="D10">
        <f>IF(COUNT(C8:C10)=3,STDEV.S(C8:C10),"")</f>
        <v/>
      </c>
    </row>
    <row r="11">
      <c r="A11" s="6" t="inlineStr">
        <is>
          <t>1990M10</t>
        </is>
      </c>
      <c r="B11" t="n">
        <v>380.995208740234</v>
      </c>
      <c r="C11">
        <f>IF(AND(B11&lt;&gt;"",B10&lt;&gt;""),LN(B11/B10)*100,"")</f>
        <v/>
      </c>
      <c r="D11">
        <f>IF(COUNT(C9:C11)=3,STDEV.S(C9:C11),"")</f>
        <v/>
      </c>
    </row>
    <row r="12">
      <c r="A12" s="6" t="inlineStr">
        <is>
          <t>1990M11</t>
        </is>
      </c>
      <c r="B12" t="n">
        <v>381.794097900391</v>
      </c>
      <c r="C12">
        <f>IF(AND(B12&lt;&gt;"",B11&lt;&gt;""),LN(B12/B11)*100,"")</f>
        <v/>
      </c>
      <c r="D12">
        <f>IF(COUNT(C10:C12)=3,STDEV.S(C10:C12),"")</f>
        <v/>
      </c>
    </row>
    <row r="13">
      <c r="A13" s="6" t="inlineStr">
        <is>
          <t>1990M12</t>
        </is>
      </c>
      <c r="B13" t="n">
        <v>376.682342529297</v>
      </c>
      <c r="C13">
        <f>IF(AND(B13&lt;&gt;"",B12&lt;&gt;""),LN(B13/B12)*100,"")</f>
        <v/>
      </c>
      <c r="D13">
        <f>IF(COUNT(C11:C13)=3,STDEV.S(C11:C13),"")</f>
        <v/>
      </c>
    </row>
    <row r="14">
      <c r="A14" s="6" t="inlineStr">
        <is>
          <t>1991M1</t>
        </is>
      </c>
      <c r="B14" t="n">
        <v>383.702270507813</v>
      </c>
      <c r="C14">
        <f>IF(AND(B14&lt;&gt;"",B13&lt;&gt;""),LN(B14/B13)*100,"")</f>
        <v/>
      </c>
      <c r="D14">
        <f>IF(COUNT(C12:C14)=3,STDEV.S(C12:C14),"")</f>
        <v/>
      </c>
      <c r="E14">
        <f>IF(COUNT(C3:C14)=12,STDEV.S(C3:C14),"")</f>
        <v/>
      </c>
    </row>
    <row r="15">
      <c r="A15" s="6" t="inlineStr">
        <is>
          <t>1991M2</t>
        </is>
      </c>
      <c r="B15" t="n">
        <v>364.391662597656</v>
      </c>
      <c r="C15">
        <f>IF(AND(B15&lt;&gt;"",B14&lt;&gt;""),LN(B15/B14)*100,"")</f>
        <v/>
      </c>
      <c r="D15">
        <f>IF(COUNT(C13:C15)=3,STDEV.S(C13:C15),"")</f>
        <v/>
      </c>
      <c r="E15">
        <f>IF(COUNT(C4:C15)=12,STDEV.S(C4:C15),"")</f>
        <v/>
      </c>
    </row>
    <row r="16">
      <c r="A16" s="6" t="inlineStr">
        <is>
          <t>1991M3</t>
        </is>
      </c>
      <c r="B16" t="n">
        <v>362.760803222656</v>
      </c>
      <c r="C16">
        <f>IF(AND(B16&lt;&gt;"",B15&lt;&gt;""),LN(B16/B15)*100,"")</f>
        <v/>
      </c>
      <c r="D16">
        <f>IF(COUNT(C14:C16)=3,STDEV.S(C14:C16),"")</f>
        <v/>
      </c>
      <c r="E16">
        <f>IF(COUNT(C5:C16)=12,STDEV.S(C5:C16),"")</f>
        <v/>
      </c>
    </row>
    <row r="17">
      <c r="A17" s="6" t="inlineStr">
        <is>
          <t>1991M4</t>
        </is>
      </c>
      <c r="B17" t="n">
        <v>358.323333740234</v>
      </c>
      <c r="C17">
        <f>IF(AND(B17&lt;&gt;"",B16&lt;&gt;""),LN(B17/B16)*100,"")</f>
        <v/>
      </c>
      <c r="D17">
        <f>IF(COUNT(C15:C17)=3,STDEV.S(C15:C17),"")</f>
        <v/>
      </c>
      <c r="E17">
        <f>IF(COUNT(C6:C17)=12,STDEV.S(C6:C17),"")</f>
        <v/>
      </c>
    </row>
    <row r="18">
      <c r="A18" s="6" t="inlineStr">
        <is>
          <t>1991M5</t>
        </is>
      </c>
      <c r="B18" t="n">
        <v>356.964294433594</v>
      </c>
      <c r="C18">
        <f>IF(AND(B18&lt;&gt;"",B17&lt;&gt;""),LN(B18/B17)*100,"")</f>
        <v/>
      </c>
      <c r="D18">
        <f>IF(COUNT(C16:C18)=3,STDEV.S(C16:C18),"")</f>
        <v/>
      </c>
      <c r="E18">
        <f>IF(COUNT(C7:C18)=12,STDEV.S(C7:C18),"")</f>
        <v/>
      </c>
    </row>
    <row r="19">
      <c r="A19" s="6" t="inlineStr">
        <is>
          <t>1991M6</t>
        </is>
      </c>
      <c r="B19" t="n">
        <v>366.910003662109</v>
      </c>
      <c r="C19">
        <f>IF(AND(B19&lt;&gt;"",B18&lt;&gt;""),LN(B19/B18)*100,"")</f>
        <v/>
      </c>
      <c r="D19">
        <f>IF(COUNT(C17:C19)=3,STDEV.S(C17:C19),"")</f>
        <v/>
      </c>
      <c r="E19">
        <f>IF(COUNT(C8:C19)=12,STDEV.S(C8:C19),"")</f>
        <v/>
      </c>
    </row>
    <row r="20">
      <c r="A20" s="6" t="inlineStr">
        <is>
          <t>1991M7</t>
        </is>
      </c>
      <c r="B20" t="n">
        <v>367.792266845703</v>
      </c>
      <c r="C20">
        <f>IF(AND(B20&lt;&gt;"",B19&lt;&gt;""),LN(B20/B19)*100,"")</f>
        <v/>
      </c>
      <c r="D20">
        <f>IF(COUNT(C18:C20)=3,STDEV.S(C18:C20),"")</f>
        <v/>
      </c>
      <c r="E20">
        <f>IF(COUNT(C9:C20)=12,STDEV.S(C9:C20),"")</f>
        <v/>
      </c>
    </row>
    <row r="21">
      <c r="A21" s="6" t="inlineStr">
        <is>
          <t>1991M8</t>
        </is>
      </c>
      <c r="B21" t="n">
        <v>356.669525146484</v>
      </c>
      <c r="C21">
        <f>IF(AND(B21&lt;&gt;"",B20&lt;&gt;""),LN(B21/B20)*100,"")</f>
        <v/>
      </c>
      <c r="D21">
        <f>IF(COUNT(C19:C21)=3,STDEV.S(C19:C21),"")</f>
        <v/>
      </c>
      <c r="E21">
        <f>IF(COUNT(C10:C21)=12,STDEV.S(C10:C21),"")</f>
        <v/>
      </c>
    </row>
    <row r="22">
      <c r="A22" s="6" t="inlineStr">
        <is>
          <t>1991M9</t>
        </is>
      </c>
      <c r="B22" t="n">
        <v>348.742858886719</v>
      </c>
      <c r="C22">
        <f>IF(AND(B22&lt;&gt;"",B21&lt;&gt;""),LN(B22/B21)*100,"")</f>
        <v/>
      </c>
      <c r="D22">
        <f>IF(COUNT(C20:C22)=3,STDEV.S(C20:C22),"")</f>
        <v/>
      </c>
      <c r="E22">
        <f>IF(COUNT(C11:C22)=12,STDEV.S(C11:C22),"")</f>
        <v/>
      </c>
    </row>
    <row r="23">
      <c r="A23" s="6" t="inlineStr">
        <is>
          <t>1991M10</t>
        </is>
      </c>
      <c r="B23" t="n">
        <v>358.814361572266</v>
      </c>
      <c r="C23">
        <f>IF(AND(B23&lt;&gt;"",B22&lt;&gt;""),LN(B23/B22)*100,"")</f>
        <v/>
      </c>
      <c r="D23">
        <f>IF(COUNT(C21:C23)=3,STDEV.S(C21:C23),"")</f>
        <v/>
      </c>
      <c r="E23">
        <f>IF(COUNT(C12:C23)=12,STDEV.S(C12:C23),"")</f>
        <v/>
      </c>
    </row>
    <row r="24">
      <c r="A24" s="6" t="inlineStr">
        <is>
          <t>1991M11</t>
        </is>
      </c>
      <c r="B24" t="n">
        <v>359.589996337891</v>
      </c>
      <c r="C24">
        <f>IF(AND(B24&lt;&gt;"",B23&lt;&gt;""),LN(B24/B23)*100,"")</f>
        <v/>
      </c>
      <c r="D24">
        <f>IF(COUNT(C22:C24)=3,STDEV.S(C22:C24),"")</f>
        <v/>
      </c>
      <c r="E24">
        <f>IF(COUNT(C13:C24)=12,STDEV.S(C13:C24),"")</f>
        <v/>
      </c>
    </row>
    <row r="25">
      <c r="A25" s="6" t="inlineStr">
        <is>
          <t>1991M12</t>
        </is>
      </c>
      <c r="B25" t="n">
        <v>361.532012939453</v>
      </c>
      <c r="C25">
        <f>IF(AND(B25&lt;&gt;"",B24&lt;&gt;""),LN(B25/B24)*100,"")</f>
        <v/>
      </c>
      <c r="D25">
        <f>IF(COUNT(C23:C25)=3,STDEV.S(C23:C25),"")</f>
        <v/>
      </c>
      <c r="E25">
        <f>IF(COUNT(C14:C25)=12,STDEV.S(C14:C25),"")</f>
        <v/>
      </c>
    </row>
    <row r="26">
      <c r="A26" s="6" t="inlineStr">
        <is>
          <t>1992M1</t>
        </is>
      </c>
      <c r="B26" t="n">
        <v>354.700958251953</v>
      </c>
      <c r="C26">
        <f>IF(AND(B26&lt;&gt;"",B25&lt;&gt;""),LN(B26/B25)*100,"")</f>
        <v/>
      </c>
      <c r="D26">
        <f>IF(COUNT(C24:C26)=3,STDEV.S(C24:C26),"")</f>
        <v/>
      </c>
      <c r="E26">
        <f>IF(COUNT(C15:C26)=12,STDEV.S(C15:C26),"")</f>
        <v/>
      </c>
    </row>
    <row r="27">
      <c r="A27" s="6" t="inlineStr">
        <is>
          <t>1992M2</t>
        </is>
      </c>
      <c r="B27" t="n">
        <v>353.779998779297</v>
      </c>
      <c r="C27">
        <f>IF(AND(B27&lt;&gt;"",B26&lt;&gt;""),LN(B27/B26)*100,"")</f>
        <v/>
      </c>
      <c r="D27">
        <f>IF(COUNT(C25:C27)=3,STDEV.S(C25:C27),"")</f>
        <v/>
      </c>
      <c r="E27">
        <f>IF(COUNT(C16:C27)=12,STDEV.S(C16:C27),"")</f>
        <v/>
      </c>
    </row>
    <row r="28">
      <c r="A28" s="6" t="inlineStr">
        <is>
          <t>1992M3</t>
        </is>
      </c>
      <c r="B28" t="n">
        <v>344.183319091797</v>
      </c>
      <c r="C28">
        <f>IF(AND(B28&lt;&gt;"",B27&lt;&gt;""),LN(B28/B27)*100,"")</f>
        <v/>
      </c>
      <c r="D28">
        <f>IF(COUNT(C26:C28)=3,STDEV.S(C26:C28),"")</f>
        <v/>
      </c>
      <c r="E28">
        <f>IF(COUNT(C17:C28)=12,STDEV.S(C17:C28),"")</f>
        <v/>
      </c>
    </row>
    <row r="29">
      <c r="A29" s="6" t="inlineStr">
        <is>
          <t>1992M4</t>
        </is>
      </c>
      <c r="B29" t="n">
        <v>338.691589355469</v>
      </c>
      <c r="C29">
        <f>IF(AND(B29&lt;&gt;"",B28&lt;&gt;""),LN(B29/B28)*100,"")</f>
        <v/>
      </c>
      <c r="D29">
        <f>IF(COUNT(C27:C29)=3,STDEV.S(C27:C29),"")</f>
        <v/>
      </c>
      <c r="E29">
        <f>IF(COUNT(C18:C29)=12,STDEV.S(C18:C29),"")</f>
        <v/>
      </c>
    </row>
    <row r="30">
      <c r="A30" s="6" t="inlineStr">
        <is>
          <t>1992M5</t>
        </is>
      </c>
      <c r="B30" t="n">
        <v>337.098937988281</v>
      </c>
      <c r="C30">
        <f>IF(AND(B30&lt;&gt;"",B29&lt;&gt;""),LN(B30/B29)*100,"")</f>
        <v/>
      </c>
      <c r="D30">
        <f>IF(COUNT(C28:C30)=3,STDEV.S(C28:C30),"")</f>
        <v/>
      </c>
      <c r="E30">
        <f>IF(COUNT(C19:C30)=12,STDEV.S(C19:C30),"")</f>
        <v/>
      </c>
    </row>
    <row r="31">
      <c r="A31" s="6" t="inlineStr">
        <is>
          <t>1992M6</t>
        </is>
      </c>
      <c r="B31" t="n">
        <v>341.021911621094</v>
      </c>
      <c r="C31">
        <f>IF(AND(B31&lt;&gt;"",B30&lt;&gt;""),LN(B31/B30)*100,"")</f>
        <v/>
      </c>
      <c r="D31">
        <f>IF(COUNT(C29:C31)=3,STDEV.S(C29:C31),"")</f>
        <v/>
      </c>
      <c r="E31">
        <f>IF(COUNT(C20:C31)=12,STDEV.S(C20:C31),"")</f>
        <v/>
      </c>
    </row>
    <row r="32">
      <c r="A32" s="6" t="inlineStr">
        <is>
          <t>1992M7</t>
        </is>
      </c>
      <c r="B32" t="n">
        <v>352.254486083984</v>
      </c>
      <c r="C32">
        <f>IF(AND(B32&lt;&gt;"",B31&lt;&gt;""),LN(B32/B31)*100,"")</f>
        <v/>
      </c>
      <c r="D32">
        <f>IF(COUNT(C30:C32)=3,STDEV.S(C30:C32),"")</f>
        <v/>
      </c>
      <c r="E32">
        <f>IF(COUNT(C21:C32)=12,STDEV.S(C21:C32),"")</f>
        <v/>
      </c>
    </row>
    <row r="33">
      <c r="A33" s="6" t="inlineStr">
        <is>
          <t>1992M8</t>
        </is>
      </c>
      <c r="B33" t="n">
        <v>342.892852783203</v>
      </c>
      <c r="C33">
        <f>IF(AND(B33&lt;&gt;"",B32&lt;&gt;""),LN(B33/B32)*100,"")</f>
        <v/>
      </c>
      <c r="D33">
        <f>IF(COUNT(C31:C33)=3,STDEV.S(C31:C33),"")</f>
        <v/>
      </c>
      <c r="E33">
        <f>IF(COUNT(C22:C33)=12,STDEV.S(C22:C33),"")</f>
        <v/>
      </c>
    </row>
    <row r="34">
      <c r="A34" s="6" t="inlineStr">
        <is>
          <t>1992M9</t>
        </is>
      </c>
      <c r="B34" t="n">
        <v>345.006500244141</v>
      </c>
      <c r="C34">
        <f>IF(AND(B34&lt;&gt;"",B33&lt;&gt;""),LN(B34/B33)*100,"")</f>
        <v/>
      </c>
      <c r="D34">
        <f>IF(COUNT(C32:C34)=3,STDEV.S(C32:C34),"")</f>
        <v/>
      </c>
      <c r="E34">
        <f>IF(COUNT(C23:C34)=12,STDEV.S(C23:C34),"")</f>
        <v/>
      </c>
    </row>
    <row r="35">
      <c r="A35" s="6" t="inlineStr">
        <is>
          <t>1992M10</t>
        </is>
      </c>
      <c r="B35" t="n">
        <v>344.892395019531</v>
      </c>
      <c r="C35">
        <f>IF(AND(B35&lt;&gt;"",B34&lt;&gt;""),LN(B35/B34)*100,"")</f>
        <v/>
      </c>
      <c r="D35">
        <f>IF(COUNT(C33:C35)=3,STDEV.S(C33:C35),"")</f>
        <v/>
      </c>
      <c r="E35">
        <f>IF(COUNT(C24:C35)=12,STDEV.S(C24:C35),"")</f>
        <v/>
      </c>
    </row>
    <row r="36">
      <c r="A36" s="6" t="inlineStr">
        <is>
          <t>1992M11</t>
        </is>
      </c>
      <c r="B36" t="n">
        <v>335.050537109375</v>
      </c>
      <c r="C36">
        <f>IF(AND(B36&lt;&gt;"",B35&lt;&gt;""),LN(B36/B35)*100,"")</f>
        <v/>
      </c>
      <c r="D36">
        <f>IF(COUNT(C34:C36)=3,STDEV.S(C34:C36),"")</f>
        <v/>
      </c>
      <c r="E36">
        <f>IF(COUNT(C25:C36)=12,STDEV.S(C25:C36),"")</f>
        <v/>
      </c>
    </row>
    <row r="37">
      <c r="A37" s="6" t="inlineStr">
        <is>
          <t>1992M12</t>
        </is>
      </c>
      <c r="B37" t="n">
        <v>334.80712890625</v>
      </c>
      <c r="C37">
        <f>IF(AND(B37&lt;&gt;"",B36&lt;&gt;""),LN(B37/B36)*100,"")</f>
        <v/>
      </c>
      <c r="D37">
        <f>IF(COUNT(C35:C37)=3,STDEV.S(C35:C37),"")</f>
        <v/>
      </c>
      <c r="E37">
        <f>IF(COUNT(C26:C37)=12,STDEV.S(C26:C37),"")</f>
        <v/>
      </c>
    </row>
    <row r="38">
      <c r="A38" s="6" t="inlineStr">
        <is>
          <t>1993M1</t>
        </is>
      </c>
      <c r="B38" t="n">
        <v>329.030548095703</v>
      </c>
      <c r="C38">
        <f>IF(AND(B38&lt;&gt;"",B37&lt;&gt;""),LN(B38/B37)*100,"")</f>
        <v/>
      </c>
      <c r="D38">
        <f>IF(COUNT(C36:C38)=3,STDEV.S(C36:C38),"")</f>
        <v/>
      </c>
      <c r="E38">
        <f>IF(COUNT(C27:C38)=12,STDEV.S(C27:C38),"")</f>
        <v/>
      </c>
    </row>
    <row r="39">
      <c r="A39" s="6" t="inlineStr">
        <is>
          <t>1993M2</t>
        </is>
      </c>
      <c r="B39" t="n">
        <v>329.299987792969</v>
      </c>
      <c r="C39">
        <f>IF(AND(B39&lt;&gt;"",B38&lt;&gt;""),LN(B39/B38)*100,"")</f>
        <v/>
      </c>
      <c r="D39">
        <f>IF(COUNT(C37:C39)=3,STDEV.S(C37:C39),"")</f>
        <v/>
      </c>
      <c r="E39">
        <f>IF(COUNT(C28:C39)=12,STDEV.S(C28:C39),"")</f>
        <v/>
      </c>
    </row>
    <row r="40">
      <c r="A40" s="6" t="inlineStr">
        <is>
          <t>1993M3</t>
        </is>
      </c>
      <c r="B40" t="n">
        <v>330.096954345703</v>
      </c>
      <c r="C40">
        <f>IF(AND(B40&lt;&gt;"",B39&lt;&gt;""),LN(B40/B39)*100,"")</f>
        <v/>
      </c>
      <c r="D40">
        <f>IF(COUNT(C38:C40)=3,STDEV.S(C38:C40),"")</f>
        <v/>
      </c>
      <c r="E40">
        <f>IF(COUNT(C29:C40)=12,STDEV.S(C29:C40),"")</f>
        <v/>
      </c>
    </row>
    <row r="41">
      <c r="A41" s="6" t="inlineStr">
        <is>
          <t>1993M4</t>
        </is>
      </c>
      <c r="B41" t="n">
        <v>342.05712890625</v>
      </c>
      <c r="C41">
        <f>IF(AND(B41&lt;&gt;"",B40&lt;&gt;""),LN(B41/B40)*100,"")</f>
        <v/>
      </c>
      <c r="D41">
        <f>IF(COUNT(C39:C41)=3,STDEV.S(C39:C41),"")</f>
        <v/>
      </c>
      <c r="E41">
        <f>IF(COUNT(C30:C41)=12,STDEV.S(C30:C41),"")</f>
        <v/>
      </c>
    </row>
    <row r="42">
      <c r="A42" s="6" t="inlineStr">
        <is>
          <t>1993M5</t>
        </is>
      </c>
      <c r="B42" t="n">
        <v>366.667999267578</v>
      </c>
      <c r="C42">
        <f>IF(AND(B42&lt;&gt;"",B41&lt;&gt;""),LN(B42/B41)*100,"")</f>
        <v/>
      </c>
      <c r="D42">
        <f>IF(COUNT(C40:C42)=3,STDEV.S(C40:C42),"")</f>
        <v/>
      </c>
      <c r="E42">
        <f>IF(COUNT(C31:C42)=12,STDEV.S(C31:C42),"")</f>
        <v/>
      </c>
    </row>
    <row r="43">
      <c r="A43" s="6" t="inlineStr">
        <is>
          <t>1993M6</t>
        </is>
      </c>
      <c r="B43" t="n">
        <v>371.809997558594</v>
      </c>
      <c r="C43">
        <f>IF(AND(B43&lt;&gt;"",B42&lt;&gt;""),LN(B43/B42)*100,"")</f>
        <v/>
      </c>
      <c r="D43">
        <f>IF(COUNT(C41:C43)=3,STDEV.S(C41:C43),"")</f>
        <v/>
      </c>
      <c r="E43">
        <f>IF(COUNT(C32:C43)=12,STDEV.S(C32:C43),"")</f>
        <v/>
      </c>
    </row>
    <row r="44">
      <c r="A44" s="6" t="inlineStr">
        <is>
          <t>1993M7</t>
        </is>
      </c>
      <c r="B44" t="n">
        <v>392.399993896484</v>
      </c>
      <c r="C44">
        <f>IF(AND(B44&lt;&gt;"",B43&lt;&gt;""),LN(B44/B43)*100,"")</f>
        <v/>
      </c>
      <c r="D44">
        <f>IF(COUNT(C42:C44)=3,STDEV.S(C42:C44),"")</f>
        <v/>
      </c>
      <c r="E44">
        <f>IF(COUNT(C33:C44)=12,STDEV.S(C33:C44),"")</f>
        <v/>
      </c>
    </row>
    <row r="45">
      <c r="A45" s="6" t="inlineStr">
        <is>
          <t>1993M8</t>
        </is>
      </c>
      <c r="B45" t="n">
        <v>378.700012207031</v>
      </c>
      <c r="C45">
        <f>IF(AND(B45&lt;&gt;"",B44&lt;&gt;""),LN(B45/B44)*100,"")</f>
        <v/>
      </c>
      <c r="D45">
        <f>IF(COUNT(C43:C45)=3,STDEV.S(C43:C45),"")</f>
        <v/>
      </c>
      <c r="E45">
        <f>IF(COUNT(C34:C45)=12,STDEV.S(C34:C45),"")</f>
        <v/>
      </c>
    </row>
    <row r="46">
      <c r="A46" s="6" t="inlineStr">
        <is>
          <t>1993M9</t>
        </is>
      </c>
      <c r="B46" t="n">
        <v>354.399993896484</v>
      </c>
      <c r="C46">
        <f>IF(AND(B46&lt;&gt;"",B45&lt;&gt;""),LN(B46/B45)*100,"")</f>
        <v/>
      </c>
      <c r="D46">
        <f>IF(COUNT(C44:C46)=3,STDEV.S(C44:C46),"")</f>
        <v/>
      </c>
      <c r="E46">
        <f>IF(COUNT(C35:C46)=12,STDEV.S(C35:C46),"")</f>
        <v/>
      </c>
    </row>
    <row r="47">
      <c r="A47" s="6" t="inlineStr">
        <is>
          <t>1993M10</t>
        </is>
      </c>
      <c r="B47" t="n">
        <v>362.380004882813</v>
      </c>
      <c r="C47">
        <f>IF(AND(B47&lt;&gt;"",B46&lt;&gt;""),LN(B47/B46)*100,"")</f>
        <v/>
      </c>
      <c r="D47">
        <f>IF(COUNT(C45:C47)=3,STDEV.S(C45:C47),"")</f>
        <v/>
      </c>
      <c r="E47">
        <f>IF(COUNT(C36:C47)=12,STDEV.S(C36:C47),"")</f>
        <v/>
      </c>
    </row>
    <row r="48">
      <c r="A48" s="6" t="inlineStr">
        <is>
          <t>1993M11</t>
        </is>
      </c>
      <c r="B48" t="n">
        <v>374.167510986328</v>
      </c>
      <c r="C48">
        <f>IF(AND(B48&lt;&gt;"",B47&lt;&gt;""),LN(B48/B47)*100,"")</f>
        <v/>
      </c>
      <c r="D48">
        <f>IF(COUNT(C46:C48)=3,STDEV.S(C46:C48),"")</f>
        <v/>
      </c>
      <c r="E48">
        <f>IF(COUNT(C37:C48)=12,STDEV.S(C37:C48),"")</f>
        <v/>
      </c>
    </row>
    <row r="49">
      <c r="A49" s="6" t="inlineStr">
        <is>
          <t>1993M12</t>
        </is>
      </c>
      <c r="B49" t="n">
        <v>383.302001953125</v>
      </c>
      <c r="C49">
        <f>IF(AND(B49&lt;&gt;"",B48&lt;&gt;""),LN(B49/B48)*100,"")</f>
        <v/>
      </c>
      <c r="D49">
        <f>IF(COUNT(C47:C49)=3,STDEV.S(C47:C49),"")</f>
        <v/>
      </c>
      <c r="E49">
        <f>IF(COUNT(C38:C49)=12,STDEV.S(C38:C49),"")</f>
        <v/>
      </c>
    </row>
    <row r="50">
      <c r="A50" s="6" t="inlineStr">
        <is>
          <t>1994M1</t>
        </is>
      </c>
      <c r="B50" t="n">
        <v>387.077514648438</v>
      </c>
      <c r="C50">
        <f>IF(AND(B50&lt;&gt;"",B49&lt;&gt;""),LN(B50/B49)*100,"")</f>
        <v/>
      </c>
      <c r="D50">
        <f>IF(COUNT(C48:C50)=3,STDEV.S(C48:C50),"")</f>
        <v/>
      </c>
      <c r="E50">
        <f>IF(COUNT(C39:C50)=12,STDEV.S(C39:C50),"")</f>
        <v/>
      </c>
    </row>
    <row r="51">
      <c r="A51" s="6" t="inlineStr">
        <is>
          <t>1994M2</t>
        </is>
      </c>
      <c r="B51" t="n">
        <v>382.304992675781</v>
      </c>
      <c r="C51">
        <f>IF(AND(B51&lt;&gt;"",B50&lt;&gt;""),LN(B51/B50)*100,"")</f>
        <v/>
      </c>
      <c r="D51">
        <f>IF(COUNT(C49:C51)=3,STDEV.S(C49:C51),"")</f>
        <v/>
      </c>
      <c r="E51">
        <f>IF(COUNT(C40:C51)=12,STDEV.S(C40:C51),"")</f>
        <v/>
      </c>
    </row>
    <row r="52">
      <c r="A52" s="6" t="inlineStr">
        <is>
          <t>1994M3</t>
        </is>
      </c>
      <c r="B52" t="n">
        <v>383.877502441406</v>
      </c>
      <c r="C52">
        <f>IF(AND(B52&lt;&gt;"",B51&lt;&gt;""),LN(B52/B51)*100,"")</f>
        <v/>
      </c>
      <c r="D52">
        <f>IF(COUNT(C50:C52)=3,STDEV.S(C50:C52),"")</f>
        <v/>
      </c>
      <c r="E52">
        <f>IF(COUNT(C41:C52)=12,STDEV.S(C41:C52),"")</f>
        <v/>
      </c>
    </row>
    <row r="53">
      <c r="A53" s="6" t="inlineStr">
        <is>
          <t>1994M4</t>
        </is>
      </c>
      <c r="B53" t="n">
        <v>377.321044921875</v>
      </c>
      <c r="C53">
        <f>IF(AND(B53&lt;&gt;"",B52&lt;&gt;""),LN(B53/B52)*100,"")</f>
        <v/>
      </c>
      <c r="D53">
        <f>IF(COUNT(C51:C53)=3,STDEV.S(C51:C53),"")</f>
        <v/>
      </c>
      <c r="E53">
        <f>IF(COUNT(C42:C53)=12,STDEV.S(C42:C53),"")</f>
        <v/>
      </c>
    </row>
    <row r="54">
      <c r="A54" s="6" t="inlineStr">
        <is>
          <t>1994M5</t>
        </is>
      </c>
      <c r="B54" t="n">
        <v>381.589996337891</v>
      </c>
      <c r="C54">
        <f>IF(AND(B54&lt;&gt;"",B53&lt;&gt;""),LN(B54/B53)*100,"")</f>
        <v/>
      </c>
      <c r="D54">
        <f>IF(COUNT(C52:C54)=3,STDEV.S(C52:C54),"")</f>
        <v/>
      </c>
      <c r="E54">
        <f>IF(COUNT(C43:C54)=12,STDEV.S(C43:C54),"")</f>
        <v/>
      </c>
    </row>
    <row r="55">
      <c r="A55" s="6" t="inlineStr">
        <is>
          <t>1994M6</t>
        </is>
      </c>
      <c r="B55" t="n">
        <v>385.743194580078</v>
      </c>
      <c r="C55">
        <f>IF(AND(B55&lt;&gt;"",B54&lt;&gt;""),LN(B55/B54)*100,"")</f>
        <v/>
      </c>
      <c r="D55">
        <f>IF(COUNT(C53:C55)=3,STDEV.S(C53:C55),"")</f>
        <v/>
      </c>
      <c r="E55">
        <f>IF(COUNT(C44:C55)=12,STDEV.S(C44:C55),"")</f>
        <v/>
      </c>
    </row>
    <row r="56">
      <c r="A56" s="6" t="inlineStr">
        <is>
          <t>1994M7</t>
        </is>
      </c>
      <c r="B56" t="n">
        <v>385.399993896484</v>
      </c>
      <c r="C56">
        <f>IF(AND(B56&lt;&gt;"",B55&lt;&gt;""),LN(B56/B55)*100,"")</f>
        <v/>
      </c>
      <c r="D56">
        <f>IF(COUNT(C54:C56)=3,STDEV.S(C54:C56),"")</f>
        <v/>
      </c>
      <c r="E56">
        <f>IF(COUNT(C45:C56)=12,STDEV.S(C45:C56),"")</f>
        <v/>
      </c>
    </row>
    <row r="57">
      <c r="A57" s="6" t="inlineStr">
        <is>
          <t>1994M8</t>
        </is>
      </c>
      <c r="B57" t="n">
        <v>380.761352539063</v>
      </c>
      <c r="C57">
        <f>IF(AND(B57&lt;&gt;"",B56&lt;&gt;""),LN(B57/B56)*100,"")</f>
        <v/>
      </c>
      <c r="D57">
        <f>IF(COUNT(C55:C57)=3,STDEV.S(C55:C57),"")</f>
        <v/>
      </c>
      <c r="E57">
        <f>IF(COUNT(C46:C57)=12,STDEV.S(C46:C57),"")</f>
        <v/>
      </c>
    </row>
    <row r="58">
      <c r="A58" s="6" t="inlineStr">
        <is>
          <t>1994M9</t>
        </is>
      </c>
      <c r="B58" t="n">
        <v>391.928100585938</v>
      </c>
      <c r="C58">
        <f>IF(AND(B58&lt;&gt;"",B57&lt;&gt;""),LN(B58/B57)*100,"")</f>
        <v/>
      </c>
      <c r="D58">
        <f>IF(COUNT(C56:C58)=3,STDEV.S(C56:C58),"")</f>
        <v/>
      </c>
      <c r="E58">
        <f>IF(COUNT(C47:C58)=12,STDEV.S(C47:C58),"")</f>
        <v/>
      </c>
    </row>
    <row r="59">
      <c r="A59" s="6" t="inlineStr">
        <is>
          <t>1994M10</t>
        </is>
      </c>
      <c r="B59" t="n">
        <v>389.594451904297</v>
      </c>
      <c r="C59">
        <f>IF(AND(B59&lt;&gt;"",B58&lt;&gt;""),LN(B59/B58)*100,"")</f>
        <v/>
      </c>
      <c r="D59">
        <f>IF(COUNT(C57:C59)=3,STDEV.S(C57:C59),"")</f>
        <v/>
      </c>
      <c r="E59">
        <f>IF(COUNT(C48:C59)=12,STDEV.S(C48:C59),"")</f>
        <v/>
      </c>
    </row>
    <row r="60">
      <c r="A60" s="6" t="inlineStr">
        <is>
          <t>1994M11</t>
        </is>
      </c>
      <c r="B60" t="n">
        <v>384.441253662109</v>
      </c>
      <c r="C60">
        <f>IF(AND(B60&lt;&gt;"",B59&lt;&gt;""),LN(B60/B59)*100,"")</f>
        <v/>
      </c>
      <c r="D60">
        <f>IF(COUNT(C58:C60)=3,STDEV.S(C58:C60),"")</f>
        <v/>
      </c>
      <c r="E60">
        <f>IF(COUNT(C49:C60)=12,STDEV.S(C49:C60),"")</f>
        <v/>
      </c>
    </row>
    <row r="61">
      <c r="A61" s="6" t="inlineStr">
        <is>
          <t>1994M12</t>
        </is>
      </c>
      <c r="B61" t="n">
        <v>379.399993896484</v>
      </c>
      <c r="C61">
        <f>IF(AND(B61&lt;&gt;"",B60&lt;&gt;""),LN(B61/B60)*100,"")</f>
        <v/>
      </c>
      <c r="D61">
        <f>IF(COUNT(C59:C61)=3,STDEV.S(C59:C61),"")</f>
        <v/>
      </c>
      <c r="E61">
        <f>IF(COUNT(C50:C61)=12,STDEV.S(C50:C61),"")</f>
        <v/>
      </c>
    </row>
    <row r="62">
      <c r="A62" s="6" t="inlineStr">
        <is>
          <t>1995M1</t>
        </is>
      </c>
      <c r="B62" t="n">
        <v>378.549987792969</v>
      </c>
      <c r="C62">
        <f>IF(AND(B62&lt;&gt;"",B61&lt;&gt;""),LN(B62/B61)*100,"")</f>
        <v/>
      </c>
      <c r="D62">
        <f>IF(COUNT(C60:C62)=3,STDEV.S(C60:C62),"")</f>
        <v/>
      </c>
      <c r="E62">
        <f>IF(COUNT(C51:C62)=12,STDEV.S(C51:C62),"")</f>
        <v/>
      </c>
    </row>
    <row r="63">
      <c r="A63" s="6" t="inlineStr">
        <is>
          <t>1995M2</t>
        </is>
      </c>
      <c r="B63" t="n">
        <v>376.505249023438</v>
      </c>
      <c r="C63">
        <f>IF(AND(B63&lt;&gt;"",B62&lt;&gt;""),LN(B63/B62)*100,"")</f>
        <v/>
      </c>
      <c r="D63">
        <f>IF(COUNT(C61:C63)=3,STDEV.S(C61:C63),"")</f>
        <v/>
      </c>
      <c r="E63">
        <f>IF(COUNT(C52:C63)=12,STDEV.S(C52:C63),"")</f>
        <v/>
      </c>
    </row>
    <row r="64">
      <c r="A64" s="6" t="inlineStr">
        <is>
          <t>1995M3</t>
        </is>
      </c>
      <c r="B64" t="n">
        <v>381.661895751953</v>
      </c>
      <c r="C64">
        <f>IF(AND(B64&lt;&gt;"",B63&lt;&gt;""),LN(B64/B63)*100,"")</f>
        <v/>
      </c>
      <c r="D64">
        <f>IF(COUNT(C62:C64)=3,STDEV.S(C62:C64),"")</f>
        <v/>
      </c>
      <c r="E64">
        <f>IF(COUNT(C53:C64)=12,STDEV.S(C53:C64),"")</f>
        <v/>
      </c>
    </row>
    <row r="65">
      <c r="A65" s="6" t="inlineStr">
        <is>
          <t>1995M4</t>
        </is>
      </c>
      <c r="B65" t="n">
        <v>391.04443359375</v>
      </c>
      <c r="C65">
        <f>IF(AND(B65&lt;&gt;"",B64&lt;&gt;""),LN(B65/B64)*100,"")</f>
        <v/>
      </c>
      <c r="D65">
        <f>IF(COUNT(C63:C65)=3,STDEV.S(C63:C65),"")</f>
        <v/>
      </c>
      <c r="E65">
        <f>IF(COUNT(C54:C65)=12,STDEV.S(C54:C65),"")</f>
        <v/>
      </c>
    </row>
    <row r="66">
      <c r="A66" s="6" t="inlineStr">
        <is>
          <t>1995M5</t>
        </is>
      </c>
      <c r="B66" t="n">
        <v>385.219055175781</v>
      </c>
      <c r="C66">
        <f>IF(AND(B66&lt;&gt;"",B65&lt;&gt;""),LN(B66/B65)*100,"")</f>
        <v/>
      </c>
      <c r="D66">
        <f>IF(COUNT(C64:C66)=3,STDEV.S(C64:C66),"")</f>
        <v/>
      </c>
      <c r="E66">
        <f>IF(COUNT(C55:C66)=12,STDEV.S(C55:C66),"")</f>
        <v/>
      </c>
    </row>
    <row r="67">
      <c r="A67" s="6" t="inlineStr">
        <is>
          <t>1995M6</t>
        </is>
      </c>
      <c r="B67" t="n">
        <v>387.490478515625</v>
      </c>
      <c r="C67">
        <f>IF(AND(B67&lt;&gt;"",B66&lt;&gt;""),LN(B67/B66)*100,"")</f>
        <v/>
      </c>
      <c r="D67">
        <f>IF(COUNT(C65:C67)=3,STDEV.S(C65:C67),"")</f>
        <v/>
      </c>
      <c r="E67">
        <f>IF(COUNT(C56:C67)=12,STDEV.S(C56:C67),"")</f>
        <v/>
      </c>
    </row>
    <row r="68">
      <c r="A68" s="6" t="inlineStr">
        <is>
          <t>1995M7</t>
        </is>
      </c>
      <c r="B68" t="n">
        <v>386.240478515625</v>
      </c>
      <c r="C68">
        <f>IF(AND(B68&lt;&gt;"",B67&lt;&gt;""),LN(B68/B67)*100,"")</f>
        <v/>
      </c>
      <c r="D68">
        <f>IF(COUNT(C66:C68)=3,STDEV.S(C66:C68),"")</f>
        <v/>
      </c>
      <c r="E68">
        <f>IF(COUNT(C57:C68)=12,STDEV.S(C57:C68),"")</f>
        <v/>
      </c>
    </row>
    <row r="69">
      <c r="A69" s="6" t="inlineStr">
        <is>
          <t>1995M8</t>
        </is>
      </c>
      <c r="B69" t="n">
        <v>383.697631835938</v>
      </c>
      <c r="C69">
        <f>IF(AND(B69&lt;&gt;"",B68&lt;&gt;""),LN(B69/B68)*100,"")</f>
        <v/>
      </c>
      <c r="D69">
        <f>IF(COUNT(C67:C69)=3,STDEV.S(C67:C69),"")</f>
        <v/>
      </c>
      <c r="E69">
        <f>IF(COUNT(C58:C69)=12,STDEV.S(C58:C69),"")</f>
        <v/>
      </c>
    </row>
    <row r="70">
      <c r="A70" s="6" t="inlineStr">
        <is>
          <t>1995M9</t>
        </is>
      </c>
      <c r="B70" t="n">
        <v>383.217498779297</v>
      </c>
      <c r="C70">
        <f>IF(AND(B70&lt;&gt;"",B69&lt;&gt;""),LN(B70/B69)*100,"")</f>
        <v/>
      </c>
      <c r="D70">
        <f>IF(COUNT(C68:C70)=3,STDEV.S(C68:C70),"")</f>
        <v/>
      </c>
      <c r="E70">
        <f>IF(COUNT(C59:C70)=12,STDEV.S(C59:C70),"")</f>
        <v/>
      </c>
    </row>
    <row r="71">
      <c r="A71" s="6" t="inlineStr">
        <is>
          <t>1995M10</t>
        </is>
      </c>
      <c r="B71" t="n">
        <v>383.069030761719</v>
      </c>
      <c r="C71">
        <f>IF(AND(B71&lt;&gt;"",B70&lt;&gt;""),LN(B71/B70)*100,"")</f>
        <v/>
      </c>
      <c r="D71">
        <f>IF(COUNT(C69:C71)=3,STDEV.S(C69:C71),"")</f>
        <v/>
      </c>
      <c r="E71">
        <f>IF(COUNT(C60:C71)=12,STDEV.S(C60:C71),"")</f>
        <v/>
      </c>
    </row>
    <row r="72">
      <c r="A72" s="6" t="inlineStr">
        <is>
          <t>1995M11</t>
        </is>
      </c>
      <c r="B72" t="n">
        <v>385.676300048828</v>
      </c>
      <c r="C72">
        <f>IF(AND(B72&lt;&gt;"",B71&lt;&gt;""),LN(B72/B71)*100,"")</f>
        <v/>
      </c>
      <c r="D72">
        <f>IF(COUNT(C70:C72)=3,STDEV.S(C70:C72),"")</f>
        <v/>
      </c>
      <c r="E72">
        <f>IF(COUNT(C61:C72)=12,STDEV.S(C61:C72),"")</f>
        <v/>
      </c>
    </row>
    <row r="73">
      <c r="A73" s="6" t="inlineStr">
        <is>
          <t>1995M12</t>
        </is>
      </c>
      <c r="B73" t="n">
        <v>387.557678222656</v>
      </c>
      <c r="C73">
        <f>IF(AND(B73&lt;&gt;"",B72&lt;&gt;""),LN(B73/B72)*100,"")</f>
        <v/>
      </c>
      <c r="D73">
        <f>IF(COUNT(C71:C73)=3,STDEV.S(C71:C73),"")</f>
        <v/>
      </c>
      <c r="E73">
        <f>IF(COUNT(C62:C73)=12,STDEV.S(C62:C73),"")</f>
        <v/>
      </c>
    </row>
    <row r="74">
      <c r="A74" s="6" t="inlineStr">
        <is>
          <t>1996M1</t>
        </is>
      </c>
      <c r="B74" t="n">
        <v>400.070587158203</v>
      </c>
      <c r="C74">
        <f>IF(AND(B74&lt;&gt;"",B73&lt;&gt;""),LN(B74/B73)*100,"")</f>
        <v/>
      </c>
      <c r="D74">
        <f>IF(COUNT(C72:C74)=3,STDEV.S(C72:C74),"")</f>
        <v/>
      </c>
      <c r="E74">
        <f>IF(COUNT(C63:C74)=12,STDEV.S(C63:C74),"")</f>
        <v/>
      </c>
    </row>
    <row r="75">
      <c r="A75" s="6" t="inlineStr">
        <is>
          <t>1996M2</t>
        </is>
      </c>
      <c r="B75" t="n">
        <v>404.484222412109</v>
      </c>
      <c r="C75">
        <f>IF(AND(B75&lt;&gt;"",B74&lt;&gt;""),LN(B75/B74)*100,"")</f>
        <v/>
      </c>
      <c r="D75">
        <f>IF(COUNT(C73:C75)=3,STDEV.S(C73:C75),"")</f>
        <v/>
      </c>
      <c r="E75">
        <f>IF(COUNT(C64:C75)=12,STDEV.S(C64:C75),"")</f>
        <v/>
      </c>
    </row>
    <row r="76">
      <c r="A76" s="6" t="inlineStr">
        <is>
          <t>1996M3</t>
        </is>
      </c>
      <c r="B76" t="n">
        <v>396.326324462891</v>
      </c>
      <c r="C76">
        <f>IF(AND(B76&lt;&gt;"",B75&lt;&gt;""),LN(B76/B75)*100,"")</f>
        <v/>
      </c>
      <c r="D76">
        <f>IF(COUNT(C74:C76)=3,STDEV.S(C74:C76),"")</f>
        <v/>
      </c>
      <c r="E76">
        <f>IF(COUNT(C65:C76)=12,STDEV.S(C65:C76),"")</f>
        <v/>
      </c>
    </row>
    <row r="77">
      <c r="A77" s="6" t="inlineStr">
        <is>
          <t>1996M4</t>
        </is>
      </c>
      <c r="B77" t="n">
        <v>393.144989013672</v>
      </c>
      <c r="C77">
        <f>IF(AND(B77&lt;&gt;"",B76&lt;&gt;""),LN(B77/B76)*100,"")</f>
        <v/>
      </c>
      <c r="D77">
        <f>IF(COUNT(C75:C77)=3,STDEV.S(C75:C77),"")</f>
        <v/>
      </c>
      <c r="E77">
        <f>IF(COUNT(C66:C77)=12,STDEV.S(C66:C77),"")</f>
        <v/>
      </c>
    </row>
    <row r="78">
      <c r="A78" s="6" t="inlineStr">
        <is>
          <t>1996M5</t>
        </is>
      </c>
      <c r="B78" t="n">
        <v>391.94287109375</v>
      </c>
      <c r="C78">
        <f>IF(AND(B78&lt;&gt;"",B77&lt;&gt;""),LN(B78/B77)*100,"")</f>
        <v/>
      </c>
      <c r="D78">
        <f>IF(COUNT(C76:C78)=3,STDEV.S(C76:C78),"")</f>
        <v/>
      </c>
      <c r="E78">
        <f>IF(COUNT(C67:C78)=12,STDEV.S(C67:C78),"")</f>
        <v/>
      </c>
    </row>
    <row r="79">
      <c r="A79" s="6" t="inlineStr">
        <is>
          <t>1996M6</t>
        </is>
      </c>
      <c r="B79" t="n">
        <v>385.272491455078</v>
      </c>
      <c r="C79">
        <f>IF(AND(B79&lt;&gt;"",B78&lt;&gt;""),LN(B79/B78)*100,"")</f>
        <v/>
      </c>
      <c r="D79">
        <f>IF(COUNT(C77:C79)=3,STDEV.S(C77:C79),"")</f>
        <v/>
      </c>
      <c r="E79">
        <f>IF(COUNT(C68:C79)=12,STDEV.S(C68:C79),"")</f>
        <v/>
      </c>
    </row>
    <row r="80">
      <c r="A80" s="6" t="inlineStr">
        <is>
          <t>1996M7</t>
        </is>
      </c>
      <c r="B80" t="n">
        <v>383.586364746094</v>
      </c>
      <c r="C80">
        <f>IF(AND(B80&lt;&gt;"",B79&lt;&gt;""),LN(B80/B79)*100,"")</f>
        <v/>
      </c>
      <c r="D80">
        <f>IF(COUNT(C78:C80)=3,STDEV.S(C78:C80),"")</f>
        <v/>
      </c>
      <c r="E80">
        <f>IF(COUNT(C69:C80)=12,STDEV.S(C69:C80),"")</f>
        <v/>
      </c>
    </row>
    <row r="81">
      <c r="A81" s="6" t="inlineStr">
        <is>
          <t>1996M8</t>
        </is>
      </c>
      <c r="B81" t="n">
        <v>387.471435546875</v>
      </c>
      <c r="C81">
        <f>IF(AND(B81&lt;&gt;"",B80&lt;&gt;""),LN(B81/B80)*100,"")</f>
        <v/>
      </c>
      <c r="D81">
        <f>IF(COUNT(C79:C81)=3,STDEV.S(C79:C81),"")</f>
        <v/>
      </c>
      <c r="E81">
        <f>IF(COUNT(C70:C81)=12,STDEV.S(C70:C81),"")</f>
        <v/>
      </c>
    </row>
    <row r="82">
      <c r="A82" s="6" t="inlineStr">
        <is>
          <t>1996M9</t>
        </is>
      </c>
      <c r="B82" t="n">
        <v>382.964996337891</v>
      </c>
      <c r="C82">
        <f>IF(AND(B82&lt;&gt;"",B81&lt;&gt;""),LN(B82/B81)*100,"")</f>
        <v/>
      </c>
      <c r="D82">
        <f>IF(COUNT(C80:C82)=3,STDEV.S(C80:C82),"")</f>
        <v/>
      </c>
      <c r="E82">
        <f>IF(COUNT(C71:C82)=12,STDEV.S(C71:C82),"")</f>
        <v/>
      </c>
    </row>
    <row r="83">
      <c r="A83" s="6" t="inlineStr">
        <is>
          <t>1996M10</t>
        </is>
      </c>
      <c r="B83" t="n">
        <v>381.072723388672</v>
      </c>
      <c r="C83">
        <f>IF(AND(B83&lt;&gt;"",B82&lt;&gt;""),LN(B83/B82)*100,"")</f>
        <v/>
      </c>
      <c r="D83">
        <f>IF(COUNT(C81:C83)=3,STDEV.S(C81:C83),"")</f>
        <v/>
      </c>
      <c r="E83">
        <f>IF(COUNT(C72:C83)=12,STDEV.S(C72:C83),"")</f>
        <v/>
      </c>
    </row>
    <row r="84">
      <c r="A84" s="6" t="inlineStr">
        <is>
          <t>1996M11</t>
        </is>
      </c>
      <c r="B84" t="n">
        <v>378.516662597656</v>
      </c>
      <c r="C84">
        <f>IF(AND(B84&lt;&gt;"",B83&lt;&gt;""),LN(B84/B83)*100,"")</f>
        <v/>
      </c>
      <c r="D84">
        <f>IF(COUNT(C82:C84)=3,STDEV.S(C82:C84),"")</f>
        <v/>
      </c>
      <c r="E84">
        <f>IF(COUNT(C73:C84)=12,STDEV.S(C73:C84),"")</f>
        <v/>
      </c>
    </row>
    <row r="85">
      <c r="A85" s="6" t="inlineStr">
        <is>
          <t>1996M12</t>
        </is>
      </c>
      <c r="B85" t="n">
        <v>368.977661132813</v>
      </c>
      <c r="C85">
        <f>IF(AND(B85&lt;&gt;"",B84&lt;&gt;""),LN(B85/B84)*100,"")</f>
        <v/>
      </c>
      <c r="D85">
        <f>IF(COUNT(C83:C85)=3,STDEV.S(C83:C85),"")</f>
        <v/>
      </c>
      <c r="E85">
        <f>IF(COUNT(C74:C85)=12,STDEV.S(C74:C85),"")</f>
        <v/>
      </c>
    </row>
    <row r="86">
      <c r="A86" s="6" t="inlineStr">
        <is>
          <t>1997M1</t>
        </is>
      </c>
      <c r="B86" t="n">
        <v>355.200012207031</v>
      </c>
      <c r="C86">
        <f>IF(AND(B86&lt;&gt;"",B85&lt;&gt;""),LN(B86/B85)*100,"")</f>
        <v/>
      </c>
      <c r="D86">
        <f>IF(COUNT(C84:C86)=3,STDEV.S(C84:C86),"")</f>
        <v/>
      </c>
      <c r="E86">
        <f>IF(COUNT(C75:C86)=12,STDEV.S(C75:C86),"")</f>
        <v/>
      </c>
    </row>
    <row r="87">
      <c r="A87" s="6" t="inlineStr">
        <is>
          <t>1997M2</t>
        </is>
      </c>
      <c r="B87" t="n">
        <v>346.713195800781</v>
      </c>
      <c r="C87">
        <f>IF(AND(B87&lt;&gt;"",B86&lt;&gt;""),LN(B87/B86)*100,"")</f>
        <v/>
      </c>
      <c r="D87">
        <f>IF(COUNT(C85:C87)=3,STDEV.S(C85:C87),"")</f>
        <v/>
      </c>
      <c r="E87">
        <f>IF(COUNT(C76:C87)=12,STDEV.S(C76:C87),"")</f>
        <v/>
      </c>
    </row>
    <row r="88">
      <c r="A88" s="6" t="inlineStr">
        <is>
          <t>1997M3</t>
        </is>
      </c>
      <c r="B88" t="n">
        <v>351.805267333984</v>
      </c>
      <c r="C88">
        <f>IF(AND(B88&lt;&gt;"",B87&lt;&gt;""),LN(B88/B87)*100,"")</f>
        <v/>
      </c>
      <c r="D88">
        <f>IF(COUNT(C86:C88)=3,STDEV.S(C86:C88),"")</f>
        <v/>
      </c>
      <c r="E88">
        <f>IF(COUNT(C77:C88)=12,STDEV.S(C77:C88),"")</f>
        <v/>
      </c>
    </row>
    <row r="89">
      <c r="A89" s="6" t="inlineStr">
        <is>
          <t>1997M4</t>
        </is>
      </c>
      <c r="B89" t="n">
        <v>344.583343505859</v>
      </c>
      <c r="C89">
        <f>IF(AND(B89&lt;&gt;"",B88&lt;&gt;""),LN(B89/B88)*100,"")</f>
        <v/>
      </c>
      <c r="D89">
        <f>IF(COUNT(C87:C89)=3,STDEV.S(C87:C89),"")</f>
        <v/>
      </c>
      <c r="E89">
        <f>IF(COUNT(C78:C89)=12,STDEV.S(C78:C89),"")</f>
        <v/>
      </c>
    </row>
    <row r="90">
      <c r="A90" s="6" t="inlineStr">
        <is>
          <t>1997M5</t>
        </is>
      </c>
      <c r="B90" t="n">
        <v>343.702789306641</v>
      </c>
      <c r="C90">
        <f>IF(AND(B90&lt;&gt;"",B89&lt;&gt;""),LN(B90/B89)*100,"")</f>
        <v/>
      </c>
      <c r="D90">
        <f>IF(COUNT(C88:C90)=3,STDEV.S(C88:C90),"")</f>
        <v/>
      </c>
      <c r="E90">
        <f>IF(COUNT(C79:C90)=12,STDEV.S(C79:C90),"")</f>
        <v/>
      </c>
    </row>
    <row r="91">
      <c r="A91" s="6" t="inlineStr">
        <is>
          <t>1997M6</t>
        </is>
      </c>
      <c r="B91" t="n">
        <v>340.476318359375</v>
      </c>
      <c r="C91">
        <f>IF(AND(B91&lt;&gt;"",B90&lt;&gt;""),LN(B91/B90)*100,"")</f>
        <v/>
      </c>
      <c r="D91">
        <f>IF(COUNT(C89:C91)=3,STDEV.S(C89:C91),"")</f>
        <v/>
      </c>
      <c r="E91">
        <f>IF(COUNT(C80:C91)=12,STDEV.S(C80:C91),"")</f>
        <v/>
      </c>
    </row>
    <row r="92">
      <c r="A92" s="6" t="inlineStr">
        <is>
          <t>1997M7</t>
        </is>
      </c>
      <c r="B92" t="n">
        <v>324.088623046875</v>
      </c>
      <c r="C92">
        <f>IF(AND(B92&lt;&gt;"",B91&lt;&gt;""),LN(B92/B91)*100,"")</f>
        <v/>
      </c>
      <c r="D92">
        <f>IF(COUNT(C90:C92)=3,STDEV.S(C90:C92),"")</f>
        <v/>
      </c>
      <c r="E92">
        <f>IF(COUNT(C81:C92)=12,STDEV.S(C81:C92),"")</f>
        <v/>
      </c>
    </row>
    <row r="93">
      <c r="A93" s="6" t="inlineStr">
        <is>
          <t>1997M8</t>
        </is>
      </c>
      <c r="B93" t="n">
        <v>324.049987792969</v>
      </c>
      <c r="C93">
        <f>IF(AND(B93&lt;&gt;"",B92&lt;&gt;""),LN(B93/B92)*100,"")</f>
        <v/>
      </c>
      <c r="D93">
        <f>IF(COUNT(C91:C93)=3,STDEV.S(C91:C93),"")</f>
        <v/>
      </c>
      <c r="E93">
        <f>IF(COUNT(C82:C93)=12,STDEV.S(C82:C93),"")</f>
        <v/>
      </c>
    </row>
    <row r="94">
      <c r="A94" s="6" t="inlineStr">
        <is>
          <t>1997M9</t>
        </is>
      </c>
      <c r="B94" t="n">
        <v>324.476196289063</v>
      </c>
      <c r="C94">
        <f>IF(AND(B94&lt;&gt;"",B93&lt;&gt;""),LN(B94/B93)*100,"")</f>
        <v/>
      </c>
      <c r="D94">
        <f>IF(COUNT(C92:C94)=3,STDEV.S(C92:C94),"")</f>
        <v/>
      </c>
      <c r="E94">
        <f>IF(COUNT(C83:C94)=12,STDEV.S(C83:C94),"")</f>
        <v/>
      </c>
    </row>
    <row r="95">
      <c r="A95" s="6" t="inlineStr">
        <is>
          <t>1997M10</t>
        </is>
      </c>
      <c r="B95" t="n">
        <v>323.883331298828</v>
      </c>
      <c r="C95">
        <f>IF(AND(B95&lt;&gt;"",B94&lt;&gt;""),LN(B95/B94)*100,"")</f>
        <v/>
      </c>
      <c r="D95">
        <f>IF(COUNT(C93:C95)=3,STDEV.S(C93:C95),"")</f>
        <v/>
      </c>
      <c r="E95">
        <f>IF(COUNT(C84:C95)=12,STDEV.S(C84:C95),"")</f>
        <v/>
      </c>
    </row>
    <row r="96">
      <c r="A96" s="6" t="inlineStr">
        <is>
          <t>1997M11</t>
        </is>
      </c>
      <c r="B96" t="n">
        <v>305.346160888672</v>
      </c>
      <c r="C96">
        <f>IF(AND(B96&lt;&gt;"",B95&lt;&gt;""),LN(B96/B95)*100,"")</f>
        <v/>
      </c>
      <c r="D96">
        <f>IF(COUNT(C94:C96)=3,STDEV.S(C94:C96),"")</f>
        <v/>
      </c>
      <c r="E96">
        <f>IF(COUNT(C85:C96)=12,STDEV.S(C85:C96),"")</f>
        <v/>
      </c>
    </row>
    <row r="97">
      <c r="A97" s="6" t="inlineStr">
        <is>
          <t>1997M12</t>
        </is>
      </c>
      <c r="B97" t="n">
        <v>287.619995117188</v>
      </c>
      <c r="C97">
        <f>IF(AND(B97&lt;&gt;"",B96&lt;&gt;""),LN(B97/B96)*100,"")</f>
        <v/>
      </c>
      <c r="D97">
        <f>IF(COUNT(C95:C97)=3,STDEV.S(C95:C97),"")</f>
        <v/>
      </c>
      <c r="E97">
        <f>IF(COUNT(C86:C97)=12,STDEV.S(C86:C97),"")</f>
        <v/>
      </c>
    </row>
    <row r="98">
      <c r="A98" s="6" t="inlineStr">
        <is>
          <t>1998M1</t>
        </is>
      </c>
      <c r="B98" t="n">
        <v>289.5</v>
      </c>
      <c r="C98">
        <f>IF(AND(B98&lt;&gt;"",B97&lt;&gt;""),LN(B98/B97)*100,"")</f>
        <v/>
      </c>
      <c r="D98">
        <f>IF(COUNT(C96:C98)=3,STDEV.S(C96:C98),"")</f>
        <v/>
      </c>
      <c r="E98">
        <f>IF(COUNT(C87:C98)=12,STDEV.S(C87:C98),"")</f>
        <v/>
      </c>
    </row>
    <row r="99">
      <c r="A99" s="6" t="inlineStr">
        <is>
          <t>1998M2</t>
        </is>
      </c>
      <c r="B99" t="n">
        <v>297.455261230469</v>
      </c>
      <c r="C99">
        <f>IF(AND(B99&lt;&gt;"",B98&lt;&gt;""),LN(B99/B98)*100,"")</f>
        <v/>
      </c>
      <c r="D99">
        <f>IF(COUNT(C97:C99)=3,STDEV.S(C97:C99),"")</f>
        <v/>
      </c>
      <c r="E99">
        <f>IF(COUNT(C88:C99)=12,STDEV.S(C88:C99),"")</f>
        <v/>
      </c>
    </row>
    <row r="100">
      <c r="A100" s="6" t="inlineStr">
        <is>
          <t>1998M3</t>
        </is>
      </c>
      <c r="B100" t="n">
        <v>295.954559326172</v>
      </c>
      <c r="C100">
        <f>IF(AND(B100&lt;&gt;"",B99&lt;&gt;""),LN(B100/B99)*100,"")</f>
        <v/>
      </c>
      <c r="D100">
        <f>IF(COUNT(C98:C100)=3,STDEV.S(C98:C100),"")</f>
        <v/>
      </c>
      <c r="E100">
        <f>IF(COUNT(C89:C100)=12,STDEV.S(C89:C100),"")</f>
        <v/>
      </c>
    </row>
    <row r="101">
      <c r="A101" s="6" t="inlineStr">
        <is>
          <t>1998M4</t>
        </is>
      </c>
      <c r="B101" t="n">
        <v>308.285003662109</v>
      </c>
      <c r="C101">
        <f>IF(AND(B101&lt;&gt;"",B100&lt;&gt;""),LN(B101/B100)*100,"")</f>
        <v/>
      </c>
      <c r="D101">
        <f>IF(COUNT(C99:C101)=3,STDEV.S(C99:C101),"")</f>
        <v/>
      </c>
      <c r="E101">
        <f>IF(COUNT(C90:C101)=12,STDEV.S(C90:C101),"")</f>
        <v/>
      </c>
    </row>
    <row r="102">
      <c r="A102" s="6" t="inlineStr">
        <is>
          <t>1998M5</t>
        </is>
      </c>
      <c r="B102" t="n">
        <v>298.978942871094</v>
      </c>
      <c r="C102">
        <f>IF(AND(B102&lt;&gt;"",B101&lt;&gt;""),LN(B102/B101)*100,"")</f>
        <v/>
      </c>
      <c r="D102">
        <f>IF(COUNT(C100:C102)=3,STDEV.S(C100:C102),"")</f>
        <v/>
      </c>
      <c r="E102">
        <f>IF(COUNT(C91:C102)=12,STDEV.S(C91:C102),"")</f>
        <v/>
      </c>
    </row>
    <row r="103">
      <c r="A103" s="6" t="inlineStr">
        <is>
          <t>1998M6</t>
        </is>
      </c>
      <c r="B103" t="n">
        <v>292.538635253906</v>
      </c>
      <c r="C103">
        <f>IF(AND(B103&lt;&gt;"",B102&lt;&gt;""),LN(B103/B102)*100,"")</f>
        <v/>
      </c>
      <c r="D103">
        <f>IF(COUNT(C101:C103)=3,STDEV.S(C101:C103),"")</f>
        <v/>
      </c>
      <c r="E103">
        <f>IF(COUNT(C92:C103)=12,STDEV.S(C92:C103),"")</f>
        <v/>
      </c>
    </row>
    <row r="104">
      <c r="A104" s="6" t="inlineStr">
        <is>
          <t>1998M7</t>
        </is>
      </c>
      <c r="B104" t="n">
        <v>292.752258300781</v>
      </c>
      <c r="C104">
        <f>IF(AND(B104&lt;&gt;"",B103&lt;&gt;""),LN(B104/B103)*100,"")</f>
        <v/>
      </c>
      <c r="D104">
        <f>IF(COUNT(C102:C104)=3,STDEV.S(C102:C104),"")</f>
        <v/>
      </c>
      <c r="E104">
        <f>IF(COUNT(C93:C104)=12,STDEV.S(C93:C104),"")</f>
        <v/>
      </c>
    </row>
    <row r="105">
      <c r="A105" s="6" t="inlineStr">
        <is>
          <t>1998M8</t>
        </is>
      </c>
      <c r="B105" t="n">
        <v>284.109985351563</v>
      </c>
      <c r="C105">
        <f>IF(AND(B105&lt;&gt;"",B104&lt;&gt;""),LN(B105/B104)*100,"")</f>
        <v/>
      </c>
      <c r="D105">
        <f>IF(COUNT(C103:C105)=3,STDEV.S(C103:C105),"")</f>
        <v/>
      </c>
      <c r="E105">
        <f>IF(COUNT(C94:C105)=12,STDEV.S(C94:C105),"")</f>
        <v/>
      </c>
    </row>
    <row r="106">
      <c r="A106" s="6" t="inlineStr">
        <is>
          <t>1998M9</t>
        </is>
      </c>
      <c r="B106" t="n">
        <v>288.981811523438</v>
      </c>
      <c r="C106">
        <f>IF(AND(B106&lt;&gt;"",B105&lt;&gt;""),LN(B106/B105)*100,"")</f>
        <v/>
      </c>
      <c r="D106">
        <f>IF(COUNT(C104:C106)=3,STDEV.S(C104:C106),"")</f>
        <v/>
      </c>
      <c r="E106">
        <f>IF(COUNT(C95:C106)=12,STDEV.S(C95:C106),"")</f>
        <v/>
      </c>
    </row>
    <row r="107">
      <c r="A107" s="6" t="inlineStr">
        <is>
          <t>1998M10</t>
        </is>
      </c>
      <c r="B107" t="n">
        <v>295.714996337891</v>
      </c>
      <c r="C107">
        <f>IF(AND(B107&lt;&gt;"",B106&lt;&gt;""),LN(B107/B106)*100,"")</f>
        <v/>
      </c>
      <c r="D107">
        <f>IF(COUNT(C105:C107)=3,STDEV.S(C105:C107),"")</f>
        <v/>
      </c>
      <c r="E107">
        <f>IF(COUNT(C96:C107)=12,STDEV.S(C96:C107),"")</f>
        <v/>
      </c>
    </row>
    <row r="108">
      <c r="A108" s="6" t="inlineStr">
        <is>
          <t>1998M11</t>
        </is>
      </c>
      <c r="B108" t="n">
        <v>293.716674804688</v>
      </c>
      <c r="C108">
        <f>IF(AND(B108&lt;&gt;"",B107&lt;&gt;""),LN(B108/B107)*100,"")</f>
        <v/>
      </c>
      <c r="D108">
        <f>IF(COUNT(C106:C108)=3,STDEV.S(C106:C108),"")</f>
        <v/>
      </c>
      <c r="E108">
        <f>IF(COUNT(C97:C108)=12,STDEV.S(C97:C108),"")</f>
        <v/>
      </c>
    </row>
    <row r="109">
      <c r="A109" s="6" t="inlineStr">
        <is>
          <t>1998M12</t>
        </is>
      </c>
      <c r="B109" t="n">
        <v>291.678955078125</v>
      </c>
      <c r="C109">
        <f>IF(AND(B109&lt;&gt;"",B108&lt;&gt;""),LN(B109/B108)*100,"")</f>
        <v/>
      </c>
      <c r="D109">
        <f>IF(COUNT(C107:C109)=3,STDEV.S(C107:C109),"")</f>
        <v/>
      </c>
      <c r="E109">
        <f>IF(COUNT(C98:C109)=12,STDEV.S(C98:C109),"")</f>
        <v/>
      </c>
    </row>
    <row r="110">
      <c r="A110" s="6" t="inlineStr">
        <is>
          <t>1999M1</t>
        </is>
      </c>
      <c r="B110" t="n">
        <v>286.9368286</v>
      </c>
      <c r="C110">
        <f>IF(AND(B110&lt;&gt;"",B109&lt;&gt;""),LN(B110/B109)*100,"")</f>
        <v/>
      </c>
      <c r="D110">
        <f>IF(COUNT(C108:C110)=3,STDEV.S(C108:C110),"")</f>
        <v/>
      </c>
      <c r="E110">
        <f>IF(COUNT(C99:C110)=12,STDEV.S(C99:C110),"")</f>
        <v/>
      </c>
    </row>
    <row r="111">
      <c r="A111" s="6" t="inlineStr">
        <is>
          <t>1999M2</t>
        </is>
      </c>
      <c r="B111" t="n">
        <v>287.655</v>
      </c>
      <c r="C111">
        <f>IF(AND(B111&lt;&gt;"",B110&lt;&gt;""),LN(B111/B110)*100,"")</f>
        <v/>
      </c>
      <c r="D111">
        <f>IF(COUNT(C109:C111)=3,STDEV.S(C109:C111),"")</f>
        <v/>
      </c>
      <c r="E111">
        <f>IF(COUNT(C100:C111)=12,STDEV.S(C100:C111),"")</f>
        <v/>
      </c>
    </row>
    <row r="112">
      <c r="A112" s="6" t="inlineStr">
        <is>
          <t>1999M3</t>
        </is>
      </c>
      <c r="B112" t="n">
        <v>286.2136364</v>
      </c>
      <c r="C112">
        <f>IF(AND(B112&lt;&gt;"",B111&lt;&gt;""),LN(B112/B111)*100,"")</f>
        <v/>
      </c>
      <c r="D112">
        <f>IF(COUNT(C110:C112)=3,STDEV.S(C110:C112),"")</f>
        <v/>
      </c>
      <c r="E112">
        <f>IF(COUNT(C101:C112)=12,STDEV.S(C101:C112),"")</f>
        <v/>
      </c>
    </row>
    <row r="113">
      <c r="A113" s="6" t="inlineStr">
        <is>
          <t>1999M4</t>
        </is>
      </c>
      <c r="B113" t="n">
        <v>282.6175</v>
      </c>
      <c r="C113">
        <f>IF(AND(B113&lt;&gt;"",B112&lt;&gt;""),LN(B113/B112)*100,"")</f>
        <v/>
      </c>
      <c r="D113">
        <f>IF(COUNT(C111:C113)=3,STDEV.S(C111:C113),"")</f>
        <v/>
      </c>
      <c r="E113">
        <f>IF(COUNT(C102:C113)=12,STDEV.S(C102:C113),"")</f>
        <v/>
      </c>
    </row>
    <row r="114">
      <c r="A114" s="6" t="inlineStr">
        <is>
          <t>1999M5</t>
        </is>
      </c>
      <c r="B114" t="n">
        <v>276.91</v>
      </c>
      <c r="C114">
        <f>IF(AND(B114&lt;&gt;"",B113&lt;&gt;""),LN(B114/B113)*100,"")</f>
        <v/>
      </c>
      <c r="D114">
        <f>IF(COUNT(C112:C114)=3,STDEV.S(C112:C114),"")</f>
        <v/>
      </c>
      <c r="E114">
        <f>IF(COUNT(C103:C114)=12,STDEV.S(C103:C114),"")</f>
        <v/>
      </c>
    </row>
    <row r="115">
      <c r="A115" s="6" t="inlineStr">
        <is>
          <t>1999M6</t>
        </is>
      </c>
      <c r="B115" t="n">
        <v>261.3136364</v>
      </c>
      <c r="C115">
        <f>IF(AND(B115&lt;&gt;"",B114&lt;&gt;""),LN(B115/B114)*100,"")</f>
        <v/>
      </c>
      <c r="D115">
        <f>IF(COUNT(C113:C115)=3,STDEV.S(C113:C115),"")</f>
        <v/>
      </c>
      <c r="E115">
        <f>IF(COUNT(C104:C115)=12,STDEV.S(C104:C115),"")</f>
        <v/>
      </c>
    </row>
    <row r="116">
      <c r="A116" s="6" t="inlineStr">
        <is>
          <t>1999M7</t>
        </is>
      </c>
      <c r="B116" t="n">
        <v>256.6931818</v>
      </c>
      <c r="C116">
        <f>IF(AND(B116&lt;&gt;"",B115&lt;&gt;""),LN(B116/B115)*100,"")</f>
        <v/>
      </c>
      <c r="D116">
        <f>IF(COUNT(C114:C116)=3,STDEV.S(C114:C116),"")</f>
        <v/>
      </c>
      <c r="E116">
        <f>IF(COUNT(C105:C116)=12,STDEV.S(C105:C116),"")</f>
        <v/>
      </c>
    </row>
    <row r="117">
      <c r="A117" s="6" t="inlineStr">
        <is>
          <t>1999M8</t>
        </is>
      </c>
      <c r="B117" t="n">
        <v>256.9052632</v>
      </c>
      <c r="C117">
        <f>IF(AND(B117&lt;&gt;"",B116&lt;&gt;""),LN(B117/B116)*100,"")</f>
        <v/>
      </c>
      <c r="D117">
        <f>IF(COUNT(C115:C117)=3,STDEV.S(C115:C117),"")</f>
        <v/>
      </c>
      <c r="E117">
        <f>IF(COUNT(C106:C117)=12,STDEV.S(C106:C117),"")</f>
        <v/>
      </c>
    </row>
    <row r="118">
      <c r="A118" s="6" t="inlineStr">
        <is>
          <t>1999M9</t>
        </is>
      </c>
      <c r="B118" t="n">
        <v>264.3108696</v>
      </c>
      <c r="C118">
        <f>IF(AND(B118&lt;&gt;"",B117&lt;&gt;""),LN(B118/B117)*100,"")</f>
        <v/>
      </c>
      <c r="D118">
        <f>IF(COUNT(C116:C118)=3,STDEV.S(C116:C118),"")</f>
        <v/>
      </c>
      <c r="E118">
        <f>IF(COUNT(C107:C118)=12,STDEV.S(C107:C118),"")</f>
        <v/>
      </c>
    </row>
    <row r="119">
      <c r="A119" s="6" t="inlineStr">
        <is>
          <t>1999M10</t>
        </is>
      </c>
      <c r="B119" t="n">
        <v>310.7815789</v>
      </c>
      <c r="C119">
        <f>IF(AND(B119&lt;&gt;"",B118&lt;&gt;""),LN(B119/B118)*100,"")</f>
        <v/>
      </c>
      <c r="D119">
        <f>IF(COUNT(C117:C119)=3,STDEV.S(C117:C119),"")</f>
        <v/>
      </c>
      <c r="E119">
        <f>IF(COUNT(C108:C119)=12,STDEV.S(C108:C119),"")</f>
        <v/>
      </c>
    </row>
    <row r="120">
      <c r="A120" s="6" t="inlineStr">
        <is>
          <t>1999M11</t>
        </is>
      </c>
      <c r="B120" t="n">
        <v>293.1840909</v>
      </c>
      <c r="C120">
        <f>IF(AND(B120&lt;&gt;"",B119&lt;&gt;""),LN(B120/B119)*100,"")</f>
        <v/>
      </c>
      <c r="D120">
        <f>IF(COUNT(C118:C120)=3,STDEV.S(C118:C120),"")</f>
        <v/>
      </c>
      <c r="E120">
        <f>IF(COUNT(C109:C120)=12,STDEV.S(C109:C120),"")</f>
        <v/>
      </c>
    </row>
    <row r="121">
      <c r="A121" s="6" t="inlineStr">
        <is>
          <t>1999M12</t>
        </is>
      </c>
      <c r="B121" t="n">
        <v>282.9526316</v>
      </c>
      <c r="C121">
        <f>IF(AND(B121&lt;&gt;"",B120&lt;&gt;""),LN(B121/B120)*100,"")</f>
        <v/>
      </c>
      <c r="D121">
        <f>IF(COUNT(C119:C121)=3,STDEV.S(C119:C121),"")</f>
        <v/>
      </c>
      <c r="E121">
        <f>IF(COUNT(C110:C121)=12,STDEV.S(C110:C121),"")</f>
        <v/>
      </c>
    </row>
    <row r="122">
      <c r="A122" s="6" t="inlineStr">
        <is>
          <t>2000M1</t>
        </is>
      </c>
      <c r="B122" t="n">
        <v>284.065625</v>
      </c>
      <c r="C122">
        <f>IF(AND(B122&lt;&gt;"",B121&lt;&gt;""),LN(B122/B121)*100,"")</f>
        <v/>
      </c>
      <c r="D122">
        <f>IF(COUNT(C120:C122)=3,STDEV.S(C120:C122),"")</f>
        <v/>
      </c>
      <c r="E122">
        <f>IF(COUNT(C111:C122)=12,STDEV.S(C111:C122),"")</f>
        <v/>
      </c>
    </row>
    <row r="123">
      <c r="A123" s="6" t="inlineStr">
        <is>
          <t>2000M2</t>
        </is>
      </c>
      <c r="B123" t="n">
        <v>299.715</v>
      </c>
      <c r="C123">
        <f>IF(AND(B123&lt;&gt;"",B122&lt;&gt;""),LN(B123/B122)*100,"")</f>
        <v/>
      </c>
      <c r="D123">
        <f>IF(COUNT(C121:C123)=3,STDEV.S(C121:C123),"")</f>
        <v/>
      </c>
      <c r="E123">
        <f>IF(COUNT(C112:C123)=12,STDEV.S(C112:C123),"")</f>
        <v/>
      </c>
    </row>
    <row r="124">
      <c r="A124" s="6" t="inlineStr">
        <is>
          <t>2000M3</t>
        </is>
      </c>
      <c r="B124" t="n">
        <v>286.924</v>
      </c>
      <c r="C124">
        <f>IF(AND(B124&lt;&gt;"",B123&lt;&gt;""),LN(B124/B123)*100,"")</f>
        <v/>
      </c>
      <c r="D124">
        <f>IF(COUNT(C122:C124)=3,STDEV.S(C122:C124),"")</f>
        <v/>
      </c>
      <c r="E124">
        <f>IF(COUNT(C113:C124)=12,STDEV.S(C113:C124),"")</f>
        <v/>
      </c>
    </row>
    <row r="125">
      <c r="A125" s="6" t="inlineStr">
        <is>
          <t>2000M4</t>
        </is>
      </c>
      <c r="B125" t="n">
        <v>279.6526316</v>
      </c>
      <c r="C125">
        <f>IF(AND(B125&lt;&gt;"",B124&lt;&gt;""),LN(B125/B124)*100,"")</f>
        <v/>
      </c>
      <c r="D125">
        <f>IF(COUNT(C123:C125)=3,STDEV.S(C123:C125),"")</f>
        <v/>
      </c>
      <c r="E125">
        <f>IF(COUNT(C114:C125)=12,STDEV.S(C114:C125),"")</f>
        <v/>
      </c>
    </row>
    <row r="126">
      <c r="A126" s="6" t="inlineStr">
        <is>
          <t>2000M5</t>
        </is>
      </c>
      <c r="B126" t="n">
        <v>276.7409091</v>
      </c>
      <c r="C126">
        <f>IF(AND(B126&lt;&gt;"",B125&lt;&gt;""),LN(B126/B125)*100,"")</f>
        <v/>
      </c>
      <c r="D126">
        <f>IF(COUNT(C124:C126)=3,STDEV.S(C124:C126),"")</f>
        <v/>
      </c>
      <c r="E126">
        <f>IF(COUNT(C115:C126)=12,STDEV.S(C115:C126),"")</f>
        <v/>
      </c>
    </row>
    <row r="127">
      <c r="A127" s="6" t="inlineStr">
        <is>
          <t>2000M6</t>
        </is>
      </c>
      <c r="B127" t="n">
        <v>285.7318182</v>
      </c>
      <c r="C127">
        <f>IF(AND(B127&lt;&gt;"",B126&lt;&gt;""),LN(B127/B126)*100,"")</f>
        <v/>
      </c>
      <c r="D127">
        <f>IF(COUNT(C125:C127)=3,STDEV.S(C125:C127),"")</f>
        <v/>
      </c>
      <c r="E127">
        <f>IF(COUNT(C116:C127)=12,STDEV.S(C116:C127),"")</f>
        <v/>
      </c>
    </row>
    <row r="128">
      <c r="A128" s="6" t="inlineStr">
        <is>
          <t>2000M7</t>
        </is>
      </c>
      <c r="B128" t="n">
        <v>281.5857143</v>
      </c>
      <c r="C128">
        <f>IF(AND(B128&lt;&gt;"",B127&lt;&gt;""),LN(B128/B127)*100,"")</f>
        <v/>
      </c>
      <c r="D128">
        <f>IF(COUNT(C126:C128)=3,STDEV.S(C126:C128),"")</f>
        <v/>
      </c>
      <c r="E128">
        <f>IF(COUNT(C117:C128)=12,STDEV.S(C117:C128),"")</f>
        <v/>
      </c>
    </row>
    <row r="129">
      <c r="A129" s="6" t="inlineStr">
        <is>
          <t>2000M8</t>
        </is>
      </c>
      <c r="B129" t="n">
        <v>274.425</v>
      </c>
      <c r="C129">
        <f>IF(AND(B129&lt;&gt;"",B128&lt;&gt;""),LN(B129/B128)*100,"")</f>
        <v/>
      </c>
      <c r="D129">
        <f>IF(COUNT(C127:C129)=3,STDEV.S(C127:C129),"")</f>
        <v/>
      </c>
      <c r="E129">
        <f>IF(COUNT(C118:C129)=12,STDEV.S(C118:C129),"")</f>
        <v/>
      </c>
    </row>
    <row r="130">
      <c r="A130" s="6" t="inlineStr">
        <is>
          <t>2000M9</t>
        </is>
      </c>
      <c r="B130" t="n">
        <v>273.53</v>
      </c>
      <c r="C130">
        <f>IF(AND(B130&lt;&gt;"",B129&lt;&gt;""),LN(B130/B129)*100,"")</f>
        <v/>
      </c>
      <c r="D130">
        <f>IF(COUNT(C128:C130)=3,STDEV.S(C128:C130),"")</f>
        <v/>
      </c>
      <c r="E130">
        <f>IF(COUNT(C119:C130)=12,STDEV.S(C119:C130),"")</f>
        <v/>
      </c>
    </row>
    <row r="131">
      <c r="A131" s="6" t="inlineStr">
        <is>
          <t>2000M10</t>
        </is>
      </c>
      <c r="B131" t="n">
        <v>269.9285714</v>
      </c>
      <c r="C131">
        <f>IF(AND(B131&lt;&gt;"",B130&lt;&gt;""),LN(B131/B130)*100,"")</f>
        <v/>
      </c>
      <c r="D131">
        <f>IF(COUNT(C129:C131)=3,STDEV.S(C129:C131),"")</f>
        <v/>
      </c>
      <c r="E131">
        <f>IF(COUNT(C120:C131)=12,STDEV.S(C120:C131),"")</f>
        <v/>
      </c>
    </row>
    <row r="132">
      <c r="A132" s="6" t="inlineStr">
        <is>
          <t>2000M11</t>
        </is>
      </c>
      <c r="B132" t="n">
        <v>266.2973684</v>
      </c>
      <c r="C132">
        <f>IF(AND(B132&lt;&gt;"",B131&lt;&gt;""),LN(B132/B131)*100,"")</f>
        <v/>
      </c>
      <c r="D132">
        <f>IF(COUNT(C130:C132)=3,STDEV.S(C130:C132),"")</f>
        <v/>
      </c>
      <c r="E132">
        <f>IF(COUNT(C121:C132)=12,STDEV.S(C121:C132),"")</f>
        <v/>
      </c>
    </row>
    <row r="133">
      <c r="A133" s="6" t="inlineStr">
        <is>
          <t>2000M12</t>
        </is>
      </c>
      <c r="B133" t="n">
        <v>271.45</v>
      </c>
      <c r="C133">
        <f>IF(AND(B133&lt;&gt;"",B132&lt;&gt;""),LN(B133/B132)*100,"")</f>
        <v/>
      </c>
      <c r="D133">
        <f>IF(COUNT(C131:C133)=3,STDEV.S(C131:C133),"")</f>
        <v/>
      </c>
      <c r="E133">
        <f>IF(COUNT(C122:C133)=12,STDEV.S(C122:C133),"")</f>
        <v/>
      </c>
    </row>
    <row r="134">
      <c r="A134" s="6" t="inlineStr">
        <is>
          <t>2001M1</t>
        </is>
      </c>
      <c r="B134" t="n">
        <v>265.4863636</v>
      </c>
      <c r="C134">
        <f>IF(AND(B134&lt;&gt;"",B133&lt;&gt;""),LN(B134/B133)*100,"")</f>
        <v/>
      </c>
      <c r="D134">
        <f>IF(COUNT(C132:C134)=3,STDEV.S(C132:C134),"")</f>
        <v/>
      </c>
      <c r="E134">
        <f>IF(COUNT(C123:C134)=12,STDEV.S(C123:C134),"")</f>
        <v/>
      </c>
    </row>
    <row r="135">
      <c r="A135" s="6" t="inlineStr">
        <is>
          <t>2001M2</t>
        </is>
      </c>
      <c r="B135" t="n">
        <v>262.0894737</v>
      </c>
      <c r="C135">
        <f>IF(AND(B135&lt;&gt;"",B134&lt;&gt;""),LN(B135/B134)*100,"")</f>
        <v/>
      </c>
      <c r="D135">
        <f>IF(COUNT(C133:C135)=3,STDEV.S(C133:C135),"")</f>
        <v/>
      </c>
      <c r="E135">
        <f>IF(COUNT(C124:C135)=12,STDEV.S(C124:C135),"")</f>
        <v/>
      </c>
    </row>
    <row r="136">
      <c r="A136" s="6" t="inlineStr">
        <is>
          <t>2001M3</t>
        </is>
      </c>
      <c r="B136" t="n">
        <v>263.0272727</v>
      </c>
      <c r="C136">
        <f>IF(AND(B136&lt;&gt;"",B135&lt;&gt;""),LN(B136/B135)*100,"")</f>
        <v/>
      </c>
      <c r="D136">
        <f>IF(COUNT(C134:C136)=3,STDEV.S(C134:C136),"")</f>
        <v/>
      </c>
      <c r="E136">
        <f>IF(COUNT(C125:C136)=12,STDEV.S(C125:C136),"")</f>
        <v/>
      </c>
    </row>
    <row r="137">
      <c r="A137" s="6" t="inlineStr">
        <is>
          <t>2001M4</t>
        </is>
      </c>
      <c r="B137" t="n">
        <v>260.3305556</v>
      </c>
      <c r="C137">
        <f>IF(AND(B137&lt;&gt;"",B136&lt;&gt;""),LN(B137/B136)*100,"")</f>
        <v/>
      </c>
      <c r="D137">
        <f>IF(COUNT(C135:C137)=3,STDEV.S(C135:C137),"")</f>
        <v/>
      </c>
      <c r="E137">
        <f>IF(COUNT(C126:C137)=12,STDEV.S(C126:C137),"")</f>
        <v/>
      </c>
    </row>
    <row r="138">
      <c r="A138" s="6" t="inlineStr">
        <is>
          <t>2001M5</t>
        </is>
      </c>
      <c r="B138" t="n">
        <v>272.0931818</v>
      </c>
      <c r="C138">
        <f>IF(AND(B138&lt;&gt;"",B137&lt;&gt;""),LN(B138/B137)*100,"")</f>
        <v/>
      </c>
      <c r="D138">
        <f>IF(COUNT(C136:C138)=3,STDEV.S(C136:C138),"")</f>
        <v/>
      </c>
      <c r="E138">
        <f>IF(COUNT(C127:C138)=12,STDEV.S(C127:C138),"")</f>
        <v/>
      </c>
    </row>
    <row r="139">
      <c r="A139" s="6" t="inlineStr">
        <is>
          <t>2001M6</t>
        </is>
      </c>
      <c r="B139" t="n">
        <v>270.202381</v>
      </c>
      <c r="C139">
        <f>IF(AND(B139&lt;&gt;"",B138&lt;&gt;""),LN(B139/B138)*100,"")</f>
        <v/>
      </c>
      <c r="D139">
        <f>IF(COUNT(C137:C139)=3,STDEV.S(C137:C139),"")</f>
        <v/>
      </c>
      <c r="E139">
        <f>IF(COUNT(C128:C139)=12,STDEV.S(C128:C139),"")</f>
        <v/>
      </c>
    </row>
    <row r="140">
      <c r="A140" s="6" t="inlineStr">
        <is>
          <t>2001M7</t>
        </is>
      </c>
      <c r="B140" t="n">
        <v>267.5261905</v>
      </c>
      <c r="C140">
        <f>IF(AND(B140&lt;&gt;"",B139&lt;&gt;""),LN(B140/B139)*100,"")</f>
        <v/>
      </c>
      <c r="D140">
        <f>IF(COUNT(C138:C140)=3,STDEV.S(C138:C140),"")</f>
        <v/>
      </c>
      <c r="E140">
        <f>IF(COUNT(C129:C140)=12,STDEV.S(C129:C140),"")</f>
        <v/>
      </c>
    </row>
    <row r="141">
      <c r="A141" s="6" t="inlineStr">
        <is>
          <t>2001M8</t>
        </is>
      </c>
      <c r="B141" t="n">
        <v>272.0921053</v>
      </c>
      <c r="C141">
        <f>IF(AND(B141&lt;&gt;"",B140&lt;&gt;""),LN(B141/B140)*100,"")</f>
        <v/>
      </c>
      <c r="D141">
        <f>IF(COUNT(C139:C141)=3,STDEV.S(C139:C141),"")</f>
        <v/>
      </c>
      <c r="E141">
        <f>IF(COUNT(C130:C141)=12,STDEV.S(C130:C141),"")</f>
        <v/>
      </c>
    </row>
    <row r="142">
      <c r="A142" s="6" t="inlineStr">
        <is>
          <t>2001M9</t>
        </is>
      </c>
      <c r="B142" t="n">
        <v>284.4723529</v>
      </c>
      <c r="C142">
        <f>IF(AND(B142&lt;&gt;"",B141&lt;&gt;""),LN(B142/B141)*100,"")</f>
        <v/>
      </c>
      <c r="D142">
        <f>IF(COUNT(C140:C142)=3,STDEV.S(C140:C142),"")</f>
        <v/>
      </c>
      <c r="E142">
        <f>IF(COUNT(C131:C142)=12,STDEV.S(C131:C142),"")</f>
        <v/>
      </c>
    </row>
    <row r="143">
      <c r="A143" s="6" t="inlineStr">
        <is>
          <t>2001M10</t>
        </is>
      </c>
      <c r="B143" t="n">
        <v>282.2671429</v>
      </c>
      <c r="C143">
        <f>IF(AND(B143&lt;&gt;"",B142&lt;&gt;""),LN(B143/B142)*100,"")</f>
        <v/>
      </c>
      <c r="D143">
        <f>IF(COUNT(C141:C143)=3,STDEV.S(C141:C143),"")</f>
        <v/>
      </c>
      <c r="E143">
        <f>IF(COUNT(C132:C143)=12,STDEV.S(C132:C143),"")</f>
        <v/>
      </c>
    </row>
    <row r="144">
      <c r="A144" s="6" t="inlineStr">
        <is>
          <t>2001M11</t>
        </is>
      </c>
      <c r="B144" t="n">
        <v>277.184375</v>
      </c>
      <c r="C144">
        <f>IF(AND(B144&lt;&gt;"",B143&lt;&gt;""),LN(B144/B143)*100,"")</f>
        <v/>
      </c>
      <c r="D144">
        <f>IF(COUNT(C142:C144)=3,STDEV.S(C142:C144),"")</f>
        <v/>
      </c>
      <c r="E144">
        <f>IF(COUNT(C133:C144)=12,STDEV.S(C133:C144),"")</f>
        <v/>
      </c>
    </row>
    <row r="145">
      <c r="A145" s="6" t="inlineStr">
        <is>
          <t>2001M12</t>
        </is>
      </c>
      <c r="B145" t="n">
        <v>275.8357143</v>
      </c>
      <c r="C145">
        <f>IF(AND(B145&lt;&gt;"",B144&lt;&gt;""),LN(B145/B144)*100,"")</f>
        <v/>
      </c>
      <c r="D145">
        <f>IF(COUNT(C143:C145)=3,STDEV.S(C143:C145),"")</f>
        <v/>
      </c>
      <c r="E145">
        <f>IF(COUNT(C134:C145)=12,STDEV.S(C134:C145),"")</f>
        <v/>
      </c>
    </row>
    <row r="146">
      <c r="A146" s="6" t="inlineStr">
        <is>
          <t>2002M1</t>
        </is>
      </c>
      <c r="B146" t="n">
        <v>281</v>
      </c>
      <c r="C146">
        <f>IF(AND(B146&lt;&gt;"",B145&lt;&gt;""),LN(B146/B145)*100,"")</f>
        <v/>
      </c>
      <c r="D146">
        <f>IF(COUNT(C144:C146)=3,STDEV.S(C144:C146),"")</f>
        <v/>
      </c>
      <c r="E146">
        <f>IF(COUNT(C135:C146)=12,STDEV.S(C135:C146),"")</f>
        <v/>
      </c>
    </row>
    <row r="147">
      <c r="A147" s="6" t="inlineStr">
        <is>
          <t>2002M2</t>
        </is>
      </c>
      <c r="B147" t="n">
        <v>295.2875</v>
      </c>
      <c r="C147">
        <f>IF(AND(B147&lt;&gt;"",B146&lt;&gt;""),LN(B147/B146)*100,"")</f>
        <v/>
      </c>
      <c r="D147">
        <f>IF(COUNT(C145:C147)=3,STDEV.S(C145:C147),"")</f>
        <v/>
      </c>
      <c r="E147">
        <f>IF(COUNT(C136:C147)=12,STDEV.S(C136:C147),"")</f>
        <v/>
      </c>
    </row>
    <row r="148">
      <c r="A148" s="6" t="inlineStr">
        <is>
          <t>2002M3</t>
        </is>
      </c>
      <c r="B148" t="n">
        <v>294.0475</v>
      </c>
      <c r="C148">
        <f>IF(AND(B148&lt;&gt;"",B147&lt;&gt;""),LN(B148/B147)*100,"")</f>
        <v/>
      </c>
      <c r="D148">
        <f>IF(COUNT(C146:C148)=3,STDEV.S(C146:C148),"")</f>
        <v/>
      </c>
      <c r="E148">
        <f>IF(COUNT(C137:C148)=12,STDEV.S(C137:C148),"")</f>
        <v/>
      </c>
    </row>
    <row r="149">
      <c r="A149" s="6" t="inlineStr">
        <is>
          <t>2002M4</t>
        </is>
      </c>
      <c r="B149" t="n">
        <v>302.6833333</v>
      </c>
      <c r="C149">
        <f>IF(AND(B149&lt;&gt;"",B148&lt;&gt;""),LN(B149/B148)*100,"")</f>
        <v/>
      </c>
      <c r="D149">
        <f>IF(COUNT(C147:C149)=3,STDEV.S(C147:C149),"")</f>
        <v/>
      </c>
      <c r="E149">
        <f>IF(COUNT(C138:C149)=12,STDEV.S(C138:C149),"")</f>
        <v/>
      </c>
    </row>
    <row r="150">
      <c r="A150" s="6" t="inlineStr">
        <is>
          <t>2002M5</t>
        </is>
      </c>
      <c r="B150" t="n">
        <v>314.4931818</v>
      </c>
      <c r="C150">
        <f>IF(AND(B150&lt;&gt;"",B149&lt;&gt;""),LN(B150/B149)*100,"")</f>
        <v/>
      </c>
      <c r="D150">
        <f>IF(COUNT(C148:C150)=3,STDEV.S(C148:C150),"")</f>
        <v/>
      </c>
      <c r="E150">
        <f>IF(COUNT(C139:C150)=12,STDEV.S(C139:C150),"")</f>
        <v/>
      </c>
    </row>
    <row r="151">
      <c r="A151" s="6" t="inlineStr">
        <is>
          <t>2002M6</t>
        </is>
      </c>
      <c r="B151" t="n">
        <v>321.1777778</v>
      </c>
      <c r="C151">
        <f>IF(AND(B151&lt;&gt;"",B150&lt;&gt;""),LN(B151/B150)*100,"")</f>
        <v/>
      </c>
      <c r="D151">
        <f>IF(COUNT(C149:C151)=3,STDEV.S(C149:C151),"")</f>
        <v/>
      </c>
      <c r="E151">
        <f>IF(COUNT(C140:C151)=12,STDEV.S(C140:C151),"")</f>
        <v/>
      </c>
    </row>
    <row r="152">
      <c r="A152" s="6" t="inlineStr">
        <is>
          <t>2002M7</t>
        </is>
      </c>
      <c r="B152" t="n">
        <v>313.2913043</v>
      </c>
      <c r="C152">
        <f>IF(AND(B152&lt;&gt;"",B151&lt;&gt;""),LN(B152/B151)*100,"")</f>
        <v/>
      </c>
      <c r="D152">
        <f>IF(COUNT(C150:C152)=3,STDEV.S(C150:C152),"")</f>
        <v/>
      </c>
      <c r="E152">
        <f>IF(COUNT(C141:C152)=12,STDEV.S(C141:C152),"")</f>
        <v/>
      </c>
    </row>
    <row r="153">
      <c r="A153" s="6" t="inlineStr">
        <is>
          <t>2002M8</t>
        </is>
      </c>
      <c r="B153" t="n">
        <v>310.2809524</v>
      </c>
      <c r="C153">
        <f>IF(AND(B153&lt;&gt;"",B152&lt;&gt;""),LN(B153/B152)*100,"")</f>
        <v/>
      </c>
      <c r="D153">
        <f>IF(COUNT(C151:C153)=3,STDEV.S(C151:C153),"")</f>
        <v/>
      </c>
      <c r="E153">
        <f>IF(COUNT(C142:C153)=12,STDEV.S(C142:C153),"")</f>
        <v/>
      </c>
    </row>
    <row r="154">
      <c r="A154" s="6" t="inlineStr">
        <is>
          <t>2002M9</t>
        </is>
      </c>
      <c r="B154" t="n">
        <v>319.1357143</v>
      </c>
      <c r="C154">
        <f>IF(AND(B154&lt;&gt;"",B153&lt;&gt;""),LN(B154/B153)*100,"")</f>
        <v/>
      </c>
      <c r="D154">
        <f>IF(COUNT(C152:C154)=3,STDEV.S(C152:C154),"")</f>
        <v/>
      </c>
      <c r="E154">
        <f>IF(COUNT(C143:C154)=12,STDEV.S(C143:C154),"")</f>
        <v/>
      </c>
    </row>
    <row r="155">
      <c r="A155" s="6" t="inlineStr">
        <is>
          <t>2002M10</t>
        </is>
      </c>
      <c r="B155" t="n">
        <v>316.5565217</v>
      </c>
      <c r="C155">
        <f>IF(AND(B155&lt;&gt;"",B154&lt;&gt;""),LN(B155/B154)*100,"")</f>
        <v/>
      </c>
      <c r="D155">
        <f>IF(COUNT(C153:C155)=3,STDEV.S(C153:C155),"")</f>
        <v/>
      </c>
      <c r="E155">
        <f>IF(COUNT(C144:C155)=12,STDEV.S(C144:C155),"")</f>
        <v/>
      </c>
    </row>
    <row r="156">
      <c r="A156" s="6" t="inlineStr">
        <is>
          <t>2002M11</t>
        </is>
      </c>
      <c r="B156" t="n">
        <v>320.4357143</v>
      </c>
      <c r="C156">
        <f>IF(AND(B156&lt;&gt;"",B155&lt;&gt;""),LN(B156/B155)*100,"")</f>
        <v/>
      </c>
      <c r="D156">
        <f>IF(COUNT(C154:C156)=3,STDEV.S(C154:C156),"")</f>
        <v/>
      </c>
      <c r="E156">
        <f>IF(COUNT(C145:C156)=12,STDEV.S(C145:C156),"")</f>
        <v/>
      </c>
    </row>
    <row r="157">
      <c r="A157" s="6" t="inlineStr">
        <is>
          <t>2002M12</t>
        </is>
      </c>
      <c r="B157" t="n">
        <v>332.0361111</v>
      </c>
      <c r="C157">
        <f>IF(AND(B157&lt;&gt;"",B156&lt;&gt;""),LN(B157/B156)*100,"")</f>
        <v/>
      </c>
      <c r="D157">
        <f>IF(COUNT(C155:C157)=3,STDEV.S(C155:C157),"")</f>
        <v/>
      </c>
      <c r="E157">
        <f>IF(COUNT(C146:C157)=12,STDEV.S(C146:C157),"")</f>
        <v/>
      </c>
    </row>
    <row r="158">
      <c r="A158" s="6" t="inlineStr">
        <is>
          <t>2003M1</t>
        </is>
      </c>
      <c r="B158" t="n">
        <v>356.8590909090909</v>
      </c>
      <c r="C158">
        <f>IF(AND(B158&lt;&gt;"",B157&lt;&gt;""),LN(B158/B157)*100,"")</f>
        <v/>
      </c>
      <c r="D158">
        <f>IF(COUNT(C156:C158)=3,STDEV.S(C156:C158),"")</f>
        <v/>
      </c>
      <c r="E158">
        <f>IF(COUNT(C147:C158)=12,STDEV.S(C147:C158),"")</f>
        <v/>
      </c>
    </row>
    <row r="159">
      <c r="A159" s="6" t="inlineStr">
        <is>
          <t>2003M2</t>
        </is>
      </c>
      <c r="B159" t="n">
        <v>358.97</v>
      </c>
      <c r="C159">
        <f>IF(AND(B159&lt;&gt;"",B158&lt;&gt;""),LN(B159/B158)*100,"")</f>
        <v/>
      </c>
      <c r="D159">
        <f>IF(COUNT(C157:C159)=3,STDEV.S(C157:C159),"")</f>
        <v/>
      </c>
      <c r="E159">
        <f>IF(COUNT(C148:C159)=12,STDEV.S(C148:C159),"")</f>
        <v/>
      </c>
    </row>
    <row r="160">
      <c r="A160" s="6" t="inlineStr">
        <is>
          <t>2003M3</t>
        </is>
      </c>
      <c r="B160" t="n">
        <v>340.55</v>
      </c>
      <c r="C160">
        <f>IF(AND(B160&lt;&gt;"",B159&lt;&gt;""),LN(B160/B159)*100,"")</f>
        <v/>
      </c>
      <c r="D160">
        <f>IF(COUNT(C158:C160)=3,STDEV.S(C158:C160),"")</f>
        <v/>
      </c>
      <c r="E160">
        <f>IF(COUNT(C149:C160)=12,STDEV.S(C149:C160),"")</f>
        <v/>
      </c>
    </row>
    <row r="161">
      <c r="A161" s="6" t="inlineStr">
        <is>
          <t>2003M4</t>
        </is>
      </c>
      <c r="B161" t="n">
        <v>328.18</v>
      </c>
      <c r="C161">
        <f>IF(AND(B161&lt;&gt;"",B160&lt;&gt;""),LN(B161/B160)*100,"")</f>
        <v/>
      </c>
      <c r="D161">
        <f>IF(COUNT(C159:C161)=3,STDEV.S(C159:C161),"")</f>
        <v/>
      </c>
      <c r="E161">
        <f>IF(COUNT(C150:C161)=12,STDEV.S(C150:C161),"")</f>
        <v/>
      </c>
    </row>
    <row r="162">
      <c r="A162" s="6" t="inlineStr">
        <is>
          <t>2003M5</t>
        </is>
      </c>
      <c r="B162" t="n">
        <v>355.6825</v>
      </c>
      <c r="C162">
        <f>IF(AND(B162&lt;&gt;"",B161&lt;&gt;""),LN(B162/B161)*100,"")</f>
        <v/>
      </c>
      <c r="D162">
        <f>IF(COUNT(C160:C162)=3,STDEV.S(C160:C162),"")</f>
        <v/>
      </c>
      <c r="E162">
        <f>IF(COUNT(C151:C162)=12,STDEV.S(C151:C162),"")</f>
        <v/>
      </c>
    </row>
    <row r="163">
      <c r="A163" s="6" t="inlineStr">
        <is>
          <t>2003M6</t>
        </is>
      </c>
      <c r="B163" t="n">
        <v>356.352380952381</v>
      </c>
      <c r="C163">
        <f>IF(AND(B163&lt;&gt;"",B162&lt;&gt;""),LN(B163/B162)*100,"")</f>
        <v/>
      </c>
      <c r="D163">
        <f>IF(COUNT(C161:C163)=3,STDEV.S(C161:C163),"")</f>
        <v/>
      </c>
      <c r="E163">
        <f>IF(COUNT(C152:C163)=12,STDEV.S(C152:C163),"")</f>
        <v/>
      </c>
    </row>
    <row r="164">
      <c r="A164" s="6" t="inlineStr">
        <is>
          <t>2003M7</t>
        </is>
      </c>
      <c r="B164" t="n">
        <v>351.0195652173913</v>
      </c>
      <c r="C164">
        <f>IF(AND(B164&lt;&gt;"",B163&lt;&gt;""),LN(B164/B163)*100,"")</f>
        <v/>
      </c>
      <c r="D164">
        <f>IF(COUNT(C162:C164)=3,STDEV.S(C162:C164),"")</f>
        <v/>
      </c>
      <c r="E164">
        <f>IF(COUNT(C153:C164)=12,STDEV.S(C153:C164),"")</f>
        <v/>
      </c>
    </row>
    <row r="165">
      <c r="A165" s="6" t="inlineStr">
        <is>
          <t>2003M8</t>
        </is>
      </c>
      <c r="B165" t="n">
        <v>359.7675</v>
      </c>
      <c r="C165">
        <f>IF(AND(B165&lt;&gt;"",B164&lt;&gt;""),LN(B165/B164)*100,"")</f>
        <v/>
      </c>
      <c r="D165">
        <f>IF(COUNT(C163:C165)=3,STDEV.S(C163:C165),"")</f>
        <v/>
      </c>
      <c r="E165">
        <f>IF(COUNT(C154:C165)=12,STDEV.S(C154:C165),"")</f>
        <v/>
      </c>
    </row>
    <row r="166">
      <c r="A166" s="6" t="inlineStr">
        <is>
          <t>2003M9</t>
        </is>
      </c>
      <c r="B166" t="n">
        <v>378.9454545454546</v>
      </c>
      <c r="C166">
        <f>IF(AND(B166&lt;&gt;"",B165&lt;&gt;""),LN(B166/B165)*100,"")</f>
        <v/>
      </c>
      <c r="D166">
        <f>IF(COUNT(C164:C166)=3,STDEV.S(C164:C166),"")</f>
        <v/>
      </c>
      <c r="E166">
        <f>IF(COUNT(C155:C166)=12,STDEV.S(C155:C166),"")</f>
        <v/>
      </c>
    </row>
    <row r="167">
      <c r="A167" s="6" t="inlineStr">
        <is>
          <t>2003M10</t>
        </is>
      </c>
      <c r="B167" t="n">
        <v>378.9195652173912</v>
      </c>
      <c r="C167">
        <f>IF(AND(B167&lt;&gt;"",B166&lt;&gt;""),LN(B167/B166)*100,"")</f>
        <v/>
      </c>
      <c r="D167">
        <f>IF(COUNT(C165:C167)=3,STDEV.S(C165:C167),"")</f>
        <v/>
      </c>
      <c r="E167">
        <f>IF(COUNT(C156:C167)=12,STDEV.S(C156:C167),"")</f>
        <v/>
      </c>
    </row>
    <row r="168">
      <c r="A168" s="6" t="inlineStr">
        <is>
          <t>2003M11</t>
        </is>
      </c>
      <c r="B168" t="n">
        <v>389.91</v>
      </c>
      <c r="C168">
        <f>IF(AND(B168&lt;&gt;"",B167&lt;&gt;""),LN(B168/B167)*100,"")</f>
        <v/>
      </c>
      <c r="D168">
        <f>IF(COUNT(C166:C168)=3,STDEV.S(C166:C168),"")</f>
        <v/>
      </c>
      <c r="E168">
        <f>IF(COUNT(C157:C168)=12,STDEV.S(C157:C168),"")</f>
        <v/>
      </c>
    </row>
    <row r="169">
      <c r="A169" s="6" t="inlineStr">
        <is>
          <t>2003M12</t>
        </is>
      </c>
      <c r="B169" t="n">
        <v>406.9526315789473</v>
      </c>
      <c r="C169">
        <f>IF(AND(B169&lt;&gt;"",B168&lt;&gt;""),LN(B169/B168)*100,"")</f>
        <v/>
      </c>
      <c r="D169">
        <f>IF(COUNT(C167:C169)=3,STDEV.S(C167:C169),"")</f>
        <v/>
      </c>
      <c r="E169">
        <f>IF(COUNT(C158:C169)=12,STDEV.S(C158:C169),"")</f>
        <v/>
      </c>
    </row>
    <row r="170">
      <c r="A170" s="6" t="inlineStr">
        <is>
          <t>2004M1</t>
        </is>
      </c>
      <c r="B170" t="n">
        <v>413.7880952380953</v>
      </c>
      <c r="C170">
        <f>IF(AND(B170&lt;&gt;"",B169&lt;&gt;""),LN(B170/B169)*100,"")</f>
        <v/>
      </c>
      <c r="D170">
        <f>IF(COUNT(C168:C170)=3,STDEV.S(C168:C170),"")</f>
        <v/>
      </c>
      <c r="E170">
        <f>IF(COUNT(C159:C170)=12,STDEV.S(C159:C170),"")</f>
        <v/>
      </c>
    </row>
    <row r="171">
      <c r="A171" s="6" t="inlineStr">
        <is>
          <t>2004M2</t>
        </is>
      </c>
      <c r="B171" t="n">
        <v>404.8775</v>
      </c>
      <c r="C171">
        <f>IF(AND(B171&lt;&gt;"",B170&lt;&gt;""),LN(B171/B170)*100,"")</f>
        <v/>
      </c>
      <c r="D171">
        <f>IF(COUNT(C169:C171)=3,STDEV.S(C169:C171),"")</f>
        <v/>
      </c>
      <c r="E171">
        <f>IF(COUNT(C160:C171)=12,STDEV.S(C160:C171),"")</f>
        <v/>
      </c>
    </row>
    <row r="172">
      <c r="A172" s="6" t="inlineStr">
        <is>
          <t>2004M3</t>
        </is>
      </c>
      <c r="B172" t="n">
        <v>406.6673913043479</v>
      </c>
      <c r="C172">
        <f>IF(AND(B172&lt;&gt;"",B171&lt;&gt;""),LN(B172/B171)*100,"")</f>
        <v/>
      </c>
      <c r="D172">
        <f>IF(COUNT(C170:C172)=3,STDEV.S(C170:C172),"")</f>
        <v/>
      </c>
      <c r="E172">
        <f>IF(COUNT(C161:C172)=12,STDEV.S(C161:C172),"")</f>
        <v/>
      </c>
    </row>
    <row r="173">
      <c r="A173" s="6" t="inlineStr">
        <is>
          <t>2004M4</t>
        </is>
      </c>
      <c r="B173" t="n">
        <v>403.26</v>
      </c>
      <c r="C173">
        <f>IF(AND(B173&lt;&gt;"",B172&lt;&gt;""),LN(B173/B172)*100,"")</f>
        <v/>
      </c>
      <c r="D173">
        <f>IF(COUNT(C171:C173)=3,STDEV.S(C171:C173),"")</f>
        <v/>
      </c>
      <c r="E173">
        <f>IF(COUNT(C162:C173)=12,STDEV.S(C162:C173),"")</f>
        <v/>
      </c>
    </row>
    <row r="174">
      <c r="A174" s="6" t="inlineStr">
        <is>
          <t>2004M5</t>
        </is>
      </c>
      <c r="B174" t="n">
        <v>383.778947368421</v>
      </c>
      <c r="C174">
        <f>IF(AND(B174&lt;&gt;"",B173&lt;&gt;""),LN(B174/B173)*100,"")</f>
        <v/>
      </c>
      <c r="D174">
        <f>IF(COUNT(C172:C174)=3,STDEV.S(C172:C174),"")</f>
        <v/>
      </c>
      <c r="E174">
        <f>IF(COUNT(C163:C174)=12,STDEV.S(C163:C174),"")</f>
        <v/>
      </c>
    </row>
    <row r="175">
      <c r="A175" s="6" t="inlineStr">
        <is>
          <t>2004M6</t>
        </is>
      </c>
      <c r="B175" t="n">
        <v>392.3727272727272</v>
      </c>
      <c r="C175">
        <f>IF(AND(B175&lt;&gt;"",B174&lt;&gt;""),LN(B175/B174)*100,"")</f>
        <v/>
      </c>
      <c r="D175">
        <f>IF(COUNT(C173:C175)=3,STDEV.S(C173:C175),"")</f>
        <v/>
      </c>
      <c r="E175">
        <f>IF(COUNT(C164:C175)=12,STDEV.S(C164:C175),"")</f>
        <v/>
      </c>
    </row>
    <row r="176">
      <c r="A176" s="6" t="inlineStr">
        <is>
          <t>2004M7</t>
        </is>
      </c>
      <c r="B176" t="n">
        <v>398.0909090909091</v>
      </c>
      <c r="C176">
        <f>IF(AND(B176&lt;&gt;"",B175&lt;&gt;""),LN(B176/B175)*100,"")</f>
        <v/>
      </c>
      <c r="D176">
        <f>IF(COUNT(C174:C176)=3,STDEV.S(C174:C176),"")</f>
        <v/>
      </c>
      <c r="E176">
        <f>IF(COUNT(C165:C176)=12,STDEV.S(C165:C176),"")</f>
        <v/>
      </c>
    </row>
    <row r="177">
      <c r="A177" s="6" t="inlineStr">
        <is>
          <t>2004M8</t>
        </is>
      </c>
      <c r="B177" t="n">
        <v>400.5095238095238</v>
      </c>
      <c r="C177">
        <f>IF(AND(B177&lt;&gt;"",B176&lt;&gt;""),LN(B177/B176)*100,"")</f>
        <v/>
      </c>
      <c r="D177">
        <f>IF(COUNT(C175:C177)=3,STDEV.S(C175:C177),"")</f>
        <v/>
      </c>
      <c r="E177">
        <f>IF(COUNT(C166:C177)=12,STDEV.S(C166:C177),"")</f>
        <v/>
      </c>
    </row>
    <row r="178">
      <c r="A178" s="6" t="inlineStr">
        <is>
          <t>2004M9</t>
        </is>
      </c>
      <c r="B178" t="n">
        <v>405.275</v>
      </c>
      <c r="C178">
        <f>IF(AND(B178&lt;&gt;"",B177&lt;&gt;""),LN(B178/B177)*100,"")</f>
        <v/>
      </c>
      <c r="D178">
        <f>IF(COUNT(C176:C178)=3,STDEV.S(C176:C178),"")</f>
        <v/>
      </c>
      <c r="E178">
        <f>IF(COUNT(C167:C178)=12,STDEV.S(C167:C178),"")</f>
        <v/>
      </c>
    </row>
    <row r="179">
      <c r="A179" s="6" t="inlineStr">
        <is>
          <t>2004M10</t>
        </is>
      </c>
      <c r="B179" t="n">
        <v>420.4642857142857</v>
      </c>
      <c r="C179">
        <f>IF(AND(B179&lt;&gt;"",B178&lt;&gt;""),LN(B179/B178)*100,"")</f>
        <v/>
      </c>
      <c r="D179">
        <f>IF(COUNT(C177:C179)=3,STDEV.S(C177:C179),"")</f>
        <v/>
      </c>
      <c r="E179">
        <f>IF(COUNT(C168:C179)=12,STDEV.S(C168:C179),"")</f>
        <v/>
      </c>
    </row>
    <row r="180">
      <c r="A180" s="6" t="inlineStr">
        <is>
          <t>2004M11</t>
        </is>
      </c>
      <c r="B180" t="n">
        <v>439.375</v>
      </c>
      <c r="C180">
        <f>IF(AND(B180&lt;&gt;"",B179&lt;&gt;""),LN(B180/B179)*100,"")</f>
        <v/>
      </c>
      <c r="D180">
        <f>IF(COUNT(C178:C180)=3,STDEV.S(C178:C180),"")</f>
        <v/>
      </c>
      <c r="E180">
        <f>IF(COUNT(C169:C180)=12,STDEV.S(C169:C180),"")</f>
        <v/>
      </c>
    </row>
    <row r="181">
      <c r="A181" s="6" t="inlineStr">
        <is>
          <t>2004M12</t>
        </is>
      </c>
      <c r="B181" t="n">
        <v>442.078947368421</v>
      </c>
      <c r="C181">
        <f>IF(AND(B181&lt;&gt;"",B180&lt;&gt;""),LN(B181/B180)*100,"")</f>
        <v/>
      </c>
      <c r="D181">
        <f>IF(COUNT(C179:C181)=3,STDEV.S(C179:C181),"")</f>
        <v/>
      </c>
      <c r="E181">
        <f>IF(COUNT(C170:C181)=12,STDEV.S(C170:C181),"")</f>
        <v/>
      </c>
    </row>
    <row r="182">
      <c r="A182" s="6" t="inlineStr">
        <is>
          <t>2005M1</t>
        </is>
      </c>
      <c r="B182" t="n">
        <v>424.03</v>
      </c>
      <c r="C182">
        <f>IF(AND(B182&lt;&gt;"",B181&lt;&gt;""),LN(B182/B181)*100,"")</f>
        <v/>
      </c>
      <c r="D182">
        <f>IF(COUNT(C180:C182)=3,STDEV.S(C180:C182),"")</f>
        <v/>
      </c>
      <c r="E182">
        <f>IF(COUNT(C171:C182)=12,STDEV.S(C171:C182),"")</f>
        <v/>
      </c>
    </row>
    <row r="183">
      <c r="A183" s="6" t="inlineStr">
        <is>
          <t>2005M2</t>
        </is>
      </c>
      <c r="B183" t="n">
        <v>423.35</v>
      </c>
      <c r="C183">
        <f>IF(AND(B183&lt;&gt;"",B182&lt;&gt;""),LN(B183/B182)*100,"")</f>
        <v/>
      </c>
      <c r="D183">
        <f>IF(COUNT(C181:C183)=3,STDEV.S(C181:C183),"")</f>
        <v/>
      </c>
      <c r="E183">
        <f>IF(COUNT(C172:C183)=12,STDEV.S(C172:C183),"")</f>
        <v/>
      </c>
    </row>
    <row r="184">
      <c r="A184" s="6" t="inlineStr">
        <is>
          <t>2005M3</t>
        </is>
      </c>
      <c r="B184" t="n">
        <v>434.3214285714286</v>
      </c>
      <c r="C184">
        <f>IF(AND(B184&lt;&gt;"",B183&lt;&gt;""),LN(B184/B183)*100,"")</f>
        <v/>
      </c>
      <c r="D184">
        <f>IF(COUNT(C182:C184)=3,STDEV.S(C182:C184),"")</f>
        <v/>
      </c>
      <c r="E184">
        <f>IF(COUNT(C173:C184)=12,STDEV.S(C173:C184),"")</f>
        <v/>
      </c>
    </row>
    <row r="185">
      <c r="A185" s="6" t="inlineStr">
        <is>
          <t>2005M4</t>
        </is>
      </c>
      <c r="B185" t="n">
        <v>429.2333333333334</v>
      </c>
      <c r="C185">
        <f>IF(AND(B185&lt;&gt;"",B184&lt;&gt;""),LN(B185/B184)*100,"")</f>
        <v/>
      </c>
      <c r="D185">
        <f>IF(COUNT(C183:C185)=3,STDEV.S(C183:C185),"")</f>
        <v/>
      </c>
      <c r="E185">
        <f>IF(COUNT(C174:C185)=12,STDEV.S(C174:C185),"")</f>
        <v/>
      </c>
    </row>
    <row r="186">
      <c r="A186" s="6" t="inlineStr">
        <is>
          <t>2005M5</t>
        </is>
      </c>
      <c r="B186" t="n">
        <v>421.8725</v>
      </c>
      <c r="C186">
        <f>IF(AND(B186&lt;&gt;"",B185&lt;&gt;""),LN(B186/B185)*100,"")</f>
        <v/>
      </c>
      <c r="D186">
        <f>IF(COUNT(C184:C186)=3,STDEV.S(C184:C186),"")</f>
        <v/>
      </c>
      <c r="E186">
        <f>IF(COUNT(C175:C186)=12,STDEV.S(C175:C186),"")</f>
        <v/>
      </c>
    </row>
    <row r="187">
      <c r="A187" s="6" t="inlineStr">
        <is>
          <t>2005M6</t>
        </is>
      </c>
      <c r="B187" t="n">
        <v>430.6568181818182</v>
      </c>
      <c r="C187">
        <f>IF(AND(B187&lt;&gt;"",B186&lt;&gt;""),LN(B187/B186)*100,"")</f>
        <v/>
      </c>
      <c r="D187">
        <f>IF(COUNT(C185:C187)=3,STDEV.S(C185:C187),"")</f>
        <v/>
      </c>
      <c r="E187">
        <f>IF(COUNT(C176:C187)=12,STDEV.S(C176:C187),"")</f>
        <v/>
      </c>
    </row>
    <row r="188">
      <c r="A188" s="6" t="inlineStr">
        <is>
          <t>2005M7</t>
        </is>
      </c>
      <c r="B188" t="n">
        <v>424.4785714285714</v>
      </c>
      <c r="C188">
        <f>IF(AND(B188&lt;&gt;"",B187&lt;&gt;""),LN(B188/B187)*100,"")</f>
        <v/>
      </c>
      <c r="D188">
        <f>IF(COUNT(C186:C188)=3,STDEV.S(C186:C188),"")</f>
        <v/>
      </c>
      <c r="E188">
        <f>IF(COUNT(C177:C188)=12,STDEV.S(C177:C188),"")</f>
        <v/>
      </c>
    </row>
    <row r="189">
      <c r="A189" s="6" t="inlineStr">
        <is>
          <t>2005M8</t>
        </is>
      </c>
      <c r="B189" t="n">
        <v>437.9295454545454</v>
      </c>
      <c r="C189">
        <f>IF(AND(B189&lt;&gt;"",B188&lt;&gt;""),LN(B189/B188)*100,"")</f>
        <v/>
      </c>
      <c r="D189">
        <f>IF(COUNT(C187:C189)=3,STDEV.S(C187:C189),"")</f>
        <v/>
      </c>
      <c r="E189">
        <f>IF(COUNT(C178:C189)=12,STDEV.S(C178:C189),"")</f>
        <v/>
      </c>
    </row>
    <row r="190">
      <c r="A190" s="6" t="inlineStr">
        <is>
          <t>2005M9</t>
        </is>
      </c>
      <c r="B190" t="n">
        <v>456.0477272727272</v>
      </c>
      <c r="C190">
        <f>IF(AND(B190&lt;&gt;"",B189&lt;&gt;""),LN(B190/B189)*100,"")</f>
        <v/>
      </c>
      <c r="D190">
        <f>IF(COUNT(C188:C190)=3,STDEV.S(C188:C190),"")</f>
        <v/>
      </c>
      <c r="E190">
        <f>IF(COUNT(C179:C190)=12,STDEV.S(C179:C190),"")</f>
        <v/>
      </c>
    </row>
    <row r="191">
      <c r="A191" s="6" t="inlineStr">
        <is>
          <t>2005M10</t>
        </is>
      </c>
      <c r="B191" t="n">
        <v>469.8976190476191</v>
      </c>
      <c r="C191">
        <f>IF(AND(B191&lt;&gt;"",B190&lt;&gt;""),LN(B191/B190)*100,"")</f>
        <v/>
      </c>
      <c r="D191">
        <f>IF(COUNT(C189:C191)=3,STDEV.S(C189:C191),"")</f>
        <v/>
      </c>
      <c r="E191">
        <f>IF(COUNT(C180:C191)=12,STDEV.S(C180:C191),"")</f>
        <v/>
      </c>
    </row>
    <row r="192">
      <c r="A192" s="6" t="inlineStr">
        <is>
          <t>2005M11</t>
        </is>
      </c>
      <c r="B192" t="n">
        <v>476.6659090909091</v>
      </c>
      <c r="C192">
        <f>IF(AND(B192&lt;&gt;"",B191&lt;&gt;""),LN(B192/B191)*100,"")</f>
        <v/>
      </c>
      <c r="D192">
        <f>IF(COUNT(C190:C192)=3,STDEV.S(C190:C192),"")</f>
        <v/>
      </c>
      <c r="E192">
        <f>IF(COUNT(C181:C192)=12,STDEV.S(C181:C192),"")</f>
        <v/>
      </c>
    </row>
    <row r="193">
      <c r="A193" s="6" t="inlineStr">
        <is>
          <t>2005M12</t>
        </is>
      </c>
      <c r="B193" t="n">
        <v>510.0972222222222</v>
      </c>
      <c r="C193">
        <f>IF(AND(B193&lt;&gt;"",B192&lt;&gt;""),LN(B193/B192)*100,"")</f>
        <v/>
      </c>
      <c r="D193">
        <f>IF(COUNT(C191:C193)=3,STDEV.S(C191:C193),"")</f>
        <v/>
      </c>
      <c r="E193">
        <f>IF(COUNT(C182:C193)=12,STDEV.S(C182:C193),"")</f>
        <v/>
      </c>
    </row>
    <row r="194">
      <c r="A194" s="6" t="inlineStr">
        <is>
          <t>2006M1</t>
        </is>
      </c>
      <c r="B194" t="n">
        <v>549.8642857142856</v>
      </c>
      <c r="C194">
        <f>IF(AND(B194&lt;&gt;"",B193&lt;&gt;""),LN(B194/B193)*100,"")</f>
        <v/>
      </c>
      <c r="D194">
        <f>IF(COUNT(C192:C194)=3,STDEV.S(C192:C194),"")</f>
        <v/>
      </c>
      <c r="E194">
        <f>IF(COUNT(C183:C194)=12,STDEV.S(C183:C194),"")</f>
        <v/>
      </c>
    </row>
    <row r="195">
      <c r="A195" s="6" t="inlineStr">
        <is>
          <t>2006M2</t>
        </is>
      </c>
      <c r="B195" t="n">
        <v>554.995</v>
      </c>
      <c r="C195">
        <f>IF(AND(B195&lt;&gt;"",B194&lt;&gt;""),LN(B195/B194)*100,"")</f>
        <v/>
      </c>
      <c r="D195">
        <f>IF(COUNT(C193:C195)=3,STDEV.S(C193:C195),"")</f>
        <v/>
      </c>
      <c r="E195">
        <f>IF(COUNT(C184:C195)=12,STDEV.S(C184:C195),"")</f>
        <v/>
      </c>
    </row>
    <row r="196">
      <c r="A196" s="6" t="inlineStr">
        <is>
          <t>2006M3</t>
        </is>
      </c>
      <c r="B196" t="n">
        <v>557.0934782608696</v>
      </c>
      <c r="C196">
        <f>IF(AND(B196&lt;&gt;"",B195&lt;&gt;""),LN(B196/B195)*100,"")</f>
        <v/>
      </c>
      <c r="D196">
        <f>IF(COUNT(C194:C196)=3,STDEV.S(C194:C196),"")</f>
        <v/>
      </c>
      <c r="E196">
        <f>IF(COUNT(C185:C196)=12,STDEV.S(C185:C196),"")</f>
        <v/>
      </c>
    </row>
    <row r="197">
      <c r="A197" s="6" t="inlineStr">
        <is>
          <t>2006M4</t>
        </is>
      </c>
      <c r="B197" t="n">
        <v>610.6527777777778</v>
      </c>
      <c r="C197">
        <f>IF(AND(B197&lt;&gt;"",B196&lt;&gt;""),LN(B197/B196)*100,"")</f>
        <v/>
      </c>
      <c r="D197">
        <f>IF(COUNT(C195:C197)=3,STDEV.S(C195:C197),"")</f>
        <v/>
      </c>
      <c r="E197">
        <f>IF(COUNT(C186:C197)=12,STDEV.S(C186:C197),"")</f>
        <v/>
      </c>
    </row>
    <row r="198">
      <c r="A198" s="6" t="inlineStr">
        <is>
          <t>2006M5</t>
        </is>
      </c>
      <c r="B198" t="n">
        <v>675.3928571428571</v>
      </c>
      <c r="C198">
        <f>IF(AND(B198&lt;&gt;"",B197&lt;&gt;""),LN(B198/B197)*100,"")</f>
        <v/>
      </c>
      <c r="D198">
        <f>IF(COUNT(C196:C198)=3,STDEV.S(C196:C198),"")</f>
        <v/>
      </c>
      <c r="E198">
        <f>IF(COUNT(C187:C198)=12,STDEV.S(C187:C198),"")</f>
        <v/>
      </c>
    </row>
    <row r="199">
      <c r="A199" s="6" t="inlineStr">
        <is>
          <t>2006M6</t>
        </is>
      </c>
      <c r="B199" t="n">
        <v>596.1454545454545</v>
      </c>
      <c r="C199">
        <f>IF(AND(B199&lt;&gt;"",B198&lt;&gt;""),LN(B199/B198)*100,"")</f>
        <v/>
      </c>
      <c r="D199">
        <f>IF(COUNT(C197:C199)=3,STDEV.S(C197:C199),"")</f>
        <v/>
      </c>
      <c r="E199">
        <f>IF(COUNT(C188:C199)=12,STDEV.S(C188:C199),"")</f>
        <v/>
      </c>
    </row>
    <row r="200">
      <c r="A200" s="6" t="inlineStr">
        <is>
          <t>2006M7</t>
        </is>
      </c>
      <c r="B200" t="n">
        <v>633.7095238095238</v>
      </c>
      <c r="C200">
        <f>IF(AND(B200&lt;&gt;"",B199&lt;&gt;""),LN(B200/B199)*100,"")</f>
        <v/>
      </c>
      <c r="D200">
        <f>IF(COUNT(C198:C200)=3,STDEV.S(C198:C200),"")</f>
        <v/>
      </c>
      <c r="E200">
        <f>IF(COUNT(C189:C200)=12,STDEV.S(C189:C200),"")</f>
        <v/>
      </c>
    </row>
    <row r="201">
      <c r="A201" s="6" t="inlineStr">
        <is>
          <t>2006M8</t>
        </is>
      </c>
      <c r="B201" t="n">
        <v>632.5931818181818</v>
      </c>
      <c r="C201">
        <f>IF(AND(B201&lt;&gt;"",B200&lt;&gt;""),LN(B201/B200)*100,"")</f>
        <v/>
      </c>
      <c r="D201">
        <f>IF(COUNT(C199:C201)=3,STDEV.S(C199:C201),"")</f>
        <v/>
      </c>
      <c r="E201">
        <f>IF(COUNT(C190:C201)=12,STDEV.S(C190:C201),"")</f>
        <v/>
      </c>
    </row>
    <row r="202">
      <c r="A202" s="6" t="inlineStr">
        <is>
          <t>2006M9</t>
        </is>
      </c>
      <c r="B202" t="n">
        <v>598.1857142857143</v>
      </c>
      <c r="C202">
        <f>IF(AND(B202&lt;&gt;"",B201&lt;&gt;""),LN(B202/B201)*100,"")</f>
        <v/>
      </c>
      <c r="D202">
        <f>IF(COUNT(C200:C202)=3,STDEV.S(C200:C202),"")</f>
        <v/>
      </c>
      <c r="E202">
        <f>IF(COUNT(C191:C202)=12,STDEV.S(C191:C202),"")</f>
        <v/>
      </c>
    </row>
    <row r="203">
      <c r="A203" s="6" t="inlineStr">
        <is>
          <t>2006M10</t>
        </is>
      </c>
      <c r="B203" t="n">
        <v>585.7795454545455</v>
      </c>
      <c r="C203">
        <f>IF(AND(B203&lt;&gt;"",B202&lt;&gt;""),LN(B203/B202)*100,"")</f>
        <v/>
      </c>
      <c r="D203">
        <f>IF(COUNT(C201:C203)=3,STDEV.S(C201:C203),"")</f>
        <v/>
      </c>
      <c r="E203">
        <f>IF(COUNT(C192:C203)=12,STDEV.S(C192:C203),"")</f>
        <v/>
      </c>
    </row>
    <row r="204">
      <c r="A204" s="6" t="inlineStr">
        <is>
          <t>2006M11</t>
        </is>
      </c>
      <c r="B204" t="n">
        <v>627.8272727272728</v>
      </c>
      <c r="C204">
        <f>IF(AND(B204&lt;&gt;"",B203&lt;&gt;""),LN(B204/B203)*100,"")</f>
        <v/>
      </c>
      <c r="D204">
        <f>IF(COUNT(C202:C204)=3,STDEV.S(C202:C204),"")</f>
        <v/>
      </c>
      <c r="E204">
        <f>IF(COUNT(C193:C204)=12,STDEV.S(C193:C204),"")</f>
        <v/>
      </c>
    </row>
    <row r="205">
      <c r="A205" s="6" t="inlineStr">
        <is>
          <t>2006M12</t>
        </is>
      </c>
      <c r="B205" t="n">
        <v>629.7911764705883</v>
      </c>
      <c r="C205">
        <f>IF(AND(B205&lt;&gt;"",B204&lt;&gt;""),LN(B205/B204)*100,"")</f>
        <v/>
      </c>
      <c r="D205">
        <f>IF(COUNT(C203:C205)=3,STDEV.S(C203:C205),"")</f>
        <v/>
      </c>
      <c r="E205">
        <f>IF(COUNT(C194:C205)=12,STDEV.S(C194:C205),"")</f>
        <v/>
      </c>
    </row>
    <row r="206">
      <c r="A206" s="6" t="inlineStr">
        <is>
          <t>2007M1</t>
        </is>
      </c>
      <c r="B206" t="n">
        <v>631.1659090909092</v>
      </c>
      <c r="C206">
        <f>IF(AND(B206&lt;&gt;"",B205&lt;&gt;""),LN(B206/B205)*100,"")</f>
        <v/>
      </c>
      <c r="D206">
        <f>IF(COUNT(C204:C206)=3,STDEV.S(C204:C206),"")</f>
        <v/>
      </c>
      <c r="E206">
        <f>IF(COUNT(C195:C206)=12,STDEV.S(C195:C206),"")</f>
        <v/>
      </c>
    </row>
    <row r="207">
      <c r="A207" s="6" t="inlineStr">
        <is>
          <t>2007M2</t>
        </is>
      </c>
      <c r="B207" t="n">
        <v>664.745</v>
      </c>
      <c r="C207">
        <f>IF(AND(B207&lt;&gt;"",B206&lt;&gt;""),LN(B207/B206)*100,"")</f>
        <v/>
      </c>
      <c r="D207">
        <f>IF(COUNT(C205:C207)=3,STDEV.S(C205:C207),"")</f>
        <v/>
      </c>
      <c r="E207">
        <f>IF(COUNT(C196:C207)=12,STDEV.S(C196:C207),"")</f>
        <v/>
      </c>
    </row>
    <row r="208">
      <c r="A208" s="6" t="inlineStr">
        <is>
          <t>2007M3</t>
        </is>
      </c>
      <c r="B208" t="n">
        <v>654.8954545454545</v>
      </c>
      <c r="C208">
        <f>IF(AND(B208&lt;&gt;"",B207&lt;&gt;""),LN(B208/B207)*100,"")</f>
        <v/>
      </c>
      <c r="D208">
        <f>IF(COUNT(C206:C208)=3,STDEV.S(C206:C208),"")</f>
        <v/>
      </c>
      <c r="E208">
        <f>IF(COUNT(C197:C208)=12,STDEV.S(C197:C208),"")</f>
        <v/>
      </c>
    </row>
    <row r="209">
      <c r="A209" s="6" t="inlineStr">
        <is>
          <t>2007M4</t>
        </is>
      </c>
      <c r="B209" t="n">
        <v>679.3684210526316</v>
      </c>
      <c r="C209">
        <f>IF(AND(B209&lt;&gt;"",B208&lt;&gt;""),LN(B209/B208)*100,"")</f>
        <v/>
      </c>
      <c r="D209">
        <f>IF(COUNT(C207:C209)=3,STDEV.S(C207:C209),"")</f>
        <v/>
      </c>
      <c r="E209">
        <f>IF(COUNT(C198:C209)=12,STDEV.S(C198:C209),"")</f>
        <v/>
      </c>
    </row>
    <row r="210">
      <c r="A210" s="6" t="inlineStr">
        <is>
          <t>2007M5</t>
        </is>
      </c>
      <c r="B210" t="n">
        <v>666.8595238095237</v>
      </c>
      <c r="C210">
        <f>IF(AND(B210&lt;&gt;"",B209&lt;&gt;""),LN(B210/B209)*100,"")</f>
        <v/>
      </c>
      <c r="D210">
        <f>IF(COUNT(C208:C210)=3,STDEV.S(C208:C210),"")</f>
        <v/>
      </c>
      <c r="E210">
        <f>IF(COUNT(C199:C210)=12,STDEV.S(C199:C210),"")</f>
        <v/>
      </c>
    </row>
    <row r="211">
      <c r="A211" s="6" t="inlineStr">
        <is>
          <t>2007M6</t>
        </is>
      </c>
      <c r="B211" t="n">
        <v>655.4904761904762</v>
      </c>
      <c r="C211">
        <f>IF(AND(B211&lt;&gt;"",B210&lt;&gt;""),LN(B211/B210)*100,"")</f>
        <v/>
      </c>
      <c r="D211">
        <f>IF(COUNT(C209:C211)=3,STDEV.S(C209:C211),"")</f>
        <v/>
      </c>
      <c r="E211">
        <f>IF(COUNT(C200:C211)=12,STDEV.S(C200:C211),"")</f>
        <v/>
      </c>
    </row>
    <row r="212">
      <c r="A212" s="6" t="inlineStr">
        <is>
          <t>2007M7</t>
        </is>
      </c>
      <c r="B212" t="n">
        <v>665.2954545454545</v>
      </c>
      <c r="C212">
        <f>IF(AND(B212&lt;&gt;"",B211&lt;&gt;""),LN(B212/B211)*100,"")</f>
        <v/>
      </c>
      <c r="D212">
        <f>IF(COUNT(C210:C212)=3,STDEV.S(C210:C212),"")</f>
        <v/>
      </c>
      <c r="E212">
        <f>IF(COUNT(C201:C212)=12,STDEV.S(C201:C212),"")</f>
        <v/>
      </c>
    </row>
    <row r="213">
      <c r="A213" s="6" t="inlineStr">
        <is>
          <t>2007M8</t>
        </is>
      </c>
      <c r="B213" t="n">
        <v>665.4113636363637</v>
      </c>
      <c r="C213">
        <f>IF(AND(B213&lt;&gt;"",B212&lt;&gt;""),LN(B213/B212)*100,"")</f>
        <v/>
      </c>
      <c r="D213">
        <f>IF(COUNT(C211:C213)=3,STDEV.S(C211:C213),"")</f>
        <v/>
      </c>
      <c r="E213">
        <f>IF(COUNT(C202:C213)=12,STDEV.S(C202:C213),"")</f>
        <v/>
      </c>
    </row>
    <row r="214">
      <c r="A214" s="6" t="inlineStr">
        <is>
          <t>2007M9</t>
        </is>
      </c>
      <c r="B214" t="n">
        <v>712.6525</v>
      </c>
      <c r="C214">
        <f>IF(AND(B214&lt;&gt;"",B213&lt;&gt;""),LN(B214/B213)*100,"")</f>
        <v/>
      </c>
      <c r="D214">
        <f>IF(COUNT(C212:C214)=3,STDEV.S(C212:C214),"")</f>
        <v/>
      </c>
      <c r="E214">
        <f>IF(COUNT(C203:C214)=12,STDEV.S(C203:C214),"")</f>
        <v/>
      </c>
    </row>
    <row r="215">
      <c r="A215" s="6" t="inlineStr">
        <is>
          <t>2007M10</t>
        </is>
      </c>
      <c r="B215" t="n">
        <v>754.6043478260871</v>
      </c>
      <c r="C215">
        <f>IF(AND(B215&lt;&gt;"",B214&lt;&gt;""),LN(B215/B214)*100,"")</f>
        <v/>
      </c>
      <c r="D215">
        <f>IF(COUNT(C213:C215)=3,STDEV.S(C213:C215),"")</f>
        <v/>
      </c>
      <c r="E215">
        <f>IF(COUNT(C204:C215)=12,STDEV.S(C204:C215),"")</f>
        <v/>
      </c>
    </row>
    <row r="216">
      <c r="A216" s="6" t="inlineStr">
        <is>
          <t>2007M11</t>
        </is>
      </c>
      <c r="B216" t="n">
        <v>806.2477272727273</v>
      </c>
      <c r="C216">
        <f>IF(AND(B216&lt;&gt;"",B215&lt;&gt;""),LN(B216/B215)*100,"")</f>
        <v/>
      </c>
      <c r="D216">
        <f>IF(COUNT(C214:C216)=3,STDEV.S(C214:C216),"")</f>
        <v/>
      </c>
      <c r="E216">
        <f>IF(COUNT(C205:C216)=12,STDEV.S(C205:C216),"")</f>
        <v/>
      </c>
    </row>
    <row r="217">
      <c r="A217" s="6" t="inlineStr">
        <is>
          <t>2007M12</t>
        </is>
      </c>
      <c r="B217" t="n">
        <v>803.2029411764706</v>
      </c>
      <c r="C217">
        <f>IF(AND(B217&lt;&gt;"",B216&lt;&gt;""),LN(B217/B216)*100,"")</f>
        <v/>
      </c>
      <c r="D217">
        <f>IF(COUNT(C215:C217)=3,STDEV.S(C215:C217),"")</f>
        <v/>
      </c>
      <c r="E217">
        <f>IF(COUNT(C206:C217)=12,STDEV.S(C206:C217),"")</f>
        <v/>
      </c>
    </row>
    <row r="218">
      <c r="A218" s="6" t="inlineStr">
        <is>
          <t>2008M1</t>
        </is>
      </c>
      <c r="B218" t="n">
        <v>889.5954545454545</v>
      </c>
      <c r="C218">
        <f>IF(AND(B218&lt;&gt;"",B217&lt;&gt;""),LN(B218/B217)*100,"")</f>
        <v/>
      </c>
      <c r="D218">
        <f>IF(COUNT(C216:C218)=3,STDEV.S(C216:C218),"")</f>
        <v/>
      </c>
      <c r="E218">
        <f>IF(COUNT(C207:C218)=12,STDEV.S(C207:C218),"")</f>
        <v/>
      </c>
    </row>
    <row r="219">
      <c r="A219" s="6" t="inlineStr">
        <is>
          <t>2008M2</t>
        </is>
      </c>
      <c r="B219" t="n">
        <v>922.297619047619</v>
      </c>
      <c r="C219">
        <f>IF(AND(B219&lt;&gt;"",B218&lt;&gt;""),LN(B219/B218)*100,"")</f>
        <v/>
      </c>
      <c r="D219">
        <f>IF(COUNT(C217:C219)=3,STDEV.S(C217:C219),"")</f>
        <v/>
      </c>
      <c r="E219">
        <f>IF(COUNT(C208:C219)=12,STDEV.S(C208:C219),"")</f>
        <v/>
      </c>
    </row>
    <row r="220">
      <c r="A220" s="6" t="inlineStr">
        <is>
          <t>2008M3</t>
        </is>
      </c>
      <c r="B220" t="n">
        <v>968.4342105263158</v>
      </c>
      <c r="C220">
        <f>IF(AND(B220&lt;&gt;"",B219&lt;&gt;""),LN(B220/B219)*100,"")</f>
        <v/>
      </c>
      <c r="D220">
        <f>IF(COUNT(C218:C220)=3,STDEV.S(C218:C220),"")</f>
        <v/>
      </c>
      <c r="E220">
        <f>IF(COUNT(C209:C220)=12,STDEV.S(C209:C220),"")</f>
        <v/>
      </c>
    </row>
    <row r="221">
      <c r="A221" s="6" t="inlineStr">
        <is>
          <t>2008M4</t>
        </is>
      </c>
      <c r="B221" t="n">
        <v>909.7045454545455</v>
      </c>
      <c r="C221">
        <f>IF(AND(B221&lt;&gt;"",B220&lt;&gt;""),LN(B221/B220)*100,"")</f>
        <v/>
      </c>
      <c r="D221">
        <f>IF(COUNT(C219:C221)=3,STDEV.S(C219:C221),"")</f>
        <v/>
      </c>
      <c r="E221">
        <f>IF(COUNT(C210:C221)=12,STDEV.S(C210:C221),"")</f>
        <v/>
      </c>
    </row>
    <row r="222">
      <c r="A222" s="6" t="inlineStr">
        <is>
          <t>2008M5</t>
        </is>
      </c>
      <c r="B222" t="n">
        <v>888.6625</v>
      </c>
      <c r="C222">
        <f>IF(AND(B222&lt;&gt;"",B221&lt;&gt;""),LN(B222/B221)*100,"")</f>
        <v/>
      </c>
      <c r="D222">
        <f>IF(COUNT(C220:C222)=3,STDEV.S(C220:C222),"")</f>
        <v/>
      </c>
      <c r="E222">
        <f>IF(COUNT(C211:C222)=12,STDEV.S(C211:C222),"")</f>
        <v/>
      </c>
    </row>
    <row r="223">
      <c r="A223" s="6" t="inlineStr">
        <is>
          <t>2008M6</t>
        </is>
      </c>
      <c r="B223" t="n">
        <v>889.4880952380952</v>
      </c>
      <c r="C223">
        <f>IF(AND(B223&lt;&gt;"",B222&lt;&gt;""),LN(B223/B222)*100,"")</f>
        <v/>
      </c>
      <c r="D223">
        <f>IF(COUNT(C221:C223)=3,STDEV.S(C221:C223),"")</f>
        <v/>
      </c>
      <c r="E223">
        <f>IF(COUNT(C212:C223)=12,STDEV.S(C212:C223),"")</f>
        <v/>
      </c>
    </row>
    <row r="224">
      <c r="A224" s="6" t="inlineStr">
        <is>
          <t>2008M7</t>
        </is>
      </c>
      <c r="B224" t="n">
        <v>939.7717391304348</v>
      </c>
      <c r="C224">
        <f>IF(AND(B224&lt;&gt;"",B223&lt;&gt;""),LN(B224/B223)*100,"")</f>
        <v/>
      </c>
      <c r="D224">
        <f>IF(COUNT(C222:C224)=3,STDEV.S(C222:C224),"")</f>
        <v/>
      </c>
      <c r="E224">
        <f>IF(COUNT(C213:C224)=12,STDEV.S(C213:C224),"")</f>
        <v/>
      </c>
    </row>
    <row r="225">
      <c r="A225" s="6" t="inlineStr">
        <is>
          <t>2008M8</t>
        </is>
      </c>
      <c r="B225" t="n">
        <v>839.025</v>
      </c>
      <c r="C225">
        <f>IF(AND(B225&lt;&gt;"",B224&lt;&gt;""),LN(B225/B224)*100,"")</f>
        <v/>
      </c>
      <c r="D225">
        <f>IF(COUNT(C223:C225)=3,STDEV.S(C223:C225),"")</f>
        <v/>
      </c>
      <c r="E225">
        <f>IF(COUNT(C214:C225)=12,STDEV.S(C214:C225),"")</f>
        <v/>
      </c>
    </row>
    <row r="226">
      <c r="A226" s="6" t="inlineStr">
        <is>
          <t>2008M9</t>
        </is>
      </c>
      <c r="B226" t="n">
        <v>829.9318181818181</v>
      </c>
      <c r="C226">
        <f>IF(AND(B226&lt;&gt;"",B225&lt;&gt;""),LN(B226/B225)*100,"")</f>
        <v/>
      </c>
      <c r="D226">
        <f>IF(COUNT(C224:C226)=3,STDEV.S(C224:C226),"")</f>
        <v/>
      </c>
      <c r="E226">
        <f>IF(COUNT(C215:C226)=12,STDEV.S(C215:C226),"")</f>
        <v/>
      </c>
    </row>
    <row r="227">
      <c r="A227" s="6" t="inlineStr">
        <is>
          <t>2008M10</t>
        </is>
      </c>
      <c r="B227" t="n">
        <v>806.6195652173913</v>
      </c>
      <c r="C227">
        <f>IF(AND(B227&lt;&gt;"",B226&lt;&gt;""),LN(B227/B226)*100,"")</f>
        <v/>
      </c>
      <c r="D227">
        <f>IF(COUNT(C225:C227)=3,STDEV.S(C225:C227),"")</f>
        <v/>
      </c>
      <c r="E227">
        <f>IF(COUNT(C216:C227)=12,STDEV.S(C216:C227),"")</f>
        <v/>
      </c>
    </row>
    <row r="228">
      <c r="A228" s="6" t="inlineStr">
        <is>
          <t>2008M11</t>
        </is>
      </c>
      <c r="B228" t="n">
        <v>760.8625</v>
      </c>
      <c r="C228">
        <f>IF(AND(B228&lt;&gt;"",B227&lt;&gt;""),LN(B228/B227)*100,"")</f>
        <v/>
      </c>
      <c r="D228">
        <f>IF(COUNT(C226:C228)=3,STDEV.S(C226:C228),"")</f>
        <v/>
      </c>
      <c r="E228">
        <f>IF(COUNT(C217:C228)=12,STDEV.S(C217:C228),"")</f>
        <v/>
      </c>
    </row>
    <row r="229">
      <c r="A229" s="6" t="inlineStr">
        <is>
          <t>2008M12</t>
        </is>
      </c>
      <c r="B229" t="n">
        <v>816.0921052631579</v>
      </c>
      <c r="C229">
        <f>IF(AND(B229&lt;&gt;"",B228&lt;&gt;""),LN(B229/B228)*100,"")</f>
        <v/>
      </c>
      <c r="D229">
        <f>IF(COUNT(C227:C229)=3,STDEV.S(C227:C229),"")</f>
        <v/>
      </c>
      <c r="E229">
        <f>IF(COUNT(C218:C229)=12,STDEV.S(C218:C229),"")</f>
        <v/>
      </c>
    </row>
    <row r="230">
      <c r="A230" s="6" t="inlineStr">
        <is>
          <t>2009M1</t>
        </is>
      </c>
      <c r="B230" t="n">
        <v>858.6904761904761</v>
      </c>
      <c r="C230">
        <f>IF(AND(B230&lt;&gt;"",B229&lt;&gt;""),LN(B230/B229)*100,"")</f>
        <v/>
      </c>
      <c r="D230">
        <f>IF(COUNT(C228:C230)=3,STDEV.S(C228:C230),"")</f>
        <v/>
      </c>
      <c r="E230">
        <f>IF(COUNT(C219:C230)=12,STDEV.S(C219:C230),"")</f>
        <v/>
      </c>
    </row>
    <row r="231">
      <c r="A231" s="6" t="inlineStr">
        <is>
          <t>2009M2</t>
        </is>
      </c>
      <c r="B231" t="n">
        <v>943.1625</v>
      </c>
      <c r="C231">
        <f>IF(AND(B231&lt;&gt;"",B230&lt;&gt;""),LN(B231/B230)*100,"")</f>
        <v/>
      </c>
      <c r="D231">
        <f>IF(COUNT(C229:C231)=3,STDEV.S(C229:C231),"")</f>
        <v/>
      </c>
      <c r="E231">
        <f>IF(COUNT(C220:C231)=12,STDEV.S(C220:C231),"")</f>
        <v/>
      </c>
    </row>
    <row r="232">
      <c r="A232" s="6" t="inlineStr">
        <is>
          <t>2009M3</t>
        </is>
      </c>
      <c r="B232" t="n">
        <v>924.2727272727273</v>
      </c>
      <c r="C232">
        <f>IF(AND(B232&lt;&gt;"",B231&lt;&gt;""),LN(B232/B231)*100,"")</f>
        <v/>
      </c>
      <c r="D232">
        <f>IF(COUNT(C230:C232)=3,STDEV.S(C230:C232),"")</f>
        <v/>
      </c>
      <c r="E232">
        <f>IF(COUNT(C221:C232)=12,STDEV.S(C221:C232),"")</f>
        <v/>
      </c>
    </row>
    <row r="233">
      <c r="A233" s="6" t="inlineStr">
        <is>
          <t>2009M4</t>
        </is>
      </c>
      <c r="B233" t="n">
        <v>890.2</v>
      </c>
      <c r="C233">
        <f>IF(AND(B233&lt;&gt;"",B232&lt;&gt;""),LN(B233/B232)*100,"")</f>
        <v/>
      </c>
      <c r="D233">
        <f>IF(COUNT(C231:C233)=3,STDEV.S(C231:C233),"")</f>
        <v/>
      </c>
      <c r="E233">
        <f>IF(COUNT(C222:C233)=12,STDEV.S(C222:C233),"")</f>
        <v/>
      </c>
    </row>
    <row r="234">
      <c r="A234" s="6" t="inlineStr">
        <is>
          <t>2009M5</t>
        </is>
      </c>
      <c r="B234" t="n">
        <v>928.6447368421053</v>
      </c>
      <c r="C234">
        <f>IF(AND(B234&lt;&gt;"",B233&lt;&gt;""),LN(B234/B233)*100,"")</f>
        <v/>
      </c>
      <c r="D234">
        <f>IF(COUNT(C232:C234)=3,STDEV.S(C232:C234),"")</f>
        <v/>
      </c>
      <c r="E234">
        <f>IF(COUNT(C223:C234)=12,STDEV.S(C223:C234),"")</f>
        <v/>
      </c>
    </row>
    <row r="235">
      <c r="A235" s="6" t="inlineStr">
        <is>
          <t>2009M6</t>
        </is>
      </c>
      <c r="B235" t="n">
        <v>945.6704545454545</v>
      </c>
      <c r="C235">
        <f>IF(AND(B235&lt;&gt;"",B234&lt;&gt;""),LN(B235/B234)*100,"")</f>
        <v/>
      </c>
      <c r="D235">
        <f>IF(COUNT(C233:C235)=3,STDEV.S(C233:C235),"")</f>
        <v/>
      </c>
      <c r="E235">
        <f>IF(COUNT(C224:C235)=12,STDEV.S(C224:C235),"")</f>
        <v/>
      </c>
    </row>
    <row r="236">
      <c r="A236" s="6" t="inlineStr">
        <is>
          <t>2009M7</t>
        </is>
      </c>
      <c r="B236" t="n">
        <v>934.2282608695652</v>
      </c>
      <c r="C236">
        <f>IF(AND(B236&lt;&gt;"",B235&lt;&gt;""),LN(B236/B235)*100,"")</f>
        <v/>
      </c>
      <c r="D236">
        <f>IF(COUNT(C234:C236)=3,STDEV.S(C234:C236),"")</f>
        <v/>
      </c>
      <c r="E236">
        <f>IF(COUNT(C225:C236)=12,STDEV.S(C225:C236),"")</f>
        <v/>
      </c>
    </row>
    <row r="237">
      <c r="A237" s="6" t="inlineStr">
        <is>
          <t>2009M8</t>
        </is>
      </c>
      <c r="B237" t="n">
        <v>949.375</v>
      </c>
      <c r="C237">
        <f>IF(AND(B237&lt;&gt;"",B236&lt;&gt;""),LN(B237/B236)*100,"")</f>
        <v/>
      </c>
      <c r="D237">
        <f>IF(COUNT(C235:C237)=3,STDEV.S(C235:C237),"")</f>
        <v/>
      </c>
      <c r="E237">
        <f>IF(COUNT(C226:C237)=12,STDEV.S(C226:C237),"")</f>
        <v/>
      </c>
    </row>
    <row r="238">
      <c r="A238" s="6" t="inlineStr">
        <is>
          <t>2009M9</t>
        </is>
      </c>
      <c r="B238" t="n">
        <v>996.5909090909091</v>
      </c>
      <c r="C238">
        <f>IF(AND(B238&lt;&gt;"",B237&lt;&gt;""),LN(B238/B237)*100,"")</f>
        <v/>
      </c>
      <c r="D238">
        <f>IF(COUNT(C236:C238)=3,STDEV.S(C236:C238),"")</f>
        <v/>
      </c>
      <c r="E238">
        <f>IF(COUNT(C227:C238)=12,STDEV.S(C227:C238),"")</f>
        <v/>
      </c>
    </row>
    <row r="239">
      <c r="A239" s="6" t="inlineStr">
        <is>
          <t>2009M10</t>
        </is>
      </c>
      <c r="B239" t="n">
        <v>1043.159090909091</v>
      </c>
      <c r="C239">
        <f>IF(AND(B239&lt;&gt;"",B238&lt;&gt;""),LN(B239/B238)*100,"")</f>
        <v/>
      </c>
      <c r="D239">
        <f>IF(COUNT(C237:C239)=3,STDEV.S(C237:C239),"")</f>
        <v/>
      </c>
      <c r="E239">
        <f>IF(COUNT(C228:C239)=12,STDEV.S(C228:C239),"")</f>
        <v/>
      </c>
    </row>
    <row r="240">
      <c r="A240" s="6" t="inlineStr">
        <is>
          <t>2009M11</t>
        </is>
      </c>
      <c r="B240" t="n">
        <v>1127.035714285714</v>
      </c>
      <c r="C240">
        <f>IF(AND(B240&lt;&gt;"",B239&lt;&gt;""),LN(B240/B239)*100,"")</f>
        <v/>
      </c>
      <c r="D240">
        <f>IF(COUNT(C238:C240)=3,STDEV.S(C238:C240),"")</f>
        <v/>
      </c>
      <c r="E240">
        <f>IF(COUNT(C229:C240)=12,STDEV.S(C229:C240),"")</f>
        <v/>
      </c>
    </row>
    <row r="241">
      <c r="A241" s="6" t="inlineStr">
        <is>
          <t>2009M12</t>
        </is>
      </c>
      <c r="B241" t="n">
        <v>1134.723684210526</v>
      </c>
      <c r="C241">
        <f>IF(AND(B241&lt;&gt;"",B240&lt;&gt;""),LN(B241/B240)*100,"")</f>
        <v/>
      </c>
      <c r="D241">
        <f>IF(COUNT(C239:C241)=3,STDEV.S(C239:C241),"")</f>
        <v/>
      </c>
      <c r="E241">
        <f>IF(COUNT(C230:C241)=12,STDEV.S(C230:C241),"")</f>
        <v/>
      </c>
    </row>
    <row r="242">
      <c r="A242" s="6" t="inlineStr">
        <is>
          <t>2010M1</t>
        </is>
      </c>
      <c r="B242" t="n">
        <v>1117.9625</v>
      </c>
      <c r="C242">
        <f>IF(AND(B242&lt;&gt;"",B241&lt;&gt;""),LN(B242/B241)*100,"")</f>
        <v/>
      </c>
      <c r="D242">
        <f>IF(COUNT(C240:C242)=3,STDEV.S(C240:C242),"")</f>
        <v/>
      </c>
      <c r="E242">
        <f>IF(COUNT(C231:C242)=12,STDEV.S(C231:C242),"")</f>
        <v/>
      </c>
    </row>
    <row r="243">
      <c r="A243" s="6" t="inlineStr">
        <is>
          <t>2010M2</t>
        </is>
      </c>
      <c r="B243" t="n">
        <v>1095.4125</v>
      </c>
      <c r="C243">
        <f>IF(AND(B243&lt;&gt;"",B242&lt;&gt;""),LN(B243/B242)*100,"")</f>
        <v/>
      </c>
      <c r="D243">
        <f>IF(COUNT(C241:C243)=3,STDEV.S(C241:C243),"")</f>
        <v/>
      </c>
      <c r="E243">
        <f>IF(COUNT(C232:C243)=12,STDEV.S(C232:C243),"")</f>
        <v/>
      </c>
    </row>
    <row r="244">
      <c r="A244" s="6" t="inlineStr">
        <is>
          <t>2010M3</t>
        </is>
      </c>
      <c r="B244" t="n">
        <v>1113.336956521739</v>
      </c>
      <c r="C244">
        <f>IF(AND(B244&lt;&gt;"",B243&lt;&gt;""),LN(B244/B243)*100,"")</f>
        <v/>
      </c>
      <c r="D244">
        <f>IF(COUNT(C242:C244)=3,STDEV.S(C242:C244),"")</f>
        <v/>
      </c>
      <c r="E244">
        <f>IF(COUNT(C233:C244)=12,STDEV.S(C233:C244),"")</f>
        <v/>
      </c>
    </row>
    <row r="245">
      <c r="A245" s="6" t="inlineStr">
        <is>
          <t>2010M4</t>
        </is>
      </c>
      <c r="B245" t="n">
        <v>1148.6875</v>
      </c>
      <c r="C245">
        <f>IF(AND(B245&lt;&gt;"",B244&lt;&gt;""),LN(B245/B244)*100,"")</f>
        <v/>
      </c>
      <c r="D245">
        <f>IF(COUNT(C243:C245)=3,STDEV.S(C243:C245),"")</f>
        <v/>
      </c>
      <c r="E245">
        <f>IF(COUNT(C234:C245)=12,STDEV.S(C234:C245),"")</f>
        <v/>
      </c>
    </row>
    <row r="246">
      <c r="A246" s="6" t="inlineStr">
        <is>
          <t>2010M5</t>
        </is>
      </c>
      <c r="B246" t="n">
        <v>1205.434210526316</v>
      </c>
      <c r="C246">
        <f>IF(AND(B246&lt;&gt;"",B245&lt;&gt;""),LN(B246/B245)*100,"")</f>
        <v/>
      </c>
      <c r="D246">
        <f>IF(COUNT(C244:C246)=3,STDEV.S(C244:C246),"")</f>
        <v/>
      </c>
      <c r="E246">
        <f>IF(COUNT(C235:C246)=12,STDEV.S(C235:C246),"")</f>
        <v/>
      </c>
    </row>
    <row r="247">
      <c r="A247" s="6" t="inlineStr">
        <is>
          <t>2010M6</t>
        </is>
      </c>
      <c r="B247" t="n">
        <v>1232.920454545455</v>
      </c>
      <c r="C247">
        <f>IF(AND(B247&lt;&gt;"",B246&lt;&gt;""),LN(B247/B246)*100,"")</f>
        <v/>
      </c>
      <c r="D247">
        <f>IF(COUNT(C245:C247)=3,STDEV.S(C245:C247),"")</f>
        <v/>
      </c>
      <c r="E247">
        <f>IF(COUNT(C236:C247)=12,STDEV.S(C236:C247),"")</f>
        <v/>
      </c>
    </row>
    <row r="248">
      <c r="A248" s="6" t="inlineStr">
        <is>
          <t>2010M7</t>
        </is>
      </c>
      <c r="B248" t="n">
        <v>1192.965909090909</v>
      </c>
      <c r="C248">
        <f>IF(AND(B248&lt;&gt;"",B247&lt;&gt;""),LN(B248/B247)*100,"")</f>
        <v/>
      </c>
      <c r="D248">
        <f>IF(COUNT(C246:C248)=3,STDEV.S(C246:C248),"")</f>
        <v/>
      </c>
      <c r="E248">
        <f>IF(COUNT(C237:C248)=12,STDEV.S(C237:C248),"")</f>
        <v/>
      </c>
    </row>
    <row r="249">
      <c r="A249" s="6" t="inlineStr">
        <is>
          <t>2010M8</t>
        </is>
      </c>
      <c r="B249" t="n">
        <v>1215.809523809524</v>
      </c>
      <c r="C249">
        <f>IF(AND(B249&lt;&gt;"",B248&lt;&gt;""),LN(B249/B248)*100,"")</f>
        <v/>
      </c>
      <c r="D249">
        <f>IF(COUNT(C247:C249)=3,STDEV.S(C247:C249),"")</f>
        <v/>
      </c>
      <c r="E249">
        <f>IF(COUNT(C238:C249)=12,STDEV.S(C238:C249),"")</f>
        <v/>
      </c>
    </row>
    <row r="250">
      <c r="A250" s="6" t="inlineStr">
        <is>
          <t>2010M9</t>
        </is>
      </c>
      <c r="B250" t="n">
        <v>1270.977272727273</v>
      </c>
      <c r="C250">
        <f>IF(AND(B250&lt;&gt;"",B249&lt;&gt;""),LN(B250/B249)*100,"")</f>
        <v/>
      </c>
      <c r="D250">
        <f>IF(COUNT(C248:C250)=3,STDEV.S(C248:C250),"")</f>
        <v/>
      </c>
      <c r="E250">
        <f>IF(COUNT(C239:C250)=12,STDEV.S(C239:C250),"")</f>
        <v/>
      </c>
    </row>
    <row r="251">
      <c r="A251" s="6" t="inlineStr">
        <is>
          <t>2010M10</t>
        </is>
      </c>
      <c r="B251" t="n">
        <v>1342.02380952381</v>
      </c>
      <c r="C251">
        <f>IF(AND(B251&lt;&gt;"",B250&lt;&gt;""),LN(B251/B250)*100,"")</f>
        <v/>
      </c>
      <c r="D251">
        <f>IF(COUNT(C249:C251)=3,STDEV.S(C249:C251),"")</f>
        <v/>
      </c>
      <c r="E251">
        <f>IF(COUNT(C240:C251)=12,STDEV.S(C240:C251),"")</f>
        <v/>
      </c>
    </row>
    <row r="252">
      <c r="A252" s="6" t="inlineStr">
        <is>
          <t>2010M11</t>
        </is>
      </c>
      <c r="B252" t="n">
        <v>1369.886363636364</v>
      </c>
      <c r="C252">
        <f>IF(AND(B252&lt;&gt;"",B251&lt;&gt;""),LN(B252/B251)*100,"")</f>
        <v/>
      </c>
      <c r="D252">
        <f>IF(COUNT(C250:C252)=3,STDEV.S(C250:C252),"")</f>
        <v/>
      </c>
      <c r="E252">
        <f>IF(COUNT(C241:C252)=12,STDEV.S(C241:C252),"")</f>
        <v/>
      </c>
    </row>
    <row r="253">
      <c r="A253" s="6" t="inlineStr">
        <is>
          <t>2010M12</t>
        </is>
      </c>
      <c r="B253" t="n">
        <v>1390.552631578947</v>
      </c>
      <c r="C253">
        <f>IF(AND(B253&lt;&gt;"",B252&lt;&gt;""),LN(B253/B252)*100,"")</f>
        <v/>
      </c>
      <c r="D253">
        <f>IF(COUNT(C251:C253)=3,STDEV.S(C251:C253),"")</f>
        <v/>
      </c>
      <c r="E253">
        <f>IF(COUNT(C242:C253)=12,STDEV.S(C242:C253),"")</f>
        <v/>
      </c>
    </row>
    <row r="254">
      <c r="A254" s="6" t="inlineStr">
        <is>
          <t>2011M1</t>
        </is>
      </c>
      <c r="B254" t="n">
        <v>1356.4</v>
      </c>
      <c r="C254">
        <f>IF(AND(B254&lt;&gt;"",B253&lt;&gt;""),LN(B254/B253)*100,"")</f>
        <v/>
      </c>
      <c r="D254">
        <f>IF(COUNT(C252:C254)=3,STDEV.S(C252:C254),"")</f>
        <v/>
      </c>
      <c r="E254">
        <f>IF(COUNT(C243:C254)=12,STDEV.S(C243:C254),"")</f>
        <v/>
      </c>
    </row>
    <row r="255">
      <c r="A255" s="6" t="inlineStr">
        <is>
          <t>2011M2</t>
        </is>
      </c>
      <c r="B255" t="n">
        <v>1372.725</v>
      </c>
      <c r="C255">
        <f>IF(AND(B255&lt;&gt;"",B254&lt;&gt;""),LN(B255/B254)*100,"")</f>
        <v/>
      </c>
      <c r="D255">
        <f>IF(COUNT(C253:C255)=3,STDEV.S(C253:C255),"")</f>
        <v/>
      </c>
      <c r="E255">
        <f>IF(COUNT(C244:C255)=12,STDEV.S(C244:C255),"")</f>
        <v/>
      </c>
    </row>
    <row r="256">
      <c r="A256" s="6" t="inlineStr">
        <is>
          <t>2011M3</t>
        </is>
      </c>
      <c r="B256" t="n">
        <v>1424.010869565217</v>
      </c>
      <c r="C256">
        <f>IF(AND(B256&lt;&gt;"",B255&lt;&gt;""),LN(B256/B255)*100,"")</f>
        <v/>
      </c>
      <c r="D256">
        <f>IF(COUNT(C254:C256)=3,STDEV.S(C254:C256),"")</f>
        <v/>
      </c>
      <c r="E256">
        <f>IF(COUNT(C245:C256)=12,STDEV.S(C245:C256),"")</f>
        <v/>
      </c>
    </row>
    <row r="257">
      <c r="A257" s="6" t="inlineStr">
        <is>
          <t>2011M4</t>
        </is>
      </c>
      <c r="B257" t="n">
        <v>1473.805555555556</v>
      </c>
      <c r="C257">
        <f>IF(AND(B257&lt;&gt;"",B256&lt;&gt;""),LN(B257/B256)*100,"")</f>
        <v/>
      </c>
      <c r="D257">
        <f>IF(COUNT(C255:C257)=3,STDEV.S(C255:C257),"")</f>
        <v/>
      </c>
      <c r="E257">
        <f>IF(COUNT(C246:C257)=12,STDEV.S(C246:C257),"")</f>
        <v/>
      </c>
    </row>
    <row r="258">
      <c r="A258" s="6" t="inlineStr">
        <is>
          <t>2011M5</t>
        </is>
      </c>
      <c r="B258" t="n">
        <v>1510.4375</v>
      </c>
      <c r="C258">
        <f>IF(AND(B258&lt;&gt;"",B257&lt;&gt;""),LN(B258/B257)*100,"")</f>
        <v/>
      </c>
      <c r="D258">
        <f>IF(COUNT(C256:C258)=3,STDEV.S(C256:C258),"")</f>
        <v/>
      </c>
      <c r="E258">
        <f>IF(COUNT(C247:C258)=12,STDEV.S(C247:C258),"")</f>
        <v/>
      </c>
    </row>
    <row r="259">
      <c r="A259" s="6" t="inlineStr">
        <is>
          <t>2011M6</t>
        </is>
      </c>
      <c r="B259" t="n">
        <v>1528.659090909091</v>
      </c>
      <c r="C259">
        <f>IF(AND(B259&lt;&gt;"",B258&lt;&gt;""),LN(B259/B258)*100,"")</f>
        <v/>
      </c>
      <c r="D259">
        <f>IF(COUNT(C257:C259)=3,STDEV.S(C257:C259),"")</f>
        <v/>
      </c>
      <c r="E259">
        <f>IF(COUNT(C248:C259)=12,STDEV.S(C248:C259),"")</f>
        <v/>
      </c>
    </row>
    <row r="260">
      <c r="A260" s="6" t="inlineStr">
        <is>
          <t>2011M7</t>
        </is>
      </c>
      <c r="B260" t="n">
        <v>1572.809523809524</v>
      </c>
      <c r="C260">
        <f>IF(AND(B260&lt;&gt;"",B259&lt;&gt;""),LN(B260/B259)*100,"")</f>
        <v/>
      </c>
      <c r="D260">
        <f>IF(COUNT(C258:C260)=3,STDEV.S(C258:C260),"")</f>
        <v/>
      </c>
      <c r="E260">
        <f>IF(COUNT(C249:C260)=12,STDEV.S(C249:C260),"")</f>
        <v/>
      </c>
    </row>
    <row r="261">
      <c r="A261" s="6" t="inlineStr">
        <is>
          <t>2011M8</t>
        </is>
      </c>
      <c r="B261" t="n">
        <v>1755.806818181818</v>
      </c>
      <c r="C261">
        <f>IF(AND(B261&lt;&gt;"",B260&lt;&gt;""),LN(B261/B260)*100,"")</f>
        <v/>
      </c>
      <c r="D261">
        <f>IF(COUNT(C259:C261)=3,STDEV.S(C259:C261),"")</f>
        <v/>
      </c>
      <c r="E261">
        <f>IF(COUNT(C250:C261)=12,STDEV.S(C250:C261),"")</f>
        <v/>
      </c>
    </row>
    <row r="262">
      <c r="A262" s="6" t="inlineStr">
        <is>
          <t>2011M9</t>
        </is>
      </c>
      <c r="B262" t="n">
        <v>1771.852272727273</v>
      </c>
      <c r="C262">
        <f>IF(AND(B262&lt;&gt;"",B261&lt;&gt;""),LN(B262/B261)*100,"")</f>
        <v/>
      </c>
      <c r="D262">
        <f>IF(COUNT(C260:C262)=3,STDEV.S(C260:C262),"")</f>
        <v/>
      </c>
      <c r="E262">
        <f>IF(COUNT(C251:C262)=12,STDEV.S(C251:C262),"")</f>
        <v/>
      </c>
    </row>
    <row r="263">
      <c r="A263" s="6" t="inlineStr">
        <is>
          <t>2011M10</t>
        </is>
      </c>
      <c r="B263" t="n">
        <v>1665.214285714286</v>
      </c>
      <c r="C263">
        <f>IF(AND(B263&lt;&gt;"",B262&lt;&gt;""),LN(B263/B262)*100,"")</f>
        <v/>
      </c>
      <c r="D263">
        <f>IF(COUNT(C261:C263)=3,STDEV.S(C261:C263),"")</f>
        <v/>
      </c>
      <c r="E263">
        <f>IF(COUNT(C252:C263)=12,STDEV.S(C252:C263),"")</f>
        <v/>
      </c>
    </row>
    <row r="264">
      <c r="A264" s="6" t="inlineStr">
        <is>
          <t>2011M11</t>
        </is>
      </c>
      <c r="B264" t="n">
        <v>1738.977272727273</v>
      </c>
      <c r="C264">
        <f>IF(AND(B264&lt;&gt;"",B263&lt;&gt;""),LN(B264/B263)*100,"")</f>
        <v/>
      </c>
      <c r="D264">
        <f>IF(COUNT(C262:C264)=3,STDEV.S(C262:C264),"")</f>
        <v/>
      </c>
      <c r="E264">
        <f>IF(COUNT(C253:C264)=12,STDEV.S(C253:C264),"")</f>
        <v/>
      </c>
    </row>
    <row r="265">
      <c r="A265" s="6" t="inlineStr">
        <is>
          <t>2011M12</t>
        </is>
      </c>
      <c r="B265" t="n">
        <v>1652.305555555556</v>
      </c>
      <c r="C265">
        <f>IF(AND(B265&lt;&gt;"",B264&lt;&gt;""),LN(B265/B264)*100,"")</f>
        <v/>
      </c>
      <c r="D265">
        <f>IF(COUNT(C263:C265)=3,STDEV.S(C263:C265),"")</f>
        <v/>
      </c>
      <c r="E265">
        <f>IF(COUNT(C254:C265)=12,STDEV.S(C254:C265),"")</f>
        <v/>
      </c>
    </row>
    <row r="266">
      <c r="A266" s="6" t="inlineStr">
        <is>
          <t>2012M1</t>
        </is>
      </c>
      <c r="B266" t="n">
        <v>1656.119047619048</v>
      </c>
      <c r="C266">
        <f>IF(AND(B266&lt;&gt;"",B265&lt;&gt;""),LN(B266/B265)*100,"")</f>
        <v/>
      </c>
      <c r="D266">
        <f>IF(COUNT(C264:C266)=3,STDEV.S(C264:C266),"")</f>
        <v/>
      </c>
      <c r="E266">
        <f>IF(COUNT(C255:C266)=12,STDEV.S(C255:C266),"")</f>
        <v/>
      </c>
    </row>
    <row r="267">
      <c r="A267" s="6" t="inlineStr">
        <is>
          <t>2012M2</t>
        </is>
      </c>
      <c r="B267" t="n">
        <v>1742.619047619048</v>
      </c>
      <c r="C267">
        <f>IF(AND(B267&lt;&gt;"",B266&lt;&gt;""),LN(B267/B266)*100,"")</f>
        <v/>
      </c>
      <c r="D267">
        <f>IF(COUNT(C265:C267)=3,STDEV.S(C265:C267),"")</f>
        <v/>
      </c>
      <c r="E267">
        <f>IF(COUNT(C256:C267)=12,STDEV.S(C256:C267),"")</f>
        <v/>
      </c>
    </row>
    <row r="268">
      <c r="A268" s="6" t="inlineStr">
        <is>
          <t>2012M3</t>
        </is>
      </c>
      <c r="B268" t="n">
        <v>1673.772727272727</v>
      </c>
      <c r="C268">
        <f>IF(AND(B268&lt;&gt;"",B267&lt;&gt;""),LN(B268/B267)*100,"")</f>
        <v/>
      </c>
      <c r="D268">
        <f>IF(COUNT(C266:C268)=3,STDEV.S(C266:C268),"")</f>
        <v/>
      </c>
      <c r="E268">
        <f>IF(COUNT(C257:C268)=12,STDEV.S(C257:C268),"")</f>
        <v/>
      </c>
    </row>
    <row r="269">
      <c r="A269" s="6" t="inlineStr">
        <is>
          <t>2012M4</t>
        </is>
      </c>
      <c r="B269" t="n">
        <v>1650.065789473684</v>
      </c>
      <c r="C269">
        <f>IF(AND(B269&lt;&gt;"",B268&lt;&gt;""),LN(B269/B268)*100,"")</f>
        <v/>
      </c>
      <c r="D269">
        <f>IF(COUNT(C267:C269)=3,STDEV.S(C267:C269),"")</f>
        <v/>
      </c>
      <c r="E269">
        <f>IF(COUNT(C258:C269)=12,STDEV.S(C258:C269),"")</f>
        <v/>
      </c>
    </row>
    <row r="270">
      <c r="A270" s="6" t="inlineStr">
        <is>
          <t>2012M5</t>
        </is>
      </c>
      <c r="B270" t="n">
        <v>1585.504545454545</v>
      </c>
      <c r="C270">
        <f>IF(AND(B270&lt;&gt;"",B269&lt;&gt;""),LN(B270/B269)*100,"")</f>
        <v/>
      </c>
      <c r="D270">
        <f>IF(COUNT(C268:C270)=3,STDEV.S(C268:C270),"")</f>
        <v/>
      </c>
      <c r="E270">
        <f>IF(COUNT(C259:C270)=12,STDEV.S(C259:C270),"")</f>
        <v/>
      </c>
    </row>
    <row r="271">
      <c r="A271" s="6" t="inlineStr">
        <is>
          <t>2012M6</t>
        </is>
      </c>
      <c r="B271" t="n">
        <v>1596.697368421053</v>
      </c>
      <c r="C271">
        <f>IF(AND(B271&lt;&gt;"",B270&lt;&gt;""),LN(B271/B270)*100,"")</f>
        <v/>
      </c>
      <c r="D271">
        <f>IF(COUNT(C269:C271)=3,STDEV.S(C269:C271),"")</f>
        <v/>
      </c>
      <c r="E271">
        <f>IF(COUNT(C260:C271)=12,STDEV.S(C260:C271),"")</f>
        <v/>
      </c>
    </row>
    <row r="272">
      <c r="A272" s="6" t="inlineStr">
        <is>
          <t>2012M7</t>
        </is>
      </c>
      <c r="B272" t="n">
        <v>1593.909090909091</v>
      </c>
      <c r="C272">
        <f>IF(AND(B272&lt;&gt;"",B271&lt;&gt;""),LN(B272/B271)*100,"")</f>
        <v/>
      </c>
      <c r="D272">
        <f>IF(COUNT(C270:C272)=3,STDEV.S(C270:C272),"")</f>
        <v/>
      </c>
      <c r="E272">
        <f>IF(COUNT(C261:C272)=12,STDEV.S(C261:C272),"")</f>
        <v/>
      </c>
    </row>
    <row r="273">
      <c r="A273" s="6" t="inlineStr">
        <is>
          <t>2012M8</t>
        </is>
      </c>
      <c r="B273" t="n">
        <v>1626.034090909091</v>
      </c>
      <c r="C273">
        <f>IF(AND(B273&lt;&gt;"",B272&lt;&gt;""),LN(B273/B272)*100,"")</f>
        <v/>
      </c>
      <c r="D273">
        <f>IF(COUNT(C271:C273)=3,STDEV.S(C271:C273),"")</f>
        <v/>
      </c>
      <c r="E273">
        <f>IF(COUNT(C262:C273)=12,STDEV.S(C262:C273),"")</f>
        <v/>
      </c>
    </row>
    <row r="274">
      <c r="A274" s="6" t="inlineStr">
        <is>
          <t>2012M9</t>
        </is>
      </c>
      <c r="B274" t="n">
        <v>1744.45</v>
      </c>
      <c r="C274">
        <f>IF(AND(B274&lt;&gt;"",B273&lt;&gt;""),LN(B274/B273)*100,"")</f>
        <v/>
      </c>
      <c r="D274">
        <f>IF(COUNT(C272:C274)=3,STDEV.S(C272:C274),"")</f>
        <v/>
      </c>
      <c r="E274">
        <f>IF(COUNT(C263:C274)=12,STDEV.S(C263:C274),"")</f>
        <v/>
      </c>
    </row>
    <row r="275">
      <c r="A275" s="6" t="inlineStr">
        <is>
          <t>2012M10</t>
        </is>
      </c>
      <c r="B275" t="n">
        <v>1747.010869565217</v>
      </c>
      <c r="C275">
        <f>IF(AND(B275&lt;&gt;"",B274&lt;&gt;""),LN(B275/B274)*100,"")</f>
        <v/>
      </c>
      <c r="D275">
        <f>IF(COUNT(C273:C275)=3,STDEV.S(C273:C275),"")</f>
        <v/>
      </c>
      <c r="E275">
        <f>IF(COUNT(C264:C275)=12,STDEV.S(C264:C275),"")</f>
        <v/>
      </c>
    </row>
    <row r="276">
      <c r="A276" s="6" t="inlineStr">
        <is>
          <t>2012M11</t>
        </is>
      </c>
      <c r="B276" t="n">
        <v>1721.136363636364</v>
      </c>
      <c r="C276">
        <f>IF(AND(B276&lt;&gt;"",B275&lt;&gt;""),LN(B276/B275)*100,"")</f>
        <v/>
      </c>
      <c r="D276">
        <f>IF(COUNT(C274:C276)=3,STDEV.S(C274:C276),"")</f>
        <v/>
      </c>
      <c r="E276">
        <f>IF(COUNT(C265:C276)=12,STDEV.S(C265:C276),"")</f>
        <v/>
      </c>
    </row>
    <row r="277">
      <c r="A277" s="6" t="inlineStr">
        <is>
          <t>2012M12</t>
        </is>
      </c>
      <c r="B277" t="n">
        <v>1688.529411764706</v>
      </c>
      <c r="C277">
        <f>IF(AND(B277&lt;&gt;"",B276&lt;&gt;""),LN(B277/B276)*100,"")</f>
        <v/>
      </c>
      <c r="D277">
        <f>IF(COUNT(C275:C277)=3,STDEV.S(C275:C277),"")</f>
        <v/>
      </c>
      <c r="E277">
        <f>IF(COUNT(C266:C277)=12,STDEV.S(C266:C277),"")</f>
        <v/>
      </c>
    </row>
    <row r="278">
      <c r="A278" s="6" t="inlineStr">
        <is>
          <t>2013M1</t>
        </is>
      </c>
      <c r="B278" t="n">
        <v>1670.954545454545</v>
      </c>
      <c r="C278">
        <f>IF(AND(B278&lt;&gt;"",B277&lt;&gt;""),LN(B278/B277)*100,"")</f>
        <v/>
      </c>
      <c r="D278">
        <f>IF(COUNT(C276:C278)=3,STDEV.S(C276:C278),"")</f>
        <v/>
      </c>
      <c r="E278">
        <f>IF(COUNT(C267:C278)=12,STDEV.S(C267:C278),"")</f>
        <v/>
      </c>
    </row>
    <row r="279">
      <c r="A279" s="6" t="inlineStr">
        <is>
          <t>2013M2</t>
        </is>
      </c>
      <c r="B279" t="n">
        <v>1627.5875</v>
      </c>
      <c r="C279">
        <f>IF(AND(B279&lt;&gt;"",B278&lt;&gt;""),LN(B279/B278)*100,"")</f>
        <v/>
      </c>
      <c r="D279">
        <f>IF(COUNT(C277:C279)=3,STDEV.S(C277:C279),"")</f>
        <v/>
      </c>
      <c r="E279">
        <f>IF(COUNT(C268:C279)=12,STDEV.S(C268:C279),"")</f>
        <v/>
      </c>
    </row>
    <row r="280">
      <c r="A280" s="6" t="inlineStr">
        <is>
          <t>2013M3</t>
        </is>
      </c>
      <c r="B280" t="n">
        <v>1592.8625</v>
      </c>
      <c r="C280">
        <f>IF(AND(B280&lt;&gt;"",B279&lt;&gt;""),LN(B280/B279)*100,"")</f>
        <v/>
      </c>
      <c r="D280">
        <f>IF(COUNT(C278:C280)=3,STDEV.S(C278:C280),"")</f>
        <v/>
      </c>
      <c r="E280">
        <f>IF(COUNT(C269:C280)=12,STDEV.S(C269:C280),"")</f>
        <v/>
      </c>
    </row>
    <row r="281">
      <c r="A281" s="6" t="inlineStr">
        <is>
          <t>2013M4</t>
        </is>
      </c>
      <c r="B281" t="n">
        <v>1485.083333333333</v>
      </c>
      <c r="C281">
        <f>IF(AND(B281&lt;&gt;"",B280&lt;&gt;""),LN(B281/B280)*100,"")</f>
        <v/>
      </c>
      <c r="D281">
        <f>IF(COUNT(C279:C281)=3,STDEV.S(C279:C281),"")</f>
        <v/>
      </c>
      <c r="E281">
        <f>IF(COUNT(C270:C281)=12,STDEV.S(C270:C281),"")</f>
        <v/>
      </c>
    </row>
    <row r="282">
      <c r="A282" s="6" t="inlineStr">
        <is>
          <t>2013M5</t>
        </is>
      </c>
      <c r="B282" t="n">
        <v>1413.5</v>
      </c>
      <c r="C282">
        <f>IF(AND(B282&lt;&gt;"",B281&lt;&gt;""),LN(B282/B281)*100,"")</f>
        <v/>
      </c>
      <c r="D282">
        <f>IF(COUNT(C280:C282)=3,STDEV.S(C280:C282),"")</f>
        <v/>
      </c>
      <c r="E282">
        <f>IF(COUNT(C271:C282)=12,STDEV.S(C271:C282),"")</f>
        <v/>
      </c>
    </row>
    <row r="283">
      <c r="A283" s="6" t="inlineStr">
        <is>
          <t>2013M6</t>
        </is>
      </c>
      <c r="B283" t="n">
        <v>1342.3625</v>
      </c>
      <c r="C283">
        <f>IF(AND(B283&lt;&gt;"",B282&lt;&gt;""),LN(B283/B282)*100,"")</f>
        <v/>
      </c>
      <c r="D283">
        <f>IF(COUNT(C281:C283)=3,STDEV.S(C281:C283),"")</f>
        <v/>
      </c>
      <c r="E283">
        <f>IF(COUNT(C272:C283)=12,STDEV.S(C272:C283),"")</f>
        <v/>
      </c>
    </row>
    <row r="284">
      <c r="A284" s="6" t="inlineStr">
        <is>
          <t>2013M7</t>
        </is>
      </c>
      <c r="B284" t="n">
        <v>1286.723913043478</v>
      </c>
      <c r="C284">
        <f>IF(AND(B284&lt;&gt;"",B283&lt;&gt;""),LN(B284/B283)*100,"")</f>
        <v/>
      </c>
      <c r="D284">
        <f>IF(COUNT(C282:C284)=3,STDEV.S(C282:C284),"")</f>
        <v/>
      </c>
      <c r="E284">
        <f>IF(COUNT(C273:C284)=12,STDEV.S(C273:C284),"")</f>
        <v/>
      </c>
    </row>
    <row r="285">
      <c r="A285" s="6" t="inlineStr">
        <is>
          <t>2013M8</t>
        </is>
      </c>
      <c r="B285" t="n">
        <v>1347.095238095238</v>
      </c>
      <c r="C285">
        <f>IF(AND(B285&lt;&gt;"",B284&lt;&gt;""),LN(B285/B284)*100,"")</f>
        <v/>
      </c>
      <c r="D285">
        <f>IF(COUNT(C283:C285)=3,STDEV.S(C283:C285),"")</f>
        <v/>
      </c>
      <c r="E285">
        <f>IF(COUNT(C274:C285)=12,STDEV.S(C274:C285),"")</f>
        <v/>
      </c>
    </row>
    <row r="286">
      <c r="A286" s="6" t="inlineStr">
        <is>
          <t>2013M9</t>
        </is>
      </c>
      <c r="B286" t="n">
        <v>1348.797619047619</v>
      </c>
      <c r="C286">
        <f>IF(AND(B286&lt;&gt;"",B285&lt;&gt;""),LN(B286/B285)*100,"")</f>
        <v/>
      </c>
      <c r="D286">
        <f>IF(COUNT(C284:C286)=3,STDEV.S(C284:C286),"")</f>
        <v/>
      </c>
      <c r="E286">
        <f>IF(COUNT(C275:C286)=12,STDEV.S(C275:C286),"")</f>
        <v/>
      </c>
    </row>
    <row r="287">
      <c r="A287" s="6" t="inlineStr">
        <is>
          <t>2013M10</t>
        </is>
      </c>
      <c r="B287" t="n">
        <v>1316.184782608696</v>
      </c>
      <c r="C287">
        <f>IF(AND(B287&lt;&gt;"",B286&lt;&gt;""),LN(B287/B286)*100,"")</f>
        <v/>
      </c>
      <c r="D287">
        <f>IF(COUNT(C285:C287)=3,STDEV.S(C285:C287),"")</f>
        <v/>
      </c>
      <c r="E287">
        <f>IF(COUNT(C276:C287)=12,STDEV.S(C276:C287),"")</f>
        <v/>
      </c>
    </row>
    <row r="288">
      <c r="A288" s="6" t="inlineStr">
        <is>
          <t>2013M11</t>
        </is>
      </c>
      <c r="B288" t="n">
        <v>1275.821428571429</v>
      </c>
      <c r="C288">
        <f>IF(AND(B288&lt;&gt;"",B287&lt;&gt;""),LN(B288/B287)*100,"")</f>
        <v/>
      </c>
      <c r="D288">
        <f>IF(COUNT(C286:C288)=3,STDEV.S(C286:C288),"")</f>
        <v/>
      </c>
      <c r="E288">
        <f>IF(COUNT(C277:C288)=12,STDEV.S(C277:C288),"")</f>
        <v/>
      </c>
    </row>
    <row r="289">
      <c r="A289" s="6" t="inlineStr">
        <is>
          <t>2013M12</t>
        </is>
      </c>
      <c r="B289" t="n">
        <v>1225.402777777778</v>
      </c>
      <c r="C289">
        <f>IF(AND(B289&lt;&gt;"",B288&lt;&gt;""),LN(B289/B288)*100,"")</f>
        <v/>
      </c>
      <c r="D289">
        <f>IF(COUNT(C287:C289)=3,STDEV.S(C287:C289),"")</f>
        <v/>
      </c>
      <c r="E289">
        <f>IF(COUNT(C278:C289)=12,STDEV.S(C278:C289),"")</f>
        <v/>
      </c>
    </row>
    <row r="290">
      <c r="A290" s="6" t="inlineStr">
        <is>
          <t>2014M1</t>
        </is>
      </c>
      <c r="B290" t="n">
        <v>1244.795454545455</v>
      </c>
      <c r="C290">
        <f>IF(AND(B290&lt;&gt;"",B289&lt;&gt;""),LN(B290/B289)*100,"")</f>
        <v/>
      </c>
      <c r="D290">
        <f>IF(COUNT(C288:C290)=3,STDEV.S(C288:C290),"")</f>
        <v/>
      </c>
      <c r="E290">
        <f>IF(COUNT(C279:C290)=12,STDEV.S(C279:C290),"")</f>
        <v/>
      </c>
    </row>
    <row r="291">
      <c r="A291" s="6" t="inlineStr">
        <is>
          <t>2014M2</t>
        </is>
      </c>
      <c r="B291" t="n">
        <v>1300.975</v>
      </c>
      <c r="C291">
        <f>IF(AND(B291&lt;&gt;"",B290&lt;&gt;""),LN(B291/B290)*100,"")</f>
        <v/>
      </c>
      <c r="D291">
        <f>IF(COUNT(C289:C291)=3,STDEV.S(C289:C291),"")</f>
        <v/>
      </c>
      <c r="E291">
        <f>IF(COUNT(C280:C291)=12,STDEV.S(C280:C291),"")</f>
        <v/>
      </c>
    </row>
    <row r="292">
      <c r="A292" s="6" t="inlineStr">
        <is>
          <t>2014M3</t>
        </is>
      </c>
      <c r="B292" t="n">
        <v>1336.083333333333</v>
      </c>
      <c r="C292">
        <f>IF(AND(B292&lt;&gt;"",B291&lt;&gt;""),LN(B292/B291)*100,"")</f>
        <v/>
      </c>
      <c r="D292">
        <f>IF(COUNT(C290:C292)=3,STDEV.S(C290:C292),"")</f>
        <v/>
      </c>
      <c r="E292">
        <f>IF(COUNT(C281:C292)=12,STDEV.S(C281:C292),"")</f>
        <v/>
      </c>
    </row>
    <row r="293">
      <c r="A293" s="6" t="inlineStr">
        <is>
          <t>2014M4</t>
        </is>
      </c>
      <c r="B293" t="n">
        <v>1299</v>
      </c>
      <c r="C293">
        <f>IF(AND(B293&lt;&gt;"",B292&lt;&gt;""),LN(B293/B292)*100,"")</f>
        <v/>
      </c>
      <c r="D293">
        <f>IF(COUNT(C291:C293)=3,STDEV.S(C291:C293),"")</f>
        <v/>
      </c>
      <c r="E293">
        <f>IF(COUNT(C282:C293)=12,STDEV.S(C282:C293),"")</f>
        <v/>
      </c>
    </row>
    <row r="294">
      <c r="A294" s="6" t="inlineStr">
        <is>
          <t>2014M5</t>
        </is>
      </c>
      <c r="B294" t="n">
        <v>1287.525</v>
      </c>
      <c r="C294">
        <f>IF(AND(B294&lt;&gt;"",B293&lt;&gt;""),LN(B294/B293)*100,"")</f>
        <v/>
      </c>
      <c r="D294">
        <f>IF(COUNT(C292:C294)=3,STDEV.S(C292:C294),"")</f>
        <v/>
      </c>
      <c r="E294">
        <f>IF(COUNT(C283:C294)=12,STDEV.S(C283:C294),"")</f>
        <v/>
      </c>
    </row>
    <row r="295">
      <c r="A295" s="6" t="inlineStr">
        <is>
          <t>2014M6</t>
        </is>
      </c>
      <c r="B295" t="n">
        <v>1279.095238095238</v>
      </c>
      <c r="C295">
        <f>IF(AND(B295&lt;&gt;"",B294&lt;&gt;""),LN(B295/B294)*100,"")</f>
        <v/>
      </c>
      <c r="D295">
        <f>IF(COUNT(C293:C295)=3,STDEV.S(C293:C295),"")</f>
        <v/>
      </c>
      <c r="E295">
        <f>IF(COUNT(C284:C295)=12,STDEV.S(C284:C295),"")</f>
        <v/>
      </c>
    </row>
    <row r="296">
      <c r="A296" s="6" t="inlineStr">
        <is>
          <t>2014M7</t>
        </is>
      </c>
      <c r="B296" t="n">
        <v>1310.967391304348</v>
      </c>
      <c r="C296">
        <f>IF(AND(B296&lt;&gt;"",B295&lt;&gt;""),LN(B296/B295)*100,"")</f>
        <v/>
      </c>
      <c r="D296">
        <f>IF(COUNT(C294:C296)=3,STDEV.S(C294:C296),"")</f>
        <v/>
      </c>
      <c r="E296">
        <f>IF(COUNT(C285:C296)=12,STDEV.S(C285:C296),"")</f>
        <v/>
      </c>
    </row>
    <row r="297">
      <c r="A297" s="6" t="inlineStr">
        <is>
          <t>2014M8</t>
        </is>
      </c>
      <c r="B297" t="n">
        <v>1295.9875</v>
      </c>
      <c r="C297">
        <f>IF(AND(B297&lt;&gt;"",B296&lt;&gt;""),LN(B297/B296)*100,"")</f>
        <v/>
      </c>
      <c r="D297">
        <f>IF(COUNT(C295:C297)=3,STDEV.S(C295:C297),"")</f>
        <v/>
      </c>
      <c r="E297">
        <f>IF(COUNT(C286:C297)=12,STDEV.S(C286:C297),"")</f>
        <v/>
      </c>
    </row>
    <row r="298">
      <c r="A298" s="6" t="inlineStr">
        <is>
          <t>2014M9</t>
        </is>
      </c>
      <c r="B298" t="n">
        <v>1238.818181818182</v>
      </c>
      <c r="C298">
        <f>IF(AND(B298&lt;&gt;"",B297&lt;&gt;""),LN(B298/B297)*100,"")</f>
        <v/>
      </c>
      <c r="D298">
        <f>IF(COUNT(C296:C298)=3,STDEV.S(C296:C298),"")</f>
        <v/>
      </c>
      <c r="E298">
        <f>IF(COUNT(C287:C298)=12,STDEV.S(C287:C298),"")</f>
        <v/>
      </c>
    </row>
    <row r="299">
      <c r="A299" s="6" t="inlineStr">
        <is>
          <t>2014M10</t>
        </is>
      </c>
      <c r="B299" t="n">
        <v>1222.489130434783</v>
      </c>
      <c r="C299">
        <f>IF(AND(B299&lt;&gt;"",B298&lt;&gt;""),LN(B299/B298)*100,"")</f>
        <v/>
      </c>
      <c r="D299">
        <f>IF(COUNT(C297:C299)=3,STDEV.S(C297:C299),"")</f>
        <v/>
      </c>
      <c r="E299">
        <f>IF(COUNT(C288:C299)=12,STDEV.S(C288:C299),"")</f>
        <v/>
      </c>
    </row>
    <row r="300">
      <c r="A300" s="6" t="inlineStr">
        <is>
          <t>2014M11</t>
        </is>
      </c>
      <c r="B300" t="n">
        <v>1176.3</v>
      </c>
      <c r="C300">
        <f>IF(AND(B300&lt;&gt;"",B299&lt;&gt;""),LN(B300/B299)*100,"")</f>
        <v/>
      </c>
      <c r="D300">
        <f>IF(COUNT(C298:C300)=3,STDEV.S(C298:C300),"")</f>
        <v/>
      </c>
      <c r="E300">
        <f>IF(COUNT(C289:C300)=12,STDEV.S(C289:C300),"")</f>
        <v/>
      </c>
    </row>
    <row r="301">
      <c r="A301" s="6" t="inlineStr">
        <is>
          <t>2014M12</t>
        </is>
      </c>
      <c r="B301" t="n">
        <v>1202.289473684211</v>
      </c>
      <c r="C301">
        <f>IF(AND(B301&lt;&gt;"",B300&lt;&gt;""),LN(B301/B300)*100,"")</f>
        <v/>
      </c>
      <c r="D301">
        <f>IF(COUNT(C299:C301)=3,STDEV.S(C299:C301),"")</f>
        <v/>
      </c>
      <c r="E301">
        <f>IF(COUNT(C290:C301)=12,STDEV.S(C290:C301),"")</f>
        <v/>
      </c>
    </row>
    <row r="302">
      <c r="A302" s="6" t="inlineStr">
        <is>
          <t>2015M1</t>
        </is>
      </c>
      <c r="B302" t="n">
        <v>1251.845238095238</v>
      </c>
      <c r="C302">
        <f>IF(AND(B302&lt;&gt;"",B301&lt;&gt;""),LN(B302/B301)*100,"")</f>
        <v/>
      </c>
      <c r="D302">
        <f>IF(COUNT(C300:C302)=3,STDEV.S(C300:C302),"")</f>
        <v/>
      </c>
      <c r="E302">
        <f>IF(COUNT(C291:C302)=12,STDEV.S(C291:C302),"")</f>
        <v/>
      </c>
    </row>
    <row r="303">
      <c r="A303" s="6" t="inlineStr">
        <is>
          <t>2015M2</t>
        </is>
      </c>
      <c r="B303" t="n">
        <v>1227.1875</v>
      </c>
      <c r="C303">
        <f>IF(AND(B303&lt;&gt;"",B302&lt;&gt;""),LN(B303/B302)*100,"")</f>
        <v/>
      </c>
      <c r="D303">
        <f>IF(COUNT(C301:C303)=3,STDEV.S(C301:C303),"")</f>
        <v/>
      </c>
      <c r="E303">
        <f>IF(COUNT(C292:C303)=12,STDEV.S(C292:C303),"")</f>
        <v/>
      </c>
    </row>
    <row r="304">
      <c r="A304" s="6" t="inlineStr">
        <is>
          <t>2015M3</t>
        </is>
      </c>
      <c r="B304" t="n">
        <v>1178.629545454545</v>
      </c>
      <c r="C304">
        <f>IF(AND(B304&lt;&gt;"",B303&lt;&gt;""),LN(B304/B303)*100,"")</f>
        <v/>
      </c>
      <c r="D304">
        <f>IF(COUNT(C302:C304)=3,STDEV.S(C302:C304),"")</f>
        <v/>
      </c>
      <c r="E304">
        <f>IF(COUNT(C293:C304)=12,STDEV.S(C293:C304),"")</f>
        <v/>
      </c>
    </row>
    <row r="305">
      <c r="A305" s="6" t="inlineStr">
        <is>
          <t>2015M4</t>
        </is>
      </c>
      <c r="B305" t="n">
        <v>1197.91</v>
      </c>
      <c r="C305">
        <f>IF(AND(B305&lt;&gt;"",B304&lt;&gt;""),LN(B305/B304)*100,"")</f>
        <v/>
      </c>
      <c r="D305">
        <f>IF(COUNT(C303:C305)=3,STDEV.S(C303:C305),"")</f>
        <v/>
      </c>
      <c r="E305">
        <f>IF(COUNT(C294:C305)=12,STDEV.S(C294:C305),"")</f>
        <v/>
      </c>
    </row>
    <row r="306">
      <c r="A306" s="6" t="inlineStr">
        <is>
          <t>2015M5</t>
        </is>
      </c>
      <c r="B306" t="n">
        <v>1199.052631578947</v>
      </c>
      <c r="C306">
        <f>IF(AND(B306&lt;&gt;"",B305&lt;&gt;""),LN(B306/B305)*100,"")</f>
        <v/>
      </c>
      <c r="D306">
        <f>IF(COUNT(C304:C306)=3,STDEV.S(C304:C306),"")</f>
        <v/>
      </c>
      <c r="E306">
        <f>IF(COUNT(C295:C306)=12,STDEV.S(C295:C306),"")</f>
        <v/>
      </c>
    </row>
    <row r="307">
      <c r="A307" s="6" t="inlineStr">
        <is>
          <t>2015M6</t>
        </is>
      </c>
      <c r="B307" t="n">
        <v>1181.504545454545</v>
      </c>
      <c r="C307">
        <f>IF(AND(B307&lt;&gt;"",B306&lt;&gt;""),LN(B307/B306)*100,"")</f>
        <v/>
      </c>
      <c r="D307">
        <f>IF(COUNT(C305:C307)=3,STDEV.S(C305:C307),"")</f>
        <v/>
      </c>
      <c r="E307">
        <f>IF(COUNT(C296:C307)=12,STDEV.S(C296:C307),"")</f>
        <v/>
      </c>
    </row>
    <row r="308">
      <c r="A308" s="6" t="inlineStr">
        <is>
          <t>2015M7</t>
        </is>
      </c>
      <c r="B308" t="n">
        <v>1130.036956521739</v>
      </c>
      <c r="C308">
        <f>IF(AND(B308&lt;&gt;"",B307&lt;&gt;""),LN(B308/B307)*100,"")</f>
        <v/>
      </c>
      <c r="D308">
        <f>IF(COUNT(C306:C308)=3,STDEV.S(C306:C308),"")</f>
        <v/>
      </c>
      <c r="E308">
        <f>IF(COUNT(C297:C308)=12,STDEV.S(C297:C308),"")</f>
        <v/>
      </c>
    </row>
    <row r="309">
      <c r="A309" s="6" t="inlineStr">
        <is>
          <t>2015M8</t>
        </is>
      </c>
      <c r="B309" t="n">
        <v>1117.475</v>
      </c>
      <c r="C309">
        <f>IF(AND(B309&lt;&gt;"",B308&lt;&gt;""),LN(B309/B308)*100,"")</f>
        <v/>
      </c>
      <c r="D309">
        <f>IF(COUNT(C307:C309)=3,STDEV.S(C307:C309),"")</f>
        <v/>
      </c>
      <c r="E309">
        <f>IF(COUNT(C298:C309)=12,STDEV.S(C298:C309),"")</f>
        <v/>
      </c>
    </row>
    <row r="310">
      <c r="A310" s="6" t="inlineStr">
        <is>
          <t>2015M9</t>
        </is>
      </c>
      <c r="B310" t="n">
        <v>1124.531818181818</v>
      </c>
      <c r="C310">
        <f>IF(AND(B310&lt;&gt;"",B309&lt;&gt;""),LN(B310/B309)*100,"")</f>
        <v/>
      </c>
      <c r="D310">
        <f>IF(COUNT(C308:C310)=3,STDEV.S(C308:C310),"")</f>
        <v/>
      </c>
      <c r="E310">
        <f>IF(COUNT(C299:C310)=12,STDEV.S(C299:C310),"")</f>
        <v/>
      </c>
    </row>
    <row r="311">
      <c r="A311" s="6" t="inlineStr">
        <is>
          <t>2015M10</t>
        </is>
      </c>
      <c r="B311" t="n">
        <v>1159.245454545455</v>
      </c>
      <c r="C311">
        <f>IF(AND(B311&lt;&gt;"",B310&lt;&gt;""),LN(B311/B310)*100,"")</f>
        <v/>
      </c>
      <c r="D311">
        <f>IF(COUNT(C309:C311)=3,STDEV.S(C309:C311),"")</f>
        <v/>
      </c>
      <c r="E311">
        <f>IF(COUNT(C300:C311)=12,STDEV.S(C300:C311),"")</f>
        <v/>
      </c>
    </row>
    <row r="312">
      <c r="A312" s="6" t="inlineStr">
        <is>
          <t>2015M11</t>
        </is>
      </c>
      <c r="B312" t="n">
        <v>1085.702380952381</v>
      </c>
      <c r="C312">
        <f>IF(AND(B312&lt;&gt;"",B311&lt;&gt;""),LN(B312/B311)*100,"")</f>
        <v/>
      </c>
      <c r="D312">
        <f>IF(COUNT(C310:C312)=3,STDEV.S(C310:C312),"")</f>
        <v/>
      </c>
      <c r="E312">
        <f>IF(COUNT(C301:C312)=12,STDEV.S(C301:C312),"")</f>
        <v/>
      </c>
    </row>
    <row r="313">
      <c r="A313" s="6" t="inlineStr">
        <is>
          <t>2015M12</t>
        </is>
      </c>
      <c r="B313" t="n">
        <v>1068.252631578947</v>
      </c>
      <c r="C313">
        <f>IF(AND(B313&lt;&gt;"",B312&lt;&gt;""),LN(B313/B312)*100,"")</f>
        <v/>
      </c>
      <c r="D313">
        <f>IF(COUNT(C311:C313)=3,STDEV.S(C311:C313),"")</f>
        <v/>
      </c>
      <c r="E313">
        <f>IF(COUNT(C302:C313)=12,STDEV.S(C302:C313),"")</f>
        <v/>
      </c>
    </row>
    <row r="314">
      <c r="A314" s="6" t="inlineStr">
        <is>
          <t>2016M1</t>
        </is>
      </c>
      <c r="B314" t="n">
        <v>1097.375</v>
      </c>
      <c r="C314">
        <f>IF(AND(B314&lt;&gt;"",B313&lt;&gt;""),LN(B314/B313)*100,"")</f>
        <v/>
      </c>
      <c r="D314">
        <f>IF(COUNT(C312:C314)=3,STDEV.S(C312:C314),"")</f>
        <v/>
      </c>
      <c r="E314">
        <f>IF(COUNT(C303:C314)=12,STDEV.S(C303:C314),"")</f>
        <v/>
      </c>
    </row>
    <row r="315">
      <c r="A315" s="6" t="inlineStr">
        <is>
          <t>2016M2</t>
        </is>
      </c>
      <c r="B315" t="n">
        <v>1199.911904761905</v>
      </c>
      <c r="C315">
        <f>IF(AND(B315&lt;&gt;"",B314&lt;&gt;""),LN(B315/B314)*100,"")</f>
        <v/>
      </c>
      <c r="D315">
        <f>IF(COUNT(C313:C315)=3,STDEV.S(C313:C315),"")</f>
        <v/>
      </c>
      <c r="E315">
        <f>IF(COUNT(C304:C315)=12,STDEV.S(C304:C315),"")</f>
        <v/>
      </c>
    </row>
    <row r="316">
      <c r="A316" s="6" t="inlineStr">
        <is>
          <t>2016M3</t>
        </is>
      </c>
      <c r="B316" t="n">
        <v>1246.338095238095</v>
      </c>
      <c r="C316">
        <f>IF(AND(B316&lt;&gt;"",B315&lt;&gt;""),LN(B316/B315)*100,"")</f>
        <v/>
      </c>
      <c r="D316">
        <f>IF(COUNT(C314:C316)=3,STDEV.S(C314:C316),"")</f>
        <v/>
      </c>
      <c r="E316">
        <f>IF(COUNT(C305:C316)=12,STDEV.S(C305:C316),"")</f>
        <v/>
      </c>
    </row>
    <row r="317">
      <c r="A317" s="6" t="inlineStr">
        <is>
          <t>2016M4</t>
        </is>
      </c>
      <c r="B317" t="n">
        <v>1242.261904761905</v>
      </c>
      <c r="C317">
        <f>IF(AND(B317&lt;&gt;"",B316&lt;&gt;""),LN(B317/B316)*100,"")</f>
        <v/>
      </c>
      <c r="D317">
        <f>IF(COUNT(C315:C317)=3,STDEV.S(C315:C317),"")</f>
        <v/>
      </c>
      <c r="E317">
        <f>IF(COUNT(C306:C317)=12,STDEV.S(C306:C317),"")</f>
        <v/>
      </c>
    </row>
    <row r="318">
      <c r="A318" s="6" t="inlineStr">
        <is>
          <t>2016M5</t>
        </is>
      </c>
      <c r="B318" t="n">
        <v>1259.3975</v>
      </c>
      <c r="C318">
        <f>IF(AND(B318&lt;&gt;"",B317&lt;&gt;""),LN(B318/B317)*100,"")</f>
        <v/>
      </c>
      <c r="D318">
        <f>IF(COUNT(C316:C318)=3,STDEV.S(C316:C318),"")</f>
        <v/>
      </c>
      <c r="E318">
        <f>IF(COUNT(C307:C318)=12,STDEV.S(C307:C318),"")</f>
        <v/>
      </c>
    </row>
    <row r="319">
      <c r="A319" s="6" t="inlineStr">
        <is>
          <t>2016M6</t>
        </is>
      </c>
      <c r="B319" t="n">
        <v>1276.404545454545</v>
      </c>
      <c r="C319">
        <f>IF(AND(B319&lt;&gt;"",B318&lt;&gt;""),LN(B319/B318)*100,"")</f>
        <v/>
      </c>
      <c r="D319">
        <f>IF(COUNT(C317:C319)=3,STDEV.S(C317:C319),"")</f>
        <v/>
      </c>
      <c r="E319">
        <f>IF(COUNT(C308:C319)=12,STDEV.S(C308:C319),"")</f>
        <v/>
      </c>
    </row>
    <row r="320">
      <c r="A320" s="6" t="inlineStr">
        <is>
          <t>2016M7</t>
        </is>
      </c>
      <c r="B320" t="n">
        <v>1337.326190476191</v>
      </c>
      <c r="C320">
        <f>IF(AND(B320&lt;&gt;"",B319&lt;&gt;""),LN(B320/B319)*100,"")</f>
        <v/>
      </c>
      <c r="D320">
        <f>IF(COUNT(C318:C320)=3,STDEV.S(C318:C320),"")</f>
        <v/>
      </c>
      <c r="E320">
        <f>IF(COUNT(C309:C320)=12,STDEV.S(C309:C320),"")</f>
        <v/>
      </c>
    </row>
    <row r="321">
      <c r="A321" s="6" t="inlineStr">
        <is>
          <t>2016M8</t>
        </is>
      </c>
      <c r="B321" t="n">
        <v>1341.088636363637</v>
      </c>
      <c r="C321">
        <f>IF(AND(B321&lt;&gt;"",B320&lt;&gt;""),LN(B321/B320)*100,"")</f>
        <v/>
      </c>
      <c r="D321">
        <f>IF(COUNT(C319:C321)=3,STDEV.S(C319:C321),"")</f>
        <v/>
      </c>
      <c r="E321">
        <f>IF(COUNT(C310:C321)=12,STDEV.S(C310:C321),"")</f>
        <v/>
      </c>
    </row>
    <row r="322">
      <c r="A322" s="6" t="inlineStr">
        <is>
          <t>2016M9</t>
        </is>
      </c>
      <c r="B322" t="n">
        <v>1326.029545454545</v>
      </c>
      <c r="C322">
        <f>IF(AND(B322&lt;&gt;"",B321&lt;&gt;""),LN(B322/B321)*100,"")</f>
        <v/>
      </c>
      <c r="D322">
        <f>IF(COUNT(C320:C322)=3,STDEV.S(C320:C322),"")</f>
        <v/>
      </c>
      <c r="E322">
        <f>IF(COUNT(C311:C322)=12,STDEV.S(C311:C322),"")</f>
        <v/>
      </c>
    </row>
    <row r="323">
      <c r="A323" s="6" t="inlineStr">
        <is>
          <t>2016M10</t>
        </is>
      </c>
      <c r="B323" t="n">
        <v>1266.569047619048</v>
      </c>
      <c r="C323">
        <f>IF(AND(B323&lt;&gt;"",B322&lt;&gt;""),LN(B323/B322)*100,"")</f>
        <v/>
      </c>
      <c r="D323">
        <f>IF(COUNT(C321:C323)=3,STDEV.S(C321:C323),"")</f>
        <v/>
      </c>
      <c r="E323">
        <f>IF(COUNT(C312:C323)=12,STDEV.S(C312:C323),"")</f>
        <v/>
      </c>
    </row>
    <row r="324">
      <c r="A324" s="6" t="inlineStr">
        <is>
          <t>2016M11</t>
        </is>
      </c>
      <c r="B324" t="n">
        <v>1235.979545454545</v>
      </c>
      <c r="C324">
        <f>IF(AND(B324&lt;&gt;"",B323&lt;&gt;""),LN(B324/B323)*100,"")</f>
        <v/>
      </c>
      <c r="D324">
        <f>IF(COUNT(C322:C324)=3,STDEV.S(C322:C324),"")</f>
        <v/>
      </c>
      <c r="E324">
        <f>IF(COUNT(C313:C324)=12,STDEV.S(C313:C324),"")</f>
        <v/>
      </c>
    </row>
    <row r="325">
      <c r="A325" s="6" t="inlineStr">
        <is>
          <t>2016M12</t>
        </is>
      </c>
      <c r="B325" t="n">
        <v>1151.402777777778</v>
      </c>
      <c r="C325">
        <f>IF(AND(B325&lt;&gt;"",B324&lt;&gt;""),LN(B325/B324)*100,"")</f>
        <v/>
      </c>
      <c r="D325">
        <f>IF(COUNT(C323:C325)=3,STDEV.S(C323:C325),"")</f>
        <v/>
      </c>
      <c r="E325">
        <f>IF(COUNT(C314:C325)=12,STDEV.S(C314:C325),"")</f>
        <v/>
      </c>
    </row>
    <row r="326">
      <c r="A326" s="6" t="inlineStr">
        <is>
          <t>2017M1</t>
        </is>
      </c>
      <c r="B326" t="n">
        <v>1192.616666666666</v>
      </c>
      <c r="C326">
        <f>IF(AND(B326&lt;&gt;"",B325&lt;&gt;""),LN(B326/B325)*100,"")</f>
        <v/>
      </c>
      <c r="D326">
        <f>IF(COUNT(C324:C326)=3,STDEV.S(C324:C326),"")</f>
        <v/>
      </c>
      <c r="E326">
        <f>IF(COUNT(C315:C326)=12,STDEV.S(C315:C326),"")</f>
        <v/>
      </c>
    </row>
    <row r="327">
      <c r="A327" s="6" t="inlineStr">
        <is>
          <t>2017M2</t>
        </is>
      </c>
      <c r="B327" t="n">
        <v>1234.3575</v>
      </c>
      <c r="C327">
        <f>IF(AND(B327&lt;&gt;"",B326&lt;&gt;""),LN(B327/B326)*100,"")</f>
        <v/>
      </c>
      <c r="D327">
        <f>IF(COUNT(C325:C327)=3,STDEV.S(C325:C327),"")</f>
        <v/>
      </c>
      <c r="E327">
        <f>IF(COUNT(C316:C327)=12,STDEV.S(C316:C327),"")</f>
        <v/>
      </c>
    </row>
    <row r="328">
      <c r="A328" s="6" t="inlineStr">
        <is>
          <t>2017M3</t>
        </is>
      </c>
      <c r="B328" t="n">
        <v>1231.093478260869</v>
      </c>
      <c r="C328">
        <f>IF(AND(B328&lt;&gt;"",B327&lt;&gt;""),LN(B328/B327)*100,"")</f>
        <v/>
      </c>
      <c r="D328">
        <f>IF(COUNT(C326:C328)=3,STDEV.S(C326:C328),"")</f>
        <v/>
      </c>
      <c r="E328">
        <f>IF(COUNT(C317:C328)=12,STDEV.S(C317:C328),"")</f>
        <v/>
      </c>
    </row>
    <row r="329">
      <c r="A329" s="6" t="inlineStr">
        <is>
          <t>2017M4</t>
        </is>
      </c>
      <c r="B329" t="n">
        <v>1265.627777777778</v>
      </c>
      <c r="C329">
        <f>IF(AND(B329&lt;&gt;"",B328&lt;&gt;""),LN(B329/B328)*100,"")</f>
        <v/>
      </c>
      <c r="D329">
        <f>IF(COUNT(C327:C329)=3,STDEV.S(C327:C329),"")</f>
        <v/>
      </c>
      <c r="E329">
        <f>IF(COUNT(C318:C329)=12,STDEV.S(C318:C329),"")</f>
        <v/>
      </c>
    </row>
    <row r="330">
      <c r="A330" s="6" t="inlineStr">
        <is>
          <t>2017M5</t>
        </is>
      </c>
      <c r="B330" t="n">
        <v>1245.004761904762</v>
      </c>
      <c r="C330">
        <f>IF(AND(B330&lt;&gt;"",B329&lt;&gt;""),LN(B330/B329)*100,"")</f>
        <v/>
      </c>
      <c r="D330">
        <f>IF(COUNT(C328:C330)=3,STDEV.S(C328:C330),"")</f>
        <v/>
      </c>
      <c r="E330">
        <f>IF(COUNT(C319:C330)=12,STDEV.S(C319:C330),"")</f>
        <v/>
      </c>
    </row>
    <row r="331">
      <c r="A331" s="6" t="inlineStr">
        <is>
          <t>2017M6</t>
        </is>
      </c>
      <c r="B331" t="n">
        <v>1260.256818181818</v>
      </c>
      <c r="C331">
        <f>IF(AND(B331&lt;&gt;"",B330&lt;&gt;""),LN(B331/B330)*100,"")</f>
        <v/>
      </c>
      <c r="D331">
        <f>IF(COUNT(C329:C331)=3,STDEV.S(C329:C331),"")</f>
        <v/>
      </c>
      <c r="E331">
        <f>IF(COUNT(C320:C331)=12,STDEV.S(C320:C331),"")</f>
        <v/>
      </c>
    </row>
    <row r="332">
      <c r="A332" s="6" t="inlineStr">
        <is>
          <t>2017M7</t>
        </is>
      </c>
      <c r="B332" t="n">
        <v>1236.221428571428</v>
      </c>
      <c r="C332">
        <f>IF(AND(B332&lt;&gt;"",B331&lt;&gt;""),LN(B332/B331)*100,"")</f>
        <v/>
      </c>
      <c r="D332">
        <f>IF(COUNT(C330:C332)=3,STDEV.S(C330:C332),"")</f>
        <v/>
      </c>
      <c r="E332">
        <f>IF(COUNT(C321:C332)=12,STDEV.S(C321:C332),"")</f>
        <v/>
      </c>
    </row>
    <row r="333">
      <c r="A333" s="6" t="inlineStr">
        <is>
          <t>2017M8</t>
        </is>
      </c>
      <c r="B333" t="n">
        <v>1282.315909090909</v>
      </c>
      <c r="C333">
        <f>IF(AND(B333&lt;&gt;"",B332&lt;&gt;""),LN(B333/B332)*100,"")</f>
        <v/>
      </c>
      <c r="D333">
        <f>IF(COUNT(C331:C333)=3,STDEV.S(C331:C333),"")</f>
        <v/>
      </c>
      <c r="E333">
        <f>IF(COUNT(C322:C333)=12,STDEV.S(C322:C333),"")</f>
        <v/>
      </c>
    </row>
    <row r="334">
      <c r="A334" s="6" t="inlineStr">
        <is>
          <t>2017M9</t>
        </is>
      </c>
      <c r="B334" t="n">
        <v>1314.978571428571</v>
      </c>
      <c r="C334">
        <f>IF(AND(B334&lt;&gt;"",B333&lt;&gt;""),LN(B334/B333)*100,"")</f>
        <v/>
      </c>
      <c r="D334">
        <f>IF(COUNT(C332:C334)=3,STDEV.S(C332:C334),"")</f>
        <v/>
      </c>
      <c r="E334">
        <f>IF(COUNT(C323:C334)=12,STDEV.S(C323:C334),"")</f>
        <v/>
      </c>
    </row>
    <row r="335">
      <c r="A335" s="6" t="inlineStr">
        <is>
          <t>2017M10</t>
        </is>
      </c>
      <c r="B335" t="n">
        <v>1279.513636363637</v>
      </c>
      <c r="C335">
        <f>IF(AND(B335&lt;&gt;"",B334&lt;&gt;""),LN(B335/B334)*100,"")</f>
        <v/>
      </c>
      <c r="D335">
        <f>IF(COUNT(C333:C335)=3,STDEV.S(C333:C335),"")</f>
        <v/>
      </c>
      <c r="E335">
        <f>IF(COUNT(C324:C335)=12,STDEV.S(C324:C335),"")</f>
        <v/>
      </c>
    </row>
    <row r="336">
      <c r="A336" s="6" t="inlineStr">
        <is>
          <t>2017M11</t>
        </is>
      </c>
      <c r="B336" t="n">
        <v>1282.284090909091</v>
      </c>
      <c r="C336">
        <f>IF(AND(B336&lt;&gt;"",B335&lt;&gt;""),LN(B336/B335)*100,"")</f>
        <v/>
      </c>
      <c r="D336">
        <f>IF(COUNT(C334:C336)=3,STDEV.S(C334:C336),"")</f>
        <v/>
      </c>
      <c r="E336">
        <f>IF(COUNT(C325:C336)=12,STDEV.S(C325:C336),"")</f>
        <v/>
      </c>
    </row>
    <row r="337">
      <c r="A337" s="6" t="inlineStr">
        <is>
          <t>2017M12</t>
        </is>
      </c>
      <c r="B337" t="n">
        <v>1261.255882352941</v>
      </c>
      <c r="C337">
        <f>IF(AND(B337&lt;&gt;"",B336&lt;&gt;""),LN(B337/B336)*100,"")</f>
        <v/>
      </c>
      <c r="D337">
        <f>IF(COUNT(C335:C337)=3,STDEV.S(C335:C337),"")</f>
        <v/>
      </c>
      <c r="E337">
        <f>IF(COUNT(C326:C337)=12,STDEV.S(C326:C337),"")</f>
        <v/>
      </c>
    </row>
    <row r="338">
      <c r="A338" s="6" t="inlineStr">
        <is>
          <t>2018M1</t>
        </is>
      </c>
      <c r="B338" t="n">
        <v>1331.665909090909</v>
      </c>
      <c r="C338">
        <f>IF(AND(B338&lt;&gt;"",B337&lt;&gt;""),LN(B338/B337)*100,"")</f>
        <v/>
      </c>
      <c r="D338">
        <f>IF(COUNT(C336:C338)=3,STDEV.S(C336:C338),"")</f>
        <v/>
      </c>
      <c r="E338">
        <f>IF(COUNT(C327:C338)=12,STDEV.S(C327:C338),"")</f>
        <v/>
      </c>
    </row>
    <row r="339">
      <c r="A339" s="6" t="inlineStr">
        <is>
          <t>2018M2</t>
        </is>
      </c>
      <c r="B339" t="n">
        <v>1331.525</v>
      </c>
      <c r="C339">
        <f>IF(AND(B339&lt;&gt;"",B338&lt;&gt;""),LN(B339/B338)*100,"")</f>
        <v/>
      </c>
      <c r="D339">
        <f>IF(COUNT(C337:C339)=3,STDEV.S(C337:C339),"")</f>
        <v/>
      </c>
      <c r="E339">
        <f>IF(COUNT(C328:C339)=12,STDEV.S(C328:C339),"")</f>
        <v/>
      </c>
    </row>
    <row r="340">
      <c r="A340" s="6" t="inlineStr">
        <is>
          <t>2018M3</t>
        </is>
      </c>
      <c r="B340" t="n">
        <v>1324.657142857143</v>
      </c>
      <c r="C340">
        <f>IF(AND(B340&lt;&gt;"",B339&lt;&gt;""),LN(B340/B339)*100,"")</f>
        <v/>
      </c>
      <c r="D340">
        <f>IF(COUNT(C338:C340)=3,STDEV.S(C338:C340),"")</f>
        <v/>
      </c>
      <c r="E340">
        <f>IF(COUNT(C329:C340)=12,STDEV.S(C329:C340),"")</f>
        <v/>
      </c>
    </row>
    <row r="341">
      <c r="A341" s="6" t="inlineStr">
        <is>
          <t>2018M4</t>
        </is>
      </c>
      <c r="B341" t="n">
        <v>1334.74</v>
      </c>
      <c r="C341">
        <f>IF(AND(B341&lt;&gt;"",B340&lt;&gt;""),LN(B341/B340)*100,"")</f>
        <v/>
      </c>
      <c r="D341">
        <f>IF(COUNT(C339:C341)=3,STDEV.S(C339:C341),"")</f>
        <v/>
      </c>
      <c r="E341">
        <f>IF(COUNT(C330:C341)=12,STDEV.S(C330:C341),"")</f>
        <v/>
      </c>
    </row>
    <row r="342">
      <c r="A342" s="6" t="inlineStr">
        <is>
          <t>2018M5</t>
        </is>
      </c>
      <c r="B342" t="n">
        <v>1303.02619047619</v>
      </c>
      <c r="C342">
        <f>IF(AND(B342&lt;&gt;"",B341&lt;&gt;""),LN(B342/B341)*100,"")</f>
        <v/>
      </c>
      <c r="D342">
        <f>IF(COUNT(C340:C342)=3,STDEV.S(C340:C342),"")</f>
        <v/>
      </c>
      <c r="E342">
        <f>IF(COUNT(C331:C342)=12,STDEV.S(C331:C342),"")</f>
        <v/>
      </c>
    </row>
    <row r="343">
      <c r="A343" s="6" t="inlineStr">
        <is>
          <t>2018M6</t>
        </is>
      </c>
      <c r="B343" t="n">
        <v>1281.566666666667</v>
      </c>
      <c r="C343">
        <f>IF(AND(B343&lt;&gt;"",B342&lt;&gt;""),LN(B343/B342)*100,"")</f>
        <v/>
      </c>
      <c r="D343">
        <f>IF(COUNT(C341:C343)=3,STDEV.S(C341:C343),"")</f>
        <v/>
      </c>
      <c r="E343">
        <f>IF(COUNT(C332:C343)=12,STDEV.S(C332:C343),"")</f>
        <v/>
      </c>
    </row>
    <row r="344">
      <c r="A344" s="6" t="inlineStr">
        <is>
          <t>2018M7</t>
        </is>
      </c>
      <c r="B344" t="n">
        <v>1238.525</v>
      </c>
      <c r="C344">
        <f>IF(AND(B344&lt;&gt;"",B343&lt;&gt;""),LN(B344/B343)*100,"")</f>
        <v/>
      </c>
      <c r="D344">
        <f>IF(COUNT(C342:C344)=3,STDEV.S(C342:C344),"")</f>
        <v/>
      </c>
      <c r="E344">
        <f>IF(COUNT(C333:C344)=12,STDEV.S(C333:C344),"")</f>
        <v/>
      </c>
    </row>
    <row r="345">
      <c r="A345" s="6" t="inlineStr">
        <is>
          <t>2018M8</t>
        </is>
      </c>
      <c r="B345" t="n">
        <v>1201.245454545455</v>
      </c>
      <c r="C345">
        <f>IF(AND(B345&lt;&gt;"",B344&lt;&gt;""),LN(B345/B344)*100,"")</f>
        <v/>
      </c>
      <c r="D345">
        <f>IF(COUNT(C343:C345)=3,STDEV.S(C343:C345),"")</f>
        <v/>
      </c>
      <c r="E345">
        <f>IF(COUNT(C334:C345)=12,STDEV.S(C334:C345),"")</f>
        <v/>
      </c>
    </row>
    <row r="346">
      <c r="A346" s="6" t="inlineStr">
        <is>
          <t>2018M9</t>
        </is>
      </c>
      <c r="B346" t="n">
        <v>1198.4725</v>
      </c>
      <c r="C346">
        <f>IF(AND(B346&lt;&gt;"",B345&lt;&gt;""),LN(B346/B345)*100,"")</f>
        <v/>
      </c>
      <c r="D346">
        <f>IF(COUNT(C344:C346)=3,STDEV.S(C344:C346),"")</f>
        <v/>
      </c>
      <c r="E346">
        <f>IF(COUNT(C335:C346)=12,STDEV.S(C335:C346),"")</f>
        <v/>
      </c>
    </row>
    <row r="347">
      <c r="A347" s="6" t="inlineStr">
        <is>
          <t>2018M10</t>
        </is>
      </c>
      <c r="B347" t="n">
        <v>1215.393478260869</v>
      </c>
      <c r="C347">
        <f>IF(AND(B347&lt;&gt;"",B346&lt;&gt;""),LN(B347/B346)*100,"")</f>
        <v/>
      </c>
      <c r="D347">
        <f>IF(COUNT(C345:C347)=3,STDEV.S(C345:C347),"")</f>
        <v/>
      </c>
      <c r="E347">
        <f>IF(COUNT(C336:C347)=12,STDEV.S(C336:C347),"")</f>
        <v/>
      </c>
    </row>
    <row r="348">
      <c r="A348" s="6" t="inlineStr">
        <is>
          <t>2018M11</t>
        </is>
      </c>
      <c r="B348" t="n">
        <v>1220.945454545455</v>
      </c>
      <c r="C348">
        <f>IF(AND(B348&lt;&gt;"",B347&lt;&gt;""),LN(B348/B347)*100,"")</f>
        <v/>
      </c>
      <c r="D348">
        <f>IF(COUNT(C346:C348)=3,STDEV.S(C346:C348),"")</f>
        <v/>
      </c>
      <c r="E348">
        <f>IF(COUNT(C337:C348)=12,STDEV.S(C337:C348),"")</f>
        <v/>
      </c>
    </row>
    <row r="349">
      <c r="A349" s="6" t="inlineStr">
        <is>
          <t>2018M12</t>
        </is>
      </c>
      <c r="B349" t="n">
        <v>1247.923529411765</v>
      </c>
      <c r="C349">
        <f>IF(AND(B349&lt;&gt;"",B348&lt;&gt;""),LN(B349/B348)*100,"")</f>
        <v/>
      </c>
      <c r="D349">
        <f>IF(COUNT(C347:C349)=3,STDEV.S(C347:C349),"")</f>
        <v/>
      </c>
      <c r="E349">
        <f>IF(COUNT(C338:C349)=12,STDEV.S(C338:C349),"")</f>
        <v/>
      </c>
    </row>
    <row r="350">
      <c r="A350" s="6" t="inlineStr">
        <is>
          <t>2019M1</t>
        </is>
      </c>
      <c r="B350" t="n">
        <v>1291.745454545455</v>
      </c>
      <c r="C350">
        <f>IF(AND(B350&lt;&gt;"",B349&lt;&gt;""),LN(B350/B349)*100,"")</f>
        <v/>
      </c>
      <c r="D350">
        <f>IF(COUNT(C348:C350)=3,STDEV.S(C348:C350),"")</f>
        <v/>
      </c>
      <c r="E350">
        <f>IF(COUNT(C339:C350)=12,STDEV.S(C339:C350),"")</f>
        <v/>
      </c>
    </row>
    <row r="351">
      <c r="A351" s="6" t="inlineStr">
        <is>
          <t>2019M2</t>
        </is>
      </c>
      <c r="B351" t="n">
        <v>1320.065</v>
      </c>
      <c r="C351">
        <f>IF(AND(B351&lt;&gt;"",B350&lt;&gt;""),LN(B351/B350)*100,"")</f>
        <v/>
      </c>
      <c r="D351">
        <f>IF(COUNT(C349:C351)=3,STDEV.S(C349:C351),"")</f>
        <v/>
      </c>
      <c r="E351">
        <f>IF(COUNT(C340:C351)=12,STDEV.S(C340:C351),"")</f>
        <v/>
      </c>
    </row>
    <row r="352">
      <c r="A352" s="6" t="inlineStr">
        <is>
          <t>2019M3</t>
        </is>
      </c>
      <c r="B352" t="n">
        <v>1300.897619047619</v>
      </c>
      <c r="C352">
        <f>IF(AND(B352&lt;&gt;"",B351&lt;&gt;""),LN(B352/B351)*100,"")</f>
        <v/>
      </c>
      <c r="D352">
        <f>IF(COUNT(C350:C352)=3,STDEV.S(C350:C352),"")</f>
        <v/>
      </c>
      <c r="E352">
        <f>IF(COUNT(C341:C352)=12,STDEV.S(C341:C352),"")</f>
        <v/>
      </c>
    </row>
    <row r="353">
      <c r="A353" s="6" t="inlineStr">
        <is>
          <t>2019M4</t>
        </is>
      </c>
      <c r="B353" t="n">
        <v>1286.445</v>
      </c>
      <c r="C353">
        <f>IF(AND(B353&lt;&gt;"",B352&lt;&gt;""),LN(B353/B352)*100,"")</f>
        <v/>
      </c>
      <c r="D353">
        <f>IF(COUNT(C351:C353)=3,STDEV.S(C351:C353),"")</f>
        <v/>
      </c>
      <c r="E353">
        <f>IF(COUNT(C342:C353)=12,STDEV.S(C342:C353),"")</f>
        <v/>
      </c>
    </row>
    <row r="354">
      <c r="A354" s="6" t="inlineStr">
        <is>
          <t>2019M5</t>
        </is>
      </c>
      <c r="B354" t="n">
        <v>1283.947619047619</v>
      </c>
      <c r="C354">
        <f>IF(AND(B354&lt;&gt;"",B353&lt;&gt;""),LN(B354/B353)*100,"")</f>
        <v/>
      </c>
      <c r="D354">
        <f>IF(COUNT(C352:C354)=3,STDEV.S(C352:C354),"")</f>
        <v/>
      </c>
      <c r="E354">
        <f>IF(COUNT(C343:C354)=12,STDEV.S(C343:C354),"")</f>
        <v/>
      </c>
    </row>
    <row r="355">
      <c r="A355" s="6" t="inlineStr">
        <is>
          <t>2019M6</t>
        </is>
      </c>
      <c r="B355" t="n">
        <v>1359.0425</v>
      </c>
      <c r="C355">
        <f>IF(AND(B355&lt;&gt;"",B354&lt;&gt;""),LN(B355/B354)*100,"")</f>
        <v/>
      </c>
      <c r="D355">
        <f>IF(COUNT(C353:C355)=3,STDEV.S(C353:C355),"")</f>
        <v/>
      </c>
      <c r="E355">
        <f>IF(COUNT(C344:C355)=12,STDEV.S(C344:C355),"")</f>
        <v/>
      </c>
    </row>
    <row r="356">
      <c r="A356" s="6" t="inlineStr">
        <is>
          <t>2019M7</t>
        </is>
      </c>
      <c r="B356" t="n">
        <v>1412.978260869565</v>
      </c>
      <c r="C356">
        <f>IF(AND(B356&lt;&gt;"",B355&lt;&gt;""),LN(B356/B355)*100,"")</f>
        <v/>
      </c>
      <c r="D356">
        <f>IF(COUNT(C354:C356)=3,STDEV.S(C354:C356),"")</f>
        <v/>
      </c>
      <c r="E356">
        <f>IF(COUNT(C345:C356)=12,STDEV.S(C345:C356),"")</f>
        <v/>
      </c>
    </row>
    <row r="357">
      <c r="A357" s="6" t="inlineStr">
        <is>
          <t>2019M8</t>
        </is>
      </c>
      <c r="B357" t="n">
        <v>1498.797619047619</v>
      </c>
      <c r="C357">
        <f>IF(AND(B357&lt;&gt;"",B356&lt;&gt;""),LN(B357/B356)*100,"")</f>
        <v/>
      </c>
      <c r="D357">
        <f>IF(COUNT(C355:C357)=3,STDEV.S(C355:C357),"")</f>
        <v/>
      </c>
      <c r="E357">
        <f>IF(COUNT(C346:C357)=12,STDEV.S(C346:C357),"")</f>
        <v/>
      </c>
    </row>
    <row r="358">
      <c r="A358" s="6" t="inlineStr">
        <is>
          <t>2019M9</t>
        </is>
      </c>
      <c r="B358" t="n">
        <v>1511.314285714286</v>
      </c>
      <c r="C358">
        <f>IF(AND(B358&lt;&gt;"",B357&lt;&gt;""),LN(B358/B357)*100,"")</f>
        <v/>
      </c>
      <c r="D358">
        <f>IF(COUNT(C356:C358)=3,STDEV.S(C356:C358),"")</f>
        <v/>
      </c>
      <c r="E358">
        <f>IF(COUNT(C347:C358)=12,STDEV.S(C347:C358),"")</f>
        <v/>
      </c>
    </row>
    <row r="359">
      <c r="A359" s="6" t="inlineStr">
        <is>
          <t>2019M10</t>
        </is>
      </c>
      <c r="B359" t="n">
        <v>1494.8</v>
      </c>
      <c r="C359">
        <f>IF(AND(B359&lt;&gt;"",B358&lt;&gt;""),LN(B359/B358)*100,"")</f>
        <v/>
      </c>
      <c r="D359">
        <f>IF(COUNT(C357:C359)=3,STDEV.S(C357:C359),"")</f>
        <v/>
      </c>
      <c r="E359">
        <f>IF(COUNT(C348:C359)=12,STDEV.S(C348:C359),"")</f>
        <v/>
      </c>
    </row>
    <row r="360">
      <c r="A360" s="6" t="inlineStr">
        <is>
          <t>2019M11</t>
        </is>
      </c>
      <c r="B360" t="n">
        <v>1470.016666666667</v>
      </c>
      <c r="C360">
        <f>IF(AND(B360&lt;&gt;"",B359&lt;&gt;""),LN(B360/B359)*100,"")</f>
        <v/>
      </c>
      <c r="D360">
        <f>IF(COUNT(C358:C360)=3,STDEV.S(C358:C360),"")</f>
        <v/>
      </c>
      <c r="E360">
        <f>IF(COUNT(C349:C360)=12,STDEV.S(C349:C360),"")</f>
        <v/>
      </c>
    </row>
    <row r="361">
      <c r="A361" s="6" t="inlineStr">
        <is>
          <t>2019M12</t>
        </is>
      </c>
      <c r="B361" t="n">
        <v>1476.044444444444</v>
      </c>
      <c r="C361">
        <f>IF(AND(B361&lt;&gt;"",B360&lt;&gt;""),LN(B361/B360)*100,"")</f>
        <v/>
      </c>
      <c r="D361">
        <f>IF(COUNT(C359:C361)=3,STDEV.S(C359:C361),"")</f>
        <v/>
      </c>
      <c r="E361">
        <f>IF(COUNT(C350:C361)=12,STDEV.S(C350:C361),"")</f>
        <v/>
      </c>
    </row>
    <row r="362">
      <c r="A362" s="6" t="inlineStr">
        <is>
          <t>2020M1</t>
        </is>
      </c>
      <c r="B362" t="n">
        <v>1560.672727272727</v>
      </c>
      <c r="C362">
        <f>IF(AND(B362&lt;&gt;"",B361&lt;&gt;""),LN(B362/B361)*100,"")</f>
        <v/>
      </c>
      <c r="D362">
        <f>IF(COUNT(C360:C362)=3,STDEV.S(C360:C362),"")</f>
        <v/>
      </c>
      <c r="E362">
        <f>IF(COUNT(C351:C362)=12,STDEV.S(C351:C362),"")</f>
        <v/>
      </c>
    </row>
    <row r="363">
      <c r="A363" s="6" t="inlineStr">
        <is>
          <t>2020M2</t>
        </is>
      </c>
      <c r="B363" t="n">
        <v>1597.1025</v>
      </c>
      <c r="C363">
        <f>IF(AND(B363&lt;&gt;"",B362&lt;&gt;""),LN(B363/B362)*100,"")</f>
        <v/>
      </c>
      <c r="D363">
        <f>IF(COUNT(C361:C363)=3,STDEV.S(C361:C363),"")</f>
        <v/>
      </c>
      <c r="E363">
        <f>IF(COUNT(C352:C363)=12,STDEV.S(C352:C363),"")</f>
        <v/>
      </c>
    </row>
    <row r="364">
      <c r="A364" s="6" t="inlineStr">
        <is>
          <t>2020M3</t>
        </is>
      </c>
      <c r="B364" t="n">
        <v>1591.927272727273</v>
      </c>
      <c r="C364">
        <f>IF(AND(B364&lt;&gt;"",B363&lt;&gt;""),LN(B364/B363)*100,"")</f>
        <v/>
      </c>
      <c r="D364">
        <f>IF(COUNT(C362:C364)=3,STDEV.S(C362:C364),"")</f>
        <v/>
      </c>
      <c r="E364">
        <f>IF(COUNT(C353:C364)=12,STDEV.S(C353:C364),"")</f>
        <v/>
      </c>
    </row>
    <row r="365">
      <c r="A365" s="6" t="inlineStr">
        <is>
          <t>2020M4</t>
        </is>
      </c>
      <c r="B365" t="n">
        <v>1682.93</v>
      </c>
      <c r="C365">
        <f>IF(AND(B365&lt;&gt;"",B364&lt;&gt;""),LN(B365/B364)*100,"")</f>
        <v/>
      </c>
      <c r="D365">
        <f>IF(COUNT(C363:C365)=3,STDEV.S(C363:C365),"")</f>
        <v/>
      </c>
      <c r="E365">
        <f>IF(COUNT(C354:C365)=12,STDEV.S(C354:C365),"")</f>
        <v/>
      </c>
    </row>
    <row r="366">
      <c r="A366" s="6" t="inlineStr">
        <is>
          <t>2020M5</t>
        </is>
      </c>
      <c r="B366" t="n">
        <v>1716.381578947368</v>
      </c>
      <c r="C366">
        <f>IF(AND(B366&lt;&gt;"",B365&lt;&gt;""),LN(B366/B365)*100,"")</f>
        <v/>
      </c>
      <c r="D366">
        <f>IF(COUNT(C364:C366)=3,STDEV.S(C364:C366),"")</f>
        <v/>
      </c>
      <c r="E366">
        <f>IF(COUNT(C355:C366)=12,STDEV.S(C355:C366),"")</f>
        <v/>
      </c>
    </row>
    <row r="367">
      <c r="A367" s="6" t="inlineStr">
        <is>
          <t>2020M6</t>
        </is>
      </c>
      <c r="B367" t="n">
        <v>1732.218181818182</v>
      </c>
      <c r="C367">
        <f>IF(AND(B367&lt;&gt;"",B366&lt;&gt;""),LN(B367/B366)*100,"")</f>
        <v/>
      </c>
      <c r="D367">
        <f>IF(COUNT(C365:C367)=3,STDEV.S(C365:C367),"")</f>
        <v/>
      </c>
      <c r="E367">
        <f>IF(COUNT(C356:C367)=12,STDEV.S(C356:C367),"")</f>
        <v/>
      </c>
    </row>
    <row r="368">
      <c r="A368" s="6" t="inlineStr">
        <is>
          <t>2020M7</t>
        </is>
      </c>
      <c r="B368" t="n">
        <v>1843.313043478261</v>
      </c>
      <c r="C368">
        <f>IF(AND(B368&lt;&gt;"",B367&lt;&gt;""),LN(B368/B367)*100,"")</f>
        <v/>
      </c>
      <c r="D368">
        <f>IF(COUNT(C366:C368)=3,STDEV.S(C366:C368),"")</f>
        <v/>
      </c>
      <c r="E368">
        <f>IF(COUNT(C357:C368)=12,STDEV.S(C357:C368),"")</f>
        <v/>
      </c>
    </row>
    <row r="369">
      <c r="A369" s="6" t="inlineStr">
        <is>
          <t>2020M8</t>
        </is>
      </c>
      <c r="B369" t="n">
        <v>1968.030952380952</v>
      </c>
      <c r="C369">
        <f>IF(AND(B369&lt;&gt;"",B368&lt;&gt;""),LN(B369/B368)*100,"")</f>
        <v/>
      </c>
      <c r="D369">
        <f>IF(COUNT(C367:C369)=3,STDEV.S(C367:C369),"")</f>
        <v/>
      </c>
      <c r="E369">
        <f>IF(COUNT(C358:C369)=12,STDEV.S(C358:C369),"")</f>
        <v/>
      </c>
    </row>
    <row r="370">
      <c r="A370" s="6" t="inlineStr">
        <is>
          <t>2020M9</t>
        </is>
      </c>
      <c r="B370" t="n">
        <v>1922.213636363636</v>
      </c>
      <c r="C370">
        <f>IF(AND(B370&lt;&gt;"",B369&lt;&gt;""),LN(B370/B369)*100,"")</f>
        <v/>
      </c>
      <c r="D370">
        <f>IF(COUNT(C368:C370)=3,STDEV.S(C368:C370),"")</f>
        <v/>
      </c>
      <c r="E370">
        <f>IF(COUNT(C359:C370)=12,STDEV.S(C359:C370),"")</f>
        <v/>
      </c>
    </row>
    <row r="371">
      <c r="A371" s="6" t="inlineStr">
        <is>
          <t>2020M10</t>
        </is>
      </c>
      <c r="B371" t="n">
        <v>1900.275</v>
      </c>
      <c r="C371">
        <f>IF(AND(B371&lt;&gt;"",B370&lt;&gt;""),LN(B371/B370)*100,"")</f>
        <v/>
      </c>
      <c r="D371">
        <f>IF(COUNT(C369:C371)=3,STDEV.S(C369:C371),"")</f>
        <v/>
      </c>
      <c r="E371">
        <f>IF(COUNT(C360:C371)=12,STDEV.S(C360:C371),"")</f>
        <v/>
      </c>
    </row>
    <row r="372">
      <c r="A372" s="6" t="inlineStr">
        <is>
          <t>2020M11</t>
        </is>
      </c>
      <c r="B372" t="n">
        <v>1863.492857142857</v>
      </c>
      <c r="C372">
        <f>IF(AND(B372&lt;&gt;"",B371&lt;&gt;""),LN(B372/B371)*100,"")</f>
        <v/>
      </c>
      <c r="D372">
        <f>IF(COUNT(C370:C372)=3,STDEV.S(C370:C372),"")</f>
        <v/>
      </c>
      <c r="E372">
        <f>IF(COUNT(C361:C372)=12,STDEV.S(C361:C372),"")</f>
        <v/>
      </c>
    </row>
    <row r="373">
      <c r="A373" s="6" t="inlineStr">
        <is>
          <t>2020M12</t>
        </is>
      </c>
      <c r="B373" t="n">
        <v>1855.955263157895</v>
      </c>
      <c r="C373">
        <f>IF(AND(B373&lt;&gt;"",B372&lt;&gt;""),LN(B373/B372)*100,"")</f>
        <v/>
      </c>
      <c r="D373">
        <f>IF(COUNT(C371:C373)=3,STDEV.S(C371:C373),"")</f>
        <v/>
      </c>
      <c r="E373">
        <f>IF(COUNT(C362:C373)=12,STDEV.S(C362:C373),"")</f>
        <v/>
      </c>
    </row>
    <row r="374">
      <c r="A374" s="6" t="inlineStr">
        <is>
          <t>2021M1</t>
        </is>
      </c>
      <c r="B374" t="n">
        <v>1866.985</v>
      </c>
      <c r="C374">
        <f>IF(AND(B374&lt;&gt;"",B373&lt;&gt;""),LN(B374/B373)*100,"")</f>
        <v/>
      </c>
      <c r="D374">
        <f>IF(COUNT(C372:C374)=3,STDEV.S(C372:C374),"")</f>
        <v/>
      </c>
      <c r="E374">
        <f>IF(COUNT(C363:C374)=12,STDEV.S(C363:C374),"")</f>
        <v/>
      </c>
    </row>
    <row r="375">
      <c r="A375" s="6" t="inlineStr">
        <is>
          <t>2021M2</t>
        </is>
      </c>
      <c r="B375" t="n">
        <v>1808.175</v>
      </c>
      <c r="C375">
        <f>IF(AND(B375&lt;&gt;"",B374&lt;&gt;""),LN(B375/B374)*100,"")</f>
        <v/>
      </c>
      <c r="D375">
        <f>IF(COUNT(C373:C375)=3,STDEV.S(C373:C375),"")</f>
        <v/>
      </c>
      <c r="E375">
        <f>IF(COUNT(C364:C375)=12,STDEV.S(C364:C375),"")</f>
        <v/>
      </c>
    </row>
    <row r="376">
      <c r="A376" s="6" t="inlineStr">
        <is>
          <t>2021M3</t>
        </is>
      </c>
      <c r="B376" t="n">
        <v>1718.228260869565</v>
      </c>
      <c r="C376">
        <f>IF(AND(B376&lt;&gt;"",B375&lt;&gt;""),LN(B376/B375)*100,"")</f>
        <v/>
      </c>
      <c r="D376">
        <f>IF(COUNT(C374:C376)=3,STDEV.S(C374:C376),"")</f>
        <v/>
      </c>
      <c r="E376">
        <f>IF(COUNT(C365:C376)=12,STDEV.S(C365:C376),"")</f>
        <v/>
      </c>
    </row>
    <row r="377">
      <c r="A377" s="6" t="inlineStr">
        <is>
          <t>2021M4</t>
        </is>
      </c>
      <c r="B377" t="n">
        <v>1761.6775</v>
      </c>
      <c r="C377">
        <f>IF(AND(B377&lt;&gt;"",B376&lt;&gt;""),LN(B377/B376)*100,"")</f>
        <v/>
      </c>
      <c r="D377">
        <f>IF(COUNT(C375:C377)=3,STDEV.S(C375:C377),"")</f>
        <v/>
      </c>
      <c r="E377">
        <f>IF(COUNT(C366:C377)=12,STDEV.S(C366:C377),"")</f>
        <v/>
      </c>
    </row>
    <row r="378">
      <c r="A378" s="6" t="inlineStr">
        <is>
          <t>2021M5</t>
        </is>
      </c>
      <c r="B378" t="n">
        <v>1855.56</v>
      </c>
      <c r="C378">
        <f>IF(AND(B378&lt;&gt;"",B377&lt;&gt;""),LN(B378/B377)*100,"")</f>
        <v/>
      </c>
      <c r="D378">
        <f>IF(COUNT(C376:C378)=3,STDEV.S(C376:C378),"")</f>
        <v/>
      </c>
      <c r="E378">
        <f>IF(COUNT(C367:C378)=12,STDEV.S(C367:C378),"")</f>
        <v/>
      </c>
    </row>
    <row r="379">
      <c r="A379" s="6" t="inlineStr">
        <is>
          <t>2021M6</t>
        </is>
      </c>
      <c r="B379" t="n">
        <v>1834.565909090909</v>
      </c>
      <c r="C379">
        <f>IF(AND(B379&lt;&gt;"",B378&lt;&gt;""),LN(B379/B378)*100,"")</f>
        <v/>
      </c>
      <c r="D379">
        <f>IF(COUNT(C377:C379)=3,STDEV.S(C377:C379),"")</f>
        <v/>
      </c>
      <c r="E379">
        <f>IF(COUNT(C368:C379)=12,STDEV.S(C368:C379),"")</f>
        <v/>
      </c>
    </row>
    <row r="380">
      <c r="A380" s="6" t="inlineStr">
        <is>
          <t>2021M7</t>
        </is>
      </c>
      <c r="B380" t="n">
        <v>1807.093181818182</v>
      </c>
      <c r="C380">
        <f>IF(AND(B380&lt;&gt;"",B379&lt;&gt;""),LN(B380/B379)*100,"")</f>
        <v/>
      </c>
      <c r="D380">
        <f>IF(COUNT(C378:C380)=3,STDEV.S(C378:C380),"")</f>
        <v/>
      </c>
      <c r="E380">
        <f>IF(COUNT(C369:C380)=12,STDEV.S(C369:C380),"")</f>
        <v/>
      </c>
    </row>
    <row r="381">
      <c r="A381" s="6" t="inlineStr">
        <is>
          <t>2021M8</t>
        </is>
      </c>
      <c r="B381" t="n">
        <v>1783.969047619048</v>
      </c>
      <c r="C381">
        <f>IF(AND(B381&lt;&gt;"",B380&lt;&gt;""),LN(B381/B380)*100,"")</f>
        <v/>
      </c>
      <c r="D381">
        <f>IF(COUNT(C379:C381)=3,STDEV.S(C379:C381),"")</f>
        <v/>
      </c>
      <c r="E381">
        <f>IF(COUNT(C370:C381)=12,STDEV.S(C370:C381),"")</f>
        <v/>
      </c>
    </row>
    <row r="382">
      <c r="A382" s="6" t="inlineStr">
        <is>
          <t>2021M9</t>
        </is>
      </c>
      <c r="B382" t="n">
        <v>1777.252272727273</v>
      </c>
      <c r="C382">
        <f>IF(AND(B382&lt;&gt;"",B381&lt;&gt;""),LN(B382/B381)*100,"")</f>
        <v/>
      </c>
      <c r="D382">
        <f>IF(COUNT(C380:C382)=3,STDEV.S(C380:C382),"")</f>
        <v/>
      </c>
      <c r="E382">
        <f>IF(COUNT(C371:C382)=12,STDEV.S(C371:C382),"")</f>
        <v/>
      </c>
    </row>
    <row r="383">
      <c r="A383" s="6" t="inlineStr">
        <is>
          <t>2021M10</t>
        </is>
      </c>
      <c r="B383" t="n">
        <v>1776.854761904762</v>
      </c>
      <c r="C383">
        <f>IF(AND(B383&lt;&gt;"",B382&lt;&gt;""),LN(B383/B382)*100,"")</f>
        <v/>
      </c>
      <c r="D383">
        <f>IF(COUNT(C381:C383)=3,STDEV.S(C381:C383),"")</f>
        <v/>
      </c>
      <c r="E383">
        <f>IF(COUNT(C372:C383)=12,STDEV.S(C372:C383),"")</f>
        <v/>
      </c>
    </row>
    <row r="384">
      <c r="A384" s="6" t="inlineStr">
        <is>
          <t>2021M11</t>
        </is>
      </c>
      <c r="B384" t="n">
        <v>1820.234090909091</v>
      </c>
      <c r="C384">
        <f>IF(AND(B384&lt;&gt;"",B383&lt;&gt;""),LN(B384/B383)*100,"")</f>
        <v/>
      </c>
      <c r="D384">
        <f>IF(COUNT(C382:C384)=3,STDEV.S(C382:C384),"")</f>
        <v/>
      </c>
      <c r="E384">
        <f>IF(COUNT(C373:C384)=12,STDEV.S(C373:C384),"")</f>
        <v/>
      </c>
    </row>
    <row r="385">
      <c r="A385" s="6" t="inlineStr">
        <is>
          <t>2021M12</t>
        </is>
      </c>
      <c r="B385" t="n">
        <v>1786.652631578947</v>
      </c>
      <c r="C385">
        <f>IF(AND(B385&lt;&gt;"",B384&lt;&gt;""),LN(B385/B384)*100,"")</f>
        <v/>
      </c>
      <c r="D385">
        <f>IF(COUNT(C383:C385)=3,STDEV.S(C383:C385),"")</f>
        <v/>
      </c>
      <c r="E385">
        <f>IF(COUNT(C374:C385)=12,STDEV.S(C374:C385),"")</f>
        <v/>
      </c>
    </row>
    <row r="386">
      <c r="A386" s="6" t="inlineStr">
        <is>
          <t>2022M1</t>
        </is>
      </c>
      <c r="B386" t="n">
        <v>1816.765</v>
      </c>
      <c r="C386">
        <f>IF(AND(B386&lt;&gt;"",B385&lt;&gt;""),LN(B386/B385)*100,"")</f>
        <v/>
      </c>
      <c r="D386">
        <f>IF(COUNT(C384:C386)=3,STDEV.S(C384:C386),"")</f>
        <v/>
      </c>
      <c r="E386">
        <f>IF(COUNT(C375:C386)=12,STDEV.S(C375:C386),"")</f>
        <v/>
      </c>
    </row>
    <row r="387">
      <c r="A387" s="6" t="inlineStr">
        <is>
          <t>2022M2</t>
        </is>
      </c>
      <c r="B387" t="n">
        <v>1856.295</v>
      </c>
      <c r="C387">
        <f>IF(AND(B387&lt;&gt;"",B386&lt;&gt;""),LN(B387/B386)*100,"")</f>
        <v/>
      </c>
      <c r="D387">
        <f>IF(COUNT(C385:C387)=3,STDEV.S(C385:C387),"")</f>
        <v/>
      </c>
      <c r="E387">
        <f>IF(COUNT(C376:C387)=12,STDEV.S(C376:C387),"")</f>
        <v/>
      </c>
    </row>
    <row r="388">
      <c r="A388" s="6" t="inlineStr">
        <is>
          <t>2022M3</t>
        </is>
      </c>
      <c r="B388" t="n">
        <v>1947.828260869565</v>
      </c>
      <c r="C388">
        <f>IF(AND(B388&lt;&gt;"",B387&lt;&gt;""),LN(B388/B387)*100,"")</f>
        <v/>
      </c>
      <c r="D388">
        <f>IF(COUNT(C386:C388)=3,STDEV.S(C386:C388),"")</f>
        <v/>
      </c>
      <c r="E388">
        <f>IF(COUNT(C377:C388)=12,STDEV.S(C377:C388),"")</f>
        <v/>
      </c>
    </row>
    <row r="389">
      <c r="A389" s="6" t="inlineStr">
        <is>
          <t>2022M4</t>
        </is>
      </c>
      <c r="B389" t="n">
        <v>1933.9</v>
      </c>
      <c r="C389">
        <f>IF(AND(B389&lt;&gt;"",B388&lt;&gt;""),LN(B389/B388)*100,"")</f>
        <v/>
      </c>
      <c r="D389">
        <f>IF(COUNT(C387:C389)=3,STDEV.S(C387:C389),"")</f>
        <v/>
      </c>
      <c r="E389">
        <f>IF(COUNT(C378:C389)=12,STDEV.S(C378:C389),"")</f>
        <v/>
      </c>
    </row>
    <row r="390">
      <c r="A390" s="6" t="inlineStr">
        <is>
          <t>2022M5</t>
        </is>
      </c>
      <c r="B390" t="n">
        <v>1849.833181818182</v>
      </c>
      <c r="C390">
        <f>IF(AND(B390&lt;&gt;"",B389&lt;&gt;""),LN(B390/B389)*100,"")</f>
        <v/>
      </c>
      <c r="D390">
        <f>IF(COUNT(C388:C390)=3,STDEV.S(C388:C390),"")</f>
        <v/>
      </c>
      <c r="E390">
        <f>IF(COUNT(C379:C390)=12,STDEV.S(C379:C390),"")</f>
        <v/>
      </c>
    </row>
    <row r="391">
      <c r="A391" s="6" t="inlineStr">
        <is>
          <t>2022M6</t>
        </is>
      </c>
      <c r="B391" t="n">
        <v>1837.064090909091</v>
      </c>
      <c r="C391">
        <f>IF(AND(B391&lt;&gt;"",B390&lt;&gt;""),LN(B391/B390)*100,"")</f>
        <v/>
      </c>
      <c r="D391">
        <f>IF(COUNT(C389:C391)=3,STDEV.S(C389:C391),"")</f>
        <v/>
      </c>
      <c r="E391">
        <f>IF(COUNT(C380:C391)=12,STDEV.S(C380:C391),"")</f>
        <v/>
      </c>
    </row>
    <row r="392">
      <c r="A392" s="6" t="inlineStr">
        <is>
          <t>2022M7</t>
        </is>
      </c>
      <c r="B392" t="n">
        <v>1737.380476190476</v>
      </c>
      <c r="C392">
        <f>IF(AND(B392&lt;&gt;"",B391&lt;&gt;""),LN(B392/B391)*100,"")</f>
        <v/>
      </c>
      <c r="D392">
        <f>IF(COUNT(C390:C392)=3,STDEV.S(C390:C392),"")</f>
        <v/>
      </c>
      <c r="E392">
        <f>IF(COUNT(C381:C392)=12,STDEV.S(C381:C392),"")</f>
        <v/>
      </c>
    </row>
    <row r="393">
      <c r="A393" s="6" t="inlineStr">
        <is>
          <t>2022M8</t>
        </is>
      </c>
      <c r="B393" t="n">
        <v>1764.132608695652</v>
      </c>
      <c r="C393">
        <f>IF(AND(B393&lt;&gt;"",B392&lt;&gt;""),LN(B393/B392)*100,"")</f>
        <v/>
      </c>
      <c r="D393">
        <f>IF(COUNT(C391:C393)=3,STDEV.S(C391:C393),"")</f>
        <v/>
      </c>
      <c r="E393">
        <f>IF(COUNT(C382:C393)=12,STDEV.S(C382:C393),"")</f>
        <v/>
      </c>
    </row>
    <row r="394">
      <c r="A394" s="6" t="inlineStr">
        <is>
          <t>2022M9</t>
        </is>
      </c>
      <c r="B394" t="n">
        <v>1683.208181818181</v>
      </c>
      <c r="C394">
        <f>IF(AND(B394&lt;&gt;"",B393&lt;&gt;""),LN(B394/B393)*100,"")</f>
        <v/>
      </c>
      <c r="D394">
        <f>IF(COUNT(C392:C394)=3,STDEV.S(C392:C394),"")</f>
        <v/>
      </c>
      <c r="E394">
        <f>IF(COUNT(C383:C394)=12,STDEV.S(C383:C394),"")</f>
        <v/>
      </c>
    </row>
    <row r="395">
      <c r="A395" s="6" t="inlineStr">
        <is>
          <t>2022M10</t>
        </is>
      </c>
      <c r="B395" t="n">
        <v>1666.626666666667</v>
      </c>
      <c r="C395">
        <f>IF(AND(B395&lt;&gt;"",B394&lt;&gt;""),LN(B395/B394)*100,"")</f>
        <v/>
      </c>
      <c r="D395">
        <f>IF(COUNT(C393:C395)=3,STDEV.S(C393:C395),"")</f>
        <v/>
      </c>
      <c r="E395">
        <f>IF(COUNT(C384:C395)=12,STDEV.S(C384:C395),"")</f>
        <v/>
      </c>
    </row>
    <row r="396">
      <c r="A396" s="6" t="inlineStr">
        <is>
          <t>2022M11</t>
        </is>
      </c>
      <c r="B396" t="n">
        <v>1727.898636363636</v>
      </c>
      <c r="C396">
        <f>IF(AND(B396&lt;&gt;"",B395&lt;&gt;""),LN(B396/B395)*100,"")</f>
        <v/>
      </c>
      <c r="D396">
        <f>IF(COUNT(C394:C396)=3,STDEV.S(C394:C396),"")</f>
        <v/>
      </c>
      <c r="E396">
        <f>IF(COUNT(C385:C396)=12,STDEV.S(C385:C396),"")</f>
        <v/>
      </c>
    </row>
    <row r="397">
      <c r="A397" s="6" t="inlineStr">
        <is>
          <t>2022M12</t>
        </is>
      </c>
      <c r="B397" t="n">
        <v>1797.408181818182</v>
      </c>
      <c r="C397">
        <f>IF(AND(B397&lt;&gt;"",B396&lt;&gt;""),LN(B397/B396)*100,"")</f>
        <v/>
      </c>
      <c r="D397">
        <f>IF(COUNT(C395:C397)=3,STDEV.S(C395:C397),"")</f>
        <v/>
      </c>
      <c r="E397">
        <f>IF(COUNT(C386:C397)=12,STDEV.S(C386:C397),"")</f>
        <v/>
      </c>
    </row>
    <row r="398">
      <c r="A398" s="6" t="inlineStr">
        <is>
          <t>2023M1</t>
        </is>
      </c>
      <c r="B398" t="n">
        <v>1896.059545454545</v>
      </c>
      <c r="C398">
        <f>IF(AND(B398&lt;&gt;"",B397&lt;&gt;""),LN(B398/B397)*100,"")</f>
        <v/>
      </c>
      <c r="D398">
        <f>IF(COUNT(C396:C398)=3,STDEV.S(C396:C398),"")</f>
        <v/>
      </c>
      <c r="E398">
        <f>IF(COUNT(C387:C398)=12,STDEV.S(C387:C398),"")</f>
        <v/>
      </c>
    </row>
    <row r="399">
      <c r="A399" s="6" t="inlineStr">
        <is>
          <t>2023M2</t>
        </is>
      </c>
      <c r="B399" t="n">
        <v>1853.409</v>
      </c>
      <c r="C399">
        <f>IF(AND(B399&lt;&gt;"",B398&lt;&gt;""),LN(B399/B398)*100,"")</f>
        <v/>
      </c>
      <c r="D399">
        <f>IF(COUNT(C397:C399)=3,STDEV.S(C397:C399),"")</f>
        <v/>
      </c>
      <c r="E399">
        <f>IF(COUNT(C388:C399)=12,STDEV.S(C388:C399),"")</f>
        <v/>
      </c>
    </row>
    <row r="400">
      <c r="A400" s="6" t="inlineStr">
        <is>
          <t>2023M3</t>
        </is>
      </c>
      <c r="B400" t="n">
        <v>1913.648260869565</v>
      </c>
      <c r="C400">
        <f>IF(AND(B400&lt;&gt;"",B399&lt;&gt;""),LN(B400/B399)*100,"")</f>
        <v/>
      </c>
      <c r="D400">
        <f>IF(COUNT(C398:C400)=3,STDEV.S(C398:C400),"")</f>
        <v/>
      </c>
      <c r="E400">
        <f>IF(COUNT(C389:C400)=12,STDEV.S(C389:C400),"")</f>
        <v/>
      </c>
    </row>
    <row r="401">
      <c r="A401" s="6" t="inlineStr">
        <is>
          <t>2023M4</t>
        </is>
      </c>
      <c r="B401" t="n">
        <v>1999.6685</v>
      </c>
      <c r="C401">
        <f>IF(AND(B401&lt;&gt;"",B400&lt;&gt;""),LN(B401/B400)*100,"")</f>
        <v/>
      </c>
      <c r="D401">
        <f>IF(COUNT(C399:C401)=3,STDEV.S(C399:C401),"")</f>
        <v/>
      </c>
      <c r="E401">
        <f>IF(COUNT(C390:C401)=12,STDEV.S(C390:C401),"")</f>
        <v/>
      </c>
    </row>
    <row r="402">
      <c r="A402" s="6" t="inlineStr">
        <is>
          <t>2023M5</t>
        </is>
      </c>
      <c r="B402" t="n">
        <v>1989.826956521739</v>
      </c>
      <c r="C402">
        <f>IF(AND(B402&lt;&gt;"",B401&lt;&gt;""),LN(B402/B401)*100,"")</f>
        <v/>
      </c>
      <c r="D402">
        <f>IF(COUNT(C400:C402)=3,STDEV.S(C400:C402),"")</f>
        <v/>
      </c>
      <c r="E402">
        <f>IF(COUNT(C391:C402)=12,STDEV.S(C391:C402),"")</f>
        <v/>
      </c>
    </row>
    <row r="403">
      <c r="A403" s="6" t="inlineStr">
        <is>
          <t>2023M6</t>
        </is>
      </c>
      <c r="B403" t="n">
        <v>1944.728636363636</v>
      </c>
      <c r="C403">
        <f>IF(AND(B403&lt;&gt;"",B402&lt;&gt;""),LN(B403/B402)*100,"")</f>
        <v/>
      </c>
      <c r="D403">
        <f>IF(COUNT(C401:C403)=3,STDEV.S(C401:C403),"")</f>
        <v/>
      </c>
      <c r="E403">
        <f>IF(COUNT(C392:C403)=12,STDEV.S(C392:C403),"")</f>
        <v/>
      </c>
    </row>
    <row r="404">
      <c r="A404" s="6" t="inlineStr">
        <is>
          <t>2023M7</t>
        </is>
      </c>
      <c r="B404" t="n">
        <v>1950.27</v>
      </c>
      <c r="C404">
        <f>IF(AND(B404&lt;&gt;"",B403&lt;&gt;""),LN(B404/B403)*100,"")</f>
        <v/>
      </c>
      <c r="D404">
        <f>IF(COUNT(C402:C404)=3,STDEV.S(C402:C404),"")</f>
        <v/>
      </c>
      <c r="E404">
        <f>IF(COUNT(C393:C404)=12,STDEV.S(C393:C404),"")</f>
        <v/>
      </c>
    </row>
    <row r="405">
      <c r="A405" s="6" t="inlineStr">
        <is>
          <t>2023M8</t>
        </is>
      </c>
      <c r="B405" t="n">
        <v>1919.302173913043</v>
      </c>
      <c r="C405">
        <f>IF(AND(B405&lt;&gt;"",B404&lt;&gt;""),LN(B405/B404)*100,"")</f>
        <v/>
      </c>
      <c r="D405">
        <f>IF(COUNT(C403:C405)=3,STDEV.S(C403:C405),"")</f>
        <v/>
      </c>
      <c r="E405">
        <f>IF(COUNT(C394:C405)=12,STDEV.S(C394:C405),"")</f>
        <v/>
      </c>
    </row>
    <row r="406">
      <c r="A406" s="6" t="inlineStr">
        <is>
          <t>2023M9</t>
        </is>
      </c>
      <c r="B406" t="n">
        <v>1915.434761904762</v>
      </c>
      <c r="C406">
        <f>IF(AND(B406&lt;&gt;"",B405&lt;&gt;""),LN(B406/B405)*100,"")</f>
        <v/>
      </c>
      <c r="D406">
        <f>IF(COUNT(C404:C406)=3,STDEV.S(C404:C406),"")</f>
        <v/>
      </c>
      <c r="E406">
        <f>IF(COUNT(C395:C406)=12,STDEV.S(C395:C406),"")</f>
        <v/>
      </c>
    </row>
    <row r="407">
      <c r="A407" s="6" t="inlineStr">
        <is>
          <t>2023M10</t>
        </is>
      </c>
      <c r="B407" t="n">
        <v>1913.984545454546</v>
      </c>
      <c r="C407">
        <f>IF(AND(B407&lt;&gt;"",B406&lt;&gt;""),LN(B407/B406)*100,"")</f>
        <v/>
      </c>
      <c r="D407">
        <f>IF(COUNT(C405:C407)=3,STDEV.S(C405:C407),"")</f>
        <v/>
      </c>
      <c r="E407">
        <f>IF(COUNT(C396:C407)=12,STDEV.S(C396:C407),"")</f>
        <v/>
      </c>
    </row>
    <row r="408">
      <c r="A408" s="6" t="inlineStr">
        <is>
          <t>2023M11</t>
        </is>
      </c>
      <c r="B408" t="n">
        <v>1985.777727272728</v>
      </c>
      <c r="C408">
        <f>IF(AND(B408&lt;&gt;"",B407&lt;&gt;""),LN(B408/B407)*100,"")</f>
        <v/>
      </c>
      <c r="D408">
        <f>IF(COUNT(C406:C408)=3,STDEV.S(C406:C408),"")</f>
        <v/>
      </c>
      <c r="E408">
        <f>IF(COUNT(C397:C408)=12,STDEV.S(C397:C408),"")</f>
        <v/>
      </c>
    </row>
    <row r="409">
      <c r="A409" s="6" t="inlineStr">
        <is>
          <t>2023M12</t>
        </is>
      </c>
      <c r="B409" t="n">
        <v>2034.704285714285</v>
      </c>
      <c r="C409">
        <f>IF(AND(B409&lt;&gt;"",B408&lt;&gt;""),LN(B409/B408)*100,"")</f>
        <v/>
      </c>
      <c r="D409">
        <f>IF(COUNT(C407:C409)=3,STDEV.S(C407:C409),"")</f>
        <v/>
      </c>
      <c r="E409">
        <f>IF(COUNT(C398:C409)=12,STDEV.S(C398:C409),"")</f>
        <v/>
      </c>
    </row>
    <row r="410">
      <c r="A410" s="6" t="inlineStr">
        <is>
          <t>2024M1</t>
        </is>
      </c>
      <c r="B410" t="n">
        <v>2034.006086956522</v>
      </c>
      <c r="C410">
        <f>IF(AND(B410&lt;&gt;"",B409&lt;&gt;""),LN(B410/B409)*100,"")</f>
        <v/>
      </c>
      <c r="D410">
        <f>IF(COUNT(C408:C410)=3,STDEV.S(C408:C410),"")</f>
        <v/>
      </c>
      <c r="E410">
        <f>IF(COUNT(C399:C410)=12,STDEV.S(C399:C410),"")</f>
        <v/>
      </c>
    </row>
    <row r="411">
      <c r="A411" s="6" t="inlineStr">
        <is>
          <t>2024M2</t>
        </is>
      </c>
      <c r="B411" t="n">
        <v>2024.44619047619</v>
      </c>
      <c r="C411">
        <f>IF(AND(B411&lt;&gt;"",B410&lt;&gt;""),LN(B411/B410)*100,"")</f>
        <v/>
      </c>
      <c r="D411">
        <f>IF(COUNT(C409:C411)=3,STDEV.S(C409:C411),"")</f>
        <v/>
      </c>
      <c r="E411">
        <f>IF(COUNT(C400:C411)=12,STDEV.S(C400:C411),"")</f>
        <v/>
      </c>
    </row>
    <row r="412">
      <c r="A412" s="6" t="inlineStr">
        <is>
          <t>2024M3</t>
        </is>
      </c>
      <c r="B412" t="n">
        <v>2162.346190476191</v>
      </c>
      <c r="C412">
        <f>IF(AND(B412&lt;&gt;"",B411&lt;&gt;""),LN(B412/B411)*100,"")</f>
        <v/>
      </c>
      <c r="D412">
        <f>IF(COUNT(C410:C412)=3,STDEV.S(C410:C412),"")</f>
        <v/>
      </c>
      <c r="E412">
        <f>IF(COUNT(C401:C412)=12,STDEV.S(C401:C412),"")</f>
        <v/>
      </c>
    </row>
    <row r="413">
      <c r="A413" s="6" t="inlineStr">
        <is>
          <t>2024M4</t>
        </is>
      </c>
      <c r="B413" t="n">
        <v>2333.550454545454</v>
      </c>
      <c r="C413">
        <f>IF(AND(B413&lt;&gt;"",B412&lt;&gt;""),LN(B413/B412)*100,"")</f>
        <v/>
      </c>
      <c r="D413">
        <f>IF(COUNT(C411:C413)=3,STDEV.S(C411:C413),"")</f>
        <v/>
      </c>
      <c r="E413">
        <f>IF(COUNT(C402:C413)=12,STDEV.S(C402:C413),"")</f>
        <v/>
      </c>
    </row>
    <row r="414">
      <c r="A414" s="6" t="inlineStr">
        <is>
          <t>2024M5</t>
        </is>
      </c>
      <c r="B414" t="n">
        <v>2350.596521739131</v>
      </c>
      <c r="C414">
        <f>IF(AND(B414&lt;&gt;"",B413&lt;&gt;""),LN(B414/B413)*100,"")</f>
        <v/>
      </c>
      <c r="D414">
        <f>IF(COUNT(C412:C414)=3,STDEV.S(C412:C414),"")</f>
        <v/>
      </c>
      <c r="E414">
        <f>IF(COUNT(C403:C414)=12,STDEV.S(C403:C414),"")</f>
        <v/>
      </c>
    </row>
    <row r="415">
      <c r="A415" s="6" t="inlineStr">
        <is>
          <t>2024M6</t>
        </is>
      </c>
      <c r="B415" t="n">
        <v>2328.2625</v>
      </c>
      <c r="C415">
        <f>IF(AND(B415&lt;&gt;"",B414&lt;&gt;""),LN(B415/B414)*100,"")</f>
        <v/>
      </c>
      <c r="D415">
        <f>IF(COUNT(C413:C415)=3,STDEV.S(C413:C415),"")</f>
        <v/>
      </c>
      <c r="E415">
        <f>IF(COUNT(C404:C415)=12,STDEV.S(C404:C415),"")</f>
        <v/>
      </c>
    </row>
    <row r="416">
      <c r="A416" s="6" t="inlineStr">
        <is>
          <t>2024M7</t>
        </is>
      </c>
      <c r="B416" t="n">
        <v>2393.962173913043</v>
      </c>
      <c r="C416">
        <f>IF(AND(B416&lt;&gt;"",B415&lt;&gt;""),LN(B416/B415)*100,"")</f>
        <v/>
      </c>
      <c r="D416">
        <f>IF(COUNT(C414:C416)=3,STDEV.S(C414:C416),"")</f>
        <v/>
      </c>
      <c r="E416">
        <f>IF(COUNT(C405:C416)=12,STDEV.S(C405:C416),"")</f>
        <v/>
      </c>
    </row>
    <row r="417">
      <c r="A417" s="6" t="inlineStr">
        <is>
          <t>2024M8</t>
        </is>
      </c>
      <c r="B417" t="n">
        <v>2468.328636363637</v>
      </c>
      <c r="C417">
        <f>IF(AND(B417&lt;&gt;"",B416&lt;&gt;""),LN(B417/B416)*100,"")</f>
        <v/>
      </c>
      <c r="D417">
        <f>IF(COUNT(C415:C417)=3,STDEV.S(C415:C417),"")</f>
        <v/>
      </c>
      <c r="E417">
        <f>IF(COUNT(C406:C417)=12,STDEV.S(C406:C417),"")</f>
        <v/>
      </c>
    </row>
    <row r="418">
      <c r="A418" s="6" t="inlineStr">
        <is>
          <t>2024M9</t>
        </is>
      </c>
      <c r="B418" t="n">
        <v>2569.049047619048</v>
      </c>
      <c r="C418">
        <f>IF(AND(B418&lt;&gt;"",B417&lt;&gt;""),LN(B418/B417)*100,"")</f>
        <v/>
      </c>
      <c r="D418">
        <f>IF(COUNT(C416:C418)=3,STDEV.S(C416:C418),"")</f>
        <v/>
      </c>
      <c r="E418">
        <f>IF(COUNT(C407:C418)=12,STDEV.S(C407:C418),"")</f>
        <v/>
      </c>
    </row>
    <row r="419">
      <c r="A419" s="6" t="inlineStr">
        <is>
          <t>2024M10</t>
        </is>
      </c>
      <c r="B419" t="n">
        <v>2689.128695652174</v>
      </c>
      <c r="C419">
        <f>IF(AND(B419&lt;&gt;"",B418&lt;&gt;""),LN(B419/B418)*100,"")</f>
        <v/>
      </c>
      <c r="D419">
        <f>IF(COUNT(C417:C419)=3,STDEV.S(C417:C419),"")</f>
        <v/>
      </c>
      <c r="E419">
        <f>IF(COUNT(C408:C419)=12,STDEV.S(C408:C419),"")</f>
        <v/>
      </c>
    </row>
    <row r="420">
      <c r="A420" s="6" t="inlineStr">
        <is>
          <t>2024M11</t>
        </is>
      </c>
      <c r="B420" t="n">
        <v>2652.199523809524</v>
      </c>
      <c r="C420">
        <f>IF(AND(B420&lt;&gt;"",B419&lt;&gt;""),LN(B420/B419)*100,"")</f>
        <v/>
      </c>
      <c r="D420">
        <f>IF(COUNT(C418:C420)=3,STDEV.S(C418:C420),"")</f>
        <v/>
      </c>
      <c r="E420">
        <f>IF(COUNT(C409:C420)=12,STDEV.S(C409:C420),"")</f>
        <v/>
      </c>
    </row>
    <row r="421">
      <c r="A421" s="6" t="inlineStr">
        <is>
          <t>2024M12</t>
        </is>
      </c>
      <c r="B421" t="n">
        <v>2640.605454545455</v>
      </c>
      <c r="C421">
        <f>IF(AND(B421&lt;&gt;"",B420&lt;&gt;""),LN(B421/B420)*100,"")</f>
        <v/>
      </c>
      <c r="D421">
        <f>IF(COUNT(C419:C421)=3,STDEV.S(C419:C421),"")</f>
        <v/>
      </c>
      <c r="E421">
        <f>IF(COUNT(C410:C421)=12,STDEV.S(C410:C421),"")</f>
        <v/>
      </c>
    </row>
    <row r="422">
      <c r="A422" s="6" t="inlineStr">
        <is>
          <t>2025M1</t>
        </is>
      </c>
      <c r="B422" t="n">
        <v>2707.467391304348</v>
      </c>
      <c r="C422">
        <f>IF(AND(B422&lt;&gt;"",B421&lt;&gt;""),LN(B422/B421)*100,"")</f>
        <v/>
      </c>
      <c r="D422">
        <f>IF(COUNT(C420:C422)=3,STDEV.S(C420:C422),"")</f>
        <v/>
      </c>
      <c r="E422">
        <f>IF(COUNT(C411:C422)=12,STDEV.S(C411:C422),"")</f>
        <v/>
      </c>
    </row>
    <row r="423">
      <c r="A423" s="6" t="inlineStr">
        <is>
          <t>2025M2</t>
        </is>
      </c>
      <c r="B423" t="n">
        <v>2894.38</v>
      </c>
      <c r="C423">
        <f>IF(AND(B423&lt;&gt;"",B422&lt;&gt;""),LN(B423/B422)*100,"")</f>
        <v/>
      </c>
      <c r="D423">
        <f>IF(COUNT(C421:C423)=3,STDEV.S(C421:C423),"")</f>
        <v/>
      </c>
      <c r="E423">
        <f>IF(COUNT(C412:C423)=12,STDEV.S(C412:C423),"")</f>
        <v/>
      </c>
    </row>
    <row r="424">
      <c r="A424" s="6" t="inlineStr">
        <is>
          <t>2025M3</t>
        </is>
      </c>
      <c r="B424" t="n">
        <v>2986.256190476191</v>
      </c>
      <c r="C424">
        <f>IF(AND(B424&lt;&gt;"",B423&lt;&gt;""),LN(B424/B423)*100,"")</f>
        <v/>
      </c>
      <c r="D424">
        <f>IF(COUNT(C422:C424)=3,STDEV.S(C422:C424),"")</f>
        <v/>
      </c>
      <c r="E424">
        <f>IF(COUNT(C413:C424)=12,STDEV.S(C413:C424),"")</f>
        <v/>
      </c>
    </row>
    <row r="425">
      <c r="A425" s="6" t="inlineStr">
        <is>
          <t>2025M4</t>
        </is>
      </c>
      <c r="B425" t="n">
        <v>3222.011818181818</v>
      </c>
      <c r="C425">
        <f>IF(AND(B425&lt;&gt;"",B424&lt;&gt;""),LN(B425/B424)*100,"")</f>
        <v/>
      </c>
      <c r="D425">
        <f>IF(COUNT(C423:C425)=3,STDEV.S(C423:C425),"")</f>
        <v/>
      </c>
      <c r="E425">
        <f>IF(COUNT(C414:C425)=12,STDEV.S(C414:C425),"")</f>
        <v/>
      </c>
    </row>
    <row r="426">
      <c r="A426" s="6" t="inlineStr">
        <is>
          <t>2025M5</t>
        </is>
      </c>
      <c r="B426" t="n">
        <v>3288.009545454546</v>
      </c>
      <c r="C426">
        <f>IF(AND(B426&lt;&gt;"",B425&lt;&gt;""),LN(B426/B425)*100,"")</f>
        <v/>
      </c>
      <c r="D426">
        <f>IF(COUNT(C424:C426)=3,STDEV.S(C424:C426),"")</f>
        <v/>
      </c>
      <c r="E426">
        <f>IF(COUNT(C415:C426)=12,STDEV.S(C415:C426),"")</f>
        <v/>
      </c>
    </row>
    <row r="427">
      <c r="A427" s="6" t="inlineStr">
        <is>
          <t>2025M6</t>
        </is>
      </c>
      <c r="B427" t="n">
        <v>3351.858571428571</v>
      </c>
      <c r="C427">
        <f>IF(AND(B427&lt;&gt;"",B426&lt;&gt;""),LN(B427/B426)*100,"")</f>
        <v/>
      </c>
      <c r="D427">
        <f>IF(COUNT(C425:C427)=3,STDEV.S(C425:C427),"")</f>
        <v/>
      </c>
      <c r="E427">
        <f>IF(COUNT(C416:C427)=12,STDEV.S(C416:C427),"")</f>
        <v/>
      </c>
    </row>
    <row r="428">
      <c r="A428" s="6" t="inlineStr">
        <is>
          <t>2025M7</t>
        </is>
      </c>
      <c r="B428" t="n">
        <v>3341.649130434783</v>
      </c>
      <c r="C428">
        <f>IF(AND(B428&lt;&gt;"",B427&lt;&gt;""),LN(B428/B427)*100,"")</f>
        <v/>
      </c>
      <c r="D428">
        <f>IF(COUNT(C426:C428)=3,STDEV.S(C426:C428),"")</f>
        <v/>
      </c>
      <c r="E428">
        <f>IF(COUNT(C417:C428)=12,STDEV.S(C417:C428),"")</f>
        <v/>
      </c>
    </row>
    <row r="429">
      <c r="A429" s="6" t="inlineStr">
        <is>
          <t>2025M8</t>
        </is>
      </c>
      <c r="B429" t="n">
        <v>3367.256190476191</v>
      </c>
      <c r="C429">
        <f>IF(AND(B429&lt;&gt;"",B428&lt;&gt;""),LN(B429/B428)*100,"")</f>
        <v/>
      </c>
      <c r="D429">
        <f>IF(COUNT(C427:C429)=3,STDEV.S(C427:C429),"")</f>
        <v/>
      </c>
      <c r="E429">
        <f>IF(COUNT(C418:C429)=12,STDEV.S(C418:C429),"")</f>
        <v/>
      </c>
    </row>
    <row r="430">
      <c r="A430" s="6" t="inlineStr">
        <is>
          <t>2025M9</t>
        </is>
      </c>
      <c r="B430" t="n">
        <v>3666.523636363636</v>
      </c>
      <c r="C430">
        <f>IF(AND(B430&lt;&gt;"",B429&lt;&gt;""),LN(B430/B429)*100,"")</f>
        <v/>
      </c>
      <c r="D430">
        <f>IF(COUNT(C428:C430)=3,STDEV.S(C428:C430),"")</f>
        <v/>
      </c>
      <c r="E430">
        <f>IF(COUNT(C419:C430)=12,STDEV.S(C419:C430),"")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2026-01-29T06:26:56Z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