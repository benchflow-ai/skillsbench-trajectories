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WEO_Data" sheetId="2" state="visible" r:id="rId2"/>
    <sheet name="CFC data" sheetId="3" state="visible" r:id="rId3"/>
    <sheet name="Investment" sheetId="4" state="visible" r:id="rId4"/>
    <sheet name="Production" sheetId="5" state="visible" r:id="rId5"/>
    <sheet name="Solver_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18" customWidth="1" min="4" max="4"/>
    <col width="20" customWidth="1" min="5" max="5"/>
  </cols>
  <sheetData>
    <row r="1">
      <c r="A1" s="1" t="inlineStr">
        <is>
          <t>Year</t>
        </is>
      </c>
      <c r="B1" s="1" t="inlineStr">
        <is>
          <t>rgdpna (Real GDP, mil 2021 US$)</t>
        </is>
      </c>
      <c r="C1" s="1" t="inlineStr">
        <is>
          <t>rnna (Capital Stock, mil 2021 US$)</t>
        </is>
      </c>
      <c r="D1" s="1" t="inlineStr">
        <is>
          <t>labsh (Labour Share)</t>
        </is>
      </c>
      <c r="E1" s="1" t="inlineStr">
        <is>
          <t>delta (Depreciation Rate)</t>
        </is>
      </c>
    </row>
    <row r="2">
      <c r="A2" t="n">
        <v>2000</v>
      </c>
      <c r="B2" t="n">
        <v>25425.16796875</v>
      </c>
      <c r="C2" t="n">
        <v>300383.3125</v>
      </c>
      <c r="D2" t="n">
        <v>0.426979333162308</v>
      </c>
      <c r="E2" t="n">
        <v>0.031913548707962</v>
      </c>
    </row>
    <row r="3">
      <c r="A3" t="n">
        <v>2001</v>
      </c>
      <c r="B3" t="n">
        <v>26646.9609375</v>
      </c>
      <c r="C3" t="n">
        <v>302284.0625</v>
      </c>
      <c r="D3" t="n">
        <v>0.389131993055344</v>
      </c>
      <c r="E3" t="n">
        <v>0.0318191163241863</v>
      </c>
    </row>
    <row r="4">
      <c r="A4" t="n">
        <v>2002</v>
      </c>
      <c r="B4" t="n">
        <v>28105.572265625</v>
      </c>
      <c r="C4" t="n">
        <v>303592.625</v>
      </c>
      <c r="D4" t="n">
        <v>0.317676365375519</v>
      </c>
      <c r="E4" t="n">
        <v>0.0315976105630398</v>
      </c>
    </row>
    <row r="5">
      <c r="A5" t="n">
        <v>2003</v>
      </c>
      <c r="B5" t="n">
        <v>31213.515625</v>
      </c>
      <c r="C5" t="n">
        <v>307310.28125</v>
      </c>
      <c r="D5" t="n">
        <v>0.236238181591034</v>
      </c>
      <c r="E5" t="n">
        <v>0.0312637500464916</v>
      </c>
    </row>
    <row r="6">
      <c r="A6" t="n">
        <v>2004</v>
      </c>
      <c r="B6" t="n">
        <v>33022.64453125</v>
      </c>
      <c r="C6" t="n">
        <v>311984.28125</v>
      </c>
      <c r="D6" t="n">
        <v>0.216802850365639</v>
      </c>
      <c r="E6" t="n">
        <v>0.0316877923905849</v>
      </c>
    </row>
    <row r="7">
      <c r="A7" t="n">
        <v>2005</v>
      </c>
      <c r="B7" t="n">
        <v>36188.953125</v>
      </c>
      <c r="C7" t="n">
        <v>317837.8125</v>
      </c>
      <c r="D7" t="n">
        <v>0.222547188401222</v>
      </c>
      <c r="E7" t="n">
        <v>0.0329389497637749</v>
      </c>
    </row>
    <row r="8">
      <c r="A8" t="n">
        <v>2006</v>
      </c>
      <c r="B8" t="n">
        <v>39598.22265625</v>
      </c>
      <c r="C8" t="n">
        <v>322943.65625</v>
      </c>
      <c r="D8" t="n">
        <v>0.20620222389698</v>
      </c>
      <c r="E8" t="n">
        <v>0.0344443172216415</v>
      </c>
    </row>
    <row r="9">
      <c r="A9" t="n">
        <v>2007</v>
      </c>
      <c r="B9" t="n">
        <v>44579.19140625</v>
      </c>
      <c r="C9" t="n">
        <v>329445.875</v>
      </c>
      <c r="D9" t="n">
        <v>0.236618474125862</v>
      </c>
      <c r="E9" t="n">
        <v>0.0360632352530956</v>
      </c>
    </row>
    <row r="10">
      <c r="A10" t="n">
        <v>2008</v>
      </c>
      <c r="B10" t="n">
        <v>45657.16015625</v>
      </c>
      <c r="C10" t="n">
        <v>332604.46875</v>
      </c>
      <c r="D10" t="n">
        <v>0.28689768910408</v>
      </c>
      <c r="E10" t="n">
        <v>0.0373382940888405</v>
      </c>
    </row>
    <row r="11">
      <c r="A11" t="n">
        <v>2009</v>
      </c>
      <c r="B11" t="n">
        <v>43990.6328125</v>
      </c>
      <c r="C11" t="n">
        <v>330608.28125</v>
      </c>
      <c r="D11" t="n">
        <v>0.362254530191422</v>
      </c>
      <c r="E11" t="n">
        <v>0.0375244617462158</v>
      </c>
    </row>
    <row r="12">
      <c r="A12" t="n">
        <v>2010</v>
      </c>
      <c r="B12" t="n">
        <v>46739.7890625</v>
      </c>
      <c r="C12" t="n">
        <v>332551.53125</v>
      </c>
      <c r="D12" t="n">
        <v>0.321065455675125</v>
      </c>
      <c r="E12" t="n">
        <v>0.0372243337333202</v>
      </c>
    </row>
    <row r="13">
      <c r="A13" t="n">
        <v>2011</v>
      </c>
      <c r="B13" t="n">
        <v>50455.2109375</v>
      </c>
      <c r="C13" t="n">
        <v>336560.28125</v>
      </c>
      <c r="D13" t="n">
        <v>0.34080171585083</v>
      </c>
      <c r="E13" t="n">
        <v>0.037186823785305</v>
      </c>
    </row>
    <row r="14">
      <c r="A14" t="n">
        <v>2012</v>
      </c>
      <c r="B14" t="n">
        <v>53774.6796875</v>
      </c>
      <c r="C14" t="n">
        <v>341471.1875</v>
      </c>
      <c r="D14" t="n">
        <v>0.364897519350052</v>
      </c>
      <c r="E14" t="n">
        <v>0.0371892042458057</v>
      </c>
    </row>
    <row r="15">
      <c r="A15" t="n">
        <v>2013</v>
      </c>
      <c r="B15" t="n">
        <v>56535.23046875</v>
      </c>
      <c r="C15" t="n">
        <v>344239.03125</v>
      </c>
      <c r="D15" t="n">
        <v>0.385636419057846</v>
      </c>
      <c r="E15" t="n">
        <v>0.0372365638613701</v>
      </c>
    </row>
    <row r="16">
      <c r="A16" t="n">
        <v>2014</v>
      </c>
      <c r="B16" t="n">
        <v>58847.86328125</v>
      </c>
      <c r="C16" t="n">
        <v>350962.15625</v>
      </c>
      <c r="D16" t="n">
        <v>0.381861984729767</v>
      </c>
      <c r="E16" t="n">
        <v>0.03755883872509</v>
      </c>
    </row>
    <row r="17">
      <c r="A17" t="n">
        <v>2015</v>
      </c>
      <c r="B17" t="n">
        <v>60819.7421875</v>
      </c>
      <c r="C17" t="n">
        <v>360259.8125</v>
      </c>
      <c r="D17" t="n">
        <v>0.393652886152267</v>
      </c>
      <c r="E17" t="n">
        <v>0.0383267849683762</v>
      </c>
    </row>
    <row r="18">
      <c r="A18" t="n">
        <v>2016</v>
      </c>
      <c r="B18" t="n">
        <v>62917.9765625</v>
      </c>
      <c r="C18" t="n">
        <v>370547.65625</v>
      </c>
      <c r="D18" t="n">
        <v>0.422906786203384</v>
      </c>
      <c r="E18" t="n">
        <v>0.0393099114298821</v>
      </c>
    </row>
    <row r="19">
      <c r="A19" t="n">
        <v>2017</v>
      </c>
      <c r="B19" t="n">
        <v>66165.234375</v>
      </c>
      <c r="C19" t="n">
        <v>380655.78125</v>
      </c>
      <c r="D19" t="n">
        <v>0.426571011543274</v>
      </c>
      <c r="E19" t="n">
        <v>0.0404252856969833</v>
      </c>
    </row>
    <row r="20">
      <c r="A20" t="n">
        <v>2018</v>
      </c>
      <c r="B20" t="n">
        <v>70176.296875</v>
      </c>
      <c r="C20" t="n">
        <v>390625.1875</v>
      </c>
      <c r="D20" t="n">
        <v>0.43255540728569</v>
      </c>
      <c r="E20" t="n">
        <v>0.0412590205669403</v>
      </c>
    </row>
    <row r="21">
      <c r="A21" t="n">
        <v>2019</v>
      </c>
      <c r="B21" t="n">
        <v>73951.9765625</v>
      </c>
      <c r="C21" t="n">
        <v>399934.28125</v>
      </c>
      <c r="D21" t="n">
        <v>0.448765248060226</v>
      </c>
      <c r="E21" t="n">
        <v>0.0420626476407051</v>
      </c>
    </row>
    <row r="22">
      <c r="A22" t="n">
        <v>2020</v>
      </c>
      <c r="B22" t="n">
        <v>69299.46875</v>
      </c>
      <c r="C22" t="n">
        <v>405156.15625</v>
      </c>
      <c r="D22" t="n">
        <v>0.442575424909592</v>
      </c>
      <c r="E22" t="n">
        <v>0.0429592169821262</v>
      </c>
    </row>
    <row r="23">
      <c r="A23" t="n">
        <v>2021</v>
      </c>
      <c r="B23" t="n">
        <v>76675.71875</v>
      </c>
      <c r="C23" t="n">
        <v>409189.75</v>
      </c>
      <c r="D23" t="n">
        <v>0.432893872261047</v>
      </c>
      <c r="E23" t="n">
        <v>0.0433573126792908</v>
      </c>
    </row>
    <row r="24">
      <c r="A24" t="n">
        <v>2022</v>
      </c>
      <c r="B24" t="n">
        <v>85079.0234375</v>
      </c>
      <c r="C24" t="n">
        <v>415085.84375</v>
      </c>
      <c r="D24" t="n">
        <v>0.437597304582596</v>
      </c>
      <c r="E24" t="n">
        <v>0.0436077080667019</v>
      </c>
    </row>
    <row r="25">
      <c r="A25" t="n">
        <v>2023</v>
      </c>
      <c r="B25" t="n">
        <v>91437.8125</v>
      </c>
      <c r="C25" t="n">
        <v>426190.5</v>
      </c>
      <c r="D25" t="n">
        <v>0.466998279094696</v>
      </c>
      <c r="E25" t="n">
        <v>0.0444894470274448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25" customWidth="1" min="4" max="4"/>
    <col width="30" customWidth="1" min="5" max="5"/>
  </cols>
  <sheetData>
    <row r="1">
      <c r="A1" s="1" t="inlineStr">
        <is>
          <t>Year</t>
        </is>
      </c>
      <c r="B1" s="1" t="inlineStr">
        <is>
          <t>Real GDP Growth Rate (%)</t>
        </is>
      </c>
      <c r="C1" s="1" t="inlineStr">
        <is>
          <t>Real GDP Level (PPP, billions)</t>
        </is>
      </c>
      <c r="D1" s="1" t="inlineStr">
        <is>
          <t>Extended Growth Rate (%)</t>
        </is>
      </c>
      <c r="E1" s="1" t="inlineStr">
        <is>
          <t>Extended Real GDP (billions)</t>
        </is>
      </c>
    </row>
    <row r="2">
      <c r="A2" t="n">
        <v>2000</v>
      </c>
      <c r="B2" t="n">
        <v>1.9</v>
      </c>
      <c r="C2" t="n">
        <v>14.181</v>
      </c>
      <c r="D2" t="n">
        <v>1.9</v>
      </c>
      <c r="E2" t="n">
        <v>14.181</v>
      </c>
    </row>
    <row r="3">
      <c r="A3" t="n">
        <v>2001</v>
      </c>
      <c r="B3" t="n">
        <v>4.8</v>
      </c>
      <c r="C3" t="n">
        <v>15.192</v>
      </c>
      <c r="D3" t="n">
        <v>4.8</v>
      </c>
      <c r="E3">
        <f>E2*(1+D3/100)</f>
        <v/>
      </c>
    </row>
    <row r="4">
      <c r="A4" t="n">
        <v>2002</v>
      </c>
      <c r="B4" t="n">
        <v>5.5</v>
      </c>
      <c r="C4" t="n">
        <v>16.274</v>
      </c>
      <c r="D4" t="n">
        <v>5.5</v>
      </c>
      <c r="E4">
        <f>E3*(1+D4/100)</f>
        <v/>
      </c>
    </row>
    <row r="5">
      <c r="A5" t="n">
        <v>2003</v>
      </c>
      <c r="B5" t="n">
        <v>11.2</v>
      </c>
      <c r="C5" t="n">
        <v>18.459</v>
      </c>
      <c r="D5" t="n">
        <v>11.2</v>
      </c>
      <c r="E5">
        <f>E4*(1+D5/100)</f>
        <v/>
      </c>
    </row>
    <row r="6">
      <c r="A6" t="n">
        <v>2004</v>
      </c>
      <c r="B6" t="n">
        <v>5.8</v>
      </c>
      <c r="C6" t="n">
        <v>20.054</v>
      </c>
      <c r="D6" t="n">
        <v>5.8</v>
      </c>
      <c r="E6">
        <f>E5*(1+D6/100)</f>
        <v/>
      </c>
    </row>
    <row r="7">
      <c r="A7" t="n">
        <v>2005</v>
      </c>
      <c r="B7" t="n">
        <v>9.6</v>
      </c>
      <c r="C7" t="n">
        <v>22.666</v>
      </c>
      <c r="D7" t="n">
        <v>9.6</v>
      </c>
      <c r="E7">
        <f>E6*(1+D7/100)</f>
        <v/>
      </c>
    </row>
    <row r="8">
      <c r="A8" t="n">
        <v>2006</v>
      </c>
      <c r="B8" t="n">
        <v>9.4</v>
      </c>
      <c r="C8" t="n">
        <v>25.566</v>
      </c>
      <c r="D8" t="n">
        <v>9.4</v>
      </c>
      <c r="E8">
        <f>E7*(1+D8/100)</f>
        <v/>
      </c>
    </row>
    <row r="9">
      <c r="A9" t="n">
        <v>2007</v>
      </c>
      <c r="B9" t="n">
        <v>12.6</v>
      </c>
      <c r="C9" t="n">
        <v>29.562</v>
      </c>
      <c r="D9" t="n">
        <v>12.6</v>
      </c>
      <c r="E9">
        <f>E8*(1+D9/100)</f>
        <v/>
      </c>
    </row>
    <row r="10">
      <c r="A10" t="n">
        <v>2008</v>
      </c>
      <c r="B10" t="n">
        <v>2.4</v>
      </c>
      <c r="C10" t="n">
        <v>30.86</v>
      </c>
      <c r="D10" t="n">
        <v>2.4</v>
      </c>
      <c r="E10">
        <f>E9*(1+D10/100)</f>
        <v/>
      </c>
    </row>
    <row r="11">
      <c r="A11" t="n">
        <v>2009</v>
      </c>
      <c r="B11" t="n">
        <v>-3.7</v>
      </c>
      <c r="C11" t="n">
        <v>29.917</v>
      </c>
      <c r="D11" t="n">
        <v>-3.7</v>
      </c>
      <c r="E11">
        <f>E10*(1+D11/100)</f>
        <v/>
      </c>
    </row>
    <row r="12">
      <c r="A12" t="n">
        <v>2010</v>
      </c>
      <c r="B12" t="n">
        <v>6.9</v>
      </c>
      <c r="C12" t="n">
        <v>32.383</v>
      </c>
      <c r="D12" t="n">
        <v>6.9</v>
      </c>
      <c r="E12">
        <f>E11*(1+D12/100)</f>
        <v/>
      </c>
    </row>
    <row r="13">
      <c r="A13" t="n">
        <v>2011</v>
      </c>
      <c r="B13" t="n">
        <v>7.9</v>
      </c>
      <c r="C13" t="n">
        <v>35.678</v>
      </c>
      <c r="D13" t="n">
        <v>7.9</v>
      </c>
      <c r="E13">
        <f>E12*(1+D13/100)</f>
        <v/>
      </c>
    </row>
    <row r="14">
      <c r="A14" t="n">
        <v>2012</v>
      </c>
      <c r="B14" t="n">
        <v>6.6</v>
      </c>
      <c r="C14" t="n">
        <v>38.733</v>
      </c>
      <c r="D14" t="n">
        <v>6.6</v>
      </c>
      <c r="E14">
        <f>E13*(1+D14/100)</f>
        <v/>
      </c>
    </row>
    <row r="15">
      <c r="A15" t="n">
        <v>2013</v>
      </c>
      <c r="B15" t="n">
        <v>5.1</v>
      </c>
      <c r="C15" t="n">
        <v>41.415</v>
      </c>
      <c r="D15" t="n">
        <v>5.1</v>
      </c>
      <c r="E15">
        <f>E14*(1+D15/100)</f>
        <v/>
      </c>
    </row>
    <row r="16">
      <c r="A16" t="n">
        <v>2014</v>
      </c>
      <c r="B16" t="n">
        <v>4.1</v>
      </c>
      <c r="C16" t="n">
        <v>43.86</v>
      </c>
      <c r="D16" t="n">
        <v>4.1</v>
      </c>
      <c r="E16">
        <f>E15*(1+D16/100)</f>
        <v/>
      </c>
    </row>
    <row r="17">
      <c r="A17" t="n">
        <v>2015</v>
      </c>
      <c r="B17" t="n">
        <v>3.4</v>
      </c>
      <c r="C17" t="n">
        <v>45.75</v>
      </c>
      <c r="D17" t="n">
        <v>3.4</v>
      </c>
      <c r="E17">
        <f>E16*(1+D17/100)</f>
        <v/>
      </c>
    </row>
    <row r="18">
      <c r="A18" t="n">
        <v>2016</v>
      </c>
      <c r="B18" t="n">
        <v>3.4</v>
      </c>
      <c r="C18" t="n">
        <v>47.778</v>
      </c>
      <c r="D18" t="n">
        <v>3.4</v>
      </c>
      <c r="E18">
        <f>E17*(1+D18/100)</f>
        <v/>
      </c>
    </row>
    <row r="19">
      <c r="A19" t="n">
        <v>2017</v>
      </c>
      <c r="B19" t="n">
        <v>5.2</v>
      </c>
      <c r="C19" t="n">
        <v>51.144</v>
      </c>
      <c r="D19" t="n">
        <v>5.2</v>
      </c>
      <c r="E19">
        <f>E18*(1+D19/100)</f>
        <v/>
      </c>
    </row>
    <row r="20">
      <c r="A20" t="n">
        <v>2018</v>
      </c>
      <c r="B20" t="n">
        <v>6.1</v>
      </c>
      <c r="C20" t="n">
        <v>55.98</v>
      </c>
      <c r="D20" t="n">
        <v>6.1</v>
      </c>
      <c r="E20">
        <f>E19*(1+D20/100)</f>
        <v/>
      </c>
    </row>
    <row r="21">
      <c r="A21" t="n">
        <v>2019</v>
      </c>
      <c r="B21" t="n">
        <v>5.4</v>
      </c>
      <c r="C21" t="n">
        <v>62.388</v>
      </c>
      <c r="D21" t="n">
        <v>5.4</v>
      </c>
      <c r="E21">
        <f>E20*(1+D21/100)</f>
        <v/>
      </c>
    </row>
    <row r="22">
      <c r="A22" t="n">
        <v>2020</v>
      </c>
      <c r="B22" t="n">
        <v>-6.3</v>
      </c>
      <c r="C22" t="n">
        <v>62.509</v>
      </c>
      <c r="D22" t="n">
        <v>-6.3</v>
      </c>
      <c r="E22">
        <f>E21*(1+D22/100)</f>
        <v/>
      </c>
    </row>
    <row r="23">
      <c r="A23" t="n">
        <v>2021</v>
      </c>
      <c r="B23" t="n">
        <v>10.6</v>
      </c>
      <c r="C23" t="n">
        <v>70.151</v>
      </c>
      <c r="D23" t="n">
        <v>10.6</v>
      </c>
      <c r="E23">
        <f>E22*(1+D23/100)</f>
        <v/>
      </c>
    </row>
    <row r="24">
      <c r="A24" t="n">
        <v>2022</v>
      </c>
      <c r="B24" t="n">
        <v>11</v>
      </c>
      <c r="C24" t="n">
        <v>83.375</v>
      </c>
      <c r="D24" t="n">
        <v>11</v>
      </c>
      <c r="E24">
        <f>E23*(1+D24/100)</f>
        <v/>
      </c>
    </row>
    <row r="25">
      <c r="A25" t="n">
        <v>2023</v>
      </c>
      <c r="B25" t="n">
        <v>7.8</v>
      </c>
      <c r="C25" t="n">
        <v>93.232</v>
      </c>
      <c r="D25" t="n">
        <v>7.8</v>
      </c>
      <c r="E25">
        <f>E24*(1+D25/100)</f>
        <v/>
      </c>
    </row>
    <row r="26">
      <c r="A26" t="n">
        <v>2024</v>
      </c>
      <c r="B26" t="n">
        <v>9.4</v>
      </c>
      <c r="C26" t="n">
        <v>104.555</v>
      </c>
      <c r="D26" t="n">
        <v>9.4</v>
      </c>
      <c r="E26">
        <f>E25*(1+D26/100)</f>
        <v/>
      </c>
    </row>
    <row r="27">
      <c r="A27" t="n">
        <v>2025</v>
      </c>
      <c r="B27" t="n">
        <v>7.2</v>
      </c>
      <c r="C27" t="n">
        <v>114.839</v>
      </c>
      <c r="D27" t="n">
        <v>7.2</v>
      </c>
      <c r="E27">
        <f>E26*(1+D27/100)</f>
        <v/>
      </c>
    </row>
    <row r="28">
      <c r="A28" t="n">
        <v>2026</v>
      </c>
      <c r="B28" t="n">
        <v>5.3</v>
      </c>
      <c r="C28" t="n">
        <v>123.049</v>
      </c>
      <c r="D28" t="n">
        <v>5.3</v>
      </c>
      <c r="E28">
        <f>E27*(1+D28/100)</f>
        <v/>
      </c>
    </row>
    <row r="29">
      <c r="A29" t="n">
        <v>2027</v>
      </c>
      <c r="B29" t="n">
        <v>5</v>
      </c>
      <c r="C29" t="n">
        <v>131.417</v>
      </c>
      <c r="D29" t="n">
        <v>5</v>
      </c>
      <c r="E29">
        <f>E28*(1+D29/100)</f>
        <v/>
      </c>
    </row>
    <row r="30">
      <c r="A30" t="n">
        <v>2028</v>
      </c>
      <c r="B30" t="n">
        <v>5</v>
      </c>
      <c r="C30" t="n">
        <v>140.163</v>
      </c>
      <c r="D30">
        <f>$D$29</f>
        <v/>
      </c>
      <c r="E30">
        <f>E29*(1+D30/100)</f>
        <v/>
      </c>
    </row>
    <row r="31">
      <c r="A31" t="n">
        <v>2029</v>
      </c>
      <c r="B31" t="n">
        <v>5</v>
      </c>
      <c r="C31" t="n">
        <v>149.795</v>
      </c>
      <c r="D31">
        <f>$D$29</f>
        <v/>
      </c>
      <c r="E31">
        <f>E30*(1+D31/100)</f>
        <v/>
      </c>
    </row>
    <row r="32">
      <c r="A32" t="n">
        <v>2030</v>
      </c>
      <c r="B32" t="n">
        <v>5</v>
      </c>
      <c r="C32" t="n">
        <v>160.234</v>
      </c>
      <c r="D32">
        <f>$D$29</f>
        <v/>
      </c>
      <c r="E32">
        <f>E31*(1+D32/100)</f>
        <v/>
      </c>
    </row>
    <row r="33">
      <c r="A33" t="n">
        <v>2031</v>
      </c>
      <c r="D33">
        <f>$D$29</f>
        <v/>
      </c>
      <c r="E33">
        <f>E32*(1+D33/100)</f>
        <v/>
      </c>
    </row>
    <row r="34">
      <c r="A34" t="n">
        <v>2032</v>
      </c>
      <c r="D34">
        <f>$D$29</f>
        <v/>
      </c>
      <c r="E34">
        <f>E33*(1+D34/100)</f>
        <v/>
      </c>
    </row>
    <row r="35">
      <c r="A35" t="n">
        <v>2033</v>
      </c>
      <c r="D35">
        <f>$D$29</f>
        <v/>
      </c>
      <c r="E35">
        <f>E34*(1+D35/100)</f>
        <v/>
      </c>
    </row>
    <row r="36">
      <c r="A36" t="n">
        <v>2034</v>
      </c>
      <c r="D36">
        <f>$D$29</f>
        <v/>
      </c>
      <c r="E36">
        <f>E35*(1+D36/100)</f>
        <v/>
      </c>
    </row>
    <row r="37">
      <c r="A37" t="n">
        <v>2035</v>
      </c>
      <c r="D37">
        <f>$D$29</f>
        <v/>
      </c>
      <c r="E37">
        <f>E36*(1+D37/100)</f>
        <v/>
      </c>
    </row>
    <row r="38">
      <c r="A38" t="n">
        <v>2036</v>
      </c>
      <c r="D38">
        <f>$D$29</f>
        <v/>
      </c>
      <c r="E38">
        <f>E37*(1+D38/100)</f>
        <v/>
      </c>
    </row>
    <row r="39">
      <c r="A39" t="n">
        <v>2037</v>
      </c>
      <c r="D39">
        <f>$D$29</f>
        <v/>
      </c>
      <c r="E39">
        <f>E38*(1+D39/100)</f>
        <v/>
      </c>
    </row>
    <row r="40">
      <c r="A40" t="n">
        <v>2038</v>
      </c>
      <c r="D40">
        <f>$D$29</f>
        <v/>
      </c>
      <c r="E40">
        <f>E39*(1+D40/100)</f>
        <v/>
      </c>
    </row>
    <row r="41">
      <c r="A41" t="n">
        <v>2039</v>
      </c>
      <c r="D41">
        <f>$D$29</f>
        <v/>
      </c>
      <c r="E41">
        <f>E40*(1+D41/100)</f>
        <v/>
      </c>
    </row>
    <row r="42">
      <c r="A42" t="n">
        <v>2040</v>
      </c>
      <c r="D42">
        <f>$D$29</f>
        <v/>
      </c>
      <c r="E42">
        <f>E41*(1+D42/100)</f>
        <v/>
      </c>
    </row>
    <row r="43">
      <c r="A43" t="n">
        <v>2041</v>
      </c>
      <c r="D43">
        <f>$D$29</f>
        <v/>
      </c>
      <c r="E43">
        <f>E42*(1+D43/100)</f>
        <v/>
      </c>
    </row>
    <row r="44">
      <c r="A44" t="n">
        <v>2042</v>
      </c>
      <c r="D44">
        <f>$D$29</f>
        <v/>
      </c>
      <c r="E44">
        <f>E43*(1+D44/100)</f>
        <v/>
      </c>
    </row>
    <row r="45">
      <c r="A45" t="n">
        <v>2043</v>
      </c>
      <c r="D45">
        <f>$D$29</f>
        <v/>
      </c>
      <c r="E45">
        <f>E44*(1+D45/100)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30" customWidth="1" min="4" max="4"/>
    <col width="25" customWidth="1" min="5" max="5"/>
  </cols>
  <sheetData>
    <row r="1">
      <c r="A1" s="1" t="inlineStr">
        <is>
          <t>Year</t>
        </is>
      </c>
      <c r="B1" s="1" t="inlineStr">
        <is>
          <t>CFC (mil domestic currency)</t>
        </is>
      </c>
      <c r="C1" s="1" t="inlineStr">
        <is>
          <t>CFC (mil 2021 US$)</t>
        </is>
      </c>
      <c r="D1" s="1" t="inlineStr">
        <is>
          <t>Capital Stock (linked from PWT)</t>
        </is>
      </c>
      <c r="E1" s="1" t="inlineStr">
        <is>
          <t>Depreciation Rate (CFC/K)</t>
        </is>
      </c>
    </row>
    <row r="2">
      <c r="A2" t="n">
        <v>2000</v>
      </c>
      <c r="B2" t="n">
        <v>631701000.88782</v>
      </c>
      <c r="C2">
        <f>PWT!E2*PWT!C2</f>
        <v/>
      </c>
      <c r="D2">
        <f>PWT!C2</f>
        <v/>
      </c>
      <c r="E2">
        <f>C2/D2</f>
        <v/>
      </c>
    </row>
    <row r="3">
      <c r="A3" t="n">
        <v>2001</v>
      </c>
      <c r="B3" t="n">
        <v>706983726.789065</v>
      </c>
      <c r="C3">
        <f>PWT!E3*PWT!C3</f>
        <v/>
      </c>
      <c r="D3">
        <f>PWT!C3</f>
        <v/>
      </c>
      <c r="E3">
        <f>C3/D3</f>
        <v/>
      </c>
    </row>
    <row r="4">
      <c r="A4" t="n">
        <v>2002</v>
      </c>
      <c r="B4" t="n">
        <v>790112565.198609</v>
      </c>
      <c r="C4">
        <f>PWT!E4*PWT!C4</f>
        <v/>
      </c>
      <c r="D4">
        <f>PWT!C4</f>
        <v/>
      </c>
      <c r="E4">
        <f>C4/D4</f>
        <v/>
      </c>
    </row>
    <row r="5">
      <c r="A5" t="n">
        <v>2003</v>
      </c>
      <c r="B5" t="n">
        <v>932916219.671159</v>
      </c>
      <c r="C5">
        <f>PWT!E5*PWT!C5</f>
        <v/>
      </c>
      <c r="D5">
        <f>PWT!C5</f>
        <v/>
      </c>
      <c r="E5">
        <f>C5/D5</f>
        <v/>
      </c>
    </row>
    <row r="6">
      <c r="A6" t="n">
        <v>2004</v>
      </c>
      <c r="B6" t="n">
        <v>976818537.799271</v>
      </c>
      <c r="C6">
        <f>PWT!E6*PWT!C6</f>
        <v/>
      </c>
      <c r="D6">
        <f>PWT!C6</f>
        <v/>
      </c>
      <c r="E6">
        <f>C6/D6</f>
        <v/>
      </c>
    </row>
    <row r="7">
      <c r="A7" t="n">
        <v>2005</v>
      </c>
      <c r="B7" t="n">
        <v>1113450058.59263</v>
      </c>
      <c r="C7">
        <f>PWT!E7*PWT!C7</f>
        <v/>
      </c>
      <c r="D7">
        <f>PWT!C7</f>
        <v/>
      </c>
      <c r="E7">
        <f>C7/D7</f>
        <v/>
      </c>
    </row>
    <row r="8">
      <c r="A8" t="n">
        <v>2006</v>
      </c>
      <c r="B8" t="n">
        <v>1306373084.13224</v>
      </c>
      <c r="C8">
        <f>PWT!E8*PWT!C8</f>
        <v/>
      </c>
      <c r="D8">
        <f>PWT!C8</f>
        <v/>
      </c>
      <c r="E8">
        <f>C8/D8</f>
        <v/>
      </c>
    </row>
    <row r="9">
      <c r="A9" t="n">
        <v>2007</v>
      </c>
      <c r="B9" t="n">
        <v>1617029966.25711</v>
      </c>
      <c r="C9">
        <f>PWT!E9*PWT!C9</f>
        <v/>
      </c>
      <c r="D9">
        <f>PWT!C9</f>
        <v/>
      </c>
      <c r="E9">
        <f>C9/D9</f>
        <v/>
      </c>
    </row>
    <row r="10">
      <c r="A10" t="n">
        <v>2008</v>
      </c>
      <c r="B10" t="n">
        <v>1758049267.6717</v>
      </c>
      <c r="C10">
        <f>PWT!E10*PWT!C10</f>
        <v/>
      </c>
      <c r="D10">
        <f>PWT!C10</f>
        <v/>
      </c>
      <c r="E10">
        <f>C10/D10</f>
        <v/>
      </c>
    </row>
    <row r="11">
      <c r="A11" t="n">
        <v>2009</v>
      </c>
      <c r="B11" t="n">
        <v>1751366684.88131</v>
      </c>
      <c r="C11">
        <f>PWT!E11*PWT!C11</f>
        <v/>
      </c>
      <c r="D11">
        <f>PWT!C11</f>
        <v/>
      </c>
      <c r="E11">
        <f>C11/D11</f>
        <v/>
      </c>
    </row>
    <row r="12">
      <c r="A12" t="n">
        <v>2010</v>
      </c>
      <c r="B12" t="n">
        <v>2046413234.66733</v>
      </c>
      <c r="C12">
        <f>PWT!E12*PWT!C12</f>
        <v/>
      </c>
      <c r="D12">
        <f>PWT!C12</f>
        <v/>
      </c>
      <c r="E12">
        <f>C12/D12</f>
        <v/>
      </c>
    </row>
    <row r="13">
      <c r="A13" t="n">
        <v>2011</v>
      </c>
      <c r="B13" t="n">
        <v>2350512405.90543</v>
      </c>
      <c r="C13">
        <f>PWT!E13*PWT!C13</f>
        <v/>
      </c>
      <c r="D13">
        <f>PWT!C13</f>
        <v/>
      </c>
      <c r="E13">
        <f>C13/D13</f>
        <v/>
      </c>
    </row>
    <row r="14">
      <c r="A14" t="n">
        <v>2012</v>
      </c>
      <c r="B14" t="n">
        <v>2643602887.96874</v>
      </c>
      <c r="C14">
        <f>PWT!E14*PWT!C14</f>
        <v/>
      </c>
      <c r="D14">
        <f>PWT!C14</f>
        <v/>
      </c>
      <c r="E14">
        <f>C14/D14</f>
        <v/>
      </c>
    </row>
    <row r="15">
      <c r="A15" t="n">
        <v>2013</v>
      </c>
      <c r="B15" t="n">
        <v>1555932152.31816</v>
      </c>
      <c r="C15">
        <f>PWT!E15*PWT!C15</f>
        <v/>
      </c>
      <c r="D15">
        <f>PWT!C15</f>
        <v/>
      </c>
      <c r="E15">
        <f>C15/D15</f>
        <v/>
      </c>
    </row>
    <row r="16">
      <c r="A16" t="n">
        <v>2014</v>
      </c>
      <c r="B16" t="n">
        <v>2984890468.6878</v>
      </c>
      <c r="C16">
        <f>PWT!E16*PWT!C16</f>
        <v/>
      </c>
      <c r="D16">
        <f>PWT!C16</f>
        <v/>
      </c>
      <c r="E16">
        <f>C16/D16</f>
        <v/>
      </c>
    </row>
    <row r="17">
      <c r="A17" t="n">
        <v>2015</v>
      </c>
      <c r="B17" t="n">
        <v>3657280672.54249</v>
      </c>
      <c r="C17">
        <f>PWT!E17*PWT!C17</f>
        <v/>
      </c>
      <c r="D17">
        <f>PWT!C17</f>
        <v/>
      </c>
      <c r="E17">
        <f>C17/D17</f>
        <v/>
      </c>
    </row>
    <row r="18">
      <c r="A18" t="n">
        <v>2016</v>
      </c>
      <c r="B18" t="n">
        <v>4004828719.85304</v>
      </c>
      <c r="C18">
        <f>PWT!E18*PWT!C18</f>
        <v/>
      </c>
      <c r="D18">
        <f>PWT!C18</f>
        <v/>
      </c>
      <c r="E18">
        <f>C18/D18</f>
        <v/>
      </c>
    </row>
    <row r="19">
      <c r="A19" t="n">
        <v>2017</v>
      </c>
      <c r="B19" t="n">
        <v>4492921334.90825</v>
      </c>
      <c r="C19">
        <f>PWT!E19*PWT!C19</f>
        <v/>
      </c>
      <c r="D19">
        <f>PWT!C19</f>
        <v/>
      </c>
      <c r="E19">
        <f>C19/D19</f>
        <v/>
      </c>
    </row>
    <row r="20">
      <c r="A20" t="n">
        <v>2018</v>
      </c>
      <c r="B20" t="n">
        <v>4843616440.28627</v>
      </c>
      <c r="C20">
        <f>PWT!E20*PWT!C20</f>
        <v/>
      </c>
      <c r="D20">
        <f>PWT!C20</f>
        <v/>
      </c>
      <c r="E20">
        <f>C20/D20</f>
        <v/>
      </c>
    </row>
    <row r="21">
      <c r="A21" t="n">
        <v>2019</v>
      </c>
      <c r="B21" t="n">
        <v>5452957379.35004</v>
      </c>
      <c r="C21">
        <f>PWT!E21*PWT!C21</f>
        <v/>
      </c>
      <c r="D21">
        <f>PWT!C21</f>
        <v/>
      </c>
      <c r="E21">
        <f>C21/D21</f>
        <v/>
      </c>
    </row>
    <row r="22">
      <c r="A22" t="n">
        <v>2020</v>
      </c>
      <c r="B22" t="n">
        <v>6152769261.61805</v>
      </c>
      <c r="C22">
        <f>PWT!E22*PWT!C22</f>
        <v/>
      </c>
      <c r="D22">
        <f>PWT!C22</f>
        <v/>
      </c>
      <c r="E22">
        <f>C22/D22</f>
        <v/>
      </c>
    </row>
    <row r="23">
      <c r="A23" t="n">
        <v>2021</v>
      </c>
      <c r="B23" t="n">
        <v>7072625348.89823</v>
      </c>
      <c r="C23">
        <f>PWT!E23*PWT!C23</f>
        <v/>
      </c>
      <c r="D23">
        <f>PWT!C23</f>
        <v/>
      </c>
      <c r="E23">
        <f>C23/D23</f>
        <v/>
      </c>
    </row>
    <row r="24">
      <c r="A24" t="n">
        <v>2022</v>
      </c>
      <c r="B24" t="n">
        <v>7661448474.88107</v>
      </c>
      <c r="C24">
        <f>PWT!E24*PWT!C24</f>
        <v/>
      </c>
      <c r="D24">
        <f>PWT!C24</f>
        <v/>
      </c>
      <c r="E24">
        <f>C24/D24</f>
        <v/>
      </c>
    </row>
    <row r="25">
      <c r="A25" t="n">
        <v>2023</v>
      </c>
      <c r="B25" t="n">
        <v>9410657843.71035</v>
      </c>
      <c r="C25">
        <f>PWT!E25*PWT!C25</f>
        <v/>
      </c>
      <c r="D25">
        <f>PWT!C25</f>
        <v/>
      </c>
      <c r="E25">
        <f>C25/D25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</cols>
  <sheetData>
    <row r="1">
      <c r="A1" s="1" t="inlineStr">
        <is>
          <t>Year</t>
        </is>
      </c>
      <c r="B1" s="1" t="inlineStr">
        <is>
          <t>Investment Shock (billions USD)</t>
        </is>
      </c>
    </row>
    <row r="2">
      <c r="A2" t="n">
        <v>2020</v>
      </c>
      <c r="B2" t="n">
        <v>0</v>
      </c>
    </row>
    <row r="3">
      <c r="A3" t="n">
        <v>2021</v>
      </c>
      <c r="B3" t="n">
        <v>0</v>
      </c>
    </row>
    <row r="4">
      <c r="A4" t="n">
        <v>2022</v>
      </c>
      <c r="B4" t="n">
        <v>0</v>
      </c>
    </row>
    <row r="5">
      <c r="A5" t="n">
        <v>2023</v>
      </c>
      <c r="B5" t="n">
        <v>0</v>
      </c>
    </row>
    <row r="6">
      <c r="A6" t="n">
        <v>2024</v>
      </c>
      <c r="B6" t="n">
        <v>0</v>
      </c>
    </row>
    <row r="7">
      <c r="A7" t="n">
        <v>2025</v>
      </c>
      <c r="B7" t="n">
        <v>0</v>
      </c>
    </row>
    <row r="8">
      <c r="A8" t="n">
        <v>2026</v>
      </c>
      <c r="B8" t="n">
        <v>0.8125</v>
      </c>
    </row>
    <row r="9">
      <c r="A9" t="n">
        <v>2027</v>
      </c>
      <c r="B9" t="n">
        <v>0.8125</v>
      </c>
    </row>
    <row r="10">
      <c r="A10" t="n">
        <v>2028</v>
      </c>
      <c r="B10" t="n">
        <v>0.8125</v>
      </c>
    </row>
    <row r="11">
      <c r="A11" t="n">
        <v>2029</v>
      </c>
      <c r="B11" t="n">
        <v>0.8125</v>
      </c>
    </row>
    <row r="12">
      <c r="A12" t="n">
        <v>2030</v>
      </c>
      <c r="B12" t="n">
        <v>0.8125</v>
      </c>
    </row>
    <row r="13">
      <c r="A13" t="n">
        <v>2031</v>
      </c>
      <c r="B13" t="n">
        <v>0.8125</v>
      </c>
    </row>
    <row r="14">
      <c r="A14" t="n">
        <v>2032</v>
      </c>
      <c r="B14" t="n">
        <v>0.8125</v>
      </c>
    </row>
    <row r="15">
      <c r="A15" t="n">
        <v>2033</v>
      </c>
      <c r="B15" t="n">
        <v>0.8125</v>
      </c>
    </row>
    <row r="16">
      <c r="A16" t="n">
        <v>2034</v>
      </c>
      <c r="B16" t="n">
        <v>0</v>
      </c>
    </row>
    <row r="17">
      <c r="A17" t="n">
        <v>2035</v>
      </c>
      <c r="B17" t="n">
        <v>0</v>
      </c>
    </row>
    <row r="18">
      <c r="A18" t="n">
        <v>2036</v>
      </c>
      <c r="B18" t="n">
        <v>0</v>
      </c>
    </row>
    <row r="19">
      <c r="A19" t="n">
        <v>2037</v>
      </c>
      <c r="B19" t="n">
        <v>0</v>
      </c>
    </row>
    <row r="20">
      <c r="A20" t="n">
        <v>2038</v>
      </c>
      <c r="B20" t="n">
        <v>0</v>
      </c>
    </row>
    <row r="21">
      <c r="A21" t="n">
        <v>2039</v>
      </c>
      <c r="B21" t="n">
        <v>0</v>
      </c>
    </row>
    <row r="22">
      <c r="A22" t="n">
        <v>2040</v>
      </c>
      <c r="B22" t="n">
        <v>0</v>
      </c>
    </row>
    <row r="23">
      <c r="A23" t="n">
        <v>2041</v>
      </c>
      <c r="B23" t="n">
        <v>0</v>
      </c>
    </row>
    <row r="24">
      <c r="A24" t="n">
        <v>2042</v>
      </c>
      <c r="B24" t="n">
        <v>0</v>
      </c>
    </row>
    <row r="25">
      <c r="A25" t="n">
        <v>2043</v>
      </c>
      <c r="B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5" customWidth="1" min="5" max="5"/>
    <col width="18" customWidth="1" min="6" max="6"/>
    <col width="12" customWidth="1" min="7" max="7"/>
    <col width="15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5" customWidth="1" min="15" max="15"/>
    <col width="12" customWidth="1" min="16" max="16"/>
    <col width="10" customWidth="1" min="17" max="17"/>
    <col width="15" customWidth="1" min="18" max="18"/>
  </cols>
  <sheetData>
    <row r="1">
      <c r="A1" s="2" t="inlineStr">
        <is>
          <t>PARAMETERS</t>
        </is>
      </c>
    </row>
    <row r="2">
      <c r="A2" t="inlineStr">
        <is>
          <t>Capital Share (alpha = 1 - labsh):</t>
        </is>
      </c>
      <c r="B2">
        <f>1-AVERAGE(PWT!D18:PWT!D25)</f>
        <v/>
      </c>
    </row>
    <row r="3">
      <c r="A3" t="inlineStr">
        <is>
          <t>Depreciation Rate (avg of last 8 years):</t>
        </is>
      </c>
      <c r="B3">
        <f>AVERAGE('CFC data'!E18:'CFC data'!E25)</f>
        <v/>
      </c>
    </row>
    <row r="5">
      <c r="A5" s="2" t="inlineStr">
        <is>
          <t>HP FILTER DATA (Years 2002-2023)</t>
        </is>
      </c>
      <c r="J5" s="3" t="inlineStr">
        <is>
          <t>HP FILTER SOLVER AREA</t>
        </is>
      </c>
      <c r="Q5" s="1" t="inlineStr">
        <is>
          <t>Lambda:</t>
        </is>
      </c>
      <c r="R5" t="n">
        <v>100</v>
      </c>
    </row>
    <row r="6">
      <c r="A6" s="1" t="inlineStr">
        <is>
          <t>Year</t>
        </is>
      </c>
      <c r="B6" s="1" t="inlineStr">
        <is>
          <t>Y</t>
        </is>
      </c>
      <c r="C6" s="1" t="inlineStr">
        <is>
          <t>K</t>
        </is>
      </c>
      <c r="D6" s="1" t="inlineStr">
        <is>
          <t>LnY</t>
        </is>
      </c>
      <c r="E6" s="1" t="inlineStr">
        <is>
          <t>LnK</t>
        </is>
      </c>
      <c r="F6" s="1" t="inlineStr">
        <is>
          <t>LnZ</t>
        </is>
      </c>
      <c r="G6" s="1" t="inlineStr">
        <is>
          <t>LnZ_HP</t>
        </is>
      </c>
      <c r="J6" s="1" t="inlineStr">
        <is>
          <t>Year</t>
        </is>
      </c>
      <c r="K6" s="1" t="inlineStr">
        <is>
          <t>LnZ</t>
        </is>
      </c>
      <c r="L6" s="1" t="inlineStr">
        <is>
          <t>LnZ_HP</t>
        </is>
      </c>
      <c r="M6" s="1" t="inlineStr">
        <is>
          <t>2nd Diff</t>
        </is>
      </c>
      <c r="N6" s="1" t="inlineStr">
        <is>
          <t>Gap</t>
        </is>
      </c>
      <c r="O6" s="1" t="inlineStr">
        <is>
          <t>Gap^2</t>
        </is>
      </c>
      <c r="P6" s="1" t="inlineStr">
        <is>
          <t>Smooth^2</t>
        </is>
      </c>
      <c r="Q6" s="1" t="inlineStr">
        <is>
          <t>Objective:</t>
        </is>
      </c>
      <c r="R6">
        <f>SUM(O7:O28)+$R$5*SUM(P7:P28)</f>
        <v/>
      </c>
    </row>
    <row r="7">
      <c r="A7" t="n">
        <v>2002</v>
      </c>
      <c r="B7">
        <f>PWT!B4</f>
        <v/>
      </c>
      <c r="C7">
        <f>PWT!C4</f>
        <v/>
      </c>
      <c r="D7">
        <f>LN(B7)</f>
        <v/>
      </c>
      <c r="E7">
        <f>LN(C7)</f>
        <v/>
      </c>
      <c r="F7">
        <f>D7-$B$2*E7</f>
        <v/>
      </c>
      <c r="G7">
        <f>L7</f>
        <v/>
      </c>
      <c r="J7" t="n">
        <v>2002</v>
      </c>
      <c r="K7">
        <f>F7</f>
        <v/>
      </c>
      <c r="L7">
        <f>K7</f>
        <v/>
      </c>
      <c r="M7" t="n">
        <v>0</v>
      </c>
      <c r="N7">
        <f>K7-L7</f>
        <v/>
      </c>
      <c r="O7">
        <f>N7^2</f>
        <v/>
      </c>
      <c r="P7" t="n">
        <v>0</v>
      </c>
    </row>
    <row r="8">
      <c r="A8" t="n">
        <v>2003</v>
      </c>
      <c r="B8">
        <f>PWT!B5</f>
        <v/>
      </c>
      <c r="C8">
        <f>PWT!C5</f>
        <v/>
      </c>
      <c r="D8">
        <f>LN(B8)</f>
        <v/>
      </c>
      <c r="E8">
        <f>LN(C8)</f>
        <v/>
      </c>
      <c r="F8">
        <f>D8-$B$2*E8</f>
        <v/>
      </c>
      <c r="G8">
        <f>L8</f>
        <v/>
      </c>
      <c r="J8" t="n">
        <v>2003</v>
      </c>
      <c r="K8">
        <f>F8</f>
        <v/>
      </c>
      <c r="L8">
        <f>K8</f>
        <v/>
      </c>
      <c r="M8" t="n">
        <v>0</v>
      </c>
      <c r="N8">
        <f>K8-L8</f>
        <v/>
      </c>
      <c r="O8">
        <f>N8^2</f>
        <v/>
      </c>
      <c r="P8" t="n">
        <v>0</v>
      </c>
    </row>
    <row r="9">
      <c r="A9" t="n">
        <v>2004</v>
      </c>
      <c r="B9">
        <f>PWT!B6</f>
        <v/>
      </c>
      <c r="C9">
        <f>PWT!C6</f>
        <v/>
      </c>
      <c r="D9">
        <f>LN(B9)</f>
        <v/>
      </c>
      <c r="E9">
        <f>LN(C9)</f>
        <v/>
      </c>
      <c r="F9">
        <f>D9-$B$2*E9</f>
        <v/>
      </c>
      <c r="G9">
        <f>L9</f>
        <v/>
      </c>
      <c r="J9" t="n">
        <v>2004</v>
      </c>
      <c r="K9">
        <f>F9</f>
        <v/>
      </c>
      <c r="L9">
        <f>K9</f>
        <v/>
      </c>
      <c r="M9">
        <f>L8-(L7+L9)/2</f>
        <v/>
      </c>
      <c r="N9">
        <f>K9-L9</f>
        <v/>
      </c>
      <c r="O9">
        <f>N9^2</f>
        <v/>
      </c>
      <c r="P9">
        <f>M9^2</f>
        <v/>
      </c>
    </row>
    <row r="10">
      <c r="A10" t="n">
        <v>2005</v>
      </c>
      <c r="B10">
        <f>PWT!B7</f>
        <v/>
      </c>
      <c r="C10">
        <f>PWT!C7</f>
        <v/>
      </c>
      <c r="D10">
        <f>LN(B10)</f>
        <v/>
      </c>
      <c r="E10">
        <f>LN(C10)</f>
        <v/>
      </c>
      <c r="F10">
        <f>D10-$B$2*E10</f>
        <v/>
      </c>
      <c r="G10">
        <f>L10</f>
        <v/>
      </c>
      <c r="J10" t="n">
        <v>2005</v>
      </c>
      <c r="K10">
        <f>F10</f>
        <v/>
      </c>
      <c r="L10">
        <f>K10</f>
        <v/>
      </c>
      <c r="M10">
        <f>L9-(L8+L10)/2</f>
        <v/>
      </c>
      <c r="N10">
        <f>K10-L10</f>
        <v/>
      </c>
      <c r="O10">
        <f>N10^2</f>
        <v/>
      </c>
      <c r="P10">
        <f>M10^2</f>
        <v/>
      </c>
    </row>
    <row r="11">
      <c r="A11" t="n">
        <v>2006</v>
      </c>
      <c r="B11">
        <f>PWT!B8</f>
        <v/>
      </c>
      <c r="C11">
        <f>PWT!C8</f>
        <v/>
      </c>
      <c r="D11">
        <f>LN(B11)</f>
        <v/>
      </c>
      <c r="E11">
        <f>LN(C11)</f>
        <v/>
      </c>
      <c r="F11">
        <f>D11-$B$2*E11</f>
        <v/>
      </c>
      <c r="G11">
        <f>L11</f>
        <v/>
      </c>
      <c r="J11" t="n">
        <v>2006</v>
      </c>
      <c r="K11">
        <f>F11</f>
        <v/>
      </c>
      <c r="L11">
        <f>K11</f>
        <v/>
      </c>
      <c r="M11">
        <f>L10-(L9+L11)/2</f>
        <v/>
      </c>
      <c r="N11">
        <f>K11-L11</f>
        <v/>
      </c>
      <c r="O11">
        <f>N11^2</f>
        <v/>
      </c>
      <c r="P11">
        <f>M11^2</f>
        <v/>
      </c>
    </row>
    <row r="12">
      <c r="A12" t="n">
        <v>2007</v>
      </c>
      <c r="B12">
        <f>PWT!B9</f>
        <v/>
      </c>
      <c r="C12">
        <f>PWT!C9</f>
        <v/>
      </c>
      <c r="D12">
        <f>LN(B12)</f>
        <v/>
      </c>
      <c r="E12">
        <f>LN(C12)</f>
        <v/>
      </c>
      <c r="F12">
        <f>D12-$B$2*E12</f>
        <v/>
      </c>
      <c r="G12">
        <f>L12</f>
        <v/>
      </c>
      <c r="J12" t="n">
        <v>2007</v>
      </c>
      <c r="K12">
        <f>F12</f>
        <v/>
      </c>
      <c r="L12">
        <f>K12</f>
        <v/>
      </c>
      <c r="M12">
        <f>L11-(L10+L12)/2</f>
        <v/>
      </c>
      <c r="N12">
        <f>K12-L12</f>
        <v/>
      </c>
      <c r="O12">
        <f>N12^2</f>
        <v/>
      </c>
      <c r="P12">
        <f>M12^2</f>
        <v/>
      </c>
    </row>
    <row r="13">
      <c r="A13" t="n">
        <v>2008</v>
      </c>
      <c r="B13">
        <f>PWT!B10</f>
        <v/>
      </c>
      <c r="C13">
        <f>PWT!C10</f>
        <v/>
      </c>
      <c r="D13">
        <f>LN(B13)</f>
        <v/>
      </c>
      <c r="E13">
        <f>LN(C13)</f>
        <v/>
      </c>
      <c r="F13">
        <f>D13-$B$2*E13</f>
        <v/>
      </c>
      <c r="G13">
        <f>L13</f>
        <v/>
      </c>
      <c r="J13" t="n">
        <v>2008</v>
      </c>
      <c r="K13">
        <f>F13</f>
        <v/>
      </c>
      <c r="L13">
        <f>K13</f>
        <v/>
      </c>
      <c r="M13">
        <f>L12-(L11+L13)/2</f>
        <v/>
      </c>
      <c r="N13">
        <f>K13-L13</f>
        <v/>
      </c>
      <c r="O13">
        <f>N13^2</f>
        <v/>
      </c>
      <c r="P13">
        <f>M13^2</f>
        <v/>
      </c>
    </row>
    <row r="14">
      <c r="A14" t="n">
        <v>2009</v>
      </c>
      <c r="B14">
        <f>PWT!B11</f>
        <v/>
      </c>
      <c r="C14">
        <f>PWT!C11</f>
        <v/>
      </c>
      <c r="D14">
        <f>LN(B14)</f>
        <v/>
      </c>
      <c r="E14">
        <f>LN(C14)</f>
        <v/>
      </c>
      <c r="F14">
        <f>D14-$B$2*E14</f>
        <v/>
      </c>
      <c r="G14">
        <f>L14</f>
        <v/>
      </c>
      <c r="J14" t="n">
        <v>2009</v>
      </c>
      <c r="K14">
        <f>F14</f>
        <v/>
      </c>
      <c r="L14">
        <f>K14</f>
        <v/>
      </c>
      <c r="M14">
        <f>L13-(L12+L14)/2</f>
        <v/>
      </c>
      <c r="N14">
        <f>K14-L14</f>
        <v/>
      </c>
      <c r="O14">
        <f>N14^2</f>
        <v/>
      </c>
      <c r="P14">
        <f>M14^2</f>
        <v/>
      </c>
    </row>
    <row r="15">
      <c r="A15" t="n">
        <v>2010</v>
      </c>
      <c r="B15">
        <f>PWT!B12</f>
        <v/>
      </c>
      <c r="C15">
        <f>PWT!C12</f>
        <v/>
      </c>
      <c r="D15">
        <f>LN(B15)</f>
        <v/>
      </c>
      <c r="E15">
        <f>LN(C15)</f>
        <v/>
      </c>
      <c r="F15">
        <f>D15-$B$2*E15</f>
        <v/>
      </c>
      <c r="G15">
        <f>L15</f>
        <v/>
      </c>
      <c r="J15" t="n">
        <v>2010</v>
      </c>
      <c r="K15">
        <f>F15</f>
        <v/>
      </c>
      <c r="L15">
        <f>K15</f>
        <v/>
      </c>
      <c r="M15">
        <f>L14-(L13+L15)/2</f>
        <v/>
      </c>
      <c r="N15">
        <f>K15-L15</f>
        <v/>
      </c>
      <c r="O15">
        <f>N15^2</f>
        <v/>
      </c>
      <c r="P15">
        <f>M15^2</f>
        <v/>
      </c>
    </row>
    <row r="16">
      <c r="A16" t="n">
        <v>2011</v>
      </c>
      <c r="B16">
        <f>PWT!B13</f>
        <v/>
      </c>
      <c r="C16">
        <f>PWT!C13</f>
        <v/>
      </c>
      <c r="D16">
        <f>LN(B16)</f>
        <v/>
      </c>
      <c r="E16">
        <f>LN(C16)</f>
        <v/>
      </c>
      <c r="F16">
        <f>D16-$B$2*E16</f>
        <v/>
      </c>
      <c r="G16">
        <f>L16</f>
        <v/>
      </c>
      <c r="J16" t="n">
        <v>2011</v>
      </c>
      <c r="K16">
        <f>F16</f>
        <v/>
      </c>
      <c r="L16">
        <f>K16</f>
        <v/>
      </c>
      <c r="M16">
        <f>L15-(L14+L16)/2</f>
        <v/>
      </c>
      <c r="N16">
        <f>K16-L16</f>
        <v/>
      </c>
      <c r="O16">
        <f>N16^2</f>
        <v/>
      </c>
      <c r="P16">
        <f>M16^2</f>
        <v/>
      </c>
    </row>
    <row r="17">
      <c r="A17" t="n">
        <v>2012</v>
      </c>
      <c r="B17">
        <f>PWT!B14</f>
        <v/>
      </c>
      <c r="C17">
        <f>PWT!C14</f>
        <v/>
      </c>
      <c r="D17">
        <f>LN(B17)</f>
        <v/>
      </c>
      <c r="E17">
        <f>LN(C17)</f>
        <v/>
      </c>
      <c r="F17">
        <f>D17-$B$2*E17</f>
        <v/>
      </c>
      <c r="G17">
        <f>L17</f>
        <v/>
      </c>
      <c r="J17" t="n">
        <v>2012</v>
      </c>
      <c r="K17">
        <f>F17</f>
        <v/>
      </c>
      <c r="L17">
        <f>K17</f>
        <v/>
      </c>
      <c r="M17">
        <f>L16-(L15+L17)/2</f>
        <v/>
      </c>
      <c r="N17">
        <f>K17-L17</f>
        <v/>
      </c>
      <c r="O17">
        <f>N17^2</f>
        <v/>
      </c>
      <c r="P17">
        <f>M17^2</f>
        <v/>
      </c>
    </row>
    <row r="18">
      <c r="A18" t="n">
        <v>2013</v>
      </c>
      <c r="B18">
        <f>PWT!B15</f>
        <v/>
      </c>
      <c r="C18">
        <f>PWT!C15</f>
        <v/>
      </c>
      <c r="D18">
        <f>LN(B18)</f>
        <v/>
      </c>
      <c r="E18">
        <f>LN(C18)</f>
        <v/>
      </c>
      <c r="F18">
        <f>D18-$B$2*E18</f>
        <v/>
      </c>
      <c r="G18">
        <f>L18</f>
        <v/>
      </c>
      <c r="J18" t="n">
        <v>2013</v>
      </c>
      <c r="K18">
        <f>F18</f>
        <v/>
      </c>
      <c r="L18">
        <f>K18</f>
        <v/>
      </c>
      <c r="M18">
        <f>L17-(L16+L18)/2</f>
        <v/>
      </c>
      <c r="N18">
        <f>K18-L18</f>
        <v/>
      </c>
      <c r="O18">
        <f>N18^2</f>
        <v/>
      </c>
      <c r="P18">
        <f>M18^2</f>
        <v/>
      </c>
    </row>
    <row r="19">
      <c r="A19" t="n">
        <v>2014</v>
      </c>
      <c r="B19">
        <f>PWT!B16</f>
        <v/>
      </c>
      <c r="C19">
        <f>PWT!C16</f>
        <v/>
      </c>
      <c r="D19">
        <f>LN(B19)</f>
        <v/>
      </c>
      <c r="E19">
        <f>LN(C19)</f>
        <v/>
      </c>
      <c r="F19">
        <f>D19-$B$2*E19</f>
        <v/>
      </c>
      <c r="G19">
        <f>L19</f>
        <v/>
      </c>
      <c r="J19" t="n">
        <v>2014</v>
      </c>
      <c r="K19">
        <f>F19</f>
        <v/>
      </c>
      <c r="L19">
        <f>K19</f>
        <v/>
      </c>
      <c r="M19">
        <f>L18-(L17+L19)/2</f>
        <v/>
      </c>
      <c r="N19">
        <f>K19-L19</f>
        <v/>
      </c>
      <c r="O19">
        <f>N19^2</f>
        <v/>
      </c>
      <c r="P19">
        <f>M19^2</f>
        <v/>
      </c>
    </row>
    <row r="20">
      <c r="A20" t="n">
        <v>2015</v>
      </c>
      <c r="B20">
        <f>PWT!B17</f>
        <v/>
      </c>
      <c r="C20">
        <f>PWT!C17</f>
        <v/>
      </c>
      <c r="D20">
        <f>LN(B20)</f>
        <v/>
      </c>
      <c r="E20">
        <f>LN(C20)</f>
        <v/>
      </c>
      <c r="F20">
        <f>D20-$B$2*E20</f>
        <v/>
      </c>
      <c r="G20">
        <f>L20</f>
        <v/>
      </c>
      <c r="J20" t="n">
        <v>2015</v>
      </c>
      <c r="K20">
        <f>F20</f>
        <v/>
      </c>
      <c r="L20">
        <f>K20</f>
        <v/>
      </c>
      <c r="M20">
        <f>L19-(L18+L20)/2</f>
        <v/>
      </c>
      <c r="N20">
        <f>K20-L20</f>
        <v/>
      </c>
      <c r="O20">
        <f>N20^2</f>
        <v/>
      </c>
      <c r="P20">
        <f>M20^2</f>
        <v/>
      </c>
    </row>
    <row r="21">
      <c r="A21" t="n">
        <v>2016</v>
      </c>
      <c r="B21">
        <f>PWT!B18</f>
        <v/>
      </c>
      <c r="C21">
        <f>PWT!C18</f>
        <v/>
      </c>
      <c r="D21">
        <f>LN(B21)</f>
        <v/>
      </c>
      <c r="E21">
        <f>LN(C21)</f>
        <v/>
      </c>
      <c r="F21">
        <f>D21-$B$2*E21</f>
        <v/>
      </c>
      <c r="G21">
        <f>L21</f>
        <v/>
      </c>
      <c r="J21" t="n">
        <v>2016</v>
      </c>
      <c r="K21">
        <f>F21</f>
        <v/>
      </c>
      <c r="L21">
        <f>K21</f>
        <v/>
      </c>
      <c r="M21">
        <f>L20-(L19+L21)/2</f>
        <v/>
      </c>
      <c r="N21">
        <f>K21-L21</f>
        <v/>
      </c>
      <c r="O21">
        <f>N21^2</f>
        <v/>
      </c>
      <c r="P21">
        <f>M21^2</f>
        <v/>
      </c>
    </row>
    <row r="22">
      <c r="A22" t="n">
        <v>2017</v>
      </c>
      <c r="B22">
        <f>PWT!B19</f>
        <v/>
      </c>
      <c r="C22">
        <f>PWT!C19</f>
        <v/>
      </c>
      <c r="D22">
        <f>LN(B22)</f>
        <v/>
      </c>
      <c r="E22">
        <f>LN(C22)</f>
        <v/>
      </c>
      <c r="F22">
        <f>D22-$B$2*E22</f>
        <v/>
      </c>
      <c r="G22">
        <f>L22</f>
        <v/>
      </c>
      <c r="J22" t="n">
        <v>2017</v>
      </c>
      <c r="K22">
        <f>F22</f>
        <v/>
      </c>
      <c r="L22">
        <f>K22</f>
        <v/>
      </c>
      <c r="M22">
        <f>L21-(L20+L22)/2</f>
        <v/>
      </c>
      <c r="N22">
        <f>K22-L22</f>
        <v/>
      </c>
      <c r="O22">
        <f>N22^2</f>
        <v/>
      </c>
      <c r="P22">
        <f>M22^2</f>
        <v/>
      </c>
    </row>
    <row r="23">
      <c r="A23" t="n">
        <v>2018</v>
      </c>
      <c r="B23">
        <f>PWT!B20</f>
        <v/>
      </c>
      <c r="C23">
        <f>PWT!C20</f>
        <v/>
      </c>
      <c r="D23">
        <f>LN(B23)</f>
        <v/>
      </c>
      <c r="E23">
        <f>LN(C23)</f>
        <v/>
      </c>
      <c r="F23">
        <f>D23-$B$2*E23</f>
        <v/>
      </c>
      <c r="G23">
        <f>L23</f>
        <v/>
      </c>
      <c r="J23" t="n">
        <v>2018</v>
      </c>
      <c r="K23">
        <f>F23</f>
        <v/>
      </c>
      <c r="L23">
        <f>K23</f>
        <v/>
      </c>
      <c r="M23">
        <f>L22-(L21+L23)/2</f>
        <v/>
      </c>
      <c r="N23">
        <f>K23-L23</f>
        <v/>
      </c>
      <c r="O23">
        <f>N23^2</f>
        <v/>
      </c>
      <c r="P23">
        <f>M23^2</f>
        <v/>
      </c>
    </row>
    <row r="24">
      <c r="A24" t="n">
        <v>2019</v>
      </c>
      <c r="B24">
        <f>PWT!B21</f>
        <v/>
      </c>
      <c r="C24">
        <f>PWT!C21</f>
        <v/>
      </c>
      <c r="D24">
        <f>LN(B24)</f>
        <v/>
      </c>
      <c r="E24">
        <f>LN(C24)</f>
        <v/>
      </c>
      <c r="F24">
        <f>D24-$B$2*E24</f>
        <v/>
      </c>
      <c r="G24">
        <f>L24</f>
        <v/>
      </c>
      <c r="J24" t="n">
        <v>2019</v>
      </c>
      <c r="K24">
        <f>F24</f>
        <v/>
      </c>
      <c r="L24">
        <f>K24</f>
        <v/>
      </c>
      <c r="M24">
        <f>L23-(L22+L24)/2</f>
        <v/>
      </c>
      <c r="N24">
        <f>K24-L24</f>
        <v/>
      </c>
      <c r="O24">
        <f>N24^2</f>
        <v/>
      </c>
      <c r="P24">
        <f>M24^2</f>
        <v/>
      </c>
    </row>
    <row r="25">
      <c r="A25" t="n">
        <v>2020</v>
      </c>
      <c r="B25">
        <f>PWT!B22</f>
        <v/>
      </c>
      <c r="C25">
        <f>PWT!C22</f>
        <v/>
      </c>
      <c r="D25">
        <f>LN(B25)</f>
        <v/>
      </c>
      <c r="E25">
        <f>LN(C25)</f>
        <v/>
      </c>
      <c r="F25">
        <f>D25-$B$2*E25</f>
        <v/>
      </c>
      <c r="G25">
        <f>L25</f>
        <v/>
      </c>
      <c r="J25" t="n">
        <v>2020</v>
      </c>
      <c r="K25">
        <f>F25</f>
        <v/>
      </c>
      <c r="L25">
        <f>K25</f>
        <v/>
      </c>
      <c r="M25">
        <f>L24-(L23+L25)/2</f>
        <v/>
      </c>
      <c r="N25">
        <f>K25-L25</f>
        <v/>
      </c>
      <c r="O25">
        <f>N25^2</f>
        <v/>
      </c>
      <c r="P25">
        <f>M25^2</f>
        <v/>
      </c>
    </row>
    <row r="26">
      <c r="A26" t="n">
        <v>2021</v>
      </c>
      <c r="B26">
        <f>PWT!B23</f>
        <v/>
      </c>
      <c r="C26">
        <f>PWT!C23</f>
        <v/>
      </c>
      <c r="D26">
        <f>LN(B26)</f>
        <v/>
      </c>
      <c r="E26">
        <f>LN(C26)</f>
        <v/>
      </c>
      <c r="F26">
        <f>D26-$B$2*E26</f>
        <v/>
      </c>
      <c r="G26">
        <f>L26</f>
        <v/>
      </c>
      <c r="J26" t="n">
        <v>2021</v>
      </c>
      <c r="K26">
        <f>F26</f>
        <v/>
      </c>
      <c r="L26">
        <f>K26</f>
        <v/>
      </c>
      <c r="M26">
        <f>L25-(L24+L26)/2</f>
        <v/>
      </c>
      <c r="N26">
        <f>K26-L26</f>
        <v/>
      </c>
      <c r="O26">
        <f>N26^2</f>
        <v/>
      </c>
      <c r="P26">
        <f>M26^2</f>
        <v/>
      </c>
    </row>
    <row r="27">
      <c r="A27" t="n">
        <v>2022</v>
      </c>
      <c r="B27">
        <f>PWT!B24</f>
        <v/>
      </c>
      <c r="C27">
        <f>PWT!C24</f>
        <v/>
      </c>
      <c r="D27">
        <f>LN(B27)</f>
        <v/>
      </c>
      <c r="E27">
        <f>LN(C27)</f>
        <v/>
      </c>
      <c r="F27">
        <f>D27-$B$2*E27</f>
        <v/>
      </c>
      <c r="G27">
        <f>L27</f>
        <v/>
      </c>
      <c r="J27" t="n">
        <v>2022</v>
      </c>
      <c r="K27">
        <f>F27</f>
        <v/>
      </c>
      <c r="L27">
        <f>K27</f>
        <v/>
      </c>
      <c r="M27">
        <f>L26-(L25+L27)/2</f>
        <v/>
      </c>
      <c r="N27">
        <f>K27-L27</f>
        <v/>
      </c>
      <c r="O27">
        <f>N27^2</f>
        <v/>
      </c>
      <c r="P27">
        <f>M27^2</f>
        <v/>
      </c>
    </row>
    <row r="28">
      <c r="A28" t="n">
        <v>2023</v>
      </c>
      <c r="B28">
        <f>PWT!B25</f>
        <v/>
      </c>
      <c r="C28">
        <f>PWT!C25</f>
        <v/>
      </c>
      <c r="D28">
        <f>LN(B28)</f>
        <v/>
      </c>
      <c r="E28">
        <f>LN(C28)</f>
        <v/>
      </c>
      <c r="F28">
        <f>D28-$B$2*E28</f>
        <v/>
      </c>
      <c r="G28">
        <f>L28</f>
        <v/>
      </c>
      <c r="J28" t="n">
        <v>2023</v>
      </c>
      <c r="K28">
        <f>F28</f>
        <v/>
      </c>
      <c r="L28">
        <f>K28</f>
        <v/>
      </c>
      <c r="M28">
        <f>L27-(L26+L28)/2</f>
        <v/>
      </c>
      <c r="N28">
        <f>K28-L28</f>
        <v/>
      </c>
      <c r="O28">
        <f>N28^2</f>
        <v/>
      </c>
      <c r="P28">
        <f>M28^2</f>
        <v/>
      </c>
    </row>
    <row r="30">
      <c r="A30" s="2" t="inlineStr">
        <is>
          <t>PRODUCTION FUNCTION &amp; PROJECTIONS</t>
        </is>
      </c>
    </row>
    <row r="31">
      <c r="A31" t="inlineStr">
        <is>
          <t>Avg K/Y (last 9 years 2015-2023):</t>
        </is>
      </c>
      <c r="B31">
        <f>AVERAGE(D46:D54)</f>
        <v/>
      </c>
    </row>
    <row r="32">
      <c r="A32" s="1" t="inlineStr">
        <is>
          <t>Year</t>
        </is>
      </c>
      <c r="B32" s="1" t="inlineStr">
        <is>
          <t>Y_PWT</t>
        </is>
      </c>
      <c r="C32" s="1" t="inlineStr">
        <is>
          <t>K_PWT</t>
        </is>
      </c>
      <c r="D32" s="1" t="inlineStr">
        <is>
          <t>K/Y</t>
        </is>
      </c>
      <c r="E32" s="1" t="inlineStr">
        <is>
          <t>Y_Extended</t>
        </is>
      </c>
      <c r="F32" s="1" t="inlineStr">
        <is>
          <t>K_Extended</t>
        </is>
      </c>
      <c r="G32" s="1" t="inlineStr">
        <is>
          <t>LnZ_Trend</t>
        </is>
      </c>
      <c r="H32" s="1" t="inlineStr">
        <is>
          <t>Ystar_base</t>
        </is>
      </c>
      <c r="I32" s="1" t="inlineStr">
        <is>
          <t>Investment</t>
        </is>
      </c>
      <c r="J32" s="1" t="inlineStr">
        <is>
          <t>deltaK</t>
        </is>
      </c>
      <c r="K32" s="1" t="inlineStr">
        <is>
          <t>K_With</t>
        </is>
      </c>
      <c r="L32" s="1" t="inlineStr">
        <is>
          <t>Ystar_With</t>
        </is>
      </c>
      <c r="M32" s="1" t="inlineStr">
        <is>
          <t>Gap_base</t>
        </is>
      </c>
      <c r="N32" s="1" t="inlineStr">
        <is>
          <t>Gap_with</t>
        </is>
      </c>
      <c r="O32" s="1" t="inlineStr">
        <is>
          <t>Add_GDP</t>
        </is>
      </c>
      <c r="P32" s="1" t="inlineStr">
        <is>
          <t>% Change</t>
        </is>
      </c>
    </row>
    <row r="33">
      <c r="A33" t="n">
        <v>2002</v>
      </c>
      <c r="B33">
        <f>PWT!B4</f>
        <v/>
      </c>
      <c r="C33">
        <f>PWT!C4</f>
        <v/>
      </c>
      <c r="D33">
        <f>C33/B33</f>
        <v/>
      </c>
      <c r="E33">
        <f>WEO_Data!E4*1000</f>
        <v/>
      </c>
      <c r="F33">
        <f>C33</f>
        <v/>
      </c>
      <c r="G33">
        <f>L7</f>
        <v/>
      </c>
      <c r="H33">
        <f>EXP(G33)*F33^$B$2</f>
        <v/>
      </c>
      <c r="I33" t="n">
        <v>0</v>
      </c>
      <c r="J33" t="n">
        <v>0</v>
      </c>
      <c r="K33">
        <f>F33+J33</f>
        <v/>
      </c>
      <c r="L33">
        <f>EXP(G33)*K33^$B$2</f>
        <v/>
      </c>
      <c r="M33">
        <f>(B33-H33)/H33</f>
        <v/>
      </c>
      <c r="N33">
        <f>(B33-L33)/L33</f>
        <v/>
      </c>
      <c r="O33">
        <f>L33-H33</f>
        <v/>
      </c>
      <c r="P33">
        <f>(L33-H33)/H33</f>
        <v/>
      </c>
    </row>
    <row r="34">
      <c r="A34" t="n">
        <v>2003</v>
      </c>
      <c r="B34">
        <f>PWT!B5</f>
        <v/>
      </c>
      <c r="C34">
        <f>PWT!C5</f>
        <v/>
      </c>
      <c r="D34">
        <f>C34/B34</f>
        <v/>
      </c>
      <c r="E34">
        <f>WEO_Data!E5*1000</f>
        <v/>
      </c>
      <c r="F34">
        <f>C34</f>
        <v/>
      </c>
      <c r="G34">
        <f>L8</f>
        <v/>
      </c>
      <c r="H34">
        <f>EXP(G34)*F34^$B$2</f>
        <v/>
      </c>
      <c r="I34" t="n">
        <v>0</v>
      </c>
      <c r="J34">
        <f>J33*(1-$B$3)+I34</f>
        <v/>
      </c>
      <c r="K34">
        <f>F34+J34</f>
        <v/>
      </c>
      <c r="L34">
        <f>EXP(G34)*K34^$B$2</f>
        <v/>
      </c>
      <c r="M34">
        <f>(B34-H34)/H34</f>
        <v/>
      </c>
      <c r="N34">
        <f>(B34-L34)/L34</f>
        <v/>
      </c>
      <c r="O34">
        <f>L34-H34</f>
        <v/>
      </c>
      <c r="P34">
        <f>(L34-H34)/H34</f>
        <v/>
      </c>
    </row>
    <row r="35">
      <c r="A35" t="n">
        <v>2004</v>
      </c>
      <c r="B35">
        <f>PWT!B6</f>
        <v/>
      </c>
      <c r="C35">
        <f>PWT!C6</f>
        <v/>
      </c>
      <c r="D35">
        <f>C35/B35</f>
        <v/>
      </c>
      <c r="E35">
        <f>WEO_Data!E6*1000</f>
        <v/>
      </c>
      <c r="F35">
        <f>C35</f>
        <v/>
      </c>
      <c r="G35">
        <f>L9</f>
        <v/>
      </c>
      <c r="H35">
        <f>EXP(G35)*F35^$B$2</f>
        <v/>
      </c>
      <c r="I35" t="n">
        <v>0</v>
      </c>
      <c r="J35">
        <f>J34*(1-$B$3)+I35</f>
        <v/>
      </c>
      <c r="K35">
        <f>F35+J35</f>
        <v/>
      </c>
      <c r="L35">
        <f>EXP(G35)*K35^$B$2</f>
        <v/>
      </c>
      <c r="M35">
        <f>(B35-H35)/H35</f>
        <v/>
      </c>
      <c r="N35">
        <f>(B35-L35)/L35</f>
        <v/>
      </c>
      <c r="O35">
        <f>L35-H35</f>
        <v/>
      </c>
      <c r="P35">
        <f>(L35-H35)/H35</f>
        <v/>
      </c>
    </row>
    <row r="36">
      <c r="A36" t="n">
        <v>2005</v>
      </c>
      <c r="B36">
        <f>PWT!B7</f>
        <v/>
      </c>
      <c r="C36">
        <f>PWT!C7</f>
        <v/>
      </c>
      <c r="D36">
        <f>C36/B36</f>
        <v/>
      </c>
      <c r="E36">
        <f>WEO_Data!E7*1000</f>
        <v/>
      </c>
      <c r="F36">
        <f>C36</f>
        <v/>
      </c>
      <c r="G36">
        <f>L10</f>
        <v/>
      </c>
      <c r="H36">
        <f>EXP(G36)*F36^$B$2</f>
        <v/>
      </c>
      <c r="I36" t="n">
        <v>0</v>
      </c>
      <c r="J36">
        <f>J35*(1-$B$3)+I36</f>
        <v/>
      </c>
      <c r="K36">
        <f>F36+J36</f>
        <v/>
      </c>
      <c r="L36">
        <f>EXP(G36)*K36^$B$2</f>
        <v/>
      </c>
      <c r="M36">
        <f>(B36-H36)/H36</f>
        <v/>
      </c>
      <c r="N36">
        <f>(B36-L36)/L36</f>
        <v/>
      </c>
      <c r="O36">
        <f>L36-H36</f>
        <v/>
      </c>
      <c r="P36">
        <f>(L36-H36)/H36</f>
        <v/>
      </c>
    </row>
    <row r="37">
      <c r="A37" t="n">
        <v>2006</v>
      </c>
      <c r="B37">
        <f>PWT!B8</f>
        <v/>
      </c>
      <c r="C37">
        <f>PWT!C8</f>
        <v/>
      </c>
      <c r="D37">
        <f>C37/B37</f>
        <v/>
      </c>
      <c r="E37">
        <f>WEO_Data!E8*1000</f>
        <v/>
      </c>
      <c r="F37">
        <f>C37</f>
        <v/>
      </c>
      <c r="G37">
        <f>L11</f>
        <v/>
      </c>
      <c r="H37">
        <f>EXP(G37)*F37^$B$2</f>
        <v/>
      </c>
      <c r="I37" t="n">
        <v>0</v>
      </c>
      <c r="J37">
        <f>J36*(1-$B$3)+I37</f>
        <v/>
      </c>
      <c r="K37">
        <f>F37+J37</f>
        <v/>
      </c>
      <c r="L37">
        <f>EXP(G37)*K37^$B$2</f>
        <v/>
      </c>
      <c r="M37">
        <f>(B37-H37)/H37</f>
        <v/>
      </c>
      <c r="N37">
        <f>(B37-L37)/L37</f>
        <v/>
      </c>
      <c r="O37">
        <f>L37-H37</f>
        <v/>
      </c>
      <c r="P37">
        <f>(L37-H37)/H37</f>
        <v/>
      </c>
    </row>
    <row r="38">
      <c r="A38" t="n">
        <v>2007</v>
      </c>
      <c r="B38">
        <f>PWT!B9</f>
        <v/>
      </c>
      <c r="C38">
        <f>PWT!C9</f>
        <v/>
      </c>
      <c r="D38">
        <f>C38/B38</f>
        <v/>
      </c>
      <c r="E38">
        <f>WEO_Data!E9*1000</f>
        <v/>
      </c>
      <c r="F38">
        <f>C38</f>
        <v/>
      </c>
      <c r="G38">
        <f>L12</f>
        <v/>
      </c>
      <c r="H38">
        <f>EXP(G38)*F38^$B$2</f>
        <v/>
      </c>
      <c r="I38" t="n">
        <v>0</v>
      </c>
      <c r="J38">
        <f>J37*(1-$B$3)+I38</f>
        <v/>
      </c>
      <c r="K38">
        <f>F38+J38</f>
        <v/>
      </c>
      <c r="L38">
        <f>EXP(G38)*K38^$B$2</f>
        <v/>
      </c>
      <c r="M38">
        <f>(B38-H38)/H38</f>
        <v/>
      </c>
      <c r="N38">
        <f>(B38-L38)/L38</f>
        <v/>
      </c>
      <c r="O38">
        <f>L38-H38</f>
        <v/>
      </c>
      <c r="P38">
        <f>(L38-H38)/H38</f>
        <v/>
      </c>
    </row>
    <row r="39">
      <c r="A39" t="n">
        <v>2008</v>
      </c>
      <c r="B39">
        <f>PWT!B10</f>
        <v/>
      </c>
      <c r="C39">
        <f>PWT!C10</f>
        <v/>
      </c>
      <c r="D39">
        <f>C39/B39</f>
        <v/>
      </c>
      <c r="E39">
        <f>WEO_Data!E10*1000</f>
        <v/>
      </c>
      <c r="F39">
        <f>C39</f>
        <v/>
      </c>
      <c r="G39">
        <f>L13</f>
        <v/>
      </c>
      <c r="H39">
        <f>EXP(G39)*F39^$B$2</f>
        <v/>
      </c>
      <c r="I39" t="n">
        <v>0</v>
      </c>
      <c r="J39">
        <f>J38*(1-$B$3)+I39</f>
        <v/>
      </c>
      <c r="K39">
        <f>F39+J39</f>
        <v/>
      </c>
      <c r="L39">
        <f>EXP(G39)*K39^$B$2</f>
        <v/>
      </c>
      <c r="M39">
        <f>(B39-H39)/H39</f>
        <v/>
      </c>
      <c r="N39">
        <f>(B39-L39)/L39</f>
        <v/>
      </c>
      <c r="O39">
        <f>L39-H39</f>
        <v/>
      </c>
      <c r="P39">
        <f>(L39-H39)/H39</f>
        <v/>
      </c>
    </row>
    <row r="40">
      <c r="A40" t="n">
        <v>2009</v>
      </c>
      <c r="B40">
        <f>PWT!B11</f>
        <v/>
      </c>
      <c r="C40">
        <f>PWT!C11</f>
        <v/>
      </c>
      <c r="D40">
        <f>C40/B40</f>
        <v/>
      </c>
      <c r="E40">
        <f>WEO_Data!E11*1000</f>
        <v/>
      </c>
      <c r="F40">
        <f>C40</f>
        <v/>
      </c>
      <c r="G40">
        <f>L14</f>
        <v/>
      </c>
      <c r="H40">
        <f>EXP(G40)*F40^$B$2</f>
        <v/>
      </c>
      <c r="I40" t="n">
        <v>0</v>
      </c>
      <c r="J40">
        <f>J39*(1-$B$3)+I40</f>
        <v/>
      </c>
      <c r="K40">
        <f>F40+J40</f>
        <v/>
      </c>
      <c r="L40">
        <f>EXP(G40)*K40^$B$2</f>
        <v/>
      </c>
      <c r="M40">
        <f>(B40-H40)/H40</f>
        <v/>
      </c>
      <c r="N40">
        <f>(B40-L40)/L40</f>
        <v/>
      </c>
      <c r="O40">
        <f>L40-H40</f>
        <v/>
      </c>
      <c r="P40">
        <f>(L40-H40)/H40</f>
        <v/>
      </c>
    </row>
    <row r="41">
      <c r="A41" t="n">
        <v>2010</v>
      </c>
      <c r="B41">
        <f>PWT!B12</f>
        <v/>
      </c>
      <c r="C41">
        <f>PWT!C12</f>
        <v/>
      </c>
      <c r="D41">
        <f>C41/B41</f>
        <v/>
      </c>
      <c r="E41">
        <f>WEO_Data!E12*1000</f>
        <v/>
      </c>
      <c r="F41">
        <f>C41</f>
        <v/>
      </c>
      <c r="G41">
        <f>L15</f>
        <v/>
      </c>
      <c r="H41">
        <f>EXP(G41)*F41^$B$2</f>
        <v/>
      </c>
      <c r="I41" t="n">
        <v>0</v>
      </c>
      <c r="J41">
        <f>J40*(1-$B$3)+I41</f>
        <v/>
      </c>
      <c r="K41">
        <f>F41+J41</f>
        <v/>
      </c>
      <c r="L41">
        <f>EXP(G41)*K41^$B$2</f>
        <v/>
      </c>
      <c r="M41">
        <f>(B41-H41)/H41</f>
        <v/>
      </c>
      <c r="N41">
        <f>(B41-L41)/L41</f>
        <v/>
      </c>
      <c r="O41">
        <f>L41-H41</f>
        <v/>
      </c>
      <c r="P41">
        <f>(L41-H41)/H41</f>
        <v/>
      </c>
    </row>
    <row r="42">
      <c r="A42" t="n">
        <v>2011</v>
      </c>
      <c r="B42">
        <f>PWT!B13</f>
        <v/>
      </c>
      <c r="C42">
        <f>PWT!C13</f>
        <v/>
      </c>
      <c r="D42">
        <f>C42/B42</f>
        <v/>
      </c>
      <c r="E42">
        <f>WEO_Data!E13*1000</f>
        <v/>
      </c>
      <c r="F42">
        <f>C42</f>
        <v/>
      </c>
      <c r="G42">
        <f>L16</f>
        <v/>
      </c>
      <c r="H42">
        <f>EXP(G42)*F42^$B$2</f>
        <v/>
      </c>
      <c r="I42" t="n">
        <v>0</v>
      </c>
      <c r="J42">
        <f>J41*(1-$B$3)+I42</f>
        <v/>
      </c>
      <c r="K42">
        <f>F42+J42</f>
        <v/>
      </c>
      <c r="L42">
        <f>EXP(G42)*K42^$B$2</f>
        <v/>
      </c>
      <c r="M42">
        <f>(B42-H42)/H42</f>
        <v/>
      </c>
      <c r="N42">
        <f>(B42-L42)/L42</f>
        <v/>
      </c>
      <c r="O42">
        <f>L42-H42</f>
        <v/>
      </c>
      <c r="P42">
        <f>(L42-H42)/H42</f>
        <v/>
      </c>
    </row>
    <row r="43">
      <c r="A43" t="n">
        <v>2012</v>
      </c>
      <c r="B43">
        <f>PWT!B14</f>
        <v/>
      </c>
      <c r="C43">
        <f>PWT!C14</f>
        <v/>
      </c>
      <c r="D43">
        <f>C43/B43</f>
        <v/>
      </c>
      <c r="E43">
        <f>WEO_Data!E14*1000</f>
        <v/>
      </c>
      <c r="F43">
        <f>C43</f>
        <v/>
      </c>
      <c r="G43">
        <f>L17</f>
        <v/>
      </c>
      <c r="H43">
        <f>EXP(G43)*F43^$B$2</f>
        <v/>
      </c>
      <c r="I43" t="n">
        <v>0</v>
      </c>
      <c r="J43">
        <f>J42*(1-$B$3)+I43</f>
        <v/>
      </c>
      <c r="K43">
        <f>F43+J43</f>
        <v/>
      </c>
      <c r="L43">
        <f>EXP(G43)*K43^$B$2</f>
        <v/>
      </c>
      <c r="M43">
        <f>(B43-H43)/H43</f>
        <v/>
      </c>
      <c r="N43">
        <f>(B43-L43)/L43</f>
        <v/>
      </c>
      <c r="O43">
        <f>L43-H43</f>
        <v/>
      </c>
      <c r="P43">
        <f>(L43-H43)/H43</f>
        <v/>
      </c>
    </row>
    <row r="44">
      <c r="A44" t="n">
        <v>2013</v>
      </c>
      <c r="B44">
        <f>PWT!B15</f>
        <v/>
      </c>
      <c r="C44">
        <f>PWT!C15</f>
        <v/>
      </c>
      <c r="D44">
        <f>C44/B44</f>
        <v/>
      </c>
      <c r="E44">
        <f>WEO_Data!E15*1000</f>
        <v/>
      </c>
      <c r="F44">
        <f>C44</f>
        <v/>
      </c>
      <c r="G44">
        <f>L18</f>
        <v/>
      </c>
      <c r="H44">
        <f>EXP(G44)*F44^$B$2</f>
        <v/>
      </c>
      <c r="I44" t="n">
        <v>0</v>
      </c>
      <c r="J44">
        <f>J43*(1-$B$3)+I44</f>
        <v/>
      </c>
      <c r="K44">
        <f>F44+J44</f>
        <v/>
      </c>
      <c r="L44">
        <f>EXP(G44)*K44^$B$2</f>
        <v/>
      </c>
      <c r="M44">
        <f>(B44-H44)/H44</f>
        <v/>
      </c>
      <c r="N44">
        <f>(B44-L44)/L44</f>
        <v/>
      </c>
      <c r="O44">
        <f>L44-H44</f>
        <v/>
      </c>
      <c r="P44">
        <f>(L44-H44)/H44</f>
        <v/>
      </c>
    </row>
    <row r="45">
      <c r="A45" t="n">
        <v>2014</v>
      </c>
      <c r="B45">
        <f>PWT!B16</f>
        <v/>
      </c>
      <c r="C45">
        <f>PWT!C16</f>
        <v/>
      </c>
      <c r="D45">
        <f>C45/B45</f>
        <v/>
      </c>
      <c r="E45">
        <f>WEO_Data!E16*1000</f>
        <v/>
      </c>
      <c r="F45">
        <f>C45</f>
        <v/>
      </c>
      <c r="G45">
        <f>L19</f>
        <v/>
      </c>
      <c r="H45">
        <f>EXP(G45)*F45^$B$2</f>
        <v/>
      </c>
      <c r="I45" t="n">
        <v>0</v>
      </c>
      <c r="J45">
        <f>J44*(1-$B$3)+I45</f>
        <v/>
      </c>
      <c r="K45">
        <f>F45+J45</f>
        <v/>
      </c>
      <c r="L45">
        <f>EXP(G45)*K45^$B$2</f>
        <v/>
      </c>
      <c r="M45">
        <f>(B45-H45)/H45</f>
        <v/>
      </c>
      <c r="N45">
        <f>(B45-L45)/L45</f>
        <v/>
      </c>
      <c r="O45">
        <f>L45-H45</f>
        <v/>
      </c>
      <c r="P45">
        <f>(L45-H45)/H45</f>
        <v/>
      </c>
    </row>
    <row r="46">
      <c r="A46" t="n">
        <v>2015</v>
      </c>
      <c r="B46">
        <f>PWT!B17</f>
        <v/>
      </c>
      <c r="C46">
        <f>PWT!C17</f>
        <v/>
      </c>
      <c r="D46">
        <f>C46/B46</f>
        <v/>
      </c>
      <c r="E46">
        <f>WEO_Data!E17*1000</f>
        <v/>
      </c>
      <c r="F46">
        <f>C46</f>
        <v/>
      </c>
      <c r="G46">
        <f>L20</f>
        <v/>
      </c>
      <c r="H46">
        <f>EXP(G46)*F46^$B$2</f>
        <v/>
      </c>
      <c r="I46" t="n">
        <v>0</v>
      </c>
      <c r="J46">
        <f>J45*(1-$B$3)+I46</f>
        <v/>
      </c>
      <c r="K46">
        <f>F46+J46</f>
        <v/>
      </c>
      <c r="L46">
        <f>EXP(G46)*K46^$B$2</f>
        <v/>
      </c>
      <c r="M46">
        <f>(B46-H46)/H46</f>
        <v/>
      </c>
      <c r="N46">
        <f>(B46-L46)/L46</f>
        <v/>
      </c>
      <c r="O46">
        <f>L46-H46</f>
        <v/>
      </c>
      <c r="P46">
        <f>(L46-H46)/H46</f>
        <v/>
      </c>
    </row>
    <row r="47">
      <c r="A47" t="n">
        <v>2016</v>
      </c>
      <c r="B47">
        <f>PWT!B18</f>
        <v/>
      </c>
      <c r="C47">
        <f>PWT!C18</f>
        <v/>
      </c>
      <c r="D47">
        <f>C47/B47</f>
        <v/>
      </c>
      <c r="E47">
        <f>WEO_Data!E18*1000</f>
        <v/>
      </c>
      <c r="F47">
        <f>C47</f>
        <v/>
      </c>
      <c r="G47">
        <f>L21</f>
        <v/>
      </c>
      <c r="H47">
        <f>EXP(G47)*F47^$B$2</f>
        <v/>
      </c>
      <c r="I47" t="n">
        <v>0</v>
      </c>
      <c r="J47">
        <f>J46*(1-$B$3)+I47</f>
        <v/>
      </c>
      <c r="K47">
        <f>F47+J47</f>
        <v/>
      </c>
      <c r="L47">
        <f>EXP(G47)*K47^$B$2</f>
        <v/>
      </c>
      <c r="M47">
        <f>(B47-H47)/H47</f>
        <v/>
      </c>
      <c r="N47">
        <f>(B47-L47)/L47</f>
        <v/>
      </c>
      <c r="O47">
        <f>L47-H47</f>
        <v/>
      </c>
      <c r="P47">
        <f>(L47-H47)/H47</f>
        <v/>
      </c>
    </row>
    <row r="48">
      <c r="A48" t="n">
        <v>2017</v>
      </c>
      <c r="B48">
        <f>PWT!B19</f>
        <v/>
      </c>
      <c r="C48">
        <f>PWT!C19</f>
        <v/>
      </c>
      <c r="D48">
        <f>C48/B48</f>
        <v/>
      </c>
      <c r="E48">
        <f>WEO_Data!E19*1000</f>
        <v/>
      </c>
      <c r="F48">
        <f>C48</f>
        <v/>
      </c>
      <c r="G48">
        <f>L22</f>
        <v/>
      </c>
      <c r="H48">
        <f>EXP(G48)*F48^$B$2</f>
        <v/>
      </c>
      <c r="I48" t="n">
        <v>0</v>
      </c>
      <c r="J48">
        <f>J47*(1-$B$3)+I48</f>
        <v/>
      </c>
      <c r="K48">
        <f>F48+J48</f>
        <v/>
      </c>
      <c r="L48">
        <f>EXP(G48)*K48^$B$2</f>
        <v/>
      </c>
      <c r="M48">
        <f>(B48-H48)/H48</f>
        <v/>
      </c>
      <c r="N48">
        <f>(B48-L48)/L48</f>
        <v/>
      </c>
      <c r="O48">
        <f>L48-H48</f>
        <v/>
      </c>
      <c r="P48">
        <f>(L48-H48)/H48</f>
        <v/>
      </c>
    </row>
    <row r="49">
      <c r="A49" t="n">
        <v>2018</v>
      </c>
      <c r="B49">
        <f>PWT!B20</f>
        <v/>
      </c>
      <c r="C49">
        <f>PWT!C20</f>
        <v/>
      </c>
      <c r="D49">
        <f>C49/B49</f>
        <v/>
      </c>
      <c r="E49">
        <f>WEO_Data!E20*1000</f>
        <v/>
      </c>
      <c r="F49">
        <f>C49</f>
        <v/>
      </c>
      <c r="G49">
        <f>L23</f>
        <v/>
      </c>
      <c r="H49">
        <f>EXP(G49)*F49^$B$2</f>
        <v/>
      </c>
      <c r="I49" t="n">
        <v>0</v>
      </c>
      <c r="J49">
        <f>J48*(1-$B$3)+I49</f>
        <v/>
      </c>
      <c r="K49">
        <f>F49+J49</f>
        <v/>
      </c>
      <c r="L49">
        <f>EXP(G49)*K49^$B$2</f>
        <v/>
      </c>
      <c r="M49">
        <f>(B49-H49)/H49</f>
        <v/>
      </c>
      <c r="N49">
        <f>(B49-L49)/L49</f>
        <v/>
      </c>
      <c r="O49">
        <f>L49-H49</f>
        <v/>
      </c>
      <c r="P49">
        <f>(L49-H49)/H49</f>
        <v/>
      </c>
    </row>
    <row r="50">
      <c r="A50" t="n">
        <v>2019</v>
      </c>
      <c r="B50">
        <f>PWT!B21</f>
        <v/>
      </c>
      <c r="C50">
        <f>PWT!C21</f>
        <v/>
      </c>
      <c r="D50">
        <f>C50/B50</f>
        <v/>
      </c>
      <c r="E50">
        <f>WEO_Data!E21*1000</f>
        <v/>
      </c>
      <c r="F50">
        <f>C50</f>
        <v/>
      </c>
      <c r="G50">
        <f>L24</f>
        <v/>
      </c>
      <c r="H50">
        <f>EXP(G50)*F50^$B$2</f>
        <v/>
      </c>
      <c r="I50" t="n">
        <v>0</v>
      </c>
      <c r="J50">
        <f>J49*(1-$B$3)+I50</f>
        <v/>
      </c>
      <c r="K50">
        <f>F50+J50</f>
        <v/>
      </c>
      <c r="L50">
        <f>EXP(G50)*K50^$B$2</f>
        <v/>
      </c>
      <c r="M50">
        <f>(B50-H50)/H50</f>
        <v/>
      </c>
      <c r="N50">
        <f>(B50-L50)/L50</f>
        <v/>
      </c>
      <c r="O50">
        <f>L50-H50</f>
        <v/>
      </c>
      <c r="P50">
        <f>(L50-H50)/H50</f>
        <v/>
      </c>
    </row>
    <row r="51">
      <c r="A51" t="n">
        <v>2020</v>
      </c>
      <c r="B51">
        <f>PWT!B22</f>
        <v/>
      </c>
      <c r="C51">
        <f>PWT!C22</f>
        <v/>
      </c>
      <c r="D51">
        <f>C51/B51</f>
        <v/>
      </c>
      <c r="E51">
        <f>WEO_Data!E22*1000</f>
        <v/>
      </c>
      <c r="F51">
        <f>C51</f>
        <v/>
      </c>
      <c r="G51">
        <f>L25</f>
        <v/>
      </c>
      <c r="H51">
        <f>EXP(G51)*F51^$B$2</f>
        <v/>
      </c>
      <c r="I51">
        <f>Investment!B2*1000</f>
        <v/>
      </c>
      <c r="J51">
        <f>J50*(1-$B$3)+I51</f>
        <v/>
      </c>
      <c r="K51">
        <f>F51+J51</f>
        <v/>
      </c>
      <c r="L51">
        <f>EXP(G51)*K51^$B$2</f>
        <v/>
      </c>
      <c r="M51">
        <f>(B51-H51)/H51</f>
        <v/>
      </c>
      <c r="N51">
        <f>(B51-L51)/L51</f>
        <v/>
      </c>
      <c r="O51">
        <f>L51-H51</f>
        <v/>
      </c>
      <c r="P51">
        <f>(L51-H51)/H51</f>
        <v/>
      </c>
    </row>
    <row r="52">
      <c r="A52" t="n">
        <v>2021</v>
      </c>
      <c r="B52">
        <f>PWT!B23</f>
        <v/>
      </c>
      <c r="C52">
        <f>PWT!C23</f>
        <v/>
      </c>
      <c r="D52">
        <f>C52/B52</f>
        <v/>
      </c>
      <c r="E52">
        <f>WEO_Data!E23*1000</f>
        <v/>
      </c>
      <c r="F52">
        <f>C52</f>
        <v/>
      </c>
      <c r="G52">
        <f>L26</f>
        <v/>
      </c>
      <c r="H52">
        <f>EXP(G52)*F52^$B$2</f>
        <v/>
      </c>
      <c r="I52">
        <f>Investment!B3*1000</f>
        <v/>
      </c>
      <c r="J52">
        <f>J51*(1-$B$3)+I52</f>
        <v/>
      </c>
      <c r="K52">
        <f>F52+J52</f>
        <v/>
      </c>
      <c r="L52">
        <f>EXP(G52)*K52^$B$2</f>
        <v/>
      </c>
      <c r="M52">
        <f>(B52-H52)/H52</f>
        <v/>
      </c>
      <c r="N52">
        <f>(B52-L52)/L52</f>
        <v/>
      </c>
      <c r="O52">
        <f>L52-H52</f>
        <v/>
      </c>
      <c r="P52">
        <f>(L52-H52)/H52</f>
        <v/>
      </c>
    </row>
    <row r="53">
      <c r="A53" t="n">
        <v>2022</v>
      </c>
      <c r="B53">
        <f>PWT!B24</f>
        <v/>
      </c>
      <c r="C53">
        <f>PWT!C24</f>
        <v/>
      </c>
      <c r="D53">
        <f>C53/B53</f>
        <v/>
      </c>
      <c r="E53">
        <f>WEO_Data!E24*1000</f>
        <v/>
      </c>
      <c r="F53">
        <f>C53</f>
        <v/>
      </c>
      <c r="G53">
        <f>L27</f>
        <v/>
      </c>
      <c r="H53">
        <f>EXP(G53)*F53^$B$2</f>
        <v/>
      </c>
      <c r="I53">
        <f>Investment!B4*1000</f>
        <v/>
      </c>
      <c r="J53">
        <f>J52*(1-$B$3)+I53</f>
        <v/>
      </c>
      <c r="K53">
        <f>F53+J53</f>
        <v/>
      </c>
      <c r="L53">
        <f>EXP(G53)*K53^$B$2</f>
        <v/>
      </c>
      <c r="M53">
        <f>(B53-H53)/H53</f>
        <v/>
      </c>
      <c r="N53">
        <f>(B53-L53)/L53</f>
        <v/>
      </c>
      <c r="O53">
        <f>L53-H53</f>
        <v/>
      </c>
      <c r="P53">
        <f>(L53-H53)/H53</f>
        <v/>
      </c>
    </row>
    <row r="54">
      <c r="A54" t="n">
        <v>2023</v>
      </c>
      <c r="B54">
        <f>PWT!B25</f>
        <v/>
      </c>
      <c r="C54">
        <f>PWT!C25</f>
        <v/>
      </c>
      <c r="D54">
        <f>C54/B54</f>
        <v/>
      </c>
      <c r="E54">
        <f>WEO_Data!E25*1000</f>
        <v/>
      </c>
      <c r="F54">
        <f>C54</f>
        <v/>
      </c>
      <c r="G54">
        <f>L28</f>
        <v/>
      </c>
      <c r="H54">
        <f>EXP(G54)*F54^$B$2</f>
        <v/>
      </c>
      <c r="I54">
        <f>Investment!B5*1000</f>
        <v/>
      </c>
      <c r="J54">
        <f>J53*(1-$B$3)+I54</f>
        <v/>
      </c>
      <c r="K54">
        <f>F54+J54</f>
        <v/>
      </c>
      <c r="L54">
        <f>EXP(G54)*K54^$B$2</f>
        <v/>
      </c>
      <c r="M54">
        <f>(B54-H54)/H54</f>
        <v/>
      </c>
      <c r="N54">
        <f>(B54-L54)/L54</f>
        <v/>
      </c>
      <c r="O54">
        <f>L54-H54</f>
        <v/>
      </c>
      <c r="P54">
        <f>(L54-H54)/H54</f>
        <v/>
      </c>
    </row>
    <row r="55">
      <c r="A55" t="n">
        <v>2024</v>
      </c>
      <c r="B55" t="inlineStr"/>
      <c r="C55" t="inlineStr"/>
      <c r="D55" t="inlineStr"/>
      <c r="E55">
        <f>WEO_Data!E26*1000</f>
        <v/>
      </c>
      <c r="F55">
        <f>E55*$B$31</f>
        <v/>
      </c>
      <c r="G55">
        <f>TREND($L$7:$L$28,$J$7:$J$28,A55)</f>
        <v/>
      </c>
      <c r="H55">
        <f>EXP(G55)*F55^$B$2</f>
        <v/>
      </c>
      <c r="I55">
        <f>Investment!B6*1000</f>
        <v/>
      </c>
      <c r="J55">
        <f>J54*(1-$B$3)+I55</f>
        <v/>
      </c>
      <c r="K55">
        <f>F55+J55</f>
        <v/>
      </c>
      <c r="L55">
        <f>EXP(G55)*K55^$B$2</f>
        <v/>
      </c>
      <c r="M55">
        <f>(E55-H55)/H55</f>
        <v/>
      </c>
      <c r="N55">
        <f>(E55-L55)/L55</f>
        <v/>
      </c>
      <c r="O55">
        <f>L55-H55</f>
        <v/>
      </c>
      <c r="P55">
        <f>(L55-H55)/H55</f>
        <v/>
      </c>
    </row>
    <row r="56">
      <c r="A56" t="n">
        <v>2025</v>
      </c>
      <c r="B56" t="inlineStr"/>
      <c r="C56" t="inlineStr"/>
      <c r="D56" t="inlineStr"/>
      <c r="E56">
        <f>WEO_Data!E27*1000</f>
        <v/>
      </c>
      <c r="F56">
        <f>E56*$B$31</f>
        <v/>
      </c>
      <c r="G56">
        <f>TREND($L$7:$L$28,$J$7:$J$28,A56)</f>
        <v/>
      </c>
      <c r="H56">
        <f>EXP(G56)*F56^$B$2</f>
        <v/>
      </c>
      <c r="I56">
        <f>Investment!B7*1000</f>
        <v/>
      </c>
      <c r="J56">
        <f>J55*(1-$B$3)+I56</f>
        <v/>
      </c>
      <c r="K56">
        <f>F56+J56</f>
        <v/>
      </c>
      <c r="L56">
        <f>EXP(G56)*K56^$B$2</f>
        <v/>
      </c>
      <c r="M56">
        <f>(E56-H56)/H56</f>
        <v/>
      </c>
      <c r="N56">
        <f>(E56-L56)/L56</f>
        <v/>
      </c>
      <c r="O56">
        <f>L56-H56</f>
        <v/>
      </c>
      <c r="P56">
        <f>(L56-H56)/H56</f>
        <v/>
      </c>
    </row>
    <row r="57">
      <c r="A57" t="n">
        <v>2026</v>
      </c>
      <c r="B57" t="inlineStr"/>
      <c r="C57" t="inlineStr"/>
      <c r="D57" t="inlineStr"/>
      <c r="E57">
        <f>WEO_Data!E28*1000</f>
        <v/>
      </c>
      <c r="F57">
        <f>E57*$B$31</f>
        <v/>
      </c>
      <c r="G57">
        <f>TREND($L$7:$L$28,$J$7:$J$28,A57)</f>
        <v/>
      </c>
      <c r="H57">
        <f>EXP(G57)*F57^$B$2</f>
        <v/>
      </c>
      <c r="I57">
        <f>Investment!B8*1000</f>
        <v/>
      </c>
      <c r="J57">
        <f>J56*(1-$B$3)+I57</f>
        <v/>
      </c>
      <c r="K57">
        <f>F57+J57</f>
        <v/>
      </c>
      <c r="L57">
        <f>EXP(G57)*K57^$B$2</f>
        <v/>
      </c>
      <c r="M57">
        <f>(E57-H57)/H57</f>
        <v/>
      </c>
      <c r="N57">
        <f>(E57-L57)/L57</f>
        <v/>
      </c>
      <c r="O57">
        <f>L57-H57</f>
        <v/>
      </c>
      <c r="P57">
        <f>(L57-H57)/H57</f>
        <v/>
      </c>
    </row>
    <row r="58">
      <c r="A58" t="n">
        <v>2027</v>
      </c>
      <c r="B58" t="inlineStr"/>
      <c r="C58" t="inlineStr"/>
      <c r="D58" t="inlineStr"/>
      <c r="E58">
        <f>WEO_Data!E29*1000</f>
        <v/>
      </c>
      <c r="F58">
        <f>E58*$B$31</f>
        <v/>
      </c>
      <c r="G58">
        <f>TREND($L$7:$L$28,$J$7:$J$28,A58)</f>
        <v/>
      </c>
      <c r="H58">
        <f>EXP(G58)*F58^$B$2</f>
        <v/>
      </c>
      <c r="I58">
        <f>Investment!B9*1000</f>
        <v/>
      </c>
      <c r="J58">
        <f>J57*(1-$B$3)+I58</f>
        <v/>
      </c>
      <c r="K58">
        <f>F58+J58</f>
        <v/>
      </c>
      <c r="L58">
        <f>EXP(G58)*K58^$B$2</f>
        <v/>
      </c>
      <c r="M58">
        <f>(E58-H58)/H58</f>
        <v/>
      </c>
      <c r="N58">
        <f>(E58-L58)/L58</f>
        <v/>
      </c>
      <c r="O58">
        <f>L58-H58</f>
        <v/>
      </c>
      <c r="P58">
        <f>(L58-H58)/H58</f>
        <v/>
      </c>
    </row>
    <row r="59">
      <c r="A59" t="n">
        <v>2028</v>
      </c>
      <c r="B59" t="inlineStr"/>
      <c r="C59" t="inlineStr"/>
      <c r="D59" t="inlineStr"/>
      <c r="E59">
        <f>WEO_Data!E30*1000</f>
        <v/>
      </c>
      <c r="F59">
        <f>E59*$B$31</f>
        <v/>
      </c>
      <c r="G59">
        <f>TREND($L$7:$L$28,$J$7:$J$28,A59)</f>
        <v/>
      </c>
      <c r="H59">
        <f>EXP(G59)*F59^$B$2</f>
        <v/>
      </c>
      <c r="I59">
        <f>Investment!B10*1000</f>
        <v/>
      </c>
      <c r="J59">
        <f>J58*(1-$B$3)+I59</f>
        <v/>
      </c>
      <c r="K59">
        <f>F59+J59</f>
        <v/>
      </c>
      <c r="L59">
        <f>EXP(G59)*K59^$B$2</f>
        <v/>
      </c>
      <c r="M59">
        <f>(E59-H59)/H59</f>
        <v/>
      </c>
      <c r="N59">
        <f>(E59-L59)/L59</f>
        <v/>
      </c>
      <c r="O59">
        <f>L59-H59</f>
        <v/>
      </c>
      <c r="P59">
        <f>(L59-H59)/H59</f>
        <v/>
      </c>
    </row>
    <row r="60">
      <c r="A60" t="n">
        <v>2029</v>
      </c>
      <c r="B60" t="inlineStr"/>
      <c r="C60" t="inlineStr"/>
      <c r="D60" t="inlineStr"/>
      <c r="E60">
        <f>WEO_Data!E31*1000</f>
        <v/>
      </c>
      <c r="F60">
        <f>E60*$B$31</f>
        <v/>
      </c>
      <c r="G60">
        <f>TREND($L$7:$L$28,$J$7:$J$28,A60)</f>
        <v/>
      </c>
      <c r="H60">
        <f>EXP(G60)*F60^$B$2</f>
        <v/>
      </c>
      <c r="I60">
        <f>Investment!B11*1000</f>
        <v/>
      </c>
      <c r="J60">
        <f>J59*(1-$B$3)+I60</f>
        <v/>
      </c>
      <c r="K60">
        <f>F60+J60</f>
        <v/>
      </c>
      <c r="L60">
        <f>EXP(G60)*K60^$B$2</f>
        <v/>
      </c>
      <c r="M60">
        <f>(E60-H60)/H60</f>
        <v/>
      </c>
      <c r="N60">
        <f>(E60-L60)/L60</f>
        <v/>
      </c>
      <c r="O60">
        <f>L60-H60</f>
        <v/>
      </c>
      <c r="P60">
        <f>(L60-H60)/H60</f>
        <v/>
      </c>
    </row>
    <row r="61">
      <c r="A61" t="n">
        <v>2030</v>
      </c>
      <c r="B61" t="inlineStr"/>
      <c r="C61" t="inlineStr"/>
      <c r="D61" t="inlineStr"/>
      <c r="E61">
        <f>WEO_Data!E32*1000</f>
        <v/>
      </c>
      <c r="F61">
        <f>E61*$B$31</f>
        <v/>
      </c>
      <c r="G61">
        <f>TREND($L$7:$L$28,$J$7:$J$28,A61)</f>
        <v/>
      </c>
      <c r="H61">
        <f>EXP(G61)*F61^$B$2</f>
        <v/>
      </c>
      <c r="I61">
        <f>Investment!B12*1000</f>
        <v/>
      </c>
      <c r="J61">
        <f>J60*(1-$B$3)+I61</f>
        <v/>
      </c>
      <c r="K61">
        <f>F61+J61</f>
        <v/>
      </c>
      <c r="L61">
        <f>EXP(G61)*K61^$B$2</f>
        <v/>
      </c>
      <c r="M61">
        <f>(E61-H61)/H61</f>
        <v/>
      </c>
      <c r="N61">
        <f>(E61-L61)/L61</f>
        <v/>
      </c>
      <c r="O61">
        <f>L61-H61</f>
        <v/>
      </c>
      <c r="P61">
        <f>(L61-H61)/H61</f>
        <v/>
      </c>
    </row>
    <row r="62">
      <c r="A62" t="n">
        <v>2031</v>
      </c>
      <c r="B62" t="inlineStr"/>
      <c r="C62" t="inlineStr"/>
      <c r="D62" t="inlineStr"/>
      <c r="E62">
        <f>WEO_Data!E33*1000</f>
        <v/>
      </c>
      <c r="F62">
        <f>E62*$B$31</f>
        <v/>
      </c>
      <c r="G62">
        <f>TREND($L$7:$L$28,$J$7:$J$28,A62)</f>
        <v/>
      </c>
      <c r="H62">
        <f>EXP(G62)*F62^$B$2</f>
        <v/>
      </c>
      <c r="I62">
        <f>Investment!B13*1000</f>
        <v/>
      </c>
      <c r="J62">
        <f>J61*(1-$B$3)+I62</f>
        <v/>
      </c>
      <c r="K62">
        <f>F62+J62</f>
        <v/>
      </c>
      <c r="L62">
        <f>EXP(G62)*K62^$B$2</f>
        <v/>
      </c>
      <c r="M62">
        <f>(E62-H62)/H62</f>
        <v/>
      </c>
      <c r="N62">
        <f>(E62-L62)/L62</f>
        <v/>
      </c>
      <c r="O62">
        <f>L62-H62</f>
        <v/>
      </c>
      <c r="P62">
        <f>(L62-H62)/H62</f>
        <v/>
      </c>
    </row>
    <row r="63">
      <c r="A63" t="n">
        <v>2032</v>
      </c>
      <c r="B63" t="inlineStr"/>
      <c r="C63" t="inlineStr"/>
      <c r="D63" t="inlineStr"/>
      <c r="E63">
        <f>WEO_Data!E34*1000</f>
        <v/>
      </c>
      <c r="F63">
        <f>E63*$B$31</f>
        <v/>
      </c>
      <c r="G63">
        <f>TREND($L$7:$L$28,$J$7:$J$28,A63)</f>
        <v/>
      </c>
      <c r="H63">
        <f>EXP(G63)*F63^$B$2</f>
        <v/>
      </c>
      <c r="I63">
        <f>Investment!B14*1000</f>
        <v/>
      </c>
      <c r="J63">
        <f>J62*(1-$B$3)+I63</f>
        <v/>
      </c>
      <c r="K63">
        <f>F63+J63</f>
        <v/>
      </c>
      <c r="L63">
        <f>EXP(G63)*K63^$B$2</f>
        <v/>
      </c>
      <c r="M63">
        <f>(E63-H63)/H63</f>
        <v/>
      </c>
      <c r="N63">
        <f>(E63-L63)/L63</f>
        <v/>
      </c>
      <c r="O63">
        <f>L63-H63</f>
        <v/>
      </c>
      <c r="P63">
        <f>(L63-H63)/H63</f>
        <v/>
      </c>
    </row>
    <row r="64">
      <c r="A64" t="n">
        <v>2033</v>
      </c>
      <c r="B64" t="inlineStr"/>
      <c r="C64" t="inlineStr"/>
      <c r="D64" t="inlineStr"/>
      <c r="E64">
        <f>WEO_Data!E35*1000</f>
        <v/>
      </c>
      <c r="F64">
        <f>E64*$B$31</f>
        <v/>
      </c>
      <c r="G64">
        <f>TREND($L$7:$L$28,$J$7:$J$28,A64)</f>
        <v/>
      </c>
      <c r="H64">
        <f>EXP(G64)*F64^$B$2</f>
        <v/>
      </c>
      <c r="I64">
        <f>Investment!B15*1000</f>
        <v/>
      </c>
      <c r="J64">
        <f>J63*(1-$B$3)+I64</f>
        <v/>
      </c>
      <c r="K64">
        <f>F64+J64</f>
        <v/>
      </c>
      <c r="L64">
        <f>EXP(G64)*K64^$B$2</f>
        <v/>
      </c>
      <c r="M64">
        <f>(E64-H64)/H64</f>
        <v/>
      </c>
      <c r="N64">
        <f>(E64-L64)/L64</f>
        <v/>
      </c>
      <c r="O64">
        <f>L64-H64</f>
        <v/>
      </c>
      <c r="P64">
        <f>(L64-H64)/H64</f>
        <v/>
      </c>
    </row>
    <row r="65">
      <c r="A65" t="n">
        <v>2034</v>
      </c>
      <c r="B65" t="inlineStr"/>
      <c r="C65" t="inlineStr"/>
      <c r="D65" t="inlineStr"/>
      <c r="E65">
        <f>WEO_Data!E36*1000</f>
        <v/>
      </c>
      <c r="F65">
        <f>E65*$B$31</f>
        <v/>
      </c>
      <c r="G65">
        <f>TREND($L$7:$L$28,$J$7:$J$28,A65)</f>
        <v/>
      </c>
      <c r="H65">
        <f>EXP(G65)*F65^$B$2</f>
        <v/>
      </c>
      <c r="I65">
        <f>Investment!B16*1000</f>
        <v/>
      </c>
      <c r="J65">
        <f>J64*(1-$B$3)+I65</f>
        <v/>
      </c>
      <c r="K65">
        <f>F65+J65</f>
        <v/>
      </c>
      <c r="L65">
        <f>EXP(G65)*K65^$B$2</f>
        <v/>
      </c>
      <c r="M65">
        <f>(E65-H65)/H65</f>
        <v/>
      </c>
      <c r="N65">
        <f>(E65-L65)/L65</f>
        <v/>
      </c>
      <c r="O65">
        <f>L65-H65</f>
        <v/>
      </c>
      <c r="P65">
        <f>(L65-H65)/H65</f>
        <v/>
      </c>
    </row>
    <row r="66">
      <c r="A66" t="n">
        <v>2035</v>
      </c>
      <c r="B66" t="inlineStr"/>
      <c r="C66" t="inlineStr"/>
      <c r="D66" t="inlineStr"/>
      <c r="E66">
        <f>WEO_Data!E37*1000</f>
        <v/>
      </c>
      <c r="F66">
        <f>E66*$B$31</f>
        <v/>
      </c>
      <c r="G66">
        <f>TREND($L$7:$L$28,$J$7:$J$28,A66)</f>
        <v/>
      </c>
      <c r="H66">
        <f>EXP(G66)*F66^$B$2</f>
        <v/>
      </c>
      <c r="I66">
        <f>Investment!B17*1000</f>
        <v/>
      </c>
      <c r="J66">
        <f>J65*(1-$B$3)+I66</f>
        <v/>
      </c>
      <c r="K66">
        <f>F66+J66</f>
        <v/>
      </c>
      <c r="L66">
        <f>EXP(G66)*K66^$B$2</f>
        <v/>
      </c>
      <c r="M66">
        <f>(E66-H66)/H66</f>
        <v/>
      </c>
      <c r="N66">
        <f>(E66-L66)/L66</f>
        <v/>
      </c>
      <c r="O66">
        <f>L66-H66</f>
        <v/>
      </c>
      <c r="P66">
        <f>(L66-H66)/H66</f>
        <v/>
      </c>
    </row>
    <row r="67">
      <c r="A67" t="n">
        <v>2036</v>
      </c>
      <c r="B67" t="inlineStr"/>
      <c r="C67" t="inlineStr"/>
      <c r="D67" t="inlineStr"/>
      <c r="E67">
        <f>WEO_Data!E38*1000</f>
        <v/>
      </c>
      <c r="F67">
        <f>E67*$B$31</f>
        <v/>
      </c>
      <c r="G67">
        <f>TREND($L$7:$L$28,$J$7:$J$28,A67)</f>
        <v/>
      </c>
      <c r="H67">
        <f>EXP(G67)*F67^$B$2</f>
        <v/>
      </c>
      <c r="I67">
        <f>Investment!B18*1000</f>
        <v/>
      </c>
      <c r="J67">
        <f>J66*(1-$B$3)+I67</f>
        <v/>
      </c>
      <c r="K67">
        <f>F67+J67</f>
        <v/>
      </c>
      <c r="L67">
        <f>EXP(G67)*K67^$B$2</f>
        <v/>
      </c>
      <c r="M67">
        <f>(E67-H67)/H67</f>
        <v/>
      </c>
      <c r="N67">
        <f>(E67-L67)/L67</f>
        <v/>
      </c>
      <c r="O67">
        <f>L67-H67</f>
        <v/>
      </c>
      <c r="P67">
        <f>(L67-H67)/H67</f>
        <v/>
      </c>
    </row>
    <row r="68">
      <c r="A68" t="n">
        <v>2037</v>
      </c>
      <c r="B68" t="inlineStr"/>
      <c r="C68" t="inlineStr"/>
      <c r="D68" t="inlineStr"/>
      <c r="E68">
        <f>WEO_Data!E39*1000</f>
        <v/>
      </c>
      <c r="F68">
        <f>E68*$B$31</f>
        <v/>
      </c>
      <c r="G68">
        <f>TREND($L$7:$L$28,$J$7:$J$28,A68)</f>
        <v/>
      </c>
      <c r="H68">
        <f>EXP(G68)*F68^$B$2</f>
        <v/>
      </c>
      <c r="I68">
        <f>Investment!B19*1000</f>
        <v/>
      </c>
      <c r="J68">
        <f>J67*(1-$B$3)+I68</f>
        <v/>
      </c>
      <c r="K68">
        <f>F68+J68</f>
        <v/>
      </c>
      <c r="L68">
        <f>EXP(G68)*K68^$B$2</f>
        <v/>
      </c>
      <c r="M68">
        <f>(E68-H68)/H68</f>
        <v/>
      </c>
      <c r="N68">
        <f>(E68-L68)/L68</f>
        <v/>
      </c>
      <c r="O68">
        <f>L68-H68</f>
        <v/>
      </c>
      <c r="P68">
        <f>(L68-H68)/H68</f>
        <v/>
      </c>
    </row>
    <row r="69">
      <c r="A69" t="n">
        <v>2038</v>
      </c>
      <c r="B69" t="inlineStr"/>
      <c r="C69" t="inlineStr"/>
      <c r="D69" t="inlineStr"/>
      <c r="E69">
        <f>WEO_Data!E40*1000</f>
        <v/>
      </c>
      <c r="F69">
        <f>E69*$B$31</f>
        <v/>
      </c>
      <c r="G69">
        <f>TREND($L$7:$L$28,$J$7:$J$28,A69)</f>
        <v/>
      </c>
      <c r="H69">
        <f>EXP(G69)*F69^$B$2</f>
        <v/>
      </c>
      <c r="I69">
        <f>Investment!B20*1000</f>
        <v/>
      </c>
      <c r="J69">
        <f>J68*(1-$B$3)+I69</f>
        <v/>
      </c>
      <c r="K69">
        <f>F69+J69</f>
        <v/>
      </c>
      <c r="L69">
        <f>EXP(G69)*K69^$B$2</f>
        <v/>
      </c>
      <c r="M69">
        <f>(E69-H69)/H69</f>
        <v/>
      </c>
      <c r="N69">
        <f>(E69-L69)/L69</f>
        <v/>
      </c>
      <c r="O69">
        <f>L69-H69</f>
        <v/>
      </c>
      <c r="P69">
        <f>(L69-H69)/H69</f>
        <v/>
      </c>
    </row>
    <row r="70">
      <c r="A70" t="n">
        <v>2039</v>
      </c>
      <c r="B70" t="inlineStr"/>
      <c r="C70" t="inlineStr"/>
      <c r="D70" t="inlineStr"/>
      <c r="E70">
        <f>WEO_Data!E41*1000</f>
        <v/>
      </c>
      <c r="F70">
        <f>E70*$B$31</f>
        <v/>
      </c>
      <c r="G70">
        <f>TREND($L$7:$L$28,$J$7:$J$28,A70)</f>
        <v/>
      </c>
      <c r="H70">
        <f>EXP(G70)*F70^$B$2</f>
        <v/>
      </c>
      <c r="I70">
        <f>Investment!B21*1000</f>
        <v/>
      </c>
      <c r="J70">
        <f>J69*(1-$B$3)+I70</f>
        <v/>
      </c>
      <c r="K70">
        <f>F70+J70</f>
        <v/>
      </c>
      <c r="L70">
        <f>EXP(G70)*K70^$B$2</f>
        <v/>
      </c>
      <c r="M70">
        <f>(E70-H70)/H70</f>
        <v/>
      </c>
      <c r="N70">
        <f>(E70-L70)/L70</f>
        <v/>
      </c>
      <c r="O70">
        <f>L70-H70</f>
        <v/>
      </c>
      <c r="P70">
        <f>(L70-H70)/H70</f>
        <v/>
      </c>
    </row>
    <row r="71">
      <c r="A71" t="n">
        <v>2040</v>
      </c>
      <c r="B71" t="inlineStr"/>
      <c r="C71" t="inlineStr"/>
      <c r="D71" t="inlineStr"/>
      <c r="E71">
        <f>WEO_Data!E42*1000</f>
        <v/>
      </c>
      <c r="F71">
        <f>E71*$B$31</f>
        <v/>
      </c>
      <c r="G71">
        <f>TREND($L$7:$L$28,$J$7:$J$28,A71)</f>
        <v/>
      </c>
      <c r="H71">
        <f>EXP(G71)*F71^$B$2</f>
        <v/>
      </c>
      <c r="I71">
        <f>Investment!B22*1000</f>
        <v/>
      </c>
      <c r="J71">
        <f>J70*(1-$B$3)+I71</f>
        <v/>
      </c>
      <c r="K71">
        <f>F71+J71</f>
        <v/>
      </c>
      <c r="L71">
        <f>EXP(G71)*K71^$B$2</f>
        <v/>
      </c>
      <c r="M71">
        <f>(E71-H71)/H71</f>
        <v/>
      </c>
      <c r="N71">
        <f>(E71-L71)/L71</f>
        <v/>
      </c>
      <c r="O71">
        <f>L71-H71</f>
        <v/>
      </c>
      <c r="P71">
        <f>(L71-H71)/H71</f>
        <v/>
      </c>
    </row>
    <row r="72">
      <c r="A72" t="n">
        <v>2041</v>
      </c>
      <c r="B72" t="inlineStr"/>
      <c r="C72" t="inlineStr"/>
      <c r="D72" t="inlineStr"/>
      <c r="E72">
        <f>WEO_Data!E43*1000</f>
        <v/>
      </c>
      <c r="F72">
        <f>E72*$B$31</f>
        <v/>
      </c>
      <c r="G72">
        <f>TREND($L$7:$L$28,$J$7:$J$28,A72)</f>
        <v/>
      </c>
      <c r="H72">
        <f>EXP(G72)*F72^$B$2</f>
        <v/>
      </c>
      <c r="I72">
        <f>Investment!B23*1000</f>
        <v/>
      </c>
      <c r="J72">
        <f>J71*(1-$B$3)+I72</f>
        <v/>
      </c>
      <c r="K72">
        <f>F72+J72</f>
        <v/>
      </c>
      <c r="L72">
        <f>EXP(G72)*K72^$B$2</f>
        <v/>
      </c>
      <c r="M72">
        <f>(E72-H72)/H72</f>
        <v/>
      </c>
      <c r="N72">
        <f>(E72-L72)/L72</f>
        <v/>
      </c>
      <c r="O72">
        <f>L72-H72</f>
        <v/>
      </c>
      <c r="P72">
        <f>(L72-H72)/H72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SOLVER INSTRUCTIONS FOR HP FILTER</t>
        </is>
      </c>
    </row>
    <row r="2">
      <c r="A2" t="inlineStr"/>
    </row>
    <row r="3">
      <c r="A3" t="inlineStr">
        <is>
          <t>The HP (Hodrick-Prescott) filter separates a time series into trend and cyclical components.</t>
        </is>
      </c>
    </row>
    <row r="4">
      <c r="A4" t="inlineStr"/>
    </row>
    <row r="5">
      <c r="A5" s="1" t="inlineStr">
        <is>
          <t>TO RUN THE HP FILTER SOLVER:</t>
        </is>
      </c>
    </row>
    <row r="6">
      <c r="A6" t="inlineStr"/>
    </row>
    <row r="7">
      <c r="A7" t="inlineStr">
        <is>
          <t>1. Go to the 'Production' sheet</t>
        </is>
      </c>
    </row>
    <row r="8">
      <c r="A8" t="inlineStr"/>
    </row>
    <row r="9">
      <c r="A9" t="inlineStr">
        <is>
          <t>2. Open Excel Solver (Data tab &gt; Solver)</t>
        </is>
      </c>
    </row>
    <row r="10">
      <c r="A10" t="inlineStr">
        <is>
          <t xml:space="preserve">   - If Solver is not visible, enable it via File &gt; Options &gt; Add-ins &gt; Excel Add-ins &gt; Solver</t>
        </is>
      </c>
    </row>
    <row r="11">
      <c r="A11" t="inlineStr"/>
    </row>
    <row r="12">
      <c r="A12" t="inlineStr">
        <is>
          <t>3. Set up the Solver with these parameters:</t>
        </is>
      </c>
    </row>
    <row r="13">
      <c r="A13" t="inlineStr">
        <is>
          <t xml:space="preserve">   - Set Objective: $R$6 (the objective function cell)</t>
        </is>
      </c>
    </row>
    <row r="14">
      <c r="A14" t="inlineStr">
        <is>
          <t xml:space="preserve">   - To: Min</t>
        </is>
      </c>
    </row>
    <row r="15">
      <c r="A15" t="inlineStr">
        <is>
          <t xml:space="preserve">   - By Changing Variable Cells: $L$7:$L$28</t>
        </is>
      </c>
    </row>
    <row r="16">
      <c r="A16" t="inlineStr">
        <is>
          <t xml:space="preserve">     (This is the LnZ_HP column in the Solver area)</t>
        </is>
      </c>
    </row>
    <row r="17">
      <c r="A17" t="inlineStr"/>
    </row>
    <row r="18">
      <c r="A18" t="inlineStr">
        <is>
          <t>4. Click 'Solve'</t>
        </is>
      </c>
    </row>
    <row r="19">
      <c r="A19" t="inlineStr"/>
    </row>
    <row r="20">
      <c r="A20" t="inlineStr">
        <is>
          <t>5. The HP-filtered trend will appear in column L of the Solver area</t>
        </is>
      </c>
    </row>
    <row r="21">
      <c r="A21" t="inlineStr"/>
    </row>
    <row r="22">
      <c r="A22" s="1" t="inlineStr">
        <is>
          <t>HP FILTER DETAILS:</t>
        </is>
      </c>
    </row>
    <row r="23">
      <c r="A23" t="inlineStr">
        <is>
          <t>- Lambda = 100 (standard for annual data)</t>
        </is>
      </c>
    </row>
    <row r="24">
      <c r="A24" t="inlineStr">
        <is>
          <t>- The objective minimizes: Sum(Gap^2) + Lambda * Sum(2nd_Diff^2)</t>
        </is>
      </c>
    </row>
    <row r="25">
      <c r="A25" t="inlineStr">
        <is>
          <t>- Gap = actual LnZ - trend LnZ</t>
        </is>
      </c>
    </row>
    <row r="26">
      <c r="A26" t="inlineStr">
        <is>
          <t>- 2nd_Diff = second-order difference of trend (smoothness penalty)</t>
        </is>
      </c>
    </row>
    <row r="27">
      <c r="A27" t="inlineStr"/>
    </row>
    <row r="28">
      <c r="A28" s="1" t="inlineStr">
        <is>
          <t>AFTER RUNNING SOLVER:</t>
        </is>
      </c>
    </row>
    <row r="29">
      <c r="A29" t="inlineStr">
        <is>
          <t>- Column G in the HP Filter section will update with the trend values</t>
        </is>
      </c>
    </row>
    <row r="30">
      <c r="A30" t="inlineStr">
        <is>
          <t>- The Production Function projections will use these trend values</t>
        </is>
      </c>
    </row>
    <row r="31">
      <c r="A31" t="inlineStr">
        <is>
          <t>- Ystar_base and Ystar_With calculations will be based on the smoothed trend</t>
        </is>
      </c>
    </row>
    <row r="32">
      <c r="A32" t="inlineStr"/>
    </row>
    <row r="33">
      <c r="A33" s="1" t="inlineStr">
        <is>
          <t>INVESTMENT SHOCK ANALYSIS:</t>
        </is>
      </c>
    </row>
    <row r="34">
      <c r="A34" t="inlineStr">
        <is>
          <t>- The investment shock of 6.5 billion USD is spread over 8 years (2026-2033)</t>
        </is>
      </c>
    </row>
    <row r="35">
      <c r="A35" t="inlineStr">
        <is>
          <t>- Annual investment = 0.8125 billion USD = 812.5 million USD</t>
        </is>
      </c>
    </row>
    <row r="36">
      <c r="A36" t="inlineStr">
        <is>
          <t>- deltaK accumulates the additional capital stock from the investment</t>
        </is>
      </c>
    </row>
    <row r="37">
      <c r="A37" t="inlineStr">
        <is>
          <t>- K_With = K_base + deltaK</t>
        </is>
      </c>
    </row>
    <row r="38">
      <c r="A38" t="inlineStr">
        <is>
          <t>- Ystar_With shows the potential GDP with the additional investment</t>
        </is>
      </c>
    </row>
    <row r="39">
      <c r="A39" t="inlineStr">
        <is>
          <t>- The 'Add_GDP' and '% Change' columns show the impact of the investment shock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2026-01-29T05:44:12Z</dcterms:created>
  <dcterms:modified xsi:type="dcterms:W3CDTF">2026-01-29T05:44:17Z</dcterms:modified>
</cp:coreProperties>
</file>