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NA" sheetId="2" state="visible" r:id="rId2"/>
    <sheet name="SUT Calc" sheetId="3" state="visible" r:id="rId3"/>
    <sheet name="Scenario 2" sheetId="4" state="visible" r:id="rId4"/>
    <sheet name="Scenario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  <font>
      <i val="1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2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Georgia WEO Data</t>
        </is>
      </c>
    </row>
    <row r="3">
      <c r="A3" s="4" t="inlineStr">
        <is>
          <t>Year</t>
        </is>
      </c>
      <c r="B3" s="4" t="inlineStr">
        <is>
          <t>Real GDP Growth (%)</t>
        </is>
      </c>
      <c r="C3" s="4" t="inlineStr">
        <is>
          <t>Nominal GDP (USD bn)</t>
        </is>
      </c>
      <c r="D3" s="4" t="inlineStr">
        <is>
          <t>GDP Deflator (%)</t>
        </is>
      </c>
      <c r="E3" s="4" t="inlineStr">
        <is>
          <t>Nominal GDP (GEL bn)</t>
        </is>
      </c>
    </row>
    <row r="4">
      <c r="A4" t="n">
        <v>2021</v>
      </c>
      <c r="B4" s="5" t="n"/>
      <c r="C4" s="5" t="n"/>
      <c r="D4" s="5" t="n">
        <v>7.2</v>
      </c>
      <c r="E4" s="5">
        <f>C4*2.746</f>
        <v/>
      </c>
    </row>
    <row r="5">
      <c r="A5" t="n">
        <v>2022</v>
      </c>
      <c r="B5" s="5" t="n">
        <v>11</v>
      </c>
      <c r="C5" s="5" t="n">
        <v>25</v>
      </c>
      <c r="D5" s="5" t="n">
        <v>10.3</v>
      </c>
      <c r="E5" s="5">
        <f>C5*2.746</f>
        <v/>
      </c>
    </row>
    <row r="6">
      <c r="A6" t="n">
        <v>2023</v>
      </c>
      <c r="B6" s="5" t="n">
        <v>7.8</v>
      </c>
      <c r="C6" s="5" t="n">
        <v>30.8</v>
      </c>
      <c r="D6" s="5" t="n">
        <v>10</v>
      </c>
      <c r="E6" s="5">
        <f>C6*2.746</f>
        <v/>
      </c>
    </row>
    <row r="7">
      <c r="A7" t="n">
        <v>2024</v>
      </c>
      <c r="B7" s="5" t="n">
        <v>9.4</v>
      </c>
      <c r="C7" s="5" t="n">
        <v>33.8</v>
      </c>
      <c r="D7" s="5" t="n">
        <v>6.5</v>
      </c>
      <c r="E7" s="5">
        <f>C7*2.746</f>
        <v/>
      </c>
    </row>
    <row r="8">
      <c r="A8" t="n">
        <v>2025</v>
      </c>
      <c r="B8" s="5" t="n">
        <v>7.2</v>
      </c>
      <c r="C8" s="5" t="n">
        <v>37.5</v>
      </c>
      <c r="D8" s="5">
        <f>(D4+D5+D6+D7)/4</f>
        <v/>
      </c>
      <c r="E8" s="5">
        <f>C8*2.746</f>
        <v/>
      </c>
    </row>
    <row r="9">
      <c r="A9" t="n">
        <v>2026</v>
      </c>
      <c r="B9" s="5" t="n">
        <v>7.2</v>
      </c>
      <c r="C9" s="5">
        <f>C8*(1+B9/100)</f>
        <v/>
      </c>
      <c r="D9" s="5">
        <f>D8*1.085</f>
        <v/>
      </c>
      <c r="E9" s="5">
        <f>C9*2.746</f>
        <v/>
      </c>
    </row>
    <row r="10">
      <c r="A10" t="n">
        <v>2027</v>
      </c>
      <c r="B10" s="5" t="n">
        <v>7.2</v>
      </c>
      <c r="C10" s="5">
        <f>C9*(1+B10/100)</f>
        <v/>
      </c>
      <c r="D10" s="5">
        <f>D9*1.085</f>
        <v/>
      </c>
      <c r="E10" s="5">
        <f>C10*2.746</f>
        <v/>
      </c>
    </row>
    <row r="11">
      <c r="A11" t="n">
        <v>2028</v>
      </c>
      <c r="B11" s="5" t="n">
        <v>7.2</v>
      </c>
      <c r="C11" s="5">
        <f>C10*(1+B11/100)</f>
        <v/>
      </c>
      <c r="D11" s="5">
        <f>D10*1.085</f>
        <v/>
      </c>
      <c r="E11" s="5">
        <f>C11*2.746</f>
        <v/>
      </c>
    </row>
    <row r="12">
      <c r="A12" t="n">
        <v>2029</v>
      </c>
      <c r="B12" s="5" t="n">
        <v>7.2</v>
      </c>
      <c r="C12" s="5">
        <f>C11*(1+B12/100)</f>
        <v/>
      </c>
      <c r="D12" s="5">
        <f>D11*1.085</f>
        <v/>
      </c>
      <c r="E12" s="5">
        <f>C12*2.746</f>
        <v/>
      </c>
    </row>
    <row r="13">
      <c r="A13" t="n">
        <v>2030</v>
      </c>
      <c r="B13" s="5" t="n">
        <v>7.2</v>
      </c>
      <c r="C13" s="5">
        <f>C12*(1+B13/100)</f>
        <v/>
      </c>
      <c r="D13" s="5">
        <f>D12*1.085</f>
        <v/>
      </c>
      <c r="E13" s="5">
        <f>C13*2.746</f>
        <v/>
      </c>
    </row>
    <row r="14">
      <c r="A14" t="n">
        <v>2031</v>
      </c>
      <c r="B14" s="5" t="n">
        <v>7.2</v>
      </c>
      <c r="C14" s="5">
        <f>C13*(1+B14/100)</f>
        <v/>
      </c>
      <c r="D14" s="5">
        <f>D13*1.085</f>
        <v/>
      </c>
      <c r="E14" s="5">
        <f>C14*2.746</f>
        <v/>
      </c>
    </row>
    <row r="15">
      <c r="A15" t="n">
        <v>2032</v>
      </c>
      <c r="B15" s="5" t="n">
        <v>7.2</v>
      </c>
      <c r="C15" s="5">
        <f>C14*(1+B15/100)</f>
        <v/>
      </c>
      <c r="D15" s="5">
        <f>D14*1.085</f>
        <v/>
      </c>
      <c r="E15" s="5">
        <f>C15*2.746</f>
        <v/>
      </c>
    </row>
    <row r="16">
      <c r="A16" t="n">
        <v>2033</v>
      </c>
      <c r="B16" s="5" t="n">
        <v>7.2</v>
      </c>
      <c r="C16" s="5">
        <f>C15*(1+B16/100)</f>
        <v/>
      </c>
      <c r="D16" s="5">
        <f>D15*1.085</f>
        <v/>
      </c>
      <c r="E16" s="5">
        <f>C16*2.746</f>
        <v/>
      </c>
    </row>
    <row r="17">
      <c r="A17" t="n">
        <v>2034</v>
      </c>
      <c r="B17" s="5" t="n">
        <v>7.2</v>
      </c>
      <c r="C17" s="5">
        <f>C16*(1+B17/100)</f>
        <v/>
      </c>
      <c r="D17" s="5">
        <f>D16*1.085</f>
        <v/>
      </c>
      <c r="E17" s="5">
        <f>C17*2.746</f>
        <v/>
      </c>
    </row>
    <row r="18">
      <c r="A18" t="n">
        <v>2035</v>
      </c>
      <c r="B18" s="5" t="n">
        <v>7.2</v>
      </c>
      <c r="C18" s="5">
        <f>C17*(1+B18/100)</f>
        <v/>
      </c>
      <c r="D18" s="5">
        <f>D17*1.085</f>
        <v/>
      </c>
      <c r="E18" s="5">
        <f>C18*2.746</f>
        <v/>
      </c>
    </row>
    <row r="19">
      <c r="A19" t="n">
        <v>2036</v>
      </c>
      <c r="B19" s="5" t="n">
        <v>7.2</v>
      </c>
      <c r="C19" s="5">
        <f>C18*(1+B19/100)</f>
        <v/>
      </c>
      <c r="D19" s="5">
        <f>D18*1.085</f>
        <v/>
      </c>
      <c r="E19" s="5">
        <f>C19*2.746</f>
        <v/>
      </c>
    </row>
    <row r="20">
      <c r="A20" t="n">
        <v>2037</v>
      </c>
      <c r="B20" s="5" t="n">
        <v>7.2</v>
      </c>
      <c r="C20" s="5">
        <f>C19*(1+B20/100)</f>
        <v/>
      </c>
      <c r="D20" s="5">
        <f>D19*1.085</f>
        <v/>
      </c>
      <c r="E20" s="5">
        <f>C20*2.746</f>
        <v/>
      </c>
    </row>
    <row r="21">
      <c r="A21" t="n">
        <v>2038</v>
      </c>
      <c r="B21" s="5" t="n">
        <v>7.2</v>
      </c>
      <c r="C21" s="5">
        <f>C20*(1+B21/100)</f>
        <v/>
      </c>
      <c r="D21" s="5">
        <f>D20*1.085</f>
        <v/>
      </c>
      <c r="E21" s="5">
        <f>C21*2.746</f>
        <v/>
      </c>
    </row>
    <row r="22">
      <c r="A22" t="n">
        <v>2039</v>
      </c>
      <c r="B22" s="5" t="n">
        <v>7.2</v>
      </c>
      <c r="C22" s="5">
        <f>C21*(1+B22/100)</f>
        <v/>
      </c>
      <c r="D22" s="5">
        <f>D21*1.085</f>
        <v/>
      </c>
      <c r="E22" s="5">
        <f>C22*2.746</f>
        <v/>
      </c>
    </row>
    <row r="23">
      <c r="A23" t="n">
        <v>2040</v>
      </c>
      <c r="B23" s="5" t="n">
        <v>7.2</v>
      </c>
      <c r="C23" s="5">
        <f>C22*(1+B23/100)</f>
        <v/>
      </c>
      <c r="D23" s="5">
        <f>D22*1.085</f>
        <v/>
      </c>
      <c r="E23" s="5">
        <f>C23*2.746</f>
        <v/>
      </c>
    </row>
    <row r="24">
      <c r="A24" t="n">
        <v>2041</v>
      </c>
      <c r="B24" s="5" t="n">
        <v>7.2</v>
      </c>
      <c r="C24" s="5">
        <f>C23*(1+B24/100)</f>
        <v/>
      </c>
      <c r="D24" s="5">
        <f>D23*1.085</f>
        <v/>
      </c>
      <c r="E24" s="5">
        <f>C24*2.746</f>
        <v/>
      </c>
    </row>
    <row r="25">
      <c r="A25" t="n">
        <v>2042</v>
      </c>
      <c r="B25" s="5" t="n">
        <v>7.2</v>
      </c>
      <c r="C25" s="5">
        <f>C24*(1+B25/100)</f>
        <v/>
      </c>
      <c r="D25" s="5">
        <f>D24*1.085</f>
        <v/>
      </c>
      <c r="E25" s="5">
        <f>C25*2.746</f>
        <v/>
      </c>
    </row>
    <row r="26">
      <c r="A26" t="n">
        <v>2043</v>
      </c>
      <c r="B26" s="5" t="n">
        <v>7.2</v>
      </c>
      <c r="C26" s="5">
        <f>C25*(1+B26/100)</f>
        <v/>
      </c>
      <c r="D26" s="5">
        <f>D25*1.085</f>
        <v/>
      </c>
      <c r="E26" s="5">
        <f>C26*2.746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Accounts - Investment Shock Analysis (Demand Side)</t>
        </is>
      </c>
    </row>
    <row r="2"/>
    <row r="3">
      <c r="A3" s="3" t="inlineStr">
        <is>
          <t>SCENARIO 1: Base Case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Base</t>
        </is>
      </c>
      <c r="D4" s="2" t="inlineStr">
        <is>
          <t>Assumption</t>
        </is>
      </c>
      <c r="E4" s="2" t="n">
        <v>2026</v>
      </c>
      <c r="F4" s="2" t="n">
        <v>2027</v>
      </c>
      <c r="G4" s="2" t="n">
        <v>2028</v>
      </c>
      <c r="H4" s="2" t="n">
        <v>2029</v>
      </c>
      <c r="I4" s="2" t="n">
        <v>2030</v>
      </c>
      <c r="J4" s="2" t="n">
        <v>2031</v>
      </c>
      <c r="K4" s="2" t="n">
        <v>2032</v>
      </c>
      <c r="L4" s="2" t="n">
        <v>2033</v>
      </c>
    </row>
    <row r="5"/>
    <row r="6"/>
    <row r="7"/>
    <row r="8"/>
    <row r="9"/>
    <row r="10">
      <c r="A10" t="inlineStr">
        <is>
          <t>Investment (USD mn)</t>
        </is>
      </c>
      <c r="B10" t="inlineStr">
        <is>
          <t>USD mn</t>
        </is>
      </c>
      <c r="C10" t="inlineStr">
        <is>
          <t>Base</t>
        </is>
      </c>
    </row>
    <row r="11">
      <c r="A11" t="inlineStr">
        <is>
          <t>Investment (GEL mn)</t>
        </is>
      </c>
      <c r="B11" t="inlineStr">
        <is>
          <t>GEL mn</t>
        </is>
      </c>
    </row>
    <row r="12">
      <c r="A12" t="inlineStr">
        <is>
          <t>GDP Deflator</t>
        </is>
      </c>
      <c r="B12" t="inlineStr">
        <is>
          <t>%</t>
        </is>
      </c>
    </row>
    <row r="13">
      <c r="A13" t="inlineStr">
        <is>
          <t>Demand Multiplier</t>
        </is>
      </c>
      <c r="B13" t="inlineStr">
        <is>
          <t>ratio</t>
        </is>
      </c>
      <c r="D13" t="n">
        <v>0.8</v>
      </c>
    </row>
    <row r="14">
      <c r="A14" t="inlineStr">
        <is>
          <t>Import Content Share</t>
        </is>
      </c>
      <c r="B14" t="inlineStr">
        <is>
          <t>%</t>
        </is>
      </c>
    </row>
    <row r="15"/>
    <row r="16">
      <c r="A16" t="inlineStr">
        <is>
          <t>Additional Demand (GEL mn)</t>
        </is>
      </c>
      <c r="B16" t="inlineStr">
        <is>
          <t>GEL mn</t>
        </is>
      </c>
    </row>
    <row r="17">
      <c r="A17" t="inlineStr">
        <is>
          <t>Domestic Demand (GEL mn)</t>
        </is>
      </c>
      <c r="B17" t="inlineStr">
        <is>
          <t>GEL mn</t>
        </is>
      </c>
    </row>
    <row r="18">
      <c r="A18" t="inlineStr">
        <is>
          <t>Imports (GEL mn)</t>
        </is>
      </c>
      <c r="B18" t="inlineStr">
        <is>
          <t>GEL mn</t>
        </is>
      </c>
    </row>
    <row r="19">
      <c r="A19" t="inlineStr">
        <is>
          <t>Additional GDP (GEL mn)</t>
        </is>
      </c>
      <c r="B19" t="inlineStr">
        <is>
          <t>GEL mn</t>
        </is>
      </c>
    </row>
    <row r="20">
      <c r="A20" t="inlineStr">
        <is>
          <t>Additional GDP (USD mn)</t>
        </is>
      </c>
      <c r="B20" t="inlineStr">
        <is>
          <t>USD mn</t>
        </is>
      </c>
    </row>
    <row r="21"/>
    <row r="22">
      <c r="A22" t="inlineStr">
        <is>
          <t>Investment Allocation %</t>
        </is>
      </c>
      <c r="B22" t="inlineStr">
        <is>
          <t>%</t>
        </is>
      </c>
    </row>
    <row r="23"/>
    <row r="24"/>
    <row r="25"/>
    <row r="26"/>
    <row r="27"/>
    <row r="28"/>
    <row r="29">
      <c r="A29" s="2" t="inlineStr">
        <is>
          <t>ASSUMPTIONS - Scenario 1</t>
        </is>
      </c>
    </row>
    <row r="30">
      <c r="A30" t="inlineStr">
        <is>
          <t>Lari/USD Exchange Rate</t>
        </is>
      </c>
      <c r="B30" t="inlineStr">
        <is>
          <t>ratio</t>
        </is>
      </c>
      <c r="D30" t="n">
        <v>2.746</v>
      </c>
    </row>
    <row r="31">
      <c r="A31" t="inlineStr">
        <is>
          <t>Demand Multiplier</t>
        </is>
      </c>
      <c r="B31" t="inlineStr">
        <is>
          <t>ratio</t>
        </is>
      </c>
      <c r="D31" t="n">
        <v>0.8</v>
      </c>
    </row>
    <row r="32">
      <c r="A32" t="inlineStr">
        <is>
          <t>Import Content Share</t>
        </is>
      </c>
      <c r="B32" t="inlineStr">
        <is>
          <t>%</t>
        </is>
      </c>
      <c r="D32">
        <f>SUT_Calc!C46</f>
        <v/>
      </c>
    </row>
    <row r="33">
      <c r="A33" t="inlineStr">
        <is>
          <t>Project Allocation</t>
        </is>
      </c>
      <c r="B33" t="inlineStr">
        <is>
          <t>type</t>
        </is>
      </c>
      <c r="D33" t="inlineStr">
        <is>
          <t>Bell shape</t>
        </is>
      </c>
    </row>
    <row r="34"/>
    <row r="35">
      <c r="A35" s="3" t="inlineStr">
        <is>
          <t>INVESTMENT SHOCK ANALYSIS</t>
        </is>
      </c>
    </row>
    <row r="36">
      <c r="A36" t="inlineStr">
        <is>
          <t>Item</t>
        </is>
      </c>
      <c r="B36" t="inlineStr">
        <is>
          <t>Unit</t>
        </is>
      </c>
      <c r="C36" s="6" t="n">
        <v>2026</v>
      </c>
      <c r="D36" s="6" t="n">
        <v>2027</v>
      </c>
      <c r="E36" s="6" t="n">
        <v>2028</v>
      </c>
      <c r="F36" s="6" t="n">
        <v>2029</v>
      </c>
      <c r="G36" s="6" t="n">
        <v>2030</v>
      </c>
      <c r="H36" s="6" t="n">
        <v>2031</v>
      </c>
      <c r="I36" s="6" t="n">
        <v>2032</v>
      </c>
      <c r="J36" s="6" t="n">
        <v>2033</v>
      </c>
    </row>
    <row r="37">
      <c r="A37" s="2" t="inlineStr">
        <is>
          <t>Investment (USD mn)</t>
        </is>
      </c>
      <c r="B37" t="inlineStr">
        <is>
          <t>USD mn</t>
        </is>
      </c>
      <c r="C37" s="5" t="n">
        <v>325</v>
      </c>
      <c r="D37" s="5" t="n">
        <v>650</v>
      </c>
      <c r="E37" s="5" t="n">
        <v>975</v>
      </c>
      <c r="F37" s="5" t="n">
        <v>1300</v>
      </c>
      <c r="G37" s="5" t="n">
        <v>1300</v>
      </c>
      <c r="H37" s="5" t="n">
        <v>975</v>
      </c>
      <c r="I37" s="5" t="n">
        <v>650</v>
      </c>
      <c r="J37" s="5" t="n">
        <v>325</v>
      </c>
    </row>
    <row r="38">
      <c r="A38" s="2" t="inlineStr">
        <is>
          <t>Investment (GEL mn)</t>
        </is>
      </c>
      <c r="B38" t="inlineStr">
        <is>
          <t>GEL mn</t>
        </is>
      </c>
      <c r="C38" s="5">
        <f>C37*$D$30</f>
        <v/>
      </c>
      <c r="D38" s="5">
        <f>D37*$D$30</f>
        <v/>
      </c>
      <c r="E38" s="5">
        <f>E37*$D$30</f>
        <v/>
      </c>
      <c r="F38" s="5">
        <f>F37*$D$30</f>
        <v/>
      </c>
      <c r="G38" s="5">
        <f>G37*$D$30</f>
        <v/>
      </c>
      <c r="H38" s="5">
        <f>H37*$D$30</f>
        <v/>
      </c>
      <c r="I38" s="5">
        <f>I37*$D$30</f>
        <v/>
      </c>
      <c r="J38" s="5">
        <f>J37*$D$30</f>
        <v/>
      </c>
    </row>
    <row r="39">
      <c r="A39" s="2" t="inlineStr">
        <is>
          <t>GDP Deflator (%)</t>
        </is>
      </c>
      <c r="B39" t="inlineStr">
        <is>
          <t>%</t>
        </is>
      </c>
      <c r="C39" s="5">
        <f>WEO_Data!D9</f>
        <v/>
      </c>
      <c r="D39" s="5">
        <f>WEO_Data!D10</f>
        <v/>
      </c>
      <c r="E39" s="5">
        <f>WEO_Data!D11</f>
        <v/>
      </c>
      <c r="F39" s="5">
        <f>WEO_Data!D12</f>
        <v/>
      </c>
      <c r="G39" s="5">
        <f>WEO_Data!D13</f>
        <v/>
      </c>
      <c r="H39" s="5">
        <f>WEO_Data!D14</f>
        <v/>
      </c>
      <c r="I39" s="5">
        <f>WEO_Data!D15</f>
        <v/>
      </c>
      <c r="J39" s="5">
        <f>WEO_Data!D16</f>
        <v/>
      </c>
    </row>
    <row r="40">
      <c r="A40" s="2" t="inlineStr">
        <is>
          <t>Real GDP Growth (%)</t>
        </is>
      </c>
      <c r="B40" t="inlineStr">
        <is>
          <t>%</t>
        </is>
      </c>
      <c r="C40" s="5">
        <f>WEO_Data!B9</f>
        <v/>
      </c>
      <c r="D40" s="5">
        <f>WEO_Data!B10</f>
        <v/>
      </c>
      <c r="E40" s="5">
        <f>WEO_Data!B11</f>
        <v/>
      </c>
      <c r="F40" s="5">
        <f>WEO_Data!B12</f>
        <v/>
      </c>
      <c r="G40" s="5">
        <f>WEO_Data!B13</f>
        <v/>
      </c>
      <c r="H40" s="5">
        <f>WEO_Data!B14</f>
        <v/>
      </c>
      <c r="I40" s="5">
        <f>WEO_Data!B15</f>
        <v/>
      </c>
      <c r="J40" s="5">
        <f>WEO_Data!B16</f>
        <v/>
      </c>
    </row>
    <row r="41">
      <c r="A41" s="2" t="inlineStr">
        <is>
          <t>Demand Multiplier</t>
        </is>
      </c>
      <c r="B41" t="inlineStr">
        <is>
          <t>ratio</t>
        </is>
      </c>
      <c r="C41" s="5">
        <f>$D$31</f>
        <v/>
      </c>
      <c r="D41" s="5">
        <f>$D$31</f>
        <v/>
      </c>
      <c r="E41" s="5">
        <f>$D$31</f>
        <v/>
      </c>
      <c r="F41" s="5">
        <f>$D$31</f>
        <v/>
      </c>
      <c r="G41" s="5">
        <f>$D$31</f>
        <v/>
      </c>
      <c r="H41" s="5">
        <f>$D$31</f>
        <v/>
      </c>
      <c r="I41" s="5">
        <f>$D$31</f>
        <v/>
      </c>
      <c r="J41" s="5">
        <f>$D$31</f>
        <v/>
      </c>
    </row>
    <row r="42">
      <c r="A42" s="2" t="inlineStr">
        <is>
          <t>Import Content Share (%)</t>
        </is>
      </c>
      <c r="B42" t="inlineStr">
        <is>
          <t>%</t>
        </is>
      </c>
      <c r="C42">
        <f>$D$32</f>
        <v/>
      </c>
      <c r="D42">
        <f>$D$32</f>
        <v/>
      </c>
      <c r="E42">
        <f>$D$32</f>
        <v/>
      </c>
      <c r="F42">
        <f>$D$32</f>
        <v/>
      </c>
      <c r="G42">
        <f>$D$32</f>
        <v/>
      </c>
      <c r="H42">
        <f>$D$32</f>
        <v/>
      </c>
      <c r="I42">
        <f>$D$32</f>
        <v/>
      </c>
      <c r="J42">
        <f>$D$32</f>
        <v/>
      </c>
    </row>
    <row r="43"/>
    <row r="44">
      <c r="A44" s="2" t="inlineStr">
        <is>
          <t>Additional Demand (GEL mn)</t>
        </is>
      </c>
      <c r="B44" t="inlineStr">
        <is>
          <t>GEL mn</t>
        </is>
      </c>
      <c r="C44" s="5">
        <f>C39*C43</f>
        <v/>
      </c>
      <c r="D44" s="5">
        <f>D39*D43</f>
        <v/>
      </c>
      <c r="E44" s="5">
        <f>E39*E43</f>
        <v/>
      </c>
      <c r="F44" s="5">
        <f>F39*F43</f>
        <v/>
      </c>
      <c r="G44" s="5">
        <f>G39*G43</f>
        <v/>
      </c>
      <c r="H44" s="5">
        <f>H39*H43</f>
        <v/>
      </c>
      <c r="I44" s="5">
        <f>I39*I43</f>
        <v/>
      </c>
      <c r="J44" s="5">
        <f>J39*J43</f>
        <v/>
      </c>
    </row>
    <row r="45">
      <c r="A45" s="2" t="inlineStr">
        <is>
          <t>Domestic Supply (GEL mn)</t>
        </is>
      </c>
      <c r="B45" t="inlineStr">
        <is>
          <t>GEL mn</t>
        </is>
      </c>
      <c r="C45" s="5">
        <f>C44*(1-C43/100)</f>
        <v/>
      </c>
      <c r="D45" s="5">
        <f>D44*(1-D43/100)</f>
        <v/>
      </c>
      <c r="E45" s="5">
        <f>E44*(1-E43/100)</f>
        <v/>
      </c>
      <c r="F45" s="5">
        <f>F44*(1-F43/100)</f>
        <v/>
      </c>
      <c r="G45" s="5">
        <f>G44*(1-G43/100)</f>
        <v/>
      </c>
      <c r="H45" s="5">
        <f>H44*(1-H43/100)</f>
        <v/>
      </c>
      <c r="I45" s="5">
        <f>I44*(1-I43/100)</f>
        <v/>
      </c>
      <c r="J45" s="5">
        <f>J44*(1-J43/100)</f>
        <v/>
      </c>
    </row>
    <row r="46">
      <c r="A46" s="2" t="inlineStr">
        <is>
          <t>Imports (GEL mn)</t>
        </is>
      </c>
      <c r="B46" t="inlineStr">
        <is>
          <t>GEL mn</t>
        </is>
      </c>
      <c r="C46" s="5">
        <f>C44*C43/100</f>
        <v/>
      </c>
      <c r="D46" s="5">
        <f>D44*D43/100</f>
        <v/>
      </c>
      <c r="E46" s="5">
        <f>E44*E43/100</f>
        <v/>
      </c>
      <c r="F46" s="5">
        <f>F44*F43/100</f>
        <v/>
      </c>
      <c r="G46" s="5">
        <f>G44*G43/100</f>
        <v/>
      </c>
      <c r="H46" s="5">
        <f>H44*H43/100</f>
        <v/>
      </c>
      <c r="I46" s="5">
        <f>I44*I43/100</f>
        <v/>
      </c>
      <c r="J46" s="5">
        <f>J44*J43/100</f>
        <v/>
      </c>
    </row>
    <row r="47">
      <c r="A47" s="2" t="inlineStr">
        <is>
          <t>Additional GDP (GEL mn)</t>
        </is>
      </c>
      <c r="B47" t="inlineStr">
        <is>
          <t>GEL mn</t>
        </is>
      </c>
      <c r="C47" s="5">
        <f>C46</f>
        <v/>
      </c>
      <c r="D47" s="5">
        <f>D46</f>
        <v/>
      </c>
      <c r="E47" s="5">
        <f>E46</f>
        <v/>
      </c>
      <c r="F47" s="5">
        <f>F46</f>
        <v/>
      </c>
      <c r="G47" s="5">
        <f>G46</f>
        <v/>
      </c>
      <c r="H47" s="5">
        <f>H46</f>
        <v/>
      </c>
      <c r="I47" s="5">
        <f>I46</f>
        <v/>
      </c>
      <c r="J47" s="5">
        <f>J46</f>
        <v/>
      </c>
    </row>
    <row r="48">
      <c r="A48" s="2" t="inlineStr">
        <is>
          <t>Additional GDP (USD mn)</t>
        </is>
      </c>
      <c r="B48" t="inlineStr">
        <is>
          <t>USD mn</t>
        </is>
      </c>
      <c r="C48" s="5">
        <f>C47/$D$30</f>
        <v/>
      </c>
      <c r="D48" s="5">
        <f>D47/$D$30</f>
        <v/>
      </c>
      <c r="E48" s="5">
        <f>E47/$D$30</f>
        <v/>
      </c>
      <c r="F48" s="5">
        <f>F47/$D$30</f>
        <v/>
      </c>
      <c r="G48" s="5">
        <f>G47/$D$30</f>
        <v/>
      </c>
      <c r="H48" s="5">
        <f>H47/$D$30</f>
        <v/>
      </c>
      <c r="I48" s="5">
        <f>I47/$D$30</f>
        <v/>
      </c>
      <c r="J48" s="5">
        <f>J47/$D$30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 and Use Table Analysis</t>
        </is>
      </c>
    </row>
    <row r="2">
      <c r="A2" s="7" t="inlineStr">
        <is>
          <t>Instructions: Copy SUPPLY and USE sheets (38x38) from Geostat into this workbook, keeping original names</t>
        </is>
      </c>
    </row>
    <row r="4">
      <c r="A4" s="2" t="inlineStr">
        <is>
          <t>SUT Analysis Summary</t>
        </is>
      </c>
    </row>
    <row r="5">
      <c r="A5" s="8" t="inlineStr">
        <is>
          <t>Product/Industry Code</t>
        </is>
      </c>
      <c r="B5" s="8" t="inlineStr">
        <is>
          <t>Supply (GEL mn)</t>
        </is>
      </c>
      <c r="C5" s="8" t="inlineStr">
        <is>
          <t>Use (GEL mn)</t>
        </is>
      </c>
      <c r="D5" s="8" t="inlineStr">
        <is>
          <t>Imports (GEL mn)</t>
        </is>
      </c>
      <c r="E5" s="8" t="inlineStr">
        <is>
          <t>Total Input (GEL mn)</t>
        </is>
      </c>
      <c r="F5" s="8" t="inlineStr">
        <is>
          <t>Import Share (%)</t>
        </is>
      </c>
      <c r="G5" s="8" t="inlineStr">
        <is>
          <t>Notes</t>
        </is>
      </c>
    </row>
    <row r="6">
      <c r="A6" t="inlineStr">
        <is>
          <t>Product_01</t>
        </is>
      </c>
    </row>
    <row r="7">
      <c r="A7" t="inlineStr">
        <is>
          <t>Product_02</t>
        </is>
      </c>
    </row>
    <row r="8">
      <c r="A8" t="inlineStr">
        <is>
          <t>Product_03</t>
        </is>
      </c>
    </row>
    <row r="9">
      <c r="A9" t="inlineStr">
        <is>
          <t>Product_04</t>
        </is>
      </c>
    </row>
    <row r="10">
      <c r="A10" t="inlineStr">
        <is>
          <t>Product_05</t>
        </is>
      </c>
    </row>
    <row r="11">
      <c r="A11" t="inlineStr">
        <is>
          <t>Product_06</t>
        </is>
      </c>
    </row>
    <row r="12">
      <c r="A12" t="inlineStr">
        <is>
          <t>Product_07</t>
        </is>
      </c>
    </row>
    <row r="13">
      <c r="A13" t="inlineStr">
        <is>
          <t>Product_08</t>
        </is>
      </c>
    </row>
    <row r="14">
      <c r="A14" t="inlineStr">
        <is>
          <t>Product_09</t>
        </is>
      </c>
    </row>
    <row r="15">
      <c r="A15" t="inlineStr">
        <is>
          <t>Product_10</t>
        </is>
      </c>
    </row>
    <row r="16">
      <c r="A16" t="inlineStr">
        <is>
          <t>Product_11</t>
        </is>
      </c>
    </row>
    <row r="17">
      <c r="A17" t="inlineStr">
        <is>
          <t>Product_12</t>
        </is>
      </c>
    </row>
    <row r="18">
      <c r="A18" t="inlineStr">
        <is>
          <t>Product_13</t>
        </is>
      </c>
    </row>
    <row r="19">
      <c r="A19" t="inlineStr">
        <is>
          <t>Product_14</t>
        </is>
      </c>
    </row>
    <row r="20">
      <c r="A20" t="inlineStr">
        <is>
          <t>Product_15</t>
        </is>
      </c>
    </row>
    <row r="21">
      <c r="A21" t="inlineStr">
        <is>
          <t>Product_16</t>
        </is>
      </c>
    </row>
    <row r="22">
      <c r="A22" t="inlineStr">
        <is>
          <t>Product_17</t>
        </is>
      </c>
    </row>
    <row r="23">
      <c r="A23" t="inlineStr">
        <is>
          <t>Product_18</t>
        </is>
      </c>
    </row>
    <row r="24">
      <c r="A24" t="inlineStr">
        <is>
          <t>Product_19</t>
        </is>
      </c>
    </row>
    <row r="25">
      <c r="A25" t="inlineStr">
        <is>
          <t>Product_20</t>
        </is>
      </c>
    </row>
    <row r="26">
      <c r="A26" t="inlineStr">
        <is>
          <t>Product_21</t>
        </is>
      </c>
    </row>
    <row r="27">
      <c r="A27" t="inlineStr">
        <is>
          <t>Product_22</t>
        </is>
      </c>
    </row>
    <row r="28">
      <c r="A28" t="inlineStr">
        <is>
          <t>Product_23</t>
        </is>
      </c>
    </row>
    <row r="29">
      <c r="A29" t="inlineStr">
        <is>
          <t>Product_24</t>
        </is>
      </c>
    </row>
    <row r="30">
      <c r="A30" t="inlineStr">
        <is>
          <t>Product_25</t>
        </is>
      </c>
    </row>
    <row r="31">
      <c r="A31" t="inlineStr">
        <is>
          <t>Product_26</t>
        </is>
      </c>
    </row>
    <row r="32">
      <c r="A32" t="inlineStr">
        <is>
          <t>Product_27</t>
        </is>
      </c>
    </row>
    <row r="33">
      <c r="A33" t="inlineStr">
        <is>
          <t>Product_28</t>
        </is>
      </c>
    </row>
    <row r="34">
      <c r="A34" t="inlineStr">
        <is>
          <t>Product_29</t>
        </is>
      </c>
    </row>
    <row r="35">
      <c r="A35" t="inlineStr">
        <is>
          <t>Product_30</t>
        </is>
      </c>
    </row>
    <row r="36">
      <c r="A36" t="inlineStr">
        <is>
          <t>Product_31</t>
        </is>
      </c>
    </row>
    <row r="37">
      <c r="A37" t="inlineStr">
        <is>
          <t>Product_32</t>
        </is>
      </c>
    </row>
    <row r="38">
      <c r="A38" t="inlineStr">
        <is>
          <t>Product_33</t>
        </is>
      </c>
    </row>
    <row r="39">
      <c r="A39" t="inlineStr">
        <is>
          <t>Product_34</t>
        </is>
      </c>
    </row>
    <row r="40">
      <c r="A40" t="inlineStr">
        <is>
          <t>Product_35</t>
        </is>
      </c>
    </row>
    <row r="41">
      <c r="A41" t="inlineStr">
        <is>
          <t>Product_36</t>
        </is>
      </c>
    </row>
    <row r="42">
      <c r="A42" t="inlineStr">
        <is>
          <t>Product_37</t>
        </is>
      </c>
    </row>
    <row r="43">
      <c r="A43" t="inlineStr">
        <is>
          <t>Product_38</t>
        </is>
      </c>
    </row>
    <row r="44">
      <c r="A44" s="2" t="inlineStr">
        <is>
          <t>TOTAL</t>
        </is>
      </c>
      <c r="B44">
        <f>SUM(B6:B43)</f>
        <v/>
      </c>
      <c r="C44">
        <f>SUM(C6:C43)</f>
        <v/>
      </c>
      <c r="D44">
        <f>SUM(D6:D43)</f>
        <v/>
      </c>
      <c r="E44">
        <f>C44+D44</f>
        <v/>
      </c>
      <c r="F44">
        <f>IF(E44=0,0,D44/E44)</f>
        <v/>
      </c>
    </row>
    <row r="46">
      <c r="A46" s="2" t="inlineStr">
        <is>
          <t>Overall Import Content Share (%)</t>
        </is>
      </c>
      <c r="C46" s="5">
        <f>F44*100</f>
        <v/>
      </c>
      <c r="D46" s="7" t="inlineStr">
        <is>
          <t>This value should be linked to NA sheet parameter D32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Accounts - Investment Shock Analysis (Demand Side)</t>
        </is>
      </c>
    </row>
    <row r="2"/>
    <row r="3">
      <c r="A3" s="3" t="inlineStr">
        <is>
          <t>SCENARIO 1: Base Case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Base</t>
        </is>
      </c>
      <c r="D4" s="2" t="inlineStr">
        <is>
          <t>Assumption</t>
        </is>
      </c>
      <c r="E4" s="2" t="n">
        <v>2026</v>
      </c>
      <c r="F4" s="2" t="n">
        <v>2027</v>
      </c>
      <c r="G4" s="2" t="n">
        <v>2028</v>
      </c>
      <c r="H4" s="2" t="n">
        <v>2029</v>
      </c>
      <c r="I4" s="2" t="n">
        <v>2030</v>
      </c>
      <c r="J4" s="2" t="n">
        <v>2031</v>
      </c>
      <c r="K4" s="2" t="n">
        <v>2032</v>
      </c>
      <c r="L4" s="2" t="n">
        <v>2033</v>
      </c>
    </row>
    <row r="5"/>
    <row r="6"/>
    <row r="7"/>
    <row r="8"/>
    <row r="9"/>
    <row r="10">
      <c r="A10" t="inlineStr">
        <is>
          <t>Investment (USD mn)</t>
        </is>
      </c>
      <c r="B10" t="inlineStr">
        <is>
          <t>USD mn</t>
        </is>
      </c>
      <c r="C10" t="inlineStr">
        <is>
          <t>Base</t>
        </is>
      </c>
    </row>
    <row r="11">
      <c r="A11" t="inlineStr">
        <is>
          <t>Investment (GEL mn)</t>
        </is>
      </c>
      <c r="B11" t="inlineStr">
        <is>
          <t>GEL mn</t>
        </is>
      </c>
    </row>
    <row r="12">
      <c r="A12" t="inlineStr">
        <is>
          <t>GDP Deflator</t>
        </is>
      </c>
      <c r="B12" t="inlineStr">
        <is>
          <t>%</t>
        </is>
      </c>
    </row>
    <row r="13">
      <c r="A13" t="inlineStr">
        <is>
          <t>Demand Multiplier</t>
        </is>
      </c>
      <c r="B13" t="inlineStr">
        <is>
          <t>ratio</t>
        </is>
      </c>
      <c r="D13" t="n">
        <v>0.8</v>
      </c>
    </row>
    <row r="14">
      <c r="A14" t="inlineStr">
        <is>
          <t>Import Content Share</t>
        </is>
      </c>
      <c r="B14" t="inlineStr">
        <is>
          <t>%</t>
        </is>
      </c>
    </row>
    <row r="15"/>
    <row r="16">
      <c r="A16" t="inlineStr">
        <is>
          <t>Additional Demand (GEL mn)</t>
        </is>
      </c>
      <c r="B16" t="inlineStr">
        <is>
          <t>GEL mn</t>
        </is>
      </c>
    </row>
    <row r="17">
      <c r="A17" t="inlineStr">
        <is>
          <t>Domestic Demand (GEL mn)</t>
        </is>
      </c>
      <c r="B17" t="inlineStr">
        <is>
          <t>GEL mn</t>
        </is>
      </c>
    </row>
    <row r="18">
      <c r="A18" t="inlineStr">
        <is>
          <t>Imports (GEL mn)</t>
        </is>
      </c>
      <c r="B18" t="inlineStr">
        <is>
          <t>GEL mn</t>
        </is>
      </c>
    </row>
    <row r="19">
      <c r="A19" t="inlineStr">
        <is>
          <t>Additional GDP (GEL mn)</t>
        </is>
      </c>
      <c r="B19" t="inlineStr">
        <is>
          <t>GEL mn</t>
        </is>
      </c>
    </row>
    <row r="20">
      <c r="A20" t="inlineStr">
        <is>
          <t>Additional GDP (USD mn)</t>
        </is>
      </c>
      <c r="B20" t="inlineStr">
        <is>
          <t>USD mn</t>
        </is>
      </c>
    </row>
    <row r="21"/>
    <row r="22">
      <c r="A22" t="inlineStr">
        <is>
          <t>Investment Allocation %</t>
        </is>
      </c>
      <c r="B22" t="inlineStr">
        <is>
          <t>%</t>
        </is>
      </c>
    </row>
    <row r="23"/>
    <row r="24"/>
    <row r="25"/>
    <row r="26"/>
    <row r="27"/>
    <row r="28"/>
    <row r="29">
      <c r="A29" s="2" t="inlineStr">
        <is>
          <t>ASSUMPTIONS - Scenario 2</t>
        </is>
      </c>
    </row>
    <row r="30">
      <c r="A30" t="inlineStr">
        <is>
          <t>Lari/USD Exchange Rate</t>
        </is>
      </c>
      <c r="B30" t="inlineStr">
        <is>
          <t>ratio</t>
        </is>
      </c>
      <c r="D30" t="n">
        <v>2.746</v>
      </c>
    </row>
    <row r="31">
      <c r="A31" t="inlineStr">
        <is>
          <t>Demand Multiplier</t>
        </is>
      </c>
      <c r="B31" t="inlineStr">
        <is>
          <t>ratio</t>
        </is>
      </c>
      <c r="D31" t="n">
        <v>1</v>
      </c>
    </row>
    <row r="32">
      <c r="A32" t="inlineStr">
        <is>
          <t>Import Content Share</t>
        </is>
      </c>
      <c r="B32" t="inlineStr">
        <is>
          <t>%</t>
        </is>
      </c>
      <c r="D32">
        <f>SUT_Calc!C46</f>
        <v/>
      </c>
    </row>
    <row r="33">
      <c r="A33" t="inlineStr">
        <is>
          <t>Project Allocation</t>
        </is>
      </c>
      <c r="B33" t="inlineStr">
        <is>
          <t>type</t>
        </is>
      </c>
      <c r="D33" t="inlineStr">
        <is>
          <t>Bell shape</t>
        </is>
      </c>
    </row>
    <row r="34"/>
    <row r="35">
      <c r="A35" s="3" t="inlineStr">
        <is>
          <t>INVESTMENT SHOCK ANALYSIS - Scenario 2: Higher Demand Multiplier</t>
        </is>
      </c>
    </row>
    <row r="36">
      <c r="A36" t="inlineStr">
        <is>
          <t>Item</t>
        </is>
      </c>
      <c r="B36" t="inlineStr">
        <is>
          <t>Unit</t>
        </is>
      </c>
      <c r="C36" s="6" t="n">
        <v>2026</v>
      </c>
      <c r="D36" s="6" t="n">
        <v>2027</v>
      </c>
      <c r="E36" s="6" t="n">
        <v>2028</v>
      </c>
      <c r="F36" s="6" t="n">
        <v>2029</v>
      </c>
      <c r="G36" s="6" t="n">
        <v>2030</v>
      </c>
      <c r="H36" s="6" t="n">
        <v>2031</v>
      </c>
      <c r="I36" s="6" t="n">
        <v>2032</v>
      </c>
      <c r="J36" s="6" t="n">
        <v>2033</v>
      </c>
    </row>
    <row r="37">
      <c r="A37" s="2" t="inlineStr">
        <is>
          <t>Investment (USD mn)</t>
        </is>
      </c>
      <c r="B37" t="inlineStr">
        <is>
          <t>USD mn</t>
        </is>
      </c>
      <c r="C37" s="5" t="n">
        <v>325</v>
      </c>
      <c r="D37" s="5" t="n">
        <v>650</v>
      </c>
      <c r="E37" s="5" t="n">
        <v>975</v>
      </c>
      <c r="F37" s="5" t="n">
        <v>1300</v>
      </c>
      <c r="G37" s="5" t="n">
        <v>1300</v>
      </c>
      <c r="H37" s="5" t="n">
        <v>975</v>
      </c>
      <c r="I37" s="5" t="n">
        <v>650</v>
      </c>
      <c r="J37" s="5" t="n">
        <v>325</v>
      </c>
    </row>
    <row r="38">
      <c r="A38" s="2" t="inlineStr">
        <is>
          <t>Investment (GEL mn)</t>
        </is>
      </c>
      <c r="B38" t="inlineStr">
        <is>
          <t>GEL mn</t>
        </is>
      </c>
      <c r="C38" s="5">
        <f>C37*$D$30</f>
        <v/>
      </c>
      <c r="D38" s="5">
        <f>D37*$D$30</f>
        <v/>
      </c>
      <c r="E38" s="5">
        <f>E37*$D$30</f>
        <v/>
      </c>
      <c r="F38" s="5">
        <f>F37*$D$30</f>
        <v/>
      </c>
      <c r="G38" s="5">
        <f>G37*$D$30</f>
        <v/>
      </c>
      <c r="H38" s="5">
        <f>H37*$D$30</f>
        <v/>
      </c>
      <c r="I38" s="5">
        <f>I37*$D$30</f>
        <v/>
      </c>
      <c r="J38" s="5">
        <f>J37*$D$30</f>
        <v/>
      </c>
    </row>
    <row r="39">
      <c r="A39" s="2" t="inlineStr">
        <is>
          <t>GDP Deflator (%)</t>
        </is>
      </c>
      <c r="B39" t="inlineStr">
        <is>
          <t>%</t>
        </is>
      </c>
      <c r="C39" s="5">
        <f>WEO_Data!D9</f>
        <v/>
      </c>
      <c r="D39" s="5">
        <f>WEO_Data!D10</f>
        <v/>
      </c>
      <c r="E39" s="5">
        <f>WEO_Data!D11</f>
        <v/>
      </c>
      <c r="F39" s="5">
        <f>WEO_Data!D12</f>
        <v/>
      </c>
      <c r="G39" s="5">
        <f>WEO_Data!D13</f>
        <v/>
      </c>
      <c r="H39" s="5">
        <f>WEO_Data!D14</f>
        <v/>
      </c>
      <c r="I39" s="5">
        <f>WEO_Data!D15</f>
        <v/>
      </c>
      <c r="J39" s="5">
        <f>WEO_Data!D16</f>
        <v/>
      </c>
    </row>
    <row r="40">
      <c r="A40" s="2" t="inlineStr">
        <is>
          <t>Real GDP Growth (%)</t>
        </is>
      </c>
      <c r="B40" t="inlineStr">
        <is>
          <t>%</t>
        </is>
      </c>
      <c r="C40" s="5">
        <f>WEO_Data!B9</f>
        <v/>
      </c>
      <c r="D40" s="5">
        <f>WEO_Data!B10</f>
        <v/>
      </c>
      <c r="E40" s="5">
        <f>WEO_Data!B11</f>
        <v/>
      </c>
      <c r="F40" s="5">
        <f>WEO_Data!B12</f>
        <v/>
      </c>
      <c r="G40" s="5">
        <f>WEO_Data!B13</f>
        <v/>
      </c>
      <c r="H40" s="5">
        <f>WEO_Data!B14</f>
        <v/>
      </c>
      <c r="I40" s="5">
        <f>WEO_Data!B15</f>
        <v/>
      </c>
      <c r="J40" s="5">
        <f>WEO_Data!B16</f>
        <v/>
      </c>
    </row>
    <row r="41">
      <c r="A41" s="2" t="inlineStr">
        <is>
          <t>Demand Multiplier</t>
        </is>
      </c>
      <c r="B41" t="inlineStr">
        <is>
          <t>ratio</t>
        </is>
      </c>
      <c r="C41" s="5">
        <f>$D$31</f>
        <v/>
      </c>
      <c r="D41" s="5">
        <f>$D$31</f>
        <v/>
      </c>
      <c r="E41" s="5">
        <f>$D$31</f>
        <v/>
      </c>
      <c r="F41" s="5">
        <f>$D$31</f>
        <v/>
      </c>
      <c r="G41" s="5">
        <f>$D$31</f>
        <v/>
      </c>
      <c r="H41" s="5">
        <f>$D$31</f>
        <v/>
      </c>
      <c r="I41" s="5">
        <f>$D$31</f>
        <v/>
      </c>
      <c r="J41" s="5">
        <f>$D$31</f>
        <v/>
      </c>
    </row>
    <row r="42">
      <c r="A42" s="2" t="inlineStr">
        <is>
          <t>Import Content Share (%)</t>
        </is>
      </c>
      <c r="B42" t="inlineStr">
        <is>
          <t>%</t>
        </is>
      </c>
      <c r="C42">
        <f>$D$32</f>
        <v/>
      </c>
      <c r="D42">
        <f>$D$32</f>
        <v/>
      </c>
      <c r="E42">
        <f>$D$32</f>
        <v/>
      </c>
      <c r="F42">
        <f>$D$32</f>
        <v/>
      </c>
      <c r="G42">
        <f>$D$32</f>
        <v/>
      </c>
      <c r="H42">
        <f>$D$32</f>
        <v/>
      </c>
      <c r="I42">
        <f>$D$32</f>
        <v/>
      </c>
      <c r="J42">
        <f>$D$32</f>
        <v/>
      </c>
    </row>
    <row r="43"/>
    <row r="44">
      <c r="A44" s="2" t="inlineStr">
        <is>
          <t>Additional Demand (GEL mn)</t>
        </is>
      </c>
      <c r="B44" t="inlineStr">
        <is>
          <t>GEL mn</t>
        </is>
      </c>
      <c r="C44" s="5">
        <f>C39*C43</f>
        <v/>
      </c>
      <c r="D44" s="5">
        <f>D39*D43</f>
        <v/>
      </c>
      <c r="E44" s="5">
        <f>E39*E43</f>
        <v/>
      </c>
      <c r="F44" s="5">
        <f>F39*F43</f>
        <v/>
      </c>
      <c r="G44" s="5">
        <f>G39*G43</f>
        <v/>
      </c>
      <c r="H44" s="5">
        <f>H39*H43</f>
        <v/>
      </c>
      <c r="I44" s="5">
        <f>I39*I43</f>
        <v/>
      </c>
      <c r="J44" s="5">
        <f>J39*J43</f>
        <v/>
      </c>
    </row>
    <row r="45">
      <c r="A45" s="2" t="inlineStr">
        <is>
          <t>Domestic Supply (GEL mn)</t>
        </is>
      </c>
      <c r="B45" t="inlineStr">
        <is>
          <t>GEL mn</t>
        </is>
      </c>
      <c r="C45" s="5">
        <f>C44*(1-C43/100)</f>
        <v/>
      </c>
      <c r="D45" s="5">
        <f>D44*(1-D43/100)</f>
        <v/>
      </c>
      <c r="E45" s="5">
        <f>E44*(1-E43/100)</f>
        <v/>
      </c>
      <c r="F45" s="5">
        <f>F44*(1-F43/100)</f>
        <v/>
      </c>
      <c r="G45" s="5">
        <f>G44*(1-G43/100)</f>
        <v/>
      </c>
      <c r="H45" s="5">
        <f>H44*(1-H43/100)</f>
        <v/>
      </c>
      <c r="I45" s="5">
        <f>I44*(1-I43/100)</f>
        <v/>
      </c>
      <c r="J45" s="5">
        <f>J44*(1-J43/100)</f>
        <v/>
      </c>
    </row>
    <row r="46">
      <c r="A46" s="2" t="inlineStr">
        <is>
          <t>Imports (GEL mn)</t>
        </is>
      </c>
      <c r="B46" t="inlineStr">
        <is>
          <t>GEL mn</t>
        </is>
      </c>
      <c r="C46" s="5">
        <f>C44*C43/100</f>
        <v/>
      </c>
      <c r="D46" s="5">
        <f>D44*D43/100</f>
        <v/>
      </c>
      <c r="E46" s="5">
        <f>E44*E43/100</f>
        <v/>
      </c>
      <c r="F46" s="5">
        <f>F44*F43/100</f>
        <v/>
      </c>
      <c r="G46" s="5">
        <f>G44*G43/100</f>
        <v/>
      </c>
      <c r="H46" s="5">
        <f>H44*H43/100</f>
        <v/>
      </c>
      <c r="I46" s="5">
        <f>I44*I43/100</f>
        <v/>
      </c>
      <c r="J46" s="5">
        <f>J44*J43/100</f>
        <v/>
      </c>
    </row>
    <row r="47">
      <c r="A47" s="2" t="inlineStr">
        <is>
          <t>Additional GDP (GEL mn)</t>
        </is>
      </c>
      <c r="B47" t="inlineStr">
        <is>
          <t>GEL mn</t>
        </is>
      </c>
      <c r="C47" s="5">
        <f>C46</f>
        <v/>
      </c>
      <c r="D47" s="5">
        <f>D46</f>
        <v/>
      </c>
      <c r="E47" s="5">
        <f>E46</f>
        <v/>
      </c>
      <c r="F47" s="5">
        <f>F46</f>
        <v/>
      </c>
      <c r="G47" s="5">
        <f>G46</f>
        <v/>
      </c>
      <c r="H47" s="5">
        <f>H46</f>
        <v/>
      </c>
      <c r="I47" s="5">
        <f>I46</f>
        <v/>
      </c>
      <c r="J47" s="5">
        <f>J46</f>
        <v/>
      </c>
    </row>
    <row r="48">
      <c r="A48" s="2" t="inlineStr">
        <is>
          <t>Additional GDP (USD mn)</t>
        </is>
      </c>
      <c r="B48" t="inlineStr">
        <is>
          <t>USD mn</t>
        </is>
      </c>
      <c r="C48" s="5">
        <f>C47/$D$30</f>
        <v/>
      </c>
      <c r="D48" s="5">
        <f>D47/$D$30</f>
        <v/>
      </c>
      <c r="E48" s="5">
        <f>E47/$D$30</f>
        <v/>
      </c>
      <c r="F48" s="5">
        <f>F47/$D$30</f>
        <v/>
      </c>
      <c r="G48" s="5">
        <f>G47/$D$30</f>
        <v/>
      </c>
      <c r="H48" s="5">
        <f>H47/$D$30</f>
        <v/>
      </c>
      <c r="I48" s="5">
        <f>I47/$D$30</f>
        <v/>
      </c>
      <c r="J48" s="5">
        <f>J47/$D$30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Accounts - Investment Shock Analysis (Demand Side)</t>
        </is>
      </c>
    </row>
    <row r="2"/>
    <row r="3">
      <c r="A3" s="3" t="inlineStr">
        <is>
          <t>SCENARIO 1: Base Case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Base</t>
        </is>
      </c>
      <c r="D4" s="2" t="inlineStr">
        <is>
          <t>Assumption</t>
        </is>
      </c>
      <c r="E4" s="2" t="n">
        <v>2026</v>
      </c>
      <c r="F4" s="2" t="n">
        <v>2027</v>
      </c>
      <c r="G4" s="2" t="n">
        <v>2028</v>
      </c>
      <c r="H4" s="2" t="n">
        <v>2029</v>
      </c>
      <c r="I4" s="2" t="n">
        <v>2030</v>
      </c>
      <c r="J4" s="2" t="n">
        <v>2031</v>
      </c>
      <c r="K4" s="2" t="n">
        <v>2032</v>
      </c>
      <c r="L4" s="2" t="n">
        <v>2033</v>
      </c>
    </row>
    <row r="5"/>
    <row r="6"/>
    <row r="7"/>
    <row r="8"/>
    <row r="9"/>
    <row r="10">
      <c r="A10" t="inlineStr">
        <is>
          <t>Investment (USD mn)</t>
        </is>
      </c>
      <c r="B10" t="inlineStr">
        <is>
          <t>USD mn</t>
        </is>
      </c>
      <c r="C10" t="inlineStr">
        <is>
          <t>Base</t>
        </is>
      </c>
    </row>
    <row r="11">
      <c r="A11" t="inlineStr">
        <is>
          <t>Investment (GEL mn)</t>
        </is>
      </c>
      <c r="B11" t="inlineStr">
        <is>
          <t>GEL mn</t>
        </is>
      </c>
    </row>
    <row r="12">
      <c r="A12" t="inlineStr">
        <is>
          <t>GDP Deflator</t>
        </is>
      </c>
      <c r="B12" t="inlineStr">
        <is>
          <t>%</t>
        </is>
      </c>
    </row>
    <row r="13">
      <c r="A13" t="inlineStr">
        <is>
          <t>Demand Multiplier</t>
        </is>
      </c>
      <c r="B13" t="inlineStr">
        <is>
          <t>ratio</t>
        </is>
      </c>
      <c r="D13" t="n">
        <v>0.8</v>
      </c>
    </row>
    <row r="14">
      <c r="A14" t="inlineStr">
        <is>
          <t>Import Content Share</t>
        </is>
      </c>
      <c r="B14" t="inlineStr">
        <is>
          <t>%</t>
        </is>
      </c>
    </row>
    <row r="15"/>
    <row r="16">
      <c r="A16" t="inlineStr">
        <is>
          <t>Additional Demand (GEL mn)</t>
        </is>
      </c>
      <c r="B16" t="inlineStr">
        <is>
          <t>GEL mn</t>
        </is>
      </c>
    </row>
    <row r="17">
      <c r="A17" t="inlineStr">
        <is>
          <t>Domestic Demand (GEL mn)</t>
        </is>
      </c>
      <c r="B17" t="inlineStr">
        <is>
          <t>GEL mn</t>
        </is>
      </c>
    </row>
    <row r="18">
      <c r="A18" t="inlineStr">
        <is>
          <t>Imports (GEL mn)</t>
        </is>
      </c>
      <c r="B18" t="inlineStr">
        <is>
          <t>GEL mn</t>
        </is>
      </c>
    </row>
    <row r="19">
      <c r="A19" t="inlineStr">
        <is>
          <t>Additional GDP (GEL mn)</t>
        </is>
      </c>
      <c r="B19" t="inlineStr">
        <is>
          <t>GEL mn</t>
        </is>
      </c>
    </row>
    <row r="20">
      <c r="A20" t="inlineStr">
        <is>
          <t>Additional GDP (USD mn)</t>
        </is>
      </c>
      <c r="B20" t="inlineStr">
        <is>
          <t>USD mn</t>
        </is>
      </c>
    </row>
    <row r="21"/>
    <row r="22">
      <c r="A22" t="inlineStr">
        <is>
          <t>Investment Allocation %</t>
        </is>
      </c>
      <c r="B22" t="inlineStr">
        <is>
          <t>%</t>
        </is>
      </c>
    </row>
    <row r="23"/>
    <row r="24"/>
    <row r="25"/>
    <row r="26"/>
    <row r="27"/>
    <row r="28"/>
    <row r="29">
      <c r="A29" s="2" t="inlineStr">
        <is>
          <t>ASSUMPTIONS - Scenario 3</t>
        </is>
      </c>
    </row>
    <row r="30">
      <c r="A30" t="inlineStr">
        <is>
          <t>Lari/USD Exchange Rate</t>
        </is>
      </c>
      <c r="B30" t="inlineStr">
        <is>
          <t>ratio</t>
        </is>
      </c>
      <c r="D30" t="n">
        <v>2.746</v>
      </c>
    </row>
    <row r="31">
      <c r="A31" t="inlineStr">
        <is>
          <t>Demand Multiplier</t>
        </is>
      </c>
      <c r="B31" t="inlineStr">
        <is>
          <t>ratio</t>
        </is>
      </c>
      <c r="D31" t="n">
        <v>0.8</v>
      </c>
    </row>
    <row r="32">
      <c r="A32" t="inlineStr">
        <is>
          <t>Import Content Share</t>
        </is>
      </c>
      <c r="B32" t="inlineStr">
        <is>
          <t>%</t>
        </is>
      </c>
      <c r="D32" t="n">
        <v>50</v>
      </c>
    </row>
    <row r="33">
      <c r="A33" t="inlineStr">
        <is>
          <t>Project Allocation</t>
        </is>
      </c>
      <c r="B33" t="inlineStr">
        <is>
          <t>type</t>
        </is>
      </c>
      <c r="D33" t="inlineStr">
        <is>
          <t>Bell shape</t>
        </is>
      </c>
    </row>
    <row r="34"/>
    <row r="35">
      <c r="A35" s="3" t="inlineStr">
        <is>
          <t>INVESTMENT SHOCK ANALYSIS - Scenario 3: Higher Import Content Share</t>
        </is>
      </c>
    </row>
    <row r="36">
      <c r="A36" t="inlineStr">
        <is>
          <t>Item</t>
        </is>
      </c>
      <c r="B36" t="inlineStr">
        <is>
          <t>Unit</t>
        </is>
      </c>
      <c r="C36" s="6" t="n">
        <v>2026</v>
      </c>
      <c r="D36" s="6" t="n">
        <v>2027</v>
      </c>
      <c r="E36" s="6" t="n">
        <v>2028</v>
      </c>
      <c r="F36" s="6" t="n">
        <v>2029</v>
      </c>
      <c r="G36" s="6" t="n">
        <v>2030</v>
      </c>
      <c r="H36" s="6" t="n">
        <v>2031</v>
      </c>
      <c r="I36" s="6" t="n">
        <v>2032</v>
      </c>
      <c r="J36" s="6" t="n">
        <v>2033</v>
      </c>
    </row>
    <row r="37">
      <c r="A37" s="2" t="inlineStr">
        <is>
          <t>Investment (USD mn)</t>
        </is>
      </c>
      <c r="B37" t="inlineStr">
        <is>
          <t>USD mn</t>
        </is>
      </c>
      <c r="C37" s="5" t="n">
        <v>325</v>
      </c>
      <c r="D37" s="5" t="n">
        <v>650</v>
      </c>
      <c r="E37" s="5" t="n">
        <v>975</v>
      </c>
      <c r="F37" s="5" t="n">
        <v>1300</v>
      </c>
      <c r="G37" s="5" t="n">
        <v>1300</v>
      </c>
      <c r="H37" s="5" t="n">
        <v>975</v>
      </c>
      <c r="I37" s="5" t="n">
        <v>650</v>
      </c>
      <c r="J37" s="5" t="n">
        <v>325</v>
      </c>
    </row>
    <row r="38">
      <c r="A38" s="2" t="inlineStr">
        <is>
          <t>Investment (GEL mn)</t>
        </is>
      </c>
      <c r="B38" t="inlineStr">
        <is>
          <t>GEL mn</t>
        </is>
      </c>
      <c r="C38" s="5">
        <f>C37*$D$30</f>
        <v/>
      </c>
      <c r="D38" s="5">
        <f>D37*$D$30</f>
        <v/>
      </c>
      <c r="E38" s="5">
        <f>E37*$D$30</f>
        <v/>
      </c>
      <c r="F38" s="5">
        <f>F37*$D$30</f>
        <v/>
      </c>
      <c r="G38" s="5">
        <f>G37*$D$30</f>
        <v/>
      </c>
      <c r="H38" s="5">
        <f>H37*$D$30</f>
        <v/>
      </c>
      <c r="I38" s="5">
        <f>I37*$D$30</f>
        <v/>
      </c>
      <c r="J38" s="5">
        <f>J37*$D$30</f>
        <v/>
      </c>
    </row>
    <row r="39">
      <c r="A39" s="2" t="inlineStr">
        <is>
          <t>GDP Deflator (%)</t>
        </is>
      </c>
      <c r="B39" t="inlineStr">
        <is>
          <t>%</t>
        </is>
      </c>
      <c r="C39" s="5">
        <f>WEO_Data!D9</f>
        <v/>
      </c>
      <c r="D39" s="5">
        <f>WEO_Data!D10</f>
        <v/>
      </c>
      <c r="E39" s="5">
        <f>WEO_Data!D11</f>
        <v/>
      </c>
      <c r="F39" s="5">
        <f>WEO_Data!D12</f>
        <v/>
      </c>
      <c r="G39" s="5">
        <f>WEO_Data!D13</f>
        <v/>
      </c>
      <c r="H39" s="5">
        <f>WEO_Data!D14</f>
        <v/>
      </c>
      <c r="I39" s="5">
        <f>WEO_Data!D15</f>
        <v/>
      </c>
      <c r="J39" s="5">
        <f>WEO_Data!D16</f>
        <v/>
      </c>
    </row>
    <row r="40">
      <c r="A40" s="2" t="inlineStr">
        <is>
          <t>Real GDP Growth (%)</t>
        </is>
      </c>
      <c r="B40" t="inlineStr">
        <is>
          <t>%</t>
        </is>
      </c>
      <c r="C40" s="5">
        <f>WEO_Data!B9</f>
        <v/>
      </c>
      <c r="D40" s="5">
        <f>WEO_Data!B10</f>
        <v/>
      </c>
      <c r="E40" s="5">
        <f>WEO_Data!B11</f>
        <v/>
      </c>
      <c r="F40" s="5">
        <f>WEO_Data!B12</f>
        <v/>
      </c>
      <c r="G40" s="5">
        <f>WEO_Data!B13</f>
        <v/>
      </c>
      <c r="H40" s="5">
        <f>WEO_Data!B14</f>
        <v/>
      </c>
      <c r="I40" s="5">
        <f>WEO_Data!B15</f>
        <v/>
      </c>
      <c r="J40" s="5">
        <f>WEO_Data!B16</f>
        <v/>
      </c>
    </row>
    <row r="41">
      <c r="A41" s="2" t="inlineStr">
        <is>
          <t>Demand Multiplier</t>
        </is>
      </c>
      <c r="B41" t="inlineStr">
        <is>
          <t>ratio</t>
        </is>
      </c>
      <c r="C41" s="5">
        <f>$D$31</f>
        <v/>
      </c>
      <c r="D41" s="5">
        <f>$D$31</f>
        <v/>
      </c>
      <c r="E41" s="5">
        <f>$D$31</f>
        <v/>
      </c>
      <c r="F41" s="5">
        <f>$D$31</f>
        <v/>
      </c>
      <c r="G41" s="5">
        <f>$D$31</f>
        <v/>
      </c>
      <c r="H41" s="5">
        <f>$D$31</f>
        <v/>
      </c>
      <c r="I41" s="5">
        <f>$D$31</f>
        <v/>
      </c>
      <c r="J41" s="5">
        <f>$D$31</f>
        <v/>
      </c>
    </row>
    <row r="42">
      <c r="A42" s="2" t="inlineStr">
        <is>
          <t>Import Content Share (%)</t>
        </is>
      </c>
      <c r="B42" t="inlineStr">
        <is>
          <t>%</t>
        </is>
      </c>
      <c r="C42">
        <f>$D$32</f>
        <v/>
      </c>
      <c r="D42">
        <f>$D$32</f>
        <v/>
      </c>
      <c r="E42">
        <f>$D$32</f>
        <v/>
      </c>
      <c r="F42">
        <f>$D$32</f>
        <v/>
      </c>
      <c r="G42">
        <f>$D$32</f>
        <v/>
      </c>
      <c r="H42">
        <f>$D$32</f>
        <v/>
      </c>
      <c r="I42">
        <f>$D$32</f>
        <v/>
      </c>
      <c r="J42">
        <f>$D$32</f>
        <v/>
      </c>
    </row>
    <row r="43"/>
    <row r="44">
      <c r="A44" s="2" t="inlineStr">
        <is>
          <t>Additional Demand (GEL mn)</t>
        </is>
      </c>
      <c r="B44" t="inlineStr">
        <is>
          <t>GEL mn</t>
        </is>
      </c>
      <c r="C44" s="5">
        <f>C39*C43</f>
        <v/>
      </c>
      <c r="D44" s="5">
        <f>D39*D43</f>
        <v/>
      </c>
      <c r="E44" s="5">
        <f>E39*E43</f>
        <v/>
      </c>
      <c r="F44" s="5">
        <f>F39*F43</f>
        <v/>
      </c>
      <c r="G44" s="5">
        <f>G39*G43</f>
        <v/>
      </c>
      <c r="H44" s="5">
        <f>H39*H43</f>
        <v/>
      </c>
      <c r="I44" s="5">
        <f>I39*I43</f>
        <v/>
      </c>
      <c r="J44" s="5">
        <f>J39*J43</f>
        <v/>
      </c>
    </row>
    <row r="45">
      <c r="A45" s="2" t="inlineStr">
        <is>
          <t>Domestic Supply (GEL mn)</t>
        </is>
      </c>
      <c r="B45" t="inlineStr">
        <is>
          <t>GEL mn</t>
        </is>
      </c>
      <c r="C45" s="5">
        <f>C44*(1-C43/100)</f>
        <v/>
      </c>
      <c r="D45" s="5">
        <f>D44*(1-D43/100)</f>
        <v/>
      </c>
      <c r="E45" s="5">
        <f>E44*(1-E43/100)</f>
        <v/>
      </c>
      <c r="F45" s="5">
        <f>F44*(1-F43/100)</f>
        <v/>
      </c>
      <c r="G45" s="5">
        <f>G44*(1-G43/100)</f>
        <v/>
      </c>
      <c r="H45" s="5">
        <f>H44*(1-H43/100)</f>
        <v/>
      </c>
      <c r="I45" s="5">
        <f>I44*(1-I43/100)</f>
        <v/>
      </c>
      <c r="J45" s="5">
        <f>J44*(1-J43/100)</f>
        <v/>
      </c>
    </row>
    <row r="46">
      <c r="A46" s="2" t="inlineStr">
        <is>
          <t>Imports (GEL mn)</t>
        </is>
      </c>
      <c r="B46" t="inlineStr">
        <is>
          <t>GEL mn</t>
        </is>
      </c>
      <c r="C46" s="5">
        <f>C44*C43/100</f>
        <v/>
      </c>
      <c r="D46" s="5">
        <f>D44*D43/100</f>
        <v/>
      </c>
      <c r="E46" s="5">
        <f>E44*E43/100</f>
        <v/>
      </c>
      <c r="F46" s="5">
        <f>F44*F43/100</f>
        <v/>
      </c>
      <c r="G46" s="5">
        <f>G44*G43/100</f>
        <v/>
      </c>
      <c r="H46" s="5">
        <f>H44*H43/100</f>
        <v/>
      </c>
      <c r="I46" s="5">
        <f>I44*I43/100</f>
        <v/>
      </c>
      <c r="J46" s="5">
        <f>J44*J43/100</f>
        <v/>
      </c>
    </row>
    <row r="47">
      <c r="A47" s="2" t="inlineStr">
        <is>
          <t>Additional GDP (GEL mn)</t>
        </is>
      </c>
      <c r="B47" t="inlineStr">
        <is>
          <t>GEL mn</t>
        </is>
      </c>
      <c r="C47" s="5">
        <f>C46</f>
        <v/>
      </c>
      <c r="D47" s="5">
        <f>D46</f>
        <v/>
      </c>
      <c r="E47" s="5">
        <f>E46</f>
        <v/>
      </c>
      <c r="F47" s="5">
        <f>F46</f>
        <v/>
      </c>
      <c r="G47" s="5">
        <f>G46</f>
        <v/>
      </c>
      <c r="H47" s="5">
        <f>H46</f>
        <v/>
      </c>
      <c r="I47" s="5">
        <f>I46</f>
        <v/>
      </c>
      <c r="J47" s="5">
        <f>J46</f>
        <v/>
      </c>
    </row>
    <row r="48">
      <c r="A48" s="2" t="inlineStr">
        <is>
          <t>Additional GDP (USD mn)</t>
        </is>
      </c>
      <c r="B48" t="inlineStr">
        <is>
          <t>USD mn</t>
        </is>
      </c>
      <c r="C48" s="5">
        <f>C47/$D$30</f>
        <v/>
      </c>
      <c r="D48" s="5">
        <f>D47/$D$30</f>
        <v/>
      </c>
      <c r="E48" s="5">
        <f>E47/$D$30</f>
        <v/>
      </c>
      <c r="F48" s="5">
        <f>F47/$D$30</f>
        <v/>
      </c>
      <c r="G48" s="5">
        <f>G47/$D$30</f>
        <v/>
      </c>
      <c r="H48" s="5">
        <f>H47/$D$30</f>
        <v/>
      </c>
      <c r="I48" s="5">
        <f>I47/$D$30</f>
        <v/>
      </c>
      <c r="J48" s="5">
        <f>J47/$D$30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2026-01-29T06:07:59Z</dcterms:created>
  <dcterms:modified xsi:type="dcterms:W3CDTF">2026-01-29T06:09:55Z</dcterms:modified>
</cp:coreProperties>
</file>