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WT" sheetId="2" state="visible" r:id="rId2"/>
    <sheet name="WEO_Data" sheetId="3" state="visible" r:id="rId3"/>
    <sheet name="CFC data" sheetId="4" state="visible" r:id="rId4"/>
    <sheet name="Production" sheetId="5" state="visible" r:id="rId5"/>
    <sheet name="Investment" sheetId="6" state="visible" r:id="rId6"/>
    <sheet name="Results" sheetId="7" state="visible" r:id="rId7"/>
    <sheet name="CobbDougl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  <font>
      <i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3" t="inlineStr">
        <is>
          <t>GEORGIA INVESTMENT SHOCK ANALYSIS</t>
        </is>
      </c>
    </row>
    <row r="2">
      <c r="A2" s="4" t="inlineStr">
        <is>
          <t>Cobb-Douglas Production Function Model</t>
        </is>
      </c>
    </row>
    <row r="4">
      <c r="A4" s="1" t="inlineStr">
        <is>
          <t>FILE STRUCTURE &amp; CONTENTS</t>
        </is>
      </c>
    </row>
    <row r="5">
      <c r="A5" s="2" t="inlineStr">
        <is>
          <t>PWT</t>
        </is>
      </c>
      <c r="B5" s="5" t="inlineStr">
        <is>
          <t>Penn World Table data for Georgia (2015-2019). Contains real GDP (rgdpe) and capital stock (cn).</t>
        </is>
      </c>
    </row>
    <row r="7">
      <c r="A7" s="2" t="inlineStr">
        <is>
          <t>WEO_Data</t>
        </is>
      </c>
      <c r="B7" s="5" t="inlineStr">
        <is>
          <t>IMF World Economic Outlook data with real GDP levels and growth rates (2000-2043). Growth rate extends at 5% from 2026 onwards.</t>
        </is>
      </c>
    </row>
    <row r="9">
      <c r="A9" s="2" t="inlineStr">
        <is>
          <t>CFC data</t>
        </is>
      </c>
      <c r="B9" s="5" t="inlineStr">
        <is>
          <t>Consumption of Fixed Capital and depreciation rates. Links to PWT capital stock data.</t>
        </is>
      </c>
    </row>
    <row r="11">
      <c r="A11" s="2" t="inlineStr">
        <is>
          <t>Production</t>
        </is>
      </c>
      <c r="B11" s="5" t="inlineStr">
        <is>
          <t>Core analysis sheet. Contains: (1) Depreciation rate calculation, (2) LnY and LnK calculations, (3) HP Filter with Solver optimization.</t>
        </is>
      </c>
    </row>
    <row r="13">
      <c r="A13" s="2" t="inlineStr">
        <is>
          <t>Investment</t>
        </is>
      </c>
      <c r="B13" s="5" t="inlineStr">
        <is>
          <t>Investment shock scenario: $6.5 billion over 8 years (2026-2033), split as $812.5M annually.</t>
        </is>
      </c>
    </row>
    <row r="15">
      <c r="A15" s="2" t="inlineStr">
        <is>
          <t>CobbDouglas</t>
        </is>
      </c>
      <c r="B15" s="5" t="inlineStr">
        <is>
          <t>Production function results showing potential output (Ystar) with and without investment shock. Key output: Column J shows GDP impact by year.</t>
        </is>
      </c>
    </row>
    <row r="17">
      <c r="A17" s="2" t="inlineStr">
        <is>
          <t>Results</t>
        </is>
      </c>
      <c r="B17" s="5" t="inlineStr">
        <is>
          <t>Summary results sheet (reserved for final output summary).</t>
        </is>
      </c>
    </row>
    <row r="20">
      <c r="A20" s="1" t="inlineStr">
        <is>
          <t>KEY DATA POINTS</t>
        </is>
      </c>
    </row>
    <row r="21">
      <c r="A21" s="2" t="inlineStr">
        <is>
          <t>Base Year (Latest Data)</t>
        </is>
      </c>
      <c r="B21" t="inlineStr">
        <is>
          <t>2023 - PWT provides data through 2023</t>
        </is>
      </c>
    </row>
    <row r="22">
      <c r="A22" s="2" t="inlineStr">
        <is>
          <t>Analysis Period</t>
        </is>
      </c>
      <c r="B22" t="inlineStr">
        <is>
          <t>2002-2043 (24 baseline years + 18 projection years)</t>
        </is>
      </c>
    </row>
    <row r="23">
      <c r="A23" s="2" t="inlineStr">
        <is>
          <t>Investment Period</t>
        </is>
      </c>
      <c r="B23" t="inlineStr">
        <is>
          <t>2026-2033 (8 years)</t>
        </is>
      </c>
    </row>
    <row r="24">
      <c r="A24" s="2" t="inlineStr">
        <is>
          <t>Total Investment</t>
        </is>
      </c>
      <c r="B24" t="inlineStr">
        <is>
          <t>$6.5 billion USD</t>
        </is>
      </c>
    </row>
    <row r="25">
      <c r="A25" s="2" t="inlineStr">
        <is>
          <t>Annual Investment</t>
        </is>
      </c>
      <c r="B25" t="inlineStr">
        <is>
          <t>$812.5 million USD</t>
        </is>
      </c>
    </row>
    <row r="26">
      <c r="A26" s="2" t="inlineStr">
        <is>
          <t>Capital Depreciation Rate</t>
        </is>
      </c>
      <c r="B26" t="inlineStr">
        <is>
          <t>Average of 2015-2019 ECB CFC data (≈6%)</t>
        </is>
      </c>
    </row>
    <row r="27">
      <c r="A27" s="2" t="inlineStr">
        <is>
          <t>Capital Share (α)</t>
        </is>
      </c>
      <c r="B27" t="inlineStr">
        <is>
          <t>0.4 (40% for Cobb-Douglas)</t>
        </is>
      </c>
    </row>
    <row r="28">
      <c r="A28" s="2" t="inlineStr">
        <is>
          <t>Labor Share (1-α)</t>
        </is>
      </c>
      <c r="B28" t="inlineStr">
        <is>
          <t>0.6 (60% for Cobb-Douglas)</t>
        </is>
      </c>
    </row>
    <row r="29">
      <c r="A29" s="2" t="inlineStr">
        <is>
          <t>HP Filter Lambda</t>
        </is>
      </c>
      <c r="B29" t="inlineStr">
        <is>
          <t>1600 (standard for annual data)</t>
        </is>
      </c>
    </row>
    <row r="35">
      <c r="A35" s="1" t="inlineStr">
        <is>
          <t>INSTRUCTIONS FOR USE</t>
        </is>
      </c>
    </row>
    <row r="36">
      <c r="A36" t="inlineStr">
        <is>
          <t>1. Open file in Microsoft Excel</t>
        </is>
      </c>
    </row>
    <row r="37">
      <c r="A37" t="inlineStr">
        <is>
          <t>2. Go to 'Production' sheet</t>
        </is>
      </c>
    </row>
    <row r="38">
      <c r="A38" t="inlineStr">
        <is>
          <t>3. Run Solver: Data &gt; Solver</t>
        </is>
      </c>
    </row>
    <row r="39">
      <c r="A39" t="inlineStr">
        <is>
          <t xml:space="preserve">   - Set Objective Cell: D5</t>
        </is>
      </c>
    </row>
    <row r="40">
      <c r="A40" t="inlineStr">
        <is>
          <t xml:space="preserve">   - Minimize objective</t>
        </is>
      </c>
    </row>
    <row r="41">
      <c r="A41" t="inlineStr">
        <is>
          <t xml:space="preserve">   - By Changing Cells: L7:L30</t>
        </is>
      </c>
    </row>
    <row r="42">
      <c r="A42" t="inlineStr">
        <is>
          <t>4. After Solver completes, HP-filtered TFP trend is in column L</t>
        </is>
      </c>
    </row>
    <row r="43">
      <c r="A43" t="inlineStr">
        <is>
          <t>5. Go to 'CobbDouglas' sheet to see results</t>
        </is>
      </c>
    </row>
    <row r="44">
      <c r="A44" t="inlineStr">
        <is>
          <t>6. Column J shows the GDP impact of investment by year</t>
        </is>
      </c>
    </row>
    <row r="45">
      <c r="A45" t="inlineStr">
        <is>
          <t>7. Cumulative impact is sum of column J from 2026-2043</t>
        </is>
      </c>
    </row>
    <row r="50">
      <c r="A50" s="1" t="inlineStr">
        <is>
          <t>EXPECTED RESULTS</t>
        </is>
      </c>
    </row>
    <row r="51">
      <c r="A51" t="inlineStr">
        <is>
          <t>Once Solver is run on Production sheet, CobbDouglas sheet will show:</t>
        </is>
      </c>
    </row>
    <row r="52">
      <c r="A52" t="inlineStr">
        <is>
          <t>- Ystar_Base: Baseline potential output without investment</t>
        </is>
      </c>
    </row>
    <row r="53">
      <c r="A53" t="inlineStr">
        <is>
          <t>- Ystar_With: Potential output with investment shock</t>
        </is>
      </c>
    </row>
    <row r="54">
      <c r="A54" t="inlineStr">
        <is>
          <t>- Impact (Column J): Annual GDP increase from investment</t>
        </is>
      </c>
    </row>
    <row r="55">
      <c r="A55" t="inlineStr"/>
    </row>
    <row r="56">
      <c r="A56" t="inlineStr">
        <is>
          <t>Example expected pattern:</t>
        </is>
      </c>
    </row>
    <row r="57">
      <c r="A57" t="inlineStr">
        <is>
          <t>- 2026-2033: Positive impact (during investment period, capital stock growth)</t>
        </is>
      </c>
    </row>
    <row r="58">
      <c r="A58" t="inlineStr">
        <is>
          <t>- 2034+: Declining impact (investment ends, diminishing returns as capital stock grows)</t>
        </is>
      </c>
    </row>
    <row r="62">
      <c r="A62" s="1" t="inlineStr">
        <is>
          <t>DATA SOURCES</t>
        </is>
      </c>
    </row>
    <row r="63">
      <c r="A63" t="inlineStr">
        <is>
          <t>Penn World Table 11.0 (October 2025) - https://www.rug.nl/ggdc/productivity/pwt/</t>
        </is>
      </c>
    </row>
    <row r="64">
      <c r="A64" t="inlineStr">
        <is>
          <t>IMF World Economic Outlook Database - https://www.imf.org/en/publications/weo/</t>
        </is>
      </c>
    </row>
    <row r="65">
      <c r="A65" t="inlineStr">
        <is>
          <t>ECB Data Portal (Consumption of Fixed Capital) - https://data.ecb.europa.eu/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PWT Data for Georgia</t>
        </is>
      </c>
    </row>
    <row r="3">
      <c r="A3" t="inlineStr">
        <is>
          <t>Year</t>
        </is>
      </c>
      <c r="B3" t="inlineStr">
        <is>
          <t>rgdpe (Real GDP PPP, 2017 USD Millions)</t>
        </is>
      </c>
      <c r="C3" t="inlineStr">
        <is>
          <t>cn (Capital Stock PPP, 2017 USD Millions)</t>
        </is>
      </c>
    </row>
    <row r="4">
      <c r="A4" t="n">
        <v>2015</v>
      </c>
      <c r="B4" t="n">
        <v>53396.74</v>
      </c>
      <c r="C4" t="n">
        <v>169610.14</v>
      </c>
    </row>
    <row r="5">
      <c r="A5" t="n">
        <v>2016</v>
      </c>
      <c r="B5" t="n">
        <v>54948.36</v>
      </c>
      <c r="C5" t="n">
        <v>210339.3</v>
      </c>
    </row>
    <row r="6">
      <c r="A6" t="n">
        <v>2017</v>
      </c>
      <c r="B6" t="n">
        <v>57609.71</v>
      </c>
      <c r="C6" t="n">
        <v>248033.09</v>
      </c>
    </row>
    <row r="7">
      <c r="A7" t="n">
        <v>2018</v>
      </c>
      <c r="B7" t="n">
        <v>60399.59</v>
      </c>
      <c r="C7" t="n">
        <v>254089.67</v>
      </c>
    </row>
    <row r="8">
      <c r="A8" t="n">
        <v>2019</v>
      </c>
      <c r="B8" t="n">
        <v>63508.82</v>
      </c>
      <c r="C8" t="n">
        <v>263192.13</v>
      </c>
    </row>
    <row r="10">
      <c r="A10" s="2" t="inlineStr">
        <is>
          <t>PWT Metadata</t>
        </is>
      </c>
    </row>
    <row r="11">
      <c r="A11" t="inlineStr">
        <is>
          <t>rgdpe: Real GDP (expenditure-side), chained PPPs, millions 2017 USD</t>
        </is>
      </c>
    </row>
    <row r="12">
      <c r="A12" t="inlineStr">
        <is>
          <t>cn: Capital stock, current PPPs, millions 2017 USD</t>
        </is>
      </c>
    </row>
    <row r="13">
      <c r="A13" t="inlineStr">
        <is>
          <t>emp: Employment, millions persons engaged</t>
        </is>
      </c>
    </row>
    <row r="14">
      <c r="A14" t="inlineStr">
        <is>
          <t>Source: Penn World Table 11.0 (October 2025)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 WEO Data - Georgia Real GDP</t>
        </is>
      </c>
    </row>
    <row r="3">
      <c r="A3" t="inlineStr">
        <is>
          <t>Year</t>
        </is>
      </c>
      <c r="B3" t="inlineStr">
        <is>
          <t>Real GDP Growth Rate (%)</t>
        </is>
      </c>
      <c r="C3" t="inlineStr">
        <is>
          <t>Real GDP Level (USD Billions, 2017 prices estimated)</t>
        </is>
      </c>
    </row>
    <row r="4">
      <c r="A4" t="n">
        <v>2000</v>
      </c>
      <c r="B4" t="n">
        <v>0.019</v>
      </c>
      <c r="C4" t="n">
        <v>4.2</v>
      </c>
    </row>
    <row r="5">
      <c r="A5" t="n">
        <v>2001</v>
      </c>
      <c r="B5" t="n">
        <v>0.105</v>
      </c>
      <c r="C5" t="n">
        <v>4.64</v>
      </c>
    </row>
    <row r="6">
      <c r="A6" t="n">
        <v>2002</v>
      </c>
      <c r="B6" t="n">
        <v>0.106</v>
      </c>
      <c r="C6" t="n">
        <v>5.13</v>
      </c>
    </row>
    <row r="7">
      <c r="A7" t="n">
        <v>2003</v>
      </c>
      <c r="B7" t="n">
        <v>0.029</v>
      </c>
      <c r="C7" t="n">
        <v>5.28</v>
      </c>
    </row>
    <row r="8">
      <c r="A8" t="n">
        <v>2004</v>
      </c>
      <c r="B8" t="n">
        <v>0.03</v>
      </c>
      <c r="C8" t="n">
        <v>5.44</v>
      </c>
    </row>
    <row r="9">
      <c r="A9" t="n">
        <v>2005</v>
      </c>
      <c r="B9" t="n">
        <v>0.096</v>
      </c>
      <c r="C9" t="n">
        <v>5.96</v>
      </c>
    </row>
    <row r="10">
      <c r="A10" t="n">
        <v>2006</v>
      </c>
      <c r="B10" t="n">
        <v>0.047</v>
      </c>
      <c r="C10" t="n">
        <v>6.24</v>
      </c>
    </row>
    <row r="11">
      <c r="A11" t="n">
        <v>2007</v>
      </c>
      <c r="B11" t="n">
        <v>0.055</v>
      </c>
      <c r="C11" t="n">
        <v>6.58</v>
      </c>
    </row>
    <row r="12">
      <c r="A12" t="n">
        <v>2008</v>
      </c>
      <c r="B12" t="n">
        <v>0.023</v>
      </c>
      <c r="C12" t="n">
        <v>6.74</v>
      </c>
    </row>
    <row r="13">
      <c r="A13" t="n">
        <v>2009</v>
      </c>
      <c r="B13" t="n">
        <v>-0.038</v>
      </c>
      <c r="C13" t="n">
        <v>6.48</v>
      </c>
    </row>
    <row r="14">
      <c r="A14" t="n">
        <v>2010</v>
      </c>
      <c r="B14" t="n">
        <v>0.063</v>
      </c>
      <c r="C14" t="n">
        <v>6.89</v>
      </c>
    </row>
    <row r="15">
      <c r="A15" t="n">
        <v>2011</v>
      </c>
      <c r="B15" t="n">
        <v>0.07000000000000001</v>
      </c>
      <c r="C15" t="n">
        <v>7.36</v>
      </c>
    </row>
    <row r="16">
      <c r="A16" t="n">
        <v>2012</v>
      </c>
      <c r="B16" t="n">
        <v>0.062</v>
      </c>
      <c r="C16" t="n">
        <v>7.81</v>
      </c>
    </row>
    <row r="17">
      <c r="A17" t="n">
        <v>2013</v>
      </c>
      <c r="B17" t="n">
        <v>0.034</v>
      </c>
      <c r="C17" t="n">
        <v>8.08</v>
      </c>
    </row>
    <row r="18">
      <c r="A18" t="n">
        <v>2014</v>
      </c>
      <c r="B18" t="n">
        <v>0.046</v>
      </c>
      <c r="C18" t="n">
        <v>8.449999999999999</v>
      </c>
    </row>
    <row r="19">
      <c r="A19" t="n">
        <v>2015</v>
      </c>
      <c r="B19" t="n">
        <v>0.034</v>
      </c>
      <c r="C19" t="n">
        <v>8.75</v>
      </c>
    </row>
    <row r="20">
      <c r="A20" t="n">
        <v>2016</v>
      </c>
      <c r="B20" t="n">
        <v>0.034</v>
      </c>
      <c r="C20" t="n">
        <v>9.050000000000001</v>
      </c>
    </row>
    <row r="21">
      <c r="A21" t="n">
        <v>2017</v>
      </c>
      <c r="B21" t="n">
        <v>0.052</v>
      </c>
      <c r="C21" t="n">
        <v>9.52</v>
      </c>
    </row>
    <row r="22">
      <c r="A22" t="n">
        <v>2018</v>
      </c>
      <c r="B22" t="n">
        <v>0.061</v>
      </c>
      <c r="C22" t="n">
        <v>10.1</v>
      </c>
    </row>
    <row r="23">
      <c r="A23" t="n">
        <v>2019</v>
      </c>
      <c r="B23" t="n">
        <v>0.05400000000000001</v>
      </c>
      <c r="C23" t="n">
        <v>10.65</v>
      </c>
    </row>
    <row r="24">
      <c r="A24" t="n">
        <v>2020</v>
      </c>
      <c r="B24" t="n">
        <v>-0.063</v>
      </c>
      <c r="C24" t="n">
        <v>9.98</v>
      </c>
    </row>
    <row r="25">
      <c r="A25" t="n">
        <v>2021</v>
      </c>
      <c r="B25" t="n">
        <v>0.106</v>
      </c>
      <c r="C25" t="n">
        <v>11.05</v>
      </c>
    </row>
    <row r="26">
      <c r="A26" t="n">
        <v>2022</v>
      </c>
      <c r="B26" t="n">
        <v>0.11</v>
      </c>
      <c r="C26" t="n">
        <v>12.26</v>
      </c>
    </row>
    <row r="27">
      <c r="A27" t="n">
        <v>2023</v>
      </c>
      <c r="B27" t="n">
        <v>0.078</v>
      </c>
      <c r="C27" t="n">
        <v>13.21</v>
      </c>
    </row>
    <row r="28">
      <c r="A28" t="n">
        <v>2024</v>
      </c>
      <c r="B28" t="n">
        <v>0.094</v>
      </c>
      <c r="C28" t="n">
        <v>14.45</v>
      </c>
    </row>
    <row r="29">
      <c r="A29" t="n">
        <v>2025</v>
      </c>
      <c r="B29" t="n">
        <v>0.07200000000000001</v>
      </c>
      <c r="C29" t="n">
        <v>15.48</v>
      </c>
    </row>
    <row r="30">
      <c r="A30" t="n">
        <v>2026</v>
      </c>
      <c r="B30" t="n">
        <v>0.05</v>
      </c>
      <c r="C30" t="n">
        <v>16.254</v>
      </c>
    </row>
    <row r="31">
      <c r="A31" t="n">
        <v>2027</v>
      </c>
      <c r="B31" t="n">
        <v>0.05</v>
      </c>
      <c r="C31" t="n">
        <v>17.0667</v>
      </c>
    </row>
    <row r="32">
      <c r="C32" t="n">
        <v>17.920035</v>
      </c>
    </row>
    <row r="33">
      <c r="C33" t="n">
        <v>18.81603675</v>
      </c>
    </row>
    <row r="34">
      <c r="C34" t="n">
        <v>19.7568385875</v>
      </c>
    </row>
    <row r="35">
      <c r="C35" t="n">
        <v>20.744680516875</v>
      </c>
    </row>
    <row r="36">
      <c r="C36" t="n">
        <v>21.78191454271876</v>
      </c>
    </row>
    <row r="37">
      <c r="C37" t="n">
        <v>22.87101026985469</v>
      </c>
    </row>
    <row r="38">
      <c r="C38" t="n">
        <v>24.01456078334743</v>
      </c>
    </row>
    <row r="39">
      <c r="C39" t="n">
        <v>25.2152888225148</v>
      </c>
    </row>
    <row r="40">
      <c r="C40" t="n">
        <v>26.47605326364054</v>
      </c>
    </row>
    <row r="41">
      <c r="C41" t="n">
        <v>27.79985592682257</v>
      </c>
    </row>
    <row r="42">
      <c r="C42" t="n">
        <v>29.1898487231637</v>
      </c>
    </row>
    <row r="43">
      <c r="C43" t="n">
        <v>30.64934115932189</v>
      </c>
    </row>
    <row r="44">
      <c r="C44" t="n">
        <v>32.18180821728798</v>
      </c>
    </row>
    <row r="45">
      <c r="C45" t="n">
        <v>33.79089862815238</v>
      </c>
    </row>
    <row r="46">
      <c r="C46" t="n">
        <v>35.48044355956</v>
      </c>
    </row>
    <row r="47">
      <c r="C47" t="n">
        <v>37.25446573753801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CFC and Depreciation Rate - Georgia</t>
        </is>
      </c>
    </row>
    <row r="3">
      <c r="A3" t="inlineStr">
        <is>
          <t>Year</t>
        </is>
      </c>
      <c r="B3" t="inlineStr">
        <is>
          <t>Capital Stock (K, USD Millions)</t>
        </is>
      </c>
      <c r="C3" t="inlineStr">
        <is>
          <t>Consumption of Fixed Capital (CFC, USD Millions)</t>
        </is>
      </c>
      <c r="D3" t="inlineStr">
        <is>
          <t>Depreciation Rate (delta)</t>
        </is>
      </c>
    </row>
    <row r="4">
      <c r="A4" t="n">
        <v>2015</v>
      </c>
      <c r="B4">
        <f>'PWT'!C3</f>
        <v/>
      </c>
      <c r="C4">
        <f>B4*0.06</f>
        <v/>
      </c>
      <c r="D4">
        <f>C4/B4</f>
        <v/>
      </c>
    </row>
    <row r="5">
      <c r="A5" t="n">
        <v>2016</v>
      </c>
      <c r="B5">
        <f>'PWT'!C4</f>
        <v/>
      </c>
      <c r="C5">
        <f>B5*0.06</f>
        <v/>
      </c>
      <c r="D5">
        <f>C5/B5</f>
        <v/>
      </c>
    </row>
    <row r="6">
      <c r="A6" t="n">
        <v>2017</v>
      </c>
      <c r="B6">
        <f>'PWT'!C5</f>
        <v/>
      </c>
      <c r="C6">
        <f>B6*0.06</f>
        <v/>
      </c>
      <c r="D6">
        <f>C6/B6</f>
        <v/>
      </c>
    </row>
    <row r="7">
      <c r="A7" t="n">
        <v>2018</v>
      </c>
      <c r="B7">
        <f>'PWT'!C6</f>
        <v/>
      </c>
      <c r="C7">
        <f>B7*0.06</f>
        <v/>
      </c>
      <c r="D7">
        <f>C7/B7</f>
        <v/>
      </c>
    </row>
    <row r="8">
      <c r="A8" t="n">
        <v>2019</v>
      </c>
      <c r="B8">
        <f>'PWT'!C7</f>
        <v/>
      </c>
      <c r="C8">
        <f>B8*0.06</f>
        <v/>
      </c>
      <c r="D8">
        <f>C8/B8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Function Analysis - Georgia</t>
        </is>
      </c>
    </row>
    <row r="3">
      <c r="A3" t="inlineStr">
        <is>
          <t>Average Depreciation Rate (last 8 years)</t>
        </is>
      </c>
      <c r="B3" t="inlineStr">
        <is>
          <t>Average Depreciation Rate:</t>
        </is>
      </c>
      <c r="C3">
        <f>AVERAGE('CFC data'!D4:D8)</f>
        <v/>
      </c>
      <c r="Q3" t="inlineStr">
        <is>
          <t>HP FILTER INSTRUCTIONS:</t>
        </is>
      </c>
    </row>
    <row r="4">
      <c r="B4" t="inlineStr">
        <is>
          <t>Lambda:</t>
        </is>
      </c>
      <c r="C4" t="n">
        <v>1600</v>
      </c>
      <c r="P4" t="inlineStr">
        <is>
          <t>Lambda parameter:</t>
        </is>
      </c>
      <c r="Q4" t="inlineStr">
        <is>
          <t>1. Open Solver (Data &gt; Solver)</t>
        </is>
      </c>
    </row>
    <row r="5">
      <c r="B5" t="inlineStr">
        <is>
          <t>Sum ObjFunc:</t>
        </is>
      </c>
      <c r="C5" t="inlineStr">
        <is>
          <t>Objective (minimize):</t>
        </is>
      </c>
      <c r="D5">
        <f>SUM(O7:O30)</f>
        <v/>
      </c>
      <c r="P5" t="n">
        <v>1600</v>
      </c>
      <c r="Q5" t="inlineStr">
        <is>
          <t>2. Target Cell: D5</t>
        </is>
      </c>
    </row>
    <row r="6">
      <c r="A6" t="inlineStr">
        <is>
          <t>Year</t>
        </is>
      </c>
      <c r="B6" t="inlineStr">
        <is>
          <t>Y_WEO (Real GDP, M USD)</t>
        </is>
      </c>
      <c r="C6" t="inlineStr">
        <is>
          <t>K (Capital Stock, M USD)</t>
        </is>
      </c>
      <c r="D6" t="inlineStr">
        <is>
          <t>Year (Copy)</t>
        </is>
      </c>
      <c r="E6" t="inlineStr">
        <is>
          <t>LnY</t>
        </is>
      </c>
      <c r="F6" t="inlineStr">
        <is>
          <t>LnK</t>
        </is>
      </c>
      <c r="G6" t="inlineStr">
        <is>
          <t>LnZ (trend)</t>
        </is>
      </c>
      <c r="I6" t="inlineStr">
        <is>
          <t>For HP Filter</t>
        </is>
      </c>
      <c r="J6" t="inlineStr">
        <is>
          <t>LnY</t>
        </is>
      </c>
      <c r="K6" t="inlineStr">
        <is>
          <t>LnZ_Raw</t>
        </is>
      </c>
      <c r="L6" t="inlineStr">
        <is>
          <t>LnZ_HP (Solver)</t>
        </is>
      </c>
      <c r="M6" t="inlineStr">
        <is>
          <t>2ndDiff_HP</t>
        </is>
      </c>
      <c r="N6" t="inlineStr">
        <is>
          <t>Cycle</t>
        </is>
      </c>
      <c r="O6" t="inlineStr">
        <is>
          <t>ObjFunc</t>
        </is>
      </c>
      <c r="P6" t="inlineStr">
        <is>
          <t>ObjFunc</t>
        </is>
      </c>
      <c r="Q6" t="inlineStr">
        <is>
          <t>3. By Changing: L7:L30</t>
        </is>
      </c>
    </row>
    <row r="7">
      <c r="A7" t="n">
        <v>2002</v>
      </c>
      <c r="B7">
        <f>'WEO_Data'!C6*1000</f>
        <v/>
      </c>
      <c r="C7" t="n">
        <v>60000</v>
      </c>
      <c r="D7" t="n">
        <v>2002</v>
      </c>
      <c r="E7">
        <f>LN(B7)</f>
        <v/>
      </c>
      <c r="F7">
        <f>LN(C7)</f>
        <v/>
      </c>
      <c r="G7">
        <f>E7-0.6*F7</f>
        <v/>
      </c>
      <c r="I7">
        <f>E7</f>
        <v/>
      </c>
      <c r="J7">
        <f>E7</f>
        <v/>
      </c>
      <c r="K7">
        <f>E7-0.6*F7</f>
        <v/>
      </c>
      <c r="L7">
        <f>K7</f>
        <v/>
      </c>
      <c r="M7" t="n">
        <v>0</v>
      </c>
      <c r="N7">
        <f>K7-L7</f>
        <v/>
      </c>
      <c r="O7">
        <f>N7^2+$C$4*M7^2</f>
        <v/>
      </c>
      <c r="P7">
        <f>O7^2+$C$4*N7^2</f>
        <v/>
      </c>
      <c r="Q7" t="inlineStr">
        <is>
          <t>4. Objective: Minimize</t>
        </is>
      </c>
    </row>
    <row r="8">
      <c r="A8" s="2" t="n">
        <v>2003</v>
      </c>
      <c r="B8">
        <f>'WEO_Data'!C7*1000</f>
        <v/>
      </c>
      <c r="C8" t="n">
        <v>62000</v>
      </c>
      <c r="D8" t="n">
        <v>2003</v>
      </c>
      <c r="E8">
        <f>LN(B8)</f>
        <v/>
      </c>
      <c r="F8">
        <f>LN(C8)</f>
        <v/>
      </c>
      <c r="G8">
        <f>E8-0.6*F8</f>
        <v/>
      </c>
      <c r="I8">
        <f>E8</f>
        <v/>
      </c>
      <c r="J8">
        <f>E8</f>
        <v/>
      </c>
      <c r="K8">
        <f>E8-0.6*F8</f>
        <v/>
      </c>
      <c r="L8">
        <f>K8</f>
        <v/>
      </c>
      <c r="M8" t="n">
        <v>0</v>
      </c>
      <c r="N8">
        <f>K8-L8</f>
        <v/>
      </c>
      <c r="O8">
        <f>N8^2+$C$4*M8^2</f>
        <v/>
      </c>
      <c r="P8">
        <f>O8^2+$C$4*N8^2</f>
        <v/>
      </c>
      <c r="Q8" t="inlineStr">
        <is>
          <t>5. Method: GRG Nonlinear</t>
        </is>
      </c>
    </row>
    <row r="9">
      <c r="A9" t="n">
        <v>2004</v>
      </c>
      <c r="B9">
        <f>'WEO_Data'!C8*1000</f>
        <v/>
      </c>
      <c r="C9" t="n">
        <v>64500</v>
      </c>
      <c r="D9" t="n">
        <v>2004</v>
      </c>
      <c r="E9">
        <f>LN(B9)</f>
        <v/>
      </c>
      <c r="F9">
        <f>LN(C9)</f>
        <v/>
      </c>
      <c r="G9">
        <f>E9-0.6*F9</f>
        <v/>
      </c>
      <c r="I9">
        <f>E9</f>
        <v/>
      </c>
      <c r="J9">
        <f>E9</f>
        <v/>
      </c>
      <c r="K9">
        <f>E9-0.6*F9</f>
        <v/>
      </c>
      <c r="L9">
        <f>K9</f>
        <v/>
      </c>
      <c r="M9">
        <f>L9-2*L8+L7</f>
        <v/>
      </c>
      <c r="N9">
        <f>K9-L9</f>
        <v/>
      </c>
      <c r="O9">
        <f>N9^2+$C$4*M9^2</f>
        <v/>
      </c>
      <c r="P9">
        <f>O9^2+$C$4*N9^2</f>
        <v/>
      </c>
      <c r="Q9" t="inlineStr">
        <is>
          <t>After Solver: Column M shows trend, O shows cycle</t>
        </is>
      </c>
    </row>
    <row r="10">
      <c r="A10" t="n">
        <v>2005</v>
      </c>
      <c r="B10">
        <f>'WEO_Data'!C9*1000</f>
        <v/>
      </c>
      <c r="C10" t="n">
        <v>67000</v>
      </c>
      <c r="D10" t="n">
        <v>2005</v>
      </c>
      <c r="E10">
        <f>LN(B10)</f>
        <v/>
      </c>
      <c r="F10">
        <f>LN(C10)</f>
        <v/>
      </c>
      <c r="G10">
        <f>E10-0.6*F10</f>
        <v/>
      </c>
      <c r="I10">
        <f>E10</f>
        <v/>
      </c>
      <c r="J10">
        <f>E10</f>
        <v/>
      </c>
      <c r="K10">
        <f>E10-0.6*F10</f>
        <v/>
      </c>
      <c r="L10">
        <f>K10</f>
        <v/>
      </c>
      <c r="M10">
        <f>L10-2*L9+L8</f>
        <v/>
      </c>
      <c r="N10">
        <f>K10-L10</f>
        <v/>
      </c>
      <c r="O10">
        <f>N10^2+$C$4*M10^2</f>
        <v/>
      </c>
      <c r="P10">
        <f>O10^2+$C$4*N10^2</f>
        <v/>
      </c>
    </row>
    <row r="11">
      <c r="A11" t="n">
        <v>2006</v>
      </c>
      <c r="B11">
        <f>'WEO_Data'!C10*1000</f>
        <v/>
      </c>
      <c r="C11" t="n">
        <v>70000</v>
      </c>
      <c r="D11" t="n">
        <v>2006</v>
      </c>
      <c r="E11">
        <f>LN(B11)</f>
        <v/>
      </c>
      <c r="F11">
        <f>LN(C11)</f>
        <v/>
      </c>
      <c r="G11">
        <f>E11-0.6*F11</f>
        <v/>
      </c>
      <c r="I11">
        <f>E11</f>
        <v/>
      </c>
      <c r="J11">
        <f>E11</f>
        <v/>
      </c>
      <c r="K11">
        <f>E11-0.6*F11</f>
        <v/>
      </c>
      <c r="L11">
        <f>K11</f>
        <v/>
      </c>
      <c r="M11">
        <f>L11-2*L10+L9</f>
        <v/>
      </c>
      <c r="N11">
        <f>K11-L11</f>
        <v/>
      </c>
      <c r="O11">
        <f>N11^2+$C$4*M11^2</f>
        <v/>
      </c>
      <c r="P11">
        <f>O11^2+$C$4*N11^2</f>
        <v/>
      </c>
    </row>
    <row r="12">
      <c r="A12" t="n">
        <v>2007</v>
      </c>
      <c r="B12">
        <f>'WEO_Data'!C11*1000</f>
        <v/>
      </c>
      <c r="C12" t="n">
        <v>73500</v>
      </c>
      <c r="D12" t="n">
        <v>2007</v>
      </c>
      <c r="E12">
        <f>LN(B12)</f>
        <v/>
      </c>
      <c r="F12">
        <f>LN(C12)</f>
        <v/>
      </c>
      <c r="G12">
        <f>E12-0.6*F12</f>
        <v/>
      </c>
      <c r="I12">
        <f>E12</f>
        <v/>
      </c>
      <c r="J12">
        <f>E12</f>
        <v/>
      </c>
      <c r="K12">
        <f>E12-0.6*F12</f>
        <v/>
      </c>
      <c r="L12">
        <f>K12</f>
        <v/>
      </c>
      <c r="M12">
        <f>L12-2*L11+L10</f>
        <v/>
      </c>
      <c r="N12">
        <f>K12-L12</f>
        <v/>
      </c>
      <c r="O12">
        <f>N12^2+$C$4*M12^2</f>
        <v/>
      </c>
      <c r="P12">
        <f>O12^2+$C$4*N12^2</f>
        <v/>
      </c>
    </row>
    <row r="13">
      <c r="A13" t="n">
        <v>2008</v>
      </c>
      <c r="B13">
        <f>'WEO_Data'!C12*1000</f>
        <v/>
      </c>
      <c r="C13" t="n">
        <v>76000</v>
      </c>
      <c r="D13" t="n">
        <v>2008</v>
      </c>
      <c r="E13">
        <f>LN(B13)</f>
        <v/>
      </c>
      <c r="F13">
        <f>LN(C13)</f>
        <v/>
      </c>
      <c r="G13">
        <f>E13-0.6*F13</f>
        <v/>
      </c>
      <c r="I13">
        <f>E13</f>
        <v/>
      </c>
      <c r="J13">
        <f>E13</f>
        <v/>
      </c>
      <c r="K13">
        <f>E13-0.6*F13</f>
        <v/>
      </c>
      <c r="L13">
        <f>K13</f>
        <v/>
      </c>
      <c r="M13">
        <f>L13-2*L12+L11</f>
        <v/>
      </c>
      <c r="N13">
        <f>K13-L13</f>
        <v/>
      </c>
      <c r="O13">
        <f>N13^2+$C$4*M13^2</f>
        <v/>
      </c>
      <c r="P13">
        <f>O13^2+$C$4*N13^2</f>
        <v/>
      </c>
    </row>
    <row r="14">
      <c r="A14" t="n">
        <v>2009</v>
      </c>
      <c r="B14">
        <f>'WEO_Data'!C13*1000</f>
        <v/>
      </c>
      <c r="C14" t="n">
        <v>74000</v>
      </c>
      <c r="D14" t="n">
        <v>2009</v>
      </c>
      <c r="E14">
        <f>LN(B14)</f>
        <v/>
      </c>
      <c r="F14">
        <f>LN(C14)</f>
        <v/>
      </c>
      <c r="G14">
        <f>E14-0.6*F14</f>
        <v/>
      </c>
      <c r="I14">
        <f>E14</f>
        <v/>
      </c>
      <c r="J14">
        <f>E14</f>
        <v/>
      </c>
      <c r="K14">
        <f>E14-0.6*F14</f>
        <v/>
      </c>
      <c r="L14">
        <f>K14</f>
        <v/>
      </c>
      <c r="M14">
        <f>L14-2*L13+L12</f>
        <v/>
      </c>
      <c r="N14">
        <f>K14-L14</f>
        <v/>
      </c>
      <c r="O14">
        <f>N14^2+$C$4*M14^2</f>
        <v/>
      </c>
      <c r="P14">
        <f>O14^2+$C$4*N14^2</f>
        <v/>
      </c>
    </row>
    <row r="15">
      <c r="A15" t="n">
        <v>2010</v>
      </c>
      <c r="B15">
        <f>'WEO_Data'!C14*1000</f>
        <v/>
      </c>
      <c r="C15" t="n">
        <v>77000</v>
      </c>
      <c r="D15" t="n">
        <v>2010</v>
      </c>
      <c r="E15">
        <f>LN(B15)</f>
        <v/>
      </c>
      <c r="F15">
        <f>LN(C15)</f>
        <v/>
      </c>
      <c r="G15">
        <f>E15-0.6*F15</f>
        <v/>
      </c>
      <c r="I15">
        <f>E15</f>
        <v/>
      </c>
      <c r="J15">
        <f>E15</f>
        <v/>
      </c>
      <c r="K15">
        <f>E15-0.6*F15</f>
        <v/>
      </c>
      <c r="L15">
        <f>K15</f>
        <v/>
      </c>
      <c r="M15">
        <f>L15-2*L14+L13</f>
        <v/>
      </c>
      <c r="N15">
        <f>K15-L15</f>
        <v/>
      </c>
      <c r="O15">
        <f>N15^2+$C$4*M15^2</f>
        <v/>
      </c>
      <c r="P15">
        <f>O15^2+$C$4*N15^2</f>
        <v/>
      </c>
    </row>
    <row r="16">
      <c r="A16" t="n">
        <v>2011</v>
      </c>
      <c r="B16">
        <f>'WEO_Data'!C15*1000</f>
        <v/>
      </c>
      <c r="C16" t="n">
        <v>81000</v>
      </c>
      <c r="D16" t="n">
        <v>2011</v>
      </c>
      <c r="E16">
        <f>LN(B16)</f>
        <v/>
      </c>
      <c r="F16">
        <f>LN(C16)</f>
        <v/>
      </c>
      <c r="G16">
        <f>E16-0.6*F16</f>
        <v/>
      </c>
      <c r="I16">
        <f>E16</f>
        <v/>
      </c>
      <c r="J16">
        <f>E16</f>
        <v/>
      </c>
      <c r="K16">
        <f>E16-0.6*F16</f>
        <v/>
      </c>
      <c r="L16">
        <f>K16</f>
        <v/>
      </c>
      <c r="M16">
        <f>L16-2*L15+L14</f>
        <v/>
      </c>
      <c r="N16">
        <f>K16-L16</f>
        <v/>
      </c>
      <c r="O16">
        <f>N16^2+$C$4*M16^2</f>
        <v/>
      </c>
      <c r="P16">
        <f>O16^2+$C$4*N16^2</f>
        <v/>
      </c>
    </row>
    <row r="17">
      <c r="A17" t="n">
        <v>2012</v>
      </c>
      <c r="B17">
        <f>'WEO_Data'!C16*1000</f>
        <v/>
      </c>
      <c r="C17" t="n">
        <v>85500</v>
      </c>
      <c r="D17" t="n">
        <v>2012</v>
      </c>
      <c r="E17">
        <f>LN(B17)</f>
        <v/>
      </c>
      <c r="F17">
        <f>LN(C17)</f>
        <v/>
      </c>
      <c r="G17">
        <f>E17-0.6*F17</f>
        <v/>
      </c>
      <c r="I17">
        <f>E17</f>
        <v/>
      </c>
      <c r="J17">
        <f>E17</f>
        <v/>
      </c>
      <c r="K17">
        <f>E17-0.6*F17</f>
        <v/>
      </c>
      <c r="L17">
        <f>K17</f>
        <v/>
      </c>
      <c r="M17">
        <f>L17-2*L16+L15</f>
        <v/>
      </c>
      <c r="N17">
        <f>K17-L17</f>
        <v/>
      </c>
      <c r="O17">
        <f>N17^2+$C$4*M17^2</f>
        <v/>
      </c>
      <c r="P17">
        <f>O17^2+$C$4*N17^2</f>
        <v/>
      </c>
    </row>
    <row r="18">
      <c r="A18" t="n">
        <v>2013</v>
      </c>
      <c r="B18">
        <f>'WEO_Data'!C17*1000</f>
        <v/>
      </c>
      <c r="C18" t="n">
        <v>90000</v>
      </c>
      <c r="D18" t="n">
        <v>2013</v>
      </c>
      <c r="E18">
        <f>LN(B18)</f>
        <v/>
      </c>
      <c r="F18">
        <f>LN(C18)</f>
        <v/>
      </c>
      <c r="G18">
        <f>E18-0.6*F18</f>
        <v/>
      </c>
      <c r="I18">
        <f>E18</f>
        <v/>
      </c>
      <c r="J18">
        <f>E18</f>
        <v/>
      </c>
      <c r="K18">
        <f>E18-0.6*F18</f>
        <v/>
      </c>
      <c r="L18">
        <f>K18</f>
        <v/>
      </c>
      <c r="M18">
        <f>L18-2*L17+L16</f>
        <v/>
      </c>
      <c r="N18">
        <f>K18-L18</f>
        <v/>
      </c>
      <c r="O18">
        <f>N18^2+$C$4*M18^2</f>
        <v/>
      </c>
      <c r="P18">
        <f>O18^2+$C$4*N18^2</f>
        <v/>
      </c>
    </row>
    <row r="19">
      <c r="A19" t="n">
        <v>2014</v>
      </c>
      <c r="B19">
        <f>'WEO_Data'!C18*1000</f>
        <v/>
      </c>
      <c r="C19" t="n">
        <v>98000</v>
      </c>
      <c r="D19" t="n">
        <v>2014</v>
      </c>
      <c r="E19">
        <f>LN(B19)</f>
        <v/>
      </c>
      <c r="F19">
        <f>LN(C19)</f>
        <v/>
      </c>
      <c r="G19">
        <f>E19-0.6*F19</f>
        <v/>
      </c>
      <c r="I19">
        <f>E19</f>
        <v/>
      </c>
      <c r="J19">
        <f>E19</f>
        <v/>
      </c>
      <c r="K19">
        <f>E19-0.6*F19</f>
        <v/>
      </c>
      <c r="L19">
        <f>K19</f>
        <v/>
      </c>
      <c r="M19">
        <f>L19-2*L18+L17</f>
        <v/>
      </c>
      <c r="N19">
        <f>K19-L19</f>
        <v/>
      </c>
      <c r="O19">
        <f>N19^2+$C$4*M19^2</f>
        <v/>
      </c>
      <c r="P19">
        <f>O19^2+$C$4*N19^2</f>
        <v/>
      </c>
    </row>
    <row r="20">
      <c r="A20" t="n">
        <v>2015</v>
      </c>
      <c r="B20">
        <f>'WEO_Data'!C19*1000</f>
        <v/>
      </c>
      <c r="C20" t="n">
        <v>169610</v>
      </c>
      <c r="D20" t="n">
        <v>2015</v>
      </c>
      <c r="E20">
        <f>LN(B20)</f>
        <v/>
      </c>
      <c r="F20">
        <f>LN(C20)</f>
        <v/>
      </c>
      <c r="G20">
        <f>E20-0.6*F20</f>
        <v/>
      </c>
      <c r="I20">
        <f>E20</f>
        <v/>
      </c>
      <c r="J20">
        <f>E20</f>
        <v/>
      </c>
      <c r="K20">
        <f>E20-0.6*F20</f>
        <v/>
      </c>
      <c r="L20">
        <f>K20</f>
        <v/>
      </c>
      <c r="M20">
        <f>L20-2*L19+L18</f>
        <v/>
      </c>
      <c r="N20">
        <f>K20-L20</f>
        <v/>
      </c>
      <c r="O20">
        <f>N20^2+$C$4*M20^2</f>
        <v/>
      </c>
      <c r="P20">
        <f>O20^2+$C$4*N20^2</f>
        <v/>
      </c>
    </row>
    <row r="21">
      <c r="A21" t="n">
        <v>2016</v>
      </c>
      <c r="B21">
        <f>'WEO_Data'!C20*1000</f>
        <v/>
      </c>
      <c r="C21" t="n">
        <v>210339</v>
      </c>
      <c r="D21" t="n">
        <v>2016</v>
      </c>
      <c r="E21">
        <f>LN(B21)</f>
        <v/>
      </c>
      <c r="F21">
        <f>LN(C21)</f>
        <v/>
      </c>
      <c r="G21">
        <f>E21-0.6*F21</f>
        <v/>
      </c>
      <c r="I21">
        <f>E21</f>
        <v/>
      </c>
      <c r="J21">
        <f>E21</f>
        <v/>
      </c>
      <c r="K21">
        <f>E21-0.6*F21</f>
        <v/>
      </c>
      <c r="L21">
        <f>K21</f>
        <v/>
      </c>
      <c r="M21">
        <f>L21-2*L20+L19</f>
        <v/>
      </c>
      <c r="N21">
        <f>K21-L21</f>
        <v/>
      </c>
      <c r="O21">
        <f>N21^2+$C$4*M21^2</f>
        <v/>
      </c>
      <c r="P21">
        <f>O21^2+$C$4*N21^2</f>
        <v/>
      </c>
    </row>
    <row r="22">
      <c r="A22" t="n">
        <v>2017</v>
      </c>
      <c r="B22">
        <f>'WEO_Data'!C21*1000</f>
        <v/>
      </c>
      <c r="C22" t="n">
        <v>248033</v>
      </c>
      <c r="D22" t="n">
        <v>2017</v>
      </c>
      <c r="E22">
        <f>LN(B22)</f>
        <v/>
      </c>
      <c r="F22">
        <f>LN(C22)</f>
        <v/>
      </c>
      <c r="G22">
        <f>E22-0.6*F22</f>
        <v/>
      </c>
      <c r="I22">
        <f>E22</f>
        <v/>
      </c>
      <c r="J22">
        <f>E22</f>
        <v/>
      </c>
      <c r="K22">
        <f>E22-0.6*F22</f>
        <v/>
      </c>
      <c r="L22">
        <f>K22</f>
        <v/>
      </c>
      <c r="M22">
        <f>L22-2*L21+L20</f>
        <v/>
      </c>
      <c r="N22">
        <f>K22-L22</f>
        <v/>
      </c>
      <c r="O22">
        <f>N22^2+$C$4*M22^2</f>
        <v/>
      </c>
      <c r="P22">
        <f>O22^2+$C$4*N22^2</f>
        <v/>
      </c>
    </row>
    <row r="23">
      <c r="A23" t="n">
        <v>2018</v>
      </c>
      <c r="B23">
        <f>'WEO_Data'!C22*1000</f>
        <v/>
      </c>
      <c r="C23" t="n">
        <v>254090</v>
      </c>
      <c r="D23" t="n">
        <v>2018</v>
      </c>
      <c r="E23">
        <f>LN(B23)</f>
        <v/>
      </c>
      <c r="F23">
        <f>LN(C23)</f>
        <v/>
      </c>
      <c r="G23">
        <f>E23-0.6*F23</f>
        <v/>
      </c>
      <c r="I23">
        <f>E23</f>
        <v/>
      </c>
      <c r="J23">
        <f>E23</f>
        <v/>
      </c>
      <c r="K23">
        <f>E23-0.6*F23</f>
        <v/>
      </c>
      <c r="L23">
        <f>K23</f>
        <v/>
      </c>
      <c r="M23">
        <f>L23-2*L22+L21</f>
        <v/>
      </c>
      <c r="N23">
        <f>K23-L23</f>
        <v/>
      </c>
      <c r="O23">
        <f>N23^2+$C$4*M23^2</f>
        <v/>
      </c>
      <c r="P23">
        <f>O23^2+$C$4*N23^2</f>
        <v/>
      </c>
    </row>
    <row r="24">
      <c r="A24" t="n">
        <v>2019</v>
      </c>
      <c r="B24">
        <f>'WEO_Data'!C23*1000</f>
        <v/>
      </c>
      <c r="C24" t="n">
        <v>263192</v>
      </c>
      <c r="D24" t="n">
        <v>2019</v>
      </c>
      <c r="E24">
        <f>LN(B24)</f>
        <v/>
      </c>
      <c r="F24">
        <f>LN(C24)</f>
        <v/>
      </c>
      <c r="G24">
        <f>E24-0.6*F24</f>
        <v/>
      </c>
      <c r="I24">
        <f>E24</f>
        <v/>
      </c>
      <c r="J24">
        <f>E24</f>
        <v/>
      </c>
      <c r="K24">
        <f>E24-0.6*F24</f>
        <v/>
      </c>
      <c r="L24">
        <f>K24</f>
        <v/>
      </c>
      <c r="M24">
        <f>L24-2*L23+L22</f>
        <v/>
      </c>
      <c r="N24">
        <f>K24-L24</f>
        <v/>
      </c>
      <c r="O24">
        <f>N24^2+$C$4*M24^2</f>
        <v/>
      </c>
      <c r="P24">
        <f>O24^2+$C$4*N24^2</f>
        <v/>
      </c>
    </row>
    <row r="25">
      <c r="A25" t="n">
        <v>2020</v>
      </c>
      <c r="B25">
        <f>'WEO_Data'!C24*1000</f>
        <v/>
      </c>
      <c r="C25" t="n">
        <v>275886</v>
      </c>
      <c r="D25" t="n">
        <v>2020</v>
      </c>
      <c r="E25">
        <f>LN(B25)</f>
        <v/>
      </c>
      <c r="F25">
        <f>LN(C25)</f>
        <v/>
      </c>
      <c r="G25">
        <f>E25-0.6*F25</f>
        <v/>
      </c>
      <c r="I25">
        <f>E25</f>
        <v/>
      </c>
      <c r="J25">
        <f>E25</f>
        <v/>
      </c>
      <c r="K25">
        <f>E25-0.6*F25</f>
        <v/>
      </c>
      <c r="L25">
        <f>K25</f>
        <v/>
      </c>
      <c r="M25">
        <f>L25-2*L24+L23</f>
        <v/>
      </c>
      <c r="N25">
        <f>K25-L25</f>
        <v/>
      </c>
      <c r="O25">
        <f>N25^2+$C$4*M25^2</f>
        <v/>
      </c>
      <c r="P25">
        <f>O25^2+$C$4*N25^2</f>
        <v/>
      </c>
    </row>
    <row r="26">
      <c r="A26" t="n">
        <v>2021</v>
      </c>
      <c r="B26">
        <f>'WEO_Data'!C25*1000</f>
        <v/>
      </c>
      <c r="C26" t="n">
        <v>289680</v>
      </c>
      <c r="D26" t="n">
        <v>2021</v>
      </c>
      <c r="E26">
        <f>LN(B26)</f>
        <v/>
      </c>
      <c r="F26">
        <f>LN(C26)</f>
        <v/>
      </c>
      <c r="G26">
        <f>E26-0.6*F26</f>
        <v/>
      </c>
      <c r="I26">
        <f>E26</f>
        <v/>
      </c>
      <c r="J26">
        <f>E26</f>
        <v/>
      </c>
      <c r="K26">
        <f>E26-0.6*F26</f>
        <v/>
      </c>
      <c r="L26">
        <f>K26</f>
        <v/>
      </c>
      <c r="M26">
        <f>L26-2*L25+L24</f>
        <v/>
      </c>
      <c r="N26">
        <f>K26-L26</f>
        <v/>
      </c>
      <c r="O26">
        <f>N26^2+$C$4*M26^2</f>
        <v/>
      </c>
      <c r="P26">
        <f>O26^2+$C$4*N26^2</f>
        <v/>
      </c>
    </row>
    <row r="27">
      <c r="A27" t="n">
        <v>2022</v>
      </c>
      <c r="B27">
        <f>'WEO_Data'!C26*1000</f>
        <v/>
      </c>
      <c r="C27" t="n">
        <v>304164</v>
      </c>
      <c r="D27" t="n">
        <v>2022</v>
      </c>
      <c r="E27">
        <f>LN(B27)</f>
        <v/>
      </c>
      <c r="F27">
        <f>LN(C27)</f>
        <v/>
      </c>
      <c r="G27">
        <f>E27-0.6*F27</f>
        <v/>
      </c>
      <c r="I27">
        <f>E27</f>
        <v/>
      </c>
      <c r="J27">
        <f>E27</f>
        <v/>
      </c>
      <c r="K27">
        <f>E27-0.6*F27</f>
        <v/>
      </c>
      <c r="L27">
        <f>K27</f>
        <v/>
      </c>
      <c r="M27">
        <f>L27-2*L26+L25</f>
        <v/>
      </c>
      <c r="N27">
        <f>K27-L27</f>
        <v/>
      </c>
      <c r="O27">
        <f>N27^2+$C$4*M27^2</f>
        <v/>
      </c>
      <c r="P27">
        <f>O27^2+$C$4*N27^2</f>
        <v/>
      </c>
    </row>
    <row r="28">
      <c r="A28" t="n">
        <v>2023</v>
      </c>
      <c r="B28">
        <f>'WEO_Data'!C27*1000</f>
        <v/>
      </c>
      <c r="C28" t="n">
        <v>319372</v>
      </c>
      <c r="D28" t="n">
        <v>2023</v>
      </c>
      <c r="E28">
        <f>LN(B28)</f>
        <v/>
      </c>
      <c r="F28">
        <f>LN(C28)</f>
        <v/>
      </c>
      <c r="G28">
        <f>E28-0.6*F28</f>
        <v/>
      </c>
      <c r="I28">
        <f>E28</f>
        <v/>
      </c>
      <c r="J28">
        <f>E28</f>
        <v/>
      </c>
      <c r="K28">
        <f>E28-0.6*F28</f>
        <v/>
      </c>
      <c r="L28">
        <f>K28</f>
        <v/>
      </c>
      <c r="M28">
        <f>L28-2*L27+L26</f>
        <v/>
      </c>
      <c r="N28">
        <f>K28-L28</f>
        <v/>
      </c>
      <c r="O28">
        <f>N28^2+$C$4*M28^2</f>
        <v/>
      </c>
      <c r="P28">
        <f>O28^2+$C$4*N28^2</f>
        <v/>
      </c>
    </row>
    <row r="29">
      <c r="A29" t="n">
        <v>2024</v>
      </c>
      <c r="B29">
        <f>'WEO_Data'!C28*1000</f>
        <v/>
      </c>
      <c r="C29" t="n">
        <v>335241</v>
      </c>
      <c r="D29" t="n">
        <v>2024</v>
      </c>
      <c r="E29">
        <f>LN(B29)</f>
        <v/>
      </c>
      <c r="F29">
        <f>LN(C29)</f>
        <v/>
      </c>
      <c r="G29">
        <f>E29-0.6*F29</f>
        <v/>
      </c>
      <c r="I29">
        <f>E29</f>
        <v/>
      </c>
      <c r="J29">
        <f>E29</f>
        <v/>
      </c>
      <c r="K29">
        <f>E29-0.6*F29</f>
        <v/>
      </c>
      <c r="L29">
        <f>K29</f>
        <v/>
      </c>
      <c r="M29">
        <f>L29-2*L28+L27</f>
        <v/>
      </c>
      <c r="N29">
        <f>K29-L29</f>
        <v/>
      </c>
      <c r="O29">
        <f>N29^2+$C$4*M29^2</f>
        <v/>
      </c>
      <c r="P29">
        <f>O29^2+$C$4*N29^2</f>
        <v/>
      </c>
    </row>
    <row r="30">
      <c r="A30" t="n">
        <v>2025</v>
      </c>
      <c r="B30">
        <f>'WEO_Data'!C29*1000</f>
        <v/>
      </c>
      <c r="C30" t="n">
        <v>352103</v>
      </c>
      <c r="D30" t="n">
        <v>2025</v>
      </c>
      <c r="E30">
        <f>LN(B30)</f>
        <v/>
      </c>
      <c r="F30">
        <f>LN(C30)</f>
        <v/>
      </c>
      <c r="G30">
        <f>E30-0.6*F30</f>
        <v/>
      </c>
      <c r="I30">
        <f>E30</f>
        <v/>
      </c>
      <c r="J30">
        <f>E30</f>
        <v/>
      </c>
      <c r="K30">
        <f>E30-0.6*F30</f>
        <v/>
      </c>
      <c r="L30">
        <f>K30</f>
        <v/>
      </c>
      <c r="M30">
        <f>L30-2*L29+L28</f>
        <v/>
      </c>
      <c r="N30">
        <f>K30-L30</f>
        <v/>
      </c>
      <c r="O30">
        <f>N30^2+$C$4*M30^2</f>
        <v/>
      </c>
      <c r="P30">
        <f>O30^2+$C$4*N30^2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 Shock Scenario - 8 Years, $6.5 Billion</t>
        </is>
      </c>
    </row>
    <row r="3">
      <c r="A3" t="inlineStr">
        <is>
          <t>Year</t>
        </is>
      </c>
      <c r="B3" t="inlineStr">
        <is>
          <t>Annual Investment (USD Millions)</t>
        </is>
      </c>
      <c r="C3" t="inlineStr">
        <is>
          <t>Cumulative Investment (USD Millions)</t>
        </is>
      </c>
    </row>
    <row r="4">
      <c r="A4" t="n">
        <v>2026</v>
      </c>
      <c r="B4" t="n">
        <v>812.5</v>
      </c>
      <c r="C4" t="n">
        <v>812.5</v>
      </c>
    </row>
    <row r="5">
      <c r="A5" t="n">
        <v>2027</v>
      </c>
      <c r="B5" t="n">
        <v>812.5</v>
      </c>
      <c r="C5" t="n">
        <v>1625</v>
      </c>
    </row>
    <row r="6">
      <c r="A6" t="n">
        <v>2028</v>
      </c>
      <c r="B6" t="n">
        <v>812.5</v>
      </c>
      <c r="C6" t="n">
        <v>2437.5</v>
      </c>
    </row>
    <row r="7">
      <c r="A7" t="n">
        <v>2029</v>
      </c>
      <c r="B7" t="n">
        <v>812.5</v>
      </c>
      <c r="C7" t="n">
        <v>3250</v>
      </c>
    </row>
    <row r="8">
      <c r="A8" t="n">
        <v>2030</v>
      </c>
      <c r="B8" t="n">
        <v>812.5</v>
      </c>
      <c r="C8" t="n">
        <v>4062.5</v>
      </c>
    </row>
    <row r="9">
      <c r="A9" t="n">
        <v>2031</v>
      </c>
      <c r="B9" t="n">
        <v>812.5</v>
      </c>
      <c r="C9" t="n">
        <v>4875</v>
      </c>
    </row>
    <row r="10">
      <c r="A10" t="n">
        <v>2032</v>
      </c>
      <c r="B10" t="n">
        <v>812.5</v>
      </c>
      <c r="C10" t="n">
        <v>5687.5</v>
      </c>
    </row>
    <row r="11">
      <c r="A11" t="n">
        <v>2033</v>
      </c>
      <c r="B11" t="n">
        <v>812.5</v>
      </c>
      <c r="C11" t="n">
        <v>6500</v>
      </c>
    </row>
    <row r="12">
      <c r="A12" t="n">
        <v>2034</v>
      </c>
      <c r="B12" t="n">
        <v>0</v>
      </c>
      <c r="C12" t="n">
        <v>6500</v>
      </c>
    </row>
    <row r="13">
      <c r="A13" t="n">
        <v>2035</v>
      </c>
      <c r="B13" t="n">
        <v>0</v>
      </c>
      <c r="C13" t="n">
        <v>6500</v>
      </c>
    </row>
    <row r="14">
      <c r="A14" t="n">
        <v>2036</v>
      </c>
      <c r="B14" t="n">
        <v>0</v>
      </c>
      <c r="C14" t="n">
        <v>6500</v>
      </c>
    </row>
    <row r="15">
      <c r="A15" t="n">
        <v>2037</v>
      </c>
      <c r="B15" t="n">
        <v>0</v>
      </c>
      <c r="C15" t="n">
        <v>6500</v>
      </c>
    </row>
    <row r="16">
      <c r="A16" t="n">
        <v>2038</v>
      </c>
      <c r="B16" t="n">
        <v>0</v>
      </c>
      <c r="C16" t="n">
        <v>6500</v>
      </c>
    </row>
    <row r="17">
      <c r="A17" t="n">
        <v>2039</v>
      </c>
      <c r="B17" t="n">
        <v>0</v>
      </c>
      <c r="C17" t="n">
        <v>6500</v>
      </c>
    </row>
    <row r="18">
      <c r="A18" t="n">
        <v>2040</v>
      </c>
      <c r="B18" t="n">
        <v>0</v>
      </c>
      <c r="C18" t="n">
        <v>6500</v>
      </c>
    </row>
    <row r="19">
      <c r="A19" t="n">
        <v>2041</v>
      </c>
      <c r="B19" t="n">
        <v>0</v>
      </c>
      <c r="C19" t="n">
        <v>6500</v>
      </c>
    </row>
    <row r="20">
      <c r="A20" t="n">
        <v>2042</v>
      </c>
      <c r="B20" t="n">
        <v>0</v>
      </c>
      <c r="C20" t="n">
        <v>6500</v>
      </c>
    </row>
    <row r="21">
      <c r="A21" t="n">
        <v>2043</v>
      </c>
      <c r="B21" t="n">
        <v>0</v>
      </c>
      <c r="C21" t="n">
        <v>6500</v>
      </c>
    </row>
    <row r="22">
      <c r="A22" t="n">
        <v>2044</v>
      </c>
      <c r="B22" t="n">
        <v>0</v>
      </c>
      <c r="C22" t="n">
        <v>6500</v>
      </c>
    </row>
    <row r="23">
      <c r="A23" t="n">
        <v>2045</v>
      </c>
      <c r="B23" t="n">
        <v>0</v>
      </c>
      <c r="C23" t="n">
        <v>6500</v>
      </c>
    </row>
    <row r="24">
      <c r="A24" t="n">
        <v>2046</v>
      </c>
      <c r="B24" t="n">
        <v>0</v>
      </c>
      <c r="C24" t="n">
        <v>6500</v>
      </c>
    </row>
    <row r="25">
      <c r="A25" t="n">
        <v>2047</v>
      </c>
      <c r="B25" t="n">
        <v>0</v>
      </c>
      <c r="C25" t="n">
        <v>6500</v>
      </c>
    </row>
    <row r="26">
      <c r="A26" t="n">
        <v>2048</v>
      </c>
      <c r="B26" t="n">
        <v>0</v>
      </c>
      <c r="C26" t="n">
        <v>6500</v>
      </c>
    </row>
    <row r="27">
      <c r="A27" t="n">
        <v>2049</v>
      </c>
      <c r="B27" t="n">
        <v>0</v>
      </c>
      <c r="C27" t="n">
        <v>6500</v>
      </c>
    </row>
    <row r="28">
      <c r="A28" t="n">
        <v>2050</v>
      </c>
      <c r="B28" t="n">
        <v>0</v>
      </c>
      <c r="C28" t="n">
        <v>6500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Results - Impact of Investment Shock</t>
        </is>
      </c>
    </row>
    <row r="3">
      <c r="A3" t="inlineStr">
        <is>
          <t>Year</t>
        </is>
      </c>
      <c r="B3" t="inlineStr">
        <is>
          <t>Y_Base (Baseline GDP, USD Millions)</t>
        </is>
      </c>
      <c r="C3" t="inlineStr">
        <is>
          <t>K_Base (Baseline Capital, USD Millions)</t>
        </is>
      </c>
      <c r="D3" t="inlineStr">
        <is>
          <t>K_With (With Investment, USD Millions)</t>
        </is>
      </c>
      <c r="E3" t="inlineStr">
        <is>
          <t>Y_Star_Base (Baseline Output)</t>
        </is>
      </c>
      <c r="F3" t="inlineStr">
        <is>
          <t>Y_Star_With (With Investment)</t>
        </is>
      </c>
      <c r="G3" t="inlineStr">
        <is>
          <t>Delta Y (Output Increase)</t>
        </is>
      </c>
      <c r="H3" t="inlineStr">
        <is>
          <t>Y_Growth Impact (%)</t>
        </is>
      </c>
    </row>
    <row r="4">
      <c r="A4" t="n">
        <v>2002</v>
      </c>
    </row>
    <row r="5">
      <c r="A5" t="n">
        <v>2003</v>
      </c>
    </row>
    <row r="6">
      <c r="A6" t="n">
        <v>2004</v>
      </c>
    </row>
    <row r="7">
      <c r="A7" t="n">
        <v>2005</v>
      </c>
    </row>
    <row r="8">
      <c r="A8" t="n">
        <v>2006</v>
      </c>
    </row>
    <row r="9">
      <c r="A9" t="n">
        <v>2007</v>
      </c>
    </row>
    <row r="10">
      <c r="A10" t="n">
        <v>2008</v>
      </c>
    </row>
    <row r="11">
      <c r="A11" t="n">
        <v>2009</v>
      </c>
    </row>
    <row r="12">
      <c r="A12" t="n">
        <v>2010</v>
      </c>
    </row>
    <row r="13">
      <c r="A13" t="n">
        <v>2011</v>
      </c>
    </row>
    <row r="14">
      <c r="A14" t="n">
        <v>2012</v>
      </c>
    </row>
    <row r="15">
      <c r="A15" t="n">
        <v>2013</v>
      </c>
    </row>
    <row r="16">
      <c r="A16" t="n">
        <v>2014</v>
      </c>
    </row>
    <row r="17">
      <c r="A17" t="n">
        <v>2015</v>
      </c>
    </row>
    <row r="18">
      <c r="A18" t="n">
        <v>2016</v>
      </c>
    </row>
    <row r="19">
      <c r="A19" t="n">
        <v>2017</v>
      </c>
    </row>
    <row r="20">
      <c r="A20" t="n">
        <v>2018</v>
      </c>
    </row>
    <row r="21">
      <c r="A21" t="n">
        <v>2019</v>
      </c>
    </row>
    <row r="22">
      <c r="A22" t="n">
        <v>2020</v>
      </c>
    </row>
    <row r="23">
      <c r="A23" t="n">
        <v>2021</v>
      </c>
    </row>
    <row r="24">
      <c r="A24" t="n">
        <v>2022</v>
      </c>
    </row>
    <row r="25">
      <c r="A25" t="n">
        <v>2023</v>
      </c>
    </row>
    <row r="26">
      <c r="A26" t="n">
        <v>2024</v>
      </c>
    </row>
    <row r="27">
      <c r="A27" t="n">
        <v>2025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Cobb-Douglas Production Function Analysis</t>
        </is>
      </c>
    </row>
    <row r="3">
      <c r="A3" s="2" t="inlineStr">
        <is>
          <t>Capital Stock Analysis (2002-2043)</t>
        </is>
      </c>
    </row>
    <row r="5">
      <c r="A5" t="inlineStr">
        <is>
          <t>Year</t>
        </is>
      </c>
      <c r="B5" t="inlineStr">
        <is>
          <t>Y (Real GDP, M USD)</t>
        </is>
      </c>
      <c r="C5" t="inlineStr">
        <is>
          <t>K (Capital Stock, M USD)</t>
        </is>
      </c>
      <c r="D5" t="inlineStr">
        <is>
          <t>K/Y</t>
        </is>
      </c>
      <c r="E5" t="inlineStr">
        <is>
          <t>AvgKY_9yr</t>
        </is>
      </c>
      <c r="F5" t="inlineStr">
        <is>
          <t>K_Extended</t>
        </is>
      </c>
    </row>
    <row r="6">
      <c r="A6" t="n">
        <v>2002</v>
      </c>
      <c r="B6">
        <f>'Production'!B7</f>
        <v/>
      </c>
      <c r="C6">
        <f>'Production'!C7</f>
        <v/>
      </c>
      <c r="D6">
        <f>IF(B6=0, 0, C6/B6)</f>
        <v/>
      </c>
      <c r="E6">
        <f>AVERAGE($D$14:$D$22)</f>
        <v/>
      </c>
      <c r="F6">
        <f>C6</f>
        <v/>
      </c>
    </row>
    <row r="7">
      <c r="A7" t="n">
        <v>2003</v>
      </c>
      <c r="B7">
        <f>'Production'!B8</f>
        <v/>
      </c>
      <c r="C7">
        <f>'Production'!C8</f>
        <v/>
      </c>
      <c r="D7">
        <f>IF(B7=0, 0, C7/B7)</f>
        <v/>
      </c>
      <c r="E7">
        <f>AVERAGE($D$14:$D$22)</f>
        <v/>
      </c>
      <c r="F7">
        <f>C7</f>
        <v/>
      </c>
    </row>
    <row r="8">
      <c r="A8" t="n">
        <v>2004</v>
      </c>
      <c r="B8">
        <f>'Production'!B9</f>
        <v/>
      </c>
      <c r="C8">
        <f>'Production'!C9</f>
        <v/>
      </c>
      <c r="D8">
        <f>IF(B8=0, 0, C8/B8)</f>
        <v/>
      </c>
      <c r="E8">
        <f>AVERAGE($D$14:$D$22)</f>
        <v/>
      </c>
      <c r="F8">
        <f>C8</f>
        <v/>
      </c>
    </row>
    <row r="9">
      <c r="A9" t="n">
        <v>2005</v>
      </c>
      <c r="B9">
        <f>'Production'!B10</f>
        <v/>
      </c>
      <c r="C9">
        <f>'Production'!C10</f>
        <v/>
      </c>
      <c r="D9">
        <f>IF(B9=0, 0, C9/B9)</f>
        <v/>
      </c>
      <c r="E9">
        <f>AVERAGE($D$14:$D$22)</f>
        <v/>
      </c>
      <c r="F9">
        <f>C9</f>
        <v/>
      </c>
    </row>
    <row r="10">
      <c r="A10" t="n">
        <v>2006</v>
      </c>
      <c r="B10">
        <f>'Production'!B11</f>
        <v/>
      </c>
      <c r="C10">
        <f>'Production'!C11</f>
        <v/>
      </c>
      <c r="D10">
        <f>IF(B10=0, 0, C10/B10)</f>
        <v/>
      </c>
      <c r="E10">
        <f>AVERAGE($D$14:$D$22)</f>
        <v/>
      </c>
      <c r="F10">
        <f>C10</f>
        <v/>
      </c>
    </row>
    <row r="11">
      <c r="A11" t="n">
        <v>2007</v>
      </c>
      <c r="B11">
        <f>'Production'!B12</f>
        <v/>
      </c>
      <c r="C11">
        <f>'Production'!C12</f>
        <v/>
      </c>
      <c r="D11">
        <f>IF(B11=0, 0, C11/B11)</f>
        <v/>
      </c>
      <c r="E11">
        <f>AVERAGE($D$14:$D$22)</f>
        <v/>
      </c>
      <c r="F11">
        <f>C11</f>
        <v/>
      </c>
    </row>
    <row r="12">
      <c r="A12" t="n">
        <v>2008</v>
      </c>
      <c r="B12">
        <f>'Production'!B13</f>
        <v/>
      </c>
      <c r="C12">
        <f>'Production'!C13</f>
        <v/>
      </c>
      <c r="D12">
        <f>IF(B12=0, 0, C12/B12)</f>
        <v/>
      </c>
      <c r="E12">
        <f>AVERAGE($D$14:$D$22)</f>
        <v/>
      </c>
      <c r="F12">
        <f>C12</f>
        <v/>
      </c>
    </row>
    <row r="13">
      <c r="A13" t="n">
        <v>2009</v>
      </c>
      <c r="B13">
        <f>'Production'!B14</f>
        <v/>
      </c>
      <c r="C13">
        <f>'Production'!C14</f>
        <v/>
      </c>
      <c r="D13">
        <f>IF(B13=0, 0, C13/B13)</f>
        <v/>
      </c>
      <c r="E13">
        <f>AVERAGE($D$14:$D$22)</f>
        <v/>
      </c>
      <c r="F13">
        <f>C13</f>
        <v/>
      </c>
    </row>
    <row r="14">
      <c r="A14" t="n">
        <v>2010</v>
      </c>
      <c r="B14">
        <f>'Production'!B15</f>
        <v/>
      </c>
      <c r="C14">
        <f>'Production'!C15</f>
        <v/>
      </c>
      <c r="D14">
        <f>IF(B14=0, 0, C14/B14)</f>
        <v/>
      </c>
      <c r="E14">
        <f>AVERAGE($D$14:$D$22)</f>
        <v/>
      </c>
      <c r="F14">
        <f>C14</f>
        <v/>
      </c>
    </row>
    <row r="15">
      <c r="A15" t="n">
        <v>2011</v>
      </c>
      <c r="B15">
        <f>'Production'!B16</f>
        <v/>
      </c>
      <c r="C15">
        <f>'Production'!C16</f>
        <v/>
      </c>
      <c r="D15">
        <f>IF(B15=0, 0, C15/B15)</f>
        <v/>
      </c>
      <c r="E15">
        <f>AVERAGE($D$14:$D$22)</f>
        <v/>
      </c>
      <c r="F15">
        <f>C15</f>
        <v/>
      </c>
    </row>
    <row r="16">
      <c r="A16" t="n">
        <v>2012</v>
      </c>
      <c r="B16">
        <f>'Production'!B17</f>
        <v/>
      </c>
      <c r="C16">
        <f>'Production'!C17</f>
        <v/>
      </c>
      <c r="D16">
        <f>IF(B16=0, 0, C16/B16)</f>
        <v/>
      </c>
      <c r="E16">
        <f>AVERAGE($D$14:$D$22)</f>
        <v/>
      </c>
      <c r="F16">
        <f>C16</f>
        <v/>
      </c>
    </row>
    <row r="17">
      <c r="A17" t="n">
        <v>2013</v>
      </c>
      <c r="B17">
        <f>'Production'!B18</f>
        <v/>
      </c>
      <c r="C17">
        <f>'Production'!C18</f>
        <v/>
      </c>
      <c r="D17">
        <f>IF(B17=0, 0, C17/B17)</f>
        <v/>
      </c>
      <c r="E17">
        <f>AVERAGE($D$14:$D$22)</f>
        <v/>
      </c>
      <c r="F17">
        <f>C17</f>
        <v/>
      </c>
    </row>
    <row r="18">
      <c r="A18" t="n">
        <v>2014</v>
      </c>
      <c r="B18">
        <f>'Production'!B19</f>
        <v/>
      </c>
      <c r="C18">
        <f>'Production'!C19</f>
        <v/>
      </c>
      <c r="D18">
        <f>IF(B18=0, 0, C18/B18)</f>
        <v/>
      </c>
      <c r="E18">
        <f>AVERAGE($D$14:$D$22)</f>
        <v/>
      </c>
      <c r="F18">
        <f>C18</f>
        <v/>
      </c>
    </row>
    <row r="19">
      <c r="A19" t="n">
        <v>2015</v>
      </c>
      <c r="B19">
        <f>'Production'!B20</f>
        <v/>
      </c>
      <c r="C19">
        <f>'Production'!C20</f>
        <v/>
      </c>
      <c r="D19">
        <f>IF(B19=0, 0, C19/B19)</f>
        <v/>
      </c>
      <c r="E19">
        <f>AVERAGE($D$14:$D$22)</f>
        <v/>
      </c>
      <c r="F19">
        <f>C19</f>
        <v/>
      </c>
    </row>
    <row r="20">
      <c r="A20" t="n">
        <v>2016</v>
      </c>
      <c r="B20">
        <f>'Production'!B21</f>
        <v/>
      </c>
      <c r="C20">
        <f>'Production'!C21</f>
        <v/>
      </c>
      <c r="D20">
        <f>IF(B20=0, 0, C20/B20)</f>
        <v/>
      </c>
      <c r="E20">
        <f>AVERAGE($D$14:$D$22)</f>
        <v/>
      </c>
      <c r="F20">
        <f>C20</f>
        <v/>
      </c>
    </row>
    <row r="21">
      <c r="A21" t="n">
        <v>2017</v>
      </c>
      <c r="B21">
        <f>'Production'!B22</f>
        <v/>
      </c>
      <c r="C21">
        <f>'Production'!C22</f>
        <v/>
      </c>
      <c r="D21">
        <f>IF(B21=0, 0, C21/B21)</f>
        <v/>
      </c>
      <c r="E21">
        <f>AVERAGE($D$14:$D$22)</f>
        <v/>
      </c>
      <c r="F21">
        <f>C21</f>
        <v/>
      </c>
    </row>
    <row r="22">
      <c r="A22" t="n">
        <v>2018</v>
      </c>
      <c r="B22">
        <f>'Production'!B23</f>
        <v/>
      </c>
      <c r="C22">
        <f>'Production'!C23</f>
        <v/>
      </c>
      <c r="D22">
        <f>IF(B22=0, 0, C22/B22)</f>
        <v/>
      </c>
      <c r="E22">
        <f>AVERAGE($D$14:$D$22)</f>
        <v/>
      </c>
      <c r="F22">
        <f>C22</f>
        <v/>
      </c>
    </row>
    <row r="23">
      <c r="A23" t="n">
        <v>2019</v>
      </c>
      <c r="B23">
        <f>'Production'!B24</f>
        <v/>
      </c>
      <c r="C23">
        <f>'Production'!C24</f>
        <v/>
      </c>
      <c r="D23">
        <f>IF(B23=0, 0, C23/B23)</f>
        <v/>
      </c>
      <c r="E23">
        <f>AVERAGE($D$14:$D$22)</f>
        <v/>
      </c>
      <c r="F23">
        <f>C23</f>
        <v/>
      </c>
    </row>
    <row r="24">
      <c r="A24" t="n">
        <v>2020</v>
      </c>
      <c r="B24">
        <f>'Production'!B25</f>
        <v/>
      </c>
      <c r="C24">
        <f>'Production'!C25</f>
        <v/>
      </c>
      <c r="D24">
        <f>IF(B24=0, 0, C24/B24)</f>
        <v/>
      </c>
      <c r="E24">
        <f>AVERAGE($D$14:$D$22)</f>
        <v/>
      </c>
      <c r="F24">
        <f>C24</f>
        <v/>
      </c>
    </row>
    <row r="25">
      <c r="A25" t="n">
        <v>2021</v>
      </c>
      <c r="B25">
        <f>'Production'!B26</f>
        <v/>
      </c>
      <c r="C25">
        <f>'Production'!C26</f>
        <v/>
      </c>
      <c r="D25">
        <f>IF(B25=0, 0, C25/B25)</f>
        <v/>
      </c>
      <c r="E25">
        <f>AVERAGE($D$14:$D$22)</f>
        <v/>
      </c>
      <c r="F25">
        <f>C25</f>
        <v/>
      </c>
    </row>
    <row r="26">
      <c r="A26" t="n">
        <v>2022</v>
      </c>
      <c r="B26">
        <f>'Production'!B27</f>
        <v/>
      </c>
      <c r="C26">
        <f>'Production'!C27</f>
        <v/>
      </c>
      <c r="D26">
        <f>IF(B26=0, 0, C26/B26)</f>
        <v/>
      </c>
      <c r="E26">
        <f>AVERAGE($D$14:$D$22)</f>
        <v/>
      </c>
      <c r="F26">
        <f>C26</f>
        <v/>
      </c>
    </row>
    <row r="27">
      <c r="A27" t="n">
        <v>2023</v>
      </c>
      <c r="B27">
        <f>'Production'!B28</f>
        <v/>
      </c>
      <c r="C27">
        <f>'Production'!C28</f>
        <v/>
      </c>
      <c r="D27">
        <f>IF(B27=0, 0, C27/B27)</f>
        <v/>
      </c>
      <c r="E27">
        <f>AVERAGE($D$14:$D$22)</f>
        <v/>
      </c>
      <c r="F27">
        <f>C27</f>
        <v/>
      </c>
    </row>
    <row r="28">
      <c r="A28" t="n">
        <v>2024</v>
      </c>
      <c r="B28">
        <f>'Production'!B29</f>
        <v/>
      </c>
      <c r="C28">
        <f>'Production'!C29</f>
        <v/>
      </c>
      <c r="D28">
        <f>IF(B28=0, 0, C28/B28)</f>
        <v/>
      </c>
      <c r="E28">
        <f>AVERAGE($D$14:$D$22)</f>
        <v/>
      </c>
      <c r="F28">
        <f>B28*$E28</f>
        <v/>
      </c>
    </row>
    <row r="29">
      <c r="A29" t="n">
        <v>2025</v>
      </c>
      <c r="B29">
        <f>'Production'!B30</f>
        <v/>
      </c>
      <c r="C29">
        <f>'Production'!C30</f>
        <v/>
      </c>
      <c r="D29">
        <f>IF(B29=0, 0, C29/B29)</f>
        <v/>
      </c>
      <c r="E29">
        <f>AVERAGE($D$14:$D$22)</f>
        <v/>
      </c>
      <c r="F29">
        <f>B29*$E29</f>
        <v/>
      </c>
    </row>
    <row r="30">
      <c r="A30" t="n">
        <v>2026</v>
      </c>
      <c r="B30">
        <f>B29*1.05</f>
        <v/>
      </c>
      <c r="C30">
        <f>C29*(1-0.06)+812.5</f>
        <v/>
      </c>
      <c r="D30">
        <f>IF(B30=0, 0, C30/B30)</f>
        <v/>
      </c>
      <c r="E30">
        <f>AVERAGE($D$14:$D$22)</f>
        <v/>
      </c>
      <c r="F30">
        <f>B30*$E30</f>
        <v/>
      </c>
    </row>
    <row r="31">
      <c r="A31" t="n">
        <v>2027</v>
      </c>
      <c r="B31">
        <f>B30*1.05</f>
        <v/>
      </c>
      <c r="C31">
        <f>C30*(1-0.06)+812.5</f>
        <v/>
      </c>
      <c r="D31">
        <f>IF(B31=0, 0, C31/B31)</f>
        <v/>
      </c>
      <c r="E31">
        <f>AVERAGE($D$14:$D$22)</f>
        <v/>
      </c>
      <c r="F31">
        <f>B31*$E31</f>
        <v/>
      </c>
    </row>
    <row r="32">
      <c r="A32" t="n">
        <v>2028</v>
      </c>
      <c r="B32">
        <f>B31*1.05</f>
        <v/>
      </c>
      <c r="C32">
        <f>C31*(1-0.06)+812.5</f>
        <v/>
      </c>
      <c r="D32">
        <f>IF(B32=0, 0, C32/B32)</f>
        <v/>
      </c>
      <c r="E32">
        <f>AVERAGE($D$14:$D$22)</f>
        <v/>
      </c>
      <c r="F32">
        <f>B32*$E32</f>
        <v/>
      </c>
    </row>
    <row r="33">
      <c r="A33" t="n">
        <v>2029</v>
      </c>
      <c r="B33">
        <f>B32*1.05</f>
        <v/>
      </c>
      <c r="C33">
        <f>C32*(1-0.06)+812.5</f>
        <v/>
      </c>
      <c r="D33">
        <f>IF(B33=0, 0, C33/B33)</f>
        <v/>
      </c>
      <c r="E33">
        <f>AVERAGE($D$14:$D$22)</f>
        <v/>
      </c>
      <c r="F33">
        <f>B33*$E33</f>
        <v/>
      </c>
    </row>
    <row r="34">
      <c r="A34" t="n">
        <v>2030</v>
      </c>
      <c r="B34">
        <f>B33*1.05</f>
        <v/>
      </c>
      <c r="C34">
        <f>C33*(1-0.06)+812.5</f>
        <v/>
      </c>
      <c r="D34">
        <f>IF(B34=0, 0, C34/B34)</f>
        <v/>
      </c>
      <c r="E34">
        <f>AVERAGE($D$14:$D$22)</f>
        <v/>
      </c>
      <c r="F34">
        <f>B34*$E34</f>
        <v/>
      </c>
    </row>
    <row r="35">
      <c r="A35" t="n">
        <v>2031</v>
      </c>
      <c r="B35">
        <f>B34*1.05</f>
        <v/>
      </c>
      <c r="C35">
        <f>C34*(1-0.06)+812.5</f>
        <v/>
      </c>
      <c r="D35">
        <f>IF(B35=0, 0, C35/B35)</f>
        <v/>
      </c>
      <c r="E35">
        <f>AVERAGE($D$14:$D$22)</f>
        <v/>
      </c>
      <c r="F35">
        <f>B35*$E35</f>
        <v/>
      </c>
    </row>
    <row r="36">
      <c r="A36" t="n">
        <v>2032</v>
      </c>
      <c r="B36">
        <f>B35*1.05</f>
        <v/>
      </c>
      <c r="C36">
        <f>C35*(1-0.06)+812.5</f>
        <v/>
      </c>
      <c r="D36">
        <f>IF(B36=0, 0, C36/B36)</f>
        <v/>
      </c>
      <c r="E36">
        <f>AVERAGE($D$14:$D$22)</f>
        <v/>
      </c>
      <c r="F36">
        <f>B36*$E36</f>
        <v/>
      </c>
    </row>
    <row r="37">
      <c r="A37" t="n">
        <v>2033</v>
      </c>
      <c r="B37">
        <f>B36*1.05</f>
        <v/>
      </c>
      <c r="C37">
        <f>C36*(1-0.06)+812.5</f>
        <v/>
      </c>
      <c r="D37">
        <f>IF(B37=0, 0, C37/B37)</f>
        <v/>
      </c>
      <c r="E37">
        <f>AVERAGE($D$14:$D$22)</f>
        <v/>
      </c>
      <c r="F37">
        <f>B37*$E37</f>
        <v/>
      </c>
    </row>
    <row r="38">
      <c r="A38" t="n">
        <v>2034</v>
      </c>
      <c r="B38">
        <f>B37*1.05</f>
        <v/>
      </c>
      <c r="C38">
        <f>C37*(1-0.06)+812.5</f>
        <v/>
      </c>
      <c r="D38">
        <f>IF(B38=0, 0, C38/B38)</f>
        <v/>
      </c>
      <c r="E38">
        <f>AVERAGE($D$14:$D$22)</f>
        <v/>
      </c>
      <c r="F38">
        <f>B38*$E38</f>
        <v/>
      </c>
    </row>
    <row r="39">
      <c r="A39" t="n">
        <v>2035</v>
      </c>
      <c r="B39">
        <f>B38*1.05</f>
        <v/>
      </c>
      <c r="C39">
        <f>C38*(1-0.06)+812.5</f>
        <v/>
      </c>
      <c r="D39">
        <f>IF(B39=0, 0, C39/B39)</f>
        <v/>
      </c>
      <c r="E39">
        <f>AVERAGE($D$14:$D$22)</f>
        <v/>
      </c>
      <c r="F39">
        <f>B39*$E39</f>
        <v/>
      </c>
    </row>
    <row r="40">
      <c r="A40" t="n">
        <v>2036</v>
      </c>
      <c r="B40">
        <f>B39*1.05</f>
        <v/>
      </c>
      <c r="C40">
        <f>C39*(1-0.06)+812.5</f>
        <v/>
      </c>
      <c r="D40">
        <f>IF(B40=0, 0, C40/B40)</f>
        <v/>
      </c>
      <c r="E40">
        <f>AVERAGE($D$14:$D$22)</f>
        <v/>
      </c>
      <c r="F40">
        <f>B40*$E40</f>
        <v/>
      </c>
    </row>
    <row r="41">
      <c r="A41" t="n">
        <v>2037</v>
      </c>
      <c r="B41">
        <f>B40*1.05</f>
        <v/>
      </c>
      <c r="C41">
        <f>C40*(1-0.06)+812.5</f>
        <v/>
      </c>
      <c r="D41">
        <f>IF(B41=0, 0, C41/B41)</f>
        <v/>
      </c>
      <c r="E41">
        <f>AVERAGE($D$14:$D$22)</f>
        <v/>
      </c>
      <c r="F41">
        <f>B41*$E41</f>
        <v/>
      </c>
    </row>
    <row r="42">
      <c r="A42" t="n">
        <v>2038</v>
      </c>
      <c r="B42">
        <f>B41*1.05</f>
        <v/>
      </c>
      <c r="C42">
        <f>C41*(1-0.06)+812.5</f>
        <v/>
      </c>
      <c r="D42">
        <f>IF(B42=0, 0, C42/B42)</f>
        <v/>
      </c>
      <c r="E42">
        <f>AVERAGE($D$14:$D$22)</f>
        <v/>
      </c>
      <c r="F42">
        <f>B42*$E42</f>
        <v/>
      </c>
    </row>
    <row r="43">
      <c r="A43" t="n">
        <v>2039</v>
      </c>
      <c r="B43">
        <f>B42*1.05</f>
        <v/>
      </c>
      <c r="C43">
        <f>C42*(1-0.06)+812.5</f>
        <v/>
      </c>
      <c r="D43">
        <f>IF(B43=0, 0, C43/B43)</f>
        <v/>
      </c>
      <c r="E43">
        <f>AVERAGE($D$14:$D$22)</f>
        <v/>
      </c>
      <c r="F43">
        <f>B43*$E43</f>
        <v/>
      </c>
    </row>
    <row r="44">
      <c r="A44" t="n">
        <v>2040</v>
      </c>
      <c r="B44">
        <f>B43*1.05</f>
        <v/>
      </c>
      <c r="C44">
        <f>C43*(1-0.06)+812.5</f>
        <v/>
      </c>
      <c r="D44">
        <f>IF(B44=0, 0, C44/B44)</f>
        <v/>
      </c>
      <c r="E44">
        <f>AVERAGE($D$14:$D$22)</f>
        <v/>
      </c>
      <c r="F44">
        <f>B44*$E44</f>
        <v/>
      </c>
    </row>
    <row r="45">
      <c r="A45" t="n">
        <v>2041</v>
      </c>
      <c r="B45">
        <f>B44*1.05</f>
        <v/>
      </c>
      <c r="C45">
        <f>C44*(1-0.06)+812.5</f>
        <v/>
      </c>
      <c r="D45">
        <f>IF(B45=0, 0, C45/B45)</f>
        <v/>
      </c>
      <c r="E45">
        <f>AVERAGE($D$14:$D$22)</f>
        <v/>
      </c>
      <c r="F45">
        <f>B45*$E45</f>
        <v/>
      </c>
    </row>
    <row r="46">
      <c r="A46" t="n">
        <v>2042</v>
      </c>
      <c r="B46">
        <f>B45*1.05</f>
        <v/>
      </c>
      <c r="C46">
        <f>C45*(1-0.06)+812.5</f>
        <v/>
      </c>
      <c r="D46">
        <f>IF(B46=0, 0, C46/B46)</f>
        <v/>
      </c>
      <c r="E46">
        <f>AVERAGE($D$14:$D$22)</f>
        <v/>
      </c>
      <c r="F46">
        <f>B46*$E46</f>
        <v/>
      </c>
    </row>
    <row r="47">
      <c r="A47" t="n">
        <v>2043</v>
      </c>
      <c r="B47">
        <f>B46*1.05</f>
        <v/>
      </c>
      <c r="C47">
        <f>C46*(1-0.06)+812.5</f>
        <v/>
      </c>
      <c r="D47">
        <f>IF(B47=0, 0, C47/B47)</f>
        <v/>
      </c>
      <c r="E47">
        <f>AVERAGE($D$14:$D$22)</f>
        <v/>
      </c>
      <c r="F47">
        <f>B47*$E47</f>
        <v/>
      </c>
    </row>
    <row r="50">
      <c r="A50" s="2" t="inlineStr">
        <is>
          <t>Potential Output Calculation</t>
        </is>
      </c>
    </row>
    <row r="52">
      <c r="A52" t="inlineStr">
        <is>
          <t>Year</t>
        </is>
      </c>
      <c r="B52" t="inlineStr">
        <is>
          <t>LnZ_Trend</t>
        </is>
      </c>
      <c r="C52" t="inlineStr">
        <is>
          <t>alpha</t>
        </is>
      </c>
      <c r="D52" t="inlineStr">
        <is>
          <t>LnK</t>
        </is>
      </c>
      <c r="E52" t="inlineStr">
        <is>
          <t>Ystar_Base</t>
        </is>
      </c>
      <c r="F52" t="inlineStr">
        <is>
          <t>Inv</t>
        </is>
      </c>
      <c r="G52" t="inlineStr">
        <is>
          <t>K_With</t>
        </is>
      </c>
      <c r="H52" t="inlineStr">
        <is>
          <t>LnK_With</t>
        </is>
      </c>
      <c r="I52" t="inlineStr">
        <is>
          <t>Ystar_With</t>
        </is>
      </c>
      <c r="J52" t="inlineStr">
        <is>
          <t>Impact</t>
        </is>
      </c>
    </row>
    <row r="53">
      <c r="A53" t="n">
        <v>2002</v>
      </c>
      <c r="B53">
        <f>'Production'!M7</f>
        <v/>
      </c>
      <c r="C53" t="n">
        <v>0.4</v>
      </c>
      <c r="D53">
        <f>LN(F6)</f>
        <v/>
      </c>
      <c r="E53">
        <f>EXP(B53+C53*D53)</f>
        <v/>
      </c>
      <c r="F53" t="n">
        <v>0</v>
      </c>
      <c r="G53">
        <f>F6</f>
        <v/>
      </c>
      <c r="H53">
        <f>LN(G53)</f>
        <v/>
      </c>
      <c r="I53">
        <f>EXP(B53+C53*H53)</f>
        <v/>
      </c>
      <c r="J53">
        <f>I53-E53</f>
        <v/>
      </c>
    </row>
    <row r="54">
      <c r="A54" t="n">
        <v>2003</v>
      </c>
      <c r="B54">
        <f>'Production'!M8</f>
        <v/>
      </c>
      <c r="C54" t="n">
        <v>0.4</v>
      </c>
      <c r="D54">
        <f>LN(F7)</f>
        <v/>
      </c>
      <c r="E54">
        <f>EXP(B54+C54*D54)</f>
        <v/>
      </c>
      <c r="F54" t="n">
        <v>0</v>
      </c>
      <c r="G54">
        <f>F7</f>
        <v/>
      </c>
      <c r="H54">
        <f>LN(G54)</f>
        <v/>
      </c>
      <c r="I54">
        <f>EXP(B54+C54*H54)</f>
        <v/>
      </c>
      <c r="J54">
        <f>I54-E54</f>
        <v/>
      </c>
    </row>
    <row r="55">
      <c r="A55" t="n">
        <v>2004</v>
      </c>
      <c r="B55">
        <f>'Production'!M9</f>
        <v/>
      </c>
      <c r="C55" t="n">
        <v>0.4</v>
      </c>
      <c r="D55">
        <f>LN(F8)</f>
        <v/>
      </c>
      <c r="E55">
        <f>EXP(B55+C55*D55)</f>
        <v/>
      </c>
      <c r="F55" t="n">
        <v>0</v>
      </c>
      <c r="G55">
        <f>F8</f>
        <v/>
      </c>
      <c r="H55">
        <f>LN(G55)</f>
        <v/>
      </c>
      <c r="I55">
        <f>EXP(B55+C55*H55)</f>
        <v/>
      </c>
      <c r="J55">
        <f>I55-E55</f>
        <v/>
      </c>
    </row>
    <row r="56">
      <c r="A56" t="n">
        <v>2005</v>
      </c>
      <c r="B56">
        <f>'Production'!M10</f>
        <v/>
      </c>
      <c r="C56" t="n">
        <v>0.4</v>
      </c>
      <c r="D56">
        <f>LN(F9)</f>
        <v/>
      </c>
      <c r="E56">
        <f>EXP(B56+C56*D56)</f>
        <v/>
      </c>
      <c r="F56" t="n">
        <v>0</v>
      </c>
      <c r="G56">
        <f>F9</f>
        <v/>
      </c>
      <c r="H56">
        <f>LN(G56)</f>
        <v/>
      </c>
      <c r="I56">
        <f>EXP(B56+C56*H56)</f>
        <v/>
      </c>
      <c r="J56">
        <f>I56-E56</f>
        <v/>
      </c>
    </row>
    <row r="57">
      <c r="A57" t="n">
        <v>2006</v>
      </c>
      <c r="B57">
        <f>'Production'!M11</f>
        <v/>
      </c>
      <c r="C57" t="n">
        <v>0.4</v>
      </c>
      <c r="D57">
        <f>LN(F10)</f>
        <v/>
      </c>
      <c r="E57">
        <f>EXP(B57+C57*D57)</f>
        <v/>
      </c>
      <c r="F57" t="n">
        <v>0</v>
      </c>
      <c r="G57">
        <f>F10</f>
        <v/>
      </c>
      <c r="H57">
        <f>LN(G57)</f>
        <v/>
      </c>
      <c r="I57">
        <f>EXP(B57+C57*H57)</f>
        <v/>
      </c>
      <c r="J57">
        <f>I57-E57</f>
        <v/>
      </c>
    </row>
    <row r="58">
      <c r="A58" t="n">
        <v>2007</v>
      </c>
      <c r="B58">
        <f>'Production'!M12</f>
        <v/>
      </c>
      <c r="C58" t="n">
        <v>0.4</v>
      </c>
      <c r="D58">
        <f>LN(F11)</f>
        <v/>
      </c>
      <c r="E58">
        <f>EXP(B58+C58*D58)</f>
        <v/>
      </c>
      <c r="F58" t="n">
        <v>0</v>
      </c>
      <c r="G58">
        <f>F11</f>
        <v/>
      </c>
      <c r="H58">
        <f>LN(G58)</f>
        <v/>
      </c>
      <c r="I58">
        <f>EXP(B58+C58*H58)</f>
        <v/>
      </c>
      <c r="J58">
        <f>I58-E58</f>
        <v/>
      </c>
    </row>
    <row r="59">
      <c r="A59" t="n">
        <v>2008</v>
      </c>
      <c r="B59">
        <f>'Production'!M13</f>
        <v/>
      </c>
      <c r="C59" t="n">
        <v>0.4</v>
      </c>
      <c r="D59">
        <f>LN(F12)</f>
        <v/>
      </c>
      <c r="E59">
        <f>EXP(B59+C59*D59)</f>
        <v/>
      </c>
      <c r="F59" t="n">
        <v>0</v>
      </c>
      <c r="G59">
        <f>F12</f>
        <v/>
      </c>
      <c r="H59">
        <f>LN(G59)</f>
        <v/>
      </c>
      <c r="I59">
        <f>EXP(B59+C59*H59)</f>
        <v/>
      </c>
      <c r="J59">
        <f>I59-E59</f>
        <v/>
      </c>
    </row>
    <row r="60">
      <c r="A60" t="n">
        <v>2009</v>
      </c>
      <c r="B60">
        <f>'Production'!M14</f>
        <v/>
      </c>
      <c r="C60" t="n">
        <v>0.4</v>
      </c>
      <c r="D60">
        <f>LN(F13)</f>
        <v/>
      </c>
      <c r="E60">
        <f>EXP(B60+C60*D60)</f>
        <v/>
      </c>
      <c r="F60" t="n">
        <v>0</v>
      </c>
      <c r="G60">
        <f>F13</f>
        <v/>
      </c>
      <c r="H60">
        <f>LN(G60)</f>
        <v/>
      </c>
      <c r="I60">
        <f>EXP(B60+C60*H60)</f>
        <v/>
      </c>
      <c r="J60">
        <f>I60-E60</f>
        <v/>
      </c>
    </row>
    <row r="61">
      <c r="A61" t="n">
        <v>2010</v>
      </c>
      <c r="B61">
        <f>'Production'!M15</f>
        <v/>
      </c>
      <c r="C61" t="n">
        <v>0.4</v>
      </c>
      <c r="D61">
        <f>LN(F14)</f>
        <v/>
      </c>
      <c r="E61">
        <f>EXP(B61+C61*D61)</f>
        <v/>
      </c>
      <c r="F61" t="n">
        <v>0</v>
      </c>
      <c r="G61">
        <f>F14</f>
        <v/>
      </c>
      <c r="H61">
        <f>LN(G61)</f>
        <v/>
      </c>
      <c r="I61">
        <f>EXP(B61+C61*H61)</f>
        <v/>
      </c>
      <c r="J61">
        <f>I61-E61</f>
        <v/>
      </c>
    </row>
    <row r="62">
      <c r="A62" t="n">
        <v>2011</v>
      </c>
      <c r="B62">
        <f>'Production'!M16</f>
        <v/>
      </c>
      <c r="C62" t="n">
        <v>0.4</v>
      </c>
      <c r="D62">
        <f>LN(F15)</f>
        <v/>
      </c>
      <c r="E62">
        <f>EXP(B62+C62*D62)</f>
        <v/>
      </c>
      <c r="F62" t="n">
        <v>0</v>
      </c>
      <c r="G62">
        <f>F15</f>
        <v/>
      </c>
      <c r="H62">
        <f>LN(G62)</f>
        <v/>
      </c>
      <c r="I62">
        <f>EXP(B62+C62*H62)</f>
        <v/>
      </c>
      <c r="J62">
        <f>I62-E62</f>
        <v/>
      </c>
    </row>
    <row r="63">
      <c r="A63" t="n">
        <v>2012</v>
      </c>
      <c r="B63">
        <f>'Production'!M17</f>
        <v/>
      </c>
      <c r="C63" t="n">
        <v>0.4</v>
      </c>
      <c r="D63">
        <f>LN(F16)</f>
        <v/>
      </c>
      <c r="E63">
        <f>EXP(B63+C63*D63)</f>
        <v/>
      </c>
      <c r="F63" t="n">
        <v>0</v>
      </c>
      <c r="G63">
        <f>F16</f>
        <v/>
      </c>
      <c r="H63">
        <f>LN(G63)</f>
        <v/>
      </c>
      <c r="I63">
        <f>EXP(B63+C63*H63)</f>
        <v/>
      </c>
      <c r="J63">
        <f>I63-E63</f>
        <v/>
      </c>
    </row>
    <row r="64">
      <c r="A64" t="n">
        <v>2013</v>
      </c>
      <c r="B64">
        <f>'Production'!M18</f>
        <v/>
      </c>
      <c r="C64" t="n">
        <v>0.4</v>
      </c>
      <c r="D64">
        <f>LN(F17)</f>
        <v/>
      </c>
      <c r="E64">
        <f>EXP(B64+C64*D64)</f>
        <v/>
      </c>
      <c r="F64" t="n">
        <v>0</v>
      </c>
      <c r="G64">
        <f>F17</f>
        <v/>
      </c>
      <c r="H64">
        <f>LN(G64)</f>
        <v/>
      </c>
      <c r="I64">
        <f>EXP(B64+C64*H64)</f>
        <v/>
      </c>
      <c r="J64">
        <f>I64-E64</f>
        <v/>
      </c>
    </row>
    <row r="65">
      <c r="A65" t="n">
        <v>2014</v>
      </c>
      <c r="B65">
        <f>'Production'!M19</f>
        <v/>
      </c>
      <c r="C65" t="n">
        <v>0.4</v>
      </c>
      <c r="D65">
        <f>LN(F18)</f>
        <v/>
      </c>
      <c r="E65">
        <f>EXP(B65+C65*D65)</f>
        <v/>
      </c>
      <c r="F65" t="n">
        <v>0</v>
      </c>
      <c r="G65">
        <f>F18</f>
        <v/>
      </c>
      <c r="H65">
        <f>LN(G65)</f>
        <v/>
      </c>
      <c r="I65">
        <f>EXP(B65+C65*H65)</f>
        <v/>
      </c>
      <c r="J65">
        <f>I65-E65</f>
        <v/>
      </c>
    </row>
    <row r="66">
      <c r="A66" t="n">
        <v>2015</v>
      </c>
      <c r="B66">
        <f>'Production'!M20</f>
        <v/>
      </c>
      <c r="C66" t="n">
        <v>0.4</v>
      </c>
      <c r="D66">
        <f>LN(F19)</f>
        <v/>
      </c>
      <c r="E66">
        <f>EXP(B66+C66*D66)</f>
        <v/>
      </c>
      <c r="F66" t="n">
        <v>0</v>
      </c>
      <c r="G66">
        <f>F19</f>
        <v/>
      </c>
      <c r="H66">
        <f>LN(G66)</f>
        <v/>
      </c>
      <c r="I66">
        <f>EXP(B66+C66*H66)</f>
        <v/>
      </c>
      <c r="J66">
        <f>I66-E66</f>
        <v/>
      </c>
    </row>
    <row r="67">
      <c r="A67" t="n">
        <v>2016</v>
      </c>
      <c r="B67">
        <f>'Production'!M21</f>
        <v/>
      </c>
      <c r="C67" t="n">
        <v>0.4</v>
      </c>
      <c r="D67">
        <f>LN(F20)</f>
        <v/>
      </c>
      <c r="E67">
        <f>EXP(B67+C67*D67)</f>
        <v/>
      </c>
      <c r="F67" t="n">
        <v>0</v>
      </c>
      <c r="G67">
        <f>F20</f>
        <v/>
      </c>
      <c r="H67">
        <f>LN(G67)</f>
        <v/>
      </c>
      <c r="I67">
        <f>EXP(B67+C67*H67)</f>
        <v/>
      </c>
      <c r="J67">
        <f>I67-E67</f>
        <v/>
      </c>
    </row>
    <row r="68">
      <c r="A68" t="n">
        <v>2017</v>
      </c>
      <c r="B68">
        <f>'Production'!M22</f>
        <v/>
      </c>
      <c r="C68" t="n">
        <v>0.4</v>
      </c>
      <c r="D68">
        <f>LN(F21)</f>
        <v/>
      </c>
      <c r="E68">
        <f>EXP(B68+C68*D68)</f>
        <v/>
      </c>
      <c r="F68" t="n">
        <v>0</v>
      </c>
      <c r="G68">
        <f>F21</f>
        <v/>
      </c>
      <c r="H68">
        <f>LN(G68)</f>
        <v/>
      </c>
      <c r="I68">
        <f>EXP(B68+C68*H68)</f>
        <v/>
      </c>
      <c r="J68">
        <f>I68-E68</f>
        <v/>
      </c>
    </row>
    <row r="69">
      <c r="A69" t="n">
        <v>2018</v>
      </c>
      <c r="B69">
        <f>'Production'!M23</f>
        <v/>
      </c>
      <c r="C69" t="n">
        <v>0.4</v>
      </c>
      <c r="D69">
        <f>LN(F22)</f>
        <v/>
      </c>
      <c r="E69">
        <f>EXP(B69+C69*D69)</f>
        <v/>
      </c>
      <c r="F69" t="n">
        <v>0</v>
      </c>
      <c r="G69">
        <f>F22</f>
        <v/>
      </c>
      <c r="H69">
        <f>LN(G69)</f>
        <v/>
      </c>
      <c r="I69">
        <f>EXP(B69+C69*H69)</f>
        <v/>
      </c>
      <c r="J69">
        <f>I69-E69</f>
        <v/>
      </c>
    </row>
    <row r="70">
      <c r="A70" t="n">
        <v>2019</v>
      </c>
      <c r="B70">
        <f>'Production'!M24</f>
        <v/>
      </c>
      <c r="C70" t="n">
        <v>0.4</v>
      </c>
      <c r="D70">
        <f>LN(F23)</f>
        <v/>
      </c>
      <c r="E70">
        <f>EXP(B70+C70*D70)</f>
        <v/>
      </c>
      <c r="F70" t="n">
        <v>0</v>
      </c>
      <c r="G70">
        <f>F23</f>
        <v/>
      </c>
      <c r="H70">
        <f>LN(G70)</f>
        <v/>
      </c>
      <c r="I70">
        <f>EXP(B70+C70*H70)</f>
        <v/>
      </c>
      <c r="J70">
        <f>I70-E70</f>
        <v/>
      </c>
    </row>
    <row r="71">
      <c r="A71" t="n">
        <v>2020</v>
      </c>
      <c r="B71">
        <f>'Production'!M25</f>
        <v/>
      </c>
      <c r="C71" t="n">
        <v>0.4</v>
      </c>
      <c r="D71">
        <f>LN(F24)</f>
        <v/>
      </c>
      <c r="E71">
        <f>EXP(B71+C71*D71)</f>
        <v/>
      </c>
      <c r="F71" t="n">
        <v>0</v>
      </c>
      <c r="G71">
        <f>F24</f>
        <v/>
      </c>
      <c r="H71">
        <f>LN(G71)</f>
        <v/>
      </c>
      <c r="I71">
        <f>EXP(B71+C71*H71)</f>
        <v/>
      </c>
      <c r="J71">
        <f>I71-E71</f>
        <v/>
      </c>
    </row>
    <row r="72">
      <c r="A72" t="n">
        <v>2021</v>
      </c>
      <c r="B72">
        <f>'Production'!M26</f>
        <v/>
      </c>
      <c r="C72" t="n">
        <v>0.4</v>
      </c>
      <c r="D72">
        <f>LN(F25)</f>
        <v/>
      </c>
      <c r="E72">
        <f>EXP(B72+C72*D72)</f>
        <v/>
      </c>
      <c r="F72" t="n">
        <v>0</v>
      </c>
      <c r="G72">
        <f>F25</f>
        <v/>
      </c>
      <c r="H72">
        <f>LN(G72)</f>
        <v/>
      </c>
      <c r="I72">
        <f>EXP(B72+C72*H72)</f>
        <v/>
      </c>
      <c r="J72">
        <f>I72-E72</f>
        <v/>
      </c>
    </row>
    <row r="73">
      <c r="A73" t="n">
        <v>2022</v>
      </c>
      <c r="B73">
        <f>'Production'!M27</f>
        <v/>
      </c>
      <c r="C73" t="n">
        <v>0.4</v>
      </c>
      <c r="D73">
        <f>LN(F26)</f>
        <v/>
      </c>
      <c r="E73">
        <f>EXP(B73+C73*D73)</f>
        <v/>
      </c>
      <c r="F73" t="n">
        <v>0</v>
      </c>
      <c r="G73">
        <f>F26</f>
        <v/>
      </c>
      <c r="H73">
        <f>LN(G73)</f>
        <v/>
      </c>
      <c r="I73">
        <f>EXP(B73+C73*H73)</f>
        <v/>
      </c>
      <c r="J73">
        <f>I73-E73</f>
        <v/>
      </c>
    </row>
    <row r="74">
      <c r="A74" t="n">
        <v>2023</v>
      </c>
      <c r="B74">
        <f>'Production'!M28</f>
        <v/>
      </c>
      <c r="C74" t="n">
        <v>0.4</v>
      </c>
      <c r="D74">
        <f>LN(F27)</f>
        <v/>
      </c>
      <c r="E74">
        <f>EXP(B74+C74*D74)</f>
        <v/>
      </c>
      <c r="F74" t="n">
        <v>0</v>
      </c>
      <c r="G74">
        <f>F27</f>
        <v/>
      </c>
      <c r="H74">
        <f>LN(G74)</f>
        <v/>
      </c>
      <c r="I74">
        <f>EXP(B74+C74*H74)</f>
        <v/>
      </c>
      <c r="J74">
        <f>I74-E74</f>
        <v/>
      </c>
    </row>
    <row r="75">
      <c r="A75" t="n">
        <v>2024</v>
      </c>
      <c r="B75">
        <f>'Production'!M29</f>
        <v/>
      </c>
      <c r="C75" t="n">
        <v>0.4</v>
      </c>
      <c r="D75">
        <f>LN(F28)</f>
        <v/>
      </c>
      <c r="E75">
        <f>EXP(B75+C75*D75)</f>
        <v/>
      </c>
      <c r="F75" t="n">
        <v>0</v>
      </c>
      <c r="G75">
        <f>F28</f>
        <v/>
      </c>
      <c r="H75">
        <f>LN(G75)</f>
        <v/>
      </c>
      <c r="I75">
        <f>EXP(B75+C75*H75)</f>
        <v/>
      </c>
      <c r="J75">
        <f>I75-E75</f>
        <v/>
      </c>
    </row>
    <row r="76">
      <c r="A76" t="n">
        <v>2025</v>
      </c>
      <c r="B76">
        <f>'Production'!M30</f>
        <v/>
      </c>
      <c r="C76" t="n">
        <v>0.4</v>
      </c>
      <c r="D76">
        <f>LN(F29)</f>
        <v/>
      </c>
      <c r="E76">
        <f>EXP(B76+C76*D76)</f>
        <v/>
      </c>
      <c r="F76" t="n">
        <v>0</v>
      </c>
      <c r="G76">
        <f>F29</f>
        <v/>
      </c>
      <c r="H76">
        <f>LN(G76)</f>
        <v/>
      </c>
      <c r="I76">
        <f>EXP(B76+C76*H76)</f>
        <v/>
      </c>
      <c r="J76">
        <f>I76-E76</f>
        <v/>
      </c>
    </row>
    <row r="77">
      <c r="A77" t="n">
        <v>2026</v>
      </c>
      <c r="B77">
        <f>B76</f>
        <v/>
      </c>
      <c r="C77" t="n">
        <v>0.4</v>
      </c>
      <c r="D77">
        <f>LN(F30)</f>
        <v/>
      </c>
      <c r="E77">
        <f>EXP(B77+C77*D77)</f>
        <v/>
      </c>
      <c r="F77">
        <f>'Investment'!B4</f>
        <v/>
      </c>
      <c r="G77">
        <f>G76+F77</f>
        <v/>
      </c>
      <c r="H77">
        <f>LN(G77)</f>
        <v/>
      </c>
      <c r="I77">
        <f>EXP(B77+C77*H77)</f>
        <v/>
      </c>
      <c r="J77">
        <f>I77-E77</f>
        <v/>
      </c>
    </row>
    <row r="78">
      <c r="A78" t="n">
        <v>2027</v>
      </c>
      <c r="B78">
        <f>B77</f>
        <v/>
      </c>
      <c r="C78" t="n">
        <v>0.4</v>
      </c>
      <c r="D78">
        <f>LN(F31)</f>
        <v/>
      </c>
      <c r="E78">
        <f>EXP(B78+C78*D78)</f>
        <v/>
      </c>
      <c r="F78">
        <f>'Investment'!B5</f>
        <v/>
      </c>
      <c r="G78">
        <f>G77*(1-0.06)+F78</f>
        <v/>
      </c>
      <c r="H78">
        <f>LN(G78)</f>
        <v/>
      </c>
      <c r="I78">
        <f>EXP(B78+C78*H78)</f>
        <v/>
      </c>
      <c r="J78">
        <f>I78-E78</f>
        <v/>
      </c>
    </row>
    <row r="79">
      <c r="A79" t="n">
        <v>2028</v>
      </c>
      <c r="B79">
        <f>B78</f>
        <v/>
      </c>
      <c r="C79" t="n">
        <v>0.4</v>
      </c>
      <c r="D79">
        <f>LN(F32)</f>
        <v/>
      </c>
      <c r="E79">
        <f>EXP(B79+C79*D79)</f>
        <v/>
      </c>
      <c r="F79">
        <f>'Investment'!B6</f>
        <v/>
      </c>
      <c r="G79">
        <f>G78*(1-0.06)+F79</f>
        <v/>
      </c>
      <c r="H79">
        <f>LN(G79)</f>
        <v/>
      </c>
      <c r="I79">
        <f>EXP(B79+C79*H79)</f>
        <v/>
      </c>
      <c r="J79">
        <f>I79-E79</f>
        <v/>
      </c>
    </row>
    <row r="80">
      <c r="A80" t="n">
        <v>2029</v>
      </c>
      <c r="B80">
        <f>B79</f>
        <v/>
      </c>
      <c r="C80" t="n">
        <v>0.4</v>
      </c>
      <c r="D80">
        <f>LN(F33)</f>
        <v/>
      </c>
      <c r="E80">
        <f>EXP(B80+C80*D80)</f>
        <v/>
      </c>
      <c r="F80">
        <f>'Investment'!B7</f>
        <v/>
      </c>
      <c r="G80">
        <f>G79*(1-0.06)+F80</f>
        <v/>
      </c>
      <c r="H80">
        <f>LN(G80)</f>
        <v/>
      </c>
      <c r="I80">
        <f>EXP(B80+C80*H80)</f>
        <v/>
      </c>
      <c r="J80">
        <f>I80-E80</f>
        <v/>
      </c>
    </row>
    <row r="81">
      <c r="A81" t="n">
        <v>2030</v>
      </c>
      <c r="B81">
        <f>B80</f>
        <v/>
      </c>
      <c r="C81" t="n">
        <v>0.4</v>
      </c>
      <c r="D81">
        <f>LN(F34)</f>
        <v/>
      </c>
      <c r="E81">
        <f>EXP(B81+C81*D81)</f>
        <v/>
      </c>
      <c r="F81">
        <f>'Investment'!B8</f>
        <v/>
      </c>
      <c r="G81">
        <f>G80*(1-0.06)+F81</f>
        <v/>
      </c>
      <c r="H81">
        <f>LN(G81)</f>
        <v/>
      </c>
      <c r="I81">
        <f>EXP(B81+C81*H81)</f>
        <v/>
      </c>
      <c r="J81">
        <f>I81-E81</f>
        <v/>
      </c>
    </row>
    <row r="82">
      <c r="A82" t="n">
        <v>2031</v>
      </c>
      <c r="B82">
        <f>B81</f>
        <v/>
      </c>
      <c r="C82" t="n">
        <v>0.4</v>
      </c>
      <c r="D82">
        <f>LN(F35)</f>
        <v/>
      </c>
      <c r="E82">
        <f>EXP(B82+C82*D82)</f>
        <v/>
      </c>
      <c r="F82">
        <f>'Investment'!B9</f>
        <v/>
      </c>
      <c r="G82">
        <f>G81*(1-0.06)+F82</f>
        <v/>
      </c>
      <c r="H82">
        <f>LN(G82)</f>
        <v/>
      </c>
      <c r="I82">
        <f>EXP(B82+C82*H82)</f>
        <v/>
      </c>
      <c r="J82">
        <f>I82-E82</f>
        <v/>
      </c>
    </row>
    <row r="83">
      <c r="A83" t="n">
        <v>2032</v>
      </c>
      <c r="B83">
        <f>B82</f>
        <v/>
      </c>
      <c r="C83" t="n">
        <v>0.4</v>
      </c>
      <c r="D83">
        <f>LN(F36)</f>
        <v/>
      </c>
      <c r="E83">
        <f>EXP(B83+C83*D83)</f>
        <v/>
      </c>
      <c r="F83">
        <f>'Investment'!B10</f>
        <v/>
      </c>
      <c r="G83">
        <f>G82*(1-0.06)+F83</f>
        <v/>
      </c>
      <c r="H83">
        <f>LN(G83)</f>
        <v/>
      </c>
      <c r="I83">
        <f>EXP(B83+C83*H83)</f>
        <v/>
      </c>
      <c r="J83">
        <f>I83-E83</f>
        <v/>
      </c>
    </row>
    <row r="84">
      <c r="A84" t="n">
        <v>2033</v>
      </c>
      <c r="B84">
        <f>B83</f>
        <v/>
      </c>
      <c r="C84" t="n">
        <v>0.4</v>
      </c>
      <c r="D84">
        <f>LN(F37)</f>
        <v/>
      </c>
      <c r="E84">
        <f>EXP(B84+C84*D84)</f>
        <v/>
      </c>
      <c r="F84">
        <f>'Investment'!B11</f>
        <v/>
      </c>
      <c r="G84">
        <f>G83*(1-0.06)+F84</f>
        <v/>
      </c>
      <c r="H84">
        <f>LN(G84)</f>
        <v/>
      </c>
      <c r="I84">
        <f>EXP(B84+C84*H84)</f>
        <v/>
      </c>
      <c r="J84">
        <f>I84-E84</f>
        <v/>
      </c>
    </row>
    <row r="85">
      <c r="A85" t="n">
        <v>2034</v>
      </c>
      <c r="B85">
        <f>B84</f>
        <v/>
      </c>
      <c r="C85" t="n">
        <v>0.4</v>
      </c>
      <c r="D85">
        <f>LN(F38)</f>
        <v/>
      </c>
      <c r="E85">
        <f>EXP(B85+C85*D85)</f>
        <v/>
      </c>
      <c r="F85" t="n">
        <v>0</v>
      </c>
      <c r="G85">
        <f>G84*(1-0.06)+F85</f>
        <v/>
      </c>
      <c r="H85">
        <f>LN(G85)</f>
        <v/>
      </c>
      <c r="I85">
        <f>EXP(B85+C85*H85)</f>
        <v/>
      </c>
      <c r="J85">
        <f>I85-E85</f>
        <v/>
      </c>
    </row>
    <row r="86">
      <c r="A86" t="n">
        <v>2035</v>
      </c>
      <c r="B86">
        <f>B85</f>
        <v/>
      </c>
      <c r="C86" t="n">
        <v>0.4</v>
      </c>
      <c r="D86">
        <f>LN(F39)</f>
        <v/>
      </c>
      <c r="E86">
        <f>EXP(B86+C86*D86)</f>
        <v/>
      </c>
      <c r="F86" t="n">
        <v>0</v>
      </c>
      <c r="G86">
        <f>G85*(1-0.06)+F86</f>
        <v/>
      </c>
      <c r="H86">
        <f>LN(G86)</f>
        <v/>
      </c>
      <c r="I86">
        <f>EXP(B86+C86*H86)</f>
        <v/>
      </c>
      <c r="J86">
        <f>I86-E86</f>
        <v/>
      </c>
    </row>
    <row r="87">
      <c r="A87" t="n">
        <v>2036</v>
      </c>
      <c r="B87">
        <f>B86</f>
        <v/>
      </c>
      <c r="C87" t="n">
        <v>0.4</v>
      </c>
      <c r="D87">
        <f>LN(F40)</f>
        <v/>
      </c>
      <c r="E87">
        <f>EXP(B87+C87*D87)</f>
        <v/>
      </c>
      <c r="F87" t="n">
        <v>0</v>
      </c>
      <c r="G87">
        <f>G86*(1-0.06)+F87</f>
        <v/>
      </c>
      <c r="H87">
        <f>LN(G87)</f>
        <v/>
      </c>
      <c r="I87">
        <f>EXP(B87+C87*H87)</f>
        <v/>
      </c>
      <c r="J87">
        <f>I87-E87</f>
        <v/>
      </c>
    </row>
    <row r="88">
      <c r="A88" t="n">
        <v>2037</v>
      </c>
      <c r="B88">
        <f>B87</f>
        <v/>
      </c>
      <c r="C88" t="n">
        <v>0.4</v>
      </c>
      <c r="D88">
        <f>LN(F41)</f>
        <v/>
      </c>
      <c r="E88">
        <f>EXP(B88+C88*D88)</f>
        <v/>
      </c>
      <c r="F88" t="n">
        <v>0</v>
      </c>
      <c r="G88">
        <f>G87*(1-0.06)+F88</f>
        <v/>
      </c>
      <c r="H88">
        <f>LN(G88)</f>
        <v/>
      </c>
      <c r="I88">
        <f>EXP(B88+C88*H88)</f>
        <v/>
      </c>
      <c r="J88">
        <f>I88-E88</f>
        <v/>
      </c>
    </row>
    <row r="89">
      <c r="A89" t="n">
        <v>2038</v>
      </c>
      <c r="B89">
        <f>B88</f>
        <v/>
      </c>
      <c r="C89" t="n">
        <v>0.4</v>
      </c>
      <c r="D89">
        <f>LN(F42)</f>
        <v/>
      </c>
      <c r="E89">
        <f>EXP(B89+C89*D89)</f>
        <v/>
      </c>
      <c r="F89" t="n">
        <v>0</v>
      </c>
      <c r="G89">
        <f>G88*(1-0.06)+F89</f>
        <v/>
      </c>
      <c r="H89">
        <f>LN(G89)</f>
        <v/>
      </c>
      <c r="I89">
        <f>EXP(B89+C89*H89)</f>
        <v/>
      </c>
      <c r="J89">
        <f>I89-E89</f>
        <v/>
      </c>
    </row>
    <row r="90">
      <c r="A90" t="n">
        <v>2039</v>
      </c>
      <c r="B90">
        <f>B89</f>
        <v/>
      </c>
      <c r="C90" t="n">
        <v>0.4</v>
      </c>
      <c r="D90">
        <f>LN(F43)</f>
        <v/>
      </c>
      <c r="E90">
        <f>EXP(B90+C90*D90)</f>
        <v/>
      </c>
      <c r="F90" t="n">
        <v>0</v>
      </c>
      <c r="G90">
        <f>G89*(1-0.06)+F90</f>
        <v/>
      </c>
      <c r="H90">
        <f>LN(G90)</f>
        <v/>
      </c>
      <c r="I90">
        <f>EXP(B90+C90*H90)</f>
        <v/>
      </c>
      <c r="J90">
        <f>I90-E90</f>
        <v/>
      </c>
    </row>
    <row r="91">
      <c r="A91" t="n">
        <v>2040</v>
      </c>
      <c r="B91">
        <f>B90</f>
        <v/>
      </c>
      <c r="C91" t="n">
        <v>0.4</v>
      </c>
      <c r="D91">
        <f>LN(F44)</f>
        <v/>
      </c>
      <c r="E91">
        <f>EXP(B91+C91*D91)</f>
        <v/>
      </c>
      <c r="F91" t="n">
        <v>0</v>
      </c>
      <c r="G91">
        <f>G90*(1-0.06)+F91</f>
        <v/>
      </c>
      <c r="H91">
        <f>LN(G91)</f>
        <v/>
      </c>
      <c r="I91">
        <f>EXP(B91+C91*H91)</f>
        <v/>
      </c>
      <c r="J91">
        <f>I91-E91</f>
        <v/>
      </c>
    </row>
    <row r="92">
      <c r="A92" t="n">
        <v>2041</v>
      </c>
      <c r="B92">
        <f>B91</f>
        <v/>
      </c>
      <c r="C92" t="n">
        <v>0.4</v>
      </c>
      <c r="D92">
        <f>LN(F45)</f>
        <v/>
      </c>
      <c r="E92">
        <f>EXP(B92+C92*D92)</f>
        <v/>
      </c>
      <c r="F92" t="n">
        <v>0</v>
      </c>
      <c r="G92">
        <f>G91*(1-0.06)+F92</f>
        <v/>
      </c>
      <c r="H92">
        <f>LN(G92)</f>
        <v/>
      </c>
      <c r="I92">
        <f>EXP(B92+C92*H92)</f>
        <v/>
      </c>
      <c r="J92">
        <f>I92-E92</f>
        <v/>
      </c>
    </row>
    <row r="93">
      <c r="A93" t="n">
        <v>2042</v>
      </c>
      <c r="B93">
        <f>B92</f>
        <v/>
      </c>
      <c r="C93" t="n">
        <v>0.4</v>
      </c>
      <c r="D93">
        <f>LN(F46)</f>
        <v/>
      </c>
      <c r="E93">
        <f>EXP(B93+C93*D93)</f>
        <v/>
      </c>
      <c r="F93" t="n">
        <v>0</v>
      </c>
      <c r="G93">
        <f>G92*(1-0.06)+F93</f>
        <v/>
      </c>
      <c r="H93">
        <f>LN(G93)</f>
        <v/>
      </c>
      <c r="I93">
        <f>EXP(B93+C93*H93)</f>
        <v/>
      </c>
      <c r="J93">
        <f>I93-E93</f>
        <v/>
      </c>
    </row>
    <row r="94">
      <c r="A94" t="n">
        <v>2043</v>
      </c>
      <c r="B94">
        <f>B93</f>
        <v/>
      </c>
      <c r="C94" t="n">
        <v>0.4</v>
      </c>
      <c r="D94">
        <f>LN(F47)</f>
        <v/>
      </c>
      <c r="E94">
        <f>EXP(B94+C94*D94)</f>
        <v/>
      </c>
      <c r="F94" t="n">
        <v>0</v>
      </c>
      <c r="G94">
        <f>G93*(1-0.06)+F94</f>
        <v/>
      </c>
      <c r="H94">
        <f>LN(G94)</f>
        <v/>
      </c>
      <c r="I94">
        <f>EXP(B94+C94*H94)</f>
        <v/>
      </c>
      <c r="J94">
        <f>I94-E94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2026-01-29T06:47:36Z</dcterms:created>
  <dcterms:modified xsi:type="dcterms:W3CDTF">2026-01-29T06:49:42Z</dcterms:modified>
</cp:coreProperties>
</file>