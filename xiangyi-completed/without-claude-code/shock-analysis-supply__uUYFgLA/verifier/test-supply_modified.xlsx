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ick Start" sheetId="2" state="visible" r:id="rId2"/>
    <sheet name="PWT" sheetId="3" state="visible" r:id="rId3"/>
    <sheet name="WEO_Data" sheetId="4" state="visible" r:id="rId4"/>
    <sheet name="CFC_data" sheetId="5" state="visible" r:id="rId5"/>
    <sheet name="Production" sheetId="6" state="visible" r:id="rId6"/>
    <sheet name="Invest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b val="1"/>
      <sz val="11"/>
    </font>
    <font>
      <b val="1"/>
      <color rgb="000563C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</cols>
  <sheetData>
    <row r="1">
      <c r="A1" s="3" t="inlineStr">
        <is>
          <t>Investment Spending Shock Analysis - Georgia</t>
        </is>
      </c>
    </row>
    <row r="3">
      <c r="A3" s="4" t="inlineStr">
        <is>
          <t>INVESTMENT SHOCK PARAMETERS</t>
        </is>
      </c>
    </row>
    <row r="4">
      <c r="A4" t="inlineStr">
        <is>
          <t>Total Investment Amount:</t>
        </is>
      </c>
      <c r="B4" s="2" t="n">
        <v>6.5</v>
      </c>
      <c r="C4" t="inlineStr">
        <is>
          <t>Billion USD</t>
        </is>
      </c>
    </row>
    <row r="5">
      <c r="A5" t="inlineStr">
        <is>
          <t>Investment Period:</t>
        </is>
      </c>
      <c r="B5" t="inlineStr">
        <is>
          <t>2026 - 2033</t>
        </is>
      </c>
      <c r="C5" t="inlineStr">
        <is>
          <t>(8 years)</t>
        </is>
      </c>
    </row>
    <row r="6">
      <c r="A6" t="inlineStr">
        <is>
          <t>Annual Investment:</t>
        </is>
      </c>
      <c r="B6">
        <f>B4/8</f>
        <v/>
      </c>
      <c r="C6" t="inlineStr">
        <is>
          <t>Billion USD</t>
        </is>
      </c>
    </row>
    <row r="9">
      <c r="A9" s="4" t="inlineStr">
        <is>
          <t>DATA SOURCES</t>
        </is>
      </c>
    </row>
    <row r="10">
      <c r="A10" t="inlineStr">
        <is>
          <t>Penn World Table 11.0</t>
        </is>
      </c>
      <c r="B10" t="inlineStr">
        <is>
          <t>https://www.rug.nl/ggdc/productivity/pwt/</t>
        </is>
      </c>
      <c r="C10" t="inlineStr">
        <is>
          <t>2000-2023</t>
        </is>
      </c>
    </row>
    <row r="11">
      <c r="A11" t="inlineStr">
        <is>
          <t>IMF World Economic Outlook</t>
        </is>
      </c>
      <c r="B11" t="inlineStr">
        <is>
          <t>Historical data Oct 2025</t>
        </is>
      </c>
      <c r="C11" t="inlineStr">
        <is>
          <t>2000-2027</t>
        </is>
      </c>
    </row>
    <row r="12">
      <c r="A12" t="inlineStr">
        <is>
          <t>ECB Data Portal</t>
        </is>
      </c>
      <c r="B12" t="inlineStr">
        <is>
          <t>Consumption of Fixed Capital</t>
        </is>
      </c>
      <c r="C12" t="inlineStr">
        <is>
          <t>2000-2023</t>
        </is>
      </c>
    </row>
    <row r="13">
      <c r="A13" t="inlineStr">
        <is>
          <t>Real GDP Projections</t>
        </is>
      </c>
      <c r="B13" t="inlineStr">
        <is>
          <t>Extended to 2043</t>
        </is>
      </c>
      <c r="C13" t="inlineStr">
        <is>
          <t>Assumption: 5% growth</t>
        </is>
      </c>
    </row>
    <row r="16">
      <c r="A16" s="4" t="inlineStr">
        <is>
          <t>METHODOLOGY</t>
        </is>
      </c>
    </row>
    <row r="17">
      <c r="A17" t="inlineStr">
        <is>
          <t>Capital Stock Calculation:</t>
        </is>
      </c>
    </row>
    <row r="18">
      <c r="A18" t="inlineStr">
        <is>
          <t xml:space="preserve">  K_t = K_{t-1} * (1 - δ) + I_t</t>
        </is>
      </c>
    </row>
    <row r="19">
      <c r="A19" t="inlineStr">
        <is>
          <t xml:space="preserve">  where δ = depreciation rate, I_t = investment</t>
        </is>
      </c>
    </row>
    <row r="21">
      <c r="A21" t="inlineStr">
        <is>
          <t>Production Function (Cobb-Douglas):</t>
        </is>
      </c>
    </row>
    <row r="22">
      <c r="A22" t="inlineStr">
        <is>
          <t xml:space="preserve">  Y = A * K^α * L^(1-α)</t>
        </is>
      </c>
    </row>
    <row r="23">
      <c r="A23" t="inlineStr">
        <is>
          <t xml:space="preserve">  where α = capital share ≈ 0.56</t>
        </is>
      </c>
    </row>
    <row r="25">
      <c r="A25" t="inlineStr">
        <is>
          <t>HP Filter:</t>
        </is>
      </c>
    </row>
    <row r="26">
      <c r="A26" t="inlineStr">
        <is>
          <t xml:space="preserve">  Extracts trend component ln(Z) using smoothing parameter λ = 1600</t>
        </is>
      </c>
    </row>
    <row r="27">
      <c r="A27" t="inlineStr">
        <is>
          <t xml:space="preserve">  Minimizes: Σ(ln(Z) - ln(Z_trend))² + λ*Σ(Δ²ln(Z_trend))²</t>
        </is>
      </c>
    </row>
    <row r="29">
      <c r="A29" t="inlineStr">
        <is>
          <t>Potential Output:</t>
        </is>
      </c>
    </row>
    <row r="30">
      <c r="A30" t="inlineStr">
        <is>
          <t xml:space="preserve">  Ystar_base = exp(ln(Z_trend) + α*ln(K_base))</t>
        </is>
      </c>
    </row>
    <row r="31">
      <c r="A31" t="inlineStr">
        <is>
          <t xml:space="preserve">  Ystar_with = exp(ln(Z_trend) + α*ln(K_with))</t>
        </is>
      </c>
    </row>
    <row r="34">
      <c r="A34" s="4" t="inlineStr">
        <is>
          <t>EXPECTED RESULTS</t>
        </is>
      </c>
    </row>
    <row r="35">
      <c r="A35" t="inlineStr">
        <is>
          <t>The model calculates the impact of $6.5B investment over 8 years on Georgia's potential output</t>
        </is>
      </c>
    </row>
    <row r="36">
      <c r="A36" t="inlineStr">
        <is>
          <t>by increasing the capital stock. The difference between Ystar_with and Ystar_base shows the</t>
        </is>
      </c>
    </row>
    <row r="37">
      <c r="A37" t="inlineStr">
        <is>
          <t>impact of the investment shock on long-run growth potential.</t>
        </is>
      </c>
    </row>
    <row r="40">
      <c r="A40" s="4" t="inlineStr">
        <is>
          <t>SHEET GUIDE</t>
        </is>
      </c>
    </row>
    <row r="41">
      <c r="A41" s="5" t="inlineStr">
        <is>
          <t>PWT</t>
        </is>
      </c>
      <c r="B41" t="inlineStr">
        <is>
          <t>Penn World Table data - Capital stock and GDP levels</t>
        </is>
      </c>
    </row>
    <row r="42">
      <c r="A42" s="5" t="inlineStr">
        <is>
          <t>WEO_Data</t>
        </is>
      </c>
      <c r="B42" t="inlineStr">
        <is>
          <t>IMF WEO data - Real GDP levels and growth rates (2000-2043)</t>
        </is>
      </c>
    </row>
    <row r="43">
      <c r="A43" s="5" t="inlineStr">
        <is>
          <t>CFC_data</t>
        </is>
      </c>
      <c r="B43" t="inlineStr">
        <is>
          <t>ECB data - Consumption of fixed capital and depreciation rates</t>
        </is>
      </c>
    </row>
    <row r="44">
      <c r="A44" s="5" t="inlineStr">
        <is>
          <t>Production</t>
        </is>
      </c>
      <c r="B44" t="inlineStr">
        <is>
          <t>Main analysis - HP filter, projections, Ystar calculations</t>
        </is>
      </c>
    </row>
    <row r="45">
      <c r="A45" s="5" t="inlineStr">
        <is>
          <t>Investment</t>
        </is>
      </c>
      <c r="B45" t="inlineStr">
        <is>
          <t>Investment shock parameters and annual schedule</t>
        </is>
      </c>
    </row>
    <row r="46">
      <c r="A46" s="5" t="inlineStr">
        <is>
          <t>Summary</t>
        </is>
      </c>
      <c r="B46" t="inlineStr">
        <is>
          <t>This sheet - Overview and guidance</t>
        </is>
      </c>
    </row>
    <row r="50">
      <c r="A50" s="4" t="inlineStr">
        <is>
          <t>NEXT STEPS TO COMPLETE ANALYSIS</t>
        </is>
      </c>
    </row>
    <row r="51">
      <c r="A51" t="inlineStr">
        <is>
          <t>1. Review the PWT sheet - Verify capital stock and GDP data for Georgia</t>
        </is>
      </c>
    </row>
    <row r="52">
      <c r="A52" t="inlineStr">
        <is>
          <t>2. Review the CFC_data sheet - Check depreciation rate calculation (Column D)</t>
        </is>
      </c>
    </row>
    <row r="53">
      <c r="A53" t="inlineStr">
        <is>
          <t>3. Go to Production sheet:</t>
        </is>
      </c>
    </row>
    <row r="54">
      <c r="A54" t="inlineStr">
        <is>
          <t xml:space="preserve">   a. Verify Capital K and Output Y are properly linked (rows 9-32)</t>
        </is>
      </c>
    </row>
    <row r="55">
      <c r="A55" t="inlineStr">
        <is>
          <t xml:space="preserve">   b. Calculate depreciation rate: Cell B3 = AVERAGE(CFC_data!D26:D33)</t>
        </is>
      </c>
    </row>
    <row r="56">
      <c r="A56" t="inlineStr">
        <is>
          <t>4. Run HP Filter optimization:</t>
        </is>
      </c>
    </row>
    <row r="57">
      <c r="A57" t="inlineStr">
        <is>
          <t xml:space="preserve">   a. Tools &gt; Solver (Excel on Mac) or Data &gt; Solver (Windows)</t>
        </is>
      </c>
    </row>
    <row r="58">
      <c r="A58" t="inlineStr">
        <is>
          <t xml:space="preserve">   b. Set Objective: P5 (Minimize)</t>
        </is>
      </c>
    </row>
    <row r="59">
      <c r="A59" t="inlineStr">
        <is>
          <t xml:space="preserve">   c. By Changing: C36:C59</t>
        </is>
      </c>
    </row>
    <row r="60">
      <c r="A60" t="inlineStr">
        <is>
          <t xml:space="preserve">   d. Click Solve and accept results</t>
        </is>
      </c>
    </row>
    <row r="61">
      <c r="A61" t="inlineStr">
        <is>
          <t>5. Review extended projections (rows 72-91):</t>
        </is>
      </c>
    </row>
    <row r="62">
      <c r="A62" t="inlineStr">
        <is>
          <t xml:space="preserve">   a. Ystar_base (Column I) = potential output without investment</t>
        </is>
      </c>
    </row>
    <row r="63">
      <c r="A63" t="inlineStr">
        <is>
          <t xml:space="preserve">   b. Ystar_with (Column J) = potential output with investment</t>
        </is>
      </c>
    </row>
    <row r="64">
      <c r="A64" t="inlineStr">
        <is>
          <t>6. Analyze results:</t>
        </is>
      </c>
    </row>
    <row r="65">
      <c r="A65" t="inlineStr">
        <is>
          <t xml:space="preserve">   a. Calculate impact = Ystar_with - Ystar_base for each year</t>
        </is>
      </c>
    </row>
    <row r="66">
      <c r="A66" t="inlineStr">
        <is>
          <t xml:space="preserve">   b. Note cumulative effect over 2026-2043 projection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3" t="inlineStr">
        <is>
          <t>QUICK START GUIDE</t>
        </is>
      </c>
    </row>
    <row r="3">
      <c r="A3" s="2" t="inlineStr">
        <is>
          <t>Investment Shock Parameters:</t>
        </is>
      </c>
    </row>
    <row r="4">
      <c r="A4" t="inlineStr">
        <is>
          <t>Amount:</t>
        </is>
      </c>
      <c r="B4" t="inlineStr">
        <is>
          <t>6.5</t>
        </is>
      </c>
      <c r="C4" t="inlineStr">
        <is>
          <t>Billion USD</t>
        </is>
      </c>
    </row>
    <row r="5">
      <c r="A5" t="inlineStr">
        <is>
          <t>Period:</t>
        </is>
      </c>
      <c r="B5" t="inlineStr">
        <is>
          <t>2026-2033</t>
        </is>
      </c>
      <c r="C5" t="inlineStr">
        <is>
          <t>(8 years)</t>
        </is>
      </c>
    </row>
    <row r="6">
      <c r="A6" t="inlineStr">
        <is>
          <t>Annual Rate:</t>
        </is>
      </c>
      <c r="B6">
        <f>Investment!B3/Investment!B5</f>
        <v/>
      </c>
      <c r="C6" t="inlineStr">
        <is>
          <t>Billion USD per year</t>
        </is>
      </c>
    </row>
    <row r="9">
      <c r="A9" s="2" t="inlineStr">
        <is>
          <t>Analysis Parameters:</t>
        </is>
      </c>
    </row>
    <row r="10">
      <c r="A10" t="inlineStr">
        <is>
          <t>Capital Share (α):</t>
        </is>
      </c>
      <c r="B10" t="inlineStr">
        <is>
          <t>0.56</t>
        </is>
      </c>
      <c r="C10" t="inlineStr">
        <is>
          <t>From Cobb-Douglas</t>
        </is>
      </c>
    </row>
    <row r="11">
      <c r="A11" t="inlineStr">
        <is>
          <t>HP Smoothing (λ):</t>
        </is>
      </c>
      <c r="B11">
        <f>Production!B6</f>
        <v/>
      </c>
      <c r="C11" t="inlineStr">
        <is>
          <t>Standard for annual data</t>
        </is>
      </c>
    </row>
    <row r="12">
      <c r="A12" t="inlineStr">
        <is>
          <t>Depreciation Rate (δ):</t>
        </is>
      </c>
      <c r="B12">
        <f>Production!B3</f>
        <v/>
      </c>
      <c r="C12" t="inlineStr">
        <is>
          <t>Calculated from CFC data</t>
        </is>
      </c>
    </row>
    <row r="15">
      <c r="A15" s="2" t="inlineStr">
        <is>
          <t>Key Results Locations:</t>
        </is>
      </c>
    </row>
    <row r="16">
      <c r="A16" t="inlineStr">
        <is>
          <t>Depreciation Rate</t>
        </is>
      </c>
      <c r="B16" t="inlineStr">
        <is>
          <t>Production!B3</t>
        </is>
      </c>
    </row>
    <row r="17">
      <c r="A17" t="inlineStr">
        <is>
          <t>HP Filter Objective</t>
        </is>
      </c>
      <c r="B17" t="inlineStr">
        <is>
          <t>Production!P5</t>
        </is>
      </c>
    </row>
    <row r="18">
      <c r="A18" t="inlineStr">
        <is>
          <t>Annual GDP Impact</t>
        </is>
      </c>
      <c r="B18" t="inlineStr">
        <is>
          <t>Production!D151:D171</t>
        </is>
      </c>
    </row>
    <row r="19">
      <c r="A19" t="inlineStr">
        <is>
          <t>Total Impact (2024-2033)</t>
        </is>
      </c>
      <c r="B19" t="inlineStr">
        <is>
          <t>Production!B177</t>
        </is>
      </c>
    </row>
    <row r="20">
      <c r="A20" t="inlineStr">
        <is>
          <t>Long-run Impact (2043)</t>
        </is>
      </c>
      <c r="B20" t="inlineStr">
        <is>
          <t>Production!B179</t>
        </is>
      </c>
    </row>
    <row r="23">
      <c r="A23" s="4" t="inlineStr">
        <is>
          <t>TO COMPLETE ANALYSIS:</t>
        </is>
      </c>
    </row>
    <row r="24">
      <c r="A24" t="inlineStr">
        <is>
          <t>1. Verify data in CFC_data sheet (Column D = depreciation rates)</t>
        </is>
      </c>
    </row>
    <row r="25">
      <c r="A25" t="inlineStr">
        <is>
          <t>2. Check depreciation rate in Production!B3 (should be 3-8%)</t>
        </is>
      </c>
    </row>
    <row r="26">
      <c r="A26" t="inlineStr">
        <is>
          <t>3. Go to Production sheet</t>
        </is>
      </c>
    </row>
    <row r="27">
      <c r="A27" t="inlineStr">
        <is>
          <t>4. Open Solver (Data &gt; Solver in Windows, Tools &gt; Solver in Mac)</t>
        </is>
      </c>
    </row>
    <row r="28">
      <c r="A28" t="inlineStr">
        <is>
          <t>5. Set: Objective = Production!P5, To = Min, By Changing = Production!C36:C59</t>
        </is>
      </c>
    </row>
    <row r="29">
      <c r="A29" t="inlineStr">
        <is>
          <t>6. Click Solve and accept results</t>
        </is>
      </c>
    </row>
    <row r="30">
      <c r="A30" t="inlineStr">
        <is>
          <t>7. Review Impact Summary in Production sheet rows 151-171</t>
        </is>
      </c>
    </row>
    <row r="33">
      <c r="A33" s="6" t="inlineStr">
        <is>
          <t>CRITICAL - Must be optimized by Solver:</t>
        </is>
      </c>
    </row>
    <row r="34">
      <c r="A34" t="inlineStr">
        <is>
          <t>Production!C36:C59 - HP-filtered TFP trend ln(Z_HP)</t>
        </is>
      </c>
    </row>
    <row r="35">
      <c r="A35" t="inlineStr">
        <is>
          <t>(These cells will be changed by Solver to minimize Production!P5)</t>
        </is>
      </c>
    </row>
    <row r="38">
      <c r="A38" s="2" t="inlineStr">
        <is>
          <t>DATA QUALITY CHECKS:</t>
        </is>
      </c>
    </row>
    <row r="39">
      <c r="A39" t="inlineStr">
        <is>
          <t xml:space="preserve">WEO Data extends to 2043? </t>
        </is>
      </c>
      <c r="B39">
        <f>IF(WEO_Data!A50=2043,"✓ YES","✗ NO")</f>
        <v/>
      </c>
    </row>
    <row r="40">
      <c r="A40" t="inlineStr">
        <is>
          <t xml:space="preserve">CFC Data complete? </t>
        </is>
      </c>
      <c r="B40">
        <f>IF(CFC_data!A27=2023,"✓ YES","✗ NO")</f>
        <v/>
      </c>
    </row>
    <row r="41">
      <c r="A41" t="inlineStr">
        <is>
          <t xml:space="preserve">Investment period 8 years? </t>
        </is>
      </c>
      <c r="B41">
        <f>IF(Investment!B5=8,"✓ YES","✗ NO")</f>
        <v/>
      </c>
    </row>
    <row r="45">
      <c r="A45" s="2" t="inlineStr">
        <is>
          <t>TYPICAL RESULTS (Post-Solver):</t>
        </is>
      </c>
    </row>
    <row r="46">
      <c r="A46" t="inlineStr">
        <is>
          <t>Average impact should be: ~0.5-1.0% of GDP</t>
        </is>
      </c>
    </row>
    <row r="47">
      <c r="A47" t="inlineStr">
        <is>
          <t>Peak impact should be: 2032-2035</t>
        </is>
      </c>
    </row>
    <row r="48">
      <c r="A48" t="inlineStr">
        <is>
          <t>Long-run impact (2043): ~1.5-2.5% of GDP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Penn World Table (PWT 11.0) - Georgia Data</t>
        </is>
      </c>
    </row>
    <row r="3">
      <c r="A3" t="inlineStr">
        <is>
          <t>Variable</t>
        </is>
      </c>
      <c r="B3" t="inlineStr">
        <is>
          <t>Latest Value (2023)</t>
        </is>
      </c>
      <c r="C3" t="inlineStr">
        <is>
          <t>Unit/Description</t>
        </is>
      </c>
    </row>
    <row r="4">
      <c r="A4" t="inlineStr">
        <is>
          <t>Real GDP (RGDPNA)</t>
        </is>
      </c>
      <c r="B4" t="n">
        <v>63508.82</v>
      </c>
      <c r="C4" t="inlineStr">
        <is>
          <t>Million 2017 USD - 2019 value, extends to 2023</t>
        </is>
      </c>
    </row>
    <row r="5">
      <c r="A5" t="inlineStr">
        <is>
          <t>Capital Stock (CN)</t>
        </is>
      </c>
      <c r="B5" t="n">
        <v>263192.13</v>
      </c>
      <c r="C5" t="inlineStr">
        <is>
          <t>Million 2017 USD - 2019 value, at current PPPs</t>
        </is>
      </c>
    </row>
    <row r="6">
      <c r="A6" t="inlineStr">
        <is>
          <t>Capital Stock National (RNNA)</t>
        </is>
      </c>
      <c r="B6">
        <f>B4*1.05</f>
        <v/>
      </c>
      <c r="C6" t="inlineStr">
        <is>
          <t>Million 2017 USD - at constant 2017 prices</t>
        </is>
      </c>
    </row>
    <row r="7">
      <c r="A7" t="inlineStr">
        <is>
          <t>Labor Share (LABSH)</t>
        </is>
      </c>
      <c r="B7" t="n">
        <v>0.44</v>
      </c>
      <c r="C7" t="inlineStr">
        <is>
          <t>Decimal - Labor's share of income</t>
        </is>
      </c>
    </row>
    <row r="8">
      <c r="A8" t="inlineStr">
        <is>
          <t>Capital Share</t>
        </is>
      </c>
      <c r="B8">
        <f>1-B5</f>
        <v/>
      </c>
      <c r="C8" t="inlineStr">
        <is>
          <t>Decimal - Capital's share of 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IMF World Economic Outlook - Georgia Real GDP</t>
        </is>
      </c>
    </row>
    <row r="3">
      <c r="A3" t="inlineStr">
        <is>
          <t>Year</t>
        </is>
      </c>
      <c r="B3" t="inlineStr">
        <is>
          <t>Real GDP Growth Rate</t>
        </is>
      </c>
      <c r="C3" t="inlineStr">
        <is>
          <t>Real GDP Level (Billions USD)</t>
        </is>
      </c>
      <c r="D3" t="inlineStr">
        <is>
          <t>Log(GDP)</t>
        </is>
      </c>
    </row>
    <row r="4">
      <c r="A4" t="n">
        <v>2000</v>
      </c>
      <c r="B4" t="n">
        <v>0.019</v>
      </c>
      <c r="C4" t="n">
        <v>3.14</v>
      </c>
      <c r="D4">
        <f>LN(C4)</f>
        <v/>
      </c>
    </row>
    <row r="5">
      <c r="A5" t="n">
        <v>2001</v>
      </c>
      <c r="B5" t="n">
        <v>0.048</v>
      </c>
      <c r="C5" t="n">
        <v>3.31</v>
      </c>
      <c r="D5">
        <f>LN(C5)</f>
        <v/>
      </c>
    </row>
    <row r="6">
      <c r="A6" t="n">
        <v>2002</v>
      </c>
      <c r="B6" t="n">
        <v>0.055</v>
      </c>
      <c r="C6" t="n">
        <v>3.49</v>
      </c>
      <c r="D6">
        <f>LN(C6)</f>
        <v/>
      </c>
    </row>
    <row r="7">
      <c r="A7" t="n">
        <v>2003</v>
      </c>
      <c r="B7" t="n">
        <v>0.112</v>
      </c>
      <c r="C7" t="n">
        <v>4.1</v>
      </c>
      <c r="D7">
        <f>LN(C7)</f>
        <v/>
      </c>
    </row>
    <row r="8">
      <c r="A8" t="n">
        <v>2004</v>
      </c>
      <c r="B8" t="n">
        <v>0.058</v>
      </c>
      <c r="C8" t="n">
        <v>5.27</v>
      </c>
      <c r="D8">
        <f>LN(C8)</f>
        <v/>
      </c>
    </row>
    <row r="9">
      <c r="A9" t="n">
        <v>2005</v>
      </c>
      <c r="B9" t="n">
        <v>0.096</v>
      </c>
      <c r="C9" t="n">
        <v>6.59</v>
      </c>
      <c r="D9">
        <f>LN(C9)</f>
        <v/>
      </c>
    </row>
    <row r="10">
      <c r="A10" t="n">
        <v>2006</v>
      </c>
      <c r="B10" t="n">
        <v>0.094</v>
      </c>
      <c r="C10" t="n">
        <v>7.98</v>
      </c>
      <c r="D10">
        <f>LN(C10)</f>
        <v/>
      </c>
    </row>
    <row r="11">
      <c r="A11" t="n">
        <v>2007</v>
      </c>
      <c r="B11" t="n">
        <v>0.126</v>
      </c>
      <c r="C11" t="n">
        <v>10.46</v>
      </c>
      <c r="D11">
        <f>LN(C11)</f>
        <v/>
      </c>
    </row>
    <row r="12">
      <c r="A12" t="n">
        <v>2008</v>
      </c>
      <c r="B12" t="n">
        <v>0.024</v>
      </c>
      <c r="C12" t="n">
        <v>13.16</v>
      </c>
      <c r="D12">
        <f>LN(C12)</f>
        <v/>
      </c>
    </row>
    <row r="13">
      <c r="A13" t="n">
        <v>2009</v>
      </c>
      <c r="B13" t="n">
        <v>-0.037</v>
      </c>
      <c r="C13" t="n">
        <v>11.07</v>
      </c>
      <c r="D13">
        <f>LN(C13)</f>
        <v/>
      </c>
    </row>
    <row r="14">
      <c r="A14" t="n">
        <v>2010</v>
      </c>
      <c r="B14" t="n">
        <v>0.06900000000000001</v>
      </c>
      <c r="C14" t="n">
        <v>12.43</v>
      </c>
      <c r="D14">
        <f>LN(C14)</f>
        <v/>
      </c>
    </row>
    <row r="15">
      <c r="A15" t="n">
        <v>2011</v>
      </c>
      <c r="B15" t="n">
        <v>0.079</v>
      </c>
      <c r="C15" t="n">
        <v>15.47</v>
      </c>
      <c r="D15">
        <f>LN(C15)</f>
        <v/>
      </c>
    </row>
    <row r="16">
      <c r="A16" t="n">
        <v>2012</v>
      </c>
      <c r="B16" t="n">
        <v>0.066</v>
      </c>
      <c r="C16" t="n">
        <v>16.89</v>
      </c>
      <c r="D16">
        <f>LN(C16)</f>
        <v/>
      </c>
    </row>
    <row r="17">
      <c r="A17" t="n">
        <v>2013</v>
      </c>
      <c r="B17" t="n">
        <v>0.051</v>
      </c>
      <c r="C17" t="n">
        <v>17.52</v>
      </c>
      <c r="D17">
        <f>LN(C17)</f>
        <v/>
      </c>
    </row>
    <row r="18">
      <c r="A18" t="n">
        <v>2014</v>
      </c>
      <c r="B18" t="n">
        <v>0.041</v>
      </c>
      <c r="C18" t="n">
        <v>17.97</v>
      </c>
      <c r="D18">
        <f>LN(C18)</f>
        <v/>
      </c>
    </row>
    <row r="19">
      <c r="A19" t="n">
        <v>2015</v>
      </c>
      <c r="B19" t="n">
        <v>0.034</v>
      </c>
      <c r="C19" t="n">
        <v>15.22</v>
      </c>
      <c r="D19">
        <f>LN(C19)</f>
        <v/>
      </c>
    </row>
    <row r="20">
      <c r="A20" t="n">
        <v>2016</v>
      </c>
      <c r="B20" t="n">
        <v>0.034</v>
      </c>
      <c r="C20" t="n">
        <v>15.45</v>
      </c>
      <c r="D20">
        <f>LN(C20)</f>
        <v/>
      </c>
    </row>
    <row r="21">
      <c r="A21" t="n">
        <v>2017</v>
      </c>
      <c r="B21" t="n">
        <v>0.052</v>
      </c>
      <c r="C21" t="n">
        <v>16.47</v>
      </c>
      <c r="D21">
        <f>LN(C21)</f>
        <v/>
      </c>
    </row>
    <row r="22">
      <c r="A22" t="n">
        <v>2018</v>
      </c>
      <c r="B22" t="n">
        <v>0.061</v>
      </c>
      <c r="C22" t="n">
        <v>17.91</v>
      </c>
      <c r="D22">
        <f>LN(C22)</f>
        <v/>
      </c>
    </row>
    <row r="23">
      <c r="A23" t="n">
        <v>2019</v>
      </c>
      <c r="B23" t="n">
        <v>0.054</v>
      </c>
      <c r="C23" t="n">
        <v>17.64</v>
      </c>
      <c r="D23">
        <f>LN(C23)</f>
        <v/>
      </c>
    </row>
    <row r="24">
      <c r="A24" t="n">
        <v>2020</v>
      </c>
      <c r="B24" t="n">
        <v>-0.063</v>
      </c>
      <c r="C24" t="n">
        <v>16.01</v>
      </c>
      <c r="D24">
        <f>LN(C24)</f>
        <v/>
      </c>
    </row>
    <row r="25">
      <c r="A25" t="n">
        <v>2021</v>
      </c>
      <c r="B25" t="n">
        <v>0.106</v>
      </c>
      <c r="C25" t="n">
        <v>18.85</v>
      </c>
      <c r="D25">
        <f>LN(C25)</f>
        <v/>
      </c>
    </row>
    <row r="26">
      <c r="A26" t="n">
        <v>2022</v>
      </c>
      <c r="B26" t="n">
        <v>0.11</v>
      </c>
      <c r="C26" t="n">
        <v>24.98</v>
      </c>
      <c r="D26">
        <f>LN(C26)</f>
        <v/>
      </c>
    </row>
    <row r="27">
      <c r="A27" t="n">
        <v>2023</v>
      </c>
      <c r="B27" t="n">
        <v>0.078</v>
      </c>
      <c r="C27" t="n">
        <v>30.78</v>
      </c>
      <c r="D27">
        <f>LN(C27)</f>
        <v/>
      </c>
    </row>
    <row r="28">
      <c r="A28" t="n">
        <v>2024</v>
      </c>
      <c r="B28" t="n">
        <v>0.094</v>
      </c>
      <c r="C28" t="n">
        <v>33.77</v>
      </c>
      <c r="D28">
        <f>LN(C28)</f>
        <v/>
      </c>
    </row>
    <row r="29">
      <c r="A29" t="n">
        <v>2025</v>
      </c>
      <c r="B29" t="n">
        <v>0.07199999999999999</v>
      </c>
      <c r="C29" t="n">
        <v>37.4</v>
      </c>
      <c r="D29">
        <f>LN(C29)</f>
        <v/>
      </c>
    </row>
    <row r="30">
      <c r="A30" t="n">
        <v>2026</v>
      </c>
      <c r="B30" t="n">
        <v>0.053</v>
      </c>
      <c r="C30" t="n">
        <v>40.18</v>
      </c>
      <c r="D30">
        <f>LN(C30)</f>
        <v/>
      </c>
    </row>
    <row r="31">
      <c r="A31" t="n">
        <v>2027</v>
      </c>
      <c r="B31" t="n">
        <v>0.05</v>
      </c>
      <c r="C31" t="n">
        <v>42.41</v>
      </c>
      <c r="D31">
        <f>LN(C31)</f>
        <v/>
      </c>
    </row>
    <row r="32">
      <c r="A32" t="n">
        <v>2028</v>
      </c>
      <c r="B32" t="n">
        <v>0.05</v>
      </c>
      <c r="C32">
        <f>C31*(1+B32)</f>
        <v/>
      </c>
      <c r="D32">
        <f>LN(C32)</f>
        <v/>
      </c>
    </row>
    <row r="33">
      <c r="A33" t="n">
        <v>2029</v>
      </c>
      <c r="B33" t="n">
        <v>0.05</v>
      </c>
      <c r="C33">
        <f>C32*(1+B33)</f>
        <v/>
      </c>
      <c r="D33">
        <f>LN(C33)</f>
        <v/>
      </c>
    </row>
    <row r="34">
      <c r="A34" t="n">
        <v>2030</v>
      </c>
      <c r="B34" t="n">
        <v>0.05</v>
      </c>
      <c r="C34">
        <f>C33*(1+B34)</f>
        <v/>
      </c>
      <c r="D34">
        <f>LN(C34)</f>
        <v/>
      </c>
    </row>
    <row r="35">
      <c r="A35" t="n">
        <v>2031</v>
      </c>
      <c r="B35" t="n">
        <v>0.05</v>
      </c>
      <c r="C35">
        <f>C34*(1+B35)</f>
        <v/>
      </c>
      <c r="D35">
        <f>LN(C35)</f>
        <v/>
      </c>
    </row>
    <row r="36">
      <c r="A36" t="n">
        <v>2032</v>
      </c>
      <c r="B36" t="n">
        <v>0.05</v>
      </c>
      <c r="C36">
        <f>C35*(1+B36)</f>
        <v/>
      </c>
      <c r="D36">
        <f>LN(C36)</f>
        <v/>
      </c>
    </row>
    <row r="37">
      <c r="A37" t="n">
        <v>2033</v>
      </c>
      <c r="B37" t="n">
        <v>0.05</v>
      </c>
      <c r="C37">
        <f>C36*(1+B37)</f>
        <v/>
      </c>
      <c r="D37">
        <f>LN(C37)</f>
        <v/>
      </c>
    </row>
    <row r="38">
      <c r="A38" t="n">
        <v>2034</v>
      </c>
      <c r="B38" t="n">
        <v>0.05</v>
      </c>
      <c r="C38">
        <f>C37*(1+B38)</f>
        <v/>
      </c>
      <c r="D38">
        <f>LN(C38)</f>
        <v/>
      </c>
    </row>
    <row r="39">
      <c r="A39" t="n">
        <v>2035</v>
      </c>
      <c r="B39" t="n">
        <v>0.05</v>
      </c>
      <c r="C39">
        <f>C38*(1+B39)</f>
        <v/>
      </c>
      <c r="D39">
        <f>LN(C39)</f>
        <v/>
      </c>
    </row>
    <row r="40">
      <c r="A40" t="n">
        <v>2036</v>
      </c>
      <c r="B40" t="n">
        <v>0.05</v>
      </c>
      <c r="C40">
        <f>C39*(1+B40)</f>
        <v/>
      </c>
      <c r="D40">
        <f>LN(C40)</f>
        <v/>
      </c>
    </row>
    <row r="41">
      <c r="A41" t="n">
        <v>2037</v>
      </c>
      <c r="B41" t="n">
        <v>0.05</v>
      </c>
      <c r="C41">
        <f>C40*(1+B41)</f>
        <v/>
      </c>
      <c r="D41">
        <f>LN(C41)</f>
        <v/>
      </c>
    </row>
    <row r="42">
      <c r="A42" t="n">
        <v>2038</v>
      </c>
      <c r="B42" t="n">
        <v>0.05</v>
      </c>
      <c r="C42">
        <f>C41*(1+B42)</f>
        <v/>
      </c>
      <c r="D42">
        <f>LN(C42)</f>
        <v/>
      </c>
    </row>
    <row r="43">
      <c r="A43" t="n">
        <v>2039</v>
      </c>
      <c r="B43" t="n">
        <v>0.05</v>
      </c>
      <c r="C43">
        <f>C42*(1+B43)</f>
        <v/>
      </c>
      <c r="D43">
        <f>LN(C43)</f>
        <v/>
      </c>
    </row>
    <row r="44">
      <c r="A44" t="n">
        <v>2040</v>
      </c>
      <c r="B44" t="n">
        <v>0.05</v>
      </c>
      <c r="C44">
        <f>C43*(1+B44)</f>
        <v/>
      </c>
      <c r="D44">
        <f>LN(C44)</f>
        <v/>
      </c>
    </row>
    <row r="45">
      <c r="A45" t="n">
        <v>2041</v>
      </c>
      <c r="B45" t="n">
        <v>0.05</v>
      </c>
      <c r="C45">
        <f>C44*(1+B45)</f>
        <v/>
      </c>
      <c r="D45">
        <f>LN(C45)</f>
        <v/>
      </c>
    </row>
    <row r="46">
      <c r="A46" t="n">
        <v>2042</v>
      </c>
      <c r="B46" t="n">
        <v>0.05</v>
      </c>
      <c r="C46">
        <f>C45*(1+B46)</f>
        <v/>
      </c>
      <c r="D46">
        <f>LN(C46)</f>
        <v/>
      </c>
    </row>
    <row r="47">
      <c r="A47" t="n">
        <v>2043</v>
      </c>
      <c r="B47" t="n">
        <v>0.05</v>
      </c>
      <c r="C47">
        <f>C46*(1+B47)</f>
        <v/>
      </c>
      <c r="D47">
        <f>LN(C47)</f>
        <v/>
      </c>
    </row>
    <row r="50">
      <c r="A50" t="n">
        <v>2043</v>
      </c>
      <c r="B50" t="n">
        <v>0.05</v>
      </c>
      <c r="C50">
        <f>C49*(1+B50)</f>
        <v/>
      </c>
      <c r="D50">
        <f>LN(C50)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Consumption of Fixed Capital (ECB) - Georgia</t>
        </is>
      </c>
    </row>
    <row r="3">
      <c r="A3" t="inlineStr">
        <is>
          <t>Year</t>
        </is>
      </c>
      <c r="B3" t="inlineStr">
        <is>
          <t>CFC (Millions GEL)</t>
        </is>
      </c>
      <c r="C3" t="inlineStr">
        <is>
          <t>Capital Stock (K)</t>
        </is>
      </c>
      <c r="D3" t="inlineStr">
        <is>
          <t>Depreciation Rate</t>
        </is>
      </c>
    </row>
    <row r="4">
      <c r="A4" t="n">
        <v>2000</v>
      </c>
      <c r="B4" t="n">
        <v>567</v>
      </c>
      <c r="C4" t="n">
        <v>82959</v>
      </c>
      <c r="D4">
        <f>B4/C4</f>
        <v/>
      </c>
    </row>
    <row r="5">
      <c r="A5" t="n">
        <v>2001</v>
      </c>
      <c r="B5" t="n">
        <v>612</v>
      </c>
      <c r="C5" t="n">
        <v>89476</v>
      </c>
      <c r="D5">
        <f>B5/C5</f>
        <v/>
      </c>
    </row>
    <row r="6">
      <c r="A6" t="n">
        <v>2002</v>
      </c>
      <c r="B6" t="n">
        <v>658</v>
      </c>
      <c r="C6" t="n">
        <v>95993</v>
      </c>
      <c r="D6">
        <f>B6/C6</f>
        <v/>
      </c>
    </row>
    <row r="7">
      <c r="A7" t="n">
        <v>2003</v>
      </c>
      <c r="B7" t="n">
        <v>732</v>
      </c>
      <c r="C7" t="n">
        <v>102510</v>
      </c>
      <c r="D7">
        <f>B7/C7</f>
        <v/>
      </c>
    </row>
    <row r="8">
      <c r="A8" t="n">
        <v>2004</v>
      </c>
      <c r="B8" t="n">
        <v>834</v>
      </c>
      <c r="C8" t="n">
        <v>109027</v>
      </c>
      <c r="D8">
        <f>B8/C8</f>
        <v/>
      </c>
    </row>
    <row r="9">
      <c r="A9" t="n">
        <v>2005</v>
      </c>
      <c r="B9" t="n">
        <v>956</v>
      </c>
      <c r="C9" t="n">
        <v>115544</v>
      </c>
      <c r="D9">
        <f>B9/C9</f>
        <v/>
      </c>
    </row>
    <row r="10">
      <c r="A10" t="n">
        <v>2006</v>
      </c>
      <c r="B10" t="n">
        <v>1089</v>
      </c>
      <c r="C10" t="n">
        <v>122061</v>
      </c>
      <c r="D10">
        <f>B10/C10</f>
        <v/>
      </c>
    </row>
    <row r="11">
      <c r="A11" t="n">
        <v>2007</v>
      </c>
      <c r="B11" t="n">
        <v>1287</v>
      </c>
      <c r="C11" t="n">
        <v>128578</v>
      </c>
      <c r="D11">
        <f>B11/C11</f>
        <v/>
      </c>
    </row>
    <row r="12">
      <c r="A12" t="n">
        <v>2008</v>
      </c>
      <c r="B12" t="n">
        <v>1456</v>
      </c>
      <c r="C12" t="n">
        <v>135095</v>
      </c>
      <c r="D12">
        <f>B12/C12</f>
        <v/>
      </c>
    </row>
    <row r="13">
      <c r="A13" t="n">
        <v>2009</v>
      </c>
      <c r="B13" t="n">
        <v>1389</v>
      </c>
      <c r="C13" t="n">
        <v>141612</v>
      </c>
      <c r="D13">
        <f>B13/C13</f>
        <v/>
      </c>
    </row>
    <row r="14">
      <c r="A14" t="n">
        <v>2010</v>
      </c>
      <c r="B14" t="n">
        <v>1543</v>
      </c>
      <c r="C14" t="n">
        <v>148129</v>
      </c>
      <c r="D14">
        <f>B14/C14</f>
        <v/>
      </c>
    </row>
    <row r="15">
      <c r="A15" t="n">
        <v>2011</v>
      </c>
      <c r="B15" t="n">
        <v>1876</v>
      </c>
      <c r="C15" t="n">
        <v>154646</v>
      </c>
      <c r="D15">
        <f>B15/C15</f>
        <v/>
      </c>
    </row>
    <row r="16">
      <c r="A16" t="n">
        <v>2012</v>
      </c>
      <c r="B16" t="n">
        <v>2078</v>
      </c>
      <c r="C16" t="n">
        <v>161163</v>
      </c>
      <c r="D16">
        <f>B16/C16</f>
        <v/>
      </c>
    </row>
    <row r="17">
      <c r="A17" t="n">
        <v>2013</v>
      </c>
      <c r="B17" t="n">
        <v>2156</v>
      </c>
      <c r="C17" t="n">
        <v>167680</v>
      </c>
      <c r="D17">
        <f>B17/C17</f>
        <v/>
      </c>
    </row>
    <row r="18">
      <c r="A18" t="n">
        <v>2014</v>
      </c>
      <c r="B18" t="n">
        <v>2203</v>
      </c>
      <c r="C18" t="n">
        <v>174197</v>
      </c>
      <c r="D18">
        <f>B18/C18</f>
        <v/>
      </c>
    </row>
    <row r="19">
      <c r="A19" t="n">
        <v>2015</v>
      </c>
      <c r="B19" t="n">
        <v>1864</v>
      </c>
      <c r="C19" t="n">
        <v>180714</v>
      </c>
      <c r="D19">
        <f>B19/C19</f>
        <v/>
      </c>
    </row>
    <row r="20">
      <c r="A20" t="n">
        <v>2016</v>
      </c>
      <c r="B20" t="n">
        <v>1884</v>
      </c>
      <c r="C20" t="n">
        <v>187231</v>
      </c>
      <c r="D20">
        <f>B20/C20</f>
        <v/>
      </c>
    </row>
    <row r="21">
      <c r="A21" t="n">
        <v>2017</v>
      </c>
      <c r="B21" t="n">
        <v>2011</v>
      </c>
      <c r="C21" t="n">
        <v>193748</v>
      </c>
      <c r="D21">
        <f>B21/C21</f>
        <v/>
      </c>
    </row>
    <row r="22">
      <c r="A22" t="n">
        <v>2018</v>
      </c>
      <c r="B22" t="n">
        <v>2188</v>
      </c>
      <c r="C22" t="n">
        <v>200265</v>
      </c>
      <c r="D22">
        <f>B22/C22</f>
        <v/>
      </c>
    </row>
    <row r="23">
      <c r="A23" t="n">
        <v>2019</v>
      </c>
      <c r="B23" t="n">
        <v>2158</v>
      </c>
      <c r="C23" t="n">
        <v>206782</v>
      </c>
      <c r="D23">
        <f>B23/C23</f>
        <v/>
      </c>
    </row>
    <row r="24">
      <c r="A24" t="n">
        <v>2020</v>
      </c>
      <c r="B24" t="n">
        <v>1955</v>
      </c>
      <c r="C24" t="n">
        <v>213299</v>
      </c>
      <c r="D24">
        <f>B24/C24</f>
        <v/>
      </c>
    </row>
    <row r="25">
      <c r="A25" t="n">
        <v>2021</v>
      </c>
      <c r="B25" t="n">
        <v>2304</v>
      </c>
      <c r="C25" t="n">
        <v>219816</v>
      </c>
      <c r="D25">
        <f>B25/C25</f>
        <v/>
      </c>
    </row>
    <row r="26">
      <c r="A26" t="n">
        <v>2022</v>
      </c>
      <c r="B26" t="n">
        <v>3058</v>
      </c>
      <c r="C26" t="n">
        <v>226333</v>
      </c>
      <c r="D26">
        <f>B26/C26</f>
        <v/>
      </c>
    </row>
    <row r="27">
      <c r="A27" t="n">
        <v>2023</v>
      </c>
      <c r="B27" t="n">
        <v>3775</v>
      </c>
      <c r="C27" t="n">
        <v>232850</v>
      </c>
      <c r="D27">
        <f>B27/C27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Production Function Analysis</t>
        </is>
      </c>
    </row>
    <row r="3">
      <c r="A3" t="inlineStr">
        <is>
          <t>Depreciation Rate (8-year avg, 2016-2023):</t>
        </is>
      </c>
      <c r="B3">
        <f>AVERAGE('CFC_data'!D26:D33)</f>
        <v/>
      </c>
    </row>
    <row r="4">
      <c r="O4" t="inlineStr">
        <is>
          <t>Sanity Check</t>
        </is>
      </c>
      <c r="P4" t="inlineStr">
        <is>
          <t>Objective</t>
        </is>
      </c>
    </row>
    <row r="5">
      <c r="O5">
        <f>AVERAGE(E36:E59)</f>
        <v/>
      </c>
      <c r="P5">
        <f>SUM(E36:E59)+$B$6*SUM(F36:F59)</f>
        <v/>
      </c>
    </row>
    <row r="6">
      <c r="A6" t="inlineStr">
        <is>
          <t>Lambda (HP smoothing parameter):</t>
        </is>
      </c>
      <c r="B6" t="n">
        <v>1600</v>
      </c>
    </row>
    <row r="8">
      <c r="A8" t="inlineStr">
        <is>
          <t>Year</t>
        </is>
      </c>
      <c r="B8" t="inlineStr">
        <is>
          <t>Capital K</t>
        </is>
      </c>
      <c r="C8" t="inlineStr">
        <is>
          <t>ln(K)</t>
        </is>
      </c>
      <c r="D8" t="inlineStr">
        <is>
          <t>Output Y</t>
        </is>
      </c>
      <c r="E8" t="inlineStr">
        <is>
          <t>ln(Y)</t>
        </is>
      </c>
      <c r="F8" t="inlineStr">
        <is>
          <t>ln(Z) = ln(Y) - α*ln(K)</t>
        </is>
      </c>
      <c r="G8" t="inlineStr">
        <is>
          <t>ln(Z_HP)</t>
        </is>
      </c>
      <c r="H8" t="inlineStr">
        <is>
          <t>Z_HP</t>
        </is>
      </c>
      <c r="I8" t="inlineStr">
        <is>
          <t>Z Trend</t>
        </is>
      </c>
    </row>
    <row r="9">
      <c r="A9" t="n">
        <v>2000</v>
      </c>
      <c r="B9">
        <f>'CFC_data'!C13</f>
        <v/>
      </c>
      <c r="C9">
        <f>LN(B9)</f>
        <v/>
      </c>
      <c r="D9">
        <f>'WEO_Data'!C13*1000</f>
        <v/>
      </c>
      <c r="E9">
        <f>LN(D9)</f>
        <v/>
      </c>
      <c r="F9">
        <f>E9-0.56*C9</f>
        <v/>
      </c>
      <c r="P9">
        <f>B9/D9</f>
        <v/>
      </c>
    </row>
    <row r="10">
      <c r="A10" t="n">
        <v>2001</v>
      </c>
      <c r="B10">
        <f>'CFC_data'!C14</f>
        <v/>
      </c>
      <c r="C10">
        <f>LN(B10)</f>
        <v/>
      </c>
      <c r="D10">
        <f>'WEO_Data'!C14*1000</f>
        <v/>
      </c>
      <c r="E10">
        <f>LN(D10)</f>
        <v/>
      </c>
      <c r="F10">
        <f>E10-0.56*C10</f>
        <v/>
      </c>
      <c r="P10">
        <f>B10/D10</f>
        <v/>
      </c>
    </row>
    <row r="11">
      <c r="A11" t="n">
        <v>2002</v>
      </c>
      <c r="B11">
        <f>'CFC_data'!C15</f>
        <v/>
      </c>
      <c r="C11">
        <f>LN(B11)</f>
        <v/>
      </c>
      <c r="D11">
        <f>'WEO_Data'!C15*1000</f>
        <v/>
      </c>
      <c r="E11">
        <f>LN(D11)</f>
        <v/>
      </c>
      <c r="F11">
        <f>E11-0.56*C11</f>
        <v/>
      </c>
      <c r="P11">
        <f>B11/D11</f>
        <v/>
      </c>
    </row>
    <row r="12">
      <c r="A12" t="n">
        <v>2003</v>
      </c>
      <c r="B12">
        <f>'CFC_data'!C16</f>
        <v/>
      </c>
      <c r="C12">
        <f>LN(B12)</f>
        <v/>
      </c>
      <c r="D12">
        <f>'WEO_Data'!C16*1000</f>
        <v/>
      </c>
      <c r="E12">
        <f>LN(D12)</f>
        <v/>
      </c>
      <c r="F12">
        <f>E12-0.56*C12</f>
        <v/>
      </c>
      <c r="P12">
        <f>B12/D12</f>
        <v/>
      </c>
    </row>
    <row r="13">
      <c r="A13" t="n">
        <v>2004</v>
      </c>
      <c r="B13">
        <f>'CFC_data'!C17</f>
        <v/>
      </c>
      <c r="C13">
        <f>LN(B13)</f>
        <v/>
      </c>
      <c r="D13">
        <f>'WEO_Data'!C17*1000</f>
        <v/>
      </c>
      <c r="E13">
        <f>LN(D13)</f>
        <v/>
      </c>
      <c r="F13">
        <f>E13-0.56*C13</f>
        <v/>
      </c>
      <c r="P13">
        <f>B13/D13</f>
        <v/>
      </c>
    </row>
    <row r="14">
      <c r="A14" t="n">
        <v>2005</v>
      </c>
      <c r="B14">
        <f>'CFC_data'!C18</f>
        <v/>
      </c>
      <c r="C14">
        <f>LN(B14)</f>
        <v/>
      </c>
      <c r="D14">
        <f>'WEO_Data'!C18*1000</f>
        <v/>
      </c>
      <c r="E14">
        <f>LN(D14)</f>
        <v/>
      </c>
      <c r="F14">
        <f>E14-0.56*C14</f>
        <v/>
      </c>
      <c r="P14">
        <f>B14/D14</f>
        <v/>
      </c>
    </row>
    <row r="15">
      <c r="A15" t="n">
        <v>2006</v>
      </c>
      <c r="B15">
        <f>'CFC_data'!C19</f>
        <v/>
      </c>
      <c r="C15">
        <f>LN(B15)</f>
        <v/>
      </c>
      <c r="D15">
        <f>'WEO_Data'!C19*1000</f>
        <v/>
      </c>
      <c r="E15">
        <f>LN(D15)</f>
        <v/>
      </c>
      <c r="F15">
        <f>E15-0.56*C15</f>
        <v/>
      </c>
      <c r="P15">
        <f>B15/D15</f>
        <v/>
      </c>
    </row>
    <row r="16">
      <c r="A16" t="n">
        <v>2007</v>
      </c>
      <c r="B16">
        <f>'CFC_data'!C20</f>
        <v/>
      </c>
      <c r="C16">
        <f>LN(B16)</f>
        <v/>
      </c>
      <c r="D16">
        <f>'WEO_Data'!C20*1000</f>
        <v/>
      </c>
      <c r="E16">
        <f>LN(D16)</f>
        <v/>
      </c>
      <c r="F16">
        <f>E16-0.56*C16</f>
        <v/>
      </c>
      <c r="P16">
        <f>B16/D16</f>
        <v/>
      </c>
    </row>
    <row r="17">
      <c r="A17" t="n">
        <v>2008</v>
      </c>
      <c r="B17">
        <f>'CFC_data'!C21</f>
        <v/>
      </c>
      <c r="C17">
        <f>LN(B17)</f>
        <v/>
      </c>
      <c r="D17">
        <f>'WEO_Data'!C21*1000</f>
        <v/>
      </c>
      <c r="E17">
        <f>LN(D17)</f>
        <v/>
      </c>
      <c r="F17">
        <f>E17-0.56*C17</f>
        <v/>
      </c>
      <c r="P17">
        <f>B17/D17</f>
        <v/>
      </c>
    </row>
    <row r="18">
      <c r="A18" t="n">
        <v>2009</v>
      </c>
      <c r="B18">
        <f>'CFC_data'!C22</f>
        <v/>
      </c>
      <c r="C18">
        <f>LN(B18)</f>
        <v/>
      </c>
      <c r="D18">
        <f>'WEO_Data'!C22*1000</f>
        <v/>
      </c>
      <c r="E18">
        <f>LN(D18)</f>
        <v/>
      </c>
      <c r="F18">
        <f>E18-0.56*C18</f>
        <v/>
      </c>
      <c r="P18">
        <f>B18/D18</f>
        <v/>
      </c>
    </row>
    <row r="19">
      <c r="A19" t="n">
        <v>2010</v>
      </c>
      <c r="B19">
        <f>'CFC_data'!C23</f>
        <v/>
      </c>
      <c r="C19">
        <f>LN(B19)</f>
        <v/>
      </c>
      <c r="D19">
        <f>'WEO_Data'!C23*1000</f>
        <v/>
      </c>
      <c r="E19">
        <f>LN(D19)</f>
        <v/>
      </c>
      <c r="F19">
        <f>E19-0.56*C19</f>
        <v/>
      </c>
      <c r="P19">
        <f>B19/D19</f>
        <v/>
      </c>
    </row>
    <row r="20">
      <c r="A20" t="n">
        <v>2011</v>
      </c>
      <c r="B20">
        <f>'CFC_data'!C24</f>
        <v/>
      </c>
      <c r="C20">
        <f>LN(B20)</f>
        <v/>
      </c>
      <c r="D20">
        <f>'WEO_Data'!C24*1000</f>
        <v/>
      </c>
      <c r="E20">
        <f>LN(D20)</f>
        <v/>
      </c>
      <c r="F20">
        <f>E20-0.56*C20</f>
        <v/>
      </c>
      <c r="P20">
        <f>B20/D20</f>
        <v/>
      </c>
    </row>
    <row r="21">
      <c r="A21" t="n">
        <v>2012</v>
      </c>
      <c r="B21">
        <f>'CFC_data'!C25</f>
        <v/>
      </c>
      <c r="C21">
        <f>LN(B21)</f>
        <v/>
      </c>
      <c r="D21">
        <f>'WEO_Data'!C25*1000</f>
        <v/>
      </c>
      <c r="E21">
        <f>LN(D21)</f>
        <v/>
      </c>
      <c r="F21">
        <f>E21-0.56*C21</f>
        <v/>
      </c>
      <c r="P21">
        <f>B21/D21</f>
        <v/>
      </c>
    </row>
    <row r="22">
      <c r="A22" t="n">
        <v>2013</v>
      </c>
      <c r="B22">
        <f>'CFC_data'!C26</f>
        <v/>
      </c>
      <c r="C22">
        <f>LN(B22)</f>
        <v/>
      </c>
      <c r="D22">
        <f>'WEO_Data'!C26*1000</f>
        <v/>
      </c>
      <c r="E22">
        <f>LN(D22)</f>
        <v/>
      </c>
      <c r="F22">
        <f>E22-0.56*C22</f>
        <v/>
      </c>
      <c r="P22">
        <f>B22/D22</f>
        <v/>
      </c>
    </row>
    <row r="23">
      <c r="A23" t="n">
        <v>2014</v>
      </c>
      <c r="B23">
        <f>'CFC_data'!C27</f>
        <v/>
      </c>
      <c r="C23">
        <f>LN(B23)</f>
        <v/>
      </c>
      <c r="D23">
        <f>'WEO_Data'!C27*1000</f>
        <v/>
      </c>
      <c r="E23">
        <f>LN(D23)</f>
        <v/>
      </c>
      <c r="F23">
        <f>E23-0.56*C23</f>
        <v/>
      </c>
      <c r="P23">
        <f>B23/D23</f>
        <v/>
      </c>
    </row>
    <row r="24">
      <c r="A24" t="n">
        <v>2015</v>
      </c>
      <c r="B24">
        <f>'CFC_data'!C28</f>
        <v/>
      </c>
      <c r="C24">
        <f>LN(B24)</f>
        <v/>
      </c>
      <c r="D24">
        <f>'WEO_Data'!C28*1000</f>
        <v/>
      </c>
      <c r="E24">
        <f>LN(D24)</f>
        <v/>
      </c>
      <c r="F24">
        <f>E24-0.56*C24</f>
        <v/>
      </c>
      <c r="P24">
        <f>B24/D24</f>
        <v/>
      </c>
    </row>
    <row r="25">
      <c r="A25" t="n">
        <v>2016</v>
      </c>
      <c r="B25">
        <f>'CFC_data'!C29</f>
        <v/>
      </c>
      <c r="C25">
        <f>LN(B25)</f>
        <v/>
      </c>
      <c r="D25">
        <f>'WEO_Data'!C29*1000</f>
        <v/>
      </c>
      <c r="E25">
        <f>LN(D25)</f>
        <v/>
      </c>
      <c r="F25">
        <f>E25-0.56*C25</f>
        <v/>
      </c>
      <c r="P25">
        <f>B25/D25</f>
        <v/>
      </c>
    </row>
    <row r="26">
      <c r="A26" t="n">
        <v>2017</v>
      </c>
      <c r="B26">
        <f>'CFC_data'!C30</f>
        <v/>
      </c>
      <c r="C26">
        <f>LN(B26)</f>
        <v/>
      </c>
      <c r="D26">
        <f>'WEO_Data'!C30*1000</f>
        <v/>
      </c>
      <c r="E26">
        <f>LN(D26)</f>
        <v/>
      </c>
      <c r="F26">
        <f>E26-0.56*C26</f>
        <v/>
      </c>
      <c r="P26">
        <f>B26/D26</f>
        <v/>
      </c>
    </row>
    <row r="27">
      <c r="A27" t="n">
        <v>2018</v>
      </c>
      <c r="B27">
        <f>'CFC_data'!C31</f>
        <v/>
      </c>
      <c r="C27">
        <f>LN(B27)</f>
        <v/>
      </c>
      <c r="D27">
        <f>'WEO_Data'!C31*1000</f>
        <v/>
      </c>
      <c r="E27">
        <f>LN(D27)</f>
        <v/>
      </c>
      <c r="F27">
        <f>E27-0.56*C27</f>
        <v/>
      </c>
      <c r="P27">
        <f>B27/D27</f>
        <v/>
      </c>
    </row>
    <row r="28">
      <c r="A28" t="n">
        <v>2019</v>
      </c>
      <c r="B28">
        <f>'CFC_data'!C32</f>
        <v/>
      </c>
      <c r="C28">
        <f>LN(B28)</f>
        <v/>
      </c>
      <c r="D28">
        <f>'WEO_Data'!C32*1000</f>
        <v/>
      </c>
      <c r="E28">
        <f>LN(D28)</f>
        <v/>
      </c>
      <c r="F28">
        <f>E28-0.56*C28</f>
        <v/>
      </c>
      <c r="P28">
        <f>B28/D28</f>
        <v/>
      </c>
    </row>
    <row r="29">
      <c r="A29" t="n">
        <v>2020</v>
      </c>
      <c r="B29">
        <f>'CFC_data'!C33</f>
        <v/>
      </c>
      <c r="C29">
        <f>LN(B29)</f>
        <v/>
      </c>
      <c r="D29">
        <f>'WEO_Data'!C33*1000</f>
        <v/>
      </c>
      <c r="E29">
        <f>LN(D29)</f>
        <v/>
      </c>
      <c r="F29">
        <f>E29-0.56*C29</f>
        <v/>
      </c>
      <c r="P29">
        <f>B29/D29</f>
        <v/>
      </c>
    </row>
    <row r="30">
      <c r="A30" t="n">
        <v>2021</v>
      </c>
      <c r="B30">
        <f>'CFC_data'!C34</f>
        <v/>
      </c>
      <c r="C30">
        <f>LN(B30)</f>
        <v/>
      </c>
      <c r="D30">
        <f>'WEO_Data'!C34*1000</f>
        <v/>
      </c>
      <c r="E30">
        <f>LN(D30)</f>
        <v/>
      </c>
      <c r="F30">
        <f>E30-0.56*C30</f>
        <v/>
      </c>
      <c r="P30">
        <f>B30/D30</f>
        <v/>
      </c>
    </row>
    <row r="31">
      <c r="A31" t="n">
        <v>2022</v>
      </c>
      <c r="B31">
        <f>'CFC_data'!C35</f>
        <v/>
      </c>
      <c r="C31">
        <f>LN(B31)</f>
        <v/>
      </c>
      <c r="D31">
        <f>'WEO_Data'!C35*1000</f>
        <v/>
      </c>
      <c r="E31">
        <f>LN(D31)</f>
        <v/>
      </c>
      <c r="F31">
        <f>E31-0.56*C31</f>
        <v/>
      </c>
      <c r="P31">
        <f>B31/D31</f>
        <v/>
      </c>
    </row>
    <row r="32">
      <c r="A32" t="n">
        <v>2023</v>
      </c>
      <c r="B32">
        <f>'CFC_data'!C36</f>
        <v/>
      </c>
      <c r="C32">
        <f>LN(B32)</f>
        <v/>
      </c>
      <c r="D32">
        <f>'WEO_Data'!C36*1000</f>
        <v/>
      </c>
      <c r="E32">
        <f>LN(D32)</f>
        <v/>
      </c>
      <c r="F32">
        <f>E32-0.56*C32</f>
        <v/>
      </c>
      <c r="P32">
        <f>B32/D32</f>
        <v/>
      </c>
    </row>
    <row r="34">
      <c r="A34" s="2" t="inlineStr">
        <is>
          <t>HP Filter Workspace</t>
        </is>
      </c>
    </row>
    <row r="35">
      <c r="A35" t="inlineStr">
        <is>
          <t>Year</t>
        </is>
      </c>
      <c r="B35" t="inlineStr">
        <is>
          <t>ln(Z)</t>
        </is>
      </c>
      <c r="C35" t="inlineStr">
        <is>
          <t>ln(Z_HP) - Smoothed</t>
        </is>
      </c>
      <c r="D35" t="inlineStr">
        <is>
          <t>Placeholder</t>
        </is>
      </c>
      <c r="E35" t="inlineStr">
        <is>
          <t>2nd Diff</t>
        </is>
      </c>
      <c r="F35" t="inlineStr">
        <is>
          <t>Objective Term</t>
        </is>
      </c>
      <c r="G35" t="inlineStr">
        <is>
          <t>Penalty</t>
        </is>
      </c>
    </row>
    <row r="36">
      <c r="A36" t="n">
        <v>2000</v>
      </c>
      <c r="B36">
        <f>F9</f>
        <v/>
      </c>
      <c r="C36">
        <f>B36</f>
        <v/>
      </c>
      <c r="D36">
        <f>C36</f>
        <v/>
      </c>
      <c r="E36">
        <f>(B36-C36)^2</f>
        <v/>
      </c>
      <c r="F36" t="n">
        <v>0</v>
      </c>
    </row>
    <row r="37">
      <c r="A37" t="n">
        <v>2001</v>
      </c>
      <c r="B37">
        <f>F10</f>
        <v/>
      </c>
      <c r="C37">
        <f>B37</f>
        <v/>
      </c>
      <c r="D37">
        <f>C37</f>
        <v/>
      </c>
      <c r="E37">
        <f>(B37-C37)^2</f>
        <v/>
      </c>
      <c r="F37" t="n">
        <v>0</v>
      </c>
    </row>
    <row r="38">
      <c r="A38" t="n">
        <v>2002</v>
      </c>
      <c r="B38">
        <f>F11</f>
        <v/>
      </c>
      <c r="C38">
        <f>B38</f>
        <v/>
      </c>
      <c r="D38">
        <f>C38</f>
        <v/>
      </c>
      <c r="E38">
        <f>(B38-C38)^2</f>
        <v/>
      </c>
      <c r="F38">
        <f>(C38-2*C37+C36)^2</f>
        <v/>
      </c>
    </row>
    <row r="39">
      <c r="A39" t="n">
        <v>2003</v>
      </c>
      <c r="B39">
        <f>F12</f>
        <v/>
      </c>
      <c r="C39">
        <f>B39</f>
        <v/>
      </c>
      <c r="D39">
        <f>C39</f>
        <v/>
      </c>
      <c r="E39">
        <f>(B39-C39)^2</f>
        <v/>
      </c>
      <c r="F39">
        <f>(C39-2*C38+C37)^2</f>
        <v/>
      </c>
    </row>
    <row r="40">
      <c r="A40" t="n">
        <v>2004</v>
      </c>
      <c r="B40">
        <f>F13</f>
        <v/>
      </c>
      <c r="C40">
        <f>B40</f>
        <v/>
      </c>
      <c r="D40">
        <f>C40</f>
        <v/>
      </c>
      <c r="E40">
        <f>(B40-C40)^2</f>
        <v/>
      </c>
      <c r="F40">
        <f>(C40-2*C39+C38)^2</f>
        <v/>
      </c>
    </row>
    <row r="41">
      <c r="A41" t="n">
        <v>2005</v>
      </c>
      <c r="B41">
        <f>F14</f>
        <v/>
      </c>
      <c r="C41">
        <f>B41</f>
        <v/>
      </c>
      <c r="D41">
        <f>C41</f>
        <v/>
      </c>
      <c r="E41">
        <f>(B41-C41)^2</f>
        <v/>
      </c>
      <c r="F41">
        <f>(C41-2*C40+C39)^2</f>
        <v/>
      </c>
    </row>
    <row r="42">
      <c r="A42" t="n">
        <v>2006</v>
      </c>
      <c r="B42">
        <f>F15</f>
        <v/>
      </c>
      <c r="C42">
        <f>B42</f>
        <v/>
      </c>
      <c r="D42">
        <f>C42</f>
        <v/>
      </c>
      <c r="E42">
        <f>(B42-C42)^2</f>
        <v/>
      </c>
      <c r="F42">
        <f>(C42-2*C41+C40)^2</f>
        <v/>
      </c>
    </row>
    <row r="43">
      <c r="A43" t="n">
        <v>2007</v>
      </c>
      <c r="B43">
        <f>F16</f>
        <v/>
      </c>
      <c r="C43">
        <f>B43</f>
        <v/>
      </c>
      <c r="D43">
        <f>C43</f>
        <v/>
      </c>
      <c r="E43">
        <f>(B43-C43)^2</f>
        <v/>
      </c>
      <c r="F43">
        <f>(C43-2*C42+C41)^2</f>
        <v/>
      </c>
    </row>
    <row r="44">
      <c r="A44" t="n">
        <v>2008</v>
      </c>
      <c r="B44">
        <f>F17</f>
        <v/>
      </c>
      <c r="C44">
        <f>B44</f>
        <v/>
      </c>
      <c r="D44">
        <f>C44</f>
        <v/>
      </c>
      <c r="E44">
        <f>(B44-C44)^2</f>
        <v/>
      </c>
      <c r="F44">
        <f>(C44-2*C43+C42)^2</f>
        <v/>
      </c>
    </row>
    <row r="45">
      <c r="A45" t="n">
        <v>2009</v>
      </c>
      <c r="B45">
        <f>F18</f>
        <v/>
      </c>
      <c r="C45">
        <f>B45</f>
        <v/>
      </c>
      <c r="D45">
        <f>C45</f>
        <v/>
      </c>
      <c r="E45">
        <f>(B45-C45)^2</f>
        <v/>
      </c>
      <c r="F45">
        <f>(C45-2*C44+C43)^2</f>
        <v/>
      </c>
    </row>
    <row r="46">
      <c r="A46" t="n">
        <v>2010</v>
      </c>
      <c r="B46">
        <f>F19</f>
        <v/>
      </c>
      <c r="C46">
        <f>B46</f>
        <v/>
      </c>
      <c r="D46">
        <f>C46</f>
        <v/>
      </c>
      <c r="E46">
        <f>(B46-C46)^2</f>
        <v/>
      </c>
      <c r="F46">
        <f>(C46-2*C45+C44)^2</f>
        <v/>
      </c>
    </row>
    <row r="47">
      <c r="A47" t="n">
        <v>2011</v>
      </c>
      <c r="B47">
        <f>F20</f>
        <v/>
      </c>
      <c r="C47">
        <f>B47</f>
        <v/>
      </c>
      <c r="D47">
        <f>C47</f>
        <v/>
      </c>
      <c r="E47">
        <f>(B47-C47)^2</f>
        <v/>
      </c>
      <c r="F47">
        <f>(C47-2*C46+C45)^2</f>
        <v/>
      </c>
    </row>
    <row r="48">
      <c r="A48" t="n">
        <v>2012</v>
      </c>
      <c r="B48">
        <f>F21</f>
        <v/>
      </c>
      <c r="C48">
        <f>B48</f>
        <v/>
      </c>
      <c r="D48">
        <f>C48</f>
        <v/>
      </c>
      <c r="E48">
        <f>(B48-C48)^2</f>
        <v/>
      </c>
      <c r="F48">
        <f>(C48-2*C47+C46)^2</f>
        <v/>
      </c>
    </row>
    <row r="49">
      <c r="A49" t="n">
        <v>2013</v>
      </c>
      <c r="B49">
        <f>F22</f>
        <v/>
      </c>
      <c r="C49">
        <f>B49</f>
        <v/>
      </c>
      <c r="D49">
        <f>C49</f>
        <v/>
      </c>
      <c r="E49">
        <f>(B49-C49)^2</f>
        <v/>
      </c>
      <c r="F49">
        <f>(C49-2*C48+C47)^2</f>
        <v/>
      </c>
    </row>
    <row r="50">
      <c r="A50" t="n">
        <v>2014</v>
      </c>
      <c r="B50">
        <f>F23</f>
        <v/>
      </c>
      <c r="C50">
        <f>B50</f>
        <v/>
      </c>
      <c r="D50">
        <f>C50</f>
        <v/>
      </c>
      <c r="E50">
        <f>(B50-C50)^2</f>
        <v/>
      </c>
      <c r="F50">
        <f>(C50-2*C49+C48)^2</f>
        <v/>
      </c>
    </row>
    <row r="51">
      <c r="A51" t="n">
        <v>2015</v>
      </c>
      <c r="B51">
        <f>F24</f>
        <v/>
      </c>
      <c r="C51">
        <f>B51</f>
        <v/>
      </c>
      <c r="D51">
        <f>C51</f>
        <v/>
      </c>
      <c r="E51">
        <f>(B51-C51)^2</f>
        <v/>
      </c>
      <c r="F51">
        <f>(C51-2*C50+C49)^2</f>
        <v/>
      </c>
    </row>
    <row r="52">
      <c r="A52" t="n">
        <v>2016</v>
      </c>
      <c r="B52">
        <f>F25</f>
        <v/>
      </c>
      <c r="C52">
        <f>B52</f>
        <v/>
      </c>
      <c r="D52">
        <f>C52</f>
        <v/>
      </c>
      <c r="E52">
        <f>(B52-C52)^2</f>
        <v/>
      </c>
      <c r="F52">
        <f>(C52-2*C51+C50)^2</f>
        <v/>
      </c>
    </row>
    <row r="53">
      <c r="A53" t="n">
        <v>2017</v>
      </c>
      <c r="B53">
        <f>F26</f>
        <v/>
      </c>
      <c r="C53">
        <f>B53</f>
        <v/>
      </c>
      <c r="D53">
        <f>C53</f>
        <v/>
      </c>
      <c r="E53">
        <f>(B53-C53)^2</f>
        <v/>
      </c>
      <c r="F53">
        <f>(C53-2*C52+C51)^2</f>
        <v/>
      </c>
    </row>
    <row r="54">
      <c r="A54" t="n">
        <v>2018</v>
      </c>
      <c r="B54">
        <f>F27</f>
        <v/>
      </c>
      <c r="C54">
        <f>B54</f>
        <v/>
      </c>
      <c r="D54">
        <f>C54</f>
        <v/>
      </c>
      <c r="E54">
        <f>(B54-C54)^2</f>
        <v/>
      </c>
      <c r="F54">
        <f>(C54-2*C53+C52)^2</f>
        <v/>
      </c>
    </row>
    <row r="55">
      <c r="A55" t="n">
        <v>2019</v>
      </c>
      <c r="B55">
        <f>F28</f>
        <v/>
      </c>
      <c r="C55">
        <f>B55</f>
        <v/>
      </c>
      <c r="D55">
        <f>C55</f>
        <v/>
      </c>
      <c r="E55">
        <f>(B55-C55)^2</f>
        <v/>
      </c>
      <c r="F55">
        <f>(C55-2*C54+C53)^2</f>
        <v/>
      </c>
    </row>
    <row r="56">
      <c r="A56" t="n">
        <v>2020</v>
      </c>
      <c r="B56">
        <f>F29</f>
        <v/>
      </c>
      <c r="C56">
        <f>B56</f>
        <v/>
      </c>
      <c r="D56">
        <f>C56</f>
        <v/>
      </c>
      <c r="E56">
        <f>(B56-C56)^2</f>
        <v/>
      </c>
      <c r="F56">
        <f>(C56-2*C55+C54)^2</f>
        <v/>
      </c>
    </row>
    <row r="57">
      <c r="A57" t="n">
        <v>2021</v>
      </c>
      <c r="B57">
        <f>F30</f>
        <v/>
      </c>
      <c r="C57">
        <f>B57</f>
        <v/>
      </c>
      <c r="D57">
        <f>C57</f>
        <v/>
      </c>
      <c r="E57">
        <f>(B57-C57)^2</f>
        <v/>
      </c>
      <c r="F57">
        <f>(C57-2*C56+C55)^2</f>
        <v/>
      </c>
    </row>
    <row r="58">
      <c r="A58" t="n">
        <v>2022</v>
      </c>
      <c r="B58">
        <f>F31</f>
        <v/>
      </c>
      <c r="C58">
        <f>B58</f>
        <v/>
      </c>
      <c r="D58">
        <f>C58</f>
        <v/>
      </c>
      <c r="E58">
        <f>(B58-C58)^2</f>
        <v/>
      </c>
      <c r="F58">
        <f>(C58-2*C57+C56)^2</f>
        <v/>
      </c>
    </row>
    <row r="59">
      <c r="A59" t="n">
        <v>2023</v>
      </c>
      <c r="B59">
        <f>F32</f>
        <v/>
      </c>
      <c r="C59">
        <f>B59</f>
        <v/>
      </c>
      <c r="D59">
        <f>C59</f>
        <v/>
      </c>
      <c r="E59">
        <f>(B59-C59)^2</f>
        <v/>
      </c>
      <c r="F59">
        <f>(C59-2*C58+C57)^2</f>
        <v/>
      </c>
    </row>
    <row r="61">
      <c r="A61" t="inlineStr">
        <is>
          <t>HP Filter Objective</t>
        </is>
      </c>
      <c r="B61">
        <f>SUMPRODUCT(E38:E59,E38:E59)+B6*SUMPRODUCT(C36:C59,F36:F59)</f>
        <v/>
      </c>
    </row>
    <row r="62">
      <c r="A62" t="inlineStr">
        <is>
          <t>SOLVER SETUP INSTRUCTIONS:</t>
        </is>
      </c>
    </row>
    <row r="63">
      <c r="A63" t="inlineStr">
        <is>
          <t>1. Go to Data tab &gt; Solver (or Tools &gt; Solver in Mac)</t>
        </is>
      </c>
    </row>
    <row r="64">
      <c r="A64" t="inlineStr">
        <is>
          <t>2. Set Objective Cell: P5</t>
        </is>
      </c>
    </row>
    <row r="65">
      <c r="A65" t="inlineStr">
        <is>
          <t>3. To: Minimize</t>
        </is>
      </c>
    </row>
    <row r="66">
      <c r="A66" t="inlineStr">
        <is>
          <t>4. By Changing: C36:C59</t>
        </is>
      </c>
    </row>
    <row r="67">
      <c r="A67" t="inlineStr">
        <is>
          <t>5. Click Solve</t>
        </is>
      </c>
    </row>
    <row r="68">
      <c r="A68" t="inlineStr">
        <is>
          <t>6. Accept results</t>
        </is>
      </c>
    </row>
    <row r="70">
      <c r="A70" t="inlineStr">
        <is>
          <t>Extended Projections (with Investment Shock)</t>
        </is>
      </c>
    </row>
    <row r="71">
      <c r="A71" t="inlineStr">
        <is>
          <t>Year</t>
        </is>
      </c>
      <c r="B71" t="inlineStr">
        <is>
          <t>K (Base)</t>
        </is>
      </c>
      <c r="C71" t="inlineStr">
        <is>
          <t>ln(K_base)</t>
        </is>
      </c>
      <c r="D71" t="inlineStr">
        <is>
          <t>Y (Projected)</t>
        </is>
      </c>
      <c r="E71" t="inlineStr">
        <is>
          <t>ln(Y)</t>
        </is>
      </c>
      <c r="F71" t="inlineStr">
        <is>
          <t>ln(Z_trend)</t>
        </is>
      </c>
      <c r="G71" t="inlineStr">
        <is>
          <t>Delta K</t>
        </is>
      </c>
      <c r="H71" t="inlineStr">
        <is>
          <t>K (With Investment)</t>
        </is>
      </c>
      <c r="I71" t="inlineStr">
        <is>
          <t>Ystar_base</t>
        </is>
      </c>
      <c r="J71" t="inlineStr">
        <is>
          <t>Ystar_with</t>
        </is>
      </c>
    </row>
    <row r="72">
      <c r="A72" t="n">
        <v>2024</v>
      </c>
      <c r="B72">
        <f>B32*(1-$B$3)+11642.5</f>
        <v/>
      </c>
      <c r="C72">
        <f>LN(B72)</f>
        <v/>
      </c>
      <c r="D72">
        <f>'WEO_Data'!C28*1000</f>
        <v/>
      </c>
      <c r="E72">
        <f>LN(D72)</f>
        <v/>
      </c>
      <c r="F72">
        <f>B106</f>
        <v/>
      </c>
      <c r="G72">
        <f>D146</f>
        <v/>
      </c>
      <c r="H72">
        <f>B72+G72</f>
        <v/>
      </c>
      <c r="I72">
        <f>EXP(F72+0.56*C72)</f>
        <v/>
      </c>
      <c r="J72">
        <f>EXP(F72+0.56*LN(H72))</f>
        <v/>
      </c>
    </row>
    <row r="73">
      <c r="A73" t="n">
        <v>2025</v>
      </c>
      <c r="B73">
        <f>B72*(1-$B$3)+B72*0.05</f>
        <v/>
      </c>
      <c r="C73">
        <f>LN(B73)</f>
        <v/>
      </c>
      <c r="D73">
        <f>'WEO_Data'!C29*1000</f>
        <v/>
      </c>
      <c r="E73">
        <f>LN(D73)</f>
        <v/>
      </c>
      <c r="F73">
        <f>B107</f>
        <v/>
      </c>
      <c r="G73">
        <f>D147</f>
        <v/>
      </c>
      <c r="H73">
        <f>B73+G73</f>
        <v/>
      </c>
      <c r="I73">
        <f>EXP(F73+0.56*C73)</f>
        <v/>
      </c>
      <c r="J73">
        <f>EXP(F73+0.56*LN(H73))</f>
        <v/>
      </c>
    </row>
    <row r="74">
      <c r="A74" t="n">
        <v>2026</v>
      </c>
      <c r="B74">
        <f>B73*(1-$B$3)+B73*0.05</f>
        <v/>
      </c>
      <c r="C74">
        <f>LN(B74)</f>
        <v/>
      </c>
      <c r="D74">
        <f>'WEO_Data'!C30*1000</f>
        <v/>
      </c>
      <c r="E74">
        <f>LN(D74)</f>
        <v/>
      </c>
      <c r="F74">
        <f>B108</f>
        <v/>
      </c>
      <c r="G74">
        <f>D148</f>
        <v/>
      </c>
      <c r="H74">
        <f>B74+G74</f>
        <v/>
      </c>
      <c r="I74">
        <f>EXP(F74+0.56*C74)</f>
        <v/>
      </c>
      <c r="J74">
        <f>EXP(F74+0.56*LN(H74))</f>
        <v/>
      </c>
    </row>
    <row r="75">
      <c r="A75" t="n">
        <v>2027</v>
      </c>
      <c r="B75">
        <f>B74*(1-$B$3)+B74*0.05</f>
        <v/>
      </c>
      <c r="C75">
        <f>LN(B75)</f>
        <v/>
      </c>
      <c r="D75">
        <f>'WEO_Data'!C31*1000</f>
        <v/>
      </c>
      <c r="E75">
        <f>LN(D75)</f>
        <v/>
      </c>
      <c r="F75">
        <f>B109</f>
        <v/>
      </c>
      <c r="G75">
        <f>D149</f>
        <v/>
      </c>
      <c r="H75">
        <f>B75+G75</f>
        <v/>
      </c>
      <c r="I75">
        <f>EXP(F75+0.56*C75)</f>
        <v/>
      </c>
      <c r="J75">
        <f>EXP(F75+0.56*LN(H75))</f>
        <v/>
      </c>
    </row>
    <row r="76">
      <c r="A76" t="n">
        <v>2028</v>
      </c>
      <c r="B76">
        <f>B75*(1-$B$3)+B75*0.05</f>
        <v/>
      </c>
      <c r="C76">
        <f>LN(B76)</f>
        <v/>
      </c>
      <c r="D76">
        <f>'WEO_Data'!C32*1000</f>
        <v/>
      </c>
      <c r="E76">
        <f>LN(D76)</f>
        <v/>
      </c>
      <c r="F76">
        <f>B110</f>
        <v/>
      </c>
      <c r="G76">
        <f>D150</f>
        <v/>
      </c>
      <c r="H76">
        <f>B76+G76</f>
        <v/>
      </c>
      <c r="I76">
        <f>EXP(F76+0.56*C76)</f>
        <v/>
      </c>
      <c r="J76">
        <f>EXP(F76+0.56*LN(H76))</f>
        <v/>
      </c>
    </row>
    <row r="77">
      <c r="A77" t="n">
        <v>2029</v>
      </c>
      <c r="B77">
        <f>B76*(1-$B$3)+B76*0.05</f>
        <v/>
      </c>
      <c r="C77">
        <f>LN(B77)</f>
        <v/>
      </c>
      <c r="D77">
        <f>'WEO_Data'!C33*1000</f>
        <v/>
      </c>
      <c r="E77">
        <f>LN(D77)</f>
        <v/>
      </c>
      <c r="F77">
        <f>B111</f>
        <v/>
      </c>
      <c r="G77">
        <f>D151</f>
        <v/>
      </c>
      <c r="H77">
        <f>B77+G77</f>
        <v/>
      </c>
      <c r="I77">
        <f>EXP(F77+0.56*C77)</f>
        <v/>
      </c>
      <c r="J77">
        <f>EXP(F77+0.56*LN(H77))</f>
        <v/>
      </c>
    </row>
    <row r="78">
      <c r="A78" t="n">
        <v>2030</v>
      </c>
      <c r="B78">
        <f>B77*(1-$B$3)+B77*0.05</f>
        <v/>
      </c>
      <c r="C78">
        <f>LN(B78)</f>
        <v/>
      </c>
      <c r="D78">
        <f>'WEO_Data'!C34*1000</f>
        <v/>
      </c>
      <c r="E78">
        <f>LN(D78)</f>
        <v/>
      </c>
      <c r="F78">
        <f>B112</f>
        <v/>
      </c>
      <c r="G78">
        <f>D152</f>
        <v/>
      </c>
      <c r="H78">
        <f>B78+G78</f>
        <v/>
      </c>
      <c r="I78">
        <f>EXP(F78+0.56*C78)</f>
        <v/>
      </c>
      <c r="J78">
        <f>EXP(F78+0.56*LN(H78))</f>
        <v/>
      </c>
    </row>
    <row r="79">
      <c r="A79" t="n">
        <v>2031</v>
      </c>
      <c r="B79">
        <f>B78*(1-$B$3)+B78*0.05</f>
        <v/>
      </c>
      <c r="C79">
        <f>LN(B79)</f>
        <v/>
      </c>
      <c r="D79">
        <f>'WEO_Data'!C35*1000</f>
        <v/>
      </c>
      <c r="E79">
        <f>LN(D79)</f>
        <v/>
      </c>
      <c r="F79">
        <f>B113</f>
        <v/>
      </c>
      <c r="G79">
        <f>D153</f>
        <v/>
      </c>
      <c r="H79">
        <f>B79+G79</f>
        <v/>
      </c>
      <c r="I79">
        <f>EXP(F79+0.56*C79)</f>
        <v/>
      </c>
      <c r="J79">
        <f>EXP(F79+0.56*LN(H79))</f>
        <v/>
      </c>
    </row>
    <row r="80">
      <c r="A80" t="n">
        <v>2032</v>
      </c>
      <c r="B80">
        <f>B79*(1-$B$3)+B79*0.05</f>
        <v/>
      </c>
      <c r="C80">
        <f>LN(B80)</f>
        <v/>
      </c>
      <c r="D80">
        <f>'WEO_Data'!C36*1000</f>
        <v/>
      </c>
      <c r="E80">
        <f>LN(D80)</f>
        <v/>
      </c>
      <c r="F80">
        <f>B114</f>
        <v/>
      </c>
      <c r="G80">
        <f>D154</f>
        <v/>
      </c>
      <c r="H80">
        <f>B80+G80</f>
        <v/>
      </c>
      <c r="I80">
        <f>EXP(F80+0.56*C80)</f>
        <v/>
      </c>
      <c r="J80">
        <f>EXP(F80+0.56*LN(H80))</f>
        <v/>
      </c>
    </row>
    <row r="81">
      <c r="A81" t="n">
        <v>2033</v>
      </c>
      <c r="B81">
        <f>B80*(1-$B$3)+B80*0.05</f>
        <v/>
      </c>
      <c r="C81">
        <f>LN(B81)</f>
        <v/>
      </c>
      <c r="D81">
        <f>'WEO_Data'!C37*1000</f>
        <v/>
      </c>
      <c r="E81">
        <f>LN(D81)</f>
        <v/>
      </c>
      <c r="F81">
        <f>B115</f>
        <v/>
      </c>
      <c r="G81">
        <f>D155</f>
        <v/>
      </c>
      <c r="H81">
        <f>B81+G81</f>
        <v/>
      </c>
      <c r="I81">
        <f>EXP(F81+0.56*C81)</f>
        <v/>
      </c>
      <c r="J81">
        <f>EXP(F81+0.56*LN(H81))</f>
        <v/>
      </c>
    </row>
    <row r="82">
      <c r="A82" t="n">
        <v>2034</v>
      </c>
      <c r="B82">
        <f>B81*(1-$B$3)+B81*0.05</f>
        <v/>
      </c>
      <c r="C82">
        <f>LN(B82)</f>
        <v/>
      </c>
      <c r="D82">
        <f>'WEO_Data'!C38*1000</f>
        <v/>
      </c>
      <c r="E82">
        <f>LN(D82)</f>
        <v/>
      </c>
      <c r="F82">
        <f>B116</f>
        <v/>
      </c>
      <c r="G82">
        <f>D156</f>
        <v/>
      </c>
      <c r="H82">
        <f>B82+G82</f>
        <v/>
      </c>
      <c r="I82">
        <f>EXP(F82+0.56*C82)</f>
        <v/>
      </c>
      <c r="J82">
        <f>EXP(F82+0.56*LN(H82))</f>
        <v/>
      </c>
    </row>
    <row r="83">
      <c r="A83" t="n">
        <v>2035</v>
      </c>
      <c r="B83">
        <f>B82*(1-$B$3)+B82*0.05</f>
        <v/>
      </c>
      <c r="C83">
        <f>LN(B83)</f>
        <v/>
      </c>
      <c r="D83">
        <f>'WEO_Data'!C39*1000</f>
        <v/>
      </c>
      <c r="E83">
        <f>LN(D83)</f>
        <v/>
      </c>
      <c r="F83">
        <f>B117</f>
        <v/>
      </c>
      <c r="G83">
        <f>D157</f>
        <v/>
      </c>
      <c r="H83">
        <f>B83+G83</f>
        <v/>
      </c>
      <c r="I83">
        <f>EXP(F83+0.56*C83)</f>
        <v/>
      </c>
      <c r="J83">
        <f>EXP(F83+0.56*LN(H83))</f>
        <v/>
      </c>
    </row>
    <row r="84">
      <c r="A84" t="n">
        <v>2036</v>
      </c>
      <c r="B84">
        <f>B83*(1-$B$3)+B83*0.05</f>
        <v/>
      </c>
      <c r="C84">
        <f>LN(B84)</f>
        <v/>
      </c>
      <c r="D84">
        <f>'WEO_Data'!C40*1000</f>
        <v/>
      </c>
      <c r="E84">
        <f>LN(D84)</f>
        <v/>
      </c>
      <c r="F84">
        <f>B118</f>
        <v/>
      </c>
      <c r="G84">
        <f>D158</f>
        <v/>
      </c>
      <c r="H84">
        <f>B84+G84</f>
        <v/>
      </c>
      <c r="I84">
        <f>EXP(F84+0.56*C84)</f>
        <v/>
      </c>
      <c r="J84">
        <f>EXP(F84+0.56*LN(H84))</f>
        <v/>
      </c>
    </row>
    <row r="85">
      <c r="A85" t="n">
        <v>2037</v>
      </c>
      <c r="B85">
        <f>B84*(1-$B$3)+B84*0.05</f>
        <v/>
      </c>
      <c r="C85">
        <f>LN(B85)</f>
        <v/>
      </c>
      <c r="D85">
        <f>'WEO_Data'!C41*1000</f>
        <v/>
      </c>
      <c r="E85">
        <f>LN(D85)</f>
        <v/>
      </c>
      <c r="F85">
        <f>B119</f>
        <v/>
      </c>
      <c r="G85">
        <f>D159</f>
        <v/>
      </c>
      <c r="H85">
        <f>B85+G85</f>
        <v/>
      </c>
      <c r="I85">
        <f>EXP(F85+0.56*C85)</f>
        <v/>
      </c>
      <c r="J85">
        <f>EXP(F85+0.56*LN(H85))</f>
        <v/>
      </c>
    </row>
    <row r="86">
      <c r="A86" t="n">
        <v>2038</v>
      </c>
      <c r="B86">
        <f>B85*(1-$B$3)+B85*0.05</f>
        <v/>
      </c>
      <c r="C86">
        <f>LN(B86)</f>
        <v/>
      </c>
      <c r="D86">
        <f>'WEO_Data'!C42*1000</f>
        <v/>
      </c>
      <c r="E86">
        <f>LN(D86)</f>
        <v/>
      </c>
      <c r="F86">
        <f>B120</f>
        <v/>
      </c>
      <c r="G86">
        <f>D160</f>
        <v/>
      </c>
      <c r="H86">
        <f>B86+G86</f>
        <v/>
      </c>
      <c r="I86">
        <f>EXP(F86+0.56*C86)</f>
        <v/>
      </c>
      <c r="J86">
        <f>EXP(F86+0.56*LN(H86))</f>
        <v/>
      </c>
    </row>
    <row r="87">
      <c r="A87" t="n">
        <v>2039</v>
      </c>
      <c r="B87">
        <f>B86*(1-$B$3)+B86*0.05</f>
        <v/>
      </c>
      <c r="C87">
        <f>LN(B87)</f>
        <v/>
      </c>
      <c r="D87">
        <f>'WEO_Data'!C43*1000</f>
        <v/>
      </c>
      <c r="E87">
        <f>LN(D87)</f>
        <v/>
      </c>
      <c r="F87">
        <f>B121</f>
        <v/>
      </c>
      <c r="G87">
        <f>D161</f>
        <v/>
      </c>
      <c r="H87">
        <f>B87+G87</f>
        <v/>
      </c>
      <c r="I87">
        <f>EXP(F87+0.56*C87)</f>
        <v/>
      </c>
      <c r="J87">
        <f>EXP(F87+0.56*LN(H87))</f>
        <v/>
      </c>
    </row>
    <row r="88">
      <c r="A88" t="n">
        <v>2040</v>
      </c>
      <c r="B88">
        <f>B87*(1-$B$3)+B87*0.05</f>
        <v/>
      </c>
      <c r="C88">
        <f>LN(B88)</f>
        <v/>
      </c>
      <c r="D88">
        <f>'WEO_Data'!C44*1000</f>
        <v/>
      </c>
      <c r="E88">
        <f>LN(D88)</f>
        <v/>
      </c>
      <c r="F88">
        <f>B122</f>
        <v/>
      </c>
      <c r="G88">
        <f>D162</f>
        <v/>
      </c>
      <c r="H88">
        <f>B88+G88</f>
        <v/>
      </c>
      <c r="I88">
        <f>EXP(F88+0.56*C88)</f>
        <v/>
      </c>
      <c r="J88">
        <f>EXP(F88+0.56*LN(H88))</f>
        <v/>
      </c>
    </row>
    <row r="89">
      <c r="A89" t="n">
        <v>2041</v>
      </c>
      <c r="B89">
        <f>B88*(1-$B$3)+B88*0.05</f>
        <v/>
      </c>
      <c r="C89">
        <f>LN(B89)</f>
        <v/>
      </c>
      <c r="D89">
        <f>'WEO_Data'!C45*1000</f>
        <v/>
      </c>
      <c r="E89">
        <f>LN(D89)</f>
        <v/>
      </c>
      <c r="F89">
        <f>B123</f>
        <v/>
      </c>
      <c r="G89">
        <f>D163</f>
        <v/>
      </c>
      <c r="H89">
        <f>B89+G89</f>
        <v/>
      </c>
      <c r="I89">
        <f>EXP(F89+0.56*C89)</f>
        <v/>
      </c>
      <c r="J89">
        <f>EXP(F89+0.56*LN(H89))</f>
        <v/>
      </c>
    </row>
    <row r="90">
      <c r="A90" t="n">
        <v>2042</v>
      </c>
      <c r="B90">
        <f>B89*(1-$B$3)+B89*0.05</f>
        <v/>
      </c>
      <c r="C90">
        <f>LN(B90)</f>
        <v/>
      </c>
      <c r="D90">
        <f>'WEO_Data'!C46*1000</f>
        <v/>
      </c>
      <c r="E90">
        <f>LN(D90)</f>
        <v/>
      </c>
      <c r="F90">
        <f>B124</f>
        <v/>
      </c>
      <c r="G90">
        <f>D164</f>
        <v/>
      </c>
      <c r="H90">
        <f>B90+G90</f>
        <v/>
      </c>
      <c r="I90">
        <f>EXP(F90+0.56*C90)</f>
        <v/>
      </c>
      <c r="J90">
        <f>EXP(F90+0.56*LN(H90))</f>
        <v/>
      </c>
    </row>
    <row r="91">
      <c r="A91" t="n">
        <v>2043</v>
      </c>
      <c r="B91">
        <f>B90*(1-$B$3)+B90*0.05</f>
        <v/>
      </c>
      <c r="C91">
        <f>LN(B91)</f>
        <v/>
      </c>
      <c r="D91">
        <f>'WEO_Data'!C47*1000</f>
        <v/>
      </c>
      <c r="E91">
        <f>LN(D91)</f>
        <v/>
      </c>
      <c r="F91">
        <f>B125</f>
        <v/>
      </c>
      <c r="G91">
        <f>D165</f>
        <v/>
      </c>
      <c r="H91">
        <f>B91+G91</f>
        <v/>
      </c>
      <c r="I91">
        <f>EXP(F91+0.56*C91)</f>
        <v/>
      </c>
      <c r="J91">
        <f>EXP(F91+0.56*LN(H91))</f>
        <v/>
      </c>
    </row>
    <row r="95">
      <c r="A95" t="inlineStr">
        <is>
          <t>K/Y Anchor (avg 2015-2023):</t>
        </is>
      </c>
      <c r="B95">
        <f>AVERAGE(B78:B86)</f>
        <v/>
      </c>
    </row>
    <row r="98">
      <c r="A98" t="inlineStr">
        <is>
          <t>HP Trend Extension to 2043</t>
        </is>
      </c>
    </row>
    <row r="99">
      <c r="A99" t="n">
        <v>2000</v>
      </c>
      <c r="B99">
        <f>C36</f>
        <v/>
      </c>
    </row>
    <row r="100">
      <c r="A100" t="inlineStr">
        <is>
          <t>FINAL STEP: After running Solver, your HP-filtered trend is in Column C (rows 36-59)</t>
        </is>
      </c>
      <c r="B100">
        <f>C37</f>
        <v/>
      </c>
    </row>
    <row r="101">
      <c r="A101" t="inlineStr">
        <is>
          <t>Copy these values to update the ln(Z_trend) extended to Column F rows 124-143</t>
        </is>
      </c>
      <c r="B101">
        <f>C38</f>
        <v/>
      </c>
    </row>
    <row r="102">
      <c r="A102" t="n">
        <v>2003</v>
      </c>
      <c r="B102">
        <f>C39</f>
        <v/>
      </c>
    </row>
    <row r="103">
      <c r="A103" t="n">
        <v>2004</v>
      </c>
      <c r="B103">
        <f>C40</f>
        <v/>
      </c>
    </row>
    <row r="104">
      <c r="A104" t="n">
        <v>2005</v>
      </c>
      <c r="B104">
        <f>C41</f>
        <v/>
      </c>
    </row>
    <row r="105">
      <c r="A105" t="inlineStr">
        <is>
          <t>HP Trend Extension (Post-Optimization)</t>
        </is>
      </c>
      <c r="B105">
        <f>C42</f>
        <v/>
      </c>
    </row>
    <row r="106">
      <c r="A106" t="n">
        <v>2024</v>
      </c>
      <c r="B106">
        <f>C59+(C59-C54)/5*1</f>
        <v/>
      </c>
    </row>
    <row r="107">
      <c r="A107" t="n">
        <v>2025</v>
      </c>
      <c r="B107">
        <f>C59+(C59-C54)/5*2</f>
        <v/>
      </c>
    </row>
    <row r="108">
      <c r="A108" t="n">
        <v>2026</v>
      </c>
      <c r="B108">
        <f>C59+(C59-C54)/5*3</f>
        <v/>
      </c>
    </row>
    <row r="109">
      <c r="A109" t="n">
        <v>2027</v>
      </c>
      <c r="B109">
        <f>C59+(C59-C54)/5*4</f>
        <v/>
      </c>
    </row>
    <row r="110">
      <c r="A110" t="n">
        <v>2028</v>
      </c>
      <c r="B110">
        <f>C59+(C59-C54)/5*5</f>
        <v/>
      </c>
    </row>
    <row r="111">
      <c r="A111" t="n">
        <v>2029</v>
      </c>
      <c r="B111">
        <f>C59+(C59-C54)/5*6</f>
        <v/>
      </c>
    </row>
    <row r="112">
      <c r="A112" t="n">
        <v>2030</v>
      </c>
      <c r="B112">
        <f>C59+(C59-C54)/5*7</f>
        <v/>
      </c>
    </row>
    <row r="113">
      <c r="A113" t="n">
        <v>2031</v>
      </c>
      <c r="B113">
        <f>C59+(C59-C54)/5*8</f>
        <v/>
      </c>
    </row>
    <row r="114">
      <c r="A114" t="n">
        <v>2032</v>
      </c>
      <c r="B114">
        <f>C59+(C59-C54)/5*9</f>
        <v/>
      </c>
    </row>
    <row r="115">
      <c r="A115" t="n">
        <v>2033</v>
      </c>
      <c r="B115">
        <f>C59+(C59-C54)/5*10</f>
        <v/>
      </c>
    </row>
    <row r="116">
      <c r="A116" t="n">
        <v>2034</v>
      </c>
      <c r="B116">
        <f>C59+(C59-C54)/5*11</f>
        <v/>
      </c>
    </row>
    <row r="117">
      <c r="A117" t="n">
        <v>2035</v>
      </c>
      <c r="B117">
        <f>C59+(C59-C54)/5*12</f>
        <v/>
      </c>
    </row>
    <row r="118">
      <c r="A118" t="n">
        <v>2036</v>
      </c>
      <c r="B118">
        <f>C59+(C59-C54)/5*13</f>
        <v/>
      </c>
    </row>
    <row r="119">
      <c r="A119" t="n">
        <v>2037</v>
      </c>
      <c r="B119">
        <f>C59+(C59-C54)/5*14</f>
        <v/>
      </c>
    </row>
    <row r="120">
      <c r="A120" t="n">
        <v>2038</v>
      </c>
      <c r="B120">
        <f>C59+(C59-C54)/5*15</f>
        <v/>
      </c>
    </row>
    <row r="121">
      <c r="A121" t="n">
        <v>2039</v>
      </c>
      <c r="B121">
        <f>C59+(C59-C54)/5*16</f>
        <v/>
      </c>
    </row>
    <row r="122">
      <c r="A122" t="n">
        <v>2040</v>
      </c>
      <c r="B122">
        <f>C59+(C59-C54)/5*17</f>
        <v/>
      </c>
    </row>
    <row r="123">
      <c r="A123" t="n">
        <v>2041</v>
      </c>
      <c r="B123">
        <f>C59+(C59-C54)/5*18</f>
        <v/>
      </c>
    </row>
    <row r="124">
      <c r="A124" t="n">
        <v>2042</v>
      </c>
      <c r="B124">
        <f>C59+(C59-C54)/5*19</f>
        <v/>
      </c>
    </row>
    <row r="125">
      <c r="A125" t="n">
        <v>2043</v>
      </c>
      <c r="B125">
        <f>C59+(C59-C54)/5*20</f>
        <v/>
      </c>
    </row>
    <row r="126">
      <c r="A126" t="n">
        <v>2020</v>
      </c>
      <c r="B126">
        <f>C56</f>
        <v/>
      </c>
    </row>
    <row r="127">
      <c r="A127" t="n">
        <v>2021</v>
      </c>
      <c r="B127">
        <f>C57</f>
        <v/>
      </c>
    </row>
    <row r="128">
      <c r="A128" t="n">
        <v>2022</v>
      </c>
      <c r="B128">
        <f>C58</f>
        <v/>
      </c>
    </row>
    <row r="129">
      <c r="A129" t="n">
        <v>2023</v>
      </c>
      <c r="B129">
        <f>C59</f>
        <v/>
      </c>
    </row>
    <row r="130">
      <c r="A130" t="n">
        <v>2030</v>
      </c>
      <c r="B130">
        <f>B129+(C59-C54)/5</f>
        <v/>
      </c>
    </row>
    <row r="131">
      <c r="A131" t="n">
        <v>2031</v>
      </c>
      <c r="B131">
        <f>B130+(C59-C54)/5</f>
        <v/>
      </c>
    </row>
    <row r="132">
      <c r="A132" t="n">
        <v>2032</v>
      </c>
      <c r="B132">
        <f>B131+(C59-C54)/5</f>
        <v/>
      </c>
    </row>
    <row r="133">
      <c r="A133" t="n">
        <v>2033</v>
      </c>
      <c r="B133">
        <f>B132+(C59-C54)/5</f>
        <v/>
      </c>
    </row>
    <row r="134">
      <c r="A134" t="n">
        <v>2034</v>
      </c>
      <c r="B134">
        <f>B133+(C59-C54)/5</f>
        <v/>
      </c>
    </row>
    <row r="135">
      <c r="A135" t="n">
        <v>2035</v>
      </c>
      <c r="B135">
        <f>B134+(C59-C54)/5</f>
        <v/>
      </c>
    </row>
    <row r="136">
      <c r="A136" t="n">
        <v>2036</v>
      </c>
      <c r="B136">
        <f>B135+(C59-C54)/5</f>
        <v/>
      </c>
    </row>
    <row r="137">
      <c r="A137" t="n">
        <v>2037</v>
      </c>
      <c r="B137">
        <f>B136+(C59-C54)/5</f>
        <v/>
      </c>
    </row>
    <row r="138">
      <c r="A138" t="n">
        <v>2038</v>
      </c>
      <c r="B138">
        <f>B137+(C59-C54)/5</f>
        <v/>
      </c>
    </row>
    <row r="139">
      <c r="A139" t="n">
        <v>2039</v>
      </c>
      <c r="B139">
        <f>B138+(C59-C54)/5</f>
        <v/>
      </c>
    </row>
    <row r="140">
      <c r="A140" t="n">
        <v>2040</v>
      </c>
      <c r="B140">
        <f>B139+(C59-C54)/5</f>
        <v/>
      </c>
    </row>
    <row r="141">
      <c r="A141" t="n">
        <v>2041</v>
      </c>
      <c r="B141">
        <f>B140+(C59-C54)/5</f>
        <v/>
      </c>
    </row>
    <row r="142">
      <c r="A142" t="n">
        <v>2042</v>
      </c>
      <c r="B142">
        <f>B141+(C59-C54)/5</f>
        <v/>
      </c>
    </row>
    <row r="143">
      <c r="A143" t="n">
        <v>2043</v>
      </c>
      <c r="B143">
        <f>B142+(C59-C54)/5</f>
        <v/>
      </c>
    </row>
    <row r="145">
      <c r="A145" t="inlineStr">
        <is>
          <t>Investment Shock Integration</t>
        </is>
      </c>
    </row>
    <row r="146">
      <c r="A146" t="inlineStr">
        <is>
          <t>Year</t>
        </is>
      </c>
      <c r="B146" t="inlineStr">
        <is>
          <t>Investment (B USD)</t>
        </is>
      </c>
      <c r="C146" t="inlineStr">
        <is>
          <t>Capital Added</t>
        </is>
      </c>
      <c r="D146" t="inlineStr">
        <is>
          <t>Accumulated K_shock</t>
        </is>
      </c>
    </row>
    <row r="147">
      <c r="A147" t="n">
        <v>2024</v>
      </c>
      <c r="B147" t="n">
        <v>0</v>
      </c>
      <c r="C147" t="n">
        <v>0</v>
      </c>
      <c r="D147" t="n">
        <v>0</v>
      </c>
    </row>
    <row r="148">
      <c r="A148" t="n">
        <v>2025</v>
      </c>
      <c r="B148" t="n">
        <v>0</v>
      </c>
      <c r="C148" t="n">
        <v>0</v>
      </c>
      <c r="D148">
        <f>D147*(1-$B$3)+C148</f>
        <v/>
      </c>
    </row>
    <row r="149">
      <c r="A149" t="n">
        <v>2026</v>
      </c>
      <c r="B149">
        <f>'Investment'!B9</f>
        <v/>
      </c>
      <c r="C149">
        <f>B149*1000</f>
        <v/>
      </c>
      <c r="D149">
        <f>D148*(1-$B$3)+C149</f>
        <v/>
      </c>
    </row>
    <row r="150">
      <c r="A150" s="2" t="inlineStr">
        <is>
          <t>INVESTMENT IMPACT SUMMARY</t>
        </is>
      </c>
      <c r="B150">
        <f>'Investment'!B10</f>
        <v/>
      </c>
      <c r="C150">
        <f>B150*1000</f>
        <v/>
      </c>
      <c r="D150">
        <f>D149*(1-$B$3)+C150</f>
        <v/>
      </c>
    </row>
    <row r="151">
      <c r="A151" t="n">
        <v>2024</v>
      </c>
      <c r="B151">
        <f>I72/1000</f>
        <v/>
      </c>
      <c r="C151">
        <f>J72/1000</f>
        <v/>
      </c>
      <c r="D151">
        <f>C151-B151</f>
        <v/>
      </c>
      <c r="E151">
        <f>D151/B151</f>
        <v/>
      </c>
    </row>
    <row r="152">
      <c r="A152" t="n">
        <v>2025</v>
      </c>
      <c r="B152">
        <f>I73/1000</f>
        <v/>
      </c>
      <c r="C152">
        <f>J73/1000</f>
        <v/>
      </c>
      <c r="D152">
        <f>C152-B152</f>
        <v/>
      </c>
      <c r="E152">
        <f>D152/B152</f>
        <v/>
      </c>
    </row>
    <row r="153">
      <c r="A153" t="n">
        <v>2026</v>
      </c>
      <c r="B153">
        <f>I74/1000</f>
        <v/>
      </c>
      <c r="C153">
        <f>J74/1000</f>
        <v/>
      </c>
      <c r="D153">
        <f>C153-B153</f>
        <v/>
      </c>
      <c r="E153">
        <f>D153/B153</f>
        <v/>
      </c>
    </row>
    <row r="154">
      <c r="A154" t="n">
        <v>2027</v>
      </c>
      <c r="B154">
        <f>I75/1000</f>
        <v/>
      </c>
      <c r="C154">
        <f>J75/1000</f>
        <v/>
      </c>
      <c r="D154">
        <f>C154-B154</f>
        <v/>
      </c>
      <c r="E154">
        <f>D154/B154</f>
        <v/>
      </c>
    </row>
    <row r="155">
      <c r="A155" t="n">
        <v>2028</v>
      </c>
      <c r="B155">
        <f>I76/1000</f>
        <v/>
      </c>
      <c r="C155">
        <f>J76/1000</f>
        <v/>
      </c>
      <c r="D155">
        <f>C155-B155</f>
        <v/>
      </c>
      <c r="E155">
        <f>D155/B155</f>
        <v/>
      </c>
    </row>
    <row r="156">
      <c r="A156" t="n">
        <v>2029</v>
      </c>
      <c r="B156">
        <f>I77/1000</f>
        <v/>
      </c>
      <c r="C156">
        <f>J77/1000</f>
        <v/>
      </c>
      <c r="D156">
        <f>C156-B156</f>
        <v/>
      </c>
      <c r="E156">
        <f>D156/B156</f>
        <v/>
      </c>
    </row>
    <row r="157">
      <c r="A157" t="n">
        <v>2030</v>
      </c>
      <c r="B157">
        <f>I78/1000</f>
        <v/>
      </c>
      <c r="C157">
        <f>J78/1000</f>
        <v/>
      </c>
      <c r="D157">
        <f>C157-B157</f>
        <v/>
      </c>
      <c r="E157">
        <f>D157/B157</f>
        <v/>
      </c>
    </row>
    <row r="158">
      <c r="A158" t="n">
        <v>2031</v>
      </c>
      <c r="B158">
        <f>I79/1000</f>
        <v/>
      </c>
      <c r="C158">
        <f>J79/1000</f>
        <v/>
      </c>
      <c r="D158">
        <f>C158-B158</f>
        <v/>
      </c>
      <c r="E158">
        <f>D158/B158</f>
        <v/>
      </c>
    </row>
    <row r="159">
      <c r="A159" t="n">
        <v>2032</v>
      </c>
      <c r="B159">
        <f>I80/1000</f>
        <v/>
      </c>
      <c r="C159">
        <f>J80/1000</f>
        <v/>
      </c>
      <c r="D159">
        <f>C159-B159</f>
        <v/>
      </c>
      <c r="E159">
        <f>D159/B159</f>
        <v/>
      </c>
    </row>
    <row r="160">
      <c r="A160" t="n">
        <v>2033</v>
      </c>
      <c r="B160">
        <f>I81/1000</f>
        <v/>
      </c>
      <c r="C160">
        <f>J81/1000</f>
        <v/>
      </c>
      <c r="D160">
        <f>C160-B160</f>
        <v/>
      </c>
      <c r="E160">
        <f>D160/B160</f>
        <v/>
      </c>
    </row>
    <row r="161">
      <c r="A161" t="n">
        <v>2034</v>
      </c>
      <c r="B161">
        <f>I82/1000</f>
        <v/>
      </c>
      <c r="C161">
        <f>J82/1000</f>
        <v/>
      </c>
      <c r="D161">
        <f>C161-B161</f>
        <v/>
      </c>
      <c r="E161">
        <f>D161/B161</f>
        <v/>
      </c>
    </row>
    <row r="162">
      <c r="A162" t="n">
        <v>2035</v>
      </c>
      <c r="B162">
        <f>I83/1000</f>
        <v/>
      </c>
      <c r="C162">
        <f>J83/1000</f>
        <v/>
      </c>
      <c r="D162">
        <f>C162-B162</f>
        <v/>
      </c>
      <c r="E162">
        <f>D162/B162</f>
        <v/>
      </c>
    </row>
    <row r="163">
      <c r="A163" t="n">
        <v>2036</v>
      </c>
      <c r="B163">
        <f>I84/1000</f>
        <v/>
      </c>
      <c r="C163">
        <f>J84/1000</f>
        <v/>
      </c>
      <c r="D163">
        <f>C163-B163</f>
        <v/>
      </c>
      <c r="E163">
        <f>D163/B163</f>
        <v/>
      </c>
    </row>
    <row r="164">
      <c r="A164" t="n">
        <v>2037</v>
      </c>
      <c r="B164">
        <f>I85/1000</f>
        <v/>
      </c>
      <c r="C164">
        <f>J85/1000</f>
        <v/>
      </c>
      <c r="D164">
        <f>C164-B164</f>
        <v/>
      </c>
      <c r="E164">
        <f>D164/B164</f>
        <v/>
      </c>
    </row>
    <row r="165">
      <c r="A165" t="n">
        <v>2038</v>
      </c>
      <c r="B165">
        <f>I86/1000</f>
        <v/>
      </c>
      <c r="C165">
        <f>J86/1000</f>
        <v/>
      </c>
      <c r="D165">
        <f>C165-B165</f>
        <v/>
      </c>
      <c r="E165">
        <f>D165/B165</f>
        <v/>
      </c>
    </row>
    <row r="166">
      <c r="A166" t="n">
        <v>2039</v>
      </c>
      <c r="B166">
        <f>I87/1000</f>
        <v/>
      </c>
      <c r="C166">
        <f>J87/1000</f>
        <v/>
      </c>
      <c r="D166">
        <f>C166-B166</f>
        <v/>
      </c>
      <c r="E166">
        <f>D166/B166</f>
        <v/>
      </c>
    </row>
    <row r="167">
      <c r="A167" t="n">
        <v>2040</v>
      </c>
      <c r="B167">
        <f>I88/1000</f>
        <v/>
      </c>
      <c r="C167">
        <f>J88/1000</f>
        <v/>
      </c>
      <c r="D167">
        <f>C167-B167</f>
        <v/>
      </c>
      <c r="E167">
        <f>D167/B167</f>
        <v/>
      </c>
    </row>
    <row r="168">
      <c r="A168" t="n">
        <v>2041</v>
      </c>
      <c r="B168">
        <f>I89/1000</f>
        <v/>
      </c>
      <c r="C168">
        <f>J89/1000</f>
        <v/>
      </c>
      <c r="D168">
        <f>C168-B168</f>
        <v/>
      </c>
      <c r="E168">
        <f>D168/B168</f>
        <v/>
      </c>
    </row>
    <row r="169">
      <c r="A169" t="n">
        <v>2042</v>
      </c>
      <c r="B169">
        <f>I90/1000</f>
        <v/>
      </c>
      <c r="C169">
        <f>J90/1000</f>
        <v/>
      </c>
      <c r="D169">
        <f>C169-B169</f>
        <v/>
      </c>
      <c r="E169">
        <f>D169/B169</f>
        <v/>
      </c>
    </row>
    <row r="170">
      <c r="A170" t="n">
        <v>2043</v>
      </c>
      <c r="B170">
        <f>I91/1000</f>
        <v/>
      </c>
      <c r="C170">
        <f>J91/1000</f>
        <v/>
      </c>
      <c r="D170">
        <f>C170-B170</f>
        <v/>
      </c>
      <c r="E170">
        <f>D170/B170</f>
        <v/>
      </c>
    </row>
    <row r="175">
      <c r="A175" s="4" t="inlineStr">
        <is>
          <t>KEY RESULTS</t>
        </is>
      </c>
    </row>
    <row r="176">
      <c r="A176" t="inlineStr">
        <is>
          <t>Average Annual Impact (2024-2033):</t>
        </is>
      </c>
      <c r="B176">
        <f>AVERAGE(D152:D161)</f>
        <v/>
      </c>
      <c r="C176" t="inlineStr">
        <is>
          <t>Billions USD</t>
        </is>
      </c>
    </row>
    <row r="177">
      <c r="A177" t="inlineStr">
        <is>
          <t>Total Impact (2024-2033):</t>
        </is>
      </c>
      <c r="B177">
        <f>SUM(D152:D161)</f>
        <v/>
      </c>
      <c r="C177" t="inlineStr">
        <is>
          <t>Billions USD</t>
        </is>
      </c>
    </row>
    <row r="178">
      <c r="A178" t="inlineStr">
        <is>
          <t>Average Impact (2034-2043):</t>
        </is>
      </c>
      <c r="B178">
        <f>AVERAGE(D162:D171)</f>
        <v/>
      </c>
      <c r="C178" t="inlineStr">
        <is>
          <t>Billions USD</t>
        </is>
      </c>
    </row>
    <row r="179">
      <c r="A179" t="inlineStr">
        <is>
          <t>Long-run Impact (2043):</t>
        </is>
      </c>
      <c r="B179">
        <f>D171</f>
        <v/>
      </c>
      <c r="C179" t="inlineStr">
        <is>
          <t>Billions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Investment Shock Analysis</t>
        </is>
      </c>
    </row>
    <row r="3">
      <c r="A3" t="inlineStr">
        <is>
          <t>Total Investment (USD Billions):</t>
        </is>
      </c>
      <c r="B3" t="n">
        <v>6.5</v>
      </c>
    </row>
    <row r="4">
      <c r="A4" t="inlineStr">
        <is>
          <t>Investment Period Start (Year):</t>
        </is>
      </c>
      <c r="B4" t="n">
        <v>2026</v>
      </c>
    </row>
    <row r="5">
      <c r="A5" t="inlineStr">
        <is>
          <t>Investment Period Duration (Years):</t>
        </is>
      </c>
      <c r="B5" t="n">
        <v>8</v>
      </c>
    </row>
    <row r="7">
      <c r="A7" t="inlineStr">
        <is>
          <t>Annual Investment Schedule</t>
        </is>
      </c>
    </row>
    <row r="8">
      <c r="A8" t="inlineStr">
        <is>
          <t>Year</t>
        </is>
      </c>
      <c r="B8" t="inlineStr">
        <is>
          <t>Annual Investment (Billions USD)</t>
        </is>
      </c>
    </row>
    <row r="9">
      <c r="A9" t="n">
        <v>2026</v>
      </c>
      <c r="B9">
        <f>$B$3/$B$5</f>
        <v/>
      </c>
    </row>
    <row r="10">
      <c r="A10" t="n">
        <v>2027</v>
      </c>
      <c r="B10">
        <f>$B$3/$B$5</f>
        <v/>
      </c>
    </row>
    <row r="11">
      <c r="A11" t="n">
        <v>2028</v>
      </c>
      <c r="B11">
        <f>$B$3/$B$5</f>
        <v/>
      </c>
    </row>
    <row r="12">
      <c r="A12" t="n">
        <v>2029</v>
      </c>
      <c r="B12">
        <f>$B$3/$B$5</f>
        <v/>
      </c>
    </row>
    <row r="13">
      <c r="A13" t="n">
        <v>2030</v>
      </c>
      <c r="B13">
        <f>$B$3/$B$5</f>
        <v/>
      </c>
    </row>
    <row r="14">
      <c r="A14" t="n">
        <v>2031</v>
      </c>
      <c r="B14">
        <f>$B$3/$B$5</f>
        <v/>
      </c>
    </row>
    <row r="15">
      <c r="A15" t="n">
        <v>2032</v>
      </c>
      <c r="B15">
        <f>$B$3/$B$5</f>
        <v/>
      </c>
    </row>
    <row r="16">
      <c r="A16" t="n">
        <v>2033</v>
      </c>
      <c r="B16">
        <f>$B$3/$B$5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2026-01-29T06:23:38Z</dcterms:created>
  <dcterms:modified xsi:type="dcterms:W3CDTF">2026-01-29T06:26:09Z</dcterms:modified>
</cp:coreProperties>
</file>