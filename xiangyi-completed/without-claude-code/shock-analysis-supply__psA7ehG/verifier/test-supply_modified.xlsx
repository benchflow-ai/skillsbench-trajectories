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data'!E23:E30)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SUMXMY2(M8:M27,0)+1600*SUMXMY2(N6:N27,0)</f>
        <v/>
      </c>
    </row>
    <row r="6">
      <c r="C6" t="n">
        <v>2002</v>
      </c>
      <c r="D6" s="19">
        <f>PWT!B14</f>
        <v/>
      </c>
      <c r="E6">
        <f>'WEO_Data'!C10</f>
        <v/>
      </c>
      <c r="F6">
        <f>LN(D6)</f>
        <v/>
      </c>
      <c r="G6">
        <f>LN(E6)</f>
        <v/>
      </c>
      <c r="K6" s="4">
        <f>G6-$B2*F6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'WEO_Data'!C11</f>
        <v/>
      </c>
      <c r="F7">
        <f>LN(D7)</f>
        <v/>
      </c>
      <c r="G7">
        <f>LN(E7)</f>
        <v/>
      </c>
      <c r="K7" s="4">
        <f>G7-$B2*F7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</f>
        <v/>
      </c>
      <c r="E8">
        <f>'WEO_Data'!C12</f>
        <v/>
      </c>
      <c r="F8">
        <f>LN(D8)</f>
        <v/>
      </c>
      <c r="G8">
        <f>LN(E8)</f>
        <v/>
      </c>
      <c r="K8" s="4">
        <f>G8-$B2*F8</f>
        <v/>
      </c>
      <c r="L8">
        <f>K8</f>
        <v/>
      </c>
      <c r="M8">
        <f>(L9-L8)-(L8-L7)</f>
        <v/>
      </c>
      <c r="N8" s="5">
        <f>K8-L8</f>
        <v/>
      </c>
    </row>
    <row r="9">
      <c r="C9" t="n">
        <v>2005</v>
      </c>
      <c r="D9" s="19">
        <f>PWT!B17</f>
        <v/>
      </c>
      <c r="E9">
        <f>'WEO_Data'!C13</f>
        <v/>
      </c>
      <c r="F9">
        <f>LN(D9)</f>
        <v/>
      </c>
      <c r="G9">
        <f>LN(E9)</f>
        <v/>
      </c>
      <c r="K9" s="4">
        <f>G9-$B2*F9</f>
        <v/>
      </c>
      <c r="L9">
        <f>K9</f>
        <v/>
      </c>
      <c r="M9">
        <f>(L10-L9)-(L9-L8)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'WEO_Data'!C14</f>
        <v/>
      </c>
      <c r="F10">
        <f>LN(D10)</f>
        <v/>
      </c>
      <c r="G10">
        <f>LN(E10)</f>
        <v/>
      </c>
      <c r="K10" s="4">
        <f>G10-$B2*F10</f>
        <v/>
      </c>
      <c r="L10">
        <f>K10</f>
        <v/>
      </c>
      <c r="M10">
        <f>(L11-L10)-(L10-L9)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'WEO_Data'!C15</f>
        <v/>
      </c>
      <c r="F11">
        <f>LN(D11)</f>
        <v/>
      </c>
      <c r="G11">
        <f>LN(E11)</f>
        <v/>
      </c>
      <c r="K11" s="4">
        <f>G11-$B2*F11</f>
        <v/>
      </c>
      <c r="L11">
        <f>K11</f>
        <v/>
      </c>
      <c r="M11">
        <f>(L12-L11)-(L11-L10)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'WEO_Data'!C16</f>
        <v/>
      </c>
      <c r="F12">
        <f>LN(D12)</f>
        <v/>
      </c>
      <c r="G12">
        <f>LN(E12)</f>
        <v/>
      </c>
      <c r="K12" s="4">
        <f>G12-$B2*F12</f>
        <v/>
      </c>
      <c r="L12">
        <f>K12</f>
        <v/>
      </c>
      <c r="M12">
        <f>(L13-L12)-(L12-L11)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'WEO_Data'!C17</f>
        <v/>
      </c>
      <c r="F13">
        <f>LN(D13)</f>
        <v/>
      </c>
      <c r="G13">
        <f>LN(E13)</f>
        <v/>
      </c>
      <c r="K13" s="4">
        <f>G13-$B2*F13</f>
        <v/>
      </c>
      <c r="L13">
        <f>K13</f>
        <v/>
      </c>
      <c r="M13">
        <f>(L14-L13)-(L13-L12)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'WEO_Data'!C18</f>
        <v/>
      </c>
      <c r="F14">
        <f>LN(D14)</f>
        <v/>
      </c>
      <c r="G14">
        <f>LN(E14)</f>
        <v/>
      </c>
      <c r="K14" s="4">
        <f>G14-$B2*F14</f>
        <v/>
      </c>
      <c r="L14">
        <f>K14</f>
        <v/>
      </c>
      <c r="M14">
        <f>(L15-L14)-(L14-L13)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'WEO_Data'!C19</f>
        <v/>
      </c>
      <c r="F15">
        <f>LN(D15)</f>
        <v/>
      </c>
      <c r="G15">
        <f>LN(E15)</f>
        <v/>
      </c>
      <c r="K15" s="4">
        <f>G15-$B2*F15</f>
        <v/>
      </c>
      <c r="L15">
        <f>K15</f>
        <v/>
      </c>
      <c r="M15">
        <f>(L16-L15)-(L15-L14)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'WEO_Data'!C20</f>
        <v/>
      </c>
      <c r="F16">
        <f>LN(D16)</f>
        <v/>
      </c>
      <c r="G16">
        <f>LN(E16)</f>
        <v/>
      </c>
      <c r="K16" s="4">
        <f>G16-$B2*F16</f>
        <v/>
      </c>
      <c r="L16">
        <f>K16</f>
        <v/>
      </c>
      <c r="M16">
        <f>(L17-L16)-(L16-L15)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'WEO_Data'!C21</f>
        <v/>
      </c>
      <c r="F17">
        <f>LN(D17)</f>
        <v/>
      </c>
      <c r="G17">
        <f>LN(E17)</f>
        <v/>
      </c>
      <c r="K17" s="4">
        <f>G17-$B2*F17</f>
        <v/>
      </c>
      <c r="L17">
        <f>K17</f>
        <v/>
      </c>
      <c r="M17">
        <f>(L18-L17)-(L17-L16)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'WEO_Data'!C22</f>
        <v/>
      </c>
      <c r="F18">
        <f>LN(D18)</f>
        <v/>
      </c>
      <c r="G18">
        <f>LN(E18)</f>
        <v/>
      </c>
      <c r="K18" s="4">
        <f>G18-$B2*F18</f>
        <v/>
      </c>
      <c r="L18">
        <f>K18</f>
        <v/>
      </c>
      <c r="M18">
        <f>(L19-L18)-(L18-L17)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'WEO_Data'!C23</f>
        <v/>
      </c>
      <c r="F19">
        <f>LN(D19)</f>
        <v/>
      </c>
      <c r="G19">
        <f>LN(E19)</f>
        <v/>
      </c>
      <c r="K19" s="4">
        <f>G19-$B2*F19</f>
        <v/>
      </c>
      <c r="L19">
        <f>K19</f>
        <v/>
      </c>
      <c r="M19">
        <f>(L20-L19)-(L19-L18)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'WEO_Data'!C24</f>
        <v/>
      </c>
      <c r="F20">
        <f>LN(D20)</f>
        <v/>
      </c>
      <c r="G20">
        <f>LN(E20)</f>
        <v/>
      </c>
      <c r="K20" s="4">
        <f>G20-$B2*F20</f>
        <v/>
      </c>
      <c r="L20">
        <f>K20</f>
        <v/>
      </c>
      <c r="M20">
        <f>(L21-L20)-(L20-L19)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'WEO_Data'!C25</f>
        <v/>
      </c>
      <c r="F21">
        <f>LN(D21)</f>
        <v/>
      </c>
      <c r="G21">
        <f>LN(E21)</f>
        <v/>
      </c>
      <c r="K21" s="4">
        <f>G21-$B2*F21</f>
        <v/>
      </c>
      <c r="L21">
        <f>K21</f>
        <v/>
      </c>
      <c r="M21">
        <f>(L22-L21)-(L21-L20)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'WEO_Data'!C26</f>
        <v/>
      </c>
      <c r="F22">
        <f>LN(D22)</f>
        <v/>
      </c>
      <c r="G22">
        <f>LN(E22)</f>
        <v/>
      </c>
      <c r="K22" s="4">
        <f>G22-$B2*F22</f>
        <v/>
      </c>
      <c r="L22">
        <f>K22</f>
        <v/>
      </c>
      <c r="M22">
        <f>(L23-L22)-(L22-L21)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'WEO_Data'!C27</f>
        <v/>
      </c>
      <c r="F23">
        <f>LN(D23)</f>
        <v/>
      </c>
      <c r="G23">
        <f>LN(E23)</f>
        <v/>
      </c>
      <c r="K23" s="4">
        <f>G23-$B2*F23</f>
        <v/>
      </c>
      <c r="L23">
        <f>K23</f>
        <v/>
      </c>
      <c r="M23">
        <f>(L24-L23)-(L23-L22)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'WEO_Data'!C28</f>
        <v/>
      </c>
      <c r="F24">
        <f>LN(D24)</f>
        <v/>
      </c>
      <c r="G24">
        <f>LN(E24)</f>
        <v/>
      </c>
      <c r="K24" s="4">
        <f>G24-$B2*F24</f>
        <v/>
      </c>
      <c r="L24">
        <f>K24</f>
        <v/>
      </c>
      <c r="M24">
        <f>(L25-L24)-(L24-L23)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'WEO_Data'!C29</f>
        <v/>
      </c>
      <c r="F25">
        <f>LN(D25)</f>
        <v/>
      </c>
      <c r="G25">
        <f>LN(E25)</f>
        <v/>
      </c>
      <c r="K25" s="4">
        <f>G25-$B2*F25</f>
        <v/>
      </c>
      <c r="L25">
        <f>K25</f>
        <v/>
      </c>
      <c r="M25">
        <f>(L26-L25)-(L25-L24)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'WEO_Data'!C30</f>
        <v/>
      </c>
      <c r="F26">
        <f>LN(D26)</f>
        <v/>
      </c>
      <c r="G26">
        <f>LN(E26)</f>
        <v/>
      </c>
      <c r="K26" s="4">
        <f>G26-$B2*F26</f>
        <v/>
      </c>
      <c r="L26">
        <f>K26</f>
        <v/>
      </c>
      <c r="M26">
        <f>(L27-L26)-(L26-L25)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'WEO_Data'!C31</f>
        <v/>
      </c>
      <c r="F27">
        <f>LN(D27)</f>
        <v/>
      </c>
      <c r="G27">
        <f>LN(E27)</f>
        <v/>
      </c>
      <c r="K27" s="6">
        <f>G27-$B2*F27</f>
        <v/>
      </c>
      <c r="L27" s="7">
        <f>K27</f>
        <v/>
      </c>
      <c r="M27" s="7">
        <f>(L28-L27)-(L27-L26)</f>
        <v/>
      </c>
      <c r="N27" s="8">
        <f>K27-L27</f>
        <v/>
      </c>
    </row>
    <row r="29">
      <c r="B29" t="n">
        <v>2002</v>
      </c>
      <c r="C29">
        <f>PWT!B14</f>
        <v/>
      </c>
      <c r="D29">
        <f>'WEO_Data'!C10</f>
        <v/>
      </c>
      <c r="E29">
        <f>C29/D29</f>
        <v/>
      </c>
      <c r="G29">
        <f>L6</f>
        <v/>
      </c>
      <c r="H29">
        <f>EXP(G29+$B$2*LN(C29))</f>
        <v/>
      </c>
      <c r="I29" t="n">
        <v>0</v>
      </c>
      <c r="J29" t="n">
        <v>0</v>
      </c>
      <c r="K29">
        <f>C29</f>
        <v/>
      </c>
      <c r="L29">
        <f>EXP(G29+$B$2*LN(K29))</f>
        <v/>
      </c>
      <c r="M29">
        <f>L29-H29</f>
        <v/>
      </c>
      <c r="N29">
        <f>M29/H29*100</f>
        <v/>
      </c>
    </row>
    <row r="30">
      <c r="B30" t="n">
        <v>2003</v>
      </c>
      <c r="C30">
        <f>PWT!B15</f>
        <v/>
      </c>
      <c r="D30">
        <f>'WEO_Data'!C11</f>
        <v/>
      </c>
      <c r="E30">
        <f>C30/D30</f>
        <v/>
      </c>
      <c r="G30">
        <f>L7</f>
        <v/>
      </c>
      <c r="H30">
        <f>EXP(G30+$B$2*LN(C30))</f>
        <v/>
      </c>
      <c r="I30" t="n">
        <v>0</v>
      </c>
      <c r="J30">
        <f>I30-$B$3*C29</f>
        <v/>
      </c>
      <c r="K30">
        <f>K29+J30</f>
        <v/>
      </c>
      <c r="L30">
        <f>EXP(G30+$B$2*LN(K30))</f>
        <v/>
      </c>
      <c r="M30">
        <f>L30-H30</f>
        <v/>
      </c>
      <c r="N30">
        <f>M30/H30*100</f>
        <v/>
      </c>
    </row>
    <row r="31">
      <c r="B31" t="n">
        <v>2004</v>
      </c>
      <c r="C31">
        <f>PWT!B16</f>
        <v/>
      </c>
      <c r="D31">
        <f>'WEO_Data'!C12</f>
        <v/>
      </c>
      <c r="E31">
        <f>C31/D31</f>
        <v/>
      </c>
      <c r="G31">
        <f>L8</f>
        <v/>
      </c>
      <c r="H31">
        <f>EXP(G31+$B$2*LN(C31))</f>
        <v/>
      </c>
      <c r="I31" t="n">
        <v>0</v>
      </c>
      <c r="J31">
        <f>I31-$B$3*C30</f>
        <v/>
      </c>
      <c r="K31">
        <f>K30+J31</f>
        <v/>
      </c>
      <c r="L31">
        <f>EXP(G31+$B$2*LN(K31))</f>
        <v/>
      </c>
      <c r="M31">
        <f>L31-H31</f>
        <v/>
      </c>
      <c r="N31">
        <f>M31/H31*100</f>
        <v/>
      </c>
    </row>
    <row r="32">
      <c r="B32" t="n">
        <v>2005</v>
      </c>
      <c r="C32">
        <f>PWT!B17</f>
        <v/>
      </c>
      <c r="D32">
        <f>'WEO_Data'!C13</f>
        <v/>
      </c>
      <c r="E32">
        <f>C32/D32</f>
        <v/>
      </c>
      <c r="G32">
        <f>L9</f>
        <v/>
      </c>
      <c r="H32">
        <f>EXP(G32+$B$2*LN(C32))</f>
        <v/>
      </c>
      <c r="I32" t="n">
        <v>0</v>
      </c>
      <c r="J32">
        <f>I32-$B$3*C31</f>
        <v/>
      </c>
      <c r="K32">
        <f>K31+J32</f>
        <v/>
      </c>
      <c r="L32">
        <f>EXP(G32+$B$2*LN(K32))</f>
        <v/>
      </c>
      <c r="M32">
        <f>L32-H32</f>
        <v/>
      </c>
      <c r="N32">
        <f>M32/H32*100</f>
        <v/>
      </c>
    </row>
    <row r="33">
      <c r="B33" t="n">
        <v>2006</v>
      </c>
      <c r="C33">
        <f>PWT!B18</f>
        <v/>
      </c>
      <c r="D33">
        <f>'WEO_Data'!C14</f>
        <v/>
      </c>
      <c r="E33">
        <f>C33/D33</f>
        <v/>
      </c>
      <c r="G33">
        <f>L10</f>
        <v/>
      </c>
      <c r="H33">
        <f>EXP(G33+$B$2*LN(C33))</f>
        <v/>
      </c>
      <c r="I33" t="n">
        <v>0</v>
      </c>
      <c r="J33">
        <f>I33-$B$3*C32</f>
        <v/>
      </c>
      <c r="K33">
        <f>K32+J33</f>
        <v/>
      </c>
      <c r="L33">
        <f>EXP(G33+$B$2*LN(K33))</f>
        <v/>
      </c>
      <c r="M33">
        <f>L33-H33</f>
        <v/>
      </c>
      <c r="N33">
        <f>M33/H33*100</f>
        <v/>
      </c>
    </row>
    <row r="34">
      <c r="B34" t="n">
        <v>2007</v>
      </c>
      <c r="C34">
        <f>PWT!B19</f>
        <v/>
      </c>
      <c r="D34">
        <f>'WEO_Data'!C15</f>
        <v/>
      </c>
      <c r="E34">
        <f>C34/D34</f>
        <v/>
      </c>
      <c r="G34">
        <f>L11</f>
        <v/>
      </c>
      <c r="H34">
        <f>EXP(G34+$B$2*LN(C34))</f>
        <v/>
      </c>
      <c r="I34" t="n">
        <v>0</v>
      </c>
      <c r="J34">
        <f>I34-$B$3*C33</f>
        <v/>
      </c>
      <c r="K34">
        <f>K33+J34</f>
        <v/>
      </c>
      <c r="L34">
        <f>EXP(G34+$B$2*LN(K34))</f>
        <v/>
      </c>
      <c r="M34">
        <f>L34-H34</f>
        <v/>
      </c>
      <c r="N34">
        <f>M34/H34*100</f>
        <v/>
      </c>
    </row>
    <row r="35">
      <c r="B35" t="n">
        <v>2008</v>
      </c>
      <c r="C35">
        <f>PWT!B20</f>
        <v/>
      </c>
      <c r="D35">
        <f>'WEO_Data'!C16</f>
        <v/>
      </c>
      <c r="E35">
        <f>C35/D35</f>
        <v/>
      </c>
      <c r="F35" t="inlineStr">
        <is>
          <t>Y</t>
        </is>
      </c>
      <c r="G35">
        <f>L12</f>
        <v/>
      </c>
      <c r="H35">
        <f>EXP(G35+$B$2*LN(C35))</f>
        <v/>
      </c>
      <c r="I35" t="n">
        <v>0</v>
      </c>
      <c r="J35">
        <f>I35-$B$3*C34</f>
        <v/>
      </c>
      <c r="K35">
        <f>K34+J35</f>
        <v/>
      </c>
      <c r="L35">
        <f>EXP(G35+$B$2*LN(K35))</f>
        <v/>
      </c>
      <c r="M35">
        <f>L35-H35</f>
        <v/>
      </c>
      <c r="N35">
        <f>M35/H35*100</f>
        <v/>
      </c>
      <c r="O35" t="inlineStr">
        <is>
          <t>Projected GDP Growth</t>
        </is>
      </c>
      <c r="P35" t="inlineStr">
        <is>
          <t>Baseline GDP Growth</t>
        </is>
      </c>
    </row>
    <row r="36">
      <c r="B36" t="n">
        <v>2009</v>
      </c>
      <c r="C36">
        <f>PWT!B21</f>
        <v/>
      </c>
      <c r="D36">
        <f>'WEO_Data'!C17</f>
        <v/>
      </c>
      <c r="E36" s="19">
        <f>C36/D36</f>
        <v/>
      </c>
      <c r="G36">
        <f>L13</f>
        <v/>
      </c>
      <c r="H36">
        <f>EXP(G36+$B$2*LN(C36))</f>
        <v/>
      </c>
      <c r="I36" t="n">
        <v>0</v>
      </c>
      <c r="J36">
        <f>I36-$B$3*C35</f>
        <v/>
      </c>
      <c r="K36" s="19">
        <f>K35+J36</f>
        <v/>
      </c>
      <c r="L36">
        <f>EXP(G36+$B$2*LN(K36))</f>
        <v/>
      </c>
      <c r="M36">
        <f>L36-H36</f>
        <v/>
      </c>
      <c r="N36">
        <f>M36/H36*100</f>
        <v/>
      </c>
    </row>
    <row r="37">
      <c r="B37" t="n">
        <v>2010</v>
      </c>
      <c r="C37">
        <f>PWT!B22</f>
        <v/>
      </c>
      <c r="D37">
        <f>'WEO_Data'!C18</f>
        <v/>
      </c>
      <c r="E37" s="19">
        <f>C37/D37</f>
        <v/>
      </c>
      <c r="G37">
        <f>L14</f>
        <v/>
      </c>
      <c r="H37">
        <f>EXP(G37+$B$2*LN(C37))</f>
        <v/>
      </c>
      <c r="I37" t="n">
        <v>0</v>
      </c>
      <c r="J37">
        <f>I37-$B$3*C36</f>
        <v/>
      </c>
      <c r="K37" s="19">
        <f>K36+J37</f>
        <v/>
      </c>
      <c r="L37">
        <f>EXP(G37+$B$2*LN(K37))</f>
        <v/>
      </c>
      <c r="M37">
        <f>L37-H37</f>
        <v/>
      </c>
      <c r="N37">
        <f>M37/H37*100</f>
        <v/>
      </c>
    </row>
    <row r="38">
      <c r="B38" t="n">
        <v>2011</v>
      </c>
      <c r="C38">
        <f>PWT!B23</f>
        <v/>
      </c>
      <c r="D38">
        <f>'WEO_Data'!C19</f>
        <v/>
      </c>
      <c r="E38" s="19">
        <f>C38/D38</f>
        <v/>
      </c>
      <c r="G38">
        <f>L15</f>
        <v/>
      </c>
      <c r="H38">
        <f>EXP(G38+$B$2*LN(C38))</f>
        <v/>
      </c>
      <c r="I38" t="n">
        <v>0</v>
      </c>
      <c r="J38">
        <f>I38-$B$3*C37</f>
        <v/>
      </c>
      <c r="K38" s="19">
        <f>K37+J38</f>
        <v/>
      </c>
      <c r="L38">
        <f>EXP(G38+$B$2*LN(K38))</f>
        <v/>
      </c>
      <c r="M38">
        <f>L38-H38</f>
        <v/>
      </c>
      <c r="N38">
        <f>M38/H38*100</f>
        <v/>
      </c>
    </row>
    <row r="39">
      <c r="B39" t="n">
        <v>2012</v>
      </c>
      <c r="C39">
        <f>PWT!B24</f>
        <v/>
      </c>
      <c r="D39">
        <f>'WEO_Data'!C20</f>
        <v/>
      </c>
      <c r="E39" s="19">
        <f>C39/D39</f>
        <v/>
      </c>
      <c r="G39">
        <f>L16</f>
        <v/>
      </c>
      <c r="H39">
        <f>EXP(G39+$B$2*LN(C39))</f>
        <v/>
      </c>
      <c r="I39" t="n">
        <v>0</v>
      </c>
      <c r="J39">
        <f>I39-$B$3*C38</f>
        <v/>
      </c>
      <c r="K39" s="19">
        <f>K38+J39</f>
        <v/>
      </c>
      <c r="L39">
        <f>EXP(G39+$B$2*LN(K39))</f>
        <v/>
      </c>
      <c r="M39">
        <f>L39-H39</f>
        <v/>
      </c>
      <c r="N39">
        <f>M39/H39*100</f>
        <v/>
      </c>
    </row>
    <row r="40">
      <c r="B40" t="n">
        <v>2013</v>
      </c>
      <c r="C40">
        <f>PWT!B25</f>
        <v/>
      </c>
      <c r="D40">
        <f>'WEO_Data'!C21</f>
        <v/>
      </c>
      <c r="E40" s="19">
        <f>C40/D40</f>
        <v/>
      </c>
      <c r="G40">
        <f>L17</f>
        <v/>
      </c>
      <c r="H40">
        <f>EXP(G40+$B$2*LN(C40))</f>
        <v/>
      </c>
      <c r="I40" t="n">
        <v>0</v>
      </c>
      <c r="J40">
        <f>I40-$B$3*C39</f>
        <v/>
      </c>
      <c r="K40" s="19">
        <f>K39+J40</f>
        <v/>
      </c>
      <c r="L40">
        <f>EXP(G40+$B$2*LN(K40))</f>
        <v/>
      </c>
      <c r="M40">
        <f>L40-H40</f>
        <v/>
      </c>
      <c r="N40">
        <f>M40/H40*100</f>
        <v/>
      </c>
    </row>
    <row r="41">
      <c r="B41" t="n">
        <v>2014</v>
      </c>
      <c r="C41">
        <f>PWT!B26</f>
        <v/>
      </c>
      <c r="D41">
        <f>'WEO_Data'!C22</f>
        <v/>
      </c>
      <c r="E41" s="19">
        <f>C41/D41</f>
        <v/>
      </c>
      <c r="G41">
        <f>L18</f>
        <v/>
      </c>
      <c r="H41">
        <f>EXP(G41+$B$2*LN(C41))</f>
        <v/>
      </c>
      <c r="I41" t="n">
        <v>0</v>
      </c>
      <c r="J41">
        <f>I41-$B$3*C40</f>
        <v/>
      </c>
      <c r="K41" s="19">
        <f>K40+J41</f>
        <v/>
      </c>
      <c r="L41">
        <f>EXP(G41+$B$2*LN(K41))</f>
        <v/>
      </c>
      <c r="M41">
        <f>L41-H41</f>
        <v/>
      </c>
      <c r="N41">
        <f>M41/H41*100</f>
        <v/>
      </c>
    </row>
    <row r="42">
      <c r="B42" t="n">
        <v>2015</v>
      </c>
      <c r="C42">
        <f>PWT!B27</f>
        <v/>
      </c>
      <c r="D42">
        <f>'WEO_Data'!C23</f>
        <v/>
      </c>
      <c r="E42" s="19">
        <f>C42/D42</f>
        <v/>
      </c>
      <c r="G42">
        <f>L19</f>
        <v/>
      </c>
      <c r="H42">
        <f>EXP(G42+$B$2*LN(C42))</f>
        <v/>
      </c>
      <c r="I42" t="n">
        <v>0</v>
      </c>
      <c r="J42">
        <f>I42-$B$3*C41</f>
        <v/>
      </c>
      <c r="K42" s="19">
        <f>K41+J42</f>
        <v/>
      </c>
      <c r="L42">
        <f>EXP(G42+$B$2*LN(K42))</f>
        <v/>
      </c>
      <c r="M42">
        <f>L42-H42</f>
        <v/>
      </c>
      <c r="N42">
        <f>M42/H42*100</f>
        <v/>
      </c>
    </row>
    <row r="43">
      <c r="B43" t="n">
        <v>2016</v>
      </c>
      <c r="C43">
        <f>PWT!B28</f>
        <v/>
      </c>
      <c r="D43">
        <f>'WEO_Data'!C24</f>
        <v/>
      </c>
      <c r="E43" s="19">
        <f>C43/D43</f>
        <v/>
      </c>
      <c r="G43">
        <f>L20</f>
        <v/>
      </c>
      <c r="H43">
        <f>EXP(G43+$B$2*LN(C43))</f>
        <v/>
      </c>
      <c r="I43" t="n">
        <v>0</v>
      </c>
      <c r="J43">
        <f>I43-$B$3*C42</f>
        <v/>
      </c>
      <c r="K43" s="19">
        <f>K42+J43</f>
        <v/>
      </c>
      <c r="L43">
        <f>EXP(G43+$B$2*LN(K43))</f>
        <v/>
      </c>
      <c r="M43">
        <f>L43-H43</f>
        <v/>
      </c>
      <c r="N43">
        <f>M43/H43*100</f>
        <v/>
      </c>
    </row>
    <row r="44">
      <c r="B44" t="n">
        <v>2017</v>
      </c>
      <c r="C44">
        <f>PWT!B29</f>
        <v/>
      </c>
      <c r="D44">
        <f>'WEO_Data'!C25</f>
        <v/>
      </c>
      <c r="E44" s="19">
        <f>C44/D44</f>
        <v/>
      </c>
      <c r="G44">
        <f>L21</f>
        <v/>
      </c>
      <c r="H44">
        <f>EXP(G44+$B$2*LN(C44))</f>
        <v/>
      </c>
      <c r="I44" t="n">
        <v>0</v>
      </c>
      <c r="J44">
        <f>I44-$B$3*C43</f>
        <v/>
      </c>
      <c r="K44" s="19">
        <f>K43+J44</f>
        <v/>
      </c>
      <c r="L44">
        <f>EXP(G44+$B$2*LN(K44))</f>
        <v/>
      </c>
      <c r="M44">
        <f>L44-H44</f>
        <v/>
      </c>
      <c r="N44">
        <f>M44/H44*100</f>
        <v/>
      </c>
    </row>
    <row r="45">
      <c r="B45" t="n">
        <v>2018</v>
      </c>
      <c r="C45">
        <f>PWT!B30</f>
        <v/>
      </c>
      <c r="D45">
        <f>'WEO_Data'!C26</f>
        <v/>
      </c>
      <c r="E45" s="19">
        <f>C45/D45</f>
        <v/>
      </c>
      <c r="G45">
        <f>L22</f>
        <v/>
      </c>
      <c r="H45">
        <f>EXP(G45+$B$2*LN(C45))</f>
        <v/>
      </c>
      <c r="I45" t="n">
        <v>0</v>
      </c>
      <c r="J45">
        <f>I45-$B$3*C44</f>
        <v/>
      </c>
      <c r="K45" s="19">
        <f>K44+J45</f>
        <v/>
      </c>
      <c r="L45">
        <f>EXP(G45+$B$2*LN(K45))</f>
        <v/>
      </c>
      <c r="M45">
        <f>L45-H45</f>
        <v/>
      </c>
      <c r="N45">
        <f>M45/H45*100</f>
        <v/>
      </c>
    </row>
    <row r="46">
      <c r="B46" t="n">
        <v>2019</v>
      </c>
      <c r="C46">
        <f>PWT!B31</f>
        <v/>
      </c>
      <c r="D46">
        <f>'WEO_Data'!C27</f>
        <v/>
      </c>
      <c r="E46" s="19">
        <f>C46/D46</f>
        <v/>
      </c>
      <c r="G46">
        <f>L23</f>
        <v/>
      </c>
      <c r="H46">
        <f>EXP(G46+$B$2*LN(C46))</f>
        <v/>
      </c>
      <c r="I46" t="n">
        <v>0</v>
      </c>
      <c r="J46">
        <f>I46-$B$3*C45</f>
        <v/>
      </c>
      <c r="K46" s="19">
        <f>K45+J46</f>
        <v/>
      </c>
      <c r="L46">
        <f>EXP(G46+$B$2*LN(K46))</f>
        <v/>
      </c>
      <c r="M46">
        <f>L46-H46</f>
        <v/>
      </c>
      <c r="N46">
        <f>M46/H46*100</f>
        <v/>
      </c>
    </row>
    <row r="47">
      <c r="B47" t="n">
        <v>2020</v>
      </c>
      <c r="C47">
        <f>PWT!B32</f>
        <v/>
      </c>
      <c r="D47">
        <f>'WEO_Data'!C28</f>
        <v/>
      </c>
      <c r="E47" s="19">
        <f>C47/D47</f>
        <v/>
      </c>
      <c r="G47">
        <f>L24</f>
        <v/>
      </c>
      <c r="H47">
        <f>EXP(G47+$B$2*LN(C47))</f>
        <v/>
      </c>
      <c r="I47" t="n">
        <v>0</v>
      </c>
      <c r="J47">
        <f>I47-$B$3*C46</f>
        <v/>
      </c>
      <c r="K47" s="19">
        <f>K46+J47</f>
        <v/>
      </c>
      <c r="L47">
        <f>EXP(G47+$B$2*LN(K47))</f>
        <v/>
      </c>
      <c r="M47">
        <f>L47-H47</f>
        <v/>
      </c>
      <c r="N47">
        <f>M47/H47*100</f>
        <v/>
      </c>
    </row>
    <row r="48">
      <c r="B48" t="n">
        <v>2021</v>
      </c>
      <c r="C48">
        <f>PWT!B33</f>
        <v/>
      </c>
      <c r="D48">
        <f>'WEO_Data'!C29</f>
        <v/>
      </c>
      <c r="E48" s="19">
        <f>C48/D48</f>
        <v/>
      </c>
      <c r="G48">
        <f>L25</f>
        <v/>
      </c>
      <c r="H48">
        <f>EXP(G48+$B$2*LN(C48))</f>
        <v/>
      </c>
      <c r="I48" t="n">
        <v>0</v>
      </c>
      <c r="J48">
        <f>I48-$B$3*C47</f>
        <v/>
      </c>
      <c r="K48" s="19">
        <f>K47+J48</f>
        <v/>
      </c>
      <c r="L48">
        <f>EXP(G48+$B$2*LN(K48))</f>
        <v/>
      </c>
      <c r="M48">
        <f>L48-H48</f>
        <v/>
      </c>
      <c r="N48">
        <f>M48/H48*100</f>
        <v/>
      </c>
    </row>
    <row r="49">
      <c r="B49" t="n">
        <v>2022</v>
      </c>
      <c r="C49">
        <f>PWT!B34</f>
        <v/>
      </c>
      <c r="D49">
        <f>'WEO_Data'!C30</f>
        <v/>
      </c>
      <c r="E49" s="19">
        <f>C49/D49</f>
        <v/>
      </c>
      <c r="G49">
        <f>L26</f>
        <v/>
      </c>
      <c r="H49">
        <f>EXP(G49+$B$2*LN(C49))</f>
        <v/>
      </c>
      <c r="I49" t="n">
        <v>0</v>
      </c>
      <c r="J49">
        <f>I49-$B$3*C48</f>
        <v/>
      </c>
      <c r="K49" s="19">
        <f>K48+J49</f>
        <v/>
      </c>
      <c r="L49">
        <f>EXP(G49+$B$2*LN(K49))</f>
        <v/>
      </c>
      <c r="M49">
        <f>L49-H49</f>
        <v/>
      </c>
      <c r="N49">
        <f>M49/H49*100</f>
        <v/>
      </c>
    </row>
    <row r="50">
      <c r="B50" t="n">
        <v>2023</v>
      </c>
      <c r="C50">
        <f>PWT!B35</f>
        <v/>
      </c>
      <c r="D50">
        <f>'WEO_Data'!C31</f>
        <v/>
      </c>
      <c r="E50" s="19">
        <f>C50/D50</f>
        <v/>
      </c>
      <c r="G50">
        <f>L27</f>
        <v/>
      </c>
      <c r="H50">
        <f>EXP(G50+$B$2*LN(C50))</f>
        <v/>
      </c>
      <c r="I50" t="n">
        <v>0</v>
      </c>
      <c r="J50">
        <f>I50-$B$3*C49</f>
        <v/>
      </c>
      <c r="K50" s="19">
        <f>K49+J50</f>
        <v/>
      </c>
      <c r="L50">
        <f>EXP(G50+$B$2*LN(K50))</f>
        <v/>
      </c>
      <c r="M50">
        <f>L50-H50</f>
        <v/>
      </c>
      <c r="N50">
        <f>M50/H50*100</f>
        <v/>
      </c>
    </row>
    <row r="51">
      <c r="B51" t="n">
        <v>2024</v>
      </c>
      <c r="C51">
        <f>D51*=AVERAGE(E42:E50)</f>
        <v/>
      </c>
      <c r="D51">
        <f>'WEO_Data'!C32</f>
        <v/>
      </c>
      <c r="E51" s="19" t="n"/>
      <c r="G51">
        <f>TREND($G$29:$G$50,$B$29:$B$50,B51)</f>
        <v/>
      </c>
      <c r="H51">
        <f>EXP(G51+$B$2*LN(C51))</f>
        <v/>
      </c>
      <c r="I51" t="n">
        <v>0</v>
      </c>
      <c r="J51">
        <f>I51-$B$3*C50</f>
        <v/>
      </c>
      <c r="K51" s="19">
        <f>K50+J51</f>
        <v/>
      </c>
      <c r="L51">
        <f>EXP(G51+$B$2*LN(K51))</f>
        <v/>
      </c>
      <c r="M51">
        <f>L51-H51</f>
        <v/>
      </c>
      <c r="N51">
        <f>M51/H51*100</f>
        <v/>
      </c>
    </row>
    <row r="52">
      <c r="B52" t="n">
        <v>2025</v>
      </c>
      <c r="C52">
        <f>D52*=AVERAGE(E42:E50)</f>
        <v/>
      </c>
      <c r="D52">
        <f>'WEO_Data'!C33</f>
        <v/>
      </c>
      <c r="E52" s="19" t="n"/>
      <c r="G52">
        <f>TREND($G$29:$G$50,$B$29:$B$50,B52)</f>
        <v/>
      </c>
      <c r="H52">
        <f>EXP(G52+$B$2*LN(C52))</f>
        <v/>
      </c>
      <c r="I52" t="n">
        <v>0</v>
      </c>
      <c r="J52">
        <f>I52-$B$3*C51</f>
        <v/>
      </c>
      <c r="K52" s="19">
        <f>K51+J52</f>
        <v/>
      </c>
      <c r="L52">
        <f>EXP(G52+$B$2*LN(K52))</f>
        <v/>
      </c>
      <c r="M52">
        <f>L52-H52</f>
        <v/>
      </c>
      <c r="N52">
        <f>M52/H52*100</f>
        <v/>
      </c>
    </row>
    <row r="53">
      <c r="B53" t="n">
        <v>2026</v>
      </c>
      <c r="C53">
        <f>D53*=AVERAGE(E42:E50)</f>
        <v/>
      </c>
      <c r="D53">
        <f>'WEO_Data'!C34</f>
        <v/>
      </c>
      <c r="E53" s="19" t="n"/>
      <c r="G53">
        <f>TREND($G$29:$G$50,$B$29:$B$50,B53)</f>
        <v/>
      </c>
      <c r="H53">
        <f>EXP(G53+$B$2*LN(C53))</f>
        <v/>
      </c>
      <c r="I53">
        <f>'Investment'!C2</f>
        <v/>
      </c>
      <c r="J53">
        <f>I53-$B$3*C52</f>
        <v/>
      </c>
      <c r="K53" s="19">
        <f>K52+J53</f>
        <v/>
      </c>
      <c r="L53">
        <f>EXP(G53+$B$2*LN(K53))</f>
        <v/>
      </c>
      <c r="M53">
        <f>L53-H53</f>
        <v/>
      </c>
      <c r="N53">
        <f>M53/H53*100</f>
        <v/>
      </c>
    </row>
    <row r="54">
      <c r="B54" t="n">
        <v>2027</v>
      </c>
      <c r="C54">
        <f>D54*=AVERAGE(E42:E50)</f>
        <v/>
      </c>
      <c r="D54">
        <f>'WEO_Data'!C35</f>
        <v/>
      </c>
      <c r="E54" s="19" t="n"/>
      <c r="G54">
        <f>TREND($G$29:$G$50,$B$29:$B$50,B54)</f>
        <v/>
      </c>
      <c r="H54">
        <f>EXP(G54+$B$2*LN(C54))</f>
        <v/>
      </c>
      <c r="I54">
        <f>'Investment'!C3</f>
        <v/>
      </c>
      <c r="J54">
        <f>I54-$B$3*C53</f>
        <v/>
      </c>
      <c r="K54" s="19">
        <f>K53+J54</f>
        <v/>
      </c>
      <c r="L54">
        <f>EXP(G54+$B$2*LN(K54))</f>
        <v/>
      </c>
      <c r="M54">
        <f>L54-H54</f>
        <v/>
      </c>
      <c r="N54">
        <f>M54/H54*100</f>
        <v/>
      </c>
    </row>
    <row r="55">
      <c r="B55" t="n">
        <v>2028</v>
      </c>
      <c r="C55">
        <f>D55*=AVERAGE(E42:E50)</f>
        <v/>
      </c>
      <c r="D55">
        <f>'WEO_Data'!C36</f>
        <v/>
      </c>
      <c r="E55" s="19" t="n"/>
      <c r="G55">
        <f>TREND($G$29:$G$50,$B$29:$B$50,B55)</f>
        <v/>
      </c>
      <c r="H55">
        <f>EXP(G55+$B$2*LN(C55))</f>
        <v/>
      </c>
      <c r="I55">
        <f>'Investment'!C4</f>
        <v/>
      </c>
      <c r="J55">
        <f>I55-$B$3*C54</f>
        <v/>
      </c>
      <c r="K55" s="19">
        <f>K54+J55</f>
        <v/>
      </c>
      <c r="L55">
        <f>EXP(G55+$B$2*LN(K55))</f>
        <v/>
      </c>
      <c r="M55">
        <f>L55-H55</f>
        <v/>
      </c>
      <c r="N55">
        <f>M55/H55*100</f>
        <v/>
      </c>
    </row>
    <row r="56">
      <c r="B56" t="n">
        <v>2029</v>
      </c>
      <c r="C56">
        <f>D56*=AVERAGE(E42:E50)</f>
        <v/>
      </c>
      <c r="D56">
        <f>'WEO_Data'!C37</f>
        <v/>
      </c>
      <c r="E56" s="19" t="n"/>
      <c r="G56">
        <f>TREND($G$29:$G$50,$B$29:$B$50,B56)</f>
        <v/>
      </c>
      <c r="H56">
        <f>EXP(G56+$B$2*LN(C56))</f>
        <v/>
      </c>
      <c r="I56">
        <f>'Investment'!C5</f>
        <v/>
      </c>
      <c r="J56">
        <f>I56-$B$3*C55</f>
        <v/>
      </c>
      <c r="K56" s="19">
        <f>K55+J56</f>
        <v/>
      </c>
      <c r="L56">
        <f>EXP(G56+$B$2*LN(K56))</f>
        <v/>
      </c>
      <c r="M56">
        <f>L56-H56</f>
        <v/>
      </c>
      <c r="N56">
        <f>M56/H56*100</f>
        <v/>
      </c>
    </row>
    <row r="57">
      <c r="B57" t="n">
        <v>2030</v>
      </c>
      <c r="C57">
        <f>D57*=AVERAGE(E42:E50)</f>
        <v/>
      </c>
      <c r="D57">
        <f>'WEO_Data'!C38</f>
        <v/>
      </c>
      <c r="E57" s="19" t="n"/>
      <c r="G57">
        <f>TREND($G$29:$G$50,$B$29:$B$50,B57)</f>
        <v/>
      </c>
      <c r="H57">
        <f>EXP(G57+$B$2*LN(C57))</f>
        <v/>
      </c>
      <c r="I57">
        <f>'Investment'!C6</f>
        <v/>
      </c>
      <c r="J57">
        <f>I57-$B$3*C56</f>
        <v/>
      </c>
      <c r="K57" s="19">
        <f>K56+J57</f>
        <v/>
      </c>
      <c r="L57">
        <f>EXP(G57+$B$2*LN(K57))</f>
        <v/>
      </c>
      <c r="M57">
        <f>L57-H57</f>
        <v/>
      </c>
      <c r="N57">
        <f>M57/H57*100</f>
        <v/>
      </c>
    </row>
    <row r="58">
      <c r="B58" t="n">
        <v>2031</v>
      </c>
      <c r="C58">
        <f>D58*=AVERAGE(E42:E50)</f>
        <v/>
      </c>
      <c r="D58">
        <f>'WEO_Data'!C39</f>
        <v/>
      </c>
      <c r="E58" s="21" t="n"/>
      <c r="G58" s="20">
        <f>TREND($G$29:$G$50,$B$29:$B$50,B58)</f>
        <v/>
      </c>
      <c r="H58">
        <f>EXP(G58+$B$2*LN(C58))</f>
        <v/>
      </c>
      <c r="I58">
        <f>'Investment'!C7</f>
        <v/>
      </c>
      <c r="J58">
        <f>I58-$B$3*C57</f>
        <v/>
      </c>
      <c r="K58" s="19">
        <f>K57+J58</f>
        <v/>
      </c>
      <c r="L58">
        <f>EXP(G58+$B$2*LN(K58))</f>
        <v/>
      </c>
      <c r="M58">
        <f>L58-H58</f>
        <v/>
      </c>
      <c r="N58">
        <f>M58/H58*100</f>
        <v/>
      </c>
    </row>
    <row r="59">
      <c r="B59" t="n">
        <v>2032</v>
      </c>
      <c r="C59">
        <f>D59*=AVERAGE(E42:E50)</f>
        <v/>
      </c>
      <c r="D59">
        <f>'WEO_Data'!C40</f>
        <v/>
      </c>
      <c r="E59" s="21" t="n"/>
      <c r="G59" s="20">
        <f>TREND($G$29:$G$50,$B$29:$B$50,B59)</f>
        <v/>
      </c>
      <c r="H59">
        <f>EXP(G59+$B$2*LN(C59))</f>
        <v/>
      </c>
      <c r="I59">
        <f>'Investment'!C8</f>
        <v/>
      </c>
      <c r="J59">
        <f>I59-$B$3*C58</f>
        <v/>
      </c>
      <c r="K59" s="19">
        <f>K58+J59</f>
        <v/>
      </c>
      <c r="L59">
        <f>EXP(G59+$B$2*LN(K59))</f>
        <v/>
      </c>
      <c r="M59">
        <f>L59-H59</f>
        <v/>
      </c>
      <c r="N59">
        <f>M59/H59*100</f>
        <v/>
      </c>
    </row>
    <row r="60">
      <c r="B60" t="n">
        <v>2033</v>
      </c>
      <c r="C60">
        <f>D60*=AVERAGE(E42:E50)</f>
        <v/>
      </c>
      <c r="D60">
        <f>'WEO_Data'!C41</f>
        <v/>
      </c>
      <c r="E60" s="21" t="n"/>
      <c r="F60" s="20" t="n"/>
      <c r="G60" s="20">
        <f>TREND($G$29:$G$50,$B$29:$B$50,B60)</f>
        <v/>
      </c>
      <c r="H60">
        <f>EXP(G60+$B$2*LN(C60))</f>
        <v/>
      </c>
      <c r="I60" s="17">
        <f>'Investment'!C9</f>
        <v/>
      </c>
      <c r="J60">
        <f>I60-$B$3*C59</f>
        <v/>
      </c>
      <c r="K60" s="19">
        <f>K59+J60</f>
        <v/>
      </c>
      <c r="L60">
        <f>EXP(G60+$B$2*LN(K60))</f>
        <v/>
      </c>
      <c r="M60">
        <f>L60-H60</f>
        <v/>
      </c>
      <c r="N60">
        <f>M60/H60*100</f>
        <v/>
      </c>
    </row>
    <row r="61">
      <c r="B61" t="n">
        <v>2034</v>
      </c>
      <c r="C61">
        <f>D61*=AVERAGE(E42:E50)</f>
        <v/>
      </c>
      <c r="D61">
        <f>'WEO_Data'!C42</f>
        <v/>
      </c>
      <c r="E61" s="21" t="n"/>
      <c r="F61" s="20" t="n"/>
      <c r="G61" s="20">
        <f>TREND($G$29:$G$50,$B$29:$B$50,B61)</f>
        <v/>
      </c>
      <c r="H61">
        <f>EXP(G61+$B$2*LN(C61))</f>
        <v/>
      </c>
      <c r="I61" s="17" t="n">
        <v>0</v>
      </c>
      <c r="J61">
        <f>I61-$B$3*C60</f>
        <v/>
      </c>
      <c r="K61" s="19">
        <f>K60+J61</f>
        <v/>
      </c>
      <c r="L61">
        <f>EXP(G61+$B$2*LN(K61))</f>
        <v/>
      </c>
      <c r="M61">
        <f>L61-H61</f>
        <v/>
      </c>
      <c r="N61">
        <f>M61/H61*100</f>
        <v/>
      </c>
    </row>
    <row r="62">
      <c r="B62" t="n">
        <v>2035</v>
      </c>
      <c r="C62">
        <f>D62*=AVERAGE(E42:E50)</f>
        <v/>
      </c>
      <c r="D62">
        <f>'WEO_Data'!C43</f>
        <v/>
      </c>
      <c r="E62" s="21" t="n"/>
      <c r="F62" s="20" t="n"/>
      <c r="G62" s="20">
        <f>TREND($G$29:$G$50,$B$29:$B$50,B62)</f>
        <v/>
      </c>
      <c r="H62">
        <f>EXP(G62+$B$2*LN(C62))</f>
        <v/>
      </c>
      <c r="I62" s="17" t="n">
        <v>0</v>
      </c>
      <c r="J62">
        <f>I62-$B$3*C61</f>
        <v/>
      </c>
      <c r="K62" s="19">
        <f>K61+J62</f>
        <v/>
      </c>
      <c r="L62">
        <f>EXP(G62+$B$2*LN(K62))</f>
        <v/>
      </c>
      <c r="M62">
        <f>L62-H62</f>
        <v/>
      </c>
      <c r="N62">
        <f>M62/H62*100</f>
        <v/>
      </c>
    </row>
    <row r="63">
      <c r="B63" t="n">
        <v>2036</v>
      </c>
      <c r="C63">
        <f>D63*=AVERAGE(E42:E50)</f>
        <v/>
      </c>
      <c r="D63">
        <f>'WEO_Data'!C44</f>
        <v/>
      </c>
      <c r="E63" s="21" t="n"/>
      <c r="F63" s="20" t="n"/>
      <c r="G63" s="20">
        <f>TREND($G$29:$G$50,$B$29:$B$50,B63)</f>
        <v/>
      </c>
      <c r="H63">
        <f>EXP(G63+$B$2*LN(C63))</f>
        <v/>
      </c>
      <c r="I63" s="17" t="n">
        <v>0</v>
      </c>
      <c r="J63">
        <f>I63-$B$3*C62</f>
        <v/>
      </c>
      <c r="K63" s="19">
        <f>K62+J63</f>
        <v/>
      </c>
      <c r="L63">
        <f>EXP(G63+$B$2*LN(K63))</f>
        <v/>
      </c>
      <c r="M63">
        <f>L63-H63</f>
        <v/>
      </c>
      <c r="N63">
        <f>M63/H63*100</f>
        <v/>
      </c>
    </row>
    <row r="64">
      <c r="B64" t="n">
        <v>2037</v>
      </c>
      <c r="C64">
        <f>D64*=AVERAGE(E42:E50)</f>
        <v/>
      </c>
      <c r="D64">
        <f>'WEO_Data'!C45</f>
        <v/>
      </c>
      <c r="E64" s="21" t="n"/>
      <c r="F64" s="20" t="n"/>
      <c r="G64" s="20">
        <f>TREND($G$29:$G$50,$B$29:$B$50,B64)</f>
        <v/>
      </c>
      <c r="H64">
        <f>EXP(G64+$B$2*LN(C64))</f>
        <v/>
      </c>
      <c r="I64" s="17" t="n">
        <v>0</v>
      </c>
      <c r="J64">
        <f>I64-$B$3*C63</f>
        <v/>
      </c>
      <c r="K64" s="19">
        <f>K63+J64</f>
        <v/>
      </c>
      <c r="L64">
        <f>EXP(G64+$B$2*LN(K64))</f>
        <v/>
      </c>
      <c r="M64">
        <f>L64-H64</f>
        <v/>
      </c>
      <c r="N64">
        <f>M64/H64*100</f>
        <v/>
      </c>
    </row>
    <row r="65">
      <c r="B65" t="n">
        <v>2038</v>
      </c>
      <c r="C65">
        <f>D65*=AVERAGE(E42:E50)</f>
        <v/>
      </c>
      <c r="D65">
        <f>'WEO_Data'!C46</f>
        <v/>
      </c>
      <c r="E65" s="21" t="n"/>
      <c r="F65" s="20" t="n"/>
      <c r="G65" s="20">
        <f>TREND($G$29:$G$50,$B$29:$B$50,B65)</f>
        <v/>
      </c>
      <c r="H65">
        <f>EXP(G65+$B$2*LN(C65))</f>
        <v/>
      </c>
      <c r="I65" s="17" t="n">
        <v>0</v>
      </c>
      <c r="J65">
        <f>I65-$B$3*C64</f>
        <v/>
      </c>
      <c r="K65" s="19">
        <f>K64+J65</f>
        <v/>
      </c>
      <c r="L65">
        <f>EXP(G65+$B$2*LN(K65))</f>
        <v/>
      </c>
      <c r="M65">
        <f>L65-H65</f>
        <v/>
      </c>
      <c r="N65">
        <f>M65/H65*100</f>
        <v/>
      </c>
    </row>
    <row r="66">
      <c r="B66" t="n">
        <v>2039</v>
      </c>
      <c r="C66">
        <f>D66*=AVERAGE(E42:E50)</f>
        <v/>
      </c>
      <c r="D66">
        <f>'WEO_Data'!C47</f>
        <v/>
      </c>
      <c r="E66" s="21" t="n"/>
      <c r="F66" s="20" t="n"/>
      <c r="G66" s="20">
        <f>TREND($G$29:$G$50,$B$29:$B$50,B66)</f>
        <v/>
      </c>
      <c r="H66">
        <f>EXP(G66+$B$2*LN(C66))</f>
        <v/>
      </c>
      <c r="I66" s="17" t="n">
        <v>0</v>
      </c>
      <c r="J66">
        <f>I66-$B$3*C65</f>
        <v/>
      </c>
      <c r="K66" s="19">
        <f>K65+J66</f>
        <v/>
      </c>
      <c r="L66">
        <f>EXP(G66+$B$2*LN(K66))</f>
        <v/>
      </c>
      <c r="M66">
        <f>L66-H66</f>
        <v/>
      </c>
      <c r="N66">
        <f>M66/H66*100</f>
        <v/>
      </c>
    </row>
    <row r="67">
      <c r="B67" t="n">
        <v>2040</v>
      </c>
      <c r="C67">
        <f>D67*=AVERAGE(E42:E50)</f>
        <v/>
      </c>
      <c r="D67">
        <f>'WEO_Data'!C48</f>
        <v/>
      </c>
      <c r="E67" s="21" t="n"/>
      <c r="F67" s="20" t="n"/>
      <c r="G67" s="20">
        <f>TREND($G$29:$G$50,$B$29:$B$50,B67)</f>
        <v/>
      </c>
      <c r="H67">
        <f>EXP(G67+$B$2*LN(C67))</f>
        <v/>
      </c>
      <c r="I67" s="17" t="n">
        <v>0</v>
      </c>
      <c r="J67">
        <f>I67-$B$3*C66</f>
        <v/>
      </c>
      <c r="K67" s="19">
        <f>K66+J67</f>
        <v/>
      </c>
      <c r="L67">
        <f>EXP(G67+$B$2*LN(K67))</f>
        <v/>
      </c>
      <c r="M67">
        <f>L67-H67</f>
        <v/>
      </c>
      <c r="N67">
        <f>M67/H67*100</f>
        <v/>
      </c>
    </row>
    <row r="68">
      <c r="B68" t="n">
        <v>2041</v>
      </c>
      <c r="C68">
        <f>D68*=AVERAGE(E42:E50)</f>
        <v/>
      </c>
      <c r="D68">
        <f>'WEO_Data'!C49</f>
        <v/>
      </c>
      <c r="E68" s="21" t="n"/>
      <c r="F68" s="20" t="n"/>
      <c r="G68" s="20">
        <f>TREND($G$29:$G$50,$B$29:$B$50,B68)</f>
        <v/>
      </c>
      <c r="H68">
        <f>EXP(G68+$B$2*LN(C68))</f>
        <v/>
      </c>
      <c r="I68" t="n">
        <v>0</v>
      </c>
      <c r="J68">
        <f>I68-$B$3*C67</f>
        <v/>
      </c>
      <c r="K68" s="19">
        <f>K67+J68</f>
        <v/>
      </c>
      <c r="L68">
        <f>EXP(G68+$B$2*LN(K68))</f>
        <v/>
      </c>
      <c r="M68">
        <f>L68-H68</f>
        <v/>
      </c>
      <c r="N68">
        <f>M68/H68*100</f>
        <v/>
      </c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383.64166361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516.39712122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661.6038344299999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631.7010008899999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706.98372679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790.1125652000001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932.9162196699999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976.8185377999999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1113.45005859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1306.37308413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1617.02996626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1758.04926767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1751.36668488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2046.41323467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2350.51240591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2643.60288797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1555.93215232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2984.89046869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3657.28067254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4004.82871985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4492.92133491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4843.61644029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5452.95737935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6152.76926162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7072.6253489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7661.448474880001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9410.65784371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61.484</v>
      </c>
      <c r="D31" t="n">
        <v>7.474</v>
      </c>
    </row>
    <row r="32">
      <c r="B32" t="n">
        <v>2024</v>
      </c>
      <c r="C32" t="n">
        <v>66.128</v>
      </c>
      <c r="D32" t="n">
        <v>7.554</v>
      </c>
    </row>
    <row r="33">
      <c r="B33" t="n">
        <v>2025</v>
      </c>
      <c r="C33" t="n">
        <v>70.08</v>
      </c>
      <c r="D33" t="n">
        <v>5.976</v>
      </c>
    </row>
    <row r="34">
      <c r="B34" t="n">
        <v>2026</v>
      </c>
      <c r="C34">
        <f>C33*(1+D34/100)</f>
        <v/>
      </c>
      <c r="D34" t="n">
        <v>5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2026-01-29T06:48:52Z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