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E6</f>
        <v/>
      </c>
      <c r="G36">
        <f>L6</f>
        <v/>
      </c>
      <c r="H36">
        <f>EXP(G36)*(E36^$B$2)</f>
        <v/>
      </c>
      <c r="I36" t="n">
        <v>0</v>
      </c>
      <c r="J36" t="n">
        <v>0</v>
      </c>
      <c r="K36" s="19">
        <f>E36</f>
        <v/>
      </c>
      <c r="L36">
        <f>EXP(G36)*(K36^$B$2)</f>
        <v/>
      </c>
      <c r="M36">
        <f>L36-H36</f>
        <v/>
      </c>
      <c r="N36">
        <f>F36+M36</f>
        <v/>
      </c>
      <c r="O36">
        <f>WEO_Data!D10</f>
        <v/>
      </c>
    </row>
    <row r="37">
      <c r="C37" t="n">
        <v>2003</v>
      </c>
      <c r="D37">
        <f>E37/F37</f>
        <v/>
      </c>
      <c r="E37" s="19">
        <f>D7</f>
        <v/>
      </c>
      <c r="F37">
        <f>E7</f>
        <v/>
      </c>
      <c r="G37">
        <f>L7</f>
        <v/>
      </c>
      <c r="H37">
        <f>EXP(G37)*(E37^$B$2)</f>
        <v/>
      </c>
      <c r="I37" t="n">
        <v>0</v>
      </c>
      <c r="J37" t="n">
        <v>0</v>
      </c>
      <c r="K37" s="19">
        <f>E37</f>
        <v/>
      </c>
      <c r="L37">
        <f>EXP(G37)*(K37^$B$2)</f>
        <v/>
      </c>
      <c r="M37">
        <f>L37-H37</f>
        <v/>
      </c>
      <c r="N37">
        <f>F37+M37</f>
        <v/>
      </c>
      <c r="O37">
        <f>(N37/N36-1)*100</f>
        <v/>
      </c>
    </row>
    <row r="38">
      <c r="C38" t="n">
        <v>2004</v>
      </c>
      <c r="D38">
        <f>E38/F38</f>
        <v/>
      </c>
      <c r="E38" s="19">
        <f>D8</f>
        <v/>
      </c>
      <c r="F38">
        <f>E8</f>
        <v/>
      </c>
      <c r="G38">
        <f>L8</f>
        <v/>
      </c>
      <c r="H38">
        <f>EXP(G38)*(E38^$B$2)</f>
        <v/>
      </c>
      <c r="I38" t="n">
        <v>0</v>
      </c>
      <c r="J38" t="n">
        <v>0</v>
      </c>
      <c r="K38" s="19">
        <f>E38</f>
        <v/>
      </c>
      <c r="L38">
        <f>EXP(G38)*(K38^$B$2)</f>
        <v/>
      </c>
      <c r="M38">
        <f>L38-H38</f>
        <v/>
      </c>
      <c r="N38">
        <f>F38+M38</f>
        <v/>
      </c>
      <c r="O38">
        <f>(N38/N37-1)*100</f>
        <v/>
      </c>
    </row>
    <row r="39">
      <c r="C39" t="n">
        <v>2005</v>
      </c>
      <c r="D39">
        <f>E39/F39</f>
        <v/>
      </c>
      <c r="E39" s="19">
        <f>D9</f>
        <v/>
      </c>
      <c r="F39">
        <f>E9</f>
        <v/>
      </c>
      <c r="G39">
        <f>L9</f>
        <v/>
      </c>
      <c r="H39">
        <f>EXP(G39)*(E39^$B$2)</f>
        <v/>
      </c>
      <c r="I39" t="n">
        <v>0</v>
      </c>
      <c r="J39" t="n">
        <v>0</v>
      </c>
      <c r="K39" s="19">
        <f>E39</f>
        <v/>
      </c>
      <c r="L39">
        <f>EXP(G39)*(K39^$B$2)</f>
        <v/>
      </c>
      <c r="M39">
        <f>L39-H39</f>
        <v/>
      </c>
      <c r="N39">
        <f>F39+M39</f>
        <v/>
      </c>
      <c r="O39">
        <f>(N39/N38-1)*100</f>
        <v/>
      </c>
    </row>
    <row r="40">
      <c r="C40" t="n">
        <v>2006</v>
      </c>
      <c r="D40">
        <f>E40/F40</f>
        <v/>
      </c>
      <c r="E40" s="19">
        <f>D10</f>
        <v/>
      </c>
      <c r="F40">
        <f>E10</f>
        <v/>
      </c>
      <c r="G40">
        <f>L10</f>
        <v/>
      </c>
      <c r="H40">
        <f>EXP(G40)*(E40^$B$2)</f>
        <v/>
      </c>
      <c r="I40" t="n">
        <v>0</v>
      </c>
      <c r="J40" t="n">
        <v>0</v>
      </c>
      <c r="K40" s="19">
        <f>E40</f>
        <v/>
      </c>
      <c r="L40">
        <f>EXP(G40)*(K40^$B$2)</f>
        <v/>
      </c>
      <c r="M40">
        <f>L40-H40</f>
        <v/>
      </c>
      <c r="N40">
        <f>F40+M40</f>
        <v/>
      </c>
      <c r="O40">
        <f>(N40/N39-1)*100</f>
        <v/>
      </c>
    </row>
    <row r="41">
      <c r="C41" t="n">
        <v>2007</v>
      </c>
      <c r="D41">
        <f>E41/F41</f>
        <v/>
      </c>
      <c r="E41" s="19">
        <f>D11</f>
        <v/>
      </c>
      <c r="F41">
        <f>E11</f>
        <v/>
      </c>
      <c r="G41">
        <f>L11</f>
        <v/>
      </c>
      <c r="H41">
        <f>EXP(G41)*(E41^$B$2)</f>
        <v/>
      </c>
      <c r="I41" t="n">
        <v>0</v>
      </c>
      <c r="J41" t="n">
        <v>0</v>
      </c>
      <c r="K41" s="19">
        <f>E41</f>
        <v/>
      </c>
      <c r="L41">
        <f>EXP(G41)*(K41^$B$2)</f>
        <v/>
      </c>
      <c r="M41">
        <f>L41-H41</f>
        <v/>
      </c>
      <c r="N41">
        <f>F41+M41</f>
        <v/>
      </c>
      <c r="O41">
        <f>(N41/N40-1)*100</f>
        <v/>
      </c>
    </row>
    <row r="42">
      <c r="C42" t="n">
        <v>2008</v>
      </c>
      <c r="D42">
        <f>E42/F42</f>
        <v/>
      </c>
      <c r="E42" s="19">
        <f>D12</f>
        <v/>
      </c>
      <c r="F42">
        <f>E12</f>
        <v/>
      </c>
      <c r="G42">
        <f>L12</f>
        <v/>
      </c>
      <c r="H42">
        <f>EXP(G42)*(E42^$B$2)</f>
        <v/>
      </c>
      <c r="I42" t="n">
        <v>0</v>
      </c>
      <c r="J42" t="n">
        <v>0</v>
      </c>
      <c r="K42" s="19">
        <f>E42</f>
        <v/>
      </c>
      <c r="L42">
        <f>EXP(G42)*(K42^$B$2)</f>
        <v/>
      </c>
      <c r="M42">
        <f>L42-H42</f>
        <v/>
      </c>
      <c r="N42">
        <f>F42+M42</f>
        <v/>
      </c>
      <c r="O42">
        <f>(N42/N41-1)*100</f>
        <v/>
      </c>
    </row>
    <row r="43">
      <c r="C43" t="n">
        <v>2009</v>
      </c>
      <c r="D43">
        <f>E43/F43</f>
        <v/>
      </c>
      <c r="E43" s="19">
        <f>D13</f>
        <v/>
      </c>
      <c r="F43">
        <f>E13</f>
        <v/>
      </c>
      <c r="G43">
        <f>L13</f>
        <v/>
      </c>
      <c r="H43">
        <f>EXP(G43)*(E43^$B$2)</f>
        <v/>
      </c>
      <c r="I43" t="n">
        <v>0</v>
      </c>
      <c r="J43" t="n">
        <v>0</v>
      </c>
      <c r="K43" s="19">
        <f>E43</f>
        <v/>
      </c>
      <c r="L43">
        <f>EXP(G43)*(K43^$B$2)</f>
        <v/>
      </c>
      <c r="M43">
        <f>L43-H43</f>
        <v/>
      </c>
      <c r="N43">
        <f>F43+M43</f>
        <v/>
      </c>
      <c r="O43">
        <f>(N43/N42-1)*100</f>
        <v/>
      </c>
    </row>
    <row r="44">
      <c r="C44" t="n">
        <v>2010</v>
      </c>
      <c r="D44">
        <f>E44/F44</f>
        <v/>
      </c>
      <c r="E44" s="19">
        <f>D14</f>
        <v/>
      </c>
      <c r="F44">
        <f>E14</f>
        <v/>
      </c>
      <c r="G44">
        <f>L14</f>
        <v/>
      </c>
      <c r="H44">
        <f>EXP(G44)*(E44^$B$2)</f>
        <v/>
      </c>
      <c r="I44" t="n">
        <v>0</v>
      </c>
      <c r="J44" t="n">
        <v>0</v>
      </c>
      <c r="K44" s="19">
        <f>E44</f>
        <v/>
      </c>
      <c r="L44">
        <f>EXP(G44)*(K44^$B$2)</f>
        <v/>
      </c>
      <c r="M44">
        <f>L44-H44</f>
        <v/>
      </c>
      <c r="N44">
        <f>F44+M44</f>
        <v/>
      </c>
      <c r="O44">
        <f>(N44/N43-1)*100</f>
        <v/>
      </c>
    </row>
    <row r="45">
      <c r="C45" t="n">
        <v>2011</v>
      </c>
      <c r="D45">
        <f>E45/F45</f>
        <v/>
      </c>
      <c r="E45" s="19">
        <f>D15</f>
        <v/>
      </c>
      <c r="F45">
        <f>E15</f>
        <v/>
      </c>
      <c r="G45">
        <f>L15</f>
        <v/>
      </c>
      <c r="H45">
        <f>EXP(G45)*(E45^$B$2)</f>
        <v/>
      </c>
      <c r="I45" t="n">
        <v>0</v>
      </c>
      <c r="J45" t="n">
        <v>0</v>
      </c>
      <c r="K45" s="19">
        <f>E45</f>
        <v/>
      </c>
      <c r="L45">
        <f>EXP(G45)*(K45^$B$2)</f>
        <v/>
      </c>
      <c r="M45">
        <f>L45-H45</f>
        <v/>
      </c>
      <c r="N45">
        <f>F45+M45</f>
        <v/>
      </c>
      <c r="O45">
        <f>(N45/N44-1)*100</f>
        <v/>
      </c>
    </row>
    <row r="46">
      <c r="C46" t="n">
        <v>2012</v>
      </c>
      <c r="D46">
        <f>E46/F46</f>
        <v/>
      </c>
      <c r="E46" s="19">
        <f>D16</f>
        <v/>
      </c>
      <c r="F46">
        <f>E16</f>
        <v/>
      </c>
      <c r="G46">
        <f>L16</f>
        <v/>
      </c>
      <c r="H46">
        <f>EXP(G46)*(E46^$B$2)</f>
        <v/>
      </c>
      <c r="I46" t="n">
        <v>0</v>
      </c>
      <c r="J46" t="n">
        <v>0</v>
      </c>
      <c r="K46" s="19">
        <f>E46</f>
        <v/>
      </c>
      <c r="L46">
        <f>EXP(G46)*(K46^$B$2)</f>
        <v/>
      </c>
      <c r="M46">
        <f>L46-H46</f>
        <v/>
      </c>
      <c r="N46">
        <f>F46+M46</f>
        <v/>
      </c>
      <c r="O46">
        <f>(N46/N45-1)*100</f>
        <v/>
      </c>
    </row>
    <row r="47">
      <c r="C47" t="n">
        <v>2013</v>
      </c>
      <c r="D47">
        <f>E47/F47</f>
        <v/>
      </c>
      <c r="E47" s="19">
        <f>D17</f>
        <v/>
      </c>
      <c r="F47">
        <f>E17</f>
        <v/>
      </c>
      <c r="G47">
        <f>L17</f>
        <v/>
      </c>
      <c r="H47">
        <f>EXP(G47)*(E47^$B$2)</f>
        <v/>
      </c>
      <c r="I47" t="n">
        <v>0</v>
      </c>
      <c r="J47" t="n">
        <v>0</v>
      </c>
      <c r="K47" s="19">
        <f>E47</f>
        <v/>
      </c>
      <c r="L47">
        <f>EXP(G47)*(K47^$B$2)</f>
        <v/>
      </c>
      <c r="M47">
        <f>L47-H47</f>
        <v/>
      </c>
      <c r="N47">
        <f>F47+M47</f>
        <v/>
      </c>
      <c r="O47">
        <f>(N47/N46-1)*100</f>
        <v/>
      </c>
    </row>
    <row r="48">
      <c r="C48" t="n">
        <v>2014</v>
      </c>
      <c r="D48">
        <f>E48/F48</f>
        <v/>
      </c>
      <c r="E48" s="19">
        <f>D18</f>
        <v/>
      </c>
      <c r="F48">
        <f>E18</f>
        <v/>
      </c>
      <c r="G48">
        <f>L18</f>
        <v/>
      </c>
      <c r="H48">
        <f>EXP(G48)*(E48^$B$2)</f>
        <v/>
      </c>
      <c r="I48" t="n">
        <v>0</v>
      </c>
      <c r="J48" t="n">
        <v>0</v>
      </c>
      <c r="K48" s="19">
        <f>E48</f>
        <v/>
      </c>
      <c r="L48">
        <f>EXP(G48)*(K48^$B$2)</f>
        <v/>
      </c>
      <c r="M48">
        <f>L48-H48</f>
        <v/>
      </c>
      <c r="N48">
        <f>F48+M48</f>
        <v/>
      </c>
      <c r="O48">
        <f>(N48/N47-1)*100</f>
        <v/>
      </c>
    </row>
    <row r="49">
      <c r="C49" t="n">
        <v>2015</v>
      </c>
      <c r="D49">
        <f>E49/F49</f>
        <v/>
      </c>
      <c r="E49" s="19">
        <f>D19</f>
        <v/>
      </c>
      <c r="F49">
        <f>E19</f>
        <v/>
      </c>
      <c r="G49">
        <f>L19</f>
        <v/>
      </c>
      <c r="H49">
        <f>EXP(G49)*(E49^$B$2)</f>
        <v/>
      </c>
      <c r="I49" t="n">
        <v>0</v>
      </c>
      <c r="J49" t="n">
        <v>0</v>
      </c>
      <c r="K49" s="19">
        <f>E49</f>
        <v/>
      </c>
      <c r="L49">
        <f>EXP(G49)*(K49^$B$2)</f>
        <v/>
      </c>
      <c r="M49">
        <f>L49-H49</f>
        <v/>
      </c>
      <c r="N49">
        <f>F49+M49</f>
        <v/>
      </c>
      <c r="O49">
        <f>(N49/N48-1)*100</f>
        <v/>
      </c>
    </row>
    <row r="50">
      <c r="C50" t="n">
        <v>2016</v>
      </c>
      <c r="D50">
        <f>E50/F50</f>
        <v/>
      </c>
      <c r="E50" s="19">
        <f>D20</f>
        <v/>
      </c>
      <c r="F50">
        <f>E20</f>
        <v/>
      </c>
      <c r="G50">
        <f>L20</f>
        <v/>
      </c>
      <c r="H50">
        <f>EXP(G50)*(E50^$B$2)</f>
        <v/>
      </c>
      <c r="I50" t="n">
        <v>0</v>
      </c>
      <c r="J50" t="n">
        <v>0</v>
      </c>
      <c r="K50" s="19">
        <f>E50</f>
        <v/>
      </c>
      <c r="L50">
        <f>EXP(G50)*(K50^$B$2)</f>
        <v/>
      </c>
      <c r="M50">
        <f>L50-H50</f>
        <v/>
      </c>
      <c r="N50">
        <f>F50+M50</f>
        <v/>
      </c>
      <c r="O50">
        <f>(N50/N49-1)*100</f>
        <v/>
      </c>
    </row>
    <row r="51">
      <c r="C51" t="n">
        <v>2017</v>
      </c>
      <c r="D51">
        <f>E51/F51</f>
        <v/>
      </c>
      <c r="E51" s="19">
        <f>D21</f>
        <v/>
      </c>
      <c r="F51">
        <f>E21</f>
        <v/>
      </c>
      <c r="G51">
        <f>L21</f>
        <v/>
      </c>
      <c r="H51">
        <f>EXP(G51)*(E51^$B$2)</f>
        <v/>
      </c>
      <c r="I51" t="n">
        <v>0</v>
      </c>
      <c r="J51" t="n">
        <v>0</v>
      </c>
      <c r="K51" s="19">
        <f>E51</f>
        <v/>
      </c>
      <c r="L51">
        <f>EXP(G51)*(K51^$B$2)</f>
        <v/>
      </c>
      <c r="M51">
        <f>L51-H51</f>
        <v/>
      </c>
      <c r="N51">
        <f>F51+M51</f>
        <v/>
      </c>
      <c r="O51">
        <f>(N51/N50-1)*100</f>
        <v/>
      </c>
    </row>
    <row r="52">
      <c r="C52" t="n">
        <v>2018</v>
      </c>
      <c r="D52">
        <f>E52/F52</f>
        <v/>
      </c>
      <c r="E52" s="19">
        <f>D22</f>
        <v/>
      </c>
      <c r="F52">
        <f>E22</f>
        <v/>
      </c>
      <c r="G52">
        <f>L22</f>
        <v/>
      </c>
      <c r="H52">
        <f>EXP(G52)*(E52^$B$2)</f>
        <v/>
      </c>
      <c r="I52" t="n">
        <v>0</v>
      </c>
      <c r="J52" t="n">
        <v>0</v>
      </c>
      <c r="K52" s="19">
        <f>E52</f>
        <v/>
      </c>
      <c r="L52">
        <f>EXP(G52)*(K52^$B$2)</f>
        <v/>
      </c>
      <c r="M52">
        <f>L52-H52</f>
        <v/>
      </c>
      <c r="N52">
        <f>F52+M52</f>
        <v/>
      </c>
      <c r="O52">
        <f>(N52/N51-1)*100</f>
        <v/>
      </c>
    </row>
    <row r="53">
      <c r="C53" t="n">
        <v>2019</v>
      </c>
      <c r="D53">
        <f>E53/F53</f>
        <v/>
      </c>
      <c r="E53" s="19">
        <f>D23</f>
        <v/>
      </c>
      <c r="F53">
        <f>E23</f>
        <v/>
      </c>
      <c r="G53">
        <f>L23</f>
        <v/>
      </c>
      <c r="H53">
        <f>EXP(G53)*(E53^$B$2)</f>
        <v/>
      </c>
      <c r="I53" t="n">
        <v>0</v>
      </c>
      <c r="J53" t="n">
        <v>0</v>
      </c>
      <c r="K53" s="19">
        <f>E53</f>
        <v/>
      </c>
      <c r="L53">
        <f>EXP(G53)*(K53^$B$2)</f>
        <v/>
      </c>
      <c r="M53">
        <f>L53-H53</f>
        <v/>
      </c>
      <c r="N53">
        <f>F53+M53</f>
        <v/>
      </c>
      <c r="O53">
        <f>(N53/N52-1)*100</f>
        <v/>
      </c>
    </row>
    <row r="54">
      <c r="C54" t="n">
        <v>2020</v>
      </c>
      <c r="D54">
        <f>E54/F54</f>
        <v/>
      </c>
      <c r="E54" s="19">
        <f>D24</f>
        <v/>
      </c>
      <c r="F54">
        <f>E24</f>
        <v/>
      </c>
      <c r="G54">
        <f>L24</f>
        <v/>
      </c>
      <c r="H54">
        <f>EXP(G54)*(E54^$B$2)</f>
        <v/>
      </c>
      <c r="I54" t="n">
        <v>0</v>
      </c>
      <c r="J54" t="n">
        <v>0</v>
      </c>
      <c r="K54" s="19">
        <f>E54</f>
        <v/>
      </c>
      <c r="L54">
        <f>EXP(G54)*(K54^$B$2)</f>
        <v/>
      </c>
      <c r="M54">
        <f>L54-H54</f>
        <v/>
      </c>
      <c r="N54">
        <f>F54+M54</f>
        <v/>
      </c>
      <c r="O54">
        <f>(N54/N53-1)*100</f>
        <v/>
      </c>
    </row>
    <row r="55">
      <c r="C55" t="n">
        <v>2021</v>
      </c>
      <c r="D55">
        <f>E55/F55</f>
        <v/>
      </c>
      <c r="E55" s="19">
        <f>D25</f>
        <v/>
      </c>
      <c r="F55">
        <f>E25</f>
        <v/>
      </c>
      <c r="G55">
        <f>L25</f>
        <v/>
      </c>
      <c r="H55">
        <f>EXP(G55)*(E55^$B$2)</f>
        <v/>
      </c>
      <c r="I55" t="n">
        <v>0</v>
      </c>
      <c r="J55" t="n">
        <v>0</v>
      </c>
      <c r="K55" s="19">
        <f>E55</f>
        <v/>
      </c>
      <c r="L55">
        <f>EXP(G55)*(K55^$B$2)</f>
        <v/>
      </c>
      <c r="M55">
        <f>L55-H55</f>
        <v/>
      </c>
      <c r="N55">
        <f>F55+M55</f>
        <v/>
      </c>
      <c r="O55">
        <f>(N55/N54-1)*100</f>
        <v/>
      </c>
    </row>
    <row r="56">
      <c r="C56" t="n">
        <v>2022</v>
      </c>
      <c r="D56">
        <f>E56/F56</f>
        <v/>
      </c>
      <c r="E56" s="19">
        <f>D26</f>
        <v/>
      </c>
      <c r="F56">
        <f>E26</f>
        <v/>
      </c>
      <c r="G56">
        <f>L26</f>
        <v/>
      </c>
      <c r="H56">
        <f>EXP(G56)*(E56^$B$2)</f>
        <v/>
      </c>
      <c r="I56" t="n">
        <v>0</v>
      </c>
      <c r="J56" t="n">
        <v>0</v>
      </c>
      <c r="K56" s="19">
        <f>E56</f>
        <v/>
      </c>
      <c r="L56">
        <f>EXP(G56)*(K56^$B$2)</f>
        <v/>
      </c>
      <c r="M56">
        <f>L56-H56</f>
        <v/>
      </c>
      <c r="N56">
        <f>F56+M56</f>
        <v/>
      </c>
      <c r="O56">
        <f>(N56/N55-1)*100</f>
        <v/>
      </c>
    </row>
    <row r="57">
      <c r="C57" t="n">
        <v>2023</v>
      </c>
      <c r="D57">
        <f>E57/F57</f>
        <v/>
      </c>
      <c r="E57" s="19">
        <f>D27</f>
        <v/>
      </c>
      <c r="F57">
        <f>E27</f>
        <v/>
      </c>
      <c r="G57">
        <f>L27</f>
        <v/>
      </c>
      <c r="H57">
        <f>EXP(G57)*(E57^$B$2)</f>
        <v/>
      </c>
      <c r="I57" t="n">
        <v>0</v>
      </c>
      <c r="J57" t="n">
        <v>0</v>
      </c>
      <c r="K57" s="19">
        <f>E57</f>
        <v/>
      </c>
      <c r="L57">
        <f>EXP(G57)*(K57^$B$2)</f>
        <v/>
      </c>
      <c r="M57">
        <f>L57-H57</f>
        <v/>
      </c>
      <c r="N57">
        <f>F57+M57</f>
        <v/>
      </c>
      <c r="O57">
        <f>(N57/N56-1)*100</f>
        <v/>
      </c>
    </row>
    <row r="58">
      <c r="C58" t="n">
        <v>2024</v>
      </c>
      <c r="D58">
        <f>E58/F58</f>
        <v/>
      </c>
      <c r="E58" s="21">
        <f>AVERAGE($D$49:$D$57)*F58</f>
        <v/>
      </c>
      <c r="F58">
        <f>WEO_Data!C32</f>
        <v/>
      </c>
      <c r="G58" s="20">
        <f>TREND($G$36:$G$57,$C$36:$C$57,C58)</f>
        <v/>
      </c>
      <c r="H58">
        <f>EXP(G58)*(E58^$B$2)</f>
        <v/>
      </c>
      <c r="I58" t="n">
        <v>0</v>
      </c>
      <c r="J58" t="n">
        <v>0</v>
      </c>
      <c r="K58" s="19">
        <f>E58</f>
        <v/>
      </c>
      <c r="L58">
        <f>EXP(G58)*(K58^$B$2)</f>
        <v/>
      </c>
      <c r="M58">
        <f>L58-H58</f>
        <v/>
      </c>
      <c r="N58">
        <f>F58+M58</f>
        <v/>
      </c>
      <c r="O58">
        <f>(N58/N57-1)*100</f>
        <v/>
      </c>
    </row>
    <row r="59">
      <c r="C59" t="n">
        <v>2025</v>
      </c>
      <c r="D59">
        <f>E59/F59</f>
        <v/>
      </c>
      <c r="E59" s="21">
        <f>AVERAGE($D$49:$D$57)*F59</f>
        <v/>
      </c>
      <c r="F59">
        <f>WEO_Data!C33</f>
        <v/>
      </c>
      <c r="G59" s="20">
        <f>TREND($G$36:$G$57,$C$36:$C$57,C59)</f>
        <v/>
      </c>
      <c r="H59">
        <f>EXP(G59)*(E59^$B$2)</f>
        <v/>
      </c>
      <c r="I59" t="n">
        <v>0</v>
      </c>
      <c r="J59" t="n">
        <v>0</v>
      </c>
      <c r="K59" s="19">
        <f>E59</f>
        <v/>
      </c>
      <c r="L59">
        <f>EXP(G59)*(K59^$B$2)</f>
        <v/>
      </c>
      <c r="M59">
        <f>L59-H59</f>
        <v/>
      </c>
      <c r="N59">
        <f>F59+M59</f>
        <v/>
      </c>
      <c r="O59">
        <f>(N59/N58-1)*100</f>
        <v/>
      </c>
    </row>
    <row r="60">
      <c r="C60" t="n">
        <v>2026</v>
      </c>
      <c r="D60">
        <f>E60/F60</f>
        <v/>
      </c>
      <c r="E60" s="21">
        <f>AVERAGE($D$49:$D$57)*F60</f>
        <v/>
      </c>
      <c r="F60" s="20">
        <f>WEO_Data!C34</f>
        <v/>
      </c>
      <c r="G60" s="20">
        <f>TREND($G$36:$G$57,$C$36:$C$57,C60)</f>
        <v/>
      </c>
      <c r="H60">
        <f>EXP(G60)*(E60^$B$2)</f>
        <v/>
      </c>
      <c r="I60" s="17">
        <f>Investment!C2</f>
        <v/>
      </c>
      <c r="J60">
        <f>J59*(1-$B$3)+I60</f>
        <v/>
      </c>
      <c r="K60" s="19">
        <f>E60+J60</f>
        <v/>
      </c>
      <c r="L60">
        <f>EXP(G60)*(K60^$B$2)</f>
        <v/>
      </c>
      <c r="M60">
        <f>L60-H60</f>
        <v/>
      </c>
      <c r="N60">
        <f>F60+M60</f>
        <v/>
      </c>
      <c r="O60">
        <f>(N60/N59-1)*100</f>
        <v/>
      </c>
    </row>
    <row r="61">
      <c r="C61" t="n">
        <v>2027</v>
      </c>
      <c r="D61">
        <f>E61/F61</f>
        <v/>
      </c>
      <c r="E61" s="21">
        <f>AVERAGE($D$49:$D$57)*F61</f>
        <v/>
      </c>
      <c r="F61" s="20">
        <f>WEO_Data!C35</f>
        <v/>
      </c>
      <c r="G61" s="20">
        <f>TREND($G$36:$G$57,$C$36:$C$57,C61)</f>
        <v/>
      </c>
      <c r="H61">
        <f>EXP(G61)*(E61^$B$2)</f>
        <v/>
      </c>
      <c r="I61" s="17">
        <f>Investment!C3</f>
        <v/>
      </c>
      <c r="J61">
        <f>J60*(1-$B$3)+I61</f>
        <v/>
      </c>
      <c r="K61" s="19">
        <f>E61+J61</f>
        <v/>
      </c>
      <c r="L61">
        <f>EXP(G61)*(K61^$B$2)</f>
        <v/>
      </c>
      <c r="M61">
        <f>L61-H61</f>
        <v/>
      </c>
      <c r="N61">
        <f>F61+M61</f>
        <v/>
      </c>
      <c r="O61">
        <f>(N61/N60-1)*100</f>
        <v/>
      </c>
    </row>
    <row r="62">
      <c r="C62" t="n">
        <v>2028</v>
      </c>
      <c r="D62">
        <f>E62/F62</f>
        <v/>
      </c>
      <c r="E62" s="21">
        <f>AVERAGE($D$49:$D$57)*F62</f>
        <v/>
      </c>
      <c r="F62" s="20">
        <f>WEO_Data!C36</f>
        <v/>
      </c>
      <c r="G62" s="20">
        <f>TREND($G$36:$G$57,$C$36:$C$57,C62)</f>
        <v/>
      </c>
      <c r="H62">
        <f>EXP(G62)*(E62^$B$2)</f>
        <v/>
      </c>
      <c r="I62" s="17">
        <f>Investment!C4</f>
        <v/>
      </c>
      <c r="J62">
        <f>J61*(1-$B$3)+I62</f>
        <v/>
      </c>
      <c r="K62" s="19">
        <f>E62+J62</f>
        <v/>
      </c>
      <c r="L62">
        <f>EXP(G62)*(K62^$B$2)</f>
        <v/>
      </c>
      <c r="M62">
        <f>L62-H62</f>
        <v/>
      </c>
      <c r="N62">
        <f>F62+M62</f>
        <v/>
      </c>
      <c r="O62">
        <f>(N62/N61-1)*100</f>
        <v/>
      </c>
    </row>
    <row r="63">
      <c r="C63" t="n">
        <v>2029</v>
      </c>
      <c r="D63">
        <f>E63/F63</f>
        <v/>
      </c>
      <c r="E63" s="21">
        <f>AVERAGE($D$49:$D$57)*F63</f>
        <v/>
      </c>
      <c r="F63" s="20">
        <f>WEO_Data!C37</f>
        <v/>
      </c>
      <c r="G63" s="20">
        <f>TREND($G$36:$G$57,$C$36:$C$57,C63)</f>
        <v/>
      </c>
      <c r="H63">
        <f>EXP(G63)*(E63^$B$2)</f>
        <v/>
      </c>
      <c r="I63" s="17">
        <f>Investment!C5</f>
        <v/>
      </c>
      <c r="J63">
        <f>J62*(1-$B$3)+I63</f>
        <v/>
      </c>
      <c r="K63" s="19">
        <f>E63+J63</f>
        <v/>
      </c>
      <c r="L63">
        <f>EXP(G63)*(K63^$B$2)</f>
        <v/>
      </c>
      <c r="M63">
        <f>L63-H63</f>
        <v/>
      </c>
      <c r="N63">
        <f>F63+M63</f>
        <v/>
      </c>
      <c r="O63">
        <f>(N63/N62-1)*100</f>
        <v/>
      </c>
    </row>
    <row r="64">
      <c r="C64" t="n">
        <v>2030</v>
      </c>
      <c r="D64">
        <f>E64/F64</f>
        <v/>
      </c>
      <c r="E64" s="21">
        <f>AVERAGE($D$49:$D$57)*F64</f>
        <v/>
      </c>
      <c r="F64" s="20">
        <f>WEO_Data!C38</f>
        <v/>
      </c>
      <c r="G64" s="20">
        <f>TREND($G$36:$G$57,$C$36:$C$57,C64)</f>
        <v/>
      </c>
      <c r="H64">
        <f>EXP(G64)*(E64^$B$2)</f>
        <v/>
      </c>
      <c r="I64" s="17">
        <f>Investment!C6</f>
        <v/>
      </c>
      <c r="J64">
        <f>J63*(1-$B$3)+I64</f>
        <v/>
      </c>
      <c r="K64" s="19">
        <f>E64+J64</f>
        <v/>
      </c>
      <c r="L64">
        <f>EXP(G64)*(K64^$B$2)</f>
        <v/>
      </c>
      <c r="M64">
        <f>L64-H64</f>
        <v/>
      </c>
      <c r="N64">
        <f>F64+M64</f>
        <v/>
      </c>
      <c r="O64">
        <f>(N64/N63-1)*100</f>
        <v/>
      </c>
    </row>
    <row r="65">
      <c r="C65" t="n">
        <v>2031</v>
      </c>
      <c r="D65">
        <f>E65/F65</f>
        <v/>
      </c>
      <c r="E65" s="21">
        <f>AVERAGE($D$49:$D$57)*F65</f>
        <v/>
      </c>
      <c r="F65" s="20">
        <f>WEO_Data!C39</f>
        <v/>
      </c>
      <c r="G65" s="20">
        <f>TREND($G$36:$G$57,$C$36:$C$57,C65)</f>
        <v/>
      </c>
      <c r="H65">
        <f>EXP(G65)*(E65^$B$2)</f>
        <v/>
      </c>
      <c r="I65" s="17">
        <f>Investment!C7</f>
        <v/>
      </c>
      <c r="J65">
        <f>J64*(1-$B$3)+I65</f>
        <v/>
      </c>
      <c r="K65" s="19">
        <f>E65+J65</f>
        <v/>
      </c>
      <c r="L65">
        <f>EXP(G65)*(K65^$B$2)</f>
        <v/>
      </c>
      <c r="M65">
        <f>L65-H65</f>
        <v/>
      </c>
      <c r="N65">
        <f>F65+M65</f>
        <v/>
      </c>
      <c r="O65">
        <f>(N65/N64-1)*100</f>
        <v/>
      </c>
    </row>
    <row r="66">
      <c r="C66" t="n">
        <v>2032</v>
      </c>
      <c r="D66">
        <f>E66/F66</f>
        <v/>
      </c>
      <c r="E66" s="21">
        <f>AVERAGE($D$49:$D$57)*F66</f>
        <v/>
      </c>
      <c r="F66" s="20">
        <f>WEO_Data!C40</f>
        <v/>
      </c>
      <c r="G66" s="20">
        <f>TREND($G$36:$G$57,$C$36:$C$57,C66)</f>
        <v/>
      </c>
      <c r="H66">
        <f>EXP(G66)*(E66^$B$2)</f>
        <v/>
      </c>
      <c r="I66" s="17">
        <f>Investment!C8</f>
        <v/>
      </c>
      <c r="J66">
        <f>J65*(1-$B$3)+I66</f>
        <v/>
      </c>
      <c r="K66" s="19">
        <f>E66+J66</f>
        <v/>
      </c>
      <c r="L66">
        <f>EXP(G66)*(K66^$B$2)</f>
        <v/>
      </c>
      <c r="M66">
        <f>L66-H66</f>
        <v/>
      </c>
      <c r="N66">
        <f>F66+M66</f>
        <v/>
      </c>
      <c r="O66">
        <f>(N66/N65-1)*100</f>
        <v/>
      </c>
    </row>
    <row r="67">
      <c r="C67" t="n">
        <v>2033</v>
      </c>
      <c r="D67">
        <f>E67/F67</f>
        <v/>
      </c>
      <c r="E67" s="21">
        <f>AVERAGE($D$49:$D$57)*F67</f>
        <v/>
      </c>
      <c r="F67" s="20">
        <f>WEO_Data!C41</f>
        <v/>
      </c>
      <c r="G67" s="20">
        <f>TREND($G$36:$G$57,$C$36:$C$57,C67)</f>
        <v/>
      </c>
      <c r="H67">
        <f>EXP(G67)*(E67^$B$2)</f>
        <v/>
      </c>
      <c r="I67" s="17">
        <f>Investment!C9</f>
        <v/>
      </c>
      <c r="J67">
        <f>J66*(1-$B$3)+I67</f>
        <v/>
      </c>
      <c r="K67" s="19">
        <f>E67+J67</f>
        <v/>
      </c>
      <c r="L67">
        <f>EXP(G67)*(K67^$B$2)</f>
        <v/>
      </c>
      <c r="M67">
        <f>L67-H67</f>
        <v/>
      </c>
      <c r="N67">
        <f>F67+M67</f>
        <v/>
      </c>
      <c r="O67">
        <f>(N67/N66-1)*100</f>
        <v/>
      </c>
    </row>
    <row r="68">
      <c r="C68" t="n">
        <v>2034</v>
      </c>
      <c r="D68">
        <f>E68/F68</f>
        <v/>
      </c>
      <c r="E68" s="21">
        <f>AVERAGE($D$49:$D$57)*F68</f>
        <v/>
      </c>
      <c r="F68" s="20">
        <f>WEO_Data!C42</f>
        <v/>
      </c>
      <c r="G68" s="20">
        <f>TREND($G$36:$G$57,$C$36:$C$57,C68)</f>
        <v/>
      </c>
      <c r="H68">
        <f>EXP(G68)*(E68^$B$2)</f>
        <v/>
      </c>
      <c r="I68" t="n">
        <v>0</v>
      </c>
      <c r="J68">
        <f>J67*(1-$B$3)+I68</f>
        <v/>
      </c>
      <c r="K68" s="19">
        <f>E68+J68</f>
        <v/>
      </c>
      <c r="L68">
        <f>EXP(G68)*(K68^$B$2)</f>
        <v/>
      </c>
      <c r="M68">
        <f>L68-H68</f>
        <v/>
      </c>
      <c r="N68">
        <f>F68+M68</f>
        <v/>
      </c>
      <c r="O68">
        <f>(N68/N67-1)*100</f>
        <v/>
      </c>
    </row>
    <row r="69">
      <c r="C69" t="n">
        <v>2035</v>
      </c>
      <c r="D69">
        <f>E69/F69</f>
        <v/>
      </c>
      <c r="E69" s="21">
        <f>AVERAGE($D$49:$D$57)*F69</f>
        <v/>
      </c>
      <c r="F69" s="20">
        <f>WEO_Data!C43</f>
        <v/>
      </c>
      <c r="G69" s="20">
        <f>TREND($G$36:$G$57,$C$36:$C$57,C69)</f>
        <v/>
      </c>
      <c r="H69">
        <f>EXP(G69)*(E69^$B$2)</f>
        <v/>
      </c>
      <c r="I69" t="n">
        <v>0</v>
      </c>
      <c r="J69">
        <f>J68*(1-$B$3)+I69</f>
        <v/>
      </c>
      <c r="K69" s="19">
        <f>E69+J69</f>
        <v/>
      </c>
      <c r="L69">
        <f>EXP(G69)*(K69^$B$2)</f>
        <v/>
      </c>
      <c r="M69">
        <f>L69-H69</f>
        <v/>
      </c>
      <c r="N69">
        <f>F69+M69</f>
        <v/>
      </c>
      <c r="O69">
        <f>(N69/N68-1)*100</f>
        <v/>
      </c>
    </row>
    <row r="70">
      <c r="C70" t="n">
        <v>2036</v>
      </c>
      <c r="D70">
        <f>E70/F70</f>
        <v/>
      </c>
      <c r="E70" s="21">
        <f>AVERAGE($D$49:$D$57)*F70</f>
        <v/>
      </c>
      <c r="F70" s="20">
        <f>WEO_Data!C44</f>
        <v/>
      </c>
      <c r="G70" s="20">
        <f>TREND($G$36:$G$57,$C$36:$C$57,C70)</f>
        <v/>
      </c>
      <c r="H70">
        <f>EXP(G70)*(E70^$B$2)</f>
        <v/>
      </c>
      <c r="I70" t="n">
        <v>0</v>
      </c>
      <c r="J70">
        <f>J69*(1-$B$3)+I70</f>
        <v/>
      </c>
      <c r="K70" s="19">
        <f>E70+J70</f>
        <v/>
      </c>
      <c r="L70">
        <f>EXP(G70)*(K70^$B$2)</f>
        <v/>
      </c>
      <c r="M70">
        <f>L70-H70</f>
        <v/>
      </c>
      <c r="N70">
        <f>F70+M70</f>
        <v/>
      </c>
      <c r="O70">
        <f>(N70/N69-1)*100</f>
        <v/>
      </c>
    </row>
    <row r="71">
      <c r="C71" t="n">
        <v>2037</v>
      </c>
      <c r="D71">
        <f>E71/F71</f>
        <v/>
      </c>
      <c r="E71" s="21">
        <f>AVERAGE($D$49:$D$57)*F71</f>
        <v/>
      </c>
      <c r="F71" s="20">
        <f>WEO_Data!C45</f>
        <v/>
      </c>
      <c r="G71" s="20">
        <f>TREND($G$36:$G$57,$C$36:$C$57,C71)</f>
        <v/>
      </c>
      <c r="H71">
        <f>EXP(G71)*(E71^$B$2)</f>
        <v/>
      </c>
      <c r="I71" t="n">
        <v>0</v>
      </c>
      <c r="J71">
        <f>J70*(1-$B$3)+I71</f>
        <v/>
      </c>
      <c r="K71" s="19">
        <f>E71+J71</f>
        <v/>
      </c>
      <c r="L71">
        <f>EXP(G71)*(K71^$B$2)</f>
        <v/>
      </c>
      <c r="M71">
        <f>L71-H71</f>
        <v/>
      </c>
      <c r="N71">
        <f>F71+M71</f>
        <v/>
      </c>
      <c r="O71">
        <f>(N71/N70-1)*100</f>
        <v/>
      </c>
    </row>
    <row r="72">
      <c r="C72" t="n">
        <v>2038</v>
      </c>
      <c r="D72">
        <f>E72/F72</f>
        <v/>
      </c>
      <c r="E72" s="21">
        <f>AVERAGE($D$49:$D$57)*F72</f>
        <v/>
      </c>
      <c r="F72" s="20">
        <f>WEO_Data!C46</f>
        <v/>
      </c>
      <c r="G72" s="20">
        <f>TREND($G$36:$G$57,$C$36:$C$57,C72)</f>
        <v/>
      </c>
      <c r="H72">
        <f>EXP(G72)*(E72^$B$2)</f>
        <v/>
      </c>
      <c r="I72" t="n">
        <v>0</v>
      </c>
      <c r="J72">
        <f>J71*(1-$B$3)+I72</f>
        <v/>
      </c>
      <c r="K72" s="19">
        <f>E72+J72</f>
        <v/>
      </c>
      <c r="L72">
        <f>EXP(G72)*(K72^$B$2)</f>
        <v/>
      </c>
      <c r="M72">
        <f>L72-H72</f>
        <v/>
      </c>
      <c r="N72">
        <f>F72+M72</f>
        <v/>
      </c>
      <c r="O72">
        <f>(N72/N71-1)*100</f>
        <v/>
      </c>
    </row>
    <row r="73">
      <c r="C73" t="n">
        <v>2039</v>
      </c>
      <c r="D73">
        <f>E73/F73</f>
        <v/>
      </c>
      <c r="E73" s="21">
        <f>AVERAGE($D$49:$D$57)*F73</f>
        <v/>
      </c>
      <c r="F73" s="20">
        <f>WEO_Data!C47</f>
        <v/>
      </c>
      <c r="G73" s="20">
        <f>TREND($G$36:$G$57,$C$36:$C$57,C73)</f>
        <v/>
      </c>
      <c r="H73">
        <f>EXP(G73)*(E73^$B$2)</f>
        <v/>
      </c>
      <c r="I73" t="n">
        <v>0</v>
      </c>
      <c r="J73">
        <f>J72*(1-$B$3)+I73</f>
        <v/>
      </c>
      <c r="K73" s="19">
        <f>E73+J73</f>
        <v/>
      </c>
      <c r="L73">
        <f>EXP(G73)*(K73^$B$2)</f>
        <v/>
      </c>
      <c r="M73">
        <f>L73-H73</f>
        <v/>
      </c>
      <c r="N73">
        <f>F73+M73</f>
        <v/>
      </c>
      <c r="O73">
        <f>(N73/N72-1)*100</f>
        <v/>
      </c>
    </row>
    <row r="74">
      <c r="C74" t="n">
        <v>2040</v>
      </c>
      <c r="D74">
        <f>E74/F74</f>
        <v/>
      </c>
      <c r="E74" s="21">
        <f>AVERAGE($D$49:$D$57)*F74</f>
        <v/>
      </c>
      <c r="F74" s="20">
        <f>WEO_Data!C48</f>
        <v/>
      </c>
      <c r="G74" s="20">
        <f>TREND($G$36:$G$57,$C$36:$C$57,C74)</f>
        <v/>
      </c>
      <c r="H74">
        <f>EXP(G74)*(E74^$B$2)</f>
        <v/>
      </c>
      <c r="I74" t="n">
        <v>0</v>
      </c>
      <c r="J74">
        <f>J73*(1-$B$3)+I74</f>
        <v/>
      </c>
      <c r="K74" s="19">
        <f>E74+J74</f>
        <v/>
      </c>
      <c r="L74">
        <f>EXP(G74)*(K74^$B$2)</f>
        <v/>
      </c>
      <c r="M74">
        <f>L74-H74</f>
        <v/>
      </c>
      <c r="N74">
        <f>F74+M74</f>
        <v/>
      </c>
      <c r="O74">
        <f>(N74/N73-1)*100</f>
        <v/>
      </c>
    </row>
    <row r="75">
      <c r="C75" t="n">
        <v>2041</v>
      </c>
      <c r="D75">
        <f>E75/F75</f>
        <v/>
      </c>
      <c r="E75" s="21">
        <f>AVERAGE($D$49:$D$57)*F75</f>
        <v/>
      </c>
      <c r="F75" s="20">
        <f>WEO_Data!C49</f>
        <v/>
      </c>
      <c r="G75" s="20">
        <f>TREND($G$36:$G$57,$C$36:$C$57,C75)</f>
        <v/>
      </c>
      <c r="H75">
        <f>EXP(G75)*(E75^$B$2)</f>
        <v/>
      </c>
      <c r="I75" t="n">
        <v>0</v>
      </c>
      <c r="J75">
        <f>J74*(1-$B$3)+I75</f>
        <v/>
      </c>
      <c r="K75" s="19">
        <f>E75+J75</f>
        <v/>
      </c>
      <c r="L75">
        <f>EXP(G75)*(K75^$B$2)</f>
        <v/>
      </c>
      <c r="M75">
        <f>L75-H75</f>
        <v/>
      </c>
      <c r="N75">
        <f>F75+M75</f>
        <v/>
      </c>
      <c r="O75">
        <f>(N75/N74-1)*100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PWT!B8*1000000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PWT!B9*1000000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PWT!B10*1000000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PWT!B11*1000000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PWT!B12*1000000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PWT!B13*1000000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PWT!B14*1000000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PWT!B15*1000000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PWT!B16*1000000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PWT!B17*1000000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PWT!B18*1000000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PWT!B19*1000000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PWT!B20*1000000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PWT!B21*1000000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PWT!B22*1000000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PWT!B23*1000000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PWT!B24*1000000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PWT!B25*1000000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PWT!B26*1000000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PWT!B27*1000000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PWT!B28*1000000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PWT!B29*1000000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PWT!B30*1000000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PWT!B31*1000000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PWT!B32*1000000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PWT!B33*1000000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PWT!B34*1000000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PWT!B35*1000000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 t="n">
        <v>82.816</v>
      </c>
      <c r="D36" t="n">
        <v>5</v>
      </c>
    </row>
    <row r="37">
      <c r="B37" t="n">
        <v>2029</v>
      </c>
      <c r="C37" t="n">
        <v>86.95699999999999</v>
      </c>
      <c r="D37" t="n">
        <v>5</v>
      </c>
    </row>
    <row r="38">
      <c r="B38" t="n">
        <v>2030</v>
      </c>
      <c r="C38" t="n">
        <v>91.30500000000001</v>
      </c>
      <c r="D38" t="n">
        <v>5</v>
      </c>
    </row>
    <row r="39">
      <c r="B39" t="n">
        <v>2031</v>
      </c>
      <c r="C39">
        <f>C38*(1+D39/100)</f>
        <v/>
      </c>
      <c r="D39">
        <f>D$35</f>
        <v/>
      </c>
    </row>
    <row r="40">
      <c r="B40" t="n">
        <v>2032</v>
      </c>
      <c r="C40">
        <f>C39*(1+D40/100)</f>
        <v/>
      </c>
      <c r="D40">
        <f>D$35</f>
        <v/>
      </c>
    </row>
    <row r="41">
      <c r="B41" t="n">
        <v>2033</v>
      </c>
      <c r="C41">
        <f>C40*(1+D41/100)</f>
        <v/>
      </c>
      <c r="D41">
        <f>D$35</f>
        <v/>
      </c>
    </row>
    <row r="42">
      <c r="B42" t="n">
        <v>2034</v>
      </c>
      <c r="C42">
        <f>C41*(1+D42/100)</f>
        <v/>
      </c>
      <c r="D42">
        <f>D$35</f>
        <v/>
      </c>
    </row>
    <row r="43">
      <c r="B43" t="n">
        <v>2035</v>
      </c>
      <c r="C43">
        <f>C42*(1+D43/100)</f>
        <v/>
      </c>
      <c r="D43">
        <f>D$35</f>
        <v/>
      </c>
    </row>
    <row r="44">
      <c r="B44" t="n">
        <v>2036</v>
      </c>
      <c r="C44">
        <f>C43*(1+D44/100)</f>
        <v/>
      </c>
      <c r="D44">
        <f>D$35</f>
        <v/>
      </c>
    </row>
    <row r="45">
      <c r="B45" t="n">
        <v>2037</v>
      </c>
      <c r="C45">
        <f>C44*(1+D45/100)</f>
        <v/>
      </c>
      <c r="D45">
        <f>D$35</f>
        <v/>
      </c>
    </row>
    <row r="46">
      <c r="B46" t="n">
        <v>2038</v>
      </c>
      <c r="C46">
        <f>C45*(1+D46/100)</f>
        <v/>
      </c>
      <c r="D46">
        <f>D$35</f>
        <v/>
      </c>
    </row>
    <row r="47">
      <c r="B47" t="n">
        <v>2039</v>
      </c>
      <c r="C47">
        <f>C46*(1+D47/100)</f>
        <v/>
      </c>
      <c r="D47">
        <f>D$35</f>
        <v/>
      </c>
    </row>
    <row r="48">
      <c r="B48" t="n">
        <v>2040</v>
      </c>
      <c r="C48">
        <f>C47*(1+D48/100)</f>
        <v/>
      </c>
      <c r="D48">
        <f>D$35</f>
        <v/>
      </c>
    </row>
    <row r="49">
      <c r="B49" t="n">
        <v>2041</v>
      </c>
      <c r="C49">
        <f>C48*(1+D49/100)</f>
        <v/>
      </c>
      <c r="D49">
        <f>D$35</f>
        <v/>
      </c>
    </row>
    <row r="50">
      <c r="B50" t="n">
        <v>2042</v>
      </c>
      <c r="C50">
        <f>C49*(1+D50/100)</f>
        <v/>
      </c>
      <c r="D50">
        <f>D$35</f>
        <v/>
      </c>
    </row>
    <row r="51">
      <c r="B51" t="n">
        <v>2043</v>
      </c>
      <c r="C51">
        <f>C50*(1+D51/100)</f>
        <v/>
      </c>
      <c r="D51">
        <f>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2026-01-29T04:41:33Z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