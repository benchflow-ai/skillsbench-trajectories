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PWT" sheetId="2" state="visible" r:id="rId2"/>
    <sheet name="WEO_Data" sheetId="3" state="visible" r:id="rId3"/>
    <sheet name="CFC data" sheetId="4" state="visible" r:id="rId4"/>
    <sheet name="Investment" sheetId="5" state="visible" r:id="rId5"/>
    <sheet name="Produc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sz val="11"/>
    </font>
    <font>
      <i val="1"/>
    </font>
    <font>
      <b val="1"/>
      <sz val="14"/>
    </font>
    <font>
      <b val="1"/>
      <color rgb="00FF0000"/>
      <sz val="12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FFE699"/>
        <bgColor rgb="00FFE699"/>
      </patternFill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0" applyAlignment="1" pivotButton="0" quotePrefix="0" xfId="0">
      <alignment horizontal="center" vertical="center" wrapText="1"/>
    </xf>
    <xf numFmtId="0" fontId="7" fillId="3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1" fillId="5" borderId="0" pivotButton="0" quotePrefix="0" xfId="0"/>
    <xf numFmtId="0" fontId="2" fillId="5" borderId="0" pivotButton="0" quotePrefix="0" xfId="0"/>
    <xf numFmtId="0" fontId="2" fillId="4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GEORGIA INVESTMENT SHOCK MODEL</t>
        </is>
      </c>
    </row>
    <row r="3">
      <c r="A3" s="1" t="inlineStr">
        <is>
          <t>Overview:</t>
        </is>
      </c>
    </row>
    <row r="4">
      <c r="A4" t="inlineStr">
        <is>
          <t>This model estimates the impact of a $6.5 billion USD investment over 8 years (2026-2033)</t>
        </is>
      </c>
    </row>
    <row r="5">
      <c r="A5" t="inlineStr">
        <is>
          <t>on Georgia's potential GDP using a Cobb-Douglas production function.</t>
        </is>
      </c>
    </row>
    <row r="7">
      <c r="A7" s="1" t="inlineStr">
        <is>
          <t>Data Sources:</t>
        </is>
      </c>
    </row>
    <row r="8">
      <c r="A8" t="inlineStr">
        <is>
          <t>- Penn World Table 10.0: Capital stock and depreciation rates</t>
        </is>
      </c>
    </row>
    <row r="9">
      <c r="A9" t="inlineStr">
        <is>
          <t>- World Bank: GDP historical data (2000-2024)</t>
        </is>
      </c>
    </row>
    <row r="10">
      <c r="A10" t="inlineStr">
        <is>
          <t>- IMF WEO: GDP growth forecasts (2025-2027)</t>
        </is>
      </c>
    </row>
    <row r="11">
      <c r="A11" t="inlineStr">
        <is>
          <t>- ECB: Consumption of Fixed Capital data for Georgia</t>
        </is>
      </c>
    </row>
    <row r="13">
      <c r="A13" s="1" t="inlineStr">
        <is>
          <t>Sheet Descriptions:</t>
        </is>
      </c>
    </row>
    <row r="14">
      <c r="A14" t="inlineStr">
        <is>
          <t>PWT: Penn World Table data - Capital stock and depreciation rates</t>
        </is>
      </c>
    </row>
    <row r="15">
      <c r="A15" t="inlineStr">
        <is>
          <t>WEO_Data: GDP levels and growth rates from World Bank/IMF with projections to 2043</t>
        </is>
      </c>
    </row>
    <row r="16">
      <c r="A16" t="inlineStr">
        <is>
          <t>CFC data: Consumption of Fixed Capital data for calculating depreciation</t>
        </is>
      </c>
    </row>
    <row r="17">
      <c r="A17" t="inlineStr">
        <is>
          <t>Investment: Investment shock schedule ($6.5B over 2026-2033)</t>
        </is>
      </c>
    </row>
    <row r="18">
      <c r="A18" t="inlineStr">
        <is>
          <t>Production: Main model - HP filter, TFP estimation, and potential GDP calculations</t>
        </is>
      </c>
    </row>
    <row r="20">
      <c r="A20" s="7" t="inlineStr">
        <is>
          <t>IMPORTANT STEPS TO COMPLETE THE MODEL:</t>
        </is>
      </c>
    </row>
    <row r="22">
      <c r="A22" s="2" t="inlineStr">
        <is>
          <t>STEP 1: Run HP Filter in Production sheet</t>
        </is>
      </c>
    </row>
    <row r="23">
      <c r="A23" t="inlineStr">
        <is>
          <t xml:space="preserve">  a. Go to Production sheet</t>
        </is>
      </c>
    </row>
    <row r="24">
      <c r="A24" t="inlineStr">
        <is>
          <t xml:space="preserve">  b. Open Data &gt; Solver (if not visible, enable Solver add-in in Excel options)</t>
        </is>
      </c>
    </row>
    <row r="25">
      <c r="A25" t="inlineStr">
        <is>
          <t xml:space="preserve">  c. Set Objective: Cell N10</t>
        </is>
      </c>
    </row>
    <row r="26">
      <c r="A26" t="inlineStr">
        <is>
          <t xml:space="preserve">  d. To: Min</t>
        </is>
      </c>
    </row>
    <row r="27">
      <c r="A27" t="inlineStr">
        <is>
          <t xml:space="preserve">  e. By Changing Variable Cells: H9:H27</t>
        </is>
      </c>
    </row>
    <row r="28">
      <c r="A28" t="inlineStr">
        <is>
          <t xml:space="preserve">  f. Select Solving Method: GRG Nonlinear</t>
        </is>
      </c>
    </row>
    <row r="29">
      <c r="A29" t="inlineStr">
        <is>
          <t xml:space="preserve">  g. Click Solve</t>
        </is>
      </c>
    </row>
    <row r="30">
      <c r="A30" t="inlineStr">
        <is>
          <t xml:space="preserve">  h. Click OK to keep solver solution</t>
        </is>
      </c>
    </row>
    <row r="32">
      <c r="A32" s="2" t="inlineStr">
        <is>
          <t>STEP 2: Review Results</t>
        </is>
      </c>
    </row>
    <row r="33">
      <c r="A33" t="inlineStr">
        <is>
          <t xml:space="preserve">  a. Check Production sheet rows 36-75 for projections</t>
        </is>
      </c>
    </row>
    <row r="34">
      <c r="A34" t="inlineStr">
        <is>
          <t xml:space="preserve">  b. Column K shows the absolute difference in GDP</t>
        </is>
      </c>
    </row>
    <row r="35">
      <c r="A35" t="inlineStr">
        <is>
          <t xml:space="preserve">  c. Column L shows the percentage difference in GDP</t>
        </is>
      </c>
    </row>
    <row r="36">
      <c r="A36" t="inlineStr">
        <is>
          <t xml:space="preserve">  d. Focus on years 2026-2041 to see the impact of the investment</t>
        </is>
      </c>
    </row>
    <row r="38">
      <c r="A38" s="1" t="inlineStr">
        <is>
          <t>Key Parameters (in Production sheet):</t>
        </is>
      </c>
    </row>
    <row r="39">
      <c r="A39" t="inlineStr">
        <is>
          <t xml:space="preserve">  Capital share (alpha): 0.35</t>
        </is>
      </c>
    </row>
    <row r="40">
      <c r="A40" t="inlineStr">
        <is>
          <t xml:space="preserve">  Depreciation rate (delta): Calculated as average of 2016-2023 from CFC data</t>
        </is>
      </c>
    </row>
    <row r="41">
      <c r="A41" t="inlineStr">
        <is>
          <t xml:space="preserve">  K/Y anchor: Average capital-output ratio of 2015-2023</t>
        </is>
      </c>
    </row>
    <row r="42">
      <c r="A42" t="inlineStr">
        <is>
          <t xml:space="preserve">  HP Filter lambda: 100 (standard for annual data)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6" customWidth="1" min="1" max="1"/>
    <col width="39" customWidth="1" min="2" max="2"/>
    <col width="27" customWidth="1" min="3" max="3"/>
  </cols>
  <sheetData>
    <row r="1">
      <c r="A1" s="8" t="inlineStr">
        <is>
          <t>Year</t>
        </is>
      </c>
      <c r="B1" s="8" t="inlineStr">
        <is>
          <t>Capital Stock (cn, millions 2017 USD)</t>
        </is>
      </c>
      <c r="C1" s="8" t="inlineStr">
        <is>
          <t>Delta (depreciation rate)</t>
        </is>
      </c>
    </row>
    <row r="2">
      <c r="A2" t="n">
        <v>2000</v>
      </c>
      <c r="B2" t="n">
        <v>88542.2109375</v>
      </c>
      <c r="C2" t="n">
        <v>0.03162386640906334</v>
      </c>
    </row>
    <row r="3">
      <c r="A3" t="n">
        <v>2001</v>
      </c>
      <c r="B3" t="n">
        <v>91804.625</v>
      </c>
      <c r="C3" t="n">
        <v>0.03149078413844109</v>
      </c>
    </row>
    <row r="4">
      <c r="A4" t="n">
        <v>2002</v>
      </c>
      <c r="B4" t="n">
        <v>95172.1484375</v>
      </c>
      <c r="C4" t="n">
        <v>0.03124235197901726</v>
      </c>
    </row>
    <row r="5">
      <c r="A5" t="n">
        <v>2003</v>
      </c>
      <c r="B5" t="n">
        <v>99369.5</v>
      </c>
      <c r="C5" t="n">
        <v>0.03089168481528759</v>
      </c>
    </row>
    <row r="6">
      <c r="A6" t="n">
        <v>2004</v>
      </c>
      <c r="B6" t="n">
        <v>103428.1953125</v>
      </c>
      <c r="C6" t="n">
        <v>0.03126156702637672</v>
      </c>
    </row>
    <row r="7">
      <c r="A7" t="n">
        <v>2005</v>
      </c>
      <c r="B7" t="n">
        <v>107055.53125</v>
      </c>
      <c r="C7" t="n">
        <v>0.03242109715938568</v>
      </c>
    </row>
    <row r="8">
      <c r="A8" t="n">
        <v>2006</v>
      </c>
      <c r="B8" t="n">
        <v>107335.5078125</v>
      </c>
      <c r="C8" t="n">
        <v>0.03384186699986458</v>
      </c>
    </row>
    <row r="9">
      <c r="A9" t="n">
        <v>2007</v>
      </c>
      <c r="B9" t="n">
        <v>105010.1171875</v>
      </c>
      <c r="C9" t="n">
        <v>0.03539575636386871</v>
      </c>
    </row>
    <row r="10">
      <c r="A10" t="n">
        <v>2008</v>
      </c>
      <c r="B10" t="n">
        <v>101062.375</v>
      </c>
      <c r="C10" t="n">
        <v>0.03661152720451355</v>
      </c>
    </row>
    <row r="11">
      <c r="A11" t="n">
        <v>2009</v>
      </c>
      <c r="B11" t="n">
        <v>96057.6953125</v>
      </c>
      <c r="C11" t="n">
        <v>0.03674441948533058</v>
      </c>
    </row>
    <row r="12">
      <c r="A12" t="n">
        <v>2010</v>
      </c>
      <c r="B12" t="n">
        <v>93692.0859375</v>
      </c>
      <c r="C12" t="n">
        <v>0.03641709312796593</v>
      </c>
    </row>
    <row r="13">
      <c r="A13" t="n">
        <v>2011</v>
      </c>
      <c r="B13" t="n">
        <v>94160.140625</v>
      </c>
      <c r="C13" t="n">
        <v>0.03638018667697906</v>
      </c>
    </row>
    <row r="14">
      <c r="A14" t="n">
        <v>2012</v>
      </c>
      <c r="B14" t="n">
        <v>121871.2109375</v>
      </c>
      <c r="C14" t="n">
        <v>0.03637713938951492</v>
      </c>
    </row>
    <row r="15">
      <c r="A15" t="n">
        <v>2013</v>
      </c>
      <c r="B15" t="n">
        <v>141087.65625</v>
      </c>
      <c r="C15" t="n">
        <v>0.0364120751619339</v>
      </c>
    </row>
    <row r="16">
      <c r="A16" t="n">
        <v>2014</v>
      </c>
      <c r="B16" t="n">
        <v>160512.71875</v>
      </c>
      <c r="C16" t="n">
        <v>0.03674294427037239</v>
      </c>
    </row>
    <row r="17">
      <c r="A17" t="n">
        <v>2015</v>
      </c>
      <c r="B17" t="n">
        <v>192503.546875</v>
      </c>
      <c r="C17" t="n">
        <v>0.03753762692213058</v>
      </c>
    </row>
    <row r="18">
      <c r="A18" t="n">
        <v>2016</v>
      </c>
      <c r="B18" t="n">
        <v>239987.984375</v>
      </c>
      <c r="C18" t="n">
        <v>0.03853531926870346</v>
      </c>
    </row>
    <row r="19">
      <c r="A19" t="n">
        <v>2017</v>
      </c>
      <c r="B19" t="n">
        <v>283682.15625</v>
      </c>
      <c r="C19" t="n">
        <v>0.03965406864881516</v>
      </c>
    </row>
    <row r="20">
      <c r="A20" t="n">
        <v>2018</v>
      </c>
      <c r="B20" t="n">
        <v>288968.46875</v>
      </c>
      <c r="C20" t="n">
        <v>0.04049072787165642</v>
      </c>
    </row>
    <row r="21">
      <c r="A21" t="n">
        <v>2019</v>
      </c>
      <c r="B21" t="n">
        <v>297316</v>
      </c>
      <c r="C21" t="n">
        <v>0.04139813780784607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26" customWidth="1" min="3" max="3"/>
  </cols>
  <sheetData>
    <row r="1">
      <c r="A1" s="8" t="inlineStr">
        <is>
          <t>Year</t>
        </is>
      </c>
      <c r="B1" s="8" t="inlineStr">
        <is>
          <t>Real GDP (billions USD, constant 2015)</t>
        </is>
      </c>
      <c r="C1" s="8" t="inlineStr">
        <is>
          <t>Real GDP Growth Rate (%)</t>
        </is>
      </c>
    </row>
    <row r="2">
      <c r="A2" t="n">
        <v>2000</v>
      </c>
      <c r="B2" t="n">
        <v>6.36521152066238</v>
      </c>
    </row>
    <row r="3">
      <c r="A3" t="n">
        <v>2001</v>
      </c>
      <c r="B3" t="n">
        <v>6.67120624959299</v>
      </c>
      <c r="C3" t="n">
        <v>4.80729867243701</v>
      </c>
    </row>
    <row r="4">
      <c r="A4" t="n">
        <v>2002</v>
      </c>
      <c r="B4" t="n">
        <v>7.03638973995908</v>
      </c>
      <c r="C4" t="n">
        <v>5.474024887004059</v>
      </c>
    </row>
    <row r="5">
      <c r="A5" t="n">
        <v>2003</v>
      </c>
      <c r="B5" t="n">
        <v>7.81440553492863</v>
      </c>
      <c r="C5" t="n">
        <v>11.05703100201034</v>
      </c>
    </row>
    <row r="6">
      <c r="A6" t="n">
        <v>2004</v>
      </c>
      <c r="B6" t="n">
        <v>8.267069270183651</v>
      </c>
      <c r="C6" t="n">
        <v>5.792682926829373</v>
      </c>
    </row>
    <row r="7">
      <c r="A7" t="n">
        <v>2005</v>
      </c>
      <c r="B7" t="n">
        <v>9.059975319602382</v>
      </c>
      <c r="C7" t="n">
        <v>9.591138328530269</v>
      </c>
    </row>
    <row r="8">
      <c r="A8" t="n">
        <v>2006</v>
      </c>
      <c r="B8" t="n">
        <v>9.91355915590151</v>
      </c>
      <c r="C8" t="n">
        <v>9.421480811899063</v>
      </c>
    </row>
    <row r="9">
      <c r="A9" t="n">
        <v>2007</v>
      </c>
      <c r="B9" t="n">
        <v>11.1602457096589</v>
      </c>
      <c r="C9" t="n">
        <v>12.57556982464003</v>
      </c>
    </row>
    <row r="10">
      <c r="A10" t="n">
        <v>2008</v>
      </c>
      <c r="B10" t="n">
        <v>11.4305038279115</v>
      </c>
      <c r="C10" t="n">
        <v>2.421614409606598</v>
      </c>
    </row>
    <row r="11">
      <c r="A11" t="n">
        <v>2009</v>
      </c>
      <c r="B11" t="n">
        <v>11.0132044469733</v>
      </c>
      <c r="C11" t="n">
        <v>-3.650752295968096</v>
      </c>
    </row>
    <row r="12">
      <c r="A12" t="n">
        <v>2010</v>
      </c>
      <c r="B12" t="n">
        <v>11.7011342025253</v>
      </c>
      <c r="C12" t="n">
        <v>6.246408653033386</v>
      </c>
    </row>
    <row r="13">
      <c r="A13" t="n">
        <v>2011</v>
      </c>
      <c r="B13" t="n">
        <v>12.6295415674316</v>
      </c>
      <c r="C13" t="n">
        <v>7.934336525308261</v>
      </c>
    </row>
    <row r="14">
      <c r="A14" t="n">
        <v>2012</v>
      </c>
      <c r="B14" t="n">
        <v>13.4604177656957</v>
      </c>
      <c r="C14" t="n">
        <v>6.578831019541664</v>
      </c>
    </row>
    <row r="15">
      <c r="A15" t="n">
        <v>2013</v>
      </c>
      <c r="B15" t="n">
        <v>14.1513255721376</v>
      </c>
      <c r="C15" t="n">
        <v>5.132885312094104</v>
      </c>
    </row>
    <row r="16">
      <c r="A16" t="n">
        <v>2014</v>
      </c>
      <c r="B16" t="n">
        <v>14.7301842138494</v>
      </c>
      <c r="C16" t="n">
        <v>4.090490595817453</v>
      </c>
    </row>
    <row r="17">
      <c r="A17" t="n">
        <v>2015</v>
      </c>
      <c r="B17" t="n">
        <v>15.2237961488396</v>
      </c>
      <c r="C17" t="n">
        <v>3.351023502653172</v>
      </c>
    </row>
    <row r="18">
      <c r="A18" t="n">
        <v>2016</v>
      </c>
      <c r="B18" t="n">
        <v>15.7490498745344</v>
      </c>
      <c r="C18" t="n">
        <v>3.450215179969018</v>
      </c>
    </row>
    <row r="19">
      <c r="A19" t="n">
        <v>2017</v>
      </c>
      <c r="B19" t="n">
        <v>16.5616855110983</v>
      </c>
      <c r="C19" t="n">
        <v>5.159902616588319</v>
      </c>
    </row>
    <row r="20">
      <c r="A20" t="n">
        <v>2018</v>
      </c>
      <c r="B20" t="n">
        <v>17.5656609173341</v>
      </c>
      <c r="C20" t="n">
        <v>6.062036412676797</v>
      </c>
    </row>
    <row r="21">
      <c r="A21" t="n">
        <v>2019</v>
      </c>
      <c r="B21" t="n">
        <v>18.5108198184957</v>
      </c>
      <c r="C21" t="n">
        <v>5.380719265899647</v>
      </c>
    </row>
    <row r="22">
      <c r="A22" t="n">
        <v>2020</v>
      </c>
      <c r="B22" t="n">
        <v>17.34640192057</v>
      </c>
      <c r="C22" t="n">
        <v>-6.290471785383778</v>
      </c>
    </row>
    <row r="23">
      <c r="A23" t="n">
        <v>2021</v>
      </c>
      <c r="B23" t="n">
        <v>19.192793472268</v>
      </c>
      <c r="C23" t="n">
        <v>10.64423365809646</v>
      </c>
    </row>
    <row r="24">
      <c r="A24" t="n">
        <v>2022</v>
      </c>
      <c r="B24" t="n">
        <v>21.2960419132144</v>
      </c>
      <c r="C24" t="n">
        <v>10.95853213856241</v>
      </c>
    </row>
    <row r="25">
      <c r="A25" t="n">
        <v>2023</v>
      </c>
      <c r="B25" t="n">
        <v>22.9639907774548</v>
      </c>
      <c r="C25" t="n">
        <v>7.832201265557326</v>
      </c>
    </row>
    <row r="26">
      <c r="A26" t="n">
        <v>2024</v>
      </c>
      <c r="B26" t="n">
        <v>25.186857750188</v>
      </c>
      <c r="C26" t="n">
        <v>9.679793875006816</v>
      </c>
    </row>
    <row r="27">
      <c r="A27" t="n">
        <v>2025</v>
      </c>
      <c r="B27">
        <f>B26*(1+C27/100)</f>
        <v/>
      </c>
      <c r="C27" t="n">
        <v>7.2</v>
      </c>
    </row>
    <row r="28">
      <c r="A28" t="n">
        <v>2026</v>
      </c>
      <c r="B28">
        <f>B27*(1+C28/100)</f>
        <v/>
      </c>
      <c r="C28" t="n">
        <v>5.3</v>
      </c>
    </row>
    <row r="29">
      <c r="A29" t="n">
        <v>2027</v>
      </c>
      <c r="B29">
        <f>B28*(1+C29/100)</f>
        <v/>
      </c>
      <c r="C29" t="n">
        <v>5</v>
      </c>
    </row>
    <row r="30">
      <c r="A30" t="n">
        <v>2028</v>
      </c>
      <c r="B30">
        <f>B29*(1+C30/100)</f>
        <v/>
      </c>
      <c r="C30">
        <f>$C$29</f>
        <v/>
      </c>
    </row>
    <row r="31">
      <c r="A31" t="n">
        <v>2029</v>
      </c>
      <c r="B31">
        <f>B30*(1+C31/100)</f>
        <v/>
      </c>
      <c r="C31">
        <f>$C$29</f>
        <v/>
      </c>
    </row>
    <row r="32">
      <c r="A32" t="n">
        <v>2030</v>
      </c>
      <c r="B32">
        <f>B31*(1+C32/100)</f>
        <v/>
      </c>
      <c r="C32">
        <f>$C$29</f>
        <v/>
      </c>
    </row>
    <row r="33">
      <c r="A33" t="n">
        <v>2031</v>
      </c>
      <c r="B33">
        <f>B32*(1+C33/100)</f>
        <v/>
      </c>
      <c r="C33">
        <f>$C$29</f>
        <v/>
      </c>
    </row>
    <row r="34">
      <c r="A34" t="n">
        <v>2032</v>
      </c>
      <c r="B34">
        <f>B33*(1+C34/100)</f>
        <v/>
      </c>
      <c r="C34">
        <f>$C$29</f>
        <v/>
      </c>
    </row>
    <row r="35">
      <c r="A35" t="n">
        <v>2033</v>
      </c>
      <c r="B35">
        <f>B34*(1+C35/100)</f>
        <v/>
      </c>
      <c r="C35">
        <f>$C$29</f>
        <v/>
      </c>
    </row>
    <row r="36">
      <c r="A36" t="n">
        <v>2034</v>
      </c>
      <c r="B36">
        <f>B35*(1+C36/100)</f>
        <v/>
      </c>
      <c r="C36">
        <f>$C$29</f>
        <v/>
      </c>
    </row>
    <row r="37">
      <c r="A37" t="n">
        <v>2035</v>
      </c>
      <c r="B37">
        <f>B36*(1+C37/100)</f>
        <v/>
      </c>
      <c r="C37">
        <f>$C$29</f>
        <v/>
      </c>
    </row>
    <row r="38">
      <c r="A38" t="n">
        <v>2036</v>
      </c>
      <c r="B38">
        <f>B37*(1+C38/100)</f>
        <v/>
      </c>
      <c r="C38">
        <f>$C$29</f>
        <v/>
      </c>
    </row>
    <row r="39">
      <c r="A39" t="n">
        <v>2037</v>
      </c>
      <c r="B39">
        <f>B38*(1+C39/100)</f>
        <v/>
      </c>
      <c r="C39">
        <f>$C$29</f>
        <v/>
      </c>
    </row>
    <row r="40">
      <c r="A40" t="n">
        <v>2038</v>
      </c>
      <c r="B40">
        <f>B39*(1+C40/100)</f>
        <v/>
      </c>
      <c r="C40">
        <f>$C$29</f>
        <v/>
      </c>
    </row>
    <row r="41">
      <c r="A41" t="n">
        <v>2039</v>
      </c>
      <c r="B41">
        <f>B40*(1+C41/100)</f>
        <v/>
      </c>
      <c r="C41">
        <f>$C$29</f>
        <v/>
      </c>
    </row>
    <row r="42">
      <c r="A42" t="n">
        <v>2040</v>
      </c>
      <c r="B42">
        <f>B41*(1+C42/100)</f>
        <v/>
      </c>
      <c r="C42">
        <f>$C$29</f>
        <v/>
      </c>
    </row>
    <row r="43">
      <c r="A43" t="n">
        <v>2041</v>
      </c>
      <c r="B43">
        <f>B42*(1+C43/100)</f>
        <v/>
      </c>
      <c r="C43">
        <f>$C$29</f>
        <v/>
      </c>
    </row>
    <row r="44">
      <c r="A44" t="n">
        <v>2042</v>
      </c>
      <c r="B44">
        <f>B43*(1+C44/100)</f>
        <v/>
      </c>
      <c r="C44">
        <f>$C$29</f>
        <v/>
      </c>
    </row>
    <row r="45">
      <c r="A45" t="n">
        <v>2043</v>
      </c>
      <c r="B45">
        <f>B44*(1+C45/100)</f>
        <v/>
      </c>
      <c r="C45">
        <f>$C$29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20" customWidth="1" min="3" max="3"/>
    <col width="40" customWidth="1" min="4" max="4"/>
    <col width="27" customWidth="1" min="5" max="5"/>
  </cols>
  <sheetData>
    <row r="1">
      <c r="A1" s="8" t="inlineStr">
        <is>
          <t>Year</t>
        </is>
      </c>
      <c r="B1" s="8" t="inlineStr">
        <is>
          <t>Data Source</t>
        </is>
      </c>
      <c r="C1" s="8" t="inlineStr">
        <is>
          <t>CFC (millions GEL)</t>
        </is>
      </c>
      <c r="D1" s="8" t="inlineStr">
        <is>
          <t>Capital Stock (from PWT, millions USD)</t>
        </is>
      </c>
      <c r="E1" s="8" t="inlineStr">
        <is>
          <t>Depreciation Rate (CFC/K)</t>
        </is>
      </c>
    </row>
    <row r="2">
      <c r="A2" t="n">
        <v>2000</v>
      </c>
      <c r="B2" t="inlineStr">
        <is>
          <t>ECB</t>
        </is>
      </c>
      <c r="C2" t="n">
        <v>631701000.88782</v>
      </c>
      <c r="D2">
        <f>PWT!B2</f>
        <v/>
      </c>
      <c r="E2">
        <f>PWT!C2</f>
        <v/>
      </c>
    </row>
    <row r="3">
      <c r="A3" t="n">
        <v>2001</v>
      </c>
      <c r="C3" t="n">
        <v>706983726.789065</v>
      </c>
      <c r="D3">
        <f>PWT!B3</f>
        <v/>
      </c>
      <c r="E3">
        <f>PWT!C3</f>
        <v/>
      </c>
    </row>
    <row r="4">
      <c r="A4" t="n">
        <v>2002</v>
      </c>
      <c r="C4" t="n">
        <v>790112565.198609</v>
      </c>
      <c r="D4">
        <f>PWT!B4</f>
        <v/>
      </c>
      <c r="E4">
        <f>PWT!C4</f>
        <v/>
      </c>
    </row>
    <row r="5">
      <c r="A5" t="n">
        <v>2003</v>
      </c>
      <c r="C5" t="n">
        <v>932916219.671159</v>
      </c>
      <c r="D5">
        <f>PWT!B5</f>
        <v/>
      </c>
      <c r="E5">
        <f>PWT!C5</f>
        <v/>
      </c>
    </row>
    <row r="6">
      <c r="A6" t="n">
        <v>2004</v>
      </c>
      <c r="C6" t="n">
        <v>976818537.799271</v>
      </c>
      <c r="D6">
        <f>PWT!B6</f>
        <v/>
      </c>
      <c r="E6">
        <f>PWT!C6</f>
        <v/>
      </c>
    </row>
    <row r="7">
      <c r="A7" t="n">
        <v>2005</v>
      </c>
      <c r="C7" t="n">
        <v>1113450058.59263</v>
      </c>
      <c r="D7">
        <f>PWT!B7</f>
        <v/>
      </c>
      <c r="E7">
        <f>PWT!C7</f>
        <v/>
      </c>
    </row>
    <row r="8">
      <c r="A8" t="n">
        <v>2006</v>
      </c>
      <c r="C8" t="n">
        <v>1306373084.13224</v>
      </c>
      <c r="D8">
        <f>PWT!B8</f>
        <v/>
      </c>
      <c r="E8">
        <f>PWT!C8</f>
        <v/>
      </c>
    </row>
    <row r="9">
      <c r="A9" t="n">
        <v>2007</v>
      </c>
      <c r="C9" t="n">
        <v>1617029966.25711</v>
      </c>
      <c r="D9">
        <f>PWT!B9</f>
        <v/>
      </c>
      <c r="E9">
        <f>PWT!C9</f>
        <v/>
      </c>
    </row>
    <row r="10">
      <c r="A10" t="n">
        <v>2008</v>
      </c>
      <c r="C10" t="n">
        <v>1758049267.6717</v>
      </c>
      <c r="D10">
        <f>PWT!B10</f>
        <v/>
      </c>
      <c r="E10">
        <f>PWT!C10</f>
        <v/>
      </c>
    </row>
    <row r="11">
      <c r="A11" t="n">
        <v>2009</v>
      </c>
      <c r="C11" t="n">
        <v>1751366684.88131</v>
      </c>
      <c r="D11">
        <f>PWT!B11</f>
        <v/>
      </c>
      <c r="E11">
        <f>PWT!C11</f>
        <v/>
      </c>
    </row>
    <row r="12">
      <c r="A12" t="n">
        <v>2010</v>
      </c>
      <c r="C12" t="n">
        <v>2046413234.66733</v>
      </c>
      <c r="D12">
        <f>PWT!B12</f>
        <v/>
      </c>
      <c r="E12">
        <f>PWT!C12</f>
        <v/>
      </c>
    </row>
    <row r="13">
      <c r="A13" t="n">
        <v>2011</v>
      </c>
      <c r="C13" t="n">
        <v>2350512405.90543</v>
      </c>
      <c r="D13">
        <f>PWT!B13</f>
        <v/>
      </c>
      <c r="E13">
        <f>PWT!C13</f>
        <v/>
      </c>
    </row>
    <row r="14">
      <c r="A14" t="n">
        <v>2012</v>
      </c>
      <c r="C14" t="n">
        <v>2643602887.96874</v>
      </c>
      <c r="D14">
        <f>PWT!B14</f>
        <v/>
      </c>
      <c r="E14">
        <f>PWT!C14</f>
        <v/>
      </c>
    </row>
    <row r="15">
      <c r="A15" t="n">
        <v>2013</v>
      </c>
      <c r="C15" t="n">
        <v>1555932152.31816</v>
      </c>
      <c r="D15">
        <f>PWT!B15</f>
        <v/>
      </c>
      <c r="E15">
        <f>PWT!C15</f>
        <v/>
      </c>
    </row>
    <row r="16">
      <c r="A16" t="n">
        <v>2014</v>
      </c>
      <c r="C16" t="n">
        <v>2984890468.6878</v>
      </c>
      <c r="D16">
        <f>PWT!B16</f>
        <v/>
      </c>
      <c r="E16">
        <f>PWT!C16</f>
        <v/>
      </c>
    </row>
    <row r="17">
      <c r="A17" t="n">
        <v>2015</v>
      </c>
      <c r="C17" t="n">
        <v>3657280672.54249</v>
      </c>
      <c r="D17">
        <f>PWT!B17</f>
        <v/>
      </c>
      <c r="E17">
        <f>PWT!C17</f>
        <v/>
      </c>
    </row>
    <row r="18">
      <c r="A18" t="n">
        <v>2016</v>
      </c>
      <c r="C18" t="n">
        <v>4004828719.85304</v>
      </c>
      <c r="D18">
        <f>PWT!B18</f>
        <v/>
      </c>
      <c r="E18">
        <f>PWT!C18</f>
        <v/>
      </c>
    </row>
    <row r="19">
      <c r="A19" t="n">
        <v>2017</v>
      </c>
      <c r="C19" t="n">
        <v>4492921334.90825</v>
      </c>
      <c r="D19">
        <f>PWT!B19</f>
        <v/>
      </c>
      <c r="E19">
        <f>PWT!C19</f>
        <v/>
      </c>
    </row>
    <row r="20">
      <c r="A20" t="n">
        <v>2018</v>
      </c>
      <c r="C20" t="n">
        <v>4843616440.28627</v>
      </c>
      <c r="D20">
        <f>PWT!B20</f>
        <v/>
      </c>
      <c r="E20">
        <f>PWT!C20</f>
        <v/>
      </c>
    </row>
    <row r="21">
      <c r="A21" t="n">
        <v>2019</v>
      </c>
      <c r="C21" t="n">
        <v>5452957379.35004</v>
      </c>
      <c r="D21">
        <f>PWT!B21</f>
        <v/>
      </c>
      <c r="E21">
        <f>PWT!C21</f>
        <v/>
      </c>
    </row>
    <row r="22">
      <c r="A22" t="n">
        <v>2020</v>
      </c>
      <c r="C22" t="n">
        <v>6152769261.61805</v>
      </c>
    </row>
    <row r="23">
      <c r="A23" t="n">
        <v>2021</v>
      </c>
      <c r="C23" t="n">
        <v>7072625348.89823</v>
      </c>
    </row>
    <row r="24">
      <c r="A24" t="n">
        <v>2022</v>
      </c>
      <c r="C24" t="n">
        <v>7661448474.88107</v>
      </c>
    </row>
    <row r="25">
      <c r="A25" t="n">
        <v>2023</v>
      </c>
      <c r="C25" t="n">
        <v>9410657843.71035</v>
      </c>
    </row>
    <row r="26"/>
    <row r="27"/>
    <row r="28">
      <c r="A28" t="inlineStr">
        <is>
          <t>NOTE: CFC data is in millions of Georgian Lari at current prices.</t>
        </is>
      </c>
    </row>
    <row r="29">
      <c r="A29" t="inlineStr">
        <is>
          <t>Depreciation rates in column E are linked from PWT delta values (more reliable).</t>
        </is>
      </c>
    </row>
    <row r="30">
      <c r="A30" t="inlineStr">
        <is>
          <t>CFC/K calculation would require exchange rate adjustments, so we use PWT delta directly.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6" customWidth="1" min="1" max="1"/>
    <col width="33" customWidth="1" min="2" max="2"/>
    <col width="25" customWidth="1" min="3" max="3"/>
  </cols>
  <sheetData>
    <row r="1">
      <c r="A1" s="8" t="inlineStr">
        <is>
          <t>Year</t>
        </is>
      </c>
      <c r="B1" s="8" t="inlineStr">
        <is>
          <t>Investment Shock (billions USD)</t>
        </is>
      </c>
      <c r="C1" s="8" t="inlineStr">
        <is>
          <t>Notes</t>
        </is>
      </c>
    </row>
    <row r="2">
      <c r="A2" t="n">
        <v>2024</v>
      </c>
      <c r="B2" t="n">
        <v>0</v>
      </c>
      <c r="C2" t="inlineStr">
        <is>
          <t>Before shock</t>
        </is>
      </c>
    </row>
    <row r="3">
      <c r="A3" t="n">
        <v>2025</v>
      </c>
      <c r="B3" t="n">
        <v>0</v>
      </c>
      <c r="C3" t="inlineStr">
        <is>
          <t>Before shock</t>
        </is>
      </c>
    </row>
    <row r="4">
      <c r="A4" t="n">
        <v>2026</v>
      </c>
      <c r="B4" t="n">
        <v>0.8125</v>
      </c>
      <c r="C4" t="inlineStr">
        <is>
          <t>Investment shock period</t>
        </is>
      </c>
    </row>
    <row r="5">
      <c r="A5" t="n">
        <v>2027</v>
      </c>
      <c r="B5" t="n">
        <v>0.8125</v>
      </c>
      <c r="C5" t="inlineStr">
        <is>
          <t>Investment shock period</t>
        </is>
      </c>
    </row>
    <row r="6">
      <c r="A6" t="n">
        <v>2028</v>
      </c>
      <c r="B6" t="n">
        <v>0.8125</v>
      </c>
      <c r="C6" t="inlineStr">
        <is>
          <t>Investment shock period</t>
        </is>
      </c>
    </row>
    <row r="7">
      <c r="A7" t="n">
        <v>2029</v>
      </c>
      <c r="B7" t="n">
        <v>0.8125</v>
      </c>
      <c r="C7" t="inlineStr">
        <is>
          <t>Investment shock period</t>
        </is>
      </c>
    </row>
    <row r="8">
      <c r="A8" t="n">
        <v>2030</v>
      </c>
      <c r="B8" t="n">
        <v>0.8125</v>
      </c>
      <c r="C8" t="inlineStr">
        <is>
          <t>Investment shock period</t>
        </is>
      </c>
    </row>
    <row r="9">
      <c r="A9" t="n">
        <v>2031</v>
      </c>
      <c r="B9" t="n">
        <v>0.8125</v>
      </c>
      <c r="C9" t="inlineStr">
        <is>
          <t>Investment shock period</t>
        </is>
      </c>
    </row>
    <row r="10">
      <c r="A10" t="n">
        <v>2032</v>
      </c>
      <c r="B10" t="n">
        <v>0.8125</v>
      </c>
      <c r="C10" t="inlineStr">
        <is>
          <t>Investment shock period</t>
        </is>
      </c>
    </row>
    <row r="11">
      <c r="A11" t="n">
        <v>2033</v>
      </c>
      <c r="B11" t="n">
        <v>0.8125</v>
      </c>
      <c r="C11" t="inlineStr">
        <is>
          <t>Investment shock period</t>
        </is>
      </c>
    </row>
    <row r="12">
      <c r="A12" t="n">
        <v>2034</v>
      </c>
      <c r="B12" t="n">
        <v>0</v>
      </c>
      <c r="C12" t="inlineStr">
        <is>
          <t>After shock</t>
        </is>
      </c>
    </row>
    <row r="13">
      <c r="A13" t="n">
        <v>2035</v>
      </c>
      <c r="B13" t="n">
        <v>0</v>
      </c>
      <c r="C13" t="inlineStr">
        <is>
          <t>After shock</t>
        </is>
      </c>
    </row>
    <row r="14">
      <c r="A14" t="n">
        <v>2036</v>
      </c>
      <c r="B14" t="n">
        <v>0</v>
      </c>
      <c r="C14" t="inlineStr">
        <is>
          <t>After shock</t>
        </is>
      </c>
    </row>
    <row r="15">
      <c r="A15" t="n">
        <v>2037</v>
      </c>
      <c r="B15" t="n">
        <v>0</v>
      </c>
      <c r="C15" t="inlineStr">
        <is>
          <t>After shock</t>
        </is>
      </c>
    </row>
    <row r="16">
      <c r="A16" t="n">
        <v>2038</v>
      </c>
      <c r="B16" t="n">
        <v>0</v>
      </c>
      <c r="C16" t="inlineStr">
        <is>
          <t>After shock</t>
        </is>
      </c>
    </row>
    <row r="17">
      <c r="A17" t="n">
        <v>2039</v>
      </c>
      <c r="B17" t="n">
        <v>0</v>
      </c>
      <c r="C17" t="inlineStr">
        <is>
          <t>After shock</t>
        </is>
      </c>
    </row>
    <row r="18">
      <c r="A18" t="n">
        <v>2040</v>
      </c>
      <c r="B18" t="n">
        <v>0</v>
      </c>
      <c r="C18" t="inlineStr">
        <is>
          <t>After shock</t>
        </is>
      </c>
    </row>
    <row r="19">
      <c r="A19" t="n">
        <v>2041</v>
      </c>
      <c r="B19" t="n">
        <v>0</v>
      </c>
      <c r="C19" t="inlineStr">
        <is>
          <t>After shock</t>
        </is>
      </c>
    </row>
    <row r="20">
      <c r="A20" t="n">
        <v>2042</v>
      </c>
      <c r="B20" t="n">
        <v>0</v>
      </c>
      <c r="C20" t="inlineStr">
        <is>
          <t>After shock</t>
        </is>
      </c>
    </row>
    <row r="21">
      <c r="A21" t="n">
        <v>2043</v>
      </c>
      <c r="B21" t="n">
        <v>0</v>
      </c>
      <c r="C21" t="inlineStr">
        <is>
          <t>After shock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75"/>
  <sheetViews>
    <sheetView workbookViewId="0">
      <selection activeCell="A1" sqref="A1"/>
    </sheetView>
  </sheetViews>
  <sheetFormatPr baseColWidth="8" defaultRowHeight="15"/>
  <cols>
    <col width="50" customWidth="1" min="1" max="1"/>
    <col width="30" customWidth="1" min="2" max="2"/>
    <col width="15" customWidth="1" min="3" max="3"/>
    <col width="43" customWidth="1" min="4" max="4"/>
    <col width="50" customWidth="1" min="5" max="5"/>
    <col width="27" customWidth="1" min="6" max="6"/>
    <col width="18" customWidth="1" min="7" max="7"/>
    <col width="21" customWidth="1" min="8" max="8"/>
    <col width="14" customWidth="1" min="9" max="9"/>
    <col width="27" customWidth="1" min="10" max="10"/>
    <col width="12" customWidth="1" min="11" max="11"/>
    <col width="14" customWidth="1" min="12" max="12"/>
    <col width="50" customWidth="1" min="13" max="13"/>
    <col width="30" customWidth="1" min="14" max="14"/>
  </cols>
  <sheetData>
    <row r="1">
      <c r="A1" s="9" t="inlineStr">
        <is>
          <t>Parameters</t>
        </is>
      </c>
      <c r="D1" s="8" t="inlineStr">
        <is>
          <t>DATA SOURCES:</t>
        </is>
      </c>
      <c r="E1" s="8" t="inlineStr">
        <is>
          <t>PWT 10.0 (Capital Stock), World Bank (GDP), ECB (CFC), IMF WEO (GDP Forecasts)</t>
        </is>
      </c>
    </row>
    <row r="2">
      <c r="A2" s="10" t="inlineStr">
        <is>
          <t>Capital's share (alpha)</t>
        </is>
      </c>
      <c r="B2" s="10" t="n">
        <v>0.35</v>
      </c>
    </row>
    <row r="3">
      <c r="A3" s="10" t="inlineStr">
        <is>
          <t>Annual Depreciation Rate (delta)</t>
        </is>
      </c>
      <c r="B3" s="10">
        <f>AVERAGE('CFC data'!E18:E25)</f>
        <v/>
      </c>
    </row>
    <row r="4">
      <c r="A4" s="10" t="inlineStr">
        <is>
          <t>K/Y Anchor (avg of last 9 years)</t>
        </is>
      </c>
      <c r="B4" s="10">
        <f>AVERAGE(C49:C57)</f>
        <v/>
      </c>
    </row>
    <row r="5"/>
    <row r="6">
      <c r="A6" s="11" t="inlineStr">
        <is>
          <t>Historical Data &amp; HP Filter</t>
        </is>
      </c>
      <c r="M6" s="12" t="inlineStr">
        <is>
          <t>HP Filter Objective</t>
        </is>
      </c>
    </row>
    <row r="7">
      <c r="A7" t="inlineStr">
        <is>
          <t>Year</t>
        </is>
      </c>
      <c r="B7" t="inlineStr">
        <is>
          <t>K</t>
        </is>
      </c>
      <c r="C7" t="inlineStr">
        <is>
          <t>Y</t>
        </is>
      </c>
      <c r="D7" t="inlineStr">
        <is>
          <t>K/Y</t>
        </is>
      </c>
      <c r="E7" t="inlineStr">
        <is>
          <t>LnK</t>
        </is>
      </c>
      <c r="F7" t="inlineStr">
        <is>
          <t>LnY</t>
        </is>
      </c>
      <c r="G7" t="inlineStr">
        <is>
          <t>LnZ</t>
        </is>
      </c>
      <c r="H7" t="inlineStr">
        <is>
          <t>LnZ_HP</t>
        </is>
      </c>
      <c r="I7" t="inlineStr">
        <is>
          <t>Cycle</t>
        </is>
      </c>
      <c r="J7" t="inlineStr">
        <is>
          <t>1st Diff</t>
        </is>
      </c>
      <c r="K7" t="inlineStr">
        <is>
          <t>2nd Diff</t>
        </is>
      </c>
      <c r="M7" t="inlineStr">
        <is>
          <t>Lambda (for annual data)</t>
        </is>
      </c>
      <c r="N7" t="n">
        <v>100</v>
      </c>
    </row>
    <row r="8">
      <c r="A8" t="inlineStr">
        <is>
          <t>(from PWT/WEO)</t>
        </is>
      </c>
      <c r="B8" t="inlineStr">
        <is>
          <t>Capital</t>
        </is>
      </c>
      <c r="C8" t="inlineStr">
        <is>
          <t>GDP</t>
        </is>
      </c>
      <c r="D8" t="inlineStr">
        <is>
          <t>Ratio</t>
        </is>
      </c>
      <c r="E8" t="inlineStr">
        <is>
          <t>Log K</t>
        </is>
      </c>
      <c r="F8" t="inlineStr">
        <is>
          <t>Log Y</t>
        </is>
      </c>
      <c r="G8" t="inlineStr">
        <is>
          <t>TFP (implied)</t>
        </is>
      </c>
      <c r="H8" t="inlineStr">
        <is>
          <t>Trend TFP</t>
        </is>
      </c>
      <c r="I8" t="inlineStr">
        <is>
          <t>Y-Trend</t>
        </is>
      </c>
      <c r="J8" t="inlineStr">
        <is>
          <t>Δ Trend</t>
        </is>
      </c>
      <c r="K8" t="inlineStr">
        <is>
          <t>Δ² Trend</t>
        </is>
      </c>
      <c r="M8" t="inlineStr">
        <is>
          <t>Cycle^2 sum</t>
        </is>
      </c>
      <c r="N8">
        <f>SUMPRODUCT(I9:I27,I9:I27)</f>
        <v/>
      </c>
    </row>
    <row r="9">
      <c r="A9" t="n">
        <v>2002</v>
      </c>
      <c r="B9">
        <f>PWT!B4</f>
        <v/>
      </c>
      <c r="C9">
        <f>WEO_Data!B4</f>
        <v/>
      </c>
      <c r="D9">
        <f>B9/C9</f>
        <v/>
      </c>
      <c r="E9">
        <f>LN(B9)</f>
        <v/>
      </c>
      <c r="F9">
        <f>LN(C9)</f>
        <v/>
      </c>
      <c r="G9">
        <f>F9-$B$2*E9</f>
        <v/>
      </c>
      <c r="H9">
        <f>G9</f>
        <v/>
      </c>
      <c r="I9">
        <f>G9-H9</f>
        <v/>
      </c>
      <c r="M9" t="inlineStr">
        <is>
          <t>2nd Diff^2 sum</t>
        </is>
      </c>
      <c r="N9">
        <f>SUMPRODUCT(K11:K27,K11:K27)</f>
        <v/>
      </c>
    </row>
    <row r="10">
      <c r="A10" t="n">
        <v>2003</v>
      </c>
      <c r="B10">
        <f>PWT!B5</f>
        <v/>
      </c>
      <c r="C10">
        <f>WEO_Data!B5</f>
        <v/>
      </c>
      <c r="D10">
        <f>B10/C10</f>
        <v/>
      </c>
      <c r="E10">
        <f>LN(B10)</f>
        <v/>
      </c>
      <c r="F10">
        <f>LN(C10)</f>
        <v/>
      </c>
      <c r="G10">
        <f>F10-$B$2*E10</f>
        <v/>
      </c>
      <c r="H10">
        <f>G10</f>
        <v/>
      </c>
      <c r="I10">
        <f>G10-H10</f>
        <v/>
      </c>
      <c r="J10">
        <f>H10-H9</f>
        <v/>
      </c>
      <c r="M10" s="13" t="inlineStr">
        <is>
          <t>Objective (minimize)</t>
        </is>
      </c>
      <c r="N10" s="14">
        <f>N8+N7*N9</f>
        <v/>
      </c>
    </row>
    <row r="11">
      <c r="A11" t="n">
        <v>2004</v>
      </c>
      <c r="B11">
        <f>PWT!B6</f>
        <v/>
      </c>
      <c r="C11">
        <f>WEO_Data!B6</f>
        <v/>
      </c>
      <c r="D11">
        <f>B11/C11</f>
        <v/>
      </c>
      <c r="E11">
        <f>LN(B11)</f>
        <v/>
      </c>
      <c r="F11">
        <f>LN(C11)</f>
        <v/>
      </c>
      <c r="G11">
        <f>F11-$B$2*E11</f>
        <v/>
      </c>
      <c r="H11">
        <f>G11</f>
        <v/>
      </c>
      <c r="I11">
        <f>G11-H11</f>
        <v/>
      </c>
      <c r="J11">
        <f>H11-H10</f>
        <v/>
      </c>
      <c r="K11">
        <f>J11-J10</f>
        <v/>
      </c>
    </row>
    <row r="12">
      <c r="A12" t="n">
        <v>2005</v>
      </c>
      <c r="B12">
        <f>PWT!B7</f>
        <v/>
      </c>
      <c r="C12">
        <f>WEO_Data!B7</f>
        <v/>
      </c>
      <c r="D12">
        <f>B12/C12</f>
        <v/>
      </c>
      <c r="E12">
        <f>LN(B12)</f>
        <v/>
      </c>
      <c r="F12">
        <f>LN(C12)</f>
        <v/>
      </c>
      <c r="G12">
        <f>F12-$B$2*E12</f>
        <v/>
      </c>
      <c r="H12">
        <f>G12</f>
        <v/>
      </c>
      <c r="I12">
        <f>G12-H12</f>
        <v/>
      </c>
      <c r="J12">
        <f>H12-H11</f>
        <v/>
      </c>
      <c r="K12">
        <f>J12-J11</f>
        <v/>
      </c>
      <c r="M12" s="3" t="inlineStr">
        <is>
          <t>HP FILTER INSTRUCTIONS:</t>
        </is>
      </c>
    </row>
    <row r="13">
      <c r="A13" t="n">
        <v>2006</v>
      </c>
      <c r="B13">
        <f>PWT!B8</f>
        <v/>
      </c>
      <c r="C13">
        <f>WEO_Data!B8</f>
        <v/>
      </c>
      <c r="D13">
        <f>B13/C13</f>
        <v/>
      </c>
      <c r="E13">
        <f>LN(B13)</f>
        <v/>
      </c>
      <c r="F13">
        <f>LN(C13)</f>
        <v/>
      </c>
      <c r="G13">
        <f>F13-$B$2*E13</f>
        <v/>
      </c>
      <c r="H13">
        <f>G13</f>
        <v/>
      </c>
      <c r="I13">
        <f>G13-H13</f>
        <v/>
      </c>
      <c r="J13">
        <f>H13-H12</f>
        <v/>
      </c>
      <c r="K13">
        <f>J13-J12</f>
        <v/>
      </c>
      <c r="M13" s="4" t="inlineStr">
        <is>
          <t>1. To run HP Filter, use Excel Solver:</t>
        </is>
      </c>
    </row>
    <row r="14">
      <c r="A14" t="n">
        <v>2007</v>
      </c>
      <c r="B14">
        <f>PWT!B9</f>
        <v/>
      </c>
      <c r="C14">
        <f>WEO_Data!B9</f>
        <v/>
      </c>
      <c r="D14">
        <f>B14/C14</f>
        <v/>
      </c>
      <c r="E14">
        <f>LN(B14)</f>
        <v/>
      </c>
      <c r="F14">
        <f>LN(C14)</f>
        <v/>
      </c>
      <c r="G14">
        <f>F14-$B$2*E14</f>
        <v/>
      </c>
      <c r="H14">
        <f>G14</f>
        <v/>
      </c>
      <c r="I14">
        <f>G14-H14</f>
        <v/>
      </c>
      <c r="J14">
        <f>H14-H13</f>
        <v/>
      </c>
      <c r="K14">
        <f>J14-J13</f>
        <v/>
      </c>
      <c r="M14" s="4" t="inlineStr">
        <is>
          <t>2. Set Objective: Cell N10 (minimize)</t>
        </is>
      </c>
    </row>
    <row r="15">
      <c r="A15" t="n">
        <v>2008</v>
      </c>
      <c r="B15">
        <f>PWT!B10</f>
        <v/>
      </c>
      <c r="C15">
        <f>WEO_Data!B10</f>
        <v/>
      </c>
      <c r="D15">
        <f>B15/C15</f>
        <v/>
      </c>
      <c r="E15">
        <f>LN(B15)</f>
        <v/>
      </c>
      <c r="F15">
        <f>LN(C15)</f>
        <v/>
      </c>
      <c r="G15">
        <f>F15-$B$2*E15</f>
        <v/>
      </c>
      <c r="H15">
        <f>G15</f>
        <v/>
      </c>
      <c r="I15">
        <f>G15-H15</f>
        <v/>
      </c>
      <c r="J15">
        <f>H15-H14</f>
        <v/>
      </c>
      <c r="K15">
        <f>J15-J14</f>
        <v/>
      </c>
      <c r="M15" s="4" t="inlineStr">
        <is>
          <t>3. By Changing Variable Cells: H9:H27</t>
        </is>
      </c>
    </row>
    <row r="16">
      <c r="A16" t="n">
        <v>2009</v>
      </c>
      <c r="B16">
        <f>PWT!B11</f>
        <v/>
      </c>
      <c r="C16">
        <f>WEO_Data!B11</f>
        <v/>
      </c>
      <c r="D16">
        <f>B16/C16</f>
        <v/>
      </c>
      <c r="E16">
        <f>LN(B16)</f>
        <v/>
      </c>
      <c r="F16">
        <f>LN(C16)</f>
        <v/>
      </c>
      <c r="G16">
        <f>F16-$B$2*E16</f>
        <v/>
      </c>
      <c r="H16">
        <f>G16</f>
        <v/>
      </c>
      <c r="I16">
        <f>G16-H16</f>
        <v/>
      </c>
      <c r="J16">
        <f>H16-H15</f>
        <v/>
      </c>
      <c r="K16">
        <f>J16-J15</f>
        <v/>
      </c>
      <c r="M16" s="4" t="inlineStr">
        <is>
          <t>4. Solving Method: GRG Nonlinear</t>
        </is>
      </c>
    </row>
    <row r="17">
      <c r="A17" t="n">
        <v>2010</v>
      </c>
      <c r="B17">
        <f>PWT!B12</f>
        <v/>
      </c>
      <c r="C17">
        <f>WEO_Data!B12</f>
        <v/>
      </c>
      <c r="D17">
        <f>B17/C17</f>
        <v/>
      </c>
      <c r="E17">
        <f>LN(B17)</f>
        <v/>
      </c>
      <c r="F17">
        <f>LN(C17)</f>
        <v/>
      </c>
      <c r="G17">
        <f>F17-$B$2*E17</f>
        <v/>
      </c>
      <c r="H17">
        <f>G17</f>
        <v/>
      </c>
      <c r="I17">
        <f>G17-H17</f>
        <v/>
      </c>
      <c r="J17">
        <f>H17-H16</f>
        <v/>
      </c>
      <c r="K17">
        <f>J17-J16</f>
        <v/>
      </c>
      <c r="M17" s="4" t="inlineStr">
        <is>
          <t>5. Click Solve</t>
        </is>
      </c>
    </row>
    <row r="18">
      <c r="A18" t="n">
        <v>2011</v>
      </c>
      <c r="B18">
        <f>PWT!B13</f>
        <v/>
      </c>
      <c r="C18">
        <f>WEO_Data!B13</f>
        <v/>
      </c>
      <c r="D18">
        <f>B18/C18</f>
        <v/>
      </c>
      <c r="E18">
        <f>LN(B18)</f>
        <v/>
      </c>
      <c r="F18">
        <f>LN(C18)</f>
        <v/>
      </c>
      <c r="G18">
        <f>F18-$B$2*E18</f>
        <v/>
      </c>
      <c r="H18">
        <f>G18</f>
        <v/>
      </c>
      <c r="I18">
        <f>G18-H18</f>
        <v/>
      </c>
      <c r="J18">
        <f>H18-H17</f>
        <v/>
      </c>
      <c r="K18">
        <f>J18-J17</f>
        <v/>
      </c>
      <c r="M18" s="4" t="inlineStr"/>
    </row>
    <row r="19">
      <c r="A19" t="n">
        <v>2012</v>
      </c>
      <c r="B19">
        <f>PWT!B14</f>
        <v/>
      </c>
      <c r="C19">
        <f>WEO_Data!B14</f>
        <v/>
      </c>
      <c r="D19">
        <f>B19/C19</f>
        <v/>
      </c>
      <c r="E19">
        <f>LN(B19)</f>
        <v/>
      </c>
      <c r="F19">
        <f>LN(C19)</f>
        <v/>
      </c>
      <c r="G19">
        <f>F19-$B$2*E19</f>
        <v/>
      </c>
      <c r="H19">
        <f>G19</f>
        <v/>
      </c>
      <c r="I19">
        <f>G19-H19</f>
        <v/>
      </c>
      <c r="J19">
        <f>H19-H18</f>
        <v/>
      </c>
      <c r="K19">
        <f>J19-J18</f>
        <v/>
      </c>
      <c r="M19" s="4" t="inlineStr">
        <is>
          <t>This will smooth the TFP series (LnZ)</t>
        </is>
      </c>
    </row>
    <row r="20">
      <c r="A20" t="n">
        <v>2013</v>
      </c>
      <c r="B20">
        <f>PWT!B15</f>
        <v/>
      </c>
      <c r="C20">
        <f>WEO_Data!B15</f>
        <v/>
      </c>
      <c r="D20">
        <f>B20/C20</f>
        <v/>
      </c>
      <c r="E20">
        <f>LN(B20)</f>
        <v/>
      </c>
      <c r="F20">
        <f>LN(C20)</f>
        <v/>
      </c>
      <c r="G20">
        <f>F20-$B$2*E20</f>
        <v/>
      </c>
      <c r="H20">
        <f>G20</f>
        <v/>
      </c>
      <c r="I20">
        <f>G20-H20</f>
        <v/>
      </c>
      <c r="J20">
        <f>H20-H19</f>
        <v/>
      </c>
      <c r="K20">
        <f>J20-J19</f>
        <v/>
      </c>
      <c r="M20" s="4" t="inlineStr">
        <is>
          <t>creating a trend line for potential GDP estimation.</t>
        </is>
      </c>
    </row>
    <row r="21">
      <c r="A21" t="n">
        <v>2014</v>
      </c>
      <c r="B21">
        <f>PWT!B16</f>
        <v/>
      </c>
      <c r="C21">
        <f>WEO_Data!B16</f>
        <v/>
      </c>
      <c r="D21">
        <f>B21/C21</f>
        <v/>
      </c>
      <c r="E21">
        <f>LN(B21)</f>
        <v/>
      </c>
      <c r="F21">
        <f>LN(C21)</f>
        <v/>
      </c>
      <c r="G21">
        <f>F21-$B$2*E21</f>
        <v/>
      </c>
      <c r="H21">
        <f>G21</f>
        <v/>
      </c>
      <c r="I21">
        <f>G21-H21</f>
        <v/>
      </c>
      <c r="J21">
        <f>H21-H20</f>
        <v/>
      </c>
      <c r="K21">
        <f>J21-J20</f>
        <v/>
      </c>
    </row>
    <row r="22">
      <c r="A22" t="n">
        <v>2015</v>
      </c>
      <c r="B22">
        <f>PWT!B17</f>
        <v/>
      </c>
      <c r="C22">
        <f>WEO_Data!B17</f>
        <v/>
      </c>
      <c r="D22">
        <f>B22/C22</f>
        <v/>
      </c>
      <c r="E22">
        <f>LN(B22)</f>
        <v/>
      </c>
      <c r="F22">
        <f>LN(C22)</f>
        <v/>
      </c>
      <c r="G22">
        <f>F22-$B$2*E22</f>
        <v/>
      </c>
      <c r="H22">
        <f>G22</f>
        <v/>
      </c>
      <c r="I22">
        <f>G22-H22</f>
        <v/>
      </c>
      <c r="J22">
        <f>H22-H21</f>
        <v/>
      </c>
      <c r="K22">
        <f>J22-J21</f>
        <v/>
      </c>
    </row>
    <row r="23">
      <c r="A23" t="n">
        <v>2016</v>
      </c>
      <c r="B23">
        <f>PWT!B18</f>
        <v/>
      </c>
      <c r="C23">
        <f>WEO_Data!B18</f>
        <v/>
      </c>
      <c r="D23">
        <f>B23/C23</f>
        <v/>
      </c>
      <c r="E23">
        <f>LN(B23)</f>
        <v/>
      </c>
      <c r="F23">
        <f>LN(C23)</f>
        <v/>
      </c>
      <c r="G23">
        <f>F23-$B$2*E23</f>
        <v/>
      </c>
      <c r="H23">
        <f>G23</f>
        <v/>
      </c>
      <c r="I23">
        <f>G23-H23</f>
        <v/>
      </c>
      <c r="J23">
        <f>H23-H22</f>
        <v/>
      </c>
      <c r="K23">
        <f>J23-J22</f>
        <v/>
      </c>
    </row>
    <row r="24">
      <c r="A24" t="n">
        <v>2017</v>
      </c>
      <c r="B24">
        <f>PWT!B19</f>
        <v/>
      </c>
      <c r="C24">
        <f>WEO_Data!B19</f>
        <v/>
      </c>
      <c r="D24">
        <f>B24/C24</f>
        <v/>
      </c>
      <c r="E24">
        <f>LN(B24)</f>
        <v/>
      </c>
      <c r="F24">
        <f>LN(C24)</f>
        <v/>
      </c>
      <c r="G24">
        <f>F24-$B$2*E24</f>
        <v/>
      </c>
      <c r="H24">
        <f>G24</f>
        <v/>
      </c>
      <c r="I24">
        <f>G24-H24</f>
        <v/>
      </c>
      <c r="J24">
        <f>H24-H23</f>
        <v/>
      </c>
      <c r="K24">
        <f>J24-J23</f>
        <v/>
      </c>
    </row>
    <row r="25">
      <c r="A25" t="n">
        <v>2018</v>
      </c>
      <c r="B25">
        <f>PWT!B20</f>
        <v/>
      </c>
      <c r="C25">
        <f>WEO_Data!B20</f>
        <v/>
      </c>
      <c r="D25">
        <f>B25/C25</f>
        <v/>
      </c>
      <c r="E25">
        <f>LN(B25)</f>
        <v/>
      </c>
      <c r="F25">
        <f>LN(C25)</f>
        <v/>
      </c>
      <c r="G25">
        <f>F25-$B$2*E25</f>
        <v/>
      </c>
      <c r="H25">
        <f>G25</f>
        <v/>
      </c>
      <c r="I25">
        <f>G25-H25</f>
        <v/>
      </c>
      <c r="J25">
        <f>H25-H24</f>
        <v/>
      </c>
      <c r="K25">
        <f>J25-J24</f>
        <v/>
      </c>
    </row>
    <row r="26">
      <c r="A26" t="n">
        <v>2019</v>
      </c>
      <c r="B26">
        <f>PWT!B21</f>
        <v/>
      </c>
      <c r="C26">
        <f>WEO_Data!B21</f>
        <v/>
      </c>
      <c r="D26">
        <f>B26/C26</f>
        <v/>
      </c>
      <c r="E26">
        <f>LN(B26)</f>
        <v/>
      </c>
      <c r="F26">
        <f>LN(C26)</f>
        <v/>
      </c>
      <c r="G26">
        <f>F26-$B$2*E26</f>
        <v/>
      </c>
      <c r="H26">
        <f>G26</f>
        <v/>
      </c>
      <c r="I26">
        <f>G26-H26</f>
        <v/>
      </c>
      <c r="J26">
        <f>H26-H25</f>
        <v/>
      </c>
      <c r="K26">
        <f>J26-J25</f>
        <v/>
      </c>
    </row>
    <row r="27">
      <c r="A27" t="n">
        <v>2020</v>
      </c>
      <c r="C27">
        <f>WEO_Data!B22</f>
        <v/>
      </c>
      <c r="F27">
        <f>LN(C27)</f>
        <v/>
      </c>
    </row>
    <row r="28">
      <c r="A28" t="n">
        <v>2021</v>
      </c>
      <c r="C28">
        <f>WEO_Data!B23</f>
        <v/>
      </c>
      <c r="F28">
        <f>LN(C28)</f>
        <v/>
      </c>
    </row>
    <row r="29">
      <c r="A29" t="n">
        <v>2022</v>
      </c>
      <c r="C29">
        <f>WEO_Data!B24</f>
        <v/>
      </c>
      <c r="F29">
        <f>LN(C29)</f>
        <v/>
      </c>
    </row>
    <row r="30">
      <c r="A30" t="n">
        <v>2023</v>
      </c>
      <c r="C30">
        <f>WEO_Data!B25</f>
        <v/>
      </c>
      <c r="F30">
        <f>LN(C30)</f>
        <v/>
      </c>
    </row>
    <row r="31"/>
    <row r="32">
      <c r="A32" s="5" t="inlineStr">
        <is>
          <t>Note: Run Solver on HP Filter before using projections below</t>
        </is>
      </c>
    </row>
    <row r="33">
      <c r="A33" s="11" t="inlineStr">
        <is>
          <t>Production Function Projections</t>
        </is>
      </c>
    </row>
    <row r="34">
      <c r="A34" t="inlineStr">
        <is>
          <t>Year</t>
        </is>
      </c>
      <c r="B34" t="inlineStr">
        <is>
          <t>Y (actual/proj)</t>
        </is>
      </c>
      <c r="C34" t="inlineStr">
        <is>
          <t>K/Y</t>
        </is>
      </c>
      <c r="D34" t="inlineStr">
        <is>
          <t>K_base</t>
        </is>
      </c>
      <c r="E34" t="inlineStr">
        <is>
          <t>LnZ_trend</t>
        </is>
      </c>
      <c r="F34" t="inlineStr">
        <is>
          <t>Ystar_base</t>
        </is>
      </c>
      <c r="G34" t="inlineStr">
        <is>
          <t>Investment_shock</t>
        </is>
      </c>
      <c r="H34" t="inlineStr">
        <is>
          <t>deltaK_shock</t>
        </is>
      </c>
      <c r="I34" t="inlineStr">
        <is>
          <t>K_with</t>
        </is>
      </c>
      <c r="J34" t="inlineStr">
        <is>
          <t>Ystar_with</t>
        </is>
      </c>
      <c r="K34" t="inlineStr">
        <is>
          <t>Delta_Y</t>
        </is>
      </c>
      <c r="L34" t="inlineStr">
        <is>
          <t>Delta_Y_pct</t>
        </is>
      </c>
    </row>
    <row r="35">
      <c r="B35" t="inlineStr">
        <is>
          <t>from WEO</t>
        </is>
      </c>
      <c r="C35" t="inlineStr">
        <is>
          <t>Ratio</t>
        </is>
      </c>
      <c r="D35" t="inlineStr">
        <is>
          <t>Baseline K</t>
        </is>
      </c>
      <c r="E35" t="inlineStr">
        <is>
          <t>TFP trend</t>
        </is>
      </c>
      <c r="F35" t="inlineStr">
        <is>
          <t>Potential GDP</t>
        </is>
      </c>
      <c r="G35" t="inlineStr">
        <is>
          <t>from Investment</t>
        </is>
      </c>
      <c r="H35" t="inlineStr">
        <is>
          <t>Change in K</t>
        </is>
      </c>
      <c r="I35" t="inlineStr">
        <is>
          <t>K with shock</t>
        </is>
      </c>
      <c r="J35" t="inlineStr">
        <is>
          <t>Potential with shock</t>
        </is>
      </c>
      <c r="K35" t="inlineStr">
        <is>
          <t>Difference</t>
        </is>
      </c>
      <c r="L35" t="inlineStr">
        <is>
          <t>% Difference</t>
        </is>
      </c>
    </row>
    <row r="36">
      <c r="A36" t="n">
        <v>2002</v>
      </c>
      <c r="B36">
        <f>WEO_Data!B4</f>
        <v/>
      </c>
      <c r="C36">
        <f>D9</f>
        <v/>
      </c>
      <c r="D36">
        <f>B9</f>
        <v/>
      </c>
      <c r="E36">
        <f>H9</f>
        <v/>
      </c>
      <c r="F36">
        <f>EXP(E36)*POWER(D36,$B$2)</f>
        <v/>
      </c>
      <c r="G36" t="n">
        <v>0</v>
      </c>
      <c r="H36" t="n">
        <v>0</v>
      </c>
      <c r="I36">
        <f>D36+H36</f>
        <v/>
      </c>
      <c r="J36">
        <f>EXP(E36)*POWER(I36,$B$2)</f>
        <v/>
      </c>
      <c r="K36">
        <f>J36-F36</f>
        <v/>
      </c>
      <c r="L36">
        <f>K36/F36*100</f>
        <v/>
      </c>
    </row>
    <row r="37">
      <c r="A37" t="n">
        <v>2003</v>
      </c>
      <c r="B37">
        <f>WEO_Data!B5</f>
        <v/>
      </c>
      <c r="C37">
        <f>D10</f>
        <v/>
      </c>
      <c r="D37">
        <f>B10</f>
        <v/>
      </c>
      <c r="E37">
        <f>H10</f>
        <v/>
      </c>
      <c r="F37">
        <f>EXP(E37)*POWER(D37,$B$2)</f>
        <v/>
      </c>
      <c r="G37" t="n">
        <v>0</v>
      </c>
      <c r="H37">
        <f>(1-$B$3)*H36 + G37</f>
        <v/>
      </c>
      <c r="I37">
        <f>D37+H37</f>
        <v/>
      </c>
      <c r="J37">
        <f>EXP(E37)*POWER(I37,$B$2)</f>
        <v/>
      </c>
      <c r="K37">
        <f>J37-F37</f>
        <v/>
      </c>
      <c r="L37">
        <f>K37/F37*100</f>
        <v/>
      </c>
    </row>
    <row r="38">
      <c r="A38" t="n">
        <v>2004</v>
      </c>
      <c r="B38">
        <f>WEO_Data!B6</f>
        <v/>
      </c>
      <c r="C38">
        <f>D11</f>
        <v/>
      </c>
      <c r="D38">
        <f>B11</f>
        <v/>
      </c>
      <c r="E38">
        <f>H11</f>
        <v/>
      </c>
      <c r="F38">
        <f>EXP(E38)*POWER(D38,$B$2)</f>
        <v/>
      </c>
      <c r="G38" t="n">
        <v>0</v>
      </c>
      <c r="H38">
        <f>(1-$B$3)*H37 + G38</f>
        <v/>
      </c>
      <c r="I38">
        <f>D38+H38</f>
        <v/>
      </c>
      <c r="J38">
        <f>EXP(E38)*POWER(I38,$B$2)</f>
        <v/>
      </c>
      <c r="K38">
        <f>J38-F38</f>
        <v/>
      </c>
      <c r="L38">
        <f>K38/F38*100</f>
        <v/>
      </c>
    </row>
    <row r="39">
      <c r="A39" t="n">
        <v>2005</v>
      </c>
      <c r="B39">
        <f>WEO_Data!B7</f>
        <v/>
      </c>
      <c r="C39">
        <f>D12</f>
        <v/>
      </c>
      <c r="D39">
        <f>B12</f>
        <v/>
      </c>
      <c r="E39">
        <f>H12</f>
        <v/>
      </c>
      <c r="F39">
        <f>EXP(E39)*POWER(D39,$B$2)</f>
        <v/>
      </c>
      <c r="G39" t="n">
        <v>0</v>
      </c>
      <c r="H39">
        <f>(1-$B$3)*H38 + G39</f>
        <v/>
      </c>
      <c r="I39">
        <f>D39+H39</f>
        <v/>
      </c>
      <c r="J39">
        <f>EXP(E39)*POWER(I39,$B$2)</f>
        <v/>
      </c>
      <c r="K39">
        <f>J39-F39</f>
        <v/>
      </c>
      <c r="L39">
        <f>K39/F39*100</f>
        <v/>
      </c>
    </row>
    <row r="40">
      <c r="A40" t="n">
        <v>2006</v>
      </c>
      <c r="B40">
        <f>WEO_Data!B8</f>
        <v/>
      </c>
      <c r="C40">
        <f>D13</f>
        <v/>
      </c>
      <c r="D40">
        <f>B13</f>
        <v/>
      </c>
      <c r="E40">
        <f>H13</f>
        <v/>
      </c>
      <c r="F40">
        <f>EXP(E40)*POWER(D40,$B$2)</f>
        <v/>
      </c>
      <c r="G40" t="n">
        <v>0</v>
      </c>
      <c r="H40">
        <f>(1-$B$3)*H39 + G40</f>
        <v/>
      </c>
      <c r="I40">
        <f>D40+H40</f>
        <v/>
      </c>
      <c r="J40">
        <f>EXP(E40)*POWER(I40,$B$2)</f>
        <v/>
      </c>
      <c r="K40">
        <f>J40-F40</f>
        <v/>
      </c>
      <c r="L40">
        <f>K40/F40*100</f>
        <v/>
      </c>
    </row>
    <row r="41">
      <c r="A41" t="n">
        <v>2007</v>
      </c>
      <c r="B41">
        <f>WEO_Data!B9</f>
        <v/>
      </c>
      <c r="C41">
        <f>D14</f>
        <v/>
      </c>
      <c r="D41">
        <f>B14</f>
        <v/>
      </c>
      <c r="E41">
        <f>H14</f>
        <v/>
      </c>
      <c r="F41">
        <f>EXP(E41)*POWER(D41,$B$2)</f>
        <v/>
      </c>
      <c r="G41" t="n">
        <v>0</v>
      </c>
      <c r="H41">
        <f>(1-$B$3)*H40 + G41</f>
        <v/>
      </c>
      <c r="I41">
        <f>D41+H41</f>
        <v/>
      </c>
      <c r="J41">
        <f>EXP(E41)*POWER(I41,$B$2)</f>
        <v/>
      </c>
      <c r="K41">
        <f>J41-F41</f>
        <v/>
      </c>
      <c r="L41">
        <f>K41/F41*100</f>
        <v/>
      </c>
    </row>
    <row r="42">
      <c r="A42" t="n">
        <v>2008</v>
      </c>
      <c r="B42">
        <f>WEO_Data!B10</f>
        <v/>
      </c>
      <c r="C42">
        <f>D15</f>
        <v/>
      </c>
      <c r="D42">
        <f>B15</f>
        <v/>
      </c>
      <c r="E42">
        <f>H15</f>
        <v/>
      </c>
      <c r="F42">
        <f>EXP(E42)*POWER(D42,$B$2)</f>
        <v/>
      </c>
      <c r="G42" t="n">
        <v>0</v>
      </c>
      <c r="H42">
        <f>(1-$B$3)*H41 + G42</f>
        <v/>
      </c>
      <c r="I42">
        <f>D42+H42</f>
        <v/>
      </c>
      <c r="J42">
        <f>EXP(E42)*POWER(I42,$B$2)</f>
        <v/>
      </c>
      <c r="K42">
        <f>J42-F42</f>
        <v/>
      </c>
      <c r="L42">
        <f>K42/F42*100</f>
        <v/>
      </c>
    </row>
    <row r="43">
      <c r="A43" t="n">
        <v>2009</v>
      </c>
      <c r="B43">
        <f>WEO_Data!B11</f>
        <v/>
      </c>
      <c r="C43">
        <f>D16</f>
        <v/>
      </c>
      <c r="D43">
        <f>B16</f>
        <v/>
      </c>
      <c r="E43">
        <f>H16</f>
        <v/>
      </c>
      <c r="F43">
        <f>EXP(E43)*POWER(D43,$B$2)</f>
        <v/>
      </c>
      <c r="G43" t="n">
        <v>0</v>
      </c>
      <c r="H43">
        <f>(1-$B$3)*H42 + G43</f>
        <v/>
      </c>
      <c r="I43">
        <f>D43+H43</f>
        <v/>
      </c>
      <c r="J43">
        <f>EXP(E43)*POWER(I43,$B$2)</f>
        <v/>
      </c>
      <c r="K43">
        <f>J43-F43</f>
        <v/>
      </c>
      <c r="L43">
        <f>K43/F43*100</f>
        <v/>
      </c>
    </row>
    <row r="44">
      <c r="A44" t="n">
        <v>2010</v>
      </c>
      <c r="B44">
        <f>WEO_Data!B12</f>
        <v/>
      </c>
      <c r="C44">
        <f>D17</f>
        <v/>
      </c>
      <c r="D44">
        <f>B17</f>
        <v/>
      </c>
      <c r="E44">
        <f>H17</f>
        <v/>
      </c>
      <c r="F44">
        <f>EXP(E44)*POWER(D44,$B$2)</f>
        <v/>
      </c>
      <c r="G44" t="n">
        <v>0</v>
      </c>
      <c r="H44">
        <f>(1-$B$3)*H43 + G44</f>
        <v/>
      </c>
      <c r="I44">
        <f>D44+H44</f>
        <v/>
      </c>
      <c r="J44">
        <f>EXP(E44)*POWER(I44,$B$2)</f>
        <v/>
      </c>
      <c r="K44">
        <f>J44-F44</f>
        <v/>
      </c>
      <c r="L44">
        <f>K44/F44*100</f>
        <v/>
      </c>
    </row>
    <row r="45">
      <c r="A45" t="n">
        <v>2011</v>
      </c>
      <c r="B45">
        <f>WEO_Data!B13</f>
        <v/>
      </c>
      <c r="C45">
        <f>D18</f>
        <v/>
      </c>
      <c r="D45">
        <f>B18</f>
        <v/>
      </c>
      <c r="E45">
        <f>H18</f>
        <v/>
      </c>
      <c r="F45">
        <f>EXP(E45)*POWER(D45,$B$2)</f>
        <v/>
      </c>
      <c r="G45" t="n">
        <v>0</v>
      </c>
      <c r="H45">
        <f>(1-$B$3)*H44 + G45</f>
        <v/>
      </c>
      <c r="I45">
        <f>D45+H45</f>
        <v/>
      </c>
      <c r="J45">
        <f>EXP(E45)*POWER(I45,$B$2)</f>
        <v/>
      </c>
      <c r="K45">
        <f>J45-F45</f>
        <v/>
      </c>
      <c r="L45">
        <f>K45/F45*100</f>
        <v/>
      </c>
    </row>
    <row r="46">
      <c r="A46" t="n">
        <v>2012</v>
      </c>
      <c r="B46">
        <f>WEO_Data!B14</f>
        <v/>
      </c>
      <c r="C46">
        <f>D19</f>
        <v/>
      </c>
      <c r="D46">
        <f>B19</f>
        <v/>
      </c>
      <c r="E46">
        <f>H19</f>
        <v/>
      </c>
      <c r="F46">
        <f>EXP(E46)*POWER(D46,$B$2)</f>
        <v/>
      </c>
      <c r="G46" t="n">
        <v>0</v>
      </c>
      <c r="H46">
        <f>(1-$B$3)*H45 + G46</f>
        <v/>
      </c>
      <c r="I46">
        <f>D46+H46</f>
        <v/>
      </c>
      <c r="J46">
        <f>EXP(E46)*POWER(I46,$B$2)</f>
        <v/>
      </c>
      <c r="K46">
        <f>J46-F46</f>
        <v/>
      </c>
      <c r="L46">
        <f>K46/F46*100</f>
        <v/>
      </c>
    </row>
    <row r="47">
      <c r="A47" t="n">
        <v>2013</v>
      </c>
      <c r="B47">
        <f>WEO_Data!B15</f>
        <v/>
      </c>
      <c r="C47">
        <f>D20</f>
        <v/>
      </c>
      <c r="D47">
        <f>B20</f>
        <v/>
      </c>
      <c r="E47">
        <f>H20</f>
        <v/>
      </c>
      <c r="F47">
        <f>EXP(E47)*POWER(D47,$B$2)</f>
        <v/>
      </c>
      <c r="G47" t="n">
        <v>0</v>
      </c>
      <c r="H47">
        <f>(1-$B$3)*H46 + G47</f>
        <v/>
      </c>
      <c r="I47">
        <f>D47+H47</f>
        <v/>
      </c>
      <c r="J47">
        <f>EXP(E47)*POWER(I47,$B$2)</f>
        <v/>
      </c>
      <c r="K47">
        <f>J47-F47</f>
        <v/>
      </c>
      <c r="L47">
        <f>K47/F47*100</f>
        <v/>
      </c>
    </row>
    <row r="48">
      <c r="A48" t="n">
        <v>2014</v>
      </c>
      <c r="B48">
        <f>WEO_Data!B16</f>
        <v/>
      </c>
      <c r="C48">
        <f>D21</f>
        <v/>
      </c>
      <c r="D48">
        <f>B21</f>
        <v/>
      </c>
      <c r="E48">
        <f>H21</f>
        <v/>
      </c>
      <c r="F48">
        <f>EXP(E48)*POWER(D48,$B$2)</f>
        <v/>
      </c>
      <c r="G48" t="n">
        <v>0</v>
      </c>
      <c r="H48">
        <f>(1-$B$3)*H47 + G48</f>
        <v/>
      </c>
      <c r="I48">
        <f>D48+H48</f>
        <v/>
      </c>
      <c r="J48">
        <f>EXP(E48)*POWER(I48,$B$2)</f>
        <v/>
      </c>
      <c r="K48">
        <f>J48-F48</f>
        <v/>
      </c>
      <c r="L48">
        <f>K48/F48*100</f>
        <v/>
      </c>
    </row>
    <row r="49">
      <c r="A49" t="n">
        <v>2015</v>
      </c>
      <c r="B49">
        <f>WEO_Data!B17</f>
        <v/>
      </c>
      <c r="C49">
        <f>D22</f>
        <v/>
      </c>
      <c r="D49">
        <f>B22</f>
        <v/>
      </c>
      <c r="E49">
        <f>H22</f>
        <v/>
      </c>
      <c r="F49">
        <f>EXP(E49)*POWER(D49,$B$2)</f>
        <v/>
      </c>
      <c r="G49" t="n">
        <v>0</v>
      </c>
      <c r="H49">
        <f>(1-$B$3)*H48 + G49</f>
        <v/>
      </c>
      <c r="I49">
        <f>D49+H49</f>
        <v/>
      </c>
      <c r="J49">
        <f>EXP(E49)*POWER(I49,$B$2)</f>
        <v/>
      </c>
      <c r="K49">
        <f>J49-F49</f>
        <v/>
      </c>
      <c r="L49">
        <f>K49/F49*100</f>
        <v/>
      </c>
    </row>
    <row r="50">
      <c r="A50" t="n">
        <v>2016</v>
      </c>
      <c r="B50">
        <f>WEO_Data!B18</f>
        <v/>
      </c>
      <c r="C50">
        <f>D23</f>
        <v/>
      </c>
      <c r="D50">
        <f>B23</f>
        <v/>
      </c>
      <c r="E50">
        <f>H23</f>
        <v/>
      </c>
      <c r="F50">
        <f>EXP(E50)*POWER(D50,$B$2)</f>
        <v/>
      </c>
      <c r="G50" t="n">
        <v>0</v>
      </c>
      <c r="H50">
        <f>(1-$B$3)*H49 + G50</f>
        <v/>
      </c>
      <c r="I50">
        <f>D50+H50</f>
        <v/>
      </c>
      <c r="J50">
        <f>EXP(E50)*POWER(I50,$B$2)</f>
        <v/>
      </c>
      <c r="K50">
        <f>J50-F50</f>
        <v/>
      </c>
      <c r="L50">
        <f>K50/F50*100</f>
        <v/>
      </c>
    </row>
    <row r="51">
      <c r="A51" t="n">
        <v>2017</v>
      </c>
      <c r="B51">
        <f>WEO_Data!B19</f>
        <v/>
      </c>
      <c r="C51">
        <f>D24</f>
        <v/>
      </c>
      <c r="D51">
        <f>B24</f>
        <v/>
      </c>
      <c r="E51">
        <f>H24</f>
        <v/>
      </c>
      <c r="F51">
        <f>EXP(E51)*POWER(D51,$B$2)</f>
        <v/>
      </c>
      <c r="G51" t="n">
        <v>0</v>
      </c>
      <c r="H51">
        <f>(1-$B$3)*H50 + G51</f>
        <v/>
      </c>
      <c r="I51">
        <f>D51+H51</f>
        <v/>
      </c>
      <c r="J51">
        <f>EXP(E51)*POWER(I51,$B$2)</f>
        <v/>
      </c>
      <c r="K51">
        <f>J51-F51</f>
        <v/>
      </c>
      <c r="L51">
        <f>K51/F51*100</f>
        <v/>
      </c>
    </row>
    <row r="52">
      <c r="A52" t="n">
        <v>2018</v>
      </c>
      <c r="B52">
        <f>WEO_Data!B20</f>
        <v/>
      </c>
      <c r="C52">
        <f>D25</f>
        <v/>
      </c>
      <c r="D52">
        <f>B25</f>
        <v/>
      </c>
      <c r="E52">
        <f>H25</f>
        <v/>
      </c>
      <c r="F52">
        <f>EXP(E52)*POWER(D52,$B$2)</f>
        <v/>
      </c>
      <c r="G52" t="n">
        <v>0</v>
      </c>
      <c r="H52">
        <f>(1-$B$3)*H51 + G52</f>
        <v/>
      </c>
      <c r="I52">
        <f>D52+H52</f>
        <v/>
      </c>
      <c r="J52">
        <f>EXP(E52)*POWER(I52,$B$2)</f>
        <v/>
      </c>
      <c r="K52">
        <f>J52-F52</f>
        <v/>
      </c>
      <c r="L52">
        <f>K52/F52*100</f>
        <v/>
      </c>
    </row>
    <row r="53">
      <c r="A53" t="n">
        <v>2019</v>
      </c>
      <c r="B53">
        <f>WEO_Data!B21</f>
        <v/>
      </c>
      <c r="C53">
        <f>D26</f>
        <v/>
      </c>
      <c r="D53">
        <f>B26</f>
        <v/>
      </c>
      <c r="E53">
        <f>H26</f>
        <v/>
      </c>
      <c r="F53">
        <f>EXP(E53)*POWER(D53,$B$2)</f>
        <v/>
      </c>
      <c r="G53" t="n">
        <v>0</v>
      </c>
      <c r="H53">
        <f>(1-$B$3)*H52 + G53</f>
        <v/>
      </c>
      <c r="I53">
        <f>D53+H53</f>
        <v/>
      </c>
      <c r="J53">
        <f>EXP(E53)*POWER(I53,$B$2)</f>
        <v/>
      </c>
      <c r="K53">
        <f>J53-F53</f>
        <v/>
      </c>
      <c r="L53">
        <f>K53/F53*100</f>
        <v/>
      </c>
    </row>
    <row r="54">
      <c r="A54" t="n">
        <v>2020</v>
      </c>
      <c r="B54">
        <f>WEO_Data!B22</f>
        <v/>
      </c>
      <c r="C54">
        <f>D27</f>
        <v/>
      </c>
      <c r="D54">
        <f>B27</f>
        <v/>
      </c>
      <c r="E54">
        <f>H27</f>
        <v/>
      </c>
      <c r="F54">
        <f>EXP(E54)*POWER(D54,$B$2)</f>
        <v/>
      </c>
      <c r="G54" t="n">
        <v>0</v>
      </c>
      <c r="H54">
        <f>(1-$B$3)*H53 + G54</f>
        <v/>
      </c>
      <c r="I54">
        <f>D54+H54</f>
        <v/>
      </c>
      <c r="J54">
        <f>EXP(E54)*POWER(I54,$B$2)</f>
        <v/>
      </c>
      <c r="K54">
        <f>J54-F54</f>
        <v/>
      </c>
      <c r="L54">
        <f>K54/F54*100</f>
        <v/>
      </c>
    </row>
    <row r="55">
      <c r="A55" t="n">
        <v>2021</v>
      </c>
      <c r="B55">
        <f>WEO_Data!B23</f>
        <v/>
      </c>
      <c r="C55">
        <f>D28</f>
        <v/>
      </c>
      <c r="D55">
        <f>B28</f>
        <v/>
      </c>
      <c r="E55">
        <f>H28</f>
        <v/>
      </c>
      <c r="F55">
        <f>EXP(E55)*POWER(D55,$B$2)</f>
        <v/>
      </c>
      <c r="G55" t="n">
        <v>0</v>
      </c>
      <c r="H55">
        <f>(1-$B$3)*H54 + G55</f>
        <v/>
      </c>
      <c r="I55">
        <f>D55+H55</f>
        <v/>
      </c>
      <c r="J55">
        <f>EXP(E55)*POWER(I55,$B$2)</f>
        <v/>
      </c>
      <c r="K55">
        <f>J55-F55</f>
        <v/>
      </c>
      <c r="L55">
        <f>K55/F55*100</f>
        <v/>
      </c>
    </row>
    <row r="56">
      <c r="A56" t="n">
        <v>2022</v>
      </c>
      <c r="B56">
        <f>WEO_Data!B24</f>
        <v/>
      </c>
      <c r="C56">
        <f>D29</f>
        <v/>
      </c>
      <c r="D56">
        <f>B29</f>
        <v/>
      </c>
      <c r="E56">
        <f>H29</f>
        <v/>
      </c>
      <c r="F56">
        <f>EXP(E56)*POWER(D56,$B$2)</f>
        <v/>
      </c>
      <c r="G56" t="n">
        <v>0</v>
      </c>
      <c r="H56">
        <f>(1-$B$3)*H55 + G56</f>
        <v/>
      </c>
      <c r="I56">
        <f>D56+H56</f>
        <v/>
      </c>
      <c r="J56">
        <f>EXP(E56)*POWER(I56,$B$2)</f>
        <v/>
      </c>
      <c r="K56">
        <f>J56-F56</f>
        <v/>
      </c>
      <c r="L56">
        <f>K56/F56*100</f>
        <v/>
      </c>
    </row>
    <row r="57">
      <c r="A57" t="n">
        <v>2023</v>
      </c>
      <c r="B57">
        <f>WEO_Data!B25</f>
        <v/>
      </c>
      <c r="C57">
        <f>D30</f>
        <v/>
      </c>
      <c r="D57">
        <f>B30</f>
        <v/>
      </c>
      <c r="E57">
        <f>H30</f>
        <v/>
      </c>
      <c r="F57">
        <f>EXP(E57)*POWER(D57,$B$2)</f>
        <v/>
      </c>
      <c r="G57" t="n">
        <v>0</v>
      </c>
      <c r="H57">
        <f>(1-$B$3)*H56 + G57</f>
        <v/>
      </c>
      <c r="I57">
        <f>D57+H57</f>
        <v/>
      </c>
      <c r="J57">
        <f>EXP(E57)*POWER(I57,$B$2)</f>
        <v/>
      </c>
      <c r="K57">
        <f>J57-F57</f>
        <v/>
      </c>
      <c r="L57">
        <f>K57/F57*100</f>
        <v/>
      </c>
    </row>
    <row r="58">
      <c r="A58" t="n">
        <v>2024</v>
      </c>
      <c r="B58">
        <f>WEO_Data!B26</f>
        <v/>
      </c>
      <c r="D58">
        <f>B58*$B$4</f>
        <v/>
      </c>
      <c r="E58">
        <f>TREND($E$36:$E$57,ROW($E$36:$E$57),ROW())</f>
        <v/>
      </c>
      <c r="F58">
        <f>EXP(E58)*POWER(D58,$B$2)</f>
        <v/>
      </c>
      <c r="G58">
        <f>Investment!B2</f>
        <v/>
      </c>
      <c r="H58">
        <f>(1-$B$3)*H57 + G58</f>
        <v/>
      </c>
      <c r="I58">
        <f>D58+H58</f>
        <v/>
      </c>
      <c r="J58">
        <f>EXP(E58)*POWER(I58,$B$2)</f>
        <v/>
      </c>
      <c r="K58">
        <f>J58-F58</f>
        <v/>
      </c>
      <c r="L58">
        <f>K58/F58*100</f>
        <v/>
      </c>
    </row>
    <row r="59">
      <c r="A59" t="n">
        <v>2025</v>
      </c>
      <c r="B59">
        <f>WEO_Data!B27</f>
        <v/>
      </c>
      <c r="D59">
        <f>(1-$B$3)*D58 + (B59*$B$4 - (1-$B$3)*D58)</f>
        <v/>
      </c>
      <c r="E59">
        <f>TREND($E$36:$E$57,ROW($E$36:$E$57),ROW())</f>
        <v/>
      </c>
      <c r="F59">
        <f>EXP(E59)*POWER(D59,$B$2)</f>
        <v/>
      </c>
      <c r="G59">
        <f>Investment!B3</f>
        <v/>
      </c>
      <c r="H59">
        <f>(1-$B$3)*H58 + G59</f>
        <v/>
      </c>
      <c r="I59">
        <f>D59+H59</f>
        <v/>
      </c>
      <c r="J59">
        <f>EXP(E59)*POWER(I59,$B$2)</f>
        <v/>
      </c>
      <c r="K59">
        <f>J59-F59</f>
        <v/>
      </c>
      <c r="L59">
        <f>K59/F59*100</f>
        <v/>
      </c>
    </row>
    <row r="60">
      <c r="A60" t="n">
        <v>2026</v>
      </c>
      <c r="B60">
        <f>WEO_Data!B28</f>
        <v/>
      </c>
      <c r="D60">
        <f>(1-$B$3)*D59 + (B60*$B$4 - (1-$B$3)*D59)</f>
        <v/>
      </c>
      <c r="E60">
        <f>TREND($E$36:$E$57,ROW($E$36:$E$57),ROW())</f>
        <v/>
      </c>
      <c r="F60">
        <f>EXP(E60)*POWER(D60,$B$2)</f>
        <v/>
      </c>
      <c r="G60">
        <f>Investment!B4</f>
        <v/>
      </c>
      <c r="H60">
        <f>(1-$B$3)*H59 + G60</f>
        <v/>
      </c>
      <c r="I60">
        <f>D60+H60</f>
        <v/>
      </c>
      <c r="J60">
        <f>EXP(E60)*POWER(I60,$B$2)</f>
        <v/>
      </c>
      <c r="K60">
        <f>J60-F60</f>
        <v/>
      </c>
      <c r="L60">
        <f>K60/F60*100</f>
        <v/>
      </c>
    </row>
    <row r="61">
      <c r="A61" t="n">
        <v>2027</v>
      </c>
      <c r="B61">
        <f>WEO_Data!B29</f>
        <v/>
      </c>
      <c r="D61">
        <f>(1-$B$3)*D60 + (B61*$B$4 - (1-$B$3)*D60)</f>
        <v/>
      </c>
      <c r="E61">
        <f>TREND($E$36:$E$57,ROW($E$36:$E$57),ROW())</f>
        <v/>
      </c>
      <c r="F61">
        <f>EXP(E61)*POWER(D61,$B$2)</f>
        <v/>
      </c>
      <c r="G61">
        <f>Investment!B5</f>
        <v/>
      </c>
      <c r="H61">
        <f>(1-$B$3)*H60 + G61</f>
        <v/>
      </c>
      <c r="I61">
        <f>D61+H61</f>
        <v/>
      </c>
      <c r="J61">
        <f>EXP(E61)*POWER(I61,$B$2)</f>
        <v/>
      </c>
      <c r="K61">
        <f>J61-F61</f>
        <v/>
      </c>
      <c r="L61">
        <f>K61/F61*100</f>
        <v/>
      </c>
    </row>
    <row r="62">
      <c r="A62" t="n">
        <v>2028</v>
      </c>
      <c r="B62">
        <f>WEO_Data!B30</f>
        <v/>
      </c>
      <c r="D62">
        <f>(1-$B$3)*D61 + (B62*$B$4 - (1-$B$3)*D61)</f>
        <v/>
      </c>
      <c r="E62">
        <f>TREND($E$36:$E$57,ROW($E$36:$E$57),ROW())</f>
        <v/>
      </c>
      <c r="F62">
        <f>EXP(E62)*POWER(D62,$B$2)</f>
        <v/>
      </c>
      <c r="G62">
        <f>Investment!B6</f>
        <v/>
      </c>
      <c r="H62">
        <f>(1-$B$3)*H61 + G62</f>
        <v/>
      </c>
      <c r="I62">
        <f>D62+H62</f>
        <v/>
      </c>
      <c r="J62">
        <f>EXP(E62)*POWER(I62,$B$2)</f>
        <v/>
      </c>
      <c r="K62">
        <f>J62-F62</f>
        <v/>
      </c>
      <c r="L62">
        <f>K62/F62*100</f>
        <v/>
      </c>
    </row>
    <row r="63">
      <c r="A63" t="n">
        <v>2029</v>
      </c>
      <c r="B63">
        <f>WEO_Data!B31</f>
        <v/>
      </c>
      <c r="D63">
        <f>(1-$B$3)*D62 + (B63*$B$4 - (1-$B$3)*D62)</f>
        <v/>
      </c>
      <c r="E63">
        <f>TREND($E$36:$E$57,ROW($E$36:$E$57),ROW())</f>
        <v/>
      </c>
      <c r="F63">
        <f>EXP(E63)*POWER(D63,$B$2)</f>
        <v/>
      </c>
      <c r="G63">
        <f>Investment!B7</f>
        <v/>
      </c>
      <c r="H63">
        <f>(1-$B$3)*H62 + G63</f>
        <v/>
      </c>
      <c r="I63">
        <f>D63+H63</f>
        <v/>
      </c>
      <c r="J63">
        <f>EXP(E63)*POWER(I63,$B$2)</f>
        <v/>
      </c>
      <c r="K63">
        <f>J63-F63</f>
        <v/>
      </c>
      <c r="L63">
        <f>K63/F63*100</f>
        <v/>
      </c>
    </row>
    <row r="64">
      <c r="A64" t="n">
        <v>2030</v>
      </c>
      <c r="B64">
        <f>WEO_Data!B32</f>
        <v/>
      </c>
      <c r="D64">
        <f>(1-$B$3)*D63 + (B64*$B$4 - (1-$B$3)*D63)</f>
        <v/>
      </c>
      <c r="E64">
        <f>TREND($E$36:$E$57,ROW($E$36:$E$57),ROW())</f>
        <v/>
      </c>
      <c r="F64">
        <f>EXP(E64)*POWER(D64,$B$2)</f>
        <v/>
      </c>
      <c r="G64">
        <f>Investment!B8</f>
        <v/>
      </c>
      <c r="H64">
        <f>(1-$B$3)*H63 + G64</f>
        <v/>
      </c>
      <c r="I64">
        <f>D64+H64</f>
        <v/>
      </c>
      <c r="J64">
        <f>EXP(E64)*POWER(I64,$B$2)</f>
        <v/>
      </c>
      <c r="K64">
        <f>J64-F64</f>
        <v/>
      </c>
      <c r="L64">
        <f>K64/F64*100</f>
        <v/>
      </c>
    </row>
    <row r="65">
      <c r="A65" t="n">
        <v>2031</v>
      </c>
      <c r="B65">
        <f>WEO_Data!B33</f>
        <v/>
      </c>
      <c r="D65">
        <f>(1-$B$3)*D64 + (B65*$B$4 - (1-$B$3)*D64)</f>
        <v/>
      </c>
      <c r="E65">
        <f>TREND($E$36:$E$57,ROW($E$36:$E$57),ROW())</f>
        <v/>
      </c>
      <c r="F65">
        <f>EXP(E65)*POWER(D65,$B$2)</f>
        <v/>
      </c>
      <c r="G65">
        <f>Investment!B9</f>
        <v/>
      </c>
      <c r="H65">
        <f>(1-$B$3)*H64 + G65</f>
        <v/>
      </c>
      <c r="I65">
        <f>D65+H65</f>
        <v/>
      </c>
      <c r="J65">
        <f>EXP(E65)*POWER(I65,$B$2)</f>
        <v/>
      </c>
      <c r="K65">
        <f>J65-F65</f>
        <v/>
      </c>
      <c r="L65">
        <f>K65/F65*100</f>
        <v/>
      </c>
    </row>
    <row r="66">
      <c r="A66" t="n">
        <v>2032</v>
      </c>
      <c r="B66">
        <f>WEO_Data!B34</f>
        <v/>
      </c>
      <c r="D66">
        <f>(1-$B$3)*D65 + (B66*$B$4 - (1-$B$3)*D65)</f>
        <v/>
      </c>
      <c r="E66">
        <f>TREND($E$36:$E$57,ROW($E$36:$E$57),ROW())</f>
        <v/>
      </c>
      <c r="F66">
        <f>EXP(E66)*POWER(D66,$B$2)</f>
        <v/>
      </c>
      <c r="G66">
        <f>Investment!B10</f>
        <v/>
      </c>
      <c r="H66">
        <f>(1-$B$3)*H65 + G66</f>
        <v/>
      </c>
      <c r="I66">
        <f>D66+H66</f>
        <v/>
      </c>
      <c r="J66">
        <f>EXP(E66)*POWER(I66,$B$2)</f>
        <v/>
      </c>
      <c r="K66">
        <f>J66-F66</f>
        <v/>
      </c>
      <c r="L66">
        <f>K66/F66*100</f>
        <v/>
      </c>
    </row>
    <row r="67">
      <c r="A67" t="n">
        <v>2033</v>
      </c>
      <c r="B67">
        <f>WEO_Data!B35</f>
        <v/>
      </c>
      <c r="D67">
        <f>(1-$B$3)*D66 + (B67*$B$4 - (1-$B$3)*D66)</f>
        <v/>
      </c>
      <c r="E67">
        <f>TREND($E$36:$E$57,ROW($E$36:$E$57),ROW())</f>
        <v/>
      </c>
      <c r="F67">
        <f>EXP(E67)*POWER(D67,$B$2)</f>
        <v/>
      </c>
      <c r="G67">
        <f>Investment!B11</f>
        <v/>
      </c>
      <c r="H67">
        <f>(1-$B$3)*H66 + G67</f>
        <v/>
      </c>
      <c r="I67">
        <f>D67+H67</f>
        <v/>
      </c>
      <c r="J67">
        <f>EXP(E67)*POWER(I67,$B$2)</f>
        <v/>
      </c>
      <c r="K67">
        <f>J67-F67</f>
        <v/>
      </c>
      <c r="L67">
        <f>K67/F67*100</f>
        <v/>
      </c>
    </row>
    <row r="68">
      <c r="A68" t="n">
        <v>2034</v>
      </c>
      <c r="B68">
        <f>WEO_Data!B36</f>
        <v/>
      </c>
      <c r="D68">
        <f>(1-$B$3)*D67 + (B68*$B$4 - (1-$B$3)*D67)</f>
        <v/>
      </c>
      <c r="E68">
        <f>TREND($E$36:$E$57,ROW($E$36:$E$57),ROW())</f>
        <v/>
      </c>
      <c r="F68">
        <f>EXP(E68)*POWER(D68,$B$2)</f>
        <v/>
      </c>
      <c r="G68">
        <f>Investment!B12</f>
        <v/>
      </c>
      <c r="H68">
        <f>(1-$B$3)*H67 + G68</f>
        <v/>
      </c>
      <c r="I68">
        <f>D68+H68</f>
        <v/>
      </c>
      <c r="J68">
        <f>EXP(E68)*POWER(I68,$B$2)</f>
        <v/>
      </c>
      <c r="K68">
        <f>J68-F68</f>
        <v/>
      </c>
      <c r="L68">
        <f>K68/F68*100</f>
        <v/>
      </c>
    </row>
    <row r="69">
      <c r="A69" t="n">
        <v>2035</v>
      </c>
      <c r="B69">
        <f>WEO_Data!B37</f>
        <v/>
      </c>
      <c r="D69">
        <f>(1-$B$3)*D68 + (B69*$B$4 - (1-$B$3)*D68)</f>
        <v/>
      </c>
      <c r="E69">
        <f>TREND($E$36:$E$57,ROW($E$36:$E$57),ROW())</f>
        <v/>
      </c>
      <c r="F69">
        <f>EXP(E69)*POWER(D69,$B$2)</f>
        <v/>
      </c>
      <c r="G69">
        <f>Investment!B13</f>
        <v/>
      </c>
      <c r="H69">
        <f>(1-$B$3)*H68 + G69</f>
        <v/>
      </c>
      <c r="I69">
        <f>D69+H69</f>
        <v/>
      </c>
      <c r="J69">
        <f>EXP(E69)*POWER(I69,$B$2)</f>
        <v/>
      </c>
      <c r="K69">
        <f>J69-F69</f>
        <v/>
      </c>
      <c r="L69">
        <f>K69/F69*100</f>
        <v/>
      </c>
    </row>
    <row r="70">
      <c r="A70" t="n">
        <v>2036</v>
      </c>
      <c r="B70">
        <f>WEO_Data!B38</f>
        <v/>
      </c>
      <c r="D70">
        <f>(1-$B$3)*D69 + (B70*$B$4 - (1-$B$3)*D69)</f>
        <v/>
      </c>
      <c r="E70">
        <f>TREND($E$36:$E$57,ROW($E$36:$E$57),ROW())</f>
        <v/>
      </c>
      <c r="F70">
        <f>EXP(E70)*POWER(D70,$B$2)</f>
        <v/>
      </c>
      <c r="G70">
        <f>Investment!B14</f>
        <v/>
      </c>
      <c r="H70">
        <f>(1-$B$3)*H69 + G70</f>
        <v/>
      </c>
      <c r="I70">
        <f>D70+H70</f>
        <v/>
      </c>
      <c r="J70">
        <f>EXP(E70)*POWER(I70,$B$2)</f>
        <v/>
      </c>
      <c r="K70">
        <f>J70-F70</f>
        <v/>
      </c>
      <c r="L70">
        <f>K70/F70*100</f>
        <v/>
      </c>
    </row>
    <row r="71">
      <c r="A71" t="n">
        <v>2037</v>
      </c>
      <c r="B71">
        <f>WEO_Data!B39</f>
        <v/>
      </c>
      <c r="D71">
        <f>(1-$B$3)*D70 + (B71*$B$4 - (1-$B$3)*D70)</f>
        <v/>
      </c>
      <c r="E71">
        <f>TREND($E$36:$E$57,ROW($E$36:$E$57),ROW())</f>
        <v/>
      </c>
      <c r="F71">
        <f>EXP(E71)*POWER(D71,$B$2)</f>
        <v/>
      </c>
      <c r="G71">
        <f>Investment!B15</f>
        <v/>
      </c>
      <c r="H71">
        <f>(1-$B$3)*H70 + G71</f>
        <v/>
      </c>
      <c r="I71">
        <f>D71+H71</f>
        <v/>
      </c>
      <c r="J71">
        <f>EXP(E71)*POWER(I71,$B$2)</f>
        <v/>
      </c>
      <c r="K71">
        <f>J71-F71</f>
        <v/>
      </c>
      <c r="L71">
        <f>K71/F71*100</f>
        <v/>
      </c>
    </row>
    <row r="72">
      <c r="A72" t="n">
        <v>2038</v>
      </c>
      <c r="B72">
        <f>WEO_Data!B40</f>
        <v/>
      </c>
      <c r="D72">
        <f>(1-$B$3)*D71 + (B72*$B$4 - (1-$B$3)*D71)</f>
        <v/>
      </c>
      <c r="E72">
        <f>TREND($E$36:$E$57,ROW($E$36:$E$57),ROW())</f>
        <v/>
      </c>
      <c r="F72">
        <f>EXP(E72)*POWER(D72,$B$2)</f>
        <v/>
      </c>
      <c r="G72">
        <f>Investment!B16</f>
        <v/>
      </c>
      <c r="H72">
        <f>(1-$B$3)*H71 + G72</f>
        <v/>
      </c>
      <c r="I72">
        <f>D72+H72</f>
        <v/>
      </c>
      <c r="J72">
        <f>EXP(E72)*POWER(I72,$B$2)</f>
        <v/>
      </c>
      <c r="K72">
        <f>J72-F72</f>
        <v/>
      </c>
      <c r="L72">
        <f>K72/F72*100</f>
        <v/>
      </c>
    </row>
    <row r="73">
      <c r="A73" t="n">
        <v>2039</v>
      </c>
      <c r="B73">
        <f>WEO_Data!B41</f>
        <v/>
      </c>
      <c r="D73">
        <f>(1-$B$3)*D72 + (B73*$B$4 - (1-$B$3)*D72)</f>
        <v/>
      </c>
      <c r="E73">
        <f>TREND($E$36:$E$57,ROW($E$36:$E$57),ROW())</f>
        <v/>
      </c>
      <c r="F73">
        <f>EXP(E73)*POWER(D73,$B$2)</f>
        <v/>
      </c>
      <c r="G73">
        <f>Investment!B17</f>
        <v/>
      </c>
      <c r="H73">
        <f>(1-$B$3)*H72 + G73</f>
        <v/>
      </c>
      <c r="I73">
        <f>D73+H73</f>
        <v/>
      </c>
      <c r="J73">
        <f>EXP(E73)*POWER(I73,$B$2)</f>
        <v/>
      </c>
      <c r="K73">
        <f>J73-F73</f>
        <v/>
      </c>
      <c r="L73">
        <f>K73/F73*100</f>
        <v/>
      </c>
    </row>
    <row r="74">
      <c r="A74" t="n">
        <v>2040</v>
      </c>
      <c r="B74">
        <f>WEO_Data!B42</f>
        <v/>
      </c>
      <c r="D74">
        <f>(1-$B$3)*D73 + (B74*$B$4 - (1-$B$3)*D73)</f>
        <v/>
      </c>
      <c r="E74">
        <f>TREND($E$36:$E$57,ROW($E$36:$E$57),ROW())</f>
        <v/>
      </c>
      <c r="F74">
        <f>EXP(E74)*POWER(D74,$B$2)</f>
        <v/>
      </c>
      <c r="G74">
        <f>Investment!B18</f>
        <v/>
      </c>
      <c r="H74">
        <f>(1-$B$3)*H73 + G74</f>
        <v/>
      </c>
      <c r="I74">
        <f>D74+H74</f>
        <v/>
      </c>
      <c r="J74">
        <f>EXP(E74)*POWER(I74,$B$2)</f>
        <v/>
      </c>
      <c r="K74">
        <f>J74-F74</f>
        <v/>
      </c>
      <c r="L74">
        <f>K74/F74*100</f>
        <v/>
      </c>
    </row>
    <row r="75">
      <c r="A75" t="n">
        <v>2041</v>
      </c>
      <c r="B75">
        <f>WEO_Data!B43</f>
        <v/>
      </c>
      <c r="D75">
        <f>(1-$B$3)*D74 + (B75*$B$4 - (1-$B$3)*D74)</f>
        <v/>
      </c>
      <c r="E75">
        <f>TREND($E$36:$E$57,ROW($E$36:$E$57),ROW())</f>
        <v/>
      </c>
      <c r="F75">
        <f>EXP(E75)*POWER(D75,$B$2)</f>
        <v/>
      </c>
      <c r="G75">
        <f>Investment!B19</f>
        <v/>
      </c>
      <c r="H75">
        <f>(1-$B$3)*H74 + G75</f>
        <v/>
      </c>
      <c r="I75">
        <f>D75+H75</f>
        <v/>
      </c>
      <c r="J75">
        <f>EXP(E75)*POWER(I75,$B$2)</f>
        <v/>
      </c>
      <c r="K75">
        <f>J75-F75</f>
        <v/>
      </c>
      <c r="L75">
        <f>K75/F75*100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2026-01-29T06:59:10Z</dcterms:created>
  <dcterms:modified xsi:type="dcterms:W3CDTF">2026-01-29T07:02:46Z</dcterms:modified>
</cp:coreProperties>
</file>