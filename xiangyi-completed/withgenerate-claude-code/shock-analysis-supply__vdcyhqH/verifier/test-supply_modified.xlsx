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WT" sheetId="1" state="visible" r:id="rId1"/>
    <sheet name="WEO_Data" sheetId="2" state="visible" r:id="rId2"/>
    <sheet name="CFC data" sheetId="3" state="visible" r:id="rId3"/>
    <sheet name="Investment" sheetId="4" state="visible" r:id="rId4"/>
    <sheet name="Produ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4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Penn World Table 11.0 - Georgia Data</t>
        </is>
      </c>
    </row>
    <row r="3">
      <c r="A3" s="2" t="inlineStr">
        <is>
          <t>Year</t>
        </is>
      </c>
      <c r="B3" s="2" t="inlineStr">
        <is>
          <t>Capital Stock (K)</t>
        </is>
      </c>
      <c r="C3" s="2" t="inlineStr">
        <is>
          <t>Real GDP (Y)</t>
        </is>
      </c>
      <c r="D3" s="2" t="inlineStr">
        <is>
          <t>Labor Share</t>
        </is>
      </c>
      <c r="E3" s="2" t="inlineStr">
        <is>
          <t>Depreciation Rate (delta)</t>
        </is>
      </c>
    </row>
    <row r="4">
      <c r="A4" t="n">
        <v>2000</v>
      </c>
      <c r="B4" t="n">
        <v>300383.3125</v>
      </c>
      <c r="C4" t="n">
        <v>25425.16796875</v>
      </c>
      <c r="D4" t="n">
        <v>0.426979333162308</v>
      </c>
      <c r="E4" t="n">
        <v>0.031913548707962</v>
      </c>
    </row>
    <row r="5">
      <c r="A5" t="n">
        <v>2001</v>
      </c>
      <c r="B5" t="n">
        <v>302284.0625</v>
      </c>
      <c r="C5" t="n">
        <v>26646.9609375</v>
      </c>
      <c r="D5" t="n">
        <v>0.389131993055344</v>
      </c>
      <c r="E5" t="n">
        <v>0.0318191163241863</v>
      </c>
    </row>
    <row r="6">
      <c r="A6" t="n">
        <v>2002</v>
      </c>
      <c r="B6" t="n">
        <v>303592.625</v>
      </c>
      <c r="C6" t="n">
        <v>28105.572265625</v>
      </c>
      <c r="D6" t="n">
        <v>0.317676365375519</v>
      </c>
      <c r="E6" t="n">
        <v>0.0315976105630398</v>
      </c>
    </row>
    <row r="7">
      <c r="A7" t="n">
        <v>2003</v>
      </c>
      <c r="B7" t="n">
        <v>307310.28125</v>
      </c>
      <c r="C7" t="n">
        <v>31213.515625</v>
      </c>
      <c r="D7" t="n">
        <v>0.236238181591034</v>
      </c>
      <c r="E7" t="n">
        <v>0.0312637500464916</v>
      </c>
    </row>
    <row r="8">
      <c r="A8" t="n">
        <v>2004</v>
      </c>
      <c r="B8" t="n">
        <v>311984.28125</v>
      </c>
      <c r="C8" t="n">
        <v>33022.64453125</v>
      </c>
      <c r="D8" t="n">
        <v>0.216802850365639</v>
      </c>
      <c r="E8" t="n">
        <v>0.0316877923905849</v>
      </c>
    </row>
    <row r="9">
      <c r="A9" t="n">
        <v>2005</v>
      </c>
      <c r="B9" t="n">
        <v>317837.8125</v>
      </c>
      <c r="C9" t="n">
        <v>36188.953125</v>
      </c>
      <c r="D9" t="n">
        <v>0.222547188401222</v>
      </c>
      <c r="E9" t="n">
        <v>0.0329389497637749</v>
      </c>
    </row>
    <row r="10">
      <c r="A10" t="n">
        <v>2006</v>
      </c>
      <c r="B10" t="n">
        <v>322943.65625</v>
      </c>
      <c r="C10" t="n">
        <v>39598.22265625</v>
      </c>
      <c r="D10" t="n">
        <v>0.20620222389698</v>
      </c>
      <c r="E10" t="n">
        <v>0.0344443172216415</v>
      </c>
    </row>
    <row r="11">
      <c r="A11" t="n">
        <v>2007</v>
      </c>
      <c r="B11" t="n">
        <v>329445.875</v>
      </c>
      <c r="C11" t="n">
        <v>44579.19140625</v>
      </c>
      <c r="D11" t="n">
        <v>0.236618474125862</v>
      </c>
      <c r="E11" t="n">
        <v>0.0360632352530956</v>
      </c>
    </row>
    <row r="12">
      <c r="A12" t="n">
        <v>2008</v>
      </c>
      <c r="B12" t="n">
        <v>332604.46875</v>
      </c>
      <c r="C12" t="n">
        <v>45657.16015625</v>
      </c>
      <c r="D12" t="n">
        <v>0.28689768910408</v>
      </c>
      <c r="E12" t="n">
        <v>0.0373382940888405</v>
      </c>
    </row>
    <row r="13">
      <c r="A13" t="n">
        <v>2009</v>
      </c>
      <c r="B13" t="n">
        <v>330608.28125</v>
      </c>
      <c r="C13" t="n">
        <v>43990.6328125</v>
      </c>
      <c r="D13" t="n">
        <v>0.362254530191422</v>
      </c>
      <c r="E13" t="n">
        <v>0.0375244617462158</v>
      </c>
    </row>
    <row r="14">
      <c r="A14" t="n">
        <v>2010</v>
      </c>
      <c r="B14" t="n">
        <v>332551.53125</v>
      </c>
      <c r="C14" t="n">
        <v>46739.7890625</v>
      </c>
      <c r="D14" t="n">
        <v>0.321065455675125</v>
      </c>
      <c r="E14" t="n">
        <v>0.0372243337333202</v>
      </c>
    </row>
    <row r="15">
      <c r="A15" t="n">
        <v>2011</v>
      </c>
      <c r="B15" t="n">
        <v>336560.28125</v>
      </c>
      <c r="C15" t="n">
        <v>50455.2109375</v>
      </c>
      <c r="D15" t="n">
        <v>0.34080171585083</v>
      </c>
      <c r="E15" t="n">
        <v>0.037186823785305</v>
      </c>
    </row>
    <row r="16">
      <c r="A16" t="n">
        <v>2012</v>
      </c>
      <c r="B16" t="n">
        <v>341471.1875</v>
      </c>
      <c r="C16" t="n">
        <v>53774.6796875</v>
      </c>
      <c r="D16" t="n">
        <v>0.364897519350052</v>
      </c>
      <c r="E16" t="n">
        <v>0.0371892042458057</v>
      </c>
    </row>
    <row r="17">
      <c r="A17" t="n">
        <v>2013</v>
      </c>
      <c r="B17" t="n">
        <v>344239.03125</v>
      </c>
      <c r="C17" t="n">
        <v>56535.23046875</v>
      </c>
      <c r="D17" t="n">
        <v>0.385636419057846</v>
      </c>
      <c r="E17" t="n">
        <v>0.0372365638613701</v>
      </c>
    </row>
    <row r="18">
      <c r="A18" t="n">
        <v>2014</v>
      </c>
      <c r="B18" t="n">
        <v>350962.15625</v>
      </c>
      <c r="C18" t="n">
        <v>58847.86328125</v>
      </c>
      <c r="D18" t="n">
        <v>0.381861984729767</v>
      </c>
      <c r="E18" t="n">
        <v>0.03755883872509</v>
      </c>
    </row>
    <row r="19">
      <c r="A19" t="n">
        <v>2015</v>
      </c>
      <c r="B19" t="n">
        <v>360259.8125</v>
      </c>
      <c r="C19" t="n">
        <v>60819.7421875</v>
      </c>
      <c r="D19" t="n">
        <v>0.393652886152267</v>
      </c>
      <c r="E19" t="n">
        <v>0.0383267849683762</v>
      </c>
    </row>
    <row r="20">
      <c r="A20" t="n">
        <v>2016</v>
      </c>
      <c r="B20" t="n">
        <v>370547.65625</v>
      </c>
      <c r="C20" t="n">
        <v>62917.9765625</v>
      </c>
      <c r="D20" t="n">
        <v>0.422906786203384</v>
      </c>
      <c r="E20" t="n">
        <v>0.0393099114298821</v>
      </c>
    </row>
    <row r="21">
      <c r="A21" t="n">
        <v>2017</v>
      </c>
      <c r="B21" t="n">
        <v>380655.78125</v>
      </c>
      <c r="C21" t="n">
        <v>66165.234375</v>
      </c>
      <c r="D21" t="n">
        <v>0.426571011543274</v>
      </c>
      <c r="E21" t="n">
        <v>0.0404252856969833</v>
      </c>
    </row>
    <row r="22">
      <c r="A22" t="n">
        <v>2018</v>
      </c>
      <c r="B22" t="n">
        <v>390625.1875</v>
      </c>
      <c r="C22" t="n">
        <v>70176.296875</v>
      </c>
      <c r="D22" t="n">
        <v>0.43255540728569</v>
      </c>
      <c r="E22" t="n">
        <v>0.0412590205669403</v>
      </c>
    </row>
    <row r="23">
      <c r="A23" t="n">
        <v>2019</v>
      </c>
      <c r="B23" t="n">
        <v>399934.28125</v>
      </c>
      <c r="C23" t="n">
        <v>73951.9765625</v>
      </c>
      <c r="D23" t="n">
        <v>0.448765248060226</v>
      </c>
      <c r="E23" t="n">
        <v>0.0420626476407051</v>
      </c>
    </row>
    <row r="24">
      <c r="A24" t="n">
        <v>2020</v>
      </c>
      <c r="B24" t="n">
        <v>405156.15625</v>
      </c>
      <c r="C24" t="n">
        <v>69299.46875</v>
      </c>
      <c r="D24" t="n">
        <v>0.442575424909592</v>
      </c>
      <c r="E24" t="n">
        <v>0.0429592169821262</v>
      </c>
    </row>
    <row r="25">
      <c r="A25" t="n">
        <v>2021</v>
      </c>
      <c r="B25" t="n">
        <v>409189.75</v>
      </c>
      <c r="C25" t="n">
        <v>76675.71875</v>
      </c>
      <c r="D25" t="n">
        <v>0.432893872261047</v>
      </c>
      <c r="E25" t="n">
        <v>0.0433573126792908</v>
      </c>
    </row>
    <row r="26">
      <c r="A26" t="n">
        <v>2022</v>
      </c>
      <c r="B26" t="n">
        <v>415085.84375</v>
      </c>
      <c r="C26" t="n">
        <v>85079.0234375</v>
      </c>
      <c r="D26" t="n">
        <v>0.437597304582596</v>
      </c>
      <c r="E26" t="n">
        <v>0.0436077080667019</v>
      </c>
    </row>
    <row r="27">
      <c r="A27" t="n">
        <v>2023</v>
      </c>
      <c r="B27" t="n">
        <v>426190.5</v>
      </c>
      <c r="C27" t="n">
        <v>91437.8125</v>
      </c>
      <c r="D27" t="n">
        <v>0.466998279094696</v>
      </c>
      <c r="E27" t="n">
        <v>0.0444894470274448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IMF World Economic Outlook Data - Georgia</t>
        </is>
      </c>
    </row>
    <row r="3">
      <c r="A3" s="2" t="inlineStr">
        <is>
          <t>Year</t>
        </is>
      </c>
      <c r="B3" s="2" t="inlineStr">
        <is>
          <t>Real GDP (billions, current prices)</t>
        </is>
      </c>
      <c r="C3" s="2" t="inlineStr">
        <is>
          <t>Real GDP Growth Rate (%)</t>
        </is>
      </c>
      <c r="D3" s="2" t="inlineStr">
        <is>
          <t>Real GDP Level (calculated)</t>
        </is>
      </c>
    </row>
    <row r="4">
      <c r="A4" t="n">
        <v>2000</v>
      </c>
      <c r="B4" t="n">
        <v>25.42516796875</v>
      </c>
      <c r="D4">
        <f>B4</f>
        <v/>
      </c>
    </row>
    <row r="5">
      <c r="A5" t="n">
        <v>2001</v>
      </c>
      <c r="B5" t="n">
        <v>26.6469609375</v>
      </c>
      <c r="C5">
        <f>IF(AND(B5&gt;0,B4&gt;0),(B5/B4-1)*100,"")</f>
        <v/>
      </c>
      <c r="D5">
        <f>D4*(1+C5/100)</f>
        <v/>
      </c>
    </row>
    <row r="6">
      <c r="A6" t="n">
        <v>2002</v>
      </c>
      <c r="B6" t="n">
        <v>28.105572265625</v>
      </c>
      <c r="C6">
        <f>IF(AND(B6&gt;0,B5&gt;0),(B6/B5-1)*100,"")</f>
        <v/>
      </c>
      <c r="D6">
        <f>D5*(1+C6/100)</f>
        <v/>
      </c>
    </row>
    <row r="7">
      <c r="A7" t="n">
        <v>2003</v>
      </c>
      <c r="B7" t="n">
        <v>31.213515625</v>
      </c>
      <c r="C7">
        <f>IF(AND(B7&gt;0,B6&gt;0),(B7/B6-1)*100,"")</f>
        <v/>
      </c>
      <c r="D7">
        <f>D6*(1+C7/100)</f>
        <v/>
      </c>
    </row>
    <row r="8">
      <c r="A8" t="n">
        <v>2004</v>
      </c>
      <c r="B8" t="n">
        <v>33.02264453125</v>
      </c>
      <c r="C8">
        <f>IF(AND(B8&gt;0,B7&gt;0),(B8/B7-1)*100,"")</f>
        <v/>
      </c>
      <c r="D8">
        <f>D7*(1+C8/100)</f>
        <v/>
      </c>
    </row>
    <row r="9">
      <c r="A9" t="n">
        <v>2005</v>
      </c>
      <c r="B9" t="n">
        <v>36.188953125</v>
      </c>
      <c r="C9">
        <f>IF(AND(B9&gt;0,B8&gt;0),(B9/B8-1)*100,"")</f>
        <v/>
      </c>
      <c r="D9">
        <f>D8*(1+C9/100)</f>
        <v/>
      </c>
    </row>
    <row r="10">
      <c r="A10" t="n">
        <v>2006</v>
      </c>
      <c r="B10" t="n">
        <v>39.59822265625</v>
      </c>
      <c r="C10">
        <f>IF(AND(B10&gt;0,B9&gt;0),(B10/B9-1)*100,"")</f>
        <v/>
      </c>
      <c r="D10">
        <f>D9*(1+C10/100)</f>
        <v/>
      </c>
    </row>
    <row r="11">
      <c r="A11" t="n">
        <v>2007</v>
      </c>
      <c r="B11" t="n">
        <v>44.57919140625</v>
      </c>
      <c r="C11">
        <f>IF(AND(B11&gt;0,B10&gt;0),(B11/B10-1)*100,"")</f>
        <v/>
      </c>
      <c r="D11">
        <f>D10*(1+C11/100)</f>
        <v/>
      </c>
    </row>
    <row r="12">
      <c r="A12" t="n">
        <v>2008</v>
      </c>
      <c r="B12" t="n">
        <v>45.65716015625</v>
      </c>
      <c r="C12">
        <f>IF(AND(B12&gt;0,B11&gt;0),(B12/B11-1)*100,"")</f>
        <v/>
      </c>
      <c r="D12">
        <f>D11*(1+C12/100)</f>
        <v/>
      </c>
    </row>
    <row r="13">
      <c r="A13" t="n">
        <v>2009</v>
      </c>
      <c r="B13" t="n">
        <v>43.9906328125</v>
      </c>
      <c r="C13">
        <f>IF(AND(B13&gt;0,B12&gt;0),(B13/B12-1)*100,"")</f>
        <v/>
      </c>
      <c r="D13">
        <f>D12*(1+C13/100)</f>
        <v/>
      </c>
    </row>
    <row r="14">
      <c r="A14" t="n">
        <v>2010</v>
      </c>
      <c r="B14" t="n">
        <v>46.7397890625</v>
      </c>
      <c r="C14">
        <f>IF(AND(B14&gt;0,B13&gt;0),(B14/B13-1)*100,"")</f>
        <v/>
      </c>
      <c r="D14">
        <f>D13*(1+C14/100)</f>
        <v/>
      </c>
    </row>
    <row r="15">
      <c r="A15" t="n">
        <v>2011</v>
      </c>
      <c r="B15" t="n">
        <v>50.4552109375</v>
      </c>
      <c r="C15">
        <f>IF(AND(B15&gt;0,B14&gt;0),(B15/B14-1)*100,"")</f>
        <v/>
      </c>
      <c r="D15">
        <f>D14*(1+C15/100)</f>
        <v/>
      </c>
    </row>
    <row r="16">
      <c r="A16" t="n">
        <v>2012</v>
      </c>
      <c r="B16" t="n">
        <v>53.7746796875</v>
      </c>
      <c r="C16">
        <f>IF(AND(B16&gt;0,B15&gt;0),(B16/B15-1)*100,"")</f>
        <v/>
      </c>
      <c r="D16">
        <f>D15*(1+C16/100)</f>
        <v/>
      </c>
    </row>
    <row r="17">
      <c r="A17" t="n">
        <v>2013</v>
      </c>
      <c r="B17" t="n">
        <v>56.53523046875</v>
      </c>
      <c r="C17">
        <f>IF(AND(B17&gt;0,B16&gt;0),(B17/B16-1)*100,"")</f>
        <v/>
      </c>
      <c r="D17">
        <f>D16*(1+C17/100)</f>
        <v/>
      </c>
    </row>
    <row r="18">
      <c r="A18" t="n">
        <v>2014</v>
      </c>
      <c r="B18" t="n">
        <v>58.84786328125</v>
      </c>
      <c r="C18">
        <f>IF(AND(B18&gt;0,B17&gt;0),(B18/B17-1)*100,"")</f>
        <v/>
      </c>
      <c r="D18">
        <f>D17*(1+C18/100)</f>
        <v/>
      </c>
    </row>
    <row r="19">
      <c r="A19" t="n">
        <v>2015</v>
      </c>
      <c r="B19" t="n">
        <v>60.8197421875</v>
      </c>
      <c r="C19">
        <f>IF(AND(B19&gt;0,B18&gt;0),(B19/B18-1)*100,"")</f>
        <v/>
      </c>
      <c r="D19">
        <f>D18*(1+C19/100)</f>
        <v/>
      </c>
    </row>
    <row r="20">
      <c r="A20" t="n">
        <v>2016</v>
      </c>
      <c r="B20" t="n">
        <v>62.9179765625</v>
      </c>
      <c r="C20">
        <f>IF(AND(B20&gt;0,B19&gt;0),(B20/B19-1)*100,"")</f>
        <v/>
      </c>
      <c r="D20">
        <f>D19*(1+C20/100)</f>
        <v/>
      </c>
    </row>
    <row r="21">
      <c r="A21" t="n">
        <v>2017</v>
      </c>
      <c r="B21" t="n">
        <v>66.165234375</v>
      </c>
      <c r="C21">
        <f>IF(AND(B21&gt;0,B20&gt;0),(B21/B20-1)*100,"")</f>
        <v/>
      </c>
      <c r="D21">
        <f>D20*(1+C21/100)</f>
        <v/>
      </c>
    </row>
    <row r="22">
      <c r="A22" t="n">
        <v>2018</v>
      </c>
      <c r="B22" t="n">
        <v>70.17629687500001</v>
      </c>
      <c r="C22">
        <f>IF(AND(B22&gt;0,B21&gt;0),(B22/B21-1)*100,"")</f>
        <v/>
      </c>
      <c r="D22">
        <f>D21*(1+C22/100)</f>
        <v/>
      </c>
    </row>
    <row r="23">
      <c r="A23" t="n">
        <v>2019</v>
      </c>
      <c r="B23" t="n">
        <v>73.95197656249999</v>
      </c>
      <c r="C23">
        <f>IF(AND(B23&gt;0,B22&gt;0),(B23/B22-1)*100,"")</f>
        <v/>
      </c>
      <c r="D23">
        <f>D22*(1+C23/100)</f>
        <v/>
      </c>
    </row>
    <row r="24">
      <c r="A24" t="n">
        <v>2020</v>
      </c>
      <c r="B24" t="n">
        <v>69.29946875</v>
      </c>
      <c r="C24">
        <f>IF(AND(B24&gt;0,B23&gt;0),(B24/B23-1)*100,"")</f>
        <v/>
      </c>
      <c r="D24">
        <f>D23*(1+C24/100)</f>
        <v/>
      </c>
    </row>
    <row r="25">
      <c r="A25" t="n">
        <v>2021</v>
      </c>
      <c r="B25" t="n">
        <v>76.67571875</v>
      </c>
      <c r="C25">
        <f>IF(AND(B25&gt;0,B24&gt;0),(B25/B24-1)*100,"")</f>
        <v/>
      </c>
      <c r="D25">
        <f>D24*(1+C25/100)</f>
        <v/>
      </c>
    </row>
    <row r="26">
      <c r="A26" t="n">
        <v>2022</v>
      </c>
      <c r="B26" t="n">
        <v>85.0790234375</v>
      </c>
      <c r="C26">
        <f>IF(AND(B26&gt;0,B25&gt;0),(B26/B25-1)*100,"")</f>
        <v/>
      </c>
      <c r="D26">
        <f>D25*(1+C26/100)</f>
        <v/>
      </c>
    </row>
    <row r="27">
      <c r="A27" t="n">
        <v>2023</v>
      </c>
      <c r="B27" t="n">
        <v>91.43781250000001</v>
      </c>
      <c r="C27">
        <f>IF(AND(B27&gt;0,B26&gt;0),(B27/B26-1)*100,"")</f>
        <v/>
      </c>
      <c r="D27">
        <f>D26*(1+C27/100)</f>
        <v/>
      </c>
    </row>
    <row r="28">
      <c r="A28" t="n">
        <v>2024</v>
      </c>
      <c r="B28">
        <f>IF(C28&lt;&gt;"",B27*(1+C28/100),"")</f>
        <v/>
      </c>
      <c r="C28" t="n">
        <v>7</v>
      </c>
      <c r="D28">
        <f>D27*(1+C28/100)</f>
        <v/>
      </c>
    </row>
    <row r="29">
      <c r="A29" t="n">
        <v>2025</v>
      </c>
      <c r="B29">
        <f>IF(C29&lt;&gt;"",B28*(1+C29/100),"")</f>
        <v/>
      </c>
      <c r="C29" t="n">
        <v>7.2</v>
      </c>
      <c r="D29">
        <f>D28*(1+C29/100)</f>
        <v/>
      </c>
    </row>
    <row r="30">
      <c r="A30" t="n">
        <v>2026</v>
      </c>
      <c r="B30">
        <f>IF(C30&lt;&gt;"",B29*(1+C30/100),"")</f>
        <v/>
      </c>
      <c r="C30" t="n">
        <v>5.3</v>
      </c>
      <c r="D30">
        <f>D29*(1+C30/100)</f>
        <v/>
      </c>
    </row>
    <row r="31">
      <c r="A31" t="n">
        <v>2027</v>
      </c>
      <c r="B31">
        <f>IF(C31&lt;&gt;"",B30*(1+C31/100),"")</f>
        <v/>
      </c>
      <c r="C31" t="n">
        <v>5</v>
      </c>
      <c r="D31">
        <f>D30*(1+C31/100)</f>
        <v/>
      </c>
    </row>
    <row r="32">
      <c r="A32" t="n">
        <v>2028</v>
      </c>
      <c r="B32">
        <f>IF(C32&lt;&gt;"",B31*(1+C32/100),"")</f>
        <v/>
      </c>
      <c r="C32" t="n">
        <v>5</v>
      </c>
      <c r="D32">
        <f>D31*(1+C32/100)</f>
        <v/>
      </c>
    </row>
    <row r="33">
      <c r="A33" t="n">
        <v>2029</v>
      </c>
      <c r="B33">
        <f>IF(C33&lt;&gt;"",B32*(1+C33/100),"")</f>
        <v/>
      </c>
      <c r="C33" t="n">
        <v>5</v>
      </c>
      <c r="D33">
        <f>D32*(1+C33/100)</f>
        <v/>
      </c>
    </row>
    <row r="34">
      <c r="A34" t="n">
        <v>2030</v>
      </c>
      <c r="B34">
        <f>IF(C34&lt;&gt;"",B33*(1+C34/100),"")</f>
        <v/>
      </c>
      <c r="C34" t="n">
        <v>5</v>
      </c>
      <c r="D34">
        <f>D33*(1+C34/100)</f>
        <v/>
      </c>
    </row>
    <row r="35">
      <c r="A35" t="n">
        <v>2031</v>
      </c>
      <c r="B35">
        <f>IF(C35&lt;&gt;"",B34*(1+C35/100),"")</f>
        <v/>
      </c>
      <c r="C35" t="n">
        <v>5</v>
      </c>
      <c r="D35">
        <f>D34*(1+C35/100)</f>
        <v/>
      </c>
    </row>
    <row r="36">
      <c r="A36" t="n">
        <v>2032</v>
      </c>
      <c r="B36">
        <f>IF(C36&lt;&gt;"",B35*(1+C36/100),"")</f>
        <v/>
      </c>
      <c r="C36" t="n">
        <v>5</v>
      </c>
      <c r="D36">
        <f>D35*(1+C36/100)</f>
        <v/>
      </c>
    </row>
    <row r="37">
      <c r="A37" t="n">
        <v>2033</v>
      </c>
      <c r="B37">
        <f>IF(C37&lt;&gt;"",B36*(1+C37/100),"")</f>
        <v/>
      </c>
      <c r="C37" t="n">
        <v>5</v>
      </c>
      <c r="D37">
        <f>D36*(1+C37/100)</f>
        <v/>
      </c>
    </row>
    <row r="38">
      <c r="A38" t="n">
        <v>2034</v>
      </c>
      <c r="B38">
        <f>IF(C38&lt;&gt;"",B37*(1+C38/100),"")</f>
        <v/>
      </c>
      <c r="C38" t="n">
        <v>5</v>
      </c>
      <c r="D38">
        <f>D37*(1+C38/100)</f>
        <v/>
      </c>
    </row>
    <row r="39">
      <c r="A39" t="n">
        <v>2035</v>
      </c>
      <c r="B39">
        <f>IF(C39&lt;&gt;"",B38*(1+C39/100),"")</f>
        <v/>
      </c>
      <c r="C39" t="n">
        <v>5</v>
      </c>
      <c r="D39">
        <f>D38*(1+C39/100)</f>
        <v/>
      </c>
    </row>
    <row r="40">
      <c r="A40" t="n">
        <v>2036</v>
      </c>
      <c r="B40">
        <f>IF(C40&lt;&gt;"",B39*(1+C40/100),"")</f>
        <v/>
      </c>
      <c r="C40" t="n">
        <v>5</v>
      </c>
      <c r="D40">
        <f>D39*(1+C40/100)</f>
        <v/>
      </c>
    </row>
    <row r="41">
      <c r="A41" t="n">
        <v>2037</v>
      </c>
      <c r="B41">
        <f>IF(C41&lt;&gt;"",B40*(1+C41/100),"")</f>
        <v/>
      </c>
      <c r="C41" t="n">
        <v>5</v>
      </c>
      <c r="D41">
        <f>D40*(1+C41/100)</f>
        <v/>
      </c>
    </row>
    <row r="42">
      <c r="A42" t="n">
        <v>2038</v>
      </c>
      <c r="B42">
        <f>IF(C42&lt;&gt;"",B41*(1+C42/100),"")</f>
        <v/>
      </c>
      <c r="C42" t="n">
        <v>5</v>
      </c>
      <c r="D42">
        <f>D41*(1+C42/100)</f>
        <v/>
      </c>
    </row>
    <row r="43">
      <c r="A43" t="n">
        <v>2039</v>
      </c>
      <c r="B43">
        <f>IF(C43&lt;&gt;"",B42*(1+C43/100),"")</f>
        <v/>
      </c>
      <c r="C43" t="n">
        <v>5</v>
      </c>
      <c r="D43">
        <f>D42*(1+C43/100)</f>
        <v/>
      </c>
    </row>
    <row r="44">
      <c r="A44" t="n">
        <v>2040</v>
      </c>
      <c r="B44">
        <f>IF(C44&lt;&gt;"",B43*(1+C44/100),"")</f>
        <v/>
      </c>
      <c r="C44" t="n">
        <v>5</v>
      </c>
      <c r="D44">
        <f>D43*(1+C44/100)</f>
        <v/>
      </c>
    </row>
    <row r="45">
      <c r="A45" t="n">
        <v>2041</v>
      </c>
      <c r="B45">
        <f>IF(C45&lt;&gt;"",B44*(1+C45/100),"")</f>
        <v/>
      </c>
      <c r="C45" t="n">
        <v>5</v>
      </c>
      <c r="D45">
        <f>D44*(1+C45/100)</f>
        <v/>
      </c>
    </row>
    <row r="46">
      <c r="A46" t="inlineStr">
        <is>
          <t>NOTE: Fill columns B and C with IMF WEO data for 2000-2027</t>
        </is>
      </c>
      <c r="B46">
        <f>IF(C46&lt;&gt;"",B45*(1+C46/100),"")</f>
        <v/>
      </c>
      <c r="C46" t="n">
        <v>5</v>
      </c>
      <c r="D46">
        <f>D45*(1+C46/100)</f>
        <v/>
      </c>
    </row>
    <row r="47">
      <c r="A47" t="inlineStr">
        <is>
          <t>Assume 2027 growth rate stays constant through 2043</t>
        </is>
      </c>
      <c r="B47">
        <f>IF(C47&lt;&gt;"",B46*(1+C47/100),"")</f>
        <v/>
      </c>
      <c r="C47" t="n">
        <v>5</v>
      </c>
      <c r="D47">
        <f>D46*(1+C47/100)</f>
        <v/>
      </c>
    </row>
    <row r="48">
      <c r="A48" t="inlineStr">
        <is>
          <t>Column D will calculate Real GDP levels based on growth rates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Consumption of Fixed Capital - Georgia</t>
        </is>
      </c>
    </row>
    <row r="3">
      <c r="A3" s="2" t="inlineStr">
        <is>
          <t>Year</t>
        </is>
      </c>
      <c r="B3" s="2" t="inlineStr">
        <is>
          <t>Capital Stock (from PWT)</t>
        </is>
      </c>
      <c r="C3" s="2" t="inlineStr">
        <is>
          <t>CFC (annual, mil. domestic currency)</t>
        </is>
      </c>
      <c r="D3" s="2" t="inlineStr">
        <is>
          <t>Capital Stock (for depreciation calc)</t>
        </is>
      </c>
      <c r="E3" s="2" t="inlineStr">
        <is>
          <t>Depreciation Rate (%)</t>
        </is>
      </c>
      <c r="F3" s="2" t="inlineStr">
        <is>
          <t>PWT Delta</t>
        </is>
      </c>
    </row>
    <row r="4">
      <c r="A4" t="n">
        <v>2000</v>
      </c>
      <c r="B4">
        <f>PWT!B4</f>
        <v/>
      </c>
      <c r="C4" t="n">
        <v>9586.297474527721</v>
      </c>
      <c r="D4">
        <f>B4</f>
        <v/>
      </c>
      <c r="E4">
        <f>IF(AND(C4&lt;&gt;"",D4&lt;&gt;"",D4&gt;0),C4/D4,"")</f>
        <v/>
      </c>
      <c r="F4">
        <f>PWT!E4</f>
        <v/>
      </c>
    </row>
    <row r="5">
      <c r="A5" t="n">
        <v>2001</v>
      </c>
      <c r="B5">
        <f>PWT!B5</f>
        <v/>
      </c>
      <c r="C5" t="n">
        <v>9618.4117476351</v>
      </c>
      <c r="D5">
        <f>B5</f>
        <v/>
      </c>
      <c r="E5">
        <f>IF(AND(C5&lt;&gt;"",D5&lt;&gt;"",D5&gt;0),C5/D5,"")</f>
        <v/>
      </c>
      <c r="F5">
        <f>PWT!E5</f>
        <v/>
      </c>
    </row>
    <row r="6">
      <c r="A6" t="n">
        <v>2002</v>
      </c>
      <c r="B6">
        <f>PWT!B6</f>
        <v/>
      </c>
      <c r="C6" t="n">
        <v>9592.80153456098</v>
      </c>
      <c r="D6">
        <f>B6</f>
        <v/>
      </c>
      <c r="E6">
        <f>IF(AND(C6&lt;&gt;"",D6&lt;&gt;"",D6&gt;0),C6/D6,"")</f>
        <v/>
      </c>
      <c r="F6">
        <f>PWT!E6</f>
        <v/>
      </c>
    </row>
    <row r="7">
      <c r="A7" t="n">
        <v>2003</v>
      </c>
      <c r="B7">
        <f>PWT!B7</f>
        <v/>
      </c>
      <c r="C7" t="n">
        <v>9607.671819717034</v>
      </c>
      <c r="D7">
        <f>B7</f>
        <v/>
      </c>
      <c r="E7">
        <f>IF(AND(C7&lt;&gt;"",D7&lt;&gt;"",D7&gt;0),C7/D7,"")</f>
        <v/>
      </c>
      <c r="F7">
        <f>PWT!E7</f>
        <v/>
      </c>
    </row>
    <row r="8">
      <c r="A8" t="n">
        <v>2004</v>
      </c>
      <c r="B8">
        <f>PWT!B8</f>
        <v/>
      </c>
      <c r="C8" t="n">
        <v>9886.093133375849</v>
      </c>
      <c r="D8">
        <f>B8</f>
        <v/>
      </c>
      <c r="E8">
        <f>IF(AND(C8&lt;&gt;"",D8&lt;&gt;"",D8&gt;0),C8/D8,"")</f>
        <v/>
      </c>
      <c r="F8">
        <f>PWT!E8</f>
        <v/>
      </c>
    </row>
    <row r="9">
      <c r="A9" t="n">
        <v>2005</v>
      </c>
      <c r="B9">
        <f>PWT!B9</f>
        <v/>
      </c>
      <c r="C9" t="n">
        <v>10469.24373896561</v>
      </c>
      <c r="D9">
        <f>B9</f>
        <v/>
      </c>
      <c r="E9">
        <f>IF(AND(C9&lt;&gt;"",D9&lt;&gt;"",D9&gt;0),C9/D9,"")</f>
        <v/>
      </c>
      <c r="F9">
        <f>PWT!E9</f>
        <v/>
      </c>
    </row>
    <row r="10">
      <c r="A10" t="n">
        <v>2006</v>
      </c>
      <c r="B10">
        <f>PWT!B10</f>
        <v/>
      </c>
      <c r="C10" t="n">
        <v>11123.57374059175</v>
      </c>
      <c r="D10">
        <f>B10</f>
        <v/>
      </c>
      <c r="E10">
        <f>IF(AND(C10&lt;&gt;"",D10&lt;&gt;"",D10&gt;0),C10/D10,"")</f>
        <v/>
      </c>
      <c r="F10">
        <f>PWT!E10</f>
        <v/>
      </c>
    </row>
    <row r="11">
      <c r="A11" t="n">
        <v>2007</v>
      </c>
      <c r="B11">
        <f>PWT!B11</f>
        <v/>
      </c>
      <c r="C11" t="n">
        <v>11880.88409328693</v>
      </c>
      <c r="D11">
        <f>B11</f>
        <v/>
      </c>
      <c r="E11">
        <f>IF(AND(C11&lt;&gt;"",D11&lt;&gt;"",D11&gt;0),C11/D11,"")</f>
        <v/>
      </c>
      <c r="F11">
        <f>PWT!E11</f>
        <v/>
      </c>
    </row>
    <row r="12">
      <c r="A12" t="n">
        <v>2008</v>
      </c>
      <c r="B12">
        <f>PWT!B12</f>
        <v/>
      </c>
      <c r="C12" t="n">
        <v>12418.88346945006</v>
      </c>
      <c r="D12">
        <f>B12</f>
        <v/>
      </c>
      <c r="E12">
        <f>IF(AND(C12&lt;&gt;"",D12&lt;&gt;"",D12&gt;0),C12/D12,"")</f>
        <v/>
      </c>
      <c r="F12">
        <f>PWT!E12</f>
        <v/>
      </c>
    </row>
    <row r="13">
      <c r="A13" t="n">
        <v>2009</v>
      </c>
      <c r="B13">
        <f>PWT!B13</f>
        <v/>
      </c>
      <c r="C13" t="n">
        <v>12405.89780274778</v>
      </c>
      <c r="D13">
        <f>B13</f>
        <v/>
      </c>
      <c r="E13">
        <f>IF(AND(C13&lt;&gt;"",D13&lt;&gt;"",D13&gt;0),C13/D13,"")</f>
        <v/>
      </c>
      <c r="F13">
        <f>PWT!E13</f>
        <v/>
      </c>
    </row>
    <row r="14">
      <c r="A14" t="n">
        <v>2010</v>
      </c>
      <c r="B14">
        <f>PWT!B14</f>
        <v/>
      </c>
      <c r="C14" t="n">
        <v>12379.00918277666</v>
      </c>
      <c r="D14">
        <f>B14</f>
        <v/>
      </c>
      <c r="E14">
        <f>IF(AND(C14&lt;&gt;"",D14&lt;&gt;"",D14&gt;0),C14/D14,"")</f>
        <v/>
      </c>
      <c r="F14">
        <f>PWT!E14</f>
        <v/>
      </c>
    </row>
    <row r="15">
      <c r="A15" t="n">
        <v>2011</v>
      </c>
      <c r="B15">
        <f>PWT!B15</f>
        <v/>
      </c>
      <c r="C15" t="n">
        <v>12515.60787197644</v>
      </c>
      <c r="D15">
        <f>B15</f>
        <v/>
      </c>
      <c r="E15">
        <f>IF(AND(C15&lt;&gt;"",D15&lt;&gt;"",D15&gt;0),C15/D15,"")</f>
        <v/>
      </c>
      <c r="F15">
        <f>PWT!E15</f>
        <v/>
      </c>
    </row>
    <row r="16">
      <c r="A16" t="n">
        <v>2012</v>
      </c>
      <c r="B16">
        <f>PWT!B16</f>
        <v/>
      </c>
      <c r="C16" t="n">
        <v>12699.04173599531</v>
      </c>
      <c r="D16">
        <f>B16</f>
        <v/>
      </c>
      <c r="E16">
        <f>IF(AND(C16&lt;&gt;"",D16&lt;&gt;"",D16&gt;0),C16/D16,"")</f>
        <v/>
      </c>
      <c r="F16">
        <f>PWT!E16</f>
        <v/>
      </c>
    </row>
    <row r="17">
      <c r="A17" t="n">
        <v>2013</v>
      </c>
      <c r="B17">
        <f>PWT!B17</f>
        <v/>
      </c>
      <c r="C17" t="n">
        <v>12818.2786707168</v>
      </c>
      <c r="D17">
        <f>B17</f>
        <v/>
      </c>
      <c r="E17">
        <f>IF(AND(C17&lt;&gt;"",D17&lt;&gt;"",D17&gt;0),C17/D17,"")</f>
        <v/>
      </c>
      <c r="F17">
        <f>PWT!E17</f>
        <v/>
      </c>
    </row>
    <row r="18">
      <c r="A18" t="n">
        <v>2014</v>
      </c>
      <c r="B18">
        <f>PWT!B18</f>
        <v/>
      </c>
      <c r="C18" t="n">
        <v>13181.73102520359</v>
      </c>
      <c r="D18">
        <f>B18</f>
        <v/>
      </c>
      <c r="E18">
        <f>IF(AND(C18&lt;&gt;"",D18&lt;&gt;"",D18&gt;0),C18/D18,"")</f>
        <v/>
      </c>
      <c r="F18">
        <f>PWT!E18</f>
        <v/>
      </c>
    </row>
    <row r="19">
      <c r="A19" t="n">
        <v>2015</v>
      </c>
      <c r="B19">
        <f>PWT!B19</f>
        <v/>
      </c>
      <c r="C19" t="n">
        <v>13807.60036643503</v>
      </c>
      <c r="D19">
        <f>B19</f>
        <v/>
      </c>
      <c r="E19">
        <f>IF(AND(C19&lt;&gt;"",D19&lt;&gt;"",D19&gt;0),C19/D19,"")</f>
        <v/>
      </c>
      <c r="F19">
        <f>PWT!E19</f>
        <v/>
      </c>
    </row>
    <row r="20">
      <c r="A20" t="n">
        <v>2016</v>
      </c>
      <c r="B20">
        <f>PWT!B20</f>
        <v/>
      </c>
      <c r="C20" t="n">
        <v>14566.1955477379</v>
      </c>
      <c r="D20">
        <f>B20</f>
        <v/>
      </c>
      <c r="E20">
        <f>IF(AND(C20&lt;&gt;"",D20&lt;&gt;"",D20&gt;0),C20/D20,"")</f>
        <v/>
      </c>
      <c r="F20">
        <f>PWT!E20</f>
        <v/>
      </c>
    </row>
    <row r="21">
      <c r="A21" t="n">
        <v>2017</v>
      </c>
      <c r="B21">
        <f>PWT!B21</f>
        <v/>
      </c>
      <c r="C21" t="n">
        <v>15388.11870923963</v>
      </c>
      <c r="D21">
        <f>B21</f>
        <v/>
      </c>
      <c r="E21">
        <f>IF(AND(C21&lt;&gt;"",D21&lt;&gt;"",D21&gt;0),C21/D21,"")</f>
        <v/>
      </c>
      <c r="F21">
        <f>PWT!E21</f>
        <v/>
      </c>
    </row>
    <row r="22">
      <c r="A22" t="n">
        <v>2018</v>
      </c>
      <c r="B22">
        <f>PWT!B22</f>
        <v/>
      </c>
      <c r="C22" t="n">
        <v>16116.81264502741</v>
      </c>
      <c r="D22">
        <f>B22</f>
        <v/>
      </c>
      <c r="E22">
        <f>IF(AND(C22&lt;&gt;"",D22&lt;&gt;"",D22&gt;0),C22/D22,"")</f>
        <v/>
      </c>
      <c r="F22">
        <f>PWT!E22</f>
        <v/>
      </c>
    </row>
    <row r="23">
      <c r="A23" t="n">
        <v>2019</v>
      </c>
      <c r="B23">
        <f>PWT!B23</f>
        <v/>
      </c>
      <c r="C23" t="n">
        <v>16822.2947516574</v>
      </c>
      <c r="D23">
        <f>B23</f>
        <v/>
      </c>
      <c r="E23">
        <f>IF(AND(C23&lt;&gt;"",D23&lt;&gt;"",D23&gt;0),C23/D23,"")</f>
        <v/>
      </c>
      <c r="F23">
        <f>PWT!E23</f>
        <v/>
      </c>
    </row>
    <row r="24">
      <c r="A24" t="n">
        <v>2020</v>
      </c>
      <c r="B24">
        <f>PWT!B24</f>
        <v/>
      </c>
      <c r="C24" t="n">
        <v>17405.19122798798</v>
      </c>
      <c r="D24">
        <f>B24</f>
        <v/>
      </c>
      <c r="E24">
        <f>IF(AND(C24&lt;&gt;"",D24&lt;&gt;"",D24&gt;0),C24/D24,"")</f>
        <v/>
      </c>
      <c r="F24">
        <f>PWT!E24</f>
        <v/>
      </c>
    </row>
    <row r="25">
      <c r="A25" t="n">
        <v>2021</v>
      </c>
      <c r="B25">
        <f>PWT!B25</f>
        <v/>
      </c>
      <c r="C25" t="n">
        <v>17741.36793591083</v>
      </c>
      <c r="D25">
        <f>B25</f>
        <v/>
      </c>
      <c r="E25">
        <f>IF(AND(C25&lt;&gt;"",D25&lt;&gt;"",D25&gt;0),C25/D25,"")</f>
        <v/>
      </c>
      <c r="F25">
        <f>PWT!E25</f>
        <v/>
      </c>
    </row>
    <row r="26">
      <c r="A26" t="n">
        <v>2022</v>
      </c>
      <c r="B26">
        <f>PWT!B26</f>
        <v/>
      </c>
      <c r="C26" t="n">
        <v>18100.94229687064</v>
      </c>
      <c r="D26">
        <f>B26</f>
        <v/>
      </c>
      <c r="E26">
        <f>IF(AND(C26&lt;&gt;"",D26&lt;&gt;"",D26&gt;0),C26/D26,"")</f>
        <v/>
      </c>
      <c r="F26">
        <f>PWT!E26</f>
        <v/>
      </c>
    </row>
    <row r="27">
      <c r="A27" t="n">
        <v>2023</v>
      </c>
      <c r="B27">
        <f>PWT!B27</f>
        <v/>
      </c>
      <c r="C27" t="n">
        <v>18960.97967335021</v>
      </c>
      <c r="D27">
        <f>B27</f>
        <v/>
      </c>
      <c r="E27">
        <f>IF(AND(C27&lt;&gt;"",D27&lt;&gt;"",D27&gt;0),C27/D27,"")</f>
        <v/>
      </c>
      <c r="F27">
        <f>PWT!E27</f>
        <v/>
      </c>
    </row>
    <row r="29">
      <c r="A29" t="inlineStr">
        <is>
          <t>NOTE: Fill column C with ECB Consumption of Fixed Capital data</t>
        </is>
      </c>
    </row>
    <row r="30">
      <c r="A30" t="inlineStr">
        <is>
          <t>Column E calculates depreciation rate as CFC/Capital Stock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Investment Shock Scenario</t>
        </is>
      </c>
    </row>
    <row r="3">
      <c r="A3" s="2" t="inlineStr">
        <is>
          <t>Year</t>
        </is>
      </c>
      <c r="B3" s="2" t="inlineStr">
        <is>
          <t>Investment Shock (billion USD)</t>
        </is>
      </c>
    </row>
    <row r="4">
      <c r="A4" t="n">
        <v>2024</v>
      </c>
      <c r="B4">
        <f>IF(AND(A4&gt;=$B$32,A4&lt;$B$32+$B$31),$B$33,0)</f>
        <v/>
      </c>
    </row>
    <row r="5">
      <c r="A5" t="n">
        <v>2025</v>
      </c>
      <c r="B5">
        <f>IF(AND(A5&gt;=$B$32,A5&lt;$B$32+$B$31),$B$33,0)</f>
        <v/>
      </c>
    </row>
    <row r="6">
      <c r="A6" t="n">
        <v>2026</v>
      </c>
      <c r="B6">
        <f>IF(AND(A6&gt;=$B$32,A6&lt;$B$32+$B$31),$B$33,0)</f>
        <v/>
      </c>
    </row>
    <row r="7">
      <c r="A7" t="n">
        <v>2027</v>
      </c>
      <c r="B7">
        <f>IF(AND(A7&gt;=$B$32,A7&lt;$B$32+$B$31),$B$33,0)</f>
        <v/>
      </c>
    </row>
    <row r="8">
      <c r="A8" t="n">
        <v>2028</v>
      </c>
      <c r="B8">
        <f>IF(AND(A8&gt;=$B$32,A8&lt;$B$32+$B$31),$B$33,0)</f>
        <v/>
      </c>
    </row>
    <row r="9">
      <c r="A9" t="n">
        <v>2029</v>
      </c>
      <c r="B9">
        <f>IF(AND(A9&gt;=$B$32,A9&lt;$B$32+$B$31),$B$33,0)</f>
        <v/>
      </c>
    </row>
    <row r="10">
      <c r="A10" t="n">
        <v>2030</v>
      </c>
      <c r="B10">
        <f>IF(AND(A10&gt;=$B$32,A10&lt;$B$32+$B$31),$B$33,0)</f>
        <v/>
      </c>
    </row>
    <row r="11">
      <c r="A11" t="n">
        <v>2031</v>
      </c>
      <c r="B11">
        <f>IF(AND(A11&gt;=$B$32,A11&lt;$B$32+$B$31),$B$33,0)</f>
        <v/>
      </c>
    </row>
    <row r="12">
      <c r="A12" t="n">
        <v>2032</v>
      </c>
      <c r="B12">
        <f>IF(AND(A12&gt;=$B$32,A12&lt;$B$32+$B$31),$B$33,0)</f>
        <v/>
      </c>
    </row>
    <row r="13">
      <c r="A13" t="n">
        <v>2033</v>
      </c>
      <c r="B13">
        <f>IF(AND(A13&gt;=$B$32,A13&lt;$B$32+$B$31),$B$33,0)</f>
        <v/>
      </c>
    </row>
    <row r="14">
      <c r="A14" t="n">
        <v>2034</v>
      </c>
      <c r="B14">
        <f>IF(AND(A14&gt;=$B$32,A14&lt;$B$32+$B$31),$B$33,0)</f>
        <v/>
      </c>
    </row>
    <row r="15">
      <c r="A15" t="n">
        <v>2035</v>
      </c>
      <c r="B15">
        <f>IF(AND(A15&gt;=$B$32,A15&lt;$B$32+$B$31),$B$33,0)</f>
        <v/>
      </c>
    </row>
    <row r="16">
      <c r="A16" t="n">
        <v>2036</v>
      </c>
      <c r="B16">
        <f>IF(AND(A16&gt;=$B$32,A16&lt;$B$32+$B$31),$B$33,0)</f>
        <v/>
      </c>
    </row>
    <row r="17">
      <c r="A17" t="n">
        <v>2037</v>
      </c>
      <c r="B17">
        <f>IF(AND(A17&gt;=$B$32,A17&lt;$B$32+$B$31),$B$33,0)</f>
        <v/>
      </c>
    </row>
    <row r="18">
      <c r="A18" t="n">
        <v>2038</v>
      </c>
      <c r="B18">
        <f>IF(AND(A18&gt;=$B$32,A18&lt;$B$32+$B$31),$B$33,0)</f>
        <v/>
      </c>
    </row>
    <row r="19">
      <c r="A19" t="n">
        <v>2039</v>
      </c>
      <c r="B19">
        <f>IF(AND(A19&gt;=$B$32,A19&lt;$B$32+$B$31),$B$33,0)</f>
        <v/>
      </c>
    </row>
    <row r="20">
      <c r="A20" t="n">
        <v>2040</v>
      </c>
      <c r="B20">
        <f>IF(AND(A20&gt;=$B$32,A20&lt;$B$32+$B$31),$B$33,0)</f>
        <v/>
      </c>
    </row>
    <row r="21">
      <c r="A21" t="n">
        <v>2041</v>
      </c>
      <c r="B21">
        <f>IF(AND(A21&gt;=$B$32,A21&lt;$B$32+$B$31),$B$33,0)</f>
        <v/>
      </c>
    </row>
    <row r="22">
      <c r="A22" t="n">
        <v>2042</v>
      </c>
      <c r="B22">
        <f>IF(AND(A22&gt;=$B$32,A22&lt;$B$32+$B$31),$B$33,0)</f>
        <v/>
      </c>
    </row>
    <row r="23">
      <c r="A23" t="n">
        <v>2043</v>
      </c>
      <c r="B23">
        <f>IF(AND(A23&gt;=$B$32,A23&lt;$B$32+$B$31),$B$33,0)</f>
        <v/>
      </c>
    </row>
    <row r="30">
      <c r="A30" t="inlineStr">
        <is>
          <t>Total Investment:</t>
        </is>
      </c>
      <c r="B30" t="n">
        <v>6.5</v>
      </c>
    </row>
    <row r="31">
      <c r="A31" t="inlineStr">
        <is>
          <t>Duration (years):</t>
        </is>
      </c>
      <c r="B31" t="n">
        <v>8</v>
      </c>
    </row>
    <row r="32">
      <c r="A32" t="inlineStr">
        <is>
          <t>Start Year:</t>
        </is>
      </c>
      <c r="B32" t="n">
        <v>2026</v>
      </c>
    </row>
    <row r="33">
      <c r="A33" t="inlineStr">
        <is>
          <t>Annual Investment:</t>
        </is>
      </c>
      <c r="B33">
        <f>B30/B31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Production Function Analysis - Cobb-Douglas</t>
        </is>
      </c>
    </row>
    <row r="3">
      <c r="A3" t="inlineStr">
        <is>
          <t>Annual Depreciation Rate:</t>
        </is>
      </c>
      <c r="B3">
        <f>AVERAGE('CFC data'!E20:E27)</f>
        <v/>
      </c>
      <c r="C3" t="inlineStr">
        <is>
          <t>(avg of last 8 years from CFC data)</t>
        </is>
      </c>
    </row>
    <row r="4">
      <c r="A4" t="inlineStr">
        <is>
          <t>Capital's Share (alpha):</t>
        </is>
      </c>
      <c r="B4">
        <f>1-AVERAGE(PWT!D20:D27)</f>
        <v/>
      </c>
      <c r="C4" t="inlineStr">
        <is>
          <t>(1 - average labor share)</t>
        </is>
      </c>
    </row>
    <row r="5">
      <c r="A5" t="inlineStr">
        <is>
          <t>Average K/Y Ratio:</t>
        </is>
      </c>
      <c r="B5">
        <f>AVERAGE(D47:D55)</f>
        <v/>
      </c>
      <c r="C5" t="inlineStr">
        <is>
          <t>(avg of last 9 years, 2015-2023)</t>
        </is>
      </c>
    </row>
    <row r="7">
      <c r="A7" s="3" t="inlineStr">
        <is>
          <t>HP FILTER ANALYSIS</t>
        </is>
      </c>
      <c r="N7" t="inlineStr">
        <is>
          <t>Lambda:</t>
        </is>
      </c>
      <c r="O7" t="n">
        <v>100</v>
      </c>
    </row>
    <row r="8">
      <c r="A8" s="4" t="inlineStr">
        <is>
          <t>Year</t>
        </is>
      </c>
      <c r="B8" s="4" t="inlineStr">
        <is>
          <t>K</t>
        </is>
      </c>
      <c r="C8" s="4" t="inlineStr">
        <is>
          <t>Y</t>
        </is>
      </c>
      <c r="D8" s="4" t="inlineStr">
        <is>
          <t>LnK</t>
        </is>
      </c>
      <c r="E8" s="4" t="inlineStr">
        <is>
          <t>LnY</t>
        </is>
      </c>
      <c r="F8" s="4" t="inlineStr">
        <is>
          <t>LnZ</t>
        </is>
      </c>
      <c r="G8" s="4" t="inlineStr">
        <is>
          <t>LnZ_HP</t>
        </is>
      </c>
      <c r="H8" s="4" t="inlineStr">
        <is>
          <t>Diff1</t>
        </is>
      </c>
      <c r="I8" s="4" t="inlineStr">
        <is>
          <t>Diff2</t>
        </is>
      </c>
      <c r="J8" s="4" t="inlineStr">
        <is>
          <t>Sq_Diff2</t>
        </is>
      </c>
      <c r="K8" s="4" t="inlineStr">
        <is>
          <t>LnY-LnZ_HP</t>
        </is>
      </c>
      <c r="L8" s="4" t="inlineStr">
        <is>
          <t>Sq_Dev</t>
        </is>
      </c>
      <c r="N8" t="inlineStr">
        <is>
          <t>Objective:</t>
        </is>
      </c>
      <c r="O8" s="5">
        <f>SUM(L9:L30)+O7*SUM(J11:J30)</f>
        <v/>
      </c>
    </row>
    <row r="9">
      <c r="A9" t="n">
        <v>2002</v>
      </c>
      <c r="B9">
        <f>PWT!B6</f>
        <v/>
      </c>
      <c r="C9">
        <f>PWT!C6</f>
        <v/>
      </c>
      <c r="D9">
        <f>IF(B9&gt;0,LN(B9),"")</f>
        <v/>
      </c>
      <c r="E9">
        <f>IF(C9&gt;0,LN(C9),"")</f>
        <v/>
      </c>
      <c r="F9">
        <f>IF(AND(E9&lt;&gt;"",D9&lt;&gt;""),E9-$B$4*D9,"")</f>
        <v/>
      </c>
      <c r="G9" t="n">
        <v>3.208903229809559</v>
      </c>
      <c r="K9">
        <f>IF(AND(E9&lt;&gt;"",G9&lt;&gt;""),E9-G9,"")</f>
        <v/>
      </c>
      <c r="L9">
        <f>IF(K9&lt;&gt;"",K9^2,"")</f>
        <v/>
      </c>
    </row>
    <row r="10">
      <c r="A10" t="n">
        <v>2003</v>
      </c>
      <c r="B10">
        <f>PWT!B7</f>
        <v/>
      </c>
      <c r="C10">
        <f>PWT!C7</f>
        <v/>
      </c>
      <c r="D10">
        <f>IF(B10&gt;0,LN(B10),"")</f>
        <v/>
      </c>
      <c r="E10">
        <f>IF(C10&gt;0,LN(C10),"")</f>
        <v/>
      </c>
      <c r="F10">
        <f>IF(AND(E10&lt;&gt;"",D10&lt;&gt;""),E10-$B$4*D10,"")</f>
        <v/>
      </c>
      <c r="G10" t="n">
        <v>3.26932269437472</v>
      </c>
      <c r="H10">
        <f>IF(G10&lt;&gt;"",G10-G9,"")</f>
        <v/>
      </c>
      <c r="K10">
        <f>IF(AND(E10&lt;&gt;"",G10&lt;&gt;""),E10-G10,"")</f>
        <v/>
      </c>
      <c r="L10">
        <f>IF(K10&lt;&gt;"",K10^2,"")</f>
        <v/>
      </c>
      <c r="N10" t="inlineStr">
        <is>
          <t>SOLVER SETUP:</t>
        </is>
      </c>
    </row>
    <row r="11">
      <c r="A11" t="n">
        <v>2004</v>
      </c>
      <c r="B11">
        <f>PWT!B8</f>
        <v/>
      </c>
      <c r="C11">
        <f>PWT!C8</f>
        <v/>
      </c>
      <c r="D11">
        <f>IF(B11&gt;0,LN(B11),"")</f>
        <v/>
      </c>
      <c r="E11">
        <f>IF(C11&gt;0,LN(C11),"")</f>
        <v/>
      </c>
      <c r="F11">
        <f>IF(AND(E11&lt;&gt;"",D11&lt;&gt;""),E11-$B$4*D11,"")</f>
        <v/>
      </c>
      <c r="G11" t="n">
        <v>3.329252643404233</v>
      </c>
      <c r="H11">
        <f>IF(G11&lt;&gt;"",G11-G10,"")</f>
        <v/>
      </c>
      <c r="I11">
        <f>IF(H11&lt;&gt;"",H11-H10,"")</f>
        <v/>
      </c>
      <c r="J11">
        <f>IF(I11&lt;&gt;"",I11^2,"")</f>
        <v/>
      </c>
      <c r="K11">
        <f>IF(AND(E11&lt;&gt;"",G11&lt;&gt;""),E11-G11,"")</f>
        <v/>
      </c>
      <c r="L11">
        <f>IF(K11&lt;&gt;"",K11^2,"")</f>
        <v/>
      </c>
      <c r="N11" t="inlineStr">
        <is>
          <t>Set Objective: O8</t>
        </is>
      </c>
    </row>
    <row r="12">
      <c r="A12" t="n">
        <v>2005</v>
      </c>
      <c r="B12">
        <f>PWT!B9</f>
        <v/>
      </c>
      <c r="C12">
        <f>PWT!C9</f>
        <v/>
      </c>
      <c r="D12">
        <f>IF(B12&gt;0,LN(B12),"")</f>
        <v/>
      </c>
      <c r="E12">
        <f>IF(C12&gt;0,LN(C12),"")</f>
        <v/>
      </c>
      <c r="F12">
        <f>IF(AND(E12&lt;&gt;"",D12&lt;&gt;""),E12-$B$4*D12,"")</f>
        <v/>
      </c>
      <c r="G12" t="n">
        <v>3.388096986212832</v>
      </c>
      <c r="H12">
        <f>IF(G12&lt;&gt;"",G12-G11,"")</f>
        <v/>
      </c>
      <c r="I12">
        <f>IF(H12&lt;&gt;"",H12-H11,"")</f>
        <v/>
      </c>
      <c r="J12">
        <f>IF(I12&lt;&gt;"",I12^2,"")</f>
        <v/>
      </c>
      <c r="K12">
        <f>IF(AND(E12&lt;&gt;"",G12&lt;&gt;""),E12-G12,"")</f>
        <v/>
      </c>
      <c r="L12">
        <f>IF(K12&lt;&gt;"",K12^2,"")</f>
        <v/>
      </c>
      <c r="N12" t="inlineStr">
        <is>
          <t>To: Min</t>
        </is>
      </c>
    </row>
    <row r="13">
      <c r="A13" t="n">
        <v>2006</v>
      </c>
      <c r="B13">
        <f>PWT!B10</f>
        <v/>
      </c>
      <c r="C13">
        <f>PWT!C10</f>
        <v/>
      </c>
      <c r="D13">
        <f>IF(B13&gt;0,LN(B13),"")</f>
        <v/>
      </c>
      <c r="E13">
        <f>IF(C13&gt;0,LN(C13),"")</f>
        <v/>
      </c>
      <c r="F13">
        <f>IF(AND(E13&lt;&gt;"",D13&lt;&gt;""),E13-$B$4*D13,"")</f>
        <v/>
      </c>
      <c r="G13" t="n">
        <v>3.445022297648864</v>
      </c>
      <c r="H13">
        <f>IF(G13&lt;&gt;"",G13-G12,"")</f>
        <v/>
      </c>
      <c r="I13">
        <f>IF(H13&lt;&gt;"",H13-H12,"")</f>
        <v/>
      </c>
      <c r="J13">
        <f>IF(I13&lt;&gt;"",I13^2,"")</f>
        <v/>
      </c>
      <c r="K13">
        <f>IF(AND(E13&lt;&gt;"",G13&lt;&gt;""),E13-G13,"")</f>
        <v/>
      </c>
      <c r="L13">
        <f>IF(K13&lt;&gt;"",K13^2,"")</f>
        <v/>
      </c>
      <c r="N13" t="inlineStr">
        <is>
          <t>By Changing: G9:G30</t>
        </is>
      </c>
    </row>
    <row r="14">
      <c r="A14" t="n">
        <v>2007</v>
      </c>
      <c r="B14">
        <f>PWT!B11</f>
        <v/>
      </c>
      <c r="C14">
        <f>PWT!C11</f>
        <v/>
      </c>
      <c r="D14">
        <f>IF(B14&gt;0,LN(B14),"")</f>
        <v/>
      </c>
      <c r="E14">
        <f>IF(C14&gt;0,LN(C14),"")</f>
        <v/>
      </c>
      <c r="F14">
        <f>IF(AND(E14&lt;&gt;"",D14&lt;&gt;""),E14-$B$4*D14,"")</f>
        <v/>
      </c>
      <c r="G14" t="n">
        <v>3.499193201481342</v>
      </c>
      <c r="H14">
        <f>IF(G14&lt;&gt;"",G14-G13,"")</f>
        <v/>
      </c>
      <c r="I14">
        <f>IF(H14&lt;&gt;"",H14-H13,"")</f>
        <v/>
      </c>
      <c r="J14">
        <f>IF(I14&lt;&gt;"",I14^2,"")</f>
        <v/>
      </c>
      <c r="K14">
        <f>IF(AND(E14&lt;&gt;"",G14&lt;&gt;""),E14-G14,"")</f>
        <v/>
      </c>
      <c r="L14">
        <f>IF(K14&lt;&gt;"",K14^2,"")</f>
        <v/>
      </c>
      <c r="N14" t="inlineStr">
        <is>
          <t>Method: GRG Nonlinear</t>
        </is>
      </c>
    </row>
    <row r="15">
      <c r="A15" t="n">
        <v>2008</v>
      </c>
      <c r="B15">
        <f>PWT!B12</f>
        <v/>
      </c>
      <c r="C15">
        <f>PWT!C12</f>
        <v/>
      </c>
      <c r="D15">
        <f>IF(B15&gt;0,LN(B15),"")</f>
        <v/>
      </c>
      <c r="E15">
        <f>IF(C15&gt;0,LN(C15),"")</f>
        <v/>
      </c>
      <c r="F15">
        <f>IF(AND(E15&lt;&gt;"",D15&lt;&gt;""),E15-$B$4*D15,"")</f>
        <v/>
      </c>
      <c r="G15" t="n">
        <v>3.550005780317995</v>
      </c>
      <c r="H15">
        <f>IF(G15&lt;&gt;"",G15-G14,"")</f>
        <v/>
      </c>
      <c r="I15">
        <f>IF(H15&lt;&gt;"",H15-H14,"")</f>
        <v/>
      </c>
      <c r="J15">
        <f>IF(I15&lt;&gt;"",I15^2,"")</f>
        <v/>
      </c>
      <c r="K15">
        <f>IF(AND(E15&lt;&gt;"",G15&lt;&gt;""),E15-G15,"")</f>
        <v/>
      </c>
      <c r="L15">
        <f>IF(K15&lt;&gt;"",K15^2,"")</f>
        <v/>
      </c>
    </row>
    <row r="16">
      <c r="A16" t="n">
        <v>2009</v>
      </c>
      <c r="B16">
        <f>PWT!B13</f>
        <v/>
      </c>
      <c r="C16">
        <f>PWT!C13</f>
        <v/>
      </c>
      <c r="D16">
        <f>IF(B16&gt;0,LN(B16),"")</f>
        <v/>
      </c>
      <c r="E16">
        <f>IF(C16&gt;0,LN(C16),"")</f>
        <v/>
      </c>
      <c r="F16">
        <f>IF(AND(E16&lt;&gt;"",D16&lt;&gt;""),E16-$B$4*D16,"")</f>
        <v/>
      </c>
      <c r="G16" t="n">
        <v>3.597620450545264</v>
      </c>
      <c r="H16">
        <f>IF(G16&lt;&gt;"",G16-G15,"")</f>
        <v/>
      </c>
      <c r="I16">
        <f>IF(H16&lt;&gt;"",H16-H15,"")</f>
        <v/>
      </c>
      <c r="J16">
        <f>IF(I16&lt;&gt;"",I16^2,"")</f>
        <v/>
      </c>
      <c r="K16">
        <f>IF(AND(E16&lt;&gt;"",G16&lt;&gt;""),E16-G16,"")</f>
        <v/>
      </c>
      <c r="L16">
        <f>IF(K16&lt;&gt;"",K16^2,"")</f>
        <v/>
      </c>
    </row>
    <row r="17">
      <c r="A17" t="n">
        <v>2010</v>
      </c>
      <c r="B17">
        <f>PWT!B14</f>
        <v/>
      </c>
      <c r="C17">
        <f>PWT!C14</f>
        <v/>
      </c>
      <c r="D17">
        <f>IF(B17&gt;0,LN(B17),"")</f>
        <v/>
      </c>
      <c r="E17">
        <f>IF(C17&gt;0,LN(C17),"")</f>
        <v/>
      </c>
      <c r="F17">
        <f>IF(AND(E17&lt;&gt;"",D17&lt;&gt;""),E17-$B$4*D17,"")</f>
        <v/>
      </c>
      <c r="G17" t="n">
        <v>3.642639120701459</v>
      </c>
      <c r="H17">
        <f>IF(G17&lt;&gt;"",G17-G16,"")</f>
        <v/>
      </c>
      <c r="I17">
        <f>IF(H17&lt;&gt;"",H17-H16,"")</f>
        <v/>
      </c>
      <c r="J17">
        <f>IF(I17&lt;&gt;"",I17^2,"")</f>
        <v/>
      </c>
      <c r="K17">
        <f>IF(AND(E17&lt;&gt;"",G17&lt;&gt;""),E17-G17,"")</f>
        <v/>
      </c>
      <c r="L17">
        <f>IF(K17&lt;&gt;"",K17^2,"")</f>
        <v/>
      </c>
    </row>
    <row r="18">
      <c r="A18" t="n">
        <v>2011</v>
      </c>
      <c r="B18">
        <f>PWT!B15</f>
        <v/>
      </c>
      <c r="C18">
        <f>PWT!C15</f>
        <v/>
      </c>
      <c r="D18">
        <f>IF(B18&gt;0,LN(B18),"")</f>
        <v/>
      </c>
      <c r="E18">
        <f>IF(C18&gt;0,LN(C18),"")</f>
        <v/>
      </c>
      <c r="F18">
        <f>IF(AND(E18&lt;&gt;"",D18&lt;&gt;""),E18-$B$4*D18,"")</f>
        <v/>
      </c>
      <c r="G18" t="n">
        <v>3.685287543546143</v>
      </c>
      <c r="H18">
        <f>IF(G18&lt;&gt;"",G18-G17,"")</f>
        <v/>
      </c>
      <c r="I18">
        <f>IF(H18&lt;&gt;"",H18-H17,"")</f>
        <v/>
      </c>
      <c r="J18">
        <f>IF(I18&lt;&gt;"",I18^2,"")</f>
        <v/>
      </c>
      <c r="K18">
        <f>IF(AND(E18&lt;&gt;"",G18&lt;&gt;""),E18-G18,"")</f>
        <v/>
      </c>
      <c r="L18">
        <f>IF(K18&lt;&gt;"",K18^2,"")</f>
        <v/>
      </c>
    </row>
    <row r="19">
      <c r="A19" t="n">
        <v>2012</v>
      </c>
      <c r="B19">
        <f>PWT!B16</f>
        <v/>
      </c>
      <c r="C19">
        <f>PWT!C16</f>
        <v/>
      </c>
      <c r="D19">
        <f>IF(B19&gt;0,LN(B19),"")</f>
        <v/>
      </c>
      <c r="E19">
        <f>IF(C19&gt;0,LN(C19),"")</f>
        <v/>
      </c>
      <c r="F19">
        <f>IF(AND(E19&lt;&gt;"",D19&lt;&gt;""),E19-$B$4*D19,"")</f>
        <v/>
      </c>
      <c r="G19" t="n">
        <v>3.725543302049116</v>
      </c>
      <c r="H19">
        <f>IF(G19&lt;&gt;"",G19-G18,"")</f>
        <v/>
      </c>
      <c r="I19">
        <f>IF(H19&lt;&gt;"",H19-H18,"")</f>
        <v/>
      </c>
      <c r="J19">
        <f>IF(I19&lt;&gt;"",I19^2,"")</f>
        <v/>
      </c>
      <c r="K19">
        <f>IF(AND(E19&lt;&gt;"",G19&lt;&gt;""),E19-G19,"")</f>
        <v/>
      </c>
      <c r="L19">
        <f>IF(K19&lt;&gt;"",K19^2,"")</f>
        <v/>
      </c>
    </row>
    <row r="20">
      <c r="A20" t="n">
        <v>2013</v>
      </c>
      <c r="B20">
        <f>PWT!B17</f>
        <v/>
      </c>
      <c r="C20">
        <f>PWT!C17</f>
        <v/>
      </c>
      <c r="D20">
        <f>IF(B20&gt;0,LN(B20),"")</f>
        <v/>
      </c>
      <c r="E20">
        <f>IF(C20&gt;0,LN(C20),"")</f>
        <v/>
      </c>
      <c r="F20">
        <f>IF(AND(E20&lt;&gt;"",D20&lt;&gt;""),E20-$B$4*D20,"")</f>
        <v/>
      </c>
      <c r="G20" t="n">
        <v>3.763406405349584</v>
      </c>
      <c r="H20">
        <f>IF(G20&lt;&gt;"",G20-G19,"")</f>
        <v/>
      </c>
      <c r="I20">
        <f>IF(H20&lt;&gt;"",H20-H19,"")</f>
        <v/>
      </c>
      <c r="J20">
        <f>IF(I20&lt;&gt;"",I20^2,"")</f>
        <v/>
      </c>
      <c r="K20">
        <f>IF(AND(E20&lt;&gt;"",G20&lt;&gt;""),E20-G20,"")</f>
        <v/>
      </c>
      <c r="L20">
        <f>IF(K20&lt;&gt;"",K20^2,"")</f>
        <v/>
      </c>
    </row>
    <row r="21">
      <c r="A21" t="n">
        <v>2014</v>
      </c>
      <c r="B21">
        <f>PWT!B18</f>
        <v/>
      </c>
      <c r="C21">
        <f>PWT!C18</f>
        <v/>
      </c>
      <c r="D21">
        <f>IF(B21&gt;0,LN(B21),"")</f>
        <v/>
      </c>
      <c r="E21">
        <f>IF(C21&gt;0,LN(C21),"")</f>
        <v/>
      </c>
      <c r="F21">
        <f>IF(AND(E21&lt;&gt;"",D21&lt;&gt;""),E21-$B$4*D21,"")</f>
        <v/>
      </c>
      <c r="G21" t="n">
        <v>3.79905360125219</v>
      </c>
      <c r="H21">
        <f>IF(G21&lt;&gt;"",G21-G20,"")</f>
        <v/>
      </c>
      <c r="I21">
        <f>IF(H21&lt;&gt;"",H21-H20,"")</f>
        <v/>
      </c>
      <c r="J21">
        <f>IF(I21&lt;&gt;"",I21^2,"")</f>
        <v/>
      </c>
      <c r="K21">
        <f>IF(AND(E21&lt;&gt;"",G21&lt;&gt;""),E21-G21,"")</f>
        <v/>
      </c>
      <c r="L21">
        <f>IF(K21&lt;&gt;"",K21^2,"")</f>
        <v/>
      </c>
    </row>
    <row r="22">
      <c r="A22" t="n">
        <v>2015</v>
      </c>
      <c r="B22">
        <f>PWT!B19</f>
        <v/>
      </c>
      <c r="C22">
        <f>PWT!C19</f>
        <v/>
      </c>
      <c r="D22">
        <f>IF(B22&gt;0,LN(B22),"")</f>
        <v/>
      </c>
      <c r="E22">
        <f>IF(C22&gt;0,LN(C22),"")</f>
        <v/>
      </c>
      <c r="F22">
        <f>IF(AND(E22&lt;&gt;"",D22&lt;&gt;""),E22-$B$4*D22,"")</f>
        <v/>
      </c>
      <c r="G22" t="n">
        <v>3.832911715540946</v>
      </c>
      <c r="H22">
        <f>IF(G22&lt;&gt;"",G22-G21,"")</f>
        <v/>
      </c>
      <c r="I22">
        <f>IF(H22&lt;&gt;"",H22-H21,"")</f>
        <v/>
      </c>
      <c r="J22">
        <f>IF(I22&lt;&gt;"",I22^2,"")</f>
        <v/>
      </c>
      <c r="K22">
        <f>IF(AND(E22&lt;&gt;"",G22&lt;&gt;""),E22-G22,"")</f>
        <v/>
      </c>
      <c r="L22">
        <f>IF(K22&lt;&gt;"",K22^2,"")</f>
        <v/>
      </c>
    </row>
    <row r="23">
      <c r="A23" t="n">
        <v>2016</v>
      </c>
      <c r="B23">
        <f>PWT!B20</f>
        <v/>
      </c>
      <c r="C23">
        <f>PWT!C20</f>
        <v/>
      </c>
      <c r="D23">
        <f>IF(B23&gt;0,LN(B23),"")</f>
        <v/>
      </c>
      <c r="E23">
        <f>IF(C23&gt;0,LN(C23),"")</f>
        <v/>
      </c>
      <c r="F23">
        <f>IF(AND(E23&lt;&gt;"",D23&lt;&gt;""),E23-$B$4*D23,"")</f>
        <v/>
      </c>
      <c r="G23" t="n">
        <v>3.865592117448706</v>
      </c>
      <c r="H23">
        <f>IF(G23&lt;&gt;"",G23-G22,"")</f>
        <v/>
      </c>
      <c r="I23">
        <f>IF(H23&lt;&gt;"",H23-H22,"")</f>
        <v/>
      </c>
      <c r="J23">
        <f>IF(I23&lt;&gt;"",I23^2,"")</f>
        <v/>
      </c>
      <c r="K23">
        <f>IF(AND(E23&lt;&gt;"",G23&lt;&gt;""),E23-G23,"")</f>
        <v/>
      </c>
      <c r="L23">
        <f>IF(K23&lt;&gt;"",K23^2,"")</f>
        <v/>
      </c>
    </row>
    <row r="24">
      <c r="A24" t="n">
        <v>2017</v>
      </c>
      <c r="B24">
        <f>PWT!B21</f>
        <v/>
      </c>
      <c r="C24">
        <f>PWT!C21</f>
        <v/>
      </c>
      <c r="D24">
        <f>IF(B24&gt;0,LN(B24),"")</f>
        <v/>
      </c>
      <c r="E24">
        <f>IF(C24&gt;0,LN(C24),"")</f>
        <v/>
      </c>
      <c r="F24">
        <f>IF(AND(E24&lt;&gt;"",D24&lt;&gt;""),E24-$B$4*D24,"")</f>
        <v/>
      </c>
      <c r="G24" t="n">
        <v>3.897738565074425</v>
      </c>
      <c r="H24">
        <f>IF(G24&lt;&gt;"",G24-G23,"")</f>
        <v/>
      </c>
      <c r="I24">
        <f>IF(H24&lt;&gt;"",H24-H23,"")</f>
        <v/>
      </c>
      <c r="J24">
        <f>IF(I24&lt;&gt;"",I24^2,"")</f>
        <v/>
      </c>
      <c r="K24">
        <f>IF(AND(E24&lt;&gt;"",G24&lt;&gt;""),E24-G24,"")</f>
        <v/>
      </c>
      <c r="L24">
        <f>IF(K24&lt;&gt;"",K24^2,"")</f>
        <v/>
      </c>
    </row>
    <row r="25">
      <c r="A25" t="n">
        <v>2018</v>
      </c>
      <c r="B25">
        <f>PWT!B22</f>
        <v/>
      </c>
      <c r="C25">
        <f>PWT!C22</f>
        <v/>
      </c>
      <c r="D25">
        <f>IF(B25&gt;0,LN(B25),"")</f>
        <v/>
      </c>
      <c r="E25">
        <f>IF(C25&gt;0,LN(C25),"")</f>
        <v/>
      </c>
      <c r="F25">
        <f>IF(AND(E25&lt;&gt;"",D25&lt;&gt;""),E25-$B$4*D25,"")</f>
        <v/>
      </c>
      <c r="G25" t="n">
        <v>3.929878746697431</v>
      </c>
      <c r="H25">
        <f>IF(G25&lt;&gt;"",G25-G24,"")</f>
        <v/>
      </c>
      <c r="I25">
        <f>IF(H25&lt;&gt;"",H25-H24,"")</f>
        <v/>
      </c>
      <c r="J25">
        <f>IF(I25&lt;&gt;"",I25^2,"")</f>
        <v/>
      </c>
      <c r="K25">
        <f>IF(AND(E25&lt;&gt;"",G25&lt;&gt;""),E25-G25,"")</f>
        <v/>
      </c>
      <c r="L25">
        <f>IF(K25&lt;&gt;"",K25^2,"")</f>
        <v/>
      </c>
    </row>
    <row r="26">
      <c r="A26" t="n">
        <v>2019</v>
      </c>
      <c r="B26">
        <f>PWT!B23</f>
        <v/>
      </c>
      <c r="C26">
        <f>PWT!C23</f>
        <v/>
      </c>
      <c r="D26">
        <f>IF(B26&gt;0,LN(B26),"")</f>
        <v/>
      </c>
      <c r="E26">
        <f>IF(C26&gt;0,LN(C26),"")</f>
        <v/>
      </c>
      <c r="F26">
        <f>IF(AND(E26&lt;&gt;"",D26&lt;&gt;""),E26-$B$4*D26,"")</f>
        <v/>
      </c>
      <c r="G26" t="n">
        <v>3.96246131670732</v>
      </c>
      <c r="H26">
        <f>IF(G26&lt;&gt;"",G26-G25,"")</f>
        <v/>
      </c>
      <c r="I26">
        <f>IF(H26&lt;&gt;"",H26-H25,"")</f>
        <v/>
      </c>
      <c r="J26">
        <f>IF(I26&lt;&gt;"",I26^2,"")</f>
        <v/>
      </c>
      <c r="K26">
        <f>IF(AND(E26&lt;&gt;"",G26&lt;&gt;""),E26-G26,"")</f>
        <v/>
      </c>
      <c r="L26">
        <f>IF(K26&lt;&gt;"",K26^2,"")</f>
        <v/>
      </c>
    </row>
    <row r="27">
      <c r="A27" t="n">
        <v>2020</v>
      </c>
      <c r="B27">
        <f>PWT!B24</f>
        <v/>
      </c>
      <c r="C27">
        <f>PWT!C24</f>
        <v/>
      </c>
      <c r="D27">
        <f>IF(B27&gt;0,LN(B27),"")</f>
        <v/>
      </c>
      <c r="E27">
        <f>IF(C27&gt;0,LN(C27),"")</f>
        <v/>
      </c>
      <c r="F27">
        <f>IF(AND(E27&lt;&gt;"",D27&lt;&gt;""),E27-$B$4*D27,"")</f>
        <v/>
      </c>
      <c r="G27" t="n">
        <v>3.995973054750941</v>
      </c>
      <c r="H27">
        <f>IF(G27&lt;&gt;"",G27-G26,"")</f>
        <v/>
      </c>
      <c r="I27">
        <f>IF(H27&lt;&gt;"",H27-H26,"")</f>
        <v/>
      </c>
      <c r="J27">
        <f>IF(I27&lt;&gt;"",I27^2,"")</f>
        <v/>
      </c>
      <c r="K27">
        <f>IF(AND(E27&lt;&gt;"",G27&lt;&gt;""),E27-G27,"")</f>
        <v/>
      </c>
      <c r="L27">
        <f>IF(K27&lt;&gt;"",K27^2,"")</f>
        <v/>
      </c>
    </row>
    <row r="28">
      <c r="A28" t="n">
        <v>2021</v>
      </c>
      <c r="B28">
        <f>PWT!B25</f>
        <v/>
      </c>
      <c r="C28">
        <f>PWT!C25</f>
        <v/>
      </c>
      <c r="D28">
        <f>IF(B28&gt;0,LN(B28),"")</f>
        <v/>
      </c>
      <c r="E28">
        <f>IF(C28&gt;0,LN(C28),"")</f>
        <v/>
      </c>
      <c r="F28">
        <f>IF(AND(E28&lt;&gt;"",D28&lt;&gt;""),E28-$B$4*D28,"")</f>
        <v/>
      </c>
      <c r="G28" t="n">
        <v>4.031006249806813</v>
      </c>
      <c r="H28">
        <f>IF(G28&lt;&gt;"",G28-G27,"")</f>
        <v/>
      </c>
      <c r="I28">
        <f>IF(H28&lt;&gt;"",H28-H27,"")</f>
        <v/>
      </c>
      <c r="J28">
        <f>IF(I28&lt;&gt;"",I28^2,"")</f>
        <v/>
      </c>
      <c r="K28">
        <f>IF(AND(E28&lt;&gt;"",G28&lt;&gt;""),E28-G28,"")</f>
        <v/>
      </c>
      <c r="L28">
        <f>IF(K28&lt;&gt;"",K28^2,"")</f>
        <v/>
      </c>
    </row>
    <row r="29">
      <c r="A29" t="n">
        <v>2022</v>
      </c>
      <c r="B29">
        <f>PWT!B26</f>
        <v/>
      </c>
      <c r="C29">
        <f>PWT!C26</f>
        <v/>
      </c>
      <c r="D29">
        <f>IF(B29&gt;0,LN(B29),"")</f>
        <v/>
      </c>
      <c r="E29">
        <f>IF(C29&gt;0,LN(C29),"")</f>
        <v/>
      </c>
      <c r="F29">
        <f>IF(AND(E29&lt;&gt;"",D29&lt;&gt;""),E29-$B$4*D29,"")</f>
        <v/>
      </c>
      <c r="G29" t="n">
        <v>4.067202519899761</v>
      </c>
      <c r="H29">
        <f>IF(G29&lt;&gt;"",G29-G28,"")</f>
        <v/>
      </c>
      <c r="I29">
        <f>IF(H29&lt;&gt;"",H29-H28,"")</f>
        <v/>
      </c>
      <c r="J29">
        <f>IF(I29&lt;&gt;"",I29^2,"")</f>
        <v/>
      </c>
      <c r="K29">
        <f>IF(AND(E29&lt;&gt;"",G29&lt;&gt;""),E29-G29,"")</f>
        <v/>
      </c>
      <c r="L29">
        <f>IF(K29&lt;&gt;"",K29^2,"")</f>
        <v/>
      </c>
    </row>
    <row r="30">
      <c r="A30" t="n">
        <v>2023</v>
      </c>
      <c r="B30">
        <f>PWT!B27</f>
        <v/>
      </c>
      <c r="C30">
        <f>PWT!C27</f>
        <v/>
      </c>
      <c r="D30">
        <f>IF(B30&gt;0,LN(B30),"")</f>
        <v/>
      </c>
      <c r="E30">
        <f>IF(C30&gt;0,LN(C30),"")</f>
        <v/>
      </c>
      <c r="F30">
        <f>IF(AND(E30&lt;&gt;"",D30&lt;&gt;""),E30-$B$4*D30,"")</f>
        <v/>
      </c>
      <c r="G30" t="n">
        <v>4.103854344611932</v>
      </c>
      <c r="H30">
        <f>IF(G30&lt;&gt;"",G30-G29,"")</f>
        <v/>
      </c>
      <c r="I30">
        <f>IF(H30&lt;&gt;"",H30-H29,"")</f>
        <v/>
      </c>
      <c r="J30">
        <f>IF(I30&lt;&gt;"",I30^2,"")</f>
        <v/>
      </c>
      <c r="K30">
        <f>IF(AND(E30&lt;&gt;"",G30&lt;&gt;""),E30-G30,"")</f>
        <v/>
      </c>
      <c r="L30">
        <f>IF(K30&lt;&gt;"",K30^2,"")</f>
        <v/>
      </c>
    </row>
    <row r="34">
      <c r="A34" s="3" t="inlineStr">
        <is>
          <t>PRODUCTION FUNCTION CALCULATIONS</t>
        </is>
      </c>
    </row>
    <row r="35">
      <c r="A35" s="6" t="inlineStr">
        <is>
          <t>Year</t>
        </is>
      </c>
      <c r="B35" s="6" t="inlineStr">
        <is>
          <t>Y (WEO)</t>
        </is>
      </c>
      <c r="C35" s="6" t="inlineStr">
        <is>
          <t>K</t>
        </is>
      </c>
      <c r="D35" s="6" t="inlineStr">
        <is>
          <t>K/Y</t>
        </is>
      </c>
      <c r="G35" s="6" t="inlineStr">
        <is>
          <t>TFP Trend (LnZ_HP)</t>
        </is>
      </c>
      <c r="H35" s="6" t="inlineStr">
        <is>
          <t>Ystar_base</t>
        </is>
      </c>
      <c r="I35" s="6" t="inlineStr">
        <is>
          <t>I_shock</t>
        </is>
      </c>
      <c r="J35" s="6" t="inlineStr">
        <is>
          <t>DeltaK</t>
        </is>
      </c>
      <c r="K35" s="6" t="inlineStr">
        <is>
          <t>K_with</t>
        </is>
      </c>
      <c r="L35" s="6" t="inlineStr">
        <is>
          <t>Ystar_with</t>
        </is>
      </c>
      <c r="M35" s="6" t="inlineStr">
        <is>
          <t>Delta_Y</t>
        </is>
      </c>
      <c r="N35" s="6" t="inlineStr">
        <is>
          <t>Delta_Y%</t>
        </is>
      </c>
    </row>
    <row r="36">
      <c r="A36" t="n">
        <v>2002</v>
      </c>
      <c r="B36">
        <f>WEO_Data!D6</f>
        <v/>
      </c>
      <c r="C36">
        <f>B9</f>
        <v/>
      </c>
      <c r="D36">
        <f>IF(AND(C36&gt;0,B36&gt;0),C36/B36,"")</f>
        <v/>
      </c>
      <c r="G36">
        <f>G9</f>
        <v/>
      </c>
      <c r="H36">
        <f>IF(AND(G36&lt;&gt;"",C36&gt;0),EXP(G36+$B$4*LN(C36)),"")</f>
        <v/>
      </c>
      <c r="I36" t="n">
        <v>0</v>
      </c>
      <c r="J36">
        <f>IF(C36&lt;&gt;"",I36-$B$3*C36,"")</f>
        <v/>
      </c>
      <c r="K36">
        <f>C36</f>
        <v/>
      </c>
      <c r="L36">
        <f>IF(AND(G36&lt;&gt;"",K36&gt;0),EXP(G36+$B$4*LN(K36)),"")</f>
        <v/>
      </c>
      <c r="M36">
        <f>IF(AND(L36&lt;&gt;"",H36&lt;&gt;""),L36-H36,"")</f>
        <v/>
      </c>
      <c r="N36">
        <f>IF(AND(M36&lt;&gt;"",H36&gt;0),M36/H36*100,"")</f>
        <v/>
      </c>
    </row>
    <row r="37">
      <c r="A37" t="n">
        <v>2003</v>
      </c>
      <c r="B37">
        <f>WEO_Data!D7</f>
        <v/>
      </c>
      <c r="C37">
        <f>B10</f>
        <v/>
      </c>
      <c r="D37">
        <f>IF(AND(C37&gt;0,B37&gt;0),C37/B37,"")</f>
        <v/>
      </c>
      <c r="G37">
        <f>G10</f>
        <v/>
      </c>
      <c r="H37">
        <f>IF(AND(G37&lt;&gt;"",C37&gt;0),EXP(G37+$B$4*LN(C37)),"")</f>
        <v/>
      </c>
      <c r="I37" t="n">
        <v>0</v>
      </c>
      <c r="J37">
        <f>IF(C37&lt;&gt;"",I37-$B$3*C37,"")</f>
        <v/>
      </c>
      <c r="K37">
        <f>IF(K36&lt;&gt;"",K36+J37,"")</f>
        <v/>
      </c>
      <c r="L37">
        <f>IF(AND(G37&lt;&gt;"",K37&gt;0),EXP(G37+$B$4*LN(K37)),"")</f>
        <v/>
      </c>
      <c r="M37">
        <f>IF(AND(L37&lt;&gt;"",H37&lt;&gt;""),L37-H37,"")</f>
        <v/>
      </c>
      <c r="N37">
        <f>IF(AND(M37&lt;&gt;"",H37&gt;0),M37/H37*100,"")</f>
        <v/>
      </c>
    </row>
    <row r="38">
      <c r="A38" t="n">
        <v>2004</v>
      </c>
      <c r="B38">
        <f>WEO_Data!D8</f>
        <v/>
      </c>
      <c r="C38">
        <f>B11</f>
        <v/>
      </c>
      <c r="D38">
        <f>IF(AND(C38&gt;0,B38&gt;0),C38/B38,"")</f>
        <v/>
      </c>
      <c r="G38">
        <f>G11</f>
        <v/>
      </c>
      <c r="H38">
        <f>IF(AND(G38&lt;&gt;"",C38&gt;0),EXP(G38+$B$4*LN(C38)),"")</f>
        <v/>
      </c>
      <c r="I38" t="n">
        <v>0</v>
      </c>
      <c r="J38">
        <f>IF(C38&lt;&gt;"",I38-$B$3*C38,"")</f>
        <v/>
      </c>
      <c r="K38">
        <f>IF(K37&lt;&gt;"",K37+J38,"")</f>
        <v/>
      </c>
      <c r="L38">
        <f>IF(AND(G38&lt;&gt;"",K38&gt;0),EXP(G38+$B$4*LN(K38)),"")</f>
        <v/>
      </c>
      <c r="M38">
        <f>IF(AND(L38&lt;&gt;"",H38&lt;&gt;""),L38-H38,"")</f>
        <v/>
      </c>
      <c r="N38">
        <f>IF(AND(M38&lt;&gt;"",H38&gt;0),M38/H38*100,"")</f>
        <v/>
      </c>
    </row>
    <row r="39">
      <c r="A39" t="n">
        <v>2005</v>
      </c>
      <c r="B39">
        <f>WEO_Data!D9</f>
        <v/>
      </c>
      <c r="C39">
        <f>B12</f>
        <v/>
      </c>
      <c r="D39">
        <f>IF(AND(C39&gt;0,B39&gt;0),C39/B39,"")</f>
        <v/>
      </c>
      <c r="G39">
        <f>G12</f>
        <v/>
      </c>
      <c r="H39">
        <f>IF(AND(G39&lt;&gt;"",C39&gt;0),EXP(G39+$B$4*LN(C39)),"")</f>
        <v/>
      </c>
      <c r="I39" t="n">
        <v>0</v>
      </c>
      <c r="J39">
        <f>IF(C39&lt;&gt;"",I39-$B$3*C39,"")</f>
        <v/>
      </c>
      <c r="K39">
        <f>IF(K38&lt;&gt;"",K38+J39,"")</f>
        <v/>
      </c>
      <c r="L39">
        <f>IF(AND(G39&lt;&gt;"",K39&gt;0),EXP(G39+$B$4*LN(K39)),"")</f>
        <v/>
      </c>
      <c r="M39">
        <f>IF(AND(L39&lt;&gt;"",H39&lt;&gt;""),L39-H39,"")</f>
        <v/>
      </c>
      <c r="N39">
        <f>IF(AND(M39&lt;&gt;"",H39&gt;0),M39/H39*100,"")</f>
        <v/>
      </c>
    </row>
    <row r="40">
      <c r="A40" t="n">
        <v>2006</v>
      </c>
      <c r="B40">
        <f>WEO_Data!D10</f>
        <v/>
      </c>
      <c r="C40">
        <f>B13</f>
        <v/>
      </c>
      <c r="D40">
        <f>IF(AND(C40&gt;0,B40&gt;0),C40/B40,"")</f>
        <v/>
      </c>
      <c r="G40">
        <f>G13</f>
        <v/>
      </c>
      <c r="H40">
        <f>IF(AND(G40&lt;&gt;"",C40&gt;0),EXP(G40+$B$4*LN(C40)),"")</f>
        <v/>
      </c>
      <c r="I40" t="n">
        <v>0</v>
      </c>
      <c r="J40">
        <f>IF(C40&lt;&gt;"",I40-$B$3*C40,"")</f>
        <v/>
      </c>
      <c r="K40">
        <f>IF(K39&lt;&gt;"",K39+J40,"")</f>
        <v/>
      </c>
      <c r="L40">
        <f>IF(AND(G40&lt;&gt;"",K40&gt;0),EXP(G40+$B$4*LN(K40)),"")</f>
        <v/>
      </c>
      <c r="M40">
        <f>IF(AND(L40&lt;&gt;"",H40&lt;&gt;""),L40-H40,"")</f>
        <v/>
      </c>
      <c r="N40">
        <f>IF(AND(M40&lt;&gt;"",H40&gt;0),M40/H40*100,"")</f>
        <v/>
      </c>
    </row>
    <row r="41">
      <c r="A41" t="n">
        <v>2007</v>
      </c>
      <c r="B41">
        <f>WEO_Data!D11</f>
        <v/>
      </c>
      <c r="C41">
        <f>B14</f>
        <v/>
      </c>
      <c r="D41">
        <f>IF(AND(C41&gt;0,B41&gt;0),C41/B41,"")</f>
        <v/>
      </c>
      <c r="G41">
        <f>G14</f>
        <v/>
      </c>
      <c r="H41">
        <f>IF(AND(G41&lt;&gt;"",C41&gt;0),EXP(G41+$B$4*LN(C41)),"")</f>
        <v/>
      </c>
      <c r="I41" t="n">
        <v>0</v>
      </c>
      <c r="J41">
        <f>IF(C41&lt;&gt;"",I41-$B$3*C41,"")</f>
        <v/>
      </c>
      <c r="K41">
        <f>IF(K40&lt;&gt;"",K40+J41,"")</f>
        <v/>
      </c>
      <c r="L41">
        <f>IF(AND(G41&lt;&gt;"",K41&gt;0),EXP(G41+$B$4*LN(K41)),"")</f>
        <v/>
      </c>
      <c r="M41">
        <f>IF(AND(L41&lt;&gt;"",H41&lt;&gt;""),L41-H41,"")</f>
        <v/>
      </c>
      <c r="N41">
        <f>IF(AND(M41&lt;&gt;"",H41&gt;0),M41/H41*100,"")</f>
        <v/>
      </c>
    </row>
    <row r="42">
      <c r="A42" t="n">
        <v>2008</v>
      </c>
      <c r="B42">
        <f>WEO_Data!D12</f>
        <v/>
      </c>
      <c r="C42">
        <f>B15</f>
        <v/>
      </c>
      <c r="D42">
        <f>IF(AND(C42&gt;0,B42&gt;0),C42/B42,"")</f>
        <v/>
      </c>
      <c r="G42">
        <f>G15</f>
        <v/>
      </c>
      <c r="H42">
        <f>IF(AND(G42&lt;&gt;"",C42&gt;0),EXP(G42+$B$4*LN(C42)),"")</f>
        <v/>
      </c>
      <c r="I42" t="n">
        <v>0</v>
      </c>
      <c r="J42">
        <f>IF(C42&lt;&gt;"",I42-$B$3*C42,"")</f>
        <v/>
      </c>
      <c r="K42">
        <f>IF(K41&lt;&gt;"",K41+J42,"")</f>
        <v/>
      </c>
      <c r="L42">
        <f>IF(AND(G42&lt;&gt;"",K42&gt;0),EXP(G42+$B$4*LN(K42)),"")</f>
        <v/>
      </c>
      <c r="M42">
        <f>IF(AND(L42&lt;&gt;"",H42&lt;&gt;""),L42-H42,"")</f>
        <v/>
      </c>
      <c r="N42">
        <f>IF(AND(M42&lt;&gt;"",H42&gt;0),M42/H42*100,"")</f>
        <v/>
      </c>
    </row>
    <row r="43">
      <c r="A43" t="n">
        <v>2009</v>
      </c>
      <c r="B43">
        <f>WEO_Data!D13</f>
        <v/>
      </c>
      <c r="C43">
        <f>B16</f>
        <v/>
      </c>
      <c r="D43">
        <f>IF(AND(C43&gt;0,B43&gt;0),C43/B43,"")</f>
        <v/>
      </c>
      <c r="G43">
        <f>G16</f>
        <v/>
      </c>
      <c r="H43">
        <f>IF(AND(G43&lt;&gt;"",C43&gt;0),EXP(G43+$B$4*LN(C43)),"")</f>
        <v/>
      </c>
      <c r="I43" t="n">
        <v>0</v>
      </c>
      <c r="J43">
        <f>IF(C43&lt;&gt;"",I43-$B$3*C43,"")</f>
        <v/>
      </c>
      <c r="K43">
        <f>IF(K42&lt;&gt;"",K42+J43,"")</f>
        <v/>
      </c>
      <c r="L43">
        <f>IF(AND(G43&lt;&gt;"",K43&gt;0),EXP(G43+$B$4*LN(K43)),"")</f>
        <v/>
      </c>
      <c r="M43">
        <f>IF(AND(L43&lt;&gt;"",H43&lt;&gt;""),L43-H43,"")</f>
        <v/>
      </c>
      <c r="N43">
        <f>IF(AND(M43&lt;&gt;"",H43&gt;0),M43/H43*100,"")</f>
        <v/>
      </c>
    </row>
    <row r="44">
      <c r="A44" t="n">
        <v>2010</v>
      </c>
      <c r="B44">
        <f>WEO_Data!D14</f>
        <v/>
      </c>
      <c r="C44">
        <f>B17</f>
        <v/>
      </c>
      <c r="D44">
        <f>IF(AND(C44&gt;0,B44&gt;0),C44/B44,"")</f>
        <v/>
      </c>
      <c r="G44">
        <f>G17</f>
        <v/>
      </c>
      <c r="H44">
        <f>IF(AND(G44&lt;&gt;"",C44&gt;0),EXP(G44+$B$4*LN(C44)),"")</f>
        <v/>
      </c>
      <c r="I44" t="n">
        <v>0</v>
      </c>
      <c r="J44">
        <f>IF(C44&lt;&gt;"",I44-$B$3*C44,"")</f>
        <v/>
      </c>
      <c r="K44">
        <f>IF(K43&lt;&gt;"",K43+J44,"")</f>
        <v/>
      </c>
      <c r="L44">
        <f>IF(AND(G44&lt;&gt;"",K44&gt;0),EXP(G44+$B$4*LN(K44)),"")</f>
        <v/>
      </c>
      <c r="M44">
        <f>IF(AND(L44&lt;&gt;"",H44&lt;&gt;""),L44-H44,"")</f>
        <v/>
      </c>
      <c r="N44">
        <f>IF(AND(M44&lt;&gt;"",H44&gt;0),M44/H44*100,"")</f>
        <v/>
      </c>
    </row>
    <row r="45">
      <c r="A45" t="n">
        <v>2011</v>
      </c>
      <c r="B45">
        <f>WEO_Data!D15</f>
        <v/>
      </c>
      <c r="C45">
        <f>B18</f>
        <v/>
      </c>
      <c r="D45">
        <f>IF(AND(C45&gt;0,B45&gt;0),C45/B45,"")</f>
        <v/>
      </c>
      <c r="G45">
        <f>G18</f>
        <v/>
      </c>
      <c r="H45">
        <f>IF(AND(G45&lt;&gt;"",C45&gt;0),EXP(G45+$B$4*LN(C45)),"")</f>
        <v/>
      </c>
      <c r="I45" t="n">
        <v>0</v>
      </c>
      <c r="J45">
        <f>IF(C45&lt;&gt;"",I45-$B$3*C45,"")</f>
        <v/>
      </c>
      <c r="K45">
        <f>IF(K44&lt;&gt;"",K44+J45,"")</f>
        <v/>
      </c>
      <c r="L45">
        <f>IF(AND(G45&lt;&gt;"",K45&gt;0),EXP(G45+$B$4*LN(K45)),"")</f>
        <v/>
      </c>
      <c r="M45">
        <f>IF(AND(L45&lt;&gt;"",H45&lt;&gt;""),L45-H45,"")</f>
        <v/>
      </c>
      <c r="N45">
        <f>IF(AND(M45&lt;&gt;"",H45&gt;0),M45/H45*100,"")</f>
        <v/>
      </c>
    </row>
    <row r="46">
      <c r="A46" t="n">
        <v>2012</v>
      </c>
      <c r="B46">
        <f>WEO_Data!D16</f>
        <v/>
      </c>
      <c r="C46">
        <f>B19</f>
        <v/>
      </c>
      <c r="D46">
        <f>IF(AND(C46&gt;0,B46&gt;0),C46/B46,"")</f>
        <v/>
      </c>
      <c r="G46">
        <f>G19</f>
        <v/>
      </c>
      <c r="H46">
        <f>IF(AND(G46&lt;&gt;"",C46&gt;0),EXP(G46+$B$4*LN(C46)),"")</f>
        <v/>
      </c>
      <c r="I46" t="n">
        <v>0</v>
      </c>
      <c r="J46">
        <f>IF(C46&lt;&gt;"",I46-$B$3*C46,"")</f>
        <v/>
      </c>
      <c r="K46">
        <f>IF(K45&lt;&gt;"",K45+J46,"")</f>
        <v/>
      </c>
      <c r="L46">
        <f>IF(AND(G46&lt;&gt;"",K46&gt;0),EXP(G46+$B$4*LN(K46)),"")</f>
        <v/>
      </c>
      <c r="M46">
        <f>IF(AND(L46&lt;&gt;"",H46&lt;&gt;""),L46-H46,"")</f>
        <v/>
      </c>
      <c r="N46">
        <f>IF(AND(M46&lt;&gt;"",H46&gt;0),M46/H46*100,"")</f>
        <v/>
      </c>
    </row>
    <row r="47">
      <c r="A47" t="n">
        <v>2013</v>
      </c>
      <c r="B47">
        <f>WEO_Data!D17</f>
        <v/>
      </c>
      <c r="C47">
        <f>B20</f>
        <v/>
      </c>
      <c r="D47">
        <f>IF(AND(C47&gt;0,B47&gt;0),C47/B47,"")</f>
        <v/>
      </c>
      <c r="G47">
        <f>G20</f>
        <v/>
      </c>
      <c r="H47">
        <f>IF(AND(G47&lt;&gt;"",C47&gt;0),EXP(G47+$B$4*LN(C47)),"")</f>
        <v/>
      </c>
      <c r="I47" t="n">
        <v>0</v>
      </c>
      <c r="J47">
        <f>IF(C47&lt;&gt;"",I47-$B$3*C47,"")</f>
        <v/>
      </c>
      <c r="K47">
        <f>IF(K46&lt;&gt;"",K46+J47,"")</f>
        <v/>
      </c>
      <c r="L47">
        <f>IF(AND(G47&lt;&gt;"",K47&gt;0),EXP(G47+$B$4*LN(K47)),"")</f>
        <v/>
      </c>
      <c r="M47">
        <f>IF(AND(L47&lt;&gt;"",H47&lt;&gt;""),L47-H47,"")</f>
        <v/>
      </c>
      <c r="N47">
        <f>IF(AND(M47&lt;&gt;"",H47&gt;0),M47/H47*100,"")</f>
        <v/>
      </c>
    </row>
    <row r="48">
      <c r="A48" t="n">
        <v>2014</v>
      </c>
      <c r="B48">
        <f>WEO_Data!D18</f>
        <v/>
      </c>
      <c r="C48">
        <f>B21</f>
        <v/>
      </c>
      <c r="D48">
        <f>IF(AND(C48&gt;0,B48&gt;0),C48/B48,"")</f>
        <v/>
      </c>
      <c r="G48">
        <f>G21</f>
        <v/>
      </c>
      <c r="H48">
        <f>IF(AND(G48&lt;&gt;"",C48&gt;0),EXP(G48+$B$4*LN(C48)),"")</f>
        <v/>
      </c>
      <c r="I48" t="n">
        <v>0</v>
      </c>
      <c r="J48">
        <f>IF(C48&lt;&gt;"",I48-$B$3*C48,"")</f>
        <v/>
      </c>
      <c r="K48">
        <f>IF(K47&lt;&gt;"",K47+J48,"")</f>
        <v/>
      </c>
      <c r="L48">
        <f>IF(AND(G48&lt;&gt;"",K48&gt;0),EXP(G48+$B$4*LN(K48)),"")</f>
        <v/>
      </c>
      <c r="M48">
        <f>IF(AND(L48&lt;&gt;"",H48&lt;&gt;""),L48-H48,"")</f>
        <v/>
      </c>
      <c r="N48">
        <f>IF(AND(M48&lt;&gt;"",H48&gt;0),M48/H48*100,"")</f>
        <v/>
      </c>
    </row>
    <row r="49">
      <c r="A49" t="n">
        <v>2015</v>
      </c>
      <c r="B49">
        <f>WEO_Data!D19</f>
        <v/>
      </c>
      <c r="C49">
        <f>B22</f>
        <v/>
      </c>
      <c r="D49">
        <f>IF(AND(C49&gt;0,B49&gt;0),C49/B49,"")</f>
        <v/>
      </c>
      <c r="G49">
        <f>G22</f>
        <v/>
      </c>
      <c r="H49">
        <f>IF(AND(G49&lt;&gt;"",C49&gt;0),EXP(G49+$B$4*LN(C49)),"")</f>
        <v/>
      </c>
      <c r="I49" t="n">
        <v>0</v>
      </c>
      <c r="J49">
        <f>IF(C49&lt;&gt;"",I49-$B$3*C49,"")</f>
        <v/>
      </c>
      <c r="K49">
        <f>IF(K48&lt;&gt;"",K48+J49,"")</f>
        <v/>
      </c>
      <c r="L49">
        <f>IF(AND(G49&lt;&gt;"",K49&gt;0),EXP(G49+$B$4*LN(K49)),"")</f>
        <v/>
      </c>
      <c r="M49">
        <f>IF(AND(L49&lt;&gt;"",H49&lt;&gt;""),L49-H49,"")</f>
        <v/>
      </c>
      <c r="N49">
        <f>IF(AND(M49&lt;&gt;"",H49&gt;0),M49/H49*100,"")</f>
        <v/>
      </c>
    </row>
    <row r="50">
      <c r="A50" t="n">
        <v>2016</v>
      </c>
      <c r="B50">
        <f>WEO_Data!D20</f>
        <v/>
      </c>
      <c r="C50">
        <f>B23</f>
        <v/>
      </c>
      <c r="D50">
        <f>IF(AND(C50&gt;0,B50&gt;0),C50/B50,"")</f>
        <v/>
      </c>
      <c r="G50">
        <f>G23</f>
        <v/>
      </c>
      <c r="H50">
        <f>IF(AND(G50&lt;&gt;"",C50&gt;0),EXP(G50+$B$4*LN(C50)),"")</f>
        <v/>
      </c>
      <c r="I50" t="n">
        <v>0</v>
      </c>
      <c r="J50">
        <f>IF(C50&lt;&gt;"",I50-$B$3*C50,"")</f>
        <v/>
      </c>
      <c r="K50">
        <f>IF(K49&lt;&gt;"",K49+J50,"")</f>
        <v/>
      </c>
      <c r="L50">
        <f>IF(AND(G50&lt;&gt;"",K50&gt;0),EXP(G50+$B$4*LN(K50)),"")</f>
        <v/>
      </c>
      <c r="M50">
        <f>IF(AND(L50&lt;&gt;"",H50&lt;&gt;""),L50-H50,"")</f>
        <v/>
      </c>
      <c r="N50">
        <f>IF(AND(M50&lt;&gt;"",H50&gt;0),M50/H50*100,"")</f>
        <v/>
      </c>
    </row>
    <row r="51">
      <c r="A51" t="n">
        <v>2017</v>
      </c>
      <c r="B51">
        <f>WEO_Data!D21</f>
        <v/>
      </c>
      <c r="C51">
        <f>B24</f>
        <v/>
      </c>
      <c r="D51">
        <f>IF(AND(C51&gt;0,B51&gt;0),C51/B51,"")</f>
        <v/>
      </c>
      <c r="G51">
        <f>G24</f>
        <v/>
      </c>
      <c r="H51">
        <f>IF(AND(G51&lt;&gt;"",C51&gt;0),EXP(G51+$B$4*LN(C51)),"")</f>
        <v/>
      </c>
      <c r="I51" t="n">
        <v>0</v>
      </c>
      <c r="J51">
        <f>IF(C51&lt;&gt;"",I51-$B$3*C51,"")</f>
        <v/>
      </c>
      <c r="K51">
        <f>IF(K50&lt;&gt;"",K50+J51,"")</f>
        <v/>
      </c>
      <c r="L51">
        <f>IF(AND(G51&lt;&gt;"",K51&gt;0),EXP(G51+$B$4*LN(K51)),"")</f>
        <v/>
      </c>
      <c r="M51">
        <f>IF(AND(L51&lt;&gt;"",H51&lt;&gt;""),L51-H51,"")</f>
        <v/>
      </c>
      <c r="N51">
        <f>IF(AND(M51&lt;&gt;"",H51&gt;0),M51/H51*100,"")</f>
        <v/>
      </c>
    </row>
    <row r="52">
      <c r="A52" t="n">
        <v>2018</v>
      </c>
      <c r="B52">
        <f>WEO_Data!D22</f>
        <v/>
      </c>
      <c r="C52">
        <f>B25</f>
        <v/>
      </c>
      <c r="D52">
        <f>IF(AND(C52&gt;0,B52&gt;0),C52/B52,"")</f>
        <v/>
      </c>
      <c r="G52">
        <f>G25</f>
        <v/>
      </c>
      <c r="H52">
        <f>IF(AND(G52&lt;&gt;"",C52&gt;0),EXP(G52+$B$4*LN(C52)),"")</f>
        <v/>
      </c>
      <c r="I52" t="n">
        <v>0</v>
      </c>
      <c r="J52">
        <f>IF(C52&lt;&gt;"",I52-$B$3*C52,"")</f>
        <v/>
      </c>
      <c r="K52">
        <f>IF(K51&lt;&gt;"",K51+J52,"")</f>
        <v/>
      </c>
      <c r="L52">
        <f>IF(AND(G52&lt;&gt;"",K52&gt;0),EXP(G52+$B$4*LN(K52)),"")</f>
        <v/>
      </c>
      <c r="M52">
        <f>IF(AND(L52&lt;&gt;"",H52&lt;&gt;""),L52-H52,"")</f>
        <v/>
      </c>
      <c r="N52">
        <f>IF(AND(M52&lt;&gt;"",H52&gt;0),M52/H52*100,"")</f>
        <v/>
      </c>
    </row>
    <row r="53">
      <c r="A53" t="n">
        <v>2019</v>
      </c>
      <c r="B53">
        <f>WEO_Data!D23</f>
        <v/>
      </c>
      <c r="C53">
        <f>B26</f>
        <v/>
      </c>
      <c r="D53">
        <f>IF(AND(C53&gt;0,B53&gt;0),C53/B53,"")</f>
        <v/>
      </c>
      <c r="G53">
        <f>G26</f>
        <v/>
      </c>
      <c r="H53">
        <f>IF(AND(G53&lt;&gt;"",C53&gt;0),EXP(G53+$B$4*LN(C53)),"")</f>
        <v/>
      </c>
      <c r="I53" t="n">
        <v>0</v>
      </c>
      <c r="J53">
        <f>IF(C53&lt;&gt;"",I53-$B$3*C53,"")</f>
        <v/>
      </c>
      <c r="K53">
        <f>IF(K52&lt;&gt;"",K52+J53,"")</f>
        <v/>
      </c>
      <c r="L53">
        <f>IF(AND(G53&lt;&gt;"",K53&gt;0),EXP(G53+$B$4*LN(K53)),"")</f>
        <v/>
      </c>
      <c r="M53">
        <f>IF(AND(L53&lt;&gt;"",H53&lt;&gt;""),L53-H53,"")</f>
        <v/>
      </c>
      <c r="N53">
        <f>IF(AND(M53&lt;&gt;"",H53&gt;0),M53/H53*100,"")</f>
        <v/>
      </c>
    </row>
    <row r="54">
      <c r="A54" t="n">
        <v>2020</v>
      </c>
      <c r="B54">
        <f>WEO_Data!D24</f>
        <v/>
      </c>
      <c r="C54">
        <f>B27</f>
        <v/>
      </c>
      <c r="D54">
        <f>IF(AND(C54&gt;0,B54&gt;0),C54/B54,"")</f>
        <v/>
      </c>
      <c r="G54">
        <f>G27</f>
        <v/>
      </c>
      <c r="H54">
        <f>IF(AND(G54&lt;&gt;"",C54&gt;0),EXP(G54+$B$4*LN(C54)),"")</f>
        <v/>
      </c>
      <c r="I54" t="n">
        <v>0</v>
      </c>
      <c r="J54">
        <f>IF(C54&lt;&gt;"",I54-$B$3*C54,"")</f>
        <v/>
      </c>
      <c r="K54">
        <f>IF(K53&lt;&gt;"",K53+J54,"")</f>
        <v/>
      </c>
      <c r="L54">
        <f>IF(AND(G54&lt;&gt;"",K54&gt;0),EXP(G54+$B$4*LN(K54)),"")</f>
        <v/>
      </c>
      <c r="M54">
        <f>IF(AND(L54&lt;&gt;"",H54&lt;&gt;""),L54-H54,"")</f>
        <v/>
      </c>
      <c r="N54">
        <f>IF(AND(M54&lt;&gt;"",H54&gt;0),M54/H54*100,"")</f>
        <v/>
      </c>
    </row>
    <row r="55">
      <c r="A55" t="n">
        <v>2021</v>
      </c>
      <c r="B55">
        <f>WEO_Data!D25</f>
        <v/>
      </c>
      <c r="C55">
        <f>B28</f>
        <v/>
      </c>
      <c r="D55">
        <f>IF(AND(C55&gt;0,B55&gt;0),C55/B55,"")</f>
        <v/>
      </c>
      <c r="G55">
        <f>G28</f>
        <v/>
      </c>
      <c r="H55">
        <f>IF(AND(G55&lt;&gt;"",C55&gt;0),EXP(G55+$B$4*LN(C55)),"")</f>
        <v/>
      </c>
      <c r="I55" t="n">
        <v>0</v>
      </c>
      <c r="J55">
        <f>IF(C55&lt;&gt;"",I55-$B$3*C55,"")</f>
        <v/>
      </c>
      <c r="K55">
        <f>IF(K54&lt;&gt;"",K54+J55,"")</f>
        <v/>
      </c>
      <c r="L55">
        <f>IF(AND(G55&lt;&gt;"",K55&gt;0),EXP(G55+$B$4*LN(K55)),"")</f>
        <v/>
      </c>
      <c r="M55">
        <f>IF(AND(L55&lt;&gt;"",H55&lt;&gt;""),L55-H55,"")</f>
        <v/>
      </c>
      <c r="N55">
        <f>IF(AND(M55&lt;&gt;"",H55&gt;0),M55/H55*100,"")</f>
        <v/>
      </c>
    </row>
    <row r="56">
      <c r="A56" t="n">
        <v>2022</v>
      </c>
      <c r="B56">
        <f>WEO_Data!D26</f>
        <v/>
      </c>
      <c r="C56">
        <f>B29</f>
        <v/>
      </c>
      <c r="D56">
        <f>IF(AND(C56&gt;0,B56&gt;0),C56/B56,"")</f>
        <v/>
      </c>
      <c r="G56">
        <f>G29</f>
        <v/>
      </c>
      <c r="H56">
        <f>IF(AND(G56&lt;&gt;"",C56&gt;0),EXP(G56+$B$4*LN(C56)),"")</f>
        <v/>
      </c>
      <c r="I56" t="n">
        <v>0</v>
      </c>
      <c r="J56">
        <f>IF(C56&lt;&gt;"",I56-$B$3*C56,"")</f>
        <v/>
      </c>
      <c r="K56">
        <f>IF(K55&lt;&gt;"",K55+J56,"")</f>
        <v/>
      </c>
      <c r="L56">
        <f>IF(AND(G56&lt;&gt;"",K56&gt;0),EXP(G56+$B$4*LN(K56)),"")</f>
        <v/>
      </c>
      <c r="M56">
        <f>IF(AND(L56&lt;&gt;"",H56&lt;&gt;""),L56-H56,"")</f>
        <v/>
      </c>
      <c r="N56">
        <f>IF(AND(M56&lt;&gt;"",H56&gt;0),M56/H56*100,"")</f>
        <v/>
      </c>
    </row>
    <row r="57">
      <c r="A57" t="n">
        <v>2023</v>
      </c>
      <c r="B57">
        <f>WEO_Data!D27</f>
        <v/>
      </c>
      <c r="C57">
        <f>B30</f>
        <v/>
      </c>
      <c r="D57">
        <f>IF(AND(C57&gt;0,B57&gt;0),C57/B57,"")</f>
        <v/>
      </c>
      <c r="G57">
        <f>G30</f>
        <v/>
      </c>
      <c r="H57">
        <f>IF(AND(G57&lt;&gt;"",C57&gt;0),EXP(G57+$B$4*LN(C57)),"")</f>
        <v/>
      </c>
      <c r="I57" t="n">
        <v>0</v>
      </c>
      <c r="J57">
        <f>IF(C57&lt;&gt;"",I57-$B$3*C57,"")</f>
        <v/>
      </c>
      <c r="K57">
        <f>IF(K56&lt;&gt;"",K56+J57,"")</f>
        <v/>
      </c>
      <c r="L57">
        <f>IF(AND(G57&lt;&gt;"",K57&gt;0),EXP(G57+$B$4*LN(K57)),"")</f>
        <v/>
      </c>
      <c r="M57">
        <f>IF(AND(L57&lt;&gt;"",H57&lt;&gt;""),L57-H57,"")</f>
        <v/>
      </c>
      <c r="N57">
        <f>IF(AND(M57&lt;&gt;"",H57&gt;0),M57/H57*100,"")</f>
        <v/>
      </c>
    </row>
    <row r="58">
      <c r="A58" t="n">
        <v>2024</v>
      </c>
      <c r="B58">
        <f>WEO_Data!D28</f>
        <v/>
      </c>
      <c r="C58">
        <f>B58*$B$5</f>
        <v/>
      </c>
      <c r="G58">
        <f>TREND($G$36:$G$57,$A$36:$A$57,A58,TRUE)</f>
        <v/>
      </c>
      <c r="H58">
        <f>IF(AND(G58&lt;&gt;"",C58&gt;0),EXP(G58+$B$4*LN(C58)),"")</f>
        <v/>
      </c>
      <c r="I58">
        <f>Investment!B4</f>
        <v/>
      </c>
      <c r="J58">
        <f>IF(C58&lt;&gt;"",I58-$B$3*C58,"")</f>
        <v/>
      </c>
      <c r="K58">
        <f>IF(K57&lt;&gt;"",K57+J58,"")</f>
        <v/>
      </c>
      <c r="L58">
        <f>IF(AND(G58&lt;&gt;"",K58&gt;0),EXP(G58+$B$4*LN(K58)),"")</f>
        <v/>
      </c>
      <c r="M58">
        <f>IF(AND(L58&lt;&gt;"",H58&lt;&gt;""),L58-H58,"")</f>
        <v/>
      </c>
      <c r="N58">
        <f>IF(AND(M58&lt;&gt;"",H58&gt;0),M58/H58*100,"")</f>
        <v/>
      </c>
    </row>
    <row r="59">
      <c r="A59" t="n">
        <v>2025</v>
      </c>
      <c r="B59">
        <f>WEO_Data!D29</f>
        <v/>
      </c>
      <c r="C59">
        <f>B59*$B$5</f>
        <v/>
      </c>
      <c r="G59">
        <f>TREND($G$36:$G$57,$A$36:$A$57,A59,TRUE)</f>
        <v/>
      </c>
      <c r="H59">
        <f>IF(AND(G59&lt;&gt;"",C59&gt;0),EXP(G59+$B$4*LN(C59)),"")</f>
        <v/>
      </c>
      <c r="I59">
        <f>Investment!B5</f>
        <v/>
      </c>
      <c r="J59">
        <f>IF(C59&lt;&gt;"",I59-$B$3*C59,"")</f>
        <v/>
      </c>
      <c r="K59">
        <f>IF(K58&lt;&gt;"",K58+J59,"")</f>
        <v/>
      </c>
      <c r="L59">
        <f>IF(AND(G59&lt;&gt;"",K59&gt;0),EXP(G59+$B$4*LN(K59)),"")</f>
        <v/>
      </c>
      <c r="M59">
        <f>IF(AND(L59&lt;&gt;"",H59&lt;&gt;""),L59-H59,"")</f>
        <v/>
      </c>
      <c r="N59">
        <f>IF(AND(M59&lt;&gt;"",H59&gt;0),M59/H59*100,"")</f>
        <v/>
      </c>
    </row>
    <row r="60">
      <c r="A60" t="n">
        <v>2026</v>
      </c>
      <c r="B60">
        <f>WEO_Data!D30</f>
        <v/>
      </c>
      <c r="C60">
        <f>B60*$B$5</f>
        <v/>
      </c>
      <c r="G60">
        <f>TREND($G$36:$G$57,$A$36:$A$57,A60,TRUE)</f>
        <v/>
      </c>
      <c r="H60">
        <f>IF(AND(G60&lt;&gt;"",C60&gt;0),EXP(G60+$B$4*LN(C60)),"")</f>
        <v/>
      </c>
      <c r="I60">
        <f>Investment!B6</f>
        <v/>
      </c>
      <c r="J60">
        <f>IF(C60&lt;&gt;"",I60-$B$3*C60,"")</f>
        <v/>
      </c>
      <c r="K60">
        <f>IF(K59&lt;&gt;"",K59+J60,"")</f>
        <v/>
      </c>
      <c r="L60">
        <f>IF(AND(G60&lt;&gt;"",K60&gt;0),EXP(G60+$B$4*LN(K60)),"")</f>
        <v/>
      </c>
      <c r="M60">
        <f>IF(AND(L60&lt;&gt;"",H60&lt;&gt;""),L60-H60,"")</f>
        <v/>
      </c>
      <c r="N60">
        <f>IF(AND(M60&lt;&gt;"",H60&gt;0),M60/H60*100,"")</f>
        <v/>
      </c>
    </row>
    <row r="61">
      <c r="A61" t="n">
        <v>2027</v>
      </c>
      <c r="B61">
        <f>WEO_Data!D31</f>
        <v/>
      </c>
      <c r="C61">
        <f>B61*$B$5</f>
        <v/>
      </c>
      <c r="G61">
        <f>TREND($G$36:$G$57,$A$36:$A$57,A61,TRUE)</f>
        <v/>
      </c>
      <c r="H61">
        <f>IF(AND(G61&lt;&gt;"",C61&gt;0),EXP(G61+$B$4*LN(C61)),"")</f>
        <v/>
      </c>
      <c r="I61">
        <f>Investment!B7</f>
        <v/>
      </c>
      <c r="J61">
        <f>IF(C61&lt;&gt;"",I61-$B$3*C61,"")</f>
        <v/>
      </c>
      <c r="K61">
        <f>IF(K60&lt;&gt;"",K60+J61,"")</f>
        <v/>
      </c>
      <c r="L61">
        <f>IF(AND(G61&lt;&gt;"",K61&gt;0),EXP(G61+$B$4*LN(K61)),"")</f>
        <v/>
      </c>
      <c r="M61">
        <f>IF(AND(L61&lt;&gt;"",H61&lt;&gt;""),L61-H61,"")</f>
        <v/>
      </c>
      <c r="N61">
        <f>IF(AND(M61&lt;&gt;"",H61&gt;0),M61/H61*100,"")</f>
        <v/>
      </c>
    </row>
    <row r="62">
      <c r="A62" t="n">
        <v>2028</v>
      </c>
      <c r="B62">
        <f>WEO_Data!D32</f>
        <v/>
      </c>
      <c r="C62">
        <f>B62*$B$5</f>
        <v/>
      </c>
      <c r="G62">
        <f>TREND($G$36:$G$57,$A$36:$A$57,A62,TRUE)</f>
        <v/>
      </c>
      <c r="H62">
        <f>IF(AND(G62&lt;&gt;"",C62&gt;0),EXP(G62+$B$4*LN(C62)),"")</f>
        <v/>
      </c>
      <c r="I62">
        <f>Investment!B8</f>
        <v/>
      </c>
      <c r="J62">
        <f>IF(C62&lt;&gt;"",I62-$B$3*C62,"")</f>
        <v/>
      </c>
      <c r="K62">
        <f>IF(K61&lt;&gt;"",K61+J62,"")</f>
        <v/>
      </c>
      <c r="L62">
        <f>IF(AND(G62&lt;&gt;"",K62&gt;0),EXP(G62+$B$4*LN(K62)),"")</f>
        <v/>
      </c>
      <c r="M62">
        <f>IF(AND(L62&lt;&gt;"",H62&lt;&gt;""),L62-H62,"")</f>
        <v/>
      </c>
      <c r="N62">
        <f>IF(AND(M62&lt;&gt;"",H62&gt;0),M62/H62*100,"")</f>
        <v/>
      </c>
    </row>
    <row r="63">
      <c r="A63" t="n">
        <v>2029</v>
      </c>
      <c r="B63">
        <f>WEO_Data!D33</f>
        <v/>
      </c>
      <c r="C63">
        <f>B63*$B$5</f>
        <v/>
      </c>
      <c r="G63">
        <f>TREND($G$36:$G$57,$A$36:$A$57,A63,TRUE)</f>
        <v/>
      </c>
      <c r="H63">
        <f>IF(AND(G63&lt;&gt;"",C63&gt;0),EXP(G63+$B$4*LN(C63)),"")</f>
        <v/>
      </c>
      <c r="I63">
        <f>Investment!B9</f>
        <v/>
      </c>
      <c r="J63">
        <f>IF(C63&lt;&gt;"",I63-$B$3*C63,"")</f>
        <v/>
      </c>
      <c r="K63">
        <f>IF(K62&lt;&gt;"",K62+J63,"")</f>
        <v/>
      </c>
      <c r="L63">
        <f>IF(AND(G63&lt;&gt;"",K63&gt;0),EXP(G63+$B$4*LN(K63)),"")</f>
        <v/>
      </c>
      <c r="M63">
        <f>IF(AND(L63&lt;&gt;"",H63&lt;&gt;""),L63-H63,"")</f>
        <v/>
      </c>
      <c r="N63">
        <f>IF(AND(M63&lt;&gt;"",H63&gt;0),M63/H63*100,"")</f>
        <v/>
      </c>
    </row>
    <row r="64">
      <c r="A64" t="n">
        <v>2030</v>
      </c>
      <c r="B64">
        <f>WEO_Data!D34</f>
        <v/>
      </c>
      <c r="C64">
        <f>B64*$B$5</f>
        <v/>
      </c>
      <c r="G64">
        <f>TREND($G$36:$G$57,$A$36:$A$57,A64,TRUE)</f>
        <v/>
      </c>
      <c r="H64">
        <f>IF(AND(G64&lt;&gt;"",C64&gt;0),EXP(G64+$B$4*LN(C64)),"")</f>
        <v/>
      </c>
      <c r="I64">
        <f>Investment!B10</f>
        <v/>
      </c>
      <c r="J64">
        <f>IF(C64&lt;&gt;"",I64-$B$3*C64,"")</f>
        <v/>
      </c>
      <c r="K64">
        <f>IF(K63&lt;&gt;"",K63+J64,"")</f>
        <v/>
      </c>
      <c r="L64">
        <f>IF(AND(G64&lt;&gt;"",K64&gt;0),EXP(G64+$B$4*LN(K64)),"")</f>
        <v/>
      </c>
      <c r="M64">
        <f>IF(AND(L64&lt;&gt;"",H64&lt;&gt;""),L64-H64,"")</f>
        <v/>
      </c>
      <c r="N64">
        <f>IF(AND(M64&lt;&gt;"",H64&gt;0),M64/H64*100,"")</f>
        <v/>
      </c>
    </row>
    <row r="65">
      <c r="A65" t="n">
        <v>2031</v>
      </c>
      <c r="B65">
        <f>WEO_Data!D35</f>
        <v/>
      </c>
      <c r="C65">
        <f>B65*$B$5</f>
        <v/>
      </c>
      <c r="G65">
        <f>TREND($G$36:$G$57,$A$36:$A$57,A65,TRUE)</f>
        <v/>
      </c>
      <c r="H65">
        <f>IF(AND(G65&lt;&gt;"",C65&gt;0),EXP(G65+$B$4*LN(C65)),"")</f>
        <v/>
      </c>
      <c r="I65">
        <f>Investment!B11</f>
        <v/>
      </c>
      <c r="J65">
        <f>IF(C65&lt;&gt;"",I65-$B$3*C65,"")</f>
        <v/>
      </c>
      <c r="K65">
        <f>IF(K64&lt;&gt;"",K64+J65,"")</f>
        <v/>
      </c>
      <c r="L65">
        <f>IF(AND(G65&lt;&gt;"",K65&gt;0),EXP(G65+$B$4*LN(K65)),"")</f>
        <v/>
      </c>
      <c r="M65">
        <f>IF(AND(L65&lt;&gt;"",H65&lt;&gt;""),L65-H65,"")</f>
        <v/>
      </c>
      <c r="N65">
        <f>IF(AND(M65&lt;&gt;"",H65&gt;0),M65/H65*100,"")</f>
        <v/>
      </c>
    </row>
    <row r="66">
      <c r="A66" t="n">
        <v>2032</v>
      </c>
      <c r="B66">
        <f>WEO_Data!D36</f>
        <v/>
      </c>
      <c r="C66">
        <f>B66*$B$5</f>
        <v/>
      </c>
      <c r="G66">
        <f>TREND($G$36:$G$57,$A$36:$A$57,A66,TRUE)</f>
        <v/>
      </c>
      <c r="H66">
        <f>IF(AND(G66&lt;&gt;"",C66&gt;0),EXP(G66+$B$4*LN(C66)),"")</f>
        <v/>
      </c>
      <c r="I66">
        <f>Investment!B12</f>
        <v/>
      </c>
      <c r="J66">
        <f>IF(C66&lt;&gt;"",I66-$B$3*C66,"")</f>
        <v/>
      </c>
      <c r="K66">
        <f>IF(K65&lt;&gt;"",K65+J66,"")</f>
        <v/>
      </c>
      <c r="L66">
        <f>IF(AND(G66&lt;&gt;"",K66&gt;0),EXP(G66+$B$4*LN(K66)),"")</f>
        <v/>
      </c>
      <c r="M66">
        <f>IF(AND(L66&lt;&gt;"",H66&lt;&gt;""),L66-H66,"")</f>
        <v/>
      </c>
      <c r="N66">
        <f>IF(AND(M66&lt;&gt;"",H66&gt;0),M66/H66*100,"")</f>
        <v/>
      </c>
    </row>
    <row r="67">
      <c r="A67" t="n">
        <v>2033</v>
      </c>
      <c r="B67">
        <f>WEO_Data!D37</f>
        <v/>
      </c>
      <c r="C67">
        <f>B67*$B$5</f>
        <v/>
      </c>
      <c r="G67">
        <f>TREND($G$36:$G$57,$A$36:$A$57,A67,TRUE)</f>
        <v/>
      </c>
      <c r="H67">
        <f>IF(AND(G67&lt;&gt;"",C67&gt;0),EXP(G67+$B$4*LN(C67)),"")</f>
        <v/>
      </c>
      <c r="I67">
        <f>Investment!B13</f>
        <v/>
      </c>
      <c r="J67">
        <f>IF(C67&lt;&gt;"",I67-$B$3*C67,"")</f>
        <v/>
      </c>
      <c r="K67">
        <f>IF(K66&lt;&gt;"",K66+J67,"")</f>
        <v/>
      </c>
      <c r="L67">
        <f>IF(AND(G67&lt;&gt;"",K67&gt;0),EXP(G67+$B$4*LN(K67)),"")</f>
        <v/>
      </c>
      <c r="M67">
        <f>IF(AND(L67&lt;&gt;"",H67&lt;&gt;""),L67-H67,"")</f>
        <v/>
      </c>
      <c r="N67">
        <f>IF(AND(M67&lt;&gt;"",H67&gt;0),M67/H67*100,"")</f>
        <v/>
      </c>
    </row>
    <row r="68">
      <c r="A68" t="n">
        <v>2034</v>
      </c>
      <c r="B68">
        <f>WEO_Data!D38</f>
        <v/>
      </c>
      <c r="C68">
        <f>B68*$B$5</f>
        <v/>
      </c>
      <c r="G68">
        <f>TREND($G$36:$G$57,$A$36:$A$57,A68,TRUE)</f>
        <v/>
      </c>
      <c r="H68">
        <f>IF(AND(G68&lt;&gt;"",C68&gt;0),EXP(G68+$B$4*LN(C68)),"")</f>
        <v/>
      </c>
      <c r="I68">
        <f>Investment!B14</f>
        <v/>
      </c>
      <c r="J68">
        <f>IF(C68&lt;&gt;"",I68-$B$3*C68,"")</f>
        <v/>
      </c>
      <c r="K68">
        <f>IF(K67&lt;&gt;"",K67+J68,"")</f>
        <v/>
      </c>
      <c r="L68">
        <f>IF(AND(G68&lt;&gt;"",K68&gt;0),EXP(G68+$B$4*LN(K68)),"")</f>
        <v/>
      </c>
      <c r="M68">
        <f>IF(AND(L68&lt;&gt;"",H68&lt;&gt;""),L68-H68,"")</f>
        <v/>
      </c>
      <c r="N68">
        <f>IF(AND(M68&lt;&gt;"",H68&gt;0),M68/H68*100,"")</f>
        <v/>
      </c>
    </row>
    <row r="69">
      <c r="A69" t="n">
        <v>2035</v>
      </c>
      <c r="B69">
        <f>WEO_Data!D39</f>
        <v/>
      </c>
      <c r="C69">
        <f>B69*$B$5</f>
        <v/>
      </c>
      <c r="G69">
        <f>TREND($G$36:$G$57,$A$36:$A$57,A69,TRUE)</f>
        <v/>
      </c>
      <c r="H69">
        <f>IF(AND(G69&lt;&gt;"",C69&gt;0),EXP(G69+$B$4*LN(C69)),"")</f>
        <v/>
      </c>
      <c r="I69">
        <f>Investment!B15</f>
        <v/>
      </c>
      <c r="J69">
        <f>IF(C69&lt;&gt;"",I69-$B$3*C69,"")</f>
        <v/>
      </c>
      <c r="K69">
        <f>IF(K68&lt;&gt;"",K68+J69,"")</f>
        <v/>
      </c>
      <c r="L69">
        <f>IF(AND(G69&lt;&gt;"",K69&gt;0),EXP(G69+$B$4*LN(K69)),"")</f>
        <v/>
      </c>
      <c r="M69">
        <f>IF(AND(L69&lt;&gt;"",H69&lt;&gt;""),L69-H69,"")</f>
        <v/>
      </c>
      <c r="N69">
        <f>IF(AND(M69&lt;&gt;"",H69&gt;0),M69/H69*100,"")</f>
        <v/>
      </c>
    </row>
    <row r="70">
      <c r="A70" t="n">
        <v>2036</v>
      </c>
      <c r="B70">
        <f>WEO_Data!D40</f>
        <v/>
      </c>
      <c r="C70">
        <f>B70*$B$5</f>
        <v/>
      </c>
      <c r="G70">
        <f>TREND($G$36:$G$57,$A$36:$A$57,A70,TRUE)</f>
        <v/>
      </c>
      <c r="H70">
        <f>IF(AND(G70&lt;&gt;"",C70&gt;0),EXP(G70+$B$4*LN(C70)),"")</f>
        <v/>
      </c>
      <c r="I70">
        <f>Investment!B16</f>
        <v/>
      </c>
      <c r="J70">
        <f>IF(C70&lt;&gt;"",I70-$B$3*C70,"")</f>
        <v/>
      </c>
      <c r="K70">
        <f>IF(K69&lt;&gt;"",K69+J70,"")</f>
        <v/>
      </c>
      <c r="L70">
        <f>IF(AND(G70&lt;&gt;"",K70&gt;0),EXP(G70+$B$4*LN(K70)),"")</f>
        <v/>
      </c>
      <c r="M70">
        <f>IF(AND(L70&lt;&gt;"",H70&lt;&gt;""),L70-H70,"")</f>
        <v/>
      </c>
      <c r="N70">
        <f>IF(AND(M70&lt;&gt;"",H70&gt;0),M70/H70*100,"")</f>
        <v/>
      </c>
    </row>
    <row r="71">
      <c r="A71" t="n">
        <v>2037</v>
      </c>
      <c r="B71">
        <f>WEO_Data!D41</f>
        <v/>
      </c>
      <c r="C71">
        <f>B71*$B$5</f>
        <v/>
      </c>
      <c r="G71">
        <f>TREND($G$36:$G$57,$A$36:$A$57,A71,TRUE)</f>
        <v/>
      </c>
      <c r="H71">
        <f>IF(AND(G71&lt;&gt;"",C71&gt;0),EXP(G71+$B$4*LN(C71)),"")</f>
        <v/>
      </c>
      <c r="I71">
        <f>Investment!B17</f>
        <v/>
      </c>
      <c r="J71">
        <f>IF(C71&lt;&gt;"",I71-$B$3*C71,"")</f>
        <v/>
      </c>
      <c r="K71">
        <f>IF(K70&lt;&gt;"",K70+J71,"")</f>
        <v/>
      </c>
      <c r="L71">
        <f>IF(AND(G71&lt;&gt;"",K71&gt;0),EXP(G71+$B$4*LN(K71)),"")</f>
        <v/>
      </c>
      <c r="M71">
        <f>IF(AND(L71&lt;&gt;"",H71&lt;&gt;""),L71-H71,"")</f>
        <v/>
      </c>
      <c r="N71">
        <f>IF(AND(M71&lt;&gt;"",H71&gt;0),M71/H71*100,"")</f>
        <v/>
      </c>
    </row>
    <row r="72">
      <c r="A72" t="n">
        <v>2038</v>
      </c>
      <c r="B72">
        <f>WEO_Data!D42</f>
        <v/>
      </c>
      <c r="C72">
        <f>B72*$B$5</f>
        <v/>
      </c>
      <c r="G72">
        <f>TREND($G$36:$G$57,$A$36:$A$57,A72,TRUE)</f>
        <v/>
      </c>
      <c r="H72">
        <f>IF(AND(G72&lt;&gt;"",C72&gt;0),EXP(G72+$B$4*LN(C72)),"")</f>
        <v/>
      </c>
      <c r="I72">
        <f>Investment!B18</f>
        <v/>
      </c>
      <c r="J72">
        <f>IF(C72&lt;&gt;"",I72-$B$3*C72,"")</f>
        <v/>
      </c>
      <c r="K72">
        <f>IF(K71&lt;&gt;"",K71+J72,"")</f>
        <v/>
      </c>
      <c r="L72">
        <f>IF(AND(G72&lt;&gt;"",K72&gt;0),EXP(G72+$B$4*LN(K72)),"")</f>
        <v/>
      </c>
      <c r="M72">
        <f>IF(AND(L72&lt;&gt;"",H72&lt;&gt;""),L72-H72,"")</f>
        <v/>
      </c>
      <c r="N72">
        <f>IF(AND(M72&lt;&gt;"",H72&gt;0),M72/H72*100,"")</f>
        <v/>
      </c>
    </row>
    <row r="73">
      <c r="A73" t="n">
        <v>2039</v>
      </c>
      <c r="B73">
        <f>WEO_Data!D43</f>
        <v/>
      </c>
      <c r="C73">
        <f>B73*$B$5</f>
        <v/>
      </c>
      <c r="G73">
        <f>TREND($G$36:$G$57,$A$36:$A$57,A73,TRUE)</f>
        <v/>
      </c>
      <c r="H73">
        <f>IF(AND(G73&lt;&gt;"",C73&gt;0),EXP(G73+$B$4*LN(C73)),"")</f>
        <v/>
      </c>
      <c r="I73">
        <f>Investment!B19</f>
        <v/>
      </c>
      <c r="J73">
        <f>IF(C73&lt;&gt;"",I73-$B$3*C73,"")</f>
        <v/>
      </c>
      <c r="K73">
        <f>IF(K72&lt;&gt;"",K72+J73,"")</f>
        <v/>
      </c>
      <c r="L73">
        <f>IF(AND(G73&lt;&gt;"",K73&gt;0),EXP(G73+$B$4*LN(K73)),"")</f>
        <v/>
      </c>
      <c r="M73">
        <f>IF(AND(L73&lt;&gt;"",H73&lt;&gt;""),L73-H73,"")</f>
        <v/>
      </c>
      <c r="N73">
        <f>IF(AND(M73&lt;&gt;"",H73&gt;0),M73/H73*100,"")</f>
        <v/>
      </c>
    </row>
    <row r="74">
      <c r="A74" t="n">
        <v>2040</v>
      </c>
      <c r="B74">
        <f>WEO_Data!D44</f>
        <v/>
      </c>
      <c r="C74">
        <f>B74*$B$5</f>
        <v/>
      </c>
      <c r="G74">
        <f>TREND($G$36:$G$57,$A$36:$A$57,A74,TRUE)</f>
        <v/>
      </c>
      <c r="H74">
        <f>IF(AND(G74&lt;&gt;"",C74&gt;0),EXP(G74+$B$4*LN(C74)),"")</f>
        <v/>
      </c>
      <c r="I74">
        <f>Investment!B20</f>
        <v/>
      </c>
      <c r="J74">
        <f>IF(C74&lt;&gt;"",I74-$B$3*C74,"")</f>
        <v/>
      </c>
      <c r="K74">
        <f>IF(K73&lt;&gt;"",K73+J74,"")</f>
        <v/>
      </c>
      <c r="L74">
        <f>IF(AND(G74&lt;&gt;"",K74&gt;0),EXP(G74+$B$4*LN(K74)),"")</f>
        <v/>
      </c>
      <c r="M74">
        <f>IF(AND(L74&lt;&gt;"",H74&lt;&gt;""),L74-H74,"")</f>
        <v/>
      </c>
      <c r="N74">
        <f>IF(AND(M74&lt;&gt;"",H74&gt;0),M74/H74*100,"")</f>
        <v/>
      </c>
    </row>
    <row r="75">
      <c r="A75" t="n">
        <v>2041</v>
      </c>
      <c r="B75">
        <f>WEO_Data!D45</f>
        <v/>
      </c>
      <c r="C75">
        <f>B75*$B$5</f>
        <v/>
      </c>
      <c r="G75">
        <f>TREND($G$36:$G$57,$A$36:$A$57,A75,TRUE)</f>
        <v/>
      </c>
      <c r="H75">
        <f>IF(AND(G75&lt;&gt;"",C75&gt;0),EXP(G75+$B$4*LN(C75)),"")</f>
        <v/>
      </c>
      <c r="I75">
        <f>Investment!B21</f>
        <v/>
      </c>
      <c r="J75">
        <f>IF(C75&lt;&gt;"",I75-$B$3*C75,"")</f>
        <v/>
      </c>
      <c r="K75">
        <f>IF(K74&lt;&gt;"",K74+J75,"")</f>
        <v/>
      </c>
      <c r="L75">
        <f>IF(AND(G75&lt;&gt;"",K75&gt;0),EXP(G75+$B$4*LN(K75)),"")</f>
        <v/>
      </c>
      <c r="M75">
        <f>IF(AND(L75&lt;&gt;"",H75&lt;&gt;""),L75-H75,"")</f>
        <v/>
      </c>
      <c r="N75">
        <f>IF(AND(M75&lt;&gt;"",H75&gt;0),M75/H75*100,"")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2026-01-29T06:37:18Z</dcterms:created>
  <dcterms:modified xsi:type="dcterms:W3CDTF">2026-01-29T06:40:08Z</dcterms:modified>
</cp:coreProperties>
</file>