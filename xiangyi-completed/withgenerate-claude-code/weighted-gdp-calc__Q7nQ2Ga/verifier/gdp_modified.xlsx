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IFERROR(INDEX(Data!$H$21:$H$40,MATCH(D12,Data!$B$21:$B$40,0)),"")</f>
        <v/>
      </c>
      <c r="I12" s="19">
        <f>IFERROR(INDEX(Data!$I$21:$I$40,MATCH(D12,Data!$B$21:$B$40,0)),"")</f>
        <v/>
      </c>
      <c r="J12" s="19">
        <f>IFERROR(INDEX(Data!$J$21:$J$40,MATCH(D12,Data!$B$21:$B$40,0)),"")</f>
        <v/>
      </c>
      <c r="K12" s="19">
        <f>IFERROR(INDEX(Data!$K$21:$K$40,MATCH(D12,Data!$B$21:$B$40,0)),"")</f>
        <v/>
      </c>
      <c r="L12" s="20">
        <f>IFERROR(INDEX(Data!$L$21:$L$40,MATCH(D12,Data!$B$21:$B$40,0)),"")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IFERROR(INDEX(Data!$H$21:$H$40,MATCH(D13,Data!$B$21:$B$40,0)),"")</f>
        <v/>
      </c>
      <c r="I13" s="4">
        <f>IFERROR(INDEX(Data!$I$21:$I$40,MATCH(D13,Data!$B$21:$B$40,0)),"")</f>
        <v/>
      </c>
      <c r="J13" s="4">
        <f>IFERROR(INDEX(Data!$J$21:$J$40,MATCH(D13,Data!$B$21:$B$40,0)),"")</f>
        <v/>
      </c>
      <c r="K13" s="4">
        <f>IFERROR(INDEX(Data!$K$21:$K$40,MATCH(D13,Data!$B$21:$B$40,0)),"")</f>
        <v/>
      </c>
      <c r="L13" s="5">
        <f>IFERROR(INDEX(Data!$L$21:$L$40,MATCH(D13,Data!$B$21:$B$40,0)),"")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IFERROR(INDEX(Data!$H$21:$H$40,MATCH(D14,Data!$B$21:$B$40,0)),"")</f>
        <v/>
      </c>
      <c r="I14" s="4">
        <f>IFERROR(INDEX(Data!$I$21:$I$40,MATCH(D14,Data!$B$21:$B$40,0)),"")</f>
        <v/>
      </c>
      <c r="J14" s="4">
        <f>IFERROR(INDEX(Data!$J$21:$J$40,MATCH(D14,Data!$B$21:$B$40,0)),"")</f>
        <v/>
      </c>
      <c r="K14" s="4">
        <f>IFERROR(INDEX(Data!$K$21:$K$40,MATCH(D14,Data!$B$21:$B$40,0)),"")</f>
        <v/>
      </c>
      <c r="L14" s="5">
        <f>IFERROR(INDEX(Data!$L$21:$L$40,MATCH(D14,Data!$B$21:$B$40,0)),"")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IFERROR(INDEX(Data!$H$21:$H$40,MATCH(D15,Data!$B$21:$B$40,0)),"")</f>
        <v/>
      </c>
      <c r="I15" s="4">
        <f>IFERROR(INDEX(Data!$I$21:$I$40,MATCH(D15,Data!$B$21:$B$40,0)),"")</f>
        <v/>
      </c>
      <c r="J15" s="4">
        <f>IFERROR(INDEX(Data!$J$21:$J$40,MATCH(D15,Data!$B$21:$B$40,0)),"")</f>
        <v/>
      </c>
      <c r="K15" s="4">
        <f>IFERROR(INDEX(Data!$K$21:$K$40,MATCH(D15,Data!$B$21:$B$40,0)),"")</f>
        <v/>
      </c>
      <c r="L15" s="5">
        <f>IFERROR(INDEX(Data!$L$21:$L$40,MATCH(D15,Data!$B$21:$B$40,0)),"")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IFERROR(INDEX(Data!$H$21:$H$40,MATCH(D16,Data!$B$21:$B$40,0)),"")</f>
        <v/>
      </c>
      <c r="I16" s="4">
        <f>IFERROR(INDEX(Data!$I$21:$I$40,MATCH(D16,Data!$B$21:$B$40,0)),"")</f>
        <v/>
      </c>
      <c r="J16" s="4">
        <f>IFERROR(INDEX(Data!$J$21:$J$40,MATCH(D16,Data!$B$21:$B$40,0)),"")</f>
        <v/>
      </c>
      <c r="K16" s="4">
        <f>IFERROR(INDEX(Data!$K$21:$K$40,MATCH(D16,Data!$B$21:$B$40,0)),"")</f>
        <v/>
      </c>
      <c r="L16" s="5">
        <f>IFERROR(INDEX(Data!$L$21:$L$40,MATCH(D16,Data!$B$21:$B$40,0)),"")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IFERROR(INDEX(Data!$H$21:$H$40,MATCH(D17,Data!$B$21:$B$40,0)),"")</f>
        <v/>
      </c>
      <c r="I17" s="6">
        <f>IFERROR(INDEX(Data!$I$21:$I$40,MATCH(D17,Data!$B$21:$B$40,0)),"")</f>
        <v/>
      </c>
      <c r="J17" s="6">
        <f>IFERROR(INDEX(Data!$J$21:$J$40,MATCH(D17,Data!$B$21:$B$40,0)),"")</f>
        <v/>
      </c>
      <c r="K17" s="6">
        <f>IFERROR(INDEX(Data!$K$21:$K$40,MATCH(D17,Data!$B$21:$B$40,0)),"")</f>
        <v/>
      </c>
      <c r="L17" s="7">
        <f>IFERROR(INDEX(Data!$L$21:$L$40,MATCH(D17,Data!$B$21:$B$40,0)),"")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IFERROR(INDEX(Data!$H$28:$H$33,MATCH(D19,Data!$B$28:$B$33,0)),"")</f>
        <v/>
      </c>
      <c r="I19" s="19">
        <f>IFERROR(INDEX(Data!$I$28:$I$33,MATCH(D19,Data!$B$28:$B$33,0)),"")</f>
        <v/>
      </c>
      <c r="J19" s="19">
        <f>IFERROR(INDEX(Data!$J$28:$J$33,MATCH(D19,Data!$B$28:$B$33,0)),"")</f>
        <v/>
      </c>
      <c r="K19" s="19">
        <f>IFERROR(INDEX(Data!$K$28:$K$33,MATCH(D19,Data!$B$28:$B$33,0)),"")</f>
        <v/>
      </c>
      <c r="L19" s="20">
        <f>IFERROR(INDEX(Data!$L$28:$L$33,MATCH(D19,Data!$B$28:$B$33,0)),"")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IFERROR(INDEX(Data!$H$28:$H$33,MATCH(D20,Data!$B$28:$B$33,0)),"")</f>
        <v/>
      </c>
      <c r="I20" s="4">
        <f>IFERROR(INDEX(Data!$I$28:$I$33,MATCH(D20,Data!$B$28:$B$33,0)),"")</f>
        <v/>
      </c>
      <c r="J20" s="4">
        <f>IFERROR(INDEX(Data!$J$28:$J$33,MATCH(D20,Data!$B$28:$B$33,0)),"")</f>
        <v/>
      </c>
      <c r="K20" s="4">
        <f>IFERROR(INDEX(Data!$K$28:$K$33,MATCH(D20,Data!$B$28:$B$33,0)),"")</f>
        <v/>
      </c>
      <c r="L20" s="5">
        <f>IFERROR(INDEX(Data!$L$28:$L$33,MATCH(D20,Data!$B$28:$B$33,0)),"")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IFERROR(INDEX(Data!$H$28:$H$33,MATCH(D21,Data!$B$28:$B$33,0)),"")</f>
        <v/>
      </c>
      <c r="I21" s="4">
        <f>IFERROR(INDEX(Data!$I$28:$I$33,MATCH(D21,Data!$B$28:$B$33,0)),"")</f>
        <v/>
      </c>
      <c r="J21" s="4">
        <f>IFERROR(INDEX(Data!$J$28:$J$33,MATCH(D21,Data!$B$28:$B$33,0)),"")</f>
        <v/>
      </c>
      <c r="K21" s="4">
        <f>IFERROR(INDEX(Data!$K$28:$K$33,MATCH(D21,Data!$B$28:$B$33,0)),"")</f>
        <v/>
      </c>
      <c r="L21" s="5">
        <f>IFERROR(INDEX(Data!$L$28:$L$33,MATCH(D21,Data!$B$28:$B$33,0)),"")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IFERROR(INDEX(Data!$H$28:$H$33,MATCH(D22,Data!$B$28:$B$33,0)),"")</f>
        <v/>
      </c>
      <c r="I22" s="4">
        <f>IFERROR(INDEX(Data!$I$28:$I$33,MATCH(D22,Data!$B$28:$B$33,0)),"")</f>
        <v/>
      </c>
      <c r="J22" s="4">
        <f>IFERROR(INDEX(Data!$J$28:$J$33,MATCH(D22,Data!$B$28:$B$33,0)),"")</f>
        <v/>
      </c>
      <c r="K22" s="4">
        <f>IFERROR(INDEX(Data!$K$28:$K$33,MATCH(D22,Data!$B$28:$B$33,0)),"")</f>
        <v/>
      </c>
      <c r="L22" s="5">
        <f>IFERROR(INDEX(Data!$L$28:$L$33,MATCH(D22,Data!$B$28:$B$33,0)),"")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IFERROR(INDEX(Data!$H$28:$H$33,MATCH(D23,Data!$B$28:$B$33,0)),"")</f>
        <v/>
      </c>
      <c r="I23" s="4">
        <f>IFERROR(INDEX(Data!$I$28:$I$33,MATCH(D23,Data!$B$28:$B$33,0)),"")</f>
        <v/>
      </c>
      <c r="J23" s="4">
        <f>IFERROR(INDEX(Data!$J$28:$J$33,MATCH(D23,Data!$B$28:$B$33,0)),"")</f>
        <v/>
      </c>
      <c r="K23" s="4">
        <f>IFERROR(INDEX(Data!$K$28:$K$33,MATCH(D23,Data!$B$28:$B$33,0)),"")</f>
        <v/>
      </c>
      <c r="L23" s="5">
        <f>IFERROR(INDEX(Data!$L$28:$L$33,MATCH(D23,Data!$B$28:$B$33,0)),"")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IFERROR(INDEX(Data!$H$28:$H$33,MATCH(D24,Data!$B$28:$B$33,0)),"")</f>
        <v/>
      </c>
      <c r="I24" s="6">
        <f>IFERROR(INDEX(Data!$I$28:$I$33,MATCH(D24,Data!$B$28:$B$33,0)),"")</f>
        <v/>
      </c>
      <c r="J24" s="6">
        <f>IFERROR(INDEX(Data!$J$28:$J$33,MATCH(D24,Data!$B$28:$B$33,0)),"")</f>
        <v/>
      </c>
      <c r="K24" s="6">
        <f>IFERROR(INDEX(Data!$K$28:$K$33,MATCH(D24,Data!$B$28:$B$33,0)),"")</f>
        <v/>
      </c>
      <c r="L24" s="7">
        <f>IFERROR(INDEX(Data!$L$28:$L$33,MATCH(D24,Data!$B$28:$B$33,0)),"")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IFERROR(INDEX(Data!$H$35:$H$40,MATCH(D26,Data!$B$35:$B$40,0)),"")</f>
        <v/>
      </c>
      <c r="I26" s="19">
        <f>IFERROR(INDEX(Data!$I$35:$I$40,MATCH(D26,Data!$B$35:$B$40,0)),"")</f>
        <v/>
      </c>
      <c r="J26" s="19">
        <f>IFERROR(INDEX(Data!$J$35:$J$40,MATCH(D26,Data!$B$35:$B$40,0)),"")</f>
        <v/>
      </c>
      <c r="K26" s="19">
        <f>IFERROR(INDEX(Data!$K$35:$K$40,MATCH(D26,Data!$B$35:$B$40,0)),"")</f>
        <v/>
      </c>
      <c r="L26" s="20">
        <f>IFERROR(INDEX(Data!$L$35:$L$40,MATCH(D26,Data!$B$35:$B$40,0)),"")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IFERROR(INDEX(Data!$H$35:$H$40,MATCH(D27,Data!$B$35:$B$40,0)),"")</f>
        <v/>
      </c>
      <c r="I27" s="4">
        <f>IFERROR(INDEX(Data!$I$35:$I$40,MATCH(D27,Data!$B$35:$B$40,0)),"")</f>
        <v/>
      </c>
      <c r="J27" s="4">
        <f>IFERROR(INDEX(Data!$J$35:$J$40,MATCH(D27,Data!$B$35:$B$40,0)),"")</f>
        <v/>
      </c>
      <c r="K27" s="4">
        <f>IFERROR(INDEX(Data!$K$35:$K$40,MATCH(D27,Data!$B$35:$B$40,0)),"")</f>
        <v/>
      </c>
      <c r="L27" s="5">
        <f>IFERROR(INDEX(Data!$L$35:$L$40,MATCH(D27,Data!$B$35:$B$40,0)),"")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IFERROR(INDEX(Data!$H$35:$H$40,MATCH(D28,Data!$B$35:$B$40,0)),"")</f>
        <v/>
      </c>
      <c r="I28" s="4">
        <f>IFERROR(INDEX(Data!$I$35:$I$40,MATCH(D28,Data!$B$35:$B$40,0)),"")</f>
        <v/>
      </c>
      <c r="J28" s="4">
        <f>IFERROR(INDEX(Data!$J$35:$J$40,MATCH(D28,Data!$B$35:$B$40,0)),"")</f>
        <v/>
      </c>
      <c r="K28" s="4">
        <f>IFERROR(INDEX(Data!$K$35:$K$40,MATCH(D28,Data!$B$35:$B$40,0)),"")</f>
        <v/>
      </c>
      <c r="L28" s="5">
        <f>IFERROR(INDEX(Data!$L$35:$L$40,MATCH(D28,Data!$B$35:$B$40,0)),"")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IFERROR(INDEX(Data!$H$35:$H$40,MATCH(D29,Data!$B$35:$B$40,0)),"")</f>
        <v/>
      </c>
      <c r="I29" s="4">
        <f>IFERROR(INDEX(Data!$I$35:$I$40,MATCH(D29,Data!$B$35:$B$40,0)),"")</f>
        <v/>
      </c>
      <c r="J29" s="4">
        <f>IFERROR(INDEX(Data!$J$35:$J$40,MATCH(D29,Data!$B$35:$B$40,0)),"")</f>
        <v/>
      </c>
      <c r="K29" s="4">
        <f>IFERROR(INDEX(Data!$K$35:$K$40,MATCH(D29,Data!$B$35:$B$40,0)),"")</f>
        <v/>
      </c>
      <c r="L29" s="5">
        <f>IFERROR(INDEX(Data!$L$35:$L$40,MATCH(D29,Data!$B$35:$B$40,0)),"")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IFERROR(INDEX(Data!$H$35:$H$40,MATCH(D30,Data!$B$35:$B$40,0)),"")</f>
        <v/>
      </c>
      <c r="I30" s="4">
        <f>IFERROR(INDEX(Data!$I$35:$I$40,MATCH(D30,Data!$B$35:$B$40,0)),"")</f>
        <v/>
      </c>
      <c r="J30" s="4">
        <f>IFERROR(INDEX(Data!$J$35:$J$40,MATCH(D30,Data!$B$35:$B$40,0)),"")</f>
        <v/>
      </c>
      <c r="K30" s="4">
        <f>IFERROR(INDEX(Data!$K$35:$K$40,MATCH(D30,Data!$B$35:$B$40,0)),"")</f>
        <v/>
      </c>
      <c r="L30" s="5">
        <f>IFERROR(INDEX(Data!$L$35:$L$40,MATCH(D30,Data!$B$35:$B$40,0)),"")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IFERROR(INDEX(Data!$H$35:$H$40,MATCH(D31,Data!$B$35:$B$40,0)),"")</f>
        <v/>
      </c>
      <c r="I31" s="6">
        <f>IFERROR(INDEX(Data!$I$35:$I$40,MATCH(D31,Data!$B$35:$B$40,0)),"")</f>
        <v/>
      </c>
      <c r="J31" s="6">
        <f>IFERROR(INDEX(Data!$J$35:$J$40,MATCH(D31,Data!$B$35:$B$40,0)),"")</f>
        <v/>
      </c>
      <c r="K31" s="6">
        <f>IFERROR(INDEX(Data!$K$35:$K$40,MATCH(D31,Data!$B$35:$B$40,0)),"")</f>
        <v/>
      </c>
      <c r="L31" s="7">
        <f>IFERROR(INDEX(Data!$L$35:$L$40,MATCH(D31,Data!$B$35:$B$40,0)),"")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IFERROR((H12-H19)/H26*100,"")</f>
        <v/>
      </c>
      <c r="I35" s="19">
        <f>IFERROR((I12-I19)/I26*100,"")</f>
        <v/>
      </c>
      <c r="J35" s="19">
        <f>IFERROR((J12-J19)/J26*100,"")</f>
        <v/>
      </c>
      <c r="K35" s="19">
        <f>IFERROR((K12-K19)/K26*100,"")</f>
        <v/>
      </c>
      <c r="L35" s="20">
        <f>IFERROR((L12-L19)/L26*100,"")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IFERROR((H13-H20)/H27*100,"")</f>
        <v/>
      </c>
      <c r="I36" s="4">
        <f>IFERROR((I13-I20)/I27*100,"")</f>
        <v/>
      </c>
      <c r="J36" s="4">
        <f>IFERROR((J13-J20)/J27*100,"")</f>
        <v/>
      </c>
      <c r="K36" s="4">
        <f>IFERROR((K13-K20)/K27*100,"")</f>
        <v/>
      </c>
      <c r="L36" s="5">
        <f>IFERROR((L13-L20)/L27*100,"")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IFERROR((H14-H21)/H28*100,"")</f>
        <v/>
      </c>
      <c r="I37" s="4">
        <f>IFERROR((I14-I21)/I28*100,"")</f>
        <v/>
      </c>
      <c r="J37" s="4">
        <f>IFERROR((J14-J21)/J28*100,"")</f>
        <v/>
      </c>
      <c r="K37" s="4">
        <f>IFERROR((K14-K21)/K28*100,"")</f>
        <v/>
      </c>
      <c r="L37" s="5">
        <f>IFERROR((L14-L21)/L28*100,"")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IFERROR((H15-H22)/H29*100,"")</f>
        <v/>
      </c>
      <c r="I38" s="4">
        <f>IFERROR((I15-I22)/I29*100,"")</f>
        <v/>
      </c>
      <c r="J38" s="4">
        <f>IFERROR((J15-J22)/J29*100,"")</f>
        <v/>
      </c>
      <c r="K38" s="4">
        <f>IFERROR((K15-K22)/K29*100,"")</f>
        <v/>
      </c>
      <c r="L38" s="5">
        <f>IFERROR((L15-L22)/L29*100,"")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IFERROR((H16-H23)/H30*100,"")</f>
        <v/>
      </c>
      <c r="I39" s="4">
        <f>IFERROR((I16-I23)/I30*100,"")</f>
        <v/>
      </c>
      <c r="J39" s="4">
        <f>IFERROR((J16-J23)/J30*100,"")</f>
        <v/>
      </c>
      <c r="K39" s="4">
        <f>IFERROR((K16-K23)/K30*100,"")</f>
        <v/>
      </c>
      <c r="L39" s="5">
        <f>IFERROR((L16-L23)/L30*100,"")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IFERROR((H17-H24)/H31*100,"")</f>
        <v/>
      </c>
      <c r="I40" s="6">
        <f>IFERROR((I17-I24)/I31*100,"")</f>
        <v/>
      </c>
      <c r="J40" s="6">
        <f>IFERROR((J17-J24)/J31*100,"")</f>
        <v/>
      </c>
      <c r="K40" s="6">
        <f>IFERROR((K17-K24)/K31*100,"")</f>
        <v/>
      </c>
      <c r="L40" s="7">
        <f>IFERROR((L17-L24)/L31*100,"")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IFERROR(MIN(H$35:H$40),"")</f>
        <v/>
      </c>
      <c r="I42" s="19">
        <f>IFERROR(MIN(I$35:I$40),"")</f>
        <v/>
      </c>
      <c r="J42" s="19">
        <f>IFERROR(MIN(J$35:J$40),"")</f>
        <v/>
      </c>
      <c r="K42" s="19">
        <f>IFERROR(MIN(K$35:K$40),"")</f>
        <v/>
      </c>
      <c r="L42" s="20">
        <f>IFERROR(MIN(L$35:L$40),"")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IFERROR(MAX(H$35:H$40),"")</f>
        <v/>
      </c>
      <c r="I43" s="4">
        <f>IFERROR(MAX(I$35:I$40),"")</f>
        <v/>
      </c>
      <c r="J43" s="4">
        <f>IFERROR(MAX(J$35:J$40),"")</f>
        <v/>
      </c>
      <c r="K43" s="4">
        <f>IFERROR(MAX(K$35:K$40),"")</f>
        <v/>
      </c>
      <c r="L43" s="5">
        <f>IFERROR(MAX(L$35:L$40),"")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IFERROR(MEDIAN(H$35:H$40),"")</f>
        <v/>
      </c>
      <c r="I44" s="4">
        <f>IFERROR(MEDIAN(I$35:I$40),"")</f>
        <v/>
      </c>
      <c r="J44" s="4">
        <f>IFERROR(MEDIAN(J$35:J$40),"")</f>
        <v/>
      </c>
      <c r="K44" s="4">
        <f>IFERROR(MEDIAN(K$35:K$40),"")</f>
        <v/>
      </c>
      <c r="L44" s="5">
        <f>IFERROR(MEDIAN(L$35:L$40),"")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IFERROR(AVERAGE(H$35:H$40),"")</f>
        <v/>
      </c>
      <c r="I45" s="4">
        <f>IFERROR(AVERAGE(I$35:I$40),"")</f>
        <v/>
      </c>
      <c r="J45" s="4">
        <f>IFERROR(AVERAGE(J$35:J$40),"")</f>
        <v/>
      </c>
      <c r="K45" s="4">
        <f>IFERROR(AVERAGE(K$35:K$40),"")</f>
        <v/>
      </c>
      <c r="L45" s="5">
        <f>IFERROR(AVERAGE(L$35:L$40),"")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IFERROR(PERCENTILE(H$35:H$40,0.25),"")</f>
        <v/>
      </c>
      <c r="I46" s="4">
        <f>IFERROR(PERCENTILE(I$35:I$40,0.25),"")</f>
        <v/>
      </c>
      <c r="J46" s="4">
        <f>IFERROR(PERCENTILE(J$35:J$40,0.25),"")</f>
        <v/>
      </c>
      <c r="K46" s="4">
        <f>IFERROR(PERCENTILE(K$35:K$40,0.25),"")</f>
        <v/>
      </c>
      <c r="L46" s="5">
        <f>IFERROR(PERCENTILE(L$35:L$40,0.25),"")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IFERROR(PERCENTILE(H$35:H$40,0.75),"")</f>
        <v/>
      </c>
      <c r="I47" s="6">
        <f>IFERROR(PERCENTILE(I$35:I$40,0.75),"")</f>
        <v/>
      </c>
      <c r="J47" s="6">
        <f>IFERROR(PERCENTILE(J$35:J$40,0.75),"")</f>
        <v/>
      </c>
      <c r="K47" s="6">
        <f>IFERROR(PERCENTILE(K$35:K$40,0.75),"")</f>
        <v/>
      </c>
      <c r="L47" s="7">
        <f>IFERROR(PERCENTILE(L$35:L$40,0.75),"")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IFERROR(SUMPRODUCT(H35:H40,H26:H31)/SUM(H26:H31),"")</f>
        <v/>
      </c>
      <c r="I50" s="26">
        <f>IFERROR(SUMPRODUCT(I35:I40,I26:I31)/SUM(I26:I31),"")</f>
        <v/>
      </c>
      <c r="J50" s="26">
        <f>IFERROR(SUMPRODUCT(J35:J40,J26:J31)/SUM(J26:J31),"")</f>
        <v/>
      </c>
      <c r="K50" s="26">
        <f>IFERROR(SUMPRODUCT(K35:K40,K26:K31)/SUM(K26:K31),"")</f>
        <v/>
      </c>
      <c r="L50" s="27">
        <f>IFERROR(SUMPRODUCT(L35:L40,L26:L31)/SUM(L26:L31),"")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2026-01-29T06:08:28Z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