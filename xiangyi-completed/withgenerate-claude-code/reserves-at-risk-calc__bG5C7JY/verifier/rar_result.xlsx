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 t="n">
        <v>4.813323</v>
      </c>
    </row>
    <row r="5">
      <c r="B5" t="inlineStr">
        <is>
          <t>3-month volatility annualized</t>
        </is>
      </c>
      <c r="C5" t="n">
        <v>16.67384</v>
      </c>
    </row>
    <row r="6">
      <c r="B6" t="inlineStr">
        <is>
          <t>12-month volatility</t>
        </is>
      </c>
      <c r="C6" t="n">
        <v>3.259073</v>
      </c>
    </row>
    <row r="9">
      <c r="B9" t="inlineStr">
        <is>
          <t>STEP 2</t>
        </is>
      </c>
    </row>
    <row r="11">
      <c r="B11" t="inlineStr">
        <is>
          <t>Belarus</t>
        </is>
      </c>
      <c r="C11" t="inlineStr">
        <is>
          <t>Czechia</t>
        </is>
      </c>
      <c r="D11" t="inlineStr">
        <is>
          <t>Georgia</t>
        </is>
      </c>
      <c r="E11" t="inlineStr">
        <is>
          <t>Latvia</t>
        </is>
      </c>
      <c r="F11" t="inlineStr">
        <is>
          <t>Lithuania</t>
        </is>
      </c>
      <c r="G11" t="inlineStr">
        <is>
          <t>Moldova</t>
        </is>
      </c>
      <c r="H11" t="inlineStr">
        <is>
          <t>Slovakia</t>
        </is>
      </c>
      <c r="I11" t="inlineStr">
        <is>
          <t>Ukraine</t>
        </is>
      </c>
      <c r="J11" t="inlineStr">
        <is>
          <t>Uzbekistan</t>
        </is>
      </c>
    </row>
    <row r="12">
      <c r="B12" t="n">
        <v>7471</v>
      </c>
      <c r="C12" s="7" t="n">
        <v>10121.89</v>
      </c>
      <c r="D12" s="2" t="n">
        <v>1002</v>
      </c>
      <c r="E12" s="3" t="n">
        <v>921.28</v>
      </c>
      <c r="F12" s="3" t="n">
        <v>807.1</v>
      </c>
      <c r="G12" s="3" t="n">
        <v>10.71</v>
      </c>
      <c r="H12" s="3" t="n">
        <v>3263.67725679204</v>
      </c>
      <c r="I12" s="3" t="n">
        <v>3877.64</v>
      </c>
      <c r="J12" s="7" t="n">
        <v>55092.42</v>
      </c>
      <c r="K12" s="3" t="n"/>
    </row>
    <row r="13">
      <c r="B13">
        <f>B12*$C$4/100</f>
        <v/>
      </c>
      <c r="C13">
        <f>C12*$C$4/100</f>
        <v/>
      </c>
      <c r="D13">
        <f>D12*$C$4/100</f>
        <v/>
      </c>
      <c r="E13">
        <f>E12*$C$4/100</f>
        <v/>
      </c>
      <c r="F13">
        <f>F12*$C$4/100</f>
        <v/>
      </c>
      <c r="G13">
        <f>G12*$C$4/100</f>
        <v/>
      </c>
      <c r="H13">
        <f>H12*$C$4/100</f>
        <v/>
      </c>
      <c r="I13">
        <f>I12*$C$4/100</f>
        <v/>
      </c>
      <c r="J13">
        <f>J12*$C$4/100</f>
        <v/>
      </c>
    </row>
    <row r="16">
      <c r="B16" t="inlineStr">
        <is>
          <t>STEP 3</t>
        </is>
      </c>
    </row>
    <row r="20">
      <c r="B20" t="inlineStr">
        <is>
          <t>Belarus</t>
        </is>
      </c>
      <c r="C20" t="inlineStr">
        <is>
          <t>Czechia</t>
        </is>
      </c>
      <c r="D20" t="inlineStr">
        <is>
          <t>Georgia</t>
        </is>
      </c>
      <c r="E20" t="inlineStr">
        <is>
          <t>Latvia</t>
        </is>
      </c>
      <c r="F20" t="inlineStr">
        <is>
          <t>Lithuania</t>
        </is>
      </c>
      <c r="G20" t="inlineStr">
        <is>
          <t>Moldova</t>
        </is>
      </c>
      <c r="H20" t="inlineStr">
        <is>
          <t>Uzbekistan</t>
        </is>
      </c>
    </row>
    <row r="21">
      <c r="B21" t="n">
        <v>7471</v>
      </c>
      <c r="C21" s="7" t="n">
        <v>10121.89</v>
      </c>
      <c r="D21" s="2" t="n">
        <v>1002</v>
      </c>
      <c r="E21" s="3" t="n">
        <v>921.28</v>
      </c>
      <c r="F21" s="3" t="n">
        <v>807.1</v>
      </c>
      <c r="G21" s="3" t="n">
        <v>10.71</v>
      </c>
      <c r="H21" s="7" t="n">
        <v>55092.42</v>
      </c>
    </row>
    <row r="22">
      <c r="B22">
        <f>$C$4</f>
        <v/>
      </c>
      <c r="C22">
        <f>$C$4</f>
        <v/>
      </c>
      <c r="D22">
        <f>$C$4</f>
        <v/>
      </c>
      <c r="E22">
        <f>$C$4</f>
        <v/>
      </c>
      <c r="F22">
        <f>$C$4</f>
        <v/>
      </c>
      <c r="G22">
        <f>$C$4</f>
        <v/>
      </c>
      <c r="H22">
        <f>$C$4</f>
        <v/>
      </c>
    </row>
    <row r="23">
      <c r="B23">
        <f>INDEX('Total Reserves'!3:18, 16, MATCH("*Belarus*", 'Total Reserves'!1:1, 0))</f>
        <v/>
      </c>
      <c r="C23">
        <f>INDEX('Total Reserves'!3:18, 16, MATCH("*Czechia*", 'Total Reserves'!1:1, 0))</f>
        <v/>
      </c>
      <c r="D23">
        <f>INDEX('Total Reserves'!3:18, 16, MATCH("*Georgia*", 'Total Reserves'!1:1, 0))</f>
        <v/>
      </c>
      <c r="E23">
        <f>INDEX('Total Reserves'!3:18, 16, MATCH("*Latvia*", 'Total Reserves'!1:1, 0))</f>
        <v/>
      </c>
      <c r="F23">
        <f>INDEX('Total Reserves'!3:18, 16, MATCH("*Lithuania*", 'Total Reserves'!1:1, 0))</f>
        <v/>
      </c>
      <c r="G23">
        <f>INDEX('Total Reserves'!3:18, 16, MATCH("*Moldova*", 'Total Reserves'!1:1, 0))</f>
        <v/>
      </c>
      <c r="H23">
        <f>INDEX('Total Reserves'!3:18, 16, MATCH("*Uzbekistan*", 'Total Reserves'!1:1, 0))</f>
        <v/>
      </c>
    </row>
    <row r="24">
      <c r="B24">
        <f>(B21*B22/100)/B23*100</f>
        <v/>
      </c>
      <c r="C24">
        <f>(C21*C22/100)/C23*100</f>
        <v/>
      </c>
      <c r="D24">
        <f>(D21*D22/100)/D23*100</f>
        <v/>
      </c>
      <c r="E24">
        <f>(E21*E22/100)/E23*100</f>
        <v/>
      </c>
      <c r="F24">
        <f>(F21*F22/100)/F23*100</f>
        <v/>
      </c>
      <c r="G24">
        <f>(G21*G22/100)/G23*100</f>
        <v/>
      </c>
      <c r="H24">
        <f>(H21*H22/100)/H23*100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  <c r="D4">
        <f>STDEV(C2:C4)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</f>
        <v/>
      </c>
      <c r="E13">
        <f>STDEV(C2:C13)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2026-01-29T06:09:39Z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