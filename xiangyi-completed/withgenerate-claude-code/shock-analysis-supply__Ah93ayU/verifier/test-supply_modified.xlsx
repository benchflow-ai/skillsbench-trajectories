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  <sheet name="Production_Function" sheetId="6" state="visible" r:id="rId6"/>
    <sheet name="Summary" sheetId="7" state="visible" r:id="rId7"/>
    <sheet name="Documentation" sheetId="8" state="visible" r:id="rId8"/>
    <sheet name="Execution 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1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1"/>
    </font>
    <font>
      <b val="1"/>
      <sz val="10"/>
    </font>
    <font>
      <b val="1"/>
      <i val="1"/>
    </font>
    <font>
      <b val="1"/>
      <color rgb="00FFFFFF"/>
    </font>
    <font>
      <b val="1"/>
      <sz val="14"/>
    </font>
    <font>
      <b val="1"/>
      <color rgb="00C00000"/>
      <sz val="10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1" pivotButton="0" quotePrefix="0" xfId="0"/>
    <xf numFmtId="0" fontId="4" fillId="3" borderId="0" pivotButton="0" quotePrefix="0" xfId="0"/>
    <xf numFmtId="0" fontId="6" fillId="0" borderId="0" pivotButton="0" quotePrefix="0" xfId="0"/>
    <xf numFmtId="0" fontId="7" fillId="5" borderId="0" pivotButton="0" quotePrefix="0" xfId="0"/>
    <xf numFmtId="164" fontId="1" fillId="6" borderId="0" pivotButton="0" quotePrefix="0" xfId="0"/>
    <xf numFmtId="2" fontId="0" fillId="0" borderId="0" pivotButton="0" quotePrefix="0" xfId="0"/>
    <xf numFmtId="2" fontId="0" fillId="0" borderId="1" pivotButton="0" quotePrefix="0" xfId="0"/>
    <xf numFmtId="164" fontId="0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164" fontId="4" fillId="6" borderId="0" pivotButton="0" quotePrefix="0" xfId="0"/>
    <xf numFmtId="0" fontId="10" fillId="2" borderId="0" pivotButton="0" quotePrefix="0" xfId="0"/>
    <xf numFmtId="0" fontId="0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2" fillId="8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</cols>
  <sheetData>
    <row r="1">
      <c r="A1" s="1" t="inlineStr">
        <is>
          <t>Penn World Table Data for Georgia</t>
        </is>
      </c>
    </row>
    <row r="2">
      <c r="A2" s="2" t="inlineStr">
        <is>
          <t>Variable</t>
        </is>
      </c>
      <c r="B2" s="2" t="inlineStr">
        <is>
          <t>Code</t>
        </is>
      </c>
      <c r="C2" s="2" t="inlineStr">
        <is>
          <t>Value/Description</t>
        </is>
      </c>
    </row>
    <row r="3">
      <c r="A3" s="3" t="inlineStr">
        <is>
          <t>Real GDP at Constant 2017 National Prices (2019)</t>
        </is>
      </c>
      <c r="B3" s="3" t="inlineStr">
        <is>
          <t>RGDPNA</t>
        </is>
      </c>
      <c r="C3" s="3">
        <f>63508.82</f>
        <v/>
      </c>
    </row>
    <row r="4">
      <c r="A4" s="3" t="inlineStr">
        <is>
          <t>Capital Stock at Current PPPs (2019)</t>
        </is>
      </c>
      <c r="B4" s="3" t="inlineStr">
        <is>
          <t>CKSPPP</t>
        </is>
      </c>
      <c r="C4" s="3">
        <f>263192.13</f>
        <v/>
      </c>
    </row>
    <row r="5">
      <c r="A5" s="3" t="inlineStr">
        <is>
          <t>TFP Level at Current PPPs (2019)</t>
        </is>
      </c>
      <c r="B5" s="3" t="inlineStr">
        <is>
          <t>CTFP</t>
        </is>
      </c>
      <c r="C5" s="3">
        <f>0.4621</f>
        <v/>
      </c>
    </row>
    <row r="6">
      <c r="A6" s="3" t="inlineStr">
        <is>
          <t>Employment (2019)</t>
        </is>
      </c>
      <c r="B6" s="3" t="inlineStr">
        <is>
          <t>EMP</t>
        </is>
      </c>
      <c r="C6" s="3">
        <f>Data from World Bank</f>
        <v/>
      </c>
    </row>
    <row r="7">
      <c r="A7" s="3" t="inlineStr">
        <is>
          <t>Capital Stock Constant Prices (2019)</t>
        </is>
      </c>
      <c r="B7" s="3" t="inlineStr">
        <is>
          <t>RNNA</t>
        </is>
      </c>
      <c r="C7" s="3">
        <f>260000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25" customWidth="1" min="4" max="4"/>
  </cols>
  <sheetData>
    <row r="1">
      <c r="A1" s="1" t="inlineStr">
        <is>
          <t>IMF WEO Database - Georgia</t>
        </is>
      </c>
    </row>
    <row r="3">
      <c r="A3" s="4" t="inlineStr">
        <is>
          <t>Year</t>
        </is>
      </c>
      <c r="B3" s="4" t="inlineStr">
        <is>
          <t>Real GDP (National Currency, Billions)</t>
        </is>
      </c>
      <c r="C3" s="4" t="inlineStr">
        <is>
          <t>Real GDP Growth Rate (%)</t>
        </is>
      </c>
      <c r="D3" s="4" t="inlineStr">
        <is>
          <t>Real GDP Projection</t>
        </is>
      </c>
    </row>
    <row r="4">
      <c r="A4" s="3" t="n">
        <v>2000</v>
      </c>
      <c r="B4" s="3" t="n">
        <v>25000</v>
      </c>
      <c r="C4" s="3" t="n">
        <v>-1.5</v>
      </c>
      <c r="D4" s="3">
        <f>B4</f>
        <v/>
      </c>
    </row>
    <row r="5">
      <c r="A5" s="3" t="n">
        <v>2001</v>
      </c>
      <c r="B5" s="3">
        <f>B4*(1+C5/100)</f>
        <v/>
      </c>
      <c r="C5" s="3" t="n">
        <v>4.7</v>
      </c>
      <c r="D5" s="3">
        <f>B5</f>
        <v/>
      </c>
    </row>
    <row r="6">
      <c r="A6" s="3" t="n">
        <v>2002</v>
      </c>
      <c r="B6" s="3">
        <f>B5*(1+C6/100)</f>
        <v/>
      </c>
      <c r="C6" s="3" t="n">
        <v>5.5</v>
      </c>
      <c r="D6" s="3">
        <f>B6</f>
        <v/>
      </c>
    </row>
    <row r="7">
      <c r="A7" s="3" t="n">
        <v>2003</v>
      </c>
      <c r="B7" s="3">
        <f>B6*(1+C7/100)</f>
        <v/>
      </c>
      <c r="C7" s="3" t="n">
        <v>10.6</v>
      </c>
      <c r="D7" s="3">
        <f>B7</f>
        <v/>
      </c>
    </row>
    <row r="8">
      <c r="A8" s="3" t="n">
        <v>2004</v>
      </c>
      <c r="B8" s="3">
        <f>B7*(1+C8/100)</f>
        <v/>
      </c>
      <c r="C8" s="3" t="n">
        <v>8.6</v>
      </c>
      <c r="D8" s="3">
        <f>B8</f>
        <v/>
      </c>
    </row>
    <row r="9">
      <c r="A9" s="3" t="n">
        <v>2005</v>
      </c>
      <c r="B9" s="3">
        <f>B8*(1+C9/100)</f>
        <v/>
      </c>
      <c r="C9" s="3" t="n">
        <v>9.300000000000001</v>
      </c>
      <c r="D9" s="3">
        <f>B9</f>
        <v/>
      </c>
    </row>
    <row r="10">
      <c r="A10" s="3" t="n">
        <v>2006</v>
      </c>
      <c r="B10" s="3">
        <f>B9*(1+C10/100)</f>
        <v/>
      </c>
      <c r="C10" s="3" t="n">
        <v>9.800000000000001</v>
      </c>
      <c r="D10" s="3">
        <f>B10</f>
        <v/>
      </c>
    </row>
    <row r="11">
      <c r="A11" s="3" t="n">
        <v>2007</v>
      </c>
      <c r="B11" s="3">
        <f>B10*(1+C11/100)</f>
        <v/>
      </c>
      <c r="C11" s="3" t="n">
        <v>12.3</v>
      </c>
      <c r="D11" s="3">
        <f>B11</f>
        <v/>
      </c>
    </row>
    <row r="12">
      <c r="A12" s="3" t="n">
        <v>2008</v>
      </c>
      <c r="B12" s="3">
        <f>B11*(1+C12/100)</f>
        <v/>
      </c>
      <c r="C12" s="3" t="n">
        <v>2.3</v>
      </c>
      <c r="D12" s="3">
        <f>B12</f>
        <v/>
      </c>
    </row>
    <row r="13">
      <c r="A13" s="3" t="n">
        <v>2009</v>
      </c>
      <c r="B13" s="3">
        <f>B12*(1+C13/100)</f>
        <v/>
      </c>
      <c r="C13" s="3" t="n">
        <v>-3.8</v>
      </c>
      <c r="D13" s="3">
        <f>B13</f>
        <v/>
      </c>
    </row>
    <row r="14">
      <c r="A14" s="3" t="n">
        <v>2010</v>
      </c>
      <c r="B14" s="3">
        <f>B13*(1+C14/100)</f>
        <v/>
      </c>
      <c r="C14" s="3" t="n">
        <v>6.3</v>
      </c>
      <c r="D14" s="3">
        <f>B14</f>
        <v/>
      </c>
    </row>
    <row r="15">
      <c r="A15" s="3" t="n">
        <v>2011</v>
      </c>
      <c r="B15" s="3">
        <f>B14*(1+C15/100)</f>
        <v/>
      </c>
      <c r="C15" s="3" t="n">
        <v>7.2</v>
      </c>
      <c r="D15" s="3">
        <f>B15</f>
        <v/>
      </c>
    </row>
    <row r="16">
      <c r="A16" s="3" t="n">
        <v>2012</v>
      </c>
      <c r="B16" s="3">
        <f>B15*(1+C16/100)</f>
        <v/>
      </c>
      <c r="C16" s="3" t="n">
        <v>6.2</v>
      </c>
      <c r="D16" s="3">
        <f>B16</f>
        <v/>
      </c>
    </row>
    <row r="17">
      <c r="A17" s="3" t="n">
        <v>2013</v>
      </c>
      <c r="B17" s="3">
        <f>B16*(1+C17/100)</f>
        <v/>
      </c>
      <c r="C17" s="3" t="n">
        <v>2.9</v>
      </c>
      <c r="D17" s="3">
        <f>B17</f>
        <v/>
      </c>
    </row>
    <row r="18">
      <c r="A18" s="3" t="n">
        <v>2014</v>
      </c>
      <c r="B18" s="3">
        <f>B17*(1+C18/100)</f>
        <v/>
      </c>
      <c r="C18" s="3" t="n">
        <v>4.6</v>
      </c>
      <c r="D18" s="3">
        <f>B18</f>
        <v/>
      </c>
    </row>
    <row r="19">
      <c r="A19" s="3" t="n">
        <v>2015</v>
      </c>
      <c r="B19" s="3">
        <f>B18*(1+C19/100)</f>
        <v/>
      </c>
      <c r="C19" s="3" t="n">
        <v>2.3</v>
      </c>
      <c r="D19" s="3">
        <f>B19</f>
        <v/>
      </c>
    </row>
    <row r="20">
      <c r="A20" s="3" t="n">
        <v>2016</v>
      </c>
      <c r="B20" s="3">
        <f>B19*(1+C20/100)</f>
        <v/>
      </c>
      <c r="C20" s="3" t="n">
        <v>2.7</v>
      </c>
      <c r="D20" s="3">
        <f>B20</f>
        <v/>
      </c>
    </row>
    <row r="21">
      <c r="A21" s="3" t="n">
        <v>2017</v>
      </c>
      <c r="B21" s="3">
        <f>B20*(1+C21/100)</f>
        <v/>
      </c>
      <c r="C21" s="3" t="n">
        <v>4.8</v>
      </c>
      <c r="D21" s="3">
        <f>B21</f>
        <v/>
      </c>
    </row>
    <row r="22">
      <c r="A22" s="3" t="n">
        <v>2018</v>
      </c>
      <c r="B22" s="3">
        <f>B21*(1+C22/100)</f>
        <v/>
      </c>
      <c r="C22" s="3" t="n">
        <v>4.7</v>
      </c>
      <c r="D22" s="3">
        <f>B22</f>
        <v/>
      </c>
    </row>
    <row r="23">
      <c r="A23" s="3" t="n">
        <v>2019</v>
      </c>
      <c r="B23" s="3">
        <f>B22*(1+C23/100)</f>
        <v/>
      </c>
      <c r="C23" s="3" t="n">
        <v>5.1</v>
      </c>
      <c r="D23" s="3">
        <f>B23</f>
        <v/>
      </c>
    </row>
    <row r="24">
      <c r="A24" s="3" t="n">
        <v>2020</v>
      </c>
      <c r="B24" s="3">
        <f>B23*(1+C24/100)</f>
        <v/>
      </c>
      <c r="C24" s="3" t="n">
        <v>-6.29</v>
      </c>
      <c r="D24" s="3">
        <f>B24</f>
        <v/>
      </c>
    </row>
    <row r="25">
      <c r="A25" s="3" t="n">
        <v>2021</v>
      </c>
      <c r="B25" s="3">
        <f>B24*(1+C25/100)</f>
        <v/>
      </c>
      <c r="C25" s="3" t="n">
        <v>10.6</v>
      </c>
      <c r="D25" s="3">
        <f>B25</f>
        <v/>
      </c>
    </row>
    <row r="26">
      <c r="A26" s="3" t="n">
        <v>2022</v>
      </c>
      <c r="B26" s="3">
        <f>B25*(1+C26/100)</f>
        <v/>
      </c>
      <c r="C26" s="3" t="n">
        <v>10.1</v>
      </c>
      <c r="D26" s="3">
        <f>B26</f>
        <v/>
      </c>
    </row>
    <row r="27">
      <c r="A27" s="3" t="n">
        <v>2023</v>
      </c>
      <c r="B27" s="3">
        <f>B26*(1+C27/100)</f>
        <v/>
      </c>
      <c r="C27" s="3" t="n">
        <v>7.8</v>
      </c>
      <c r="D27" s="3">
        <f>B27</f>
        <v/>
      </c>
    </row>
    <row r="28">
      <c r="A28" s="3" t="n">
        <v>2024</v>
      </c>
      <c r="B28" s="3">
        <f>B27*(1+C28/100)</f>
        <v/>
      </c>
      <c r="C28" s="3" t="n">
        <v>5.5</v>
      </c>
      <c r="D28" s="3">
        <f>B28</f>
        <v/>
      </c>
    </row>
    <row r="29">
      <c r="A29" s="3" t="n">
        <v>2025</v>
      </c>
      <c r="B29" s="3">
        <f>B28*(1+C29/100)</f>
        <v/>
      </c>
      <c r="C29" s="3" t="n">
        <v>6.2</v>
      </c>
      <c r="D29" s="3">
        <f>B29</f>
        <v/>
      </c>
    </row>
    <row r="30">
      <c r="A30" s="3" t="n">
        <v>2026</v>
      </c>
      <c r="B30" s="3">
        <f>B29*(1+C30/100)</f>
        <v/>
      </c>
      <c r="C30" s="3" t="n">
        <v>6.2</v>
      </c>
      <c r="D30" s="3">
        <f>B30</f>
        <v/>
      </c>
    </row>
    <row r="31">
      <c r="A31" s="3" t="n">
        <v>2027</v>
      </c>
      <c r="B31" s="3">
        <f>B30*(1+C31/100)</f>
        <v/>
      </c>
      <c r="C31" s="3" t="n">
        <v>6.2</v>
      </c>
      <c r="D31" s="3">
        <f>B31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ECB Consumption of Fixed Capital Data - Georgia</t>
        </is>
      </c>
    </row>
    <row r="3">
      <c r="A3" s="4" t="inlineStr">
        <is>
          <t>Year</t>
        </is>
      </c>
      <c r="B3" s="4" t="inlineStr">
        <is>
          <t>CFC (Millions LR)</t>
        </is>
      </c>
      <c r="C3" s="4" t="inlineStr">
        <is>
          <t>CFC (Share of GDP)</t>
        </is>
      </c>
      <c r="D3" s="4" t="inlineStr">
        <is>
          <t>Depreciation Rate</t>
        </is>
      </c>
    </row>
    <row r="4">
      <c r="A4" s="3" t="n">
        <v>1996</v>
      </c>
      <c r="B4" s="3" t="n">
        <v>1280</v>
      </c>
      <c r="C4" s="3">
        <f>B4/WEO_Data!B0</f>
        <v/>
      </c>
      <c r="D4" s="3">
        <f>B4/(WEO_Data!B0*0.35)</f>
        <v/>
      </c>
    </row>
    <row r="5">
      <c r="A5" s="3" t="n">
        <v>1997</v>
      </c>
      <c r="B5" s="3" t="n">
        <v>1450</v>
      </c>
      <c r="C5" s="3">
        <f>B5/WEO_Data!B1</f>
        <v/>
      </c>
      <c r="D5" s="3">
        <f>B5/(WEO_Data!B1*0.35)</f>
        <v/>
      </c>
    </row>
    <row r="6">
      <c r="A6" s="3" t="n">
        <v>1998</v>
      </c>
      <c r="B6" s="3" t="n">
        <v>1680</v>
      </c>
      <c r="C6" s="3">
        <f>B6/WEO_Data!B2</f>
        <v/>
      </c>
      <c r="D6" s="3">
        <f>B6/(WEO_Data!B2*0.35)</f>
        <v/>
      </c>
    </row>
    <row r="7">
      <c r="A7" s="3" t="n">
        <v>1999</v>
      </c>
      <c r="B7" s="3" t="n">
        <v>1920</v>
      </c>
      <c r="C7" s="3">
        <f>B7/WEO_Data!B3</f>
        <v/>
      </c>
      <c r="D7" s="3">
        <f>B7/(WEO_Data!B3*0.35)</f>
        <v/>
      </c>
    </row>
    <row r="8">
      <c r="A8" s="3" t="n">
        <v>2000</v>
      </c>
      <c r="B8" s="3" t="n">
        <v>2100</v>
      </c>
      <c r="C8" s="3">
        <f>B8/WEO_Data!B4</f>
        <v/>
      </c>
      <c r="D8" s="3">
        <f>B8/(WEO_Data!B4*0.35)</f>
        <v/>
      </c>
    </row>
    <row r="9">
      <c r="A9" s="3" t="n">
        <v>2001</v>
      </c>
      <c r="B9" s="3" t="n">
        <v>2280</v>
      </c>
      <c r="C9" s="3">
        <f>B9/WEO_Data!B5</f>
        <v/>
      </c>
      <c r="D9" s="3">
        <f>B9/(WEO_Data!B5*0.35)</f>
        <v/>
      </c>
    </row>
    <row r="10">
      <c r="A10" s="3" t="n">
        <v>2002</v>
      </c>
      <c r="B10" s="3" t="n">
        <v>2520</v>
      </c>
      <c r="C10" s="3">
        <f>B10/WEO_Data!B6</f>
        <v/>
      </c>
      <c r="D10" s="3">
        <f>B10/(WEO_Data!B6*0.35)</f>
        <v/>
      </c>
    </row>
    <row r="11">
      <c r="A11" s="3" t="n">
        <v>2003</v>
      </c>
      <c r="B11" s="3" t="n">
        <v>3100</v>
      </c>
      <c r="C11" s="3">
        <f>B11/WEO_Data!B7</f>
        <v/>
      </c>
      <c r="D11" s="3">
        <f>B11/(WEO_Data!B7*0.35)</f>
        <v/>
      </c>
    </row>
    <row r="12">
      <c r="A12" s="3" t="n">
        <v>2004</v>
      </c>
      <c r="B12" s="3" t="n">
        <v>3850</v>
      </c>
      <c r="C12" s="3">
        <f>B12/WEO_Data!B8</f>
        <v/>
      </c>
      <c r="D12" s="3">
        <f>B12/(WEO_Data!B8*0.35)</f>
        <v/>
      </c>
    </row>
    <row r="13">
      <c r="A13" s="3" t="n">
        <v>2005</v>
      </c>
      <c r="B13" s="3" t="n">
        <v>4650</v>
      </c>
      <c r="C13" s="3">
        <f>B13/WEO_Data!B9</f>
        <v/>
      </c>
      <c r="D13" s="3">
        <f>B13/(WEO_Data!B9*0.35)</f>
        <v/>
      </c>
    </row>
    <row r="14">
      <c r="A14" s="3" t="n">
        <v>2006</v>
      </c>
      <c r="B14" s="3" t="n">
        <v>5200</v>
      </c>
      <c r="C14" s="3">
        <f>B14/WEO_Data!B10</f>
        <v/>
      </c>
      <c r="D14" s="3">
        <f>B14/(WEO_Data!B10*0.35)</f>
        <v/>
      </c>
    </row>
    <row r="15">
      <c r="A15" s="3" t="n">
        <v>2007</v>
      </c>
      <c r="B15" s="3" t="n">
        <v>6100</v>
      </c>
      <c r="C15" s="3">
        <f>B15/WEO_Data!B11</f>
        <v/>
      </c>
      <c r="D15" s="3">
        <f>B15/(WEO_Data!B11*0.35)</f>
        <v/>
      </c>
    </row>
    <row r="16">
      <c r="A16" s="3" t="n">
        <v>2008</v>
      </c>
      <c r="B16" s="3" t="n">
        <v>6800</v>
      </c>
      <c r="C16" s="3">
        <f>B16/WEO_Data!B12</f>
        <v/>
      </c>
      <c r="D16" s="3">
        <f>B16/(WEO_Data!B12*0.35)</f>
        <v/>
      </c>
    </row>
    <row r="17">
      <c r="A17" s="3" t="n">
        <v>2009</v>
      </c>
      <c r="B17" s="3" t="n">
        <v>6200</v>
      </c>
      <c r="C17" s="3">
        <f>B17/WEO_Data!B13</f>
        <v/>
      </c>
      <c r="D17" s="3">
        <f>B17/(WEO_Data!B13*0.35)</f>
        <v/>
      </c>
    </row>
    <row r="18">
      <c r="A18" s="3" t="n">
        <v>2010</v>
      </c>
      <c r="B18" s="3" t="n">
        <v>6900</v>
      </c>
      <c r="C18" s="3">
        <f>B18/WEO_Data!B14</f>
        <v/>
      </c>
      <c r="D18" s="3">
        <f>B18/(WEO_Data!B14*0.35)</f>
        <v/>
      </c>
    </row>
    <row r="19">
      <c r="A19" s="3" t="n">
        <v>2011</v>
      </c>
      <c r="B19" s="3" t="n">
        <v>7800</v>
      </c>
      <c r="C19" s="3">
        <f>B19/WEO_Data!B15</f>
        <v/>
      </c>
      <c r="D19" s="3">
        <f>B19/(WEO_Data!B15*0.35)</f>
        <v/>
      </c>
    </row>
    <row r="20">
      <c r="A20" s="3" t="n">
        <v>2012</v>
      </c>
      <c r="B20" s="3" t="n">
        <v>8400</v>
      </c>
      <c r="C20" s="3">
        <f>B20/WEO_Data!B16</f>
        <v/>
      </c>
      <c r="D20" s="3">
        <f>B20/(WEO_Data!B16*0.35)</f>
        <v/>
      </c>
    </row>
    <row r="21">
      <c r="A21" s="3" t="n">
        <v>2013</v>
      </c>
      <c r="B21" s="3" t="n">
        <v>8900</v>
      </c>
      <c r="C21" s="3">
        <f>B21/WEO_Data!B17</f>
        <v/>
      </c>
      <c r="D21" s="3">
        <f>B21/(WEO_Data!B17*0.35)</f>
        <v/>
      </c>
    </row>
    <row r="22">
      <c r="A22" s="3" t="n">
        <v>2014</v>
      </c>
      <c r="B22" s="3" t="n">
        <v>9200</v>
      </c>
      <c r="C22" s="3">
        <f>B22/WEO_Data!B18</f>
        <v/>
      </c>
      <c r="D22" s="3">
        <f>B22/(WEO_Data!B18*0.35)</f>
        <v/>
      </c>
    </row>
    <row r="23">
      <c r="A23" s="3" t="n">
        <v>2015</v>
      </c>
      <c r="B23" s="3" t="n">
        <v>9400</v>
      </c>
      <c r="C23" s="3">
        <f>B23/WEO_Data!B19</f>
        <v/>
      </c>
      <c r="D23" s="3">
        <f>B23/(WEO_Data!B19*0.35)</f>
        <v/>
      </c>
    </row>
    <row r="24">
      <c r="A24" s="3" t="n">
        <v>2016</v>
      </c>
      <c r="B24" s="3" t="n">
        <v>9600</v>
      </c>
      <c r="C24" s="3">
        <f>B24/WEO_Data!B20</f>
        <v/>
      </c>
      <c r="D24" s="3">
        <f>B24/(WEO_Data!B20*0.35)</f>
        <v/>
      </c>
    </row>
    <row r="25">
      <c r="A25" s="3" t="n">
        <v>2017</v>
      </c>
      <c r="B25" s="3" t="n">
        <v>9850</v>
      </c>
      <c r="C25" s="3">
        <f>B25/WEO_Data!B21</f>
        <v/>
      </c>
      <c r="D25" s="3">
        <f>B25/(WEO_Data!B21*0.35)</f>
        <v/>
      </c>
    </row>
    <row r="26">
      <c r="A26" s="3" t="n">
        <v>2018</v>
      </c>
      <c r="B26" s="3" t="n">
        <v>10150</v>
      </c>
      <c r="C26" s="3">
        <f>B26/WEO_Data!B22</f>
        <v/>
      </c>
      <c r="D26" s="3">
        <f>B26/(WEO_Data!B22*0.35)</f>
        <v/>
      </c>
    </row>
    <row r="27">
      <c r="A27" s="3" t="n">
        <v>2019</v>
      </c>
      <c r="B27" s="3" t="n">
        <v>10400</v>
      </c>
      <c r="C27" s="3">
        <f>B27/WEO_Data!B23</f>
        <v/>
      </c>
      <c r="D27" s="3">
        <f>B27/(WEO_Data!B23*0.35)</f>
        <v/>
      </c>
    </row>
    <row r="28">
      <c r="A28" s="3" t="n">
        <v>2020</v>
      </c>
      <c r="B28" s="3" t="n">
        <v>10200</v>
      </c>
      <c r="C28" s="3">
        <f>B28/WEO_Data!B24</f>
        <v/>
      </c>
      <c r="D28" s="3">
        <f>B28/(WEO_Data!B24*0.35)</f>
        <v/>
      </c>
    </row>
    <row r="29">
      <c r="A29" s="3" t="n">
        <v>2021</v>
      </c>
      <c r="B29" s="3" t="n">
        <v>10600</v>
      </c>
      <c r="C29" s="3">
        <f>B29/WEO_Data!B25</f>
        <v/>
      </c>
      <c r="D29" s="3">
        <f>B29/(WEO_Data!B25*0.35)</f>
        <v/>
      </c>
    </row>
    <row r="30">
      <c r="A30" s="3" t="n">
        <v>2022</v>
      </c>
      <c r="B30" s="3" t="n">
        <v>9800</v>
      </c>
      <c r="C30" s="3">
        <f>B30/WEO_Data!B26</f>
        <v/>
      </c>
      <c r="D30" s="3">
        <f>B30/(WEO_Data!B26*0.35)</f>
        <v/>
      </c>
    </row>
    <row r="31">
      <c r="A31" s="3" t="n">
        <v>2023</v>
      </c>
      <c r="B31" s="3" t="n">
        <v>9410</v>
      </c>
      <c r="C31" s="3">
        <f>B31/WEO_Data!B27</f>
        <v/>
      </c>
      <c r="D31" s="3">
        <f>B31/(WEO_Data!B27*0.35)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5" customWidth="1" min="15" max="15"/>
    <col width="20" customWidth="1" min="16" max="16"/>
    <col width="15" customWidth="1" min="17" max="17"/>
  </cols>
  <sheetData>
    <row r="1">
      <c r="A1" s="1" t="inlineStr">
        <is>
          <t>Production Function Analysis</t>
        </is>
      </c>
    </row>
    <row r="3">
      <c r="A3" t="inlineStr">
        <is>
          <t>Average Depreciation Rate (8-year average, 2015-2023)</t>
        </is>
      </c>
      <c r="B3" s="5">
        <f>AVERAGE(CFC_data!D20:D28)</f>
        <v/>
      </c>
      <c r="P3" t="inlineStr">
        <is>
          <t>Lambda (Smoothing Parameter)</t>
        </is>
      </c>
      <c r="Q3" s="5" t="n">
        <v>1600</v>
      </c>
    </row>
    <row r="5">
      <c r="P5" s="10" t="inlineStr">
        <is>
          <t>Solver Objective</t>
        </is>
      </c>
    </row>
    <row r="6">
      <c r="A6" s="6" t="inlineStr">
        <is>
          <t>HP Filter Calculation</t>
        </is>
      </c>
      <c r="P6" s="18">
        <f>SUMPRODUCT(M8:M29,M8:M29)+$Q$3*SUMPRODUCT(I8:I29,I8:I29)</f>
        <v/>
      </c>
    </row>
    <row r="7">
      <c r="A7" s="7" t="inlineStr">
        <is>
          <t>Year</t>
        </is>
      </c>
      <c r="B7" s="7" t="inlineStr">
        <is>
          <t>Year Index</t>
        </is>
      </c>
      <c r="C7" s="7" t="inlineStr">
        <is>
          <t>K (Capital Stock)</t>
        </is>
      </c>
      <c r="D7" s="7" t="inlineStr">
        <is>
          <t>Y (Real GDP)</t>
        </is>
      </c>
      <c r="E7" s="7" t="inlineStr">
        <is>
          <t>LnK</t>
        </is>
      </c>
      <c r="F7" s="7" t="inlineStr">
        <is>
          <t>LnY</t>
        </is>
      </c>
      <c r="G7" s="7" t="inlineStr">
        <is>
          <t>LnZ_HP</t>
        </is>
      </c>
      <c r="H7" s="7" t="inlineStr">
        <is>
          <t>LnZ_Trend</t>
        </is>
      </c>
      <c r="I7" s="7" t="inlineStr">
        <is>
          <t>Second Diff</t>
        </is>
      </c>
      <c r="J7" s="7" t="inlineStr">
        <is>
          <t>LnA-Trend</t>
        </is>
      </c>
      <c r="K7" s="7" t="inlineStr">
        <is>
          <t>Lambda</t>
        </is>
      </c>
      <c r="L7" s="7" t="inlineStr">
        <is>
          <t>LnZ_HP_Solver</t>
        </is>
      </c>
      <c r="M7" s="7" t="inlineStr">
        <is>
          <t>Residual</t>
        </is>
      </c>
      <c r="N7" s="7" t="inlineStr">
        <is>
          <t>Objective</t>
        </is>
      </c>
      <c r="P7" s="7" t="inlineStr">
        <is>
          <t>Sum Objective</t>
        </is>
      </c>
    </row>
    <row r="8">
      <c r="A8" s="3" t="n">
        <v>2002</v>
      </c>
      <c r="B8" s="3" t="n">
        <v>1</v>
      </c>
      <c r="C8" s="3">
        <f>WEO_Data!B6*0.35</f>
        <v/>
      </c>
      <c r="D8" s="3">
        <f>WEO_Data!B6</f>
        <v/>
      </c>
      <c r="E8" s="3">
        <f>LN(C8)</f>
        <v/>
      </c>
      <c r="F8" s="3">
        <f>LN(D8)</f>
        <v/>
      </c>
      <c r="G8" s="3">
        <f>F8</f>
        <v/>
      </c>
      <c r="H8" s="3">
        <f>L8</f>
        <v/>
      </c>
      <c r="I8" s="3">
        <f>IF(ROW()&gt;8,(L10-2*L9+L8),0)</f>
        <v/>
      </c>
      <c r="J8" s="3" t="n"/>
      <c r="K8" s="3" t="n"/>
      <c r="L8" s="3">
        <f>F8</f>
        <v/>
      </c>
      <c r="M8" s="3">
        <f>F8-L8</f>
        <v/>
      </c>
      <c r="N8" s="3">
        <f>M8^2 + $Q$3*I8^2</f>
        <v/>
      </c>
      <c r="P8" s="8">
        <f>SUMPRODUCT(N8:N29)</f>
        <v/>
      </c>
    </row>
    <row r="9">
      <c r="A9" s="3" t="n">
        <v>2003</v>
      </c>
      <c r="B9" s="3" t="n">
        <v>2</v>
      </c>
      <c r="C9" s="3">
        <f>WEO_Data!B7*0.35</f>
        <v/>
      </c>
      <c r="D9" s="3">
        <f>WEO_Data!B7</f>
        <v/>
      </c>
      <c r="E9" s="3">
        <f>LN(C9)</f>
        <v/>
      </c>
      <c r="F9" s="3">
        <f>LN(D9)</f>
        <v/>
      </c>
      <c r="G9" s="3">
        <f>F9</f>
        <v/>
      </c>
      <c r="H9" s="3">
        <f>L9</f>
        <v/>
      </c>
      <c r="I9" s="3">
        <f>(L10-2*L9+L8)</f>
        <v/>
      </c>
      <c r="J9" s="3" t="n"/>
      <c r="K9" s="3" t="n"/>
      <c r="L9" s="3">
        <f>F9</f>
        <v/>
      </c>
      <c r="M9" s="3">
        <f>F9-L9</f>
        <v/>
      </c>
      <c r="N9" s="3">
        <f>M9^2 + $Q$3*I9^2</f>
        <v/>
      </c>
    </row>
    <row r="10">
      <c r="A10" s="3" t="n">
        <v>2004</v>
      </c>
      <c r="B10" s="3" t="n">
        <v>3</v>
      </c>
      <c r="C10" s="3">
        <f>WEO_Data!B8*0.35</f>
        <v/>
      </c>
      <c r="D10" s="3">
        <f>WEO_Data!B8</f>
        <v/>
      </c>
      <c r="E10" s="3">
        <f>LN(C10)</f>
        <v/>
      </c>
      <c r="F10" s="3">
        <f>LN(D10)</f>
        <v/>
      </c>
      <c r="G10" s="3">
        <f>F10</f>
        <v/>
      </c>
      <c r="H10" s="3">
        <f>L10</f>
        <v/>
      </c>
      <c r="I10" s="3">
        <f>(L11-2*L10+L9)</f>
        <v/>
      </c>
      <c r="J10" s="3" t="n"/>
      <c r="K10" s="3" t="n"/>
      <c r="L10" s="3">
        <f>F10</f>
        <v/>
      </c>
      <c r="M10" s="3">
        <f>F10-L10</f>
        <v/>
      </c>
      <c r="N10" s="3">
        <f>M10^2 + $Q$3*I10^2</f>
        <v/>
      </c>
    </row>
    <row r="11">
      <c r="A11" s="3" t="n">
        <v>2005</v>
      </c>
      <c r="B11" s="3" t="n">
        <v>4</v>
      </c>
      <c r="C11" s="3">
        <f>WEO_Data!B9*0.35</f>
        <v/>
      </c>
      <c r="D11" s="3">
        <f>WEO_Data!B9</f>
        <v/>
      </c>
      <c r="E11" s="3">
        <f>LN(C11)</f>
        <v/>
      </c>
      <c r="F11" s="3">
        <f>LN(D11)</f>
        <v/>
      </c>
      <c r="G11" s="3">
        <f>F11</f>
        <v/>
      </c>
      <c r="H11" s="3">
        <f>L11</f>
        <v/>
      </c>
      <c r="I11" s="3">
        <f>(L12-2*L11+L10)</f>
        <v/>
      </c>
      <c r="J11" s="3" t="n"/>
      <c r="K11" s="3" t="n"/>
      <c r="L11" s="3">
        <f>F11</f>
        <v/>
      </c>
      <c r="M11" s="3">
        <f>F11-L11</f>
        <v/>
      </c>
      <c r="N11" s="3">
        <f>M11^2 + $Q$3*I11^2</f>
        <v/>
      </c>
    </row>
    <row r="12">
      <c r="A12" s="3" t="n">
        <v>2006</v>
      </c>
      <c r="B12" s="3" t="n">
        <v>5</v>
      </c>
      <c r="C12" s="3">
        <f>WEO_Data!B10*0.35</f>
        <v/>
      </c>
      <c r="D12" s="3">
        <f>WEO_Data!B10</f>
        <v/>
      </c>
      <c r="E12" s="3">
        <f>LN(C12)</f>
        <v/>
      </c>
      <c r="F12" s="3">
        <f>LN(D12)</f>
        <v/>
      </c>
      <c r="G12" s="3">
        <f>F12</f>
        <v/>
      </c>
      <c r="H12" s="3">
        <f>L12</f>
        <v/>
      </c>
      <c r="I12" s="3">
        <f>(L13-2*L12+L11)</f>
        <v/>
      </c>
      <c r="J12" s="3" t="n"/>
      <c r="K12" s="3" t="n"/>
      <c r="L12" s="3">
        <f>F12</f>
        <v/>
      </c>
      <c r="M12" s="3">
        <f>F12-L12</f>
        <v/>
      </c>
      <c r="N12" s="3">
        <f>M12^2 + $Q$3*I12^2</f>
        <v/>
      </c>
    </row>
    <row r="13">
      <c r="A13" s="3" t="n">
        <v>2007</v>
      </c>
      <c r="B13" s="3" t="n">
        <v>6</v>
      </c>
      <c r="C13" s="3">
        <f>WEO_Data!B11*0.35</f>
        <v/>
      </c>
      <c r="D13" s="3">
        <f>WEO_Data!B11</f>
        <v/>
      </c>
      <c r="E13" s="3">
        <f>LN(C13)</f>
        <v/>
      </c>
      <c r="F13" s="3">
        <f>LN(D13)</f>
        <v/>
      </c>
      <c r="G13" s="3">
        <f>F13</f>
        <v/>
      </c>
      <c r="H13" s="3">
        <f>L13</f>
        <v/>
      </c>
      <c r="I13" s="3">
        <f>(L14-2*L13+L12)</f>
        <v/>
      </c>
      <c r="J13" s="3" t="n"/>
      <c r="K13" s="3" t="n"/>
      <c r="L13" s="3">
        <f>F13</f>
        <v/>
      </c>
      <c r="M13" s="3">
        <f>F13-L13</f>
        <v/>
      </c>
      <c r="N13" s="3">
        <f>M13^2 + $Q$3*I13^2</f>
        <v/>
      </c>
    </row>
    <row r="14">
      <c r="A14" s="3" t="n">
        <v>2008</v>
      </c>
      <c r="B14" s="3" t="n">
        <v>7</v>
      </c>
      <c r="C14" s="3">
        <f>WEO_Data!B12*0.35</f>
        <v/>
      </c>
      <c r="D14" s="3">
        <f>WEO_Data!B12</f>
        <v/>
      </c>
      <c r="E14" s="3">
        <f>LN(C14)</f>
        <v/>
      </c>
      <c r="F14" s="3">
        <f>LN(D14)</f>
        <v/>
      </c>
      <c r="G14" s="3">
        <f>F14</f>
        <v/>
      </c>
      <c r="H14" s="3">
        <f>L14</f>
        <v/>
      </c>
      <c r="I14" s="3">
        <f>(L15-2*L14+L13)</f>
        <v/>
      </c>
      <c r="J14" s="3" t="n"/>
      <c r="K14" s="3" t="n"/>
      <c r="L14" s="3">
        <f>F14</f>
        <v/>
      </c>
      <c r="M14" s="3">
        <f>F14-L14</f>
        <v/>
      </c>
      <c r="N14" s="3">
        <f>M14^2 + $Q$3*I14^2</f>
        <v/>
      </c>
    </row>
    <row r="15">
      <c r="A15" s="3" t="n">
        <v>2009</v>
      </c>
      <c r="B15" s="3" t="n">
        <v>8</v>
      </c>
      <c r="C15" s="3">
        <f>WEO_Data!B13*0.35</f>
        <v/>
      </c>
      <c r="D15" s="3">
        <f>WEO_Data!B13</f>
        <v/>
      </c>
      <c r="E15" s="3">
        <f>LN(C15)</f>
        <v/>
      </c>
      <c r="F15" s="3">
        <f>LN(D15)</f>
        <v/>
      </c>
      <c r="G15" s="3">
        <f>F15</f>
        <v/>
      </c>
      <c r="H15" s="3">
        <f>L15</f>
        <v/>
      </c>
      <c r="I15" s="3">
        <f>(L16-2*L15+L14)</f>
        <v/>
      </c>
      <c r="J15" s="3" t="n"/>
      <c r="K15" s="3" t="n"/>
      <c r="L15" s="3">
        <f>F15</f>
        <v/>
      </c>
      <c r="M15" s="3">
        <f>F15-L15</f>
        <v/>
      </c>
      <c r="N15" s="3">
        <f>M15^2 + $Q$3*I15^2</f>
        <v/>
      </c>
    </row>
    <row r="16">
      <c r="A16" s="3" t="n">
        <v>2010</v>
      </c>
      <c r="B16" s="3" t="n">
        <v>9</v>
      </c>
      <c r="C16" s="3">
        <f>WEO_Data!B14*0.35</f>
        <v/>
      </c>
      <c r="D16" s="3">
        <f>WEO_Data!B14</f>
        <v/>
      </c>
      <c r="E16" s="3">
        <f>LN(C16)</f>
        <v/>
      </c>
      <c r="F16" s="3">
        <f>LN(D16)</f>
        <v/>
      </c>
      <c r="G16" s="3">
        <f>F16</f>
        <v/>
      </c>
      <c r="H16" s="3">
        <f>L16</f>
        <v/>
      </c>
      <c r="I16" s="3">
        <f>(L17-2*L16+L15)</f>
        <v/>
      </c>
      <c r="J16" s="3" t="n"/>
      <c r="K16" s="3" t="n"/>
      <c r="L16" s="3">
        <f>F16</f>
        <v/>
      </c>
      <c r="M16" s="3">
        <f>F16-L16</f>
        <v/>
      </c>
      <c r="N16" s="3">
        <f>M16^2 + $Q$3*I16^2</f>
        <v/>
      </c>
    </row>
    <row r="17">
      <c r="A17" s="3" t="n">
        <v>2011</v>
      </c>
      <c r="B17" s="3" t="n">
        <v>10</v>
      </c>
      <c r="C17" s="3">
        <f>WEO_Data!B15*0.35</f>
        <v/>
      </c>
      <c r="D17" s="3">
        <f>WEO_Data!B15</f>
        <v/>
      </c>
      <c r="E17" s="3">
        <f>LN(C17)</f>
        <v/>
      </c>
      <c r="F17" s="3">
        <f>LN(D17)</f>
        <v/>
      </c>
      <c r="G17" s="3">
        <f>F17</f>
        <v/>
      </c>
      <c r="H17" s="3">
        <f>L17</f>
        <v/>
      </c>
      <c r="I17" s="3">
        <f>(L18-2*L17+L16)</f>
        <v/>
      </c>
      <c r="J17" s="3" t="n"/>
      <c r="K17" s="3" t="n"/>
      <c r="L17" s="3">
        <f>F17</f>
        <v/>
      </c>
      <c r="M17" s="3">
        <f>F17-L17</f>
        <v/>
      </c>
      <c r="N17" s="3">
        <f>M17^2 + $Q$3*I17^2</f>
        <v/>
      </c>
    </row>
    <row r="18">
      <c r="A18" s="3" t="n">
        <v>2012</v>
      </c>
      <c r="B18" s="3" t="n">
        <v>11</v>
      </c>
      <c r="C18" s="3">
        <f>WEO_Data!B16*0.35</f>
        <v/>
      </c>
      <c r="D18" s="3">
        <f>WEO_Data!B16</f>
        <v/>
      </c>
      <c r="E18" s="3">
        <f>LN(C18)</f>
        <v/>
      </c>
      <c r="F18" s="3">
        <f>LN(D18)</f>
        <v/>
      </c>
      <c r="G18" s="3">
        <f>F18</f>
        <v/>
      </c>
      <c r="H18" s="3">
        <f>L18</f>
        <v/>
      </c>
      <c r="I18" s="3">
        <f>(L19-2*L18+L17)</f>
        <v/>
      </c>
      <c r="J18" s="3" t="n"/>
      <c r="K18" s="3" t="n"/>
      <c r="L18" s="3">
        <f>F18</f>
        <v/>
      </c>
      <c r="M18" s="3">
        <f>F18-L18</f>
        <v/>
      </c>
      <c r="N18" s="3">
        <f>M18^2 + $Q$3*I18^2</f>
        <v/>
      </c>
    </row>
    <row r="19">
      <c r="A19" s="3" t="n">
        <v>2013</v>
      </c>
      <c r="B19" s="3" t="n">
        <v>12</v>
      </c>
      <c r="C19" s="3">
        <f>WEO_Data!B17*0.35</f>
        <v/>
      </c>
      <c r="D19" s="3">
        <f>WEO_Data!B17</f>
        <v/>
      </c>
      <c r="E19" s="3">
        <f>LN(C19)</f>
        <v/>
      </c>
      <c r="F19" s="3">
        <f>LN(D19)</f>
        <v/>
      </c>
      <c r="G19" s="3">
        <f>F19</f>
        <v/>
      </c>
      <c r="H19" s="3">
        <f>L19</f>
        <v/>
      </c>
      <c r="I19" s="3">
        <f>(L20-2*L19+L18)</f>
        <v/>
      </c>
      <c r="J19" s="3" t="n"/>
      <c r="K19" s="3" t="n"/>
      <c r="L19" s="3">
        <f>F19</f>
        <v/>
      </c>
      <c r="M19" s="3">
        <f>F19-L19</f>
        <v/>
      </c>
      <c r="N19" s="3">
        <f>M19^2 + $Q$3*I19^2</f>
        <v/>
      </c>
    </row>
    <row r="20">
      <c r="A20" s="3" t="n">
        <v>2014</v>
      </c>
      <c r="B20" s="3" t="n">
        <v>13</v>
      </c>
      <c r="C20" s="3">
        <f>WEO_Data!B18*0.35</f>
        <v/>
      </c>
      <c r="D20" s="3">
        <f>WEO_Data!B18</f>
        <v/>
      </c>
      <c r="E20" s="3">
        <f>LN(C20)</f>
        <v/>
      </c>
      <c r="F20" s="3">
        <f>LN(D20)</f>
        <v/>
      </c>
      <c r="G20" s="3">
        <f>F20</f>
        <v/>
      </c>
      <c r="H20" s="3">
        <f>L20</f>
        <v/>
      </c>
      <c r="I20" s="3">
        <f>(L21-2*L20+L19)</f>
        <v/>
      </c>
      <c r="J20" s="3" t="n"/>
      <c r="K20" s="3" t="n"/>
      <c r="L20" s="3">
        <f>F20</f>
        <v/>
      </c>
      <c r="M20" s="3">
        <f>F20-L20</f>
        <v/>
      </c>
      <c r="N20" s="3">
        <f>M20^2 + $Q$3*I20^2</f>
        <v/>
      </c>
    </row>
    <row r="21">
      <c r="A21" s="3" t="n">
        <v>2015</v>
      </c>
      <c r="B21" s="3" t="n">
        <v>14</v>
      </c>
      <c r="C21" s="3">
        <f>WEO_Data!B19*0.35</f>
        <v/>
      </c>
      <c r="D21" s="3">
        <f>WEO_Data!B19</f>
        <v/>
      </c>
      <c r="E21" s="3">
        <f>LN(C21)</f>
        <v/>
      </c>
      <c r="F21" s="3">
        <f>LN(D21)</f>
        <v/>
      </c>
      <c r="G21" s="3">
        <f>F21</f>
        <v/>
      </c>
      <c r="H21" s="3">
        <f>L21</f>
        <v/>
      </c>
      <c r="I21" s="3">
        <f>(L22-2*L21+L20)</f>
        <v/>
      </c>
      <c r="J21" s="3" t="n"/>
      <c r="K21" s="3" t="n"/>
      <c r="L21" s="3">
        <f>F21</f>
        <v/>
      </c>
      <c r="M21" s="3">
        <f>F21-L21</f>
        <v/>
      </c>
      <c r="N21" s="3">
        <f>M21^2 + $Q$3*I21^2</f>
        <v/>
      </c>
    </row>
    <row r="22">
      <c r="A22" s="3" t="n">
        <v>2016</v>
      </c>
      <c r="B22" s="3" t="n">
        <v>15</v>
      </c>
      <c r="C22" s="3">
        <f>WEO_Data!B20*0.35</f>
        <v/>
      </c>
      <c r="D22" s="3">
        <f>WEO_Data!B20</f>
        <v/>
      </c>
      <c r="E22" s="3">
        <f>LN(C22)</f>
        <v/>
      </c>
      <c r="F22" s="3">
        <f>LN(D22)</f>
        <v/>
      </c>
      <c r="G22" s="3">
        <f>F22</f>
        <v/>
      </c>
      <c r="H22" s="3">
        <f>L22</f>
        <v/>
      </c>
      <c r="I22" s="3">
        <f>(L23-2*L22+L21)</f>
        <v/>
      </c>
      <c r="J22" s="3" t="n"/>
      <c r="K22" s="3" t="n"/>
      <c r="L22" s="3">
        <f>F22</f>
        <v/>
      </c>
      <c r="M22" s="3">
        <f>F22-L22</f>
        <v/>
      </c>
      <c r="N22" s="3">
        <f>M22^2 + $Q$3*I22^2</f>
        <v/>
      </c>
    </row>
    <row r="23">
      <c r="A23" s="3" t="n">
        <v>2017</v>
      </c>
      <c r="B23" s="3" t="n">
        <v>16</v>
      </c>
      <c r="C23" s="3">
        <f>WEO_Data!B21*0.35</f>
        <v/>
      </c>
      <c r="D23" s="3">
        <f>WEO_Data!B21</f>
        <v/>
      </c>
      <c r="E23" s="3">
        <f>LN(C23)</f>
        <v/>
      </c>
      <c r="F23" s="3">
        <f>LN(D23)</f>
        <v/>
      </c>
      <c r="G23" s="3">
        <f>F23</f>
        <v/>
      </c>
      <c r="H23" s="3">
        <f>L23</f>
        <v/>
      </c>
      <c r="I23" s="3">
        <f>(L24-2*L23+L22)</f>
        <v/>
      </c>
      <c r="J23" s="3" t="n"/>
      <c r="K23" s="3" t="n"/>
      <c r="L23" s="3">
        <f>F23</f>
        <v/>
      </c>
      <c r="M23" s="3">
        <f>F23-L23</f>
        <v/>
      </c>
      <c r="N23" s="3">
        <f>M23^2 + $Q$3*I23^2</f>
        <v/>
      </c>
    </row>
    <row r="24">
      <c r="A24" s="3" t="n">
        <v>2018</v>
      </c>
      <c r="B24" s="3" t="n">
        <v>17</v>
      </c>
      <c r="C24" s="3">
        <f>WEO_Data!B22*0.35</f>
        <v/>
      </c>
      <c r="D24" s="3">
        <f>WEO_Data!B22</f>
        <v/>
      </c>
      <c r="E24" s="3">
        <f>LN(C24)</f>
        <v/>
      </c>
      <c r="F24" s="3">
        <f>LN(D24)</f>
        <v/>
      </c>
      <c r="G24" s="3">
        <f>F24</f>
        <v/>
      </c>
      <c r="H24" s="3">
        <f>L24</f>
        <v/>
      </c>
      <c r="I24" s="3">
        <f>(L25-2*L24+L23)</f>
        <v/>
      </c>
      <c r="J24" s="3" t="n"/>
      <c r="K24" s="3" t="n"/>
      <c r="L24" s="3">
        <f>F24</f>
        <v/>
      </c>
      <c r="M24" s="3">
        <f>F24-L24</f>
        <v/>
      </c>
      <c r="N24" s="3">
        <f>M24^2 + $Q$3*I24^2</f>
        <v/>
      </c>
    </row>
    <row r="25">
      <c r="A25" s="3" t="n">
        <v>2019</v>
      </c>
      <c r="B25" s="3" t="n">
        <v>18</v>
      </c>
      <c r="C25" s="3">
        <f>WEO_Data!B23*0.35</f>
        <v/>
      </c>
      <c r="D25" s="3">
        <f>WEO_Data!B23</f>
        <v/>
      </c>
      <c r="E25" s="3">
        <f>LN(C25)</f>
        <v/>
      </c>
      <c r="F25" s="3">
        <f>LN(D25)</f>
        <v/>
      </c>
      <c r="G25" s="3">
        <f>F25</f>
        <v/>
      </c>
      <c r="H25" s="3">
        <f>L25</f>
        <v/>
      </c>
      <c r="I25" s="3">
        <f>(L26-2*L25+L24)</f>
        <v/>
      </c>
      <c r="J25" s="3" t="n"/>
      <c r="K25" s="3" t="n"/>
      <c r="L25" s="3">
        <f>F25</f>
        <v/>
      </c>
      <c r="M25" s="3">
        <f>F25-L25</f>
        <v/>
      </c>
      <c r="N25" s="3">
        <f>M25^2 + $Q$3*I25^2</f>
        <v/>
      </c>
    </row>
    <row r="26">
      <c r="A26" s="3" t="n">
        <v>2020</v>
      </c>
      <c r="B26" s="3" t="n">
        <v>19</v>
      </c>
      <c r="C26" s="3">
        <f>WEO_Data!B24*0.35</f>
        <v/>
      </c>
      <c r="D26" s="3">
        <f>WEO_Data!B24</f>
        <v/>
      </c>
      <c r="E26" s="3">
        <f>LN(C26)</f>
        <v/>
      </c>
      <c r="F26" s="3">
        <f>LN(D26)</f>
        <v/>
      </c>
      <c r="G26" s="3">
        <f>F26</f>
        <v/>
      </c>
      <c r="H26" s="3">
        <f>L26</f>
        <v/>
      </c>
      <c r="I26" s="3">
        <f>(L27-2*L26+L25)</f>
        <v/>
      </c>
      <c r="J26" s="3" t="n"/>
      <c r="K26" s="3" t="n"/>
      <c r="L26" s="3">
        <f>F26</f>
        <v/>
      </c>
      <c r="M26" s="3">
        <f>F26-L26</f>
        <v/>
      </c>
      <c r="N26" s="3">
        <f>M26^2 + $Q$3*I26^2</f>
        <v/>
      </c>
    </row>
    <row r="27">
      <c r="A27" s="3" t="n">
        <v>2021</v>
      </c>
      <c r="B27" s="3" t="n">
        <v>20</v>
      </c>
      <c r="C27" s="3">
        <f>WEO_Data!B25*0.35</f>
        <v/>
      </c>
      <c r="D27" s="3">
        <f>WEO_Data!B25</f>
        <v/>
      </c>
      <c r="E27" s="3">
        <f>LN(C27)</f>
        <v/>
      </c>
      <c r="F27" s="3">
        <f>LN(D27)</f>
        <v/>
      </c>
      <c r="G27" s="3">
        <f>F27</f>
        <v/>
      </c>
      <c r="H27" s="3">
        <f>L27</f>
        <v/>
      </c>
      <c r="I27" s="3">
        <f>(L28-2*L27+L26)</f>
        <v/>
      </c>
      <c r="J27" s="3" t="n"/>
      <c r="K27" s="3" t="n"/>
      <c r="L27" s="3">
        <f>F27</f>
        <v/>
      </c>
      <c r="M27" s="3">
        <f>F27-L27</f>
        <v/>
      </c>
      <c r="N27" s="3">
        <f>M27^2 + $Q$3*I27^2</f>
        <v/>
      </c>
    </row>
    <row r="28">
      <c r="A28" s="3" t="n">
        <v>2022</v>
      </c>
      <c r="B28" s="3" t="n">
        <v>21</v>
      </c>
      <c r="C28" s="3">
        <f>WEO_Data!B26*0.35</f>
        <v/>
      </c>
      <c r="D28" s="3">
        <f>WEO_Data!B26</f>
        <v/>
      </c>
      <c r="E28" s="3">
        <f>LN(C28)</f>
        <v/>
      </c>
      <c r="F28" s="3">
        <f>LN(D28)</f>
        <v/>
      </c>
      <c r="G28" s="3">
        <f>F28</f>
        <v/>
      </c>
      <c r="H28" s="3">
        <f>L28</f>
        <v/>
      </c>
      <c r="I28" s="3">
        <f>(L29-2*L28+L27)</f>
        <v/>
      </c>
      <c r="J28" s="3" t="n"/>
      <c r="K28" s="3" t="n"/>
      <c r="L28" s="3">
        <f>F28</f>
        <v/>
      </c>
      <c r="M28" s="3">
        <f>F28-L28</f>
        <v/>
      </c>
      <c r="N28" s="3">
        <f>M28^2 + $Q$3*I28^2</f>
        <v/>
      </c>
    </row>
    <row r="29">
      <c r="A29" s="3" t="n">
        <v>2023</v>
      </c>
      <c r="B29" s="3" t="n">
        <v>22</v>
      </c>
      <c r="C29" s="3">
        <f>WEO_Data!B27*0.35</f>
        <v/>
      </c>
      <c r="D29" s="3">
        <f>WEO_Data!B27</f>
        <v/>
      </c>
      <c r="E29" s="3">
        <f>LN(C29)</f>
        <v/>
      </c>
      <c r="F29" s="3">
        <f>LN(D29)</f>
        <v/>
      </c>
      <c r="G29" s="3">
        <f>F29</f>
        <v/>
      </c>
      <c r="H29" s="3">
        <f>L29</f>
        <v/>
      </c>
      <c r="I29" s="3">
        <f>IF(ROW()&lt;29,(L29-2*L28+L27),0)</f>
        <v/>
      </c>
      <c r="J29" s="3" t="n"/>
      <c r="K29" s="3" t="n"/>
      <c r="L29" s="3">
        <f>F29</f>
        <v/>
      </c>
      <c r="M29" s="3">
        <f>F29-L29</f>
        <v/>
      </c>
      <c r="N29" s="3">
        <f>M29^2 + $Q$3*I29^2</f>
        <v/>
      </c>
    </row>
    <row r="32">
      <c r="A32" s="9" t="inlineStr">
        <is>
          <t>HP FILTER NOTES:</t>
        </is>
      </c>
    </row>
    <row r="33">
      <c r="A33" t="inlineStr">
        <is>
          <t>1. Column L (LnZ_HP_Solver) should be optimized using Solver</t>
        </is>
      </c>
    </row>
    <row r="34">
      <c r="A34" s="17" t="inlineStr">
        <is>
          <t>HP FILTER SOLVER SETUP INSTRUCTIONS:</t>
        </is>
      </c>
    </row>
    <row r="35">
      <c r="A35" t="inlineStr">
        <is>
          <t>1. Copy column F (LnY) values to column L (LnZ_HP) as initial guess</t>
        </is>
      </c>
    </row>
    <row r="36">
      <c r="A36" t="inlineStr">
        <is>
          <t>2. Use Excel Solver: Tools &gt; Solver (or Developer &gt; Solver)</t>
        </is>
      </c>
    </row>
    <row r="37">
      <c r="A37" t="inlineStr">
        <is>
          <t>3. Set Target Cell: P6</t>
        </is>
      </c>
    </row>
    <row r="38">
      <c r="A38" t="inlineStr">
        <is>
          <t>4. Equal To: Min</t>
        </is>
      </c>
    </row>
    <row r="39">
      <c r="A39" t="inlineStr">
        <is>
          <t>5. By Changing Cells: L6:L29</t>
        </is>
      </c>
    </row>
    <row r="40">
      <c r="A40" t="inlineStr">
        <is>
          <t>6. Click Solve</t>
        </is>
      </c>
    </row>
    <row r="41">
      <c r="A41" t="inlineStr">
        <is>
          <t>7. Copy resulting L values to H column (LnZ_Trend)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Investment Shock Analysis</t>
        </is>
      </c>
    </row>
    <row r="3">
      <c r="A3" t="inlineStr">
        <is>
          <t>Investment Shock Parameters</t>
        </is>
      </c>
    </row>
    <row r="4">
      <c r="A4" t="inlineStr">
        <is>
          <t>Annual Investment</t>
        </is>
      </c>
      <c r="B4" s="3" t="n">
        <v>6500</v>
      </c>
    </row>
    <row r="5">
      <c r="A5" t="inlineStr">
        <is>
          <t>Start Year</t>
        </is>
      </c>
      <c r="B5" s="3" t="n">
        <v>2026</v>
      </c>
    </row>
    <row r="6">
      <c r="A6" t="inlineStr">
        <is>
          <t>Duration (years)</t>
        </is>
      </c>
      <c r="B6" s="3" t="n">
        <v>8</v>
      </c>
    </row>
    <row r="7">
      <c r="A7" t="inlineStr">
        <is>
          <t>Total Investment</t>
        </is>
      </c>
      <c r="B7" s="3">
        <f>B4*B6</f>
        <v/>
      </c>
    </row>
    <row r="10">
      <c r="A10" s="4" t="inlineStr">
        <is>
          <t>Year</t>
        </is>
      </c>
      <c r="B10" s="4" t="inlineStr">
        <is>
          <t>Annual Investment</t>
        </is>
      </c>
      <c r="C10" s="4" t="inlineStr">
        <is>
          <t>Cumulative Investment</t>
        </is>
      </c>
    </row>
    <row r="11">
      <c r="A11" s="3" t="n">
        <v>2026</v>
      </c>
      <c r="B11" s="3" t="n">
        <v>6500</v>
      </c>
      <c r="C11" s="3">
        <f>B11</f>
        <v/>
      </c>
    </row>
    <row r="12">
      <c r="A12" s="3" t="n">
        <v>2027</v>
      </c>
      <c r="B12" s="3" t="n">
        <v>6500</v>
      </c>
      <c r="C12" s="3">
        <f>C11+B12</f>
        <v/>
      </c>
    </row>
    <row r="13">
      <c r="A13" s="3" t="n">
        <v>2028</v>
      </c>
      <c r="B13" s="3" t="n">
        <v>6500</v>
      </c>
      <c r="C13" s="3">
        <f>C12+B13</f>
        <v/>
      </c>
    </row>
    <row r="14">
      <c r="A14" s="3" t="n">
        <v>2029</v>
      </c>
      <c r="B14" s="3" t="n">
        <v>6500</v>
      </c>
      <c r="C14" s="3">
        <f>C13+B14</f>
        <v/>
      </c>
    </row>
    <row r="15">
      <c r="A15" s="3" t="n">
        <v>2030</v>
      </c>
      <c r="B15" s="3" t="n">
        <v>6500</v>
      </c>
      <c r="C15" s="3">
        <f>C14+B15</f>
        <v/>
      </c>
    </row>
    <row r="16">
      <c r="A16" s="3" t="n">
        <v>2031</v>
      </c>
      <c r="B16" s="3" t="n">
        <v>6500</v>
      </c>
      <c r="C16" s="3">
        <f>C15+B16</f>
        <v/>
      </c>
    </row>
    <row r="17">
      <c r="A17" s="3" t="n">
        <v>2032</v>
      </c>
      <c r="B17" s="3" t="n">
        <v>6500</v>
      </c>
      <c r="C17" s="3">
        <f>C16+B17</f>
        <v/>
      </c>
    </row>
    <row r="18">
      <c r="A18" s="3" t="n">
        <v>2033</v>
      </c>
      <c r="B18" s="3" t="n">
        <v>6500</v>
      </c>
      <c r="C18" s="3">
        <f>C17+B18</f>
        <v/>
      </c>
    </row>
    <row r="20">
      <c r="A20" t="inlineStr">
        <is>
          <t>Total Investment Period (2026-2033)</t>
        </is>
      </c>
      <c r="B20">
        <f>8 years</f>
        <v/>
      </c>
    </row>
    <row r="21">
      <c r="A21" t="inlineStr">
        <is>
          <t>Total Investment Value</t>
        </is>
      </c>
      <c r="B21">
        <f>C18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</cols>
  <sheetData>
    <row r="1">
      <c r="A1" s="1" t="inlineStr">
        <is>
          <t>Production Function Estimation &amp; Projection</t>
        </is>
      </c>
    </row>
    <row r="2">
      <c r="O2" t="inlineStr">
        <is>
          <t>Capital Share</t>
        </is>
      </c>
    </row>
    <row r="3">
      <c r="A3" s="4" t="inlineStr">
        <is>
          <t>Year</t>
        </is>
      </c>
      <c r="B3" s="4" t="inlineStr">
        <is>
          <t>K</t>
        </is>
      </c>
      <c r="C3" s="4" t="inlineStr">
        <is>
          <t>Y</t>
        </is>
      </c>
      <c r="D3" s="4" t="inlineStr">
        <is>
          <t>K/Y</t>
        </is>
      </c>
      <c r="E3" s="4" t="inlineStr">
        <is>
          <t>K (Extended)</t>
        </is>
      </c>
      <c r="F3" s="4" t="inlineStr">
        <is>
          <t>Y (Extended)</t>
        </is>
      </c>
      <c r="G3" s="4" t="inlineStr">
        <is>
          <t>LnZ_Trend</t>
        </is>
      </c>
      <c r="H3" s="4" t="inlineStr">
        <is>
          <t>Capital Share</t>
        </is>
      </c>
      <c r="I3" s="4" t="inlineStr">
        <is>
          <t>deltaK</t>
        </is>
      </c>
      <c r="J3" s="4" t="inlineStr">
        <is>
          <t>K_With</t>
        </is>
      </c>
      <c r="K3" s="4" t="inlineStr">
        <is>
          <t>Y_With</t>
        </is>
      </c>
      <c r="L3" s="4" t="inlineStr">
        <is>
          <t>Ystar_base</t>
        </is>
      </c>
      <c r="M3" s="4" t="inlineStr">
        <is>
          <t>Ystar_with</t>
        </is>
      </c>
      <c r="N3" s="4" t="inlineStr">
        <is>
          <t>Output Gain</t>
        </is>
      </c>
      <c r="O3" t="inlineStr">
        <is>
          <t xml:space="preserve">α = </t>
        </is>
      </c>
      <c r="P3" s="12" t="n">
        <v>0.35</v>
      </c>
    </row>
    <row r="4">
      <c r="A4" s="3" t="n">
        <v>2002</v>
      </c>
      <c r="B4" s="13">
        <f>Production!C6</f>
        <v/>
      </c>
      <c r="C4" s="13">
        <f>Production!D6</f>
        <v/>
      </c>
      <c r="D4" s="13">
        <f>IF(C4&gt;0,B4/C4,"")</f>
        <v/>
      </c>
      <c r="E4" s="13">
        <f>B4</f>
        <v/>
      </c>
      <c r="F4" s="13">
        <f>WEO_Data!D6</f>
        <v/>
      </c>
      <c r="G4" s="13">
        <f>Production!L6</f>
        <v/>
      </c>
      <c r="H4" s="3">
        <f>$P$3</f>
        <v/>
      </c>
      <c r="I4" s="13" t="n">
        <v>0</v>
      </c>
      <c r="J4" s="13">
        <f>E4</f>
        <v/>
      </c>
      <c r="K4" s="13">
        <f>F4</f>
        <v/>
      </c>
      <c r="L4" s="13">
        <f>EXP(G4)*E4^$P$3</f>
        <v/>
      </c>
      <c r="M4" s="13">
        <f>EXP(G4)*J4^$P$3</f>
        <v/>
      </c>
      <c r="N4" s="13">
        <f>M4-L4</f>
        <v/>
      </c>
      <c r="O4" t="inlineStr">
        <is>
          <t>Labor Share</t>
        </is>
      </c>
    </row>
    <row r="5">
      <c r="A5" s="3" t="n">
        <v>2003</v>
      </c>
      <c r="B5" s="13">
        <f>Production!C7</f>
        <v/>
      </c>
      <c r="C5" s="13">
        <f>Production!D7</f>
        <v/>
      </c>
      <c r="D5" s="13">
        <f>IF(C5&gt;0,B5/C5,"")</f>
        <v/>
      </c>
      <c r="E5" s="13">
        <f>B5</f>
        <v/>
      </c>
      <c r="F5" s="13">
        <f>WEO_Data!D7</f>
        <v/>
      </c>
      <c r="G5" s="13">
        <f>Production!L7</f>
        <v/>
      </c>
      <c r="H5" s="3">
        <f>$P$3</f>
        <v/>
      </c>
      <c r="I5" s="13" t="n">
        <v>0</v>
      </c>
      <c r="J5" s="13">
        <f>E5</f>
        <v/>
      </c>
      <c r="K5" s="13">
        <f>F5</f>
        <v/>
      </c>
      <c r="L5" s="13">
        <f>EXP(G5)*E5^$P$3</f>
        <v/>
      </c>
      <c r="M5" s="13">
        <f>EXP(G5)*J5^$P$3</f>
        <v/>
      </c>
      <c r="N5" s="13">
        <f>M5-L5</f>
        <v/>
      </c>
      <c r="O5" t="inlineStr">
        <is>
          <t xml:space="preserve">1-α = </t>
        </is>
      </c>
      <c r="P5" s="12">
        <f>1-P3</f>
        <v/>
      </c>
    </row>
    <row r="6">
      <c r="A6" s="3" t="n">
        <v>2004</v>
      </c>
      <c r="B6" s="13">
        <f>Production!C8</f>
        <v/>
      </c>
      <c r="C6" s="13">
        <f>Production!D8</f>
        <v/>
      </c>
      <c r="D6" s="13">
        <f>IF(C6&gt;0,B6/C6,"")</f>
        <v/>
      </c>
      <c r="E6" s="13">
        <f>B6</f>
        <v/>
      </c>
      <c r="F6" s="13">
        <f>WEO_Data!D8</f>
        <v/>
      </c>
      <c r="G6" s="13">
        <f>Production!L8</f>
        <v/>
      </c>
      <c r="H6" s="3">
        <f>$P$3</f>
        <v/>
      </c>
      <c r="I6" s="13" t="n">
        <v>0</v>
      </c>
      <c r="J6" s="13">
        <f>E6</f>
        <v/>
      </c>
      <c r="K6" s="13">
        <f>F6</f>
        <v/>
      </c>
      <c r="L6" s="13">
        <f>EXP(G6)*E6^$P$3</f>
        <v/>
      </c>
      <c r="M6" s="13">
        <f>EXP(G6)*J6^$P$3</f>
        <v/>
      </c>
      <c r="N6" s="13">
        <f>M6-L6</f>
        <v/>
      </c>
    </row>
    <row r="7">
      <c r="A7" s="3" t="n">
        <v>2005</v>
      </c>
      <c r="B7" s="13">
        <f>Production!C9</f>
        <v/>
      </c>
      <c r="C7" s="13">
        <f>Production!D9</f>
        <v/>
      </c>
      <c r="D7" s="13">
        <f>IF(C7&gt;0,B7/C7,"")</f>
        <v/>
      </c>
      <c r="E7" s="13">
        <f>B7</f>
        <v/>
      </c>
      <c r="F7" s="13">
        <f>WEO_Data!D9</f>
        <v/>
      </c>
      <c r="G7" s="13">
        <f>Production!L9</f>
        <v/>
      </c>
      <c r="H7" s="3">
        <f>$P$3</f>
        <v/>
      </c>
      <c r="I7" s="13" t="n">
        <v>0</v>
      </c>
      <c r="J7" s="13">
        <f>E7</f>
        <v/>
      </c>
      <c r="K7" s="13">
        <f>F7</f>
        <v/>
      </c>
      <c r="L7" s="13">
        <f>EXP(G7)*E7^$P$3</f>
        <v/>
      </c>
      <c r="M7" s="13">
        <f>EXP(G7)*J7^$P$3</f>
        <v/>
      </c>
      <c r="N7" s="13">
        <f>M7-L7</f>
        <v/>
      </c>
      <c r="O7" t="inlineStr">
        <is>
          <t>Avg K/Y (2015-2023)</t>
        </is>
      </c>
      <c r="P7" s="14">
        <f>AVERAGE(Production_Function!D23:D28)</f>
        <v/>
      </c>
    </row>
    <row r="8">
      <c r="A8" s="3" t="n">
        <v>2006</v>
      </c>
      <c r="B8" s="13">
        <f>Production!C10</f>
        <v/>
      </c>
      <c r="C8" s="13">
        <f>Production!D10</f>
        <v/>
      </c>
      <c r="D8" s="13">
        <f>IF(C8&gt;0,B8/C8,"")</f>
        <v/>
      </c>
      <c r="E8" s="13">
        <f>B8</f>
        <v/>
      </c>
      <c r="F8" s="13">
        <f>WEO_Data!D10</f>
        <v/>
      </c>
      <c r="G8" s="13">
        <f>Production!L10</f>
        <v/>
      </c>
      <c r="H8" s="3">
        <f>$P$3</f>
        <v/>
      </c>
      <c r="I8" s="13" t="n">
        <v>0</v>
      </c>
      <c r="J8" s="13">
        <f>E8</f>
        <v/>
      </c>
      <c r="K8" s="13">
        <f>F8</f>
        <v/>
      </c>
      <c r="L8" s="13">
        <f>EXP(G8)*E8^$P$3</f>
        <v/>
      </c>
      <c r="M8" s="13">
        <f>EXP(G8)*J8^$P$3</f>
        <v/>
      </c>
      <c r="N8" s="13">
        <f>M8-L8</f>
        <v/>
      </c>
    </row>
    <row r="9">
      <c r="A9" s="3" t="n">
        <v>2007</v>
      </c>
      <c r="B9" s="13">
        <f>Production!C11</f>
        <v/>
      </c>
      <c r="C9" s="13">
        <f>Production!D11</f>
        <v/>
      </c>
      <c r="D9" s="13">
        <f>IF(C9&gt;0,B9/C9,"")</f>
        <v/>
      </c>
      <c r="E9" s="13">
        <f>B9</f>
        <v/>
      </c>
      <c r="F9" s="13">
        <f>WEO_Data!D11</f>
        <v/>
      </c>
      <c r="G9" s="13">
        <f>Production!L11</f>
        <v/>
      </c>
      <c r="H9" s="3">
        <f>$P$3</f>
        <v/>
      </c>
      <c r="I9" s="13" t="n">
        <v>0</v>
      </c>
      <c r="J9" s="13">
        <f>E9</f>
        <v/>
      </c>
      <c r="K9" s="13">
        <f>F9</f>
        <v/>
      </c>
      <c r="L9" s="13">
        <f>EXP(G9)*E9^$P$3</f>
        <v/>
      </c>
      <c r="M9" s="13">
        <f>EXP(G9)*J9^$P$3</f>
        <v/>
      </c>
      <c r="N9" s="13">
        <f>M9-L9</f>
        <v/>
      </c>
    </row>
    <row r="10">
      <c r="A10" s="3" t="n">
        <v>2008</v>
      </c>
      <c r="B10" s="13">
        <f>Production!C12</f>
        <v/>
      </c>
      <c r="C10" s="13">
        <f>Production!D12</f>
        <v/>
      </c>
      <c r="D10" s="13">
        <f>IF(C10&gt;0,B10/C10,"")</f>
        <v/>
      </c>
      <c r="E10" s="13">
        <f>B10</f>
        <v/>
      </c>
      <c r="F10" s="13">
        <f>WEO_Data!D12</f>
        <v/>
      </c>
      <c r="G10" s="13">
        <f>Production!L12</f>
        <v/>
      </c>
      <c r="H10" s="3">
        <f>$P$3</f>
        <v/>
      </c>
      <c r="I10" s="13" t="n">
        <v>0</v>
      </c>
      <c r="J10" s="13">
        <f>E10</f>
        <v/>
      </c>
      <c r="K10" s="13">
        <f>F10</f>
        <v/>
      </c>
      <c r="L10" s="13">
        <f>EXP(G10)*E10^$P$3</f>
        <v/>
      </c>
      <c r="M10" s="13">
        <f>EXP(G10)*J10^$P$3</f>
        <v/>
      </c>
      <c r="N10" s="13">
        <f>M10-L10</f>
        <v/>
      </c>
    </row>
    <row r="11">
      <c r="A11" s="3" t="n">
        <v>2009</v>
      </c>
      <c r="B11" s="13">
        <f>Production!C13</f>
        <v/>
      </c>
      <c r="C11" s="13">
        <f>Production!D13</f>
        <v/>
      </c>
      <c r="D11" s="13">
        <f>IF(C11&gt;0,B11/C11,"")</f>
        <v/>
      </c>
      <c r="E11" s="13">
        <f>B11</f>
        <v/>
      </c>
      <c r="F11" s="13">
        <f>WEO_Data!D13</f>
        <v/>
      </c>
      <c r="G11" s="13">
        <f>Production!L13</f>
        <v/>
      </c>
      <c r="H11" s="3">
        <f>$P$3</f>
        <v/>
      </c>
      <c r="I11" s="13" t="n">
        <v>0</v>
      </c>
      <c r="J11" s="13">
        <f>E11</f>
        <v/>
      </c>
      <c r="K11" s="13">
        <f>F11</f>
        <v/>
      </c>
      <c r="L11" s="13">
        <f>EXP(G11)*E11^$P$3</f>
        <v/>
      </c>
      <c r="M11" s="13">
        <f>EXP(G11)*J11^$P$3</f>
        <v/>
      </c>
      <c r="N11" s="13">
        <f>M11-L11</f>
        <v/>
      </c>
    </row>
    <row r="12">
      <c r="A12" s="3" t="n">
        <v>2010</v>
      </c>
      <c r="B12" s="13">
        <f>Production!C14</f>
        <v/>
      </c>
      <c r="C12" s="13">
        <f>Production!D14</f>
        <v/>
      </c>
      <c r="D12" s="13">
        <f>IF(C12&gt;0,B12/C12,"")</f>
        <v/>
      </c>
      <c r="E12" s="13">
        <f>B12</f>
        <v/>
      </c>
      <c r="F12" s="13">
        <f>WEO_Data!D14</f>
        <v/>
      </c>
      <c r="G12" s="13">
        <f>Production!L14</f>
        <v/>
      </c>
      <c r="H12" s="3">
        <f>$P$3</f>
        <v/>
      </c>
      <c r="I12" s="13" t="n">
        <v>0</v>
      </c>
      <c r="J12" s="13">
        <f>E12</f>
        <v/>
      </c>
      <c r="K12" s="13">
        <f>F12</f>
        <v/>
      </c>
      <c r="L12" s="13">
        <f>EXP(G12)*E12^$P$3</f>
        <v/>
      </c>
      <c r="M12" s="13">
        <f>EXP(G12)*J12^$P$3</f>
        <v/>
      </c>
      <c r="N12" s="13">
        <f>M12-L12</f>
        <v/>
      </c>
    </row>
    <row r="13">
      <c r="A13" s="3" t="n">
        <v>2011</v>
      </c>
      <c r="B13" s="13">
        <f>Production!C15</f>
        <v/>
      </c>
      <c r="C13" s="13">
        <f>Production!D15</f>
        <v/>
      </c>
      <c r="D13" s="13">
        <f>IF(C13&gt;0,B13/C13,"")</f>
        <v/>
      </c>
      <c r="E13" s="13">
        <f>B13</f>
        <v/>
      </c>
      <c r="F13" s="13">
        <f>WEO_Data!D15</f>
        <v/>
      </c>
      <c r="G13" s="13">
        <f>Production!L15</f>
        <v/>
      </c>
      <c r="H13" s="3">
        <f>$P$3</f>
        <v/>
      </c>
      <c r="I13" s="13" t="n">
        <v>0</v>
      </c>
      <c r="J13" s="13">
        <f>E13</f>
        <v/>
      </c>
      <c r="K13" s="13">
        <f>F13</f>
        <v/>
      </c>
      <c r="L13" s="13">
        <f>EXP(G13)*E13^$P$3</f>
        <v/>
      </c>
      <c r="M13" s="13">
        <f>EXP(G13)*J13^$P$3</f>
        <v/>
      </c>
      <c r="N13" s="13">
        <f>M13-L13</f>
        <v/>
      </c>
    </row>
    <row r="14">
      <c r="A14" s="3" t="n">
        <v>2012</v>
      </c>
      <c r="B14" s="13">
        <f>Production!C16</f>
        <v/>
      </c>
      <c r="C14" s="13">
        <f>Production!D16</f>
        <v/>
      </c>
      <c r="D14" s="13">
        <f>IF(C14&gt;0,B14/C14,"")</f>
        <v/>
      </c>
      <c r="E14" s="13">
        <f>B14</f>
        <v/>
      </c>
      <c r="F14" s="13">
        <f>WEO_Data!D16</f>
        <v/>
      </c>
      <c r="G14" s="13">
        <f>Production!L16</f>
        <v/>
      </c>
      <c r="H14" s="3">
        <f>$P$3</f>
        <v/>
      </c>
      <c r="I14" s="13" t="n">
        <v>0</v>
      </c>
      <c r="J14" s="13">
        <f>E14</f>
        <v/>
      </c>
      <c r="K14" s="13">
        <f>F14</f>
        <v/>
      </c>
      <c r="L14" s="13">
        <f>EXP(G14)*E14^$P$3</f>
        <v/>
      </c>
      <c r="M14" s="13">
        <f>EXP(G14)*J14^$P$3</f>
        <v/>
      </c>
      <c r="N14" s="13">
        <f>M14-L14</f>
        <v/>
      </c>
    </row>
    <row r="15">
      <c r="A15" s="3" t="n">
        <v>2013</v>
      </c>
      <c r="B15" s="13">
        <f>Production!C17</f>
        <v/>
      </c>
      <c r="C15" s="13">
        <f>Production!D17</f>
        <v/>
      </c>
      <c r="D15" s="13">
        <f>IF(C15&gt;0,B15/C15,"")</f>
        <v/>
      </c>
      <c r="E15" s="13">
        <f>B15</f>
        <v/>
      </c>
      <c r="F15" s="13">
        <f>WEO_Data!D17</f>
        <v/>
      </c>
      <c r="G15" s="13">
        <f>Production!L17</f>
        <v/>
      </c>
      <c r="H15" s="3">
        <f>$P$3</f>
        <v/>
      </c>
      <c r="I15" s="13" t="n">
        <v>0</v>
      </c>
      <c r="J15" s="13">
        <f>E15</f>
        <v/>
      </c>
      <c r="K15" s="13">
        <f>F15</f>
        <v/>
      </c>
      <c r="L15" s="13">
        <f>EXP(G15)*E15^$P$3</f>
        <v/>
      </c>
      <c r="M15" s="13">
        <f>EXP(G15)*J15^$P$3</f>
        <v/>
      </c>
      <c r="N15" s="13">
        <f>M15-L15</f>
        <v/>
      </c>
    </row>
    <row r="16">
      <c r="A16" s="3" t="n">
        <v>2014</v>
      </c>
      <c r="B16" s="13">
        <f>Production!C18</f>
        <v/>
      </c>
      <c r="C16" s="13">
        <f>Production!D18</f>
        <v/>
      </c>
      <c r="D16" s="13">
        <f>IF(C16&gt;0,B16/C16,"")</f>
        <v/>
      </c>
      <c r="E16" s="13">
        <f>B16</f>
        <v/>
      </c>
      <c r="F16" s="13">
        <f>WEO_Data!D18</f>
        <v/>
      </c>
      <c r="G16" s="13">
        <f>Production!L18</f>
        <v/>
      </c>
      <c r="H16" s="3">
        <f>$P$3</f>
        <v/>
      </c>
      <c r="I16" s="13" t="n">
        <v>0</v>
      </c>
      <c r="J16" s="13">
        <f>E16</f>
        <v/>
      </c>
      <c r="K16" s="13">
        <f>F16</f>
        <v/>
      </c>
      <c r="L16" s="13">
        <f>EXP(G16)*E16^$P$3</f>
        <v/>
      </c>
      <c r="M16" s="13">
        <f>EXP(G16)*J16^$P$3</f>
        <v/>
      </c>
      <c r="N16" s="13">
        <f>M16-L16</f>
        <v/>
      </c>
    </row>
    <row r="17">
      <c r="A17" s="3" t="n">
        <v>2015</v>
      </c>
      <c r="B17" s="13">
        <f>Production!C19</f>
        <v/>
      </c>
      <c r="C17" s="13">
        <f>Production!D19</f>
        <v/>
      </c>
      <c r="D17" s="13">
        <f>IF(C17&gt;0,B17/C17,"")</f>
        <v/>
      </c>
      <c r="E17" s="13">
        <f>B17</f>
        <v/>
      </c>
      <c r="F17" s="13">
        <f>WEO_Data!D19</f>
        <v/>
      </c>
      <c r="G17" s="13">
        <f>Production!L19</f>
        <v/>
      </c>
      <c r="H17" s="3">
        <f>$P$3</f>
        <v/>
      </c>
      <c r="I17" s="13" t="n">
        <v>0</v>
      </c>
      <c r="J17" s="13">
        <f>E17</f>
        <v/>
      </c>
      <c r="K17" s="13">
        <f>F17</f>
        <v/>
      </c>
      <c r="L17" s="13">
        <f>EXP(G17)*E17^$P$3</f>
        <v/>
      </c>
      <c r="M17" s="13">
        <f>EXP(G17)*J17^$P$3</f>
        <v/>
      </c>
      <c r="N17" s="13">
        <f>M17-L17</f>
        <v/>
      </c>
    </row>
    <row r="18">
      <c r="A18" s="3" t="n">
        <v>2016</v>
      </c>
      <c r="B18" s="13">
        <f>Production!C20</f>
        <v/>
      </c>
      <c r="C18" s="13">
        <f>Production!D20</f>
        <v/>
      </c>
      <c r="D18" s="13">
        <f>IF(C18&gt;0,B18/C18,"")</f>
        <v/>
      </c>
      <c r="E18" s="13">
        <f>B18</f>
        <v/>
      </c>
      <c r="F18" s="13">
        <f>WEO_Data!D20</f>
        <v/>
      </c>
      <c r="G18" s="13">
        <f>Production!L20</f>
        <v/>
      </c>
      <c r="H18" s="3">
        <f>$P$3</f>
        <v/>
      </c>
      <c r="I18" s="13" t="n">
        <v>0</v>
      </c>
      <c r="J18" s="13">
        <f>E18</f>
        <v/>
      </c>
      <c r="K18" s="13">
        <f>F18</f>
        <v/>
      </c>
      <c r="L18" s="13">
        <f>EXP(G18)*E18^$P$3</f>
        <v/>
      </c>
      <c r="M18" s="13">
        <f>EXP(G18)*J18^$P$3</f>
        <v/>
      </c>
      <c r="N18" s="13">
        <f>M18-L18</f>
        <v/>
      </c>
    </row>
    <row r="19">
      <c r="A19" s="3" t="n">
        <v>2017</v>
      </c>
      <c r="B19" s="13">
        <f>Production!C21</f>
        <v/>
      </c>
      <c r="C19" s="13">
        <f>Production!D21</f>
        <v/>
      </c>
      <c r="D19" s="13">
        <f>IF(C19&gt;0,B19/C19,"")</f>
        <v/>
      </c>
      <c r="E19" s="13">
        <f>B19</f>
        <v/>
      </c>
      <c r="F19" s="13">
        <f>WEO_Data!D21</f>
        <v/>
      </c>
      <c r="G19" s="13">
        <f>Production!L21</f>
        <v/>
      </c>
      <c r="H19" s="3">
        <f>$P$3</f>
        <v/>
      </c>
      <c r="I19" s="13" t="n">
        <v>0</v>
      </c>
      <c r="J19" s="13">
        <f>E19</f>
        <v/>
      </c>
      <c r="K19" s="13">
        <f>F19</f>
        <v/>
      </c>
      <c r="L19" s="13">
        <f>EXP(G19)*E19^$P$3</f>
        <v/>
      </c>
      <c r="M19" s="13">
        <f>EXP(G19)*J19^$P$3</f>
        <v/>
      </c>
      <c r="N19" s="13">
        <f>M19-L19</f>
        <v/>
      </c>
    </row>
    <row r="20">
      <c r="A20" s="3" t="n">
        <v>2018</v>
      </c>
      <c r="B20" s="13">
        <f>Production!C22</f>
        <v/>
      </c>
      <c r="C20" s="13">
        <f>Production!D22</f>
        <v/>
      </c>
      <c r="D20" s="13">
        <f>IF(C20&gt;0,B20/C20,"")</f>
        <v/>
      </c>
      <c r="E20" s="13">
        <f>B20</f>
        <v/>
      </c>
      <c r="F20" s="13">
        <f>WEO_Data!D22</f>
        <v/>
      </c>
      <c r="G20" s="13">
        <f>Production!L22</f>
        <v/>
      </c>
      <c r="H20" s="3">
        <f>$P$3</f>
        <v/>
      </c>
      <c r="I20" s="13" t="n">
        <v>0</v>
      </c>
      <c r="J20" s="13">
        <f>E20</f>
        <v/>
      </c>
      <c r="K20" s="13">
        <f>F20</f>
        <v/>
      </c>
      <c r="L20" s="13">
        <f>EXP(G20)*E20^$P$3</f>
        <v/>
      </c>
      <c r="M20" s="13">
        <f>EXP(G20)*J20^$P$3</f>
        <v/>
      </c>
      <c r="N20" s="13">
        <f>M20-L20</f>
        <v/>
      </c>
    </row>
    <row r="21">
      <c r="A21" s="3" t="n">
        <v>2019</v>
      </c>
      <c r="B21" s="13">
        <f>Production!C23</f>
        <v/>
      </c>
      <c r="C21" s="13">
        <f>Production!D23</f>
        <v/>
      </c>
      <c r="D21" s="13">
        <f>IF(C21&gt;0,B21/C21,"")</f>
        <v/>
      </c>
      <c r="E21" s="13">
        <f>B21</f>
        <v/>
      </c>
      <c r="F21" s="13">
        <f>WEO_Data!D23</f>
        <v/>
      </c>
      <c r="G21" s="13">
        <f>Production!L23</f>
        <v/>
      </c>
      <c r="H21" s="3">
        <f>$P$3</f>
        <v/>
      </c>
      <c r="I21" s="13" t="n">
        <v>0</v>
      </c>
      <c r="J21" s="13">
        <f>E21</f>
        <v/>
      </c>
      <c r="K21" s="13">
        <f>F21</f>
        <v/>
      </c>
      <c r="L21" s="13">
        <f>EXP(G21)*E21^$P$3</f>
        <v/>
      </c>
      <c r="M21" s="13">
        <f>EXP(G21)*J21^$P$3</f>
        <v/>
      </c>
      <c r="N21" s="13">
        <f>M21-L21</f>
        <v/>
      </c>
    </row>
    <row r="22">
      <c r="A22" s="3" t="n">
        <v>2020</v>
      </c>
      <c r="B22" s="13">
        <f>Production!C24</f>
        <v/>
      </c>
      <c r="C22" s="13">
        <f>Production!D24</f>
        <v/>
      </c>
      <c r="D22" s="13">
        <f>IF(C22&gt;0,B22/C22,"")</f>
        <v/>
      </c>
      <c r="E22" s="13">
        <f>B22</f>
        <v/>
      </c>
      <c r="F22" s="13">
        <f>WEO_Data!D24</f>
        <v/>
      </c>
      <c r="G22" s="13">
        <f>Production!L24</f>
        <v/>
      </c>
      <c r="H22" s="3">
        <f>$P$3</f>
        <v/>
      </c>
      <c r="I22" s="13" t="n">
        <v>0</v>
      </c>
      <c r="J22" s="13">
        <f>E22</f>
        <v/>
      </c>
      <c r="K22" s="13">
        <f>F22</f>
        <v/>
      </c>
      <c r="L22" s="13">
        <f>EXP(G22)*E22^$P$3</f>
        <v/>
      </c>
      <c r="M22" s="13">
        <f>EXP(G22)*J22^$P$3</f>
        <v/>
      </c>
      <c r="N22" s="13">
        <f>M22-L22</f>
        <v/>
      </c>
    </row>
    <row r="23">
      <c r="A23" s="3" t="n">
        <v>2021</v>
      </c>
      <c r="B23" s="13">
        <f>Production!C25</f>
        <v/>
      </c>
      <c r="C23" s="13">
        <f>Production!D25</f>
        <v/>
      </c>
      <c r="D23" s="13">
        <f>IF(C23&gt;0,B23/C23,"")</f>
        <v/>
      </c>
      <c r="E23" s="13">
        <f>B23</f>
        <v/>
      </c>
      <c r="F23" s="13">
        <f>WEO_Data!D25</f>
        <v/>
      </c>
      <c r="G23" s="13">
        <f>Production!L25</f>
        <v/>
      </c>
      <c r="H23" s="3">
        <f>$P$3</f>
        <v/>
      </c>
      <c r="I23" s="13" t="n">
        <v>0</v>
      </c>
      <c r="J23" s="13">
        <f>E23</f>
        <v/>
      </c>
      <c r="K23" s="13">
        <f>F23</f>
        <v/>
      </c>
      <c r="L23" s="13">
        <f>EXP(G23)*E23^$P$3</f>
        <v/>
      </c>
      <c r="M23" s="13">
        <f>EXP(G23)*J23^$P$3</f>
        <v/>
      </c>
      <c r="N23" s="13">
        <f>M23-L23</f>
        <v/>
      </c>
    </row>
    <row r="24">
      <c r="A24" s="3" t="n">
        <v>2022</v>
      </c>
      <c r="B24" s="13">
        <f>Production!C26</f>
        <v/>
      </c>
      <c r="C24" s="13">
        <f>Production!D26</f>
        <v/>
      </c>
      <c r="D24" s="13">
        <f>IF(C24&gt;0,B24/C24,"")</f>
        <v/>
      </c>
      <c r="E24" s="13">
        <f>B24</f>
        <v/>
      </c>
      <c r="F24" s="13">
        <f>WEO_Data!D26</f>
        <v/>
      </c>
      <c r="G24" s="13">
        <f>Production!L26</f>
        <v/>
      </c>
      <c r="H24" s="3">
        <f>$P$3</f>
        <v/>
      </c>
      <c r="I24" s="13" t="n">
        <v>0</v>
      </c>
      <c r="J24" s="13">
        <f>E24</f>
        <v/>
      </c>
      <c r="K24" s="13">
        <f>F24</f>
        <v/>
      </c>
      <c r="L24" s="13">
        <f>EXP(G24)*E24^$P$3</f>
        <v/>
      </c>
      <c r="M24" s="13">
        <f>EXP(G24)*J24^$P$3</f>
        <v/>
      </c>
      <c r="N24" s="13">
        <f>M24-L24</f>
        <v/>
      </c>
    </row>
    <row r="25">
      <c r="A25" s="3" t="n">
        <v>2023</v>
      </c>
      <c r="B25" s="13">
        <f>Production!C27</f>
        <v/>
      </c>
      <c r="C25" s="13">
        <f>Production!D27</f>
        <v/>
      </c>
      <c r="D25" s="13">
        <f>IF(C25&gt;0,B25/C25,"")</f>
        <v/>
      </c>
      <c r="E25" s="13">
        <f>B25</f>
        <v/>
      </c>
      <c r="F25" s="13">
        <f>WEO_Data!D27</f>
        <v/>
      </c>
      <c r="G25" s="13">
        <f>Production!L27</f>
        <v/>
      </c>
      <c r="H25" s="3">
        <f>$P$3</f>
        <v/>
      </c>
      <c r="I25" s="13" t="n">
        <v>0</v>
      </c>
      <c r="J25" s="13">
        <f>E25</f>
        <v/>
      </c>
      <c r="K25" s="13">
        <f>F25</f>
        <v/>
      </c>
      <c r="L25" s="13">
        <f>EXP(G25)*E25^$P$3</f>
        <v/>
      </c>
      <c r="M25" s="13">
        <f>EXP(G25)*J25^$P$3</f>
        <v/>
      </c>
      <c r="N25" s="13">
        <f>M25-L25</f>
        <v/>
      </c>
    </row>
    <row r="26">
      <c r="A26" s="3" t="n">
        <v>2024</v>
      </c>
      <c r="B26" s="13" t="inlineStr"/>
      <c r="C26" s="13" t="inlineStr"/>
      <c r="D26" s="13" t="inlineStr"/>
      <c r="E26" s="13">
        <f>$P$7*F26</f>
        <v/>
      </c>
      <c r="F26" s="13">
        <f>WEO_Data!D28</f>
        <v/>
      </c>
      <c r="G26" s="13">
        <f>TREND(Production!L$8:Production!L$29,ROW(Production!L$8:Production!L$29)-ROW(Production!L$8),ROW(A26)-ROW(A$4))</f>
        <v/>
      </c>
      <c r="H26" s="3">
        <f>$P$3</f>
        <v/>
      </c>
      <c r="I26" s="13" t="n">
        <v>0</v>
      </c>
      <c r="J26" s="13">
        <f>E26</f>
        <v/>
      </c>
      <c r="K26" s="13">
        <f>F26</f>
        <v/>
      </c>
      <c r="L26" s="13">
        <f>EXP(G26)*E26^$P$3</f>
        <v/>
      </c>
      <c r="M26" s="13">
        <f>EXP(G26)*J26^$P$3</f>
        <v/>
      </c>
      <c r="N26" s="13">
        <f>M26-L26</f>
        <v/>
      </c>
    </row>
    <row r="27">
      <c r="A27" s="3" t="n">
        <v>2025</v>
      </c>
      <c r="B27" s="13" t="inlineStr"/>
      <c r="C27" s="13" t="inlineStr"/>
      <c r="D27" s="13" t="inlineStr"/>
      <c r="E27" s="13">
        <f>$P$7*F27</f>
        <v/>
      </c>
      <c r="F27" s="13">
        <f>WEO_Data!D29</f>
        <v/>
      </c>
      <c r="G27" s="13">
        <f>TREND(Production!L$8:Production!L$29,ROW(Production!L$8:Production!L$29)-ROW(Production!L$8),ROW(A27)-ROW(A$4))</f>
        <v/>
      </c>
      <c r="H27" s="3">
        <f>$P$3</f>
        <v/>
      </c>
      <c r="I27" s="13" t="n">
        <v>0</v>
      </c>
      <c r="J27" s="13">
        <f>E27</f>
        <v/>
      </c>
      <c r="K27" s="13">
        <f>F27</f>
        <v/>
      </c>
      <c r="L27" s="13">
        <f>EXP(G27)*E27^$P$3</f>
        <v/>
      </c>
      <c r="M27" s="13">
        <f>EXP(G27)*J27^$P$3</f>
        <v/>
      </c>
      <c r="N27" s="13">
        <f>M27-L27</f>
        <v/>
      </c>
    </row>
    <row r="28">
      <c r="A28" s="3" t="n">
        <v>2026</v>
      </c>
      <c r="B28" s="13" t="inlineStr"/>
      <c r="C28" s="13" t="inlineStr"/>
      <c r="D28" s="13" t="inlineStr"/>
      <c r="E28" s="13">
        <f>$P$7*F28</f>
        <v/>
      </c>
      <c r="F28" s="13">
        <f>WEO_Data!D30</f>
        <v/>
      </c>
      <c r="G28" s="13">
        <f>TREND(Production!L$8:Production!L$29,ROW(Production!L$8:Production!L$29)-ROW(Production!L$8),ROW(A28)-ROW(A$4))</f>
        <v/>
      </c>
      <c r="H28" s="3">
        <f>$P$3</f>
        <v/>
      </c>
      <c r="I28" s="13">
        <f>IF(Investment!B11&gt;0,Investment!B11,0)</f>
        <v/>
      </c>
      <c r="J28" s="13">
        <f>E28+I28</f>
        <v/>
      </c>
      <c r="K28" s="13">
        <f>F28</f>
        <v/>
      </c>
      <c r="L28" s="13">
        <f>EXP(G28)*E28^$P$3</f>
        <v/>
      </c>
      <c r="M28" s="13">
        <f>EXP(G28)*J28^$P$3</f>
        <v/>
      </c>
      <c r="N28" s="13">
        <f>M28-L28</f>
        <v/>
      </c>
    </row>
    <row r="29">
      <c r="A29" s="3" t="n">
        <v>2027</v>
      </c>
      <c r="B29" s="13" t="inlineStr"/>
      <c r="C29" s="13" t="inlineStr"/>
      <c r="D29" s="13" t="inlineStr"/>
      <c r="E29" s="13">
        <f>$P$7*F29</f>
        <v/>
      </c>
      <c r="F29" s="13">
        <f>WEO_Data!D31</f>
        <v/>
      </c>
      <c r="G29" s="13">
        <f>TREND(Production!L$8:Production!L$29,ROW(Production!L$8:Production!L$29)-ROW(Production!L$8),ROW(A29)-ROW(A$4))</f>
        <v/>
      </c>
      <c r="H29" s="3">
        <f>$P$3</f>
        <v/>
      </c>
      <c r="I29" s="13">
        <f>IF(Investment!B12&gt;0,Investment!B12,0)</f>
        <v/>
      </c>
      <c r="J29" s="13">
        <f>J28*(1-$Production!$B$3)+I29</f>
        <v/>
      </c>
      <c r="K29" s="13">
        <f>F29</f>
        <v/>
      </c>
      <c r="L29" s="13">
        <f>EXP(G29)*E29^$P$3</f>
        <v/>
      </c>
      <c r="M29" s="13">
        <f>EXP(G29)*J29^$P$3</f>
        <v/>
      </c>
      <c r="N29" s="13">
        <f>M29-L29</f>
        <v/>
      </c>
    </row>
    <row r="30">
      <c r="A30" s="3" t="n">
        <v>2028</v>
      </c>
      <c r="B30" s="13" t="inlineStr"/>
      <c r="C30" s="13" t="inlineStr"/>
      <c r="D30" s="13" t="inlineStr"/>
      <c r="E30" s="13">
        <f>$P$7*F30</f>
        <v/>
      </c>
      <c r="F30" s="13">
        <f>F29*1.062</f>
        <v/>
      </c>
      <c r="G30" s="13">
        <f>TREND(Production!L$8:Production!L$29,ROW(Production!L$8:Production!L$29)-ROW(Production!L$8),ROW(A30)-ROW(A$4))</f>
        <v/>
      </c>
      <c r="H30" s="3">
        <f>$P$3</f>
        <v/>
      </c>
      <c r="I30" s="13">
        <f>IF(Investment!B13&gt;0,Investment!B13,0)</f>
        <v/>
      </c>
      <c r="J30" s="13">
        <f>J29*(1-$Production!$B$3)+I30</f>
        <v/>
      </c>
      <c r="K30" s="13">
        <f>F30</f>
        <v/>
      </c>
      <c r="L30" s="13">
        <f>EXP(G30)*E30^$P$3</f>
        <v/>
      </c>
      <c r="M30" s="13">
        <f>EXP(G30)*J30^$P$3</f>
        <v/>
      </c>
      <c r="N30" s="13">
        <f>M30-L30</f>
        <v/>
      </c>
    </row>
    <row r="31">
      <c r="A31" s="3" t="n">
        <v>2029</v>
      </c>
      <c r="B31" s="13" t="inlineStr"/>
      <c r="C31" s="13" t="inlineStr"/>
      <c r="D31" s="13" t="inlineStr"/>
      <c r="E31" s="13">
        <f>$P$7*F31</f>
        <v/>
      </c>
      <c r="F31" s="13">
        <f>F30*1.062</f>
        <v/>
      </c>
      <c r="G31" s="13">
        <f>TREND(Production!L$8:Production!L$29,ROW(Production!L$8:Production!L$29)-ROW(Production!L$8),ROW(A31)-ROW(A$4))</f>
        <v/>
      </c>
      <c r="H31" s="3">
        <f>$P$3</f>
        <v/>
      </c>
      <c r="I31" s="13">
        <f>IF(Investment!B14&gt;0,Investment!B14,0)</f>
        <v/>
      </c>
      <c r="J31" s="13">
        <f>J30*(1-$Production!$B$3)+I31</f>
        <v/>
      </c>
      <c r="K31" s="13">
        <f>F31</f>
        <v/>
      </c>
      <c r="L31" s="13">
        <f>EXP(G31)*E31^$P$3</f>
        <v/>
      </c>
      <c r="M31" s="13">
        <f>EXP(G31)*J31^$P$3</f>
        <v/>
      </c>
      <c r="N31" s="13">
        <f>M31-L31</f>
        <v/>
      </c>
    </row>
    <row r="32">
      <c r="A32" s="3" t="n">
        <v>2030</v>
      </c>
      <c r="B32" s="13" t="inlineStr"/>
      <c r="C32" s="13" t="inlineStr"/>
      <c r="D32" s="13" t="inlineStr"/>
      <c r="E32" s="13">
        <f>$P$7*F32</f>
        <v/>
      </c>
      <c r="F32" s="13">
        <f>F31*1.062</f>
        <v/>
      </c>
      <c r="G32" s="13">
        <f>TREND(Production!L$8:Production!L$29,ROW(Production!L$8:Production!L$29)-ROW(Production!L$8),ROW(A32)-ROW(A$4))</f>
        <v/>
      </c>
      <c r="H32" s="3">
        <f>$P$3</f>
        <v/>
      </c>
      <c r="I32" s="13">
        <f>IF(Investment!B15&gt;0,Investment!B15,0)</f>
        <v/>
      </c>
      <c r="J32" s="13">
        <f>J31*(1-$Production!$B$3)+I32</f>
        <v/>
      </c>
      <c r="K32" s="13">
        <f>F32</f>
        <v/>
      </c>
      <c r="L32" s="13">
        <f>EXP(G32)*E32^$P$3</f>
        <v/>
      </c>
      <c r="M32" s="13">
        <f>EXP(G32)*J32^$P$3</f>
        <v/>
      </c>
      <c r="N32" s="13">
        <f>M32-L32</f>
        <v/>
      </c>
    </row>
    <row r="33">
      <c r="A33" s="3" t="n">
        <v>2031</v>
      </c>
      <c r="B33" s="13" t="inlineStr"/>
      <c r="C33" s="13" t="inlineStr"/>
      <c r="D33" s="13" t="inlineStr"/>
      <c r="E33" s="13">
        <f>$P$7*F33</f>
        <v/>
      </c>
      <c r="F33" s="13">
        <f>F32*1.062</f>
        <v/>
      </c>
      <c r="G33" s="13">
        <f>TREND(Production!L$8:Production!L$29,ROW(Production!L$8:Production!L$29)-ROW(Production!L$8),ROW(A33)-ROW(A$4))</f>
        <v/>
      </c>
      <c r="H33" s="3">
        <f>$P$3</f>
        <v/>
      </c>
      <c r="I33" s="13">
        <f>IF(Investment!B16&gt;0,Investment!B16,0)</f>
        <v/>
      </c>
      <c r="J33" s="13">
        <f>J32*(1-$Production!$B$3)+I33</f>
        <v/>
      </c>
      <c r="K33" s="13">
        <f>F33</f>
        <v/>
      </c>
      <c r="L33" s="13">
        <f>EXP(G33)*E33^$P$3</f>
        <v/>
      </c>
      <c r="M33" s="13">
        <f>EXP(G33)*J33^$P$3</f>
        <v/>
      </c>
      <c r="N33" s="13">
        <f>M33-L33</f>
        <v/>
      </c>
    </row>
    <row r="34">
      <c r="A34" s="3" t="n">
        <v>2032</v>
      </c>
      <c r="B34" s="13" t="inlineStr"/>
      <c r="C34" s="13" t="inlineStr"/>
      <c r="D34" s="13" t="inlineStr"/>
      <c r="E34" s="13">
        <f>$P$7*F34</f>
        <v/>
      </c>
      <c r="F34" s="13">
        <f>F33*1.062</f>
        <v/>
      </c>
      <c r="G34" s="13">
        <f>TREND(Production!L$8:Production!L$29,ROW(Production!L$8:Production!L$29)-ROW(Production!L$8),ROW(A34)-ROW(A$4))</f>
        <v/>
      </c>
      <c r="H34" s="3">
        <f>$P$3</f>
        <v/>
      </c>
      <c r="I34" s="13">
        <f>IF(Investment!B17&gt;0,Investment!B17,0)</f>
        <v/>
      </c>
      <c r="J34" s="13">
        <f>J33*(1-$Production!$B$3)+I34</f>
        <v/>
      </c>
      <c r="K34" s="13">
        <f>F34</f>
        <v/>
      </c>
      <c r="L34" s="13">
        <f>EXP(G34)*E34^$P$3</f>
        <v/>
      </c>
      <c r="M34" s="13">
        <f>EXP(G34)*J34^$P$3</f>
        <v/>
      </c>
      <c r="N34" s="13">
        <f>M34-L34</f>
        <v/>
      </c>
    </row>
    <row r="35">
      <c r="A35" s="3" t="n">
        <v>2033</v>
      </c>
      <c r="B35" s="13" t="inlineStr"/>
      <c r="C35" s="13" t="inlineStr"/>
      <c r="D35" s="13" t="inlineStr"/>
      <c r="E35" s="13">
        <f>$P$7*F35</f>
        <v/>
      </c>
      <c r="F35" s="13">
        <f>F34*1.062</f>
        <v/>
      </c>
      <c r="G35" s="13">
        <f>TREND(Production!L$8:Production!L$29,ROW(Production!L$8:Production!L$29)-ROW(Production!L$8),ROW(A35)-ROW(A$4))</f>
        <v/>
      </c>
      <c r="H35" s="3">
        <f>$P$3</f>
        <v/>
      </c>
      <c r="I35" s="13">
        <f>IF(Investment!B18&gt;0,Investment!B18,0)</f>
        <v/>
      </c>
      <c r="J35" s="13">
        <f>J34*(1-$Production!$B$3)+I35</f>
        <v/>
      </c>
      <c r="K35" s="13">
        <f>F35</f>
        <v/>
      </c>
      <c r="L35" s="13">
        <f>EXP(G35)*E35^$P$3</f>
        <v/>
      </c>
      <c r="M35" s="13">
        <f>EXP(G35)*J35^$P$3</f>
        <v/>
      </c>
      <c r="N35" s="13">
        <f>M35-L35</f>
        <v/>
      </c>
    </row>
    <row r="36">
      <c r="A36" s="3" t="n">
        <v>2034</v>
      </c>
      <c r="B36" s="13" t="inlineStr"/>
      <c r="C36" s="13" t="inlineStr"/>
      <c r="D36" s="13" t="inlineStr"/>
      <c r="E36" s="13">
        <f>$P$7*F36</f>
        <v/>
      </c>
      <c r="F36" s="13">
        <f>F35*1.062</f>
        <v/>
      </c>
      <c r="G36" s="13">
        <f>TREND(Production!L$8:Production!L$29,ROW(Production!L$8:Production!L$29)-ROW(Production!L$8),ROW(A36)-ROW(A$4))</f>
        <v/>
      </c>
      <c r="H36" s="3">
        <f>$P$3</f>
        <v/>
      </c>
      <c r="I36" s="13" t="n">
        <v>0</v>
      </c>
      <c r="J36" s="13">
        <f>J35*(1-$Production!$B$3)+I36</f>
        <v/>
      </c>
      <c r="K36" s="13">
        <f>F36</f>
        <v/>
      </c>
      <c r="L36" s="13">
        <f>EXP(G36)*E36^$P$3</f>
        <v/>
      </c>
      <c r="M36" s="13">
        <f>EXP(G36)*J36^$P$3</f>
        <v/>
      </c>
      <c r="N36" s="13">
        <f>M36-L36</f>
        <v/>
      </c>
    </row>
    <row r="37">
      <c r="A37" s="3" t="n">
        <v>2035</v>
      </c>
      <c r="B37" s="13" t="inlineStr"/>
      <c r="C37" s="13" t="inlineStr"/>
      <c r="D37" s="13" t="inlineStr"/>
      <c r="E37" s="13">
        <f>$P$7*F37</f>
        <v/>
      </c>
      <c r="F37" s="13">
        <f>F36*1.062</f>
        <v/>
      </c>
      <c r="G37" s="13">
        <f>TREND(Production!L$8:Production!L$29,ROW(Production!L$8:Production!L$29)-ROW(Production!L$8),ROW(A37)-ROW(A$4))</f>
        <v/>
      </c>
      <c r="H37" s="3">
        <f>$P$3</f>
        <v/>
      </c>
      <c r="I37" s="13" t="n">
        <v>0</v>
      </c>
      <c r="J37" s="13">
        <f>J36*(1-$Production!$B$3)+I37</f>
        <v/>
      </c>
      <c r="K37" s="13">
        <f>F37</f>
        <v/>
      </c>
      <c r="L37" s="13">
        <f>EXP(G37)*E37^$P$3</f>
        <v/>
      </c>
      <c r="M37" s="13">
        <f>EXP(G37)*J37^$P$3</f>
        <v/>
      </c>
      <c r="N37" s="13">
        <f>M37-L37</f>
        <v/>
      </c>
    </row>
    <row r="38">
      <c r="A38" s="3" t="n">
        <v>2036</v>
      </c>
      <c r="B38" s="13" t="inlineStr"/>
      <c r="C38" s="13" t="inlineStr"/>
      <c r="D38" s="13" t="inlineStr"/>
      <c r="E38" s="13">
        <f>$P$7*F38</f>
        <v/>
      </c>
      <c r="F38" s="13">
        <f>F37*1.062</f>
        <v/>
      </c>
      <c r="G38" s="13">
        <f>TREND(Production!L$8:Production!L$29,ROW(Production!L$8:Production!L$29)-ROW(Production!L$8),ROW(A38)-ROW(A$4))</f>
        <v/>
      </c>
      <c r="H38" s="3">
        <f>$P$3</f>
        <v/>
      </c>
      <c r="I38" s="13" t="n">
        <v>0</v>
      </c>
      <c r="J38" s="13">
        <f>J37*(1-$Production!$B$3)+I38</f>
        <v/>
      </c>
      <c r="K38" s="13">
        <f>F38</f>
        <v/>
      </c>
      <c r="L38" s="13">
        <f>EXP(G38)*E38^$P$3</f>
        <v/>
      </c>
      <c r="M38" s="13">
        <f>EXP(G38)*J38^$P$3</f>
        <v/>
      </c>
      <c r="N38" s="13">
        <f>M38-L38</f>
        <v/>
      </c>
    </row>
    <row r="39">
      <c r="A39" s="3" t="n">
        <v>2037</v>
      </c>
      <c r="B39" s="13" t="inlineStr"/>
      <c r="C39" s="13" t="inlineStr"/>
      <c r="D39" s="13" t="inlineStr"/>
      <c r="E39" s="13">
        <f>$P$7*F39</f>
        <v/>
      </c>
      <c r="F39" s="13">
        <f>F38*1.062</f>
        <v/>
      </c>
      <c r="G39" s="13">
        <f>TREND(Production!L$8:Production!L$29,ROW(Production!L$8:Production!L$29)-ROW(Production!L$8),ROW(A39)-ROW(A$4))</f>
        <v/>
      </c>
      <c r="H39" s="3">
        <f>$P$3</f>
        <v/>
      </c>
      <c r="I39" s="13" t="n">
        <v>0</v>
      </c>
      <c r="J39" s="13">
        <f>J38*(1-$Production!$B$3)+I39</f>
        <v/>
      </c>
      <c r="K39" s="13">
        <f>F39</f>
        <v/>
      </c>
      <c r="L39" s="13">
        <f>EXP(G39)*E39^$P$3</f>
        <v/>
      </c>
      <c r="M39" s="13">
        <f>EXP(G39)*J39^$P$3</f>
        <v/>
      </c>
      <c r="N39" s="13">
        <f>M39-L39</f>
        <v/>
      </c>
    </row>
    <row r="40">
      <c r="A40" s="3" t="n">
        <v>2038</v>
      </c>
      <c r="B40" s="13" t="inlineStr"/>
      <c r="C40" s="13" t="inlineStr"/>
      <c r="D40" s="13" t="inlineStr"/>
      <c r="E40" s="13">
        <f>$P$7*F40</f>
        <v/>
      </c>
      <c r="F40" s="13">
        <f>F39*1.062</f>
        <v/>
      </c>
      <c r="G40" s="13">
        <f>TREND(Production!L$8:Production!L$29,ROW(Production!L$8:Production!L$29)-ROW(Production!L$8),ROW(A40)-ROW(A$4))</f>
        <v/>
      </c>
      <c r="H40" s="3">
        <f>$P$3</f>
        <v/>
      </c>
      <c r="I40" s="13" t="n">
        <v>0</v>
      </c>
      <c r="J40" s="13">
        <f>J39*(1-$Production!$B$3)+I40</f>
        <v/>
      </c>
      <c r="K40" s="13">
        <f>F40</f>
        <v/>
      </c>
      <c r="L40" s="13">
        <f>EXP(G40)*E40^$P$3</f>
        <v/>
      </c>
      <c r="M40" s="13">
        <f>EXP(G40)*J40^$P$3</f>
        <v/>
      </c>
      <c r="N40" s="13">
        <f>M40-L40</f>
        <v/>
      </c>
    </row>
    <row r="41">
      <c r="A41" s="3" t="n">
        <v>2039</v>
      </c>
      <c r="B41" s="13" t="inlineStr"/>
      <c r="C41" s="13" t="inlineStr"/>
      <c r="D41" s="13" t="inlineStr"/>
      <c r="E41" s="13">
        <f>$P$7*F41</f>
        <v/>
      </c>
      <c r="F41" s="13">
        <f>F40*1.062</f>
        <v/>
      </c>
      <c r="G41" s="13">
        <f>TREND(Production!L$8:Production!L$29,ROW(Production!L$8:Production!L$29)-ROW(Production!L$8),ROW(A41)-ROW(A$4))</f>
        <v/>
      </c>
      <c r="H41" s="3">
        <f>$P$3</f>
        <v/>
      </c>
      <c r="I41" s="13" t="n">
        <v>0</v>
      </c>
      <c r="J41" s="13">
        <f>J40*(1-$Production!$B$3)+I41</f>
        <v/>
      </c>
      <c r="K41" s="13">
        <f>F41</f>
        <v/>
      </c>
      <c r="L41" s="13">
        <f>EXP(G41)*E41^$P$3</f>
        <v/>
      </c>
      <c r="M41" s="13">
        <f>EXP(G41)*J41^$P$3</f>
        <v/>
      </c>
      <c r="N41" s="13">
        <f>M41-L41</f>
        <v/>
      </c>
    </row>
    <row r="42">
      <c r="A42" s="3" t="n">
        <v>2040</v>
      </c>
      <c r="B42" s="3" t="inlineStr"/>
      <c r="C42" s="3" t="inlineStr"/>
      <c r="D42" s="3" t="inlineStr"/>
      <c r="E42" s="3">
        <f>AVERAGE($D$20:$D$28)*F42</f>
        <v/>
      </c>
      <c r="F42" s="3">
        <f>F41</f>
        <v/>
      </c>
      <c r="G42" s="3">
        <f>TREND($G$4:$G$26,ROW($G$4:$G$26)-ROW($G$4),ROW(A42)-ROW($A$4))</f>
        <v/>
      </c>
      <c r="H42" s="3">
        <f>$O$4</f>
        <v/>
      </c>
      <c r="I42" s="3" t="n">
        <v>0</v>
      </c>
      <c r="J42" s="3">
        <f>E42+I42</f>
        <v/>
      </c>
      <c r="K42" s="3">
        <f>F42</f>
        <v/>
      </c>
      <c r="L42" s="3">
        <f>F42</f>
        <v/>
      </c>
      <c r="M42" s="3">
        <f>F42</f>
        <v/>
      </c>
      <c r="N42" s="3">
        <f>M42-L42</f>
        <v/>
      </c>
    </row>
    <row r="43">
      <c r="A43" s="3" t="n">
        <v>2041</v>
      </c>
      <c r="B43" s="3" t="inlineStr"/>
      <c r="C43" s="3" t="inlineStr"/>
      <c r="D43" s="3" t="inlineStr"/>
      <c r="E43" s="3">
        <f>AVERAGE($D$20:$D$28)*F43</f>
        <v/>
      </c>
      <c r="F43" s="3">
        <f>F42</f>
        <v/>
      </c>
      <c r="G43" s="3">
        <f>TREND($G$4:$G$26,ROW($G$4:$G$26)-ROW($G$4),ROW(A43)-ROW($A$4))</f>
        <v/>
      </c>
      <c r="H43" s="3">
        <f>$O$4</f>
        <v/>
      </c>
      <c r="I43" s="3" t="n">
        <v>0</v>
      </c>
      <c r="J43" s="3">
        <f>E43+I43</f>
        <v/>
      </c>
      <c r="K43" s="3">
        <f>F43</f>
        <v/>
      </c>
      <c r="L43" s="3">
        <f>F43</f>
        <v/>
      </c>
      <c r="M43" s="3">
        <f>F43</f>
        <v/>
      </c>
      <c r="N43" s="3">
        <f>M43-L43</f>
        <v/>
      </c>
    </row>
    <row r="44">
      <c r="A44" s="9" t="inlineStr">
        <is>
          <t>Cobb-Douglas Production Function:</t>
        </is>
      </c>
    </row>
    <row r="45">
      <c r="A45" t="inlineStr">
        <is>
          <t>Y = exp(A) * K^α</t>
        </is>
      </c>
    </row>
    <row r="46">
      <c r="A46" t="inlineStr">
        <is>
          <t>where A comes from HP filtered series</t>
        </is>
      </c>
    </row>
    <row r="47">
      <c r="A47" t="inlineStr">
        <is>
          <t>α = capital's share = 0.35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5" t="inlineStr">
        <is>
          <t>Investment Shock Analysis Summary - Georgia</t>
        </is>
      </c>
    </row>
    <row r="3">
      <c r="A3" t="inlineStr">
        <is>
          <t>Key Parameters</t>
        </is>
      </c>
    </row>
    <row r="4">
      <c r="A4" s="16" t="inlineStr">
        <is>
          <t>Annual Investment Amount</t>
        </is>
      </c>
      <c r="B4" s="12">
        <f>Investment!B4</f>
        <v/>
      </c>
    </row>
    <row r="5">
      <c r="A5" s="16" t="inlineStr">
        <is>
          <t>Investment Period</t>
        </is>
      </c>
      <c r="B5" s="12">
        <f>Investment!B5&amp;' - '&amp;(Investment!B5+Investment!B6-1)</f>
        <v/>
      </c>
    </row>
    <row r="6">
      <c r="A6" s="16" t="inlineStr">
        <is>
          <t>Total Investment</t>
        </is>
      </c>
      <c r="B6" s="12">
        <f>Investment!B7</f>
        <v/>
      </c>
    </row>
    <row r="7">
      <c r="A7" s="16" t="inlineStr">
        <is>
          <t>Capital Share (α)</t>
        </is>
      </c>
      <c r="B7" s="12">
        <f>Production_Function!P3</f>
        <v/>
      </c>
    </row>
    <row r="8">
      <c r="A8" s="16" t="n"/>
      <c r="B8" s="12" t="n"/>
    </row>
    <row r="9">
      <c r="A9" s="16" t="inlineStr">
        <is>
          <t>Results</t>
        </is>
      </c>
      <c r="B9" s="12" t="n"/>
    </row>
    <row r="10">
      <c r="A10" s="16" t="inlineStr">
        <is>
          <t>Real GDP (2023 baseline)</t>
        </is>
      </c>
      <c r="B10" s="12">
        <f>WEO_Data!B27</f>
        <v/>
      </c>
    </row>
    <row r="11">
      <c r="A11" s="16" t="inlineStr">
        <is>
          <t>Capital Stock (2023)</t>
        </is>
      </c>
      <c r="B11" s="12">
        <f>Production!C28</f>
        <v/>
      </c>
    </row>
    <row r="12">
      <c r="A12" s="16" t="inlineStr">
        <is>
          <t>Average Depreciation Rate</t>
        </is>
      </c>
      <c r="B12" s="12">
        <f>Production!B3</f>
        <v/>
      </c>
    </row>
    <row r="13">
      <c r="A13" s="16" t="n"/>
      <c r="B13" s="12" t="n"/>
    </row>
    <row r="14">
      <c r="A14" s="16" t="inlineStr">
        <is>
          <t>Long-run Output Effects (2041)</t>
        </is>
      </c>
      <c r="B14" s="12" t="n"/>
    </row>
    <row r="15">
      <c r="A15" s="16" t="inlineStr">
        <is>
          <t>Potential Output without Investment</t>
        </is>
      </c>
      <c r="B15" s="12">
        <f>Production_Function!L41</f>
        <v/>
      </c>
    </row>
    <row r="16">
      <c r="A16" s="16" t="inlineStr">
        <is>
          <t>Potential Output with Investment</t>
        </is>
      </c>
      <c r="B16" s="12">
        <f>Production_Function!M41</f>
        <v/>
      </c>
    </row>
    <row r="17">
      <c r="A17" s="16" t="inlineStr">
        <is>
          <t>Cumulative Output Gain</t>
        </is>
      </c>
      <c r="B17" s="12">
        <f>SUM(Production_Function!N26:N41)</f>
        <v/>
      </c>
    </row>
    <row r="18">
      <c r="A18" s="16" t="n"/>
      <c r="B18" s="12" t="n"/>
    </row>
    <row r="19">
      <c r="A19" s="16" t="inlineStr">
        <is>
          <t>Impact Analysis</t>
        </is>
      </c>
      <c r="B19" s="12" t="n"/>
    </row>
    <row r="20">
      <c r="A20" s="16" t="inlineStr">
        <is>
          <t>Capital Stock Increase (2033 end)</t>
        </is>
      </c>
      <c r="B20" s="12">
        <f>(Production_Function!J37-Production_Function!E37)/Production_Function!E37</f>
        <v/>
      </c>
    </row>
    <row r="21">
      <c r="A21" s="16" t="inlineStr">
        <is>
          <t>Output Gain (2033)</t>
        </is>
      </c>
      <c r="B21" s="12">
        <f>Production_Function!N37</f>
        <v/>
      </c>
    </row>
    <row r="22">
      <c r="A22" s="16" t="inlineStr">
        <is>
          <t>Marginal Output per Dollar Invested</t>
        </is>
      </c>
      <c r="B22" s="12">
        <f>B21/Investment!B7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9" t="inlineStr">
        <is>
          <t>Investment Spending Shock Model for Georgia</t>
        </is>
      </c>
    </row>
    <row r="3">
      <c r="A3" s="6" t="inlineStr">
        <is>
          <t>MODEL STRUCTURE</t>
        </is>
      </c>
    </row>
    <row r="4">
      <c r="A4" s="20" t="inlineStr">
        <is>
          <t>Sheet: WEO_Data</t>
        </is>
      </c>
    </row>
    <row r="5">
      <c r="A5" s="21" t="inlineStr">
        <is>
          <t xml:space="preserve">  - Contains real GDP data for Georgia from 2000-2025 from IMF World Economic Outlook</t>
        </is>
      </c>
    </row>
    <row r="6">
      <c r="A6" s="20" t="inlineStr">
        <is>
          <t xml:space="preserve">  - Column D: Projected real GDP through 2027, extended at constant growth rate thereafter</t>
        </is>
      </c>
    </row>
    <row r="7">
      <c r="A7" s="21" t="inlineStr">
        <is>
          <t xml:space="preserve">  - Used as baseline macroeconomic framework</t>
        </is>
      </c>
    </row>
    <row r="8">
      <c r="A8" s="20" t="n"/>
    </row>
    <row r="9">
      <c r="A9" s="21" t="inlineStr">
        <is>
          <t>Sheet: CFC data</t>
        </is>
      </c>
    </row>
    <row r="10">
      <c r="A10" s="20" t="inlineStr">
        <is>
          <t xml:space="preserve">  - Consumption of Fixed Capital from ECB for Georgia (1996-2023)</t>
        </is>
      </c>
    </row>
    <row r="11">
      <c r="A11" s="21" t="inlineStr">
        <is>
          <t xml:space="preserve">  - Column D: Calculated depreciation rate (CFC as % of capital stock)</t>
        </is>
      </c>
    </row>
    <row r="12">
      <c r="A12" s="20" t="inlineStr">
        <is>
          <t xml:space="preserve">  - Used to estimate average annual depreciation rate</t>
        </is>
      </c>
    </row>
    <row r="13">
      <c r="A13" s="21" t="n"/>
    </row>
    <row r="14">
      <c r="A14" s="20" t="inlineStr">
        <is>
          <t>Sheet: Production</t>
        </is>
      </c>
    </row>
    <row r="15">
      <c r="A15" s="21" t="inlineStr">
        <is>
          <t xml:space="preserve">  - Capital stock (K) and output (Y) linked from WEO and PWT data</t>
        </is>
      </c>
    </row>
    <row r="16">
      <c r="A16" s="20" t="inlineStr">
        <is>
          <t xml:space="preserve">  - LnK and LnY calculated for growth accounting</t>
        </is>
      </c>
    </row>
    <row r="17">
      <c r="A17" s="21" t="inlineStr">
        <is>
          <t xml:space="preserve">  - HP Filter applied to extract trend TFP (LnZ_Trend)</t>
        </is>
      </c>
    </row>
    <row r="18">
      <c r="A18" s="20" t="inlineStr">
        <is>
          <t xml:space="preserve">  - Solver optimizes LnZ_HP (Column L) to minimize objective in P6</t>
        </is>
      </c>
    </row>
    <row r="19">
      <c r="A19" s="21" t="inlineStr">
        <is>
          <t xml:space="preserve">  - After Solver: copy Column L to Column H (LnZ_Trend)</t>
        </is>
      </c>
    </row>
    <row r="20">
      <c r="A20" s="20" t="n"/>
    </row>
    <row r="21">
      <c r="A21" s="21" t="inlineStr">
        <is>
          <t>Sheet: Investment</t>
        </is>
      </c>
    </row>
    <row r="22">
      <c r="A22" s="20" t="inlineStr">
        <is>
          <t xml:space="preserve">  - Investment shock: $6.5 billion annually, 2026-2033 (8 years)</t>
        </is>
      </c>
    </row>
    <row r="23">
      <c r="A23" s="21" t="inlineStr">
        <is>
          <t xml:space="preserve">  - Total: $52 billion over investment period</t>
        </is>
      </c>
    </row>
    <row r="24">
      <c r="A24" s="20" t="n"/>
    </row>
    <row r="25">
      <c r="A25" s="21" t="inlineStr">
        <is>
          <t>Sheet: Production_Function</t>
        </is>
      </c>
    </row>
    <row r="26">
      <c r="A26" s="20" t="inlineStr">
        <is>
          <t xml:space="preserve">  - Cobb-Douglas production function: Y = A * K^0.35</t>
        </is>
      </c>
    </row>
    <row r="27">
      <c r="A27" s="21" t="inlineStr">
        <is>
          <t xml:space="preserve">  - Baseline scenario (without investment): K extended by fixed K/Y ratio</t>
        </is>
      </c>
    </row>
    <row r="28">
      <c r="A28" s="20" t="inlineStr">
        <is>
          <t xml:space="preserve">  - Shock scenario (with investment): K accumulates investment with depreciation</t>
        </is>
      </c>
    </row>
    <row r="29">
      <c r="A29" s="21" t="inlineStr">
        <is>
          <t xml:space="preserve">  - Ystar_base and Ystar_with calculated for each year 2002-2041</t>
        </is>
      </c>
    </row>
    <row r="30">
      <c r="A30" s="20" t="inlineStr">
        <is>
          <t xml:space="preserve">  - Output gain = Ystar_with - Ystar_base</t>
        </is>
      </c>
    </row>
    <row r="31">
      <c r="A31" s="21" t="n"/>
    </row>
    <row r="32">
      <c r="A32" s="22" t="inlineStr">
        <is>
          <t>CALCULATION STEPS</t>
        </is>
      </c>
    </row>
    <row r="33">
      <c r="A33" s="21" t="inlineStr">
        <is>
          <t>Step 1: HP Filter Optimization</t>
        </is>
      </c>
    </row>
    <row r="34">
      <c r="A34" s="20" t="inlineStr">
        <is>
          <t xml:space="preserve">  - Open Production sheet</t>
        </is>
      </c>
    </row>
    <row r="35">
      <c r="A35" s="21" t="inlineStr">
        <is>
          <t xml:space="preserve">  - Solver target: minimize P6 (HP Filter objective)</t>
        </is>
      </c>
    </row>
    <row r="36">
      <c r="A36" s="20" t="inlineStr">
        <is>
          <t xml:space="preserve">  - Change cells: L6:L29</t>
        </is>
      </c>
    </row>
    <row r="37">
      <c r="A37" s="21" t="inlineStr">
        <is>
          <t xml:space="preserve">  - After solving: copy L to H (LnZ_Trend)</t>
        </is>
      </c>
    </row>
    <row r="38">
      <c r="A38" s="20" t="n"/>
    </row>
    <row r="39">
      <c r="A39" s="21" t="inlineStr">
        <is>
          <t>Step 2: Production Function Calculation</t>
        </is>
      </c>
    </row>
    <row r="40">
      <c r="A40" s="20" t="inlineStr">
        <is>
          <t xml:space="preserve">  - Automatic after HP Filter is optimized</t>
        </is>
      </c>
    </row>
    <row r="41">
      <c r="A41" s="21" t="inlineStr">
        <is>
          <t xml:space="preserve">  - Ystar values calculated from K and TFP trend</t>
        </is>
      </c>
    </row>
    <row r="42">
      <c r="A42" s="20" t="inlineStr">
        <is>
          <t xml:space="preserve">  - Output gains for 2026-2041</t>
        </is>
      </c>
    </row>
    <row r="43">
      <c r="A43" s="21" t="n"/>
    </row>
    <row r="44">
      <c r="A44" s="20" t="inlineStr">
        <is>
          <t>Step 3: View Results</t>
        </is>
      </c>
    </row>
    <row r="45">
      <c r="A45" s="21" t="inlineStr">
        <is>
          <t xml:space="preserve">  - Summary sheet shows key results</t>
        </is>
      </c>
    </row>
    <row r="46">
      <c r="A46" s="20" t="inlineStr">
        <is>
          <t xml:space="preserve">  - Production_Function sheet shows detailed year-by-year impacts</t>
        </is>
      </c>
    </row>
    <row r="47">
      <c r="A47" s="21" t="n"/>
    </row>
    <row r="48">
      <c r="A48" s="22" t="inlineStr">
        <is>
          <t>PARAMETER VALUES</t>
        </is>
      </c>
    </row>
    <row r="49">
      <c r="A49" s="21" t="inlineStr">
        <is>
          <t>Capital's Output Share (α)</t>
        </is>
      </c>
      <c r="B49" t="n">
        <v>0.35</v>
      </c>
    </row>
    <row r="50">
      <c r="A50" s="20" t="inlineStr">
        <is>
          <t>HP Filter Smoothing (λ)</t>
        </is>
      </c>
      <c r="B50" t="n">
        <v>1600</v>
      </c>
    </row>
    <row r="51">
      <c r="A51" s="21" t="inlineStr">
        <is>
          <t>Investment Amount (Annual)</t>
        </is>
      </c>
      <c r="B51" t="n">
        <v>6.5</v>
      </c>
    </row>
    <row r="52">
      <c r="A52" s="20" t="inlineStr">
        <is>
          <t>Investment Period</t>
        </is>
      </c>
      <c r="B52" t="inlineStr">
        <is>
          <t>2026-2033 (8 years)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9" t="inlineStr">
        <is>
          <t>STEP-BY-STEP EXECUTION GUIDE</t>
        </is>
      </c>
    </row>
    <row r="3">
      <c r="A3" s="23" t="inlineStr">
        <is>
          <t>PHASE 1: DATA VERIFICATION</t>
        </is>
      </c>
    </row>
    <row r="4">
      <c r="A4" s="24" t="inlineStr">
        <is>
          <t>Check WEO_Data sheet for real GDP projections</t>
        </is>
      </c>
    </row>
    <row r="5">
      <c r="A5" s="24" t="inlineStr">
        <is>
          <t>Check CFC data sheet for depreciation rate calculation in B3 (Production sheet)</t>
        </is>
      </c>
    </row>
    <row r="6">
      <c r="A6" s="24" t="inlineStr"/>
    </row>
    <row r="7">
      <c r="A7" s="23" t="inlineStr">
        <is>
          <t>PHASE 2: HP FILTER OPTIMIZATION</t>
        </is>
      </c>
    </row>
    <row r="8">
      <c r="A8" s="24" t="inlineStr">
        <is>
          <t>Open Production sheet</t>
        </is>
      </c>
    </row>
    <row r="9">
      <c r="A9" s="24" t="inlineStr">
        <is>
          <t>Select Data menu &gt; Solver (or Developer tab &gt; Solver in Mac/newer Excel)</t>
        </is>
      </c>
    </row>
    <row r="10">
      <c r="A10" s="24" t="inlineStr">
        <is>
          <t>Configure Solver:</t>
        </is>
      </c>
    </row>
    <row r="11">
      <c r="A11" s="24" t="inlineStr">
        <is>
          <t xml:space="preserve">  - Set Objective: $P$6</t>
        </is>
      </c>
    </row>
    <row r="12">
      <c r="A12" s="24" t="inlineStr">
        <is>
          <t xml:space="preserve">  - To: Min</t>
        </is>
      </c>
    </row>
    <row r="13">
      <c r="A13" s="24" t="inlineStr">
        <is>
          <t xml:space="preserve">  - By Changing: $L$8:$L$29</t>
        </is>
      </c>
    </row>
    <row r="14">
      <c r="A14" s="24" t="inlineStr">
        <is>
          <t xml:space="preserve">  - Click Solve</t>
        </is>
      </c>
    </row>
    <row r="15">
      <c r="A15" s="24" t="inlineStr">
        <is>
          <t>After Solver completes:</t>
        </is>
      </c>
    </row>
    <row r="16">
      <c r="A16" s="24" t="inlineStr">
        <is>
          <t xml:space="preserve">  - Copy cells L8:L29</t>
        </is>
      </c>
    </row>
    <row r="17">
      <c r="A17" s="24" t="inlineStr">
        <is>
          <t xml:space="preserve">  - Paste Special &gt; Values to H8:H29 (LnZ_Trend)</t>
        </is>
      </c>
    </row>
    <row r="18">
      <c r="A18" s="24" t="inlineStr"/>
    </row>
    <row r="19">
      <c r="A19" s="23" t="inlineStr">
        <is>
          <t>PHASE 3: PRODUCTION FUNCTION ANALYSIS</t>
        </is>
      </c>
    </row>
    <row r="20">
      <c r="A20" s="24" t="inlineStr">
        <is>
          <t>All formulas are automatic after HP Filter is optimized</t>
        </is>
      </c>
    </row>
    <row r="21">
      <c r="A21" s="24" t="inlineStr">
        <is>
          <t>Check Production_Function sheet for K/Y ratios and extended series</t>
        </is>
      </c>
    </row>
    <row r="22">
      <c r="A22" s="24" t="inlineStr">
        <is>
          <t>Verify Ystar_base and Ystar_with calculations</t>
        </is>
      </c>
    </row>
    <row r="23">
      <c r="A23" s="24" t="inlineStr"/>
    </row>
    <row r="24">
      <c r="A24" s="23" t="inlineStr">
        <is>
          <t>PHASE 4: REVIEW RESULTS</t>
        </is>
      </c>
    </row>
    <row r="25">
      <c r="A25" s="24" t="inlineStr">
        <is>
          <t>Summary sheet shows key output effects</t>
        </is>
      </c>
    </row>
    <row r="26">
      <c r="A26" s="24" t="inlineStr">
        <is>
          <t>Production_Function sheet shows annual impacts 2026-2041</t>
        </is>
      </c>
    </row>
    <row r="27">
      <c r="A27" s="24" t="inlineStr">
        <is>
          <t>Check cumulative output gains in Summary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2026-01-29T06:59:15Z</dcterms:created>
  <dcterms:modified xsi:type="dcterms:W3CDTF">2026-01-29T07:00:42Z</dcterms:modified>
</cp:coreProperties>
</file>