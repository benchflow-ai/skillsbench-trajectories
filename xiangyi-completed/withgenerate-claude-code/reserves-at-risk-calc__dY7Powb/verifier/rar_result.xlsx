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" sheetId="1" state="visible" r:id="rId1"/>
    <sheet name="Volume" sheetId="2" state="visible" r:id="rId2"/>
    <sheet name="Total Reserves" sheetId="3" state="visible" r:id="rId3"/>
    <sheet name="Gold price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0</v>
      </c>
      <c r="D10" t="n">
        <v>1939.9</v>
      </c>
      <c r="E10" t="n">
        <v>65.8</v>
      </c>
      <c r="F10" t="n">
        <v>0</v>
      </c>
      <c r="G10" t="n">
        <v>12498</v>
      </c>
      <c r="H10" t="n">
        <v>289.61</v>
      </c>
      <c r="I10" t="n">
        <v>1689.71</v>
      </c>
      <c r="J10" t="n">
        <v>3.08</v>
      </c>
      <c r="K10" t="n">
        <v>76647</v>
      </c>
      <c r="L10" t="n">
        <v>1060.65</v>
      </c>
      <c r="M10" t="n">
        <v>14034.06</v>
      </c>
      <c r="N10" t="n">
        <v>393.44</v>
      </c>
      <c r="O10" t="n">
        <v>277.54</v>
      </c>
      <c r="P10" t="n">
        <v>675.1</v>
      </c>
      <c r="Q10" t="n">
        <v>243.4</v>
      </c>
      <c r="R10" t="n">
        <v>14942</v>
      </c>
    </row>
    <row r="11">
      <c r="A11" t="inlineStr">
        <is>
          <t>2018</t>
        </is>
      </c>
      <c r="B11" s="1" t="n">
        <v>43465</v>
      </c>
      <c r="C11" t="n">
        <v>0</v>
      </c>
      <c r="D11" t="n">
        <v>1934.7</v>
      </c>
      <c r="E11" t="n">
        <v>64.87</v>
      </c>
      <c r="F11" t="n">
        <v>0</v>
      </c>
      <c r="G11" t="n">
        <v>14391</v>
      </c>
      <c r="H11" t="n">
        <v>460.3</v>
      </c>
      <c r="I11" t="n">
        <v>1668.23</v>
      </c>
      <c r="J11" t="n">
        <v>3.01</v>
      </c>
      <c r="K11" t="n">
        <v>86902.8</v>
      </c>
      <c r="L11" t="n">
        <v>1002.22</v>
      </c>
      <c r="M11" t="n">
        <v>14640.75</v>
      </c>
      <c r="N11" t="n">
        <v>361.31</v>
      </c>
      <c r="O11" t="n">
        <v>274.02</v>
      </c>
      <c r="P11" t="n">
        <v>736.16</v>
      </c>
      <c r="Q11" t="n">
        <v>240.3</v>
      </c>
      <c r="R11" t="n">
        <v>19928</v>
      </c>
    </row>
    <row r="12">
      <c r="A12" t="inlineStr">
        <is>
          <t>2019</t>
        </is>
      </c>
      <c r="B12" s="1" t="n">
        <v>43830</v>
      </c>
      <c r="C12" t="n">
        <v>0</v>
      </c>
      <c r="D12" t="n">
        <v>2387.2</v>
      </c>
      <c r="E12" t="n">
        <v>133.56</v>
      </c>
      <c r="F12" t="n">
        <v>0</v>
      </c>
      <c r="G12" t="n">
        <v>18875</v>
      </c>
      <c r="H12" t="n">
        <v>701.1900000000001</v>
      </c>
      <c r="I12" t="n">
        <v>1984.51</v>
      </c>
      <c r="J12" t="n">
        <v>3.6</v>
      </c>
      <c r="K12" t="n">
        <v>110376</v>
      </c>
      <c r="L12" t="n">
        <v>1218.79</v>
      </c>
      <c r="M12" t="n">
        <v>16329.21</v>
      </c>
      <c r="N12" t="n">
        <v>390.82</v>
      </c>
      <c r="O12" t="n">
        <v>324.46</v>
      </c>
      <c r="P12" t="n">
        <v>1336.76</v>
      </c>
      <c r="Q12" t="n">
        <v>284.6</v>
      </c>
      <c r="R12" t="n">
        <v>42519</v>
      </c>
    </row>
    <row r="13">
      <c r="A13" t="inlineStr">
        <is>
          <t>2020</t>
        </is>
      </c>
      <c r="B13" s="1" t="n">
        <v>44196</v>
      </c>
      <c r="C13" t="n">
        <v>0</v>
      </c>
      <c r="D13" t="n">
        <v>3041.5</v>
      </c>
      <c r="E13" t="n">
        <v>167.09</v>
      </c>
      <c r="F13" t="n">
        <v>0</v>
      </c>
      <c r="G13" t="n">
        <v>23582</v>
      </c>
      <c r="H13" t="n">
        <v>1017.91</v>
      </c>
      <c r="I13" t="n">
        <v>2472.06</v>
      </c>
      <c r="J13" t="n">
        <v>4.47</v>
      </c>
      <c r="K13" t="n">
        <v>138754.4</v>
      </c>
      <c r="L13" t="n">
        <v>1583.87</v>
      </c>
      <c r="M13" t="n">
        <v>20216.74</v>
      </c>
      <c r="N13" t="n">
        <v>572.64</v>
      </c>
      <c r="O13" t="n">
        <v>403.59</v>
      </c>
      <c r="P13" t="n">
        <v>1760.15</v>
      </c>
      <c r="Q13" t="n">
        <v>353.4</v>
      </c>
      <c r="R13" t="n">
        <v>52253</v>
      </c>
    </row>
    <row r="14">
      <c r="A14" t="inlineStr">
        <is>
          <t>2021</t>
        </is>
      </c>
      <c r="B14" s="1" t="n">
        <v>44561</v>
      </c>
      <c r="C14" t="n">
        <v>0</v>
      </c>
      <c r="D14" t="n">
        <v>3123</v>
      </c>
      <c r="E14" t="n">
        <v>160.66</v>
      </c>
      <c r="F14" t="n">
        <v>0</v>
      </c>
      <c r="G14" t="n">
        <v>23546</v>
      </c>
      <c r="H14" t="n">
        <v>591.79</v>
      </c>
      <c r="I14" t="n">
        <v>2386.53</v>
      </c>
      <c r="J14" t="n">
        <v>4.28</v>
      </c>
      <c r="K14" t="n">
        <v>133069.8</v>
      </c>
      <c r="L14" t="n">
        <v>1557.76</v>
      </c>
      <c r="M14" t="n">
        <v>20949.71</v>
      </c>
      <c r="N14" t="n">
        <v>614.21</v>
      </c>
      <c r="O14" t="n">
        <v>389.34</v>
      </c>
      <c r="P14" t="n">
        <v>1931.4</v>
      </c>
      <c r="Q14" t="n">
        <v>341.4</v>
      </c>
      <c r="R14" t="n">
        <v>54844</v>
      </c>
    </row>
    <row r="15">
      <c r="A15" t="inlineStr">
        <is>
          <t>2022</t>
        </is>
      </c>
      <c r="B15" s="1" t="n">
        <v>44926</v>
      </c>
      <c r="C15" t="n">
        <v>0</v>
      </c>
      <c r="D15" t="n">
        <v>3141.4</v>
      </c>
      <c r="E15" t="n">
        <v>176.12</v>
      </c>
      <c r="F15" t="n">
        <v>0</v>
      </c>
      <c r="G15" t="n">
        <v>20491</v>
      </c>
      <c r="H15" t="n">
        <v>955.11</v>
      </c>
      <c r="I15" t="n">
        <v>2386.82</v>
      </c>
      <c r="J15" t="n">
        <v>4.3</v>
      </c>
      <c r="K15" t="n">
        <v>136077</v>
      </c>
      <c r="L15" t="n">
        <v>1565.27</v>
      </c>
      <c r="M15" t="n">
        <v>23064.77</v>
      </c>
      <c r="N15" t="n">
        <v>697.96</v>
      </c>
      <c r="O15" t="n">
        <v>390.48</v>
      </c>
      <c r="P15" t="n">
        <v>2104.6</v>
      </c>
      <c r="Q15" t="n">
        <v>342.1</v>
      </c>
      <c r="R15" t="n">
        <v>58650</v>
      </c>
    </row>
    <row r="16">
      <c r="A16" t="inlineStr">
        <is>
          <t>2023</t>
        </is>
      </c>
      <c r="B16" s="1" t="n">
        <v>45291</v>
      </c>
      <c r="C16" t="n">
        <v>0</v>
      </c>
      <c r="D16" t="n">
        <v>3582.2</v>
      </c>
      <c r="E16" t="n">
        <v>223.92</v>
      </c>
      <c r="F16" t="n">
        <v>0</v>
      </c>
      <c r="G16" t="n">
        <v>19510</v>
      </c>
      <c r="H16" t="n">
        <v>1430.24</v>
      </c>
      <c r="I16" t="n">
        <v>2711.06</v>
      </c>
      <c r="J16" t="n">
        <v>4.91</v>
      </c>
      <c r="K16" t="n">
        <v>155857.7</v>
      </c>
      <c r="L16" t="n">
        <v>1798.62</v>
      </c>
      <c r="M16" t="n">
        <v>24632.16</v>
      </c>
      <c r="N16" t="n">
        <v>2033.88</v>
      </c>
      <c r="O16" t="n">
        <v>441.37</v>
      </c>
      <c r="P16" t="n">
        <v>2393.24</v>
      </c>
      <c r="Q16" t="n">
        <v>387.3</v>
      </c>
      <c r="R16" t="n">
        <v>93591</v>
      </c>
    </row>
    <row r="17">
      <c r="A17" t="inlineStr">
        <is>
          <t>2024</t>
        </is>
      </c>
      <c r="B17" s="1" t="n">
        <v>45657</v>
      </c>
      <c r="C17" t="n">
        <v>0</v>
      </c>
      <c r="D17" t="n">
        <v>4522.9</v>
      </c>
      <c r="E17" t="n">
        <v>286</v>
      </c>
      <c r="F17" t="n">
        <v>599</v>
      </c>
      <c r="G17" t="n">
        <v>23844</v>
      </c>
      <c r="H17" t="n">
        <v>3198.41</v>
      </c>
      <c r="I17" t="n">
        <v>3411.66</v>
      </c>
      <c r="J17" t="n">
        <v>6.26</v>
      </c>
      <c r="K17" t="n">
        <v>195707.3</v>
      </c>
      <c r="L17" t="n">
        <v>2310.81</v>
      </c>
      <c r="M17" t="n">
        <v>32036.68</v>
      </c>
      <c r="N17" t="n">
        <v>4297.24</v>
      </c>
      <c r="O17" t="n">
        <v>555.85</v>
      </c>
      <c r="P17" t="n">
        <v>3883.65</v>
      </c>
      <c r="Q17" t="n">
        <v>487.1</v>
      </c>
      <c r="R17" t="n">
        <v>154308</v>
      </c>
    </row>
    <row r="18">
      <c r="A18" t="inlineStr">
        <is>
          <t>2025</t>
        </is>
      </c>
      <c r="B18" s="1" t="n">
        <v>46022</v>
      </c>
      <c r="D18" t="n">
        <v>7471</v>
      </c>
      <c r="F18" t="n">
        <v>1002</v>
      </c>
      <c r="J18" t="n">
        <v>10.71</v>
      </c>
      <c r="L18" t="n">
        <v>3877.64</v>
      </c>
      <c r="M18" t="n">
        <v>55092.42</v>
      </c>
      <c r="N18" t="n">
        <v>10121.89</v>
      </c>
      <c r="O18" t="n">
        <v>921.28</v>
      </c>
      <c r="Q18" t="n">
        <v>807.1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1" t="n">
        <v>43100</v>
      </c>
      <c r="C10" t="n">
        <v>0.05</v>
      </c>
      <c r="D10" t="n">
        <v>223.38</v>
      </c>
      <c r="E10" t="n">
        <v>59.1</v>
      </c>
      <c r="F10" t="n">
        <v>10.82</v>
      </c>
      <c r="G10" t="n">
        <v>0.3</v>
      </c>
      <c r="H10" t="n">
        <v>1.019</v>
      </c>
      <c r="I10" t="n">
        <v>0.21</v>
      </c>
      <c r="J10" t="n">
        <v>0.62</v>
      </c>
      <c r="K10" t="n">
        <v>3.311</v>
      </c>
      <c r="L10" t="n">
        <v>3.334</v>
      </c>
    </row>
    <row r="11">
      <c r="A11" t="inlineStr">
        <is>
          <t>2018</t>
        </is>
      </c>
      <c r="B11" s="1" t="n">
        <v>43465</v>
      </c>
      <c r="C11" t="n">
        <v>0.05</v>
      </c>
      <c r="D11" t="n">
        <v>359.89</v>
      </c>
      <c r="E11" t="n">
        <v>67.90000000000001</v>
      </c>
      <c r="F11" t="n">
        <v>11.42</v>
      </c>
      <c r="G11" t="n">
        <v>0.28</v>
      </c>
      <c r="H11" t="n">
        <v>1.019</v>
      </c>
      <c r="I11" t="n">
        <v>0.21</v>
      </c>
      <c r="J11" t="n">
        <v>0.66</v>
      </c>
      <c r="K11" t="n">
        <v>4.136</v>
      </c>
      <c r="L11" t="n">
        <v>3.334</v>
      </c>
    </row>
    <row r="12">
      <c r="A12" t="inlineStr">
        <is>
          <t>2019</t>
        </is>
      </c>
      <c r="B12" s="1" t="n">
        <v>43830</v>
      </c>
      <c r="C12" t="n">
        <v>0.09</v>
      </c>
      <c r="D12" t="n">
        <v>462.91</v>
      </c>
      <c r="E12" t="n">
        <v>73</v>
      </c>
      <c r="F12" t="n">
        <v>10.8</v>
      </c>
      <c r="G12" t="n">
        <v>0.26</v>
      </c>
      <c r="H12" t="n">
        <v>1.019</v>
      </c>
      <c r="I12" t="n">
        <v>0.21</v>
      </c>
      <c r="J12" t="n">
        <v>0.98</v>
      </c>
      <c r="K12" t="n">
        <v>7.351</v>
      </c>
      <c r="L12" t="n">
        <v>3.33</v>
      </c>
    </row>
    <row r="13">
      <c r="A13" t="inlineStr">
        <is>
          <t>2020</t>
        </is>
      </c>
      <c r="B13" s="1" t="n">
        <v>44196</v>
      </c>
      <c r="C13" t="n">
        <v>0.09</v>
      </c>
      <c r="D13" t="n">
        <v>539.26</v>
      </c>
      <c r="E13" t="n">
        <v>73.90000000000001</v>
      </c>
      <c r="F13" t="n">
        <v>10.69</v>
      </c>
      <c r="G13" t="n">
        <v>0.3</v>
      </c>
      <c r="H13" t="n">
        <v>1.019</v>
      </c>
      <c r="I13" t="n">
        <v>0.21</v>
      </c>
      <c r="J13" t="n">
        <v>1.15</v>
      </c>
      <c r="K13" t="n">
        <v>7.352</v>
      </c>
      <c r="L13" t="n">
        <v>3.332</v>
      </c>
    </row>
    <row r="14">
      <c r="A14" t="inlineStr">
        <is>
          <t>2021</t>
        </is>
      </c>
      <c r="B14" s="1" t="n">
        <v>44561</v>
      </c>
      <c r="C14" t="n">
        <v>0.09</v>
      </c>
      <c r="D14" t="n">
        <v>327.71</v>
      </c>
      <c r="E14" t="n">
        <v>74</v>
      </c>
      <c r="F14" t="n">
        <v>11.64</v>
      </c>
      <c r="G14" t="n">
        <v>0.34</v>
      </c>
      <c r="H14" t="n">
        <v>1.019</v>
      </c>
      <c r="I14" t="n">
        <v>0.21</v>
      </c>
      <c r="J14" t="n">
        <v>1.2</v>
      </c>
      <c r="K14" t="n">
        <v>7.422</v>
      </c>
      <c r="L14" t="n">
        <v>3.332</v>
      </c>
    </row>
    <row r="15">
      <c r="A15" t="inlineStr">
        <is>
          <t>2022</t>
        </is>
      </c>
      <c r="B15" s="1" t="n">
        <v>44926</v>
      </c>
      <c r="C15" t="n">
        <v>0.1</v>
      </c>
      <c r="D15" t="n">
        <v>527</v>
      </c>
      <c r="E15" t="e">
        <v>#N/A</v>
      </c>
      <c r="F15" t="n">
        <v>12.73</v>
      </c>
      <c r="G15" t="n">
        <v>0.38</v>
      </c>
      <c r="H15" t="n">
        <v>1.019</v>
      </c>
      <c r="I15" t="n">
        <v>0.21</v>
      </c>
      <c r="J15" t="n">
        <v>1.24</v>
      </c>
      <c r="K15" t="n">
        <v>7.352</v>
      </c>
      <c r="L15" t="n">
        <v>3.332</v>
      </c>
    </row>
    <row r="16">
      <c r="A16" t="inlineStr">
        <is>
          <t>2023</t>
        </is>
      </c>
      <c r="B16" s="1" t="n">
        <v>45291</v>
      </c>
      <c r="C16" t="n">
        <v>0.11</v>
      </c>
      <c r="D16" t="n">
        <v>693.49</v>
      </c>
      <c r="E16" t="n">
        <v>75</v>
      </c>
      <c r="F16" t="n">
        <v>11.94</v>
      </c>
      <c r="G16" t="n">
        <v>0.99</v>
      </c>
      <c r="H16" t="n">
        <v>1.019</v>
      </c>
      <c r="I16" t="n">
        <v>0.21</v>
      </c>
      <c r="J16" t="n">
        <v>1.28</v>
      </c>
      <c r="K16" t="n">
        <v>11.532</v>
      </c>
      <c r="L16" t="n">
        <v>3.332</v>
      </c>
    </row>
    <row r="17">
      <c r="A17" t="inlineStr">
        <is>
          <t>2024</t>
        </is>
      </c>
      <c r="B17" s="1" t="n">
        <v>45657</v>
      </c>
      <c r="C17" t="n">
        <v>0.11</v>
      </c>
      <c r="D17" t="n">
        <v>1225.87</v>
      </c>
      <c r="E17" t="n">
        <v>75</v>
      </c>
      <c r="F17" t="n">
        <v>12.3</v>
      </c>
      <c r="G17" t="n">
        <v>1.65</v>
      </c>
      <c r="H17" t="n">
        <v>1.019</v>
      </c>
      <c r="I17" t="n">
        <v>0.21</v>
      </c>
      <c r="J17" t="n">
        <v>1.55</v>
      </c>
      <c r="K17" t="n">
        <v>14.411</v>
      </c>
      <c r="L17" t="n">
        <v>3.332</v>
      </c>
    </row>
    <row r="18">
      <c r="A18" t="inlineStr">
        <is>
          <t>2025</t>
        </is>
      </c>
      <c r="B18" s="1" t="n">
        <v>46022</v>
      </c>
      <c r="F18" t="n">
        <v>12.55</v>
      </c>
      <c r="G18" t="n">
        <v>2.3</v>
      </c>
      <c r="H18" t="n">
        <v>1.019</v>
      </c>
      <c r="I18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1" t="n">
        <v>43100</v>
      </c>
      <c r="C10" t="n">
        <v>2314.1</v>
      </c>
      <c r="D10" t="n">
        <v>7315.3</v>
      </c>
      <c r="E10" t="n">
        <v>3039.26</v>
      </c>
      <c r="F10" t="n">
        <v>30997</v>
      </c>
      <c r="G10" t="n">
        <v>2176.49</v>
      </c>
      <c r="H10" t="n">
        <v>2803.26</v>
      </c>
      <c r="I10" t="n">
        <v>28076.87</v>
      </c>
      <c r="J10" t="n">
        <v>147973.78</v>
      </c>
      <c r="K10" t="n">
        <v>4629.67</v>
      </c>
      <c r="L10" t="n">
        <v>9961.9</v>
      </c>
      <c r="M10" t="n">
        <v>1015.84</v>
      </c>
      <c r="N10" t="n">
        <v>4461.7</v>
      </c>
      <c r="O10" t="n">
        <v>18822.26</v>
      </c>
      <c r="P10" t="n">
        <v>394358</v>
      </c>
    </row>
    <row r="11">
      <c r="A11" t="inlineStr">
        <is>
          <t>2018</t>
        </is>
      </c>
      <c r="B11" s="1" t="n">
        <v>43465</v>
      </c>
      <c r="C11" t="n">
        <v>2259.3</v>
      </c>
      <c r="D11" t="n">
        <v>7157.6</v>
      </c>
      <c r="E11" t="n">
        <v>3288.83</v>
      </c>
      <c r="F11" t="n">
        <v>30927</v>
      </c>
      <c r="G11" t="n">
        <v>2155.46</v>
      </c>
      <c r="H11" t="n">
        <v>2995.18</v>
      </c>
      <c r="I11" t="n">
        <v>27081.41</v>
      </c>
      <c r="J11" t="n">
        <v>142512.29</v>
      </c>
      <c r="K11" t="n">
        <v>4372.76</v>
      </c>
      <c r="L11" t="n">
        <v>11261.85</v>
      </c>
      <c r="M11" t="n">
        <v>1202.38</v>
      </c>
      <c r="N11" t="n">
        <v>5774.6</v>
      </c>
      <c r="O11" t="n">
        <v>19995.66</v>
      </c>
      <c r="P11" t="n">
        <v>439752</v>
      </c>
    </row>
    <row r="12">
      <c r="A12" t="inlineStr">
        <is>
          <t>2019</t>
        </is>
      </c>
      <c r="B12" s="1" t="n">
        <v>43830</v>
      </c>
      <c r="C12" t="n">
        <v>2849.7</v>
      </c>
      <c r="D12" t="n">
        <v>9393.5</v>
      </c>
      <c r="E12" t="n">
        <v>3505.85</v>
      </c>
      <c r="F12" t="n">
        <v>28958</v>
      </c>
      <c r="G12" t="n">
        <v>2424.11</v>
      </c>
      <c r="H12" t="n">
        <v>3059.63</v>
      </c>
      <c r="I12" t="n">
        <v>29172.14</v>
      </c>
      <c r="J12" t="n">
        <v>149855.13</v>
      </c>
      <c r="K12" t="n">
        <v>4478.45</v>
      </c>
      <c r="L12" t="n">
        <v>13378.48</v>
      </c>
      <c r="M12" t="n">
        <v>1529.22</v>
      </c>
      <c r="N12" t="n">
        <v>5082.4</v>
      </c>
      <c r="O12" t="n">
        <v>20775.42</v>
      </c>
      <c r="P12" t="n">
        <v>487644</v>
      </c>
    </row>
    <row r="13">
      <c r="A13" t="inlineStr">
        <is>
          <t>2020</t>
        </is>
      </c>
      <c r="B13" s="1" t="n">
        <v>44196</v>
      </c>
      <c r="C13" t="n">
        <v>2615.5</v>
      </c>
      <c r="D13" t="n">
        <v>7468.5</v>
      </c>
      <c r="E13" t="n">
        <v>3910.75</v>
      </c>
      <c r="F13" t="n">
        <v>35638</v>
      </c>
      <c r="G13" t="n">
        <v>2808.11</v>
      </c>
      <c r="H13" t="n">
        <v>3783.54</v>
      </c>
      <c r="I13" t="n">
        <v>34903.99</v>
      </c>
      <c r="J13" t="n">
        <v>166121.4</v>
      </c>
      <c r="K13" t="n">
        <v>5273.58</v>
      </c>
      <c r="L13" t="n">
        <v>13491.66</v>
      </c>
      <c r="M13" t="n">
        <v>2135.02</v>
      </c>
      <c r="N13" t="n">
        <v>4832.4</v>
      </c>
      <c r="O13" t="n">
        <v>23258.55</v>
      </c>
      <c r="P13" t="n">
        <v>579719</v>
      </c>
    </row>
    <row r="14">
      <c r="A14" t="inlineStr">
        <is>
          <t>2021</t>
        </is>
      </c>
      <c r="B14" s="1" t="n">
        <v>44561</v>
      </c>
      <c r="C14" t="n">
        <v>3229.9</v>
      </c>
      <c r="D14" t="n">
        <v>8425</v>
      </c>
      <c r="E14" t="n">
        <v>4272.55</v>
      </c>
      <c r="F14" t="n">
        <v>34378</v>
      </c>
      <c r="G14" t="n">
        <v>2977.56</v>
      </c>
      <c r="H14" t="n">
        <v>3901.88</v>
      </c>
      <c r="I14" t="n">
        <v>35139.18</v>
      </c>
      <c r="J14" t="n">
        <v>173613.03</v>
      </c>
      <c r="K14" t="n">
        <v>5486.97</v>
      </c>
      <c r="L14" t="n">
        <v>16454.51</v>
      </c>
      <c r="M14" t="n">
        <v>1982.13</v>
      </c>
      <c r="N14" t="n">
        <v>5576.8</v>
      </c>
      <c r="O14" t="n">
        <v>28311.94</v>
      </c>
      <c r="P14" t="n">
        <v>674162</v>
      </c>
    </row>
    <row r="15">
      <c r="A15" t="inlineStr">
        <is>
          <t>2022</t>
        </is>
      </c>
      <c r="B15" s="1" t="n">
        <v>44926</v>
      </c>
      <c r="C15" t="n">
        <v>4111.8</v>
      </c>
      <c r="D15" t="n">
        <v>7929.5</v>
      </c>
      <c r="E15" t="n">
        <v>4901.53</v>
      </c>
      <c r="F15" t="n">
        <v>35076</v>
      </c>
      <c r="G15" t="n">
        <v>2798.09</v>
      </c>
      <c r="H15" t="n">
        <v>4474.17</v>
      </c>
      <c r="I15" t="n">
        <v>35767.5</v>
      </c>
      <c r="J15" t="n">
        <v>139982.33</v>
      </c>
      <c r="K15" t="n">
        <v>4476.04</v>
      </c>
      <c r="L15" t="n">
        <v>19415.65</v>
      </c>
      <c r="M15" t="n">
        <v>2042.13</v>
      </c>
      <c r="N15" t="n">
        <v>5385.8</v>
      </c>
      <c r="O15" t="n">
        <v>29733.46</v>
      </c>
      <c r="P15" t="n">
        <v>733758</v>
      </c>
    </row>
    <row r="16">
      <c r="A16" t="inlineStr">
        <is>
          <t>2023</t>
        </is>
      </c>
      <c r="B16" s="1" t="n">
        <v>45291</v>
      </c>
      <c r="C16" t="n">
        <v>3607.6</v>
      </c>
      <c r="D16" t="n">
        <v>8127.4</v>
      </c>
      <c r="E16" t="n">
        <v>5009.6</v>
      </c>
      <c r="F16" t="n">
        <v>35944</v>
      </c>
      <c r="G16" t="n">
        <v>3236.48</v>
      </c>
      <c r="H16" t="n">
        <v>5453.14</v>
      </c>
      <c r="I16" t="n">
        <v>34564.65</v>
      </c>
      <c r="J16" t="n">
        <v>148378.86</v>
      </c>
      <c r="K16" t="n">
        <v>4963.52</v>
      </c>
      <c r="L16" t="n">
        <v>24909.1</v>
      </c>
      <c r="M16" t="n">
        <v>1574.6</v>
      </c>
      <c r="N16" t="n">
        <v>6197.5</v>
      </c>
      <c r="P16" t="n">
        <v>762651</v>
      </c>
    </row>
    <row r="17">
      <c r="A17" t="inlineStr">
        <is>
          <t>2024</t>
        </is>
      </c>
      <c r="B17" s="1" t="n">
        <v>45657</v>
      </c>
      <c r="C17" t="n">
        <v>3685.3</v>
      </c>
      <c r="D17" t="n">
        <v>8922.6</v>
      </c>
      <c r="E17" t="n">
        <v>4448.55</v>
      </c>
      <c r="F17" t="n">
        <v>45823</v>
      </c>
      <c r="G17" t="n">
        <v>5088.08</v>
      </c>
      <c r="H17" t="n">
        <v>5483.57</v>
      </c>
      <c r="I17" t="n">
        <v>41181.64</v>
      </c>
      <c r="J17" t="n">
        <v>146285.64</v>
      </c>
      <c r="K17" t="n">
        <v>5121.67</v>
      </c>
      <c r="L17" t="n">
        <v>29294.57</v>
      </c>
      <c r="M17" t="n">
        <v>1742.94</v>
      </c>
      <c r="N17" t="n">
        <v>7404.1</v>
      </c>
      <c r="P17" t="n">
        <v>915250</v>
      </c>
    </row>
    <row r="18">
      <c r="A18" t="inlineStr">
        <is>
          <t>2025</t>
        </is>
      </c>
      <c r="B18" s="1" t="n">
        <v>46022</v>
      </c>
      <c r="C18" t="n">
        <v>5086.3</v>
      </c>
      <c r="D18" t="n">
        <v>14425.9</v>
      </c>
      <c r="E18" t="n">
        <v>6158.7</v>
      </c>
      <c r="F18" t="n">
        <v>65727</v>
      </c>
      <c r="H18" t="n">
        <v>5999.34</v>
      </c>
      <c r="I18" t="n">
        <v>66311.75</v>
      </c>
      <c r="J18" t="n">
        <v>175830.49</v>
      </c>
      <c r="K18" t="n">
        <v>6076.9</v>
      </c>
      <c r="N18" t="n">
        <v>7082.7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Gold, Fixing Committee of the London Bullion Market Association, London 3 PM fixed price, US$ per troy ounce</t>
        </is>
      </c>
      <c r="C1" t="inlineStr">
        <is>
          <t>Monthly log return</t>
        </is>
      </c>
      <c r="D1" t="inlineStr">
        <is>
          <t>3-month volatility</t>
        </is>
      </c>
      <c r="E1" t="inlineStr">
        <is>
          <t>12-month volatility</t>
        </is>
      </c>
    </row>
    <row r="2">
      <c r="A2" t="inlineStr">
        <is>
          <t>1990M1</t>
        </is>
      </c>
      <c r="B2" t="n">
        <v>409.819061279297</v>
      </c>
    </row>
    <row r="3">
      <c r="A3" t="inlineStr">
        <is>
          <t>1990M2</t>
        </is>
      </c>
      <c r="B3" t="n">
        <v>417.181060791016</v>
      </c>
      <c r="C3">
        <f>LN(B3/B2)*100</f>
        <v/>
      </c>
    </row>
    <row r="4">
      <c r="A4" t="inlineStr">
        <is>
          <t>1990M3</t>
        </is>
      </c>
      <c r="B4" t="n">
        <v>392.703338623047</v>
      </c>
      <c r="C4">
        <f>LN(B4/B3)*100</f>
        <v/>
      </c>
    </row>
    <row r="5">
      <c r="A5" t="inlineStr">
        <is>
          <t>1990M4</t>
        </is>
      </c>
      <c r="B5" t="n">
        <v>374.292114257813</v>
      </c>
      <c r="C5">
        <f>LN(B5/B4)*100</f>
        <v/>
      </c>
      <c r="D5">
        <f>STDEV(C3:C5)*SQRT(4)*100</f>
        <v/>
      </c>
    </row>
    <row r="6">
      <c r="A6" t="inlineStr">
        <is>
          <t>1990M5</t>
        </is>
      </c>
      <c r="B6" t="n">
        <v>369.197631835938</v>
      </c>
      <c r="C6">
        <f>LN(B6/B5)*100</f>
        <v/>
      </c>
      <c r="D6">
        <f>STDEV(C4:C6)*SQRT(4)*100</f>
        <v/>
      </c>
    </row>
    <row r="7">
      <c r="A7" t="inlineStr">
        <is>
          <t>1990M6</t>
        </is>
      </c>
      <c r="B7" t="n">
        <v>352.527618408203</v>
      </c>
      <c r="C7">
        <f>LN(B7/B6)*100</f>
        <v/>
      </c>
      <c r="D7">
        <f>STDEV(C5:C7)*SQRT(4)*100</f>
        <v/>
      </c>
    </row>
    <row r="8">
      <c r="A8" t="inlineStr">
        <is>
          <t>1990M7</t>
        </is>
      </c>
      <c r="B8" t="n">
        <v>362.498565673828</v>
      </c>
      <c r="C8">
        <f>LN(B8/B7)*100</f>
        <v/>
      </c>
      <c r="D8">
        <f>STDEV(C6:C8)*SQRT(4)*100</f>
        <v/>
      </c>
    </row>
    <row r="9">
      <c r="A9" t="inlineStr">
        <is>
          <t>1990M8</t>
        </is>
      </c>
      <c r="B9" t="n">
        <v>394.631805419922</v>
      </c>
      <c r="C9">
        <f>LN(B9/B8)*100</f>
        <v/>
      </c>
      <c r="D9">
        <f>STDEV(C7:C9)*SQRT(4)*100</f>
        <v/>
      </c>
    </row>
    <row r="10">
      <c r="A10" t="inlineStr">
        <is>
          <t>1990M9</t>
        </is>
      </c>
      <c r="B10" t="n">
        <v>389.755004882813</v>
      </c>
      <c r="C10">
        <f>LN(B10/B9)*100</f>
        <v/>
      </c>
      <c r="D10">
        <f>STDEV(C8:C10)*SQRT(4)*100</f>
        <v/>
      </c>
    </row>
    <row r="11">
      <c r="A11" t="inlineStr">
        <is>
          <t>1990M10</t>
        </is>
      </c>
      <c r="B11" t="n">
        <v>380.995208740234</v>
      </c>
      <c r="C11">
        <f>LN(B11/B10)*100</f>
        <v/>
      </c>
      <c r="D11">
        <f>STDEV(C9:C11)*SQRT(4)*100</f>
        <v/>
      </c>
    </row>
    <row r="12">
      <c r="A12" t="inlineStr">
        <is>
          <t>1990M11</t>
        </is>
      </c>
      <c r="B12" t="n">
        <v>381.794097900391</v>
      </c>
      <c r="C12">
        <f>LN(B12/B11)*100</f>
        <v/>
      </c>
      <c r="D12">
        <f>STDEV(C10:C12)*SQRT(4)*100</f>
        <v/>
      </c>
    </row>
    <row r="13">
      <c r="A13" t="inlineStr">
        <is>
          <t>1990M12</t>
        </is>
      </c>
      <c r="B13" t="n">
        <v>376.682342529297</v>
      </c>
      <c r="C13">
        <f>LN(B13/B12)*100</f>
        <v/>
      </c>
      <c r="D13">
        <f>STDEV(C11:C13)*SQRT(4)*100</f>
        <v/>
      </c>
      <c r="E13">
        <f>STDEV(C2:C13)*100</f>
        <v/>
      </c>
    </row>
    <row r="14">
      <c r="A14" t="inlineStr">
        <is>
          <t>1991M1</t>
        </is>
      </c>
      <c r="B14" t="n">
        <v>383.702270507813</v>
      </c>
      <c r="C14">
        <f>LN(B14/B13)*100</f>
        <v/>
      </c>
      <c r="D14">
        <f>STDEV(C12:C14)*SQRT(4)*100</f>
        <v/>
      </c>
      <c r="E14">
        <f>STDEV(C3:C14)*100</f>
        <v/>
      </c>
    </row>
    <row r="15">
      <c r="A15" t="inlineStr">
        <is>
          <t>1991M2</t>
        </is>
      </c>
      <c r="B15" t="n">
        <v>364.391662597656</v>
      </c>
      <c r="C15">
        <f>LN(B15/B14)*100</f>
        <v/>
      </c>
      <c r="D15">
        <f>STDEV(C13:C15)*SQRT(4)*100</f>
        <v/>
      </c>
      <c r="E15">
        <f>STDEV(C4:C15)*100</f>
        <v/>
      </c>
    </row>
    <row r="16">
      <c r="A16" t="inlineStr">
        <is>
          <t>1991M3</t>
        </is>
      </c>
      <c r="B16" t="n">
        <v>362.760803222656</v>
      </c>
      <c r="C16">
        <f>LN(B16/B15)*100</f>
        <v/>
      </c>
      <c r="D16">
        <f>STDEV(C14:C16)*SQRT(4)*100</f>
        <v/>
      </c>
      <c r="E16">
        <f>STDEV(C5:C16)*100</f>
        <v/>
      </c>
    </row>
    <row r="17">
      <c r="A17" t="inlineStr">
        <is>
          <t>1991M4</t>
        </is>
      </c>
      <c r="B17" t="n">
        <v>358.323333740234</v>
      </c>
      <c r="C17">
        <f>LN(B17/B16)*100</f>
        <v/>
      </c>
      <c r="D17">
        <f>STDEV(C15:C17)*SQRT(4)*100</f>
        <v/>
      </c>
      <c r="E17">
        <f>STDEV(C6:C17)*100</f>
        <v/>
      </c>
    </row>
    <row r="18">
      <c r="A18" t="inlineStr">
        <is>
          <t>1991M5</t>
        </is>
      </c>
      <c r="B18" t="n">
        <v>356.964294433594</v>
      </c>
      <c r="C18">
        <f>LN(B18/B17)*100</f>
        <v/>
      </c>
      <c r="D18">
        <f>STDEV(C16:C18)*SQRT(4)*100</f>
        <v/>
      </c>
      <c r="E18">
        <f>STDEV(C7:C18)*100</f>
        <v/>
      </c>
    </row>
    <row r="19">
      <c r="A19" t="inlineStr">
        <is>
          <t>1991M6</t>
        </is>
      </c>
      <c r="B19" t="n">
        <v>366.910003662109</v>
      </c>
      <c r="C19">
        <f>LN(B19/B18)*100</f>
        <v/>
      </c>
      <c r="D19">
        <f>STDEV(C17:C19)*SQRT(4)*100</f>
        <v/>
      </c>
      <c r="E19">
        <f>STDEV(C8:C19)*100</f>
        <v/>
      </c>
    </row>
    <row r="20">
      <c r="A20" t="inlineStr">
        <is>
          <t>1991M7</t>
        </is>
      </c>
      <c r="B20" t="n">
        <v>367.792266845703</v>
      </c>
      <c r="C20">
        <f>LN(B20/B19)*100</f>
        <v/>
      </c>
      <c r="D20">
        <f>STDEV(C18:C20)*SQRT(4)*100</f>
        <v/>
      </c>
      <c r="E20">
        <f>STDEV(C9:C20)*100</f>
        <v/>
      </c>
    </row>
    <row r="21">
      <c r="A21" t="inlineStr">
        <is>
          <t>1991M8</t>
        </is>
      </c>
      <c r="B21" t="n">
        <v>356.669525146484</v>
      </c>
      <c r="C21">
        <f>LN(B21/B20)*100</f>
        <v/>
      </c>
      <c r="D21">
        <f>STDEV(C19:C21)*SQRT(4)*100</f>
        <v/>
      </c>
      <c r="E21">
        <f>STDEV(C10:C21)*100</f>
        <v/>
      </c>
    </row>
    <row r="22">
      <c r="A22" t="inlineStr">
        <is>
          <t>1991M9</t>
        </is>
      </c>
      <c r="B22" t="n">
        <v>348.742858886719</v>
      </c>
      <c r="C22">
        <f>LN(B22/B21)*100</f>
        <v/>
      </c>
      <c r="D22">
        <f>STDEV(C20:C22)*SQRT(4)*100</f>
        <v/>
      </c>
      <c r="E22">
        <f>STDEV(C11:C22)*100</f>
        <v/>
      </c>
    </row>
    <row r="23">
      <c r="A23" t="inlineStr">
        <is>
          <t>1991M10</t>
        </is>
      </c>
      <c r="B23" t="n">
        <v>358.814361572266</v>
      </c>
      <c r="C23">
        <f>LN(B23/B22)*100</f>
        <v/>
      </c>
      <c r="D23">
        <f>STDEV(C21:C23)*SQRT(4)*100</f>
        <v/>
      </c>
      <c r="E23">
        <f>STDEV(C12:C23)*100</f>
        <v/>
      </c>
    </row>
    <row r="24">
      <c r="A24" t="inlineStr">
        <is>
          <t>1991M11</t>
        </is>
      </c>
      <c r="B24" t="n">
        <v>359.589996337891</v>
      </c>
      <c r="C24">
        <f>LN(B24/B23)*100</f>
        <v/>
      </c>
      <c r="D24">
        <f>STDEV(C22:C24)*SQRT(4)*100</f>
        <v/>
      </c>
      <c r="E24">
        <f>STDEV(C13:C24)*100</f>
        <v/>
      </c>
    </row>
    <row r="25">
      <c r="A25" t="inlineStr">
        <is>
          <t>1991M12</t>
        </is>
      </c>
      <c r="B25" t="n">
        <v>361.532012939453</v>
      </c>
      <c r="C25">
        <f>LN(B25/B24)*100</f>
        <v/>
      </c>
      <c r="D25">
        <f>STDEV(C23:C25)*SQRT(4)*100</f>
        <v/>
      </c>
      <c r="E25">
        <f>STDEV(C14:C25)*100</f>
        <v/>
      </c>
    </row>
    <row r="26">
      <c r="A26" t="inlineStr">
        <is>
          <t>1992M1</t>
        </is>
      </c>
      <c r="B26" t="n">
        <v>354.700958251953</v>
      </c>
      <c r="C26">
        <f>LN(B26/B25)*100</f>
        <v/>
      </c>
      <c r="D26">
        <f>STDEV(C24:C26)*SQRT(4)*100</f>
        <v/>
      </c>
      <c r="E26">
        <f>STDEV(C15:C26)*100</f>
        <v/>
      </c>
    </row>
    <row r="27">
      <c r="A27" t="inlineStr">
        <is>
          <t>1992M2</t>
        </is>
      </c>
      <c r="B27" t="n">
        <v>353.779998779297</v>
      </c>
      <c r="C27">
        <f>LN(B27/B26)*100</f>
        <v/>
      </c>
      <c r="D27">
        <f>STDEV(C25:C27)*SQRT(4)*100</f>
        <v/>
      </c>
      <c r="E27">
        <f>STDEV(C16:C27)*100</f>
        <v/>
      </c>
    </row>
    <row r="28">
      <c r="A28" t="inlineStr">
        <is>
          <t>1992M3</t>
        </is>
      </c>
      <c r="B28" t="n">
        <v>344.183319091797</v>
      </c>
      <c r="C28">
        <f>LN(B28/B27)*100</f>
        <v/>
      </c>
      <c r="D28">
        <f>STDEV(C26:C28)*SQRT(4)*100</f>
        <v/>
      </c>
      <c r="E28">
        <f>STDEV(C17:C28)*100</f>
        <v/>
      </c>
    </row>
    <row r="29">
      <c r="A29" t="inlineStr">
        <is>
          <t>1992M4</t>
        </is>
      </c>
      <c r="B29" t="n">
        <v>338.691589355469</v>
      </c>
      <c r="C29">
        <f>LN(B29/B28)*100</f>
        <v/>
      </c>
      <c r="D29">
        <f>STDEV(C27:C29)*SQRT(4)*100</f>
        <v/>
      </c>
      <c r="E29">
        <f>STDEV(C18:C29)*100</f>
        <v/>
      </c>
    </row>
    <row r="30">
      <c r="A30" t="inlineStr">
        <is>
          <t>1992M5</t>
        </is>
      </c>
      <c r="B30" t="n">
        <v>337.098937988281</v>
      </c>
      <c r="C30">
        <f>LN(B30/B29)*100</f>
        <v/>
      </c>
      <c r="D30">
        <f>STDEV(C28:C30)*SQRT(4)*100</f>
        <v/>
      </c>
      <c r="E30">
        <f>STDEV(C19:C30)*100</f>
        <v/>
      </c>
    </row>
    <row r="31">
      <c r="A31" t="inlineStr">
        <is>
          <t>1992M6</t>
        </is>
      </c>
      <c r="B31" t="n">
        <v>341.021911621094</v>
      </c>
      <c r="C31">
        <f>LN(B31/B30)*100</f>
        <v/>
      </c>
      <c r="D31">
        <f>STDEV(C29:C31)*SQRT(4)*100</f>
        <v/>
      </c>
      <c r="E31">
        <f>STDEV(C20:C31)*100</f>
        <v/>
      </c>
    </row>
    <row r="32">
      <c r="A32" t="inlineStr">
        <is>
          <t>1992M7</t>
        </is>
      </c>
      <c r="B32" t="n">
        <v>352.254486083984</v>
      </c>
      <c r="C32">
        <f>LN(B32/B31)*100</f>
        <v/>
      </c>
      <c r="D32">
        <f>STDEV(C30:C32)*SQRT(4)*100</f>
        <v/>
      </c>
      <c r="E32">
        <f>STDEV(C21:C32)*100</f>
        <v/>
      </c>
    </row>
    <row r="33">
      <c r="A33" t="inlineStr">
        <is>
          <t>1992M8</t>
        </is>
      </c>
      <c r="B33" t="n">
        <v>342.892852783203</v>
      </c>
      <c r="C33">
        <f>LN(B33/B32)*100</f>
        <v/>
      </c>
      <c r="D33">
        <f>STDEV(C31:C33)*SQRT(4)*100</f>
        <v/>
      </c>
      <c r="E33">
        <f>STDEV(C22:C33)*100</f>
        <v/>
      </c>
    </row>
    <row r="34">
      <c r="A34" t="inlineStr">
        <is>
          <t>1992M9</t>
        </is>
      </c>
      <c r="B34" t="n">
        <v>345.006500244141</v>
      </c>
      <c r="C34">
        <f>LN(B34/B33)*100</f>
        <v/>
      </c>
      <c r="D34">
        <f>STDEV(C32:C34)*SQRT(4)*100</f>
        <v/>
      </c>
      <c r="E34">
        <f>STDEV(C23:C34)*100</f>
        <v/>
      </c>
    </row>
    <row r="35">
      <c r="A35" t="inlineStr">
        <is>
          <t>1992M10</t>
        </is>
      </c>
      <c r="B35" t="n">
        <v>344.892395019531</v>
      </c>
      <c r="C35">
        <f>LN(B35/B34)*100</f>
        <v/>
      </c>
      <c r="D35">
        <f>STDEV(C33:C35)*SQRT(4)*100</f>
        <v/>
      </c>
      <c r="E35">
        <f>STDEV(C24:C35)*100</f>
        <v/>
      </c>
    </row>
    <row r="36">
      <c r="A36" t="inlineStr">
        <is>
          <t>1992M11</t>
        </is>
      </c>
      <c r="B36" t="n">
        <v>335.050537109375</v>
      </c>
      <c r="C36">
        <f>LN(B36/B35)*100</f>
        <v/>
      </c>
      <c r="D36">
        <f>STDEV(C34:C36)*SQRT(4)*100</f>
        <v/>
      </c>
      <c r="E36">
        <f>STDEV(C25:C36)*100</f>
        <v/>
      </c>
    </row>
    <row r="37">
      <c r="A37" t="inlineStr">
        <is>
          <t>1992M12</t>
        </is>
      </c>
      <c r="B37" t="n">
        <v>334.80712890625</v>
      </c>
      <c r="C37">
        <f>LN(B37/B36)*100</f>
        <v/>
      </c>
      <c r="D37">
        <f>STDEV(C35:C37)*SQRT(4)*100</f>
        <v/>
      </c>
      <c r="E37">
        <f>STDEV(C26:C37)*100</f>
        <v/>
      </c>
    </row>
    <row r="38">
      <c r="A38" t="inlineStr">
        <is>
          <t>1993M1</t>
        </is>
      </c>
      <c r="B38" t="n">
        <v>329.030548095703</v>
      </c>
      <c r="C38">
        <f>LN(B38/B37)*100</f>
        <v/>
      </c>
      <c r="D38">
        <f>STDEV(C36:C38)*SQRT(4)*100</f>
        <v/>
      </c>
      <c r="E38">
        <f>STDEV(C27:C38)*100</f>
        <v/>
      </c>
    </row>
    <row r="39">
      <c r="A39" t="inlineStr">
        <is>
          <t>1993M2</t>
        </is>
      </c>
      <c r="B39" t="n">
        <v>329.299987792969</v>
      </c>
      <c r="C39">
        <f>LN(B39/B38)*100</f>
        <v/>
      </c>
      <c r="D39">
        <f>STDEV(C37:C39)*SQRT(4)*100</f>
        <v/>
      </c>
      <c r="E39">
        <f>STDEV(C28:C39)*100</f>
        <v/>
      </c>
    </row>
    <row r="40">
      <c r="A40" t="inlineStr">
        <is>
          <t>1993M3</t>
        </is>
      </c>
      <c r="B40" t="n">
        <v>330.096954345703</v>
      </c>
      <c r="C40">
        <f>LN(B40/B39)*100</f>
        <v/>
      </c>
      <c r="D40">
        <f>STDEV(C38:C40)*SQRT(4)*100</f>
        <v/>
      </c>
      <c r="E40">
        <f>STDEV(C29:C40)*100</f>
        <v/>
      </c>
    </row>
    <row r="41">
      <c r="A41" t="inlineStr">
        <is>
          <t>1993M4</t>
        </is>
      </c>
      <c r="B41" t="n">
        <v>342.05712890625</v>
      </c>
      <c r="C41">
        <f>LN(B41/B40)*100</f>
        <v/>
      </c>
      <c r="D41">
        <f>STDEV(C39:C41)*SQRT(4)*100</f>
        <v/>
      </c>
      <c r="E41">
        <f>STDEV(C30:C41)*100</f>
        <v/>
      </c>
    </row>
    <row r="42">
      <c r="A42" t="inlineStr">
        <is>
          <t>1993M5</t>
        </is>
      </c>
      <c r="B42" t="n">
        <v>366.667999267578</v>
      </c>
      <c r="C42">
        <f>LN(B42/B41)*100</f>
        <v/>
      </c>
      <c r="D42">
        <f>STDEV(C40:C42)*SQRT(4)*100</f>
        <v/>
      </c>
      <c r="E42">
        <f>STDEV(C31:C42)*100</f>
        <v/>
      </c>
    </row>
    <row r="43">
      <c r="A43" t="inlineStr">
        <is>
          <t>1993M6</t>
        </is>
      </c>
      <c r="B43" t="n">
        <v>371.809997558594</v>
      </c>
      <c r="C43">
        <f>LN(B43/B42)*100</f>
        <v/>
      </c>
      <c r="D43">
        <f>STDEV(C41:C43)*SQRT(4)*100</f>
        <v/>
      </c>
      <c r="E43">
        <f>STDEV(C32:C43)*100</f>
        <v/>
      </c>
    </row>
    <row r="44">
      <c r="A44" t="inlineStr">
        <is>
          <t>1993M7</t>
        </is>
      </c>
      <c r="B44" t="n">
        <v>392.399993896484</v>
      </c>
      <c r="C44">
        <f>LN(B44/B43)*100</f>
        <v/>
      </c>
      <c r="D44">
        <f>STDEV(C42:C44)*SQRT(4)*100</f>
        <v/>
      </c>
      <c r="E44">
        <f>STDEV(C33:C44)*100</f>
        <v/>
      </c>
    </row>
    <row r="45">
      <c r="A45" t="inlineStr">
        <is>
          <t>1993M8</t>
        </is>
      </c>
      <c r="B45" t="n">
        <v>378.700012207031</v>
      </c>
      <c r="C45">
        <f>LN(B45/B44)*100</f>
        <v/>
      </c>
      <c r="D45">
        <f>STDEV(C43:C45)*SQRT(4)*100</f>
        <v/>
      </c>
      <c r="E45">
        <f>STDEV(C34:C45)*100</f>
        <v/>
      </c>
    </row>
    <row r="46">
      <c r="A46" t="inlineStr">
        <is>
          <t>1993M9</t>
        </is>
      </c>
      <c r="B46" t="n">
        <v>354.399993896484</v>
      </c>
      <c r="C46">
        <f>LN(B46/B45)*100</f>
        <v/>
      </c>
      <c r="D46">
        <f>STDEV(C44:C46)*SQRT(4)*100</f>
        <v/>
      </c>
      <c r="E46">
        <f>STDEV(C35:C46)*100</f>
        <v/>
      </c>
    </row>
    <row r="47">
      <c r="A47" t="inlineStr">
        <is>
          <t>1993M10</t>
        </is>
      </c>
      <c r="B47" t="n">
        <v>362.380004882813</v>
      </c>
      <c r="C47">
        <f>LN(B47/B46)*100</f>
        <v/>
      </c>
      <c r="D47">
        <f>STDEV(C45:C47)*SQRT(4)*100</f>
        <v/>
      </c>
      <c r="E47">
        <f>STDEV(C36:C47)*100</f>
        <v/>
      </c>
    </row>
    <row r="48">
      <c r="A48" t="inlineStr">
        <is>
          <t>1993M11</t>
        </is>
      </c>
      <c r="B48" t="n">
        <v>374.167510986328</v>
      </c>
      <c r="C48">
        <f>LN(B48/B47)*100</f>
        <v/>
      </c>
      <c r="D48">
        <f>STDEV(C46:C48)*SQRT(4)*100</f>
        <v/>
      </c>
      <c r="E48">
        <f>STDEV(C37:C48)*100</f>
        <v/>
      </c>
    </row>
    <row r="49">
      <c r="A49" t="inlineStr">
        <is>
          <t>1993M12</t>
        </is>
      </c>
      <c r="B49" t="n">
        <v>383.302001953125</v>
      </c>
      <c r="C49">
        <f>LN(B49/B48)*100</f>
        <v/>
      </c>
      <c r="D49">
        <f>STDEV(C47:C49)*SQRT(4)*100</f>
        <v/>
      </c>
      <c r="E49">
        <f>STDEV(C38:C49)*100</f>
        <v/>
      </c>
    </row>
    <row r="50">
      <c r="A50" t="inlineStr">
        <is>
          <t>1994M1</t>
        </is>
      </c>
      <c r="B50" t="n">
        <v>387.077514648438</v>
      </c>
      <c r="C50">
        <f>LN(B50/B49)*100</f>
        <v/>
      </c>
      <c r="D50">
        <f>STDEV(C48:C50)*SQRT(4)*100</f>
        <v/>
      </c>
      <c r="E50">
        <f>STDEV(C39:C50)*100</f>
        <v/>
      </c>
    </row>
    <row r="51">
      <c r="A51" t="inlineStr">
        <is>
          <t>1994M2</t>
        </is>
      </c>
      <c r="B51" t="n">
        <v>382.304992675781</v>
      </c>
      <c r="C51">
        <f>LN(B51/B50)*100</f>
        <v/>
      </c>
      <c r="D51">
        <f>STDEV(C49:C51)*SQRT(4)*100</f>
        <v/>
      </c>
      <c r="E51">
        <f>STDEV(C40:C51)*100</f>
        <v/>
      </c>
    </row>
    <row r="52">
      <c r="A52" t="inlineStr">
        <is>
          <t>1994M3</t>
        </is>
      </c>
      <c r="B52" t="n">
        <v>383.877502441406</v>
      </c>
      <c r="C52">
        <f>LN(B52/B51)*100</f>
        <v/>
      </c>
      <c r="D52">
        <f>STDEV(C50:C52)*SQRT(4)*100</f>
        <v/>
      </c>
      <c r="E52">
        <f>STDEV(C41:C52)*100</f>
        <v/>
      </c>
    </row>
    <row r="53">
      <c r="A53" t="inlineStr">
        <is>
          <t>1994M4</t>
        </is>
      </c>
      <c r="B53" t="n">
        <v>377.321044921875</v>
      </c>
      <c r="C53">
        <f>LN(B53/B52)*100</f>
        <v/>
      </c>
      <c r="D53">
        <f>STDEV(C51:C53)*SQRT(4)*100</f>
        <v/>
      </c>
      <c r="E53">
        <f>STDEV(C42:C53)*100</f>
        <v/>
      </c>
    </row>
    <row r="54">
      <c r="A54" t="inlineStr">
        <is>
          <t>1994M5</t>
        </is>
      </c>
      <c r="B54" t="n">
        <v>381.589996337891</v>
      </c>
      <c r="C54">
        <f>LN(B54/B53)*100</f>
        <v/>
      </c>
      <c r="D54">
        <f>STDEV(C52:C54)*SQRT(4)*100</f>
        <v/>
      </c>
      <c r="E54">
        <f>STDEV(C43:C54)*100</f>
        <v/>
      </c>
    </row>
    <row r="55">
      <c r="A55" t="inlineStr">
        <is>
          <t>1994M6</t>
        </is>
      </c>
      <c r="B55" t="n">
        <v>385.743194580078</v>
      </c>
      <c r="C55">
        <f>LN(B55/B54)*100</f>
        <v/>
      </c>
      <c r="D55">
        <f>STDEV(C53:C55)*SQRT(4)*100</f>
        <v/>
      </c>
      <c r="E55">
        <f>STDEV(C44:C55)*100</f>
        <v/>
      </c>
    </row>
    <row r="56">
      <c r="A56" t="inlineStr">
        <is>
          <t>1994M7</t>
        </is>
      </c>
      <c r="B56" t="n">
        <v>385.399993896484</v>
      </c>
      <c r="C56">
        <f>LN(B56/B55)*100</f>
        <v/>
      </c>
      <c r="D56">
        <f>STDEV(C54:C56)*SQRT(4)*100</f>
        <v/>
      </c>
      <c r="E56">
        <f>STDEV(C45:C56)*100</f>
        <v/>
      </c>
    </row>
    <row r="57">
      <c r="A57" t="inlineStr">
        <is>
          <t>1994M8</t>
        </is>
      </c>
      <c r="B57" t="n">
        <v>380.761352539063</v>
      </c>
      <c r="C57">
        <f>LN(B57/B56)*100</f>
        <v/>
      </c>
      <c r="D57">
        <f>STDEV(C55:C57)*SQRT(4)*100</f>
        <v/>
      </c>
      <c r="E57">
        <f>STDEV(C46:C57)*100</f>
        <v/>
      </c>
    </row>
    <row r="58">
      <c r="A58" t="inlineStr">
        <is>
          <t>1994M9</t>
        </is>
      </c>
      <c r="B58" t="n">
        <v>391.928100585938</v>
      </c>
      <c r="C58">
        <f>LN(B58/B57)*100</f>
        <v/>
      </c>
      <c r="D58">
        <f>STDEV(C56:C58)*SQRT(4)*100</f>
        <v/>
      </c>
      <c r="E58">
        <f>STDEV(C47:C58)*100</f>
        <v/>
      </c>
    </row>
    <row r="59">
      <c r="A59" t="inlineStr">
        <is>
          <t>1994M10</t>
        </is>
      </c>
      <c r="B59" t="n">
        <v>389.594451904297</v>
      </c>
      <c r="C59">
        <f>LN(B59/B58)*100</f>
        <v/>
      </c>
      <c r="D59">
        <f>STDEV(C57:C59)*SQRT(4)*100</f>
        <v/>
      </c>
      <c r="E59">
        <f>STDEV(C48:C59)*100</f>
        <v/>
      </c>
    </row>
    <row r="60">
      <c r="A60" t="inlineStr">
        <is>
          <t>1994M11</t>
        </is>
      </c>
      <c r="B60" t="n">
        <v>384.441253662109</v>
      </c>
      <c r="C60">
        <f>LN(B60/B59)*100</f>
        <v/>
      </c>
      <c r="D60">
        <f>STDEV(C58:C60)*SQRT(4)*100</f>
        <v/>
      </c>
      <c r="E60">
        <f>STDEV(C49:C60)*100</f>
        <v/>
      </c>
    </row>
    <row r="61">
      <c r="A61" t="inlineStr">
        <is>
          <t>1994M12</t>
        </is>
      </c>
      <c r="B61" t="n">
        <v>379.399993896484</v>
      </c>
      <c r="C61">
        <f>LN(B61/B60)*100</f>
        <v/>
      </c>
      <c r="D61">
        <f>STDEV(C59:C61)*SQRT(4)*100</f>
        <v/>
      </c>
      <c r="E61">
        <f>STDEV(C50:C61)*100</f>
        <v/>
      </c>
    </row>
    <row r="62">
      <c r="A62" t="inlineStr">
        <is>
          <t>1995M1</t>
        </is>
      </c>
      <c r="B62" t="n">
        <v>378.549987792969</v>
      </c>
      <c r="C62">
        <f>LN(B62/B61)*100</f>
        <v/>
      </c>
      <c r="D62">
        <f>STDEV(C60:C62)*SQRT(4)*100</f>
        <v/>
      </c>
      <c r="E62">
        <f>STDEV(C51:C62)*100</f>
        <v/>
      </c>
    </row>
    <row r="63">
      <c r="A63" t="inlineStr">
        <is>
          <t>1995M2</t>
        </is>
      </c>
      <c r="B63" t="n">
        <v>376.505249023438</v>
      </c>
      <c r="C63">
        <f>LN(B63/B62)*100</f>
        <v/>
      </c>
      <c r="D63">
        <f>STDEV(C61:C63)*SQRT(4)*100</f>
        <v/>
      </c>
      <c r="E63">
        <f>STDEV(C52:C63)*100</f>
        <v/>
      </c>
    </row>
    <row r="64">
      <c r="A64" t="inlineStr">
        <is>
          <t>1995M3</t>
        </is>
      </c>
      <c r="B64" t="n">
        <v>381.661895751953</v>
      </c>
      <c r="C64">
        <f>LN(B64/B63)*100</f>
        <v/>
      </c>
      <c r="D64">
        <f>STDEV(C62:C64)*SQRT(4)*100</f>
        <v/>
      </c>
      <c r="E64">
        <f>STDEV(C53:C64)*100</f>
        <v/>
      </c>
    </row>
    <row r="65">
      <c r="A65" t="inlineStr">
        <is>
          <t>1995M4</t>
        </is>
      </c>
      <c r="B65" t="n">
        <v>391.04443359375</v>
      </c>
      <c r="C65">
        <f>LN(B65/B64)*100</f>
        <v/>
      </c>
      <c r="D65">
        <f>STDEV(C63:C65)*SQRT(4)*100</f>
        <v/>
      </c>
      <c r="E65">
        <f>STDEV(C54:C65)*100</f>
        <v/>
      </c>
    </row>
    <row r="66">
      <c r="A66" t="inlineStr">
        <is>
          <t>1995M5</t>
        </is>
      </c>
      <c r="B66" t="n">
        <v>385.219055175781</v>
      </c>
      <c r="C66">
        <f>LN(B66/B65)*100</f>
        <v/>
      </c>
      <c r="D66">
        <f>STDEV(C64:C66)*SQRT(4)*100</f>
        <v/>
      </c>
      <c r="E66">
        <f>STDEV(C55:C66)*100</f>
        <v/>
      </c>
    </row>
    <row r="67">
      <c r="A67" t="inlineStr">
        <is>
          <t>1995M6</t>
        </is>
      </c>
      <c r="B67" t="n">
        <v>387.490478515625</v>
      </c>
      <c r="C67">
        <f>LN(B67/B66)*100</f>
        <v/>
      </c>
      <c r="D67">
        <f>STDEV(C65:C67)*SQRT(4)*100</f>
        <v/>
      </c>
      <c r="E67">
        <f>STDEV(C56:C67)*100</f>
        <v/>
      </c>
    </row>
    <row r="68">
      <c r="A68" t="inlineStr">
        <is>
          <t>1995M7</t>
        </is>
      </c>
      <c r="B68" t="n">
        <v>386.240478515625</v>
      </c>
      <c r="C68">
        <f>LN(B68/B67)*100</f>
        <v/>
      </c>
      <c r="D68">
        <f>STDEV(C66:C68)*SQRT(4)*100</f>
        <v/>
      </c>
      <c r="E68">
        <f>STDEV(C57:C68)*100</f>
        <v/>
      </c>
    </row>
    <row r="69">
      <c r="A69" t="inlineStr">
        <is>
          <t>1995M8</t>
        </is>
      </c>
      <c r="B69" t="n">
        <v>383.697631835938</v>
      </c>
      <c r="C69">
        <f>LN(B69/B68)*100</f>
        <v/>
      </c>
      <c r="D69">
        <f>STDEV(C67:C69)*SQRT(4)*100</f>
        <v/>
      </c>
      <c r="E69">
        <f>STDEV(C58:C69)*100</f>
        <v/>
      </c>
    </row>
    <row r="70">
      <c r="A70" t="inlineStr">
        <is>
          <t>1995M9</t>
        </is>
      </c>
      <c r="B70" t="n">
        <v>383.217498779297</v>
      </c>
      <c r="C70">
        <f>LN(B70/B69)*100</f>
        <v/>
      </c>
      <c r="D70">
        <f>STDEV(C68:C70)*SQRT(4)*100</f>
        <v/>
      </c>
      <c r="E70">
        <f>STDEV(C59:C70)*100</f>
        <v/>
      </c>
    </row>
    <row r="71">
      <c r="A71" t="inlineStr">
        <is>
          <t>1995M10</t>
        </is>
      </c>
      <c r="B71" t="n">
        <v>383.069030761719</v>
      </c>
      <c r="C71">
        <f>LN(B71/B70)*100</f>
        <v/>
      </c>
      <c r="D71">
        <f>STDEV(C69:C71)*SQRT(4)*100</f>
        <v/>
      </c>
      <c r="E71">
        <f>STDEV(C60:C71)*100</f>
        <v/>
      </c>
    </row>
    <row r="72">
      <c r="A72" t="inlineStr">
        <is>
          <t>1995M11</t>
        </is>
      </c>
      <c r="B72" t="n">
        <v>385.676300048828</v>
      </c>
      <c r="C72">
        <f>LN(B72/B71)*100</f>
        <v/>
      </c>
      <c r="D72">
        <f>STDEV(C70:C72)*SQRT(4)*100</f>
        <v/>
      </c>
      <c r="E72">
        <f>STDEV(C61:C72)*100</f>
        <v/>
      </c>
    </row>
    <row r="73">
      <c r="A73" t="inlineStr">
        <is>
          <t>1995M12</t>
        </is>
      </c>
      <c r="B73" t="n">
        <v>387.557678222656</v>
      </c>
      <c r="C73">
        <f>LN(B73/B72)*100</f>
        <v/>
      </c>
      <c r="D73">
        <f>STDEV(C71:C73)*SQRT(4)*100</f>
        <v/>
      </c>
      <c r="E73">
        <f>STDEV(C62:C73)*100</f>
        <v/>
      </c>
    </row>
    <row r="74">
      <c r="A74" t="inlineStr">
        <is>
          <t>1996M1</t>
        </is>
      </c>
      <c r="B74" t="n">
        <v>400.070587158203</v>
      </c>
      <c r="C74">
        <f>LN(B74/B73)*100</f>
        <v/>
      </c>
      <c r="D74">
        <f>STDEV(C72:C74)*SQRT(4)*100</f>
        <v/>
      </c>
      <c r="E74">
        <f>STDEV(C63:C74)*100</f>
        <v/>
      </c>
    </row>
    <row r="75">
      <c r="A75" t="inlineStr">
        <is>
          <t>1996M2</t>
        </is>
      </c>
      <c r="B75" t="n">
        <v>404.484222412109</v>
      </c>
      <c r="C75">
        <f>LN(B75/B74)*100</f>
        <v/>
      </c>
      <c r="D75">
        <f>STDEV(C73:C75)*SQRT(4)*100</f>
        <v/>
      </c>
      <c r="E75">
        <f>STDEV(C64:C75)*100</f>
        <v/>
      </c>
    </row>
    <row r="76">
      <c r="A76" t="inlineStr">
        <is>
          <t>1996M3</t>
        </is>
      </c>
      <c r="B76" t="n">
        <v>396.326324462891</v>
      </c>
      <c r="C76">
        <f>LN(B76/B75)*100</f>
        <v/>
      </c>
      <c r="D76">
        <f>STDEV(C74:C76)*SQRT(4)*100</f>
        <v/>
      </c>
      <c r="E76">
        <f>STDEV(C65:C76)*100</f>
        <v/>
      </c>
    </row>
    <row r="77">
      <c r="A77" t="inlineStr">
        <is>
          <t>1996M4</t>
        </is>
      </c>
      <c r="B77" t="n">
        <v>393.144989013672</v>
      </c>
      <c r="C77">
        <f>LN(B77/B76)*100</f>
        <v/>
      </c>
      <c r="D77">
        <f>STDEV(C75:C77)*SQRT(4)*100</f>
        <v/>
      </c>
      <c r="E77">
        <f>STDEV(C66:C77)*100</f>
        <v/>
      </c>
    </row>
    <row r="78">
      <c r="A78" t="inlineStr">
        <is>
          <t>1996M5</t>
        </is>
      </c>
      <c r="B78" t="n">
        <v>391.94287109375</v>
      </c>
      <c r="C78">
        <f>LN(B78/B77)*100</f>
        <v/>
      </c>
      <c r="D78">
        <f>STDEV(C76:C78)*SQRT(4)*100</f>
        <v/>
      </c>
      <c r="E78">
        <f>STDEV(C67:C78)*100</f>
        <v/>
      </c>
    </row>
    <row r="79">
      <c r="A79" t="inlineStr">
        <is>
          <t>1996M6</t>
        </is>
      </c>
      <c r="B79" t="n">
        <v>385.272491455078</v>
      </c>
      <c r="C79">
        <f>LN(B79/B78)*100</f>
        <v/>
      </c>
      <c r="D79">
        <f>STDEV(C77:C79)*SQRT(4)*100</f>
        <v/>
      </c>
      <c r="E79">
        <f>STDEV(C68:C79)*100</f>
        <v/>
      </c>
    </row>
    <row r="80">
      <c r="A80" t="inlineStr">
        <is>
          <t>1996M7</t>
        </is>
      </c>
      <c r="B80" t="n">
        <v>383.586364746094</v>
      </c>
      <c r="C80">
        <f>LN(B80/B79)*100</f>
        <v/>
      </c>
      <c r="D80">
        <f>STDEV(C78:C80)*SQRT(4)*100</f>
        <v/>
      </c>
      <c r="E80">
        <f>STDEV(C69:C80)*100</f>
        <v/>
      </c>
    </row>
    <row r="81">
      <c r="A81" t="inlineStr">
        <is>
          <t>1996M8</t>
        </is>
      </c>
      <c r="B81" t="n">
        <v>387.471435546875</v>
      </c>
      <c r="C81">
        <f>LN(B81/B80)*100</f>
        <v/>
      </c>
      <c r="D81">
        <f>STDEV(C79:C81)*SQRT(4)*100</f>
        <v/>
      </c>
      <c r="E81">
        <f>STDEV(C70:C81)*100</f>
        <v/>
      </c>
    </row>
    <row r="82">
      <c r="A82" t="inlineStr">
        <is>
          <t>1996M9</t>
        </is>
      </c>
      <c r="B82" t="n">
        <v>382.964996337891</v>
      </c>
      <c r="C82">
        <f>LN(B82/B81)*100</f>
        <v/>
      </c>
      <c r="D82">
        <f>STDEV(C80:C82)*SQRT(4)*100</f>
        <v/>
      </c>
      <c r="E82">
        <f>STDEV(C71:C82)*100</f>
        <v/>
      </c>
    </row>
    <row r="83">
      <c r="A83" t="inlineStr">
        <is>
          <t>1996M10</t>
        </is>
      </c>
      <c r="B83" t="n">
        <v>381.072723388672</v>
      </c>
      <c r="C83">
        <f>LN(B83/B82)*100</f>
        <v/>
      </c>
      <c r="D83">
        <f>STDEV(C81:C83)*SQRT(4)*100</f>
        <v/>
      </c>
      <c r="E83">
        <f>STDEV(C72:C83)*100</f>
        <v/>
      </c>
    </row>
    <row r="84">
      <c r="A84" t="inlineStr">
        <is>
          <t>1996M11</t>
        </is>
      </c>
      <c r="B84" t="n">
        <v>378.516662597656</v>
      </c>
      <c r="C84">
        <f>LN(B84/B83)*100</f>
        <v/>
      </c>
      <c r="D84">
        <f>STDEV(C82:C84)*SQRT(4)*100</f>
        <v/>
      </c>
      <c r="E84">
        <f>STDEV(C73:C84)*100</f>
        <v/>
      </c>
    </row>
    <row r="85">
      <c r="A85" t="inlineStr">
        <is>
          <t>1996M12</t>
        </is>
      </c>
      <c r="B85" t="n">
        <v>368.977661132813</v>
      </c>
      <c r="C85">
        <f>LN(B85/B84)*100</f>
        <v/>
      </c>
      <c r="D85">
        <f>STDEV(C83:C85)*SQRT(4)*100</f>
        <v/>
      </c>
      <c r="E85">
        <f>STDEV(C74:C85)*100</f>
        <v/>
      </c>
    </row>
    <row r="86">
      <c r="A86" t="inlineStr">
        <is>
          <t>1997M1</t>
        </is>
      </c>
      <c r="B86" t="n">
        <v>355.200012207031</v>
      </c>
      <c r="C86">
        <f>LN(B86/B85)*100</f>
        <v/>
      </c>
      <c r="D86">
        <f>STDEV(C84:C86)*SQRT(4)*100</f>
        <v/>
      </c>
      <c r="E86">
        <f>STDEV(C75:C86)*100</f>
        <v/>
      </c>
    </row>
    <row r="87">
      <c r="A87" t="inlineStr">
        <is>
          <t>1997M2</t>
        </is>
      </c>
      <c r="B87" t="n">
        <v>346.713195800781</v>
      </c>
      <c r="C87">
        <f>LN(B87/B86)*100</f>
        <v/>
      </c>
      <c r="D87">
        <f>STDEV(C85:C87)*SQRT(4)*100</f>
        <v/>
      </c>
      <c r="E87">
        <f>STDEV(C76:C87)*100</f>
        <v/>
      </c>
    </row>
    <row r="88">
      <c r="A88" t="inlineStr">
        <is>
          <t>1997M3</t>
        </is>
      </c>
      <c r="B88" t="n">
        <v>351.805267333984</v>
      </c>
      <c r="C88">
        <f>LN(B88/B87)*100</f>
        <v/>
      </c>
      <c r="D88">
        <f>STDEV(C86:C88)*SQRT(4)*100</f>
        <v/>
      </c>
      <c r="E88">
        <f>STDEV(C77:C88)*100</f>
        <v/>
      </c>
    </row>
    <row r="89">
      <c r="A89" t="inlineStr">
        <is>
          <t>1997M4</t>
        </is>
      </c>
      <c r="B89" t="n">
        <v>344.583343505859</v>
      </c>
      <c r="C89">
        <f>LN(B89/B88)*100</f>
        <v/>
      </c>
      <c r="D89">
        <f>STDEV(C87:C89)*SQRT(4)*100</f>
        <v/>
      </c>
      <c r="E89">
        <f>STDEV(C78:C89)*100</f>
        <v/>
      </c>
    </row>
    <row r="90">
      <c r="A90" t="inlineStr">
        <is>
          <t>1997M5</t>
        </is>
      </c>
      <c r="B90" t="n">
        <v>343.702789306641</v>
      </c>
      <c r="C90">
        <f>LN(B90/B89)*100</f>
        <v/>
      </c>
      <c r="D90">
        <f>STDEV(C88:C90)*SQRT(4)*100</f>
        <v/>
      </c>
      <c r="E90">
        <f>STDEV(C79:C90)*100</f>
        <v/>
      </c>
    </row>
    <row r="91">
      <c r="A91" t="inlineStr">
        <is>
          <t>1997M6</t>
        </is>
      </c>
      <c r="B91" t="n">
        <v>340.476318359375</v>
      </c>
      <c r="C91">
        <f>LN(B91/B90)*100</f>
        <v/>
      </c>
      <c r="D91">
        <f>STDEV(C89:C91)*SQRT(4)*100</f>
        <v/>
      </c>
      <c r="E91">
        <f>STDEV(C80:C91)*100</f>
        <v/>
      </c>
    </row>
    <row r="92">
      <c r="A92" t="inlineStr">
        <is>
          <t>1997M7</t>
        </is>
      </c>
      <c r="B92" t="n">
        <v>324.088623046875</v>
      </c>
      <c r="C92">
        <f>LN(B92/B91)*100</f>
        <v/>
      </c>
      <c r="D92">
        <f>STDEV(C90:C92)*SQRT(4)*100</f>
        <v/>
      </c>
      <c r="E92">
        <f>STDEV(C81:C92)*100</f>
        <v/>
      </c>
    </row>
    <row r="93">
      <c r="A93" t="inlineStr">
        <is>
          <t>1997M8</t>
        </is>
      </c>
      <c r="B93" t="n">
        <v>324.049987792969</v>
      </c>
      <c r="C93">
        <f>LN(B93/B92)*100</f>
        <v/>
      </c>
      <c r="D93">
        <f>STDEV(C91:C93)*SQRT(4)*100</f>
        <v/>
      </c>
      <c r="E93">
        <f>STDEV(C82:C93)*100</f>
        <v/>
      </c>
    </row>
    <row r="94">
      <c r="A94" t="inlineStr">
        <is>
          <t>1997M9</t>
        </is>
      </c>
      <c r="B94" t="n">
        <v>324.476196289063</v>
      </c>
      <c r="C94">
        <f>LN(B94/B93)*100</f>
        <v/>
      </c>
      <c r="D94">
        <f>STDEV(C92:C94)*SQRT(4)*100</f>
        <v/>
      </c>
      <c r="E94">
        <f>STDEV(C83:C94)*100</f>
        <v/>
      </c>
    </row>
    <row r="95">
      <c r="A95" t="inlineStr">
        <is>
          <t>1997M10</t>
        </is>
      </c>
      <c r="B95" t="n">
        <v>323.883331298828</v>
      </c>
      <c r="C95">
        <f>LN(B95/B94)*100</f>
        <v/>
      </c>
      <c r="D95">
        <f>STDEV(C93:C95)*SQRT(4)*100</f>
        <v/>
      </c>
      <c r="E95">
        <f>STDEV(C84:C95)*100</f>
        <v/>
      </c>
    </row>
    <row r="96">
      <c r="A96" t="inlineStr">
        <is>
          <t>1997M11</t>
        </is>
      </c>
      <c r="B96" t="n">
        <v>305.346160888672</v>
      </c>
      <c r="C96">
        <f>LN(B96/B95)*100</f>
        <v/>
      </c>
      <c r="D96">
        <f>STDEV(C94:C96)*SQRT(4)*100</f>
        <v/>
      </c>
      <c r="E96">
        <f>STDEV(C85:C96)*100</f>
        <v/>
      </c>
    </row>
    <row r="97">
      <c r="A97" t="inlineStr">
        <is>
          <t>1997M12</t>
        </is>
      </c>
      <c r="B97" t="n">
        <v>287.619995117188</v>
      </c>
      <c r="C97">
        <f>LN(B97/B96)*100</f>
        <v/>
      </c>
      <c r="D97">
        <f>STDEV(C95:C97)*SQRT(4)*100</f>
        <v/>
      </c>
      <c r="E97">
        <f>STDEV(C86:C97)*100</f>
        <v/>
      </c>
    </row>
    <row r="98">
      <c r="A98" t="inlineStr">
        <is>
          <t>1998M1</t>
        </is>
      </c>
      <c r="B98" t="n">
        <v>289.5</v>
      </c>
      <c r="C98">
        <f>LN(B98/B97)*100</f>
        <v/>
      </c>
      <c r="D98">
        <f>STDEV(C96:C98)*SQRT(4)*100</f>
        <v/>
      </c>
      <c r="E98">
        <f>STDEV(C87:C98)*100</f>
        <v/>
      </c>
    </row>
    <row r="99">
      <c r="A99" t="inlineStr">
        <is>
          <t>1998M2</t>
        </is>
      </c>
      <c r="B99" t="n">
        <v>297.455261230469</v>
      </c>
      <c r="C99">
        <f>LN(B99/B98)*100</f>
        <v/>
      </c>
      <c r="D99">
        <f>STDEV(C97:C99)*SQRT(4)*100</f>
        <v/>
      </c>
      <c r="E99">
        <f>STDEV(C88:C99)*100</f>
        <v/>
      </c>
    </row>
    <row r="100">
      <c r="A100" t="inlineStr">
        <is>
          <t>1998M3</t>
        </is>
      </c>
      <c r="B100" t="n">
        <v>295.954559326172</v>
      </c>
      <c r="C100">
        <f>LN(B100/B99)*100</f>
        <v/>
      </c>
      <c r="D100">
        <f>STDEV(C98:C100)*SQRT(4)*100</f>
        <v/>
      </c>
      <c r="E100">
        <f>STDEV(C89:C100)*100</f>
        <v/>
      </c>
    </row>
    <row r="101">
      <c r="A101" t="inlineStr">
        <is>
          <t>1998M4</t>
        </is>
      </c>
      <c r="B101" t="n">
        <v>308.285003662109</v>
      </c>
      <c r="C101">
        <f>LN(B101/B100)*100</f>
        <v/>
      </c>
      <c r="D101">
        <f>STDEV(C99:C101)*SQRT(4)*100</f>
        <v/>
      </c>
      <c r="E101">
        <f>STDEV(C90:C101)*100</f>
        <v/>
      </c>
    </row>
    <row r="102">
      <c r="A102" t="inlineStr">
        <is>
          <t>1998M5</t>
        </is>
      </c>
      <c r="B102" t="n">
        <v>298.978942871094</v>
      </c>
      <c r="C102">
        <f>LN(B102/B101)*100</f>
        <v/>
      </c>
      <c r="D102">
        <f>STDEV(C100:C102)*SQRT(4)*100</f>
        <v/>
      </c>
      <c r="E102">
        <f>STDEV(C91:C102)*100</f>
        <v/>
      </c>
    </row>
    <row r="103">
      <c r="A103" t="inlineStr">
        <is>
          <t>1998M6</t>
        </is>
      </c>
      <c r="B103" t="n">
        <v>292.538635253906</v>
      </c>
      <c r="C103">
        <f>LN(B103/B102)*100</f>
        <v/>
      </c>
      <c r="D103">
        <f>STDEV(C101:C103)*SQRT(4)*100</f>
        <v/>
      </c>
      <c r="E103">
        <f>STDEV(C92:C103)*100</f>
        <v/>
      </c>
    </row>
    <row r="104">
      <c r="A104" t="inlineStr">
        <is>
          <t>1998M7</t>
        </is>
      </c>
      <c r="B104" t="n">
        <v>292.752258300781</v>
      </c>
      <c r="C104">
        <f>LN(B104/B103)*100</f>
        <v/>
      </c>
      <c r="D104">
        <f>STDEV(C102:C104)*SQRT(4)*100</f>
        <v/>
      </c>
      <c r="E104">
        <f>STDEV(C93:C104)*100</f>
        <v/>
      </c>
    </row>
    <row r="105">
      <c r="A105" t="inlineStr">
        <is>
          <t>1998M8</t>
        </is>
      </c>
      <c r="B105" t="n">
        <v>284.109985351563</v>
      </c>
      <c r="C105">
        <f>LN(B105/B104)*100</f>
        <v/>
      </c>
      <c r="D105">
        <f>STDEV(C103:C105)*SQRT(4)*100</f>
        <v/>
      </c>
      <c r="E105">
        <f>STDEV(C94:C105)*100</f>
        <v/>
      </c>
    </row>
    <row r="106">
      <c r="A106" t="inlineStr">
        <is>
          <t>1998M9</t>
        </is>
      </c>
      <c r="B106" t="n">
        <v>288.981811523438</v>
      </c>
      <c r="C106">
        <f>LN(B106/B105)*100</f>
        <v/>
      </c>
      <c r="D106">
        <f>STDEV(C104:C106)*SQRT(4)*100</f>
        <v/>
      </c>
      <c r="E106">
        <f>STDEV(C95:C106)*100</f>
        <v/>
      </c>
    </row>
    <row r="107">
      <c r="A107" t="inlineStr">
        <is>
          <t>1998M10</t>
        </is>
      </c>
      <c r="B107" t="n">
        <v>295.714996337891</v>
      </c>
      <c r="C107">
        <f>LN(B107/B106)*100</f>
        <v/>
      </c>
      <c r="D107">
        <f>STDEV(C105:C107)*SQRT(4)*100</f>
        <v/>
      </c>
      <c r="E107">
        <f>STDEV(C96:C107)*100</f>
        <v/>
      </c>
    </row>
    <row r="108">
      <c r="A108" t="inlineStr">
        <is>
          <t>1998M11</t>
        </is>
      </c>
      <c r="B108" t="n">
        <v>293.716674804688</v>
      </c>
      <c r="C108">
        <f>LN(B108/B107)*100</f>
        <v/>
      </c>
      <c r="D108">
        <f>STDEV(C106:C108)*SQRT(4)*100</f>
        <v/>
      </c>
      <c r="E108">
        <f>STDEV(C97:C108)*100</f>
        <v/>
      </c>
    </row>
    <row r="109">
      <c r="A109" t="inlineStr">
        <is>
          <t>1998M12</t>
        </is>
      </c>
      <c r="B109" t="n">
        <v>291.678955078125</v>
      </c>
      <c r="C109">
        <f>LN(B109/B108)*100</f>
        <v/>
      </c>
      <c r="D109">
        <f>STDEV(C107:C109)*SQRT(4)*100</f>
        <v/>
      </c>
      <c r="E109">
        <f>STDEV(C98:C109)*100</f>
        <v/>
      </c>
    </row>
    <row r="110">
      <c r="A110" t="inlineStr">
        <is>
          <t>1999M1</t>
        </is>
      </c>
      <c r="B110" t="n">
        <v>286.9368286</v>
      </c>
      <c r="C110">
        <f>LN(B110/B109)*100</f>
        <v/>
      </c>
      <c r="D110">
        <f>STDEV(C108:C110)*SQRT(4)*100</f>
        <v/>
      </c>
      <c r="E110">
        <f>STDEV(C99:C110)*100</f>
        <v/>
      </c>
    </row>
    <row r="111">
      <c r="A111" t="inlineStr">
        <is>
          <t>1999M2</t>
        </is>
      </c>
      <c r="B111" t="n">
        <v>287.655</v>
      </c>
      <c r="C111">
        <f>LN(B111/B110)*100</f>
        <v/>
      </c>
      <c r="D111">
        <f>STDEV(C109:C111)*SQRT(4)*100</f>
        <v/>
      </c>
      <c r="E111">
        <f>STDEV(C100:C111)*100</f>
        <v/>
      </c>
    </row>
    <row r="112">
      <c r="A112" t="inlineStr">
        <is>
          <t>1999M3</t>
        </is>
      </c>
      <c r="B112" t="n">
        <v>286.2136364</v>
      </c>
      <c r="C112">
        <f>LN(B112/B111)*100</f>
        <v/>
      </c>
      <c r="D112">
        <f>STDEV(C110:C112)*SQRT(4)*100</f>
        <v/>
      </c>
      <c r="E112">
        <f>STDEV(C101:C112)*100</f>
        <v/>
      </c>
    </row>
    <row r="113">
      <c r="A113" t="inlineStr">
        <is>
          <t>1999M4</t>
        </is>
      </c>
      <c r="B113" t="n">
        <v>282.6175</v>
      </c>
      <c r="C113">
        <f>LN(B113/B112)*100</f>
        <v/>
      </c>
      <c r="D113">
        <f>STDEV(C111:C113)*SQRT(4)*100</f>
        <v/>
      </c>
      <c r="E113">
        <f>STDEV(C102:C113)*100</f>
        <v/>
      </c>
    </row>
    <row r="114">
      <c r="A114" t="inlineStr">
        <is>
          <t>1999M5</t>
        </is>
      </c>
      <c r="B114" t="n">
        <v>276.91</v>
      </c>
      <c r="C114">
        <f>LN(B114/B113)*100</f>
        <v/>
      </c>
      <c r="D114">
        <f>STDEV(C112:C114)*SQRT(4)*100</f>
        <v/>
      </c>
      <c r="E114">
        <f>STDEV(C103:C114)*100</f>
        <v/>
      </c>
    </row>
    <row r="115">
      <c r="A115" t="inlineStr">
        <is>
          <t>1999M6</t>
        </is>
      </c>
      <c r="B115" t="n">
        <v>261.3136364</v>
      </c>
      <c r="C115">
        <f>LN(B115/B114)*100</f>
        <v/>
      </c>
      <c r="D115">
        <f>STDEV(C113:C115)*SQRT(4)*100</f>
        <v/>
      </c>
      <c r="E115">
        <f>STDEV(C104:C115)*100</f>
        <v/>
      </c>
    </row>
    <row r="116">
      <c r="A116" t="inlineStr">
        <is>
          <t>1999M7</t>
        </is>
      </c>
      <c r="B116" t="n">
        <v>256.6931818</v>
      </c>
      <c r="C116">
        <f>LN(B116/B115)*100</f>
        <v/>
      </c>
      <c r="D116">
        <f>STDEV(C114:C116)*SQRT(4)*100</f>
        <v/>
      </c>
      <c r="E116">
        <f>STDEV(C105:C116)*100</f>
        <v/>
      </c>
    </row>
    <row r="117">
      <c r="A117" t="inlineStr">
        <is>
          <t>1999M8</t>
        </is>
      </c>
      <c r="B117" t="n">
        <v>256.9052632</v>
      </c>
      <c r="C117">
        <f>LN(B117/B116)*100</f>
        <v/>
      </c>
      <c r="D117">
        <f>STDEV(C115:C117)*SQRT(4)*100</f>
        <v/>
      </c>
      <c r="E117">
        <f>STDEV(C106:C117)*100</f>
        <v/>
      </c>
    </row>
    <row r="118">
      <c r="A118" t="inlineStr">
        <is>
          <t>1999M9</t>
        </is>
      </c>
      <c r="B118" t="n">
        <v>264.3108696</v>
      </c>
      <c r="C118">
        <f>LN(B118/B117)*100</f>
        <v/>
      </c>
      <c r="D118">
        <f>STDEV(C116:C118)*SQRT(4)*100</f>
        <v/>
      </c>
      <c r="E118">
        <f>STDEV(C107:C118)*100</f>
        <v/>
      </c>
    </row>
    <row r="119">
      <c r="A119" t="inlineStr">
        <is>
          <t>1999M10</t>
        </is>
      </c>
      <c r="B119" t="n">
        <v>310.7815789</v>
      </c>
      <c r="C119">
        <f>LN(B119/B118)*100</f>
        <v/>
      </c>
      <c r="D119">
        <f>STDEV(C117:C119)*SQRT(4)*100</f>
        <v/>
      </c>
      <c r="E119">
        <f>STDEV(C108:C119)*100</f>
        <v/>
      </c>
    </row>
    <row r="120">
      <c r="A120" t="inlineStr">
        <is>
          <t>1999M11</t>
        </is>
      </c>
      <c r="B120" t="n">
        <v>293.1840909</v>
      </c>
      <c r="C120">
        <f>LN(B120/B119)*100</f>
        <v/>
      </c>
      <c r="D120">
        <f>STDEV(C118:C120)*SQRT(4)*100</f>
        <v/>
      </c>
      <c r="E120">
        <f>STDEV(C109:C120)*100</f>
        <v/>
      </c>
    </row>
    <row r="121">
      <c r="A121" t="inlineStr">
        <is>
          <t>1999M12</t>
        </is>
      </c>
      <c r="B121" t="n">
        <v>282.9526316</v>
      </c>
      <c r="C121">
        <f>LN(B121/B120)*100</f>
        <v/>
      </c>
      <c r="D121">
        <f>STDEV(C119:C121)*SQRT(4)*100</f>
        <v/>
      </c>
      <c r="E121">
        <f>STDEV(C110:C121)*100</f>
        <v/>
      </c>
    </row>
    <row r="122">
      <c r="A122" t="inlineStr">
        <is>
          <t>2000M1</t>
        </is>
      </c>
      <c r="B122" t="n">
        <v>284.065625</v>
      </c>
      <c r="C122">
        <f>LN(B122/B121)*100</f>
        <v/>
      </c>
      <c r="D122">
        <f>STDEV(C120:C122)*SQRT(4)*100</f>
        <v/>
      </c>
      <c r="E122">
        <f>STDEV(C111:C122)*100</f>
        <v/>
      </c>
    </row>
    <row r="123">
      <c r="A123" t="inlineStr">
        <is>
          <t>2000M2</t>
        </is>
      </c>
      <c r="B123" t="n">
        <v>299.715</v>
      </c>
      <c r="C123">
        <f>LN(B123/B122)*100</f>
        <v/>
      </c>
      <c r="D123">
        <f>STDEV(C121:C123)*SQRT(4)*100</f>
        <v/>
      </c>
      <c r="E123">
        <f>STDEV(C112:C123)*100</f>
        <v/>
      </c>
    </row>
    <row r="124">
      <c r="A124" t="inlineStr">
        <is>
          <t>2000M3</t>
        </is>
      </c>
      <c r="B124" t="n">
        <v>286.924</v>
      </c>
      <c r="C124">
        <f>LN(B124/B123)*100</f>
        <v/>
      </c>
      <c r="D124">
        <f>STDEV(C122:C124)*SQRT(4)*100</f>
        <v/>
      </c>
      <c r="E124">
        <f>STDEV(C113:C124)*100</f>
        <v/>
      </c>
    </row>
    <row r="125">
      <c r="A125" t="inlineStr">
        <is>
          <t>2000M4</t>
        </is>
      </c>
      <c r="B125" t="n">
        <v>279.6526316</v>
      </c>
      <c r="C125">
        <f>LN(B125/B124)*100</f>
        <v/>
      </c>
      <c r="D125">
        <f>STDEV(C123:C125)*SQRT(4)*100</f>
        <v/>
      </c>
      <c r="E125">
        <f>STDEV(C114:C125)*100</f>
        <v/>
      </c>
    </row>
    <row r="126">
      <c r="A126" t="inlineStr">
        <is>
          <t>2000M5</t>
        </is>
      </c>
      <c r="B126" t="n">
        <v>276.7409091</v>
      </c>
      <c r="C126">
        <f>LN(B126/B125)*100</f>
        <v/>
      </c>
      <c r="D126">
        <f>STDEV(C124:C126)*SQRT(4)*100</f>
        <v/>
      </c>
      <c r="E126">
        <f>STDEV(C115:C126)*100</f>
        <v/>
      </c>
    </row>
    <row r="127">
      <c r="A127" t="inlineStr">
        <is>
          <t>2000M6</t>
        </is>
      </c>
      <c r="B127" t="n">
        <v>285.7318182</v>
      </c>
      <c r="C127">
        <f>LN(B127/B126)*100</f>
        <v/>
      </c>
      <c r="D127">
        <f>STDEV(C125:C127)*SQRT(4)*100</f>
        <v/>
      </c>
      <c r="E127">
        <f>STDEV(C116:C127)*100</f>
        <v/>
      </c>
    </row>
    <row r="128">
      <c r="A128" t="inlineStr">
        <is>
          <t>2000M7</t>
        </is>
      </c>
      <c r="B128" t="n">
        <v>281.5857143</v>
      </c>
      <c r="C128">
        <f>LN(B128/B127)*100</f>
        <v/>
      </c>
      <c r="D128">
        <f>STDEV(C126:C128)*SQRT(4)*100</f>
        <v/>
      </c>
      <c r="E128">
        <f>STDEV(C117:C128)*100</f>
        <v/>
      </c>
    </row>
    <row r="129">
      <c r="A129" t="inlineStr">
        <is>
          <t>2000M8</t>
        </is>
      </c>
      <c r="B129" t="n">
        <v>274.425</v>
      </c>
      <c r="C129">
        <f>LN(B129/B128)*100</f>
        <v/>
      </c>
      <c r="D129">
        <f>STDEV(C127:C129)*SQRT(4)*100</f>
        <v/>
      </c>
      <c r="E129">
        <f>STDEV(C118:C129)*100</f>
        <v/>
      </c>
    </row>
    <row r="130">
      <c r="A130" t="inlineStr">
        <is>
          <t>2000M9</t>
        </is>
      </c>
      <c r="B130" t="n">
        <v>273.53</v>
      </c>
      <c r="C130">
        <f>LN(B130/B129)*100</f>
        <v/>
      </c>
      <c r="D130">
        <f>STDEV(C128:C130)*SQRT(4)*100</f>
        <v/>
      </c>
      <c r="E130">
        <f>STDEV(C119:C130)*100</f>
        <v/>
      </c>
    </row>
    <row r="131">
      <c r="A131" t="inlineStr">
        <is>
          <t>2000M10</t>
        </is>
      </c>
      <c r="B131" t="n">
        <v>269.9285714</v>
      </c>
      <c r="C131">
        <f>LN(B131/B130)*100</f>
        <v/>
      </c>
      <c r="D131">
        <f>STDEV(C129:C131)*SQRT(4)*100</f>
        <v/>
      </c>
      <c r="E131">
        <f>STDEV(C120:C131)*100</f>
        <v/>
      </c>
    </row>
    <row r="132">
      <c r="A132" t="inlineStr">
        <is>
          <t>2000M11</t>
        </is>
      </c>
      <c r="B132" t="n">
        <v>266.2973684</v>
      </c>
      <c r="C132">
        <f>LN(B132/B131)*100</f>
        <v/>
      </c>
      <c r="D132">
        <f>STDEV(C130:C132)*SQRT(4)*100</f>
        <v/>
      </c>
      <c r="E132">
        <f>STDEV(C121:C132)*100</f>
        <v/>
      </c>
    </row>
    <row r="133">
      <c r="A133" t="inlineStr">
        <is>
          <t>2000M12</t>
        </is>
      </c>
      <c r="B133" t="n">
        <v>271.45</v>
      </c>
      <c r="C133">
        <f>LN(B133/B132)*100</f>
        <v/>
      </c>
      <c r="D133">
        <f>STDEV(C131:C133)*SQRT(4)*100</f>
        <v/>
      </c>
      <c r="E133">
        <f>STDEV(C122:C133)*100</f>
        <v/>
      </c>
    </row>
    <row r="134">
      <c r="A134" t="inlineStr">
        <is>
          <t>2001M1</t>
        </is>
      </c>
      <c r="B134" t="n">
        <v>265.4863636</v>
      </c>
      <c r="C134">
        <f>LN(B134/B133)*100</f>
        <v/>
      </c>
      <c r="D134">
        <f>STDEV(C132:C134)*SQRT(4)*100</f>
        <v/>
      </c>
      <c r="E134">
        <f>STDEV(C123:C134)*100</f>
        <v/>
      </c>
    </row>
    <row r="135">
      <c r="A135" t="inlineStr">
        <is>
          <t>2001M2</t>
        </is>
      </c>
      <c r="B135" t="n">
        <v>262.0894737</v>
      </c>
      <c r="C135">
        <f>LN(B135/B134)*100</f>
        <v/>
      </c>
      <c r="D135">
        <f>STDEV(C133:C135)*SQRT(4)*100</f>
        <v/>
      </c>
      <c r="E135">
        <f>STDEV(C124:C135)*100</f>
        <v/>
      </c>
    </row>
    <row r="136">
      <c r="A136" t="inlineStr">
        <is>
          <t>2001M3</t>
        </is>
      </c>
      <c r="B136" t="n">
        <v>263.0272727</v>
      </c>
      <c r="C136">
        <f>LN(B136/B135)*100</f>
        <v/>
      </c>
      <c r="D136">
        <f>STDEV(C134:C136)*SQRT(4)*100</f>
        <v/>
      </c>
      <c r="E136">
        <f>STDEV(C125:C136)*100</f>
        <v/>
      </c>
    </row>
    <row r="137">
      <c r="A137" t="inlineStr">
        <is>
          <t>2001M4</t>
        </is>
      </c>
      <c r="B137" t="n">
        <v>260.3305556</v>
      </c>
      <c r="C137">
        <f>LN(B137/B136)*100</f>
        <v/>
      </c>
      <c r="D137">
        <f>STDEV(C135:C137)*SQRT(4)*100</f>
        <v/>
      </c>
      <c r="E137">
        <f>STDEV(C126:C137)*100</f>
        <v/>
      </c>
    </row>
    <row r="138">
      <c r="A138" t="inlineStr">
        <is>
          <t>2001M5</t>
        </is>
      </c>
      <c r="B138" t="n">
        <v>272.0931818</v>
      </c>
      <c r="C138">
        <f>LN(B138/B137)*100</f>
        <v/>
      </c>
      <c r="D138">
        <f>STDEV(C136:C138)*SQRT(4)*100</f>
        <v/>
      </c>
      <c r="E138">
        <f>STDEV(C127:C138)*100</f>
        <v/>
      </c>
    </row>
    <row r="139">
      <c r="A139" t="inlineStr">
        <is>
          <t>2001M6</t>
        </is>
      </c>
      <c r="B139" t="n">
        <v>270.202381</v>
      </c>
      <c r="C139">
        <f>LN(B139/B138)*100</f>
        <v/>
      </c>
      <c r="D139">
        <f>STDEV(C137:C139)*SQRT(4)*100</f>
        <v/>
      </c>
      <c r="E139">
        <f>STDEV(C128:C139)*100</f>
        <v/>
      </c>
    </row>
    <row r="140">
      <c r="A140" t="inlineStr">
        <is>
          <t>2001M7</t>
        </is>
      </c>
      <c r="B140" t="n">
        <v>267.5261905</v>
      </c>
      <c r="C140">
        <f>LN(B140/B139)*100</f>
        <v/>
      </c>
      <c r="D140">
        <f>STDEV(C138:C140)*SQRT(4)*100</f>
        <v/>
      </c>
      <c r="E140">
        <f>STDEV(C129:C140)*100</f>
        <v/>
      </c>
    </row>
    <row r="141">
      <c r="A141" t="inlineStr">
        <is>
          <t>2001M8</t>
        </is>
      </c>
      <c r="B141" t="n">
        <v>272.0921053</v>
      </c>
      <c r="C141">
        <f>LN(B141/B140)*100</f>
        <v/>
      </c>
      <c r="D141">
        <f>STDEV(C139:C141)*SQRT(4)*100</f>
        <v/>
      </c>
      <c r="E141">
        <f>STDEV(C130:C141)*100</f>
        <v/>
      </c>
    </row>
    <row r="142">
      <c r="A142" t="inlineStr">
        <is>
          <t>2001M9</t>
        </is>
      </c>
      <c r="B142" t="n">
        <v>284.4723529</v>
      </c>
      <c r="C142">
        <f>LN(B142/B141)*100</f>
        <v/>
      </c>
      <c r="D142">
        <f>STDEV(C140:C142)*SQRT(4)*100</f>
        <v/>
      </c>
      <c r="E142">
        <f>STDEV(C131:C142)*100</f>
        <v/>
      </c>
    </row>
    <row r="143">
      <c r="A143" t="inlineStr">
        <is>
          <t>2001M10</t>
        </is>
      </c>
      <c r="B143" t="n">
        <v>282.2671429</v>
      </c>
      <c r="C143">
        <f>LN(B143/B142)*100</f>
        <v/>
      </c>
      <c r="D143">
        <f>STDEV(C141:C143)*SQRT(4)*100</f>
        <v/>
      </c>
      <c r="E143">
        <f>STDEV(C132:C143)*100</f>
        <v/>
      </c>
    </row>
    <row r="144">
      <c r="A144" t="inlineStr">
        <is>
          <t>2001M11</t>
        </is>
      </c>
      <c r="B144" t="n">
        <v>277.184375</v>
      </c>
      <c r="C144">
        <f>LN(B144/B143)*100</f>
        <v/>
      </c>
      <c r="D144">
        <f>STDEV(C142:C144)*SQRT(4)*100</f>
        <v/>
      </c>
      <c r="E144">
        <f>STDEV(C133:C144)*100</f>
        <v/>
      </c>
    </row>
    <row r="145">
      <c r="A145" t="inlineStr">
        <is>
          <t>2001M12</t>
        </is>
      </c>
      <c r="B145" t="n">
        <v>275.8357143</v>
      </c>
      <c r="C145">
        <f>LN(B145/B144)*100</f>
        <v/>
      </c>
      <c r="D145">
        <f>STDEV(C143:C145)*SQRT(4)*100</f>
        <v/>
      </c>
      <c r="E145">
        <f>STDEV(C134:C145)*100</f>
        <v/>
      </c>
    </row>
    <row r="146">
      <c r="A146" t="inlineStr">
        <is>
          <t>2002M1</t>
        </is>
      </c>
      <c r="B146" t="n">
        <v>281</v>
      </c>
      <c r="C146">
        <f>LN(B146/B145)*100</f>
        <v/>
      </c>
      <c r="D146">
        <f>STDEV(C144:C146)*SQRT(4)*100</f>
        <v/>
      </c>
      <c r="E146">
        <f>STDEV(C135:C146)*100</f>
        <v/>
      </c>
    </row>
    <row r="147">
      <c r="A147" t="inlineStr">
        <is>
          <t>2002M2</t>
        </is>
      </c>
      <c r="B147" t="n">
        <v>295.2875</v>
      </c>
      <c r="C147">
        <f>LN(B147/B146)*100</f>
        <v/>
      </c>
      <c r="D147">
        <f>STDEV(C145:C147)*SQRT(4)*100</f>
        <v/>
      </c>
      <c r="E147">
        <f>STDEV(C136:C147)*100</f>
        <v/>
      </c>
    </row>
    <row r="148">
      <c r="A148" t="inlineStr">
        <is>
          <t>2002M3</t>
        </is>
      </c>
      <c r="B148" t="n">
        <v>294.0475</v>
      </c>
      <c r="C148">
        <f>LN(B148/B147)*100</f>
        <v/>
      </c>
      <c r="D148">
        <f>STDEV(C146:C148)*SQRT(4)*100</f>
        <v/>
      </c>
      <c r="E148">
        <f>STDEV(C137:C148)*100</f>
        <v/>
      </c>
    </row>
    <row r="149">
      <c r="A149" t="inlineStr">
        <is>
          <t>2002M4</t>
        </is>
      </c>
      <c r="B149" t="n">
        <v>302.6833333</v>
      </c>
      <c r="C149">
        <f>LN(B149/B148)*100</f>
        <v/>
      </c>
      <c r="D149">
        <f>STDEV(C147:C149)*SQRT(4)*100</f>
        <v/>
      </c>
      <c r="E149">
        <f>STDEV(C138:C149)*100</f>
        <v/>
      </c>
    </row>
    <row r="150">
      <c r="A150" t="inlineStr">
        <is>
          <t>2002M5</t>
        </is>
      </c>
      <c r="B150" t="n">
        <v>314.4931818</v>
      </c>
      <c r="C150">
        <f>LN(B150/B149)*100</f>
        <v/>
      </c>
      <c r="D150">
        <f>STDEV(C148:C150)*SQRT(4)*100</f>
        <v/>
      </c>
      <c r="E150">
        <f>STDEV(C139:C150)*100</f>
        <v/>
      </c>
    </row>
    <row r="151">
      <c r="A151" t="inlineStr">
        <is>
          <t>2002M6</t>
        </is>
      </c>
      <c r="B151" t="n">
        <v>321.1777778</v>
      </c>
      <c r="C151">
        <f>LN(B151/B150)*100</f>
        <v/>
      </c>
      <c r="D151">
        <f>STDEV(C149:C151)*SQRT(4)*100</f>
        <v/>
      </c>
      <c r="E151">
        <f>STDEV(C140:C151)*100</f>
        <v/>
      </c>
    </row>
    <row r="152">
      <c r="A152" t="inlineStr">
        <is>
          <t>2002M7</t>
        </is>
      </c>
      <c r="B152" t="n">
        <v>313.2913043</v>
      </c>
      <c r="C152">
        <f>LN(B152/B151)*100</f>
        <v/>
      </c>
      <c r="D152">
        <f>STDEV(C150:C152)*SQRT(4)*100</f>
        <v/>
      </c>
      <c r="E152">
        <f>STDEV(C141:C152)*100</f>
        <v/>
      </c>
    </row>
    <row r="153">
      <c r="A153" t="inlineStr">
        <is>
          <t>2002M8</t>
        </is>
      </c>
      <c r="B153" t="n">
        <v>310.2809524</v>
      </c>
      <c r="C153">
        <f>LN(B153/B152)*100</f>
        <v/>
      </c>
      <c r="D153">
        <f>STDEV(C151:C153)*SQRT(4)*100</f>
        <v/>
      </c>
      <c r="E153">
        <f>STDEV(C142:C153)*100</f>
        <v/>
      </c>
    </row>
    <row r="154">
      <c r="A154" t="inlineStr">
        <is>
          <t>2002M9</t>
        </is>
      </c>
      <c r="B154" t="n">
        <v>319.1357143</v>
      </c>
      <c r="C154">
        <f>LN(B154/B153)*100</f>
        <v/>
      </c>
      <c r="D154">
        <f>STDEV(C152:C154)*SQRT(4)*100</f>
        <v/>
      </c>
      <c r="E154">
        <f>STDEV(C143:C154)*100</f>
        <v/>
      </c>
    </row>
    <row r="155">
      <c r="A155" t="inlineStr">
        <is>
          <t>2002M10</t>
        </is>
      </c>
      <c r="B155" t="n">
        <v>316.5565217</v>
      </c>
      <c r="C155">
        <f>LN(B155/B154)*100</f>
        <v/>
      </c>
      <c r="D155">
        <f>STDEV(C153:C155)*SQRT(4)*100</f>
        <v/>
      </c>
      <c r="E155">
        <f>STDEV(C144:C155)*100</f>
        <v/>
      </c>
    </row>
    <row r="156">
      <c r="A156" t="inlineStr">
        <is>
          <t>2002M11</t>
        </is>
      </c>
      <c r="B156" t="n">
        <v>320.4357143</v>
      </c>
      <c r="C156">
        <f>LN(B156/B155)*100</f>
        <v/>
      </c>
      <c r="D156">
        <f>STDEV(C154:C156)*SQRT(4)*100</f>
        <v/>
      </c>
      <c r="E156">
        <f>STDEV(C145:C156)*100</f>
        <v/>
      </c>
    </row>
    <row r="157">
      <c r="A157" t="inlineStr">
        <is>
          <t>2002M12</t>
        </is>
      </c>
      <c r="B157" t="n">
        <v>332.0361111</v>
      </c>
      <c r="C157">
        <f>LN(B157/B156)*100</f>
        <v/>
      </c>
      <c r="D157">
        <f>STDEV(C155:C157)*SQRT(4)*100</f>
        <v/>
      </c>
      <c r="E157">
        <f>STDEV(C146:C157)*100</f>
        <v/>
      </c>
    </row>
    <row r="158">
      <c r="A158" t="inlineStr">
        <is>
          <t>2003M1</t>
        </is>
      </c>
      <c r="B158" t="n">
        <v>356.8590909090909</v>
      </c>
      <c r="C158">
        <f>LN(B158/B157)*100</f>
        <v/>
      </c>
      <c r="D158">
        <f>STDEV(C156:C158)*SQRT(4)*100</f>
        <v/>
      </c>
      <c r="E158">
        <f>STDEV(C147:C158)*100</f>
        <v/>
      </c>
    </row>
    <row r="159">
      <c r="A159" t="inlineStr">
        <is>
          <t>2003M2</t>
        </is>
      </c>
      <c r="B159" t="n">
        <v>358.97</v>
      </c>
      <c r="C159">
        <f>LN(B159/B158)*100</f>
        <v/>
      </c>
      <c r="D159">
        <f>STDEV(C157:C159)*SQRT(4)*100</f>
        <v/>
      </c>
      <c r="E159">
        <f>STDEV(C148:C159)*100</f>
        <v/>
      </c>
    </row>
    <row r="160">
      <c r="A160" t="inlineStr">
        <is>
          <t>2003M3</t>
        </is>
      </c>
      <c r="B160" t="n">
        <v>340.55</v>
      </c>
      <c r="C160">
        <f>LN(B160/B159)*100</f>
        <v/>
      </c>
      <c r="D160">
        <f>STDEV(C158:C160)*SQRT(4)*100</f>
        <v/>
      </c>
      <c r="E160">
        <f>STDEV(C149:C160)*100</f>
        <v/>
      </c>
    </row>
    <row r="161">
      <c r="A161" t="inlineStr">
        <is>
          <t>2003M4</t>
        </is>
      </c>
      <c r="B161" t="n">
        <v>328.18</v>
      </c>
      <c r="C161">
        <f>LN(B161/B160)*100</f>
        <v/>
      </c>
      <c r="D161">
        <f>STDEV(C159:C161)*SQRT(4)*100</f>
        <v/>
      </c>
      <c r="E161">
        <f>STDEV(C150:C161)*100</f>
        <v/>
      </c>
    </row>
    <row r="162">
      <c r="A162" t="inlineStr">
        <is>
          <t>2003M5</t>
        </is>
      </c>
      <c r="B162" t="n">
        <v>355.6825</v>
      </c>
      <c r="C162">
        <f>LN(B162/B161)*100</f>
        <v/>
      </c>
      <c r="D162">
        <f>STDEV(C160:C162)*SQRT(4)*100</f>
        <v/>
      </c>
      <c r="E162">
        <f>STDEV(C151:C162)*100</f>
        <v/>
      </c>
    </row>
    <row r="163">
      <c r="A163" t="inlineStr">
        <is>
          <t>2003M6</t>
        </is>
      </c>
      <c r="B163" t="n">
        <v>356.352380952381</v>
      </c>
      <c r="C163">
        <f>LN(B163/B162)*100</f>
        <v/>
      </c>
      <c r="D163">
        <f>STDEV(C161:C163)*SQRT(4)*100</f>
        <v/>
      </c>
      <c r="E163">
        <f>STDEV(C152:C163)*100</f>
        <v/>
      </c>
    </row>
    <row r="164">
      <c r="A164" t="inlineStr">
        <is>
          <t>2003M7</t>
        </is>
      </c>
      <c r="B164" t="n">
        <v>351.0195652173913</v>
      </c>
      <c r="C164">
        <f>LN(B164/B163)*100</f>
        <v/>
      </c>
      <c r="D164">
        <f>STDEV(C162:C164)*SQRT(4)*100</f>
        <v/>
      </c>
      <c r="E164">
        <f>STDEV(C153:C164)*100</f>
        <v/>
      </c>
    </row>
    <row r="165">
      <c r="A165" t="inlineStr">
        <is>
          <t>2003M8</t>
        </is>
      </c>
      <c r="B165" t="n">
        <v>359.7675</v>
      </c>
      <c r="C165">
        <f>LN(B165/B164)*100</f>
        <v/>
      </c>
      <c r="D165">
        <f>STDEV(C163:C165)*SQRT(4)*100</f>
        <v/>
      </c>
      <c r="E165">
        <f>STDEV(C154:C165)*100</f>
        <v/>
      </c>
    </row>
    <row r="166">
      <c r="A166" t="inlineStr">
        <is>
          <t>2003M9</t>
        </is>
      </c>
      <c r="B166" t="n">
        <v>378.9454545454546</v>
      </c>
      <c r="C166">
        <f>LN(B166/B165)*100</f>
        <v/>
      </c>
      <c r="D166">
        <f>STDEV(C164:C166)*SQRT(4)*100</f>
        <v/>
      </c>
      <c r="E166">
        <f>STDEV(C155:C166)*100</f>
        <v/>
      </c>
    </row>
    <row r="167">
      <c r="A167" t="inlineStr">
        <is>
          <t>2003M10</t>
        </is>
      </c>
      <c r="B167" t="n">
        <v>378.9195652173912</v>
      </c>
      <c r="C167">
        <f>LN(B167/B166)*100</f>
        <v/>
      </c>
      <c r="D167">
        <f>STDEV(C165:C167)*SQRT(4)*100</f>
        <v/>
      </c>
      <c r="E167">
        <f>STDEV(C156:C167)*100</f>
        <v/>
      </c>
    </row>
    <row r="168">
      <c r="A168" t="inlineStr">
        <is>
          <t>2003M11</t>
        </is>
      </c>
      <c r="B168" t="n">
        <v>389.91</v>
      </c>
      <c r="C168">
        <f>LN(B168/B167)*100</f>
        <v/>
      </c>
      <c r="D168">
        <f>STDEV(C166:C168)*SQRT(4)*100</f>
        <v/>
      </c>
      <c r="E168">
        <f>STDEV(C157:C168)*100</f>
        <v/>
      </c>
    </row>
    <row r="169">
      <c r="A169" t="inlineStr">
        <is>
          <t>2003M12</t>
        </is>
      </c>
      <c r="B169" t="n">
        <v>406.9526315789473</v>
      </c>
      <c r="C169">
        <f>LN(B169/B168)*100</f>
        <v/>
      </c>
      <c r="D169">
        <f>STDEV(C167:C169)*SQRT(4)*100</f>
        <v/>
      </c>
      <c r="E169">
        <f>STDEV(C158:C169)*100</f>
        <v/>
      </c>
    </row>
    <row r="170">
      <c r="A170" t="inlineStr">
        <is>
          <t>2004M1</t>
        </is>
      </c>
      <c r="B170" t="n">
        <v>413.7880952380953</v>
      </c>
      <c r="C170">
        <f>LN(B170/B169)*100</f>
        <v/>
      </c>
      <c r="D170">
        <f>STDEV(C168:C170)*SQRT(4)*100</f>
        <v/>
      </c>
      <c r="E170">
        <f>STDEV(C159:C170)*100</f>
        <v/>
      </c>
    </row>
    <row r="171">
      <c r="A171" t="inlineStr">
        <is>
          <t>2004M2</t>
        </is>
      </c>
      <c r="B171" t="n">
        <v>404.8775</v>
      </c>
      <c r="C171">
        <f>LN(B171/B170)*100</f>
        <v/>
      </c>
      <c r="D171">
        <f>STDEV(C169:C171)*SQRT(4)*100</f>
        <v/>
      </c>
      <c r="E171">
        <f>STDEV(C160:C171)*100</f>
        <v/>
      </c>
    </row>
    <row r="172">
      <c r="A172" t="inlineStr">
        <is>
          <t>2004M3</t>
        </is>
      </c>
      <c r="B172" t="n">
        <v>406.6673913043479</v>
      </c>
      <c r="C172">
        <f>LN(B172/B171)*100</f>
        <v/>
      </c>
      <c r="D172">
        <f>STDEV(C170:C172)*SQRT(4)*100</f>
        <v/>
      </c>
      <c r="E172">
        <f>STDEV(C161:C172)*100</f>
        <v/>
      </c>
    </row>
    <row r="173">
      <c r="A173" t="inlineStr">
        <is>
          <t>2004M4</t>
        </is>
      </c>
      <c r="B173" t="n">
        <v>403.26</v>
      </c>
      <c r="C173">
        <f>LN(B173/B172)*100</f>
        <v/>
      </c>
      <c r="D173">
        <f>STDEV(C171:C173)*SQRT(4)*100</f>
        <v/>
      </c>
      <c r="E173">
        <f>STDEV(C162:C173)*100</f>
        <v/>
      </c>
    </row>
    <row r="174">
      <c r="A174" t="inlineStr">
        <is>
          <t>2004M5</t>
        </is>
      </c>
      <c r="B174" t="n">
        <v>383.778947368421</v>
      </c>
      <c r="C174">
        <f>LN(B174/B173)*100</f>
        <v/>
      </c>
      <c r="D174">
        <f>STDEV(C172:C174)*SQRT(4)*100</f>
        <v/>
      </c>
      <c r="E174">
        <f>STDEV(C163:C174)*100</f>
        <v/>
      </c>
    </row>
    <row r="175">
      <c r="A175" t="inlineStr">
        <is>
          <t>2004M6</t>
        </is>
      </c>
      <c r="B175" t="n">
        <v>392.3727272727272</v>
      </c>
      <c r="C175">
        <f>LN(B175/B174)*100</f>
        <v/>
      </c>
      <c r="D175">
        <f>STDEV(C173:C175)*SQRT(4)*100</f>
        <v/>
      </c>
      <c r="E175">
        <f>STDEV(C164:C175)*100</f>
        <v/>
      </c>
    </row>
    <row r="176">
      <c r="A176" t="inlineStr">
        <is>
          <t>2004M7</t>
        </is>
      </c>
      <c r="B176" t="n">
        <v>398.0909090909091</v>
      </c>
      <c r="C176">
        <f>LN(B176/B175)*100</f>
        <v/>
      </c>
      <c r="D176">
        <f>STDEV(C174:C176)*SQRT(4)*100</f>
        <v/>
      </c>
      <c r="E176">
        <f>STDEV(C165:C176)*100</f>
        <v/>
      </c>
    </row>
    <row r="177">
      <c r="A177" t="inlineStr">
        <is>
          <t>2004M8</t>
        </is>
      </c>
      <c r="B177" t="n">
        <v>400.5095238095238</v>
      </c>
      <c r="C177">
        <f>LN(B177/B176)*100</f>
        <v/>
      </c>
      <c r="D177">
        <f>STDEV(C175:C177)*SQRT(4)*100</f>
        <v/>
      </c>
      <c r="E177">
        <f>STDEV(C166:C177)*100</f>
        <v/>
      </c>
    </row>
    <row r="178">
      <c r="A178" t="inlineStr">
        <is>
          <t>2004M9</t>
        </is>
      </c>
      <c r="B178" t="n">
        <v>405.275</v>
      </c>
      <c r="C178">
        <f>LN(B178/B177)*100</f>
        <v/>
      </c>
      <c r="D178">
        <f>STDEV(C176:C178)*SQRT(4)*100</f>
        <v/>
      </c>
      <c r="E178">
        <f>STDEV(C167:C178)*100</f>
        <v/>
      </c>
    </row>
    <row r="179">
      <c r="A179" t="inlineStr">
        <is>
          <t>2004M10</t>
        </is>
      </c>
      <c r="B179" t="n">
        <v>420.4642857142857</v>
      </c>
      <c r="C179">
        <f>LN(B179/B178)*100</f>
        <v/>
      </c>
      <c r="D179">
        <f>STDEV(C177:C179)*SQRT(4)*100</f>
        <v/>
      </c>
      <c r="E179">
        <f>STDEV(C168:C179)*100</f>
        <v/>
      </c>
    </row>
    <row r="180">
      <c r="A180" t="inlineStr">
        <is>
          <t>2004M11</t>
        </is>
      </c>
      <c r="B180" t="n">
        <v>439.375</v>
      </c>
      <c r="C180">
        <f>LN(B180/B179)*100</f>
        <v/>
      </c>
      <c r="D180">
        <f>STDEV(C178:C180)*SQRT(4)*100</f>
        <v/>
      </c>
      <c r="E180">
        <f>STDEV(C169:C180)*100</f>
        <v/>
      </c>
    </row>
    <row r="181">
      <c r="A181" t="inlineStr">
        <is>
          <t>2004M12</t>
        </is>
      </c>
      <c r="B181" t="n">
        <v>442.078947368421</v>
      </c>
      <c r="C181">
        <f>LN(B181/B180)*100</f>
        <v/>
      </c>
      <c r="D181">
        <f>STDEV(C179:C181)*SQRT(4)*100</f>
        <v/>
      </c>
      <c r="E181">
        <f>STDEV(C170:C181)*100</f>
        <v/>
      </c>
    </row>
    <row r="182">
      <c r="A182" t="inlineStr">
        <is>
          <t>2005M1</t>
        </is>
      </c>
      <c r="B182" t="n">
        <v>424.03</v>
      </c>
      <c r="C182">
        <f>LN(B182/B181)*100</f>
        <v/>
      </c>
      <c r="D182">
        <f>STDEV(C180:C182)*SQRT(4)*100</f>
        <v/>
      </c>
      <c r="E182">
        <f>STDEV(C171:C182)*100</f>
        <v/>
      </c>
    </row>
    <row r="183">
      <c r="A183" t="inlineStr">
        <is>
          <t>2005M2</t>
        </is>
      </c>
      <c r="B183" t="n">
        <v>423.35</v>
      </c>
      <c r="C183">
        <f>LN(B183/B182)*100</f>
        <v/>
      </c>
      <c r="D183">
        <f>STDEV(C181:C183)*SQRT(4)*100</f>
        <v/>
      </c>
      <c r="E183">
        <f>STDEV(C172:C183)*100</f>
        <v/>
      </c>
    </row>
    <row r="184">
      <c r="A184" t="inlineStr">
        <is>
          <t>2005M3</t>
        </is>
      </c>
      <c r="B184" t="n">
        <v>434.3214285714286</v>
      </c>
      <c r="C184">
        <f>LN(B184/B183)*100</f>
        <v/>
      </c>
      <c r="D184">
        <f>STDEV(C182:C184)*SQRT(4)*100</f>
        <v/>
      </c>
      <c r="E184">
        <f>STDEV(C173:C184)*100</f>
        <v/>
      </c>
    </row>
    <row r="185">
      <c r="A185" t="inlineStr">
        <is>
          <t>2005M4</t>
        </is>
      </c>
      <c r="B185" t="n">
        <v>429.2333333333334</v>
      </c>
      <c r="C185">
        <f>LN(B185/B184)*100</f>
        <v/>
      </c>
      <c r="D185">
        <f>STDEV(C183:C185)*SQRT(4)*100</f>
        <v/>
      </c>
      <c r="E185">
        <f>STDEV(C174:C185)*100</f>
        <v/>
      </c>
    </row>
    <row r="186">
      <c r="A186" t="inlineStr">
        <is>
          <t>2005M5</t>
        </is>
      </c>
      <c r="B186" t="n">
        <v>421.8725</v>
      </c>
      <c r="C186">
        <f>LN(B186/B185)*100</f>
        <v/>
      </c>
      <c r="D186">
        <f>STDEV(C184:C186)*SQRT(4)*100</f>
        <v/>
      </c>
      <c r="E186">
        <f>STDEV(C175:C186)*100</f>
        <v/>
      </c>
    </row>
    <row r="187">
      <c r="A187" t="inlineStr">
        <is>
          <t>2005M6</t>
        </is>
      </c>
      <c r="B187" t="n">
        <v>430.6568181818182</v>
      </c>
      <c r="C187">
        <f>LN(B187/B186)*100</f>
        <v/>
      </c>
      <c r="D187">
        <f>STDEV(C185:C187)*SQRT(4)*100</f>
        <v/>
      </c>
      <c r="E187">
        <f>STDEV(C176:C187)*100</f>
        <v/>
      </c>
    </row>
    <row r="188">
      <c r="A188" t="inlineStr">
        <is>
          <t>2005M7</t>
        </is>
      </c>
      <c r="B188" t="n">
        <v>424.4785714285714</v>
      </c>
      <c r="C188">
        <f>LN(B188/B187)*100</f>
        <v/>
      </c>
      <c r="D188">
        <f>STDEV(C186:C188)*SQRT(4)*100</f>
        <v/>
      </c>
      <c r="E188">
        <f>STDEV(C177:C188)*100</f>
        <v/>
      </c>
    </row>
    <row r="189">
      <c r="A189" t="inlineStr">
        <is>
          <t>2005M8</t>
        </is>
      </c>
      <c r="B189" t="n">
        <v>437.9295454545454</v>
      </c>
      <c r="C189">
        <f>LN(B189/B188)*100</f>
        <v/>
      </c>
      <c r="D189">
        <f>STDEV(C187:C189)*SQRT(4)*100</f>
        <v/>
      </c>
      <c r="E189">
        <f>STDEV(C178:C189)*100</f>
        <v/>
      </c>
    </row>
    <row r="190">
      <c r="A190" t="inlineStr">
        <is>
          <t>2005M9</t>
        </is>
      </c>
      <c r="B190" t="n">
        <v>456.0477272727272</v>
      </c>
      <c r="C190">
        <f>LN(B190/B189)*100</f>
        <v/>
      </c>
      <c r="D190">
        <f>STDEV(C188:C190)*SQRT(4)*100</f>
        <v/>
      </c>
      <c r="E190">
        <f>STDEV(C179:C190)*100</f>
        <v/>
      </c>
    </row>
    <row r="191">
      <c r="A191" t="inlineStr">
        <is>
          <t>2005M10</t>
        </is>
      </c>
      <c r="B191" t="n">
        <v>469.8976190476191</v>
      </c>
      <c r="C191">
        <f>LN(B191/B190)*100</f>
        <v/>
      </c>
      <c r="D191">
        <f>STDEV(C189:C191)*SQRT(4)*100</f>
        <v/>
      </c>
      <c r="E191">
        <f>STDEV(C180:C191)*100</f>
        <v/>
      </c>
    </row>
    <row r="192">
      <c r="A192" t="inlineStr">
        <is>
          <t>2005M11</t>
        </is>
      </c>
      <c r="B192" t="n">
        <v>476.6659090909091</v>
      </c>
      <c r="C192">
        <f>LN(B192/B191)*100</f>
        <v/>
      </c>
      <c r="D192">
        <f>STDEV(C190:C192)*SQRT(4)*100</f>
        <v/>
      </c>
      <c r="E192">
        <f>STDEV(C181:C192)*100</f>
        <v/>
      </c>
    </row>
    <row r="193">
      <c r="A193" t="inlineStr">
        <is>
          <t>2005M12</t>
        </is>
      </c>
      <c r="B193" t="n">
        <v>510.0972222222222</v>
      </c>
      <c r="C193">
        <f>LN(B193/B192)*100</f>
        <v/>
      </c>
      <c r="D193">
        <f>STDEV(C191:C193)*SQRT(4)*100</f>
        <v/>
      </c>
      <c r="E193">
        <f>STDEV(C182:C193)*100</f>
        <v/>
      </c>
    </row>
    <row r="194">
      <c r="A194" t="inlineStr">
        <is>
          <t>2006M1</t>
        </is>
      </c>
      <c r="B194" t="n">
        <v>549.8642857142856</v>
      </c>
      <c r="C194">
        <f>LN(B194/B193)*100</f>
        <v/>
      </c>
      <c r="D194">
        <f>STDEV(C192:C194)*SQRT(4)*100</f>
        <v/>
      </c>
      <c r="E194">
        <f>STDEV(C183:C194)*100</f>
        <v/>
      </c>
    </row>
    <row r="195">
      <c r="A195" t="inlineStr">
        <is>
          <t>2006M2</t>
        </is>
      </c>
      <c r="B195" t="n">
        <v>554.995</v>
      </c>
      <c r="C195">
        <f>LN(B195/B194)*100</f>
        <v/>
      </c>
      <c r="D195">
        <f>STDEV(C193:C195)*SQRT(4)*100</f>
        <v/>
      </c>
      <c r="E195">
        <f>STDEV(C184:C195)*100</f>
        <v/>
      </c>
    </row>
    <row r="196">
      <c r="A196" t="inlineStr">
        <is>
          <t>2006M3</t>
        </is>
      </c>
      <c r="B196" t="n">
        <v>557.0934782608696</v>
      </c>
      <c r="C196">
        <f>LN(B196/B195)*100</f>
        <v/>
      </c>
      <c r="D196">
        <f>STDEV(C194:C196)*SQRT(4)*100</f>
        <v/>
      </c>
      <c r="E196">
        <f>STDEV(C185:C196)*100</f>
        <v/>
      </c>
    </row>
    <row r="197">
      <c r="A197" t="inlineStr">
        <is>
          <t>2006M4</t>
        </is>
      </c>
      <c r="B197" t="n">
        <v>610.6527777777778</v>
      </c>
      <c r="C197">
        <f>LN(B197/B196)*100</f>
        <v/>
      </c>
      <c r="D197">
        <f>STDEV(C195:C197)*SQRT(4)*100</f>
        <v/>
      </c>
      <c r="E197">
        <f>STDEV(C186:C197)*100</f>
        <v/>
      </c>
    </row>
    <row r="198">
      <c r="A198" t="inlineStr">
        <is>
          <t>2006M5</t>
        </is>
      </c>
      <c r="B198" t="n">
        <v>675.3928571428571</v>
      </c>
      <c r="C198">
        <f>LN(B198/B197)*100</f>
        <v/>
      </c>
      <c r="D198">
        <f>STDEV(C196:C198)*SQRT(4)*100</f>
        <v/>
      </c>
      <c r="E198">
        <f>STDEV(C187:C198)*100</f>
        <v/>
      </c>
    </row>
    <row r="199">
      <c r="A199" t="inlineStr">
        <is>
          <t>2006M6</t>
        </is>
      </c>
      <c r="B199" t="n">
        <v>596.1454545454545</v>
      </c>
      <c r="C199">
        <f>LN(B199/B198)*100</f>
        <v/>
      </c>
      <c r="D199">
        <f>STDEV(C197:C199)*SQRT(4)*100</f>
        <v/>
      </c>
      <c r="E199">
        <f>STDEV(C188:C199)*100</f>
        <v/>
      </c>
    </row>
    <row r="200">
      <c r="A200" t="inlineStr">
        <is>
          <t>2006M7</t>
        </is>
      </c>
      <c r="B200" t="n">
        <v>633.7095238095238</v>
      </c>
      <c r="C200">
        <f>LN(B200/B199)*100</f>
        <v/>
      </c>
      <c r="D200">
        <f>STDEV(C198:C200)*SQRT(4)*100</f>
        <v/>
      </c>
      <c r="E200">
        <f>STDEV(C189:C200)*100</f>
        <v/>
      </c>
    </row>
    <row r="201">
      <c r="A201" t="inlineStr">
        <is>
          <t>2006M8</t>
        </is>
      </c>
      <c r="B201" t="n">
        <v>632.5931818181818</v>
      </c>
      <c r="C201">
        <f>LN(B201/B200)*100</f>
        <v/>
      </c>
      <c r="D201">
        <f>STDEV(C199:C201)*SQRT(4)*100</f>
        <v/>
      </c>
      <c r="E201">
        <f>STDEV(C190:C201)*100</f>
        <v/>
      </c>
    </row>
    <row r="202">
      <c r="A202" t="inlineStr">
        <is>
          <t>2006M9</t>
        </is>
      </c>
      <c r="B202" t="n">
        <v>598.1857142857143</v>
      </c>
      <c r="C202">
        <f>LN(B202/B201)*100</f>
        <v/>
      </c>
      <c r="D202">
        <f>STDEV(C200:C202)*SQRT(4)*100</f>
        <v/>
      </c>
      <c r="E202">
        <f>STDEV(C191:C202)*100</f>
        <v/>
      </c>
    </row>
    <row r="203">
      <c r="A203" t="inlineStr">
        <is>
          <t>2006M10</t>
        </is>
      </c>
      <c r="B203" t="n">
        <v>585.7795454545455</v>
      </c>
      <c r="C203">
        <f>LN(B203/B202)*100</f>
        <v/>
      </c>
      <c r="D203">
        <f>STDEV(C201:C203)*SQRT(4)*100</f>
        <v/>
      </c>
      <c r="E203">
        <f>STDEV(C192:C203)*100</f>
        <v/>
      </c>
    </row>
    <row r="204">
      <c r="A204" t="inlineStr">
        <is>
          <t>2006M11</t>
        </is>
      </c>
      <c r="B204" t="n">
        <v>627.8272727272728</v>
      </c>
      <c r="C204">
        <f>LN(B204/B203)*100</f>
        <v/>
      </c>
      <c r="D204">
        <f>STDEV(C202:C204)*SQRT(4)*100</f>
        <v/>
      </c>
      <c r="E204">
        <f>STDEV(C193:C204)*100</f>
        <v/>
      </c>
    </row>
    <row r="205">
      <c r="A205" t="inlineStr">
        <is>
          <t>2006M12</t>
        </is>
      </c>
      <c r="B205" t="n">
        <v>629.7911764705883</v>
      </c>
      <c r="C205">
        <f>LN(B205/B204)*100</f>
        <v/>
      </c>
      <c r="D205">
        <f>STDEV(C203:C205)*SQRT(4)*100</f>
        <v/>
      </c>
      <c r="E205">
        <f>STDEV(C194:C205)*100</f>
        <v/>
      </c>
    </row>
    <row r="206">
      <c r="A206" t="inlineStr">
        <is>
          <t>2007M1</t>
        </is>
      </c>
      <c r="B206" t="n">
        <v>631.1659090909092</v>
      </c>
      <c r="C206">
        <f>LN(B206/B205)*100</f>
        <v/>
      </c>
      <c r="D206">
        <f>STDEV(C204:C206)*SQRT(4)*100</f>
        <v/>
      </c>
      <c r="E206">
        <f>STDEV(C195:C206)*100</f>
        <v/>
      </c>
    </row>
    <row r="207">
      <c r="A207" t="inlineStr">
        <is>
          <t>2007M2</t>
        </is>
      </c>
      <c r="B207" t="n">
        <v>664.745</v>
      </c>
      <c r="C207">
        <f>LN(B207/B206)*100</f>
        <v/>
      </c>
      <c r="D207">
        <f>STDEV(C205:C207)*SQRT(4)*100</f>
        <v/>
      </c>
      <c r="E207">
        <f>STDEV(C196:C207)*100</f>
        <v/>
      </c>
    </row>
    <row r="208">
      <c r="A208" t="inlineStr">
        <is>
          <t>2007M3</t>
        </is>
      </c>
      <c r="B208" t="n">
        <v>654.8954545454545</v>
      </c>
      <c r="C208">
        <f>LN(B208/B207)*100</f>
        <v/>
      </c>
      <c r="D208">
        <f>STDEV(C206:C208)*SQRT(4)*100</f>
        <v/>
      </c>
      <c r="E208">
        <f>STDEV(C197:C208)*100</f>
        <v/>
      </c>
    </row>
    <row r="209">
      <c r="A209" t="inlineStr">
        <is>
          <t>2007M4</t>
        </is>
      </c>
      <c r="B209" t="n">
        <v>679.3684210526316</v>
      </c>
      <c r="C209">
        <f>LN(B209/B208)*100</f>
        <v/>
      </c>
      <c r="D209">
        <f>STDEV(C207:C209)*SQRT(4)*100</f>
        <v/>
      </c>
      <c r="E209">
        <f>STDEV(C198:C209)*100</f>
        <v/>
      </c>
    </row>
    <row r="210">
      <c r="A210" t="inlineStr">
        <is>
          <t>2007M5</t>
        </is>
      </c>
      <c r="B210" t="n">
        <v>666.8595238095237</v>
      </c>
      <c r="C210">
        <f>LN(B210/B209)*100</f>
        <v/>
      </c>
      <c r="D210">
        <f>STDEV(C208:C210)*SQRT(4)*100</f>
        <v/>
      </c>
      <c r="E210">
        <f>STDEV(C199:C210)*100</f>
        <v/>
      </c>
    </row>
    <row r="211">
      <c r="A211" t="inlineStr">
        <is>
          <t>2007M6</t>
        </is>
      </c>
      <c r="B211" t="n">
        <v>655.4904761904762</v>
      </c>
      <c r="C211">
        <f>LN(B211/B210)*100</f>
        <v/>
      </c>
      <c r="D211">
        <f>STDEV(C209:C211)*SQRT(4)*100</f>
        <v/>
      </c>
      <c r="E211">
        <f>STDEV(C200:C211)*100</f>
        <v/>
      </c>
    </row>
    <row r="212">
      <c r="A212" t="inlineStr">
        <is>
          <t>2007M7</t>
        </is>
      </c>
      <c r="B212" t="n">
        <v>665.2954545454545</v>
      </c>
      <c r="C212">
        <f>LN(B212/B211)*100</f>
        <v/>
      </c>
      <c r="D212">
        <f>STDEV(C210:C212)*SQRT(4)*100</f>
        <v/>
      </c>
      <c r="E212">
        <f>STDEV(C201:C212)*100</f>
        <v/>
      </c>
    </row>
    <row r="213">
      <c r="A213" t="inlineStr">
        <is>
          <t>2007M8</t>
        </is>
      </c>
      <c r="B213" t="n">
        <v>665.4113636363637</v>
      </c>
      <c r="C213">
        <f>LN(B213/B212)*100</f>
        <v/>
      </c>
      <c r="D213">
        <f>STDEV(C211:C213)*SQRT(4)*100</f>
        <v/>
      </c>
      <c r="E213">
        <f>STDEV(C202:C213)*100</f>
        <v/>
      </c>
    </row>
    <row r="214">
      <c r="A214" t="inlineStr">
        <is>
          <t>2007M9</t>
        </is>
      </c>
      <c r="B214" t="n">
        <v>712.6525</v>
      </c>
      <c r="C214">
        <f>LN(B214/B213)*100</f>
        <v/>
      </c>
      <c r="D214">
        <f>STDEV(C212:C214)*SQRT(4)*100</f>
        <v/>
      </c>
      <c r="E214">
        <f>STDEV(C203:C214)*100</f>
        <v/>
      </c>
    </row>
    <row r="215">
      <c r="A215" t="inlineStr">
        <is>
          <t>2007M10</t>
        </is>
      </c>
      <c r="B215" t="n">
        <v>754.6043478260871</v>
      </c>
      <c r="C215">
        <f>LN(B215/B214)*100</f>
        <v/>
      </c>
      <c r="D215">
        <f>STDEV(C213:C215)*SQRT(4)*100</f>
        <v/>
      </c>
      <c r="E215">
        <f>STDEV(C204:C215)*100</f>
        <v/>
      </c>
    </row>
    <row r="216">
      <c r="A216" t="inlineStr">
        <is>
          <t>2007M11</t>
        </is>
      </c>
      <c r="B216" t="n">
        <v>806.2477272727273</v>
      </c>
      <c r="C216">
        <f>LN(B216/B215)*100</f>
        <v/>
      </c>
      <c r="D216">
        <f>STDEV(C214:C216)*SQRT(4)*100</f>
        <v/>
      </c>
      <c r="E216">
        <f>STDEV(C205:C216)*100</f>
        <v/>
      </c>
    </row>
    <row r="217">
      <c r="A217" t="inlineStr">
        <is>
          <t>2007M12</t>
        </is>
      </c>
      <c r="B217" t="n">
        <v>803.2029411764706</v>
      </c>
      <c r="C217">
        <f>LN(B217/B216)*100</f>
        <v/>
      </c>
      <c r="D217">
        <f>STDEV(C215:C217)*SQRT(4)*100</f>
        <v/>
      </c>
      <c r="E217">
        <f>STDEV(C206:C217)*100</f>
        <v/>
      </c>
    </row>
    <row r="218">
      <c r="A218" t="inlineStr">
        <is>
          <t>2008M1</t>
        </is>
      </c>
      <c r="B218" t="n">
        <v>889.5954545454545</v>
      </c>
      <c r="C218">
        <f>LN(B218/B217)*100</f>
        <v/>
      </c>
      <c r="D218">
        <f>STDEV(C216:C218)*SQRT(4)*100</f>
        <v/>
      </c>
      <c r="E218">
        <f>STDEV(C207:C218)*100</f>
        <v/>
      </c>
    </row>
    <row r="219">
      <c r="A219" t="inlineStr">
        <is>
          <t>2008M2</t>
        </is>
      </c>
      <c r="B219" t="n">
        <v>922.297619047619</v>
      </c>
      <c r="C219">
        <f>LN(B219/B218)*100</f>
        <v/>
      </c>
      <c r="D219">
        <f>STDEV(C217:C219)*SQRT(4)*100</f>
        <v/>
      </c>
      <c r="E219">
        <f>STDEV(C208:C219)*100</f>
        <v/>
      </c>
    </row>
    <row r="220">
      <c r="A220" t="inlineStr">
        <is>
          <t>2008M3</t>
        </is>
      </c>
      <c r="B220" t="n">
        <v>968.4342105263158</v>
      </c>
      <c r="C220">
        <f>LN(B220/B219)*100</f>
        <v/>
      </c>
      <c r="D220">
        <f>STDEV(C218:C220)*SQRT(4)*100</f>
        <v/>
      </c>
      <c r="E220">
        <f>STDEV(C209:C220)*100</f>
        <v/>
      </c>
    </row>
    <row r="221">
      <c r="A221" t="inlineStr">
        <is>
          <t>2008M4</t>
        </is>
      </c>
      <c r="B221" t="n">
        <v>909.7045454545456</v>
      </c>
      <c r="C221">
        <f>LN(B221/B220)*100</f>
        <v/>
      </c>
      <c r="D221">
        <f>STDEV(C219:C221)*SQRT(4)*100</f>
        <v/>
      </c>
      <c r="E221">
        <f>STDEV(C210:C221)*100</f>
        <v/>
      </c>
    </row>
    <row r="222">
      <c r="A222" t="inlineStr">
        <is>
          <t>2008M5</t>
        </is>
      </c>
      <c r="B222" t="n">
        <v>888.6625</v>
      </c>
      <c r="C222">
        <f>LN(B222/B221)*100</f>
        <v/>
      </c>
      <c r="D222">
        <f>STDEV(C220:C222)*SQRT(4)*100</f>
        <v/>
      </c>
      <c r="E222">
        <f>STDEV(C211:C222)*100</f>
        <v/>
      </c>
    </row>
    <row r="223">
      <c r="A223" t="inlineStr">
        <is>
          <t>2008M6</t>
        </is>
      </c>
      <c r="B223" t="n">
        <v>889.4880952380952</v>
      </c>
      <c r="C223">
        <f>LN(B223/B222)*100</f>
        <v/>
      </c>
      <c r="D223">
        <f>STDEV(C221:C223)*SQRT(4)*100</f>
        <v/>
      </c>
      <c r="E223">
        <f>STDEV(C212:C223)*100</f>
        <v/>
      </c>
    </row>
    <row r="224">
      <c r="A224" t="inlineStr">
        <is>
          <t>2008M7</t>
        </is>
      </c>
      <c r="B224" t="n">
        <v>939.7717391304348</v>
      </c>
      <c r="C224">
        <f>LN(B224/B223)*100</f>
        <v/>
      </c>
      <c r="D224">
        <f>STDEV(C222:C224)*SQRT(4)*100</f>
        <v/>
      </c>
      <c r="E224">
        <f>STDEV(C213:C224)*100</f>
        <v/>
      </c>
    </row>
    <row r="225">
      <c r="A225" t="inlineStr">
        <is>
          <t>2008M8</t>
        </is>
      </c>
      <c r="B225" t="n">
        <v>839.025</v>
      </c>
      <c r="C225">
        <f>LN(B225/B224)*100</f>
        <v/>
      </c>
      <c r="D225">
        <f>STDEV(C223:C225)*SQRT(4)*100</f>
        <v/>
      </c>
      <c r="E225">
        <f>STDEV(C214:C225)*100</f>
        <v/>
      </c>
    </row>
    <row r="226">
      <c r="A226" t="inlineStr">
        <is>
          <t>2008M9</t>
        </is>
      </c>
      <c r="B226" t="n">
        <v>829.9318181818181</v>
      </c>
      <c r="C226">
        <f>LN(B226/B225)*100</f>
        <v/>
      </c>
      <c r="D226">
        <f>STDEV(C224:C226)*SQRT(4)*100</f>
        <v/>
      </c>
      <c r="E226">
        <f>STDEV(C215:C226)*100</f>
        <v/>
      </c>
    </row>
    <row r="227">
      <c r="A227" t="inlineStr">
        <is>
          <t>2008M10</t>
        </is>
      </c>
      <c r="B227" t="n">
        <v>806.6195652173913</v>
      </c>
      <c r="C227">
        <f>LN(B227/B226)*100</f>
        <v/>
      </c>
      <c r="D227">
        <f>STDEV(C225:C227)*SQRT(4)*100</f>
        <v/>
      </c>
      <c r="E227">
        <f>STDEV(C216:C227)*100</f>
        <v/>
      </c>
    </row>
    <row r="228">
      <c r="A228" t="inlineStr">
        <is>
          <t>2008M11</t>
        </is>
      </c>
      <c r="B228" t="n">
        <v>760.8625</v>
      </c>
      <c r="C228">
        <f>LN(B228/B227)*100</f>
        <v/>
      </c>
      <c r="D228">
        <f>STDEV(C226:C228)*SQRT(4)*100</f>
        <v/>
      </c>
      <c r="E228">
        <f>STDEV(C217:C228)*100</f>
        <v/>
      </c>
    </row>
    <row r="229">
      <c r="A229" t="inlineStr">
        <is>
          <t>2008M12</t>
        </is>
      </c>
      <c r="B229" t="n">
        <v>816.0921052631579</v>
      </c>
      <c r="C229">
        <f>LN(B229/B228)*100</f>
        <v/>
      </c>
      <c r="D229">
        <f>STDEV(C227:C229)*SQRT(4)*100</f>
        <v/>
      </c>
      <c r="E229">
        <f>STDEV(C218:C229)*100</f>
        <v/>
      </c>
    </row>
    <row r="230">
      <c r="A230" t="inlineStr">
        <is>
          <t>2009M1</t>
        </is>
      </c>
      <c r="B230" t="n">
        <v>858.6904761904761</v>
      </c>
      <c r="C230">
        <f>LN(B230/B229)*100</f>
        <v/>
      </c>
      <c r="D230">
        <f>STDEV(C228:C230)*SQRT(4)*100</f>
        <v/>
      </c>
      <c r="E230">
        <f>STDEV(C219:C230)*100</f>
        <v/>
      </c>
    </row>
    <row r="231">
      <c r="A231" t="inlineStr">
        <is>
          <t>2009M2</t>
        </is>
      </c>
      <c r="B231" t="n">
        <v>943.1625</v>
      </c>
      <c r="C231">
        <f>LN(B231/B230)*100</f>
        <v/>
      </c>
      <c r="D231">
        <f>STDEV(C229:C231)*SQRT(4)*100</f>
        <v/>
      </c>
      <c r="E231">
        <f>STDEV(C220:C231)*100</f>
        <v/>
      </c>
    </row>
    <row r="232">
      <c r="A232" t="inlineStr">
        <is>
          <t>2009M3</t>
        </is>
      </c>
      <c r="B232" t="n">
        <v>924.2727272727273</v>
      </c>
      <c r="C232">
        <f>LN(B232/B231)*100</f>
        <v/>
      </c>
      <c r="D232">
        <f>STDEV(C230:C232)*SQRT(4)*100</f>
        <v/>
      </c>
      <c r="E232">
        <f>STDEV(C221:C232)*100</f>
        <v/>
      </c>
    </row>
    <row r="233">
      <c r="A233" t="inlineStr">
        <is>
          <t>2009M4</t>
        </is>
      </c>
      <c r="B233" t="n">
        <v>890.2</v>
      </c>
      <c r="C233">
        <f>LN(B233/B232)*100</f>
        <v/>
      </c>
      <c r="D233">
        <f>STDEV(C231:C233)*SQRT(4)*100</f>
        <v/>
      </c>
      <c r="E233">
        <f>STDEV(C222:C233)*100</f>
        <v/>
      </c>
    </row>
    <row r="234">
      <c r="A234" t="inlineStr">
        <is>
          <t>2009M5</t>
        </is>
      </c>
      <c r="B234" t="n">
        <v>928.6447368421052</v>
      </c>
      <c r="C234">
        <f>LN(B234/B233)*100</f>
        <v/>
      </c>
      <c r="D234">
        <f>STDEV(C232:C234)*SQRT(4)*100</f>
        <v/>
      </c>
      <c r="E234">
        <f>STDEV(C223:C234)*100</f>
        <v/>
      </c>
    </row>
    <row r="235">
      <c r="A235" t="inlineStr">
        <is>
          <t>2009M6</t>
        </is>
      </c>
      <c r="B235" t="n">
        <v>945.6704545454544</v>
      </c>
      <c r="C235">
        <f>LN(B235/B234)*100</f>
        <v/>
      </c>
      <c r="D235">
        <f>STDEV(C233:C235)*SQRT(4)*100</f>
        <v/>
      </c>
      <c r="E235">
        <f>STDEV(C224:C235)*100</f>
        <v/>
      </c>
    </row>
    <row r="236">
      <c r="A236" t="inlineStr">
        <is>
          <t>2009M7</t>
        </is>
      </c>
      <c r="B236" t="n">
        <v>934.2282608695652</v>
      </c>
      <c r="C236">
        <f>LN(B236/B235)*100</f>
        <v/>
      </c>
      <c r="D236">
        <f>STDEV(C234:C236)*SQRT(4)*100</f>
        <v/>
      </c>
      <c r="E236">
        <f>STDEV(C225:C236)*100</f>
        <v/>
      </c>
    </row>
    <row r="237">
      <c r="A237" t="inlineStr">
        <is>
          <t>2009M8</t>
        </is>
      </c>
      <c r="B237" t="n">
        <v>949.375</v>
      </c>
      <c r="C237">
        <f>LN(B237/B236)*100</f>
        <v/>
      </c>
      <c r="D237">
        <f>STDEV(C235:C237)*SQRT(4)*100</f>
        <v/>
      </c>
      <c r="E237">
        <f>STDEV(C226:C237)*100</f>
        <v/>
      </c>
    </row>
    <row r="238">
      <c r="A238" t="inlineStr">
        <is>
          <t>2009M9</t>
        </is>
      </c>
      <c r="B238" t="n">
        <v>996.5909090909092</v>
      </c>
      <c r="C238">
        <f>LN(B238/B237)*100</f>
        <v/>
      </c>
      <c r="D238">
        <f>STDEV(C236:C238)*SQRT(4)*100</f>
        <v/>
      </c>
      <c r="E238">
        <f>STDEV(C227:C238)*100</f>
        <v/>
      </c>
    </row>
    <row r="239">
      <c r="A239" t="inlineStr">
        <is>
          <t>2009M10</t>
        </is>
      </c>
      <c r="B239" t="n">
        <v>1043.159090909091</v>
      </c>
      <c r="C239">
        <f>LN(B239/B238)*100</f>
        <v/>
      </c>
      <c r="D239">
        <f>STDEV(C237:C239)*SQRT(4)*100</f>
        <v/>
      </c>
      <c r="E239">
        <f>STDEV(C228:C239)*100</f>
        <v/>
      </c>
    </row>
    <row r="240">
      <c r="A240" t="inlineStr">
        <is>
          <t>2009M11</t>
        </is>
      </c>
      <c r="B240" t="n">
        <v>1127.035714285714</v>
      </c>
      <c r="C240">
        <f>LN(B240/B239)*100</f>
        <v/>
      </c>
      <c r="D240">
        <f>STDEV(C238:C240)*SQRT(4)*100</f>
        <v/>
      </c>
      <c r="E240">
        <f>STDEV(C229:C240)*100</f>
        <v/>
      </c>
    </row>
    <row r="241">
      <c r="A241" t="inlineStr">
        <is>
          <t>2009M12</t>
        </is>
      </c>
      <c r="B241" t="n">
        <v>1134.723684210526</v>
      </c>
      <c r="C241">
        <f>LN(B241/B240)*100</f>
        <v/>
      </c>
      <c r="D241">
        <f>STDEV(C239:C241)*SQRT(4)*100</f>
        <v/>
      </c>
      <c r="E241">
        <f>STDEV(C230:C241)*100</f>
        <v/>
      </c>
    </row>
    <row r="242">
      <c r="A242" t="inlineStr">
        <is>
          <t>2010M1</t>
        </is>
      </c>
      <c r="B242" t="n">
        <v>1117.9625</v>
      </c>
      <c r="C242">
        <f>LN(B242/B241)*100</f>
        <v/>
      </c>
      <c r="D242">
        <f>STDEV(C240:C242)*SQRT(4)*100</f>
        <v/>
      </c>
      <c r="E242">
        <f>STDEV(C231:C242)*100</f>
        <v/>
      </c>
    </row>
    <row r="243">
      <c r="A243" t="inlineStr">
        <is>
          <t>2010M2</t>
        </is>
      </c>
      <c r="B243" t="n">
        <v>1095.4125</v>
      </c>
      <c r="C243">
        <f>LN(B243/B242)*100</f>
        <v/>
      </c>
      <c r="D243">
        <f>STDEV(C241:C243)*SQRT(4)*100</f>
        <v/>
      </c>
      <c r="E243">
        <f>STDEV(C232:C243)*100</f>
        <v/>
      </c>
    </row>
    <row r="244">
      <c r="A244" t="inlineStr">
        <is>
          <t>2010M3</t>
        </is>
      </c>
      <c r="B244" t="n">
        <v>1113.336956521739</v>
      </c>
      <c r="C244">
        <f>LN(B244/B243)*100</f>
        <v/>
      </c>
      <c r="D244">
        <f>STDEV(C242:C244)*SQRT(4)*100</f>
        <v/>
      </c>
      <c r="E244">
        <f>STDEV(C233:C244)*100</f>
        <v/>
      </c>
    </row>
    <row r="245">
      <c r="A245" t="inlineStr">
        <is>
          <t>2010M4</t>
        </is>
      </c>
      <c r="B245" t="n">
        <v>1148.6875</v>
      </c>
      <c r="C245">
        <f>LN(B245/B244)*100</f>
        <v/>
      </c>
      <c r="D245">
        <f>STDEV(C243:C245)*SQRT(4)*100</f>
        <v/>
      </c>
      <c r="E245">
        <f>STDEV(C234:C245)*100</f>
        <v/>
      </c>
    </row>
    <row r="246">
      <c r="A246" t="inlineStr">
        <is>
          <t>2010M5</t>
        </is>
      </c>
      <c r="B246" t="n">
        <v>1205.434210526316</v>
      </c>
      <c r="C246">
        <f>LN(B246/B245)*100</f>
        <v/>
      </c>
      <c r="D246">
        <f>STDEV(C244:C246)*SQRT(4)*100</f>
        <v/>
      </c>
      <c r="E246">
        <f>STDEV(C235:C246)*100</f>
        <v/>
      </c>
    </row>
    <row r="247">
      <c r="A247" t="inlineStr">
        <is>
          <t>2010M6</t>
        </is>
      </c>
      <c r="B247" t="n">
        <v>1232.920454545455</v>
      </c>
      <c r="C247">
        <f>LN(B247/B246)*100</f>
        <v/>
      </c>
      <c r="D247">
        <f>STDEV(C245:C247)*SQRT(4)*100</f>
        <v/>
      </c>
      <c r="E247">
        <f>STDEV(C236:C247)*100</f>
        <v/>
      </c>
    </row>
    <row r="248">
      <c r="A248" t="inlineStr">
        <is>
          <t>2010M7</t>
        </is>
      </c>
      <c r="B248" t="n">
        <v>1192.965909090909</v>
      </c>
      <c r="C248">
        <f>LN(B248/B247)*100</f>
        <v/>
      </c>
      <c r="D248">
        <f>STDEV(C246:C248)*SQRT(4)*100</f>
        <v/>
      </c>
      <c r="E248">
        <f>STDEV(C237:C248)*100</f>
        <v/>
      </c>
    </row>
    <row r="249">
      <c r="A249" t="inlineStr">
        <is>
          <t>2010M8</t>
        </is>
      </c>
      <c r="B249" t="n">
        <v>1215.809523809524</v>
      </c>
      <c r="C249">
        <f>LN(B249/B248)*100</f>
        <v/>
      </c>
      <c r="D249">
        <f>STDEV(C247:C249)*SQRT(4)*100</f>
        <v/>
      </c>
      <c r="E249">
        <f>STDEV(C238:C249)*100</f>
        <v/>
      </c>
    </row>
    <row r="250">
      <c r="A250" t="inlineStr">
        <is>
          <t>2010M9</t>
        </is>
      </c>
      <c r="B250" t="n">
        <v>1270.977272727273</v>
      </c>
      <c r="C250">
        <f>LN(B250/B249)*100</f>
        <v/>
      </c>
      <c r="D250">
        <f>STDEV(C248:C250)*SQRT(4)*100</f>
        <v/>
      </c>
      <c r="E250">
        <f>STDEV(C239:C250)*100</f>
        <v/>
      </c>
    </row>
    <row r="251">
      <c r="A251" t="inlineStr">
        <is>
          <t>2010M10</t>
        </is>
      </c>
      <c r="B251" t="n">
        <v>1342.02380952381</v>
      </c>
      <c r="C251">
        <f>LN(B251/B250)*100</f>
        <v/>
      </c>
      <c r="D251">
        <f>STDEV(C249:C251)*SQRT(4)*100</f>
        <v/>
      </c>
      <c r="E251">
        <f>STDEV(C240:C251)*100</f>
        <v/>
      </c>
    </row>
    <row r="252">
      <c r="A252" t="inlineStr">
        <is>
          <t>2010M11</t>
        </is>
      </c>
      <c r="B252" t="n">
        <v>1369.886363636364</v>
      </c>
      <c r="C252">
        <f>LN(B252/B251)*100</f>
        <v/>
      </c>
      <c r="D252">
        <f>STDEV(C250:C252)*SQRT(4)*100</f>
        <v/>
      </c>
      <c r="E252">
        <f>STDEV(C241:C252)*100</f>
        <v/>
      </c>
    </row>
    <row r="253">
      <c r="A253" t="inlineStr">
        <is>
          <t>2010M12</t>
        </is>
      </c>
      <c r="B253" t="n">
        <v>1390.552631578947</v>
      </c>
      <c r="C253">
        <f>LN(B253/B252)*100</f>
        <v/>
      </c>
      <c r="D253">
        <f>STDEV(C251:C253)*SQRT(4)*100</f>
        <v/>
      </c>
      <c r="E253">
        <f>STDEV(C242:C253)*100</f>
        <v/>
      </c>
    </row>
    <row r="254">
      <c r="A254" t="inlineStr">
        <is>
          <t>2011M1</t>
        </is>
      </c>
      <c r="B254" t="n">
        <v>1356.4</v>
      </c>
      <c r="C254">
        <f>LN(B254/B253)*100</f>
        <v/>
      </c>
      <c r="D254">
        <f>STDEV(C252:C254)*SQRT(4)*100</f>
        <v/>
      </c>
      <c r="E254">
        <f>STDEV(C243:C254)*100</f>
        <v/>
      </c>
    </row>
    <row r="255">
      <c r="A255" t="inlineStr">
        <is>
          <t>2011M2</t>
        </is>
      </c>
      <c r="B255" t="n">
        <v>1372.725</v>
      </c>
      <c r="C255">
        <f>LN(B255/B254)*100</f>
        <v/>
      </c>
      <c r="D255">
        <f>STDEV(C253:C255)*SQRT(4)*100</f>
        <v/>
      </c>
      <c r="E255">
        <f>STDEV(C244:C255)*100</f>
        <v/>
      </c>
    </row>
    <row r="256">
      <c r="A256" t="inlineStr">
        <is>
          <t>2011M3</t>
        </is>
      </c>
      <c r="B256" t="n">
        <v>1424.010869565217</v>
      </c>
      <c r="C256">
        <f>LN(B256/B255)*100</f>
        <v/>
      </c>
      <c r="D256">
        <f>STDEV(C254:C256)*SQRT(4)*100</f>
        <v/>
      </c>
      <c r="E256">
        <f>STDEV(C245:C256)*100</f>
        <v/>
      </c>
    </row>
    <row r="257">
      <c r="A257" t="inlineStr">
        <is>
          <t>2011M4</t>
        </is>
      </c>
      <c r="B257" t="n">
        <v>1473.805555555556</v>
      </c>
      <c r="C257">
        <f>LN(B257/B256)*100</f>
        <v/>
      </c>
      <c r="D257">
        <f>STDEV(C255:C257)*SQRT(4)*100</f>
        <v/>
      </c>
      <c r="E257">
        <f>STDEV(C246:C257)*100</f>
        <v/>
      </c>
    </row>
    <row r="258">
      <c r="A258" t="inlineStr">
        <is>
          <t>2011M5</t>
        </is>
      </c>
      <c r="B258" t="n">
        <v>1510.4375</v>
      </c>
      <c r="C258">
        <f>LN(B258/B257)*100</f>
        <v/>
      </c>
      <c r="D258">
        <f>STDEV(C256:C258)*SQRT(4)*100</f>
        <v/>
      </c>
      <c r="E258">
        <f>STDEV(C247:C258)*100</f>
        <v/>
      </c>
    </row>
    <row r="259">
      <c r="A259" t="inlineStr">
        <is>
          <t>2011M6</t>
        </is>
      </c>
      <c r="B259" t="n">
        <v>1528.659090909091</v>
      </c>
      <c r="C259">
        <f>LN(B259/B258)*100</f>
        <v/>
      </c>
      <c r="D259">
        <f>STDEV(C257:C259)*SQRT(4)*100</f>
        <v/>
      </c>
      <c r="E259">
        <f>STDEV(C248:C259)*100</f>
        <v/>
      </c>
    </row>
    <row r="260">
      <c r="A260" t="inlineStr">
        <is>
          <t>2011M7</t>
        </is>
      </c>
      <c r="B260" t="n">
        <v>1572.809523809524</v>
      </c>
      <c r="C260">
        <f>LN(B260/B259)*100</f>
        <v/>
      </c>
      <c r="D260">
        <f>STDEV(C258:C260)*SQRT(4)*100</f>
        <v/>
      </c>
      <c r="E260">
        <f>STDEV(C249:C260)*100</f>
        <v/>
      </c>
    </row>
    <row r="261">
      <c r="A261" t="inlineStr">
        <is>
          <t>2011M8</t>
        </is>
      </c>
      <c r="B261" t="n">
        <v>1755.806818181818</v>
      </c>
      <c r="C261">
        <f>LN(B261/B260)*100</f>
        <v/>
      </c>
      <c r="D261">
        <f>STDEV(C259:C261)*SQRT(4)*100</f>
        <v/>
      </c>
      <c r="E261">
        <f>STDEV(C250:C261)*100</f>
        <v/>
      </c>
    </row>
    <row r="262">
      <c r="A262" t="inlineStr">
        <is>
          <t>2011M9</t>
        </is>
      </c>
      <c r="B262" t="n">
        <v>1771.852272727273</v>
      </c>
      <c r="C262">
        <f>LN(B262/B261)*100</f>
        <v/>
      </c>
      <c r="D262">
        <f>STDEV(C260:C262)*SQRT(4)*100</f>
        <v/>
      </c>
      <c r="E262">
        <f>STDEV(C251:C262)*100</f>
        <v/>
      </c>
    </row>
    <row r="263">
      <c r="A263" t="inlineStr">
        <is>
          <t>2011M10</t>
        </is>
      </c>
      <c r="B263" t="n">
        <v>1665.214285714286</v>
      </c>
      <c r="C263">
        <f>LN(B263/B262)*100</f>
        <v/>
      </c>
      <c r="D263">
        <f>STDEV(C261:C263)*SQRT(4)*100</f>
        <v/>
      </c>
      <c r="E263">
        <f>STDEV(C252:C263)*100</f>
        <v/>
      </c>
    </row>
    <row r="264">
      <c r="A264" t="inlineStr">
        <is>
          <t>2011M11</t>
        </is>
      </c>
      <c r="B264" t="n">
        <v>1738.977272727273</v>
      </c>
      <c r="C264">
        <f>LN(B264/B263)*100</f>
        <v/>
      </c>
      <c r="D264">
        <f>STDEV(C262:C264)*SQRT(4)*100</f>
        <v/>
      </c>
      <c r="E264">
        <f>STDEV(C253:C264)*100</f>
        <v/>
      </c>
    </row>
    <row r="265">
      <c r="A265" t="inlineStr">
        <is>
          <t>2011M12</t>
        </is>
      </c>
      <c r="B265" t="n">
        <v>1652.305555555556</v>
      </c>
      <c r="C265">
        <f>LN(B265/B264)*100</f>
        <v/>
      </c>
      <c r="D265">
        <f>STDEV(C263:C265)*SQRT(4)*100</f>
        <v/>
      </c>
      <c r="E265">
        <f>STDEV(C254:C265)*100</f>
        <v/>
      </c>
    </row>
    <row r="266">
      <c r="A266" t="inlineStr">
        <is>
          <t>2012M1</t>
        </is>
      </c>
      <c r="B266" t="n">
        <v>1656.119047619048</v>
      </c>
      <c r="C266">
        <f>LN(B266/B265)*100</f>
        <v/>
      </c>
      <c r="D266">
        <f>STDEV(C264:C266)*SQRT(4)*100</f>
        <v/>
      </c>
      <c r="E266">
        <f>STDEV(C255:C266)*100</f>
        <v/>
      </c>
    </row>
    <row r="267">
      <c r="A267" t="inlineStr">
        <is>
          <t>2012M2</t>
        </is>
      </c>
      <c r="B267" t="n">
        <v>1742.619047619048</v>
      </c>
      <c r="C267">
        <f>LN(B267/B266)*100</f>
        <v/>
      </c>
      <c r="D267">
        <f>STDEV(C265:C267)*SQRT(4)*100</f>
        <v/>
      </c>
      <c r="E267">
        <f>STDEV(C256:C267)*100</f>
        <v/>
      </c>
    </row>
    <row r="268">
      <c r="A268" t="inlineStr">
        <is>
          <t>2012M3</t>
        </is>
      </c>
      <c r="B268" t="n">
        <v>1673.772727272727</v>
      </c>
      <c r="C268">
        <f>LN(B268/B267)*100</f>
        <v/>
      </c>
      <c r="D268">
        <f>STDEV(C266:C268)*SQRT(4)*100</f>
        <v/>
      </c>
      <c r="E268">
        <f>STDEV(C257:C268)*100</f>
        <v/>
      </c>
    </row>
    <row r="269">
      <c r="A269" t="inlineStr">
        <is>
          <t>2012M4</t>
        </is>
      </c>
      <c r="B269" t="n">
        <v>1650.065789473684</v>
      </c>
      <c r="C269">
        <f>LN(B269/B268)*100</f>
        <v/>
      </c>
      <c r="D269">
        <f>STDEV(C267:C269)*SQRT(4)*100</f>
        <v/>
      </c>
      <c r="E269">
        <f>STDEV(C258:C269)*100</f>
        <v/>
      </c>
    </row>
    <row r="270">
      <c r="A270" t="inlineStr">
        <is>
          <t>2012M5</t>
        </is>
      </c>
      <c r="B270" t="n">
        <v>1585.504545454546</v>
      </c>
      <c r="C270">
        <f>LN(B270/B269)*100</f>
        <v/>
      </c>
      <c r="D270">
        <f>STDEV(C268:C270)*SQRT(4)*100</f>
        <v/>
      </c>
      <c r="E270">
        <f>STDEV(C259:C270)*100</f>
        <v/>
      </c>
    </row>
    <row r="271">
      <c r="A271" t="inlineStr">
        <is>
          <t>2012M6</t>
        </is>
      </c>
      <c r="B271" t="n">
        <v>1596.697368421053</v>
      </c>
      <c r="C271">
        <f>LN(B271/B270)*100</f>
        <v/>
      </c>
      <c r="D271">
        <f>STDEV(C269:C271)*SQRT(4)*100</f>
        <v/>
      </c>
      <c r="E271">
        <f>STDEV(C260:C271)*100</f>
        <v/>
      </c>
    </row>
    <row r="272">
      <c r="A272" t="inlineStr">
        <is>
          <t>2012M7</t>
        </is>
      </c>
      <c r="B272" t="n">
        <v>1593.909090909091</v>
      </c>
      <c r="C272">
        <f>LN(B272/B271)*100</f>
        <v/>
      </c>
      <c r="D272">
        <f>STDEV(C270:C272)*SQRT(4)*100</f>
        <v/>
      </c>
      <c r="E272">
        <f>STDEV(C261:C272)*100</f>
        <v/>
      </c>
    </row>
    <row r="273">
      <c r="A273" t="inlineStr">
        <is>
          <t>2012M8</t>
        </is>
      </c>
      <c r="B273" t="n">
        <v>1626.034090909091</v>
      </c>
      <c r="C273">
        <f>LN(B273/B272)*100</f>
        <v/>
      </c>
      <c r="D273">
        <f>STDEV(C271:C273)*SQRT(4)*100</f>
        <v/>
      </c>
      <c r="E273">
        <f>STDEV(C262:C273)*100</f>
        <v/>
      </c>
    </row>
    <row r="274">
      <c r="A274" t="inlineStr">
        <is>
          <t>2012M9</t>
        </is>
      </c>
      <c r="B274" t="n">
        <v>1744.45</v>
      </c>
      <c r="C274">
        <f>LN(B274/B273)*100</f>
        <v/>
      </c>
      <c r="D274">
        <f>STDEV(C272:C274)*SQRT(4)*100</f>
        <v/>
      </c>
      <c r="E274">
        <f>STDEV(C263:C274)*100</f>
        <v/>
      </c>
    </row>
    <row r="275">
      <c r="A275" t="inlineStr">
        <is>
          <t>2012M10</t>
        </is>
      </c>
      <c r="B275" t="n">
        <v>1747.010869565217</v>
      </c>
      <c r="C275">
        <f>LN(B275/B274)*100</f>
        <v/>
      </c>
      <c r="D275">
        <f>STDEV(C273:C275)*SQRT(4)*100</f>
        <v/>
      </c>
      <c r="E275">
        <f>STDEV(C264:C275)*100</f>
        <v/>
      </c>
    </row>
    <row r="276">
      <c r="A276" t="inlineStr">
        <is>
          <t>2012M11</t>
        </is>
      </c>
      <c r="B276" t="n">
        <v>1721.136363636364</v>
      </c>
      <c r="C276">
        <f>LN(B276/B275)*100</f>
        <v/>
      </c>
      <c r="D276">
        <f>STDEV(C274:C276)*SQRT(4)*100</f>
        <v/>
      </c>
      <c r="E276">
        <f>STDEV(C265:C276)*100</f>
        <v/>
      </c>
    </row>
    <row r="277">
      <c r="A277" t="inlineStr">
        <is>
          <t>2012M12</t>
        </is>
      </c>
      <c r="B277" t="n">
        <v>1688.529411764706</v>
      </c>
      <c r="C277">
        <f>LN(B277/B276)*100</f>
        <v/>
      </c>
      <c r="D277">
        <f>STDEV(C275:C277)*SQRT(4)*100</f>
        <v/>
      </c>
      <c r="E277">
        <f>STDEV(C266:C277)*100</f>
        <v/>
      </c>
    </row>
    <row r="278">
      <c r="A278" t="inlineStr">
        <is>
          <t>2013M1</t>
        </is>
      </c>
      <c r="B278" t="n">
        <v>1670.954545454545</v>
      </c>
      <c r="C278">
        <f>LN(B278/B277)*100</f>
        <v/>
      </c>
      <c r="D278">
        <f>STDEV(C276:C278)*SQRT(4)*100</f>
        <v/>
      </c>
      <c r="E278">
        <f>STDEV(C267:C278)*100</f>
        <v/>
      </c>
    </row>
    <row r="279">
      <c r="A279" t="inlineStr">
        <is>
          <t>2013M2</t>
        </is>
      </c>
      <c r="B279" t="n">
        <v>1627.5875</v>
      </c>
      <c r="C279">
        <f>LN(B279/B278)*100</f>
        <v/>
      </c>
      <c r="D279">
        <f>STDEV(C277:C279)*SQRT(4)*100</f>
        <v/>
      </c>
      <c r="E279">
        <f>STDEV(C268:C279)*100</f>
        <v/>
      </c>
    </row>
    <row r="280">
      <c r="A280" t="inlineStr">
        <is>
          <t>2013M3</t>
        </is>
      </c>
      <c r="B280" t="n">
        <v>1592.8625</v>
      </c>
      <c r="C280">
        <f>LN(B280/B279)*100</f>
        <v/>
      </c>
      <c r="D280">
        <f>STDEV(C278:C280)*SQRT(4)*100</f>
        <v/>
      </c>
      <c r="E280">
        <f>STDEV(C269:C280)*100</f>
        <v/>
      </c>
    </row>
    <row r="281">
      <c r="A281" t="inlineStr">
        <is>
          <t>2013M4</t>
        </is>
      </c>
      <c r="B281" t="n">
        <v>1485.083333333333</v>
      </c>
      <c r="C281">
        <f>LN(B281/B280)*100</f>
        <v/>
      </c>
      <c r="D281">
        <f>STDEV(C279:C281)*SQRT(4)*100</f>
        <v/>
      </c>
      <c r="E281">
        <f>STDEV(C270:C281)*100</f>
        <v/>
      </c>
    </row>
    <row r="282">
      <c r="A282" t="inlineStr">
        <is>
          <t>2013M5</t>
        </is>
      </c>
      <c r="B282" t="n">
        <v>1413.5</v>
      </c>
      <c r="C282">
        <f>LN(B282/B281)*100</f>
        <v/>
      </c>
      <c r="D282">
        <f>STDEV(C280:C282)*SQRT(4)*100</f>
        <v/>
      </c>
      <c r="E282">
        <f>STDEV(C271:C282)*100</f>
        <v/>
      </c>
    </row>
    <row r="283">
      <c r="A283" t="inlineStr">
        <is>
          <t>2013M6</t>
        </is>
      </c>
      <c r="B283" t="n">
        <v>1342.3625</v>
      </c>
      <c r="C283">
        <f>LN(B283/B282)*100</f>
        <v/>
      </c>
      <c r="D283">
        <f>STDEV(C281:C283)*SQRT(4)*100</f>
        <v/>
      </c>
      <c r="E283">
        <f>STDEV(C272:C283)*100</f>
        <v/>
      </c>
    </row>
    <row r="284">
      <c r="A284" t="inlineStr">
        <is>
          <t>2013M7</t>
        </is>
      </c>
      <c r="B284" t="n">
        <v>1286.723913043478</v>
      </c>
      <c r="C284">
        <f>LN(B284/B283)*100</f>
        <v/>
      </c>
      <c r="D284">
        <f>STDEV(C282:C284)*SQRT(4)*100</f>
        <v/>
      </c>
      <c r="E284">
        <f>STDEV(C273:C284)*100</f>
        <v/>
      </c>
    </row>
    <row r="285">
      <c r="A285" t="inlineStr">
        <is>
          <t>2013M8</t>
        </is>
      </c>
      <c r="B285" t="n">
        <v>1347.095238095238</v>
      </c>
      <c r="C285">
        <f>LN(B285/B284)*100</f>
        <v/>
      </c>
      <c r="D285">
        <f>STDEV(C283:C285)*SQRT(4)*100</f>
        <v/>
      </c>
      <c r="E285">
        <f>STDEV(C274:C285)*100</f>
        <v/>
      </c>
    </row>
    <row r="286">
      <c r="A286" t="inlineStr">
        <is>
          <t>2013M9</t>
        </is>
      </c>
      <c r="B286" t="n">
        <v>1348.797619047619</v>
      </c>
      <c r="C286">
        <f>LN(B286/B285)*100</f>
        <v/>
      </c>
      <c r="D286">
        <f>STDEV(C284:C286)*SQRT(4)*100</f>
        <v/>
      </c>
      <c r="E286">
        <f>STDEV(C275:C286)*100</f>
        <v/>
      </c>
    </row>
    <row r="287">
      <c r="A287" t="inlineStr">
        <is>
          <t>2013M10</t>
        </is>
      </c>
      <c r="B287" t="n">
        <v>1316.184782608696</v>
      </c>
      <c r="C287">
        <f>LN(B287/B286)*100</f>
        <v/>
      </c>
      <c r="D287">
        <f>STDEV(C285:C287)*SQRT(4)*100</f>
        <v/>
      </c>
      <c r="E287">
        <f>STDEV(C276:C287)*100</f>
        <v/>
      </c>
    </row>
    <row r="288">
      <c r="A288" t="inlineStr">
        <is>
          <t>2013M11</t>
        </is>
      </c>
      <c r="B288" t="n">
        <v>1275.821428571429</v>
      </c>
      <c r="C288">
        <f>LN(B288/B287)*100</f>
        <v/>
      </c>
      <c r="D288">
        <f>STDEV(C286:C288)*SQRT(4)*100</f>
        <v/>
      </c>
      <c r="E288">
        <f>STDEV(C277:C288)*100</f>
        <v/>
      </c>
    </row>
    <row r="289">
      <c r="A289" t="inlineStr">
        <is>
          <t>2013M12</t>
        </is>
      </c>
      <c r="B289" t="n">
        <v>1225.402777777778</v>
      </c>
      <c r="C289">
        <f>LN(B289/B288)*100</f>
        <v/>
      </c>
      <c r="D289">
        <f>STDEV(C287:C289)*SQRT(4)*100</f>
        <v/>
      </c>
      <c r="E289">
        <f>STDEV(C278:C289)*100</f>
        <v/>
      </c>
    </row>
    <row r="290">
      <c r="A290" t="inlineStr">
        <is>
          <t>2014M1</t>
        </is>
      </c>
      <c r="B290" t="n">
        <v>1244.795454545455</v>
      </c>
      <c r="C290">
        <f>LN(B290/B289)*100</f>
        <v/>
      </c>
      <c r="D290">
        <f>STDEV(C288:C290)*SQRT(4)*100</f>
        <v/>
      </c>
      <c r="E290">
        <f>STDEV(C279:C290)*100</f>
        <v/>
      </c>
    </row>
    <row r="291">
      <c r="A291" t="inlineStr">
        <is>
          <t>2014M2</t>
        </is>
      </c>
      <c r="B291" t="n">
        <v>1300.975</v>
      </c>
      <c r="C291">
        <f>LN(B291/B290)*100</f>
        <v/>
      </c>
      <c r="D291">
        <f>STDEV(C289:C291)*SQRT(4)*100</f>
        <v/>
      </c>
      <c r="E291">
        <f>STDEV(C280:C291)*100</f>
        <v/>
      </c>
    </row>
    <row r="292">
      <c r="A292" t="inlineStr">
        <is>
          <t>2014M3</t>
        </is>
      </c>
      <c r="B292" t="n">
        <v>1336.083333333333</v>
      </c>
      <c r="C292">
        <f>LN(B292/B291)*100</f>
        <v/>
      </c>
      <c r="D292">
        <f>STDEV(C290:C292)*SQRT(4)*100</f>
        <v/>
      </c>
      <c r="E292">
        <f>STDEV(C281:C292)*100</f>
        <v/>
      </c>
    </row>
    <row r="293">
      <c r="A293" t="inlineStr">
        <is>
          <t>2014M4</t>
        </is>
      </c>
      <c r="B293" t="n">
        <v>1299</v>
      </c>
      <c r="C293">
        <f>LN(B293/B292)*100</f>
        <v/>
      </c>
      <c r="D293">
        <f>STDEV(C291:C293)*SQRT(4)*100</f>
        <v/>
      </c>
      <c r="E293">
        <f>STDEV(C282:C293)*100</f>
        <v/>
      </c>
    </row>
    <row r="294">
      <c r="A294" t="inlineStr">
        <is>
          <t>2014M5</t>
        </is>
      </c>
      <c r="B294" t="n">
        <v>1287.525</v>
      </c>
      <c r="C294">
        <f>LN(B294/B293)*100</f>
        <v/>
      </c>
      <c r="D294">
        <f>STDEV(C292:C294)*SQRT(4)*100</f>
        <v/>
      </c>
      <c r="E294">
        <f>STDEV(C283:C294)*100</f>
        <v/>
      </c>
    </row>
    <row r="295">
      <c r="A295" t="inlineStr">
        <is>
          <t>2014M6</t>
        </is>
      </c>
      <c r="B295" t="n">
        <v>1279.095238095238</v>
      </c>
      <c r="C295">
        <f>LN(B295/B294)*100</f>
        <v/>
      </c>
      <c r="D295">
        <f>STDEV(C293:C295)*SQRT(4)*100</f>
        <v/>
      </c>
      <c r="E295">
        <f>STDEV(C284:C295)*100</f>
        <v/>
      </c>
    </row>
    <row r="296">
      <c r="A296" t="inlineStr">
        <is>
          <t>2014M7</t>
        </is>
      </c>
      <c r="B296" t="n">
        <v>1310.967391304348</v>
      </c>
      <c r="C296">
        <f>LN(B296/B295)*100</f>
        <v/>
      </c>
      <c r="D296">
        <f>STDEV(C294:C296)*SQRT(4)*100</f>
        <v/>
      </c>
      <c r="E296">
        <f>STDEV(C285:C296)*100</f>
        <v/>
      </c>
    </row>
    <row r="297">
      <c r="A297" t="inlineStr">
        <is>
          <t>2014M8</t>
        </is>
      </c>
      <c r="B297" t="n">
        <v>1295.9875</v>
      </c>
      <c r="C297">
        <f>LN(B297/B296)*100</f>
        <v/>
      </c>
      <c r="D297">
        <f>STDEV(C295:C297)*SQRT(4)*100</f>
        <v/>
      </c>
      <c r="E297">
        <f>STDEV(C286:C297)*100</f>
        <v/>
      </c>
    </row>
    <row r="298">
      <c r="A298" t="inlineStr">
        <is>
          <t>2014M9</t>
        </is>
      </c>
      <c r="B298" t="n">
        <v>1238.818181818182</v>
      </c>
      <c r="C298">
        <f>LN(B298/B297)*100</f>
        <v/>
      </c>
      <c r="D298">
        <f>STDEV(C296:C298)*SQRT(4)*100</f>
        <v/>
      </c>
      <c r="E298">
        <f>STDEV(C287:C298)*100</f>
        <v/>
      </c>
    </row>
    <row r="299">
      <c r="A299" t="inlineStr">
        <is>
          <t>2014M10</t>
        </is>
      </c>
      <c r="B299" t="n">
        <v>1222.489130434783</v>
      </c>
      <c r="C299">
        <f>LN(B299/B298)*100</f>
        <v/>
      </c>
      <c r="D299">
        <f>STDEV(C297:C299)*SQRT(4)*100</f>
        <v/>
      </c>
      <c r="E299">
        <f>STDEV(C288:C299)*100</f>
        <v/>
      </c>
    </row>
    <row r="300">
      <c r="A300" t="inlineStr">
        <is>
          <t>2014M11</t>
        </is>
      </c>
      <c r="B300" t="n">
        <v>1176.3</v>
      </c>
      <c r="C300">
        <f>LN(B300/B299)*100</f>
        <v/>
      </c>
      <c r="D300">
        <f>STDEV(C298:C300)*SQRT(4)*100</f>
        <v/>
      </c>
      <c r="E300">
        <f>STDEV(C289:C300)*100</f>
        <v/>
      </c>
    </row>
    <row r="301">
      <c r="A301" t="inlineStr">
        <is>
          <t>2014M12</t>
        </is>
      </c>
      <c r="B301" t="n">
        <v>1202.289473684211</v>
      </c>
      <c r="C301">
        <f>LN(B301/B300)*100</f>
        <v/>
      </c>
      <c r="D301">
        <f>STDEV(C299:C301)*SQRT(4)*100</f>
        <v/>
      </c>
      <c r="E301">
        <f>STDEV(C290:C301)*100</f>
        <v/>
      </c>
    </row>
    <row r="302">
      <c r="A302" t="inlineStr">
        <is>
          <t>2015M1</t>
        </is>
      </c>
      <c r="B302" t="n">
        <v>1251.845238095238</v>
      </c>
      <c r="C302">
        <f>LN(B302/B301)*100</f>
        <v/>
      </c>
      <c r="D302">
        <f>STDEV(C300:C302)*SQRT(4)*100</f>
        <v/>
      </c>
      <c r="E302">
        <f>STDEV(C291:C302)*100</f>
        <v/>
      </c>
    </row>
    <row r="303">
      <c r="A303" t="inlineStr">
        <is>
          <t>2015M2</t>
        </is>
      </c>
      <c r="B303" t="n">
        <v>1227.1875</v>
      </c>
      <c r="C303">
        <f>LN(B303/B302)*100</f>
        <v/>
      </c>
      <c r="D303">
        <f>STDEV(C301:C303)*SQRT(4)*100</f>
        <v/>
      </c>
      <c r="E303">
        <f>STDEV(C292:C303)*100</f>
        <v/>
      </c>
    </row>
    <row r="304">
      <c r="A304" t="inlineStr">
        <is>
          <t>2015M3</t>
        </is>
      </c>
      <c r="B304" t="n">
        <v>1178.629545454546</v>
      </c>
      <c r="C304">
        <f>LN(B304/B303)*100</f>
        <v/>
      </c>
      <c r="D304">
        <f>STDEV(C302:C304)*SQRT(4)*100</f>
        <v/>
      </c>
      <c r="E304">
        <f>STDEV(C293:C304)*100</f>
        <v/>
      </c>
    </row>
    <row r="305">
      <c r="A305" t="inlineStr">
        <is>
          <t>2015M4</t>
        </is>
      </c>
      <c r="B305" t="n">
        <v>1197.91</v>
      </c>
      <c r="C305">
        <f>LN(B305/B304)*100</f>
        <v/>
      </c>
      <c r="D305">
        <f>STDEV(C303:C305)*SQRT(4)*100</f>
        <v/>
      </c>
      <c r="E305">
        <f>STDEV(C294:C305)*100</f>
        <v/>
      </c>
    </row>
    <row r="306">
      <c r="A306" t="inlineStr">
        <is>
          <t>2015M5</t>
        </is>
      </c>
      <c r="B306" t="n">
        <v>1199.052631578947</v>
      </c>
      <c r="C306">
        <f>LN(B306/B305)*100</f>
        <v/>
      </c>
      <c r="D306">
        <f>STDEV(C304:C306)*SQRT(4)*100</f>
        <v/>
      </c>
      <c r="E306">
        <f>STDEV(C295:C306)*100</f>
        <v/>
      </c>
    </row>
    <row r="307">
      <c r="A307" t="inlineStr">
        <is>
          <t>2015M6</t>
        </is>
      </c>
      <c r="B307" t="n">
        <v>1181.504545454546</v>
      </c>
      <c r="C307">
        <f>LN(B307/B306)*100</f>
        <v/>
      </c>
      <c r="D307">
        <f>STDEV(C305:C307)*SQRT(4)*100</f>
        <v/>
      </c>
      <c r="E307">
        <f>STDEV(C296:C307)*100</f>
        <v/>
      </c>
    </row>
    <row r="308">
      <c r="A308" t="inlineStr">
        <is>
          <t>2015M7</t>
        </is>
      </c>
      <c r="B308" t="n">
        <v>1130.036956521739</v>
      </c>
      <c r="C308">
        <f>LN(B308/B307)*100</f>
        <v/>
      </c>
      <c r="D308">
        <f>STDEV(C306:C308)*SQRT(4)*100</f>
        <v/>
      </c>
      <c r="E308">
        <f>STDEV(C297:C308)*100</f>
        <v/>
      </c>
    </row>
    <row r="309">
      <c r="A309" t="inlineStr">
        <is>
          <t>2015M8</t>
        </is>
      </c>
      <c r="B309" t="n">
        <v>1117.475</v>
      </c>
      <c r="C309">
        <f>LN(B309/B308)*100</f>
        <v/>
      </c>
      <c r="D309">
        <f>STDEV(C307:C309)*SQRT(4)*100</f>
        <v/>
      </c>
      <c r="E309">
        <f>STDEV(C298:C309)*100</f>
        <v/>
      </c>
    </row>
    <row r="310">
      <c r="A310" t="inlineStr">
        <is>
          <t>2015M9</t>
        </is>
      </c>
      <c r="B310" t="n">
        <v>1124.531818181818</v>
      </c>
      <c r="C310">
        <f>LN(B310/B309)*100</f>
        <v/>
      </c>
      <c r="D310">
        <f>STDEV(C308:C310)*SQRT(4)*100</f>
        <v/>
      </c>
      <c r="E310">
        <f>STDEV(C299:C310)*100</f>
        <v/>
      </c>
    </row>
    <row r="311">
      <c r="A311" t="inlineStr">
        <is>
          <t>2015M10</t>
        </is>
      </c>
      <c r="B311" t="n">
        <v>1159.245454545454</v>
      </c>
      <c r="C311">
        <f>LN(B311/B310)*100</f>
        <v/>
      </c>
      <c r="D311">
        <f>STDEV(C309:C311)*SQRT(4)*100</f>
        <v/>
      </c>
      <c r="E311">
        <f>STDEV(C300:C311)*100</f>
        <v/>
      </c>
    </row>
    <row r="312">
      <c r="A312" t="inlineStr">
        <is>
          <t>2015M11</t>
        </is>
      </c>
      <c r="B312" t="n">
        <v>1085.702380952381</v>
      </c>
      <c r="C312">
        <f>LN(B312/B311)*100</f>
        <v/>
      </c>
      <c r="D312">
        <f>STDEV(C310:C312)*SQRT(4)*100</f>
        <v/>
      </c>
      <c r="E312">
        <f>STDEV(C301:C312)*100</f>
        <v/>
      </c>
    </row>
    <row r="313">
      <c r="A313" t="inlineStr">
        <is>
          <t>2015M12</t>
        </is>
      </c>
      <c r="B313" t="n">
        <v>1068.252631578947</v>
      </c>
      <c r="C313">
        <f>LN(B313/B312)*100</f>
        <v/>
      </c>
      <c r="D313">
        <f>STDEV(C311:C313)*SQRT(4)*100</f>
        <v/>
      </c>
      <c r="E313">
        <f>STDEV(C302:C313)*100</f>
        <v/>
      </c>
    </row>
    <row r="314">
      <c r="A314" t="inlineStr">
        <is>
          <t>2016M1</t>
        </is>
      </c>
      <c r="B314" t="n">
        <v>1097.375</v>
      </c>
      <c r="C314">
        <f>LN(B314/B313)*100</f>
        <v/>
      </c>
      <c r="D314">
        <f>STDEV(C312:C314)*SQRT(4)*100</f>
        <v/>
      </c>
      <c r="E314">
        <f>STDEV(C303:C314)*100</f>
        <v/>
      </c>
    </row>
    <row r="315">
      <c r="A315" t="inlineStr">
        <is>
          <t>2016M2</t>
        </is>
      </c>
      <c r="B315" t="n">
        <v>1199.911904761905</v>
      </c>
      <c r="C315">
        <f>LN(B315/B314)*100</f>
        <v/>
      </c>
      <c r="D315">
        <f>STDEV(C313:C315)*SQRT(4)*100</f>
        <v/>
      </c>
      <c r="E315">
        <f>STDEV(C304:C315)*100</f>
        <v/>
      </c>
    </row>
    <row r="316">
      <c r="A316" t="inlineStr">
        <is>
          <t>2016M3</t>
        </is>
      </c>
      <c r="B316" t="n">
        <v>1246.338095238095</v>
      </c>
      <c r="C316">
        <f>LN(B316/B315)*100</f>
        <v/>
      </c>
      <c r="D316">
        <f>STDEV(C314:C316)*SQRT(4)*100</f>
        <v/>
      </c>
      <c r="E316">
        <f>STDEV(C305:C316)*100</f>
        <v/>
      </c>
    </row>
    <row r="317">
      <c r="A317" t="inlineStr">
        <is>
          <t>2016M4</t>
        </is>
      </c>
      <c r="B317" t="n">
        <v>1242.261904761905</v>
      </c>
      <c r="C317">
        <f>LN(B317/B316)*100</f>
        <v/>
      </c>
      <c r="D317">
        <f>STDEV(C315:C317)*SQRT(4)*100</f>
        <v/>
      </c>
      <c r="E317">
        <f>STDEV(C306:C317)*100</f>
        <v/>
      </c>
    </row>
    <row r="318">
      <c r="A318" t="inlineStr">
        <is>
          <t>2016M5</t>
        </is>
      </c>
      <c r="B318" t="n">
        <v>1259.3975</v>
      </c>
      <c r="C318">
        <f>LN(B318/B317)*100</f>
        <v/>
      </c>
      <c r="D318">
        <f>STDEV(C316:C318)*SQRT(4)*100</f>
        <v/>
      </c>
      <c r="E318">
        <f>STDEV(C307:C318)*100</f>
        <v/>
      </c>
    </row>
    <row r="319">
      <c r="A319" t="inlineStr">
        <is>
          <t>2016M6</t>
        </is>
      </c>
      <c r="B319" t="n">
        <v>1276.404545454545</v>
      </c>
      <c r="C319">
        <f>LN(B319/B318)*100</f>
        <v/>
      </c>
      <c r="D319">
        <f>STDEV(C317:C319)*SQRT(4)*100</f>
        <v/>
      </c>
      <c r="E319">
        <f>STDEV(C308:C319)*100</f>
        <v/>
      </c>
    </row>
    <row r="320">
      <c r="A320" t="inlineStr">
        <is>
          <t>2016M7</t>
        </is>
      </c>
      <c r="B320" t="n">
        <v>1337.326190476191</v>
      </c>
      <c r="C320">
        <f>LN(B320/B319)*100</f>
        <v/>
      </c>
      <c r="D320">
        <f>STDEV(C318:C320)*SQRT(4)*100</f>
        <v/>
      </c>
      <c r="E320">
        <f>STDEV(C309:C320)*100</f>
        <v/>
      </c>
    </row>
    <row r="321">
      <c r="A321" t="inlineStr">
        <is>
          <t>2016M8</t>
        </is>
      </c>
      <c r="B321" t="n">
        <v>1341.088636363637</v>
      </c>
      <c r="C321">
        <f>LN(B321/B320)*100</f>
        <v/>
      </c>
      <c r="D321">
        <f>STDEV(C319:C321)*SQRT(4)*100</f>
        <v/>
      </c>
      <c r="E321">
        <f>STDEV(C310:C321)*100</f>
        <v/>
      </c>
    </row>
    <row r="322">
      <c r="A322" t="inlineStr">
        <is>
          <t>2016M9</t>
        </is>
      </c>
      <c r="B322" t="n">
        <v>1326.029545454545</v>
      </c>
      <c r="C322">
        <f>LN(B322/B321)*100</f>
        <v/>
      </c>
      <c r="D322">
        <f>STDEV(C320:C322)*SQRT(4)*100</f>
        <v/>
      </c>
      <c r="E322">
        <f>STDEV(C311:C322)*100</f>
        <v/>
      </c>
    </row>
    <row r="323">
      <c r="A323" t="inlineStr">
        <is>
          <t>2016M10</t>
        </is>
      </c>
      <c r="B323" t="n">
        <v>1266.569047619048</v>
      </c>
      <c r="C323">
        <f>LN(B323/B322)*100</f>
        <v/>
      </c>
      <c r="D323">
        <f>STDEV(C321:C323)*SQRT(4)*100</f>
        <v/>
      </c>
      <c r="E323">
        <f>STDEV(C312:C323)*100</f>
        <v/>
      </c>
    </row>
    <row r="324">
      <c r="A324" t="inlineStr">
        <is>
          <t>2016M11</t>
        </is>
      </c>
      <c r="B324" t="n">
        <v>1235.979545454545</v>
      </c>
      <c r="C324">
        <f>LN(B324/B323)*100</f>
        <v/>
      </c>
      <c r="D324">
        <f>STDEV(C322:C324)*SQRT(4)*100</f>
        <v/>
      </c>
      <c r="E324">
        <f>STDEV(C313:C324)*100</f>
        <v/>
      </c>
    </row>
    <row r="325">
      <c r="A325" t="inlineStr">
        <is>
          <t>2016M12</t>
        </is>
      </c>
      <c r="B325" t="n">
        <v>1151.402777777778</v>
      </c>
      <c r="C325">
        <f>LN(B325/B324)*100</f>
        <v/>
      </c>
      <c r="D325">
        <f>STDEV(C323:C325)*SQRT(4)*100</f>
        <v/>
      </c>
      <c r="E325">
        <f>STDEV(C314:C325)*100</f>
        <v/>
      </c>
    </row>
    <row r="326">
      <c r="A326" t="inlineStr">
        <is>
          <t>2017M1</t>
        </is>
      </c>
      <c r="B326" t="n">
        <v>1192.616666666666</v>
      </c>
      <c r="C326">
        <f>LN(B326/B325)*100</f>
        <v/>
      </c>
      <c r="D326">
        <f>STDEV(C324:C326)*SQRT(4)*100</f>
        <v/>
      </c>
      <c r="E326">
        <f>STDEV(C315:C326)*100</f>
        <v/>
      </c>
    </row>
    <row r="327">
      <c r="A327" t="inlineStr">
        <is>
          <t>2017M2</t>
        </is>
      </c>
      <c r="B327" t="n">
        <v>1234.3575</v>
      </c>
      <c r="C327">
        <f>LN(B327/B326)*100</f>
        <v/>
      </c>
      <c r="D327">
        <f>STDEV(C325:C327)*SQRT(4)*100</f>
        <v/>
      </c>
      <c r="E327">
        <f>STDEV(C316:C327)*100</f>
        <v/>
      </c>
    </row>
    <row r="328">
      <c r="A328" t="inlineStr">
        <is>
          <t>2017M3</t>
        </is>
      </c>
      <c r="B328" t="n">
        <v>1231.093478260869</v>
      </c>
      <c r="C328">
        <f>LN(B328/B327)*100</f>
        <v/>
      </c>
      <c r="D328">
        <f>STDEV(C326:C328)*SQRT(4)*100</f>
        <v/>
      </c>
      <c r="E328">
        <f>STDEV(C317:C328)*100</f>
        <v/>
      </c>
    </row>
    <row r="329">
      <c r="A329" t="inlineStr">
        <is>
          <t>2017M4</t>
        </is>
      </c>
      <c r="B329" t="n">
        <v>1265.627777777778</v>
      </c>
      <c r="C329">
        <f>LN(B329/B328)*100</f>
        <v/>
      </c>
      <c r="D329">
        <f>STDEV(C327:C329)*SQRT(4)*100</f>
        <v/>
      </c>
      <c r="E329">
        <f>STDEV(C318:C329)*100</f>
        <v/>
      </c>
    </row>
    <row r="330">
      <c r="A330" t="inlineStr">
        <is>
          <t>2017M5</t>
        </is>
      </c>
      <c r="B330" t="n">
        <v>1245.004761904762</v>
      </c>
      <c r="C330">
        <f>LN(B330/B329)*100</f>
        <v/>
      </c>
      <c r="D330">
        <f>STDEV(C328:C330)*SQRT(4)*100</f>
        <v/>
      </c>
      <c r="E330">
        <f>STDEV(C319:C330)*100</f>
        <v/>
      </c>
    </row>
    <row r="331">
      <c r="A331" t="inlineStr">
        <is>
          <t>2017M6</t>
        </is>
      </c>
      <c r="B331" t="n">
        <v>1260.256818181818</v>
      </c>
      <c r="C331">
        <f>LN(B331/B330)*100</f>
        <v/>
      </c>
      <c r="D331">
        <f>STDEV(C329:C331)*SQRT(4)*100</f>
        <v/>
      </c>
      <c r="E331">
        <f>STDEV(C320:C331)*100</f>
        <v/>
      </c>
    </row>
    <row r="332">
      <c r="A332" t="inlineStr">
        <is>
          <t>2017M7</t>
        </is>
      </c>
      <c r="B332" t="n">
        <v>1236.221428571428</v>
      </c>
      <c r="C332">
        <f>LN(B332/B331)*100</f>
        <v/>
      </c>
      <c r="D332">
        <f>STDEV(C330:C332)*SQRT(4)*100</f>
        <v/>
      </c>
      <c r="E332">
        <f>STDEV(C321:C332)*100</f>
        <v/>
      </c>
    </row>
    <row r="333">
      <c r="A333" t="inlineStr">
        <is>
          <t>2017M8</t>
        </is>
      </c>
      <c r="B333" t="n">
        <v>1282.315909090909</v>
      </c>
      <c r="C333">
        <f>LN(B333/B332)*100</f>
        <v/>
      </c>
      <c r="D333">
        <f>STDEV(C331:C333)*SQRT(4)*100</f>
        <v/>
      </c>
      <c r="E333">
        <f>STDEV(C322:C333)*100</f>
        <v/>
      </c>
    </row>
    <row r="334">
      <c r="A334" t="inlineStr">
        <is>
          <t>2017M9</t>
        </is>
      </c>
      <c r="B334" t="n">
        <v>1314.978571428571</v>
      </c>
      <c r="C334">
        <f>LN(B334/B333)*100</f>
        <v/>
      </c>
      <c r="D334">
        <f>STDEV(C332:C334)*SQRT(4)*100</f>
        <v/>
      </c>
      <c r="E334">
        <f>STDEV(C323:C334)*100</f>
        <v/>
      </c>
    </row>
    <row r="335">
      <c r="A335" t="inlineStr">
        <is>
          <t>2017M10</t>
        </is>
      </c>
      <c r="B335" t="n">
        <v>1279.513636363637</v>
      </c>
      <c r="C335">
        <f>LN(B335/B334)*100</f>
        <v/>
      </c>
      <c r="D335">
        <f>STDEV(C333:C335)*SQRT(4)*100</f>
        <v/>
      </c>
      <c r="E335">
        <f>STDEV(C324:C335)*100</f>
        <v/>
      </c>
    </row>
    <row r="336">
      <c r="A336" t="inlineStr">
        <is>
          <t>2017M11</t>
        </is>
      </c>
      <c r="B336" t="n">
        <v>1282.284090909091</v>
      </c>
      <c r="C336">
        <f>LN(B336/B335)*100</f>
        <v/>
      </c>
      <c r="D336">
        <f>STDEV(C334:C336)*SQRT(4)*100</f>
        <v/>
      </c>
      <c r="E336">
        <f>STDEV(C325:C336)*100</f>
        <v/>
      </c>
    </row>
    <row r="337">
      <c r="A337" t="inlineStr">
        <is>
          <t>2017M12</t>
        </is>
      </c>
      <c r="B337" t="n">
        <v>1261.255882352941</v>
      </c>
      <c r="C337">
        <f>LN(B337/B336)*100</f>
        <v/>
      </c>
      <c r="D337">
        <f>STDEV(C335:C337)*SQRT(4)*100</f>
        <v/>
      </c>
      <c r="E337">
        <f>STDEV(C326:C337)*100</f>
        <v/>
      </c>
    </row>
    <row r="338">
      <c r="A338" t="inlineStr">
        <is>
          <t>2018M1</t>
        </is>
      </c>
      <c r="B338" t="n">
        <v>1331.665909090909</v>
      </c>
      <c r="C338">
        <f>LN(B338/B337)*100</f>
        <v/>
      </c>
      <c r="D338">
        <f>STDEV(C336:C338)*SQRT(4)*100</f>
        <v/>
      </c>
      <c r="E338">
        <f>STDEV(C327:C338)*100</f>
        <v/>
      </c>
    </row>
    <row r="339">
      <c r="A339" t="inlineStr">
        <is>
          <t>2018M2</t>
        </is>
      </c>
      <c r="B339" t="n">
        <v>1331.525</v>
      </c>
      <c r="C339">
        <f>LN(B339/B338)*100</f>
        <v/>
      </c>
      <c r="D339">
        <f>STDEV(C337:C339)*SQRT(4)*100</f>
        <v/>
      </c>
      <c r="E339">
        <f>STDEV(C328:C339)*100</f>
        <v/>
      </c>
    </row>
    <row r="340">
      <c r="A340" t="inlineStr">
        <is>
          <t>2018M3</t>
        </is>
      </c>
      <c r="B340" t="n">
        <v>1324.657142857143</v>
      </c>
      <c r="C340">
        <f>LN(B340/B339)*100</f>
        <v/>
      </c>
      <c r="D340">
        <f>STDEV(C338:C340)*SQRT(4)*100</f>
        <v/>
      </c>
      <c r="E340">
        <f>STDEV(C329:C340)*100</f>
        <v/>
      </c>
    </row>
    <row r="341">
      <c r="A341" t="inlineStr">
        <is>
          <t>2018M4</t>
        </is>
      </c>
      <c r="B341" t="n">
        <v>1334.74</v>
      </c>
      <c r="C341">
        <f>LN(B341/B340)*100</f>
        <v/>
      </c>
      <c r="D341">
        <f>STDEV(C339:C341)*SQRT(4)*100</f>
        <v/>
      </c>
      <c r="E341">
        <f>STDEV(C330:C341)*100</f>
        <v/>
      </c>
    </row>
    <row r="342">
      <c r="A342" t="inlineStr">
        <is>
          <t>2018M5</t>
        </is>
      </c>
      <c r="B342" t="n">
        <v>1303.02619047619</v>
      </c>
      <c r="C342">
        <f>LN(B342/B341)*100</f>
        <v/>
      </c>
      <c r="D342">
        <f>STDEV(C340:C342)*SQRT(4)*100</f>
        <v/>
      </c>
      <c r="E342">
        <f>STDEV(C331:C342)*100</f>
        <v/>
      </c>
    </row>
    <row r="343">
      <c r="A343" t="inlineStr">
        <is>
          <t>2018M6</t>
        </is>
      </c>
      <c r="B343" t="n">
        <v>1281.566666666667</v>
      </c>
      <c r="C343">
        <f>LN(B343/B342)*100</f>
        <v/>
      </c>
      <c r="D343">
        <f>STDEV(C341:C343)*SQRT(4)*100</f>
        <v/>
      </c>
      <c r="E343">
        <f>STDEV(C332:C343)*100</f>
        <v/>
      </c>
    </row>
    <row r="344">
      <c r="A344" t="inlineStr">
        <is>
          <t>2018M7</t>
        </is>
      </c>
      <c r="B344" t="n">
        <v>1238.525</v>
      </c>
      <c r="C344">
        <f>LN(B344/B343)*100</f>
        <v/>
      </c>
      <c r="D344">
        <f>STDEV(C342:C344)*SQRT(4)*100</f>
        <v/>
      </c>
      <c r="E344">
        <f>STDEV(C333:C344)*100</f>
        <v/>
      </c>
    </row>
    <row r="345">
      <c r="A345" t="inlineStr">
        <is>
          <t>2018M8</t>
        </is>
      </c>
      <c r="B345" t="n">
        <v>1201.245454545454</v>
      </c>
      <c r="C345">
        <f>LN(B345/B344)*100</f>
        <v/>
      </c>
      <c r="D345">
        <f>STDEV(C343:C345)*SQRT(4)*100</f>
        <v/>
      </c>
      <c r="E345">
        <f>STDEV(C334:C345)*100</f>
        <v/>
      </c>
    </row>
    <row r="346">
      <c r="A346" t="inlineStr">
        <is>
          <t>2018M9</t>
        </is>
      </c>
      <c r="B346" t="n">
        <v>1198.4725</v>
      </c>
      <c r="C346">
        <f>LN(B346/B345)*100</f>
        <v/>
      </c>
      <c r="D346">
        <f>STDEV(C344:C346)*SQRT(4)*100</f>
        <v/>
      </c>
      <c r="E346">
        <f>STDEV(C335:C346)*100</f>
        <v/>
      </c>
    </row>
    <row r="347">
      <c r="A347" t="inlineStr">
        <is>
          <t>2018M10</t>
        </is>
      </c>
      <c r="B347" t="n">
        <v>1215.393478260869</v>
      </c>
      <c r="C347">
        <f>LN(B347/B346)*100</f>
        <v/>
      </c>
      <c r="D347">
        <f>STDEV(C345:C347)*SQRT(4)*100</f>
        <v/>
      </c>
      <c r="E347">
        <f>STDEV(C336:C347)*100</f>
        <v/>
      </c>
    </row>
    <row r="348">
      <c r="A348" t="inlineStr">
        <is>
          <t>2018M11</t>
        </is>
      </c>
      <c r="B348" t="n">
        <v>1220.945454545455</v>
      </c>
      <c r="C348">
        <f>LN(B348/B347)*100</f>
        <v/>
      </c>
      <c r="D348">
        <f>STDEV(C346:C348)*SQRT(4)*100</f>
        <v/>
      </c>
      <c r="E348">
        <f>STDEV(C337:C348)*100</f>
        <v/>
      </c>
    </row>
    <row r="349">
      <c r="A349" t="inlineStr">
        <is>
          <t>2018M12</t>
        </is>
      </c>
      <c r="B349" t="n">
        <v>1247.923529411765</v>
      </c>
      <c r="C349">
        <f>LN(B349/B348)*100</f>
        <v/>
      </c>
      <c r="D349">
        <f>STDEV(C347:C349)*SQRT(4)*100</f>
        <v/>
      </c>
      <c r="E349">
        <f>STDEV(C338:C349)*100</f>
        <v/>
      </c>
    </row>
    <row r="350">
      <c r="A350" t="inlineStr">
        <is>
          <t>2019M1</t>
        </is>
      </c>
      <c r="B350" t="n">
        <v>1291.745454545454</v>
      </c>
      <c r="C350">
        <f>LN(B350/B349)*100</f>
        <v/>
      </c>
      <c r="D350">
        <f>STDEV(C348:C350)*SQRT(4)*100</f>
        <v/>
      </c>
      <c r="E350">
        <f>STDEV(C339:C350)*100</f>
        <v/>
      </c>
    </row>
    <row r="351">
      <c r="A351" t="inlineStr">
        <is>
          <t>2019M2</t>
        </is>
      </c>
      <c r="B351" t="n">
        <v>1320.065</v>
      </c>
      <c r="C351">
        <f>LN(B351/B350)*100</f>
        <v/>
      </c>
      <c r="D351">
        <f>STDEV(C349:C351)*SQRT(4)*100</f>
        <v/>
      </c>
      <c r="E351">
        <f>STDEV(C340:C351)*100</f>
        <v/>
      </c>
    </row>
    <row r="352">
      <c r="A352" t="inlineStr">
        <is>
          <t>2019M3</t>
        </is>
      </c>
      <c r="B352" t="n">
        <v>1300.897619047619</v>
      </c>
      <c r="C352">
        <f>LN(B352/B351)*100</f>
        <v/>
      </c>
      <c r="D352">
        <f>STDEV(C350:C352)*SQRT(4)*100</f>
        <v/>
      </c>
      <c r="E352">
        <f>STDEV(C341:C352)*100</f>
        <v/>
      </c>
    </row>
    <row r="353">
      <c r="A353" t="inlineStr">
        <is>
          <t>2019M4</t>
        </is>
      </c>
      <c r="B353" t="n">
        <v>1286.445</v>
      </c>
      <c r="C353">
        <f>LN(B353/B352)*100</f>
        <v/>
      </c>
      <c r="D353">
        <f>STDEV(C351:C353)*SQRT(4)*100</f>
        <v/>
      </c>
      <c r="E353">
        <f>STDEV(C342:C353)*100</f>
        <v/>
      </c>
    </row>
    <row r="354">
      <c r="A354" t="inlineStr">
        <is>
          <t>2019M5</t>
        </is>
      </c>
      <c r="B354" t="n">
        <v>1283.947619047619</v>
      </c>
      <c r="C354">
        <f>LN(B354/B353)*100</f>
        <v/>
      </c>
      <c r="D354">
        <f>STDEV(C352:C354)*SQRT(4)*100</f>
        <v/>
      </c>
      <c r="E354">
        <f>STDEV(C343:C354)*100</f>
        <v/>
      </c>
    </row>
    <row r="355">
      <c r="A355" t="inlineStr">
        <is>
          <t>2019M6</t>
        </is>
      </c>
      <c r="B355" t="n">
        <v>1359.0425</v>
      </c>
      <c r="C355">
        <f>LN(B355/B354)*100</f>
        <v/>
      </c>
      <c r="D355">
        <f>STDEV(C353:C355)*SQRT(4)*100</f>
        <v/>
      </c>
      <c r="E355">
        <f>STDEV(C344:C355)*100</f>
        <v/>
      </c>
    </row>
    <row r="356">
      <c r="A356" t="inlineStr">
        <is>
          <t>2019M7</t>
        </is>
      </c>
      <c r="B356" t="n">
        <v>1412.978260869565</v>
      </c>
      <c r="C356">
        <f>LN(B356/B355)*100</f>
        <v/>
      </c>
      <c r="D356">
        <f>STDEV(C354:C356)*SQRT(4)*100</f>
        <v/>
      </c>
      <c r="E356">
        <f>STDEV(C345:C356)*100</f>
        <v/>
      </c>
    </row>
    <row r="357">
      <c r="A357" t="inlineStr">
        <is>
          <t>2019M8</t>
        </is>
      </c>
      <c r="B357" t="n">
        <v>1498.797619047619</v>
      </c>
      <c r="C357">
        <f>LN(B357/B356)*100</f>
        <v/>
      </c>
      <c r="D357">
        <f>STDEV(C355:C357)*SQRT(4)*100</f>
        <v/>
      </c>
      <c r="E357">
        <f>STDEV(C346:C357)*100</f>
        <v/>
      </c>
    </row>
    <row r="358">
      <c r="A358" t="inlineStr">
        <is>
          <t>2019M9</t>
        </is>
      </c>
      <c r="B358" t="n">
        <v>1511.314285714286</v>
      </c>
      <c r="C358">
        <f>LN(B358/B357)*100</f>
        <v/>
      </c>
      <c r="D358">
        <f>STDEV(C356:C358)*SQRT(4)*100</f>
        <v/>
      </c>
      <c r="E358">
        <f>STDEV(C347:C358)*100</f>
        <v/>
      </c>
    </row>
    <row r="359">
      <c r="A359" t="inlineStr">
        <is>
          <t>2019M10</t>
        </is>
      </c>
      <c r="B359" t="n">
        <v>1494.8</v>
      </c>
      <c r="C359">
        <f>LN(B359/B358)*100</f>
        <v/>
      </c>
      <c r="D359">
        <f>STDEV(C357:C359)*SQRT(4)*100</f>
        <v/>
      </c>
      <c r="E359">
        <f>STDEV(C348:C359)*100</f>
        <v/>
      </c>
    </row>
    <row r="360">
      <c r="A360" t="inlineStr">
        <is>
          <t>2019M11</t>
        </is>
      </c>
      <c r="B360" t="n">
        <v>1470.016666666667</v>
      </c>
      <c r="C360">
        <f>LN(B360/B359)*100</f>
        <v/>
      </c>
      <c r="D360">
        <f>STDEV(C358:C360)*SQRT(4)*100</f>
        <v/>
      </c>
      <c r="E360">
        <f>STDEV(C349:C360)*100</f>
        <v/>
      </c>
    </row>
    <row r="361">
      <c r="A361" t="inlineStr">
        <is>
          <t>2019M12</t>
        </is>
      </c>
      <c r="B361" t="n">
        <v>1476.044444444444</v>
      </c>
      <c r="C361">
        <f>LN(B361/B360)*100</f>
        <v/>
      </c>
      <c r="D361">
        <f>STDEV(C359:C361)*SQRT(4)*100</f>
        <v/>
      </c>
      <c r="E361">
        <f>STDEV(C350:C361)*100</f>
        <v/>
      </c>
    </row>
    <row r="362">
      <c r="A362" t="inlineStr">
        <is>
          <t>2020M1</t>
        </is>
      </c>
      <c r="B362" t="n">
        <v>1560.672727272727</v>
      </c>
      <c r="C362">
        <f>LN(B362/B361)*100</f>
        <v/>
      </c>
      <c r="D362">
        <f>STDEV(C360:C362)*SQRT(4)*100</f>
        <v/>
      </c>
      <c r="E362">
        <f>STDEV(C351:C362)*100</f>
        <v/>
      </c>
    </row>
    <row r="363">
      <c r="A363" t="inlineStr">
        <is>
          <t>2020M2</t>
        </is>
      </c>
      <c r="B363" t="n">
        <v>1597.1025</v>
      </c>
      <c r="C363">
        <f>LN(B363/B362)*100</f>
        <v/>
      </c>
      <c r="D363">
        <f>STDEV(C361:C363)*SQRT(4)*100</f>
        <v/>
      </c>
      <c r="E363">
        <f>STDEV(C352:C363)*100</f>
        <v/>
      </c>
    </row>
    <row r="364">
      <c r="A364" t="inlineStr">
        <is>
          <t>2020M3</t>
        </is>
      </c>
      <c r="B364" t="n">
        <v>1591.927272727273</v>
      </c>
      <c r="C364">
        <f>LN(B364/B363)*100</f>
        <v/>
      </c>
      <c r="D364">
        <f>STDEV(C362:C364)*SQRT(4)*100</f>
        <v/>
      </c>
      <c r="E364">
        <f>STDEV(C353:C364)*100</f>
        <v/>
      </c>
    </row>
    <row r="365">
      <c r="A365" t="inlineStr">
        <is>
          <t>2020M4</t>
        </is>
      </c>
      <c r="B365" t="n">
        <v>1682.93</v>
      </c>
      <c r="C365">
        <f>LN(B365/B364)*100</f>
        <v/>
      </c>
      <c r="D365">
        <f>STDEV(C363:C365)*SQRT(4)*100</f>
        <v/>
      </c>
      <c r="E365">
        <f>STDEV(C354:C365)*100</f>
        <v/>
      </c>
    </row>
    <row r="366">
      <c r="A366" t="inlineStr">
        <is>
          <t>2020M5</t>
        </is>
      </c>
      <c r="B366" t="n">
        <v>1716.381578947368</v>
      </c>
      <c r="C366">
        <f>LN(B366/B365)*100</f>
        <v/>
      </c>
      <c r="D366">
        <f>STDEV(C364:C366)*SQRT(4)*100</f>
        <v/>
      </c>
      <c r="E366">
        <f>STDEV(C355:C366)*100</f>
        <v/>
      </c>
    </row>
    <row r="367">
      <c r="A367" t="inlineStr">
        <is>
          <t>2020M6</t>
        </is>
      </c>
      <c r="B367" t="n">
        <v>1732.218181818182</v>
      </c>
      <c r="C367">
        <f>LN(B367/B366)*100</f>
        <v/>
      </c>
      <c r="D367">
        <f>STDEV(C365:C367)*SQRT(4)*100</f>
        <v/>
      </c>
      <c r="E367">
        <f>STDEV(C356:C367)*100</f>
        <v/>
      </c>
    </row>
    <row r="368">
      <c r="A368" t="inlineStr">
        <is>
          <t>2020M7</t>
        </is>
      </c>
      <c r="B368" t="n">
        <v>1843.313043478261</v>
      </c>
      <c r="C368">
        <f>LN(B368/B367)*100</f>
        <v/>
      </c>
      <c r="D368">
        <f>STDEV(C366:C368)*SQRT(4)*100</f>
        <v/>
      </c>
      <c r="E368">
        <f>STDEV(C357:C368)*100</f>
        <v/>
      </c>
    </row>
    <row r="369">
      <c r="A369" t="inlineStr">
        <is>
          <t>2020M8</t>
        </is>
      </c>
      <c r="B369" t="n">
        <v>1968.030952380952</v>
      </c>
      <c r="C369">
        <f>LN(B369/B368)*100</f>
        <v/>
      </c>
      <c r="D369">
        <f>STDEV(C367:C369)*SQRT(4)*100</f>
        <v/>
      </c>
      <c r="E369">
        <f>STDEV(C358:C369)*100</f>
        <v/>
      </c>
    </row>
    <row r="370">
      <c r="A370" t="inlineStr">
        <is>
          <t>2020M9</t>
        </is>
      </c>
      <c r="B370" t="n">
        <v>1922.213636363636</v>
      </c>
      <c r="C370">
        <f>LN(B370/B369)*100</f>
        <v/>
      </c>
      <c r="D370">
        <f>STDEV(C368:C370)*SQRT(4)*100</f>
        <v/>
      </c>
      <c r="E370">
        <f>STDEV(C359:C370)*100</f>
        <v/>
      </c>
    </row>
    <row r="371">
      <c r="A371" t="inlineStr">
        <is>
          <t>2020M10</t>
        </is>
      </c>
      <c r="B371" t="n">
        <v>1900.275</v>
      </c>
      <c r="C371">
        <f>LN(B371/B370)*100</f>
        <v/>
      </c>
      <c r="D371">
        <f>STDEV(C369:C371)*SQRT(4)*100</f>
        <v/>
      </c>
      <c r="E371">
        <f>STDEV(C360:C371)*100</f>
        <v/>
      </c>
    </row>
    <row r="372">
      <c r="A372" t="inlineStr">
        <is>
          <t>2020M11</t>
        </is>
      </c>
      <c r="B372" t="n">
        <v>1863.492857142857</v>
      </c>
      <c r="C372">
        <f>LN(B372/B371)*100</f>
        <v/>
      </c>
      <c r="D372">
        <f>STDEV(C370:C372)*SQRT(4)*100</f>
        <v/>
      </c>
      <c r="E372">
        <f>STDEV(C361:C372)*100</f>
        <v/>
      </c>
    </row>
    <row r="373">
      <c r="A373" t="inlineStr">
        <is>
          <t>2020M12</t>
        </is>
      </c>
      <c r="B373" t="n">
        <v>1855.955263157895</v>
      </c>
      <c r="C373">
        <f>LN(B373/B372)*100</f>
        <v/>
      </c>
      <c r="D373">
        <f>STDEV(C371:C373)*SQRT(4)*100</f>
        <v/>
      </c>
      <c r="E373">
        <f>STDEV(C362:C373)*100</f>
        <v/>
      </c>
    </row>
    <row r="374">
      <c r="A374" t="inlineStr">
        <is>
          <t>2021M1</t>
        </is>
      </c>
      <c r="B374" t="n">
        <v>1866.985</v>
      </c>
      <c r="C374">
        <f>LN(B374/B373)*100</f>
        <v/>
      </c>
      <c r="D374">
        <f>STDEV(C372:C374)*SQRT(4)*100</f>
        <v/>
      </c>
      <c r="E374">
        <f>STDEV(C363:C374)*100</f>
        <v/>
      </c>
    </row>
    <row r="375">
      <c r="A375" t="inlineStr">
        <is>
          <t>2021M2</t>
        </is>
      </c>
      <c r="B375" t="n">
        <v>1808.175</v>
      </c>
      <c r="C375">
        <f>LN(B375/B374)*100</f>
        <v/>
      </c>
      <c r="D375">
        <f>STDEV(C373:C375)*SQRT(4)*100</f>
        <v/>
      </c>
      <c r="E375">
        <f>STDEV(C364:C375)*100</f>
        <v/>
      </c>
    </row>
    <row r="376">
      <c r="A376" t="inlineStr">
        <is>
          <t>2021M3</t>
        </is>
      </c>
      <c r="B376" t="n">
        <v>1718.228260869566</v>
      </c>
      <c r="C376">
        <f>LN(B376/B375)*100</f>
        <v/>
      </c>
      <c r="D376">
        <f>STDEV(C374:C376)*SQRT(4)*100</f>
        <v/>
      </c>
      <c r="E376">
        <f>STDEV(C365:C376)*100</f>
        <v/>
      </c>
    </row>
    <row r="377">
      <c r="A377" t="inlineStr">
        <is>
          <t>2021M4</t>
        </is>
      </c>
      <c r="B377" t="n">
        <v>1761.6775</v>
      </c>
      <c r="C377">
        <f>LN(B377/B376)*100</f>
        <v/>
      </c>
      <c r="D377">
        <f>STDEV(C375:C377)*SQRT(4)*100</f>
        <v/>
      </c>
      <c r="E377">
        <f>STDEV(C366:C377)*100</f>
        <v/>
      </c>
    </row>
    <row r="378">
      <c r="A378" t="inlineStr">
        <is>
          <t>2021M5</t>
        </is>
      </c>
      <c r="B378" t="n">
        <v>1855.56</v>
      </c>
      <c r="C378">
        <f>LN(B378/B377)*100</f>
        <v/>
      </c>
      <c r="D378">
        <f>STDEV(C376:C378)*SQRT(4)*100</f>
        <v/>
      </c>
      <c r="E378">
        <f>STDEV(C367:C378)*100</f>
        <v/>
      </c>
    </row>
    <row r="379">
      <c r="A379" t="inlineStr">
        <is>
          <t>2021M6</t>
        </is>
      </c>
      <c r="B379" t="n">
        <v>1834.565909090909</v>
      </c>
      <c r="C379">
        <f>LN(B379/B378)*100</f>
        <v/>
      </c>
      <c r="D379">
        <f>STDEV(C377:C379)*SQRT(4)*100</f>
        <v/>
      </c>
      <c r="E379">
        <f>STDEV(C368:C379)*100</f>
        <v/>
      </c>
    </row>
    <row r="380">
      <c r="A380" t="inlineStr">
        <is>
          <t>2021M7</t>
        </is>
      </c>
      <c r="B380" t="n">
        <v>1807.093181818182</v>
      </c>
      <c r="C380">
        <f>LN(B380/B379)*100</f>
        <v/>
      </c>
      <c r="D380">
        <f>STDEV(C378:C380)*SQRT(4)*100</f>
        <v/>
      </c>
      <c r="E380">
        <f>STDEV(C369:C380)*100</f>
        <v/>
      </c>
    </row>
    <row r="381">
      <c r="A381" t="inlineStr">
        <is>
          <t>2021M8</t>
        </is>
      </c>
      <c r="B381" t="n">
        <v>1783.969047619048</v>
      </c>
      <c r="C381">
        <f>LN(B381/B380)*100</f>
        <v/>
      </c>
      <c r="D381">
        <f>STDEV(C379:C381)*SQRT(4)*100</f>
        <v/>
      </c>
      <c r="E381">
        <f>STDEV(C370:C381)*100</f>
        <v/>
      </c>
    </row>
    <row r="382">
      <c r="A382" t="inlineStr">
        <is>
          <t>2021M9</t>
        </is>
      </c>
      <c r="B382" t="n">
        <v>1777.252272727273</v>
      </c>
      <c r="C382">
        <f>LN(B382/B381)*100</f>
        <v/>
      </c>
      <c r="D382">
        <f>STDEV(C380:C382)*SQRT(4)*100</f>
        <v/>
      </c>
      <c r="E382">
        <f>STDEV(C371:C382)*100</f>
        <v/>
      </c>
    </row>
    <row r="383">
      <c r="A383" t="inlineStr">
        <is>
          <t>2021M10</t>
        </is>
      </c>
      <c r="B383" t="n">
        <v>1776.854761904762</v>
      </c>
      <c r="C383">
        <f>LN(B383/B382)*100</f>
        <v/>
      </c>
      <c r="D383">
        <f>STDEV(C381:C383)*SQRT(4)*100</f>
        <v/>
      </c>
      <c r="E383">
        <f>STDEV(C372:C383)*100</f>
        <v/>
      </c>
    </row>
    <row r="384">
      <c r="A384" t="inlineStr">
        <is>
          <t>2021M11</t>
        </is>
      </c>
      <c r="B384" t="n">
        <v>1820.234090909091</v>
      </c>
      <c r="C384">
        <f>LN(B384/B383)*100</f>
        <v/>
      </c>
      <c r="D384">
        <f>STDEV(C382:C384)*SQRT(4)*100</f>
        <v/>
      </c>
      <c r="E384">
        <f>STDEV(C373:C384)*100</f>
        <v/>
      </c>
    </row>
    <row r="385">
      <c r="A385" t="inlineStr">
        <is>
          <t>2021M12</t>
        </is>
      </c>
      <c r="B385" t="n">
        <v>1786.652631578947</v>
      </c>
      <c r="C385">
        <f>LN(B385/B384)*100</f>
        <v/>
      </c>
      <c r="D385">
        <f>STDEV(C383:C385)*SQRT(4)*100</f>
        <v/>
      </c>
      <c r="E385">
        <f>STDEV(C374:C385)*100</f>
        <v/>
      </c>
    </row>
    <row r="386">
      <c r="A386" t="inlineStr">
        <is>
          <t>2022M1</t>
        </is>
      </c>
      <c r="B386" t="n">
        <v>1816.765</v>
      </c>
      <c r="C386">
        <f>LN(B386/B385)*100</f>
        <v/>
      </c>
      <c r="D386">
        <f>STDEV(C384:C386)*SQRT(4)*100</f>
        <v/>
      </c>
      <c r="E386">
        <f>STDEV(C375:C386)*100</f>
        <v/>
      </c>
    </row>
    <row r="387">
      <c r="A387" t="inlineStr">
        <is>
          <t>2022M2</t>
        </is>
      </c>
      <c r="B387" t="n">
        <v>1856.295</v>
      </c>
      <c r="C387">
        <f>LN(B387/B386)*100</f>
        <v/>
      </c>
      <c r="D387">
        <f>STDEV(C385:C387)*SQRT(4)*100</f>
        <v/>
      </c>
      <c r="E387">
        <f>STDEV(C376:C387)*100</f>
        <v/>
      </c>
    </row>
    <row r="388">
      <c r="A388" t="inlineStr">
        <is>
          <t>2022M3</t>
        </is>
      </c>
      <c r="B388" t="n">
        <v>1947.828260869565</v>
      </c>
      <c r="C388">
        <f>LN(B388/B387)*100</f>
        <v/>
      </c>
      <c r="D388">
        <f>STDEV(C386:C388)*SQRT(4)*100</f>
        <v/>
      </c>
      <c r="E388">
        <f>STDEV(C377:C388)*100</f>
        <v/>
      </c>
    </row>
    <row r="389">
      <c r="A389" t="inlineStr">
        <is>
          <t>2022M4</t>
        </is>
      </c>
      <c r="B389" t="n">
        <v>1933.9</v>
      </c>
      <c r="C389">
        <f>LN(B389/B388)*100</f>
        <v/>
      </c>
      <c r="D389">
        <f>STDEV(C387:C389)*SQRT(4)*100</f>
        <v/>
      </c>
      <c r="E389">
        <f>STDEV(C378:C389)*100</f>
        <v/>
      </c>
    </row>
    <row r="390">
      <c r="A390" t="inlineStr">
        <is>
          <t>2022M5</t>
        </is>
      </c>
      <c r="B390" t="n">
        <v>1849.833181818182</v>
      </c>
      <c r="C390">
        <f>LN(B390/B389)*100</f>
        <v/>
      </c>
      <c r="D390">
        <f>STDEV(C388:C390)*SQRT(4)*100</f>
        <v/>
      </c>
      <c r="E390">
        <f>STDEV(C379:C390)*100</f>
        <v/>
      </c>
    </row>
    <row r="391">
      <c r="A391" t="inlineStr">
        <is>
          <t>2022M6</t>
        </is>
      </c>
      <c r="B391" t="n">
        <v>1837.064090909091</v>
      </c>
      <c r="C391">
        <f>LN(B391/B390)*100</f>
        <v/>
      </c>
      <c r="D391">
        <f>STDEV(C389:C391)*SQRT(4)*100</f>
        <v/>
      </c>
      <c r="E391">
        <f>STDEV(C380:C391)*100</f>
        <v/>
      </c>
    </row>
    <row r="392">
      <c r="A392" t="inlineStr">
        <is>
          <t>2022M7</t>
        </is>
      </c>
      <c r="B392" t="n">
        <v>1737.380476190476</v>
      </c>
      <c r="C392">
        <f>LN(B392/B391)*100</f>
        <v/>
      </c>
      <c r="D392">
        <f>STDEV(C390:C392)*SQRT(4)*100</f>
        <v/>
      </c>
      <c r="E392">
        <f>STDEV(C381:C392)*100</f>
        <v/>
      </c>
    </row>
    <row r="393">
      <c r="A393" t="inlineStr">
        <is>
          <t>2022M8</t>
        </is>
      </c>
      <c r="B393" t="n">
        <v>1764.132608695652</v>
      </c>
      <c r="C393">
        <f>LN(B393/B392)*100</f>
        <v/>
      </c>
      <c r="D393">
        <f>STDEV(C391:C393)*SQRT(4)*100</f>
        <v/>
      </c>
      <c r="E393">
        <f>STDEV(C382:C393)*100</f>
        <v/>
      </c>
    </row>
    <row r="394">
      <c r="A394" t="inlineStr">
        <is>
          <t>2022M9</t>
        </is>
      </c>
      <c r="B394" t="n">
        <v>1683.208181818181</v>
      </c>
      <c r="C394">
        <f>LN(B394/B393)*100</f>
        <v/>
      </c>
      <c r="D394">
        <f>STDEV(C392:C394)*SQRT(4)*100</f>
        <v/>
      </c>
      <c r="E394">
        <f>STDEV(C383:C394)*100</f>
        <v/>
      </c>
    </row>
    <row r="395">
      <c r="A395" t="inlineStr">
        <is>
          <t>2022M10</t>
        </is>
      </c>
      <c r="B395" t="n">
        <v>1666.626666666667</v>
      </c>
      <c r="C395">
        <f>LN(B395/B394)*100</f>
        <v/>
      </c>
      <c r="D395">
        <f>STDEV(C393:C395)*SQRT(4)*100</f>
        <v/>
      </c>
      <c r="E395">
        <f>STDEV(C384:C395)*100</f>
        <v/>
      </c>
    </row>
    <row r="396">
      <c r="A396" t="inlineStr">
        <is>
          <t>2022M11</t>
        </is>
      </c>
      <c r="B396" t="n">
        <v>1727.898636363636</v>
      </c>
      <c r="C396">
        <f>LN(B396/B395)*100</f>
        <v/>
      </c>
      <c r="D396">
        <f>STDEV(C394:C396)*SQRT(4)*100</f>
        <v/>
      </c>
      <c r="E396">
        <f>STDEV(C385:C396)*100</f>
        <v/>
      </c>
    </row>
    <row r="397">
      <c r="A397" t="inlineStr">
        <is>
          <t>2022M12</t>
        </is>
      </c>
      <c r="B397" t="n">
        <v>1797.408181818182</v>
      </c>
      <c r="C397">
        <f>LN(B397/B396)*100</f>
        <v/>
      </c>
      <c r="D397">
        <f>STDEV(C395:C397)*SQRT(4)*100</f>
        <v/>
      </c>
      <c r="E397">
        <f>STDEV(C386:C397)*100</f>
        <v/>
      </c>
    </row>
    <row r="398">
      <c r="A398" t="inlineStr">
        <is>
          <t>2023M1</t>
        </is>
      </c>
      <c r="B398" t="n">
        <v>1896.059545454545</v>
      </c>
      <c r="C398">
        <f>LN(B398/B397)*100</f>
        <v/>
      </c>
      <c r="D398">
        <f>STDEV(C396:C398)*SQRT(4)*100</f>
        <v/>
      </c>
      <c r="E398">
        <f>STDEV(C387:C398)*100</f>
        <v/>
      </c>
    </row>
    <row r="399">
      <c r="A399" t="inlineStr">
        <is>
          <t>2023M2</t>
        </is>
      </c>
      <c r="B399" t="n">
        <v>1853.409</v>
      </c>
      <c r="C399">
        <f>LN(B399/B398)*100</f>
        <v/>
      </c>
      <c r="D399">
        <f>STDEV(C397:C399)*SQRT(4)*100</f>
        <v/>
      </c>
      <c r="E399">
        <f>STDEV(C388:C399)*100</f>
        <v/>
      </c>
    </row>
    <row r="400">
      <c r="A400" t="inlineStr">
        <is>
          <t>2023M3</t>
        </is>
      </c>
      <c r="B400" t="n">
        <v>1913.648260869565</v>
      </c>
      <c r="C400">
        <f>LN(B400/B399)*100</f>
        <v/>
      </c>
      <c r="D400">
        <f>STDEV(C398:C400)*SQRT(4)*100</f>
        <v/>
      </c>
      <c r="E400">
        <f>STDEV(C389:C400)*100</f>
        <v/>
      </c>
    </row>
    <row r="401">
      <c r="A401" t="inlineStr">
        <is>
          <t>2023M4</t>
        </is>
      </c>
      <c r="B401" t="n">
        <v>1999.6685</v>
      </c>
      <c r="C401">
        <f>LN(B401/B400)*100</f>
        <v/>
      </c>
      <c r="D401">
        <f>STDEV(C399:C401)*SQRT(4)*100</f>
        <v/>
      </c>
      <c r="E401">
        <f>STDEV(C390:C401)*100</f>
        <v/>
      </c>
    </row>
    <row r="402">
      <c r="A402" t="inlineStr">
        <is>
          <t>2023M5</t>
        </is>
      </c>
      <c r="B402" t="n">
        <v>1989.826956521739</v>
      </c>
      <c r="C402">
        <f>LN(B402/B401)*100</f>
        <v/>
      </c>
      <c r="D402">
        <f>STDEV(C400:C402)*SQRT(4)*100</f>
        <v/>
      </c>
      <c r="E402">
        <f>STDEV(C391:C402)*100</f>
        <v/>
      </c>
    </row>
    <row r="403">
      <c r="A403" t="inlineStr">
        <is>
          <t>2023M6</t>
        </is>
      </c>
      <c r="B403" t="n">
        <v>1944.728636363636</v>
      </c>
      <c r="C403">
        <f>LN(B403/B402)*100</f>
        <v/>
      </c>
      <c r="D403">
        <f>STDEV(C401:C403)*SQRT(4)*100</f>
        <v/>
      </c>
      <c r="E403">
        <f>STDEV(C392:C403)*100</f>
        <v/>
      </c>
    </row>
    <row r="404">
      <c r="A404" t="inlineStr">
        <is>
          <t>2023M7</t>
        </is>
      </c>
      <c r="B404" t="n">
        <v>1950.27</v>
      </c>
      <c r="C404">
        <f>LN(B404/B403)*100</f>
        <v/>
      </c>
      <c r="D404">
        <f>STDEV(C402:C404)*SQRT(4)*100</f>
        <v/>
      </c>
      <c r="E404">
        <f>STDEV(C393:C404)*100</f>
        <v/>
      </c>
    </row>
    <row r="405">
      <c r="A405" t="inlineStr">
        <is>
          <t>2023M8</t>
        </is>
      </c>
      <c r="B405" t="n">
        <v>1919.302173913044</v>
      </c>
      <c r="C405">
        <f>LN(B405/B404)*100</f>
        <v/>
      </c>
      <c r="D405">
        <f>STDEV(C403:C405)*SQRT(4)*100</f>
        <v/>
      </c>
      <c r="E405">
        <f>STDEV(C394:C405)*100</f>
        <v/>
      </c>
    </row>
    <row r="406">
      <c r="A406" t="inlineStr">
        <is>
          <t>2023M9</t>
        </is>
      </c>
      <c r="B406" t="n">
        <v>1915.434761904762</v>
      </c>
      <c r="C406">
        <f>LN(B406/B405)*100</f>
        <v/>
      </c>
      <c r="D406">
        <f>STDEV(C404:C406)*SQRT(4)*100</f>
        <v/>
      </c>
      <c r="E406">
        <f>STDEV(C395:C406)*100</f>
        <v/>
      </c>
    </row>
    <row r="407">
      <c r="A407" t="inlineStr">
        <is>
          <t>2023M10</t>
        </is>
      </c>
      <c r="B407" t="n">
        <v>1913.984545454546</v>
      </c>
      <c r="C407">
        <f>LN(B407/B406)*100</f>
        <v/>
      </c>
      <c r="D407">
        <f>STDEV(C405:C407)*SQRT(4)*100</f>
        <v/>
      </c>
      <c r="E407">
        <f>STDEV(C396:C407)*100</f>
        <v/>
      </c>
    </row>
    <row r="408">
      <c r="A408" t="inlineStr">
        <is>
          <t>2023M11</t>
        </is>
      </c>
      <c r="B408" t="n">
        <v>1985.777727272728</v>
      </c>
      <c r="C408">
        <f>LN(B408/B407)*100</f>
        <v/>
      </c>
      <c r="D408">
        <f>STDEV(C406:C408)*SQRT(4)*100</f>
        <v/>
      </c>
      <c r="E408">
        <f>STDEV(C397:C408)*100</f>
        <v/>
      </c>
    </row>
    <row r="409">
      <c r="A409" t="inlineStr">
        <is>
          <t>2023M12</t>
        </is>
      </c>
      <c r="B409" t="n">
        <v>2034.704285714285</v>
      </c>
      <c r="C409">
        <f>LN(B409/B408)*100</f>
        <v/>
      </c>
      <c r="D409">
        <f>STDEV(C407:C409)*SQRT(4)*100</f>
        <v/>
      </c>
      <c r="E409">
        <f>STDEV(C398:C409)*100</f>
        <v/>
      </c>
    </row>
    <row r="410">
      <c r="A410" t="inlineStr">
        <is>
          <t>2024M1</t>
        </is>
      </c>
      <c r="B410" t="n">
        <v>2034.006086956522</v>
      </c>
      <c r="C410">
        <f>LN(B410/B409)*100</f>
        <v/>
      </c>
      <c r="D410">
        <f>STDEV(C408:C410)*SQRT(4)*100</f>
        <v/>
      </c>
      <c r="E410">
        <f>STDEV(C399:C410)*100</f>
        <v/>
      </c>
    </row>
    <row r="411">
      <c r="A411" t="inlineStr">
        <is>
          <t>2024M2</t>
        </is>
      </c>
      <c r="B411" t="n">
        <v>2024.44619047619</v>
      </c>
      <c r="C411">
        <f>LN(B411/B410)*100</f>
        <v/>
      </c>
      <c r="D411">
        <f>STDEV(C409:C411)*SQRT(4)*100</f>
        <v/>
      </c>
      <c r="E411">
        <f>STDEV(C400:C411)*100</f>
        <v/>
      </c>
    </row>
    <row r="412">
      <c r="A412" t="inlineStr">
        <is>
          <t>2024M3</t>
        </is>
      </c>
      <c r="B412" t="n">
        <v>2162.346190476191</v>
      </c>
      <c r="C412">
        <f>LN(B412/B411)*100</f>
        <v/>
      </c>
      <c r="D412">
        <f>STDEV(C410:C412)*SQRT(4)*100</f>
        <v/>
      </c>
      <c r="E412">
        <f>STDEV(C401:C412)*100</f>
        <v/>
      </c>
    </row>
    <row r="413">
      <c r="A413" t="inlineStr">
        <is>
          <t>2024M4</t>
        </is>
      </c>
      <c r="B413" t="n">
        <v>2333.550454545454</v>
      </c>
      <c r="C413">
        <f>LN(B413/B412)*100</f>
        <v/>
      </c>
      <c r="D413">
        <f>STDEV(C411:C413)*SQRT(4)*100</f>
        <v/>
      </c>
      <c r="E413">
        <f>STDEV(C402:C413)*100</f>
        <v/>
      </c>
    </row>
    <row r="414">
      <c r="A414" t="inlineStr">
        <is>
          <t>2024M5</t>
        </is>
      </c>
      <c r="B414" t="n">
        <v>2350.596521739131</v>
      </c>
      <c r="C414">
        <f>LN(B414/B413)*100</f>
        <v/>
      </c>
      <c r="D414">
        <f>STDEV(C412:C414)*SQRT(4)*100</f>
        <v/>
      </c>
      <c r="E414">
        <f>STDEV(C403:C414)*100</f>
        <v/>
      </c>
    </row>
    <row r="415">
      <c r="A415" t="inlineStr">
        <is>
          <t>2024M6</t>
        </is>
      </c>
      <c r="B415" t="n">
        <v>2328.2625</v>
      </c>
      <c r="C415">
        <f>LN(B415/B414)*100</f>
        <v/>
      </c>
      <c r="D415">
        <f>STDEV(C413:C415)*SQRT(4)*100</f>
        <v/>
      </c>
      <c r="E415">
        <f>STDEV(C404:C415)*100</f>
        <v/>
      </c>
    </row>
    <row r="416">
      <c r="A416" t="inlineStr">
        <is>
          <t>2024M7</t>
        </is>
      </c>
      <c r="B416" t="n">
        <v>2393.962173913043</v>
      </c>
      <c r="C416">
        <f>LN(B416/B415)*100</f>
        <v/>
      </c>
      <c r="D416">
        <f>STDEV(C414:C416)*SQRT(4)*100</f>
        <v/>
      </c>
      <c r="E416">
        <f>STDEV(C405:C416)*100</f>
        <v/>
      </c>
    </row>
    <row r="417">
      <c r="A417" t="inlineStr">
        <is>
          <t>2024M8</t>
        </is>
      </c>
      <c r="B417" t="n">
        <v>2468.328636363637</v>
      </c>
      <c r="C417">
        <f>LN(B417/B416)*100</f>
        <v/>
      </c>
      <c r="D417">
        <f>STDEV(C415:C417)*SQRT(4)*100</f>
        <v/>
      </c>
      <c r="E417">
        <f>STDEV(C406:C417)*100</f>
        <v/>
      </c>
    </row>
    <row r="418">
      <c r="A418" t="inlineStr">
        <is>
          <t>2024M9</t>
        </is>
      </c>
      <c r="B418" t="n">
        <v>2569.049047619048</v>
      </c>
      <c r="C418">
        <f>LN(B418/B417)*100</f>
        <v/>
      </c>
      <c r="D418">
        <f>STDEV(C416:C418)*SQRT(4)*100</f>
        <v/>
      </c>
      <c r="E418">
        <f>STDEV(C407:C418)*100</f>
        <v/>
      </c>
    </row>
    <row r="419">
      <c r="A419" t="inlineStr">
        <is>
          <t>2024M10</t>
        </is>
      </c>
      <c r="B419" t="n">
        <v>2689.128695652173</v>
      </c>
      <c r="C419">
        <f>LN(B419/B418)*100</f>
        <v/>
      </c>
      <c r="D419">
        <f>STDEV(C417:C419)*SQRT(4)*100</f>
        <v/>
      </c>
      <c r="E419">
        <f>STDEV(C408:C419)*100</f>
        <v/>
      </c>
    </row>
    <row r="420">
      <c r="A420" t="inlineStr">
        <is>
          <t>2024M11</t>
        </is>
      </c>
      <c r="B420" t="n">
        <v>2652.199523809524</v>
      </c>
      <c r="C420">
        <f>LN(B420/B419)*100</f>
        <v/>
      </c>
      <c r="D420">
        <f>STDEV(C418:C420)*SQRT(4)*100</f>
        <v/>
      </c>
      <c r="E420">
        <f>STDEV(C409:C420)*100</f>
        <v/>
      </c>
    </row>
    <row r="421">
      <c r="A421" t="inlineStr">
        <is>
          <t>2024M12</t>
        </is>
      </c>
      <c r="B421" t="n">
        <v>2640.605454545455</v>
      </c>
      <c r="C421">
        <f>LN(B421/B420)*100</f>
        <v/>
      </c>
      <c r="D421">
        <f>STDEV(C419:C421)*SQRT(4)*100</f>
        <v/>
      </c>
      <c r="E421">
        <f>STDEV(C410:C421)*100</f>
        <v/>
      </c>
    </row>
    <row r="422">
      <c r="A422" t="inlineStr">
        <is>
          <t>2025M1</t>
        </is>
      </c>
      <c r="B422" t="n">
        <v>2707.467391304348</v>
      </c>
      <c r="C422">
        <f>LN(B422/B421)*100</f>
        <v/>
      </c>
      <c r="D422">
        <f>STDEV(C420:C422)*SQRT(4)*100</f>
        <v/>
      </c>
      <c r="E422">
        <f>STDEV(C411:C422)*100</f>
        <v/>
      </c>
    </row>
    <row r="423">
      <c r="A423" t="inlineStr">
        <is>
          <t>2025M2</t>
        </is>
      </c>
      <c r="B423" t="n">
        <v>2894.38</v>
      </c>
      <c r="C423">
        <f>LN(B423/B422)*100</f>
        <v/>
      </c>
      <c r="D423">
        <f>STDEV(C421:C423)*SQRT(4)*100</f>
        <v/>
      </c>
      <c r="E423">
        <f>STDEV(C412:C423)*100</f>
        <v/>
      </c>
    </row>
    <row r="424">
      <c r="A424" t="inlineStr">
        <is>
          <t>2025M3</t>
        </is>
      </c>
      <c r="B424" t="n">
        <v>2986.256190476191</v>
      </c>
      <c r="C424">
        <f>LN(B424/B423)*100</f>
        <v/>
      </c>
      <c r="D424">
        <f>STDEV(C422:C424)*SQRT(4)*100</f>
        <v/>
      </c>
      <c r="E424">
        <f>STDEV(C413:C424)*100</f>
        <v/>
      </c>
    </row>
    <row r="425">
      <c r="A425" t="inlineStr">
        <is>
          <t>2025M4</t>
        </is>
      </c>
      <c r="B425" t="n">
        <v>3222.011818181818</v>
      </c>
      <c r="C425">
        <f>LN(B425/B424)*100</f>
        <v/>
      </c>
      <c r="D425">
        <f>STDEV(C423:C425)*SQRT(4)*100</f>
        <v/>
      </c>
      <c r="E425">
        <f>STDEV(C414:C425)*100</f>
        <v/>
      </c>
    </row>
    <row r="426">
      <c r="A426" t="inlineStr">
        <is>
          <t>2025M5</t>
        </is>
      </c>
      <c r="B426" t="n">
        <v>3288.009545454546</v>
      </c>
      <c r="C426">
        <f>LN(B426/B425)*100</f>
        <v/>
      </c>
      <c r="D426">
        <f>STDEV(C424:C426)*SQRT(4)*100</f>
        <v/>
      </c>
      <c r="E426">
        <f>STDEV(C415:C426)*100</f>
        <v/>
      </c>
    </row>
    <row r="427">
      <c r="A427" t="inlineStr">
        <is>
          <t>2025M6</t>
        </is>
      </c>
      <c r="B427" t="n">
        <v>3351.858571428571</v>
      </c>
      <c r="C427">
        <f>LN(B427/B426)*100</f>
        <v/>
      </c>
      <c r="D427">
        <f>STDEV(C425:C427)*SQRT(4)*100</f>
        <v/>
      </c>
      <c r="E427">
        <f>STDEV(C416:C427)*100</f>
        <v/>
      </c>
    </row>
    <row r="428">
      <c r="A428" t="inlineStr">
        <is>
          <t>2025M7</t>
        </is>
      </c>
      <c r="B428" t="n">
        <v>3341.649130434783</v>
      </c>
      <c r="C428">
        <f>LN(B428/B427)*100</f>
        <v/>
      </c>
      <c r="D428">
        <f>STDEV(C426:C428)*SQRT(4)*100</f>
        <v/>
      </c>
      <c r="E428">
        <f>STDEV(C417:C428)*100</f>
        <v/>
      </c>
    </row>
    <row r="429">
      <c r="A429" t="inlineStr">
        <is>
          <t>2025M8</t>
        </is>
      </c>
      <c r="B429" t="n">
        <v>3367.256190476191</v>
      </c>
      <c r="C429">
        <f>LN(B429/B428)*100</f>
        <v/>
      </c>
      <c r="D429">
        <f>STDEV(C427:C429)*SQRT(4)*100</f>
        <v/>
      </c>
      <c r="E429">
        <f>STDEV(C418:C429)*100</f>
        <v/>
      </c>
    </row>
    <row r="430">
      <c r="A430" t="inlineStr">
        <is>
          <t>2025M9</t>
        </is>
      </c>
      <c r="B430" t="n">
        <v>3666.523636363636</v>
      </c>
      <c r="C430">
        <f>LN(B430/B429)*100</f>
        <v/>
      </c>
      <c r="D430">
        <f>STDEV(C428:C430)*SQRT(4)*100</f>
        <v/>
      </c>
      <c r="E430">
        <f>STDEV(C419:C430)*100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>
        <f>'Gold price'!D430</f>
        <v/>
      </c>
    </row>
    <row r="5">
      <c r="B5" t="inlineStr">
        <is>
          <t>3-month volatility annualized</t>
        </is>
      </c>
      <c r="C5">
        <f>C4*SQRT(4)</f>
        <v/>
      </c>
    </row>
    <row r="6">
      <c r="B6" t="inlineStr">
        <is>
          <t>12-month volatility</t>
        </is>
      </c>
      <c r="C6">
        <f>'Gold price'!E430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t="n">
        <v>7471</v>
      </c>
      <c r="D12" t="n">
        <v>1002</v>
      </c>
      <c r="E12" t="n">
        <v>10.71</v>
      </c>
      <c r="F12" t="n">
        <v>3877.64</v>
      </c>
      <c r="G12" t="n">
        <v>55092.42</v>
      </c>
      <c r="H12" t="n">
        <v>10121.89</v>
      </c>
      <c r="I12" t="n">
        <v>921.28</v>
      </c>
      <c r="J12" t="n">
        <v>807.1</v>
      </c>
      <c r="K12" t="n">
        <v>3263.67725679204</v>
      </c>
    </row>
    <row r="13">
      <c r="B13" t="inlineStr">
        <is>
          <t>Gold valuation exposure (95% one-sided shock)</t>
        </is>
      </c>
      <c r="C13">
        <f>C12*$C$3*$C$5</f>
        <v/>
      </c>
      <c r="D13">
        <f>D12*$C$3*$C$5</f>
        <v/>
      </c>
      <c r="E13">
        <f>E12*$C$3*$C$5</f>
        <v/>
      </c>
      <c r="F13">
        <f>F12*$C$3*$C$5</f>
        <v/>
      </c>
      <c r="G13">
        <f>G12*$C$3*$C$5</f>
        <v/>
      </c>
      <c r="H13">
        <f>H12*$C$3*$C$5</f>
        <v/>
      </c>
      <c r="I13">
        <f>I12*$C$3*$C$5</f>
        <v/>
      </c>
      <c r="J13">
        <f>J12*$C$3*$C$5</f>
        <v/>
      </c>
      <c r="K13">
        <f>K12*$C$3*$C$5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t="n">
        <v>7471</v>
      </c>
      <c r="D21" t="n">
        <v>1002</v>
      </c>
      <c r="E21" t="n">
        <v>10.71</v>
      </c>
      <c r="F21" t="n">
        <v>55092.42</v>
      </c>
      <c r="G21" t="n">
        <v>921.28</v>
      </c>
      <c r="H21" t="n">
        <v>807.1</v>
      </c>
    </row>
    <row r="22">
      <c r="B22" t="inlineStr">
        <is>
          <t>Gold valuation exposure (95% one-sided shock)</t>
        </is>
      </c>
      <c r="C22">
        <f>C21*$C$3*$C$5</f>
        <v/>
      </c>
      <c r="D22">
        <f>D21*$C$3*$C$5</f>
        <v/>
      </c>
      <c r="E22">
        <f>E21*$C$3*$C$5</f>
        <v/>
      </c>
      <c r="F22">
        <f>F21*$C$3*$C$5</f>
        <v/>
      </c>
      <c r="G22">
        <f>G21*$C$3*$C$5</f>
        <v/>
      </c>
      <c r="H22">
        <f>H21*$C$3*$C$5</f>
        <v/>
      </c>
    </row>
    <row r="23">
      <c r="B23" t="inlineStr">
        <is>
          <t>Total Reserve</t>
        </is>
      </c>
      <c r="C23">
        <f>IFERROR(INDEX('Total Reserves'!$B$18:$S$18,MATCH(C20,'Total Reserves'!$B$1:$S$1,0)),"N/A")</f>
        <v/>
      </c>
      <c r="D23">
        <f>IFERROR(INDEX('Total Reserves'!$B$18:$S$18,MATCH(D20,'Total Reserves'!$B$1:$S$1,0)),"N/A")</f>
        <v/>
      </c>
      <c r="E23">
        <f>IFERROR(INDEX('Total Reserves'!$B$18:$S$18,MATCH(E20,'Total Reserves'!$B$1:$S$1,0)),"N/A")</f>
        <v/>
      </c>
      <c r="F23">
        <f>IFERROR(INDEX('Total Reserves'!$B$18:$S$18,MATCH(F20,'Total Reserves'!$B$1:$S$1,0)),"N/A")</f>
        <v/>
      </c>
      <c r="G23">
        <f>IFERROR(INDEX('Total Reserves'!$B$18:$S$18,MATCH(G20,'Total Reserves'!$B$1:$S$1,0)),"N/A")</f>
        <v/>
      </c>
      <c r="H23">
        <f>IFERROR(INDEX('Total Reserves'!$B$18:$S$18,MATCH(H20,'Total Reserves'!$B$1:$S$1,0)),"N/A")</f>
        <v/>
      </c>
    </row>
    <row r="24">
      <c r="B24" t="inlineStr">
        <is>
          <t>RaR(in percent of total reserves)</t>
        </is>
      </c>
      <c r="C24">
        <f>IF(C23="N/A",0,C22/C23*100)</f>
        <v/>
      </c>
      <c r="D24">
        <f>IF(D23="N/A",0,D22/D23*100)</f>
        <v/>
      </c>
      <c r="E24">
        <f>IF(E23="N/A",0,E22/E23*100)</f>
        <v/>
      </c>
      <c r="F24">
        <f>IF(F23="N/A",0,F22/F23*100)</f>
        <v/>
      </c>
      <c r="G24">
        <f>IF(G23="N/A",0,G22/G23*100)</f>
        <v/>
      </c>
      <c r="H24">
        <f>IF(H23="N/A",0,H22/H23*100)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2026-01-29T06:16:10Z</dcterms:created>
  <dcterms:modified xsi:type="dcterms:W3CDTF">2026-01-29T06:17:37Z</dcterms:modified>
</cp:coreProperties>
</file>