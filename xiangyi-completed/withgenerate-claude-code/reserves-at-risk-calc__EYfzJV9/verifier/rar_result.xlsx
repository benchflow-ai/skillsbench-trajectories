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 (US$/oz)</t>
        </is>
      </c>
      <c r="C1" t="inlineStr">
        <is>
          <t>Monthly 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>
        <f>LN(B3/B2)*100</f>
        <v/>
      </c>
    </row>
    <row r="4">
      <c r="A4" t="inlineStr">
        <is>
          <t>1990M3</t>
        </is>
      </c>
      <c r="B4" t="n">
        <v>392.703338623047</v>
      </c>
      <c r="C4">
        <f>LN(B4/B3)*100</f>
        <v/>
      </c>
      <c r="D4">
        <f>STDEV.S(C2:C4)</f>
        <v/>
      </c>
    </row>
    <row r="5">
      <c r="A5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  <c r="E13">
        <f>STDEV.S(C2:C13)</f>
        <v/>
      </c>
    </row>
    <row r="14">
      <c r="A14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United States</t>
        </is>
      </c>
      <c r="B2" t="n">
        <v>506000</v>
      </c>
      <c r="C2" t="n">
        <v>550000</v>
      </c>
    </row>
    <row r="3">
      <c r="A3" t="inlineStr">
        <is>
          <t>Germany</t>
        </is>
      </c>
      <c r="B3" t="n">
        <v>257600</v>
      </c>
      <c r="C3" t="n">
        <v>280000</v>
      </c>
    </row>
    <row r="4">
      <c r="A4" t="inlineStr">
        <is>
          <t>Italy</t>
        </is>
      </c>
      <c r="B4" t="n">
        <v>151800</v>
      </c>
      <c r="C4" t="n">
        <v>165000</v>
      </c>
    </row>
    <row r="5">
      <c r="A5" t="inlineStr">
        <is>
          <t>France</t>
        </is>
      </c>
      <c r="B5" t="n">
        <v>147200</v>
      </c>
      <c r="C5" t="n">
        <v>160000</v>
      </c>
    </row>
    <row r="6">
      <c r="A6" t="inlineStr">
        <is>
          <t>China</t>
        </is>
      </c>
      <c r="B6" t="n">
        <v>133400</v>
      </c>
      <c r="C6" t="n">
        <v>145000</v>
      </c>
    </row>
    <row r="7">
      <c r="A7" t="inlineStr">
        <is>
          <t>Switzerland</t>
        </is>
      </c>
      <c r="B7" t="n">
        <v>75440</v>
      </c>
      <c r="C7" t="n">
        <v>82000</v>
      </c>
    </row>
    <row r="8">
      <c r="A8" t="inlineStr">
        <is>
          <t>Japan</t>
        </is>
      </c>
      <c r="B8" t="n">
        <v>69000</v>
      </c>
      <c r="C8" t="n">
        <v>75000</v>
      </c>
    </row>
    <row r="9">
      <c r="A9" t="inlineStr">
        <is>
          <t>India</t>
        </is>
      </c>
      <c r="B9" t="n">
        <v>59800</v>
      </c>
      <c r="C9" t="n">
        <v>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Netherlands</t>
        </is>
      </c>
      <c r="B2" t="n">
        <v>600.25</v>
      </c>
      <c r="C2" t="n">
        <v>612.5</v>
      </c>
    </row>
    <row r="3">
      <c r="A3" t="inlineStr">
        <is>
          <t>Taiwan</t>
        </is>
      </c>
      <c r="B3" t="n">
        <v>415.128</v>
      </c>
      <c r="C3" t="n">
        <v>423.6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United States</t>
        </is>
      </c>
      <c r="B2" t="n">
        <v>807500</v>
      </c>
      <c r="C2" t="n">
        <v>850000</v>
      </c>
    </row>
    <row r="3">
      <c r="A3" t="inlineStr">
        <is>
          <t>Germany</t>
        </is>
      </c>
      <c r="B3" t="n">
        <v>304000</v>
      </c>
      <c r="C3" t="n">
        <v>320000</v>
      </c>
    </row>
    <row r="4">
      <c r="A4" t="inlineStr">
        <is>
          <t>Italy</t>
        </is>
      </c>
      <c r="B4" t="n">
        <v>228000</v>
      </c>
      <c r="C4" t="n">
        <v>240000</v>
      </c>
    </row>
    <row r="5">
      <c r="A5" t="inlineStr">
        <is>
          <t>France</t>
        </is>
      </c>
      <c r="B5" t="n">
        <v>209000</v>
      </c>
      <c r="C5" t="n">
        <v>220000</v>
      </c>
    </row>
    <row r="6">
      <c r="A6" t="inlineStr">
        <is>
          <t>China</t>
        </is>
      </c>
      <c r="B6" t="n">
        <v>3325000</v>
      </c>
      <c r="C6" t="n">
        <v>3500000</v>
      </c>
    </row>
    <row r="7">
      <c r="A7" t="inlineStr">
        <is>
          <t>Switzerland</t>
        </is>
      </c>
      <c r="B7" t="n">
        <v>1045000</v>
      </c>
      <c r="C7" t="n">
        <v>1100000</v>
      </c>
    </row>
    <row r="8">
      <c r="A8" t="inlineStr">
        <is>
          <t>Japan</t>
        </is>
      </c>
      <c r="B8" t="n">
        <v>1330000</v>
      </c>
      <c r="C8" t="n">
        <v>1400000</v>
      </c>
    </row>
    <row r="9">
      <c r="A9" t="inlineStr">
        <is>
          <t>India</t>
        </is>
      </c>
      <c r="B9" t="n">
        <v>617500</v>
      </c>
      <c r="C9" t="n">
        <v>650000</v>
      </c>
    </row>
    <row r="10">
      <c r="A10" t="inlineStr">
        <is>
          <t>Netherlands</t>
        </is>
      </c>
      <c r="B10" t="n">
        <v>80750</v>
      </c>
      <c r="C10" t="n">
        <v>85000</v>
      </c>
    </row>
    <row r="11">
      <c r="A11" t="inlineStr">
        <is>
          <t>Taiwan</t>
        </is>
      </c>
      <c r="B11" t="n">
        <v>551000</v>
      </c>
      <c r="C11" t="n">
        <v>580000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1: Gold Price Analysis</t>
        </is>
      </c>
    </row>
    <row r="3">
      <c r="A3" t="inlineStr">
        <is>
          <t>Latest 3-month volatility (%):</t>
        </is>
      </c>
      <c r="B3">
        <f>'Gold price'!D430</f>
        <v/>
      </c>
    </row>
    <row r="4">
      <c r="A4" t="inlineStr">
        <is>
          <t>Latest 12-month volatility (%):</t>
        </is>
      </c>
      <c r="B4">
        <f>'Gold price'!E430</f>
        <v/>
      </c>
    </row>
    <row r="5">
      <c r="A5" t="inlineStr">
        <is>
          <t>3-month annualized volatility (%):</t>
        </is>
      </c>
      <c r="B5">
        <f>B3*SQRT(12)</f>
        <v/>
      </c>
    </row>
    <row r="6">
      <c r="A6" t="inlineStr">
        <is>
          <t>Jan-Sep 2025 average gold price (US$/oz):</t>
        </is>
      </c>
      <c r="B6">
        <f>AVERAGE('Gold price'!B422:B430)</f>
        <v/>
      </c>
    </row>
    <row r="10">
      <c r="A10" t="inlineStr">
        <is>
          <t>STEP 2: Gold Reserves by Country (2025)</t>
        </is>
      </c>
    </row>
    <row r="11">
      <c r="A11" t="inlineStr">
        <is>
          <t>Country</t>
        </is>
      </c>
      <c r="B11" t="inlineStr">
        <is>
          <t>United States</t>
        </is>
      </c>
      <c r="C11" t="inlineStr">
        <is>
          <t>Germany</t>
        </is>
      </c>
      <c r="D11" t="inlineStr">
        <is>
          <t>Italy</t>
        </is>
      </c>
      <c r="E11" t="inlineStr">
        <is>
          <t>France</t>
        </is>
      </c>
      <c r="F11" t="inlineStr">
        <is>
          <t>China</t>
        </is>
      </c>
      <c r="G11" t="inlineStr">
        <is>
          <t>Switzerland</t>
        </is>
      </c>
      <c r="H11" t="inlineStr">
        <is>
          <t>Japan</t>
        </is>
      </c>
      <c r="I11" t="inlineStr">
        <is>
          <t>India</t>
        </is>
      </c>
      <c r="J11" t="inlineStr">
        <is>
          <t>Netherlands</t>
        </is>
      </c>
      <c r="K11" t="inlineStr">
        <is>
          <t>Taiwan</t>
        </is>
      </c>
    </row>
    <row r="12">
      <c r="A12" t="inlineStr">
        <is>
          <t>Gold Reserves Value</t>
        </is>
      </c>
      <c r="B12" t="n">
        <v>550000</v>
      </c>
      <c r="C12" t="n">
        <v>280000</v>
      </c>
      <c r="D12" t="n">
        <v>165000</v>
      </c>
      <c r="E12" t="n">
        <v>160000</v>
      </c>
      <c r="F12" t="n">
        <v>145000</v>
      </c>
      <c r="G12" t="n">
        <v>82000</v>
      </c>
      <c r="H12" t="n">
        <v>75000</v>
      </c>
      <c r="I12" t="n">
        <v>65000</v>
      </c>
      <c r="J12">
        <f>Volume!C2*Answer!$B$6*32.1507</f>
        <v/>
      </c>
      <c r="K12">
        <f>Volume!C3*Answer!$B$6*32.1507</f>
        <v/>
      </c>
    </row>
    <row r="13">
      <c r="A13" t="inlineStr">
        <is>
          <t>Gold Price Exposure</t>
        </is>
      </c>
      <c r="B13">
        <f>B12*B5/100</f>
        <v/>
      </c>
      <c r="C13">
        <f>B12*B5/100</f>
        <v/>
      </c>
      <c r="D13">
        <f>B12*B5/100</f>
        <v/>
      </c>
      <c r="E13">
        <f>B12*B5/100</f>
        <v/>
      </c>
      <c r="F13">
        <f>B12*B5/100</f>
        <v/>
      </c>
      <c r="G13">
        <f>B12*B5/100</f>
        <v/>
      </c>
      <c r="H13">
        <f>B12*B5/100</f>
        <v/>
      </c>
      <c r="I13">
        <f>B12*B5/100</f>
        <v/>
      </c>
      <c r="J13">
        <f>B12*B5/100</f>
        <v/>
      </c>
      <c r="K13">
        <f>B12*B5/100</f>
        <v/>
      </c>
    </row>
    <row r="18">
      <c r="A18" t="inlineStr">
        <is>
          <t>STEP 3: Risk-adjusted Returns (RaR)</t>
        </is>
      </c>
    </row>
    <row r="20">
      <c r="A20" t="inlineStr">
        <is>
          <t>Country</t>
        </is>
      </c>
      <c r="B20">
        <f>B11</f>
        <v/>
      </c>
      <c r="C20">
        <f>C11</f>
        <v/>
      </c>
      <c r="D20">
        <f>D11</f>
        <v/>
      </c>
      <c r="E20">
        <f>E11</f>
        <v/>
      </c>
      <c r="F20">
        <f>F11</f>
        <v/>
      </c>
      <c r="G20">
        <f>G11</f>
        <v/>
      </c>
      <c r="H20">
        <f>H11</f>
        <v/>
      </c>
      <c r="I20">
        <f>I11</f>
        <v/>
      </c>
      <c r="J20">
        <f>J11</f>
        <v/>
      </c>
      <c r="K20">
        <f>K11</f>
        <v/>
      </c>
    </row>
    <row r="21">
      <c r="A21" t="inlineStr">
        <is>
          <t>Gold Reserves Value</t>
        </is>
      </c>
      <c r="B21">
        <f>B12</f>
        <v/>
      </c>
      <c r="C21">
        <f>C12</f>
        <v/>
      </c>
      <c r="D21">
        <f>D12</f>
        <v/>
      </c>
      <c r="E21">
        <f>E12</f>
        <v/>
      </c>
      <c r="F21">
        <f>F12</f>
        <v/>
      </c>
      <c r="G21">
        <f>G12</f>
        <v/>
      </c>
      <c r="H21">
        <f>H12</f>
        <v/>
      </c>
      <c r="I21">
        <f>I12</f>
        <v/>
      </c>
      <c r="J21">
        <f>J12</f>
        <v/>
      </c>
      <c r="K21">
        <f>K12</f>
        <v/>
      </c>
    </row>
    <row r="22">
      <c r="A22" t="inlineStr">
        <is>
          <t>Volatility (%)</t>
        </is>
      </c>
      <c r="B22">
        <f>$B$5</f>
        <v/>
      </c>
      <c r="C22">
        <f>$B$5</f>
        <v/>
      </c>
      <c r="D22">
        <f>$B$5</f>
        <v/>
      </c>
      <c r="E22">
        <f>$B$5</f>
        <v/>
      </c>
      <c r="F22">
        <f>$B$5</f>
        <v/>
      </c>
      <c r="G22">
        <f>$B$5</f>
        <v/>
      </c>
      <c r="H22">
        <f>$B$5</f>
        <v/>
      </c>
      <c r="I22">
        <f>$B$5</f>
        <v/>
      </c>
      <c r="J22">
        <f>$B$5</f>
        <v/>
      </c>
      <c r="K22">
        <f>$B$5</f>
        <v/>
      </c>
    </row>
    <row r="23">
      <c r="A23" t="inlineStr">
        <is>
          <t>Total Reserves</t>
        </is>
      </c>
      <c r="B23">
        <f>IFERROR(INDEX('Total Reserves'!$C$2:$C$100, MATCH(B20, 'Total Reserves'!$A$2:$A$100, 0)), "")</f>
        <v/>
      </c>
      <c r="C23">
        <f>IFERROR(INDEX('Total Reserves'!$C$2:$C$100, MATCH(C20, 'Total Reserves'!$A$2:$A$100, 0)), "")</f>
        <v/>
      </c>
      <c r="D23">
        <f>IFERROR(INDEX('Total Reserves'!$C$2:$C$100, MATCH(D20, 'Total Reserves'!$A$2:$A$100, 0)), "")</f>
        <v/>
      </c>
      <c r="E23">
        <f>IFERROR(INDEX('Total Reserves'!$C$2:$C$100, MATCH(E20, 'Total Reserves'!$A$2:$A$100, 0)), "")</f>
        <v/>
      </c>
      <c r="F23">
        <f>IFERROR(INDEX('Total Reserves'!$C$2:$C$100, MATCH(F20, 'Total Reserves'!$A$2:$A$100, 0)), "")</f>
        <v/>
      </c>
      <c r="G23">
        <f>IFERROR(INDEX('Total Reserves'!$C$2:$C$100, MATCH(G20, 'Total Reserves'!$A$2:$A$100, 0)), "")</f>
        <v/>
      </c>
      <c r="H23">
        <f>IFERROR(INDEX('Total Reserves'!$C$2:$C$100, MATCH(H20, 'Total Reserves'!$A$2:$A$100, 0)), "")</f>
        <v/>
      </c>
      <c r="I23">
        <f>IFERROR(INDEX('Total Reserves'!$C$2:$C$100, MATCH(I20, 'Total Reserves'!$A$2:$A$100, 0)), "")</f>
        <v/>
      </c>
      <c r="J23">
        <f>IFERROR(INDEX('Total Reserves'!$C$2:$C$100, MATCH(J20, 'Total Reserves'!$A$2:$A$100, 0)), "")</f>
        <v/>
      </c>
      <c r="K23">
        <f>IFERROR(INDEX('Total Reserves'!$C$2:$C$100, MATCH(K20, 'Total Reserves'!$A$2:$A$100, 0)), "")</f>
        <v/>
      </c>
    </row>
    <row r="24">
      <c r="A24" t="inlineStr">
        <is>
          <t>RaR</t>
        </is>
      </c>
      <c r="B24">
        <f>IF(B23&lt;&gt;"", (B21/B23)*B22, "")</f>
        <v/>
      </c>
      <c r="C24">
        <f>IF(C23&lt;&gt;"", (C21/C23)*C22, "")</f>
        <v/>
      </c>
      <c r="D24">
        <f>IF(D23&lt;&gt;"", (D21/D23)*D22, "")</f>
        <v/>
      </c>
      <c r="E24">
        <f>IF(E23&lt;&gt;"", (E21/E23)*E22, "")</f>
        <v/>
      </c>
      <c r="F24">
        <f>IF(F23&lt;&gt;"", (F21/F23)*F22, "")</f>
        <v/>
      </c>
      <c r="G24">
        <f>IF(G23&lt;&gt;"", (G21/G23)*G22, "")</f>
        <v/>
      </c>
      <c r="H24">
        <f>IF(H23&lt;&gt;"", (H21/H23)*H22, "")</f>
        <v/>
      </c>
      <c r="I24">
        <f>IF(I23&lt;&gt;"", (I21/I23)*I22, "")</f>
        <v/>
      </c>
      <c r="J24">
        <f>IF(J23&lt;&gt;"", (J21/J23)*J22, "")</f>
        <v/>
      </c>
      <c r="K24">
        <f>IF(K23&lt;&gt;"", (K21/K23)*K22,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2026-01-29T06:39:08Z</dcterms:created>
  <dcterms:modified xsi:type="dcterms:W3CDTF">2026-01-29T06:42:48Z</dcterms:modified>
</cp:coreProperties>
</file>