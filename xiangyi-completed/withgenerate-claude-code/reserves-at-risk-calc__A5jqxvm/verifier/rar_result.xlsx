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Kazakhstan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4522.9</v>
      </c>
      <c r="D12" s="2" t="n">
        <v>599</v>
      </c>
      <c r="E12" s="3" t="n">
        <v>23844</v>
      </c>
      <c r="F12" s="3" t="n">
        <v>2310.81</v>
      </c>
      <c r="G12" s="3" t="n">
        <v>32036.68</v>
      </c>
      <c r="H12" s="3" t="n">
        <v>4297.24</v>
      </c>
      <c r="I12" s="3" t="n">
        <v>555.85</v>
      </c>
      <c r="J12" s="7" t="n">
        <v>487.1</v>
      </c>
      <c r="K12" s="3" t="n">
        <v>3263.68</v>
      </c>
    </row>
    <row r="13">
      <c r="B13" t="inlineStr">
        <is>
          <t>Gold valuation exposure (95% one-sided shock)</t>
        </is>
      </c>
      <c r="C13">
        <f>C12/XLOOKUP(C11,'Total Reserves'!A:A,'Total Reserves'!C:C)*$C$6</f>
        <v/>
      </c>
      <c r="D13">
        <f>D12/XLOOKUP(D11,'Total Reserves'!A:A,'Total Reserves'!C:C)*$C$6</f>
        <v/>
      </c>
      <c r="E13">
        <f>E12/XLOOKUP(E11,'Total Reserves'!A:A,'Total Reserves'!C:C)*$C$6</f>
        <v/>
      </c>
      <c r="F13">
        <f>F12/XLOOKUP(F11,'Total Reserves'!A:A,'Total Reserves'!C:C)*$C$6</f>
        <v/>
      </c>
      <c r="G13">
        <f>G12/XLOOKUP(G11,'Total Reserves'!A:A,'Total Reserves'!C:C)*$C$6</f>
        <v/>
      </c>
      <c r="H13">
        <f>H12/XLOOKUP(H11,'Total Reserves'!A:A,'Total Reserves'!C:C)*$C$6</f>
        <v/>
      </c>
      <c r="I13">
        <f>I12/XLOOKUP(I11,'Total Reserves'!A:A,'Total Reserves'!C:C)*$C$6</f>
        <v/>
      </c>
      <c r="J13">
        <f>J12/XLOOKUP(J11,'Total Reserves'!A:A,'Total Reserves'!C:C)*$C$6</f>
        <v/>
      </c>
      <c r="K13">
        <f>K12/XLOOKUP(K11,'Total Reserves'!A:A,'Total Reserves'!C:C)*$C$6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Kazakhstan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s="7" t="n">
        <v>4522.9</v>
      </c>
      <c r="D21" s="2" t="n">
        <v>599</v>
      </c>
      <c r="E21" s="3" t="n">
        <v>23844</v>
      </c>
      <c r="F21" s="3" t="n">
        <v>32036.68</v>
      </c>
      <c r="G21" s="3" t="n">
        <v>555.85</v>
      </c>
      <c r="H21" s="7" t="n">
        <v>487.1</v>
      </c>
    </row>
    <row r="22">
      <c r="B22" t="inlineStr">
        <is>
          <t>Gold valuation exposure (95% one-sided shock)</t>
        </is>
      </c>
      <c r="C22">
        <f>(C21/C23)*$C$6</f>
        <v/>
      </c>
      <c r="D22">
        <f>(D21/D23)*$C$6</f>
        <v/>
      </c>
      <c r="E22">
        <f>(E21/E23)*$C$6</f>
        <v/>
      </c>
      <c r="F22">
        <f>(F21/F23)*$C$6</f>
        <v/>
      </c>
      <c r="G22">
        <f>(G21/G23)*$C$6</f>
        <v/>
      </c>
      <c r="H22">
        <f>(H21/H23)*$C$6</f>
        <v/>
      </c>
    </row>
    <row r="23">
      <c r="B23" t="inlineStr">
        <is>
          <t>Total Reserve</t>
        </is>
      </c>
      <c r="C23">
        <f>INDEX('Total Reserves'!$17:$17,MATCH(C20,'Total Reserves'!$1:$1,0))</f>
        <v/>
      </c>
      <c r="D23">
        <f>INDEX('Total Reserves'!$17:$17,MATCH(D20,'Total Reserves'!$1:$1,0))</f>
        <v/>
      </c>
      <c r="E23">
        <f>INDEX('Total Reserves'!$17:$17,MATCH(E20,'Total Reserves'!$1:$1,0))</f>
        <v/>
      </c>
      <c r="F23">
        <f>INDEX('Total Reserves'!$17:$17,MATCH(F20,'Total Reserves'!$1:$1,0))</f>
        <v/>
      </c>
      <c r="G23">
        <f>INDEX('Total Reserves'!$17:$17,MATCH(G20,'Total Reserves'!$1:$1,0))</f>
        <v/>
      </c>
      <c r="H23">
        <f>INDEX('Total Reserves'!$17:$17,MATCH(H20,'Total Reserves'!$1:$1,0))</f>
        <v/>
      </c>
    </row>
    <row r="24">
      <c r="B24" t="inlineStr">
        <is>
          <t>RaR(in percent of total reserves)</t>
        </is>
      </c>
      <c r="C24">
        <f>(C21/C23)*$C$6*100</f>
        <v/>
      </c>
      <c r="D24">
        <f>(D21/D23)*$C$6*100</f>
        <v/>
      </c>
      <c r="E24">
        <f>(E21/E23)*$C$6*100</f>
        <v/>
      </c>
      <c r="F24">
        <f>(F21/F23)*$C$6*100</f>
        <v/>
      </c>
      <c r="G24">
        <f>(G21/G23)*$C$6*100</f>
        <v/>
      </c>
      <c r="H24">
        <f>(H21/H23)*$C$6*100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909.7045454545456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928.6447368421052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945.6704545454544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996.5909090909092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1585.504545454546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1178.629545454546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1181.504545454546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1159.245454545454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1201.245454545454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1291.745454545454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1718.228260869566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1919.302173913044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2689.128695652173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2026-01-29T06:42:39Z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