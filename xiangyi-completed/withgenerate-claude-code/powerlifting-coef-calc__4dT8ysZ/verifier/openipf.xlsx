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s="3" t="n">
        <v>82.25</v>
      </c>
      <c r="D2" s="3" t="n">
        <v>215</v>
      </c>
      <c r="E2" s="3" t="n">
        <v>132.5</v>
      </c>
      <c r="F2" s="3" t="n">
        <v>260</v>
      </c>
      <c r="G2" s="4">
        <f>ROUND(D2+E2+F2, 3)</f>
        <v/>
      </c>
      <c r="H2" s="4">
        <f>IF(B2="M",ROUND((500/(-307.75076+24.0900756*C2+-0.1918759221*C2^2+0.0007391293*C2^3+-0.000001093*C2^4))*G2,3),IF(B2="F",ROUND((500/(-57.96288+13.6175032*C2+-0.1126655495*C2^2+0.0005158568*C2^3+-0.0000010706*C2^4))*G2,3),""))</f>
        <v/>
      </c>
    </row>
    <row r="3">
      <c r="A3" t="inlineStr">
        <is>
          <t>Matthew Starkey</t>
        </is>
      </c>
      <c r="B3" t="inlineStr">
        <is>
          <t>M</t>
        </is>
      </c>
      <c r="C3" s="3" t="n">
        <v>82.90000000000001</v>
      </c>
      <c r="D3" s="3" t="n">
        <v>205</v>
      </c>
      <c r="E3" s="3" t="n">
        <v>130</v>
      </c>
      <c r="F3" s="3" t="n">
        <v>227.5</v>
      </c>
      <c r="G3" s="4">
        <f>ROUND(D3+E3+F3, 3)</f>
        <v/>
      </c>
      <c r="H3" s="4">
        <f>IF(B3="M",ROUND((500/(-307.75076+24.0900756*C3+-0.1918759221*C3^2+0.0007391293*C3^3+-0.000001093*C3^4))*G3,3),IF(B3="F",ROUND((500/(-57.96288+13.6175032*C3+-0.1126655495*C3^2+0.0005158568*C3^3+-0.0000010706*C3^4))*G3,3),""))</f>
        <v/>
      </c>
    </row>
    <row r="4">
      <c r="A4" t="inlineStr">
        <is>
          <t>Austin Keanu</t>
        </is>
      </c>
      <c r="B4" t="inlineStr">
        <is>
          <t>M</t>
        </is>
      </c>
      <c r="C4" s="3" t="n">
        <v>122.4</v>
      </c>
      <c r="D4" s="3" t="n">
        <v>275</v>
      </c>
      <c r="E4" s="3" t="n">
        <v>142.5</v>
      </c>
      <c r="F4" s="3" t="n">
        <v>235</v>
      </c>
      <c r="G4" s="4">
        <f>ROUND(D4+E4+F4, 3)</f>
        <v/>
      </c>
      <c r="H4" s="4">
        <f>IF(B4="M",ROUND((500/(-307.75076+24.0900756*C4+-0.1918759221*C4^2+0.0007391293*C4^3+-0.000001093*C4^4))*G4,3),IF(B4="F",ROUND((500/(-57.96288+13.6175032*C4+-0.1126655495*C4^2+0.0005158568*C4^3+-0.0000010706*C4^4))*G4,3),""))</f>
        <v/>
      </c>
    </row>
    <row r="5">
      <c r="A5" t="inlineStr">
        <is>
          <t>Michelle McKeaveney</t>
        </is>
      </c>
      <c r="B5" t="inlineStr">
        <is>
          <t>F</t>
        </is>
      </c>
      <c r="C5" s="3" t="n">
        <v>96.8</v>
      </c>
      <c r="D5" s="3" t="n">
        <v>102.5</v>
      </c>
      <c r="E5" s="3" t="n">
        <v>50</v>
      </c>
      <c r="F5" s="3" t="n">
        <v>137.5</v>
      </c>
      <c r="G5" s="4">
        <f>ROUND(D5+E5+F5, 3)</f>
        <v/>
      </c>
      <c r="H5" s="4">
        <f>IF(B5="M",ROUND((500/(-307.75076+24.0900756*C5+-0.1918759221*C5^2+0.0007391293*C5^3+-0.000001093*C5^4))*G5,3),IF(B5="F",ROUND((500/(-57.96288+13.6175032*C5+-0.1126655495*C5^2+0.0005158568*C5^3+-0.0000010706*C5^4))*G5,3),""))</f>
        <v/>
      </c>
    </row>
    <row r="6">
      <c r="A6" t="inlineStr">
        <is>
          <t>Tracy Klinger</t>
        </is>
      </c>
      <c r="B6" t="inlineStr">
        <is>
          <t>F</t>
        </is>
      </c>
      <c r="C6" s="3" t="n">
        <v>130.82</v>
      </c>
      <c r="D6" s="3" t="n">
        <v>62.5</v>
      </c>
      <c r="E6" s="3" t="n">
        <v>57.5</v>
      </c>
      <c r="F6" s="3" t="n">
        <v>117.5</v>
      </c>
      <c r="G6" s="4">
        <f>ROUND(D6+E6+F6, 3)</f>
        <v/>
      </c>
      <c r="H6" s="4">
        <f>IF(B6="M",ROUND((500/(-307.75076+24.0900756*C6+-0.1918759221*C6^2+0.0007391293*C6^3+-0.000001093*C6^4))*G6,3),IF(B6="F",ROUND((500/(-57.96288+13.6175032*C6+-0.1126655495*C6^2+0.0005158568*C6^3+-0.0000010706*C6^4))*G6,3),""))</f>
        <v/>
      </c>
    </row>
    <row r="7">
      <c r="A7" t="inlineStr">
        <is>
          <t>Mohanad Ibrahiem</t>
        </is>
      </c>
      <c r="B7" t="inlineStr">
        <is>
          <t>M</t>
        </is>
      </c>
      <c r="C7" s="3" t="n">
        <v>103.94</v>
      </c>
      <c r="D7" s="3" t="n">
        <v>255</v>
      </c>
      <c r="E7" s="3" t="n">
        <v>165</v>
      </c>
      <c r="F7" s="3" t="n">
        <v>292.5</v>
      </c>
      <c r="G7" s="4">
        <f>ROUND(D7+E7+F7, 3)</f>
        <v/>
      </c>
      <c r="H7" s="4">
        <f>IF(B7="M",ROUND((500/(-307.75076+24.0900756*C7+-0.1918759221*C7^2+0.0007391293*C7^3+-0.000001093*C7^4))*G7,3),IF(B7="F",ROUND((500/(-57.96288+13.6175032*C7+-0.1126655495*C7^2+0.0005158568*C7^3+-0.0000010706*C7^4))*G7,3),""))</f>
        <v/>
      </c>
    </row>
    <row r="8">
      <c r="A8" t="inlineStr">
        <is>
          <t>Pamela Cresci</t>
        </is>
      </c>
      <c r="B8" t="inlineStr">
        <is>
          <t>F</t>
        </is>
      </c>
      <c r="C8" s="3" t="n">
        <v>58.2</v>
      </c>
      <c r="D8" s="3" t="n">
        <v>82.5</v>
      </c>
      <c r="E8" s="3" t="n">
        <v>47.5</v>
      </c>
      <c r="F8" s="3" t="n">
        <v>130</v>
      </c>
      <c r="G8" s="4">
        <f>ROUND(D8+E8+F8, 3)</f>
        <v/>
      </c>
      <c r="H8" s="4">
        <f>IF(B8="M",ROUND((500/(-307.75076+24.0900756*C8+-0.1918759221*C8^2+0.0007391293*C8^3+-0.000001093*C8^4))*G8,3),IF(B8="F",ROUND((500/(-57.96288+13.6175032*C8+-0.1126655495*C8^2+0.0005158568*C8^3+-0.0000010706*C8^4))*G8,3),""))</f>
        <v/>
      </c>
    </row>
    <row r="9">
      <c r="A9" t="inlineStr">
        <is>
          <t>Wilie Carpentier</t>
        </is>
      </c>
      <c r="B9" t="inlineStr">
        <is>
          <t>M</t>
        </is>
      </c>
      <c r="C9" s="3" t="n">
        <v>81.8</v>
      </c>
      <c r="D9" s="3" t="n">
        <v>200</v>
      </c>
      <c r="E9" s="3" t="n">
        <v>130</v>
      </c>
      <c r="F9" s="3" t="n">
        <v>237.5</v>
      </c>
      <c r="G9" s="4">
        <f>ROUND(D9+E9+F9, 3)</f>
        <v/>
      </c>
      <c r="H9" s="4">
        <f>IF(B9="M",ROUND((500/(-307.75076+24.0900756*C9+-0.1918759221*C9^2+0.0007391293*C9^3+-0.000001093*C9^4))*G9,3),IF(B9="F",ROUND((500/(-57.96288+13.6175032*C9+-0.1126655495*C9^2+0.0005158568*C9^3+-0.0000010706*C9^4))*G9,3),""))</f>
        <v/>
      </c>
    </row>
    <row r="10">
      <c r="A10" t="inlineStr">
        <is>
          <t>Joshua Noble</t>
        </is>
      </c>
      <c r="B10" t="inlineStr">
        <is>
          <t>M</t>
        </is>
      </c>
      <c r="C10" s="3" t="n">
        <v>90.5</v>
      </c>
      <c r="D10" s="3" t="n">
        <v>242.5</v>
      </c>
      <c r="E10" s="3" t="n">
        <v>132.5</v>
      </c>
      <c r="F10" s="3" t="n">
        <v>232.5</v>
      </c>
      <c r="G10" s="4">
        <f>ROUND(D10+E10+F10, 3)</f>
        <v/>
      </c>
      <c r="H10" s="4">
        <f>IF(B10="M",ROUND((500/(-307.75076+24.0900756*C10+-0.1918759221*C10^2+0.0007391293*C10^3+-0.000001093*C10^4))*G10,3),IF(B10="F",ROUND((500/(-57.96288+13.6175032*C10+-0.1126655495*C10^2+0.0005158568*C10^3+-0.0000010706*C10^4))*G10,3),""))</f>
        <v/>
      </c>
    </row>
    <row r="11">
      <c r="A11" t="inlineStr">
        <is>
          <t>Amber Gomez</t>
        </is>
      </c>
      <c r="B11" t="inlineStr">
        <is>
          <t>F</t>
        </is>
      </c>
      <c r="C11" s="3" t="n">
        <v>75.90000000000001</v>
      </c>
      <c r="D11" s="3" t="n">
        <v>137.5</v>
      </c>
      <c r="E11" s="3" t="n">
        <v>75</v>
      </c>
      <c r="F11" s="3" t="n">
        <v>167.5</v>
      </c>
      <c r="G11" s="4">
        <f>ROUND(D11+E11+F11, 3)</f>
        <v/>
      </c>
      <c r="H11" s="4">
        <f>IF(B11="M",ROUND((500/(-307.75076+24.0900756*C11+-0.1918759221*C11^2+0.0007391293*C11^3+-0.000001093*C11^4))*G11,3),IF(B11="F",ROUND((500/(-57.96288+13.6175032*C11+-0.1126655495*C11^2+0.0005158568*C11^3+-0.0000010706*C11^4))*G11,3),""))</f>
        <v/>
      </c>
    </row>
    <row r="12">
      <c r="A12" t="inlineStr">
        <is>
          <t>Arlene van Diepen</t>
        </is>
      </c>
      <c r="B12" t="inlineStr">
        <is>
          <t>F</t>
        </is>
      </c>
      <c r="C12" s="3" t="n">
        <v>79.3</v>
      </c>
      <c r="D12" s="3" t="n">
        <v>107.5</v>
      </c>
      <c r="E12" s="3" t="n">
        <v>50</v>
      </c>
      <c r="F12" s="3" t="n">
        <v>140</v>
      </c>
      <c r="G12" s="4">
        <f>ROUND(D12+E12+F12, 3)</f>
        <v/>
      </c>
      <c r="H12" s="4">
        <f>IF(B12="M",ROUND((500/(-307.75076+24.0900756*C12+-0.1918759221*C12^2+0.0007391293*C12^3+-0.000001093*C12^4))*G12,3),IF(B12="F",ROUND((500/(-57.96288+13.6175032*C12+-0.1126655495*C12^2+0.0005158568*C12^3+-0.0000010706*C12^4))*G12,3),""))</f>
        <v/>
      </c>
    </row>
    <row r="13">
      <c r="A13" t="inlineStr">
        <is>
          <t>Alma Kimura</t>
        </is>
      </c>
      <c r="B13" t="inlineStr">
        <is>
          <t>F</t>
        </is>
      </c>
      <c r="C13" s="3" t="n">
        <v>61.81</v>
      </c>
      <c r="D13" s="3" t="n">
        <v>107.5</v>
      </c>
      <c r="E13" s="3" t="n">
        <v>52.5</v>
      </c>
      <c r="F13" s="3" t="n">
        <v>130</v>
      </c>
      <c r="G13" s="4">
        <f>ROUND(D13+E13+F13, 3)</f>
        <v/>
      </c>
      <c r="H13" s="4">
        <f>IF(B13="M",ROUND((500/(-307.75076+24.0900756*C13+-0.1918759221*C13^2+0.0007391293*C13^3+-0.000001093*C13^4))*G13,3),IF(B13="F",ROUND((500/(-57.96288+13.6175032*C13+-0.1126655495*C13^2+0.0005158568*C13^3+-0.0000010706*C13^4))*G13,3),""))</f>
        <v/>
      </c>
    </row>
    <row r="14">
      <c r="A14" t="inlineStr">
        <is>
          <t>Jonathan Cruz #1</t>
        </is>
      </c>
      <c r="B14" t="inlineStr">
        <is>
          <t>M</t>
        </is>
      </c>
      <c r="C14" s="3" t="n">
        <v>72.5</v>
      </c>
      <c r="D14" s="3" t="n">
        <v>245</v>
      </c>
      <c r="E14" s="3" t="n">
        <v>152.5</v>
      </c>
      <c r="F14" s="3" t="n">
        <v>290</v>
      </c>
      <c r="G14" s="4">
        <f>ROUND(D14+E14+F14, 3)</f>
        <v/>
      </c>
      <c r="H14" s="4">
        <f>IF(B14="M",ROUND((500/(-307.75076+24.0900756*C14+-0.1918759221*C14^2+0.0007391293*C14^3+-0.000001093*C14^4))*G14,3),IF(B14="F",ROUND((500/(-57.96288+13.6175032*C14+-0.1126655495*C14^2+0.0005158568*C14^3+-0.0000010706*C14^4))*G14,3),""))</f>
        <v/>
      </c>
    </row>
    <row r="15">
      <c r="A15" t="inlineStr">
        <is>
          <t>Serena Abweh</t>
        </is>
      </c>
      <c r="B15" t="inlineStr">
        <is>
          <t>F</t>
        </is>
      </c>
      <c r="C15" s="3" t="n">
        <v>46.1</v>
      </c>
      <c r="D15" s="3" t="n">
        <v>82.5</v>
      </c>
      <c r="E15" s="3" t="n">
        <v>52.5</v>
      </c>
      <c r="F15" s="3" t="n">
        <v>125.5</v>
      </c>
      <c r="G15" s="4">
        <f>ROUND(D15+E15+F15, 3)</f>
        <v/>
      </c>
      <c r="H15" s="4">
        <f>IF(B15="M",ROUND((500/(-307.75076+24.0900756*C15+-0.1918759221*C15^2+0.0007391293*C15^3+-0.000001093*C15^4))*G15,3),IF(B15="F",ROUND((500/(-57.96288+13.6175032*C15+-0.1126655495*C15^2+0.0005158568*C15^3+-0.0000010706*C15^4))*G15,3),""))</f>
        <v/>
      </c>
    </row>
    <row r="16">
      <c r="A16" t="inlineStr">
        <is>
          <t>Ashleigh Sutton</t>
        </is>
      </c>
      <c r="B16" t="inlineStr">
        <is>
          <t>F</t>
        </is>
      </c>
      <c r="C16" s="3" t="n">
        <v>74.2</v>
      </c>
      <c r="D16" s="3" t="n">
        <v>170</v>
      </c>
      <c r="E16" s="3" t="n">
        <v>85</v>
      </c>
      <c r="F16" s="3" t="n">
        <v>197.5</v>
      </c>
      <c r="G16" s="4">
        <f>ROUND(D16+E16+F16, 3)</f>
        <v/>
      </c>
      <c r="H16" s="4">
        <f>IF(B16="M",ROUND((500/(-307.75076+24.0900756*C16+-0.1918759221*C16^2+0.0007391293*C16^3+-0.000001093*C16^4))*G16,3),IF(B16="F",ROUND((500/(-57.96288+13.6175032*C16+-0.1126655495*C16^2+0.0005158568*C16^3+-0.0000010706*C16^4))*G16,3),""))</f>
        <v/>
      </c>
    </row>
    <row r="17">
      <c r="A17" t="inlineStr">
        <is>
          <t>Aaron Ziffle</t>
        </is>
      </c>
      <c r="B17" t="inlineStr">
        <is>
          <t>M</t>
        </is>
      </c>
      <c r="C17" s="3" t="n">
        <v>92.8</v>
      </c>
      <c r="D17" s="3" t="n">
        <v>255</v>
      </c>
      <c r="E17" s="3" t="n">
        <v>182.5</v>
      </c>
      <c r="F17" s="3" t="n">
        <v>245</v>
      </c>
      <c r="G17" s="4">
        <f>ROUND(D17+E17+F17, 3)</f>
        <v/>
      </c>
      <c r="H17" s="4">
        <f>IF(B17="M",ROUND((500/(-307.75076+24.0900756*C17+-0.1918759221*C17^2+0.0007391293*C17^3+-0.000001093*C17^4))*G17,3),IF(B17="F",ROUND((500/(-57.96288+13.6175032*C17+-0.1126655495*C17^2+0.0005158568*C17^3+-0.0000010706*C17^4))*G17,3),""))</f>
        <v/>
      </c>
    </row>
    <row r="18">
      <c r="A18" t="inlineStr">
        <is>
          <t>Adelaide Hurlbert</t>
        </is>
      </c>
      <c r="B18" t="inlineStr">
        <is>
          <t>F</t>
        </is>
      </c>
      <c r="C18" s="3" t="n">
        <v>61.8</v>
      </c>
      <c r="D18" s="3" t="n">
        <v>87.5</v>
      </c>
      <c r="E18" s="3" t="n">
        <v>57.5</v>
      </c>
      <c r="F18" s="3" t="n">
        <v>110</v>
      </c>
      <c r="G18" s="4">
        <f>ROUND(D18+E18+F18, 3)</f>
        <v/>
      </c>
      <c r="H18" s="4">
        <f>IF(B18="M",ROUND((500/(-307.75076+24.0900756*C18+-0.1918759221*C18^2+0.0007391293*C18^3+-0.000001093*C18^4))*G18,3),IF(B18="F",ROUND((500/(-57.96288+13.6175032*C18+-0.1126655495*C18^2+0.0005158568*C18^3+-0.0000010706*C18^4))*G18,3),""))</f>
        <v/>
      </c>
    </row>
    <row r="19">
      <c r="A19" t="inlineStr">
        <is>
          <t>Coralee Traurig</t>
        </is>
      </c>
      <c r="B19" t="inlineStr">
        <is>
          <t>F</t>
        </is>
      </c>
      <c r="C19" s="3" t="n">
        <v>71.09999999999999</v>
      </c>
      <c r="D19" s="3" t="n">
        <v>107.5</v>
      </c>
      <c r="E19" s="3" t="n">
        <v>65</v>
      </c>
      <c r="F19" s="3" t="n">
        <v>115</v>
      </c>
      <c r="G19" s="4">
        <f>ROUND(D19+E19+F19, 3)</f>
        <v/>
      </c>
      <c r="H19" s="4">
        <f>IF(B19="M",ROUND((500/(-307.75076+24.0900756*C19+-0.1918759221*C19^2+0.0007391293*C19^3+-0.000001093*C19^4))*G19,3),IF(B19="F",ROUND((500/(-57.96288+13.6175032*C19+-0.1126655495*C19^2+0.0005158568*C19^3+-0.0000010706*C19^4))*G19,3),""))</f>
        <v/>
      </c>
    </row>
    <row r="20">
      <c r="A20" t="inlineStr">
        <is>
          <t>Hugo Laliberté</t>
        </is>
      </c>
      <c r="B20" t="inlineStr">
        <is>
          <t>M</t>
        </is>
      </c>
      <c r="C20" s="3" t="n">
        <v>80.2</v>
      </c>
      <c r="D20" s="3" t="n">
        <v>162.5</v>
      </c>
      <c r="E20" s="3" t="n">
        <v>102.5</v>
      </c>
      <c r="F20" s="3" t="n">
        <v>205</v>
      </c>
      <c r="G20" s="4">
        <f>ROUND(D20+E20+F20, 3)</f>
        <v/>
      </c>
      <c r="H20" s="4">
        <f>IF(B20="M",ROUND((500/(-307.75076+24.0900756*C20+-0.1918759221*C20^2+0.0007391293*C20^3+-0.000001093*C20^4))*G20,3),IF(B20="F",ROUND((500/(-57.96288+13.6175032*C20+-0.1126655495*C20^2+0.0005158568*C20^3+-0.0000010706*C20^4))*G20,3),""))</f>
        <v/>
      </c>
    </row>
    <row r="21">
      <c r="A21" t="inlineStr">
        <is>
          <t>Curtis Laird</t>
        </is>
      </c>
      <c r="B21" t="inlineStr">
        <is>
          <t>M</t>
        </is>
      </c>
      <c r="C21" s="3" t="n">
        <v>108.98</v>
      </c>
      <c r="D21" s="3" t="n">
        <v>226.8</v>
      </c>
      <c r="E21" s="3" t="n">
        <v>165.56</v>
      </c>
      <c r="F21" s="3" t="n">
        <v>242.67</v>
      </c>
      <c r="G21" s="4">
        <f>ROUND(D21+E21+F21, 3)</f>
        <v/>
      </c>
      <c r="H21" s="4">
        <f>IF(B21="M",ROUND((500/(-307.75076+24.0900756*C21+-0.1918759221*C21^2+0.0007391293*C21^3+-0.000001093*C21^4))*G21,3),IF(B21="F",ROUND((500/(-57.96288+13.6175032*C21+-0.1126655495*C21^2+0.0005158568*C21^3+-0.0000010706*C21^4))*G21,3),""))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2026-01-29T06:58:09Z</dcterms:modified>
</cp:coreProperties>
</file>